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Pockets" sheetId="5" state="visible" r:id="rId5"/>
    <sheet name="Paid, cost, kept" sheetId="6" state="visible" r:id="rId6"/>
    <sheet name="Grids" sheetId="7" state="visible" r:id="rId7"/>
    <sheet name="Split" sheetId="8" state="visible" r:id="rId8"/>
    <sheet name="Record" sheetId="9" state="visible" r:id="rId9"/>
    <sheet name="_options" sheetId="10" state="hidden" r:id="rId10"/>
    <sheet name="_meanings" sheetId="11" state="hidden" r:id="rId11"/>
    <sheet name="_about" sheetId="12" state="hidden" r:id="rId12"/>
    <sheet name="_log" sheetId="13" state="hidden" r:id="rId13"/>
    <sheet name="_choices" sheetId="14" state="hidden" r:id="rId14"/>
    <sheet name="_views" sheetId="15" state="hidden" r:id="rId15"/>
    <sheet name="_live" sheetId="16" state="hidden" r:id="rId16"/>
    <sheet name="_pockets" sheetId="17" state="hidden" r:id="rId17"/>
    <sheet name="_list" sheetId="18" state="hidden" r:id="rId18"/>
    <sheet name="_chart" sheetId="19" state="hidden" r:id="rId19"/>
    <sheet name="_used" sheetId="20" state="hidden" r:id="rId20"/>
    <sheet name="_found" sheetId="21" state="hidden" r:id="rId21"/>
    <sheet name="_look" sheetId="22" state="hidden" r:id="rId22"/>
  </sheets>
  <definedNames>
    <definedName name="answers_needed">Control!$J$15:$J$30</definedName>
    <definedName name="Status">Control!$H$24:$H$43</definedName>
    <definedName name="waiting_words">Control!$K$24:$K$43</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pk_sel_measure">'Pockets'!$C$17</definedName>
    <definedName name="pk_sel_kind">'Pockets'!$D$17</definedName>
    <definedName name="pk_sel_show">'Pockets'!$E$17</definedName>
    <definedName name="_xlnm.Print_Area" localSheetId="1">'Control'!$B$1:$P$43</definedName>
    <definedName name="_xlnm.Print_Area" localSheetId="3">'Look'!$A$1:$Q$69</definedName>
    <definedName name="_xlnm.Print_Area" localSheetId="8">'Record'!$B$1:$G$87</definedName>
  </definedNames>
  <calcPr calcId="124519" fullCalcOnLoad="1"/>
</workbook>
</file>

<file path=xl/styles.xml><?xml version="1.0" encoding="utf-8"?>
<styleSheet xmlns="http://schemas.openxmlformats.org/spreadsheetml/2006/main">
  <numFmts count="6">
    <numFmt numFmtId="164" formatCode="&quot;$&quot;#,##0"/>
    <numFmt numFmtId="165" formatCode="yyyy-mm-dd"/>
    <numFmt numFmtId="166" formatCode="0.0%"/>
    <numFmt numFmtId="167" formatCode="0.00&quot;×&quot;"/>
    <numFmt numFmtId="168" formatCode="[&lt;0.0001]&quot;under 0.01%&quot;;[&lt;0.01]0.00%;0.0%"/>
    <numFmt numFmtId="169" formatCode="+0.00&quot; pts&quot;;-0.00&quot; pts&quot;;0.00&quot; pts&quot;"/>
  </numFmts>
  <fonts count="29">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Arial"/>
      <color rgb="00E4DFD5"/>
      <sz val="10"/>
    </font>
    <font>
      <name val="Arial"/>
      <b val="1"/>
      <sz val="14"/>
    </font>
    <font>
      <b val="1"/>
    </font>
    <font>
      <name val="Arial"/>
      <b val="1"/>
      <color rgb="0057534B"/>
      <sz val="8"/>
    </font>
    <font>
      <name val="Calibri"/>
      <color rgb="0057534B"/>
      <sz val="8"/>
    </font>
    <font>
      <name val="Calibri"/>
      <b val="1"/>
      <color rgb="00960019"/>
      <sz val="9"/>
    </font>
    <font>
      <name val="Arial"/>
      <b val="1"/>
      <color rgb="0016130F"/>
      <sz val="9"/>
    </font>
    <font>
      <name val="Arial"/>
      <color rgb="0016130F"/>
      <sz val="9"/>
    </font>
    <font>
      <name val="Calibri"/>
      <color rgb="00CC0000"/>
      <sz val="10"/>
      <u val="single"/>
    </font>
  </fonts>
  <fills count="10">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16130F"/>
        <bgColor rgb="0016130F"/>
      </patternFill>
    </fill>
    <fill>
      <patternFill patternType="solid">
        <fgColor rgb="00E4DFD5"/>
      </patternFill>
    </fill>
  </fills>
  <borders count="28">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bottom style="thick">
        <color rgb="00B9B4AC"/>
      </bottom>
    </border>
    <border>
      <bottom style="thin">
        <color rgb="00E4DFD5"/>
      </bottom>
    </border>
    <border>
      <bottom style="medium">
        <color rgb="0016130F"/>
      </bottom>
    </border>
    <border>
      <left/>
      <right/>
      <top/>
      <bottom style="thin">
        <color rgb="00E4DFD5"/>
      </bottom>
      <diagonal/>
    </border>
    <border>
      <left/>
      <right/>
      <top/>
      <bottom style="thin">
        <color rgb="00EFEBE4"/>
      </bottom>
      <diagonal/>
    </border>
    <border>
      <left/>
      <right/>
      <top/>
      <bottom style="medium">
        <color rgb="0016130F"/>
      </bottom>
      <diagonal/>
    </border>
    <border>
      <right/>
      <bottom style="thin">
        <color rgb="00E4DFD5"/>
      </bottom>
    </border>
    <border>
      <right/>
      <bottom style="thin">
        <color rgb="00EFEBE4"/>
      </bottom>
    </border>
    <border>
      <right/>
      <bottom style="medium">
        <color rgb="0016130F"/>
      </bottom>
    </border>
    <border>
      <left/>
      <right/>
      <top style="thick">
        <color rgb="00CC0000"/>
      </top>
      <bottom/>
      <diagonal/>
    </border>
    <border>
      <left/>
      <right/>
      <top style="thin">
        <color rgb="0016130F"/>
      </top>
      <bottom/>
      <diagonal/>
    </border>
    <border>
      <left/>
      <right style="thin">
        <color rgb="0016130F"/>
      </right>
      <top style="thin">
        <color rgb="0016130F"/>
      </top>
      <bottom/>
      <diagonal/>
    </border>
    <border>
      <left/>
      <right style="thin">
        <color rgb="0016130F"/>
      </right>
      <top style="thin">
        <color rgb="0016130F"/>
      </top>
      <bottom style="thin">
        <color rgb="0016130F"/>
      </bottom>
      <diagonal/>
    </border>
    <border>
      <bottom style="medium">
        <color rgb="000A0908"/>
      </bottom>
    </border>
    <border>
      <left/>
      <right/>
      <top style="thin">
        <color rgb="0016130F"/>
      </top>
      <bottom style="thin">
        <color rgb="0016130F"/>
      </bottom>
      <diagonal/>
    </border>
  </borders>
  <cellStyleXfs count="1">
    <xf numFmtId="0" fontId="0" fillId="0" borderId="0"/>
  </cellStyleXfs>
  <cellXfs count="142">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 fillId="6" borderId="13" applyAlignment="1" pivotButton="0" quotePrefix="0" xfId="0">
      <alignment vertical="center"/>
    </xf>
    <xf numFmtId="0" fontId="20" fillId="6" borderId="13" applyAlignment="1" pivotButton="0" quotePrefix="0" xfId="0">
      <alignment vertical="center"/>
    </xf>
    <xf numFmtId="0" fontId="0" fillId="6" borderId="13" pivotButton="0" quotePrefix="0" xfId="0"/>
    <xf numFmtId="0" fontId="6" fillId="8" borderId="0" applyAlignment="1" pivotButton="0" quotePrefix="0" xfId="0">
      <alignment vertical="center" indent="1"/>
    </xf>
    <xf numFmtId="0" fontId="0" fillId="8" borderId="0" pivotButton="0" quotePrefix="0" xfId="0"/>
    <xf numFmtId="0" fontId="3" fillId="3" borderId="14" applyAlignment="1" pivotButton="0" quotePrefix="0" xfId="0">
      <alignment horizontal="left" vertical="center" indent="1"/>
    </xf>
    <xf numFmtId="0" fontId="3" fillId="3" borderId="14" applyAlignment="1" pivotButton="0" quotePrefix="0" xfId="0">
      <alignment horizontal="center" vertical="center" indent="1"/>
    </xf>
    <xf numFmtId="0" fontId="11" fillId="0" borderId="15" applyAlignment="1" pivotButton="0" quotePrefix="0" xfId="0">
      <alignment horizontal="left" vertical="center" wrapText="1" indent="1"/>
    </xf>
    <xf numFmtId="0" fontId="5" fillId="0" borderId="15" applyAlignment="1" pivotButton="0" quotePrefix="0" xfId="0">
      <alignment horizontal="left" vertical="center" wrapText="1" indent="1"/>
    </xf>
    <xf numFmtId="0" fontId="4" fillId="0" borderId="15" applyAlignment="1" pivotButton="0" quotePrefix="0" xfId="0">
      <alignment horizontal="center" vertical="center" wrapText="1" indent="1"/>
    </xf>
    <xf numFmtId="0" fontId="5" fillId="0" borderId="15" applyAlignment="1" pivotButton="0" quotePrefix="0" xfId="0">
      <alignment horizontal="center" vertical="center" wrapText="1" indent="1"/>
    </xf>
    <xf numFmtId="0" fontId="0" fillId="0" borderId="16" pivotButton="0" quotePrefix="0" xfId="0"/>
    <xf numFmtId="0" fontId="0" fillId="0" borderId="15" pivotButton="0" quotePrefix="0" xfId="0"/>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18" fillId="0" borderId="6" applyAlignment="1" pivotButton="0" quotePrefix="0" xfId="0">
      <alignment horizontal="left" vertical="center" wrapText="1" indent="1"/>
    </xf>
    <xf numFmtId="0" fontId="3" fillId="3" borderId="19" applyAlignment="1" pivotButton="0" quotePrefix="0" xfId="0">
      <alignment horizontal="left" vertical="center" indent="1"/>
    </xf>
    <xf numFmtId="0" fontId="0" fillId="0" borderId="18" pivotButton="0" quotePrefix="0" xfId="0"/>
    <xf numFmtId="0" fontId="0" fillId="0" borderId="17" pivotButton="0" quotePrefix="0" xfId="0"/>
    <xf numFmtId="0" fontId="5" fillId="0" borderId="21" applyAlignment="1" pivotButton="0" quotePrefix="0" xfId="0">
      <alignment horizontal="left" vertical="center" wrapText="1" indent="1"/>
    </xf>
    <xf numFmtId="0" fontId="18" fillId="0" borderId="20" applyAlignment="1" pivotButton="0" quotePrefix="0" xfId="0">
      <alignment horizontal="left" vertical="center" wrapText="1" indent="1"/>
    </xf>
    <xf numFmtId="0" fontId="5" fillId="0" borderId="20" applyAlignment="1" pivotButton="0" quotePrefix="0" xfId="0">
      <alignment horizontal="left" vertical="center" wrapText="1" indent="1"/>
    </xf>
    <xf numFmtId="0" fontId="12" fillId="3" borderId="8" applyAlignment="1" pivotButton="0" quotePrefix="0" xfId="0">
      <alignment vertical="top" indent="1"/>
    </xf>
    <xf numFmtId="0" fontId="0" fillId="0" borderId="22" pivotButton="0" quotePrefix="0" xfId="0"/>
    <xf numFmtId="164" fontId="17" fillId="3" borderId="7" applyAlignment="1" pivotButton="0" quotePrefix="0" xfId="0">
      <alignment horizontal="left" vertical="center" indent="1"/>
    </xf>
    <xf numFmtId="3" fontId="5" fillId="0" borderId="6" applyAlignment="1" pivotButton="0" quotePrefix="0" xfId="0">
      <alignment horizontal="center" vertical="center"/>
    </xf>
    <xf numFmtId="167" fontId="5" fillId="0" borderId="6" applyAlignment="1" pivotButton="0" quotePrefix="0" xfId="0">
      <alignment horizontal="center" vertical="center"/>
    </xf>
    <xf numFmtId="0" fontId="28" fillId="0" borderId="0" pivotButton="0" quotePrefix="0" xfId="0"/>
    <xf numFmtId="0" fontId="11" fillId="0" borderId="6" applyAlignment="1" pivotButton="0" quotePrefix="0" xfId="0">
      <alignment horizontal="center" vertical="center"/>
    </xf>
    <xf numFmtId="0" fontId="23" fillId="0" borderId="0" applyAlignment="1" pivotButton="0" quotePrefix="0" xfId="0">
      <alignment horizontal="left" vertical="center"/>
    </xf>
    <xf numFmtId="0" fontId="12" fillId="0" borderId="0" applyAlignment="1" pivotButton="0" quotePrefix="0" xfId="0">
      <alignment horizontal="left" vertical="center" indent="1"/>
    </xf>
    <xf numFmtId="0" fontId="24" fillId="0" borderId="0" applyAlignment="1" pivotButton="0" quotePrefix="0" xfId="0">
      <alignment horizontal="left" vertical="center"/>
    </xf>
    <xf numFmtId="167" fontId="17" fillId="3" borderId="7" applyAlignment="1" pivotButton="0" quotePrefix="0" xfId="0">
      <alignment horizontal="left" vertical="center" indent="1"/>
    </xf>
    <xf numFmtId="9" fontId="17" fillId="3" borderId="7" applyAlignment="1" pivotButton="0" quotePrefix="0" xfId="0">
      <alignment horizontal="left" vertical="center" indent="1"/>
    </xf>
    <xf numFmtId="0" fontId="25" fillId="0" borderId="0" applyAlignment="1" pivotButton="0" quotePrefix="0" xfId="0">
      <alignment horizontal="left" vertical="center" indent="1"/>
    </xf>
    <xf numFmtId="0" fontId="3" fillId="0" borderId="0" applyAlignment="1" pivotButton="0" quotePrefix="0" xfId="0">
      <alignment horizontal="left" vertical="center"/>
    </xf>
    <xf numFmtId="0" fontId="11" fillId="0" borderId="0" applyAlignment="1" pivotButton="0" quotePrefix="0" xfId="0">
      <alignment horizontal="left" vertical="center" indent="1"/>
    </xf>
    <xf numFmtId="0" fontId="12" fillId="0" borderId="0" applyAlignment="1" pivotButton="0" quotePrefix="0" xfId="0">
      <alignment horizontal="center" vertical="center"/>
    </xf>
    <xf numFmtId="0" fontId="5" fillId="0" borderId="0" applyAlignment="1" pivotButton="0" quotePrefix="0" xfId="0">
      <alignment horizontal="left" vertical="center" indent="1"/>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67" fontId="5" fillId="0" borderId="0" applyAlignment="1" pivotButton="0" quotePrefix="0" xfId="0">
      <alignment horizontal="center" vertical="center"/>
    </xf>
    <xf numFmtId="0" fontId="5" fillId="0" borderId="0" applyAlignment="1" pivotButton="0" quotePrefix="0" xfId="0">
      <alignment horizontal="center" vertical="center"/>
    </xf>
    <xf numFmtId="168" fontId="5" fillId="0" borderId="0" applyAlignment="1" pivotButton="0" quotePrefix="0" xfId="0">
      <alignment horizontal="center" vertical="center"/>
    </xf>
    <xf numFmtId="0" fontId="0" fillId="0" borderId="25" pivotButton="0" quotePrefix="0" xfId="0"/>
    <xf numFmtId="0" fontId="27" fillId="0" borderId="0" applyAlignment="1" pivotButton="0" quotePrefix="0" xfId="0">
      <alignment horizontal="left" vertical="center"/>
    </xf>
    <xf numFmtId="0" fontId="26" fillId="0" borderId="26" applyAlignment="1" pivotButton="0" quotePrefix="0" xfId="0">
      <alignment horizontal="center" vertical="center"/>
    </xf>
    <xf numFmtId="0" fontId="0" fillId="0" borderId="26" pivotButton="0" quotePrefix="0" xfId="0"/>
    <xf numFmtId="169" fontId="5" fillId="0" borderId="0" applyAlignment="1" pivotButton="0" quotePrefix="0" xfId="0">
      <alignment horizontal="center" vertical="center"/>
    </xf>
    <xf numFmtId="0" fontId="4" fillId="0" borderId="0" applyAlignment="1" pivotButton="0" quotePrefix="0" xfId="0">
      <alignment horizontal="left" vertical="center" indent="1"/>
    </xf>
    <xf numFmtId="0" fontId="26" fillId="0" borderId="0" applyAlignment="1" pivotButton="0" quotePrefix="0" xfId="0">
      <alignment horizontal="left" vertical="center"/>
    </xf>
    <xf numFmtId="0" fontId="0" fillId="0" borderId="27" pivotButton="0" quotePrefix="0" xfId="0"/>
    <xf numFmtId="0" fontId="6" fillId="2" borderId="4" applyAlignment="1" pivotButton="0" quotePrefix="0" xfId="0">
      <alignment horizontal="left" vertical="center" indent="1"/>
    </xf>
    <xf numFmtId="0" fontId="3" fillId="3" borderId="0" applyAlignment="1" pivotButton="0" quotePrefix="0" xfId="0">
      <alignment horizontal="left" vertical="center" indent="1"/>
    </xf>
    <xf numFmtId="0" fontId="12" fillId="0" borderId="0" applyAlignment="1" pivotButton="0" quotePrefix="0" xfId="0">
      <alignment horizontal="left" vertical="center"/>
    </xf>
    <xf numFmtId="0" fontId="9" fillId="0" borderId="0" applyAlignment="1" pivotButton="0" quotePrefix="0" xfId="0">
      <alignment horizontal="left" vertical="center" indent="1"/>
    </xf>
    <xf numFmtId="0" fontId="3" fillId="0" borderId="0" applyAlignment="1" pivotButton="0" quotePrefix="0" xfId="0">
      <alignment horizontal="left" vertical="center" indent="1"/>
    </xf>
    <xf numFmtId="0" fontId="9" fillId="0" borderId="0" applyAlignment="1" pivotButton="0" quotePrefix="0" xfId="0">
      <alignment horizontal="left" vertical="center"/>
    </xf>
    <xf numFmtId="0" fontId="26" fillId="0" borderId="0" applyAlignment="1" pivotButton="0" quotePrefix="0" xfId="0">
      <alignment horizontal="center" vertical="center"/>
    </xf>
    <xf numFmtId="0" fontId="5" fillId="0" borderId="6" applyAlignment="1" pivotButton="0" quotePrefix="0" xfId="0">
      <alignment horizontal="left" vertical="center" indent="1"/>
    </xf>
    <xf numFmtId="168" fontId="5" fillId="0" borderId="6" applyAlignment="1" pivotButton="0" quotePrefix="0" xfId="0">
      <alignment horizontal="center" vertical="center"/>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21" fillId="0" borderId="0" pivotButton="0" quotePrefix="0" xfId="0"/>
    <xf numFmtId="0" fontId="0" fillId="0" borderId="0" applyAlignment="1" pivotButton="0" quotePrefix="0" xfId="0">
      <alignment vertical="top" wrapText="1"/>
    </xf>
    <xf numFmtId="0" fontId="22" fillId="0" borderId="0" pivotButton="0" quotePrefix="0" xfId="0"/>
    <xf numFmtId="0" fontId="22" fillId="0" borderId="0" applyAlignment="1" pivotButton="0" quotePrefix="0" xfId="0">
      <alignment vertical="top" wrapText="1"/>
    </xf>
    <xf numFmtId="0" fontId="22" fillId="9" borderId="0" applyAlignment="1" pivotButton="0" quotePrefix="0" xfId="0">
      <alignment vertical="top" wrapText="1"/>
    </xf>
  </cellXfs>
  <cellStyles count="1">
    <cellStyle name="Normal" xfId="0" builtinId="0" hidden="0"/>
  </cellStyles>
  <dxfs count="50">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color rgb="0057534B"/>
      </font>
      <border>
        <bottom style="thin">
          <color rgb="00EFEBE4"/>
        </bottom>
      </border>
    </dxf>
    <dxf>
      <border>
        <bottom style="thin">
          <color rgb="00EFEBE4"/>
        </bottom>
      </border>
    </dxf>
    <dxf>
      <font>
        <color rgb="0057534B"/>
      </font>
      <numFmt numFmtId="489" formatCode="+0.00&quot; pts&quot;;-0.00&quot; pts&quot;;0.00&quot; pts&quot;"/>
      <border>
        <bottom style="thin">
          <color rgb="00EFEBE4"/>
        </bottom>
      </border>
    </dxf>
    <dxf>
      <numFmt numFmtId="489" formatCode="+0.00&quot; pts&quot;;-0.00&quot; pts&quot;;0.00&quot; pts&quot;"/>
      <border>
        <bottom style="thin">
          <color rgb="00EFEBE4"/>
        </bottom>
      </border>
    </dxf>
    <dxf>
      <font>
        <color rgb="0057534B"/>
      </font>
      <numFmt numFmtId="474" formatCode="#,##0.0"/>
      <border>
        <bottom style="thin">
          <color rgb="00EFEBE4"/>
        </bottom>
      </border>
    </dxf>
    <dxf>
      <numFmt numFmtId="474" formatCode="#,##0.0"/>
      <border>
        <bottom style="thin">
          <color rgb="00EFEBE4"/>
        </bottom>
      </border>
    </dxf>
    <dxf>
      <font>
        <b val="1"/>
        <color rgb="00960019"/>
      </font>
      <fill>
        <patternFill patternType="solid">
          <fgColor rgb="00F7DEDE"/>
          <bgColor rgb="00F7DEDE"/>
        </patternFill>
      </fill>
      <border>
        <bottom style="thin">
          <color rgb="00EFEBE4"/>
        </bottom>
      </border>
    </dxf>
    <dxf>
      <fill>
        <patternFill patternType="solid">
          <fgColor rgb="00F4F1EC"/>
          <bgColor rgb="00F4F1EC"/>
        </patternFill>
      </fill>
      <border>
        <bottom style="thin">
          <color rgb="00EFEBE4"/>
        </bottom>
      </border>
    </dxf>
    <dxf>
      <font>
        <b val="1"/>
      </font>
      <fill>
        <patternFill patternType="solid">
          <fgColor rgb="00E4DFD5"/>
          <bgColor rgb="00E4DFD5"/>
        </patternFill>
      </fill>
      <border>
        <bottom style="thin">
          <color rgb="00EFEBE4"/>
        </bottom>
      </border>
    </dxf>
    <dxf>
      <font>
        <b val="1"/>
        <color rgb="00960019"/>
      </font>
      <border>
        <bottom style="thin">
          <color rgb="00EFEBE4"/>
        </bottom>
      </border>
    </dxf>
    <dxf>
      <fill>
        <patternFill patternType="solid">
          <fgColor rgb="00F7DEDE"/>
          <bgColor rgb="00F7DEDE"/>
        </patternFill>
      </fill>
      <border>
        <bottom style="thin">
          <color rgb="00EFEBE4"/>
        </bottom>
      </border>
    </dxf>
    <dxf>
      <fill>
        <patternFill patternType="solid">
          <fgColor rgb="00EAF6EE"/>
          <bgColor rgb="00EAF6EE"/>
        </patternFill>
      </fill>
      <border>
        <bottom style="thin">
          <color rgb="00EFEBE4"/>
        </bottom>
      </border>
    </dxf>
    <dxf>
      <font>
        <b val="1"/>
        <color rgb="001E7A47"/>
      </font>
      <border>
        <bottom style="thin">
          <color rgb="00EFEBE4"/>
        </bottom>
      </border>
    </dxf>
    <dxf>
      <numFmt numFmtId="408" formatCode="#,##0.00"/>
      <border>
        <bottom style="thin">
          <color rgb="00EFEBE4"/>
        </bottom>
      </border>
    </dxf>
    <dxf>
      <numFmt numFmtId="489" formatCode="+0.00&quot; pts&quot;;-0.00&quot; pts&quot;;0.00&quot; pts&quot;"/>
      <fill>
        <patternFill patternType="solid">
          <fgColor rgb="00CF7777"/>
          <bgColor rgb="00CF7777"/>
        </patternFill>
      </fill>
      <border>
        <bottom style="thin">
          <color rgb="00EFEBE4"/>
        </bottom>
      </border>
    </dxf>
    <dxf>
      <fill>
        <patternFill patternType="solid">
          <fgColor rgb="00CF7777"/>
          <bgColor rgb="00CF7777"/>
        </patternFill>
      </fill>
      <border>
        <bottom style="thin">
          <color rgb="00EFEBE4"/>
        </bottom>
      </border>
    </dxf>
    <dxf>
      <numFmt numFmtId="489" formatCode="+0.00&quot; pts&quot;;-0.00&quot; pts&quot;;0.00&quot; pts&quot;"/>
      <fill>
        <patternFill patternType="solid">
          <fgColor rgb="00E0A6A6"/>
          <bgColor rgb="00E0A6A6"/>
        </patternFill>
      </fill>
      <border>
        <bottom style="thin">
          <color rgb="00EFEBE4"/>
        </bottom>
      </border>
    </dxf>
    <dxf>
      <fill>
        <patternFill patternType="solid">
          <fgColor rgb="00E0A6A6"/>
          <bgColor rgb="00E0A6A6"/>
        </patternFill>
      </fill>
      <border>
        <bottom style="thin">
          <color rgb="00EFEBE4"/>
        </bottom>
      </border>
    </dxf>
    <dxf>
      <numFmt numFmtId="489" formatCode="+0.00&quot; pts&quot;;-0.00&quot; pts&quot;;0.00&quot; pts&quot;"/>
      <fill>
        <patternFill patternType="solid">
          <fgColor rgb="00EACBC9"/>
          <bgColor rgb="00EACBC9"/>
        </patternFill>
      </fill>
      <border>
        <bottom style="thin">
          <color rgb="00EFEBE4"/>
        </bottom>
      </border>
    </dxf>
    <dxf>
      <fill>
        <patternFill patternType="solid">
          <fgColor rgb="00EACBC9"/>
          <bgColor rgb="00EACBC9"/>
        </patternFill>
      </fill>
      <border>
        <bottom style="thin">
          <color rgb="00EFEBE4"/>
        </bottom>
      </border>
    </dxf>
    <dxf>
      <numFmt numFmtId="489" formatCode="+0.00&quot; pts&quot;;-0.00&quot; pts&quot;;0.00&quot; pts&quot;"/>
      <fill>
        <patternFill patternType="solid">
          <fgColor rgb="00BBD3BD"/>
          <bgColor rgb="00BBD3BD"/>
        </patternFill>
      </fill>
      <border>
        <bottom style="thin">
          <color rgb="00EFEBE4"/>
        </bottom>
      </border>
    </dxf>
    <dxf>
      <fill>
        <patternFill patternType="solid">
          <fgColor rgb="00BBD3BD"/>
          <bgColor rgb="00BBD3BD"/>
        </patternFill>
      </fill>
      <border>
        <bottom style="thin">
          <color rgb="00EFEBE4"/>
        </bottom>
      </border>
    </dxf>
    <dxf>
      <numFmt numFmtId="489" formatCode="+0.00&quot; pts&quot;;-0.00&quot; pts&quot;;0.00&quot; pts&quot;"/>
      <fill>
        <patternFill patternType="solid">
          <fgColor rgb="00D7E2D4"/>
          <bgColor rgb="00D7E2D4"/>
        </patternFill>
      </fill>
      <border>
        <bottom style="thin">
          <color rgb="00EFEBE4"/>
        </bottom>
      </border>
    </dxf>
    <dxf>
      <fill>
        <patternFill patternType="solid">
          <fgColor rgb="00D7E2D4"/>
          <bgColor rgb="00D7E2D4"/>
        </patternFill>
      </fill>
      <border>
        <bottom style="thin">
          <color rgb="00EFEBE4"/>
        </bottom>
      </border>
    </dxf>
    <dxf>
      <numFmt numFmtId="489" formatCode="+0.00&quot; pts&quot;;-0.00&quot; pts&quot;;0.00&quot; pts&quot;"/>
      <fill>
        <patternFill patternType="solid">
          <fgColor rgb="00F4F1EC"/>
          <bgColor rgb="00F4F1EC"/>
        </patternFill>
      </fill>
      <border>
        <bottom style="thin">
          <color rgb="00EFEBE4"/>
        </bottom>
      </border>
    </dxf>
    <dxf>
      <fill>
        <patternFill patternType="solid">
          <fgColor rgb="00B9B4AC"/>
          <bgColor rgb="00B9B4AC"/>
        </patternFill>
      </fill>
      <border>
        <bottom style="thin">
          <color rgb="00EFEBE4"/>
        </bottom>
      </border>
    </dxf>
    <dxf>
      <fill>
        <patternFill patternType="solid">
          <fgColor rgb="00CFCAC2"/>
          <bgColor rgb="00CFCAC2"/>
        </patternFill>
      </fill>
      <border>
        <bottom style="thin">
          <color rgb="00EFEBE4"/>
        </bottom>
      </border>
    </dxf>
    <dxf>
      <fill>
        <patternFill patternType="solid">
          <fgColor rgb="00E4DFD5"/>
          <bgColor rgb="00E4DFD5"/>
        </patternFill>
      </fill>
      <border>
        <bottom style="thin">
          <color rgb="00EFEBE4"/>
        </bottom>
      </border>
    </dxf>
    <dxf>
      <fill>
        <patternFill patternType="solid">
          <fgColor rgb="00EFEBE4"/>
          <bgColor rgb="00EFEBE4"/>
        </patternFill>
      </fill>
      <border>
        <bottom style="thin">
          <color rgb="00EFEBE4"/>
        </bottom>
      </border>
    </dxf>
    <dxf>
      <font>
        <b val="1"/>
      </font>
      <numFmt numFmtId="319" formatCode="0.0%"/>
      <fill>
        <patternFill patternType="solid">
          <fgColor rgb="00F4F1EC"/>
          <bgColor rgb="00F4F1EC"/>
        </patternFill>
      </fill>
      <border>
        <bottom style="thin">
          <color rgb="00EFEBE4"/>
        </bottom>
      </border>
    </dxf>
    <dxf>
      <font>
        <b val="1"/>
      </font>
      <fill>
        <patternFill patternType="solid">
          <fgColor rgb="00F4F1EC"/>
          <bgColor rgb="00F4F1EC"/>
        </patternFill>
      </fill>
      <border>
        <bottom style="thin">
          <color rgb="00EFEBE4"/>
        </bottom>
      </border>
    </dxf>
    <dxf>
      <font>
        <b val="1"/>
        <color rgb="001E7A47"/>
      </font>
      <fill>
        <patternFill patternType="solid">
          <fgColor rgb="00EAF6EE"/>
          <bgColor rgb="00EAF6EE"/>
        </patternFill>
      </fill>
    </dxf>
    <dxf>
      <numFmt numFmtId="489" formatCode="+0.00&quot; pts&quot;;-0.00&quot; pts&quot;;0.00&quot; pts&quot;"/>
      <fill>
        <patternFill patternType="solid">
          <fgColor rgb="00CF7777"/>
          <bgColor rgb="00CF7777"/>
        </patternFill>
      </fill>
    </dxf>
    <dxf>
      <fill>
        <patternFill patternType="solid">
          <fgColor rgb="00CF7777"/>
          <bgColor rgb="00CF7777"/>
        </patternFill>
      </fill>
    </dxf>
    <dxf>
      <numFmt numFmtId="489" formatCode="+0.00&quot; pts&quot;;-0.00&quot; pts&quot;;0.00&quot; pts&quot;"/>
      <fill>
        <patternFill patternType="solid">
          <fgColor rgb="00E0A6A6"/>
          <bgColor rgb="00E0A6A6"/>
        </patternFill>
      </fill>
    </dxf>
    <dxf>
      <fill>
        <patternFill patternType="solid">
          <fgColor rgb="00E0A6A6"/>
          <bgColor rgb="00E0A6A6"/>
        </patternFill>
      </fill>
    </dxf>
    <dxf>
      <numFmt numFmtId="489" formatCode="+0.00&quot; pts&quot;;-0.00&quot; pts&quot;;0.00&quot; pts&quot;"/>
      <fill>
        <patternFill patternType="solid">
          <fgColor rgb="00EACBC9"/>
          <bgColor rgb="00EACBC9"/>
        </patternFill>
      </fill>
    </dxf>
    <dxf>
      <fill>
        <patternFill patternType="solid">
          <fgColor rgb="00EACBC9"/>
          <bgColor rgb="00EACBC9"/>
        </patternFill>
      </fill>
    </dxf>
    <dxf>
      <numFmt numFmtId="489" formatCode="+0.00&quot; pts&quot;;-0.00&quot; pts&quot;;0.00&quot; pts&quot;"/>
      <fill>
        <patternFill patternType="solid">
          <fgColor rgb="00BBD3BD"/>
          <bgColor rgb="00BBD3BD"/>
        </patternFill>
      </fill>
    </dxf>
    <dxf>
      <fill>
        <patternFill patternType="solid">
          <fgColor rgb="00BBD3BD"/>
          <bgColor rgb="00BBD3BD"/>
        </patternFill>
      </fill>
    </dxf>
    <dxf>
      <numFmt numFmtId="489" formatCode="+0.00&quot; pts&quot;;-0.00&quot; pts&quot;;0.00&quot; pts&quot;"/>
      <fill>
        <patternFill patternType="solid">
          <fgColor rgb="00D7E2D4"/>
          <bgColor rgb="00D7E2D4"/>
        </patternFill>
      </fill>
    </dxf>
    <dxf>
      <fill>
        <patternFill patternType="solid">
          <fgColor rgb="00D7E2D4"/>
          <bgColor rgb="00D7E2D4"/>
        </patternFill>
      </fill>
    </dxf>
    <dxf>
      <numFmt numFmtId="489" formatCode="+0.00&quot; pts&quot;;-0.00&quot; pts&quot;;0.00&quot; pts&quot;"/>
      <fill>
        <patternFill patternType="solid">
          <fgColor rgb="00F4F1EC"/>
          <bgColor rgb="00F4F1EC"/>
        </patternFill>
      </fill>
    </dxf>
    <dxf>
      <fill>
        <patternFill patternType="solid">
          <fgColor rgb="00F4F1EC"/>
          <bgColor rgb="00F4F1EC"/>
        </patternFill>
      </fill>
    </dxf>
    <dxf>
      <font>
        <b val="1"/>
      </font>
      <border>
        <bottom style="thin">
          <color rgb="00EFEBE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spPr>
            <a:ln w="19050">
              <a:solidFill>
                <a:srgbClr val="CC0000"/>
              </a:solidFill>
              <a:prstDash val="dash"/>
            </a:ln>
          </spPr>
          <marker>
            <symbol val="none"/>
            <spPr>
              <a:ln>
                <a:prstDash val="solid"/>
              </a:ln>
            </spPr>
          </marker>
          <xVal>
            <numRef>
              <f>'_look'!$K$4:$K$5</f>
            </numRef>
          </xVal>
          <yVal>
            <numRef>
              <f>'_look'!$L$4:$L$5</f>
            </numRef>
          </yVal>
          <smooth val="0"/>
        </ser>
        <ser>
          <idx val="2"/>
          <order val="2"/>
          <spPr>
            <a:ln w="19050">
              <a:solidFill>
                <a:srgbClr val="CC0000"/>
              </a:solidFill>
              <a:prstDash val="dash"/>
            </a:ln>
          </spPr>
          <marker>
            <symbol val="none"/>
            <spPr>
              <a:ln>
                <a:prstDash val="solid"/>
              </a:ln>
            </spPr>
          </marker>
          <xVal>
            <numRef>
              <f>'_look'!$K$6:$K$7</f>
            </numRef>
          </xVal>
          <yVal>
            <numRef>
              <f>'_look'!$L$6:$L$7</f>
            </numRef>
          </yVal>
          <smooth val="0"/>
        </ser>
        <ser>
          <idx val="3"/>
          <order val="3"/>
          <spPr>
            <a:ln w="19050">
              <a:solidFill>
                <a:srgbClr val="CC0000"/>
              </a:solidFill>
              <a:prstDash val="dash"/>
            </a:ln>
          </spPr>
          <marker>
            <symbol val="none"/>
            <spPr>
              <a:ln>
                <a:prstDash val="solid"/>
              </a:ln>
            </spPr>
          </marker>
          <xVal>
            <numRef>
              <f>'_look'!$K$8:$K$9</f>
            </numRef>
          </xVal>
          <yVal>
            <numRef>
              <f>'_look'!$L$8:$L$9</f>
            </numRef>
          </yVal>
          <smooth val="0"/>
        </ser>
        <ser>
          <idx val="4"/>
          <order val="4"/>
          <spPr>
            <a:ln w="19050">
              <a:solidFill>
                <a:srgbClr val="CC0000"/>
              </a:solidFill>
              <a:prstDash val="dash"/>
            </a:ln>
          </spPr>
          <marker>
            <symbol val="none"/>
            <spPr>
              <a:ln>
                <a:prstDash val="solid"/>
              </a:ln>
            </spPr>
          </marker>
          <xVal>
            <numRef>
              <f>'_look'!$K$10:$K$11</f>
            </numRef>
          </xVal>
          <yVal>
            <numRef>
              <f>'_look'!$L$10:$L$11</f>
            </numRef>
          </yVal>
          <smooth val="0"/>
        </ser>
        <ser>
          <idx val="5"/>
          <order val="5"/>
          <spPr>
            <a:ln w="19050">
              <a:solidFill>
                <a:srgbClr val="CC0000"/>
              </a:solidFill>
              <a:prstDash val="dash"/>
            </a:ln>
          </spPr>
          <marker>
            <symbol val="none"/>
            <spPr>
              <a:ln>
                <a:prstDash val="solid"/>
              </a:ln>
            </spPr>
          </marker>
          <xVal>
            <numRef>
              <f>'_look'!$K$12:$K$13</f>
            </numRef>
          </xVal>
          <yVal>
            <numRef>
              <f>'_look'!$L$12:$L$13</f>
            </numRef>
          </yVal>
          <smooth val="0"/>
        </ser>
        <ser>
          <idx val="6"/>
          <order val="6"/>
          <spPr>
            <a:ln w="19050">
              <a:solidFill>
                <a:srgbClr val="CC0000"/>
              </a:solidFill>
              <a:prstDash val="dash"/>
            </a:ln>
          </spPr>
          <marker>
            <symbol val="none"/>
            <spPr>
              <a:ln>
                <a:prstDash val="solid"/>
              </a:ln>
            </spPr>
          </marker>
          <xVal>
            <numRef>
              <f>'_look'!$K$14:$K$15</f>
            </numRef>
          </xVal>
          <yVal>
            <numRef>
              <f>'_look'!$L$14:$L$15</f>
            </numRef>
          </yVal>
          <smooth val="0"/>
        </ser>
        <ser>
          <idx val="7"/>
          <order val="7"/>
          <spPr>
            <a:ln w="19050">
              <a:solidFill>
                <a:srgbClr val="CC0000"/>
              </a:solidFill>
              <a:prstDash val="dash"/>
            </a:ln>
          </spPr>
          <marker>
            <symbol val="none"/>
            <spPr>
              <a:ln>
                <a:prstDash val="solid"/>
              </a:ln>
            </spPr>
          </marker>
          <xVal>
            <numRef>
              <f>'_look'!$K$16:$K$17</f>
            </numRef>
          </xVal>
          <yVal>
            <numRef>
              <f>'_look'!$L$16:$L$17</f>
            </numRef>
          </yVal>
          <smooth val="0"/>
        </ser>
        <ser>
          <idx val="8"/>
          <order val="8"/>
          <spPr>
            <a:ln w="19050">
              <a:solidFill>
                <a:srgbClr val="CC0000"/>
              </a:solidFill>
              <a:prstDash val="dash"/>
            </a:ln>
          </spPr>
          <marker>
            <symbol val="none"/>
            <spPr>
              <a:ln>
                <a:prstDash val="solid"/>
              </a:ln>
            </spPr>
          </marker>
          <xVal>
            <numRef>
              <f>'_look'!$K$18:$K$19</f>
            </numRef>
          </xVal>
          <yVal>
            <numRef>
              <f>'_look'!$L$18:$L$19</f>
            </numRef>
          </yVal>
          <smooth val="0"/>
        </ser>
        <ser>
          <idx val="9"/>
          <order val="9"/>
          <spPr>
            <a:ln w="19050">
              <a:solidFill>
                <a:srgbClr val="CC0000"/>
              </a:solidFill>
              <a:prstDash val="dash"/>
            </a:ln>
          </spPr>
          <marker>
            <symbol val="none"/>
            <spPr>
              <a:ln>
                <a:prstDash val="solid"/>
              </a:ln>
            </spPr>
          </marker>
          <xVal>
            <numRef>
              <f>'_look'!$K$20:$K$21</f>
            </numRef>
          </xVal>
          <yVal>
            <numRef>
              <f>'_look'!$L$20:$L$21</f>
            </numRef>
          </yVal>
          <smooth val="0"/>
        </ser>
        <ser>
          <idx val="10"/>
          <order val="10"/>
          <spPr>
            <a:ln w="19050">
              <a:solidFill>
                <a:srgbClr val="CC0000"/>
              </a:solidFill>
              <a:prstDash val="dash"/>
            </a:ln>
          </spPr>
          <marker>
            <symbol val="none"/>
            <spPr>
              <a:ln>
                <a:prstDash val="solid"/>
              </a:ln>
            </spPr>
          </marker>
          <xVal>
            <numRef>
              <f>'_look'!$K$22:$K$23</f>
            </numRef>
          </xVal>
          <yVal>
            <numRef>
              <f>'_look'!$L$22:$L$23</f>
            </numRef>
          </yVal>
          <smooth val="0"/>
        </ser>
        <ser>
          <idx val="11"/>
          <order val="11"/>
          <spPr>
            <a:ln w="19050">
              <a:solidFill>
                <a:srgbClr val="CC0000"/>
              </a:solidFill>
              <a:prstDash val="dash"/>
            </a:ln>
          </spPr>
          <marker>
            <symbol val="none"/>
            <spPr>
              <a:ln>
                <a:prstDash val="solid"/>
              </a:ln>
            </spPr>
          </marker>
          <xVal>
            <numRef>
              <f>'_look'!$K$24:$K$25</f>
            </numRef>
          </xVal>
          <yVal>
            <numRef>
              <f>'_look'!$L$24:$L$25</f>
            </numRef>
          </yVal>
          <smooth val="0"/>
        </ser>
        <ser>
          <idx val="12"/>
          <order val="12"/>
          <spPr>
            <a:ln w="19050">
              <a:solidFill>
                <a:srgbClr val="CC0000"/>
              </a:solidFill>
              <a:prstDash val="dash"/>
            </a:ln>
          </spPr>
          <marker>
            <symbol val="none"/>
            <spPr>
              <a:ln>
                <a:prstDash val="solid"/>
              </a:ln>
            </spPr>
          </marker>
          <xVal>
            <numRef>
              <f>'_look'!$K$26:$K$27</f>
            </numRef>
          </xVal>
          <yVal>
            <numRef>
              <f>'_look'!$L$26:$L$27</f>
            </numRef>
          </yVal>
          <smooth val="0"/>
        </ser>
        <ser>
          <idx val="13"/>
          <order val="13"/>
          <spPr>
            <a:ln w="19050">
              <a:solidFill>
                <a:srgbClr val="CC0000"/>
              </a:solidFill>
              <a:prstDash val="dash"/>
            </a:ln>
          </spPr>
          <marker>
            <symbol val="none"/>
            <spPr>
              <a:ln>
                <a:prstDash val="solid"/>
              </a:ln>
            </spPr>
          </marker>
          <xVal>
            <numRef>
              <f>'_look'!$K$28:$K$29</f>
            </numRef>
          </xVal>
          <yVal>
            <numRef>
              <f>'_look'!$L$28:$L$29</f>
            </numRef>
          </yVal>
          <smooth val="0"/>
        </ser>
        <ser>
          <idx val="14"/>
          <order val="14"/>
          <spPr>
            <a:ln w="19050">
              <a:solidFill>
                <a:srgbClr val="CC0000"/>
              </a:solidFill>
              <a:prstDash val="dash"/>
            </a:ln>
          </spPr>
          <marker>
            <symbol val="none"/>
            <spPr>
              <a:ln>
                <a:prstDash val="solid"/>
              </a:ln>
            </spPr>
          </marker>
          <xVal>
            <numRef>
              <f>'_look'!$K$30:$K$31</f>
            </numRef>
          </xVal>
          <yVal>
            <numRef>
              <f>'_look'!$L$30:$L$31</f>
            </numRef>
          </yVal>
          <smooth val="0"/>
        </ser>
        <ser>
          <idx val="15"/>
          <order val="15"/>
          <spPr>
            <a:ln w="19050">
              <a:solidFill>
                <a:srgbClr val="CC0000"/>
              </a:solidFill>
              <a:prstDash val="dash"/>
            </a:ln>
          </spPr>
          <marker>
            <symbol val="none"/>
            <spPr>
              <a:ln>
                <a:prstDash val="solid"/>
              </a:ln>
            </spPr>
          </marker>
          <xVal>
            <numRef>
              <f>'_look'!$K$32:$K$33</f>
            </numRef>
          </xVal>
          <yVal>
            <numRef>
              <f>'_look'!$L$32:$L$33</f>
            </numRef>
          </yVal>
          <smooth val="0"/>
        </ser>
        <ser>
          <idx val="16"/>
          <order val="16"/>
          <spPr>
            <a:ln w="19050">
              <a:solidFill>
                <a:srgbClr val="CC0000"/>
              </a:solidFill>
              <a:prstDash val="dash"/>
            </a:ln>
          </spPr>
          <marker>
            <symbol val="none"/>
            <spPr>
              <a:ln>
                <a:prstDash val="solid"/>
              </a:ln>
            </spPr>
          </marker>
          <xVal>
            <numRef>
              <f>'_look'!$K$34:$K$35</f>
            </numRef>
          </xVal>
          <yVal>
            <numRef>
              <f>'_look'!$L$34:$L$35</f>
            </numRef>
          </yVal>
          <smooth val="0"/>
        </ser>
        <ser>
          <idx val="17"/>
          <order val="17"/>
          <spPr>
            <a:ln w="19050">
              <a:solidFill>
                <a:srgbClr val="CC0000"/>
              </a:solidFill>
              <a:prstDash val="dash"/>
            </a:ln>
          </spPr>
          <marker>
            <symbol val="none"/>
            <spPr>
              <a:ln>
                <a:prstDash val="solid"/>
              </a:ln>
            </spPr>
          </marker>
          <xVal>
            <numRef>
              <f>'_look'!$K$36:$K$37</f>
            </numRef>
          </xVal>
          <yVal>
            <numRef>
              <f>'_look'!$L$36:$L$37</f>
            </numRef>
          </yVal>
          <smooth val="0"/>
        </ser>
        <ser>
          <idx val="18"/>
          <order val="18"/>
          <spPr>
            <a:ln w="19050">
              <a:solidFill>
                <a:srgbClr val="CC0000"/>
              </a:solidFill>
              <a:prstDash val="dash"/>
            </a:ln>
          </spPr>
          <marker>
            <symbol val="none"/>
            <spPr>
              <a:ln>
                <a:prstDash val="solid"/>
              </a:ln>
            </spPr>
          </marker>
          <xVal>
            <numRef>
              <f>'_look'!$K$38:$K$39</f>
            </numRef>
          </xVal>
          <yVal>
            <numRef>
              <f>'_look'!$L$38:$L$39</f>
            </numRef>
          </yVal>
          <smooth val="0"/>
        </ser>
        <ser>
          <idx val="19"/>
          <order val="19"/>
          <spPr>
            <a:ln w="19050">
              <a:solidFill>
                <a:srgbClr val="CC0000"/>
              </a:solidFill>
              <a:prstDash val="dash"/>
            </a:ln>
          </spPr>
          <marker>
            <symbol val="none"/>
            <spPr>
              <a:ln>
                <a:prstDash val="solid"/>
              </a:ln>
            </spPr>
          </marker>
          <xVal>
            <numRef>
              <f>'_look'!$K$40:$K$41</f>
            </numRef>
          </xVal>
          <yVal>
            <numRef>
              <f>'_look'!$L$40:$L$41</f>
            </numRef>
          </yVal>
          <smooth val="0"/>
        </ser>
        <ser>
          <idx val="20"/>
          <order val="20"/>
          <spPr>
            <a:ln w="19050">
              <a:solidFill>
                <a:srgbClr val="CC0000"/>
              </a:solidFill>
              <a:prstDash val="dash"/>
            </a:ln>
          </spPr>
          <marker>
            <symbol val="none"/>
            <spPr>
              <a:ln>
                <a:prstDash val="solid"/>
              </a:ln>
            </spPr>
          </marker>
          <xVal>
            <numRef>
              <f>'_look'!$K$42:$K$43</f>
            </numRef>
          </xVal>
          <yVal>
            <numRef>
              <f>'_look'!$L$42:$L$43</f>
            </numRef>
          </yVal>
          <smooth val="0"/>
        </ser>
        <ser>
          <idx val="21"/>
          <order val="21"/>
          <spPr>
            <a:ln w="19050">
              <a:solidFill>
                <a:srgbClr val="CC0000"/>
              </a:solidFill>
              <a:prstDash val="dash"/>
            </a:ln>
          </spPr>
          <marker>
            <symbol val="none"/>
            <spPr>
              <a:ln>
                <a:prstDash val="solid"/>
              </a:ln>
            </spPr>
          </marker>
          <xVal>
            <numRef>
              <f>'_look'!$K$44:$K$45</f>
            </numRef>
          </xVal>
          <yVal>
            <numRef>
              <f>'_look'!$L$44:$L$45</f>
            </numRef>
          </yVal>
          <smooth val="0"/>
        </ser>
        <ser>
          <idx val="22"/>
          <order val="22"/>
          <spPr>
            <a:ln w="19050">
              <a:solidFill>
                <a:srgbClr val="CC0000"/>
              </a:solidFill>
              <a:prstDash val="dash"/>
            </a:ln>
          </spPr>
          <marker>
            <symbol val="none"/>
            <spPr>
              <a:ln>
                <a:prstDash val="solid"/>
              </a:ln>
            </spPr>
          </marker>
          <xVal>
            <numRef>
              <f>'_look'!$K$46:$K$47</f>
            </numRef>
          </xVal>
          <yVal>
            <numRef>
              <f>'_look'!$L$46:$L$47</f>
            </numRef>
          </yVal>
          <smooth val="0"/>
        </ser>
        <ser>
          <idx val="23"/>
          <order val="23"/>
          <spPr>
            <a:ln w="19050">
              <a:solidFill>
                <a:srgbClr val="CC0000"/>
              </a:solidFill>
              <a:prstDash val="dash"/>
            </a:ln>
          </spPr>
          <marker>
            <symbol val="none"/>
            <spPr>
              <a:ln>
                <a:prstDash val="solid"/>
              </a:ln>
            </spPr>
          </marker>
          <xVal>
            <numRef>
              <f>'_look'!$K$48:$K$49</f>
            </numRef>
          </xVal>
          <yVal>
            <numRef>
              <f>'_look'!$L$48:$L$49</f>
            </numRef>
          </yVal>
          <smooth val="0"/>
        </ser>
        <ser>
          <idx val="24"/>
          <order val="24"/>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spPr>
            <a:ln w="19050">
              <a:solidFill>
                <a:srgbClr val="CC0000"/>
              </a:solidFill>
              <a:prstDash val="dash"/>
            </a:ln>
          </spPr>
          <marker>
            <symbol val="none"/>
            <spPr>
              <a:ln>
                <a:prstDash val="solid"/>
              </a:ln>
            </spPr>
          </marker>
          <xVal>
            <numRef>
              <f>'_look'!$X$4:$X$5</f>
            </numRef>
          </xVal>
          <yVal>
            <numRef>
              <f>'_look'!$Y$4:$Y$5</f>
            </numRef>
          </yVal>
          <smooth val="0"/>
        </ser>
        <ser>
          <idx val="2"/>
          <order val="2"/>
          <spPr>
            <a:ln w="19050">
              <a:solidFill>
                <a:srgbClr val="CC0000"/>
              </a:solidFill>
              <a:prstDash val="dash"/>
            </a:ln>
          </spPr>
          <marker>
            <symbol val="none"/>
            <spPr>
              <a:ln>
                <a:prstDash val="solid"/>
              </a:ln>
            </spPr>
          </marker>
          <xVal>
            <numRef>
              <f>'_look'!$X$6:$X$7</f>
            </numRef>
          </xVal>
          <yVal>
            <numRef>
              <f>'_look'!$Y$6:$Y$7</f>
            </numRef>
          </yVal>
          <smooth val="0"/>
        </ser>
        <ser>
          <idx val="3"/>
          <order val="3"/>
          <spPr>
            <a:ln w="19050">
              <a:solidFill>
                <a:srgbClr val="CC0000"/>
              </a:solidFill>
              <a:prstDash val="dash"/>
            </a:ln>
          </spPr>
          <marker>
            <symbol val="none"/>
            <spPr>
              <a:ln>
                <a:prstDash val="solid"/>
              </a:ln>
            </spPr>
          </marker>
          <xVal>
            <numRef>
              <f>'_look'!$X$8:$X$9</f>
            </numRef>
          </xVal>
          <yVal>
            <numRef>
              <f>'_look'!$Y$8:$Y$9</f>
            </numRef>
          </yVal>
          <smooth val="0"/>
        </ser>
        <ser>
          <idx val="4"/>
          <order val="4"/>
          <spPr>
            <a:ln w="19050">
              <a:solidFill>
                <a:srgbClr val="CC0000"/>
              </a:solidFill>
              <a:prstDash val="dash"/>
            </a:ln>
          </spPr>
          <marker>
            <symbol val="none"/>
            <spPr>
              <a:ln>
                <a:prstDash val="solid"/>
              </a:ln>
            </spPr>
          </marker>
          <xVal>
            <numRef>
              <f>'_look'!$X$10:$X$11</f>
            </numRef>
          </xVal>
          <yVal>
            <numRef>
              <f>'_look'!$Y$10:$Y$11</f>
            </numRef>
          </yVal>
          <smooth val="0"/>
        </ser>
        <ser>
          <idx val="5"/>
          <order val="5"/>
          <spPr>
            <a:ln w="19050">
              <a:solidFill>
                <a:srgbClr val="CC0000"/>
              </a:solidFill>
              <a:prstDash val="dash"/>
            </a:ln>
          </spPr>
          <marker>
            <symbol val="none"/>
            <spPr>
              <a:ln>
                <a:prstDash val="solid"/>
              </a:ln>
            </spPr>
          </marker>
          <xVal>
            <numRef>
              <f>'_look'!$X$12:$X$13</f>
            </numRef>
          </xVal>
          <yVal>
            <numRef>
              <f>'_look'!$Y$12:$Y$13</f>
            </numRef>
          </yVal>
          <smooth val="0"/>
        </ser>
        <ser>
          <idx val="6"/>
          <order val="6"/>
          <spPr>
            <a:ln w="19050">
              <a:solidFill>
                <a:srgbClr val="CC0000"/>
              </a:solidFill>
              <a:prstDash val="dash"/>
            </a:ln>
          </spPr>
          <marker>
            <symbol val="none"/>
            <spPr>
              <a:ln>
                <a:prstDash val="solid"/>
              </a:ln>
            </spPr>
          </marker>
          <xVal>
            <numRef>
              <f>'_look'!$X$14:$X$15</f>
            </numRef>
          </xVal>
          <yVal>
            <numRef>
              <f>'_look'!$Y$14:$Y$15</f>
            </numRef>
          </yVal>
          <smooth val="0"/>
        </ser>
        <ser>
          <idx val="7"/>
          <order val="7"/>
          <spPr>
            <a:ln w="19050">
              <a:solidFill>
                <a:srgbClr val="CC0000"/>
              </a:solidFill>
              <a:prstDash val="dash"/>
            </a:ln>
          </spPr>
          <marker>
            <symbol val="none"/>
            <spPr>
              <a:ln>
                <a:prstDash val="solid"/>
              </a:ln>
            </spPr>
          </marker>
          <xVal>
            <numRef>
              <f>'_look'!$X$16:$X$17</f>
            </numRef>
          </xVal>
          <yVal>
            <numRef>
              <f>'_look'!$Y$16:$Y$17</f>
            </numRef>
          </yVal>
          <smooth val="0"/>
        </ser>
        <ser>
          <idx val="8"/>
          <order val="8"/>
          <spPr>
            <a:ln w="19050">
              <a:solidFill>
                <a:srgbClr val="CC0000"/>
              </a:solidFill>
              <a:prstDash val="dash"/>
            </a:ln>
          </spPr>
          <marker>
            <symbol val="none"/>
            <spPr>
              <a:ln>
                <a:prstDash val="solid"/>
              </a:ln>
            </spPr>
          </marker>
          <xVal>
            <numRef>
              <f>'_look'!$X$18:$X$19</f>
            </numRef>
          </xVal>
          <yVal>
            <numRef>
              <f>'_look'!$Y$18:$Y$19</f>
            </numRef>
          </yVal>
          <smooth val="0"/>
        </ser>
        <ser>
          <idx val="9"/>
          <order val="9"/>
          <spPr>
            <a:ln w="19050">
              <a:solidFill>
                <a:srgbClr val="CC0000"/>
              </a:solidFill>
              <a:prstDash val="dash"/>
            </a:ln>
          </spPr>
          <marker>
            <symbol val="none"/>
            <spPr>
              <a:ln>
                <a:prstDash val="solid"/>
              </a:ln>
            </spPr>
          </marker>
          <xVal>
            <numRef>
              <f>'_look'!$X$20:$X$21</f>
            </numRef>
          </xVal>
          <yVal>
            <numRef>
              <f>'_look'!$Y$20:$Y$21</f>
            </numRef>
          </yVal>
          <smooth val="0"/>
        </ser>
        <ser>
          <idx val="10"/>
          <order val="10"/>
          <spPr>
            <a:ln w="19050">
              <a:solidFill>
                <a:srgbClr val="CC0000"/>
              </a:solidFill>
              <a:prstDash val="dash"/>
            </a:ln>
          </spPr>
          <marker>
            <symbol val="none"/>
            <spPr>
              <a:ln>
                <a:prstDash val="solid"/>
              </a:ln>
            </spPr>
          </marker>
          <xVal>
            <numRef>
              <f>'_look'!$X$22:$X$23</f>
            </numRef>
          </xVal>
          <yVal>
            <numRef>
              <f>'_look'!$Y$22:$Y$23</f>
            </numRef>
          </yVal>
          <smooth val="0"/>
        </ser>
        <ser>
          <idx val="11"/>
          <order val="11"/>
          <spPr>
            <a:ln w="19050">
              <a:solidFill>
                <a:srgbClr val="CC0000"/>
              </a:solidFill>
              <a:prstDash val="dash"/>
            </a:ln>
          </spPr>
          <marker>
            <symbol val="none"/>
            <spPr>
              <a:ln>
                <a:prstDash val="solid"/>
              </a:ln>
            </spPr>
          </marker>
          <xVal>
            <numRef>
              <f>'_look'!$X$24:$X$25</f>
            </numRef>
          </xVal>
          <yVal>
            <numRef>
              <f>'_look'!$Y$24:$Y$25</f>
            </numRef>
          </yVal>
          <smooth val="0"/>
        </ser>
        <ser>
          <idx val="12"/>
          <order val="12"/>
          <spPr>
            <a:ln w="19050">
              <a:solidFill>
                <a:srgbClr val="CC0000"/>
              </a:solidFill>
              <a:prstDash val="dash"/>
            </a:ln>
          </spPr>
          <marker>
            <symbol val="none"/>
            <spPr>
              <a:ln>
                <a:prstDash val="solid"/>
              </a:ln>
            </spPr>
          </marker>
          <xVal>
            <numRef>
              <f>'_look'!$X$26:$X$27</f>
            </numRef>
          </xVal>
          <yVal>
            <numRef>
              <f>'_look'!$Y$26:$Y$27</f>
            </numRef>
          </yVal>
          <smooth val="0"/>
        </ser>
        <ser>
          <idx val="13"/>
          <order val="13"/>
          <spPr>
            <a:ln w="19050">
              <a:solidFill>
                <a:srgbClr val="CC0000"/>
              </a:solidFill>
              <a:prstDash val="dash"/>
            </a:ln>
          </spPr>
          <marker>
            <symbol val="none"/>
            <spPr>
              <a:ln>
                <a:prstDash val="solid"/>
              </a:ln>
            </spPr>
          </marker>
          <xVal>
            <numRef>
              <f>'_look'!$X$28:$X$29</f>
            </numRef>
          </xVal>
          <yVal>
            <numRef>
              <f>'_look'!$Y$28:$Y$29</f>
            </numRef>
          </yVal>
          <smooth val="0"/>
        </ser>
        <ser>
          <idx val="14"/>
          <order val="14"/>
          <spPr>
            <a:ln w="19050">
              <a:solidFill>
                <a:srgbClr val="CC0000"/>
              </a:solidFill>
              <a:prstDash val="dash"/>
            </a:ln>
          </spPr>
          <marker>
            <symbol val="none"/>
            <spPr>
              <a:ln>
                <a:prstDash val="solid"/>
              </a:ln>
            </spPr>
          </marker>
          <xVal>
            <numRef>
              <f>'_look'!$X$30:$X$31</f>
            </numRef>
          </xVal>
          <yVal>
            <numRef>
              <f>'_look'!$Y$30:$Y$31</f>
            </numRef>
          </yVal>
          <smooth val="0"/>
        </ser>
        <ser>
          <idx val="15"/>
          <order val="15"/>
          <spPr>
            <a:ln w="19050">
              <a:solidFill>
                <a:srgbClr val="CC0000"/>
              </a:solidFill>
              <a:prstDash val="dash"/>
            </a:ln>
          </spPr>
          <marker>
            <symbol val="none"/>
            <spPr>
              <a:ln>
                <a:prstDash val="solid"/>
              </a:ln>
            </spPr>
          </marker>
          <xVal>
            <numRef>
              <f>'_look'!$X$32:$X$33</f>
            </numRef>
          </xVal>
          <yVal>
            <numRef>
              <f>'_look'!$Y$32:$Y$33</f>
            </numRef>
          </yVal>
          <smooth val="0"/>
        </ser>
        <ser>
          <idx val="16"/>
          <order val="16"/>
          <spPr>
            <a:ln w="19050">
              <a:solidFill>
                <a:srgbClr val="CC0000"/>
              </a:solidFill>
              <a:prstDash val="dash"/>
            </a:ln>
          </spPr>
          <marker>
            <symbol val="none"/>
            <spPr>
              <a:ln>
                <a:prstDash val="solid"/>
              </a:ln>
            </spPr>
          </marker>
          <xVal>
            <numRef>
              <f>'_look'!$X$34:$X$35</f>
            </numRef>
          </xVal>
          <yVal>
            <numRef>
              <f>'_look'!$Y$34:$Y$35</f>
            </numRef>
          </yVal>
          <smooth val="0"/>
        </ser>
        <ser>
          <idx val="17"/>
          <order val="17"/>
          <spPr>
            <a:ln w="19050">
              <a:solidFill>
                <a:srgbClr val="CC0000"/>
              </a:solidFill>
              <a:prstDash val="dash"/>
            </a:ln>
          </spPr>
          <marker>
            <symbol val="none"/>
            <spPr>
              <a:ln>
                <a:prstDash val="solid"/>
              </a:ln>
            </spPr>
          </marker>
          <xVal>
            <numRef>
              <f>'_look'!$X$36:$X$37</f>
            </numRef>
          </xVal>
          <yVal>
            <numRef>
              <f>'_look'!$Y$36:$Y$37</f>
            </numRef>
          </yVal>
          <smooth val="0"/>
        </ser>
        <ser>
          <idx val="18"/>
          <order val="18"/>
          <spPr>
            <a:ln w="19050">
              <a:solidFill>
                <a:srgbClr val="CC0000"/>
              </a:solidFill>
              <a:prstDash val="dash"/>
            </a:ln>
          </spPr>
          <marker>
            <symbol val="none"/>
            <spPr>
              <a:ln>
                <a:prstDash val="solid"/>
              </a:ln>
            </spPr>
          </marker>
          <xVal>
            <numRef>
              <f>'_look'!$X$38:$X$39</f>
            </numRef>
          </xVal>
          <yVal>
            <numRef>
              <f>'_look'!$Y$38:$Y$39</f>
            </numRef>
          </yVal>
          <smooth val="0"/>
        </ser>
        <ser>
          <idx val="19"/>
          <order val="19"/>
          <spPr>
            <a:ln w="19050">
              <a:solidFill>
                <a:srgbClr val="CC0000"/>
              </a:solidFill>
              <a:prstDash val="dash"/>
            </a:ln>
          </spPr>
          <marker>
            <symbol val="none"/>
            <spPr>
              <a:ln>
                <a:prstDash val="solid"/>
              </a:ln>
            </spPr>
          </marker>
          <xVal>
            <numRef>
              <f>'_look'!$X$40:$X$41</f>
            </numRef>
          </xVal>
          <yVal>
            <numRef>
              <f>'_look'!$Y$40:$Y$41</f>
            </numRef>
          </yVal>
          <smooth val="0"/>
        </ser>
        <ser>
          <idx val="20"/>
          <order val="20"/>
          <spPr>
            <a:ln w="19050">
              <a:solidFill>
                <a:srgbClr val="CC0000"/>
              </a:solidFill>
              <a:prstDash val="dash"/>
            </a:ln>
          </spPr>
          <marker>
            <symbol val="none"/>
            <spPr>
              <a:ln>
                <a:prstDash val="solid"/>
              </a:ln>
            </spPr>
          </marker>
          <xVal>
            <numRef>
              <f>'_look'!$X$42:$X$43</f>
            </numRef>
          </xVal>
          <yVal>
            <numRef>
              <f>'_look'!$Y$42:$Y$43</f>
            </numRef>
          </yVal>
          <smooth val="0"/>
        </ser>
        <ser>
          <idx val="21"/>
          <order val="21"/>
          <spPr>
            <a:ln w="19050">
              <a:solidFill>
                <a:srgbClr val="CC0000"/>
              </a:solidFill>
              <a:prstDash val="dash"/>
            </a:ln>
          </spPr>
          <marker>
            <symbol val="none"/>
            <spPr>
              <a:ln>
                <a:prstDash val="solid"/>
              </a:ln>
            </spPr>
          </marker>
          <xVal>
            <numRef>
              <f>'_look'!$X$44:$X$45</f>
            </numRef>
          </xVal>
          <yVal>
            <numRef>
              <f>'_look'!$Y$44:$Y$45</f>
            </numRef>
          </yVal>
          <smooth val="0"/>
        </ser>
        <ser>
          <idx val="22"/>
          <order val="22"/>
          <spPr>
            <a:ln w="19050">
              <a:solidFill>
                <a:srgbClr val="CC0000"/>
              </a:solidFill>
              <a:prstDash val="dash"/>
            </a:ln>
          </spPr>
          <marker>
            <symbol val="none"/>
            <spPr>
              <a:ln>
                <a:prstDash val="solid"/>
              </a:ln>
            </spPr>
          </marker>
          <xVal>
            <numRef>
              <f>'_look'!$X$46:$X$47</f>
            </numRef>
          </xVal>
          <yVal>
            <numRef>
              <f>'_look'!$Y$46:$Y$47</f>
            </numRef>
          </yVal>
          <smooth val="0"/>
        </ser>
        <ser>
          <idx val="23"/>
          <order val="23"/>
          <spPr>
            <a:ln w="19050">
              <a:solidFill>
                <a:srgbClr val="CC0000"/>
              </a:solidFill>
              <a:prstDash val="dash"/>
            </a:ln>
          </spPr>
          <marker>
            <symbol val="none"/>
            <spPr>
              <a:ln>
                <a:prstDash val="solid"/>
              </a:ln>
            </spPr>
          </marker>
          <xVal>
            <numRef>
              <f>'_look'!$X$48:$X$49</f>
            </numRef>
          </xVal>
          <yVal>
            <numRef>
              <f>'_look'!$Y$48:$Y$49</f>
            </numRef>
          </yVal>
          <smooth val="0"/>
        </ser>
        <ser>
          <idx val="24"/>
          <order val="24"/>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spPr>
            <a:ln w="19050">
              <a:solidFill>
                <a:srgbClr val="CC0000"/>
              </a:solidFill>
              <a:prstDash val="dash"/>
            </a:ln>
          </spPr>
          <marker>
            <symbol val="none"/>
            <spPr>
              <a:ln>
                <a:prstDash val="solid"/>
              </a:ln>
            </spPr>
          </marker>
          <xVal>
            <numRef>
              <f>'_look'!$AK$4:$AK$5</f>
            </numRef>
          </xVal>
          <yVal>
            <numRef>
              <f>'_look'!$AL$4:$AL$5</f>
            </numRef>
          </yVal>
          <smooth val="0"/>
        </ser>
        <ser>
          <idx val="2"/>
          <order val="2"/>
          <spPr>
            <a:ln w="19050">
              <a:solidFill>
                <a:srgbClr val="CC0000"/>
              </a:solidFill>
              <a:prstDash val="dash"/>
            </a:ln>
          </spPr>
          <marker>
            <symbol val="none"/>
            <spPr>
              <a:ln>
                <a:prstDash val="solid"/>
              </a:ln>
            </spPr>
          </marker>
          <xVal>
            <numRef>
              <f>'_look'!$AK$6:$AK$7</f>
            </numRef>
          </xVal>
          <yVal>
            <numRef>
              <f>'_look'!$AL$6:$AL$7</f>
            </numRef>
          </yVal>
          <smooth val="0"/>
        </ser>
        <ser>
          <idx val="3"/>
          <order val="3"/>
          <spPr>
            <a:ln w="19050">
              <a:solidFill>
                <a:srgbClr val="CC0000"/>
              </a:solidFill>
              <a:prstDash val="dash"/>
            </a:ln>
          </spPr>
          <marker>
            <symbol val="none"/>
            <spPr>
              <a:ln>
                <a:prstDash val="solid"/>
              </a:ln>
            </spPr>
          </marker>
          <xVal>
            <numRef>
              <f>'_look'!$AK$8:$AK$9</f>
            </numRef>
          </xVal>
          <yVal>
            <numRef>
              <f>'_look'!$AL$8:$AL$9</f>
            </numRef>
          </yVal>
          <smooth val="0"/>
        </ser>
        <ser>
          <idx val="4"/>
          <order val="4"/>
          <spPr>
            <a:ln w="19050">
              <a:solidFill>
                <a:srgbClr val="CC0000"/>
              </a:solidFill>
              <a:prstDash val="dash"/>
            </a:ln>
          </spPr>
          <marker>
            <symbol val="none"/>
            <spPr>
              <a:ln>
                <a:prstDash val="solid"/>
              </a:ln>
            </spPr>
          </marker>
          <xVal>
            <numRef>
              <f>'_look'!$AK$10:$AK$11</f>
            </numRef>
          </xVal>
          <yVal>
            <numRef>
              <f>'_look'!$AL$10:$AL$11</f>
            </numRef>
          </yVal>
          <smooth val="0"/>
        </ser>
        <ser>
          <idx val="5"/>
          <order val="5"/>
          <spPr>
            <a:ln w="19050">
              <a:solidFill>
                <a:srgbClr val="CC0000"/>
              </a:solidFill>
              <a:prstDash val="dash"/>
            </a:ln>
          </spPr>
          <marker>
            <symbol val="none"/>
            <spPr>
              <a:ln>
                <a:prstDash val="solid"/>
              </a:ln>
            </spPr>
          </marker>
          <xVal>
            <numRef>
              <f>'_look'!$AK$12:$AK$13</f>
            </numRef>
          </xVal>
          <yVal>
            <numRef>
              <f>'_look'!$AL$12:$AL$13</f>
            </numRef>
          </yVal>
          <smooth val="0"/>
        </ser>
        <ser>
          <idx val="6"/>
          <order val="6"/>
          <spPr>
            <a:ln w="19050">
              <a:solidFill>
                <a:srgbClr val="CC0000"/>
              </a:solidFill>
              <a:prstDash val="dash"/>
            </a:ln>
          </spPr>
          <marker>
            <symbol val="none"/>
            <spPr>
              <a:ln>
                <a:prstDash val="solid"/>
              </a:ln>
            </spPr>
          </marker>
          <xVal>
            <numRef>
              <f>'_look'!$AK$14:$AK$15</f>
            </numRef>
          </xVal>
          <yVal>
            <numRef>
              <f>'_look'!$AL$14:$AL$15</f>
            </numRef>
          </yVal>
          <smooth val="0"/>
        </ser>
        <ser>
          <idx val="7"/>
          <order val="7"/>
          <spPr>
            <a:ln w="19050">
              <a:solidFill>
                <a:srgbClr val="CC0000"/>
              </a:solidFill>
              <a:prstDash val="dash"/>
            </a:ln>
          </spPr>
          <marker>
            <symbol val="none"/>
            <spPr>
              <a:ln>
                <a:prstDash val="solid"/>
              </a:ln>
            </spPr>
          </marker>
          <xVal>
            <numRef>
              <f>'_look'!$AK$16:$AK$17</f>
            </numRef>
          </xVal>
          <yVal>
            <numRef>
              <f>'_look'!$AL$16:$AL$17</f>
            </numRef>
          </yVal>
          <smooth val="0"/>
        </ser>
        <ser>
          <idx val="8"/>
          <order val="8"/>
          <spPr>
            <a:ln w="19050">
              <a:solidFill>
                <a:srgbClr val="CC0000"/>
              </a:solidFill>
              <a:prstDash val="dash"/>
            </a:ln>
          </spPr>
          <marker>
            <symbol val="none"/>
            <spPr>
              <a:ln>
                <a:prstDash val="solid"/>
              </a:ln>
            </spPr>
          </marker>
          <xVal>
            <numRef>
              <f>'_look'!$AK$18:$AK$19</f>
            </numRef>
          </xVal>
          <yVal>
            <numRef>
              <f>'_look'!$AL$18:$AL$19</f>
            </numRef>
          </yVal>
          <smooth val="0"/>
        </ser>
        <ser>
          <idx val="9"/>
          <order val="9"/>
          <spPr>
            <a:ln w="19050">
              <a:solidFill>
                <a:srgbClr val="CC0000"/>
              </a:solidFill>
              <a:prstDash val="dash"/>
            </a:ln>
          </spPr>
          <marker>
            <symbol val="none"/>
            <spPr>
              <a:ln>
                <a:prstDash val="solid"/>
              </a:ln>
            </spPr>
          </marker>
          <xVal>
            <numRef>
              <f>'_look'!$AK$20:$AK$21</f>
            </numRef>
          </xVal>
          <yVal>
            <numRef>
              <f>'_look'!$AL$20:$AL$21</f>
            </numRef>
          </yVal>
          <smooth val="0"/>
        </ser>
        <ser>
          <idx val="10"/>
          <order val="10"/>
          <spPr>
            <a:ln w="19050">
              <a:solidFill>
                <a:srgbClr val="CC0000"/>
              </a:solidFill>
              <a:prstDash val="dash"/>
            </a:ln>
          </spPr>
          <marker>
            <symbol val="none"/>
            <spPr>
              <a:ln>
                <a:prstDash val="solid"/>
              </a:ln>
            </spPr>
          </marker>
          <xVal>
            <numRef>
              <f>'_look'!$AK$22:$AK$23</f>
            </numRef>
          </xVal>
          <yVal>
            <numRef>
              <f>'_look'!$AL$22:$AL$23</f>
            </numRef>
          </yVal>
          <smooth val="0"/>
        </ser>
        <ser>
          <idx val="11"/>
          <order val="11"/>
          <spPr>
            <a:ln w="19050">
              <a:solidFill>
                <a:srgbClr val="CC0000"/>
              </a:solidFill>
              <a:prstDash val="dash"/>
            </a:ln>
          </spPr>
          <marker>
            <symbol val="none"/>
            <spPr>
              <a:ln>
                <a:prstDash val="solid"/>
              </a:ln>
            </spPr>
          </marker>
          <xVal>
            <numRef>
              <f>'_look'!$AK$24:$AK$25</f>
            </numRef>
          </xVal>
          <yVal>
            <numRef>
              <f>'_look'!$AL$24:$AL$25</f>
            </numRef>
          </yVal>
          <smooth val="0"/>
        </ser>
        <ser>
          <idx val="12"/>
          <order val="12"/>
          <spPr>
            <a:ln w="19050">
              <a:solidFill>
                <a:srgbClr val="CC0000"/>
              </a:solidFill>
              <a:prstDash val="dash"/>
            </a:ln>
          </spPr>
          <marker>
            <symbol val="none"/>
            <spPr>
              <a:ln>
                <a:prstDash val="solid"/>
              </a:ln>
            </spPr>
          </marker>
          <xVal>
            <numRef>
              <f>'_look'!$AK$26:$AK$27</f>
            </numRef>
          </xVal>
          <yVal>
            <numRef>
              <f>'_look'!$AL$26:$AL$27</f>
            </numRef>
          </yVal>
          <smooth val="0"/>
        </ser>
        <ser>
          <idx val="13"/>
          <order val="13"/>
          <spPr>
            <a:ln w="19050">
              <a:solidFill>
                <a:srgbClr val="CC0000"/>
              </a:solidFill>
              <a:prstDash val="dash"/>
            </a:ln>
          </spPr>
          <marker>
            <symbol val="none"/>
            <spPr>
              <a:ln>
                <a:prstDash val="solid"/>
              </a:ln>
            </spPr>
          </marker>
          <xVal>
            <numRef>
              <f>'_look'!$AK$28:$AK$29</f>
            </numRef>
          </xVal>
          <yVal>
            <numRef>
              <f>'_look'!$AL$28:$AL$29</f>
            </numRef>
          </yVal>
          <smooth val="0"/>
        </ser>
        <ser>
          <idx val="14"/>
          <order val="14"/>
          <spPr>
            <a:ln w="19050">
              <a:solidFill>
                <a:srgbClr val="CC0000"/>
              </a:solidFill>
              <a:prstDash val="dash"/>
            </a:ln>
          </spPr>
          <marker>
            <symbol val="none"/>
            <spPr>
              <a:ln>
                <a:prstDash val="solid"/>
              </a:ln>
            </spPr>
          </marker>
          <xVal>
            <numRef>
              <f>'_look'!$AK$30:$AK$31</f>
            </numRef>
          </xVal>
          <yVal>
            <numRef>
              <f>'_look'!$AL$30:$AL$31</f>
            </numRef>
          </yVal>
          <smooth val="0"/>
        </ser>
        <ser>
          <idx val="15"/>
          <order val="15"/>
          <spPr>
            <a:ln w="19050">
              <a:solidFill>
                <a:srgbClr val="CC0000"/>
              </a:solidFill>
              <a:prstDash val="dash"/>
            </a:ln>
          </spPr>
          <marker>
            <symbol val="none"/>
            <spPr>
              <a:ln>
                <a:prstDash val="solid"/>
              </a:ln>
            </spPr>
          </marker>
          <xVal>
            <numRef>
              <f>'_look'!$AK$32:$AK$33</f>
            </numRef>
          </xVal>
          <yVal>
            <numRef>
              <f>'_look'!$AL$32:$AL$33</f>
            </numRef>
          </yVal>
          <smooth val="0"/>
        </ser>
        <ser>
          <idx val="16"/>
          <order val="16"/>
          <spPr>
            <a:ln w="19050">
              <a:solidFill>
                <a:srgbClr val="CC0000"/>
              </a:solidFill>
              <a:prstDash val="dash"/>
            </a:ln>
          </spPr>
          <marker>
            <symbol val="none"/>
            <spPr>
              <a:ln>
                <a:prstDash val="solid"/>
              </a:ln>
            </spPr>
          </marker>
          <xVal>
            <numRef>
              <f>'_look'!$AK$34:$AK$35</f>
            </numRef>
          </xVal>
          <yVal>
            <numRef>
              <f>'_look'!$AL$34:$AL$35</f>
            </numRef>
          </yVal>
          <smooth val="0"/>
        </ser>
        <ser>
          <idx val="17"/>
          <order val="17"/>
          <spPr>
            <a:ln w="19050">
              <a:solidFill>
                <a:srgbClr val="CC0000"/>
              </a:solidFill>
              <a:prstDash val="dash"/>
            </a:ln>
          </spPr>
          <marker>
            <symbol val="none"/>
            <spPr>
              <a:ln>
                <a:prstDash val="solid"/>
              </a:ln>
            </spPr>
          </marker>
          <xVal>
            <numRef>
              <f>'_look'!$AK$36:$AK$37</f>
            </numRef>
          </xVal>
          <yVal>
            <numRef>
              <f>'_look'!$AL$36:$AL$37</f>
            </numRef>
          </yVal>
          <smooth val="0"/>
        </ser>
        <ser>
          <idx val="18"/>
          <order val="18"/>
          <spPr>
            <a:ln w="19050">
              <a:solidFill>
                <a:srgbClr val="CC0000"/>
              </a:solidFill>
              <a:prstDash val="dash"/>
            </a:ln>
          </spPr>
          <marker>
            <symbol val="none"/>
            <spPr>
              <a:ln>
                <a:prstDash val="solid"/>
              </a:ln>
            </spPr>
          </marker>
          <xVal>
            <numRef>
              <f>'_look'!$AK$38:$AK$39</f>
            </numRef>
          </xVal>
          <yVal>
            <numRef>
              <f>'_look'!$AL$38:$AL$39</f>
            </numRef>
          </yVal>
          <smooth val="0"/>
        </ser>
        <ser>
          <idx val="19"/>
          <order val="19"/>
          <spPr>
            <a:ln w="19050">
              <a:solidFill>
                <a:srgbClr val="CC0000"/>
              </a:solidFill>
              <a:prstDash val="dash"/>
            </a:ln>
          </spPr>
          <marker>
            <symbol val="none"/>
            <spPr>
              <a:ln>
                <a:prstDash val="solid"/>
              </a:ln>
            </spPr>
          </marker>
          <xVal>
            <numRef>
              <f>'_look'!$AK$40:$AK$41</f>
            </numRef>
          </xVal>
          <yVal>
            <numRef>
              <f>'_look'!$AL$40:$AL$41</f>
            </numRef>
          </yVal>
          <smooth val="0"/>
        </ser>
        <ser>
          <idx val="20"/>
          <order val="20"/>
          <spPr>
            <a:ln w="19050">
              <a:solidFill>
                <a:srgbClr val="CC0000"/>
              </a:solidFill>
              <a:prstDash val="dash"/>
            </a:ln>
          </spPr>
          <marker>
            <symbol val="none"/>
            <spPr>
              <a:ln>
                <a:prstDash val="solid"/>
              </a:ln>
            </spPr>
          </marker>
          <xVal>
            <numRef>
              <f>'_look'!$AK$42:$AK$43</f>
            </numRef>
          </xVal>
          <yVal>
            <numRef>
              <f>'_look'!$AL$42:$AL$43</f>
            </numRef>
          </yVal>
          <smooth val="0"/>
        </ser>
        <ser>
          <idx val="21"/>
          <order val="21"/>
          <spPr>
            <a:ln w="19050">
              <a:solidFill>
                <a:srgbClr val="CC0000"/>
              </a:solidFill>
              <a:prstDash val="dash"/>
            </a:ln>
          </spPr>
          <marker>
            <symbol val="none"/>
            <spPr>
              <a:ln>
                <a:prstDash val="solid"/>
              </a:ln>
            </spPr>
          </marker>
          <xVal>
            <numRef>
              <f>'_look'!$AK$44:$AK$45</f>
            </numRef>
          </xVal>
          <yVal>
            <numRef>
              <f>'_look'!$AL$44:$AL$45</f>
            </numRef>
          </yVal>
          <smooth val="0"/>
        </ser>
        <ser>
          <idx val="22"/>
          <order val="22"/>
          <spPr>
            <a:ln w="19050">
              <a:solidFill>
                <a:srgbClr val="CC0000"/>
              </a:solidFill>
              <a:prstDash val="dash"/>
            </a:ln>
          </spPr>
          <marker>
            <symbol val="none"/>
            <spPr>
              <a:ln>
                <a:prstDash val="solid"/>
              </a:ln>
            </spPr>
          </marker>
          <xVal>
            <numRef>
              <f>'_look'!$AK$46:$AK$47</f>
            </numRef>
          </xVal>
          <yVal>
            <numRef>
              <f>'_look'!$AL$46:$AL$47</f>
            </numRef>
          </yVal>
          <smooth val="0"/>
        </ser>
        <ser>
          <idx val="23"/>
          <order val="23"/>
          <spPr>
            <a:ln w="19050">
              <a:solidFill>
                <a:srgbClr val="CC0000"/>
              </a:solidFill>
              <a:prstDash val="dash"/>
            </a:ln>
          </spPr>
          <marker>
            <symbol val="none"/>
            <spPr>
              <a:ln>
                <a:prstDash val="solid"/>
              </a:ln>
            </spPr>
          </marker>
          <xVal>
            <numRef>
              <f>'_look'!$AK$48:$AK$49</f>
            </numRef>
          </xVal>
          <yVal>
            <numRef>
              <f>'_look'!$AL$48:$AL$49</f>
            </numRef>
          </yVal>
          <smooth val="0"/>
        </ser>
        <ser>
          <idx val="24"/>
          <order val="24"/>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style val="13"/>
  <chart>
    <title>
      <tx>
        <rich>
          <a:bodyPr/>
          <a:p>
            <a:pPr>
              <a:defRPr/>
            </a:pPr>
            <a:r>
              <a:t>Cost us against what we kept, the grid picked above</a:t>
            </a:r>
          </a:p>
        </rich>
      </tx>
    </title>
    <plotArea>
      <scatterChart>
        <ser>
          <idx val="0"/>
          <order val="0"/>
          <tx>
            <v>Pockets</v>
          </tx>
          <spPr>
            <a:ln>
              <a:noFill/>
              <a:prstDash val="solid"/>
            </a:ln>
          </spPr>
          <marker>
            <symbol val="circle"/>
            <size val="6"/>
            <spPr>
              <a:solidFill>
                <a:srgbClr val="0A0908"/>
              </a:solidFill>
              <a:ln>
                <a:solidFill>
                  <a:srgbClr val="0A0908"/>
                </a:solidFill>
                <a:prstDash val="solid"/>
              </a:ln>
            </spPr>
          </marker>
          <xVal>
            <numRef>
              <f>'_chart'!$A$1:$A$25</f>
            </numRef>
          </xVal>
          <yVal>
            <numRef>
              <f>'_chart'!$B$1:$B$25</f>
            </numRef>
          </yVal>
        </ser>
        <ser>
          <idx val="1"/>
          <order val="1"/>
          <spPr>
            <a:ln>
              <a:noFill/>
              <a:prstDash val="solid"/>
            </a:ln>
          </spPr>
          <marker>
            <symbol val="circle"/>
            <size val="8"/>
            <spPr>
              <a:solidFill>
                <a:srgbClr val="CC0000"/>
              </a:solidFill>
              <a:ln>
                <a:solidFill>
                  <a:srgbClr val="CC0000"/>
                </a:solidFill>
                <a:prstDash val="solid"/>
              </a:ln>
            </spPr>
          </marker>
          <xVal>
            <numRef>
              <f>'_chart'!$F$1:$F$25</f>
            </numRef>
          </xVal>
          <yVal>
            <numRef>
              <f>'_chart'!$G$1:$G$25</f>
            </numRef>
          </yVal>
        </ser>
        <ser>
          <idx val="2"/>
          <order val="2"/>
          <spPr>
            <a:ln>
              <a:noFill/>
              <a:prstDash val="solid"/>
            </a:ln>
          </spPr>
          <marker>
            <symbol val="circle"/>
            <size val="8"/>
            <spPr>
              <a:solidFill>
                <a:srgbClr val="1E7A47"/>
              </a:solidFill>
              <a:ln>
                <a:solidFill>
                  <a:srgbClr val="1E7A47"/>
                </a:solidFill>
                <a:prstDash val="solid"/>
              </a:ln>
            </spPr>
          </marker>
          <xVal>
            <numRef>
              <f>'_chart'!$H$1:$H$25</f>
            </numRef>
          </xVal>
          <yVal>
            <numRef>
              <f>'_chart'!$I$1:$I$25</f>
            </numRef>
          </yVal>
        </ser>
        <ser>
          <idx val="3"/>
          <order val="3"/>
          <tx>
            <v>line</v>
          </tx>
          <spPr>
            <a:ln>
              <a:solidFill>
                <a:srgbClr val="CC0000"/>
              </a:solidFill>
              <a:prstDash val="dash"/>
            </a:ln>
          </spPr>
          <marker>
            <symbol val="none"/>
            <spPr>
              <a:ln>
                <a:prstDash val="solid"/>
              </a:ln>
            </spPr>
          </marker>
          <xVal>
            <numRef>
              <f>'_chart'!$A$28:$A$29</f>
            </numRef>
          </xVal>
          <yVal>
            <numRef>
              <f>'_chart'!$B$28:$B$29</f>
            </numRef>
          </yVal>
        </ser>
        <ser>
          <idx val="4"/>
          <order val="4"/>
          <tx>
            <v>line</v>
          </tx>
          <spPr>
            <a:ln>
              <a:solidFill>
                <a:srgbClr val="CC0000"/>
              </a:solidFill>
              <a:prstDash val="dash"/>
            </a:ln>
          </spPr>
          <marker>
            <symbol val="none"/>
            <spPr>
              <a:ln>
                <a:prstDash val="solid"/>
              </a:ln>
            </spPr>
          </marker>
          <xVal>
            <numRef>
              <f>'_chart'!$A$30:$A$31</f>
            </numRef>
          </xVal>
          <yVal>
            <numRef>
              <f>'_chart'!$B$30:$B$31</f>
            </numRef>
          </yVal>
        </ser>
        <ser>
          <idx val="5"/>
          <order val="5"/>
          <tx>
            <v>Priced for it</v>
          </tx>
          <spPr>
            <a:ln>
              <a:noFill/>
              <a:prstDash val="solid"/>
            </a:ln>
          </spPr>
          <marker>
            <symbol val="none"/>
            <spPr>
              <a:ln>
                <a:prstDash val="solid"/>
              </a:ln>
            </spPr>
          </marker>
          <dLbls>
            <dLblPos val="ctr"/>
            <showLegendKey val="0"/>
            <showVal val="0"/>
            <showCatName val="0"/>
            <showSerName val="1"/>
            <showPercent val="0"/>
            <showBubbleSize val="0"/>
          </dLbls>
          <xVal>
            <numRef>
              <f>'_chart'!$A$32</f>
            </numRef>
          </xVal>
          <yVal>
            <numRef>
              <f>'_chart'!$B$32</f>
            </numRef>
          </yVal>
        </ser>
        <ser>
          <idx val="6"/>
          <order val="6"/>
          <tx>
            <v>Net drain</v>
          </tx>
          <spPr>
            <a:ln>
              <a:noFill/>
              <a:prstDash val="solid"/>
            </a:ln>
          </spPr>
          <marker>
            <symbol val="none"/>
            <spPr>
              <a:ln>
                <a:prstDash val="solid"/>
              </a:ln>
            </spPr>
          </marker>
          <dLbls>
            <dLblPos val="ctr"/>
            <showLegendKey val="0"/>
            <showVal val="0"/>
            <showCatName val="0"/>
            <showSerName val="1"/>
            <showPercent val="0"/>
            <showBubbleSize val="0"/>
          </dLbls>
          <xVal>
            <numRef>
              <f>'_chart'!$A$33</f>
            </numRef>
          </xVal>
          <yVal>
            <numRef>
              <f>'_chart'!$B$33</f>
            </numRef>
          </yVal>
        </ser>
        <ser>
          <idx val="7"/>
          <order val="7"/>
          <tx>
            <v>Strong</v>
          </tx>
          <spPr>
            <a:ln>
              <a:noFill/>
              <a:prstDash val="solid"/>
            </a:ln>
          </spPr>
          <marker>
            <symbol val="none"/>
            <spPr>
              <a:ln>
                <a:prstDash val="solid"/>
              </a:ln>
            </spPr>
          </marker>
          <dLbls>
            <dLblPos val="ctr"/>
            <showLegendKey val="0"/>
            <showVal val="0"/>
            <showCatName val="0"/>
            <showSerName val="1"/>
            <showPercent val="0"/>
            <showBubbleSize val="0"/>
          </dLbls>
          <xVal>
            <numRef>
              <f>'_chart'!$A$34</f>
            </numRef>
          </xVal>
          <yVal>
            <numRef>
              <f>'_chart'!$B$34</f>
            </numRef>
          </yVal>
        </ser>
        <ser>
          <idx val="8"/>
          <order val="8"/>
          <tx>
            <v>Safe but idle</v>
          </tx>
          <spPr>
            <a:ln>
              <a:noFill/>
              <a:prstDash val="solid"/>
            </a:ln>
          </spPr>
          <marker>
            <symbol val="none"/>
            <spPr>
              <a:ln>
                <a:prstDash val="solid"/>
              </a:ln>
            </spPr>
          </marker>
          <dLbls>
            <dLblPos val="ctr"/>
            <showLegendKey val="0"/>
            <showVal val="0"/>
            <showCatName val="0"/>
            <showSerName val="1"/>
            <showPercent val="0"/>
            <showBubbleSize val="0"/>
          </dLbls>
          <xVal>
            <numRef>
              <f>'_chart'!$A$35</f>
            </numRef>
          </xVal>
          <yVal>
            <numRef>
              <f>'_chart'!$B$35</f>
            </numRef>
          </yVal>
        </ser>
        <ser>
          <idx val="9"/>
          <order val="9"/>
          <tx>
            <strRef>
              <f>'_chart'!$J$1</f>
            </strRef>
          </tx>
          <spPr>
            <a:ln>
              <a:noFill/>
              <a:prstDash val="solid"/>
            </a:ln>
          </spPr>
          <marker>
            <symbol val="none"/>
            <spPr>
              <a:ln>
                <a:prstDash val="solid"/>
              </a:ln>
            </spPr>
          </marker>
          <dLbls>
            <dLblPos val="r"/>
            <showLegendKey val="0"/>
            <showVal val="0"/>
            <showCatName val="0"/>
            <showSerName val="1"/>
            <showPercent val="0"/>
            <showBubbleSize val="0"/>
          </dLbls>
          <xVal>
            <numRef>
              <f>'_chart'!$D$1</f>
            </numRef>
          </xVal>
          <yVal>
            <numRef>
              <f>'_chart'!$E$1</f>
            </numRef>
          </yVal>
        </ser>
        <ser>
          <idx val="10"/>
          <order val="10"/>
          <tx>
            <strRef>
              <f>'_chart'!$J$2</f>
            </strRef>
          </tx>
          <spPr>
            <a:ln>
              <a:noFill/>
              <a:prstDash val="solid"/>
            </a:ln>
          </spPr>
          <marker>
            <symbol val="none"/>
            <spPr>
              <a:ln>
                <a:prstDash val="solid"/>
              </a:ln>
            </spPr>
          </marker>
          <dLbls>
            <dLblPos val="r"/>
            <showLegendKey val="0"/>
            <showVal val="0"/>
            <showCatName val="0"/>
            <showSerName val="1"/>
            <showPercent val="0"/>
            <showBubbleSize val="0"/>
          </dLbls>
          <xVal>
            <numRef>
              <f>'_chart'!$D$2</f>
            </numRef>
          </xVal>
          <yVal>
            <numRef>
              <f>'_chart'!$E$2</f>
            </numRef>
          </yVal>
        </ser>
        <ser>
          <idx val="11"/>
          <order val="11"/>
          <tx>
            <strRef>
              <f>'_chart'!$J$3</f>
            </strRef>
          </tx>
          <spPr>
            <a:ln>
              <a:noFill/>
              <a:prstDash val="solid"/>
            </a:ln>
          </spPr>
          <marker>
            <symbol val="none"/>
            <spPr>
              <a:ln>
                <a:prstDash val="solid"/>
              </a:ln>
            </spPr>
          </marker>
          <dLbls>
            <dLblPos val="r"/>
            <showLegendKey val="0"/>
            <showVal val="0"/>
            <showCatName val="0"/>
            <showSerName val="1"/>
            <showPercent val="0"/>
            <showBubbleSize val="0"/>
          </dLbls>
          <xVal>
            <numRef>
              <f>'_chart'!$D$3</f>
            </numRef>
          </xVal>
          <yVal>
            <numRef>
              <f>'_chart'!$E$3</f>
            </numRef>
          </yVal>
        </ser>
        <ser>
          <idx val="12"/>
          <order val="12"/>
          <tx>
            <strRef>
              <f>'_chart'!$J$4</f>
            </strRef>
          </tx>
          <spPr>
            <a:ln>
              <a:noFill/>
              <a:prstDash val="solid"/>
            </a:ln>
          </spPr>
          <marker>
            <symbol val="none"/>
            <spPr>
              <a:ln>
                <a:prstDash val="solid"/>
              </a:ln>
            </spPr>
          </marker>
          <dLbls>
            <dLblPos val="r"/>
            <showLegendKey val="0"/>
            <showVal val="0"/>
            <showCatName val="0"/>
            <showSerName val="1"/>
            <showPercent val="0"/>
            <showBubbleSize val="0"/>
          </dLbls>
          <xVal>
            <numRef>
              <f>'_chart'!$D$4</f>
            </numRef>
          </xVal>
          <yVal>
            <numRef>
              <f>'_chart'!$E$4</f>
            </numRef>
          </yVal>
        </ser>
        <ser>
          <idx val="13"/>
          <order val="13"/>
          <tx>
            <strRef>
              <f>'_chart'!$J$5</f>
            </strRef>
          </tx>
          <spPr>
            <a:ln>
              <a:noFill/>
              <a:prstDash val="solid"/>
            </a:ln>
          </spPr>
          <marker>
            <symbol val="none"/>
            <spPr>
              <a:ln>
                <a:prstDash val="solid"/>
              </a:ln>
            </spPr>
          </marker>
          <dLbls>
            <dLblPos val="r"/>
            <showLegendKey val="0"/>
            <showVal val="0"/>
            <showCatName val="0"/>
            <showSerName val="1"/>
            <showPercent val="0"/>
            <showBubbleSize val="0"/>
          </dLbls>
          <xVal>
            <numRef>
              <f>'_chart'!$D$5</f>
            </numRef>
          </xVal>
          <yVal>
            <numRef>
              <f>'_chart'!$E$5</f>
            </numRef>
          </yVal>
        </ser>
        <ser>
          <idx val="14"/>
          <order val="14"/>
          <tx>
            <strRef>
              <f>'_chart'!$J$6</f>
            </strRef>
          </tx>
          <spPr>
            <a:ln>
              <a:noFill/>
              <a:prstDash val="solid"/>
            </a:ln>
          </spPr>
          <marker>
            <symbol val="none"/>
            <spPr>
              <a:ln>
                <a:prstDash val="solid"/>
              </a:ln>
            </spPr>
          </marker>
          <dLbls>
            <dLblPos val="r"/>
            <showLegendKey val="0"/>
            <showVal val="0"/>
            <showCatName val="0"/>
            <showSerName val="1"/>
            <showPercent val="0"/>
            <showBubbleSize val="0"/>
          </dLbls>
          <xVal>
            <numRef>
              <f>'_chart'!$D$6</f>
            </numRef>
          </xVal>
          <yVal>
            <numRef>
              <f>'_chart'!$E$6</f>
            </numRef>
          </yVal>
        </ser>
        <ser>
          <idx val="15"/>
          <order val="15"/>
          <tx>
            <strRef>
              <f>'_chart'!$J$7</f>
            </strRef>
          </tx>
          <spPr>
            <a:ln>
              <a:noFill/>
              <a:prstDash val="solid"/>
            </a:ln>
          </spPr>
          <marker>
            <symbol val="none"/>
            <spPr>
              <a:ln>
                <a:prstDash val="solid"/>
              </a:ln>
            </spPr>
          </marker>
          <dLbls>
            <dLblPos val="r"/>
            <showLegendKey val="0"/>
            <showVal val="0"/>
            <showCatName val="0"/>
            <showSerName val="1"/>
            <showPercent val="0"/>
            <showBubbleSize val="0"/>
          </dLbls>
          <xVal>
            <numRef>
              <f>'_chart'!$D$7</f>
            </numRef>
          </xVal>
          <yVal>
            <numRef>
              <f>'_chart'!$E$7</f>
            </numRef>
          </yVal>
        </ser>
        <ser>
          <idx val="16"/>
          <order val="16"/>
          <tx>
            <strRef>
              <f>'_chart'!$J$8</f>
            </strRef>
          </tx>
          <spPr>
            <a:ln>
              <a:noFill/>
              <a:prstDash val="solid"/>
            </a:ln>
          </spPr>
          <marker>
            <symbol val="none"/>
            <spPr>
              <a:ln>
                <a:prstDash val="solid"/>
              </a:ln>
            </spPr>
          </marker>
          <dLbls>
            <dLblPos val="r"/>
            <showLegendKey val="0"/>
            <showVal val="0"/>
            <showCatName val="0"/>
            <showSerName val="1"/>
            <showPercent val="0"/>
            <showBubbleSize val="0"/>
          </dLbls>
          <xVal>
            <numRef>
              <f>'_chart'!$D$8</f>
            </numRef>
          </xVal>
          <yVal>
            <numRef>
              <f>'_chart'!$E$8</f>
            </numRef>
          </yVal>
        </ser>
        <axId val="10"/>
        <axId val="20"/>
      </scatterChart>
      <valAx>
        <axId val="10"/>
        <scaling>
          <logBase val="10"/>
          <orientation val="minMax"/>
          <max val="10"/>
          <min val="0.1"/>
        </scaling>
        <delete val="0"/>
        <axPos val="l"/>
        <majorGridlines/>
        <numFmt formatCode="0.0&quot;×&quot;" sourceLinked="0"/>
        <majorTickMark val="none"/>
        <minorTickMark val="none"/>
        <crossAx val="20"/>
        <crosses val="min"/>
      </valAx>
      <valAx>
        <axId val="20"/>
        <scaling>
          <orientation val="minMax"/>
          <max val="12.5"/>
          <min val="-12.5"/>
        </scaling>
        <delete val="0"/>
        <axPos val="l"/>
        <majorGridlines/>
        <numFmt formatCode="+0&quot; pts&quot;;-0&quot; pts&quot;;0&quot; pts&quot;" sourceLinked="0"/>
        <majorTickMark val="none"/>
        <minorTickMark val="none"/>
        <crossAx val="10"/>
        <crosses val="min"/>
        <majorUnit val="2.5"/>
      </valAx>
    </plotArea>
    <plotVisOnly val="1"/>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29</row>
      <rowOff>0</rowOff>
    </from>
    <ext cx="612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48</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17</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ockets'!A1" TargetMode="External" Id="rId1" /><Relationship Type="http://schemas.openxmlformats.org/officeDocument/2006/relationships/hyperlink" Target="#'Control'!A1" TargetMode="External" Id="rId2" /><Relationship Type="http://schemas.openxmlformats.org/officeDocument/2006/relationships/hyperlink" Target="#'Pockets'!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Paid, cost, kept'!A1" TargetMode="External" Id="rId6" /><Relationship Type="http://schemas.openxmlformats.org/officeDocument/2006/relationships/hyperlink" Target="#'Look'!A1" TargetMode="External" Id="rId7" /><Relationship Type="http://schemas.openxmlformats.org/officeDocument/2006/relationships/hyperlink" Target="#'Grids'!A1" TargetMode="External" Id="rId8" /><Relationship Type="http://schemas.openxmlformats.org/officeDocument/2006/relationships/hyperlink" Target="#'Split'!A1" TargetMode="External" Id="rId9"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CC0000"/>
    <outlinePr summaryBelow="0" summaryRight="1"/>
    <pageSetUpPr fitToPage="1"/>
  </sheetPr>
  <dimension ref="B1:K33"/>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2" customWidth="1" min="2" max="2"/>
    <col width="16" customWidth="1" min="3" max="3"/>
    <col width="16" customWidth="1" min="4" max="4"/>
    <col width="16" customWidth="1" min="5" max="5"/>
    <col width="16" customWidth="1" min="6" max="6"/>
    <col width="16" customWidth="1" min="7" max="7"/>
    <col width="16" customWidth="1" min="8" max="8"/>
    <col width="22" customWidth="1" min="9" max="9"/>
    <col hidden="1" width="13" customWidth="1" min="11" max="11"/>
  </cols>
  <sheetData>
    <row r="1" ht="30" customHeight="1">
      <c r="B1" s="1" t="inlineStr">
        <is>
          <t>PocketBook</t>
        </is>
      </c>
      <c r="C1" s="2" t="inlineStr">
        <is>
          <t>Two-flag book.csv · 8,000 loans · 11 columns · last Run 2026-09-29 21:05</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17" customHeight="1">
      <c r="B5" s="6" t="inlineStr">
        <is>
          <t>What the last Run found</t>
        </is>
      </c>
      <c r="C5" s="7" t="inlineStr">
        <is>
          <t>Pockets worse and material at Control's lines, and the five largest.</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COUNTIFS(Columns!$S$13:$S$23,"?*",Columns!$H$13:$H$23,"")</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-2)&amp;". The result tabs still show the last Run. Save, close, and press Run in the launcher."),"")</f>
        <v/>
      </c>
    </row>
    <row r="15">
      <c r="B15" s="8" t="inlineStr">
        <is>
          <t>WHAT THE LAST RUN FOUND</t>
        </is>
      </c>
    </row>
    <row r="16" ht="15" customHeight="1">
      <c r="B16" s="96" t="inlineStr">
        <is>
          <t>Pockets worse and material, charge-offs</t>
        </is>
      </c>
      <c r="C16" s="97" t="n"/>
      <c r="D16" s="96" t="inlineStr">
        <is>
          <t>Dollars above their share, in those</t>
        </is>
      </c>
      <c r="E16" s="97" t="n"/>
      <c r="F16" s="96" t="inlineStr">
        <is>
          <t>Pockets keeping less, worse and material</t>
        </is>
      </c>
      <c r="G16" s="97" t="n"/>
    </row>
    <row r="17" ht="22" customHeight="1">
      <c r="B17" s="11">
        <f>IFERROR(COUNTIFS(pk_kind,"grids",pk_measure,"gco_rate",pk_flag,"worse",pk_material,"yes")&amp;" of 81","")</f>
        <v/>
      </c>
      <c r="D17" s="98">
        <f>IFERROR(SUMIFS(pk_dollars,pk_kind,"grids",pk_measure,"gco_rate",pk_flag,"worse",pk_material,"yes"),"")</f>
        <v/>
      </c>
      <c r="F17" s="11">
        <f>IFERROR(COUNTIFS(pk_kind,"grids",pk_measure,"ranr_rate",pk_flag,"worse",pk_material,"yes")&amp;" short $"&amp;TEXT(SUMIFS(pk_dollars,pk_kind,"grids",pk_measure,"ranr_rate",pk_flag,"worse",pk_material,"yes"),"#,##0"),"")</f>
        <v/>
      </c>
    </row>
    <row r="19" ht="18" customHeight="1">
      <c r="B19" s="55" t="inlineStr">
        <is>
          <t>Largest, worse and material</t>
        </is>
      </c>
      <c r="C19" s="55" t="inlineStr">
        <is>
          <t>Segment</t>
        </is>
      </c>
      <c r="D19" s="56" t="inlineStr">
        <is>
          <t>Loans</t>
        </is>
      </c>
      <c r="E19" s="56" t="inlineStr">
        <is>
          <t>× its comparison</t>
        </is>
      </c>
      <c r="F19" s="56" t="inlineStr">
        <is>
          <t>Dollars above share</t>
        </is>
      </c>
    </row>
    <row r="20" ht="18" customHeight="1">
      <c r="B20" s="31">
        <f>IF($K20="","No pocket is worse and material.",INDEX('_found'!$B$6:$B$46,$K20))</f>
        <v/>
      </c>
      <c r="C20" s="31">
        <f>IF($K20="","",INDEX('_found'!$C$6:$C$46,$K20))</f>
        <v/>
      </c>
      <c r="D20" s="99">
        <f>IF($K20="","",INDEX('_found'!$D$6:$D$46,$K20))</f>
        <v/>
      </c>
      <c r="E20" s="100">
        <f>IF($K20="","",IF(INDEX('_pockets'!$AB:$AB,INDEX('_found'!$E$6:$E$46,$K20))="","",INDEX('_pockets'!$AB:$AB,INDEX('_found'!$E$6:$E$46,$K20))))</f>
        <v/>
      </c>
      <c r="F20" s="72">
        <f>IF($K20="","",IF(INDEX('_pockets'!$Z:$Z,INDEX('_found'!$E$6:$E$46,$K20))="","",INDEX('_pockets'!$Z:$Z,INDEX('_found'!$E$6:$E$46,$K20))))</f>
        <v/>
      </c>
      <c r="K20">
        <f>IFERROR(MATCH(1,'_found'!$G$6:$G$46,0),"")</f>
        <v/>
      </c>
    </row>
    <row r="21" ht="18" customHeight="1">
      <c r="B21" s="31">
        <f>IF($K21="","",INDEX('_found'!$B$6:$B$46,$K21))</f>
        <v/>
      </c>
      <c r="C21" s="31">
        <f>IF($K21="","",INDEX('_found'!$C$6:$C$46,$K21))</f>
        <v/>
      </c>
      <c r="D21" s="99">
        <f>IF($K21="","",INDEX('_found'!$D$6:$D$46,$K21))</f>
        <v/>
      </c>
      <c r="E21" s="100">
        <f>IF($K21="","",IF(INDEX('_pockets'!$AB:$AB,INDEX('_found'!$E$6:$E$46,$K21))="","",INDEX('_pockets'!$AB:$AB,INDEX('_found'!$E$6:$E$46,$K21))))</f>
        <v/>
      </c>
      <c r="F21" s="72">
        <f>IF($K21="","",IF(INDEX('_pockets'!$Z:$Z,INDEX('_found'!$E$6:$E$46,$K21))="","",INDEX('_pockets'!$Z:$Z,INDEX('_found'!$E$6:$E$46,$K21))))</f>
        <v/>
      </c>
      <c r="K21">
        <f>IFERROR(MATCH(2,'_found'!$G$6:$G$46,0),"")</f>
        <v/>
      </c>
    </row>
    <row r="22" ht="18" customHeight="1">
      <c r="B22" s="31">
        <f>IF($K22="","",INDEX('_found'!$B$6:$B$46,$K22))</f>
        <v/>
      </c>
      <c r="C22" s="31">
        <f>IF($K22="","",INDEX('_found'!$C$6:$C$46,$K22))</f>
        <v/>
      </c>
      <c r="D22" s="99">
        <f>IF($K22="","",INDEX('_found'!$D$6:$D$46,$K22))</f>
        <v/>
      </c>
      <c r="E22" s="100">
        <f>IF($K22="","",IF(INDEX('_pockets'!$AB:$AB,INDEX('_found'!$E$6:$E$46,$K22))="","",INDEX('_pockets'!$AB:$AB,INDEX('_found'!$E$6:$E$46,$K22))))</f>
        <v/>
      </c>
      <c r="F22" s="72">
        <f>IF($K22="","",IF(INDEX('_pockets'!$Z:$Z,INDEX('_found'!$E$6:$E$46,$K22))="","",INDEX('_pockets'!$Z:$Z,INDEX('_found'!$E$6:$E$46,$K22))))</f>
        <v/>
      </c>
      <c r="K22">
        <f>IFERROR(MATCH(3,'_found'!$G$6:$G$46,0),"")</f>
        <v/>
      </c>
    </row>
    <row r="23" ht="18" customHeight="1">
      <c r="B23" s="31">
        <f>IF($K23="","",INDEX('_found'!$B$6:$B$46,$K23))</f>
        <v/>
      </c>
      <c r="C23" s="31">
        <f>IF($K23="","",INDEX('_found'!$C$6:$C$46,$K23))</f>
        <v/>
      </c>
      <c r="D23" s="99">
        <f>IF($K23="","",INDEX('_found'!$D$6:$D$46,$K23))</f>
        <v/>
      </c>
      <c r="E23" s="100">
        <f>IF($K23="","",IF(INDEX('_pockets'!$AB:$AB,INDEX('_found'!$E$6:$E$46,$K23))="","",INDEX('_pockets'!$AB:$AB,INDEX('_found'!$E$6:$E$46,$K23))))</f>
        <v/>
      </c>
      <c r="F23" s="72">
        <f>IF($K23="","",IF(INDEX('_pockets'!$Z:$Z,INDEX('_found'!$E$6:$E$46,$K23))="","",INDEX('_pockets'!$Z:$Z,INDEX('_found'!$E$6:$E$46,$K23))))</f>
        <v/>
      </c>
      <c r="K23">
        <f>IFERROR(MATCH(4,'_found'!$G$6:$G$46,0),"")</f>
        <v/>
      </c>
    </row>
    <row r="24" ht="18" customHeight="1">
      <c r="B24" s="31">
        <f>IF($K24="","",INDEX('_found'!$B$6:$B$46,$K24))</f>
        <v/>
      </c>
      <c r="C24" s="31">
        <f>IF($K24="","",INDEX('_found'!$C$6:$C$46,$K24))</f>
        <v/>
      </c>
      <c r="D24" s="99">
        <f>IF($K24="","",INDEX('_found'!$D$6:$D$46,$K24))</f>
        <v/>
      </c>
      <c r="E24" s="100">
        <f>IF($K24="","",IF(INDEX('_pockets'!$AB:$AB,INDEX('_found'!$E$6:$E$46,$K24))="","",INDEX('_pockets'!$AB:$AB,INDEX('_found'!$E$6:$E$46,$K24))))</f>
        <v/>
      </c>
      <c r="F24" s="72">
        <f>IF($K24="","",IF(INDEX('_pockets'!$Z:$Z,INDEX('_found'!$E$6:$E$46,$K24))="","",INDEX('_pockets'!$Z:$Z,INDEX('_found'!$E$6:$E$46,$K24))))</f>
        <v/>
      </c>
      <c r="K24">
        <f>IFERROR(MATCH(5,'_found'!$G$6:$G$46,0),"")</f>
        <v/>
      </c>
    </row>
    <row r="25">
      <c r="B25" s="101" t="inlineStr">
        <is>
          <t>Every pocket, every measure: the Pockets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Pockets: every pocket, worse first</t>
        </is>
      </c>
      <c r="G30" s="21" t="inlineStr">
        <is>
          <t>Record: what ran, the tie-outs, every Run</t>
        </is>
      </c>
    </row>
    <row r="31">
      <c r="B31" s="21" t="inlineStr">
        <is>
          <t>Columns: meanings, odd values, memory</t>
        </is>
      </c>
      <c r="D31" s="21" t="inlineStr">
        <is>
          <t>Paid, cost, kept: paid against cost</t>
        </is>
      </c>
    </row>
    <row r="32">
      <c r="B32" s="21" t="inlineStr">
        <is>
          <t>Look: each number column's shape</t>
        </is>
      </c>
      <c r="D32" s="21" t="inlineStr">
        <is>
          <t>Grids: one grid at a time, and how common</t>
        </is>
      </c>
    </row>
    <row r="33">
      <c r="D33" s="21" t="inlineStr">
        <is>
          <t>Split: each pocket split</t>
        </is>
      </c>
    </row>
  </sheetData>
  <mergeCells count="16">
    <mergeCell ref="B13:I13"/>
    <mergeCell ref="D16:E16"/>
    <mergeCell ref="B16:C16"/>
    <mergeCell ref="D10:E10"/>
    <mergeCell ref="F9:G9"/>
    <mergeCell ref="F10:G10"/>
    <mergeCell ref="F16:G16"/>
    <mergeCell ref="D17:E17"/>
    <mergeCell ref="B10:C10"/>
    <mergeCell ref="C4:I4"/>
    <mergeCell ref="C6:I6"/>
    <mergeCell ref="B17:C17"/>
    <mergeCell ref="B9:C9"/>
    <mergeCell ref="D9:E9"/>
    <mergeCell ref="F17:G17"/>
    <mergeCell ref="C5:I5"/>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 xmlns:r="http://schemas.openxmlformats.org/officeDocument/2006/relationships" ref="D32" r:id="rId8"/>
    <hyperlink xmlns:r="http://schemas.openxmlformats.org/officeDocument/2006/relationships" ref="D33" r:id="rId9"/>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3"/>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80" customWidth="1" min="2" max="2"/>
    <col width="66" customWidth="1" min="3" max="3"/>
    <col width="12" customWidth="1" min="4" max="4"/>
    <col width="14" customWidth="1" min="5" max="5"/>
    <col width="44" customWidth="1" min="6" max="6"/>
    <col hidden="1" width="12" customWidth="1" min="7" max="7"/>
    <col width="22" customWidth="1" min="8" max="8"/>
    <col width="50" customWidth="1" min="9" max="9"/>
    <col hidden="1" width="4" customWidth="1" min="10" max="10"/>
    <col hidden="1" width="4" customWidth="1" min="11" max="11"/>
    <col width="3" customWidth="1" min="12" max="12"/>
    <col width="12" customWidth="1" min="13" max="13"/>
    <col width="14" customWidth="1" min="14" max="14"/>
    <col width="10" customWidth="1" min="15" max="15"/>
    <col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Fewest loans, worse at and better at each have a value worked out from this extract,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For each level: its dollar line, how many pockets have charge-offs above their share that reach it, and their part of all such dollars. It follows your answer live.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The smallest significant gap in a typical pocket (suggested)</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102" t="inlineStr">
        <is>
          <t>1.34 (worked out from this book)</t>
        </is>
      </c>
      <c r="G15" s="35" t="inlineStr">
        <is>
          <t>worse_at</t>
        </is>
      </c>
      <c r="H15" s="34" t="n"/>
      <c r="I15" s="36" t="inlineStr">
        <is>
          <t>suggested: 1.34x, from this extract at the last Run</t>
        </is>
      </c>
      <c r="J15">
        <f>IF(AND(TRUE,$C15="",OR($D15="",$D15="n/a")),1,0)</f>
        <v/>
      </c>
      <c r="K15" t="n">
        <v>1.34</v>
      </c>
      <c r="M15" s="31">
        <f>IFERROR("0.5%"&amp;IF(AND(materiality_kind="share",ABS(materiality_share-0.005)&lt;1E-9)," ◂",""),"0.5%")</f>
        <v/>
      </c>
      <c r="N15" s="72">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t="18" customHeight="1">
      <c r="B16" s="31" t="inlineStr">
        <is>
          <t>How much better than its comparison a pocket must be</t>
        </is>
      </c>
      <c r="C16" s="32" t="inlineStr">
        <is>
          <t>The smallest significant gap in a typical pocket (suggested)</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102" t="inlineStr">
        <is>
          <t>0.75 (worked out from this book)</t>
        </is>
      </c>
      <c r="G16" s="35" t="inlineStr">
        <is>
          <t>better_at</t>
        </is>
      </c>
      <c r="H16" s="34" t="n"/>
      <c r="I16" s="36" t="inlineStr">
        <is>
          <t>suggested: 0.75x, from this extract at the last Run</t>
        </is>
      </c>
      <c r="J16">
        <f>IF(AND($C$33="Where the book bleeds",$C16="",OR($D16="",$D16="n/a")),1,0)</f>
        <v/>
      </c>
      <c r="K16" t="n">
        <v>0.75</v>
      </c>
      <c r="M16" s="31">
        <f>IFERROR("1%"&amp;IF(AND(materiality_kind="share",ABS(materiality_share-0.01)&lt;1E-9)," ◂",""),"1%")</f>
        <v/>
      </c>
      <c r="N16" s="72">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102" t="inlineStr">
        <is>
          <t>each pocket's own test</t>
        </is>
      </c>
      <c r="G17" s="35" t="inlineStr">
        <is>
          <t>revenue_line</t>
        </is>
      </c>
      <c r="H17" s="34" t="n"/>
      <c r="I17" s="34" t="n"/>
      <c r="J17">
        <f>IF(AND($C$33="Where the book bleeds",$C17="",OR($D17="",$D17="n/a")),1,0)</f>
        <v/>
      </c>
      <c r="M17" s="31">
        <f>IFERROR("2%"&amp;IF(AND(materiality_kind="share",ABS(materiality_share-0.02)&lt;1E-9)," ◂",""),"2%")</f>
        <v/>
      </c>
      <c r="N17" s="72">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 sure</t>
        </is>
      </c>
      <c r="D18" s="22" t="n"/>
      <c r="E18" s="33">
        <f>IF(NOT(TRUE),"",IF(AND($D$18&lt;&gt;"",$D$18&lt;&gt;"n/a"),$D$18,IF($C$18="","",IF(ISNA(IFERROR(MATCH($G$18&amp;"|"&amp;$C$18,_options!$A:$A,0),MATCH($G$18&amp;"|"&amp;IFERROR(VALUE($C$18),$C$18),_options!$H:$H,0))),"not an option",""))))</f>
        <v/>
      </c>
      <c r="F18" s="102" t="inlineStr">
        <is>
          <t>95% sure</t>
        </is>
      </c>
      <c r="G18" s="35" t="inlineStr">
        <is>
          <t>confidence</t>
        </is>
      </c>
      <c r="H18" s="34" t="n"/>
      <c r="I18" s="34" t="n"/>
      <c r="J18">
        <f>IF(AND(TRUE,$C18="",OR($D18="",$D18="n/a")),1,0)</f>
        <v/>
      </c>
      <c r="M18" s="31">
        <f>IFERROR("5%"&amp;IF(AND(materiality_kind="share",ABS(materiality_share-0.05)&lt;1E-9)," ◂",""),"5%")</f>
        <v/>
      </c>
      <c r="N18" s="72">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102" t="inlineStr">
        <is>
          <t>1% of the book's total losses</t>
        </is>
      </c>
      <c r="G19" s="35" t="inlineStr">
        <is>
          <t>materiality</t>
        </is>
      </c>
      <c r="H19" s="34" t="n"/>
      <c r="I19" s="34" t="n"/>
      <c r="J19">
        <f>IF(AND(TRUE,$C19="",OR($D19="",$D19="n/a")),1,0)</f>
        <v/>
      </c>
      <c r="M19" s="31">
        <f>IFERROR("10%"&amp;IF(AND(materiality_kind="share",ABS(materiality_share-0.1)&lt;1E-9)," ◂",""),"10%")</f>
        <v/>
      </c>
      <c r="N19" s="72">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102" t="inlineStr">
        <is>
          <t>The rest of its band</t>
        </is>
      </c>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t="18" customHeight="1">
      <c r="B24" s="31" t="inlineStr">
        <is>
          <t>Fewest loans in a pocket for the usual test (smaller ones get the exact test)</t>
        </is>
      </c>
      <c r="C24" s="44" t="inlineStr">
        <is>
          <t>Enough for 5 expected losses (suggested)</t>
        </is>
      </c>
      <c r="D24" s="23" t="n"/>
      <c r="E24" s="33" t="n"/>
      <c r="F24" s="102" t="inlineStr">
        <is>
          <t>65 (worked out from this book)</t>
        </is>
      </c>
      <c r="G24" s="35" t="inlineStr">
        <is>
          <t>min_loans</t>
        </is>
      </c>
      <c r="H24" s="34">
        <f>IF(OR(NOT($C$33="Where the book bleeds"),AND($C$33="Where the book bleeds",$C24="",OR($D24="",$D24="n/a"))),"",IFERROR(IF(IF(AND($D$24&lt;&gt;"",$D$24&lt;&gt;"n/a"),$D$24,$C$24)&amp;""=INDEX(_used!$B:$B,MATCH($G$24,_used!$A:$A,0))&amp;"","Same as last Run","↻ Waiting for a Run"),""))</f>
        <v/>
      </c>
      <c r="I24" s="36" t="inlineStr">
        <is>
          <t>suggested: 65, from this extract at the last Run</t>
        </is>
      </c>
      <c r="J24">
        <f>IF(AND($C$33="Where the book bleeds",$C24="",OR($D24="",$D24="n/a")),1,0)</f>
        <v/>
      </c>
      <c r="K24">
        <f>IF($H24="↻ Waiting for a Run",$B24&amp;": "&amp;INDEX(_used!$C:$C,MATCH($G$24,_used!$A:$A,0))&amp;" → "&amp;IF(AND($D$24&lt;&gt;"",$D$24&lt;&gt;"n/a"),$D$24,$C$24)&amp;" (Control C24); ","")</f>
        <v/>
      </c>
    </row>
    <row r="25" ht="18" customHeight="1">
      <c r="B25" s="31" t="inlineStr">
        <is>
          <t>Fewest loans with a loss before a loss rate is tested</t>
        </is>
      </c>
      <c r="C25" s="44" t="inlineStr">
        <is>
          <t>10 losses</t>
        </is>
      </c>
      <c r="D25" s="23" t="n"/>
      <c r="E25" s="33" t="n"/>
      <c r="F25" s="102" t="inlineStr">
        <is>
          <t>10 losses</t>
        </is>
      </c>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102"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102"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t="18" customHeight="1">
      <c r="B28" s="31" t="inlineStr">
        <is>
          <t>How often a real gap should be caught</t>
        </is>
      </c>
      <c r="C28" s="44" t="inlineStr">
        <is>
          <t>80% of the time (recommended)</t>
        </is>
      </c>
      <c r="D28" s="23" t="n"/>
      <c r="E28" s="33" t="n"/>
      <c r="F28" s="102" t="inlineStr">
        <is>
          <t>80% of the time</t>
        </is>
      </c>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102"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idden="1" ht="18" customHeight="1">
      <c r="B30" s="31" t="inlineStr">
        <is>
          <t>Loans made before this date find the candidates; the rest are held back</t>
        </is>
      </c>
      <c r="C30" s="44" t="n"/>
      <c r="D30" s="73" t="n"/>
      <c r="E30" s="33" t="n"/>
      <c r="F30" s="102" t="n"/>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2024-11-01 (5,641 loans before, 2,359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Where the book bleeds</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idden="1" ht="18" customHeight="1">
      <c r="B34" s="49" t="inlineStr">
        <is>
          <t>Scout first, or test from a pre-spec already written?</t>
        </is>
      </c>
      <c r="C34" s="50" t="n"/>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 ORIG_BAL</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 ASSET_CLASS</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inlineStr">
        <is>
          <t>SYS_FLAG</t>
        </is>
      </c>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idden="1" ht="18" customHeight="1">
      <c r="B38" s="49" t="inlineStr">
        <is>
          <t>Tested against</t>
        </is>
      </c>
      <c r="C38" s="50" t="n"/>
      <c r="D38" s="51" t="n"/>
      <c r="E38" s="51" t="n"/>
      <c r="F38" s="51" t="n"/>
      <c r="G38" s="35" t="inlineStr">
        <is>
          <t>launcher|outcome</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idden="1" ht="18" customHeight="1">
      <c r="B39" s="49" t="inlineStr">
        <is>
          <t>Inputs tested</t>
        </is>
      </c>
      <c r="C39" s="50" t="n"/>
      <c r="D39" s="51" t="n"/>
      <c r="E39" s="51" t="n"/>
      <c r="F39" s="51" t="n"/>
      <c r="G39" s="35" t="inlineStr">
        <is>
          <t>launcher|test</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idden="1" ht="18" customHeight="1">
      <c r="B40" s="49" t="inlineStr">
        <is>
          <t>Held fixed</t>
        </is>
      </c>
      <c r="C40" s="50" t="n"/>
      <c r="D40" s="51" t="n"/>
      <c r="E40" s="51" t="n"/>
      <c r="F40" s="51" t="n"/>
      <c r="G40" s="35" t="inlineStr">
        <is>
          <t>launcher|hold</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idden="1" ht="18" customHeight="1">
      <c r="B41" s="49" t="inlineStr">
        <is>
          <t>Saved shortlist (pre-spec file)</t>
        </is>
      </c>
      <c r="C41" s="50" t="n"/>
      <c r="D41" s="51" t="n"/>
      <c r="E41" s="51" t="n"/>
      <c r="F41" s="51" t="n"/>
      <c r="G41" s="35" t="inlineStr">
        <is>
          <t>prespec</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t="18" customHeight="1">
      <c r="B42" s="49" t="inlineStr">
        <is>
          <t>Number columns: this many values or fewer is a category; more is cut into bands</t>
        </is>
      </c>
      <c r="C42" s="50" t="inlineStr">
        <is>
          <t>12 values</t>
        </is>
      </c>
      <c r="D42" s="51" t="n"/>
      <c r="E42" s="51" t="n"/>
      <c r="F42" s="51" t="n"/>
      <c r="G42" s="35" t="inlineStr">
        <is>
          <t>few_values</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Text columns: more values than this is too many to cut by (text is never cut into bands)</t>
        </is>
      </c>
      <c r="C43" s="50" t="inlineStr">
        <is>
          <t>50 values</t>
        </is>
      </c>
      <c r="D43" s="51" t="n"/>
      <c r="E43" s="51" t="n"/>
      <c r="F43" s="51" t="n"/>
      <c r="G43" s="35" t="inlineStr">
        <is>
          <t>many_values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3">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31"/>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2" customWidth="1" min="2" max="2"/>
    <col width="26" customWidth="1" min="3" max="3"/>
    <col width="20" customWidth="1" min="4" max="4"/>
    <col width="51.3" customWidth="1" min="5" max="5"/>
    <col width="7" customWidth="1" min="6" max="6"/>
    <col width="20" customWidth="1" min="7" max="7"/>
    <col width="11" customWidth="1" min="8" max="8"/>
    <col width="16" customWidth="1" min="9" max="9"/>
    <col width="13" customWidth="1" min="10" max="10"/>
    <col width="9" customWidth="1" min="11" max="11"/>
    <col width="60" customWidth="1" min="12" max="12"/>
    <col width="12" customWidth="1" min="13" max="13"/>
    <col width="15"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54" t="inlineStr">
        <is>
          <t>Run won't start until this is Yes. Only the columns this Run uses are shown; 1 not picked in the launcher are hidden.</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0.000125</v>
      </c>
      <c r="G14" s="31" t="inlineStr">
        <is>
          <t>-9999 on 160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Branch</t>
        </is>
      </c>
      <c r="D15" s="23" t="inlineStr">
        <is>
          <t>Category</t>
        </is>
      </c>
      <c r="E15" s="58" t="inlineStr">
        <is>
          <t>3 different values</t>
        </is>
      </c>
      <c r="F15" s="39" t="n">
        <v>0</v>
      </c>
      <c r="G15" s="31" t="n"/>
      <c r="H15" s="38" t="n"/>
      <c r="I15" s="59" t="n"/>
      <c r="J15" s="38" t="inlineStr">
        <is>
          <t>Yes · 1 Run</t>
        </is>
      </c>
      <c r="K15" s="23" t="inlineStr">
        <is>
          <t>No</t>
        </is>
      </c>
      <c r="L15" s="58" t="inlineStr">
        <is>
          <t>suggested as Category from its shape alone (3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0.000125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picked and confirmed in the launcher as the outcome</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7,999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595 loans</t>
        </is>
      </c>
      <c r="H19" s="23" t="inlineStr">
        <is>
          <t>Real</t>
        </is>
      </c>
      <c r="I19" s="59" t="n"/>
      <c r="J19" s="38" t="inlineStr">
        <is>
          <t>Yes · 1 Run</t>
        </is>
      </c>
      <c r="K19" s="23" t="inlineStr">
        <is>
          <t>No</t>
        </is>
      </c>
      <c r="L19" s="58" t="n"/>
      <c r="M19" s="38" t="n"/>
      <c r="N19" s="38" t="n"/>
      <c r="O19" s="38" t="n"/>
      <c r="P19" s="31" t="n"/>
      <c r="Q19" t="inlineStr">
        <is>
          <t>ranr</t>
        </is>
      </c>
      <c r="S19" t="inlineStr">
        <is>
          <t>RANR_AMT|negatives|</t>
        </is>
      </c>
    </row>
    <row r="20"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idden="1" ht="18" customHeight="1">
      <c r="B21" s="57" t="inlineStr">
        <is>
          <t>REV_DEBT</t>
        </is>
      </c>
      <c r="C21" s="58" t="inlineStr">
        <is>
          <t>15868.86, 12884.7, 8920.97</t>
        </is>
      </c>
      <c r="D21" s="23" t="inlineStr">
        <is>
          <t>Amount or number</t>
        </is>
      </c>
      <c r="E21" s="58" t="inlineStr">
        <is>
          <t>numbers with 7,889 values</t>
        </is>
      </c>
      <c r="F21" s="39" t="n">
        <v>0</v>
      </c>
      <c r="G21" s="31" t="n"/>
      <c r="H21" s="38" t="n"/>
      <c r="I21" s="60" t="n"/>
      <c r="J21" s="38" t="inlineStr">
        <is>
          <t>Yes · 1 Run</t>
        </is>
      </c>
      <c r="K21" s="23" t="inlineStr">
        <is>
          <t>No</t>
        </is>
      </c>
      <c r="L21" s="58" t="inlineStr">
        <is>
          <t>suggested as Amount or number from its shape alone (numbers with 7,889 values). If it's something more specific, say so and it will be remembered.</t>
        </is>
      </c>
      <c r="M21" s="38" t="n"/>
      <c r="N21" s="38" t="n"/>
      <c r="O21" s="38" t="n"/>
      <c r="P21" s="31" t="n"/>
      <c r="Q21" t="inlineStr">
        <is>
          <t>amount</t>
        </is>
      </c>
    </row>
    <row r="22" ht="18" customHeight="1">
      <c r="B22" s="57" t="inlineStr">
        <is>
          <t>ORIG_DATE</t>
        </is>
      </c>
      <c r="C22" s="58" t="inlineStr">
        <is>
          <t>2021-11-18, 2024-06-24, 2023-07-12</t>
        </is>
      </c>
      <c r="D22" s="23" t="inlineStr">
        <is>
          <t>Origination date</t>
        </is>
      </c>
      <c r="E22" s="58" t="inlineStr">
        <is>
          <t>name contains 'orig'; dates</t>
        </is>
      </c>
      <c r="F22" s="39" t="n">
        <v>0</v>
      </c>
      <c r="G22" s="31" t="n"/>
      <c r="H22" s="38" t="n"/>
      <c r="I22" s="59" t="n"/>
      <c r="J22" s="38" t="inlineStr">
        <is>
          <t>Yes · 1 Run</t>
        </is>
      </c>
      <c r="K22" s="23" t="inlineStr">
        <is>
          <t>No</t>
        </is>
      </c>
      <c r="L22" s="58" t="n"/>
      <c r="M22" s="38" t="n"/>
      <c r="N22" s="38" t="n"/>
      <c r="O22" s="38" t="n"/>
      <c r="P22" s="31" t="n"/>
      <c r="Q22" t="inlineStr">
        <is>
          <t>origination_date</t>
        </is>
      </c>
    </row>
    <row r="23" ht="18" customHeight="1">
      <c r="B23" s="57" t="inlineStr">
        <is>
          <t>SYS_FLAG</t>
        </is>
      </c>
      <c r="C23" s="58" t="inlineStr">
        <is>
          <t>N, Y</t>
        </is>
      </c>
      <c r="D23" s="23" t="inlineStr">
        <is>
          <t>Category</t>
        </is>
      </c>
      <c r="E23" s="58" t="inlineStr">
        <is>
          <t>2 different values</t>
        </is>
      </c>
      <c r="F23" s="39" t="n">
        <v>0</v>
      </c>
      <c r="G23" s="31" t="n"/>
      <c r="H23" s="38" t="n"/>
      <c r="I23" s="59" t="n"/>
      <c r="J23" s="38" t="inlineStr">
        <is>
          <t>Yes · 1 Run</t>
        </is>
      </c>
      <c r="K23" s="23" t="inlineStr">
        <is>
          <t>No</t>
        </is>
      </c>
      <c r="L23" s="58" t="inlineStr">
        <is>
          <t>suggested as Category from its shape alone (2 different values). If it's something more specific, say so and it will be remembered.</t>
        </is>
      </c>
      <c r="M23" s="38" t="n"/>
      <c r="N23" s="38" t="n"/>
      <c r="O23" s="38" t="n"/>
      <c r="P23" s="31" t="n"/>
      <c r="Q23" t="inlineStr">
        <is>
          <t>category</t>
        </is>
      </c>
    </row>
    <row r="24">
      <c r="S24" t="inlineStr">
        <is>
          <t>table|end</t>
        </is>
      </c>
    </row>
    <row r="25"/>
    <row r="26" ht="20" customHeight="1">
      <c r="B26" s="25" t="inlineStr">
        <is>
          <t>Add a column: one divided by another</t>
        </is>
      </c>
      <c r="C26" s="26" t="n"/>
      <c r="D26" s="26" t="n"/>
      <c r="E26" s="26" t="n"/>
      <c r="F26" s="26" t="n"/>
      <c r="S26" t="inlineStr">
        <is>
          <t>derived|head</t>
        </is>
      </c>
    </row>
    <row r="27">
      <c r="B27" s="41" t="inlineStr">
        <is>
          <t>Shows here and on Look, and in Choose tests, once you press Set up again. Blank where the bottom is zero or blank.</t>
        </is>
      </c>
      <c r="S27" t="inlineStr">
        <is>
          <t>derived|note</t>
        </is>
      </c>
    </row>
    <row r="28">
      <c r="B28" s="29" t="inlineStr">
        <is>
          <t>New column name ↻</t>
        </is>
      </c>
      <c r="C28" s="29" t="inlineStr">
        <is>
          <t>Top (divided)</t>
        </is>
      </c>
      <c r="D28" s="29" t="inlineStr">
        <is>
          <t>Bottom (divided by)</t>
        </is>
      </c>
      <c r="E28" s="29" t="inlineStr">
        <is>
          <t>What it makes</t>
        </is>
      </c>
      <c r="S28" t="inlineStr">
        <is>
          <t>derived|cols</t>
        </is>
      </c>
    </row>
    <row r="29" ht="18" customHeight="1">
      <c r="B29" s="61" t="n"/>
      <c r="C29" s="61" t="n"/>
      <c r="D29" s="61" t="n"/>
      <c r="E29" s="62">
        <f>IF(COUNTA(B29:D29)=0,"",IF(COUNTA(B29:D29)&lt;3,"Needs a name, a top and a bottom.",B29&amp;" = "&amp;C29&amp;" ÷ "&amp;D29&amp;" on each loan."))</f>
        <v/>
      </c>
      <c r="F29" s="63" t="n"/>
      <c r="S29" t="inlineStr">
        <is>
          <t>derived|1</t>
        </is>
      </c>
    </row>
    <row r="30" ht="18" customHeight="1">
      <c r="B30" s="61" t="n"/>
      <c r="C30" s="61" t="n"/>
      <c r="D30" s="61" t="n"/>
      <c r="E30" s="62">
        <f>IF(COUNTA(B30:D30)=0,"",IF(COUNTA(B30:D30)&lt;3,"Needs a name, a top and a bottom.",B30&amp;" = "&amp;C30&amp;" ÷ "&amp;D30&amp;" on each loan."))</f>
        <v/>
      </c>
      <c r="F30" s="63" t="n"/>
      <c r="S30" t="inlineStr">
        <is>
          <t>derived|2</t>
        </is>
      </c>
    </row>
    <row r="31" ht="18" customHeight="1">
      <c r="B31" s="61" t="n"/>
      <c r="C31" s="61" t="n"/>
      <c r="D31" s="61" t="n"/>
      <c r="E31" s="62">
        <f>IF(COUNTA(B31:D31)=0,"",IF(COUNTA(B31:D31)&lt;3,"Needs a name, a top and a bottom.",B31&amp;" = "&amp;C31&amp;" ÷ "&amp;D31&amp;" on each loan."))</f>
        <v/>
      </c>
      <c r="F31" s="63" t="n"/>
      <c r="S31"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23">
    <cfRule type="expression" priority="2" dxfId="2">
      <formula>AND($S13&lt;&gt;"",$H13="")</formula>
    </cfRule>
  </conditionalFormatting>
  <conditionalFormatting sqref="L13:L23">
    <cfRule type="expression" priority="3" dxfId="2">
      <formula>L13&lt;&gt;""</formula>
    </cfRule>
  </conditionalFormatting>
  <conditionalFormatting sqref="B29:D29">
    <cfRule type="expression" priority="4" dxfId="2">
      <formula>AND(B29="",COUNTA($B29:$D29)&gt;0)</formula>
    </cfRule>
  </conditionalFormatting>
  <conditionalFormatting sqref="B30:D30">
    <cfRule type="expression" priority="5" dxfId="2">
      <formula>AND(B30="",COUNTA($B30:$D30)&gt;0)</formula>
    </cfRule>
  </conditionalFormatting>
  <conditionalFormatting sqref="B31:D31">
    <cfRule type="expression" priority="6" dxfId="2">
      <formula>AND(B31="",COUNTA($B31:$D31)&gt;0)</formula>
    </cfRule>
  </conditionalFormatting>
  <dataValidations count="7">
    <dataValidation sqref="C3" showDropDown="0" showInputMessage="0" showErrorMessage="1" allowBlank="1" type="list">
      <formula1>"Yes,No"</formula1>
    </dataValidation>
    <dataValidation sqref="D13 D14 D15 D16 D17 D18 D19 D20 D21 D22 D23" showDropDown="0" showInputMessage="0" showErrorMessage="1" allowBlank="0" error="Pick one of the meanings in the list." type="list">
      <formula1>='_meanings'!$A$1:$A$19</formula1>
    </dataValidation>
    <dataValidation sqref="N13 N14 N15 N16 N17 N18 N19 N20 N21 N22 N23" showDropDown="0" showInputMessage="0" showErrorMessage="1" allowBlank="1" type="list">
      <formula1>"median,average"</formula1>
    </dataValidation>
    <dataValidation sqref="O13 O14 O15 O16 O17 O18 O19 O20 O21 O22 O23" showDropDown="0" showInputMessage="0" showErrorMessage="1" allowBlank="1" error="Pick per year, per month or one-time, or leave it blank." type="list">
      <formula1>"per year,per month,one-time"</formula1>
    </dataValidation>
    <dataValidation sqref="H14 H19" showDropDown="0" showInputMessage="0" showErrorMessage="1" allowBlank="1" error="Pick Real or Missing, or leave it blank to use the values as recorded." type="list">
      <formula1>"Real,Missing"</formula1>
    </dataValidation>
    <dataValidation sqref="K13 K14 K15 K16 K17 K18 K19 K20 K21 K22 K23" showDropDown="0" showInputMessage="0" showErrorMessage="1" allowBlank="1" type="list">
      <formula1>"No,Yes"</formula1>
    </dataValidation>
    <dataValidation sqref="C29 C30 C31 D29 D30 D31" showDropDown="0" showInputMessage="0" showErrorMessage="1" allowBlank="1" errorTitle="Pick a column" error="Pick one of the extract's number columns from the list." type="list">
      <formula1>='_options'!$J$2:$J$8</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68"/>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26"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17" customHeight="1">
      <c r="B6" s="6" t="inlineStr">
        <is>
          <t>Red dashed lines</t>
        </is>
      </c>
      <c r="C6" s="7" t="inlineStr">
        <is>
          <t>The band edges typed on Columns. They follow that tab as you type, so you can try edges here before the next Run. Blank edges are cut at the Run, so no lines show.</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8000</v>
      </c>
    </row>
    <row r="12">
      <c r="B12" s="21" t="inlineStr">
        <is>
          <t>Blank</t>
        </is>
      </c>
      <c r="C12" s="66" t="n">
        <v>1</v>
      </c>
      <c r="D12" s="67" t="n">
        <v>0.000125</v>
      </c>
    </row>
    <row r="13">
      <c r="B13" s="21" t="inlineStr">
        <is>
          <t>Not a number</t>
        </is>
      </c>
      <c r="C13" s="66" t="n">
        <v>0</v>
      </c>
      <c r="D13" s="67" t="n">
        <v>0</v>
      </c>
    </row>
    <row r="14">
      <c r="B14" s="21" t="inlineStr">
        <is>
          <t>Likely a code</t>
        </is>
      </c>
      <c r="C14" s="66" t="inlineStr">
        <is>
          <t>none found</t>
        </is>
      </c>
    </row>
    <row r="15">
      <c r="B15" s="21" t="inlineStr">
        <is>
          <t>Smallest</t>
        </is>
      </c>
      <c r="C15" s="66" t="n">
        <v>496</v>
      </c>
    </row>
    <row r="16">
      <c r="B16" s="21" t="inlineStr">
        <is>
          <t>Median</t>
        </is>
      </c>
      <c r="C16" s="66" t="n">
        <v>699</v>
      </c>
    </row>
    <row r="17">
      <c r="B17" s="21" t="inlineStr">
        <is>
          <t>Mean</t>
        </is>
      </c>
      <c r="C17" s="66" t="n">
        <v>699.750988646511</v>
      </c>
    </row>
    <row r="18">
      <c r="B18" s="21" t="inlineStr">
        <is>
          <t>Largest</t>
        </is>
      </c>
      <c r="C18" s="66" t="n">
        <v>921</v>
      </c>
    </row>
    <row r="19">
      <c r="B19" s="21" t="inlineStr">
        <is>
          <t>Answered missing, left out</t>
        </is>
      </c>
      <c r="C19" s="66" t="n">
        <v>160</v>
      </c>
      <c r="D19" s="67" t="n">
        <v>0.02</v>
      </c>
    </row>
    <row r="20">
      <c r="B20" s="21" t="inlineStr">
        <is>
          <t>Bars</t>
        </is>
      </c>
      <c r="C20" s="68" t="n">
        <v>20</v>
      </c>
    </row>
    <row r="21">
      <c r="B21" s="21" t="inlineStr">
        <is>
          <t>From</t>
        </is>
      </c>
      <c r="C21" s="69" t="n">
        <v>550</v>
      </c>
    </row>
    <row r="22">
      <c r="B22" s="21" t="inlineStr">
        <is>
          <t>To</t>
        </is>
      </c>
      <c r="C22" s="69" t="n">
        <v>850</v>
      </c>
    </row>
    <row r="29" ht="18" customHeight="1">
      <c r="B29" s="64" t="inlineStr">
        <is>
          <t>ORIG_BAL</t>
        </is>
      </c>
      <c r="C29" s="65" t="n"/>
      <c r="D29" s="65" t="n"/>
      <c r="H29" s="41">
        <f>IF('_look'!$S$20="","ORIG_BAL · no edges on Columns yet","ORIG_BAL · edges now "&amp;'_look'!$S$20)</f>
        <v/>
      </c>
    </row>
    <row r="30">
      <c r="B30" s="21" t="inlineStr">
        <is>
          <t>Loans</t>
        </is>
      </c>
      <c r="C30" s="66" t="n">
        <v>8000</v>
      </c>
    </row>
    <row r="31">
      <c r="B31" s="21" t="inlineStr">
        <is>
          <t>Blank</t>
        </is>
      </c>
      <c r="C31" s="66" t="n">
        <v>1</v>
      </c>
      <c r="D31" s="67" t="n">
        <v>0.000125</v>
      </c>
    </row>
    <row r="32">
      <c r="B32" s="21" t="inlineStr">
        <is>
          <t>Not a number</t>
        </is>
      </c>
      <c r="C32" s="66" t="n">
        <v>0</v>
      </c>
      <c r="D32" s="67" t="n">
        <v>0</v>
      </c>
    </row>
    <row r="33">
      <c r="B33" s="21" t="inlineStr">
        <is>
          <t>Likely a code</t>
        </is>
      </c>
      <c r="C33" s="66" t="inlineStr">
        <is>
          <t>none found</t>
        </is>
      </c>
    </row>
    <row r="34">
      <c r="B34" s="21" t="inlineStr">
        <is>
          <t>Smallest</t>
        </is>
      </c>
      <c r="C34" s="66" t="n">
        <v>5005.32</v>
      </c>
    </row>
    <row r="35">
      <c r="B35" s="21" t="inlineStr">
        <is>
          <t>Median</t>
        </is>
      </c>
      <c r="C35" s="66" t="n">
        <v>32112.83</v>
      </c>
    </row>
    <row r="36">
      <c r="B36" s="21" t="inlineStr">
        <is>
          <t>Mean</t>
        </is>
      </c>
      <c r="C36" s="66" t="n">
        <v>32262.58857732217</v>
      </c>
    </row>
    <row r="37">
      <c r="B37" s="21" t="inlineStr">
        <is>
          <t>Largest</t>
        </is>
      </c>
      <c r="C37" s="66" t="n">
        <v>59983.86</v>
      </c>
    </row>
    <row r="39">
      <c r="B39" s="21" t="inlineStr">
        <is>
          <t>Bars</t>
        </is>
      </c>
      <c r="C39" s="68" t="n">
        <v>20</v>
      </c>
    </row>
    <row r="40">
      <c r="B40" s="21" t="inlineStr">
        <is>
          <t>From</t>
        </is>
      </c>
      <c r="C40" s="69" t="n">
        <v>0</v>
      </c>
    </row>
    <row r="41">
      <c r="B41" s="21" t="inlineStr">
        <is>
          <t>To</t>
        </is>
      </c>
      <c r="C41" s="69" t="n">
        <v>60000</v>
      </c>
    </row>
    <row r="48" ht="18" customHeight="1">
      <c r="B48" s="64" t="inlineStr">
        <is>
          <t>REV_DEBT</t>
        </is>
      </c>
      <c r="C48" s="65" t="n"/>
      <c r="D48" s="65" t="n"/>
      <c r="H48" s="41">
        <f>IF('_look'!$AF$20="","REV_DEBT · no edges on Columns yet","REV_DEBT · edges now "&amp;'_look'!$AF$20)</f>
        <v/>
      </c>
    </row>
    <row r="49">
      <c r="B49" s="21" t="inlineStr">
        <is>
          <t>Loans</t>
        </is>
      </c>
      <c r="C49" s="66" t="n">
        <v>8000</v>
      </c>
    </row>
    <row r="50">
      <c r="B50" s="21" t="inlineStr">
        <is>
          <t>Blank</t>
        </is>
      </c>
      <c r="C50" s="66" t="n">
        <v>0</v>
      </c>
      <c r="D50" s="67" t="n">
        <v>0</v>
      </c>
    </row>
    <row r="51">
      <c r="B51" s="21" t="inlineStr">
        <is>
          <t>Not a number</t>
        </is>
      </c>
      <c r="C51" s="66" t="n">
        <v>0</v>
      </c>
      <c r="D51" s="67" t="n">
        <v>0</v>
      </c>
    </row>
    <row r="52">
      <c r="B52" s="21" t="inlineStr">
        <is>
          <t>Likely a code</t>
        </is>
      </c>
      <c r="C52" s="66" t="inlineStr">
        <is>
          <t>none found</t>
        </is>
      </c>
    </row>
    <row r="53">
      <c r="B53" s="21" t="inlineStr">
        <is>
          <t>Smallest</t>
        </is>
      </c>
      <c r="C53" s="66" t="n">
        <v>0</v>
      </c>
    </row>
    <row r="54">
      <c r="B54" s="21" t="inlineStr">
        <is>
          <t>Median</t>
        </is>
      </c>
      <c r="C54" s="66" t="n">
        <v>11392.84</v>
      </c>
    </row>
    <row r="55">
      <c r="B55" s="21" t="inlineStr">
        <is>
          <t>Mean</t>
        </is>
      </c>
      <c r="C55" s="66" t="n">
        <v>12064.48326875</v>
      </c>
    </row>
    <row r="56">
      <c r="B56" s="21" t="inlineStr">
        <is>
          <t>Largest</t>
        </is>
      </c>
      <c r="C56" s="66" t="n">
        <v>48521.79</v>
      </c>
    </row>
    <row r="58">
      <c r="B58" s="21" t="inlineStr">
        <is>
          <t>Bars</t>
        </is>
      </c>
      <c r="C58" s="68" t="n">
        <v>20</v>
      </c>
    </row>
    <row r="59">
      <c r="B59" s="21" t="inlineStr">
        <is>
          <t>From</t>
        </is>
      </c>
      <c r="C59" s="69" t="n">
        <v>0</v>
      </c>
    </row>
    <row r="60">
      <c r="B60" s="21" t="inlineStr">
        <is>
          <t>To</t>
        </is>
      </c>
      <c r="C60" s="69" t="n">
        <v>30000</v>
      </c>
    </row>
    <row r="67" ht="18" customHeight="1">
      <c r="B67" s="64" t="inlineStr">
        <is>
          <t>SYS_FLAG splits the pockets</t>
        </is>
      </c>
      <c r="C67" s="65" t="n"/>
      <c r="D67" s="65" t="n"/>
    </row>
    <row r="68">
      <c r="B68" s="14" t="inlineStr">
        <is>
          <t>SYS_FLAG isn't a number column, so it has no scatter. Pockets shows it value by value (Pockets: Split by SYS_FLAG).</t>
        </is>
      </c>
    </row>
  </sheetData>
  <mergeCells count="5">
    <mergeCell ref="C7:Q7"/>
    <mergeCell ref="C6:Q6"/>
    <mergeCell ref="C5:Q5"/>
    <mergeCell ref="C8:Q8"/>
    <mergeCell ref="C4:Q4"/>
  </mergeCells>
  <dataValidations count="1">
    <dataValidation sqref="C20 C39 C58"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1" manualBreakCount="1">
    <brk id="46"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U121"/>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5" customWidth="1" min="2" max="2"/>
    <col width="24" customWidth="1" min="3" max="3"/>
    <col width="20" customWidth="1" min="4" max="4"/>
    <col width="18" customWidth="1" min="5" max="5"/>
    <col width="9" customWidth="1" min="6" max="6"/>
    <col width="11" customWidth="1" min="7" max="7"/>
    <col width="12" customWidth="1" min="8" max="8"/>
    <col width="14" customWidth="1" min="9" max="9"/>
    <col width="22" customWidth="1" min="10" max="10"/>
    <col width="14" customWidth="1" min="11" max="11"/>
    <col width="12" customWidth="1" min="12" max="12"/>
    <col width="11" customWidth="1" min="13" max="13"/>
    <col width="16" customWidth="1" min="14" max="14"/>
    <col width="26" customWidth="1" min="15" max="15"/>
    <col hidden="1" width="13" customWidth="1" min="18" max="18"/>
    <col hidden="1" width="13" customWidth="1" min="19" max="19"/>
    <col hidden="1" width="13" customWidth="1" min="20" max="20"/>
    <col hidden="1" width="13" customWidth="1" min="21" max="21"/>
  </cols>
  <sheetData>
    <row r="1" ht="30" customHeight="1">
      <c r="B1" s="3" t="n"/>
      <c r="C1" s="1" t="inlineStr">
        <is>
          <t>Pockets</t>
        </is>
      </c>
      <c r="D1" s="2" t="inlineStr">
        <is>
          <t>Which pockets lose more than their share, how much, and whether it's real and big enough to matter.</t>
        </is>
      </c>
      <c r="E1" s="3" t="n"/>
      <c r="F1" s="3" t="n"/>
      <c r="G1" s="3" t="n"/>
      <c r="H1" s="3" t="n"/>
      <c r="I1" s="3" t="n"/>
      <c r="J1" s="3" t="n"/>
      <c r="K1" s="3" t="n"/>
      <c r="L1" s="3" t="n"/>
      <c r="M1" s="3" t="n"/>
      <c r="N1" s="3" t="n"/>
      <c r="O1" s="3" t="n"/>
    </row>
    <row r="3" outlineLevel="1">
      <c r="C3" s="4" t="inlineStr">
        <is>
          <t>How this tab works</t>
        </is>
      </c>
      <c r="D3" s="5" t="n"/>
      <c r="E3" s="5" t="n"/>
      <c r="F3" s="5" t="n"/>
      <c r="G3" s="5" t="n"/>
      <c r="H3" s="5" t="n"/>
      <c r="I3" s="5" t="n"/>
      <c r="J3" s="5" t="n"/>
      <c r="K3" s="5" t="n"/>
      <c r="L3" s="5" t="n"/>
      <c r="M3" s="5" t="n"/>
      <c r="N3" s="5" t="n"/>
      <c r="O3" s="5" t="n"/>
    </row>
    <row r="4" outlineLevel="1" ht="31" customHeight="1">
      <c r="C4" s="6" t="inlineStr">
        <is>
          <t>A pocket</t>
        </is>
      </c>
      <c r="D4" s="7" t="inlineStr">
        <is>
          <t>One band of one column crossed with one segment of another, in every grid chosen in the launcher. Loans: how many are in it. Split by SYS_FLAG: each pocket split by each value of SYS_FLAG, each part tested like any other pocket.</t>
        </is>
      </c>
    </row>
    <row r="5" outlineLevel="1" ht="31" customHeight="1">
      <c r="C5" s="6" t="inlineStr">
        <is>
          <t>Rest of band</t>
        </is>
      </c>
      <c r="D5" s="7">
        <f>"Every other loan in the same band. Judged against on Control picks it or the rest of the book (every other loan in the book); now "&amp;IF(judged_band,"the rest of its band","the rest of the book")&amp;". It decides the gap, the excess and both verdicts. A pocket alone in its band has nothing beside it to compare with, so it is judged against the rest of the book, whatever Control says."</f>
        <v/>
      </c>
    </row>
    <row r="6" outlineLevel="1" ht="31" customHeight="1">
      <c r="C6" s="6" t="inlineStr">
        <is>
          <t>Excess</t>
        </is>
      </c>
      <c r="D6" s="7" t="inlineStr">
        <is>
          <t>What the pocket lost above what it would have lost at the rest's rate: bad loans for Bad loans, dollars for the dollar measures. For Kept after losses and Earned before losses, the dollars it fell short of the rest, and the gap is in points of booked dollars.</t>
        </is>
      </c>
    </row>
    <row r="7" outlineLevel="1" ht="31" customHeight="1">
      <c r="C7" s="6" t="inlineStr">
        <is>
          <t>Worse?</t>
        </is>
      </c>
      <c r="D7" s="7">
        <f>"Yes: at least "&amp;TEXT(worse_at,"0.00")&amp;"x the rest"&amp;" (for profit, short of it by the profit line on Control)"&amp;", with a p-value under "&amp;TEXT(significance_bar,"0%")&amp;". Not sure: the gap is there, but the p-value isn't under it. Too few losses: fewer than "&amp;"10 (a setting for the next Run), so not tested. No: anything else."</f>
        <v/>
      </c>
    </row>
    <row r="8" outlineLevel="1" ht="45" customHeight="1">
      <c r="C8" s="6" t="inlineStr">
        <is>
          <t>p-value</t>
        </is>
      </c>
      <c r="D8" s="7">
        <f>"The chance of a gap at least this big if the pocket were no different from the rest, after the allowance for testing many pockets at once (Benjamini-Hochberg, across one grid and one measure). Bad loans: the z test, or the exact test for a pocket und"&amp;"er 65 loans. Dollar measures: the loans are shuffled 10,000 times, within the band for the rest of its band, and it is how often a gap as big turned up."&amp;" Under "&amp;TEXT(significance_bar,"0%")&amp;" counts."</f>
        <v/>
      </c>
    </row>
    <row r="9" outlineLevel="1" ht="17" customHeight="1">
      <c r="C9" s="6" t="inlineStr">
        <is>
          <t>Material?</t>
        </is>
      </c>
      <c r="D9" s="7" t="inlineStr">
        <is>
          <t>Yes when the excess reaches the materiality line on Control (the Material at tile, in the measure's own unit). It is judged apart from Worse?: a pocket can be one without the other.</t>
        </is>
      </c>
    </row>
    <row r="10" outlineLevel="1" ht="17" customHeight="1">
      <c r="C10" s="6" t="inlineStr">
        <is>
          <t>Could have caught</t>
        </is>
      </c>
      <c r="D10" s="7" t="inlineStr">
        <is>
          <t>The smallest gap a pocket this size would catch 80% of the time at the last Run's confidence. As of the last Run.</t>
        </is>
      </c>
    </row>
    <row r="11" outlineLevel="1" ht="31" customHeight="1">
      <c r="C11" s="6" t="inlineStr">
        <is>
          <t>Order</t>
        </is>
      </c>
      <c r="D11" s="7" t="inlineStr">
        <is>
          <t>Sorted as of the last Run: worse pockets first, largest excess first, then the rest by their excess. Last come pockets losing more only against the other comparison, so that changing Judged against on Control finds them here. A change on Control updates Worse?, Material?, the dollars and the colours at once, not the order. The caption counts what the dropdowns pick.</t>
        </is>
      </c>
    </row>
    <row r="13" ht="15" customHeight="1">
      <c r="C13" s="103" t="inlineStr">
        <is>
          <t>LINES IN USE NOW</t>
        </is>
      </c>
      <c r="D13" s="96" t="inlineStr">
        <is>
          <t>Worse at</t>
        </is>
      </c>
      <c r="E13" s="96" t="inlineStr">
        <is>
          <t>Better at</t>
        </is>
      </c>
      <c r="F13" s="96" t="inlineStr">
        <is>
          <t>How sure</t>
        </is>
      </c>
      <c r="G13" s="97" t="n"/>
      <c r="H13" s="96" t="inlineStr">
        <is>
          <t>Material at</t>
        </is>
      </c>
      <c r="I13" s="97" t="n"/>
      <c r="J13" s="96" t="inlineStr">
        <is>
          <t>Judged against</t>
        </is>
      </c>
      <c r="K13" s="104" t="inlineStr">
        <is>
          <t>Order and "Could have caught" are from the last Run, 2026-09-29 21:05.</t>
        </is>
      </c>
    </row>
    <row r="14" ht="22" customHeight="1">
      <c r="C14" s="105" t="inlineStr">
        <is>
          <t>live from Control</t>
        </is>
      </c>
      <c r="D14" s="106">
        <f>worse_at</f>
        <v/>
      </c>
      <c r="E14" s="106">
        <f>better_at</f>
        <v/>
      </c>
      <c r="F14" s="107">
        <f>confidence</f>
        <v/>
      </c>
      <c r="H14" s="11">
        <f>IFERROR(IF(materiality_kind="none","No floor",IF(INDEX(line_values,MATCH($U$17,line_keys,0))="","No line",IF($U$19,TEXT(INDEX(line_values,MATCH($U$17,line_keys,0)),"#,##0.0")&amp;" bad loans","$"&amp;TEXT(INDEX(line_values,MATCH($U$17,line_keys,0)),"#,##0")))),"")</f>
        <v/>
      </c>
      <c r="J14" s="11">
        <f>IF(judged_band,"Rest of its band","Rest of the book")</f>
        <v/>
      </c>
      <c r="K14" s="108">
        <f>IFERROR(IF(COUNTIF(Status,"↻ Waiting for a Run")=0,"","↻ "&amp;COUNTIF(Status,"↻ Waiting for a Run")&amp;IF(COUNTIF(Status,"↻ Waiting for a Run")=1," Control change waits for a Run."," Control changes wait for a Run.")),"")</f>
        <v/>
      </c>
    </row>
    <row r="16">
      <c r="C16" s="109" t="inlineStr">
        <is>
          <t>MEASURE</t>
        </is>
      </c>
      <c r="D16" s="109" t="inlineStr">
        <is>
          <t>POCKETS</t>
        </is>
      </c>
      <c r="E16" s="109" t="inlineStr">
        <is>
          <t>SHOW</t>
        </is>
      </c>
    </row>
    <row r="17" ht="20" customHeight="1">
      <c r="C17" s="32" t="inlineStr">
        <is>
          <t>Bad loans</t>
        </is>
      </c>
      <c r="D17" s="32" t="inlineStr">
        <is>
          <t>Two-way</t>
        </is>
      </c>
      <c r="E17" s="32" t="inlineStr">
        <is>
          <t>All</t>
        </is>
      </c>
      <c r="F17" s="110">
        <f>IFERROR(COUNTIFS('_list'!$A$2:$A$676,'Pockets'!$D$17,'_list'!$B$2:$B$676,'Pockets'!$C$17,'_list'!$K$2:$K$676,"Yes",'_list'!$L$2:$L$676,"Yes")&amp;" worse and material · "&amp;COUNTIFS('_list'!$A$2:$A$676,'Pockets'!$D$17,'_list'!$B$2:$B$676,'Pockets'!$C$17,'_list'!$K$2:$K$676,"Yes")&amp;" worse · "&amp;SUM('_list'!$M$2:$M$676)&amp;" shown","")</f>
        <v/>
      </c>
      <c r="U17">
        <f>IFERROR(INDEX('_choices'!$B$2:$B$6,MATCH('Pockets'!$C$17,'_choices'!$A$2:$A$6,0)),"")</f>
        <v/>
      </c>
    </row>
    <row r="18">
      <c r="U18">
        <f>IFERROR(INDEX('_choices'!$C$2:$C$6,MATCH('Pockets'!$C$17,'_choices'!$A$2:$A$6,0))=1,FALSE)</f>
        <v/>
      </c>
    </row>
    <row r="19" ht="18" customHeight="1">
      <c r="B19" s="56" t="inlineStr">
        <is>
          <t>#</t>
        </is>
      </c>
      <c r="C19" s="55" t="inlineStr">
        <is>
          <t>Band</t>
        </is>
      </c>
      <c r="D19" s="55" t="inlineStr">
        <is>
          <t>Segment</t>
        </is>
      </c>
      <c r="E19" s="55">
        <f>IF('Pockets'!$D$17="Two-way","","SYS_FLAG")</f>
        <v/>
      </c>
      <c r="F19" s="56" t="inlineStr">
        <is>
          <t>Loans</t>
        </is>
      </c>
      <c r="G19" s="56" t="inlineStr">
        <is>
          <t>This pocket</t>
        </is>
      </c>
      <c r="H19" s="56">
        <f>IF(judged_band,"Rest of band","Rest of book")</f>
        <v/>
      </c>
      <c r="I19" s="56">
        <f>IF($U$18,"Gap in pts",IF(judged_band,"× rest of band","× rest of book"))</f>
        <v/>
      </c>
      <c r="J19" s="56">
        <f>IF($U$19,"Bad loans above share",IF($U$18,IF(judged_band,"Dollars short of band","Dollars short of book"),"Dollars above share"))</f>
        <v/>
      </c>
      <c r="K19" s="56" t="inlineStr">
        <is>
          <t>Worse?</t>
        </is>
      </c>
      <c r="L19" s="56" t="inlineStr">
        <is>
          <t>p-value</t>
        </is>
      </c>
      <c r="M19" s="56" t="inlineStr">
        <is>
          <t>Material?</t>
        </is>
      </c>
      <c r="N19" s="56" t="inlineStr">
        <is>
          <t>Could have caught</t>
        </is>
      </c>
      <c r="O19" s="56" t="inlineStr"/>
      <c r="U19">
        <f>IFERROR(INDEX('_choices'!$D$2:$D$6,MATCH('Pockets'!$C$17,'_choices'!$A$2:$A$6,0))=1,FALSE)</f>
        <v/>
      </c>
    </row>
    <row r="20" ht="16" customHeight="1">
      <c r="B20" s="111">
        <f>IF($R20="","",1)</f>
        <v/>
      </c>
      <c r="C20" s="112">
        <f>IF($R20="","",IF(INDEX('_list'!$D$2:$D$676,$R20)="","",INDEX('_list'!$D$2:$D$676,$R20)))</f>
        <v/>
      </c>
      <c r="D20" s="112">
        <f>IF($R20="","",IF(INDEX('_list'!$E$2:$E$676,$R20)="","",INDEX('_list'!$E$2:$E$676,$R20)))</f>
        <v/>
      </c>
      <c r="E20" s="112">
        <f>IF($R20="","",IF(INDEX('_list'!$F$2:$F$676,$R20)="","",INDEX('_list'!$F$2:$F$676,$R20)))</f>
        <v/>
      </c>
      <c r="F20" s="113">
        <f>IF($R20="","",IF(INDEX('_list'!$G$2:$G$676,$R20)="","",INDEX('_list'!$G$2:$G$676,$R20)))</f>
        <v/>
      </c>
      <c r="G20" s="114">
        <f>IF($S20="","",IF(INDEX('_pockets'!$AH:$AH,$S20)="","",INDEX('_pockets'!$AH:$AH,$S20)))</f>
        <v/>
      </c>
      <c r="H20" s="114">
        <f>IF($S20="","",IF(INDEX('_pockets'!$AF:$AF,$S20)="","",INDEX('_pockets'!$AF:$AF,$S20)))</f>
        <v/>
      </c>
      <c r="I20" s="115">
        <f>IF(IF($S20="","",IF(INDEX('_pockets'!$AB:$AB,$S20)="","",INDEX('_pockets'!$AB:$AB,$S20)))="","",IF($S20="","",IF(INDEX('_pockets'!$AB:$AB,$S20)="","",INDEX('_pockets'!$AB:$AB,$S20)))*IF($U$18,100,1))</f>
        <v/>
      </c>
      <c r="J20" s="113">
        <f>IF($S20="","",IF(INDEX('_pockets'!$Z:$Z,$S20)="","",INDEX('_pockets'!$Z:$Z,$S20)))</f>
        <v/>
      </c>
      <c r="K20" s="116">
        <f>IF($R20="","",IF(INDEX('_list'!$K$2:$K$676,$R20)="","",INDEX('_list'!$K$2:$K$676,$R20)))</f>
        <v/>
      </c>
      <c r="L20" s="117">
        <f>IF($S20="","",IF(INDEX('_pockets'!$AC:$AC,$S20)="","",INDEX('_pockets'!$AC:$AC,$S20)))</f>
        <v/>
      </c>
      <c r="M20" s="116">
        <f>IF($R20="","",IF(INDEX('_list'!$L$2:$L$676,$R20)="","",INDEX('_list'!$L$2:$L$676,$R20)))</f>
        <v/>
      </c>
      <c r="N20" s="115">
        <f>IF($R20="","",IF(INDEX('_list'!$H$2:$H$676,$R20)="","",INDEX('_list'!$H$2:$H$676,$R20)))</f>
        <v/>
      </c>
      <c r="O20" s="112">
        <f>IF($R20="","",IF(INDEX('_list'!$I$2:$I$676,$R20)="","",INDEX('_list'!$I$2:$I$676,$R20)))</f>
        <v/>
      </c>
      <c r="R20">
        <f>IFERROR(MATCH(1,'_list'!$N$2:$N$676,0),"")</f>
        <v/>
      </c>
      <c r="S20">
        <f>IF($R20="","",INDEX('_list'!$C$2:$C$676,$R20))</f>
        <v/>
      </c>
    </row>
    <row r="21" ht="16" customHeight="1">
      <c r="B21" s="111">
        <f>IF($R21="","",2)</f>
        <v/>
      </c>
      <c r="C21" s="112">
        <f>IF($R21="","",IF(INDEX('_list'!$D$2:$D$676,$R21)="","",INDEX('_list'!$D$2:$D$676,$R21)))</f>
        <v/>
      </c>
      <c r="D21" s="112">
        <f>IF($R21="","",IF(INDEX('_list'!$E$2:$E$676,$R21)="","",INDEX('_list'!$E$2:$E$676,$R21)))</f>
        <v/>
      </c>
      <c r="E21" s="112">
        <f>IF($R21="","",IF(INDEX('_list'!$F$2:$F$676,$R21)="","",INDEX('_list'!$F$2:$F$676,$R21)))</f>
        <v/>
      </c>
      <c r="F21" s="113">
        <f>IF($R21="","",IF(INDEX('_list'!$G$2:$G$676,$R21)="","",INDEX('_list'!$G$2:$G$676,$R21)))</f>
        <v/>
      </c>
      <c r="G21" s="114">
        <f>IF($S21="","",IF(INDEX('_pockets'!$AH:$AH,$S21)="","",INDEX('_pockets'!$AH:$AH,$S21)))</f>
        <v/>
      </c>
      <c r="H21" s="114">
        <f>IF($S21="","",IF(INDEX('_pockets'!$AF:$AF,$S21)="","",INDEX('_pockets'!$AF:$AF,$S21)))</f>
        <v/>
      </c>
      <c r="I21" s="115">
        <f>IF(IF($S21="","",IF(INDEX('_pockets'!$AB:$AB,$S21)="","",INDEX('_pockets'!$AB:$AB,$S21)))="","",IF($S21="","",IF(INDEX('_pockets'!$AB:$AB,$S21)="","",INDEX('_pockets'!$AB:$AB,$S21)))*IF($U$18,100,1))</f>
        <v/>
      </c>
      <c r="J21" s="113">
        <f>IF($S21="","",IF(INDEX('_pockets'!$Z:$Z,$S21)="","",INDEX('_pockets'!$Z:$Z,$S21)))</f>
        <v/>
      </c>
      <c r="K21" s="116">
        <f>IF($R21="","",IF(INDEX('_list'!$K$2:$K$676,$R21)="","",INDEX('_list'!$K$2:$K$676,$R21)))</f>
        <v/>
      </c>
      <c r="L21" s="117">
        <f>IF($S21="","",IF(INDEX('_pockets'!$AC:$AC,$S21)="","",INDEX('_pockets'!$AC:$AC,$S21)))</f>
        <v/>
      </c>
      <c r="M21" s="116">
        <f>IF($R21="","",IF(INDEX('_list'!$L$2:$L$676,$R21)="","",INDEX('_list'!$L$2:$L$676,$R21)))</f>
        <v/>
      </c>
      <c r="N21" s="115">
        <f>IF($R21="","",IF(INDEX('_list'!$H$2:$H$676,$R21)="","",INDEX('_list'!$H$2:$H$676,$R21)))</f>
        <v/>
      </c>
      <c r="O21" s="112">
        <f>IF($R21="","",IF(INDEX('_list'!$I$2:$I$676,$R21)="","",INDEX('_list'!$I$2:$I$676,$R21)))</f>
        <v/>
      </c>
      <c r="R21">
        <f>IFERROR(MATCH(2,'_list'!$N$2:$N$676,0),"")</f>
        <v/>
      </c>
      <c r="S21">
        <f>IF($R21="","",INDEX('_list'!$C$2:$C$676,$R21))</f>
        <v/>
      </c>
    </row>
    <row r="22" ht="16" customHeight="1">
      <c r="B22" s="111">
        <f>IF($R22="","",3)</f>
        <v/>
      </c>
      <c r="C22" s="112">
        <f>IF($R22="","",IF(INDEX('_list'!$D$2:$D$676,$R22)="","",INDEX('_list'!$D$2:$D$676,$R22)))</f>
        <v/>
      </c>
      <c r="D22" s="112">
        <f>IF($R22="","",IF(INDEX('_list'!$E$2:$E$676,$R22)="","",INDEX('_list'!$E$2:$E$676,$R22)))</f>
        <v/>
      </c>
      <c r="E22" s="112">
        <f>IF($R22="","",IF(INDEX('_list'!$F$2:$F$676,$R22)="","",INDEX('_list'!$F$2:$F$676,$R22)))</f>
        <v/>
      </c>
      <c r="F22" s="113">
        <f>IF($R22="","",IF(INDEX('_list'!$G$2:$G$676,$R22)="","",INDEX('_list'!$G$2:$G$676,$R22)))</f>
        <v/>
      </c>
      <c r="G22" s="114">
        <f>IF($S22="","",IF(INDEX('_pockets'!$AH:$AH,$S22)="","",INDEX('_pockets'!$AH:$AH,$S22)))</f>
        <v/>
      </c>
      <c r="H22" s="114">
        <f>IF($S22="","",IF(INDEX('_pockets'!$AF:$AF,$S22)="","",INDEX('_pockets'!$AF:$AF,$S22)))</f>
        <v/>
      </c>
      <c r="I22" s="115">
        <f>IF(IF($S22="","",IF(INDEX('_pockets'!$AB:$AB,$S22)="","",INDEX('_pockets'!$AB:$AB,$S22)))="","",IF($S22="","",IF(INDEX('_pockets'!$AB:$AB,$S22)="","",INDEX('_pockets'!$AB:$AB,$S22)))*IF($U$18,100,1))</f>
        <v/>
      </c>
      <c r="J22" s="113">
        <f>IF($S22="","",IF(INDEX('_pockets'!$Z:$Z,$S22)="","",INDEX('_pockets'!$Z:$Z,$S22)))</f>
        <v/>
      </c>
      <c r="K22" s="116">
        <f>IF($R22="","",IF(INDEX('_list'!$K$2:$K$676,$R22)="","",INDEX('_list'!$K$2:$K$676,$R22)))</f>
        <v/>
      </c>
      <c r="L22" s="117">
        <f>IF($S22="","",IF(INDEX('_pockets'!$AC:$AC,$S22)="","",INDEX('_pockets'!$AC:$AC,$S22)))</f>
        <v/>
      </c>
      <c r="M22" s="116">
        <f>IF($R22="","",IF(INDEX('_list'!$L$2:$L$676,$R22)="","",INDEX('_list'!$L$2:$L$676,$R22)))</f>
        <v/>
      </c>
      <c r="N22" s="115">
        <f>IF($R22="","",IF(INDEX('_list'!$H$2:$H$676,$R22)="","",INDEX('_list'!$H$2:$H$676,$R22)))</f>
        <v/>
      </c>
      <c r="O22" s="112">
        <f>IF($R22="","",IF(INDEX('_list'!$I$2:$I$676,$R22)="","",INDEX('_list'!$I$2:$I$676,$R22)))</f>
        <v/>
      </c>
      <c r="R22">
        <f>IFERROR(MATCH(3,'_list'!$N$2:$N$676,0),"")</f>
        <v/>
      </c>
      <c r="S22">
        <f>IF($R22="","",INDEX('_list'!$C$2:$C$676,$R22))</f>
        <v/>
      </c>
    </row>
    <row r="23" ht="16" customHeight="1">
      <c r="B23" s="111">
        <f>IF($R23="","",4)</f>
        <v/>
      </c>
      <c r="C23" s="112">
        <f>IF($R23="","",IF(INDEX('_list'!$D$2:$D$676,$R23)="","",INDEX('_list'!$D$2:$D$676,$R23)))</f>
        <v/>
      </c>
      <c r="D23" s="112">
        <f>IF($R23="","",IF(INDEX('_list'!$E$2:$E$676,$R23)="","",INDEX('_list'!$E$2:$E$676,$R23)))</f>
        <v/>
      </c>
      <c r="E23" s="112">
        <f>IF($R23="","",IF(INDEX('_list'!$F$2:$F$676,$R23)="","",INDEX('_list'!$F$2:$F$676,$R23)))</f>
        <v/>
      </c>
      <c r="F23" s="113">
        <f>IF($R23="","",IF(INDEX('_list'!$G$2:$G$676,$R23)="","",INDEX('_list'!$G$2:$G$676,$R23)))</f>
        <v/>
      </c>
      <c r="G23" s="114">
        <f>IF($S23="","",IF(INDEX('_pockets'!$AH:$AH,$S23)="","",INDEX('_pockets'!$AH:$AH,$S23)))</f>
        <v/>
      </c>
      <c r="H23" s="114">
        <f>IF($S23="","",IF(INDEX('_pockets'!$AF:$AF,$S23)="","",INDEX('_pockets'!$AF:$AF,$S23)))</f>
        <v/>
      </c>
      <c r="I23" s="115">
        <f>IF(IF($S23="","",IF(INDEX('_pockets'!$AB:$AB,$S23)="","",INDEX('_pockets'!$AB:$AB,$S23)))="","",IF($S23="","",IF(INDEX('_pockets'!$AB:$AB,$S23)="","",INDEX('_pockets'!$AB:$AB,$S23)))*IF($U$18,100,1))</f>
        <v/>
      </c>
      <c r="J23" s="113">
        <f>IF($S23="","",IF(INDEX('_pockets'!$Z:$Z,$S23)="","",INDEX('_pockets'!$Z:$Z,$S23)))</f>
        <v/>
      </c>
      <c r="K23" s="116">
        <f>IF($R23="","",IF(INDEX('_list'!$K$2:$K$676,$R23)="","",INDEX('_list'!$K$2:$K$676,$R23)))</f>
        <v/>
      </c>
      <c r="L23" s="117">
        <f>IF($S23="","",IF(INDEX('_pockets'!$AC:$AC,$S23)="","",INDEX('_pockets'!$AC:$AC,$S23)))</f>
        <v/>
      </c>
      <c r="M23" s="116">
        <f>IF($R23="","",IF(INDEX('_list'!$L$2:$L$676,$R23)="","",INDEX('_list'!$L$2:$L$676,$R23)))</f>
        <v/>
      </c>
      <c r="N23" s="115">
        <f>IF($R23="","",IF(INDEX('_list'!$H$2:$H$676,$R23)="","",INDEX('_list'!$H$2:$H$676,$R23)))</f>
        <v/>
      </c>
      <c r="O23" s="112">
        <f>IF($R23="","",IF(INDEX('_list'!$I$2:$I$676,$R23)="","",INDEX('_list'!$I$2:$I$676,$R23)))</f>
        <v/>
      </c>
      <c r="R23">
        <f>IFERROR(MATCH(4,'_list'!$N$2:$N$676,0),"")</f>
        <v/>
      </c>
      <c r="S23">
        <f>IF($R23="","",INDEX('_list'!$C$2:$C$676,$R23))</f>
        <v/>
      </c>
    </row>
    <row r="24" ht="16" customHeight="1">
      <c r="B24" s="111">
        <f>IF($R24="","",5)</f>
        <v/>
      </c>
      <c r="C24" s="112">
        <f>IF($R24="","",IF(INDEX('_list'!$D$2:$D$676,$R24)="","",INDEX('_list'!$D$2:$D$676,$R24)))</f>
        <v/>
      </c>
      <c r="D24" s="112">
        <f>IF($R24="","",IF(INDEX('_list'!$E$2:$E$676,$R24)="","",INDEX('_list'!$E$2:$E$676,$R24)))</f>
        <v/>
      </c>
      <c r="E24" s="112">
        <f>IF($R24="","",IF(INDEX('_list'!$F$2:$F$676,$R24)="","",INDEX('_list'!$F$2:$F$676,$R24)))</f>
        <v/>
      </c>
      <c r="F24" s="113">
        <f>IF($R24="","",IF(INDEX('_list'!$G$2:$G$676,$R24)="","",INDEX('_list'!$G$2:$G$676,$R24)))</f>
        <v/>
      </c>
      <c r="G24" s="114">
        <f>IF($S24="","",IF(INDEX('_pockets'!$AH:$AH,$S24)="","",INDEX('_pockets'!$AH:$AH,$S24)))</f>
        <v/>
      </c>
      <c r="H24" s="114">
        <f>IF($S24="","",IF(INDEX('_pockets'!$AF:$AF,$S24)="","",INDEX('_pockets'!$AF:$AF,$S24)))</f>
        <v/>
      </c>
      <c r="I24" s="115">
        <f>IF(IF($S24="","",IF(INDEX('_pockets'!$AB:$AB,$S24)="","",INDEX('_pockets'!$AB:$AB,$S24)))="","",IF($S24="","",IF(INDEX('_pockets'!$AB:$AB,$S24)="","",INDEX('_pockets'!$AB:$AB,$S24)))*IF($U$18,100,1))</f>
        <v/>
      </c>
      <c r="J24" s="113">
        <f>IF($S24="","",IF(INDEX('_pockets'!$Z:$Z,$S24)="","",INDEX('_pockets'!$Z:$Z,$S24)))</f>
        <v/>
      </c>
      <c r="K24" s="116">
        <f>IF($R24="","",IF(INDEX('_list'!$K$2:$K$676,$R24)="","",INDEX('_list'!$K$2:$K$676,$R24)))</f>
        <v/>
      </c>
      <c r="L24" s="117">
        <f>IF($S24="","",IF(INDEX('_pockets'!$AC:$AC,$S24)="","",INDEX('_pockets'!$AC:$AC,$S24)))</f>
        <v/>
      </c>
      <c r="M24" s="116">
        <f>IF($R24="","",IF(INDEX('_list'!$L$2:$L$676,$R24)="","",INDEX('_list'!$L$2:$L$676,$R24)))</f>
        <v/>
      </c>
      <c r="N24" s="115">
        <f>IF($R24="","",IF(INDEX('_list'!$H$2:$H$676,$R24)="","",INDEX('_list'!$H$2:$H$676,$R24)))</f>
        <v/>
      </c>
      <c r="O24" s="112">
        <f>IF($R24="","",IF(INDEX('_list'!$I$2:$I$676,$R24)="","",INDEX('_list'!$I$2:$I$676,$R24)))</f>
        <v/>
      </c>
      <c r="R24">
        <f>IFERROR(MATCH(5,'_list'!$N$2:$N$676,0),"")</f>
        <v/>
      </c>
      <c r="S24">
        <f>IF($R24="","",INDEX('_list'!$C$2:$C$676,$R24))</f>
        <v/>
      </c>
    </row>
    <row r="25" ht="16" customHeight="1">
      <c r="B25" s="111">
        <f>IF($R25="","",6)</f>
        <v/>
      </c>
      <c r="C25" s="112">
        <f>IF($R25="","",IF(INDEX('_list'!$D$2:$D$676,$R25)="","",INDEX('_list'!$D$2:$D$676,$R25)))</f>
        <v/>
      </c>
      <c r="D25" s="112">
        <f>IF($R25="","",IF(INDEX('_list'!$E$2:$E$676,$R25)="","",INDEX('_list'!$E$2:$E$676,$R25)))</f>
        <v/>
      </c>
      <c r="E25" s="112">
        <f>IF($R25="","",IF(INDEX('_list'!$F$2:$F$676,$R25)="","",INDEX('_list'!$F$2:$F$676,$R25)))</f>
        <v/>
      </c>
      <c r="F25" s="113">
        <f>IF($R25="","",IF(INDEX('_list'!$G$2:$G$676,$R25)="","",INDEX('_list'!$G$2:$G$676,$R25)))</f>
        <v/>
      </c>
      <c r="G25" s="114">
        <f>IF($S25="","",IF(INDEX('_pockets'!$AH:$AH,$S25)="","",INDEX('_pockets'!$AH:$AH,$S25)))</f>
        <v/>
      </c>
      <c r="H25" s="114">
        <f>IF($S25="","",IF(INDEX('_pockets'!$AF:$AF,$S25)="","",INDEX('_pockets'!$AF:$AF,$S25)))</f>
        <v/>
      </c>
      <c r="I25" s="115">
        <f>IF(IF($S25="","",IF(INDEX('_pockets'!$AB:$AB,$S25)="","",INDEX('_pockets'!$AB:$AB,$S25)))="","",IF($S25="","",IF(INDEX('_pockets'!$AB:$AB,$S25)="","",INDEX('_pockets'!$AB:$AB,$S25)))*IF($U$18,100,1))</f>
        <v/>
      </c>
      <c r="J25" s="113">
        <f>IF($S25="","",IF(INDEX('_pockets'!$Z:$Z,$S25)="","",INDEX('_pockets'!$Z:$Z,$S25)))</f>
        <v/>
      </c>
      <c r="K25" s="116">
        <f>IF($R25="","",IF(INDEX('_list'!$K$2:$K$676,$R25)="","",INDEX('_list'!$K$2:$K$676,$R25)))</f>
        <v/>
      </c>
      <c r="L25" s="117">
        <f>IF($S25="","",IF(INDEX('_pockets'!$AC:$AC,$S25)="","",INDEX('_pockets'!$AC:$AC,$S25)))</f>
        <v/>
      </c>
      <c r="M25" s="116">
        <f>IF($R25="","",IF(INDEX('_list'!$L$2:$L$676,$R25)="","",INDEX('_list'!$L$2:$L$676,$R25)))</f>
        <v/>
      </c>
      <c r="N25" s="115">
        <f>IF($R25="","",IF(INDEX('_list'!$H$2:$H$676,$R25)="","",INDEX('_list'!$H$2:$H$676,$R25)))</f>
        <v/>
      </c>
      <c r="O25" s="112">
        <f>IF($R25="","",IF(INDEX('_list'!$I$2:$I$676,$R25)="","",INDEX('_list'!$I$2:$I$676,$R25)))</f>
        <v/>
      </c>
      <c r="R25">
        <f>IFERROR(MATCH(6,'_list'!$N$2:$N$676,0),"")</f>
        <v/>
      </c>
      <c r="S25">
        <f>IF($R25="","",INDEX('_list'!$C$2:$C$676,$R25))</f>
        <v/>
      </c>
    </row>
    <row r="26" ht="16" customHeight="1">
      <c r="B26" s="111">
        <f>IF($R26="","",7)</f>
        <v/>
      </c>
      <c r="C26" s="112">
        <f>IF($R26="","",IF(INDEX('_list'!$D$2:$D$676,$R26)="","",INDEX('_list'!$D$2:$D$676,$R26)))</f>
        <v/>
      </c>
      <c r="D26" s="112">
        <f>IF($R26="","",IF(INDEX('_list'!$E$2:$E$676,$R26)="","",INDEX('_list'!$E$2:$E$676,$R26)))</f>
        <v/>
      </c>
      <c r="E26" s="112">
        <f>IF($R26="","",IF(INDEX('_list'!$F$2:$F$676,$R26)="","",INDEX('_list'!$F$2:$F$676,$R26)))</f>
        <v/>
      </c>
      <c r="F26" s="113">
        <f>IF($R26="","",IF(INDEX('_list'!$G$2:$G$676,$R26)="","",INDEX('_list'!$G$2:$G$676,$R26)))</f>
        <v/>
      </c>
      <c r="G26" s="114">
        <f>IF($S26="","",IF(INDEX('_pockets'!$AH:$AH,$S26)="","",INDEX('_pockets'!$AH:$AH,$S26)))</f>
        <v/>
      </c>
      <c r="H26" s="114">
        <f>IF($S26="","",IF(INDEX('_pockets'!$AF:$AF,$S26)="","",INDEX('_pockets'!$AF:$AF,$S26)))</f>
        <v/>
      </c>
      <c r="I26" s="115">
        <f>IF(IF($S26="","",IF(INDEX('_pockets'!$AB:$AB,$S26)="","",INDEX('_pockets'!$AB:$AB,$S26)))="","",IF($S26="","",IF(INDEX('_pockets'!$AB:$AB,$S26)="","",INDEX('_pockets'!$AB:$AB,$S26)))*IF($U$18,100,1))</f>
        <v/>
      </c>
      <c r="J26" s="113">
        <f>IF($S26="","",IF(INDEX('_pockets'!$Z:$Z,$S26)="","",INDEX('_pockets'!$Z:$Z,$S26)))</f>
        <v/>
      </c>
      <c r="K26" s="116">
        <f>IF($R26="","",IF(INDEX('_list'!$K$2:$K$676,$R26)="","",INDEX('_list'!$K$2:$K$676,$R26)))</f>
        <v/>
      </c>
      <c r="L26" s="117">
        <f>IF($S26="","",IF(INDEX('_pockets'!$AC:$AC,$S26)="","",INDEX('_pockets'!$AC:$AC,$S26)))</f>
        <v/>
      </c>
      <c r="M26" s="116">
        <f>IF($R26="","",IF(INDEX('_list'!$L$2:$L$676,$R26)="","",INDEX('_list'!$L$2:$L$676,$R26)))</f>
        <v/>
      </c>
      <c r="N26" s="115">
        <f>IF($R26="","",IF(INDEX('_list'!$H$2:$H$676,$R26)="","",INDEX('_list'!$H$2:$H$676,$R26)))</f>
        <v/>
      </c>
      <c r="O26" s="112">
        <f>IF($R26="","",IF(INDEX('_list'!$I$2:$I$676,$R26)="","",INDEX('_list'!$I$2:$I$676,$R26)))</f>
        <v/>
      </c>
      <c r="R26">
        <f>IFERROR(MATCH(7,'_list'!$N$2:$N$676,0),"")</f>
        <v/>
      </c>
      <c r="S26">
        <f>IF($R26="","",INDEX('_list'!$C$2:$C$676,$R26))</f>
        <v/>
      </c>
    </row>
    <row r="27" ht="16" customHeight="1">
      <c r="B27" s="111">
        <f>IF($R27="","",8)</f>
        <v/>
      </c>
      <c r="C27" s="112">
        <f>IF($R27="","",IF(INDEX('_list'!$D$2:$D$676,$R27)="","",INDEX('_list'!$D$2:$D$676,$R27)))</f>
        <v/>
      </c>
      <c r="D27" s="112">
        <f>IF($R27="","",IF(INDEX('_list'!$E$2:$E$676,$R27)="","",INDEX('_list'!$E$2:$E$676,$R27)))</f>
        <v/>
      </c>
      <c r="E27" s="112">
        <f>IF($R27="","",IF(INDEX('_list'!$F$2:$F$676,$R27)="","",INDEX('_list'!$F$2:$F$676,$R27)))</f>
        <v/>
      </c>
      <c r="F27" s="113">
        <f>IF($R27="","",IF(INDEX('_list'!$G$2:$G$676,$R27)="","",INDEX('_list'!$G$2:$G$676,$R27)))</f>
        <v/>
      </c>
      <c r="G27" s="114">
        <f>IF($S27="","",IF(INDEX('_pockets'!$AH:$AH,$S27)="","",INDEX('_pockets'!$AH:$AH,$S27)))</f>
        <v/>
      </c>
      <c r="H27" s="114">
        <f>IF($S27="","",IF(INDEX('_pockets'!$AF:$AF,$S27)="","",INDEX('_pockets'!$AF:$AF,$S27)))</f>
        <v/>
      </c>
      <c r="I27" s="115">
        <f>IF(IF($S27="","",IF(INDEX('_pockets'!$AB:$AB,$S27)="","",INDEX('_pockets'!$AB:$AB,$S27)))="","",IF($S27="","",IF(INDEX('_pockets'!$AB:$AB,$S27)="","",INDEX('_pockets'!$AB:$AB,$S27)))*IF($U$18,100,1))</f>
        <v/>
      </c>
      <c r="J27" s="113">
        <f>IF($S27="","",IF(INDEX('_pockets'!$Z:$Z,$S27)="","",INDEX('_pockets'!$Z:$Z,$S27)))</f>
        <v/>
      </c>
      <c r="K27" s="116">
        <f>IF($R27="","",IF(INDEX('_list'!$K$2:$K$676,$R27)="","",INDEX('_list'!$K$2:$K$676,$R27)))</f>
        <v/>
      </c>
      <c r="L27" s="117">
        <f>IF($S27="","",IF(INDEX('_pockets'!$AC:$AC,$S27)="","",INDEX('_pockets'!$AC:$AC,$S27)))</f>
        <v/>
      </c>
      <c r="M27" s="116">
        <f>IF($R27="","",IF(INDEX('_list'!$L$2:$L$676,$R27)="","",INDEX('_list'!$L$2:$L$676,$R27)))</f>
        <v/>
      </c>
      <c r="N27" s="115">
        <f>IF($R27="","",IF(INDEX('_list'!$H$2:$H$676,$R27)="","",INDEX('_list'!$H$2:$H$676,$R27)))</f>
        <v/>
      </c>
      <c r="O27" s="112">
        <f>IF($R27="","",IF(INDEX('_list'!$I$2:$I$676,$R27)="","",INDEX('_list'!$I$2:$I$676,$R27)))</f>
        <v/>
      </c>
      <c r="R27">
        <f>IFERROR(MATCH(8,'_list'!$N$2:$N$676,0),"")</f>
        <v/>
      </c>
      <c r="S27">
        <f>IF($R27="","",INDEX('_list'!$C$2:$C$676,$R27))</f>
        <v/>
      </c>
    </row>
    <row r="28" ht="16" customHeight="1">
      <c r="B28" s="111">
        <f>IF($R28="","",9)</f>
        <v/>
      </c>
      <c r="C28" s="112">
        <f>IF($R28="","",IF(INDEX('_list'!$D$2:$D$676,$R28)="","",INDEX('_list'!$D$2:$D$676,$R28)))</f>
        <v/>
      </c>
      <c r="D28" s="112">
        <f>IF($R28="","",IF(INDEX('_list'!$E$2:$E$676,$R28)="","",INDEX('_list'!$E$2:$E$676,$R28)))</f>
        <v/>
      </c>
      <c r="E28" s="112">
        <f>IF($R28="","",IF(INDEX('_list'!$F$2:$F$676,$R28)="","",INDEX('_list'!$F$2:$F$676,$R28)))</f>
        <v/>
      </c>
      <c r="F28" s="113">
        <f>IF($R28="","",IF(INDEX('_list'!$G$2:$G$676,$R28)="","",INDEX('_list'!$G$2:$G$676,$R28)))</f>
        <v/>
      </c>
      <c r="G28" s="114">
        <f>IF($S28="","",IF(INDEX('_pockets'!$AH:$AH,$S28)="","",INDEX('_pockets'!$AH:$AH,$S28)))</f>
        <v/>
      </c>
      <c r="H28" s="114">
        <f>IF($S28="","",IF(INDEX('_pockets'!$AF:$AF,$S28)="","",INDEX('_pockets'!$AF:$AF,$S28)))</f>
        <v/>
      </c>
      <c r="I28" s="115">
        <f>IF(IF($S28="","",IF(INDEX('_pockets'!$AB:$AB,$S28)="","",INDEX('_pockets'!$AB:$AB,$S28)))="","",IF($S28="","",IF(INDEX('_pockets'!$AB:$AB,$S28)="","",INDEX('_pockets'!$AB:$AB,$S28)))*IF($U$18,100,1))</f>
        <v/>
      </c>
      <c r="J28" s="113">
        <f>IF($S28="","",IF(INDEX('_pockets'!$Z:$Z,$S28)="","",INDEX('_pockets'!$Z:$Z,$S28)))</f>
        <v/>
      </c>
      <c r="K28" s="116">
        <f>IF($R28="","",IF(INDEX('_list'!$K$2:$K$676,$R28)="","",INDEX('_list'!$K$2:$K$676,$R28)))</f>
        <v/>
      </c>
      <c r="L28" s="117">
        <f>IF($S28="","",IF(INDEX('_pockets'!$AC:$AC,$S28)="","",INDEX('_pockets'!$AC:$AC,$S28)))</f>
        <v/>
      </c>
      <c r="M28" s="116">
        <f>IF($R28="","",IF(INDEX('_list'!$L$2:$L$676,$R28)="","",INDEX('_list'!$L$2:$L$676,$R28)))</f>
        <v/>
      </c>
      <c r="N28" s="115">
        <f>IF($R28="","",IF(INDEX('_list'!$H$2:$H$676,$R28)="","",INDEX('_list'!$H$2:$H$676,$R28)))</f>
        <v/>
      </c>
      <c r="O28" s="112">
        <f>IF($R28="","",IF(INDEX('_list'!$I$2:$I$676,$R28)="","",INDEX('_list'!$I$2:$I$676,$R28)))</f>
        <v/>
      </c>
      <c r="R28">
        <f>IFERROR(MATCH(9,'_list'!$N$2:$N$676,0),"")</f>
        <v/>
      </c>
      <c r="S28">
        <f>IF($R28="","",INDEX('_list'!$C$2:$C$676,$R28))</f>
        <v/>
      </c>
    </row>
    <row r="29" ht="16" customHeight="1">
      <c r="B29" s="111">
        <f>IF($R29="","",10)</f>
        <v/>
      </c>
      <c r="C29" s="112">
        <f>IF($R29="","",IF(INDEX('_list'!$D$2:$D$676,$R29)="","",INDEX('_list'!$D$2:$D$676,$R29)))</f>
        <v/>
      </c>
      <c r="D29" s="112">
        <f>IF($R29="","",IF(INDEX('_list'!$E$2:$E$676,$R29)="","",INDEX('_list'!$E$2:$E$676,$R29)))</f>
        <v/>
      </c>
      <c r="E29" s="112">
        <f>IF($R29="","",IF(INDEX('_list'!$F$2:$F$676,$R29)="","",INDEX('_list'!$F$2:$F$676,$R29)))</f>
        <v/>
      </c>
      <c r="F29" s="113">
        <f>IF($R29="","",IF(INDEX('_list'!$G$2:$G$676,$R29)="","",INDEX('_list'!$G$2:$G$676,$R29)))</f>
        <v/>
      </c>
      <c r="G29" s="114">
        <f>IF($S29="","",IF(INDEX('_pockets'!$AH:$AH,$S29)="","",INDEX('_pockets'!$AH:$AH,$S29)))</f>
        <v/>
      </c>
      <c r="H29" s="114">
        <f>IF($S29="","",IF(INDEX('_pockets'!$AF:$AF,$S29)="","",INDEX('_pockets'!$AF:$AF,$S29)))</f>
        <v/>
      </c>
      <c r="I29" s="115">
        <f>IF(IF($S29="","",IF(INDEX('_pockets'!$AB:$AB,$S29)="","",INDEX('_pockets'!$AB:$AB,$S29)))="","",IF($S29="","",IF(INDEX('_pockets'!$AB:$AB,$S29)="","",INDEX('_pockets'!$AB:$AB,$S29)))*IF($U$18,100,1))</f>
        <v/>
      </c>
      <c r="J29" s="113">
        <f>IF($S29="","",IF(INDEX('_pockets'!$Z:$Z,$S29)="","",INDEX('_pockets'!$Z:$Z,$S29)))</f>
        <v/>
      </c>
      <c r="K29" s="116">
        <f>IF($R29="","",IF(INDEX('_list'!$K$2:$K$676,$R29)="","",INDEX('_list'!$K$2:$K$676,$R29)))</f>
        <v/>
      </c>
      <c r="L29" s="117">
        <f>IF($S29="","",IF(INDEX('_pockets'!$AC:$AC,$S29)="","",INDEX('_pockets'!$AC:$AC,$S29)))</f>
        <v/>
      </c>
      <c r="M29" s="116">
        <f>IF($R29="","",IF(INDEX('_list'!$L$2:$L$676,$R29)="","",INDEX('_list'!$L$2:$L$676,$R29)))</f>
        <v/>
      </c>
      <c r="N29" s="115">
        <f>IF($R29="","",IF(INDEX('_list'!$H$2:$H$676,$R29)="","",INDEX('_list'!$H$2:$H$676,$R29)))</f>
        <v/>
      </c>
      <c r="O29" s="112">
        <f>IF($R29="","",IF(INDEX('_list'!$I$2:$I$676,$R29)="","",INDEX('_list'!$I$2:$I$676,$R29)))</f>
        <v/>
      </c>
      <c r="R29">
        <f>IFERROR(MATCH(10,'_list'!$N$2:$N$676,0),"")</f>
        <v/>
      </c>
      <c r="S29">
        <f>IF($R29="","",INDEX('_list'!$C$2:$C$676,$R29))</f>
        <v/>
      </c>
    </row>
    <row r="30" ht="16" customHeight="1">
      <c r="B30" s="111">
        <f>IF($R30="","",11)</f>
        <v/>
      </c>
      <c r="C30" s="112">
        <f>IF($R30="","",IF(INDEX('_list'!$D$2:$D$676,$R30)="","",INDEX('_list'!$D$2:$D$676,$R30)))</f>
        <v/>
      </c>
      <c r="D30" s="112">
        <f>IF($R30="","",IF(INDEX('_list'!$E$2:$E$676,$R30)="","",INDEX('_list'!$E$2:$E$676,$R30)))</f>
        <v/>
      </c>
      <c r="E30" s="112">
        <f>IF($R30="","",IF(INDEX('_list'!$F$2:$F$676,$R30)="","",INDEX('_list'!$F$2:$F$676,$R30)))</f>
        <v/>
      </c>
      <c r="F30" s="113">
        <f>IF($R30="","",IF(INDEX('_list'!$G$2:$G$676,$R30)="","",INDEX('_list'!$G$2:$G$676,$R30)))</f>
        <v/>
      </c>
      <c r="G30" s="114">
        <f>IF($S30="","",IF(INDEX('_pockets'!$AH:$AH,$S30)="","",INDEX('_pockets'!$AH:$AH,$S30)))</f>
        <v/>
      </c>
      <c r="H30" s="114">
        <f>IF($S30="","",IF(INDEX('_pockets'!$AF:$AF,$S30)="","",INDEX('_pockets'!$AF:$AF,$S30)))</f>
        <v/>
      </c>
      <c r="I30" s="115">
        <f>IF(IF($S30="","",IF(INDEX('_pockets'!$AB:$AB,$S30)="","",INDEX('_pockets'!$AB:$AB,$S30)))="","",IF($S30="","",IF(INDEX('_pockets'!$AB:$AB,$S30)="","",INDEX('_pockets'!$AB:$AB,$S30)))*IF($U$18,100,1))</f>
        <v/>
      </c>
      <c r="J30" s="113">
        <f>IF($S30="","",IF(INDEX('_pockets'!$Z:$Z,$S30)="","",INDEX('_pockets'!$Z:$Z,$S30)))</f>
        <v/>
      </c>
      <c r="K30" s="116">
        <f>IF($R30="","",IF(INDEX('_list'!$K$2:$K$676,$R30)="","",INDEX('_list'!$K$2:$K$676,$R30)))</f>
        <v/>
      </c>
      <c r="L30" s="117">
        <f>IF($S30="","",IF(INDEX('_pockets'!$AC:$AC,$S30)="","",INDEX('_pockets'!$AC:$AC,$S30)))</f>
        <v/>
      </c>
      <c r="M30" s="116">
        <f>IF($R30="","",IF(INDEX('_list'!$L$2:$L$676,$R30)="","",INDEX('_list'!$L$2:$L$676,$R30)))</f>
        <v/>
      </c>
      <c r="N30" s="115">
        <f>IF($R30="","",IF(INDEX('_list'!$H$2:$H$676,$R30)="","",INDEX('_list'!$H$2:$H$676,$R30)))</f>
        <v/>
      </c>
      <c r="O30" s="112">
        <f>IF($R30="","",IF(INDEX('_list'!$I$2:$I$676,$R30)="","",INDEX('_list'!$I$2:$I$676,$R30)))</f>
        <v/>
      </c>
      <c r="R30">
        <f>IFERROR(MATCH(11,'_list'!$N$2:$N$676,0),"")</f>
        <v/>
      </c>
      <c r="S30">
        <f>IF($R30="","",INDEX('_list'!$C$2:$C$676,$R30))</f>
        <v/>
      </c>
    </row>
    <row r="31" ht="16" customHeight="1">
      <c r="B31" s="111">
        <f>IF($R31="","",12)</f>
        <v/>
      </c>
      <c r="C31" s="112">
        <f>IF($R31="","",IF(INDEX('_list'!$D$2:$D$676,$R31)="","",INDEX('_list'!$D$2:$D$676,$R31)))</f>
        <v/>
      </c>
      <c r="D31" s="112">
        <f>IF($R31="","",IF(INDEX('_list'!$E$2:$E$676,$R31)="","",INDEX('_list'!$E$2:$E$676,$R31)))</f>
        <v/>
      </c>
      <c r="E31" s="112">
        <f>IF($R31="","",IF(INDEX('_list'!$F$2:$F$676,$R31)="","",INDEX('_list'!$F$2:$F$676,$R31)))</f>
        <v/>
      </c>
      <c r="F31" s="113">
        <f>IF($R31="","",IF(INDEX('_list'!$G$2:$G$676,$R31)="","",INDEX('_list'!$G$2:$G$676,$R31)))</f>
        <v/>
      </c>
      <c r="G31" s="114">
        <f>IF($S31="","",IF(INDEX('_pockets'!$AH:$AH,$S31)="","",INDEX('_pockets'!$AH:$AH,$S31)))</f>
        <v/>
      </c>
      <c r="H31" s="114">
        <f>IF($S31="","",IF(INDEX('_pockets'!$AF:$AF,$S31)="","",INDEX('_pockets'!$AF:$AF,$S31)))</f>
        <v/>
      </c>
      <c r="I31" s="115">
        <f>IF(IF($S31="","",IF(INDEX('_pockets'!$AB:$AB,$S31)="","",INDEX('_pockets'!$AB:$AB,$S31)))="","",IF($S31="","",IF(INDEX('_pockets'!$AB:$AB,$S31)="","",INDEX('_pockets'!$AB:$AB,$S31)))*IF($U$18,100,1))</f>
        <v/>
      </c>
      <c r="J31" s="113">
        <f>IF($S31="","",IF(INDEX('_pockets'!$Z:$Z,$S31)="","",INDEX('_pockets'!$Z:$Z,$S31)))</f>
        <v/>
      </c>
      <c r="K31" s="116">
        <f>IF($R31="","",IF(INDEX('_list'!$K$2:$K$676,$R31)="","",INDEX('_list'!$K$2:$K$676,$R31)))</f>
        <v/>
      </c>
      <c r="L31" s="117">
        <f>IF($S31="","",IF(INDEX('_pockets'!$AC:$AC,$S31)="","",INDEX('_pockets'!$AC:$AC,$S31)))</f>
        <v/>
      </c>
      <c r="M31" s="116">
        <f>IF($R31="","",IF(INDEX('_list'!$L$2:$L$676,$R31)="","",INDEX('_list'!$L$2:$L$676,$R31)))</f>
        <v/>
      </c>
      <c r="N31" s="115">
        <f>IF($R31="","",IF(INDEX('_list'!$H$2:$H$676,$R31)="","",INDEX('_list'!$H$2:$H$676,$R31)))</f>
        <v/>
      </c>
      <c r="O31" s="112">
        <f>IF($R31="","",IF(INDEX('_list'!$I$2:$I$676,$R31)="","",INDEX('_list'!$I$2:$I$676,$R31)))</f>
        <v/>
      </c>
      <c r="R31">
        <f>IFERROR(MATCH(12,'_list'!$N$2:$N$676,0),"")</f>
        <v/>
      </c>
      <c r="S31">
        <f>IF($R31="","",INDEX('_list'!$C$2:$C$676,$R31))</f>
        <v/>
      </c>
    </row>
    <row r="32" ht="16" customHeight="1">
      <c r="B32" s="111">
        <f>IF($R32="","",13)</f>
        <v/>
      </c>
      <c r="C32" s="112">
        <f>IF($R32="","",IF(INDEX('_list'!$D$2:$D$676,$R32)="","",INDEX('_list'!$D$2:$D$676,$R32)))</f>
        <v/>
      </c>
      <c r="D32" s="112">
        <f>IF($R32="","",IF(INDEX('_list'!$E$2:$E$676,$R32)="","",INDEX('_list'!$E$2:$E$676,$R32)))</f>
        <v/>
      </c>
      <c r="E32" s="112">
        <f>IF($R32="","",IF(INDEX('_list'!$F$2:$F$676,$R32)="","",INDEX('_list'!$F$2:$F$676,$R32)))</f>
        <v/>
      </c>
      <c r="F32" s="113">
        <f>IF($R32="","",IF(INDEX('_list'!$G$2:$G$676,$R32)="","",INDEX('_list'!$G$2:$G$676,$R32)))</f>
        <v/>
      </c>
      <c r="G32" s="114">
        <f>IF($S32="","",IF(INDEX('_pockets'!$AH:$AH,$S32)="","",INDEX('_pockets'!$AH:$AH,$S32)))</f>
        <v/>
      </c>
      <c r="H32" s="114">
        <f>IF($S32="","",IF(INDEX('_pockets'!$AF:$AF,$S32)="","",INDEX('_pockets'!$AF:$AF,$S32)))</f>
        <v/>
      </c>
      <c r="I32" s="115">
        <f>IF(IF($S32="","",IF(INDEX('_pockets'!$AB:$AB,$S32)="","",INDEX('_pockets'!$AB:$AB,$S32)))="","",IF($S32="","",IF(INDEX('_pockets'!$AB:$AB,$S32)="","",INDEX('_pockets'!$AB:$AB,$S32)))*IF($U$18,100,1))</f>
        <v/>
      </c>
      <c r="J32" s="113">
        <f>IF($S32="","",IF(INDEX('_pockets'!$Z:$Z,$S32)="","",INDEX('_pockets'!$Z:$Z,$S32)))</f>
        <v/>
      </c>
      <c r="K32" s="116">
        <f>IF($R32="","",IF(INDEX('_list'!$K$2:$K$676,$R32)="","",INDEX('_list'!$K$2:$K$676,$R32)))</f>
        <v/>
      </c>
      <c r="L32" s="117">
        <f>IF($S32="","",IF(INDEX('_pockets'!$AC:$AC,$S32)="","",INDEX('_pockets'!$AC:$AC,$S32)))</f>
        <v/>
      </c>
      <c r="M32" s="116">
        <f>IF($R32="","",IF(INDEX('_list'!$L$2:$L$676,$R32)="","",INDEX('_list'!$L$2:$L$676,$R32)))</f>
        <v/>
      </c>
      <c r="N32" s="115">
        <f>IF($R32="","",IF(INDEX('_list'!$H$2:$H$676,$R32)="","",INDEX('_list'!$H$2:$H$676,$R32)))</f>
        <v/>
      </c>
      <c r="O32" s="112">
        <f>IF($R32="","",IF(INDEX('_list'!$I$2:$I$676,$R32)="","",INDEX('_list'!$I$2:$I$676,$R32)))</f>
        <v/>
      </c>
      <c r="R32">
        <f>IFERROR(MATCH(13,'_list'!$N$2:$N$676,0),"")</f>
        <v/>
      </c>
      <c r="S32">
        <f>IF($R32="","",INDEX('_list'!$C$2:$C$676,$R32))</f>
        <v/>
      </c>
    </row>
    <row r="33" ht="16" customHeight="1">
      <c r="B33" s="111">
        <f>IF($R33="","",14)</f>
        <v/>
      </c>
      <c r="C33" s="112">
        <f>IF($R33="","",IF(INDEX('_list'!$D$2:$D$676,$R33)="","",INDEX('_list'!$D$2:$D$676,$R33)))</f>
        <v/>
      </c>
      <c r="D33" s="112">
        <f>IF($R33="","",IF(INDEX('_list'!$E$2:$E$676,$R33)="","",INDEX('_list'!$E$2:$E$676,$R33)))</f>
        <v/>
      </c>
      <c r="E33" s="112">
        <f>IF($R33="","",IF(INDEX('_list'!$F$2:$F$676,$R33)="","",INDEX('_list'!$F$2:$F$676,$R33)))</f>
        <v/>
      </c>
      <c r="F33" s="113">
        <f>IF($R33="","",IF(INDEX('_list'!$G$2:$G$676,$R33)="","",INDEX('_list'!$G$2:$G$676,$R33)))</f>
        <v/>
      </c>
      <c r="G33" s="114">
        <f>IF($S33="","",IF(INDEX('_pockets'!$AH:$AH,$S33)="","",INDEX('_pockets'!$AH:$AH,$S33)))</f>
        <v/>
      </c>
      <c r="H33" s="114">
        <f>IF($S33="","",IF(INDEX('_pockets'!$AF:$AF,$S33)="","",INDEX('_pockets'!$AF:$AF,$S33)))</f>
        <v/>
      </c>
      <c r="I33" s="115">
        <f>IF(IF($S33="","",IF(INDEX('_pockets'!$AB:$AB,$S33)="","",INDEX('_pockets'!$AB:$AB,$S33)))="","",IF($S33="","",IF(INDEX('_pockets'!$AB:$AB,$S33)="","",INDEX('_pockets'!$AB:$AB,$S33)))*IF($U$18,100,1))</f>
        <v/>
      </c>
      <c r="J33" s="113">
        <f>IF($S33="","",IF(INDEX('_pockets'!$Z:$Z,$S33)="","",INDEX('_pockets'!$Z:$Z,$S33)))</f>
        <v/>
      </c>
      <c r="K33" s="116">
        <f>IF($R33="","",IF(INDEX('_list'!$K$2:$K$676,$R33)="","",INDEX('_list'!$K$2:$K$676,$R33)))</f>
        <v/>
      </c>
      <c r="L33" s="117">
        <f>IF($S33="","",IF(INDEX('_pockets'!$AC:$AC,$S33)="","",INDEX('_pockets'!$AC:$AC,$S33)))</f>
        <v/>
      </c>
      <c r="M33" s="116">
        <f>IF($R33="","",IF(INDEX('_list'!$L$2:$L$676,$R33)="","",INDEX('_list'!$L$2:$L$676,$R33)))</f>
        <v/>
      </c>
      <c r="N33" s="115">
        <f>IF($R33="","",IF(INDEX('_list'!$H$2:$H$676,$R33)="","",INDEX('_list'!$H$2:$H$676,$R33)))</f>
        <v/>
      </c>
      <c r="O33" s="112">
        <f>IF($R33="","",IF(INDEX('_list'!$I$2:$I$676,$R33)="","",INDEX('_list'!$I$2:$I$676,$R33)))</f>
        <v/>
      </c>
      <c r="R33">
        <f>IFERROR(MATCH(14,'_list'!$N$2:$N$676,0),"")</f>
        <v/>
      </c>
      <c r="S33">
        <f>IF($R33="","",INDEX('_list'!$C$2:$C$676,$R33))</f>
        <v/>
      </c>
    </row>
    <row r="34" ht="16" customHeight="1">
      <c r="B34" s="111">
        <f>IF($R34="","",15)</f>
        <v/>
      </c>
      <c r="C34" s="112">
        <f>IF($R34="","",IF(INDEX('_list'!$D$2:$D$676,$R34)="","",INDEX('_list'!$D$2:$D$676,$R34)))</f>
        <v/>
      </c>
      <c r="D34" s="112">
        <f>IF($R34="","",IF(INDEX('_list'!$E$2:$E$676,$R34)="","",INDEX('_list'!$E$2:$E$676,$R34)))</f>
        <v/>
      </c>
      <c r="E34" s="112">
        <f>IF($R34="","",IF(INDEX('_list'!$F$2:$F$676,$R34)="","",INDEX('_list'!$F$2:$F$676,$R34)))</f>
        <v/>
      </c>
      <c r="F34" s="113">
        <f>IF($R34="","",IF(INDEX('_list'!$G$2:$G$676,$R34)="","",INDEX('_list'!$G$2:$G$676,$R34)))</f>
        <v/>
      </c>
      <c r="G34" s="114">
        <f>IF($S34="","",IF(INDEX('_pockets'!$AH:$AH,$S34)="","",INDEX('_pockets'!$AH:$AH,$S34)))</f>
        <v/>
      </c>
      <c r="H34" s="114">
        <f>IF($S34="","",IF(INDEX('_pockets'!$AF:$AF,$S34)="","",INDEX('_pockets'!$AF:$AF,$S34)))</f>
        <v/>
      </c>
      <c r="I34" s="115">
        <f>IF(IF($S34="","",IF(INDEX('_pockets'!$AB:$AB,$S34)="","",INDEX('_pockets'!$AB:$AB,$S34)))="","",IF($S34="","",IF(INDEX('_pockets'!$AB:$AB,$S34)="","",INDEX('_pockets'!$AB:$AB,$S34)))*IF($U$18,100,1))</f>
        <v/>
      </c>
      <c r="J34" s="113">
        <f>IF($S34="","",IF(INDEX('_pockets'!$Z:$Z,$S34)="","",INDEX('_pockets'!$Z:$Z,$S34)))</f>
        <v/>
      </c>
      <c r="K34" s="116">
        <f>IF($R34="","",IF(INDEX('_list'!$K$2:$K$676,$R34)="","",INDEX('_list'!$K$2:$K$676,$R34)))</f>
        <v/>
      </c>
      <c r="L34" s="117">
        <f>IF($S34="","",IF(INDEX('_pockets'!$AC:$AC,$S34)="","",INDEX('_pockets'!$AC:$AC,$S34)))</f>
        <v/>
      </c>
      <c r="M34" s="116">
        <f>IF($R34="","",IF(INDEX('_list'!$L$2:$L$676,$R34)="","",INDEX('_list'!$L$2:$L$676,$R34)))</f>
        <v/>
      </c>
      <c r="N34" s="115">
        <f>IF($R34="","",IF(INDEX('_list'!$H$2:$H$676,$R34)="","",INDEX('_list'!$H$2:$H$676,$R34)))</f>
        <v/>
      </c>
      <c r="O34" s="112">
        <f>IF($R34="","",IF(INDEX('_list'!$I$2:$I$676,$R34)="","",INDEX('_list'!$I$2:$I$676,$R34)))</f>
        <v/>
      </c>
      <c r="R34">
        <f>IFERROR(MATCH(15,'_list'!$N$2:$N$676,0),"")</f>
        <v/>
      </c>
      <c r="S34">
        <f>IF($R34="","",INDEX('_list'!$C$2:$C$676,$R34))</f>
        <v/>
      </c>
    </row>
    <row r="35" ht="16" customHeight="1">
      <c r="B35" s="111">
        <f>IF($R35="","",16)</f>
        <v/>
      </c>
      <c r="C35" s="112">
        <f>IF($R35="","",IF(INDEX('_list'!$D$2:$D$676,$R35)="","",INDEX('_list'!$D$2:$D$676,$R35)))</f>
        <v/>
      </c>
      <c r="D35" s="112">
        <f>IF($R35="","",IF(INDEX('_list'!$E$2:$E$676,$R35)="","",INDEX('_list'!$E$2:$E$676,$R35)))</f>
        <v/>
      </c>
      <c r="E35" s="112">
        <f>IF($R35="","",IF(INDEX('_list'!$F$2:$F$676,$R35)="","",INDEX('_list'!$F$2:$F$676,$R35)))</f>
        <v/>
      </c>
      <c r="F35" s="113">
        <f>IF($R35="","",IF(INDEX('_list'!$G$2:$G$676,$R35)="","",INDEX('_list'!$G$2:$G$676,$R35)))</f>
        <v/>
      </c>
      <c r="G35" s="114">
        <f>IF($S35="","",IF(INDEX('_pockets'!$AH:$AH,$S35)="","",INDEX('_pockets'!$AH:$AH,$S35)))</f>
        <v/>
      </c>
      <c r="H35" s="114">
        <f>IF($S35="","",IF(INDEX('_pockets'!$AF:$AF,$S35)="","",INDEX('_pockets'!$AF:$AF,$S35)))</f>
        <v/>
      </c>
      <c r="I35" s="115">
        <f>IF(IF($S35="","",IF(INDEX('_pockets'!$AB:$AB,$S35)="","",INDEX('_pockets'!$AB:$AB,$S35)))="","",IF($S35="","",IF(INDEX('_pockets'!$AB:$AB,$S35)="","",INDEX('_pockets'!$AB:$AB,$S35)))*IF($U$18,100,1))</f>
        <v/>
      </c>
      <c r="J35" s="113">
        <f>IF($S35="","",IF(INDEX('_pockets'!$Z:$Z,$S35)="","",INDEX('_pockets'!$Z:$Z,$S35)))</f>
        <v/>
      </c>
      <c r="K35" s="116">
        <f>IF($R35="","",IF(INDEX('_list'!$K$2:$K$676,$R35)="","",INDEX('_list'!$K$2:$K$676,$R35)))</f>
        <v/>
      </c>
      <c r="L35" s="117">
        <f>IF($S35="","",IF(INDEX('_pockets'!$AC:$AC,$S35)="","",INDEX('_pockets'!$AC:$AC,$S35)))</f>
        <v/>
      </c>
      <c r="M35" s="116">
        <f>IF($R35="","",IF(INDEX('_list'!$L$2:$L$676,$R35)="","",INDEX('_list'!$L$2:$L$676,$R35)))</f>
        <v/>
      </c>
      <c r="N35" s="115">
        <f>IF($R35="","",IF(INDEX('_list'!$H$2:$H$676,$R35)="","",INDEX('_list'!$H$2:$H$676,$R35)))</f>
        <v/>
      </c>
      <c r="O35" s="112">
        <f>IF($R35="","",IF(INDEX('_list'!$I$2:$I$676,$R35)="","",INDEX('_list'!$I$2:$I$676,$R35)))</f>
        <v/>
      </c>
      <c r="R35">
        <f>IFERROR(MATCH(16,'_list'!$N$2:$N$676,0),"")</f>
        <v/>
      </c>
      <c r="S35">
        <f>IF($R35="","",INDEX('_list'!$C$2:$C$676,$R35))</f>
        <v/>
      </c>
    </row>
    <row r="36" ht="16" customHeight="1">
      <c r="B36" s="111">
        <f>IF($R36="","",17)</f>
        <v/>
      </c>
      <c r="C36" s="112">
        <f>IF($R36="","",IF(INDEX('_list'!$D$2:$D$676,$R36)="","",INDEX('_list'!$D$2:$D$676,$R36)))</f>
        <v/>
      </c>
      <c r="D36" s="112">
        <f>IF($R36="","",IF(INDEX('_list'!$E$2:$E$676,$R36)="","",INDEX('_list'!$E$2:$E$676,$R36)))</f>
        <v/>
      </c>
      <c r="E36" s="112">
        <f>IF($R36="","",IF(INDEX('_list'!$F$2:$F$676,$R36)="","",INDEX('_list'!$F$2:$F$676,$R36)))</f>
        <v/>
      </c>
      <c r="F36" s="113">
        <f>IF($R36="","",IF(INDEX('_list'!$G$2:$G$676,$R36)="","",INDEX('_list'!$G$2:$G$676,$R36)))</f>
        <v/>
      </c>
      <c r="G36" s="114">
        <f>IF($S36="","",IF(INDEX('_pockets'!$AH:$AH,$S36)="","",INDEX('_pockets'!$AH:$AH,$S36)))</f>
        <v/>
      </c>
      <c r="H36" s="114">
        <f>IF($S36="","",IF(INDEX('_pockets'!$AF:$AF,$S36)="","",INDEX('_pockets'!$AF:$AF,$S36)))</f>
        <v/>
      </c>
      <c r="I36" s="115">
        <f>IF(IF($S36="","",IF(INDEX('_pockets'!$AB:$AB,$S36)="","",INDEX('_pockets'!$AB:$AB,$S36)))="","",IF($S36="","",IF(INDEX('_pockets'!$AB:$AB,$S36)="","",INDEX('_pockets'!$AB:$AB,$S36)))*IF($U$18,100,1))</f>
        <v/>
      </c>
      <c r="J36" s="113">
        <f>IF($S36="","",IF(INDEX('_pockets'!$Z:$Z,$S36)="","",INDEX('_pockets'!$Z:$Z,$S36)))</f>
        <v/>
      </c>
      <c r="K36" s="116">
        <f>IF($R36="","",IF(INDEX('_list'!$K$2:$K$676,$R36)="","",INDEX('_list'!$K$2:$K$676,$R36)))</f>
        <v/>
      </c>
      <c r="L36" s="117">
        <f>IF($S36="","",IF(INDEX('_pockets'!$AC:$AC,$S36)="","",INDEX('_pockets'!$AC:$AC,$S36)))</f>
        <v/>
      </c>
      <c r="M36" s="116">
        <f>IF($R36="","",IF(INDEX('_list'!$L$2:$L$676,$R36)="","",INDEX('_list'!$L$2:$L$676,$R36)))</f>
        <v/>
      </c>
      <c r="N36" s="115">
        <f>IF($R36="","",IF(INDEX('_list'!$H$2:$H$676,$R36)="","",INDEX('_list'!$H$2:$H$676,$R36)))</f>
        <v/>
      </c>
      <c r="O36" s="112">
        <f>IF($R36="","",IF(INDEX('_list'!$I$2:$I$676,$R36)="","",INDEX('_list'!$I$2:$I$676,$R36)))</f>
        <v/>
      </c>
      <c r="R36">
        <f>IFERROR(MATCH(17,'_list'!$N$2:$N$676,0),"")</f>
        <v/>
      </c>
      <c r="S36">
        <f>IF($R36="","",INDEX('_list'!$C$2:$C$676,$R36))</f>
        <v/>
      </c>
    </row>
    <row r="37" ht="16" customHeight="1">
      <c r="B37" s="111">
        <f>IF($R37="","",18)</f>
        <v/>
      </c>
      <c r="C37" s="112">
        <f>IF($R37="","",IF(INDEX('_list'!$D$2:$D$676,$R37)="","",INDEX('_list'!$D$2:$D$676,$R37)))</f>
        <v/>
      </c>
      <c r="D37" s="112">
        <f>IF($R37="","",IF(INDEX('_list'!$E$2:$E$676,$R37)="","",INDEX('_list'!$E$2:$E$676,$R37)))</f>
        <v/>
      </c>
      <c r="E37" s="112">
        <f>IF($R37="","",IF(INDEX('_list'!$F$2:$F$676,$R37)="","",INDEX('_list'!$F$2:$F$676,$R37)))</f>
        <v/>
      </c>
      <c r="F37" s="113">
        <f>IF($R37="","",IF(INDEX('_list'!$G$2:$G$676,$R37)="","",INDEX('_list'!$G$2:$G$676,$R37)))</f>
        <v/>
      </c>
      <c r="G37" s="114">
        <f>IF($S37="","",IF(INDEX('_pockets'!$AH:$AH,$S37)="","",INDEX('_pockets'!$AH:$AH,$S37)))</f>
        <v/>
      </c>
      <c r="H37" s="114">
        <f>IF($S37="","",IF(INDEX('_pockets'!$AF:$AF,$S37)="","",INDEX('_pockets'!$AF:$AF,$S37)))</f>
        <v/>
      </c>
      <c r="I37" s="115">
        <f>IF(IF($S37="","",IF(INDEX('_pockets'!$AB:$AB,$S37)="","",INDEX('_pockets'!$AB:$AB,$S37)))="","",IF($S37="","",IF(INDEX('_pockets'!$AB:$AB,$S37)="","",INDEX('_pockets'!$AB:$AB,$S37)))*IF($U$18,100,1))</f>
        <v/>
      </c>
      <c r="J37" s="113">
        <f>IF($S37="","",IF(INDEX('_pockets'!$Z:$Z,$S37)="","",INDEX('_pockets'!$Z:$Z,$S37)))</f>
        <v/>
      </c>
      <c r="K37" s="116">
        <f>IF($R37="","",IF(INDEX('_list'!$K$2:$K$676,$R37)="","",INDEX('_list'!$K$2:$K$676,$R37)))</f>
        <v/>
      </c>
      <c r="L37" s="117">
        <f>IF($S37="","",IF(INDEX('_pockets'!$AC:$AC,$S37)="","",INDEX('_pockets'!$AC:$AC,$S37)))</f>
        <v/>
      </c>
      <c r="M37" s="116">
        <f>IF($R37="","",IF(INDEX('_list'!$L$2:$L$676,$R37)="","",INDEX('_list'!$L$2:$L$676,$R37)))</f>
        <v/>
      </c>
      <c r="N37" s="115">
        <f>IF($R37="","",IF(INDEX('_list'!$H$2:$H$676,$R37)="","",INDEX('_list'!$H$2:$H$676,$R37)))</f>
        <v/>
      </c>
      <c r="O37" s="112">
        <f>IF($R37="","",IF(INDEX('_list'!$I$2:$I$676,$R37)="","",INDEX('_list'!$I$2:$I$676,$R37)))</f>
        <v/>
      </c>
      <c r="R37">
        <f>IFERROR(MATCH(18,'_list'!$N$2:$N$676,0),"")</f>
        <v/>
      </c>
      <c r="S37">
        <f>IF($R37="","",INDEX('_list'!$C$2:$C$676,$R37))</f>
        <v/>
      </c>
    </row>
    <row r="38" ht="16" customHeight="1">
      <c r="B38" s="111">
        <f>IF($R38="","",19)</f>
        <v/>
      </c>
      <c r="C38" s="112">
        <f>IF($R38="","",IF(INDEX('_list'!$D$2:$D$676,$R38)="","",INDEX('_list'!$D$2:$D$676,$R38)))</f>
        <v/>
      </c>
      <c r="D38" s="112">
        <f>IF($R38="","",IF(INDEX('_list'!$E$2:$E$676,$R38)="","",INDEX('_list'!$E$2:$E$676,$R38)))</f>
        <v/>
      </c>
      <c r="E38" s="112">
        <f>IF($R38="","",IF(INDEX('_list'!$F$2:$F$676,$R38)="","",INDEX('_list'!$F$2:$F$676,$R38)))</f>
        <v/>
      </c>
      <c r="F38" s="113">
        <f>IF($R38="","",IF(INDEX('_list'!$G$2:$G$676,$R38)="","",INDEX('_list'!$G$2:$G$676,$R38)))</f>
        <v/>
      </c>
      <c r="G38" s="114">
        <f>IF($S38="","",IF(INDEX('_pockets'!$AH:$AH,$S38)="","",INDEX('_pockets'!$AH:$AH,$S38)))</f>
        <v/>
      </c>
      <c r="H38" s="114">
        <f>IF($S38="","",IF(INDEX('_pockets'!$AF:$AF,$S38)="","",INDEX('_pockets'!$AF:$AF,$S38)))</f>
        <v/>
      </c>
      <c r="I38" s="115">
        <f>IF(IF($S38="","",IF(INDEX('_pockets'!$AB:$AB,$S38)="","",INDEX('_pockets'!$AB:$AB,$S38)))="","",IF($S38="","",IF(INDEX('_pockets'!$AB:$AB,$S38)="","",INDEX('_pockets'!$AB:$AB,$S38)))*IF($U$18,100,1))</f>
        <v/>
      </c>
      <c r="J38" s="113">
        <f>IF($S38="","",IF(INDEX('_pockets'!$Z:$Z,$S38)="","",INDEX('_pockets'!$Z:$Z,$S38)))</f>
        <v/>
      </c>
      <c r="K38" s="116">
        <f>IF($R38="","",IF(INDEX('_list'!$K$2:$K$676,$R38)="","",INDEX('_list'!$K$2:$K$676,$R38)))</f>
        <v/>
      </c>
      <c r="L38" s="117">
        <f>IF($S38="","",IF(INDEX('_pockets'!$AC:$AC,$S38)="","",INDEX('_pockets'!$AC:$AC,$S38)))</f>
        <v/>
      </c>
      <c r="M38" s="116">
        <f>IF($R38="","",IF(INDEX('_list'!$L$2:$L$676,$R38)="","",INDEX('_list'!$L$2:$L$676,$R38)))</f>
        <v/>
      </c>
      <c r="N38" s="115">
        <f>IF($R38="","",IF(INDEX('_list'!$H$2:$H$676,$R38)="","",INDEX('_list'!$H$2:$H$676,$R38)))</f>
        <v/>
      </c>
      <c r="O38" s="112">
        <f>IF($R38="","",IF(INDEX('_list'!$I$2:$I$676,$R38)="","",INDEX('_list'!$I$2:$I$676,$R38)))</f>
        <v/>
      </c>
      <c r="R38">
        <f>IFERROR(MATCH(19,'_list'!$N$2:$N$676,0),"")</f>
        <v/>
      </c>
      <c r="S38">
        <f>IF($R38="","",INDEX('_list'!$C$2:$C$676,$R38))</f>
        <v/>
      </c>
    </row>
    <row r="39" ht="16" customHeight="1">
      <c r="B39" s="111">
        <f>IF($R39="","",20)</f>
        <v/>
      </c>
      <c r="C39" s="112">
        <f>IF($R39="","",IF(INDEX('_list'!$D$2:$D$676,$R39)="","",INDEX('_list'!$D$2:$D$676,$R39)))</f>
        <v/>
      </c>
      <c r="D39" s="112">
        <f>IF($R39="","",IF(INDEX('_list'!$E$2:$E$676,$R39)="","",INDEX('_list'!$E$2:$E$676,$R39)))</f>
        <v/>
      </c>
      <c r="E39" s="112">
        <f>IF($R39="","",IF(INDEX('_list'!$F$2:$F$676,$R39)="","",INDEX('_list'!$F$2:$F$676,$R39)))</f>
        <v/>
      </c>
      <c r="F39" s="113">
        <f>IF($R39="","",IF(INDEX('_list'!$G$2:$G$676,$R39)="","",INDEX('_list'!$G$2:$G$676,$R39)))</f>
        <v/>
      </c>
      <c r="G39" s="114">
        <f>IF($S39="","",IF(INDEX('_pockets'!$AH:$AH,$S39)="","",INDEX('_pockets'!$AH:$AH,$S39)))</f>
        <v/>
      </c>
      <c r="H39" s="114">
        <f>IF($S39="","",IF(INDEX('_pockets'!$AF:$AF,$S39)="","",INDEX('_pockets'!$AF:$AF,$S39)))</f>
        <v/>
      </c>
      <c r="I39" s="115">
        <f>IF(IF($S39="","",IF(INDEX('_pockets'!$AB:$AB,$S39)="","",INDEX('_pockets'!$AB:$AB,$S39)))="","",IF($S39="","",IF(INDEX('_pockets'!$AB:$AB,$S39)="","",INDEX('_pockets'!$AB:$AB,$S39)))*IF($U$18,100,1))</f>
        <v/>
      </c>
      <c r="J39" s="113">
        <f>IF($S39="","",IF(INDEX('_pockets'!$Z:$Z,$S39)="","",INDEX('_pockets'!$Z:$Z,$S39)))</f>
        <v/>
      </c>
      <c r="K39" s="116">
        <f>IF($R39="","",IF(INDEX('_list'!$K$2:$K$676,$R39)="","",INDEX('_list'!$K$2:$K$676,$R39)))</f>
        <v/>
      </c>
      <c r="L39" s="117">
        <f>IF($S39="","",IF(INDEX('_pockets'!$AC:$AC,$S39)="","",INDEX('_pockets'!$AC:$AC,$S39)))</f>
        <v/>
      </c>
      <c r="M39" s="116">
        <f>IF($R39="","",IF(INDEX('_list'!$L$2:$L$676,$R39)="","",INDEX('_list'!$L$2:$L$676,$R39)))</f>
        <v/>
      </c>
      <c r="N39" s="115">
        <f>IF($R39="","",IF(INDEX('_list'!$H$2:$H$676,$R39)="","",INDEX('_list'!$H$2:$H$676,$R39)))</f>
        <v/>
      </c>
      <c r="O39" s="112">
        <f>IF($R39="","",IF(INDEX('_list'!$I$2:$I$676,$R39)="","",INDEX('_list'!$I$2:$I$676,$R39)))</f>
        <v/>
      </c>
      <c r="R39">
        <f>IFERROR(MATCH(20,'_list'!$N$2:$N$676,0),"")</f>
        <v/>
      </c>
      <c r="S39">
        <f>IF($R39="","",INDEX('_list'!$C$2:$C$676,$R39))</f>
        <v/>
      </c>
    </row>
    <row r="40" ht="16" customHeight="1">
      <c r="B40" s="111">
        <f>IF($R40="","",21)</f>
        <v/>
      </c>
      <c r="C40" s="112">
        <f>IF($R40="","",IF(INDEX('_list'!$D$2:$D$676,$R40)="","",INDEX('_list'!$D$2:$D$676,$R40)))</f>
        <v/>
      </c>
      <c r="D40" s="112">
        <f>IF($R40="","",IF(INDEX('_list'!$E$2:$E$676,$R40)="","",INDEX('_list'!$E$2:$E$676,$R40)))</f>
        <v/>
      </c>
      <c r="E40" s="112">
        <f>IF($R40="","",IF(INDEX('_list'!$F$2:$F$676,$R40)="","",INDEX('_list'!$F$2:$F$676,$R40)))</f>
        <v/>
      </c>
      <c r="F40" s="113">
        <f>IF($R40="","",IF(INDEX('_list'!$G$2:$G$676,$R40)="","",INDEX('_list'!$G$2:$G$676,$R40)))</f>
        <v/>
      </c>
      <c r="G40" s="114">
        <f>IF($S40="","",IF(INDEX('_pockets'!$AH:$AH,$S40)="","",INDEX('_pockets'!$AH:$AH,$S40)))</f>
        <v/>
      </c>
      <c r="H40" s="114">
        <f>IF($S40="","",IF(INDEX('_pockets'!$AF:$AF,$S40)="","",INDEX('_pockets'!$AF:$AF,$S40)))</f>
        <v/>
      </c>
      <c r="I40" s="115">
        <f>IF(IF($S40="","",IF(INDEX('_pockets'!$AB:$AB,$S40)="","",INDEX('_pockets'!$AB:$AB,$S40)))="","",IF($S40="","",IF(INDEX('_pockets'!$AB:$AB,$S40)="","",INDEX('_pockets'!$AB:$AB,$S40)))*IF($U$18,100,1))</f>
        <v/>
      </c>
      <c r="J40" s="113">
        <f>IF($S40="","",IF(INDEX('_pockets'!$Z:$Z,$S40)="","",INDEX('_pockets'!$Z:$Z,$S40)))</f>
        <v/>
      </c>
      <c r="K40" s="116">
        <f>IF($R40="","",IF(INDEX('_list'!$K$2:$K$676,$R40)="","",INDEX('_list'!$K$2:$K$676,$R40)))</f>
        <v/>
      </c>
      <c r="L40" s="117">
        <f>IF($S40="","",IF(INDEX('_pockets'!$AC:$AC,$S40)="","",INDEX('_pockets'!$AC:$AC,$S40)))</f>
        <v/>
      </c>
      <c r="M40" s="116">
        <f>IF($R40="","",IF(INDEX('_list'!$L$2:$L$676,$R40)="","",INDEX('_list'!$L$2:$L$676,$R40)))</f>
        <v/>
      </c>
      <c r="N40" s="115">
        <f>IF($R40="","",IF(INDEX('_list'!$H$2:$H$676,$R40)="","",INDEX('_list'!$H$2:$H$676,$R40)))</f>
        <v/>
      </c>
      <c r="O40" s="112">
        <f>IF($R40="","",IF(INDEX('_list'!$I$2:$I$676,$R40)="","",INDEX('_list'!$I$2:$I$676,$R40)))</f>
        <v/>
      </c>
      <c r="R40">
        <f>IFERROR(MATCH(21,'_list'!$N$2:$N$676,0),"")</f>
        <v/>
      </c>
      <c r="S40">
        <f>IF($R40="","",INDEX('_list'!$C$2:$C$676,$R40))</f>
        <v/>
      </c>
    </row>
    <row r="41" ht="16" customHeight="1">
      <c r="B41" s="111">
        <f>IF($R41="","",22)</f>
        <v/>
      </c>
      <c r="C41" s="112">
        <f>IF($R41="","",IF(INDEX('_list'!$D$2:$D$676,$R41)="","",INDEX('_list'!$D$2:$D$676,$R41)))</f>
        <v/>
      </c>
      <c r="D41" s="112">
        <f>IF($R41="","",IF(INDEX('_list'!$E$2:$E$676,$R41)="","",INDEX('_list'!$E$2:$E$676,$R41)))</f>
        <v/>
      </c>
      <c r="E41" s="112">
        <f>IF($R41="","",IF(INDEX('_list'!$F$2:$F$676,$R41)="","",INDEX('_list'!$F$2:$F$676,$R41)))</f>
        <v/>
      </c>
      <c r="F41" s="113">
        <f>IF($R41="","",IF(INDEX('_list'!$G$2:$G$676,$R41)="","",INDEX('_list'!$G$2:$G$676,$R41)))</f>
        <v/>
      </c>
      <c r="G41" s="114">
        <f>IF($S41="","",IF(INDEX('_pockets'!$AH:$AH,$S41)="","",INDEX('_pockets'!$AH:$AH,$S41)))</f>
        <v/>
      </c>
      <c r="H41" s="114">
        <f>IF($S41="","",IF(INDEX('_pockets'!$AF:$AF,$S41)="","",INDEX('_pockets'!$AF:$AF,$S41)))</f>
        <v/>
      </c>
      <c r="I41" s="115">
        <f>IF(IF($S41="","",IF(INDEX('_pockets'!$AB:$AB,$S41)="","",INDEX('_pockets'!$AB:$AB,$S41)))="","",IF($S41="","",IF(INDEX('_pockets'!$AB:$AB,$S41)="","",INDEX('_pockets'!$AB:$AB,$S41)))*IF($U$18,100,1))</f>
        <v/>
      </c>
      <c r="J41" s="113">
        <f>IF($S41="","",IF(INDEX('_pockets'!$Z:$Z,$S41)="","",INDEX('_pockets'!$Z:$Z,$S41)))</f>
        <v/>
      </c>
      <c r="K41" s="116">
        <f>IF($R41="","",IF(INDEX('_list'!$K$2:$K$676,$R41)="","",INDEX('_list'!$K$2:$K$676,$R41)))</f>
        <v/>
      </c>
      <c r="L41" s="117">
        <f>IF($S41="","",IF(INDEX('_pockets'!$AC:$AC,$S41)="","",INDEX('_pockets'!$AC:$AC,$S41)))</f>
        <v/>
      </c>
      <c r="M41" s="116">
        <f>IF($R41="","",IF(INDEX('_list'!$L$2:$L$676,$R41)="","",INDEX('_list'!$L$2:$L$676,$R41)))</f>
        <v/>
      </c>
      <c r="N41" s="115">
        <f>IF($R41="","",IF(INDEX('_list'!$H$2:$H$676,$R41)="","",INDEX('_list'!$H$2:$H$676,$R41)))</f>
        <v/>
      </c>
      <c r="O41" s="112">
        <f>IF($R41="","",IF(INDEX('_list'!$I$2:$I$676,$R41)="","",INDEX('_list'!$I$2:$I$676,$R41)))</f>
        <v/>
      </c>
      <c r="R41">
        <f>IFERROR(MATCH(22,'_list'!$N$2:$N$676,0),"")</f>
        <v/>
      </c>
      <c r="S41">
        <f>IF($R41="","",INDEX('_list'!$C$2:$C$676,$R41))</f>
        <v/>
      </c>
    </row>
    <row r="42" ht="16" customHeight="1">
      <c r="B42" s="111">
        <f>IF($R42="","",23)</f>
        <v/>
      </c>
      <c r="C42" s="112">
        <f>IF($R42="","",IF(INDEX('_list'!$D$2:$D$676,$R42)="","",INDEX('_list'!$D$2:$D$676,$R42)))</f>
        <v/>
      </c>
      <c r="D42" s="112">
        <f>IF($R42="","",IF(INDEX('_list'!$E$2:$E$676,$R42)="","",INDEX('_list'!$E$2:$E$676,$R42)))</f>
        <v/>
      </c>
      <c r="E42" s="112">
        <f>IF($R42="","",IF(INDEX('_list'!$F$2:$F$676,$R42)="","",INDEX('_list'!$F$2:$F$676,$R42)))</f>
        <v/>
      </c>
      <c r="F42" s="113">
        <f>IF($R42="","",IF(INDEX('_list'!$G$2:$G$676,$R42)="","",INDEX('_list'!$G$2:$G$676,$R42)))</f>
        <v/>
      </c>
      <c r="G42" s="114">
        <f>IF($S42="","",IF(INDEX('_pockets'!$AH:$AH,$S42)="","",INDEX('_pockets'!$AH:$AH,$S42)))</f>
        <v/>
      </c>
      <c r="H42" s="114">
        <f>IF($S42="","",IF(INDEX('_pockets'!$AF:$AF,$S42)="","",INDEX('_pockets'!$AF:$AF,$S42)))</f>
        <v/>
      </c>
      <c r="I42" s="115">
        <f>IF(IF($S42="","",IF(INDEX('_pockets'!$AB:$AB,$S42)="","",INDEX('_pockets'!$AB:$AB,$S42)))="","",IF($S42="","",IF(INDEX('_pockets'!$AB:$AB,$S42)="","",INDEX('_pockets'!$AB:$AB,$S42)))*IF($U$18,100,1))</f>
        <v/>
      </c>
      <c r="J42" s="113">
        <f>IF($S42="","",IF(INDEX('_pockets'!$Z:$Z,$S42)="","",INDEX('_pockets'!$Z:$Z,$S42)))</f>
        <v/>
      </c>
      <c r="K42" s="116">
        <f>IF($R42="","",IF(INDEX('_list'!$K$2:$K$676,$R42)="","",INDEX('_list'!$K$2:$K$676,$R42)))</f>
        <v/>
      </c>
      <c r="L42" s="117">
        <f>IF($S42="","",IF(INDEX('_pockets'!$AC:$AC,$S42)="","",INDEX('_pockets'!$AC:$AC,$S42)))</f>
        <v/>
      </c>
      <c r="M42" s="116">
        <f>IF($R42="","",IF(INDEX('_list'!$L$2:$L$676,$R42)="","",INDEX('_list'!$L$2:$L$676,$R42)))</f>
        <v/>
      </c>
      <c r="N42" s="115">
        <f>IF($R42="","",IF(INDEX('_list'!$H$2:$H$676,$R42)="","",INDEX('_list'!$H$2:$H$676,$R42)))</f>
        <v/>
      </c>
      <c r="O42" s="112">
        <f>IF($R42="","",IF(INDEX('_list'!$I$2:$I$676,$R42)="","",INDEX('_list'!$I$2:$I$676,$R42)))</f>
        <v/>
      </c>
      <c r="R42">
        <f>IFERROR(MATCH(23,'_list'!$N$2:$N$676,0),"")</f>
        <v/>
      </c>
      <c r="S42">
        <f>IF($R42="","",INDEX('_list'!$C$2:$C$676,$R42))</f>
        <v/>
      </c>
    </row>
    <row r="43" ht="16" customHeight="1">
      <c r="B43" s="111">
        <f>IF($R43="","",24)</f>
        <v/>
      </c>
      <c r="C43" s="112">
        <f>IF($R43="","",IF(INDEX('_list'!$D$2:$D$676,$R43)="","",INDEX('_list'!$D$2:$D$676,$R43)))</f>
        <v/>
      </c>
      <c r="D43" s="112">
        <f>IF($R43="","",IF(INDEX('_list'!$E$2:$E$676,$R43)="","",INDEX('_list'!$E$2:$E$676,$R43)))</f>
        <v/>
      </c>
      <c r="E43" s="112">
        <f>IF($R43="","",IF(INDEX('_list'!$F$2:$F$676,$R43)="","",INDEX('_list'!$F$2:$F$676,$R43)))</f>
        <v/>
      </c>
      <c r="F43" s="113">
        <f>IF($R43="","",IF(INDEX('_list'!$G$2:$G$676,$R43)="","",INDEX('_list'!$G$2:$G$676,$R43)))</f>
        <v/>
      </c>
      <c r="G43" s="114">
        <f>IF($S43="","",IF(INDEX('_pockets'!$AH:$AH,$S43)="","",INDEX('_pockets'!$AH:$AH,$S43)))</f>
        <v/>
      </c>
      <c r="H43" s="114">
        <f>IF($S43="","",IF(INDEX('_pockets'!$AF:$AF,$S43)="","",INDEX('_pockets'!$AF:$AF,$S43)))</f>
        <v/>
      </c>
      <c r="I43" s="115">
        <f>IF(IF($S43="","",IF(INDEX('_pockets'!$AB:$AB,$S43)="","",INDEX('_pockets'!$AB:$AB,$S43)))="","",IF($S43="","",IF(INDEX('_pockets'!$AB:$AB,$S43)="","",INDEX('_pockets'!$AB:$AB,$S43)))*IF($U$18,100,1))</f>
        <v/>
      </c>
      <c r="J43" s="113">
        <f>IF($S43="","",IF(INDEX('_pockets'!$Z:$Z,$S43)="","",INDEX('_pockets'!$Z:$Z,$S43)))</f>
        <v/>
      </c>
      <c r="K43" s="116">
        <f>IF($R43="","",IF(INDEX('_list'!$K$2:$K$676,$R43)="","",INDEX('_list'!$K$2:$K$676,$R43)))</f>
        <v/>
      </c>
      <c r="L43" s="117">
        <f>IF($S43="","",IF(INDEX('_pockets'!$AC:$AC,$S43)="","",INDEX('_pockets'!$AC:$AC,$S43)))</f>
        <v/>
      </c>
      <c r="M43" s="116">
        <f>IF($R43="","",IF(INDEX('_list'!$L$2:$L$676,$R43)="","",INDEX('_list'!$L$2:$L$676,$R43)))</f>
        <v/>
      </c>
      <c r="N43" s="115">
        <f>IF($R43="","",IF(INDEX('_list'!$H$2:$H$676,$R43)="","",INDEX('_list'!$H$2:$H$676,$R43)))</f>
        <v/>
      </c>
      <c r="O43" s="112">
        <f>IF($R43="","",IF(INDEX('_list'!$I$2:$I$676,$R43)="","",INDEX('_list'!$I$2:$I$676,$R43)))</f>
        <v/>
      </c>
      <c r="R43">
        <f>IFERROR(MATCH(24,'_list'!$N$2:$N$676,0),"")</f>
        <v/>
      </c>
      <c r="S43">
        <f>IF($R43="","",INDEX('_list'!$C$2:$C$676,$R43))</f>
        <v/>
      </c>
    </row>
    <row r="44" ht="16" customHeight="1">
      <c r="B44" s="111">
        <f>IF($R44="","",25)</f>
        <v/>
      </c>
      <c r="C44" s="112">
        <f>IF($R44="","",IF(INDEX('_list'!$D$2:$D$676,$R44)="","",INDEX('_list'!$D$2:$D$676,$R44)))</f>
        <v/>
      </c>
      <c r="D44" s="112">
        <f>IF($R44="","",IF(INDEX('_list'!$E$2:$E$676,$R44)="","",INDEX('_list'!$E$2:$E$676,$R44)))</f>
        <v/>
      </c>
      <c r="E44" s="112">
        <f>IF($R44="","",IF(INDEX('_list'!$F$2:$F$676,$R44)="","",INDEX('_list'!$F$2:$F$676,$R44)))</f>
        <v/>
      </c>
      <c r="F44" s="113">
        <f>IF($R44="","",IF(INDEX('_list'!$G$2:$G$676,$R44)="","",INDEX('_list'!$G$2:$G$676,$R44)))</f>
        <v/>
      </c>
      <c r="G44" s="114">
        <f>IF($S44="","",IF(INDEX('_pockets'!$AH:$AH,$S44)="","",INDEX('_pockets'!$AH:$AH,$S44)))</f>
        <v/>
      </c>
      <c r="H44" s="114">
        <f>IF($S44="","",IF(INDEX('_pockets'!$AF:$AF,$S44)="","",INDEX('_pockets'!$AF:$AF,$S44)))</f>
        <v/>
      </c>
      <c r="I44" s="115">
        <f>IF(IF($S44="","",IF(INDEX('_pockets'!$AB:$AB,$S44)="","",INDEX('_pockets'!$AB:$AB,$S44)))="","",IF($S44="","",IF(INDEX('_pockets'!$AB:$AB,$S44)="","",INDEX('_pockets'!$AB:$AB,$S44)))*IF($U$18,100,1))</f>
        <v/>
      </c>
      <c r="J44" s="113">
        <f>IF($S44="","",IF(INDEX('_pockets'!$Z:$Z,$S44)="","",INDEX('_pockets'!$Z:$Z,$S44)))</f>
        <v/>
      </c>
      <c r="K44" s="116">
        <f>IF($R44="","",IF(INDEX('_list'!$K$2:$K$676,$R44)="","",INDEX('_list'!$K$2:$K$676,$R44)))</f>
        <v/>
      </c>
      <c r="L44" s="117">
        <f>IF($S44="","",IF(INDEX('_pockets'!$AC:$AC,$S44)="","",INDEX('_pockets'!$AC:$AC,$S44)))</f>
        <v/>
      </c>
      <c r="M44" s="116">
        <f>IF($R44="","",IF(INDEX('_list'!$L$2:$L$676,$R44)="","",INDEX('_list'!$L$2:$L$676,$R44)))</f>
        <v/>
      </c>
      <c r="N44" s="115">
        <f>IF($R44="","",IF(INDEX('_list'!$H$2:$H$676,$R44)="","",INDEX('_list'!$H$2:$H$676,$R44)))</f>
        <v/>
      </c>
      <c r="O44" s="112">
        <f>IF($R44="","",IF(INDEX('_list'!$I$2:$I$676,$R44)="","",INDEX('_list'!$I$2:$I$676,$R44)))</f>
        <v/>
      </c>
      <c r="R44">
        <f>IFERROR(MATCH(25,'_list'!$N$2:$N$676,0),"")</f>
        <v/>
      </c>
      <c r="S44">
        <f>IF($R44="","",INDEX('_list'!$C$2:$C$676,$R44))</f>
        <v/>
      </c>
    </row>
    <row r="45" ht="16" customHeight="1">
      <c r="B45" s="111">
        <f>IF($R45="","",26)</f>
        <v/>
      </c>
      <c r="C45" s="112">
        <f>IF($R45="","",IF(INDEX('_list'!$D$2:$D$676,$R45)="","",INDEX('_list'!$D$2:$D$676,$R45)))</f>
        <v/>
      </c>
      <c r="D45" s="112">
        <f>IF($R45="","",IF(INDEX('_list'!$E$2:$E$676,$R45)="","",INDEX('_list'!$E$2:$E$676,$R45)))</f>
        <v/>
      </c>
      <c r="E45" s="112">
        <f>IF($R45="","",IF(INDEX('_list'!$F$2:$F$676,$R45)="","",INDEX('_list'!$F$2:$F$676,$R45)))</f>
        <v/>
      </c>
      <c r="F45" s="113">
        <f>IF($R45="","",IF(INDEX('_list'!$G$2:$G$676,$R45)="","",INDEX('_list'!$G$2:$G$676,$R45)))</f>
        <v/>
      </c>
      <c r="G45" s="114">
        <f>IF($S45="","",IF(INDEX('_pockets'!$AH:$AH,$S45)="","",INDEX('_pockets'!$AH:$AH,$S45)))</f>
        <v/>
      </c>
      <c r="H45" s="114">
        <f>IF($S45="","",IF(INDEX('_pockets'!$AF:$AF,$S45)="","",INDEX('_pockets'!$AF:$AF,$S45)))</f>
        <v/>
      </c>
      <c r="I45" s="115">
        <f>IF(IF($S45="","",IF(INDEX('_pockets'!$AB:$AB,$S45)="","",INDEX('_pockets'!$AB:$AB,$S45)))="","",IF($S45="","",IF(INDEX('_pockets'!$AB:$AB,$S45)="","",INDEX('_pockets'!$AB:$AB,$S45)))*IF($U$18,100,1))</f>
        <v/>
      </c>
      <c r="J45" s="113">
        <f>IF($S45="","",IF(INDEX('_pockets'!$Z:$Z,$S45)="","",INDEX('_pockets'!$Z:$Z,$S45)))</f>
        <v/>
      </c>
      <c r="K45" s="116">
        <f>IF($R45="","",IF(INDEX('_list'!$K$2:$K$676,$R45)="","",INDEX('_list'!$K$2:$K$676,$R45)))</f>
        <v/>
      </c>
      <c r="L45" s="117">
        <f>IF($S45="","",IF(INDEX('_pockets'!$AC:$AC,$S45)="","",INDEX('_pockets'!$AC:$AC,$S45)))</f>
        <v/>
      </c>
      <c r="M45" s="116">
        <f>IF($R45="","",IF(INDEX('_list'!$L$2:$L$676,$R45)="","",INDEX('_list'!$L$2:$L$676,$R45)))</f>
        <v/>
      </c>
      <c r="N45" s="115">
        <f>IF($R45="","",IF(INDEX('_list'!$H$2:$H$676,$R45)="","",INDEX('_list'!$H$2:$H$676,$R45)))</f>
        <v/>
      </c>
      <c r="O45" s="112">
        <f>IF($R45="","",IF(INDEX('_list'!$I$2:$I$676,$R45)="","",INDEX('_list'!$I$2:$I$676,$R45)))</f>
        <v/>
      </c>
      <c r="R45">
        <f>IFERROR(MATCH(26,'_list'!$N$2:$N$676,0),"")</f>
        <v/>
      </c>
      <c r="S45">
        <f>IF($R45="","",INDEX('_list'!$C$2:$C$676,$R45))</f>
        <v/>
      </c>
    </row>
    <row r="46" ht="16" customHeight="1">
      <c r="B46" s="111">
        <f>IF($R46="","",27)</f>
        <v/>
      </c>
      <c r="C46" s="112">
        <f>IF($R46="","",IF(INDEX('_list'!$D$2:$D$676,$R46)="","",INDEX('_list'!$D$2:$D$676,$R46)))</f>
        <v/>
      </c>
      <c r="D46" s="112">
        <f>IF($R46="","",IF(INDEX('_list'!$E$2:$E$676,$R46)="","",INDEX('_list'!$E$2:$E$676,$R46)))</f>
        <v/>
      </c>
      <c r="E46" s="112">
        <f>IF($R46="","",IF(INDEX('_list'!$F$2:$F$676,$R46)="","",INDEX('_list'!$F$2:$F$676,$R46)))</f>
        <v/>
      </c>
      <c r="F46" s="113">
        <f>IF($R46="","",IF(INDEX('_list'!$G$2:$G$676,$R46)="","",INDEX('_list'!$G$2:$G$676,$R46)))</f>
        <v/>
      </c>
      <c r="G46" s="114">
        <f>IF($S46="","",IF(INDEX('_pockets'!$AH:$AH,$S46)="","",INDEX('_pockets'!$AH:$AH,$S46)))</f>
        <v/>
      </c>
      <c r="H46" s="114">
        <f>IF($S46="","",IF(INDEX('_pockets'!$AF:$AF,$S46)="","",INDEX('_pockets'!$AF:$AF,$S46)))</f>
        <v/>
      </c>
      <c r="I46" s="115">
        <f>IF(IF($S46="","",IF(INDEX('_pockets'!$AB:$AB,$S46)="","",INDEX('_pockets'!$AB:$AB,$S46)))="","",IF($S46="","",IF(INDEX('_pockets'!$AB:$AB,$S46)="","",INDEX('_pockets'!$AB:$AB,$S46)))*IF($U$18,100,1))</f>
        <v/>
      </c>
      <c r="J46" s="113">
        <f>IF($S46="","",IF(INDEX('_pockets'!$Z:$Z,$S46)="","",INDEX('_pockets'!$Z:$Z,$S46)))</f>
        <v/>
      </c>
      <c r="K46" s="116">
        <f>IF($R46="","",IF(INDEX('_list'!$K$2:$K$676,$R46)="","",INDEX('_list'!$K$2:$K$676,$R46)))</f>
        <v/>
      </c>
      <c r="L46" s="117">
        <f>IF($S46="","",IF(INDEX('_pockets'!$AC:$AC,$S46)="","",INDEX('_pockets'!$AC:$AC,$S46)))</f>
        <v/>
      </c>
      <c r="M46" s="116">
        <f>IF($R46="","",IF(INDEX('_list'!$L$2:$L$676,$R46)="","",INDEX('_list'!$L$2:$L$676,$R46)))</f>
        <v/>
      </c>
      <c r="N46" s="115">
        <f>IF($R46="","",IF(INDEX('_list'!$H$2:$H$676,$R46)="","",INDEX('_list'!$H$2:$H$676,$R46)))</f>
        <v/>
      </c>
      <c r="O46" s="112">
        <f>IF($R46="","",IF(INDEX('_list'!$I$2:$I$676,$R46)="","",INDEX('_list'!$I$2:$I$676,$R46)))</f>
        <v/>
      </c>
      <c r="R46">
        <f>IFERROR(MATCH(27,'_list'!$N$2:$N$676,0),"")</f>
        <v/>
      </c>
      <c r="S46">
        <f>IF($R46="","",INDEX('_list'!$C$2:$C$676,$R46))</f>
        <v/>
      </c>
    </row>
    <row r="47" ht="16" customHeight="1">
      <c r="B47" s="111">
        <f>IF($R47="","",28)</f>
        <v/>
      </c>
      <c r="C47" s="112">
        <f>IF($R47="","",IF(INDEX('_list'!$D$2:$D$676,$R47)="","",INDEX('_list'!$D$2:$D$676,$R47)))</f>
        <v/>
      </c>
      <c r="D47" s="112">
        <f>IF($R47="","",IF(INDEX('_list'!$E$2:$E$676,$R47)="","",INDEX('_list'!$E$2:$E$676,$R47)))</f>
        <v/>
      </c>
      <c r="E47" s="112">
        <f>IF($R47="","",IF(INDEX('_list'!$F$2:$F$676,$R47)="","",INDEX('_list'!$F$2:$F$676,$R47)))</f>
        <v/>
      </c>
      <c r="F47" s="113">
        <f>IF($R47="","",IF(INDEX('_list'!$G$2:$G$676,$R47)="","",INDEX('_list'!$G$2:$G$676,$R47)))</f>
        <v/>
      </c>
      <c r="G47" s="114">
        <f>IF($S47="","",IF(INDEX('_pockets'!$AH:$AH,$S47)="","",INDEX('_pockets'!$AH:$AH,$S47)))</f>
        <v/>
      </c>
      <c r="H47" s="114">
        <f>IF($S47="","",IF(INDEX('_pockets'!$AF:$AF,$S47)="","",INDEX('_pockets'!$AF:$AF,$S47)))</f>
        <v/>
      </c>
      <c r="I47" s="115">
        <f>IF(IF($S47="","",IF(INDEX('_pockets'!$AB:$AB,$S47)="","",INDEX('_pockets'!$AB:$AB,$S47)))="","",IF($S47="","",IF(INDEX('_pockets'!$AB:$AB,$S47)="","",INDEX('_pockets'!$AB:$AB,$S47)))*IF($U$18,100,1))</f>
        <v/>
      </c>
      <c r="J47" s="113">
        <f>IF($S47="","",IF(INDEX('_pockets'!$Z:$Z,$S47)="","",INDEX('_pockets'!$Z:$Z,$S47)))</f>
        <v/>
      </c>
      <c r="K47" s="116">
        <f>IF($R47="","",IF(INDEX('_list'!$K$2:$K$676,$R47)="","",INDEX('_list'!$K$2:$K$676,$R47)))</f>
        <v/>
      </c>
      <c r="L47" s="117">
        <f>IF($S47="","",IF(INDEX('_pockets'!$AC:$AC,$S47)="","",INDEX('_pockets'!$AC:$AC,$S47)))</f>
        <v/>
      </c>
      <c r="M47" s="116">
        <f>IF($R47="","",IF(INDEX('_list'!$L$2:$L$676,$R47)="","",INDEX('_list'!$L$2:$L$676,$R47)))</f>
        <v/>
      </c>
      <c r="N47" s="115">
        <f>IF($R47="","",IF(INDEX('_list'!$H$2:$H$676,$R47)="","",INDEX('_list'!$H$2:$H$676,$R47)))</f>
        <v/>
      </c>
      <c r="O47" s="112">
        <f>IF($R47="","",IF(INDEX('_list'!$I$2:$I$676,$R47)="","",INDEX('_list'!$I$2:$I$676,$R47)))</f>
        <v/>
      </c>
      <c r="R47">
        <f>IFERROR(MATCH(28,'_list'!$N$2:$N$676,0),"")</f>
        <v/>
      </c>
      <c r="S47">
        <f>IF($R47="","",INDEX('_list'!$C$2:$C$676,$R47))</f>
        <v/>
      </c>
    </row>
    <row r="48" ht="16" customHeight="1">
      <c r="B48" s="111">
        <f>IF($R48="","",29)</f>
        <v/>
      </c>
      <c r="C48" s="112">
        <f>IF($R48="","",IF(INDEX('_list'!$D$2:$D$676,$R48)="","",INDEX('_list'!$D$2:$D$676,$R48)))</f>
        <v/>
      </c>
      <c r="D48" s="112">
        <f>IF($R48="","",IF(INDEX('_list'!$E$2:$E$676,$R48)="","",INDEX('_list'!$E$2:$E$676,$R48)))</f>
        <v/>
      </c>
      <c r="E48" s="112">
        <f>IF($R48="","",IF(INDEX('_list'!$F$2:$F$676,$R48)="","",INDEX('_list'!$F$2:$F$676,$R48)))</f>
        <v/>
      </c>
      <c r="F48" s="113">
        <f>IF($R48="","",IF(INDEX('_list'!$G$2:$G$676,$R48)="","",INDEX('_list'!$G$2:$G$676,$R48)))</f>
        <v/>
      </c>
      <c r="G48" s="114">
        <f>IF($S48="","",IF(INDEX('_pockets'!$AH:$AH,$S48)="","",INDEX('_pockets'!$AH:$AH,$S48)))</f>
        <v/>
      </c>
      <c r="H48" s="114">
        <f>IF($S48="","",IF(INDEX('_pockets'!$AF:$AF,$S48)="","",INDEX('_pockets'!$AF:$AF,$S48)))</f>
        <v/>
      </c>
      <c r="I48" s="115">
        <f>IF(IF($S48="","",IF(INDEX('_pockets'!$AB:$AB,$S48)="","",INDEX('_pockets'!$AB:$AB,$S48)))="","",IF($S48="","",IF(INDEX('_pockets'!$AB:$AB,$S48)="","",INDEX('_pockets'!$AB:$AB,$S48)))*IF($U$18,100,1))</f>
        <v/>
      </c>
      <c r="J48" s="113">
        <f>IF($S48="","",IF(INDEX('_pockets'!$Z:$Z,$S48)="","",INDEX('_pockets'!$Z:$Z,$S48)))</f>
        <v/>
      </c>
      <c r="K48" s="116">
        <f>IF($R48="","",IF(INDEX('_list'!$K$2:$K$676,$R48)="","",INDEX('_list'!$K$2:$K$676,$R48)))</f>
        <v/>
      </c>
      <c r="L48" s="117">
        <f>IF($S48="","",IF(INDEX('_pockets'!$AC:$AC,$S48)="","",INDEX('_pockets'!$AC:$AC,$S48)))</f>
        <v/>
      </c>
      <c r="M48" s="116">
        <f>IF($R48="","",IF(INDEX('_list'!$L$2:$L$676,$R48)="","",INDEX('_list'!$L$2:$L$676,$R48)))</f>
        <v/>
      </c>
      <c r="N48" s="115">
        <f>IF($R48="","",IF(INDEX('_list'!$H$2:$H$676,$R48)="","",INDEX('_list'!$H$2:$H$676,$R48)))</f>
        <v/>
      </c>
      <c r="O48" s="112">
        <f>IF($R48="","",IF(INDEX('_list'!$I$2:$I$676,$R48)="","",INDEX('_list'!$I$2:$I$676,$R48)))</f>
        <v/>
      </c>
      <c r="R48">
        <f>IFERROR(MATCH(29,'_list'!$N$2:$N$676,0),"")</f>
        <v/>
      </c>
      <c r="S48">
        <f>IF($R48="","",INDEX('_list'!$C$2:$C$676,$R48))</f>
        <v/>
      </c>
    </row>
    <row r="49" ht="16" customHeight="1">
      <c r="B49" s="111">
        <f>IF($R49="","",30)</f>
        <v/>
      </c>
      <c r="C49" s="112">
        <f>IF($R49="","",IF(INDEX('_list'!$D$2:$D$676,$R49)="","",INDEX('_list'!$D$2:$D$676,$R49)))</f>
        <v/>
      </c>
      <c r="D49" s="112">
        <f>IF($R49="","",IF(INDEX('_list'!$E$2:$E$676,$R49)="","",INDEX('_list'!$E$2:$E$676,$R49)))</f>
        <v/>
      </c>
      <c r="E49" s="112">
        <f>IF($R49="","",IF(INDEX('_list'!$F$2:$F$676,$R49)="","",INDEX('_list'!$F$2:$F$676,$R49)))</f>
        <v/>
      </c>
      <c r="F49" s="113">
        <f>IF($R49="","",IF(INDEX('_list'!$G$2:$G$676,$R49)="","",INDEX('_list'!$G$2:$G$676,$R49)))</f>
        <v/>
      </c>
      <c r="G49" s="114">
        <f>IF($S49="","",IF(INDEX('_pockets'!$AH:$AH,$S49)="","",INDEX('_pockets'!$AH:$AH,$S49)))</f>
        <v/>
      </c>
      <c r="H49" s="114">
        <f>IF($S49="","",IF(INDEX('_pockets'!$AF:$AF,$S49)="","",INDEX('_pockets'!$AF:$AF,$S49)))</f>
        <v/>
      </c>
      <c r="I49" s="115">
        <f>IF(IF($S49="","",IF(INDEX('_pockets'!$AB:$AB,$S49)="","",INDEX('_pockets'!$AB:$AB,$S49)))="","",IF($S49="","",IF(INDEX('_pockets'!$AB:$AB,$S49)="","",INDEX('_pockets'!$AB:$AB,$S49)))*IF($U$18,100,1))</f>
        <v/>
      </c>
      <c r="J49" s="113">
        <f>IF($S49="","",IF(INDEX('_pockets'!$Z:$Z,$S49)="","",INDEX('_pockets'!$Z:$Z,$S49)))</f>
        <v/>
      </c>
      <c r="K49" s="116">
        <f>IF($R49="","",IF(INDEX('_list'!$K$2:$K$676,$R49)="","",INDEX('_list'!$K$2:$K$676,$R49)))</f>
        <v/>
      </c>
      <c r="L49" s="117">
        <f>IF($S49="","",IF(INDEX('_pockets'!$AC:$AC,$S49)="","",INDEX('_pockets'!$AC:$AC,$S49)))</f>
        <v/>
      </c>
      <c r="M49" s="116">
        <f>IF($R49="","",IF(INDEX('_list'!$L$2:$L$676,$R49)="","",INDEX('_list'!$L$2:$L$676,$R49)))</f>
        <v/>
      </c>
      <c r="N49" s="115">
        <f>IF($R49="","",IF(INDEX('_list'!$H$2:$H$676,$R49)="","",INDEX('_list'!$H$2:$H$676,$R49)))</f>
        <v/>
      </c>
      <c r="O49" s="112">
        <f>IF($R49="","",IF(INDEX('_list'!$I$2:$I$676,$R49)="","",INDEX('_list'!$I$2:$I$676,$R49)))</f>
        <v/>
      </c>
      <c r="R49">
        <f>IFERROR(MATCH(30,'_list'!$N$2:$N$676,0),"")</f>
        <v/>
      </c>
      <c r="S49">
        <f>IF($R49="","",INDEX('_list'!$C$2:$C$676,$R49))</f>
        <v/>
      </c>
    </row>
    <row r="50" ht="16" customHeight="1">
      <c r="B50" s="111">
        <f>IF($R50="","",31)</f>
        <v/>
      </c>
      <c r="C50" s="112">
        <f>IF($R50="","",IF(INDEX('_list'!$D$2:$D$676,$R50)="","",INDEX('_list'!$D$2:$D$676,$R50)))</f>
        <v/>
      </c>
      <c r="D50" s="112">
        <f>IF($R50="","",IF(INDEX('_list'!$E$2:$E$676,$R50)="","",INDEX('_list'!$E$2:$E$676,$R50)))</f>
        <v/>
      </c>
      <c r="E50" s="112">
        <f>IF($R50="","",IF(INDEX('_list'!$F$2:$F$676,$R50)="","",INDEX('_list'!$F$2:$F$676,$R50)))</f>
        <v/>
      </c>
      <c r="F50" s="113">
        <f>IF($R50="","",IF(INDEX('_list'!$G$2:$G$676,$R50)="","",INDEX('_list'!$G$2:$G$676,$R50)))</f>
        <v/>
      </c>
      <c r="G50" s="114">
        <f>IF($S50="","",IF(INDEX('_pockets'!$AH:$AH,$S50)="","",INDEX('_pockets'!$AH:$AH,$S50)))</f>
        <v/>
      </c>
      <c r="H50" s="114">
        <f>IF($S50="","",IF(INDEX('_pockets'!$AF:$AF,$S50)="","",INDEX('_pockets'!$AF:$AF,$S50)))</f>
        <v/>
      </c>
      <c r="I50" s="115">
        <f>IF(IF($S50="","",IF(INDEX('_pockets'!$AB:$AB,$S50)="","",INDEX('_pockets'!$AB:$AB,$S50)))="","",IF($S50="","",IF(INDEX('_pockets'!$AB:$AB,$S50)="","",INDEX('_pockets'!$AB:$AB,$S50)))*IF($U$18,100,1))</f>
        <v/>
      </c>
      <c r="J50" s="113">
        <f>IF($S50="","",IF(INDEX('_pockets'!$Z:$Z,$S50)="","",INDEX('_pockets'!$Z:$Z,$S50)))</f>
        <v/>
      </c>
      <c r="K50" s="116">
        <f>IF($R50="","",IF(INDEX('_list'!$K$2:$K$676,$R50)="","",INDEX('_list'!$K$2:$K$676,$R50)))</f>
        <v/>
      </c>
      <c r="L50" s="117">
        <f>IF($S50="","",IF(INDEX('_pockets'!$AC:$AC,$S50)="","",INDEX('_pockets'!$AC:$AC,$S50)))</f>
        <v/>
      </c>
      <c r="M50" s="116">
        <f>IF($R50="","",IF(INDEX('_list'!$L$2:$L$676,$R50)="","",INDEX('_list'!$L$2:$L$676,$R50)))</f>
        <v/>
      </c>
      <c r="N50" s="115">
        <f>IF($R50="","",IF(INDEX('_list'!$H$2:$H$676,$R50)="","",INDEX('_list'!$H$2:$H$676,$R50)))</f>
        <v/>
      </c>
      <c r="O50" s="112">
        <f>IF($R50="","",IF(INDEX('_list'!$I$2:$I$676,$R50)="","",INDEX('_list'!$I$2:$I$676,$R50)))</f>
        <v/>
      </c>
      <c r="R50">
        <f>IFERROR(MATCH(31,'_list'!$N$2:$N$676,0),"")</f>
        <v/>
      </c>
      <c r="S50">
        <f>IF($R50="","",INDEX('_list'!$C$2:$C$676,$R50))</f>
        <v/>
      </c>
    </row>
    <row r="51" ht="16" customHeight="1">
      <c r="B51" s="111">
        <f>IF($R51="","",32)</f>
        <v/>
      </c>
      <c r="C51" s="112">
        <f>IF($R51="","",IF(INDEX('_list'!$D$2:$D$676,$R51)="","",INDEX('_list'!$D$2:$D$676,$R51)))</f>
        <v/>
      </c>
      <c r="D51" s="112">
        <f>IF($R51="","",IF(INDEX('_list'!$E$2:$E$676,$R51)="","",INDEX('_list'!$E$2:$E$676,$R51)))</f>
        <v/>
      </c>
      <c r="E51" s="112">
        <f>IF($R51="","",IF(INDEX('_list'!$F$2:$F$676,$R51)="","",INDEX('_list'!$F$2:$F$676,$R51)))</f>
        <v/>
      </c>
      <c r="F51" s="113">
        <f>IF($R51="","",IF(INDEX('_list'!$G$2:$G$676,$R51)="","",INDEX('_list'!$G$2:$G$676,$R51)))</f>
        <v/>
      </c>
      <c r="G51" s="114">
        <f>IF($S51="","",IF(INDEX('_pockets'!$AH:$AH,$S51)="","",INDEX('_pockets'!$AH:$AH,$S51)))</f>
        <v/>
      </c>
      <c r="H51" s="114">
        <f>IF($S51="","",IF(INDEX('_pockets'!$AF:$AF,$S51)="","",INDEX('_pockets'!$AF:$AF,$S51)))</f>
        <v/>
      </c>
      <c r="I51" s="115">
        <f>IF(IF($S51="","",IF(INDEX('_pockets'!$AB:$AB,$S51)="","",INDEX('_pockets'!$AB:$AB,$S51)))="","",IF($S51="","",IF(INDEX('_pockets'!$AB:$AB,$S51)="","",INDEX('_pockets'!$AB:$AB,$S51)))*IF($U$18,100,1))</f>
        <v/>
      </c>
      <c r="J51" s="113">
        <f>IF($S51="","",IF(INDEX('_pockets'!$Z:$Z,$S51)="","",INDEX('_pockets'!$Z:$Z,$S51)))</f>
        <v/>
      </c>
      <c r="K51" s="116">
        <f>IF($R51="","",IF(INDEX('_list'!$K$2:$K$676,$R51)="","",INDEX('_list'!$K$2:$K$676,$R51)))</f>
        <v/>
      </c>
      <c r="L51" s="117">
        <f>IF($S51="","",IF(INDEX('_pockets'!$AC:$AC,$S51)="","",INDEX('_pockets'!$AC:$AC,$S51)))</f>
        <v/>
      </c>
      <c r="M51" s="116">
        <f>IF($R51="","",IF(INDEX('_list'!$L$2:$L$676,$R51)="","",INDEX('_list'!$L$2:$L$676,$R51)))</f>
        <v/>
      </c>
      <c r="N51" s="115">
        <f>IF($R51="","",IF(INDEX('_list'!$H$2:$H$676,$R51)="","",INDEX('_list'!$H$2:$H$676,$R51)))</f>
        <v/>
      </c>
      <c r="O51" s="112">
        <f>IF($R51="","",IF(INDEX('_list'!$I$2:$I$676,$R51)="","",INDEX('_list'!$I$2:$I$676,$R51)))</f>
        <v/>
      </c>
      <c r="R51">
        <f>IFERROR(MATCH(32,'_list'!$N$2:$N$676,0),"")</f>
        <v/>
      </c>
      <c r="S51">
        <f>IF($R51="","",INDEX('_list'!$C$2:$C$676,$R51))</f>
        <v/>
      </c>
    </row>
    <row r="52" ht="16" customHeight="1">
      <c r="B52" s="111">
        <f>IF($R52="","",33)</f>
        <v/>
      </c>
      <c r="C52" s="112">
        <f>IF($R52="","",IF(INDEX('_list'!$D$2:$D$676,$R52)="","",INDEX('_list'!$D$2:$D$676,$R52)))</f>
        <v/>
      </c>
      <c r="D52" s="112">
        <f>IF($R52="","",IF(INDEX('_list'!$E$2:$E$676,$R52)="","",INDEX('_list'!$E$2:$E$676,$R52)))</f>
        <v/>
      </c>
      <c r="E52" s="112">
        <f>IF($R52="","",IF(INDEX('_list'!$F$2:$F$676,$R52)="","",INDEX('_list'!$F$2:$F$676,$R52)))</f>
        <v/>
      </c>
      <c r="F52" s="113">
        <f>IF($R52="","",IF(INDEX('_list'!$G$2:$G$676,$R52)="","",INDEX('_list'!$G$2:$G$676,$R52)))</f>
        <v/>
      </c>
      <c r="G52" s="114">
        <f>IF($S52="","",IF(INDEX('_pockets'!$AH:$AH,$S52)="","",INDEX('_pockets'!$AH:$AH,$S52)))</f>
        <v/>
      </c>
      <c r="H52" s="114">
        <f>IF($S52="","",IF(INDEX('_pockets'!$AF:$AF,$S52)="","",INDEX('_pockets'!$AF:$AF,$S52)))</f>
        <v/>
      </c>
      <c r="I52" s="115">
        <f>IF(IF($S52="","",IF(INDEX('_pockets'!$AB:$AB,$S52)="","",INDEX('_pockets'!$AB:$AB,$S52)))="","",IF($S52="","",IF(INDEX('_pockets'!$AB:$AB,$S52)="","",INDEX('_pockets'!$AB:$AB,$S52)))*IF($U$18,100,1))</f>
        <v/>
      </c>
      <c r="J52" s="113">
        <f>IF($S52="","",IF(INDEX('_pockets'!$Z:$Z,$S52)="","",INDEX('_pockets'!$Z:$Z,$S52)))</f>
        <v/>
      </c>
      <c r="K52" s="116">
        <f>IF($R52="","",IF(INDEX('_list'!$K$2:$K$676,$R52)="","",INDEX('_list'!$K$2:$K$676,$R52)))</f>
        <v/>
      </c>
      <c r="L52" s="117">
        <f>IF($S52="","",IF(INDEX('_pockets'!$AC:$AC,$S52)="","",INDEX('_pockets'!$AC:$AC,$S52)))</f>
        <v/>
      </c>
      <c r="M52" s="116">
        <f>IF($R52="","",IF(INDEX('_list'!$L$2:$L$676,$R52)="","",INDEX('_list'!$L$2:$L$676,$R52)))</f>
        <v/>
      </c>
      <c r="N52" s="115">
        <f>IF($R52="","",IF(INDEX('_list'!$H$2:$H$676,$R52)="","",INDEX('_list'!$H$2:$H$676,$R52)))</f>
        <v/>
      </c>
      <c r="O52" s="112">
        <f>IF($R52="","",IF(INDEX('_list'!$I$2:$I$676,$R52)="","",INDEX('_list'!$I$2:$I$676,$R52)))</f>
        <v/>
      </c>
      <c r="R52">
        <f>IFERROR(MATCH(33,'_list'!$N$2:$N$676,0),"")</f>
        <v/>
      </c>
      <c r="S52">
        <f>IF($R52="","",INDEX('_list'!$C$2:$C$676,$R52))</f>
        <v/>
      </c>
    </row>
    <row r="53" ht="16" customHeight="1">
      <c r="B53" s="111">
        <f>IF($R53="","",34)</f>
        <v/>
      </c>
      <c r="C53" s="112">
        <f>IF($R53="","",IF(INDEX('_list'!$D$2:$D$676,$R53)="","",INDEX('_list'!$D$2:$D$676,$R53)))</f>
        <v/>
      </c>
      <c r="D53" s="112">
        <f>IF($R53="","",IF(INDEX('_list'!$E$2:$E$676,$R53)="","",INDEX('_list'!$E$2:$E$676,$R53)))</f>
        <v/>
      </c>
      <c r="E53" s="112">
        <f>IF($R53="","",IF(INDEX('_list'!$F$2:$F$676,$R53)="","",INDEX('_list'!$F$2:$F$676,$R53)))</f>
        <v/>
      </c>
      <c r="F53" s="113">
        <f>IF($R53="","",IF(INDEX('_list'!$G$2:$G$676,$R53)="","",INDEX('_list'!$G$2:$G$676,$R53)))</f>
        <v/>
      </c>
      <c r="G53" s="114">
        <f>IF($S53="","",IF(INDEX('_pockets'!$AH:$AH,$S53)="","",INDEX('_pockets'!$AH:$AH,$S53)))</f>
        <v/>
      </c>
      <c r="H53" s="114">
        <f>IF($S53="","",IF(INDEX('_pockets'!$AF:$AF,$S53)="","",INDEX('_pockets'!$AF:$AF,$S53)))</f>
        <v/>
      </c>
      <c r="I53" s="115">
        <f>IF(IF($S53="","",IF(INDEX('_pockets'!$AB:$AB,$S53)="","",INDEX('_pockets'!$AB:$AB,$S53)))="","",IF($S53="","",IF(INDEX('_pockets'!$AB:$AB,$S53)="","",INDEX('_pockets'!$AB:$AB,$S53)))*IF($U$18,100,1))</f>
        <v/>
      </c>
      <c r="J53" s="113">
        <f>IF($S53="","",IF(INDEX('_pockets'!$Z:$Z,$S53)="","",INDEX('_pockets'!$Z:$Z,$S53)))</f>
        <v/>
      </c>
      <c r="K53" s="116">
        <f>IF($R53="","",IF(INDEX('_list'!$K$2:$K$676,$R53)="","",INDEX('_list'!$K$2:$K$676,$R53)))</f>
        <v/>
      </c>
      <c r="L53" s="117">
        <f>IF($S53="","",IF(INDEX('_pockets'!$AC:$AC,$S53)="","",INDEX('_pockets'!$AC:$AC,$S53)))</f>
        <v/>
      </c>
      <c r="M53" s="116">
        <f>IF($R53="","",IF(INDEX('_list'!$L$2:$L$676,$R53)="","",INDEX('_list'!$L$2:$L$676,$R53)))</f>
        <v/>
      </c>
      <c r="N53" s="115">
        <f>IF($R53="","",IF(INDEX('_list'!$H$2:$H$676,$R53)="","",INDEX('_list'!$H$2:$H$676,$R53)))</f>
        <v/>
      </c>
      <c r="O53" s="112">
        <f>IF($R53="","",IF(INDEX('_list'!$I$2:$I$676,$R53)="","",INDEX('_list'!$I$2:$I$676,$R53)))</f>
        <v/>
      </c>
      <c r="R53">
        <f>IFERROR(MATCH(34,'_list'!$N$2:$N$676,0),"")</f>
        <v/>
      </c>
      <c r="S53">
        <f>IF($R53="","",INDEX('_list'!$C$2:$C$676,$R53))</f>
        <v/>
      </c>
    </row>
    <row r="54" ht="16" customHeight="1">
      <c r="B54" s="111">
        <f>IF($R54="","",35)</f>
        <v/>
      </c>
      <c r="C54" s="112">
        <f>IF($R54="","",IF(INDEX('_list'!$D$2:$D$676,$R54)="","",INDEX('_list'!$D$2:$D$676,$R54)))</f>
        <v/>
      </c>
      <c r="D54" s="112">
        <f>IF($R54="","",IF(INDEX('_list'!$E$2:$E$676,$R54)="","",INDEX('_list'!$E$2:$E$676,$R54)))</f>
        <v/>
      </c>
      <c r="E54" s="112">
        <f>IF($R54="","",IF(INDEX('_list'!$F$2:$F$676,$R54)="","",INDEX('_list'!$F$2:$F$676,$R54)))</f>
        <v/>
      </c>
      <c r="F54" s="113">
        <f>IF($R54="","",IF(INDEX('_list'!$G$2:$G$676,$R54)="","",INDEX('_list'!$G$2:$G$676,$R54)))</f>
        <v/>
      </c>
      <c r="G54" s="114">
        <f>IF($S54="","",IF(INDEX('_pockets'!$AH:$AH,$S54)="","",INDEX('_pockets'!$AH:$AH,$S54)))</f>
        <v/>
      </c>
      <c r="H54" s="114">
        <f>IF($S54="","",IF(INDEX('_pockets'!$AF:$AF,$S54)="","",INDEX('_pockets'!$AF:$AF,$S54)))</f>
        <v/>
      </c>
      <c r="I54" s="115">
        <f>IF(IF($S54="","",IF(INDEX('_pockets'!$AB:$AB,$S54)="","",INDEX('_pockets'!$AB:$AB,$S54)))="","",IF($S54="","",IF(INDEX('_pockets'!$AB:$AB,$S54)="","",INDEX('_pockets'!$AB:$AB,$S54)))*IF($U$18,100,1))</f>
        <v/>
      </c>
      <c r="J54" s="113">
        <f>IF($S54="","",IF(INDEX('_pockets'!$Z:$Z,$S54)="","",INDEX('_pockets'!$Z:$Z,$S54)))</f>
        <v/>
      </c>
      <c r="K54" s="116">
        <f>IF($R54="","",IF(INDEX('_list'!$K$2:$K$676,$R54)="","",INDEX('_list'!$K$2:$K$676,$R54)))</f>
        <v/>
      </c>
      <c r="L54" s="117">
        <f>IF($S54="","",IF(INDEX('_pockets'!$AC:$AC,$S54)="","",INDEX('_pockets'!$AC:$AC,$S54)))</f>
        <v/>
      </c>
      <c r="M54" s="116">
        <f>IF($R54="","",IF(INDEX('_list'!$L$2:$L$676,$R54)="","",INDEX('_list'!$L$2:$L$676,$R54)))</f>
        <v/>
      </c>
      <c r="N54" s="115">
        <f>IF($R54="","",IF(INDEX('_list'!$H$2:$H$676,$R54)="","",INDEX('_list'!$H$2:$H$676,$R54)))</f>
        <v/>
      </c>
      <c r="O54" s="112">
        <f>IF($R54="","",IF(INDEX('_list'!$I$2:$I$676,$R54)="","",INDEX('_list'!$I$2:$I$676,$R54)))</f>
        <v/>
      </c>
      <c r="R54">
        <f>IFERROR(MATCH(35,'_list'!$N$2:$N$676,0),"")</f>
        <v/>
      </c>
      <c r="S54">
        <f>IF($R54="","",INDEX('_list'!$C$2:$C$676,$R54))</f>
        <v/>
      </c>
    </row>
    <row r="55" ht="16" customHeight="1">
      <c r="B55" s="111">
        <f>IF($R55="","",36)</f>
        <v/>
      </c>
      <c r="C55" s="112">
        <f>IF($R55="","",IF(INDEX('_list'!$D$2:$D$676,$R55)="","",INDEX('_list'!$D$2:$D$676,$R55)))</f>
        <v/>
      </c>
      <c r="D55" s="112">
        <f>IF($R55="","",IF(INDEX('_list'!$E$2:$E$676,$R55)="","",INDEX('_list'!$E$2:$E$676,$R55)))</f>
        <v/>
      </c>
      <c r="E55" s="112">
        <f>IF($R55="","",IF(INDEX('_list'!$F$2:$F$676,$R55)="","",INDEX('_list'!$F$2:$F$676,$R55)))</f>
        <v/>
      </c>
      <c r="F55" s="113">
        <f>IF($R55="","",IF(INDEX('_list'!$G$2:$G$676,$R55)="","",INDEX('_list'!$G$2:$G$676,$R55)))</f>
        <v/>
      </c>
      <c r="G55" s="114">
        <f>IF($S55="","",IF(INDEX('_pockets'!$AH:$AH,$S55)="","",INDEX('_pockets'!$AH:$AH,$S55)))</f>
        <v/>
      </c>
      <c r="H55" s="114">
        <f>IF($S55="","",IF(INDEX('_pockets'!$AF:$AF,$S55)="","",INDEX('_pockets'!$AF:$AF,$S55)))</f>
        <v/>
      </c>
      <c r="I55" s="115">
        <f>IF(IF($S55="","",IF(INDEX('_pockets'!$AB:$AB,$S55)="","",INDEX('_pockets'!$AB:$AB,$S55)))="","",IF($S55="","",IF(INDEX('_pockets'!$AB:$AB,$S55)="","",INDEX('_pockets'!$AB:$AB,$S55)))*IF($U$18,100,1))</f>
        <v/>
      </c>
      <c r="J55" s="113">
        <f>IF($S55="","",IF(INDEX('_pockets'!$Z:$Z,$S55)="","",INDEX('_pockets'!$Z:$Z,$S55)))</f>
        <v/>
      </c>
      <c r="K55" s="116">
        <f>IF($R55="","",IF(INDEX('_list'!$K$2:$K$676,$R55)="","",INDEX('_list'!$K$2:$K$676,$R55)))</f>
        <v/>
      </c>
      <c r="L55" s="117">
        <f>IF($S55="","",IF(INDEX('_pockets'!$AC:$AC,$S55)="","",INDEX('_pockets'!$AC:$AC,$S55)))</f>
        <v/>
      </c>
      <c r="M55" s="116">
        <f>IF($R55="","",IF(INDEX('_list'!$L$2:$L$676,$R55)="","",INDEX('_list'!$L$2:$L$676,$R55)))</f>
        <v/>
      </c>
      <c r="N55" s="115">
        <f>IF($R55="","",IF(INDEX('_list'!$H$2:$H$676,$R55)="","",INDEX('_list'!$H$2:$H$676,$R55)))</f>
        <v/>
      </c>
      <c r="O55" s="112">
        <f>IF($R55="","",IF(INDEX('_list'!$I$2:$I$676,$R55)="","",INDEX('_list'!$I$2:$I$676,$R55)))</f>
        <v/>
      </c>
      <c r="R55">
        <f>IFERROR(MATCH(36,'_list'!$N$2:$N$676,0),"")</f>
        <v/>
      </c>
      <c r="S55">
        <f>IF($R55="","",INDEX('_list'!$C$2:$C$676,$R55))</f>
        <v/>
      </c>
    </row>
    <row r="56" ht="16" customHeight="1">
      <c r="B56" s="111">
        <f>IF($R56="","",37)</f>
        <v/>
      </c>
      <c r="C56" s="112">
        <f>IF($R56="","",IF(INDEX('_list'!$D$2:$D$676,$R56)="","",INDEX('_list'!$D$2:$D$676,$R56)))</f>
        <v/>
      </c>
      <c r="D56" s="112">
        <f>IF($R56="","",IF(INDEX('_list'!$E$2:$E$676,$R56)="","",INDEX('_list'!$E$2:$E$676,$R56)))</f>
        <v/>
      </c>
      <c r="E56" s="112">
        <f>IF($R56="","",IF(INDEX('_list'!$F$2:$F$676,$R56)="","",INDEX('_list'!$F$2:$F$676,$R56)))</f>
        <v/>
      </c>
      <c r="F56" s="113">
        <f>IF($R56="","",IF(INDEX('_list'!$G$2:$G$676,$R56)="","",INDEX('_list'!$G$2:$G$676,$R56)))</f>
        <v/>
      </c>
      <c r="G56" s="114">
        <f>IF($S56="","",IF(INDEX('_pockets'!$AH:$AH,$S56)="","",INDEX('_pockets'!$AH:$AH,$S56)))</f>
        <v/>
      </c>
      <c r="H56" s="114">
        <f>IF($S56="","",IF(INDEX('_pockets'!$AF:$AF,$S56)="","",INDEX('_pockets'!$AF:$AF,$S56)))</f>
        <v/>
      </c>
      <c r="I56" s="115">
        <f>IF(IF($S56="","",IF(INDEX('_pockets'!$AB:$AB,$S56)="","",INDEX('_pockets'!$AB:$AB,$S56)))="","",IF($S56="","",IF(INDEX('_pockets'!$AB:$AB,$S56)="","",INDEX('_pockets'!$AB:$AB,$S56)))*IF($U$18,100,1))</f>
        <v/>
      </c>
      <c r="J56" s="113">
        <f>IF($S56="","",IF(INDEX('_pockets'!$Z:$Z,$S56)="","",INDEX('_pockets'!$Z:$Z,$S56)))</f>
        <v/>
      </c>
      <c r="K56" s="116">
        <f>IF($R56="","",IF(INDEX('_list'!$K$2:$K$676,$R56)="","",INDEX('_list'!$K$2:$K$676,$R56)))</f>
        <v/>
      </c>
      <c r="L56" s="117">
        <f>IF($S56="","",IF(INDEX('_pockets'!$AC:$AC,$S56)="","",INDEX('_pockets'!$AC:$AC,$S56)))</f>
        <v/>
      </c>
      <c r="M56" s="116">
        <f>IF($R56="","",IF(INDEX('_list'!$L$2:$L$676,$R56)="","",INDEX('_list'!$L$2:$L$676,$R56)))</f>
        <v/>
      </c>
      <c r="N56" s="115">
        <f>IF($R56="","",IF(INDEX('_list'!$H$2:$H$676,$R56)="","",INDEX('_list'!$H$2:$H$676,$R56)))</f>
        <v/>
      </c>
      <c r="O56" s="112">
        <f>IF($R56="","",IF(INDEX('_list'!$I$2:$I$676,$R56)="","",INDEX('_list'!$I$2:$I$676,$R56)))</f>
        <v/>
      </c>
      <c r="R56">
        <f>IFERROR(MATCH(37,'_list'!$N$2:$N$676,0),"")</f>
        <v/>
      </c>
      <c r="S56">
        <f>IF($R56="","",INDEX('_list'!$C$2:$C$676,$R56))</f>
        <v/>
      </c>
    </row>
    <row r="57" ht="16" customHeight="1">
      <c r="B57" s="111">
        <f>IF($R57="","",38)</f>
        <v/>
      </c>
      <c r="C57" s="112">
        <f>IF($R57="","",IF(INDEX('_list'!$D$2:$D$676,$R57)="","",INDEX('_list'!$D$2:$D$676,$R57)))</f>
        <v/>
      </c>
      <c r="D57" s="112">
        <f>IF($R57="","",IF(INDEX('_list'!$E$2:$E$676,$R57)="","",INDEX('_list'!$E$2:$E$676,$R57)))</f>
        <v/>
      </c>
      <c r="E57" s="112">
        <f>IF($R57="","",IF(INDEX('_list'!$F$2:$F$676,$R57)="","",INDEX('_list'!$F$2:$F$676,$R57)))</f>
        <v/>
      </c>
      <c r="F57" s="113">
        <f>IF($R57="","",IF(INDEX('_list'!$G$2:$G$676,$R57)="","",INDEX('_list'!$G$2:$G$676,$R57)))</f>
        <v/>
      </c>
      <c r="G57" s="114">
        <f>IF($S57="","",IF(INDEX('_pockets'!$AH:$AH,$S57)="","",INDEX('_pockets'!$AH:$AH,$S57)))</f>
        <v/>
      </c>
      <c r="H57" s="114">
        <f>IF($S57="","",IF(INDEX('_pockets'!$AF:$AF,$S57)="","",INDEX('_pockets'!$AF:$AF,$S57)))</f>
        <v/>
      </c>
      <c r="I57" s="115">
        <f>IF(IF($S57="","",IF(INDEX('_pockets'!$AB:$AB,$S57)="","",INDEX('_pockets'!$AB:$AB,$S57)))="","",IF($S57="","",IF(INDEX('_pockets'!$AB:$AB,$S57)="","",INDEX('_pockets'!$AB:$AB,$S57)))*IF($U$18,100,1))</f>
        <v/>
      </c>
      <c r="J57" s="113">
        <f>IF($S57="","",IF(INDEX('_pockets'!$Z:$Z,$S57)="","",INDEX('_pockets'!$Z:$Z,$S57)))</f>
        <v/>
      </c>
      <c r="K57" s="116">
        <f>IF($R57="","",IF(INDEX('_list'!$K$2:$K$676,$R57)="","",INDEX('_list'!$K$2:$K$676,$R57)))</f>
        <v/>
      </c>
      <c r="L57" s="117">
        <f>IF($S57="","",IF(INDEX('_pockets'!$AC:$AC,$S57)="","",INDEX('_pockets'!$AC:$AC,$S57)))</f>
        <v/>
      </c>
      <c r="M57" s="116">
        <f>IF($R57="","",IF(INDEX('_list'!$L$2:$L$676,$R57)="","",INDEX('_list'!$L$2:$L$676,$R57)))</f>
        <v/>
      </c>
      <c r="N57" s="115">
        <f>IF($R57="","",IF(INDEX('_list'!$H$2:$H$676,$R57)="","",INDEX('_list'!$H$2:$H$676,$R57)))</f>
        <v/>
      </c>
      <c r="O57" s="112">
        <f>IF($R57="","",IF(INDEX('_list'!$I$2:$I$676,$R57)="","",INDEX('_list'!$I$2:$I$676,$R57)))</f>
        <v/>
      </c>
      <c r="R57">
        <f>IFERROR(MATCH(38,'_list'!$N$2:$N$676,0),"")</f>
        <v/>
      </c>
      <c r="S57">
        <f>IF($R57="","",INDEX('_list'!$C$2:$C$676,$R57))</f>
        <v/>
      </c>
    </row>
    <row r="58" ht="16" customHeight="1">
      <c r="B58" s="111">
        <f>IF($R58="","",39)</f>
        <v/>
      </c>
      <c r="C58" s="112">
        <f>IF($R58="","",IF(INDEX('_list'!$D$2:$D$676,$R58)="","",INDEX('_list'!$D$2:$D$676,$R58)))</f>
        <v/>
      </c>
      <c r="D58" s="112">
        <f>IF($R58="","",IF(INDEX('_list'!$E$2:$E$676,$R58)="","",INDEX('_list'!$E$2:$E$676,$R58)))</f>
        <v/>
      </c>
      <c r="E58" s="112">
        <f>IF($R58="","",IF(INDEX('_list'!$F$2:$F$676,$R58)="","",INDEX('_list'!$F$2:$F$676,$R58)))</f>
        <v/>
      </c>
      <c r="F58" s="113">
        <f>IF($R58="","",IF(INDEX('_list'!$G$2:$G$676,$R58)="","",INDEX('_list'!$G$2:$G$676,$R58)))</f>
        <v/>
      </c>
      <c r="G58" s="114">
        <f>IF($S58="","",IF(INDEX('_pockets'!$AH:$AH,$S58)="","",INDEX('_pockets'!$AH:$AH,$S58)))</f>
        <v/>
      </c>
      <c r="H58" s="114">
        <f>IF($S58="","",IF(INDEX('_pockets'!$AF:$AF,$S58)="","",INDEX('_pockets'!$AF:$AF,$S58)))</f>
        <v/>
      </c>
      <c r="I58" s="115">
        <f>IF(IF($S58="","",IF(INDEX('_pockets'!$AB:$AB,$S58)="","",INDEX('_pockets'!$AB:$AB,$S58)))="","",IF($S58="","",IF(INDEX('_pockets'!$AB:$AB,$S58)="","",INDEX('_pockets'!$AB:$AB,$S58)))*IF($U$18,100,1))</f>
        <v/>
      </c>
      <c r="J58" s="113">
        <f>IF($S58="","",IF(INDEX('_pockets'!$Z:$Z,$S58)="","",INDEX('_pockets'!$Z:$Z,$S58)))</f>
        <v/>
      </c>
      <c r="K58" s="116">
        <f>IF($R58="","",IF(INDEX('_list'!$K$2:$K$676,$R58)="","",INDEX('_list'!$K$2:$K$676,$R58)))</f>
        <v/>
      </c>
      <c r="L58" s="117">
        <f>IF($S58="","",IF(INDEX('_pockets'!$AC:$AC,$S58)="","",INDEX('_pockets'!$AC:$AC,$S58)))</f>
        <v/>
      </c>
      <c r="M58" s="116">
        <f>IF($R58="","",IF(INDEX('_list'!$L$2:$L$676,$R58)="","",INDEX('_list'!$L$2:$L$676,$R58)))</f>
        <v/>
      </c>
      <c r="N58" s="115">
        <f>IF($R58="","",IF(INDEX('_list'!$H$2:$H$676,$R58)="","",INDEX('_list'!$H$2:$H$676,$R58)))</f>
        <v/>
      </c>
      <c r="O58" s="112">
        <f>IF($R58="","",IF(INDEX('_list'!$I$2:$I$676,$R58)="","",INDEX('_list'!$I$2:$I$676,$R58)))</f>
        <v/>
      </c>
      <c r="R58">
        <f>IFERROR(MATCH(39,'_list'!$N$2:$N$676,0),"")</f>
        <v/>
      </c>
      <c r="S58">
        <f>IF($R58="","",INDEX('_list'!$C$2:$C$676,$R58))</f>
        <v/>
      </c>
    </row>
    <row r="59" ht="16" customHeight="1">
      <c r="B59" s="111">
        <f>IF($R59="","",40)</f>
        <v/>
      </c>
      <c r="C59" s="112">
        <f>IF($R59="","",IF(INDEX('_list'!$D$2:$D$676,$R59)="","",INDEX('_list'!$D$2:$D$676,$R59)))</f>
        <v/>
      </c>
      <c r="D59" s="112">
        <f>IF($R59="","",IF(INDEX('_list'!$E$2:$E$676,$R59)="","",INDEX('_list'!$E$2:$E$676,$R59)))</f>
        <v/>
      </c>
      <c r="E59" s="112">
        <f>IF($R59="","",IF(INDEX('_list'!$F$2:$F$676,$R59)="","",INDEX('_list'!$F$2:$F$676,$R59)))</f>
        <v/>
      </c>
      <c r="F59" s="113">
        <f>IF($R59="","",IF(INDEX('_list'!$G$2:$G$676,$R59)="","",INDEX('_list'!$G$2:$G$676,$R59)))</f>
        <v/>
      </c>
      <c r="G59" s="114">
        <f>IF($S59="","",IF(INDEX('_pockets'!$AH:$AH,$S59)="","",INDEX('_pockets'!$AH:$AH,$S59)))</f>
        <v/>
      </c>
      <c r="H59" s="114">
        <f>IF($S59="","",IF(INDEX('_pockets'!$AF:$AF,$S59)="","",INDEX('_pockets'!$AF:$AF,$S59)))</f>
        <v/>
      </c>
      <c r="I59" s="115">
        <f>IF(IF($S59="","",IF(INDEX('_pockets'!$AB:$AB,$S59)="","",INDEX('_pockets'!$AB:$AB,$S59)))="","",IF($S59="","",IF(INDEX('_pockets'!$AB:$AB,$S59)="","",INDEX('_pockets'!$AB:$AB,$S59)))*IF($U$18,100,1))</f>
        <v/>
      </c>
      <c r="J59" s="113">
        <f>IF($S59="","",IF(INDEX('_pockets'!$Z:$Z,$S59)="","",INDEX('_pockets'!$Z:$Z,$S59)))</f>
        <v/>
      </c>
      <c r="K59" s="116">
        <f>IF($R59="","",IF(INDEX('_list'!$K$2:$K$676,$R59)="","",INDEX('_list'!$K$2:$K$676,$R59)))</f>
        <v/>
      </c>
      <c r="L59" s="117">
        <f>IF($S59="","",IF(INDEX('_pockets'!$AC:$AC,$S59)="","",INDEX('_pockets'!$AC:$AC,$S59)))</f>
        <v/>
      </c>
      <c r="M59" s="116">
        <f>IF($R59="","",IF(INDEX('_list'!$L$2:$L$676,$R59)="","",INDEX('_list'!$L$2:$L$676,$R59)))</f>
        <v/>
      </c>
      <c r="N59" s="115">
        <f>IF($R59="","",IF(INDEX('_list'!$H$2:$H$676,$R59)="","",INDEX('_list'!$H$2:$H$676,$R59)))</f>
        <v/>
      </c>
      <c r="O59" s="112">
        <f>IF($R59="","",IF(INDEX('_list'!$I$2:$I$676,$R59)="","",INDEX('_list'!$I$2:$I$676,$R59)))</f>
        <v/>
      </c>
      <c r="R59">
        <f>IFERROR(MATCH(40,'_list'!$N$2:$N$676,0),"")</f>
        <v/>
      </c>
      <c r="S59">
        <f>IF($R59="","",INDEX('_list'!$C$2:$C$676,$R59))</f>
        <v/>
      </c>
    </row>
    <row r="60" ht="16" customHeight="1">
      <c r="B60" s="111">
        <f>IF($R60="","",41)</f>
        <v/>
      </c>
      <c r="C60" s="112">
        <f>IF($R60="","",IF(INDEX('_list'!$D$2:$D$676,$R60)="","",INDEX('_list'!$D$2:$D$676,$R60)))</f>
        <v/>
      </c>
      <c r="D60" s="112">
        <f>IF($R60="","",IF(INDEX('_list'!$E$2:$E$676,$R60)="","",INDEX('_list'!$E$2:$E$676,$R60)))</f>
        <v/>
      </c>
      <c r="E60" s="112">
        <f>IF($R60="","",IF(INDEX('_list'!$F$2:$F$676,$R60)="","",INDEX('_list'!$F$2:$F$676,$R60)))</f>
        <v/>
      </c>
      <c r="F60" s="113">
        <f>IF($R60="","",IF(INDEX('_list'!$G$2:$G$676,$R60)="","",INDEX('_list'!$G$2:$G$676,$R60)))</f>
        <v/>
      </c>
      <c r="G60" s="114">
        <f>IF($S60="","",IF(INDEX('_pockets'!$AH:$AH,$S60)="","",INDEX('_pockets'!$AH:$AH,$S60)))</f>
        <v/>
      </c>
      <c r="H60" s="114">
        <f>IF($S60="","",IF(INDEX('_pockets'!$AF:$AF,$S60)="","",INDEX('_pockets'!$AF:$AF,$S60)))</f>
        <v/>
      </c>
      <c r="I60" s="115">
        <f>IF(IF($S60="","",IF(INDEX('_pockets'!$AB:$AB,$S60)="","",INDEX('_pockets'!$AB:$AB,$S60)))="","",IF($S60="","",IF(INDEX('_pockets'!$AB:$AB,$S60)="","",INDEX('_pockets'!$AB:$AB,$S60)))*IF($U$18,100,1))</f>
        <v/>
      </c>
      <c r="J60" s="113">
        <f>IF($S60="","",IF(INDEX('_pockets'!$Z:$Z,$S60)="","",INDEX('_pockets'!$Z:$Z,$S60)))</f>
        <v/>
      </c>
      <c r="K60" s="116">
        <f>IF($R60="","",IF(INDEX('_list'!$K$2:$K$676,$R60)="","",INDEX('_list'!$K$2:$K$676,$R60)))</f>
        <v/>
      </c>
      <c r="L60" s="117">
        <f>IF($S60="","",IF(INDEX('_pockets'!$AC:$AC,$S60)="","",INDEX('_pockets'!$AC:$AC,$S60)))</f>
        <v/>
      </c>
      <c r="M60" s="116">
        <f>IF($R60="","",IF(INDEX('_list'!$L$2:$L$676,$R60)="","",INDEX('_list'!$L$2:$L$676,$R60)))</f>
        <v/>
      </c>
      <c r="N60" s="115">
        <f>IF($R60="","",IF(INDEX('_list'!$H$2:$H$676,$R60)="","",INDEX('_list'!$H$2:$H$676,$R60)))</f>
        <v/>
      </c>
      <c r="O60" s="112">
        <f>IF($R60="","",IF(INDEX('_list'!$I$2:$I$676,$R60)="","",INDEX('_list'!$I$2:$I$676,$R60)))</f>
        <v/>
      </c>
      <c r="R60">
        <f>IFERROR(MATCH(41,'_list'!$N$2:$N$676,0),"")</f>
        <v/>
      </c>
      <c r="S60">
        <f>IF($R60="","",INDEX('_list'!$C$2:$C$676,$R60))</f>
        <v/>
      </c>
    </row>
    <row r="61" ht="16" customHeight="1">
      <c r="B61" s="111">
        <f>IF($R61="","",42)</f>
        <v/>
      </c>
      <c r="C61" s="112">
        <f>IF($R61="","",IF(INDEX('_list'!$D$2:$D$676,$R61)="","",INDEX('_list'!$D$2:$D$676,$R61)))</f>
        <v/>
      </c>
      <c r="D61" s="112">
        <f>IF($R61="","",IF(INDEX('_list'!$E$2:$E$676,$R61)="","",INDEX('_list'!$E$2:$E$676,$R61)))</f>
        <v/>
      </c>
      <c r="E61" s="112">
        <f>IF($R61="","",IF(INDEX('_list'!$F$2:$F$676,$R61)="","",INDEX('_list'!$F$2:$F$676,$R61)))</f>
        <v/>
      </c>
      <c r="F61" s="113">
        <f>IF($R61="","",IF(INDEX('_list'!$G$2:$G$676,$R61)="","",INDEX('_list'!$G$2:$G$676,$R61)))</f>
        <v/>
      </c>
      <c r="G61" s="114">
        <f>IF($S61="","",IF(INDEX('_pockets'!$AH:$AH,$S61)="","",INDEX('_pockets'!$AH:$AH,$S61)))</f>
        <v/>
      </c>
      <c r="H61" s="114">
        <f>IF($S61="","",IF(INDEX('_pockets'!$AF:$AF,$S61)="","",INDEX('_pockets'!$AF:$AF,$S61)))</f>
        <v/>
      </c>
      <c r="I61" s="115">
        <f>IF(IF($S61="","",IF(INDEX('_pockets'!$AB:$AB,$S61)="","",INDEX('_pockets'!$AB:$AB,$S61)))="","",IF($S61="","",IF(INDEX('_pockets'!$AB:$AB,$S61)="","",INDEX('_pockets'!$AB:$AB,$S61)))*IF($U$18,100,1))</f>
        <v/>
      </c>
      <c r="J61" s="113">
        <f>IF($S61="","",IF(INDEX('_pockets'!$Z:$Z,$S61)="","",INDEX('_pockets'!$Z:$Z,$S61)))</f>
        <v/>
      </c>
      <c r="K61" s="116">
        <f>IF($R61="","",IF(INDEX('_list'!$K$2:$K$676,$R61)="","",INDEX('_list'!$K$2:$K$676,$R61)))</f>
        <v/>
      </c>
      <c r="L61" s="117">
        <f>IF($S61="","",IF(INDEX('_pockets'!$AC:$AC,$S61)="","",INDEX('_pockets'!$AC:$AC,$S61)))</f>
        <v/>
      </c>
      <c r="M61" s="116">
        <f>IF($R61="","",IF(INDEX('_list'!$L$2:$L$676,$R61)="","",INDEX('_list'!$L$2:$L$676,$R61)))</f>
        <v/>
      </c>
      <c r="N61" s="115">
        <f>IF($R61="","",IF(INDEX('_list'!$H$2:$H$676,$R61)="","",INDEX('_list'!$H$2:$H$676,$R61)))</f>
        <v/>
      </c>
      <c r="O61" s="112">
        <f>IF($R61="","",IF(INDEX('_list'!$I$2:$I$676,$R61)="","",INDEX('_list'!$I$2:$I$676,$R61)))</f>
        <v/>
      </c>
      <c r="R61">
        <f>IFERROR(MATCH(42,'_list'!$N$2:$N$676,0),"")</f>
        <v/>
      </c>
      <c r="S61">
        <f>IF($R61="","",INDEX('_list'!$C$2:$C$676,$R61))</f>
        <v/>
      </c>
    </row>
    <row r="62" ht="16" customHeight="1">
      <c r="B62" s="111">
        <f>IF($R62="","",43)</f>
        <v/>
      </c>
      <c r="C62" s="112">
        <f>IF($R62="","",IF(INDEX('_list'!$D$2:$D$676,$R62)="","",INDEX('_list'!$D$2:$D$676,$R62)))</f>
        <v/>
      </c>
      <c r="D62" s="112">
        <f>IF($R62="","",IF(INDEX('_list'!$E$2:$E$676,$R62)="","",INDEX('_list'!$E$2:$E$676,$R62)))</f>
        <v/>
      </c>
      <c r="E62" s="112">
        <f>IF($R62="","",IF(INDEX('_list'!$F$2:$F$676,$R62)="","",INDEX('_list'!$F$2:$F$676,$R62)))</f>
        <v/>
      </c>
      <c r="F62" s="113">
        <f>IF($R62="","",IF(INDEX('_list'!$G$2:$G$676,$R62)="","",INDEX('_list'!$G$2:$G$676,$R62)))</f>
        <v/>
      </c>
      <c r="G62" s="114">
        <f>IF($S62="","",IF(INDEX('_pockets'!$AH:$AH,$S62)="","",INDEX('_pockets'!$AH:$AH,$S62)))</f>
        <v/>
      </c>
      <c r="H62" s="114">
        <f>IF($S62="","",IF(INDEX('_pockets'!$AF:$AF,$S62)="","",INDEX('_pockets'!$AF:$AF,$S62)))</f>
        <v/>
      </c>
      <c r="I62" s="115">
        <f>IF(IF($S62="","",IF(INDEX('_pockets'!$AB:$AB,$S62)="","",INDEX('_pockets'!$AB:$AB,$S62)))="","",IF($S62="","",IF(INDEX('_pockets'!$AB:$AB,$S62)="","",INDEX('_pockets'!$AB:$AB,$S62)))*IF($U$18,100,1))</f>
        <v/>
      </c>
      <c r="J62" s="113">
        <f>IF($S62="","",IF(INDEX('_pockets'!$Z:$Z,$S62)="","",INDEX('_pockets'!$Z:$Z,$S62)))</f>
        <v/>
      </c>
      <c r="K62" s="116">
        <f>IF($R62="","",IF(INDEX('_list'!$K$2:$K$676,$R62)="","",INDEX('_list'!$K$2:$K$676,$R62)))</f>
        <v/>
      </c>
      <c r="L62" s="117">
        <f>IF($S62="","",IF(INDEX('_pockets'!$AC:$AC,$S62)="","",INDEX('_pockets'!$AC:$AC,$S62)))</f>
        <v/>
      </c>
      <c r="M62" s="116">
        <f>IF($R62="","",IF(INDEX('_list'!$L$2:$L$676,$R62)="","",INDEX('_list'!$L$2:$L$676,$R62)))</f>
        <v/>
      </c>
      <c r="N62" s="115">
        <f>IF($R62="","",IF(INDEX('_list'!$H$2:$H$676,$R62)="","",INDEX('_list'!$H$2:$H$676,$R62)))</f>
        <v/>
      </c>
      <c r="O62" s="112">
        <f>IF($R62="","",IF(INDEX('_list'!$I$2:$I$676,$R62)="","",INDEX('_list'!$I$2:$I$676,$R62)))</f>
        <v/>
      </c>
      <c r="R62">
        <f>IFERROR(MATCH(43,'_list'!$N$2:$N$676,0),"")</f>
        <v/>
      </c>
      <c r="S62">
        <f>IF($R62="","",INDEX('_list'!$C$2:$C$676,$R62))</f>
        <v/>
      </c>
    </row>
    <row r="63" ht="16" customHeight="1">
      <c r="B63" s="111">
        <f>IF($R63="","",44)</f>
        <v/>
      </c>
      <c r="C63" s="112">
        <f>IF($R63="","",IF(INDEX('_list'!$D$2:$D$676,$R63)="","",INDEX('_list'!$D$2:$D$676,$R63)))</f>
        <v/>
      </c>
      <c r="D63" s="112">
        <f>IF($R63="","",IF(INDEX('_list'!$E$2:$E$676,$R63)="","",INDEX('_list'!$E$2:$E$676,$R63)))</f>
        <v/>
      </c>
      <c r="E63" s="112">
        <f>IF($R63="","",IF(INDEX('_list'!$F$2:$F$676,$R63)="","",INDEX('_list'!$F$2:$F$676,$R63)))</f>
        <v/>
      </c>
      <c r="F63" s="113">
        <f>IF($R63="","",IF(INDEX('_list'!$G$2:$G$676,$R63)="","",INDEX('_list'!$G$2:$G$676,$R63)))</f>
        <v/>
      </c>
      <c r="G63" s="114">
        <f>IF($S63="","",IF(INDEX('_pockets'!$AH:$AH,$S63)="","",INDEX('_pockets'!$AH:$AH,$S63)))</f>
        <v/>
      </c>
      <c r="H63" s="114">
        <f>IF($S63="","",IF(INDEX('_pockets'!$AF:$AF,$S63)="","",INDEX('_pockets'!$AF:$AF,$S63)))</f>
        <v/>
      </c>
      <c r="I63" s="115">
        <f>IF(IF($S63="","",IF(INDEX('_pockets'!$AB:$AB,$S63)="","",INDEX('_pockets'!$AB:$AB,$S63)))="","",IF($S63="","",IF(INDEX('_pockets'!$AB:$AB,$S63)="","",INDEX('_pockets'!$AB:$AB,$S63)))*IF($U$18,100,1))</f>
        <v/>
      </c>
      <c r="J63" s="113">
        <f>IF($S63="","",IF(INDEX('_pockets'!$Z:$Z,$S63)="","",INDEX('_pockets'!$Z:$Z,$S63)))</f>
        <v/>
      </c>
      <c r="K63" s="116">
        <f>IF($R63="","",IF(INDEX('_list'!$K$2:$K$676,$R63)="","",INDEX('_list'!$K$2:$K$676,$R63)))</f>
        <v/>
      </c>
      <c r="L63" s="117">
        <f>IF($S63="","",IF(INDEX('_pockets'!$AC:$AC,$S63)="","",INDEX('_pockets'!$AC:$AC,$S63)))</f>
        <v/>
      </c>
      <c r="M63" s="116">
        <f>IF($R63="","",IF(INDEX('_list'!$L$2:$L$676,$R63)="","",INDEX('_list'!$L$2:$L$676,$R63)))</f>
        <v/>
      </c>
      <c r="N63" s="115">
        <f>IF($R63="","",IF(INDEX('_list'!$H$2:$H$676,$R63)="","",INDEX('_list'!$H$2:$H$676,$R63)))</f>
        <v/>
      </c>
      <c r="O63" s="112">
        <f>IF($R63="","",IF(INDEX('_list'!$I$2:$I$676,$R63)="","",INDEX('_list'!$I$2:$I$676,$R63)))</f>
        <v/>
      </c>
      <c r="R63">
        <f>IFERROR(MATCH(44,'_list'!$N$2:$N$676,0),"")</f>
        <v/>
      </c>
      <c r="S63">
        <f>IF($R63="","",INDEX('_list'!$C$2:$C$676,$R63))</f>
        <v/>
      </c>
    </row>
    <row r="64" ht="16" customHeight="1">
      <c r="B64" s="111">
        <f>IF($R64="","",45)</f>
        <v/>
      </c>
      <c r="C64" s="112">
        <f>IF($R64="","",IF(INDEX('_list'!$D$2:$D$676,$R64)="","",INDEX('_list'!$D$2:$D$676,$R64)))</f>
        <v/>
      </c>
      <c r="D64" s="112">
        <f>IF($R64="","",IF(INDEX('_list'!$E$2:$E$676,$R64)="","",INDEX('_list'!$E$2:$E$676,$R64)))</f>
        <v/>
      </c>
      <c r="E64" s="112">
        <f>IF($R64="","",IF(INDEX('_list'!$F$2:$F$676,$R64)="","",INDEX('_list'!$F$2:$F$676,$R64)))</f>
        <v/>
      </c>
      <c r="F64" s="113">
        <f>IF($R64="","",IF(INDEX('_list'!$G$2:$G$676,$R64)="","",INDEX('_list'!$G$2:$G$676,$R64)))</f>
        <v/>
      </c>
      <c r="G64" s="114">
        <f>IF($S64="","",IF(INDEX('_pockets'!$AH:$AH,$S64)="","",INDEX('_pockets'!$AH:$AH,$S64)))</f>
        <v/>
      </c>
      <c r="H64" s="114">
        <f>IF($S64="","",IF(INDEX('_pockets'!$AF:$AF,$S64)="","",INDEX('_pockets'!$AF:$AF,$S64)))</f>
        <v/>
      </c>
      <c r="I64" s="115">
        <f>IF(IF($S64="","",IF(INDEX('_pockets'!$AB:$AB,$S64)="","",INDEX('_pockets'!$AB:$AB,$S64)))="","",IF($S64="","",IF(INDEX('_pockets'!$AB:$AB,$S64)="","",INDEX('_pockets'!$AB:$AB,$S64)))*IF($U$18,100,1))</f>
        <v/>
      </c>
      <c r="J64" s="113">
        <f>IF($S64="","",IF(INDEX('_pockets'!$Z:$Z,$S64)="","",INDEX('_pockets'!$Z:$Z,$S64)))</f>
        <v/>
      </c>
      <c r="K64" s="116">
        <f>IF($R64="","",IF(INDEX('_list'!$K$2:$K$676,$R64)="","",INDEX('_list'!$K$2:$K$676,$R64)))</f>
        <v/>
      </c>
      <c r="L64" s="117">
        <f>IF($S64="","",IF(INDEX('_pockets'!$AC:$AC,$S64)="","",INDEX('_pockets'!$AC:$AC,$S64)))</f>
        <v/>
      </c>
      <c r="M64" s="116">
        <f>IF($R64="","",IF(INDEX('_list'!$L$2:$L$676,$R64)="","",INDEX('_list'!$L$2:$L$676,$R64)))</f>
        <v/>
      </c>
      <c r="N64" s="115">
        <f>IF($R64="","",IF(INDEX('_list'!$H$2:$H$676,$R64)="","",INDEX('_list'!$H$2:$H$676,$R64)))</f>
        <v/>
      </c>
      <c r="O64" s="112">
        <f>IF($R64="","",IF(INDEX('_list'!$I$2:$I$676,$R64)="","",INDEX('_list'!$I$2:$I$676,$R64)))</f>
        <v/>
      </c>
      <c r="R64">
        <f>IFERROR(MATCH(45,'_list'!$N$2:$N$676,0),"")</f>
        <v/>
      </c>
      <c r="S64">
        <f>IF($R64="","",INDEX('_list'!$C$2:$C$676,$R64))</f>
        <v/>
      </c>
    </row>
    <row r="65" ht="16" customHeight="1">
      <c r="B65" s="111">
        <f>IF($R65="","",46)</f>
        <v/>
      </c>
      <c r="C65" s="112">
        <f>IF($R65="","",IF(INDEX('_list'!$D$2:$D$676,$R65)="","",INDEX('_list'!$D$2:$D$676,$R65)))</f>
        <v/>
      </c>
      <c r="D65" s="112">
        <f>IF($R65="","",IF(INDEX('_list'!$E$2:$E$676,$R65)="","",INDEX('_list'!$E$2:$E$676,$R65)))</f>
        <v/>
      </c>
      <c r="E65" s="112">
        <f>IF($R65="","",IF(INDEX('_list'!$F$2:$F$676,$R65)="","",INDEX('_list'!$F$2:$F$676,$R65)))</f>
        <v/>
      </c>
      <c r="F65" s="113">
        <f>IF($R65="","",IF(INDEX('_list'!$G$2:$G$676,$R65)="","",INDEX('_list'!$G$2:$G$676,$R65)))</f>
        <v/>
      </c>
      <c r="G65" s="114">
        <f>IF($S65="","",IF(INDEX('_pockets'!$AH:$AH,$S65)="","",INDEX('_pockets'!$AH:$AH,$S65)))</f>
        <v/>
      </c>
      <c r="H65" s="114">
        <f>IF($S65="","",IF(INDEX('_pockets'!$AF:$AF,$S65)="","",INDEX('_pockets'!$AF:$AF,$S65)))</f>
        <v/>
      </c>
      <c r="I65" s="115">
        <f>IF(IF($S65="","",IF(INDEX('_pockets'!$AB:$AB,$S65)="","",INDEX('_pockets'!$AB:$AB,$S65)))="","",IF($S65="","",IF(INDEX('_pockets'!$AB:$AB,$S65)="","",INDEX('_pockets'!$AB:$AB,$S65)))*IF($U$18,100,1))</f>
        <v/>
      </c>
      <c r="J65" s="113">
        <f>IF($S65="","",IF(INDEX('_pockets'!$Z:$Z,$S65)="","",INDEX('_pockets'!$Z:$Z,$S65)))</f>
        <v/>
      </c>
      <c r="K65" s="116">
        <f>IF($R65="","",IF(INDEX('_list'!$K$2:$K$676,$R65)="","",INDEX('_list'!$K$2:$K$676,$R65)))</f>
        <v/>
      </c>
      <c r="L65" s="117">
        <f>IF($S65="","",IF(INDEX('_pockets'!$AC:$AC,$S65)="","",INDEX('_pockets'!$AC:$AC,$S65)))</f>
        <v/>
      </c>
      <c r="M65" s="116">
        <f>IF($R65="","",IF(INDEX('_list'!$L$2:$L$676,$R65)="","",INDEX('_list'!$L$2:$L$676,$R65)))</f>
        <v/>
      </c>
      <c r="N65" s="115">
        <f>IF($R65="","",IF(INDEX('_list'!$H$2:$H$676,$R65)="","",INDEX('_list'!$H$2:$H$676,$R65)))</f>
        <v/>
      </c>
      <c r="O65" s="112">
        <f>IF($R65="","",IF(INDEX('_list'!$I$2:$I$676,$R65)="","",INDEX('_list'!$I$2:$I$676,$R65)))</f>
        <v/>
      </c>
      <c r="R65">
        <f>IFERROR(MATCH(46,'_list'!$N$2:$N$676,0),"")</f>
        <v/>
      </c>
      <c r="S65">
        <f>IF($R65="","",INDEX('_list'!$C$2:$C$676,$R65))</f>
        <v/>
      </c>
    </row>
    <row r="66" ht="16" customHeight="1">
      <c r="B66" s="111">
        <f>IF($R66="","",47)</f>
        <v/>
      </c>
      <c r="C66" s="112">
        <f>IF($R66="","",IF(INDEX('_list'!$D$2:$D$676,$R66)="","",INDEX('_list'!$D$2:$D$676,$R66)))</f>
        <v/>
      </c>
      <c r="D66" s="112">
        <f>IF($R66="","",IF(INDEX('_list'!$E$2:$E$676,$R66)="","",INDEX('_list'!$E$2:$E$676,$R66)))</f>
        <v/>
      </c>
      <c r="E66" s="112">
        <f>IF($R66="","",IF(INDEX('_list'!$F$2:$F$676,$R66)="","",INDEX('_list'!$F$2:$F$676,$R66)))</f>
        <v/>
      </c>
      <c r="F66" s="113">
        <f>IF($R66="","",IF(INDEX('_list'!$G$2:$G$676,$R66)="","",INDEX('_list'!$G$2:$G$676,$R66)))</f>
        <v/>
      </c>
      <c r="G66" s="114">
        <f>IF($S66="","",IF(INDEX('_pockets'!$AH:$AH,$S66)="","",INDEX('_pockets'!$AH:$AH,$S66)))</f>
        <v/>
      </c>
      <c r="H66" s="114">
        <f>IF($S66="","",IF(INDEX('_pockets'!$AF:$AF,$S66)="","",INDEX('_pockets'!$AF:$AF,$S66)))</f>
        <v/>
      </c>
      <c r="I66" s="115">
        <f>IF(IF($S66="","",IF(INDEX('_pockets'!$AB:$AB,$S66)="","",INDEX('_pockets'!$AB:$AB,$S66)))="","",IF($S66="","",IF(INDEX('_pockets'!$AB:$AB,$S66)="","",INDEX('_pockets'!$AB:$AB,$S66)))*IF($U$18,100,1))</f>
        <v/>
      </c>
      <c r="J66" s="113">
        <f>IF($S66="","",IF(INDEX('_pockets'!$Z:$Z,$S66)="","",INDEX('_pockets'!$Z:$Z,$S66)))</f>
        <v/>
      </c>
      <c r="K66" s="116">
        <f>IF($R66="","",IF(INDEX('_list'!$K$2:$K$676,$R66)="","",INDEX('_list'!$K$2:$K$676,$R66)))</f>
        <v/>
      </c>
      <c r="L66" s="117">
        <f>IF($S66="","",IF(INDEX('_pockets'!$AC:$AC,$S66)="","",INDEX('_pockets'!$AC:$AC,$S66)))</f>
        <v/>
      </c>
      <c r="M66" s="116">
        <f>IF($R66="","",IF(INDEX('_list'!$L$2:$L$676,$R66)="","",INDEX('_list'!$L$2:$L$676,$R66)))</f>
        <v/>
      </c>
      <c r="N66" s="115">
        <f>IF($R66="","",IF(INDEX('_list'!$H$2:$H$676,$R66)="","",INDEX('_list'!$H$2:$H$676,$R66)))</f>
        <v/>
      </c>
      <c r="O66" s="112">
        <f>IF($R66="","",IF(INDEX('_list'!$I$2:$I$676,$R66)="","",INDEX('_list'!$I$2:$I$676,$R66)))</f>
        <v/>
      </c>
      <c r="R66">
        <f>IFERROR(MATCH(47,'_list'!$N$2:$N$676,0),"")</f>
        <v/>
      </c>
      <c r="S66">
        <f>IF($R66="","",INDEX('_list'!$C$2:$C$676,$R66))</f>
        <v/>
      </c>
    </row>
    <row r="67" ht="16" customHeight="1">
      <c r="B67" s="111">
        <f>IF($R67="","",48)</f>
        <v/>
      </c>
      <c r="C67" s="112">
        <f>IF($R67="","",IF(INDEX('_list'!$D$2:$D$676,$R67)="","",INDEX('_list'!$D$2:$D$676,$R67)))</f>
        <v/>
      </c>
      <c r="D67" s="112">
        <f>IF($R67="","",IF(INDEX('_list'!$E$2:$E$676,$R67)="","",INDEX('_list'!$E$2:$E$676,$R67)))</f>
        <v/>
      </c>
      <c r="E67" s="112">
        <f>IF($R67="","",IF(INDEX('_list'!$F$2:$F$676,$R67)="","",INDEX('_list'!$F$2:$F$676,$R67)))</f>
        <v/>
      </c>
      <c r="F67" s="113">
        <f>IF($R67="","",IF(INDEX('_list'!$G$2:$G$676,$R67)="","",INDEX('_list'!$G$2:$G$676,$R67)))</f>
        <v/>
      </c>
      <c r="G67" s="114">
        <f>IF($S67="","",IF(INDEX('_pockets'!$AH:$AH,$S67)="","",INDEX('_pockets'!$AH:$AH,$S67)))</f>
        <v/>
      </c>
      <c r="H67" s="114">
        <f>IF($S67="","",IF(INDEX('_pockets'!$AF:$AF,$S67)="","",INDEX('_pockets'!$AF:$AF,$S67)))</f>
        <v/>
      </c>
      <c r="I67" s="115">
        <f>IF(IF($S67="","",IF(INDEX('_pockets'!$AB:$AB,$S67)="","",INDEX('_pockets'!$AB:$AB,$S67)))="","",IF($S67="","",IF(INDEX('_pockets'!$AB:$AB,$S67)="","",INDEX('_pockets'!$AB:$AB,$S67)))*IF($U$18,100,1))</f>
        <v/>
      </c>
      <c r="J67" s="113">
        <f>IF($S67="","",IF(INDEX('_pockets'!$Z:$Z,$S67)="","",INDEX('_pockets'!$Z:$Z,$S67)))</f>
        <v/>
      </c>
      <c r="K67" s="116">
        <f>IF($R67="","",IF(INDEX('_list'!$K$2:$K$676,$R67)="","",INDEX('_list'!$K$2:$K$676,$R67)))</f>
        <v/>
      </c>
      <c r="L67" s="117">
        <f>IF($S67="","",IF(INDEX('_pockets'!$AC:$AC,$S67)="","",INDEX('_pockets'!$AC:$AC,$S67)))</f>
        <v/>
      </c>
      <c r="M67" s="116">
        <f>IF($R67="","",IF(INDEX('_list'!$L$2:$L$676,$R67)="","",INDEX('_list'!$L$2:$L$676,$R67)))</f>
        <v/>
      </c>
      <c r="N67" s="115">
        <f>IF($R67="","",IF(INDEX('_list'!$H$2:$H$676,$R67)="","",INDEX('_list'!$H$2:$H$676,$R67)))</f>
        <v/>
      </c>
      <c r="O67" s="112">
        <f>IF($R67="","",IF(INDEX('_list'!$I$2:$I$676,$R67)="","",INDEX('_list'!$I$2:$I$676,$R67)))</f>
        <v/>
      </c>
      <c r="R67">
        <f>IFERROR(MATCH(48,'_list'!$N$2:$N$676,0),"")</f>
        <v/>
      </c>
      <c r="S67">
        <f>IF($R67="","",INDEX('_list'!$C$2:$C$676,$R67))</f>
        <v/>
      </c>
    </row>
    <row r="68" ht="16" customHeight="1">
      <c r="B68" s="111">
        <f>IF($R68="","",49)</f>
        <v/>
      </c>
      <c r="C68" s="112">
        <f>IF($R68="","",IF(INDEX('_list'!$D$2:$D$676,$R68)="","",INDEX('_list'!$D$2:$D$676,$R68)))</f>
        <v/>
      </c>
      <c r="D68" s="112">
        <f>IF($R68="","",IF(INDEX('_list'!$E$2:$E$676,$R68)="","",INDEX('_list'!$E$2:$E$676,$R68)))</f>
        <v/>
      </c>
      <c r="E68" s="112">
        <f>IF($R68="","",IF(INDEX('_list'!$F$2:$F$676,$R68)="","",INDEX('_list'!$F$2:$F$676,$R68)))</f>
        <v/>
      </c>
      <c r="F68" s="113">
        <f>IF($R68="","",IF(INDEX('_list'!$G$2:$G$676,$R68)="","",INDEX('_list'!$G$2:$G$676,$R68)))</f>
        <v/>
      </c>
      <c r="G68" s="114">
        <f>IF($S68="","",IF(INDEX('_pockets'!$AH:$AH,$S68)="","",INDEX('_pockets'!$AH:$AH,$S68)))</f>
        <v/>
      </c>
      <c r="H68" s="114">
        <f>IF($S68="","",IF(INDEX('_pockets'!$AF:$AF,$S68)="","",INDEX('_pockets'!$AF:$AF,$S68)))</f>
        <v/>
      </c>
      <c r="I68" s="115">
        <f>IF(IF($S68="","",IF(INDEX('_pockets'!$AB:$AB,$S68)="","",INDEX('_pockets'!$AB:$AB,$S68)))="","",IF($S68="","",IF(INDEX('_pockets'!$AB:$AB,$S68)="","",INDEX('_pockets'!$AB:$AB,$S68)))*IF($U$18,100,1))</f>
        <v/>
      </c>
      <c r="J68" s="113">
        <f>IF($S68="","",IF(INDEX('_pockets'!$Z:$Z,$S68)="","",INDEX('_pockets'!$Z:$Z,$S68)))</f>
        <v/>
      </c>
      <c r="K68" s="116">
        <f>IF($R68="","",IF(INDEX('_list'!$K$2:$K$676,$R68)="","",INDEX('_list'!$K$2:$K$676,$R68)))</f>
        <v/>
      </c>
      <c r="L68" s="117">
        <f>IF($S68="","",IF(INDEX('_pockets'!$AC:$AC,$S68)="","",INDEX('_pockets'!$AC:$AC,$S68)))</f>
        <v/>
      </c>
      <c r="M68" s="116">
        <f>IF($R68="","",IF(INDEX('_list'!$L$2:$L$676,$R68)="","",INDEX('_list'!$L$2:$L$676,$R68)))</f>
        <v/>
      </c>
      <c r="N68" s="115">
        <f>IF($R68="","",IF(INDEX('_list'!$H$2:$H$676,$R68)="","",INDEX('_list'!$H$2:$H$676,$R68)))</f>
        <v/>
      </c>
      <c r="O68" s="112">
        <f>IF($R68="","",IF(INDEX('_list'!$I$2:$I$676,$R68)="","",INDEX('_list'!$I$2:$I$676,$R68)))</f>
        <v/>
      </c>
      <c r="R68">
        <f>IFERROR(MATCH(49,'_list'!$N$2:$N$676,0),"")</f>
        <v/>
      </c>
      <c r="S68">
        <f>IF($R68="","",INDEX('_list'!$C$2:$C$676,$R68))</f>
        <v/>
      </c>
    </row>
    <row r="69" ht="16" customHeight="1">
      <c r="B69" s="111">
        <f>IF($R69="","",50)</f>
        <v/>
      </c>
      <c r="C69" s="112">
        <f>IF($R69="","",IF(INDEX('_list'!$D$2:$D$676,$R69)="","",INDEX('_list'!$D$2:$D$676,$R69)))</f>
        <v/>
      </c>
      <c r="D69" s="112">
        <f>IF($R69="","",IF(INDEX('_list'!$E$2:$E$676,$R69)="","",INDEX('_list'!$E$2:$E$676,$R69)))</f>
        <v/>
      </c>
      <c r="E69" s="112">
        <f>IF($R69="","",IF(INDEX('_list'!$F$2:$F$676,$R69)="","",INDEX('_list'!$F$2:$F$676,$R69)))</f>
        <v/>
      </c>
      <c r="F69" s="113">
        <f>IF($R69="","",IF(INDEX('_list'!$G$2:$G$676,$R69)="","",INDEX('_list'!$G$2:$G$676,$R69)))</f>
        <v/>
      </c>
      <c r="G69" s="114">
        <f>IF($S69="","",IF(INDEX('_pockets'!$AH:$AH,$S69)="","",INDEX('_pockets'!$AH:$AH,$S69)))</f>
        <v/>
      </c>
      <c r="H69" s="114">
        <f>IF($S69="","",IF(INDEX('_pockets'!$AF:$AF,$S69)="","",INDEX('_pockets'!$AF:$AF,$S69)))</f>
        <v/>
      </c>
      <c r="I69" s="115">
        <f>IF(IF($S69="","",IF(INDEX('_pockets'!$AB:$AB,$S69)="","",INDEX('_pockets'!$AB:$AB,$S69)))="","",IF($S69="","",IF(INDEX('_pockets'!$AB:$AB,$S69)="","",INDEX('_pockets'!$AB:$AB,$S69)))*IF($U$18,100,1))</f>
        <v/>
      </c>
      <c r="J69" s="113">
        <f>IF($S69="","",IF(INDEX('_pockets'!$Z:$Z,$S69)="","",INDEX('_pockets'!$Z:$Z,$S69)))</f>
        <v/>
      </c>
      <c r="K69" s="116">
        <f>IF($R69="","",IF(INDEX('_list'!$K$2:$K$676,$R69)="","",INDEX('_list'!$K$2:$K$676,$R69)))</f>
        <v/>
      </c>
      <c r="L69" s="117">
        <f>IF($S69="","",IF(INDEX('_pockets'!$AC:$AC,$S69)="","",INDEX('_pockets'!$AC:$AC,$S69)))</f>
        <v/>
      </c>
      <c r="M69" s="116">
        <f>IF($R69="","",IF(INDEX('_list'!$L$2:$L$676,$R69)="","",INDEX('_list'!$L$2:$L$676,$R69)))</f>
        <v/>
      </c>
      <c r="N69" s="115">
        <f>IF($R69="","",IF(INDEX('_list'!$H$2:$H$676,$R69)="","",INDEX('_list'!$H$2:$H$676,$R69)))</f>
        <v/>
      </c>
      <c r="O69" s="112">
        <f>IF($R69="","",IF(INDEX('_list'!$I$2:$I$676,$R69)="","",INDEX('_list'!$I$2:$I$676,$R69)))</f>
        <v/>
      </c>
      <c r="R69">
        <f>IFERROR(MATCH(50,'_list'!$N$2:$N$676,0),"")</f>
        <v/>
      </c>
      <c r="S69">
        <f>IF($R69="","",INDEX('_list'!$C$2:$C$676,$R69))</f>
        <v/>
      </c>
    </row>
    <row r="70" ht="16" customHeight="1">
      <c r="B70" s="111">
        <f>IF($R70="","",51)</f>
        <v/>
      </c>
      <c r="C70" s="112">
        <f>IF($R70="","",IF(INDEX('_list'!$D$2:$D$676,$R70)="","",INDEX('_list'!$D$2:$D$676,$R70)))</f>
        <v/>
      </c>
      <c r="D70" s="112">
        <f>IF($R70="","",IF(INDEX('_list'!$E$2:$E$676,$R70)="","",INDEX('_list'!$E$2:$E$676,$R70)))</f>
        <v/>
      </c>
      <c r="E70" s="112">
        <f>IF($R70="","",IF(INDEX('_list'!$F$2:$F$676,$R70)="","",INDEX('_list'!$F$2:$F$676,$R70)))</f>
        <v/>
      </c>
      <c r="F70" s="113">
        <f>IF($R70="","",IF(INDEX('_list'!$G$2:$G$676,$R70)="","",INDEX('_list'!$G$2:$G$676,$R70)))</f>
        <v/>
      </c>
      <c r="G70" s="114">
        <f>IF($S70="","",IF(INDEX('_pockets'!$AH:$AH,$S70)="","",INDEX('_pockets'!$AH:$AH,$S70)))</f>
        <v/>
      </c>
      <c r="H70" s="114">
        <f>IF($S70="","",IF(INDEX('_pockets'!$AF:$AF,$S70)="","",INDEX('_pockets'!$AF:$AF,$S70)))</f>
        <v/>
      </c>
      <c r="I70" s="115">
        <f>IF(IF($S70="","",IF(INDEX('_pockets'!$AB:$AB,$S70)="","",INDEX('_pockets'!$AB:$AB,$S70)))="","",IF($S70="","",IF(INDEX('_pockets'!$AB:$AB,$S70)="","",INDEX('_pockets'!$AB:$AB,$S70)))*IF($U$18,100,1))</f>
        <v/>
      </c>
      <c r="J70" s="113">
        <f>IF($S70="","",IF(INDEX('_pockets'!$Z:$Z,$S70)="","",INDEX('_pockets'!$Z:$Z,$S70)))</f>
        <v/>
      </c>
      <c r="K70" s="116">
        <f>IF($R70="","",IF(INDEX('_list'!$K$2:$K$676,$R70)="","",INDEX('_list'!$K$2:$K$676,$R70)))</f>
        <v/>
      </c>
      <c r="L70" s="117">
        <f>IF($S70="","",IF(INDEX('_pockets'!$AC:$AC,$S70)="","",INDEX('_pockets'!$AC:$AC,$S70)))</f>
        <v/>
      </c>
      <c r="M70" s="116">
        <f>IF($R70="","",IF(INDEX('_list'!$L$2:$L$676,$R70)="","",INDEX('_list'!$L$2:$L$676,$R70)))</f>
        <v/>
      </c>
      <c r="N70" s="115">
        <f>IF($R70="","",IF(INDEX('_list'!$H$2:$H$676,$R70)="","",INDEX('_list'!$H$2:$H$676,$R70)))</f>
        <v/>
      </c>
      <c r="O70" s="112">
        <f>IF($R70="","",IF(INDEX('_list'!$I$2:$I$676,$R70)="","",INDEX('_list'!$I$2:$I$676,$R70)))</f>
        <v/>
      </c>
      <c r="R70">
        <f>IFERROR(MATCH(51,'_list'!$N$2:$N$676,0),"")</f>
        <v/>
      </c>
      <c r="S70">
        <f>IF($R70="","",INDEX('_list'!$C$2:$C$676,$R70))</f>
        <v/>
      </c>
    </row>
    <row r="71" ht="16" customHeight="1">
      <c r="B71" s="111">
        <f>IF($R71="","",52)</f>
        <v/>
      </c>
      <c r="C71" s="112">
        <f>IF($R71="","",IF(INDEX('_list'!$D$2:$D$676,$R71)="","",INDEX('_list'!$D$2:$D$676,$R71)))</f>
        <v/>
      </c>
      <c r="D71" s="112">
        <f>IF($R71="","",IF(INDEX('_list'!$E$2:$E$676,$R71)="","",INDEX('_list'!$E$2:$E$676,$R71)))</f>
        <v/>
      </c>
      <c r="E71" s="112">
        <f>IF($R71="","",IF(INDEX('_list'!$F$2:$F$676,$R71)="","",INDEX('_list'!$F$2:$F$676,$R71)))</f>
        <v/>
      </c>
      <c r="F71" s="113">
        <f>IF($R71="","",IF(INDEX('_list'!$G$2:$G$676,$R71)="","",INDEX('_list'!$G$2:$G$676,$R71)))</f>
        <v/>
      </c>
      <c r="G71" s="114">
        <f>IF($S71="","",IF(INDEX('_pockets'!$AH:$AH,$S71)="","",INDEX('_pockets'!$AH:$AH,$S71)))</f>
        <v/>
      </c>
      <c r="H71" s="114">
        <f>IF($S71="","",IF(INDEX('_pockets'!$AF:$AF,$S71)="","",INDEX('_pockets'!$AF:$AF,$S71)))</f>
        <v/>
      </c>
      <c r="I71" s="115">
        <f>IF(IF($S71="","",IF(INDEX('_pockets'!$AB:$AB,$S71)="","",INDEX('_pockets'!$AB:$AB,$S71)))="","",IF($S71="","",IF(INDEX('_pockets'!$AB:$AB,$S71)="","",INDEX('_pockets'!$AB:$AB,$S71)))*IF($U$18,100,1))</f>
        <v/>
      </c>
      <c r="J71" s="113">
        <f>IF($S71="","",IF(INDEX('_pockets'!$Z:$Z,$S71)="","",INDEX('_pockets'!$Z:$Z,$S71)))</f>
        <v/>
      </c>
      <c r="K71" s="116">
        <f>IF($R71="","",IF(INDEX('_list'!$K$2:$K$676,$R71)="","",INDEX('_list'!$K$2:$K$676,$R71)))</f>
        <v/>
      </c>
      <c r="L71" s="117">
        <f>IF($S71="","",IF(INDEX('_pockets'!$AC:$AC,$S71)="","",INDEX('_pockets'!$AC:$AC,$S71)))</f>
        <v/>
      </c>
      <c r="M71" s="116">
        <f>IF($R71="","",IF(INDEX('_list'!$L$2:$L$676,$R71)="","",INDEX('_list'!$L$2:$L$676,$R71)))</f>
        <v/>
      </c>
      <c r="N71" s="115">
        <f>IF($R71="","",IF(INDEX('_list'!$H$2:$H$676,$R71)="","",INDEX('_list'!$H$2:$H$676,$R71)))</f>
        <v/>
      </c>
      <c r="O71" s="112">
        <f>IF($R71="","",IF(INDEX('_list'!$I$2:$I$676,$R71)="","",INDEX('_list'!$I$2:$I$676,$R71)))</f>
        <v/>
      </c>
      <c r="R71">
        <f>IFERROR(MATCH(52,'_list'!$N$2:$N$676,0),"")</f>
        <v/>
      </c>
      <c r="S71">
        <f>IF($R71="","",INDEX('_list'!$C$2:$C$676,$R71))</f>
        <v/>
      </c>
    </row>
    <row r="72" ht="16" customHeight="1">
      <c r="B72" s="111">
        <f>IF($R72="","",53)</f>
        <v/>
      </c>
      <c r="C72" s="112">
        <f>IF($R72="","",IF(INDEX('_list'!$D$2:$D$676,$R72)="","",INDEX('_list'!$D$2:$D$676,$R72)))</f>
        <v/>
      </c>
      <c r="D72" s="112">
        <f>IF($R72="","",IF(INDEX('_list'!$E$2:$E$676,$R72)="","",INDEX('_list'!$E$2:$E$676,$R72)))</f>
        <v/>
      </c>
      <c r="E72" s="112">
        <f>IF($R72="","",IF(INDEX('_list'!$F$2:$F$676,$R72)="","",INDEX('_list'!$F$2:$F$676,$R72)))</f>
        <v/>
      </c>
      <c r="F72" s="113">
        <f>IF($R72="","",IF(INDEX('_list'!$G$2:$G$676,$R72)="","",INDEX('_list'!$G$2:$G$676,$R72)))</f>
        <v/>
      </c>
      <c r="G72" s="114">
        <f>IF($S72="","",IF(INDEX('_pockets'!$AH:$AH,$S72)="","",INDEX('_pockets'!$AH:$AH,$S72)))</f>
        <v/>
      </c>
      <c r="H72" s="114">
        <f>IF($S72="","",IF(INDEX('_pockets'!$AF:$AF,$S72)="","",INDEX('_pockets'!$AF:$AF,$S72)))</f>
        <v/>
      </c>
      <c r="I72" s="115">
        <f>IF(IF($S72="","",IF(INDEX('_pockets'!$AB:$AB,$S72)="","",INDEX('_pockets'!$AB:$AB,$S72)))="","",IF($S72="","",IF(INDEX('_pockets'!$AB:$AB,$S72)="","",INDEX('_pockets'!$AB:$AB,$S72)))*IF($U$18,100,1))</f>
        <v/>
      </c>
      <c r="J72" s="113">
        <f>IF($S72="","",IF(INDEX('_pockets'!$Z:$Z,$S72)="","",INDEX('_pockets'!$Z:$Z,$S72)))</f>
        <v/>
      </c>
      <c r="K72" s="116">
        <f>IF($R72="","",IF(INDEX('_list'!$K$2:$K$676,$R72)="","",INDEX('_list'!$K$2:$K$676,$R72)))</f>
        <v/>
      </c>
      <c r="L72" s="117">
        <f>IF($S72="","",IF(INDEX('_pockets'!$AC:$AC,$S72)="","",INDEX('_pockets'!$AC:$AC,$S72)))</f>
        <v/>
      </c>
      <c r="M72" s="116">
        <f>IF($R72="","",IF(INDEX('_list'!$L$2:$L$676,$R72)="","",INDEX('_list'!$L$2:$L$676,$R72)))</f>
        <v/>
      </c>
      <c r="N72" s="115">
        <f>IF($R72="","",IF(INDEX('_list'!$H$2:$H$676,$R72)="","",INDEX('_list'!$H$2:$H$676,$R72)))</f>
        <v/>
      </c>
      <c r="O72" s="112">
        <f>IF($R72="","",IF(INDEX('_list'!$I$2:$I$676,$R72)="","",INDEX('_list'!$I$2:$I$676,$R72)))</f>
        <v/>
      </c>
      <c r="R72">
        <f>IFERROR(MATCH(53,'_list'!$N$2:$N$676,0),"")</f>
        <v/>
      </c>
      <c r="S72">
        <f>IF($R72="","",INDEX('_list'!$C$2:$C$676,$R72))</f>
        <v/>
      </c>
    </row>
    <row r="73" ht="16" customHeight="1">
      <c r="B73" s="111">
        <f>IF($R73="","",54)</f>
        <v/>
      </c>
      <c r="C73" s="112">
        <f>IF($R73="","",IF(INDEX('_list'!$D$2:$D$676,$R73)="","",INDEX('_list'!$D$2:$D$676,$R73)))</f>
        <v/>
      </c>
      <c r="D73" s="112">
        <f>IF($R73="","",IF(INDEX('_list'!$E$2:$E$676,$R73)="","",INDEX('_list'!$E$2:$E$676,$R73)))</f>
        <v/>
      </c>
      <c r="E73" s="112">
        <f>IF($R73="","",IF(INDEX('_list'!$F$2:$F$676,$R73)="","",INDEX('_list'!$F$2:$F$676,$R73)))</f>
        <v/>
      </c>
      <c r="F73" s="113">
        <f>IF($R73="","",IF(INDEX('_list'!$G$2:$G$676,$R73)="","",INDEX('_list'!$G$2:$G$676,$R73)))</f>
        <v/>
      </c>
      <c r="G73" s="114">
        <f>IF($S73="","",IF(INDEX('_pockets'!$AH:$AH,$S73)="","",INDEX('_pockets'!$AH:$AH,$S73)))</f>
        <v/>
      </c>
      <c r="H73" s="114">
        <f>IF($S73="","",IF(INDEX('_pockets'!$AF:$AF,$S73)="","",INDEX('_pockets'!$AF:$AF,$S73)))</f>
        <v/>
      </c>
      <c r="I73" s="115">
        <f>IF(IF($S73="","",IF(INDEX('_pockets'!$AB:$AB,$S73)="","",INDEX('_pockets'!$AB:$AB,$S73)))="","",IF($S73="","",IF(INDEX('_pockets'!$AB:$AB,$S73)="","",INDEX('_pockets'!$AB:$AB,$S73)))*IF($U$18,100,1))</f>
        <v/>
      </c>
      <c r="J73" s="113">
        <f>IF($S73="","",IF(INDEX('_pockets'!$Z:$Z,$S73)="","",INDEX('_pockets'!$Z:$Z,$S73)))</f>
        <v/>
      </c>
      <c r="K73" s="116">
        <f>IF($R73="","",IF(INDEX('_list'!$K$2:$K$676,$R73)="","",INDEX('_list'!$K$2:$K$676,$R73)))</f>
        <v/>
      </c>
      <c r="L73" s="117">
        <f>IF($S73="","",IF(INDEX('_pockets'!$AC:$AC,$S73)="","",INDEX('_pockets'!$AC:$AC,$S73)))</f>
        <v/>
      </c>
      <c r="M73" s="116">
        <f>IF($R73="","",IF(INDEX('_list'!$L$2:$L$676,$R73)="","",INDEX('_list'!$L$2:$L$676,$R73)))</f>
        <v/>
      </c>
      <c r="N73" s="115">
        <f>IF($R73="","",IF(INDEX('_list'!$H$2:$H$676,$R73)="","",INDEX('_list'!$H$2:$H$676,$R73)))</f>
        <v/>
      </c>
      <c r="O73" s="112">
        <f>IF($R73="","",IF(INDEX('_list'!$I$2:$I$676,$R73)="","",INDEX('_list'!$I$2:$I$676,$R73)))</f>
        <v/>
      </c>
      <c r="R73">
        <f>IFERROR(MATCH(54,'_list'!$N$2:$N$676,0),"")</f>
        <v/>
      </c>
      <c r="S73">
        <f>IF($R73="","",INDEX('_list'!$C$2:$C$676,$R73))</f>
        <v/>
      </c>
    </row>
    <row r="74" ht="16" customHeight="1">
      <c r="B74" s="111">
        <f>IF($R74="","",55)</f>
        <v/>
      </c>
      <c r="C74" s="112">
        <f>IF($R74="","",IF(INDEX('_list'!$D$2:$D$676,$R74)="","",INDEX('_list'!$D$2:$D$676,$R74)))</f>
        <v/>
      </c>
      <c r="D74" s="112">
        <f>IF($R74="","",IF(INDEX('_list'!$E$2:$E$676,$R74)="","",INDEX('_list'!$E$2:$E$676,$R74)))</f>
        <v/>
      </c>
      <c r="E74" s="112">
        <f>IF($R74="","",IF(INDEX('_list'!$F$2:$F$676,$R74)="","",INDEX('_list'!$F$2:$F$676,$R74)))</f>
        <v/>
      </c>
      <c r="F74" s="113">
        <f>IF($R74="","",IF(INDEX('_list'!$G$2:$G$676,$R74)="","",INDEX('_list'!$G$2:$G$676,$R74)))</f>
        <v/>
      </c>
      <c r="G74" s="114">
        <f>IF($S74="","",IF(INDEX('_pockets'!$AH:$AH,$S74)="","",INDEX('_pockets'!$AH:$AH,$S74)))</f>
        <v/>
      </c>
      <c r="H74" s="114">
        <f>IF($S74="","",IF(INDEX('_pockets'!$AF:$AF,$S74)="","",INDEX('_pockets'!$AF:$AF,$S74)))</f>
        <v/>
      </c>
      <c r="I74" s="115">
        <f>IF(IF($S74="","",IF(INDEX('_pockets'!$AB:$AB,$S74)="","",INDEX('_pockets'!$AB:$AB,$S74)))="","",IF($S74="","",IF(INDEX('_pockets'!$AB:$AB,$S74)="","",INDEX('_pockets'!$AB:$AB,$S74)))*IF($U$18,100,1))</f>
        <v/>
      </c>
      <c r="J74" s="113">
        <f>IF($S74="","",IF(INDEX('_pockets'!$Z:$Z,$S74)="","",INDEX('_pockets'!$Z:$Z,$S74)))</f>
        <v/>
      </c>
      <c r="K74" s="116">
        <f>IF($R74="","",IF(INDEX('_list'!$K$2:$K$676,$R74)="","",INDEX('_list'!$K$2:$K$676,$R74)))</f>
        <v/>
      </c>
      <c r="L74" s="117">
        <f>IF($S74="","",IF(INDEX('_pockets'!$AC:$AC,$S74)="","",INDEX('_pockets'!$AC:$AC,$S74)))</f>
        <v/>
      </c>
      <c r="M74" s="116">
        <f>IF($R74="","",IF(INDEX('_list'!$L$2:$L$676,$R74)="","",INDEX('_list'!$L$2:$L$676,$R74)))</f>
        <v/>
      </c>
      <c r="N74" s="115">
        <f>IF($R74="","",IF(INDEX('_list'!$H$2:$H$676,$R74)="","",INDEX('_list'!$H$2:$H$676,$R74)))</f>
        <v/>
      </c>
      <c r="O74" s="112">
        <f>IF($R74="","",IF(INDEX('_list'!$I$2:$I$676,$R74)="","",INDEX('_list'!$I$2:$I$676,$R74)))</f>
        <v/>
      </c>
      <c r="R74">
        <f>IFERROR(MATCH(55,'_list'!$N$2:$N$676,0),"")</f>
        <v/>
      </c>
      <c r="S74">
        <f>IF($R74="","",INDEX('_list'!$C$2:$C$676,$R74))</f>
        <v/>
      </c>
    </row>
    <row r="75" ht="16" customHeight="1">
      <c r="B75" s="111">
        <f>IF($R75="","",56)</f>
        <v/>
      </c>
      <c r="C75" s="112">
        <f>IF($R75="","",IF(INDEX('_list'!$D$2:$D$676,$R75)="","",INDEX('_list'!$D$2:$D$676,$R75)))</f>
        <v/>
      </c>
      <c r="D75" s="112">
        <f>IF($R75="","",IF(INDEX('_list'!$E$2:$E$676,$R75)="","",INDEX('_list'!$E$2:$E$676,$R75)))</f>
        <v/>
      </c>
      <c r="E75" s="112">
        <f>IF($R75="","",IF(INDEX('_list'!$F$2:$F$676,$R75)="","",INDEX('_list'!$F$2:$F$676,$R75)))</f>
        <v/>
      </c>
      <c r="F75" s="113">
        <f>IF($R75="","",IF(INDEX('_list'!$G$2:$G$676,$R75)="","",INDEX('_list'!$G$2:$G$676,$R75)))</f>
        <v/>
      </c>
      <c r="G75" s="114">
        <f>IF($S75="","",IF(INDEX('_pockets'!$AH:$AH,$S75)="","",INDEX('_pockets'!$AH:$AH,$S75)))</f>
        <v/>
      </c>
      <c r="H75" s="114">
        <f>IF($S75="","",IF(INDEX('_pockets'!$AF:$AF,$S75)="","",INDEX('_pockets'!$AF:$AF,$S75)))</f>
        <v/>
      </c>
      <c r="I75" s="115">
        <f>IF(IF($S75="","",IF(INDEX('_pockets'!$AB:$AB,$S75)="","",INDEX('_pockets'!$AB:$AB,$S75)))="","",IF($S75="","",IF(INDEX('_pockets'!$AB:$AB,$S75)="","",INDEX('_pockets'!$AB:$AB,$S75)))*IF($U$18,100,1))</f>
        <v/>
      </c>
      <c r="J75" s="113">
        <f>IF($S75="","",IF(INDEX('_pockets'!$Z:$Z,$S75)="","",INDEX('_pockets'!$Z:$Z,$S75)))</f>
        <v/>
      </c>
      <c r="K75" s="116">
        <f>IF($R75="","",IF(INDEX('_list'!$K$2:$K$676,$R75)="","",INDEX('_list'!$K$2:$K$676,$R75)))</f>
        <v/>
      </c>
      <c r="L75" s="117">
        <f>IF($S75="","",IF(INDEX('_pockets'!$AC:$AC,$S75)="","",INDEX('_pockets'!$AC:$AC,$S75)))</f>
        <v/>
      </c>
      <c r="M75" s="116">
        <f>IF($R75="","",IF(INDEX('_list'!$L$2:$L$676,$R75)="","",INDEX('_list'!$L$2:$L$676,$R75)))</f>
        <v/>
      </c>
      <c r="N75" s="115">
        <f>IF($R75="","",IF(INDEX('_list'!$H$2:$H$676,$R75)="","",INDEX('_list'!$H$2:$H$676,$R75)))</f>
        <v/>
      </c>
      <c r="O75" s="112">
        <f>IF($R75="","",IF(INDEX('_list'!$I$2:$I$676,$R75)="","",INDEX('_list'!$I$2:$I$676,$R75)))</f>
        <v/>
      </c>
      <c r="R75">
        <f>IFERROR(MATCH(56,'_list'!$N$2:$N$676,0),"")</f>
        <v/>
      </c>
      <c r="S75">
        <f>IF($R75="","",INDEX('_list'!$C$2:$C$676,$R75))</f>
        <v/>
      </c>
    </row>
    <row r="76" ht="16" customHeight="1">
      <c r="B76" s="111">
        <f>IF($R76="","",57)</f>
        <v/>
      </c>
      <c r="C76" s="112">
        <f>IF($R76="","",IF(INDEX('_list'!$D$2:$D$676,$R76)="","",INDEX('_list'!$D$2:$D$676,$R76)))</f>
        <v/>
      </c>
      <c r="D76" s="112">
        <f>IF($R76="","",IF(INDEX('_list'!$E$2:$E$676,$R76)="","",INDEX('_list'!$E$2:$E$676,$R76)))</f>
        <v/>
      </c>
      <c r="E76" s="112">
        <f>IF($R76="","",IF(INDEX('_list'!$F$2:$F$676,$R76)="","",INDEX('_list'!$F$2:$F$676,$R76)))</f>
        <v/>
      </c>
      <c r="F76" s="113">
        <f>IF($R76="","",IF(INDEX('_list'!$G$2:$G$676,$R76)="","",INDEX('_list'!$G$2:$G$676,$R76)))</f>
        <v/>
      </c>
      <c r="G76" s="114">
        <f>IF($S76="","",IF(INDEX('_pockets'!$AH:$AH,$S76)="","",INDEX('_pockets'!$AH:$AH,$S76)))</f>
        <v/>
      </c>
      <c r="H76" s="114">
        <f>IF($S76="","",IF(INDEX('_pockets'!$AF:$AF,$S76)="","",INDEX('_pockets'!$AF:$AF,$S76)))</f>
        <v/>
      </c>
      <c r="I76" s="115">
        <f>IF(IF($S76="","",IF(INDEX('_pockets'!$AB:$AB,$S76)="","",INDEX('_pockets'!$AB:$AB,$S76)))="","",IF($S76="","",IF(INDEX('_pockets'!$AB:$AB,$S76)="","",INDEX('_pockets'!$AB:$AB,$S76)))*IF($U$18,100,1))</f>
        <v/>
      </c>
      <c r="J76" s="113">
        <f>IF($S76="","",IF(INDEX('_pockets'!$Z:$Z,$S76)="","",INDEX('_pockets'!$Z:$Z,$S76)))</f>
        <v/>
      </c>
      <c r="K76" s="116">
        <f>IF($R76="","",IF(INDEX('_list'!$K$2:$K$676,$R76)="","",INDEX('_list'!$K$2:$K$676,$R76)))</f>
        <v/>
      </c>
      <c r="L76" s="117">
        <f>IF($S76="","",IF(INDEX('_pockets'!$AC:$AC,$S76)="","",INDEX('_pockets'!$AC:$AC,$S76)))</f>
        <v/>
      </c>
      <c r="M76" s="116">
        <f>IF($R76="","",IF(INDEX('_list'!$L$2:$L$676,$R76)="","",INDEX('_list'!$L$2:$L$676,$R76)))</f>
        <v/>
      </c>
      <c r="N76" s="115">
        <f>IF($R76="","",IF(INDEX('_list'!$H$2:$H$676,$R76)="","",INDEX('_list'!$H$2:$H$676,$R76)))</f>
        <v/>
      </c>
      <c r="O76" s="112">
        <f>IF($R76="","",IF(INDEX('_list'!$I$2:$I$676,$R76)="","",INDEX('_list'!$I$2:$I$676,$R76)))</f>
        <v/>
      </c>
      <c r="R76">
        <f>IFERROR(MATCH(57,'_list'!$N$2:$N$676,0),"")</f>
        <v/>
      </c>
      <c r="S76">
        <f>IF($R76="","",INDEX('_list'!$C$2:$C$676,$R76))</f>
        <v/>
      </c>
    </row>
    <row r="77" ht="16" customHeight="1">
      <c r="B77" s="111">
        <f>IF($R77="","",58)</f>
        <v/>
      </c>
      <c r="C77" s="112">
        <f>IF($R77="","",IF(INDEX('_list'!$D$2:$D$676,$R77)="","",INDEX('_list'!$D$2:$D$676,$R77)))</f>
        <v/>
      </c>
      <c r="D77" s="112">
        <f>IF($R77="","",IF(INDEX('_list'!$E$2:$E$676,$R77)="","",INDEX('_list'!$E$2:$E$676,$R77)))</f>
        <v/>
      </c>
      <c r="E77" s="112">
        <f>IF($R77="","",IF(INDEX('_list'!$F$2:$F$676,$R77)="","",INDEX('_list'!$F$2:$F$676,$R77)))</f>
        <v/>
      </c>
      <c r="F77" s="113">
        <f>IF($R77="","",IF(INDEX('_list'!$G$2:$G$676,$R77)="","",INDEX('_list'!$G$2:$G$676,$R77)))</f>
        <v/>
      </c>
      <c r="G77" s="114">
        <f>IF($S77="","",IF(INDEX('_pockets'!$AH:$AH,$S77)="","",INDEX('_pockets'!$AH:$AH,$S77)))</f>
        <v/>
      </c>
      <c r="H77" s="114">
        <f>IF($S77="","",IF(INDEX('_pockets'!$AF:$AF,$S77)="","",INDEX('_pockets'!$AF:$AF,$S77)))</f>
        <v/>
      </c>
      <c r="I77" s="115">
        <f>IF(IF($S77="","",IF(INDEX('_pockets'!$AB:$AB,$S77)="","",INDEX('_pockets'!$AB:$AB,$S77)))="","",IF($S77="","",IF(INDEX('_pockets'!$AB:$AB,$S77)="","",INDEX('_pockets'!$AB:$AB,$S77)))*IF($U$18,100,1))</f>
        <v/>
      </c>
      <c r="J77" s="113">
        <f>IF($S77="","",IF(INDEX('_pockets'!$Z:$Z,$S77)="","",INDEX('_pockets'!$Z:$Z,$S77)))</f>
        <v/>
      </c>
      <c r="K77" s="116">
        <f>IF($R77="","",IF(INDEX('_list'!$K$2:$K$676,$R77)="","",INDEX('_list'!$K$2:$K$676,$R77)))</f>
        <v/>
      </c>
      <c r="L77" s="117">
        <f>IF($S77="","",IF(INDEX('_pockets'!$AC:$AC,$S77)="","",INDEX('_pockets'!$AC:$AC,$S77)))</f>
        <v/>
      </c>
      <c r="M77" s="116">
        <f>IF($R77="","",IF(INDEX('_list'!$L$2:$L$676,$R77)="","",INDEX('_list'!$L$2:$L$676,$R77)))</f>
        <v/>
      </c>
      <c r="N77" s="115">
        <f>IF($R77="","",IF(INDEX('_list'!$H$2:$H$676,$R77)="","",INDEX('_list'!$H$2:$H$676,$R77)))</f>
        <v/>
      </c>
      <c r="O77" s="112">
        <f>IF($R77="","",IF(INDEX('_list'!$I$2:$I$676,$R77)="","",INDEX('_list'!$I$2:$I$676,$R77)))</f>
        <v/>
      </c>
      <c r="R77">
        <f>IFERROR(MATCH(58,'_list'!$N$2:$N$676,0),"")</f>
        <v/>
      </c>
      <c r="S77">
        <f>IF($R77="","",INDEX('_list'!$C$2:$C$676,$R77))</f>
        <v/>
      </c>
    </row>
    <row r="78" ht="16" customHeight="1">
      <c r="B78" s="111">
        <f>IF($R78="","",59)</f>
        <v/>
      </c>
      <c r="C78" s="112">
        <f>IF($R78="","",IF(INDEX('_list'!$D$2:$D$676,$R78)="","",INDEX('_list'!$D$2:$D$676,$R78)))</f>
        <v/>
      </c>
      <c r="D78" s="112">
        <f>IF($R78="","",IF(INDEX('_list'!$E$2:$E$676,$R78)="","",INDEX('_list'!$E$2:$E$676,$R78)))</f>
        <v/>
      </c>
      <c r="E78" s="112">
        <f>IF($R78="","",IF(INDEX('_list'!$F$2:$F$676,$R78)="","",INDEX('_list'!$F$2:$F$676,$R78)))</f>
        <v/>
      </c>
      <c r="F78" s="113">
        <f>IF($R78="","",IF(INDEX('_list'!$G$2:$G$676,$R78)="","",INDEX('_list'!$G$2:$G$676,$R78)))</f>
        <v/>
      </c>
      <c r="G78" s="114">
        <f>IF($S78="","",IF(INDEX('_pockets'!$AH:$AH,$S78)="","",INDEX('_pockets'!$AH:$AH,$S78)))</f>
        <v/>
      </c>
      <c r="H78" s="114">
        <f>IF($S78="","",IF(INDEX('_pockets'!$AF:$AF,$S78)="","",INDEX('_pockets'!$AF:$AF,$S78)))</f>
        <v/>
      </c>
      <c r="I78" s="115">
        <f>IF(IF($S78="","",IF(INDEX('_pockets'!$AB:$AB,$S78)="","",INDEX('_pockets'!$AB:$AB,$S78)))="","",IF($S78="","",IF(INDEX('_pockets'!$AB:$AB,$S78)="","",INDEX('_pockets'!$AB:$AB,$S78)))*IF($U$18,100,1))</f>
        <v/>
      </c>
      <c r="J78" s="113">
        <f>IF($S78="","",IF(INDEX('_pockets'!$Z:$Z,$S78)="","",INDEX('_pockets'!$Z:$Z,$S78)))</f>
        <v/>
      </c>
      <c r="K78" s="116">
        <f>IF($R78="","",IF(INDEX('_list'!$K$2:$K$676,$R78)="","",INDEX('_list'!$K$2:$K$676,$R78)))</f>
        <v/>
      </c>
      <c r="L78" s="117">
        <f>IF($S78="","",IF(INDEX('_pockets'!$AC:$AC,$S78)="","",INDEX('_pockets'!$AC:$AC,$S78)))</f>
        <v/>
      </c>
      <c r="M78" s="116">
        <f>IF($R78="","",IF(INDEX('_list'!$L$2:$L$676,$R78)="","",INDEX('_list'!$L$2:$L$676,$R78)))</f>
        <v/>
      </c>
      <c r="N78" s="115">
        <f>IF($R78="","",IF(INDEX('_list'!$H$2:$H$676,$R78)="","",INDEX('_list'!$H$2:$H$676,$R78)))</f>
        <v/>
      </c>
      <c r="O78" s="112">
        <f>IF($R78="","",IF(INDEX('_list'!$I$2:$I$676,$R78)="","",INDEX('_list'!$I$2:$I$676,$R78)))</f>
        <v/>
      </c>
      <c r="R78">
        <f>IFERROR(MATCH(59,'_list'!$N$2:$N$676,0),"")</f>
        <v/>
      </c>
      <c r="S78">
        <f>IF($R78="","",INDEX('_list'!$C$2:$C$676,$R78))</f>
        <v/>
      </c>
    </row>
    <row r="79" ht="16" customHeight="1">
      <c r="B79" s="111">
        <f>IF($R79="","",60)</f>
        <v/>
      </c>
      <c r="C79" s="112">
        <f>IF($R79="","",IF(INDEX('_list'!$D$2:$D$676,$R79)="","",INDEX('_list'!$D$2:$D$676,$R79)))</f>
        <v/>
      </c>
      <c r="D79" s="112">
        <f>IF($R79="","",IF(INDEX('_list'!$E$2:$E$676,$R79)="","",INDEX('_list'!$E$2:$E$676,$R79)))</f>
        <v/>
      </c>
      <c r="E79" s="112">
        <f>IF($R79="","",IF(INDEX('_list'!$F$2:$F$676,$R79)="","",INDEX('_list'!$F$2:$F$676,$R79)))</f>
        <v/>
      </c>
      <c r="F79" s="113">
        <f>IF($R79="","",IF(INDEX('_list'!$G$2:$G$676,$R79)="","",INDEX('_list'!$G$2:$G$676,$R79)))</f>
        <v/>
      </c>
      <c r="G79" s="114">
        <f>IF($S79="","",IF(INDEX('_pockets'!$AH:$AH,$S79)="","",INDEX('_pockets'!$AH:$AH,$S79)))</f>
        <v/>
      </c>
      <c r="H79" s="114">
        <f>IF($S79="","",IF(INDEX('_pockets'!$AF:$AF,$S79)="","",INDEX('_pockets'!$AF:$AF,$S79)))</f>
        <v/>
      </c>
      <c r="I79" s="115">
        <f>IF(IF($S79="","",IF(INDEX('_pockets'!$AB:$AB,$S79)="","",INDEX('_pockets'!$AB:$AB,$S79)))="","",IF($S79="","",IF(INDEX('_pockets'!$AB:$AB,$S79)="","",INDEX('_pockets'!$AB:$AB,$S79)))*IF($U$18,100,1))</f>
        <v/>
      </c>
      <c r="J79" s="113">
        <f>IF($S79="","",IF(INDEX('_pockets'!$Z:$Z,$S79)="","",INDEX('_pockets'!$Z:$Z,$S79)))</f>
        <v/>
      </c>
      <c r="K79" s="116">
        <f>IF($R79="","",IF(INDEX('_list'!$K$2:$K$676,$R79)="","",INDEX('_list'!$K$2:$K$676,$R79)))</f>
        <v/>
      </c>
      <c r="L79" s="117">
        <f>IF($S79="","",IF(INDEX('_pockets'!$AC:$AC,$S79)="","",INDEX('_pockets'!$AC:$AC,$S79)))</f>
        <v/>
      </c>
      <c r="M79" s="116">
        <f>IF($R79="","",IF(INDEX('_list'!$L$2:$L$676,$R79)="","",INDEX('_list'!$L$2:$L$676,$R79)))</f>
        <v/>
      </c>
      <c r="N79" s="115">
        <f>IF($R79="","",IF(INDEX('_list'!$H$2:$H$676,$R79)="","",INDEX('_list'!$H$2:$H$676,$R79)))</f>
        <v/>
      </c>
      <c r="O79" s="112">
        <f>IF($R79="","",IF(INDEX('_list'!$I$2:$I$676,$R79)="","",INDEX('_list'!$I$2:$I$676,$R79)))</f>
        <v/>
      </c>
      <c r="R79">
        <f>IFERROR(MATCH(60,'_list'!$N$2:$N$676,0),"")</f>
        <v/>
      </c>
      <c r="S79">
        <f>IF($R79="","",INDEX('_list'!$C$2:$C$676,$R79))</f>
        <v/>
      </c>
    </row>
    <row r="80" ht="16" customHeight="1">
      <c r="B80" s="111">
        <f>IF($R80="","",61)</f>
        <v/>
      </c>
      <c r="C80" s="112">
        <f>IF($R80="","",IF(INDEX('_list'!$D$2:$D$676,$R80)="","",INDEX('_list'!$D$2:$D$676,$R80)))</f>
        <v/>
      </c>
      <c r="D80" s="112">
        <f>IF($R80="","",IF(INDEX('_list'!$E$2:$E$676,$R80)="","",INDEX('_list'!$E$2:$E$676,$R80)))</f>
        <v/>
      </c>
      <c r="E80" s="112">
        <f>IF($R80="","",IF(INDEX('_list'!$F$2:$F$676,$R80)="","",INDEX('_list'!$F$2:$F$676,$R80)))</f>
        <v/>
      </c>
      <c r="F80" s="113">
        <f>IF($R80="","",IF(INDEX('_list'!$G$2:$G$676,$R80)="","",INDEX('_list'!$G$2:$G$676,$R80)))</f>
        <v/>
      </c>
      <c r="G80" s="114">
        <f>IF($S80="","",IF(INDEX('_pockets'!$AH:$AH,$S80)="","",INDEX('_pockets'!$AH:$AH,$S80)))</f>
        <v/>
      </c>
      <c r="H80" s="114">
        <f>IF($S80="","",IF(INDEX('_pockets'!$AF:$AF,$S80)="","",INDEX('_pockets'!$AF:$AF,$S80)))</f>
        <v/>
      </c>
      <c r="I80" s="115">
        <f>IF(IF($S80="","",IF(INDEX('_pockets'!$AB:$AB,$S80)="","",INDEX('_pockets'!$AB:$AB,$S80)))="","",IF($S80="","",IF(INDEX('_pockets'!$AB:$AB,$S80)="","",INDEX('_pockets'!$AB:$AB,$S80)))*IF($U$18,100,1))</f>
        <v/>
      </c>
      <c r="J80" s="113">
        <f>IF($S80="","",IF(INDEX('_pockets'!$Z:$Z,$S80)="","",INDEX('_pockets'!$Z:$Z,$S80)))</f>
        <v/>
      </c>
      <c r="K80" s="116">
        <f>IF($R80="","",IF(INDEX('_list'!$K$2:$K$676,$R80)="","",INDEX('_list'!$K$2:$K$676,$R80)))</f>
        <v/>
      </c>
      <c r="L80" s="117">
        <f>IF($S80="","",IF(INDEX('_pockets'!$AC:$AC,$S80)="","",INDEX('_pockets'!$AC:$AC,$S80)))</f>
        <v/>
      </c>
      <c r="M80" s="116">
        <f>IF($R80="","",IF(INDEX('_list'!$L$2:$L$676,$R80)="","",INDEX('_list'!$L$2:$L$676,$R80)))</f>
        <v/>
      </c>
      <c r="N80" s="115">
        <f>IF($R80="","",IF(INDEX('_list'!$H$2:$H$676,$R80)="","",INDEX('_list'!$H$2:$H$676,$R80)))</f>
        <v/>
      </c>
      <c r="O80" s="112">
        <f>IF($R80="","",IF(INDEX('_list'!$I$2:$I$676,$R80)="","",INDEX('_list'!$I$2:$I$676,$R80)))</f>
        <v/>
      </c>
      <c r="R80">
        <f>IFERROR(MATCH(61,'_list'!$N$2:$N$676,0),"")</f>
        <v/>
      </c>
      <c r="S80">
        <f>IF($R80="","",INDEX('_list'!$C$2:$C$676,$R80))</f>
        <v/>
      </c>
    </row>
    <row r="81" ht="16" customHeight="1">
      <c r="B81" s="111">
        <f>IF($R81="","",62)</f>
        <v/>
      </c>
      <c r="C81" s="112">
        <f>IF($R81="","",IF(INDEX('_list'!$D$2:$D$676,$R81)="","",INDEX('_list'!$D$2:$D$676,$R81)))</f>
        <v/>
      </c>
      <c r="D81" s="112">
        <f>IF($R81="","",IF(INDEX('_list'!$E$2:$E$676,$R81)="","",INDEX('_list'!$E$2:$E$676,$R81)))</f>
        <v/>
      </c>
      <c r="E81" s="112">
        <f>IF($R81="","",IF(INDEX('_list'!$F$2:$F$676,$R81)="","",INDEX('_list'!$F$2:$F$676,$R81)))</f>
        <v/>
      </c>
      <c r="F81" s="113">
        <f>IF($R81="","",IF(INDEX('_list'!$G$2:$G$676,$R81)="","",INDEX('_list'!$G$2:$G$676,$R81)))</f>
        <v/>
      </c>
      <c r="G81" s="114">
        <f>IF($S81="","",IF(INDEX('_pockets'!$AH:$AH,$S81)="","",INDEX('_pockets'!$AH:$AH,$S81)))</f>
        <v/>
      </c>
      <c r="H81" s="114">
        <f>IF($S81="","",IF(INDEX('_pockets'!$AF:$AF,$S81)="","",INDEX('_pockets'!$AF:$AF,$S81)))</f>
        <v/>
      </c>
      <c r="I81" s="115">
        <f>IF(IF($S81="","",IF(INDEX('_pockets'!$AB:$AB,$S81)="","",INDEX('_pockets'!$AB:$AB,$S81)))="","",IF($S81="","",IF(INDEX('_pockets'!$AB:$AB,$S81)="","",INDEX('_pockets'!$AB:$AB,$S81)))*IF($U$18,100,1))</f>
        <v/>
      </c>
      <c r="J81" s="113">
        <f>IF($S81="","",IF(INDEX('_pockets'!$Z:$Z,$S81)="","",INDEX('_pockets'!$Z:$Z,$S81)))</f>
        <v/>
      </c>
      <c r="K81" s="116">
        <f>IF($R81="","",IF(INDEX('_list'!$K$2:$K$676,$R81)="","",INDEX('_list'!$K$2:$K$676,$R81)))</f>
        <v/>
      </c>
      <c r="L81" s="117">
        <f>IF($S81="","",IF(INDEX('_pockets'!$AC:$AC,$S81)="","",INDEX('_pockets'!$AC:$AC,$S81)))</f>
        <v/>
      </c>
      <c r="M81" s="116">
        <f>IF($R81="","",IF(INDEX('_list'!$L$2:$L$676,$R81)="","",INDEX('_list'!$L$2:$L$676,$R81)))</f>
        <v/>
      </c>
      <c r="N81" s="115">
        <f>IF($R81="","",IF(INDEX('_list'!$H$2:$H$676,$R81)="","",INDEX('_list'!$H$2:$H$676,$R81)))</f>
        <v/>
      </c>
      <c r="O81" s="112">
        <f>IF($R81="","",IF(INDEX('_list'!$I$2:$I$676,$R81)="","",INDEX('_list'!$I$2:$I$676,$R81)))</f>
        <v/>
      </c>
      <c r="R81">
        <f>IFERROR(MATCH(62,'_list'!$N$2:$N$676,0),"")</f>
        <v/>
      </c>
      <c r="S81">
        <f>IF($R81="","",INDEX('_list'!$C$2:$C$676,$R81))</f>
        <v/>
      </c>
    </row>
    <row r="82" ht="16" customHeight="1">
      <c r="B82" s="111">
        <f>IF($R82="","",63)</f>
        <v/>
      </c>
      <c r="C82" s="112">
        <f>IF($R82="","",IF(INDEX('_list'!$D$2:$D$676,$R82)="","",INDEX('_list'!$D$2:$D$676,$R82)))</f>
        <v/>
      </c>
      <c r="D82" s="112">
        <f>IF($R82="","",IF(INDEX('_list'!$E$2:$E$676,$R82)="","",INDEX('_list'!$E$2:$E$676,$R82)))</f>
        <v/>
      </c>
      <c r="E82" s="112">
        <f>IF($R82="","",IF(INDEX('_list'!$F$2:$F$676,$R82)="","",INDEX('_list'!$F$2:$F$676,$R82)))</f>
        <v/>
      </c>
      <c r="F82" s="113">
        <f>IF($R82="","",IF(INDEX('_list'!$G$2:$G$676,$R82)="","",INDEX('_list'!$G$2:$G$676,$R82)))</f>
        <v/>
      </c>
      <c r="G82" s="114">
        <f>IF($S82="","",IF(INDEX('_pockets'!$AH:$AH,$S82)="","",INDEX('_pockets'!$AH:$AH,$S82)))</f>
        <v/>
      </c>
      <c r="H82" s="114">
        <f>IF($S82="","",IF(INDEX('_pockets'!$AF:$AF,$S82)="","",INDEX('_pockets'!$AF:$AF,$S82)))</f>
        <v/>
      </c>
      <c r="I82" s="115">
        <f>IF(IF($S82="","",IF(INDEX('_pockets'!$AB:$AB,$S82)="","",INDEX('_pockets'!$AB:$AB,$S82)))="","",IF($S82="","",IF(INDEX('_pockets'!$AB:$AB,$S82)="","",INDEX('_pockets'!$AB:$AB,$S82)))*IF($U$18,100,1))</f>
        <v/>
      </c>
      <c r="J82" s="113">
        <f>IF($S82="","",IF(INDEX('_pockets'!$Z:$Z,$S82)="","",INDEX('_pockets'!$Z:$Z,$S82)))</f>
        <v/>
      </c>
      <c r="K82" s="116">
        <f>IF($R82="","",IF(INDEX('_list'!$K$2:$K$676,$R82)="","",INDEX('_list'!$K$2:$K$676,$R82)))</f>
        <v/>
      </c>
      <c r="L82" s="117">
        <f>IF($S82="","",IF(INDEX('_pockets'!$AC:$AC,$S82)="","",INDEX('_pockets'!$AC:$AC,$S82)))</f>
        <v/>
      </c>
      <c r="M82" s="116">
        <f>IF($R82="","",IF(INDEX('_list'!$L$2:$L$676,$R82)="","",INDEX('_list'!$L$2:$L$676,$R82)))</f>
        <v/>
      </c>
      <c r="N82" s="115">
        <f>IF($R82="","",IF(INDEX('_list'!$H$2:$H$676,$R82)="","",INDEX('_list'!$H$2:$H$676,$R82)))</f>
        <v/>
      </c>
      <c r="O82" s="112">
        <f>IF($R82="","",IF(INDEX('_list'!$I$2:$I$676,$R82)="","",INDEX('_list'!$I$2:$I$676,$R82)))</f>
        <v/>
      </c>
      <c r="R82">
        <f>IFERROR(MATCH(63,'_list'!$N$2:$N$676,0),"")</f>
        <v/>
      </c>
      <c r="S82">
        <f>IF($R82="","",INDEX('_list'!$C$2:$C$676,$R82))</f>
        <v/>
      </c>
    </row>
    <row r="83" ht="16" customHeight="1">
      <c r="B83" s="111">
        <f>IF($R83="","",64)</f>
        <v/>
      </c>
      <c r="C83" s="112">
        <f>IF($R83="","",IF(INDEX('_list'!$D$2:$D$676,$R83)="","",INDEX('_list'!$D$2:$D$676,$R83)))</f>
        <v/>
      </c>
      <c r="D83" s="112">
        <f>IF($R83="","",IF(INDEX('_list'!$E$2:$E$676,$R83)="","",INDEX('_list'!$E$2:$E$676,$R83)))</f>
        <v/>
      </c>
      <c r="E83" s="112">
        <f>IF($R83="","",IF(INDEX('_list'!$F$2:$F$676,$R83)="","",INDEX('_list'!$F$2:$F$676,$R83)))</f>
        <v/>
      </c>
      <c r="F83" s="113">
        <f>IF($R83="","",IF(INDEX('_list'!$G$2:$G$676,$R83)="","",INDEX('_list'!$G$2:$G$676,$R83)))</f>
        <v/>
      </c>
      <c r="G83" s="114">
        <f>IF($S83="","",IF(INDEX('_pockets'!$AH:$AH,$S83)="","",INDEX('_pockets'!$AH:$AH,$S83)))</f>
        <v/>
      </c>
      <c r="H83" s="114">
        <f>IF($S83="","",IF(INDEX('_pockets'!$AF:$AF,$S83)="","",INDEX('_pockets'!$AF:$AF,$S83)))</f>
        <v/>
      </c>
      <c r="I83" s="115">
        <f>IF(IF($S83="","",IF(INDEX('_pockets'!$AB:$AB,$S83)="","",INDEX('_pockets'!$AB:$AB,$S83)))="","",IF($S83="","",IF(INDEX('_pockets'!$AB:$AB,$S83)="","",INDEX('_pockets'!$AB:$AB,$S83)))*IF($U$18,100,1))</f>
        <v/>
      </c>
      <c r="J83" s="113">
        <f>IF($S83="","",IF(INDEX('_pockets'!$Z:$Z,$S83)="","",INDEX('_pockets'!$Z:$Z,$S83)))</f>
        <v/>
      </c>
      <c r="K83" s="116">
        <f>IF($R83="","",IF(INDEX('_list'!$K$2:$K$676,$R83)="","",INDEX('_list'!$K$2:$K$676,$R83)))</f>
        <v/>
      </c>
      <c r="L83" s="117">
        <f>IF($S83="","",IF(INDEX('_pockets'!$AC:$AC,$S83)="","",INDEX('_pockets'!$AC:$AC,$S83)))</f>
        <v/>
      </c>
      <c r="M83" s="116">
        <f>IF($R83="","",IF(INDEX('_list'!$L$2:$L$676,$R83)="","",INDEX('_list'!$L$2:$L$676,$R83)))</f>
        <v/>
      </c>
      <c r="N83" s="115">
        <f>IF($R83="","",IF(INDEX('_list'!$H$2:$H$676,$R83)="","",INDEX('_list'!$H$2:$H$676,$R83)))</f>
        <v/>
      </c>
      <c r="O83" s="112">
        <f>IF($R83="","",IF(INDEX('_list'!$I$2:$I$676,$R83)="","",INDEX('_list'!$I$2:$I$676,$R83)))</f>
        <v/>
      </c>
      <c r="R83">
        <f>IFERROR(MATCH(64,'_list'!$N$2:$N$676,0),"")</f>
        <v/>
      </c>
      <c r="S83">
        <f>IF($R83="","",INDEX('_list'!$C$2:$C$676,$R83))</f>
        <v/>
      </c>
    </row>
    <row r="84" ht="16" customHeight="1">
      <c r="B84" s="111">
        <f>IF($R84="","",65)</f>
        <v/>
      </c>
      <c r="C84" s="112">
        <f>IF($R84="","",IF(INDEX('_list'!$D$2:$D$676,$R84)="","",INDEX('_list'!$D$2:$D$676,$R84)))</f>
        <v/>
      </c>
      <c r="D84" s="112">
        <f>IF($R84="","",IF(INDEX('_list'!$E$2:$E$676,$R84)="","",INDEX('_list'!$E$2:$E$676,$R84)))</f>
        <v/>
      </c>
      <c r="E84" s="112">
        <f>IF($R84="","",IF(INDEX('_list'!$F$2:$F$676,$R84)="","",INDEX('_list'!$F$2:$F$676,$R84)))</f>
        <v/>
      </c>
      <c r="F84" s="113">
        <f>IF($R84="","",IF(INDEX('_list'!$G$2:$G$676,$R84)="","",INDEX('_list'!$G$2:$G$676,$R84)))</f>
        <v/>
      </c>
      <c r="G84" s="114">
        <f>IF($S84="","",IF(INDEX('_pockets'!$AH:$AH,$S84)="","",INDEX('_pockets'!$AH:$AH,$S84)))</f>
        <v/>
      </c>
      <c r="H84" s="114">
        <f>IF($S84="","",IF(INDEX('_pockets'!$AF:$AF,$S84)="","",INDEX('_pockets'!$AF:$AF,$S84)))</f>
        <v/>
      </c>
      <c r="I84" s="115">
        <f>IF(IF($S84="","",IF(INDEX('_pockets'!$AB:$AB,$S84)="","",INDEX('_pockets'!$AB:$AB,$S84)))="","",IF($S84="","",IF(INDEX('_pockets'!$AB:$AB,$S84)="","",INDEX('_pockets'!$AB:$AB,$S84)))*IF($U$18,100,1))</f>
        <v/>
      </c>
      <c r="J84" s="113">
        <f>IF($S84="","",IF(INDEX('_pockets'!$Z:$Z,$S84)="","",INDEX('_pockets'!$Z:$Z,$S84)))</f>
        <v/>
      </c>
      <c r="K84" s="116">
        <f>IF($R84="","",IF(INDEX('_list'!$K$2:$K$676,$R84)="","",INDEX('_list'!$K$2:$K$676,$R84)))</f>
        <v/>
      </c>
      <c r="L84" s="117">
        <f>IF($S84="","",IF(INDEX('_pockets'!$AC:$AC,$S84)="","",INDEX('_pockets'!$AC:$AC,$S84)))</f>
        <v/>
      </c>
      <c r="M84" s="116">
        <f>IF($R84="","",IF(INDEX('_list'!$L$2:$L$676,$R84)="","",INDEX('_list'!$L$2:$L$676,$R84)))</f>
        <v/>
      </c>
      <c r="N84" s="115">
        <f>IF($R84="","",IF(INDEX('_list'!$H$2:$H$676,$R84)="","",INDEX('_list'!$H$2:$H$676,$R84)))</f>
        <v/>
      </c>
      <c r="O84" s="112">
        <f>IF($R84="","",IF(INDEX('_list'!$I$2:$I$676,$R84)="","",INDEX('_list'!$I$2:$I$676,$R84)))</f>
        <v/>
      </c>
      <c r="R84">
        <f>IFERROR(MATCH(65,'_list'!$N$2:$N$676,0),"")</f>
        <v/>
      </c>
      <c r="S84">
        <f>IF($R84="","",INDEX('_list'!$C$2:$C$676,$R84))</f>
        <v/>
      </c>
    </row>
    <row r="85" ht="16" customHeight="1">
      <c r="B85" s="111">
        <f>IF($R85="","",66)</f>
        <v/>
      </c>
      <c r="C85" s="112">
        <f>IF($R85="","",IF(INDEX('_list'!$D$2:$D$676,$R85)="","",INDEX('_list'!$D$2:$D$676,$R85)))</f>
        <v/>
      </c>
      <c r="D85" s="112">
        <f>IF($R85="","",IF(INDEX('_list'!$E$2:$E$676,$R85)="","",INDEX('_list'!$E$2:$E$676,$R85)))</f>
        <v/>
      </c>
      <c r="E85" s="112">
        <f>IF($R85="","",IF(INDEX('_list'!$F$2:$F$676,$R85)="","",INDEX('_list'!$F$2:$F$676,$R85)))</f>
        <v/>
      </c>
      <c r="F85" s="113">
        <f>IF($R85="","",IF(INDEX('_list'!$G$2:$G$676,$R85)="","",INDEX('_list'!$G$2:$G$676,$R85)))</f>
        <v/>
      </c>
      <c r="G85" s="114">
        <f>IF($S85="","",IF(INDEX('_pockets'!$AH:$AH,$S85)="","",INDEX('_pockets'!$AH:$AH,$S85)))</f>
        <v/>
      </c>
      <c r="H85" s="114">
        <f>IF($S85="","",IF(INDEX('_pockets'!$AF:$AF,$S85)="","",INDEX('_pockets'!$AF:$AF,$S85)))</f>
        <v/>
      </c>
      <c r="I85" s="115">
        <f>IF(IF($S85="","",IF(INDEX('_pockets'!$AB:$AB,$S85)="","",INDEX('_pockets'!$AB:$AB,$S85)))="","",IF($S85="","",IF(INDEX('_pockets'!$AB:$AB,$S85)="","",INDEX('_pockets'!$AB:$AB,$S85)))*IF($U$18,100,1))</f>
        <v/>
      </c>
      <c r="J85" s="113">
        <f>IF($S85="","",IF(INDEX('_pockets'!$Z:$Z,$S85)="","",INDEX('_pockets'!$Z:$Z,$S85)))</f>
        <v/>
      </c>
      <c r="K85" s="116">
        <f>IF($R85="","",IF(INDEX('_list'!$K$2:$K$676,$R85)="","",INDEX('_list'!$K$2:$K$676,$R85)))</f>
        <v/>
      </c>
      <c r="L85" s="117">
        <f>IF($S85="","",IF(INDEX('_pockets'!$AC:$AC,$S85)="","",INDEX('_pockets'!$AC:$AC,$S85)))</f>
        <v/>
      </c>
      <c r="M85" s="116">
        <f>IF($R85="","",IF(INDEX('_list'!$L$2:$L$676,$R85)="","",INDEX('_list'!$L$2:$L$676,$R85)))</f>
        <v/>
      </c>
      <c r="N85" s="115">
        <f>IF($R85="","",IF(INDEX('_list'!$H$2:$H$676,$R85)="","",INDEX('_list'!$H$2:$H$676,$R85)))</f>
        <v/>
      </c>
      <c r="O85" s="112">
        <f>IF($R85="","",IF(INDEX('_list'!$I$2:$I$676,$R85)="","",INDEX('_list'!$I$2:$I$676,$R85)))</f>
        <v/>
      </c>
      <c r="R85">
        <f>IFERROR(MATCH(66,'_list'!$N$2:$N$676,0),"")</f>
        <v/>
      </c>
      <c r="S85">
        <f>IF($R85="","",INDEX('_list'!$C$2:$C$676,$R85))</f>
        <v/>
      </c>
    </row>
    <row r="86" ht="16" customHeight="1">
      <c r="B86" s="111">
        <f>IF($R86="","",67)</f>
        <v/>
      </c>
      <c r="C86" s="112">
        <f>IF($R86="","",IF(INDEX('_list'!$D$2:$D$676,$R86)="","",INDEX('_list'!$D$2:$D$676,$R86)))</f>
        <v/>
      </c>
      <c r="D86" s="112">
        <f>IF($R86="","",IF(INDEX('_list'!$E$2:$E$676,$R86)="","",INDEX('_list'!$E$2:$E$676,$R86)))</f>
        <v/>
      </c>
      <c r="E86" s="112">
        <f>IF($R86="","",IF(INDEX('_list'!$F$2:$F$676,$R86)="","",INDEX('_list'!$F$2:$F$676,$R86)))</f>
        <v/>
      </c>
      <c r="F86" s="113">
        <f>IF($R86="","",IF(INDEX('_list'!$G$2:$G$676,$R86)="","",INDEX('_list'!$G$2:$G$676,$R86)))</f>
        <v/>
      </c>
      <c r="G86" s="114">
        <f>IF($S86="","",IF(INDEX('_pockets'!$AH:$AH,$S86)="","",INDEX('_pockets'!$AH:$AH,$S86)))</f>
        <v/>
      </c>
      <c r="H86" s="114">
        <f>IF($S86="","",IF(INDEX('_pockets'!$AF:$AF,$S86)="","",INDEX('_pockets'!$AF:$AF,$S86)))</f>
        <v/>
      </c>
      <c r="I86" s="115">
        <f>IF(IF($S86="","",IF(INDEX('_pockets'!$AB:$AB,$S86)="","",INDEX('_pockets'!$AB:$AB,$S86)))="","",IF($S86="","",IF(INDEX('_pockets'!$AB:$AB,$S86)="","",INDEX('_pockets'!$AB:$AB,$S86)))*IF($U$18,100,1))</f>
        <v/>
      </c>
      <c r="J86" s="113">
        <f>IF($S86="","",IF(INDEX('_pockets'!$Z:$Z,$S86)="","",INDEX('_pockets'!$Z:$Z,$S86)))</f>
        <v/>
      </c>
      <c r="K86" s="116">
        <f>IF($R86="","",IF(INDEX('_list'!$K$2:$K$676,$R86)="","",INDEX('_list'!$K$2:$K$676,$R86)))</f>
        <v/>
      </c>
      <c r="L86" s="117">
        <f>IF($S86="","",IF(INDEX('_pockets'!$AC:$AC,$S86)="","",INDEX('_pockets'!$AC:$AC,$S86)))</f>
        <v/>
      </c>
      <c r="M86" s="116">
        <f>IF($R86="","",IF(INDEX('_list'!$L$2:$L$676,$R86)="","",INDEX('_list'!$L$2:$L$676,$R86)))</f>
        <v/>
      </c>
      <c r="N86" s="115">
        <f>IF($R86="","",IF(INDEX('_list'!$H$2:$H$676,$R86)="","",INDEX('_list'!$H$2:$H$676,$R86)))</f>
        <v/>
      </c>
      <c r="O86" s="112">
        <f>IF($R86="","",IF(INDEX('_list'!$I$2:$I$676,$R86)="","",INDEX('_list'!$I$2:$I$676,$R86)))</f>
        <v/>
      </c>
      <c r="R86">
        <f>IFERROR(MATCH(67,'_list'!$N$2:$N$676,0),"")</f>
        <v/>
      </c>
      <c r="S86">
        <f>IF($R86="","",INDEX('_list'!$C$2:$C$676,$R86))</f>
        <v/>
      </c>
    </row>
    <row r="87" ht="16" customHeight="1">
      <c r="B87" s="111">
        <f>IF($R87="","",68)</f>
        <v/>
      </c>
      <c r="C87" s="112">
        <f>IF($R87="","",IF(INDEX('_list'!$D$2:$D$676,$R87)="","",INDEX('_list'!$D$2:$D$676,$R87)))</f>
        <v/>
      </c>
      <c r="D87" s="112">
        <f>IF($R87="","",IF(INDEX('_list'!$E$2:$E$676,$R87)="","",INDEX('_list'!$E$2:$E$676,$R87)))</f>
        <v/>
      </c>
      <c r="E87" s="112">
        <f>IF($R87="","",IF(INDEX('_list'!$F$2:$F$676,$R87)="","",INDEX('_list'!$F$2:$F$676,$R87)))</f>
        <v/>
      </c>
      <c r="F87" s="113">
        <f>IF($R87="","",IF(INDEX('_list'!$G$2:$G$676,$R87)="","",INDEX('_list'!$G$2:$G$676,$R87)))</f>
        <v/>
      </c>
      <c r="G87" s="114">
        <f>IF($S87="","",IF(INDEX('_pockets'!$AH:$AH,$S87)="","",INDEX('_pockets'!$AH:$AH,$S87)))</f>
        <v/>
      </c>
      <c r="H87" s="114">
        <f>IF($S87="","",IF(INDEX('_pockets'!$AF:$AF,$S87)="","",INDEX('_pockets'!$AF:$AF,$S87)))</f>
        <v/>
      </c>
      <c r="I87" s="115">
        <f>IF(IF($S87="","",IF(INDEX('_pockets'!$AB:$AB,$S87)="","",INDEX('_pockets'!$AB:$AB,$S87)))="","",IF($S87="","",IF(INDEX('_pockets'!$AB:$AB,$S87)="","",INDEX('_pockets'!$AB:$AB,$S87)))*IF($U$18,100,1))</f>
        <v/>
      </c>
      <c r="J87" s="113">
        <f>IF($S87="","",IF(INDEX('_pockets'!$Z:$Z,$S87)="","",INDEX('_pockets'!$Z:$Z,$S87)))</f>
        <v/>
      </c>
      <c r="K87" s="116">
        <f>IF($R87="","",IF(INDEX('_list'!$K$2:$K$676,$R87)="","",INDEX('_list'!$K$2:$K$676,$R87)))</f>
        <v/>
      </c>
      <c r="L87" s="117">
        <f>IF($S87="","",IF(INDEX('_pockets'!$AC:$AC,$S87)="","",INDEX('_pockets'!$AC:$AC,$S87)))</f>
        <v/>
      </c>
      <c r="M87" s="116">
        <f>IF($R87="","",IF(INDEX('_list'!$L$2:$L$676,$R87)="","",INDEX('_list'!$L$2:$L$676,$R87)))</f>
        <v/>
      </c>
      <c r="N87" s="115">
        <f>IF($R87="","",IF(INDEX('_list'!$H$2:$H$676,$R87)="","",INDEX('_list'!$H$2:$H$676,$R87)))</f>
        <v/>
      </c>
      <c r="O87" s="112">
        <f>IF($R87="","",IF(INDEX('_list'!$I$2:$I$676,$R87)="","",INDEX('_list'!$I$2:$I$676,$R87)))</f>
        <v/>
      </c>
      <c r="R87">
        <f>IFERROR(MATCH(68,'_list'!$N$2:$N$676,0),"")</f>
        <v/>
      </c>
      <c r="S87">
        <f>IF($R87="","",INDEX('_list'!$C$2:$C$676,$R87))</f>
        <v/>
      </c>
    </row>
    <row r="88" ht="16" customHeight="1">
      <c r="B88" s="111">
        <f>IF($R88="","",69)</f>
        <v/>
      </c>
      <c r="C88" s="112">
        <f>IF($R88="","",IF(INDEX('_list'!$D$2:$D$676,$R88)="","",INDEX('_list'!$D$2:$D$676,$R88)))</f>
        <v/>
      </c>
      <c r="D88" s="112">
        <f>IF($R88="","",IF(INDEX('_list'!$E$2:$E$676,$R88)="","",INDEX('_list'!$E$2:$E$676,$R88)))</f>
        <v/>
      </c>
      <c r="E88" s="112">
        <f>IF($R88="","",IF(INDEX('_list'!$F$2:$F$676,$R88)="","",INDEX('_list'!$F$2:$F$676,$R88)))</f>
        <v/>
      </c>
      <c r="F88" s="113">
        <f>IF($R88="","",IF(INDEX('_list'!$G$2:$G$676,$R88)="","",INDEX('_list'!$G$2:$G$676,$R88)))</f>
        <v/>
      </c>
      <c r="G88" s="114">
        <f>IF($S88="","",IF(INDEX('_pockets'!$AH:$AH,$S88)="","",INDEX('_pockets'!$AH:$AH,$S88)))</f>
        <v/>
      </c>
      <c r="H88" s="114">
        <f>IF($S88="","",IF(INDEX('_pockets'!$AF:$AF,$S88)="","",INDEX('_pockets'!$AF:$AF,$S88)))</f>
        <v/>
      </c>
      <c r="I88" s="115">
        <f>IF(IF($S88="","",IF(INDEX('_pockets'!$AB:$AB,$S88)="","",INDEX('_pockets'!$AB:$AB,$S88)))="","",IF($S88="","",IF(INDEX('_pockets'!$AB:$AB,$S88)="","",INDEX('_pockets'!$AB:$AB,$S88)))*IF($U$18,100,1))</f>
        <v/>
      </c>
      <c r="J88" s="113">
        <f>IF($S88="","",IF(INDEX('_pockets'!$Z:$Z,$S88)="","",INDEX('_pockets'!$Z:$Z,$S88)))</f>
        <v/>
      </c>
      <c r="K88" s="116">
        <f>IF($R88="","",IF(INDEX('_list'!$K$2:$K$676,$R88)="","",INDEX('_list'!$K$2:$K$676,$R88)))</f>
        <v/>
      </c>
      <c r="L88" s="117">
        <f>IF($S88="","",IF(INDEX('_pockets'!$AC:$AC,$S88)="","",INDEX('_pockets'!$AC:$AC,$S88)))</f>
        <v/>
      </c>
      <c r="M88" s="116">
        <f>IF($R88="","",IF(INDEX('_list'!$L$2:$L$676,$R88)="","",INDEX('_list'!$L$2:$L$676,$R88)))</f>
        <v/>
      </c>
      <c r="N88" s="115">
        <f>IF($R88="","",IF(INDEX('_list'!$H$2:$H$676,$R88)="","",INDEX('_list'!$H$2:$H$676,$R88)))</f>
        <v/>
      </c>
      <c r="O88" s="112">
        <f>IF($R88="","",IF(INDEX('_list'!$I$2:$I$676,$R88)="","",INDEX('_list'!$I$2:$I$676,$R88)))</f>
        <v/>
      </c>
      <c r="R88">
        <f>IFERROR(MATCH(69,'_list'!$N$2:$N$676,0),"")</f>
        <v/>
      </c>
      <c r="S88">
        <f>IF($R88="","",INDEX('_list'!$C$2:$C$676,$R88))</f>
        <v/>
      </c>
    </row>
    <row r="89" ht="16" customHeight="1">
      <c r="B89" s="111">
        <f>IF($R89="","",70)</f>
        <v/>
      </c>
      <c r="C89" s="112">
        <f>IF($R89="","",IF(INDEX('_list'!$D$2:$D$676,$R89)="","",INDEX('_list'!$D$2:$D$676,$R89)))</f>
        <v/>
      </c>
      <c r="D89" s="112">
        <f>IF($R89="","",IF(INDEX('_list'!$E$2:$E$676,$R89)="","",INDEX('_list'!$E$2:$E$676,$R89)))</f>
        <v/>
      </c>
      <c r="E89" s="112">
        <f>IF($R89="","",IF(INDEX('_list'!$F$2:$F$676,$R89)="","",INDEX('_list'!$F$2:$F$676,$R89)))</f>
        <v/>
      </c>
      <c r="F89" s="113">
        <f>IF($R89="","",IF(INDEX('_list'!$G$2:$G$676,$R89)="","",INDEX('_list'!$G$2:$G$676,$R89)))</f>
        <v/>
      </c>
      <c r="G89" s="114">
        <f>IF($S89="","",IF(INDEX('_pockets'!$AH:$AH,$S89)="","",INDEX('_pockets'!$AH:$AH,$S89)))</f>
        <v/>
      </c>
      <c r="H89" s="114">
        <f>IF($S89="","",IF(INDEX('_pockets'!$AF:$AF,$S89)="","",INDEX('_pockets'!$AF:$AF,$S89)))</f>
        <v/>
      </c>
      <c r="I89" s="115">
        <f>IF(IF($S89="","",IF(INDEX('_pockets'!$AB:$AB,$S89)="","",INDEX('_pockets'!$AB:$AB,$S89)))="","",IF($S89="","",IF(INDEX('_pockets'!$AB:$AB,$S89)="","",INDEX('_pockets'!$AB:$AB,$S89)))*IF($U$18,100,1))</f>
        <v/>
      </c>
      <c r="J89" s="113">
        <f>IF($S89="","",IF(INDEX('_pockets'!$Z:$Z,$S89)="","",INDEX('_pockets'!$Z:$Z,$S89)))</f>
        <v/>
      </c>
      <c r="K89" s="116">
        <f>IF($R89="","",IF(INDEX('_list'!$K$2:$K$676,$R89)="","",INDEX('_list'!$K$2:$K$676,$R89)))</f>
        <v/>
      </c>
      <c r="L89" s="117">
        <f>IF($S89="","",IF(INDEX('_pockets'!$AC:$AC,$S89)="","",INDEX('_pockets'!$AC:$AC,$S89)))</f>
        <v/>
      </c>
      <c r="M89" s="116">
        <f>IF($R89="","",IF(INDEX('_list'!$L$2:$L$676,$R89)="","",INDEX('_list'!$L$2:$L$676,$R89)))</f>
        <v/>
      </c>
      <c r="N89" s="115">
        <f>IF($R89="","",IF(INDEX('_list'!$H$2:$H$676,$R89)="","",INDEX('_list'!$H$2:$H$676,$R89)))</f>
        <v/>
      </c>
      <c r="O89" s="112">
        <f>IF($R89="","",IF(INDEX('_list'!$I$2:$I$676,$R89)="","",INDEX('_list'!$I$2:$I$676,$R89)))</f>
        <v/>
      </c>
      <c r="R89">
        <f>IFERROR(MATCH(70,'_list'!$N$2:$N$676,0),"")</f>
        <v/>
      </c>
      <c r="S89">
        <f>IF($R89="","",INDEX('_list'!$C$2:$C$676,$R89))</f>
        <v/>
      </c>
    </row>
    <row r="90" ht="16" customHeight="1">
      <c r="B90" s="111">
        <f>IF($R90="","",71)</f>
        <v/>
      </c>
      <c r="C90" s="112">
        <f>IF($R90="","",IF(INDEX('_list'!$D$2:$D$676,$R90)="","",INDEX('_list'!$D$2:$D$676,$R90)))</f>
        <v/>
      </c>
      <c r="D90" s="112">
        <f>IF($R90="","",IF(INDEX('_list'!$E$2:$E$676,$R90)="","",INDEX('_list'!$E$2:$E$676,$R90)))</f>
        <v/>
      </c>
      <c r="E90" s="112">
        <f>IF($R90="","",IF(INDEX('_list'!$F$2:$F$676,$R90)="","",INDEX('_list'!$F$2:$F$676,$R90)))</f>
        <v/>
      </c>
      <c r="F90" s="113">
        <f>IF($R90="","",IF(INDEX('_list'!$G$2:$G$676,$R90)="","",INDEX('_list'!$G$2:$G$676,$R90)))</f>
        <v/>
      </c>
      <c r="G90" s="114">
        <f>IF($S90="","",IF(INDEX('_pockets'!$AH:$AH,$S90)="","",INDEX('_pockets'!$AH:$AH,$S90)))</f>
        <v/>
      </c>
      <c r="H90" s="114">
        <f>IF($S90="","",IF(INDEX('_pockets'!$AF:$AF,$S90)="","",INDEX('_pockets'!$AF:$AF,$S90)))</f>
        <v/>
      </c>
      <c r="I90" s="115">
        <f>IF(IF($S90="","",IF(INDEX('_pockets'!$AB:$AB,$S90)="","",INDEX('_pockets'!$AB:$AB,$S90)))="","",IF($S90="","",IF(INDEX('_pockets'!$AB:$AB,$S90)="","",INDEX('_pockets'!$AB:$AB,$S90)))*IF($U$18,100,1))</f>
        <v/>
      </c>
      <c r="J90" s="113">
        <f>IF($S90="","",IF(INDEX('_pockets'!$Z:$Z,$S90)="","",INDEX('_pockets'!$Z:$Z,$S90)))</f>
        <v/>
      </c>
      <c r="K90" s="116">
        <f>IF($R90="","",IF(INDEX('_list'!$K$2:$K$676,$R90)="","",INDEX('_list'!$K$2:$K$676,$R90)))</f>
        <v/>
      </c>
      <c r="L90" s="117">
        <f>IF($S90="","",IF(INDEX('_pockets'!$AC:$AC,$S90)="","",INDEX('_pockets'!$AC:$AC,$S90)))</f>
        <v/>
      </c>
      <c r="M90" s="116">
        <f>IF($R90="","",IF(INDEX('_list'!$L$2:$L$676,$R90)="","",INDEX('_list'!$L$2:$L$676,$R90)))</f>
        <v/>
      </c>
      <c r="N90" s="115">
        <f>IF($R90="","",IF(INDEX('_list'!$H$2:$H$676,$R90)="","",INDEX('_list'!$H$2:$H$676,$R90)))</f>
        <v/>
      </c>
      <c r="O90" s="112">
        <f>IF($R90="","",IF(INDEX('_list'!$I$2:$I$676,$R90)="","",INDEX('_list'!$I$2:$I$676,$R90)))</f>
        <v/>
      </c>
      <c r="R90">
        <f>IFERROR(MATCH(71,'_list'!$N$2:$N$676,0),"")</f>
        <v/>
      </c>
      <c r="S90">
        <f>IF($R90="","",INDEX('_list'!$C$2:$C$676,$R90))</f>
        <v/>
      </c>
    </row>
    <row r="91" ht="16" customHeight="1">
      <c r="B91" s="111">
        <f>IF($R91="","",72)</f>
        <v/>
      </c>
      <c r="C91" s="112">
        <f>IF($R91="","",IF(INDEX('_list'!$D$2:$D$676,$R91)="","",INDEX('_list'!$D$2:$D$676,$R91)))</f>
        <v/>
      </c>
      <c r="D91" s="112">
        <f>IF($R91="","",IF(INDEX('_list'!$E$2:$E$676,$R91)="","",INDEX('_list'!$E$2:$E$676,$R91)))</f>
        <v/>
      </c>
      <c r="E91" s="112">
        <f>IF($R91="","",IF(INDEX('_list'!$F$2:$F$676,$R91)="","",INDEX('_list'!$F$2:$F$676,$R91)))</f>
        <v/>
      </c>
      <c r="F91" s="113">
        <f>IF($R91="","",IF(INDEX('_list'!$G$2:$G$676,$R91)="","",INDEX('_list'!$G$2:$G$676,$R91)))</f>
        <v/>
      </c>
      <c r="G91" s="114">
        <f>IF($S91="","",IF(INDEX('_pockets'!$AH:$AH,$S91)="","",INDEX('_pockets'!$AH:$AH,$S91)))</f>
        <v/>
      </c>
      <c r="H91" s="114">
        <f>IF($S91="","",IF(INDEX('_pockets'!$AF:$AF,$S91)="","",INDEX('_pockets'!$AF:$AF,$S91)))</f>
        <v/>
      </c>
      <c r="I91" s="115">
        <f>IF(IF($S91="","",IF(INDEX('_pockets'!$AB:$AB,$S91)="","",INDEX('_pockets'!$AB:$AB,$S91)))="","",IF($S91="","",IF(INDEX('_pockets'!$AB:$AB,$S91)="","",INDEX('_pockets'!$AB:$AB,$S91)))*IF($U$18,100,1))</f>
        <v/>
      </c>
      <c r="J91" s="113">
        <f>IF($S91="","",IF(INDEX('_pockets'!$Z:$Z,$S91)="","",INDEX('_pockets'!$Z:$Z,$S91)))</f>
        <v/>
      </c>
      <c r="K91" s="116">
        <f>IF($R91="","",IF(INDEX('_list'!$K$2:$K$676,$R91)="","",INDEX('_list'!$K$2:$K$676,$R91)))</f>
        <v/>
      </c>
      <c r="L91" s="117">
        <f>IF($S91="","",IF(INDEX('_pockets'!$AC:$AC,$S91)="","",INDEX('_pockets'!$AC:$AC,$S91)))</f>
        <v/>
      </c>
      <c r="M91" s="116">
        <f>IF($R91="","",IF(INDEX('_list'!$L$2:$L$676,$R91)="","",INDEX('_list'!$L$2:$L$676,$R91)))</f>
        <v/>
      </c>
      <c r="N91" s="115">
        <f>IF($R91="","",IF(INDEX('_list'!$H$2:$H$676,$R91)="","",INDEX('_list'!$H$2:$H$676,$R91)))</f>
        <v/>
      </c>
      <c r="O91" s="112">
        <f>IF($R91="","",IF(INDEX('_list'!$I$2:$I$676,$R91)="","",INDEX('_list'!$I$2:$I$676,$R91)))</f>
        <v/>
      </c>
      <c r="R91">
        <f>IFERROR(MATCH(72,'_list'!$N$2:$N$676,0),"")</f>
        <v/>
      </c>
      <c r="S91">
        <f>IF($R91="","",INDEX('_list'!$C$2:$C$676,$R91))</f>
        <v/>
      </c>
    </row>
    <row r="92" ht="16" customHeight="1">
      <c r="B92" s="111">
        <f>IF($R92="","",73)</f>
        <v/>
      </c>
      <c r="C92" s="112">
        <f>IF($R92="","",IF(INDEX('_list'!$D$2:$D$676,$R92)="","",INDEX('_list'!$D$2:$D$676,$R92)))</f>
        <v/>
      </c>
      <c r="D92" s="112">
        <f>IF($R92="","",IF(INDEX('_list'!$E$2:$E$676,$R92)="","",INDEX('_list'!$E$2:$E$676,$R92)))</f>
        <v/>
      </c>
      <c r="E92" s="112">
        <f>IF($R92="","",IF(INDEX('_list'!$F$2:$F$676,$R92)="","",INDEX('_list'!$F$2:$F$676,$R92)))</f>
        <v/>
      </c>
      <c r="F92" s="113">
        <f>IF($R92="","",IF(INDEX('_list'!$G$2:$G$676,$R92)="","",INDEX('_list'!$G$2:$G$676,$R92)))</f>
        <v/>
      </c>
      <c r="G92" s="114">
        <f>IF($S92="","",IF(INDEX('_pockets'!$AH:$AH,$S92)="","",INDEX('_pockets'!$AH:$AH,$S92)))</f>
        <v/>
      </c>
      <c r="H92" s="114">
        <f>IF($S92="","",IF(INDEX('_pockets'!$AF:$AF,$S92)="","",INDEX('_pockets'!$AF:$AF,$S92)))</f>
        <v/>
      </c>
      <c r="I92" s="115">
        <f>IF(IF($S92="","",IF(INDEX('_pockets'!$AB:$AB,$S92)="","",INDEX('_pockets'!$AB:$AB,$S92)))="","",IF($S92="","",IF(INDEX('_pockets'!$AB:$AB,$S92)="","",INDEX('_pockets'!$AB:$AB,$S92)))*IF($U$18,100,1))</f>
        <v/>
      </c>
      <c r="J92" s="113">
        <f>IF($S92="","",IF(INDEX('_pockets'!$Z:$Z,$S92)="","",INDEX('_pockets'!$Z:$Z,$S92)))</f>
        <v/>
      </c>
      <c r="K92" s="116">
        <f>IF($R92="","",IF(INDEX('_list'!$K$2:$K$676,$R92)="","",INDEX('_list'!$K$2:$K$676,$R92)))</f>
        <v/>
      </c>
      <c r="L92" s="117">
        <f>IF($S92="","",IF(INDEX('_pockets'!$AC:$AC,$S92)="","",INDEX('_pockets'!$AC:$AC,$S92)))</f>
        <v/>
      </c>
      <c r="M92" s="116">
        <f>IF($R92="","",IF(INDEX('_list'!$L$2:$L$676,$R92)="","",INDEX('_list'!$L$2:$L$676,$R92)))</f>
        <v/>
      </c>
      <c r="N92" s="115">
        <f>IF($R92="","",IF(INDEX('_list'!$H$2:$H$676,$R92)="","",INDEX('_list'!$H$2:$H$676,$R92)))</f>
        <v/>
      </c>
      <c r="O92" s="112">
        <f>IF($R92="","",IF(INDEX('_list'!$I$2:$I$676,$R92)="","",INDEX('_list'!$I$2:$I$676,$R92)))</f>
        <v/>
      </c>
      <c r="R92">
        <f>IFERROR(MATCH(73,'_list'!$N$2:$N$676,0),"")</f>
        <v/>
      </c>
      <c r="S92">
        <f>IF($R92="","",INDEX('_list'!$C$2:$C$676,$R92))</f>
        <v/>
      </c>
    </row>
    <row r="93" ht="16" customHeight="1">
      <c r="B93" s="111">
        <f>IF($R93="","",74)</f>
        <v/>
      </c>
      <c r="C93" s="112">
        <f>IF($R93="","",IF(INDEX('_list'!$D$2:$D$676,$R93)="","",INDEX('_list'!$D$2:$D$676,$R93)))</f>
        <v/>
      </c>
      <c r="D93" s="112">
        <f>IF($R93="","",IF(INDEX('_list'!$E$2:$E$676,$R93)="","",INDEX('_list'!$E$2:$E$676,$R93)))</f>
        <v/>
      </c>
      <c r="E93" s="112">
        <f>IF($R93="","",IF(INDEX('_list'!$F$2:$F$676,$R93)="","",INDEX('_list'!$F$2:$F$676,$R93)))</f>
        <v/>
      </c>
      <c r="F93" s="113">
        <f>IF($R93="","",IF(INDEX('_list'!$G$2:$G$676,$R93)="","",INDEX('_list'!$G$2:$G$676,$R93)))</f>
        <v/>
      </c>
      <c r="G93" s="114">
        <f>IF($S93="","",IF(INDEX('_pockets'!$AH:$AH,$S93)="","",INDEX('_pockets'!$AH:$AH,$S93)))</f>
        <v/>
      </c>
      <c r="H93" s="114">
        <f>IF($S93="","",IF(INDEX('_pockets'!$AF:$AF,$S93)="","",INDEX('_pockets'!$AF:$AF,$S93)))</f>
        <v/>
      </c>
      <c r="I93" s="115">
        <f>IF(IF($S93="","",IF(INDEX('_pockets'!$AB:$AB,$S93)="","",INDEX('_pockets'!$AB:$AB,$S93)))="","",IF($S93="","",IF(INDEX('_pockets'!$AB:$AB,$S93)="","",INDEX('_pockets'!$AB:$AB,$S93)))*IF($U$18,100,1))</f>
        <v/>
      </c>
      <c r="J93" s="113">
        <f>IF($S93="","",IF(INDEX('_pockets'!$Z:$Z,$S93)="","",INDEX('_pockets'!$Z:$Z,$S93)))</f>
        <v/>
      </c>
      <c r="K93" s="116">
        <f>IF($R93="","",IF(INDEX('_list'!$K$2:$K$676,$R93)="","",INDEX('_list'!$K$2:$K$676,$R93)))</f>
        <v/>
      </c>
      <c r="L93" s="117">
        <f>IF($S93="","",IF(INDEX('_pockets'!$AC:$AC,$S93)="","",INDEX('_pockets'!$AC:$AC,$S93)))</f>
        <v/>
      </c>
      <c r="M93" s="116">
        <f>IF($R93="","",IF(INDEX('_list'!$L$2:$L$676,$R93)="","",INDEX('_list'!$L$2:$L$676,$R93)))</f>
        <v/>
      </c>
      <c r="N93" s="115">
        <f>IF($R93="","",IF(INDEX('_list'!$H$2:$H$676,$R93)="","",INDEX('_list'!$H$2:$H$676,$R93)))</f>
        <v/>
      </c>
      <c r="O93" s="112">
        <f>IF($R93="","",IF(INDEX('_list'!$I$2:$I$676,$R93)="","",INDEX('_list'!$I$2:$I$676,$R93)))</f>
        <v/>
      </c>
      <c r="R93">
        <f>IFERROR(MATCH(74,'_list'!$N$2:$N$676,0),"")</f>
        <v/>
      </c>
      <c r="S93">
        <f>IF($R93="","",INDEX('_list'!$C$2:$C$676,$R93))</f>
        <v/>
      </c>
    </row>
    <row r="94" ht="16" customHeight="1">
      <c r="B94" s="111">
        <f>IF($R94="","",75)</f>
        <v/>
      </c>
      <c r="C94" s="112">
        <f>IF($R94="","",IF(INDEX('_list'!$D$2:$D$676,$R94)="","",INDEX('_list'!$D$2:$D$676,$R94)))</f>
        <v/>
      </c>
      <c r="D94" s="112">
        <f>IF($R94="","",IF(INDEX('_list'!$E$2:$E$676,$R94)="","",INDEX('_list'!$E$2:$E$676,$R94)))</f>
        <v/>
      </c>
      <c r="E94" s="112">
        <f>IF($R94="","",IF(INDEX('_list'!$F$2:$F$676,$R94)="","",INDEX('_list'!$F$2:$F$676,$R94)))</f>
        <v/>
      </c>
      <c r="F94" s="113">
        <f>IF($R94="","",IF(INDEX('_list'!$G$2:$G$676,$R94)="","",INDEX('_list'!$G$2:$G$676,$R94)))</f>
        <v/>
      </c>
      <c r="G94" s="114">
        <f>IF($S94="","",IF(INDEX('_pockets'!$AH:$AH,$S94)="","",INDEX('_pockets'!$AH:$AH,$S94)))</f>
        <v/>
      </c>
      <c r="H94" s="114">
        <f>IF($S94="","",IF(INDEX('_pockets'!$AF:$AF,$S94)="","",INDEX('_pockets'!$AF:$AF,$S94)))</f>
        <v/>
      </c>
      <c r="I94" s="115">
        <f>IF(IF($S94="","",IF(INDEX('_pockets'!$AB:$AB,$S94)="","",INDEX('_pockets'!$AB:$AB,$S94)))="","",IF($S94="","",IF(INDEX('_pockets'!$AB:$AB,$S94)="","",INDEX('_pockets'!$AB:$AB,$S94)))*IF($U$18,100,1))</f>
        <v/>
      </c>
      <c r="J94" s="113">
        <f>IF($S94="","",IF(INDEX('_pockets'!$Z:$Z,$S94)="","",INDEX('_pockets'!$Z:$Z,$S94)))</f>
        <v/>
      </c>
      <c r="K94" s="116">
        <f>IF($R94="","",IF(INDEX('_list'!$K$2:$K$676,$R94)="","",INDEX('_list'!$K$2:$K$676,$R94)))</f>
        <v/>
      </c>
      <c r="L94" s="117">
        <f>IF($S94="","",IF(INDEX('_pockets'!$AC:$AC,$S94)="","",INDEX('_pockets'!$AC:$AC,$S94)))</f>
        <v/>
      </c>
      <c r="M94" s="116">
        <f>IF($R94="","",IF(INDEX('_list'!$L$2:$L$676,$R94)="","",INDEX('_list'!$L$2:$L$676,$R94)))</f>
        <v/>
      </c>
      <c r="N94" s="115">
        <f>IF($R94="","",IF(INDEX('_list'!$H$2:$H$676,$R94)="","",INDEX('_list'!$H$2:$H$676,$R94)))</f>
        <v/>
      </c>
      <c r="O94" s="112">
        <f>IF($R94="","",IF(INDEX('_list'!$I$2:$I$676,$R94)="","",INDEX('_list'!$I$2:$I$676,$R94)))</f>
        <v/>
      </c>
      <c r="R94">
        <f>IFERROR(MATCH(75,'_list'!$N$2:$N$676,0),"")</f>
        <v/>
      </c>
      <c r="S94">
        <f>IF($R94="","",INDEX('_list'!$C$2:$C$676,$R94))</f>
        <v/>
      </c>
    </row>
    <row r="95" ht="16" customHeight="1">
      <c r="B95" s="111">
        <f>IF($R95="","",76)</f>
        <v/>
      </c>
      <c r="C95" s="112">
        <f>IF($R95="","",IF(INDEX('_list'!$D$2:$D$676,$R95)="","",INDEX('_list'!$D$2:$D$676,$R95)))</f>
        <v/>
      </c>
      <c r="D95" s="112">
        <f>IF($R95="","",IF(INDEX('_list'!$E$2:$E$676,$R95)="","",INDEX('_list'!$E$2:$E$676,$R95)))</f>
        <v/>
      </c>
      <c r="E95" s="112">
        <f>IF($R95="","",IF(INDEX('_list'!$F$2:$F$676,$R95)="","",INDEX('_list'!$F$2:$F$676,$R95)))</f>
        <v/>
      </c>
      <c r="F95" s="113">
        <f>IF($R95="","",IF(INDEX('_list'!$G$2:$G$676,$R95)="","",INDEX('_list'!$G$2:$G$676,$R95)))</f>
        <v/>
      </c>
      <c r="G95" s="114">
        <f>IF($S95="","",IF(INDEX('_pockets'!$AH:$AH,$S95)="","",INDEX('_pockets'!$AH:$AH,$S95)))</f>
        <v/>
      </c>
      <c r="H95" s="114">
        <f>IF($S95="","",IF(INDEX('_pockets'!$AF:$AF,$S95)="","",INDEX('_pockets'!$AF:$AF,$S95)))</f>
        <v/>
      </c>
      <c r="I95" s="115">
        <f>IF(IF($S95="","",IF(INDEX('_pockets'!$AB:$AB,$S95)="","",INDEX('_pockets'!$AB:$AB,$S95)))="","",IF($S95="","",IF(INDEX('_pockets'!$AB:$AB,$S95)="","",INDEX('_pockets'!$AB:$AB,$S95)))*IF($U$18,100,1))</f>
        <v/>
      </c>
      <c r="J95" s="113">
        <f>IF($S95="","",IF(INDEX('_pockets'!$Z:$Z,$S95)="","",INDEX('_pockets'!$Z:$Z,$S95)))</f>
        <v/>
      </c>
      <c r="K95" s="116">
        <f>IF($R95="","",IF(INDEX('_list'!$K$2:$K$676,$R95)="","",INDEX('_list'!$K$2:$K$676,$R95)))</f>
        <v/>
      </c>
      <c r="L95" s="117">
        <f>IF($S95="","",IF(INDEX('_pockets'!$AC:$AC,$S95)="","",INDEX('_pockets'!$AC:$AC,$S95)))</f>
        <v/>
      </c>
      <c r="M95" s="116">
        <f>IF($R95="","",IF(INDEX('_list'!$L$2:$L$676,$R95)="","",INDEX('_list'!$L$2:$L$676,$R95)))</f>
        <v/>
      </c>
      <c r="N95" s="115">
        <f>IF($R95="","",IF(INDEX('_list'!$H$2:$H$676,$R95)="","",INDEX('_list'!$H$2:$H$676,$R95)))</f>
        <v/>
      </c>
      <c r="O95" s="112">
        <f>IF($R95="","",IF(INDEX('_list'!$I$2:$I$676,$R95)="","",INDEX('_list'!$I$2:$I$676,$R95)))</f>
        <v/>
      </c>
      <c r="R95">
        <f>IFERROR(MATCH(76,'_list'!$N$2:$N$676,0),"")</f>
        <v/>
      </c>
      <c r="S95">
        <f>IF($R95="","",INDEX('_list'!$C$2:$C$676,$R95))</f>
        <v/>
      </c>
    </row>
    <row r="96" ht="16" customHeight="1">
      <c r="B96" s="111">
        <f>IF($R96="","",77)</f>
        <v/>
      </c>
      <c r="C96" s="112">
        <f>IF($R96="","",IF(INDEX('_list'!$D$2:$D$676,$R96)="","",INDEX('_list'!$D$2:$D$676,$R96)))</f>
        <v/>
      </c>
      <c r="D96" s="112">
        <f>IF($R96="","",IF(INDEX('_list'!$E$2:$E$676,$R96)="","",INDEX('_list'!$E$2:$E$676,$R96)))</f>
        <v/>
      </c>
      <c r="E96" s="112">
        <f>IF($R96="","",IF(INDEX('_list'!$F$2:$F$676,$R96)="","",INDEX('_list'!$F$2:$F$676,$R96)))</f>
        <v/>
      </c>
      <c r="F96" s="113">
        <f>IF($R96="","",IF(INDEX('_list'!$G$2:$G$676,$R96)="","",INDEX('_list'!$G$2:$G$676,$R96)))</f>
        <v/>
      </c>
      <c r="G96" s="114">
        <f>IF($S96="","",IF(INDEX('_pockets'!$AH:$AH,$S96)="","",INDEX('_pockets'!$AH:$AH,$S96)))</f>
        <v/>
      </c>
      <c r="H96" s="114">
        <f>IF($S96="","",IF(INDEX('_pockets'!$AF:$AF,$S96)="","",INDEX('_pockets'!$AF:$AF,$S96)))</f>
        <v/>
      </c>
      <c r="I96" s="115">
        <f>IF(IF($S96="","",IF(INDEX('_pockets'!$AB:$AB,$S96)="","",INDEX('_pockets'!$AB:$AB,$S96)))="","",IF($S96="","",IF(INDEX('_pockets'!$AB:$AB,$S96)="","",INDEX('_pockets'!$AB:$AB,$S96)))*IF($U$18,100,1))</f>
        <v/>
      </c>
      <c r="J96" s="113">
        <f>IF($S96="","",IF(INDEX('_pockets'!$Z:$Z,$S96)="","",INDEX('_pockets'!$Z:$Z,$S96)))</f>
        <v/>
      </c>
      <c r="K96" s="116">
        <f>IF($R96="","",IF(INDEX('_list'!$K$2:$K$676,$R96)="","",INDEX('_list'!$K$2:$K$676,$R96)))</f>
        <v/>
      </c>
      <c r="L96" s="117">
        <f>IF($S96="","",IF(INDEX('_pockets'!$AC:$AC,$S96)="","",INDEX('_pockets'!$AC:$AC,$S96)))</f>
        <v/>
      </c>
      <c r="M96" s="116">
        <f>IF($R96="","",IF(INDEX('_list'!$L$2:$L$676,$R96)="","",INDEX('_list'!$L$2:$L$676,$R96)))</f>
        <v/>
      </c>
      <c r="N96" s="115">
        <f>IF($R96="","",IF(INDEX('_list'!$H$2:$H$676,$R96)="","",INDEX('_list'!$H$2:$H$676,$R96)))</f>
        <v/>
      </c>
      <c r="O96" s="112">
        <f>IF($R96="","",IF(INDEX('_list'!$I$2:$I$676,$R96)="","",INDEX('_list'!$I$2:$I$676,$R96)))</f>
        <v/>
      </c>
      <c r="R96">
        <f>IFERROR(MATCH(77,'_list'!$N$2:$N$676,0),"")</f>
        <v/>
      </c>
      <c r="S96">
        <f>IF($R96="","",INDEX('_list'!$C$2:$C$676,$R96))</f>
        <v/>
      </c>
    </row>
    <row r="97" ht="16" customHeight="1">
      <c r="B97" s="111">
        <f>IF($R97="","",78)</f>
        <v/>
      </c>
      <c r="C97" s="112">
        <f>IF($R97="","",IF(INDEX('_list'!$D$2:$D$676,$R97)="","",INDEX('_list'!$D$2:$D$676,$R97)))</f>
        <v/>
      </c>
      <c r="D97" s="112">
        <f>IF($R97="","",IF(INDEX('_list'!$E$2:$E$676,$R97)="","",INDEX('_list'!$E$2:$E$676,$R97)))</f>
        <v/>
      </c>
      <c r="E97" s="112">
        <f>IF($R97="","",IF(INDEX('_list'!$F$2:$F$676,$R97)="","",INDEX('_list'!$F$2:$F$676,$R97)))</f>
        <v/>
      </c>
      <c r="F97" s="113">
        <f>IF($R97="","",IF(INDEX('_list'!$G$2:$G$676,$R97)="","",INDEX('_list'!$G$2:$G$676,$R97)))</f>
        <v/>
      </c>
      <c r="G97" s="114">
        <f>IF($S97="","",IF(INDEX('_pockets'!$AH:$AH,$S97)="","",INDEX('_pockets'!$AH:$AH,$S97)))</f>
        <v/>
      </c>
      <c r="H97" s="114">
        <f>IF($S97="","",IF(INDEX('_pockets'!$AF:$AF,$S97)="","",INDEX('_pockets'!$AF:$AF,$S97)))</f>
        <v/>
      </c>
      <c r="I97" s="115">
        <f>IF(IF($S97="","",IF(INDEX('_pockets'!$AB:$AB,$S97)="","",INDEX('_pockets'!$AB:$AB,$S97)))="","",IF($S97="","",IF(INDEX('_pockets'!$AB:$AB,$S97)="","",INDEX('_pockets'!$AB:$AB,$S97)))*IF($U$18,100,1))</f>
        <v/>
      </c>
      <c r="J97" s="113">
        <f>IF($S97="","",IF(INDEX('_pockets'!$Z:$Z,$S97)="","",INDEX('_pockets'!$Z:$Z,$S97)))</f>
        <v/>
      </c>
      <c r="K97" s="116">
        <f>IF($R97="","",IF(INDEX('_list'!$K$2:$K$676,$R97)="","",INDEX('_list'!$K$2:$K$676,$R97)))</f>
        <v/>
      </c>
      <c r="L97" s="117">
        <f>IF($S97="","",IF(INDEX('_pockets'!$AC:$AC,$S97)="","",INDEX('_pockets'!$AC:$AC,$S97)))</f>
        <v/>
      </c>
      <c r="M97" s="116">
        <f>IF($R97="","",IF(INDEX('_list'!$L$2:$L$676,$R97)="","",INDEX('_list'!$L$2:$L$676,$R97)))</f>
        <v/>
      </c>
      <c r="N97" s="115">
        <f>IF($R97="","",IF(INDEX('_list'!$H$2:$H$676,$R97)="","",INDEX('_list'!$H$2:$H$676,$R97)))</f>
        <v/>
      </c>
      <c r="O97" s="112">
        <f>IF($R97="","",IF(INDEX('_list'!$I$2:$I$676,$R97)="","",INDEX('_list'!$I$2:$I$676,$R97)))</f>
        <v/>
      </c>
      <c r="R97">
        <f>IFERROR(MATCH(78,'_list'!$N$2:$N$676,0),"")</f>
        <v/>
      </c>
      <c r="S97">
        <f>IF($R97="","",INDEX('_list'!$C$2:$C$676,$R97))</f>
        <v/>
      </c>
    </row>
    <row r="98" ht="16" customHeight="1">
      <c r="B98" s="111">
        <f>IF($R98="","",79)</f>
        <v/>
      </c>
      <c r="C98" s="112">
        <f>IF($R98="","",IF(INDEX('_list'!$D$2:$D$676,$R98)="","",INDEX('_list'!$D$2:$D$676,$R98)))</f>
        <v/>
      </c>
      <c r="D98" s="112">
        <f>IF($R98="","",IF(INDEX('_list'!$E$2:$E$676,$R98)="","",INDEX('_list'!$E$2:$E$676,$R98)))</f>
        <v/>
      </c>
      <c r="E98" s="112">
        <f>IF($R98="","",IF(INDEX('_list'!$F$2:$F$676,$R98)="","",INDEX('_list'!$F$2:$F$676,$R98)))</f>
        <v/>
      </c>
      <c r="F98" s="113">
        <f>IF($R98="","",IF(INDEX('_list'!$G$2:$G$676,$R98)="","",INDEX('_list'!$G$2:$G$676,$R98)))</f>
        <v/>
      </c>
      <c r="G98" s="114">
        <f>IF($S98="","",IF(INDEX('_pockets'!$AH:$AH,$S98)="","",INDEX('_pockets'!$AH:$AH,$S98)))</f>
        <v/>
      </c>
      <c r="H98" s="114">
        <f>IF($S98="","",IF(INDEX('_pockets'!$AF:$AF,$S98)="","",INDEX('_pockets'!$AF:$AF,$S98)))</f>
        <v/>
      </c>
      <c r="I98" s="115">
        <f>IF(IF($S98="","",IF(INDEX('_pockets'!$AB:$AB,$S98)="","",INDEX('_pockets'!$AB:$AB,$S98)))="","",IF($S98="","",IF(INDEX('_pockets'!$AB:$AB,$S98)="","",INDEX('_pockets'!$AB:$AB,$S98)))*IF($U$18,100,1))</f>
        <v/>
      </c>
      <c r="J98" s="113">
        <f>IF($S98="","",IF(INDEX('_pockets'!$Z:$Z,$S98)="","",INDEX('_pockets'!$Z:$Z,$S98)))</f>
        <v/>
      </c>
      <c r="K98" s="116">
        <f>IF($R98="","",IF(INDEX('_list'!$K$2:$K$676,$R98)="","",INDEX('_list'!$K$2:$K$676,$R98)))</f>
        <v/>
      </c>
      <c r="L98" s="117">
        <f>IF($S98="","",IF(INDEX('_pockets'!$AC:$AC,$S98)="","",INDEX('_pockets'!$AC:$AC,$S98)))</f>
        <v/>
      </c>
      <c r="M98" s="116">
        <f>IF($R98="","",IF(INDEX('_list'!$L$2:$L$676,$R98)="","",INDEX('_list'!$L$2:$L$676,$R98)))</f>
        <v/>
      </c>
      <c r="N98" s="115">
        <f>IF($R98="","",IF(INDEX('_list'!$H$2:$H$676,$R98)="","",INDEX('_list'!$H$2:$H$676,$R98)))</f>
        <v/>
      </c>
      <c r="O98" s="112">
        <f>IF($R98="","",IF(INDEX('_list'!$I$2:$I$676,$R98)="","",INDEX('_list'!$I$2:$I$676,$R98)))</f>
        <v/>
      </c>
      <c r="R98">
        <f>IFERROR(MATCH(79,'_list'!$N$2:$N$676,0),"")</f>
        <v/>
      </c>
      <c r="S98">
        <f>IF($R98="","",INDEX('_list'!$C$2:$C$676,$R98))</f>
        <v/>
      </c>
    </row>
    <row r="99" ht="16" customHeight="1">
      <c r="B99" s="111">
        <f>IF($R99="","",80)</f>
        <v/>
      </c>
      <c r="C99" s="112">
        <f>IF($R99="","",IF(INDEX('_list'!$D$2:$D$676,$R99)="","",INDEX('_list'!$D$2:$D$676,$R99)))</f>
        <v/>
      </c>
      <c r="D99" s="112">
        <f>IF($R99="","",IF(INDEX('_list'!$E$2:$E$676,$R99)="","",INDEX('_list'!$E$2:$E$676,$R99)))</f>
        <v/>
      </c>
      <c r="E99" s="112">
        <f>IF($R99="","",IF(INDEX('_list'!$F$2:$F$676,$R99)="","",INDEX('_list'!$F$2:$F$676,$R99)))</f>
        <v/>
      </c>
      <c r="F99" s="113">
        <f>IF($R99="","",IF(INDEX('_list'!$G$2:$G$676,$R99)="","",INDEX('_list'!$G$2:$G$676,$R99)))</f>
        <v/>
      </c>
      <c r="G99" s="114">
        <f>IF($S99="","",IF(INDEX('_pockets'!$AH:$AH,$S99)="","",INDEX('_pockets'!$AH:$AH,$S99)))</f>
        <v/>
      </c>
      <c r="H99" s="114">
        <f>IF($S99="","",IF(INDEX('_pockets'!$AF:$AF,$S99)="","",INDEX('_pockets'!$AF:$AF,$S99)))</f>
        <v/>
      </c>
      <c r="I99" s="115">
        <f>IF(IF($S99="","",IF(INDEX('_pockets'!$AB:$AB,$S99)="","",INDEX('_pockets'!$AB:$AB,$S99)))="","",IF($S99="","",IF(INDEX('_pockets'!$AB:$AB,$S99)="","",INDEX('_pockets'!$AB:$AB,$S99)))*IF($U$18,100,1))</f>
        <v/>
      </c>
      <c r="J99" s="113">
        <f>IF($S99="","",IF(INDEX('_pockets'!$Z:$Z,$S99)="","",INDEX('_pockets'!$Z:$Z,$S99)))</f>
        <v/>
      </c>
      <c r="K99" s="116">
        <f>IF($R99="","",IF(INDEX('_list'!$K$2:$K$676,$R99)="","",INDEX('_list'!$K$2:$K$676,$R99)))</f>
        <v/>
      </c>
      <c r="L99" s="117">
        <f>IF($S99="","",IF(INDEX('_pockets'!$AC:$AC,$S99)="","",INDEX('_pockets'!$AC:$AC,$S99)))</f>
        <v/>
      </c>
      <c r="M99" s="116">
        <f>IF($R99="","",IF(INDEX('_list'!$L$2:$L$676,$R99)="","",INDEX('_list'!$L$2:$L$676,$R99)))</f>
        <v/>
      </c>
      <c r="N99" s="115">
        <f>IF($R99="","",IF(INDEX('_list'!$H$2:$H$676,$R99)="","",INDEX('_list'!$H$2:$H$676,$R99)))</f>
        <v/>
      </c>
      <c r="O99" s="112">
        <f>IF($R99="","",IF(INDEX('_list'!$I$2:$I$676,$R99)="","",INDEX('_list'!$I$2:$I$676,$R99)))</f>
        <v/>
      </c>
      <c r="R99">
        <f>IFERROR(MATCH(80,'_list'!$N$2:$N$676,0),"")</f>
        <v/>
      </c>
      <c r="S99">
        <f>IF($R99="","",INDEX('_list'!$C$2:$C$676,$R99))</f>
        <v/>
      </c>
    </row>
    <row r="100" ht="16" customHeight="1">
      <c r="B100" s="111">
        <f>IF($R100="","",81)</f>
        <v/>
      </c>
      <c r="C100" s="112">
        <f>IF($R100="","",IF(INDEX('_list'!$D$2:$D$676,$R100)="","",INDEX('_list'!$D$2:$D$676,$R100)))</f>
        <v/>
      </c>
      <c r="D100" s="112">
        <f>IF($R100="","",IF(INDEX('_list'!$E$2:$E$676,$R100)="","",INDEX('_list'!$E$2:$E$676,$R100)))</f>
        <v/>
      </c>
      <c r="E100" s="112">
        <f>IF($R100="","",IF(INDEX('_list'!$F$2:$F$676,$R100)="","",INDEX('_list'!$F$2:$F$676,$R100)))</f>
        <v/>
      </c>
      <c r="F100" s="113">
        <f>IF($R100="","",IF(INDEX('_list'!$G$2:$G$676,$R100)="","",INDEX('_list'!$G$2:$G$676,$R100)))</f>
        <v/>
      </c>
      <c r="G100" s="114">
        <f>IF($S100="","",IF(INDEX('_pockets'!$AH:$AH,$S100)="","",INDEX('_pockets'!$AH:$AH,$S100)))</f>
        <v/>
      </c>
      <c r="H100" s="114">
        <f>IF($S100="","",IF(INDEX('_pockets'!$AF:$AF,$S100)="","",INDEX('_pockets'!$AF:$AF,$S100)))</f>
        <v/>
      </c>
      <c r="I100" s="115">
        <f>IF(IF($S100="","",IF(INDEX('_pockets'!$AB:$AB,$S100)="","",INDEX('_pockets'!$AB:$AB,$S100)))="","",IF($S100="","",IF(INDEX('_pockets'!$AB:$AB,$S100)="","",INDEX('_pockets'!$AB:$AB,$S100)))*IF($U$18,100,1))</f>
        <v/>
      </c>
      <c r="J100" s="113">
        <f>IF($S100="","",IF(INDEX('_pockets'!$Z:$Z,$S100)="","",INDEX('_pockets'!$Z:$Z,$S100)))</f>
        <v/>
      </c>
      <c r="K100" s="116">
        <f>IF($R100="","",IF(INDEX('_list'!$K$2:$K$676,$R100)="","",INDEX('_list'!$K$2:$K$676,$R100)))</f>
        <v/>
      </c>
      <c r="L100" s="117">
        <f>IF($S100="","",IF(INDEX('_pockets'!$AC:$AC,$S100)="","",INDEX('_pockets'!$AC:$AC,$S100)))</f>
        <v/>
      </c>
      <c r="M100" s="116">
        <f>IF($R100="","",IF(INDEX('_list'!$L$2:$L$676,$R100)="","",INDEX('_list'!$L$2:$L$676,$R100)))</f>
        <v/>
      </c>
      <c r="N100" s="115">
        <f>IF($R100="","",IF(INDEX('_list'!$H$2:$H$676,$R100)="","",INDEX('_list'!$H$2:$H$676,$R100)))</f>
        <v/>
      </c>
      <c r="O100" s="112">
        <f>IF($R100="","",IF(INDEX('_list'!$I$2:$I$676,$R100)="","",INDEX('_list'!$I$2:$I$676,$R100)))</f>
        <v/>
      </c>
      <c r="R100">
        <f>IFERROR(MATCH(81,'_list'!$N$2:$N$676,0),"")</f>
        <v/>
      </c>
      <c r="S100">
        <f>IF($R100="","",INDEX('_list'!$C$2:$C$676,$R100))</f>
        <v/>
      </c>
    </row>
    <row r="101" ht="16" customHeight="1">
      <c r="B101" s="111">
        <f>IF($R101="","",82)</f>
        <v/>
      </c>
      <c r="C101" s="112">
        <f>IF($R101="","",IF(INDEX('_list'!$D$2:$D$676,$R101)="","",INDEX('_list'!$D$2:$D$676,$R101)))</f>
        <v/>
      </c>
      <c r="D101" s="112">
        <f>IF($R101="","",IF(INDEX('_list'!$E$2:$E$676,$R101)="","",INDEX('_list'!$E$2:$E$676,$R101)))</f>
        <v/>
      </c>
      <c r="E101" s="112">
        <f>IF($R101="","",IF(INDEX('_list'!$F$2:$F$676,$R101)="","",INDEX('_list'!$F$2:$F$676,$R101)))</f>
        <v/>
      </c>
      <c r="F101" s="113">
        <f>IF($R101="","",IF(INDEX('_list'!$G$2:$G$676,$R101)="","",INDEX('_list'!$G$2:$G$676,$R101)))</f>
        <v/>
      </c>
      <c r="G101" s="114">
        <f>IF($S101="","",IF(INDEX('_pockets'!$AH:$AH,$S101)="","",INDEX('_pockets'!$AH:$AH,$S101)))</f>
        <v/>
      </c>
      <c r="H101" s="114">
        <f>IF($S101="","",IF(INDEX('_pockets'!$AF:$AF,$S101)="","",INDEX('_pockets'!$AF:$AF,$S101)))</f>
        <v/>
      </c>
      <c r="I101" s="115">
        <f>IF(IF($S101="","",IF(INDEX('_pockets'!$AB:$AB,$S101)="","",INDEX('_pockets'!$AB:$AB,$S101)))="","",IF($S101="","",IF(INDEX('_pockets'!$AB:$AB,$S101)="","",INDEX('_pockets'!$AB:$AB,$S101)))*IF($U$18,100,1))</f>
        <v/>
      </c>
      <c r="J101" s="113">
        <f>IF($S101="","",IF(INDEX('_pockets'!$Z:$Z,$S101)="","",INDEX('_pockets'!$Z:$Z,$S101)))</f>
        <v/>
      </c>
      <c r="K101" s="116">
        <f>IF($R101="","",IF(INDEX('_list'!$K$2:$K$676,$R101)="","",INDEX('_list'!$K$2:$K$676,$R101)))</f>
        <v/>
      </c>
      <c r="L101" s="117">
        <f>IF($S101="","",IF(INDEX('_pockets'!$AC:$AC,$S101)="","",INDEX('_pockets'!$AC:$AC,$S101)))</f>
        <v/>
      </c>
      <c r="M101" s="116">
        <f>IF($R101="","",IF(INDEX('_list'!$L$2:$L$676,$R101)="","",INDEX('_list'!$L$2:$L$676,$R101)))</f>
        <v/>
      </c>
      <c r="N101" s="115">
        <f>IF($R101="","",IF(INDEX('_list'!$H$2:$H$676,$R101)="","",INDEX('_list'!$H$2:$H$676,$R101)))</f>
        <v/>
      </c>
      <c r="O101" s="112">
        <f>IF($R101="","",IF(INDEX('_list'!$I$2:$I$676,$R101)="","",INDEX('_list'!$I$2:$I$676,$R101)))</f>
        <v/>
      </c>
      <c r="R101">
        <f>IFERROR(MATCH(82,'_list'!$N$2:$N$676,0),"")</f>
        <v/>
      </c>
      <c r="S101">
        <f>IF($R101="","",INDEX('_list'!$C$2:$C$676,$R101))</f>
        <v/>
      </c>
    </row>
    <row r="102" ht="16" customHeight="1">
      <c r="B102" s="111">
        <f>IF($R102="","",83)</f>
        <v/>
      </c>
      <c r="C102" s="112">
        <f>IF($R102="","",IF(INDEX('_list'!$D$2:$D$676,$R102)="","",INDEX('_list'!$D$2:$D$676,$R102)))</f>
        <v/>
      </c>
      <c r="D102" s="112">
        <f>IF($R102="","",IF(INDEX('_list'!$E$2:$E$676,$R102)="","",INDEX('_list'!$E$2:$E$676,$R102)))</f>
        <v/>
      </c>
      <c r="E102" s="112">
        <f>IF($R102="","",IF(INDEX('_list'!$F$2:$F$676,$R102)="","",INDEX('_list'!$F$2:$F$676,$R102)))</f>
        <v/>
      </c>
      <c r="F102" s="113">
        <f>IF($R102="","",IF(INDEX('_list'!$G$2:$G$676,$R102)="","",INDEX('_list'!$G$2:$G$676,$R102)))</f>
        <v/>
      </c>
      <c r="G102" s="114">
        <f>IF($S102="","",IF(INDEX('_pockets'!$AH:$AH,$S102)="","",INDEX('_pockets'!$AH:$AH,$S102)))</f>
        <v/>
      </c>
      <c r="H102" s="114">
        <f>IF($S102="","",IF(INDEX('_pockets'!$AF:$AF,$S102)="","",INDEX('_pockets'!$AF:$AF,$S102)))</f>
        <v/>
      </c>
      <c r="I102" s="115">
        <f>IF(IF($S102="","",IF(INDEX('_pockets'!$AB:$AB,$S102)="","",INDEX('_pockets'!$AB:$AB,$S102)))="","",IF($S102="","",IF(INDEX('_pockets'!$AB:$AB,$S102)="","",INDEX('_pockets'!$AB:$AB,$S102)))*IF($U$18,100,1))</f>
        <v/>
      </c>
      <c r="J102" s="113">
        <f>IF($S102="","",IF(INDEX('_pockets'!$Z:$Z,$S102)="","",INDEX('_pockets'!$Z:$Z,$S102)))</f>
        <v/>
      </c>
      <c r="K102" s="116">
        <f>IF($R102="","",IF(INDEX('_list'!$K$2:$K$676,$R102)="","",INDEX('_list'!$K$2:$K$676,$R102)))</f>
        <v/>
      </c>
      <c r="L102" s="117">
        <f>IF($S102="","",IF(INDEX('_pockets'!$AC:$AC,$S102)="","",INDEX('_pockets'!$AC:$AC,$S102)))</f>
        <v/>
      </c>
      <c r="M102" s="116">
        <f>IF($R102="","",IF(INDEX('_list'!$L$2:$L$676,$R102)="","",INDEX('_list'!$L$2:$L$676,$R102)))</f>
        <v/>
      </c>
      <c r="N102" s="115">
        <f>IF($R102="","",IF(INDEX('_list'!$H$2:$H$676,$R102)="","",INDEX('_list'!$H$2:$H$676,$R102)))</f>
        <v/>
      </c>
      <c r="O102" s="112">
        <f>IF($R102="","",IF(INDEX('_list'!$I$2:$I$676,$R102)="","",INDEX('_list'!$I$2:$I$676,$R102)))</f>
        <v/>
      </c>
      <c r="R102">
        <f>IFERROR(MATCH(83,'_list'!$N$2:$N$676,0),"")</f>
        <v/>
      </c>
      <c r="S102">
        <f>IF($R102="","",INDEX('_list'!$C$2:$C$676,$R102))</f>
        <v/>
      </c>
    </row>
    <row r="103" ht="16" customHeight="1">
      <c r="B103" s="111">
        <f>IF($R103="","",84)</f>
        <v/>
      </c>
      <c r="C103" s="112">
        <f>IF($R103="","",IF(INDEX('_list'!$D$2:$D$676,$R103)="","",INDEX('_list'!$D$2:$D$676,$R103)))</f>
        <v/>
      </c>
      <c r="D103" s="112">
        <f>IF($R103="","",IF(INDEX('_list'!$E$2:$E$676,$R103)="","",INDEX('_list'!$E$2:$E$676,$R103)))</f>
        <v/>
      </c>
      <c r="E103" s="112">
        <f>IF($R103="","",IF(INDEX('_list'!$F$2:$F$676,$R103)="","",INDEX('_list'!$F$2:$F$676,$R103)))</f>
        <v/>
      </c>
      <c r="F103" s="113">
        <f>IF($R103="","",IF(INDEX('_list'!$G$2:$G$676,$R103)="","",INDEX('_list'!$G$2:$G$676,$R103)))</f>
        <v/>
      </c>
      <c r="G103" s="114">
        <f>IF($S103="","",IF(INDEX('_pockets'!$AH:$AH,$S103)="","",INDEX('_pockets'!$AH:$AH,$S103)))</f>
        <v/>
      </c>
      <c r="H103" s="114">
        <f>IF($S103="","",IF(INDEX('_pockets'!$AF:$AF,$S103)="","",INDEX('_pockets'!$AF:$AF,$S103)))</f>
        <v/>
      </c>
      <c r="I103" s="115">
        <f>IF(IF($S103="","",IF(INDEX('_pockets'!$AB:$AB,$S103)="","",INDEX('_pockets'!$AB:$AB,$S103)))="","",IF($S103="","",IF(INDEX('_pockets'!$AB:$AB,$S103)="","",INDEX('_pockets'!$AB:$AB,$S103)))*IF($U$18,100,1))</f>
        <v/>
      </c>
      <c r="J103" s="113">
        <f>IF($S103="","",IF(INDEX('_pockets'!$Z:$Z,$S103)="","",INDEX('_pockets'!$Z:$Z,$S103)))</f>
        <v/>
      </c>
      <c r="K103" s="116">
        <f>IF($R103="","",IF(INDEX('_list'!$K$2:$K$676,$R103)="","",INDEX('_list'!$K$2:$K$676,$R103)))</f>
        <v/>
      </c>
      <c r="L103" s="117">
        <f>IF($S103="","",IF(INDEX('_pockets'!$AC:$AC,$S103)="","",INDEX('_pockets'!$AC:$AC,$S103)))</f>
        <v/>
      </c>
      <c r="M103" s="116">
        <f>IF($R103="","",IF(INDEX('_list'!$L$2:$L$676,$R103)="","",INDEX('_list'!$L$2:$L$676,$R103)))</f>
        <v/>
      </c>
      <c r="N103" s="115">
        <f>IF($R103="","",IF(INDEX('_list'!$H$2:$H$676,$R103)="","",INDEX('_list'!$H$2:$H$676,$R103)))</f>
        <v/>
      </c>
      <c r="O103" s="112">
        <f>IF($R103="","",IF(INDEX('_list'!$I$2:$I$676,$R103)="","",INDEX('_list'!$I$2:$I$676,$R103)))</f>
        <v/>
      </c>
      <c r="R103">
        <f>IFERROR(MATCH(84,'_list'!$N$2:$N$676,0),"")</f>
        <v/>
      </c>
      <c r="S103">
        <f>IF($R103="","",INDEX('_list'!$C$2:$C$676,$R103))</f>
        <v/>
      </c>
    </row>
    <row r="104" ht="16" customHeight="1">
      <c r="B104" s="111">
        <f>IF($R104="","",85)</f>
        <v/>
      </c>
      <c r="C104" s="112">
        <f>IF($R104="","",IF(INDEX('_list'!$D$2:$D$676,$R104)="","",INDEX('_list'!$D$2:$D$676,$R104)))</f>
        <v/>
      </c>
      <c r="D104" s="112">
        <f>IF($R104="","",IF(INDEX('_list'!$E$2:$E$676,$R104)="","",INDEX('_list'!$E$2:$E$676,$R104)))</f>
        <v/>
      </c>
      <c r="E104" s="112">
        <f>IF($R104="","",IF(INDEX('_list'!$F$2:$F$676,$R104)="","",INDEX('_list'!$F$2:$F$676,$R104)))</f>
        <v/>
      </c>
      <c r="F104" s="113">
        <f>IF($R104="","",IF(INDEX('_list'!$G$2:$G$676,$R104)="","",INDEX('_list'!$G$2:$G$676,$R104)))</f>
        <v/>
      </c>
      <c r="G104" s="114">
        <f>IF($S104="","",IF(INDEX('_pockets'!$AH:$AH,$S104)="","",INDEX('_pockets'!$AH:$AH,$S104)))</f>
        <v/>
      </c>
      <c r="H104" s="114">
        <f>IF($S104="","",IF(INDEX('_pockets'!$AF:$AF,$S104)="","",INDEX('_pockets'!$AF:$AF,$S104)))</f>
        <v/>
      </c>
      <c r="I104" s="115">
        <f>IF(IF($S104="","",IF(INDEX('_pockets'!$AB:$AB,$S104)="","",INDEX('_pockets'!$AB:$AB,$S104)))="","",IF($S104="","",IF(INDEX('_pockets'!$AB:$AB,$S104)="","",INDEX('_pockets'!$AB:$AB,$S104)))*IF($U$18,100,1))</f>
        <v/>
      </c>
      <c r="J104" s="113">
        <f>IF($S104="","",IF(INDEX('_pockets'!$Z:$Z,$S104)="","",INDEX('_pockets'!$Z:$Z,$S104)))</f>
        <v/>
      </c>
      <c r="K104" s="116">
        <f>IF($R104="","",IF(INDEX('_list'!$K$2:$K$676,$R104)="","",INDEX('_list'!$K$2:$K$676,$R104)))</f>
        <v/>
      </c>
      <c r="L104" s="117">
        <f>IF($S104="","",IF(INDEX('_pockets'!$AC:$AC,$S104)="","",INDEX('_pockets'!$AC:$AC,$S104)))</f>
        <v/>
      </c>
      <c r="M104" s="116">
        <f>IF($R104="","",IF(INDEX('_list'!$L$2:$L$676,$R104)="","",INDEX('_list'!$L$2:$L$676,$R104)))</f>
        <v/>
      </c>
      <c r="N104" s="115">
        <f>IF($R104="","",IF(INDEX('_list'!$H$2:$H$676,$R104)="","",INDEX('_list'!$H$2:$H$676,$R104)))</f>
        <v/>
      </c>
      <c r="O104" s="112">
        <f>IF($R104="","",IF(INDEX('_list'!$I$2:$I$676,$R104)="","",INDEX('_list'!$I$2:$I$676,$R104)))</f>
        <v/>
      </c>
      <c r="R104">
        <f>IFERROR(MATCH(85,'_list'!$N$2:$N$676,0),"")</f>
        <v/>
      </c>
      <c r="S104">
        <f>IF($R104="","",INDEX('_list'!$C$2:$C$676,$R104))</f>
        <v/>
      </c>
    </row>
    <row r="105" ht="16" customHeight="1">
      <c r="B105" s="111">
        <f>IF($R105="","",86)</f>
        <v/>
      </c>
      <c r="C105" s="112">
        <f>IF($R105="","",IF(INDEX('_list'!$D$2:$D$676,$R105)="","",INDEX('_list'!$D$2:$D$676,$R105)))</f>
        <v/>
      </c>
      <c r="D105" s="112">
        <f>IF($R105="","",IF(INDEX('_list'!$E$2:$E$676,$R105)="","",INDEX('_list'!$E$2:$E$676,$R105)))</f>
        <v/>
      </c>
      <c r="E105" s="112">
        <f>IF($R105="","",IF(INDEX('_list'!$F$2:$F$676,$R105)="","",INDEX('_list'!$F$2:$F$676,$R105)))</f>
        <v/>
      </c>
      <c r="F105" s="113">
        <f>IF($R105="","",IF(INDEX('_list'!$G$2:$G$676,$R105)="","",INDEX('_list'!$G$2:$G$676,$R105)))</f>
        <v/>
      </c>
      <c r="G105" s="114">
        <f>IF($S105="","",IF(INDEX('_pockets'!$AH:$AH,$S105)="","",INDEX('_pockets'!$AH:$AH,$S105)))</f>
        <v/>
      </c>
      <c r="H105" s="114">
        <f>IF($S105="","",IF(INDEX('_pockets'!$AF:$AF,$S105)="","",INDEX('_pockets'!$AF:$AF,$S105)))</f>
        <v/>
      </c>
      <c r="I105" s="115">
        <f>IF(IF($S105="","",IF(INDEX('_pockets'!$AB:$AB,$S105)="","",INDEX('_pockets'!$AB:$AB,$S105)))="","",IF($S105="","",IF(INDEX('_pockets'!$AB:$AB,$S105)="","",INDEX('_pockets'!$AB:$AB,$S105)))*IF($U$18,100,1))</f>
        <v/>
      </c>
      <c r="J105" s="113">
        <f>IF($S105="","",IF(INDEX('_pockets'!$Z:$Z,$S105)="","",INDEX('_pockets'!$Z:$Z,$S105)))</f>
        <v/>
      </c>
      <c r="K105" s="116">
        <f>IF($R105="","",IF(INDEX('_list'!$K$2:$K$676,$R105)="","",INDEX('_list'!$K$2:$K$676,$R105)))</f>
        <v/>
      </c>
      <c r="L105" s="117">
        <f>IF($S105="","",IF(INDEX('_pockets'!$AC:$AC,$S105)="","",INDEX('_pockets'!$AC:$AC,$S105)))</f>
        <v/>
      </c>
      <c r="M105" s="116">
        <f>IF($R105="","",IF(INDEX('_list'!$L$2:$L$676,$R105)="","",INDEX('_list'!$L$2:$L$676,$R105)))</f>
        <v/>
      </c>
      <c r="N105" s="115">
        <f>IF($R105="","",IF(INDEX('_list'!$H$2:$H$676,$R105)="","",INDEX('_list'!$H$2:$H$676,$R105)))</f>
        <v/>
      </c>
      <c r="O105" s="112">
        <f>IF($R105="","",IF(INDEX('_list'!$I$2:$I$676,$R105)="","",INDEX('_list'!$I$2:$I$676,$R105)))</f>
        <v/>
      </c>
      <c r="R105">
        <f>IFERROR(MATCH(86,'_list'!$N$2:$N$676,0),"")</f>
        <v/>
      </c>
      <c r="S105">
        <f>IF($R105="","",INDEX('_list'!$C$2:$C$676,$R105))</f>
        <v/>
      </c>
    </row>
    <row r="106" ht="16" customHeight="1">
      <c r="B106" s="111">
        <f>IF($R106="","",87)</f>
        <v/>
      </c>
      <c r="C106" s="112">
        <f>IF($R106="","",IF(INDEX('_list'!$D$2:$D$676,$R106)="","",INDEX('_list'!$D$2:$D$676,$R106)))</f>
        <v/>
      </c>
      <c r="D106" s="112">
        <f>IF($R106="","",IF(INDEX('_list'!$E$2:$E$676,$R106)="","",INDEX('_list'!$E$2:$E$676,$R106)))</f>
        <v/>
      </c>
      <c r="E106" s="112">
        <f>IF($R106="","",IF(INDEX('_list'!$F$2:$F$676,$R106)="","",INDEX('_list'!$F$2:$F$676,$R106)))</f>
        <v/>
      </c>
      <c r="F106" s="113">
        <f>IF($R106="","",IF(INDEX('_list'!$G$2:$G$676,$R106)="","",INDEX('_list'!$G$2:$G$676,$R106)))</f>
        <v/>
      </c>
      <c r="G106" s="114">
        <f>IF($S106="","",IF(INDEX('_pockets'!$AH:$AH,$S106)="","",INDEX('_pockets'!$AH:$AH,$S106)))</f>
        <v/>
      </c>
      <c r="H106" s="114">
        <f>IF($S106="","",IF(INDEX('_pockets'!$AF:$AF,$S106)="","",INDEX('_pockets'!$AF:$AF,$S106)))</f>
        <v/>
      </c>
      <c r="I106" s="115">
        <f>IF(IF($S106="","",IF(INDEX('_pockets'!$AB:$AB,$S106)="","",INDEX('_pockets'!$AB:$AB,$S106)))="","",IF($S106="","",IF(INDEX('_pockets'!$AB:$AB,$S106)="","",INDEX('_pockets'!$AB:$AB,$S106)))*IF($U$18,100,1))</f>
        <v/>
      </c>
      <c r="J106" s="113">
        <f>IF($S106="","",IF(INDEX('_pockets'!$Z:$Z,$S106)="","",INDEX('_pockets'!$Z:$Z,$S106)))</f>
        <v/>
      </c>
      <c r="K106" s="116">
        <f>IF($R106="","",IF(INDEX('_list'!$K$2:$K$676,$R106)="","",INDEX('_list'!$K$2:$K$676,$R106)))</f>
        <v/>
      </c>
      <c r="L106" s="117">
        <f>IF($S106="","",IF(INDEX('_pockets'!$AC:$AC,$S106)="","",INDEX('_pockets'!$AC:$AC,$S106)))</f>
        <v/>
      </c>
      <c r="M106" s="116">
        <f>IF($R106="","",IF(INDEX('_list'!$L$2:$L$676,$R106)="","",INDEX('_list'!$L$2:$L$676,$R106)))</f>
        <v/>
      </c>
      <c r="N106" s="115">
        <f>IF($R106="","",IF(INDEX('_list'!$H$2:$H$676,$R106)="","",INDEX('_list'!$H$2:$H$676,$R106)))</f>
        <v/>
      </c>
      <c r="O106" s="112">
        <f>IF($R106="","",IF(INDEX('_list'!$I$2:$I$676,$R106)="","",INDEX('_list'!$I$2:$I$676,$R106)))</f>
        <v/>
      </c>
      <c r="R106">
        <f>IFERROR(MATCH(87,'_list'!$N$2:$N$676,0),"")</f>
        <v/>
      </c>
      <c r="S106">
        <f>IF($R106="","",INDEX('_list'!$C$2:$C$676,$R106))</f>
        <v/>
      </c>
    </row>
    <row r="107" ht="16" customHeight="1">
      <c r="B107" s="111">
        <f>IF($R107="","",88)</f>
        <v/>
      </c>
      <c r="C107" s="112">
        <f>IF($R107="","",IF(INDEX('_list'!$D$2:$D$676,$R107)="","",INDEX('_list'!$D$2:$D$676,$R107)))</f>
        <v/>
      </c>
      <c r="D107" s="112">
        <f>IF($R107="","",IF(INDEX('_list'!$E$2:$E$676,$R107)="","",INDEX('_list'!$E$2:$E$676,$R107)))</f>
        <v/>
      </c>
      <c r="E107" s="112">
        <f>IF($R107="","",IF(INDEX('_list'!$F$2:$F$676,$R107)="","",INDEX('_list'!$F$2:$F$676,$R107)))</f>
        <v/>
      </c>
      <c r="F107" s="113">
        <f>IF($R107="","",IF(INDEX('_list'!$G$2:$G$676,$R107)="","",INDEX('_list'!$G$2:$G$676,$R107)))</f>
        <v/>
      </c>
      <c r="G107" s="114">
        <f>IF($S107="","",IF(INDEX('_pockets'!$AH:$AH,$S107)="","",INDEX('_pockets'!$AH:$AH,$S107)))</f>
        <v/>
      </c>
      <c r="H107" s="114">
        <f>IF($S107="","",IF(INDEX('_pockets'!$AF:$AF,$S107)="","",INDEX('_pockets'!$AF:$AF,$S107)))</f>
        <v/>
      </c>
      <c r="I107" s="115">
        <f>IF(IF($S107="","",IF(INDEX('_pockets'!$AB:$AB,$S107)="","",INDEX('_pockets'!$AB:$AB,$S107)))="","",IF($S107="","",IF(INDEX('_pockets'!$AB:$AB,$S107)="","",INDEX('_pockets'!$AB:$AB,$S107)))*IF($U$18,100,1))</f>
        <v/>
      </c>
      <c r="J107" s="113">
        <f>IF($S107="","",IF(INDEX('_pockets'!$Z:$Z,$S107)="","",INDEX('_pockets'!$Z:$Z,$S107)))</f>
        <v/>
      </c>
      <c r="K107" s="116">
        <f>IF($R107="","",IF(INDEX('_list'!$K$2:$K$676,$R107)="","",INDEX('_list'!$K$2:$K$676,$R107)))</f>
        <v/>
      </c>
      <c r="L107" s="117">
        <f>IF($S107="","",IF(INDEX('_pockets'!$AC:$AC,$S107)="","",INDEX('_pockets'!$AC:$AC,$S107)))</f>
        <v/>
      </c>
      <c r="M107" s="116">
        <f>IF($R107="","",IF(INDEX('_list'!$L$2:$L$676,$R107)="","",INDEX('_list'!$L$2:$L$676,$R107)))</f>
        <v/>
      </c>
      <c r="N107" s="115">
        <f>IF($R107="","",IF(INDEX('_list'!$H$2:$H$676,$R107)="","",INDEX('_list'!$H$2:$H$676,$R107)))</f>
        <v/>
      </c>
      <c r="O107" s="112">
        <f>IF($R107="","",IF(INDEX('_list'!$I$2:$I$676,$R107)="","",INDEX('_list'!$I$2:$I$676,$R107)))</f>
        <v/>
      </c>
      <c r="R107">
        <f>IFERROR(MATCH(88,'_list'!$N$2:$N$676,0),"")</f>
        <v/>
      </c>
      <c r="S107">
        <f>IF($R107="","",INDEX('_list'!$C$2:$C$676,$R107))</f>
        <v/>
      </c>
    </row>
    <row r="108" ht="16" customHeight="1">
      <c r="B108" s="111">
        <f>IF($R108="","",89)</f>
        <v/>
      </c>
      <c r="C108" s="112">
        <f>IF($R108="","",IF(INDEX('_list'!$D$2:$D$676,$R108)="","",INDEX('_list'!$D$2:$D$676,$R108)))</f>
        <v/>
      </c>
      <c r="D108" s="112">
        <f>IF($R108="","",IF(INDEX('_list'!$E$2:$E$676,$R108)="","",INDEX('_list'!$E$2:$E$676,$R108)))</f>
        <v/>
      </c>
      <c r="E108" s="112">
        <f>IF($R108="","",IF(INDEX('_list'!$F$2:$F$676,$R108)="","",INDEX('_list'!$F$2:$F$676,$R108)))</f>
        <v/>
      </c>
      <c r="F108" s="113">
        <f>IF($R108="","",IF(INDEX('_list'!$G$2:$G$676,$R108)="","",INDEX('_list'!$G$2:$G$676,$R108)))</f>
        <v/>
      </c>
      <c r="G108" s="114">
        <f>IF($S108="","",IF(INDEX('_pockets'!$AH:$AH,$S108)="","",INDEX('_pockets'!$AH:$AH,$S108)))</f>
        <v/>
      </c>
      <c r="H108" s="114">
        <f>IF($S108="","",IF(INDEX('_pockets'!$AF:$AF,$S108)="","",INDEX('_pockets'!$AF:$AF,$S108)))</f>
        <v/>
      </c>
      <c r="I108" s="115">
        <f>IF(IF($S108="","",IF(INDEX('_pockets'!$AB:$AB,$S108)="","",INDEX('_pockets'!$AB:$AB,$S108)))="","",IF($S108="","",IF(INDEX('_pockets'!$AB:$AB,$S108)="","",INDEX('_pockets'!$AB:$AB,$S108)))*IF($U$18,100,1))</f>
        <v/>
      </c>
      <c r="J108" s="113">
        <f>IF($S108="","",IF(INDEX('_pockets'!$Z:$Z,$S108)="","",INDEX('_pockets'!$Z:$Z,$S108)))</f>
        <v/>
      </c>
      <c r="K108" s="116">
        <f>IF($R108="","",IF(INDEX('_list'!$K$2:$K$676,$R108)="","",INDEX('_list'!$K$2:$K$676,$R108)))</f>
        <v/>
      </c>
      <c r="L108" s="117">
        <f>IF($S108="","",IF(INDEX('_pockets'!$AC:$AC,$S108)="","",INDEX('_pockets'!$AC:$AC,$S108)))</f>
        <v/>
      </c>
      <c r="M108" s="116">
        <f>IF($R108="","",IF(INDEX('_list'!$L$2:$L$676,$R108)="","",INDEX('_list'!$L$2:$L$676,$R108)))</f>
        <v/>
      </c>
      <c r="N108" s="115">
        <f>IF($R108="","",IF(INDEX('_list'!$H$2:$H$676,$R108)="","",INDEX('_list'!$H$2:$H$676,$R108)))</f>
        <v/>
      </c>
      <c r="O108" s="112">
        <f>IF($R108="","",IF(INDEX('_list'!$I$2:$I$676,$R108)="","",INDEX('_list'!$I$2:$I$676,$R108)))</f>
        <v/>
      </c>
      <c r="R108">
        <f>IFERROR(MATCH(89,'_list'!$N$2:$N$676,0),"")</f>
        <v/>
      </c>
      <c r="S108">
        <f>IF($R108="","",INDEX('_list'!$C$2:$C$676,$R108))</f>
        <v/>
      </c>
    </row>
    <row r="109" ht="16" customHeight="1">
      <c r="B109" s="111">
        <f>IF($R109="","",90)</f>
        <v/>
      </c>
      <c r="C109" s="112">
        <f>IF($R109="","",IF(INDEX('_list'!$D$2:$D$676,$R109)="","",INDEX('_list'!$D$2:$D$676,$R109)))</f>
        <v/>
      </c>
      <c r="D109" s="112">
        <f>IF($R109="","",IF(INDEX('_list'!$E$2:$E$676,$R109)="","",INDEX('_list'!$E$2:$E$676,$R109)))</f>
        <v/>
      </c>
      <c r="E109" s="112">
        <f>IF($R109="","",IF(INDEX('_list'!$F$2:$F$676,$R109)="","",INDEX('_list'!$F$2:$F$676,$R109)))</f>
        <v/>
      </c>
      <c r="F109" s="113">
        <f>IF($R109="","",IF(INDEX('_list'!$G$2:$G$676,$R109)="","",INDEX('_list'!$G$2:$G$676,$R109)))</f>
        <v/>
      </c>
      <c r="G109" s="114">
        <f>IF($S109="","",IF(INDEX('_pockets'!$AH:$AH,$S109)="","",INDEX('_pockets'!$AH:$AH,$S109)))</f>
        <v/>
      </c>
      <c r="H109" s="114">
        <f>IF($S109="","",IF(INDEX('_pockets'!$AF:$AF,$S109)="","",INDEX('_pockets'!$AF:$AF,$S109)))</f>
        <v/>
      </c>
      <c r="I109" s="115">
        <f>IF(IF($S109="","",IF(INDEX('_pockets'!$AB:$AB,$S109)="","",INDEX('_pockets'!$AB:$AB,$S109)))="","",IF($S109="","",IF(INDEX('_pockets'!$AB:$AB,$S109)="","",INDEX('_pockets'!$AB:$AB,$S109)))*IF($U$18,100,1))</f>
        <v/>
      </c>
      <c r="J109" s="113">
        <f>IF($S109="","",IF(INDEX('_pockets'!$Z:$Z,$S109)="","",INDEX('_pockets'!$Z:$Z,$S109)))</f>
        <v/>
      </c>
      <c r="K109" s="116">
        <f>IF($R109="","",IF(INDEX('_list'!$K$2:$K$676,$R109)="","",INDEX('_list'!$K$2:$K$676,$R109)))</f>
        <v/>
      </c>
      <c r="L109" s="117">
        <f>IF($S109="","",IF(INDEX('_pockets'!$AC:$AC,$S109)="","",INDEX('_pockets'!$AC:$AC,$S109)))</f>
        <v/>
      </c>
      <c r="M109" s="116">
        <f>IF($R109="","",IF(INDEX('_list'!$L$2:$L$676,$R109)="","",INDEX('_list'!$L$2:$L$676,$R109)))</f>
        <v/>
      </c>
      <c r="N109" s="115">
        <f>IF($R109="","",IF(INDEX('_list'!$H$2:$H$676,$R109)="","",INDEX('_list'!$H$2:$H$676,$R109)))</f>
        <v/>
      </c>
      <c r="O109" s="112">
        <f>IF($R109="","",IF(INDEX('_list'!$I$2:$I$676,$R109)="","",INDEX('_list'!$I$2:$I$676,$R109)))</f>
        <v/>
      </c>
      <c r="R109">
        <f>IFERROR(MATCH(90,'_list'!$N$2:$N$676,0),"")</f>
        <v/>
      </c>
      <c r="S109">
        <f>IF($R109="","",INDEX('_list'!$C$2:$C$676,$R109))</f>
        <v/>
      </c>
    </row>
    <row r="110" ht="16" customHeight="1">
      <c r="B110" s="111">
        <f>IF($R110="","",91)</f>
        <v/>
      </c>
      <c r="C110" s="112">
        <f>IF($R110="","",IF(INDEX('_list'!$D$2:$D$676,$R110)="","",INDEX('_list'!$D$2:$D$676,$R110)))</f>
        <v/>
      </c>
      <c r="D110" s="112">
        <f>IF($R110="","",IF(INDEX('_list'!$E$2:$E$676,$R110)="","",INDEX('_list'!$E$2:$E$676,$R110)))</f>
        <v/>
      </c>
      <c r="E110" s="112">
        <f>IF($R110="","",IF(INDEX('_list'!$F$2:$F$676,$R110)="","",INDEX('_list'!$F$2:$F$676,$R110)))</f>
        <v/>
      </c>
      <c r="F110" s="113">
        <f>IF($R110="","",IF(INDEX('_list'!$G$2:$G$676,$R110)="","",INDEX('_list'!$G$2:$G$676,$R110)))</f>
        <v/>
      </c>
      <c r="G110" s="114">
        <f>IF($S110="","",IF(INDEX('_pockets'!$AH:$AH,$S110)="","",INDEX('_pockets'!$AH:$AH,$S110)))</f>
        <v/>
      </c>
      <c r="H110" s="114">
        <f>IF($S110="","",IF(INDEX('_pockets'!$AF:$AF,$S110)="","",INDEX('_pockets'!$AF:$AF,$S110)))</f>
        <v/>
      </c>
      <c r="I110" s="115">
        <f>IF(IF($S110="","",IF(INDEX('_pockets'!$AB:$AB,$S110)="","",INDEX('_pockets'!$AB:$AB,$S110)))="","",IF($S110="","",IF(INDEX('_pockets'!$AB:$AB,$S110)="","",INDEX('_pockets'!$AB:$AB,$S110)))*IF($U$18,100,1))</f>
        <v/>
      </c>
      <c r="J110" s="113">
        <f>IF($S110="","",IF(INDEX('_pockets'!$Z:$Z,$S110)="","",INDEX('_pockets'!$Z:$Z,$S110)))</f>
        <v/>
      </c>
      <c r="K110" s="116">
        <f>IF($R110="","",IF(INDEX('_list'!$K$2:$K$676,$R110)="","",INDEX('_list'!$K$2:$K$676,$R110)))</f>
        <v/>
      </c>
      <c r="L110" s="117">
        <f>IF($S110="","",IF(INDEX('_pockets'!$AC:$AC,$S110)="","",INDEX('_pockets'!$AC:$AC,$S110)))</f>
        <v/>
      </c>
      <c r="M110" s="116">
        <f>IF($R110="","",IF(INDEX('_list'!$L$2:$L$676,$R110)="","",INDEX('_list'!$L$2:$L$676,$R110)))</f>
        <v/>
      </c>
      <c r="N110" s="115">
        <f>IF($R110="","",IF(INDEX('_list'!$H$2:$H$676,$R110)="","",INDEX('_list'!$H$2:$H$676,$R110)))</f>
        <v/>
      </c>
      <c r="O110" s="112">
        <f>IF($R110="","",IF(INDEX('_list'!$I$2:$I$676,$R110)="","",INDEX('_list'!$I$2:$I$676,$R110)))</f>
        <v/>
      </c>
      <c r="R110">
        <f>IFERROR(MATCH(91,'_list'!$N$2:$N$676,0),"")</f>
        <v/>
      </c>
      <c r="S110">
        <f>IF($R110="","",INDEX('_list'!$C$2:$C$676,$R110))</f>
        <v/>
      </c>
    </row>
    <row r="111" ht="16" customHeight="1">
      <c r="B111" s="111">
        <f>IF($R111="","",92)</f>
        <v/>
      </c>
      <c r="C111" s="112">
        <f>IF($R111="","",IF(INDEX('_list'!$D$2:$D$676,$R111)="","",INDEX('_list'!$D$2:$D$676,$R111)))</f>
        <v/>
      </c>
      <c r="D111" s="112">
        <f>IF($R111="","",IF(INDEX('_list'!$E$2:$E$676,$R111)="","",INDEX('_list'!$E$2:$E$676,$R111)))</f>
        <v/>
      </c>
      <c r="E111" s="112">
        <f>IF($R111="","",IF(INDEX('_list'!$F$2:$F$676,$R111)="","",INDEX('_list'!$F$2:$F$676,$R111)))</f>
        <v/>
      </c>
      <c r="F111" s="113">
        <f>IF($R111="","",IF(INDEX('_list'!$G$2:$G$676,$R111)="","",INDEX('_list'!$G$2:$G$676,$R111)))</f>
        <v/>
      </c>
      <c r="G111" s="114">
        <f>IF($S111="","",IF(INDEX('_pockets'!$AH:$AH,$S111)="","",INDEX('_pockets'!$AH:$AH,$S111)))</f>
        <v/>
      </c>
      <c r="H111" s="114">
        <f>IF($S111="","",IF(INDEX('_pockets'!$AF:$AF,$S111)="","",INDEX('_pockets'!$AF:$AF,$S111)))</f>
        <v/>
      </c>
      <c r="I111" s="115">
        <f>IF(IF($S111="","",IF(INDEX('_pockets'!$AB:$AB,$S111)="","",INDEX('_pockets'!$AB:$AB,$S111)))="","",IF($S111="","",IF(INDEX('_pockets'!$AB:$AB,$S111)="","",INDEX('_pockets'!$AB:$AB,$S111)))*IF($U$18,100,1))</f>
        <v/>
      </c>
      <c r="J111" s="113">
        <f>IF($S111="","",IF(INDEX('_pockets'!$Z:$Z,$S111)="","",INDEX('_pockets'!$Z:$Z,$S111)))</f>
        <v/>
      </c>
      <c r="K111" s="116">
        <f>IF($R111="","",IF(INDEX('_list'!$K$2:$K$676,$R111)="","",INDEX('_list'!$K$2:$K$676,$R111)))</f>
        <v/>
      </c>
      <c r="L111" s="117">
        <f>IF($S111="","",IF(INDEX('_pockets'!$AC:$AC,$S111)="","",INDEX('_pockets'!$AC:$AC,$S111)))</f>
        <v/>
      </c>
      <c r="M111" s="116">
        <f>IF($R111="","",IF(INDEX('_list'!$L$2:$L$676,$R111)="","",INDEX('_list'!$L$2:$L$676,$R111)))</f>
        <v/>
      </c>
      <c r="N111" s="115">
        <f>IF($R111="","",IF(INDEX('_list'!$H$2:$H$676,$R111)="","",INDEX('_list'!$H$2:$H$676,$R111)))</f>
        <v/>
      </c>
      <c r="O111" s="112">
        <f>IF($R111="","",IF(INDEX('_list'!$I$2:$I$676,$R111)="","",INDEX('_list'!$I$2:$I$676,$R111)))</f>
        <v/>
      </c>
      <c r="R111">
        <f>IFERROR(MATCH(92,'_list'!$N$2:$N$676,0),"")</f>
        <v/>
      </c>
      <c r="S111">
        <f>IF($R111="","",INDEX('_list'!$C$2:$C$676,$R111))</f>
        <v/>
      </c>
    </row>
    <row r="112" ht="16" customHeight="1">
      <c r="B112" s="111">
        <f>IF($R112="","",93)</f>
        <v/>
      </c>
      <c r="C112" s="112">
        <f>IF($R112="","",IF(INDEX('_list'!$D$2:$D$676,$R112)="","",INDEX('_list'!$D$2:$D$676,$R112)))</f>
        <v/>
      </c>
      <c r="D112" s="112">
        <f>IF($R112="","",IF(INDEX('_list'!$E$2:$E$676,$R112)="","",INDEX('_list'!$E$2:$E$676,$R112)))</f>
        <v/>
      </c>
      <c r="E112" s="112">
        <f>IF($R112="","",IF(INDEX('_list'!$F$2:$F$676,$R112)="","",INDEX('_list'!$F$2:$F$676,$R112)))</f>
        <v/>
      </c>
      <c r="F112" s="113">
        <f>IF($R112="","",IF(INDEX('_list'!$G$2:$G$676,$R112)="","",INDEX('_list'!$G$2:$G$676,$R112)))</f>
        <v/>
      </c>
      <c r="G112" s="114">
        <f>IF($S112="","",IF(INDEX('_pockets'!$AH:$AH,$S112)="","",INDEX('_pockets'!$AH:$AH,$S112)))</f>
        <v/>
      </c>
      <c r="H112" s="114">
        <f>IF($S112="","",IF(INDEX('_pockets'!$AF:$AF,$S112)="","",INDEX('_pockets'!$AF:$AF,$S112)))</f>
        <v/>
      </c>
      <c r="I112" s="115">
        <f>IF(IF($S112="","",IF(INDEX('_pockets'!$AB:$AB,$S112)="","",INDEX('_pockets'!$AB:$AB,$S112)))="","",IF($S112="","",IF(INDEX('_pockets'!$AB:$AB,$S112)="","",INDEX('_pockets'!$AB:$AB,$S112)))*IF($U$18,100,1))</f>
        <v/>
      </c>
      <c r="J112" s="113">
        <f>IF($S112="","",IF(INDEX('_pockets'!$Z:$Z,$S112)="","",INDEX('_pockets'!$Z:$Z,$S112)))</f>
        <v/>
      </c>
      <c r="K112" s="116">
        <f>IF($R112="","",IF(INDEX('_list'!$K$2:$K$676,$R112)="","",INDEX('_list'!$K$2:$K$676,$R112)))</f>
        <v/>
      </c>
      <c r="L112" s="117">
        <f>IF($S112="","",IF(INDEX('_pockets'!$AC:$AC,$S112)="","",INDEX('_pockets'!$AC:$AC,$S112)))</f>
        <v/>
      </c>
      <c r="M112" s="116">
        <f>IF($R112="","",IF(INDEX('_list'!$L$2:$L$676,$R112)="","",INDEX('_list'!$L$2:$L$676,$R112)))</f>
        <v/>
      </c>
      <c r="N112" s="115">
        <f>IF($R112="","",IF(INDEX('_list'!$H$2:$H$676,$R112)="","",INDEX('_list'!$H$2:$H$676,$R112)))</f>
        <v/>
      </c>
      <c r="O112" s="112">
        <f>IF($R112="","",IF(INDEX('_list'!$I$2:$I$676,$R112)="","",INDEX('_list'!$I$2:$I$676,$R112)))</f>
        <v/>
      </c>
      <c r="R112">
        <f>IFERROR(MATCH(93,'_list'!$N$2:$N$676,0),"")</f>
        <v/>
      </c>
      <c r="S112">
        <f>IF($R112="","",INDEX('_list'!$C$2:$C$676,$R112))</f>
        <v/>
      </c>
    </row>
    <row r="113" ht="16" customHeight="1">
      <c r="B113" s="111">
        <f>IF($R113="","",94)</f>
        <v/>
      </c>
      <c r="C113" s="112">
        <f>IF($R113="","",IF(INDEX('_list'!$D$2:$D$676,$R113)="","",INDEX('_list'!$D$2:$D$676,$R113)))</f>
        <v/>
      </c>
      <c r="D113" s="112">
        <f>IF($R113="","",IF(INDEX('_list'!$E$2:$E$676,$R113)="","",INDEX('_list'!$E$2:$E$676,$R113)))</f>
        <v/>
      </c>
      <c r="E113" s="112">
        <f>IF($R113="","",IF(INDEX('_list'!$F$2:$F$676,$R113)="","",INDEX('_list'!$F$2:$F$676,$R113)))</f>
        <v/>
      </c>
      <c r="F113" s="113">
        <f>IF($R113="","",IF(INDEX('_list'!$G$2:$G$676,$R113)="","",INDEX('_list'!$G$2:$G$676,$R113)))</f>
        <v/>
      </c>
      <c r="G113" s="114">
        <f>IF($S113="","",IF(INDEX('_pockets'!$AH:$AH,$S113)="","",INDEX('_pockets'!$AH:$AH,$S113)))</f>
        <v/>
      </c>
      <c r="H113" s="114">
        <f>IF($S113="","",IF(INDEX('_pockets'!$AF:$AF,$S113)="","",INDEX('_pockets'!$AF:$AF,$S113)))</f>
        <v/>
      </c>
      <c r="I113" s="115">
        <f>IF(IF($S113="","",IF(INDEX('_pockets'!$AB:$AB,$S113)="","",INDEX('_pockets'!$AB:$AB,$S113)))="","",IF($S113="","",IF(INDEX('_pockets'!$AB:$AB,$S113)="","",INDEX('_pockets'!$AB:$AB,$S113)))*IF($U$18,100,1))</f>
        <v/>
      </c>
      <c r="J113" s="113">
        <f>IF($S113="","",IF(INDEX('_pockets'!$Z:$Z,$S113)="","",INDEX('_pockets'!$Z:$Z,$S113)))</f>
        <v/>
      </c>
      <c r="K113" s="116">
        <f>IF($R113="","",IF(INDEX('_list'!$K$2:$K$676,$R113)="","",INDEX('_list'!$K$2:$K$676,$R113)))</f>
        <v/>
      </c>
      <c r="L113" s="117">
        <f>IF($S113="","",IF(INDEX('_pockets'!$AC:$AC,$S113)="","",INDEX('_pockets'!$AC:$AC,$S113)))</f>
        <v/>
      </c>
      <c r="M113" s="116">
        <f>IF($R113="","",IF(INDEX('_list'!$L$2:$L$676,$R113)="","",INDEX('_list'!$L$2:$L$676,$R113)))</f>
        <v/>
      </c>
      <c r="N113" s="115">
        <f>IF($R113="","",IF(INDEX('_list'!$H$2:$H$676,$R113)="","",INDEX('_list'!$H$2:$H$676,$R113)))</f>
        <v/>
      </c>
      <c r="O113" s="112">
        <f>IF($R113="","",IF(INDEX('_list'!$I$2:$I$676,$R113)="","",INDEX('_list'!$I$2:$I$676,$R113)))</f>
        <v/>
      </c>
      <c r="R113">
        <f>IFERROR(MATCH(94,'_list'!$N$2:$N$676,0),"")</f>
        <v/>
      </c>
      <c r="S113">
        <f>IF($R113="","",INDEX('_list'!$C$2:$C$676,$R113))</f>
        <v/>
      </c>
    </row>
    <row r="114" ht="16" customHeight="1">
      <c r="B114" s="111">
        <f>IF($R114="","",95)</f>
        <v/>
      </c>
      <c r="C114" s="112">
        <f>IF($R114="","",IF(INDEX('_list'!$D$2:$D$676,$R114)="","",INDEX('_list'!$D$2:$D$676,$R114)))</f>
        <v/>
      </c>
      <c r="D114" s="112">
        <f>IF($R114="","",IF(INDEX('_list'!$E$2:$E$676,$R114)="","",INDEX('_list'!$E$2:$E$676,$R114)))</f>
        <v/>
      </c>
      <c r="E114" s="112">
        <f>IF($R114="","",IF(INDEX('_list'!$F$2:$F$676,$R114)="","",INDEX('_list'!$F$2:$F$676,$R114)))</f>
        <v/>
      </c>
      <c r="F114" s="113">
        <f>IF($R114="","",IF(INDEX('_list'!$G$2:$G$676,$R114)="","",INDEX('_list'!$G$2:$G$676,$R114)))</f>
        <v/>
      </c>
      <c r="G114" s="114">
        <f>IF($S114="","",IF(INDEX('_pockets'!$AH:$AH,$S114)="","",INDEX('_pockets'!$AH:$AH,$S114)))</f>
        <v/>
      </c>
      <c r="H114" s="114">
        <f>IF($S114="","",IF(INDEX('_pockets'!$AF:$AF,$S114)="","",INDEX('_pockets'!$AF:$AF,$S114)))</f>
        <v/>
      </c>
      <c r="I114" s="115">
        <f>IF(IF($S114="","",IF(INDEX('_pockets'!$AB:$AB,$S114)="","",INDEX('_pockets'!$AB:$AB,$S114)))="","",IF($S114="","",IF(INDEX('_pockets'!$AB:$AB,$S114)="","",INDEX('_pockets'!$AB:$AB,$S114)))*IF($U$18,100,1))</f>
        <v/>
      </c>
      <c r="J114" s="113">
        <f>IF($S114="","",IF(INDEX('_pockets'!$Z:$Z,$S114)="","",INDEX('_pockets'!$Z:$Z,$S114)))</f>
        <v/>
      </c>
      <c r="K114" s="116">
        <f>IF($R114="","",IF(INDEX('_list'!$K$2:$K$676,$R114)="","",INDEX('_list'!$K$2:$K$676,$R114)))</f>
        <v/>
      </c>
      <c r="L114" s="117">
        <f>IF($S114="","",IF(INDEX('_pockets'!$AC:$AC,$S114)="","",INDEX('_pockets'!$AC:$AC,$S114)))</f>
        <v/>
      </c>
      <c r="M114" s="116">
        <f>IF($R114="","",IF(INDEX('_list'!$L$2:$L$676,$R114)="","",INDEX('_list'!$L$2:$L$676,$R114)))</f>
        <v/>
      </c>
      <c r="N114" s="115">
        <f>IF($R114="","",IF(INDEX('_list'!$H$2:$H$676,$R114)="","",INDEX('_list'!$H$2:$H$676,$R114)))</f>
        <v/>
      </c>
      <c r="O114" s="112">
        <f>IF($R114="","",IF(INDEX('_list'!$I$2:$I$676,$R114)="","",INDEX('_list'!$I$2:$I$676,$R114)))</f>
        <v/>
      </c>
      <c r="R114">
        <f>IFERROR(MATCH(95,'_list'!$N$2:$N$676,0),"")</f>
        <v/>
      </c>
      <c r="S114">
        <f>IF($R114="","",INDEX('_list'!$C$2:$C$676,$R114))</f>
        <v/>
      </c>
    </row>
    <row r="115" ht="16" customHeight="1">
      <c r="B115" s="111">
        <f>IF($R115="","",96)</f>
        <v/>
      </c>
      <c r="C115" s="112">
        <f>IF($R115="","",IF(INDEX('_list'!$D$2:$D$676,$R115)="","",INDEX('_list'!$D$2:$D$676,$R115)))</f>
        <v/>
      </c>
      <c r="D115" s="112">
        <f>IF($R115="","",IF(INDEX('_list'!$E$2:$E$676,$R115)="","",INDEX('_list'!$E$2:$E$676,$R115)))</f>
        <v/>
      </c>
      <c r="E115" s="112">
        <f>IF($R115="","",IF(INDEX('_list'!$F$2:$F$676,$R115)="","",INDEX('_list'!$F$2:$F$676,$R115)))</f>
        <v/>
      </c>
      <c r="F115" s="113">
        <f>IF($R115="","",IF(INDEX('_list'!$G$2:$G$676,$R115)="","",INDEX('_list'!$G$2:$G$676,$R115)))</f>
        <v/>
      </c>
      <c r="G115" s="114">
        <f>IF($S115="","",IF(INDEX('_pockets'!$AH:$AH,$S115)="","",INDEX('_pockets'!$AH:$AH,$S115)))</f>
        <v/>
      </c>
      <c r="H115" s="114">
        <f>IF($S115="","",IF(INDEX('_pockets'!$AF:$AF,$S115)="","",INDEX('_pockets'!$AF:$AF,$S115)))</f>
        <v/>
      </c>
      <c r="I115" s="115">
        <f>IF(IF($S115="","",IF(INDEX('_pockets'!$AB:$AB,$S115)="","",INDEX('_pockets'!$AB:$AB,$S115)))="","",IF($S115="","",IF(INDEX('_pockets'!$AB:$AB,$S115)="","",INDEX('_pockets'!$AB:$AB,$S115)))*IF($U$18,100,1))</f>
        <v/>
      </c>
      <c r="J115" s="113">
        <f>IF($S115="","",IF(INDEX('_pockets'!$Z:$Z,$S115)="","",INDEX('_pockets'!$Z:$Z,$S115)))</f>
        <v/>
      </c>
      <c r="K115" s="116">
        <f>IF($R115="","",IF(INDEX('_list'!$K$2:$K$676,$R115)="","",INDEX('_list'!$K$2:$K$676,$R115)))</f>
        <v/>
      </c>
      <c r="L115" s="117">
        <f>IF($S115="","",IF(INDEX('_pockets'!$AC:$AC,$S115)="","",INDEX('_pockets'!$AC:$AC,$S115)))</f>
        <v/>
      </c>
      <c r="M115" s="116">
        <f>IF($R115="","",IF(INDEX('_list'!$L$2:$L$676,$R115)="","",INDEX('_list'!$L$2:$L$676,$R115)))</f>
        <v/>
      </c>
      <c r="N115" s="115">
        <f>IF($R115="","",IF(INDEX('_list'!$H$2:$H$676,$R115)="","",INDEX('_list'!$H$2:$H$676,$R115)))</f>
        <v/>
      </c>
      <c r="O115" s="112">
        <f>IF($R115="","",IF(INDEX('_list'!$I$2:$I$676,$R115)="","",INDEX('_list'!$I$2:$I$676,$R115)))</f>
        <v/>
      </c>
      <c r="R115">
        <f>IFERROR(MATCH(96,'_list'!$N$2:$N$676,0),"")</f>
        <v/>
      </c>
      <c r="S115">
        <f>IF($R115="","",INDEX('_list'!$C$2:$C$676,$R115))</f>
        <v/>
      </c>
    </row>
    <row r="116" ht="16" customHeight="1">
      <c r="B116" s="111">
        <f>IF($R116="","",97)</f>
        <v/>
      </c>
      <c r="C116" s="112">
        <f>IF($R116="","",IF(INDEX('_list'!$D$2:$D$676,$R116)="","",INDEX('_list'!$D$2:$D$676,$R116)))</f>
        <v/>
      </c>
      <c r="D116" s="112">
        <f>IF($R116="","",IF(INDEX('_list'!$E$2:$E$676,$R116)="","",INDEX('_list'!$E$2:$E$676,$R116)))</f>
        <v/>
      </c>
      <c r="E116" s="112">
        <f>IF($R116="","",IF(INDEX('_list'!$F$2:$F$676,$R116)="","",INDEX('_list'!$F$2:$F$676,$R116)))</f>
        <v/>
      </c>
      <c r="F116" s="113">
        <f>IF($R116="","",IF(INDEX('_list'!$G$2:$G$676,$R116)="","",INDEX('_list'!$G$2:$G$676,$R116)))</f>
        <v/>
      </c>
      <c r="G116" s="114">
        <f>IF($S116="","",IF(INDEX('_pockets'!$AH:$AH,$S116)="","",INDEX('_pockets'!$AH:$AH,$S116)))</f>
        <v/>
      </c>
      <c r="H116" s="114">
        <f>IF($S116="","",IF(INDEX('_pockets'!$AF:$AF,$S116)="","",INDEX('_pockets'!$AF:$AF,$S116)))</f>
        <v/>
      </c>
      <c r="I116" s="115">
        <f>IF(IF($S116="","",IF(INDEX('_pockets'!$AB:$AB,$S116)="","",INDEX('_pockets'!$AB:$AB,$S116)))="","",IF($S116="","",IF(INDEX('_pockets'!$AB:$AB,$S116)="","",INDEX('_pockets'!$AB:$AB,$S116)))*IF($U$18,100,1))</f>
        <v/>
      </c>
      <c r="J116" s="113">
        <f>IF($S116="","",IF(INDEX('_pockets'!$Z:$Z,$S116)="","",INDEX('_pockets'!$Z:$Z,$S116)))</f>
        <v/>
      </c>
      <c r="K116" s="116">
        <f>IF($R116="","",IF(INDEX('_list'!$K$2:$K$676,$R116)="","",INDEX('_list'!$K$2:$K$676,$R116)))</f>
        <v/>
      </c>
      <c r="L116" s="117">
        <f>IF($S116="","",IF(INDEX('_pockets'!$AC:$AC,$S116)="","",INDEX('_pockets'!$AC:$AC,$S116)))</f>
        <v/>
      </c>
      <c r="M116" s="116">
        <f>IF($R116="","",IF(INDEX('_list'!$L$2:$L$676,$R116)="","",INDEX('_list'!$L$2:$L$676,$R116)))</f>
        <v/>
      </c>
      <c r="N116" s="115">
        <f>IF($R116="","",IF(INDEX('_list'!$H$2:$H$676,$R116)="","",INDEX('_list'!$H$2:$H$676,$R116)))</f>
        <v/>
      </c>
      <c r="O116" s="112">
        <f>IF($R116="","",IF(INDEX('_list'!$I$2:$I$676,$R116)="","",INDEX('_list'!$I$2:$I$676,$R116)))</f>
        <v/>
      </c>
      <c r="R116">
        <f>IFERROR(MATCH(97,'_list'!$N$2:$N$676,0),"")</f>
        <v/>
      </c>
      <c r="S116">
        <f>IF($R116="","",INDEX('_list'!$C$2:$C$676,$R116))</f>
        <v/>
      </c>
    </row>
    <row r="117" ht="16" customHeight="1">
      <c r="B117" s="111">
        <f>IF($R117="","",98)</f>
        <v/>
      </c>
      <c r="C117" s="112">
        <f>IF($R117="","",IF(INDEX('_list'!$D$2:$D$676,$R117)="","",INDEX('_list'!$D$2:$D$676,$R117)))</f>
        <v/>
      </c>
      <c r="D117" s="112">
        <f>IF($R117="","",IF(INDEX('_list'!$E$2:$E$676,$R117)="","",INDEX('_list'!$E$2:$E$676,$R117)))</f>
        <v/>
      </c>
      <c r="E117" s="112">
        <f>IF($R117="","",IF(INDEX('_list'!$F$2:$F$676,$R117)="","",INDEX('_list'!$F$2:$F$676,$R117)))</f>
        <v/>
      </c>
      <c r="F117" s="113">
        <f>IF($R117="","",IF(INDEX('_list'!$G$2:$G$676,$R117)="","",INDEX('_list'!$G$2:$G$676,$R117)))</f>
        <v/>
      </c>
      <c r="G117" s="114">
        <f>IF($S117="","",IF(INDEX('_pockets'!$AH:$AH,$S117)="","",INDEX('_pockets'!$AH:$AH,$S117)))</f>
        <v/>
      </c>
      <c r="H117" s="114">
        <f>IF($S117="","",IF(INDEX('_pockets'!$AF:$AF,$S117)="","",INDEX('_pockets'!$AF:$AF,$S117)))</f>
        <v/>
      </c>
      <c r="I117" s="115">
        <f>IF(IF($S117="","",IF(INDEX('_pockets'!$AB:$AB,$S117)="","",INDEX('_pockets'!$AB:$AB,$S117)))="","",IF($S117="","",IF(INDEX('_pockets'!$AB:$AB,$S117)="","",INDEX('_pockets'!$AB:$AB,$S117)))*IF($U$18,100,1))</f>
        <v/>
      </c>
      <c r="J117" s="113">
        <f>IF($S117="","",IF(INDEX('_pockets'!$Z:$Z,$S117)="","",INDEX('_pockets'!$Z:$Z,$S117)))</f>
        <v/>
      </c>
      <c r="K117" s="116">
        <f>IF($R117="","",IF(INDEX('_list'!$K$2:$K$676,$R117)="","",INDEX('_list'!$K$2:$K$676,$R117)))</f>
        <v/>
      </c>
      <c r="L117" s="117">
        <f>IF($S117="","",IF(INDEX('_pockets'!$AC:$AC,$S117)="","",INDEX('_pockets'!$AC:$AC,$S117)))</f>
        <v/>
      </c>
      <c r="M117" s="116">
        <f>IF($R117="","",IF(INDEX('_list'!$L$2:$L$676,$R117)="","",INDEX('_list'!$L$2:$L$676,$R117)))</f>
        <v/>
      </c>
      <c r="N117" s="115">
        <f>IF($R117="","",IF(INDEX('_list'!$H$2:$H$676,$R117)="","",INDEX('_list'!$H$2:$H$676,$R117)))</f>
        <v/>
      </c>
      <c r="O117" s="112">
        <f>IF($R117="","",IF(INDEX('_list'!$I$2:$I$676,$R117)="","",INDEX('_list'!$I$2:$I$676,$R117)))</f>
        <v/>
      </c>
      <c r="R117">
        <f>IFERROR(MATCH(98,'_list'!$N$2:$N$676,0),"")</f>
        <v/>
      </c>
      <c r="S117">
        <f>IF($R117="","",INDEX('_list'!$C$2:$C$676,$R117))</f>
        <v/>
      </c>
    </row>
    <row r="118" ht="16" customHeight="1">
      <c r="B118" s="111">
        <f>IF($R118="","",99)</f>
        <v/>
      </c>
      <c r="C118" s="112">
        <f>IF($R118="","",IF(INDEX('_list'!$D$2:$D$676,$R118)="","",INDEX('_list'!$D$2:$D$676,$R118)))</f>
        <v/>
      </c>
      <c r="D118" s="112">
        <f>IF($R118="","",IF(INDEX('_list'!$E$2:$E$676,$R118)="","",INDEX('_list'!$E$2:$E$676,$R118)))</f>
        <v/>
      </c>
      <c r="E118" s="112">
        <f>IF($R118="","",IF(INDEX('_list'!$F$2:$F$676,$R118)="","",INDEX('_list'!$F$2:$F$676,$R118)))</f>
        <v/>
      </c>
      <c r="F118" s="113">
        <f>IF($R118="","",IF(INDEX('_list'!$G$2:$G$676,$R118)="","",INDEX('_list'!$G$2:$G$676,$R118)))</f>
        <v/>
      </c>
      <c r="G118" s="114">
        <f>IF($S118="","",IF(INDEX('_pockets'!$AH:$AH,$S118)="","",INDEX('_pockets'!$AH:$AH,$S118)))</f>
        <v/>
      </c>
      <c r="H118" s="114">
        <f>IF($S118="","",IF(INDEX('_pockets'!$AF:$AF,$S118)="","",INDEX('_pockets'!$AF:$AF,$S118)))</f>
        <v/>
      </c>
      <c r="I118" s="115">
        <f>IF(IF($S118="","",IF(INDEX('_pockets'!$AB:$AB,$S118)="","",INDEX('_pockets'!$AB:$AB,$S118)))="","",IF($S118="","",IF(INDEX('_pockets'!$AB:$AB,$S118)="","",INDEX('_pockets'!$AB:$AB,$S118)))*IF($U$18,100,1))</f>
        <v/>
      </c>
      <c r="J118" s="113">
        <f>IF($S118="","",IF(INDEX('_pockets'!$Z:$Z,$S118)="","",INDEX('_pockets'!$Z:$Z,$S118)))</f>
        <v/>
      </c>
      <c r="K118" s="116">
        <f>IF($R118="","",IF(INDEX('_list'!$K$2:$K$676,$R118)="","",INDEX('_list'!$K$2:$K$676,$R118)))</f>
        <v/>
      </c>
      <c r="L118" s="117">
        <f>IF($S118="","",IF(INDEX('_pockets'!$AC:$AC,$S118)="","",INDEX('_pockets'!$AC:$AC,$S118)))</f>
        <v/>
      </c>
      <c r="M118" s="116">
        <f>IF($R118="","",IF(INDEX('_list'!$L$2:$L$676,$R118)="","",INDEX('_list'!$L$2:$L$676,$R118)))</f>
        <v/>
      </c>
      <c r="N118" s="115">
        <f>IF($R118="","",IF(INDEX('_list'!$H$2:$H$676,$R118)="","",INDEX('_list'!$H$2:$H$676,$R118)))</f>
        <v/>
      </c>
      <c r="O118" s="112">
        <f>IF($R118="","",IF(INDEX('_list'!$I$2:$I$676,$R118)="","",INDEX('_list'!$I$2:$I$676,$R118)))</f>
        <v/>
      </c>
      <c r="R118">
        <f>IFERROR(MATCH(99,'_list'!$N$2:$N$676,0),"")</f>
        <v/>
      </c>
      <c r="S118">
        <f>IF($R118="","",INDEX('_list'!$C$2:$C$676,$R118))</f>
        <v/>
      </c>
    </row>
    <row r="119" ht="16" customHeight="1">
      <c r="B119" s="111">
        <f>IF($R119="","",100)</f>
        <v/>
      </c>
      <c r="C119" s="112">
        <f>IF($R119="","",IF(INDEX('_list'!$D$2:$D$676,$R119)="","",INDEX('_list'!$D$2:$D$676,$R119)))</f>
        <v/>
      </c>
      <c r="D119" s="112">
        <f>IF($R119="","",IF(INDEX('_list'!$E$2:$E$676,$R119)="","",INDEX('_list'!$E$2:$E$676,$R119)))</f>
        <v/>
      </c>
      <c r="E119" s="112">
        <f>IF($R119="","",IF(INDEX('_list'!$F$2:$F$676,$R119)="","",INDEX('_list'!$F$2:$F$676,$R119)))</f>
        <v/>
      </c>
      <c r="F119" s="113">
        <f>IF($R119="","",IF(INDEX('_list'!$G$2:$G$676,$R119)="","",INDEX('_list'!$G$2:$G$676,$R119)))</f>
        <v/>
      </c>
      <c r="G119" s="114">
        <f>IF($S119="","",IF(INDEX('_pockets'!$AH:$AH,$S119)="","",INDEX('_pockets'!$AH:$AH,$S119)))</f>
        <v/>
      </c>
      <c r="H119" s="114">
        <f>IF($S119="","",IF(INDEX('_pockets'!$AF:$AF,$S119)="","",INDEX('_pockets'!$AF:$AF,$S119)))</f>
        <v/>
      </c>
      <c r="I119" s="115">
        <f>IF(IF($S119="","",IF(INDEX('_pockets'!$AB:$AB,$S119)="","",INDEX('_pockets'!$AB:$AB,$S119)))="","",IF($S119="","",IF(INDEX('_pockets'!$AB:$AB,$S119)="","",INDEX('_pockets'!$AB:$AB,$S119)))*IF($U$18,100,1))</f>
        <v/>
      </c>
      <c r="J119" s="113">
        <f>IF($S119="","",IF(INDEX('_pockets'!$Z:$Z,$S119)="","",INDEX('_pockets'!$Z:$Z,$S119)))</f>
        <v/>
      </c>
      <c r="K119" s="116">
        <f>IF($R119="","",IF(INDEX('_list'!$K$2:$K$676,$R119)="","",INDEX('_list'!$K$2:$K$676,$R119)))</f>
        <v/>
      </c>
      <c r="L119" s="117">
        <f>IF($S119="","",IF(INDEX('_pockets'!$AC:$AC,$S119)="","",INDEX('_pockets'!$AC:$AC,$S119)))</f>
        <v/>
      </c>
      <c r="M119" s="116">
        <f>IF($R119="","",IF(INDEX('_list'!$L$2:$L$676,$R119)="","",INDEX('_list'!$L$2:$L$676,$R119)))</f>
        <v/>
      </c>
      <c r="N119" s="115">
        <f>IF($R119="","",IF(INDEX('_list'!$H$2:$H$676,$R119)="","",INDEX('_list'!$H$2:$H$676,$R119)))</f>
        <v/>
      </c>
      <c r="O119" s="112">
        <f>IF($R119="","",IF(INDEX('_list'!$I$2:$I$676,$R119)="","",INDEX('_list'!$I$2:$I$676,$R119)))</f>
        <v/>
      </c>
      <c r="R119">
        <f>IFERROR(MATCH(100,'_list'!$N$2:$N$676,0),"")</f>
        <v/>
      </c>
      <c r="S119">
        <f>IF($R119="","",INDEX('_list'!$C$2:$C$676,$R119))</f>
        <v/>
      </c>
    </row>
    <row r="120" ht="16" customHeight="1">
      <c r="B120" s="111">
        <f>IF($R120="","",101)</f>
        <v/>
      </c>
      <c r="C120" s="112">
        <f>IF($R120="","",IF(INDEX('_list'!$D$2:$D$676,$R120)="","",INDEX('_list'!$D$2:$D$676,$R120)))</f>
        <v/>
      </c>
      <c r="D120" s="112">
        <f>IF($R120="","",IF(INDEX('_list'!$E$2:$E$676,$R120)="","",INDEX('_list'!$E$2:$E$676,$R120)))</f>
        <v/>
      </c>
      <c r="E120" s="112">
        <f>IF($R120="","",IF(INDEX('_list'!$F$2:$F$676,$R120)="","",INDEX('_list'!$F$2:$F$676,$R120)))</f>
        <v/>
      </c>
      <c r="F120" s="113">
        <f>IF($R120="","",IF(INDEX('_list'!$G$2:$G$676,$R120)="","",INDEX('_list'!$G$2:$G$676,$R120)))</f>
        <v/>
      </c>
      <c r="G120" s="114">
        <f>IF($S120="","",IF(INDEX('_pockets'!$AH:$AH,$S120)="","",INDEX('_pockets'!$AH:$AH,$S120)))</f>
        <v/>
      </c>
      <c r="H120" s="114">
        <f>IF($S120="","",IF(INDEX('_pockets'!$AF:$AF,$S120)="","",INDEX('_pockets'!$AF:$AF,$S120)))</f>
        <v/>
      </c>
      <c r="I120" s="115">
        <f>IF(IF($S120="","",IF(INDEX('_pockets'!$AB:$AB,$S120)="","",INDEX('_pockets'!$AB:$AB,$S120)))="","",IF($S120="","",IF(INDEX('_pockets'!$AB:$AB,$S120)="","",INDEX('_pockets'!$AB:$AB,$S120)))*IF($U$18,100,1))</f>
        <v/>
      </c>
      <c r="J120" s="113">
        <f>IF($S120="","",IF(INDEX('_pockets'!$Z:$Z,$S120)="","",INDEX('_pockets'!$Z:$Z,$S120)))</f>
        <v/>
      </c>
      <c r="K120" s="116">
        <f>IF($R120="","",IF(INDEX('_list'!$K$2:$K$676,$R120)="","",INDEX('_list'!$K$2:$K$676,$R120)))</f>
        <v/>
      </c>
      <c r="L120" s="117">
        <f>IF($S120="","",IF(INDEX('_pockets'!$AC:$AC,$S120)="","",INDEX('_pockets'!$AC:$AC,$S120)))</f>
        <v/>
      </c>
      <c r="M120" s="116">
        <f>IF($R120="","",IF(INDEX('_list'!$L$2:$L$676,$R120)="","",INDEX('_list'!$L$2:$L$676,$R120)))</f>
        <v/>
      </c>
      <c r="N120" s="115">
        <f>IF($R120="","",IF(INDEX('_list'!$H$2:$H$676,$R120)="","",INDEX('_list'!$H$2:$H$676,$R120)))</f>
        <v/>
      </c>
      <c r="O120" s="112">
        <f>IF($R120="","",IF(INDEX('_list'!$I$2:$I$676,$R120)="","",INDEX('_list'!$I$2:$I$676,$R120)))</f>
        <v/>
      </c>
      <c r="R120">
        <f>IFERROR(MATCH(101,'_list'!$N$2:$N$676,0),"")</f>
        <v/>
      </c>
      <c r="S120">
        <f>IF($R120="","",INDEX('_list'!$C$2:$C$676,$R120))</f>
        <v/>
      </c>
    </row>
    <row r="121" ht="16" customHeight="1">
      <c r="B121" s="111">
        <f>IF($R121="","",102)</f>
        <v/>
      </c>
      <c r="C121" s="112">
        <f>IF($R121="","",IF(INDEX('_list'!$D$2:$D$676,$R121)="","",INDEX('_list'!$D$2:$D$676,$R121)))</f>
        <v/>
      </c>
      <c r="D121" s="112">
        <f>IF($R121="","",IF(INDEX('_list'!$E$2:$E$676,$R121)="","",INDEX('_list'!$E$2:$E$676,$R121)))</f>
        <v/>
      </c>
      <c r="E121" s="112">
        <f>IF($R121="","",IF(INDEX('_list'!$F$2:$F$676,$R121)="","",INDEX('_list'!$F$2:$F$676,$R121)))</f>
        <v/>
      </c>
      <c r="F121" s="113">
        <f>IF($R121="","",IF(INDEX('_list'!$G$2:$G$676,$R121)="","",INDEX('_list'!$G$2:$G$676,$R121)))</f>
        <v/>
      </c>
      <c r="G121" s="114">
        <f>IF($S121="","",IF(INDEX('_pockets'!$AH:$AH,$S121)="","",INDEX('_pockets'!$AH:$AH,$S121)))</f>
        <v/>
      </c>
      <c r="H121" s="114">
        <f>IF($S121="","",IF(INDEX('_pockets'!$AF:$AF,$S121)="","",INDEX('_pockets'!$AF:$AF,$S121)))</f>
        <v/>
      </c>
      <c r="I121" s="115">
        <f>IF(IF($S121="","",IF(INDEX('_pockets'!$AB:$AB,$S121)="","",INDEX('_pockets'!$AB:$AB,$S121)))="","",IF($S121="","",IF(INDEX('_pockets'!$AB:$AB,$S121)="","",INDEX('_pockets'!$AB:$AB,$S121)))*IF($U$18,100,1))</f>
        <v/>
      </c>
      <c r="J121" s="113">
        <f>IF($S121="","",IF(INDEX('_pockets'!$Z:$Z,$S121)="","",INDEX('_pockets'!$Z:$Z,$S121)))</f>
        <v/>
      </c>
      <c r="K121" s="116">
        <f>IF($R121="","",IF(INDEX('_list'!$K$2:$K$676,$R121)="","",INDEX('_list'!$K$2:$K$676,$R121)))</f>
        <v/>
      </c>
      <c r="L121" s="117">
        <f>IF($S121="","",IF(INDEX('_pockets'!$AC:$AC,$S121)="","",INDEX('_pockets'!$AC:$AC,$S121)))</f>
        <v/>
      </c>
      <c r="M121" s="116">
        <f>IF($R121="","",IF(INDEX('_list'!$L$2:$L$676,$R121)="","",INDEX('_list'!$L$2:$L$676,$R121)))</f>
        <v/>
      </c>
      <c r="N121" s="115">
        <f>IF($R121="","",IF(INDEX('_list'!$H$2:$H$676,$R121)="","",INDEX('_list'!$H$2:$H$676,$R121)))</f>
        <v/>
      </c>
      <c r="O121" s="112">
        <f>IF($R121="","",IF(INDEX('_list'!$I$2:$I$676,$R121)="","",INDEX('_list'!$I$2:$I$676,$R121)))</f>
        <v/>
      </c>
      <c r="R121">
        <f>IFERROR(MATCH(102,'_list'!$N$2:$N$676,0),"")</f>
        <v/>
      </c>
      <c r="S121">
        <f>IF($R121="","",INDEX('_list'!$C$2:$C$676,$R121))</f>
        <v/>
      </c>
    </row>
  </sheetData>
  <mergeCells count="15">
    <mergeCell ref="D10:O10"/>
    <mergeCell ref="F17:M17"/>
    <mergeCell ref="D11:O11"/>
    <mergeCell ref="K14:O14"/>
    <mergeCell ref="D5:O5"/>
    <mergeCell ref="D4:O4"/>
    <mergeCell ref="F14:G14"/>
    <mergeCell ref="K13:O13"/>
    <mergeCell ref="F13:G13"/>
    <mergeCell ref="D9:O9"/>
    <mergeCell ref="H13:I13"/>
    <mergeCell ref="H14:I14"/>
    <mergeCell ref="D7:O7"/>
    <mergeCell ref="D8:O8"/>
    <mergeCell ref="D6:O6"/>
  </mergeCells>
  <conditionalFormatting sqref="B20:B121 C20:C121 D20:D121 E20:E121 F20:F121 G20:G121 H20:H121 L20:L121">
    <cfRule type="expression" priority="1" dxfId="5">
      <formula>AND($B20&lt;&gt;"",LEFT($O20,3)="No:")</formula>
    </cfRule>
    <cfRule type="expression" priority="2" dxfId="6">
      <formula>$B20&lt;&gt;""</formula>
    </cfRule>
  </conditionalFormatting>
  <conditionalFormatting sqref="I20:I121">
    <cfRule type="expression" priority="3" dxfId="7">
      <formula>AND($B20&lt;&gt;"",AND(LEFT($O20,3)="No:",$U$18))</formula>
    </cfRule>
    <cfRule type="expression" priority="4" dxfId="5">
      <formula>AND($B20&lt;&gt;"",LEFT($O20,3)="No:")</formula>
    </cfRule>
    <cfRule type="expression" priority="5" dxfId="8">
      <formula>AND($B20&lt;&gt;"",$U$18)</formula>
    </cfRule>
    <cfRule type="expression" priority="6" dxfId="6">
      <formula>$B20&lt;&gt;""</formula>
    </cfRule>
  </conditionalFormatting>
  <conditionalFormatting sqref="N20:N121">
    <cfRule type="expression" priority="7" dxfId="7">
      <formula>AND($B20&lt;&gt;"",AND(LEFT($O20,3)="No:",$U$18))</formula>
    </cfRule>
    <cfRule type="expression" priority="8" dxfId="5">
      <formula>AND($B20&lt;&gt;"",LEFT($O20,3)="No:")</formula>
    </cfRule>
    <cfRule type="expression" priority="9" dxfId="8">
      <formula>AND($B20&lt;&gt;"",$U$18)</formula>
    </cfRule>
    <cfRule type="expression" priority="10" dxfId="6">
      <formula>$B20&lt;&gt;""</formula>
    </cfRule>
  </conditionalFormatting>
  <conditionalFormatting sqref="J20:J121">
    <cfRule type="expression" priority="11" dxfId="9">
      <formula>AND($B20&lt;&gt;"",AND(LEFT($O20,3)="No:",$U$19))</formula>
    </cfRule>
    <cfRule type="expression" priority="12" dxfId="5">
      <formula>AND($B20&lt;&gt;"",LEFT($O20,3)="No:")</formula>
    </cfRule>
    <cfRule type="expression" priority="13" dxfId="10">
      <formula>AND($B20&lt;&gt;"",$U$19)</formula>
    </cfRule>
    <cfRule type="expression" priority="14" dxfId="6">
      <formula>$B20&lt;&gt;""</formula>
    </cfRule>
  </conditionalFormatting>
  <conditionalFormatting sqref="K20:K121">
    <cfRule type="expression" priority="15" dxfId="5">
      <formula>AND($B20&lt;&gt;"",LEFT($O20,3)="No:")</formula>
    </cfRule>
    <cfRule type="expression" priority="16" dxfId="11">
      <formula>AND($B20&lt;&gt;"",$K20="Yes")</formula>
    </cfRule>
    <cfRule type="expression" priority="17" dxfId="12">
      <formula>AND($B20&lt;&gt;"",$K20="Not sure")</formula>
    </cfRule>
    <cfRule type="expression" priority="18" dxfId="5">
      <formula>AND($B20&lt;&gt;"",OR($K20="No",$K20="Too few losses"))</formula>
    </cfRule>
    <cfRule type="expression" priority="19" dxfId="6">
      <formula>$B20&lt;&gt;""</formula>
    </cfRule>
  </conditionalFormatting>
  <conditionalFormatting sqref="M20:M121">
    <cfRule type="expression" priority="20" dxfId="5">
      <formula>AND($B20&lt;&gt;"",LEFT($O20,3)="No:")</formula>
    </cfRule>
    <cfRule type="expression" priority="21" dxfId="13">
      <formula>AND($B20&lt;&gt;"",$M20="Yes")</formula>
    </cfRule>
    <cfRule type="expression" priority="22" dxfId="6">
      <formula>$B20&lt;&gt;""</formula>
    </cfRule>
  </conditionalFormatting>
  <conditionalFormatting sqref="O20:O121">
    <cfRule type="expression" priority="23" dxfId="14">
      <formula>AND($B20&lt;&gt;"",LEFT($O20,3)="No:")</formula>
    </cfRule>
    <cfRule type="expression" priority="24" dxfId="6">
      <formula>$B20&lt;&gt;""</formula>
    </cfRule>
  </conditionalFormatting>
  <dataValidations count="3">
    <dataValidation sqref="C17" showDropDown="0" showInputMessage="0" showErrorMessage="1" allowBlank="0" errorTitle="Measure" error="Pick one from the list." type="list">
      <formula1>='_choices'!$A$2:$A$6</formula1>
    </dataValidation>
    <dataValidation sqref="D17" showDropDown="0" showInputMessage="0" showErrorMessage="1" allowBlank="0" errorTitle="Pockets" error="Pick one from the list." type="list">
      <formula1>='_choices'!$E$2:$E$3</formula1>
    </dataValidation>
    <dataValidation sqref="E17" showDropDown="0" showInputMessage="0" showErrorMessage="1" allowBlank="0" errorTitle="Show" error="Pick one from the list." type="list">
      <formula1>='_choices'!$F$2:$F$4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0A0908"/>
    <outlinePr summaryBelow="0" summaryRight="1"/>
    <pageSetUpPr fitToPage="1"/>
  </sheetPr>
  <dimension ref="B1:AU49"/>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22" customWidth="1" min="2" max="2"/>
    <col width="18" customWidth="1" min="3" max="3"/>
    <col width="9" customWidth="1" min="4" max="4"/>
    <col width="11" customWidth="1" min="5" max="5"/>
    <col width="13" customWidth="1" min="6" max="6"/>
    <col width="11" customWidth="1" min="7" max="7"/>
    <col width="13" customWidth="1" min="8" max="8"/>
    <col width="11" customWidth="1" min="9" max="9"/>
    <col width="13" customWidth="1" min="10" max="10"/>
    <col width="28" customWidth="1" min="11" max="11"/>
    <col width="3" customWidth="1" min="12" max="12"/>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s>
  <sheetData>
    <row r="1" ht="30" customHeight="1">
      <c r="B1" s="1" t="inlineStr">
        <is>
          <t>Paid, cost, kept</t>
        </is>
      </c>
      <c r="C1" s="2" t="inlineStr">
        <is>
          <t>What each pocket paid us, what it cost us, and what we kept.</t>
        </is>
      </c>
      <c r="D1" s="3" t="n"/>
      <c r="E1" s="3" t="n"/>
      <c r="F1" s="3" t="n"/>
      <c r="G1" s="3" t="n"/>
      <c r="H1" s="3" t="n"/>
      <c r="I1" s="3" t="n"/>
      <c r="J1" s="3" t="n"/>
      <c r="K1" s="3" t="n"/>
      <c r="L1" s="3" t="n"/>
      <c r="M1" s="3" t="n"/>
      <c r="N1" s="3" t="n"/>
      <c r="O1" s="3" t="n"/>
      <c r="P1" s="3" t="n"/>
      <c r="Q1" s="3" t="n"/>
      <c r="R1" s="3" t="n"/>
      <c r="S1" s="3" t="n"/>
    </row>
    <row r="3" outlineLevel="1">
      <c r="B3" s="4" t="inlineStr">
        <is>
          <t>How this tab works</t>
        </is>
      </c>
      <c r="C3" s="5" t="n"/>
      <c r="D3" s="5" t="n"/>
      <c r="E3" s="5" t="n"/>
      <c r="F3" s="5" t="n"/>
      <c r="G3" s="5" t="n"/>
      <c r="H3" s="5" t="n"/>
      <c r="I3" s="5" t="n"/>
      <c r="J3" s="5" t="n"/>
      <c r="K3" s="5" t="n"/>
    </row>
    <row r="4" outlineLevel="1" ht="31" customHeight="1">
      <c r="B4" s="6" t="inlineStr">
        <is>
          <t>Paid us</t>
        </is>
      </c>
      <c r="C4" s="7" t="inlineStr">
        <is>
          <t>Earned before losses: RANR + GCO per booked dollar. RANR already has the charge-offs taken out, so this adds them back. Gap: points of booked dollars ahead of (+) or short of (-) the rest; Dollars: what that comes to.</t>
        </is>
      </c>
    </row>
    <row r="5" outlineLevel="1" ht="17" customHeight="1">
      <c r="B5" s="6" t="inlineStr">
        <is>
          <t>Cost us</t>
        </is>
      </c>
      <c r="C5" s="7" t="inlineStr">
        <is>
          <t>Charge-offs (GCO) per booked dollar, as a multiple of the rest; Dollars: charge-offs above the rest's rate.</t>
        </is>
      </c>
    </row>
    <row r="6" outlineLevel="1" ht="17" customHeight="1">
      <c r="B6" s="6" t="inlineStr">
        <is>
          <t>Kept</t>
        </is>
      </c>
      <c r="C6" s="7" t="inlineStr">
        <is>
          <t>Kept after losses: RANR per booked dollar, as a gap in points and dollars, like Paid us.</t>
        </is>
      </c>
    </row>
    <row r="7" outlineLevel="1" ht="31" customHeight="1">
      <c r="B7" s="6" t="inlineStr">
        <is>
          <t>The rest</t>
        </is>
      </c>
      <c r="C7" s="7">
        <f>"Judged against on Control picks it: now "&amp;IF(judged_band,"the rest of its band","the rest of the book")&amp;". A pocket alone in its band is compared with the rest of the book."</f>
        <v/>
      </c>
    </row>
    <row r="8" outlineLevel="1" ht="59" customHeight="1">
      <c r="B8" s="6" t="inlineStr">
        <is>
          <t>Shading</t>
        </is>
      </c>
      <c r="C8" s="7">
        <f>"Pink: worse, and real. Green: better, and real. None: it could be chance (the p-value isn't under "&amp;TEXT(significance_bar,"0%")&amp;"), or the pocket has too few losses to test. Charge-offs count at "&amp;TEXT(worse_at,"0.00")&amp;"x or "&amp;TEXT(better_at,"0.00")&amp;"x; profit "&amp;IF(profit_kind="test","when its own test says so",IF(profit_kind="points","at "&amp;TEXT(profit_line*100,"0.00")&amp;" points either way","at a gap of $"&amp;TEXT(profit_line,"#,##0")))&amp;"."</f>
        <v/>
      </c>
    </row>
    <row r="9" outlineLevel="1" ht="45" customHeight="1">
      <c r="B9" s="6" t="inlineStr">
        <is>
          <t>Together</t>
        </is>
      </c>
      <c r="C9" s="7" t="inlineStr">
        <is>
          <t>The two sides read at once. Priced for it: more charge-offs and more kept. Net drain: more charge-offs and less kept. Strong: fewer charge-offs and more kept. Safe but idle: fewer charge-offs and less kept. Earns less, not from losses: less kept while charge-offs are about the same. Losing more, profit holding: more charge-offs while what we kept is about the same. Blank: nothing to read together.</t>
        </is>
      </c>
    </row>
    <row r="10" outlineLevel="1" ht="31" customHeight="1">
      <c r="B10" s="6" t="inlineStr">
        <is>
          <t>Order and chart</t>
        </is>
      </c>
      <c r="C10" s="7" t="inlineStr">
        <is>
          <t>Rows are as of the last Run: the pockets read together first, then by charge-off dollars; a pocket with too few losses last. The chart shows the grid picked above, live; the pockets read together are named on it.</t>
        </is>
      </c>
    </row>
    <row r="12" ht="15" customHeight="1">
      <c r="B12" s="103" t="inlineStr">
        <is>
          <t>LINES IN USE NOW</t>
        </is>
      </c>
      <c r="C12" s="96" t="inlineStr">
        <is>
          <t>Worse at</t>
        </is>
      </c>
      <c r="D12" s="96" t="inlineStr">
        <is>
          <t>Better at</t>
        </is>
      </c>
      <c r="E12" s="97" t="n"/>
      <c r="F12" s="96" t="inlineStr">
        <is>
          <t>How sure</t>
        </is>
      </c>
      <c r="G12" s="97" t="n"/>
      <c r="H12" s="96" t="inlineStr">
        <is>
          <t>Material at</t>
        </is>
      </c>
      <c r="I12" s="97" t="n"/>
      <c r="J12" s="96" t="inlineStr">
        <is>
          <t>Judged against</t>
        </is>
      </c>
      <c r="K12" s="97" t="n"/>
      <c r="M12" s="104" t="inlineStr">
        <is>
          <t>The order is from the last Run, 2026-09-29 21:05.</t>
        </is>
      </c>
    </row>
    <row r="13" ht="22" customHeight="1">
      <c r="B13" s="105" t="inlineStr">
        <is>
          <t>live from Control</t>
        </is>
      </c>
      <c r="C13" s="106">
        <f>worse_at</f>
        <v/>
      </c>
      <c r="D13" s="106">
        <f>better_at</f>
        <v/>
      </c>
      <c r="F13" s="107">
        <f>confidence</f>
        <v/>
      </c>
      <c r="H13" s="11">
        <f>IFERROR(IF(materiality_kind="none","No floor",IF(INDEX(line_values,MATCH("gco_rate",line_keys,0))="","No line",IF(FALSE,TEXT(INDEX(line_values,MATCH("gco_rate",line_keys,0)),"#,##0.0")&amp;" bad loans","$"&amp;TEXT(INDEX(line_values,MATCH("gco_rate",line_keys,0)),"#,##0")))),"")</f>
        <v/>
      </c>
      <c r="J13" s="11">
        <f>IF(judged_band,"Rest of its band","Rest of the book")</f>
        <v/>
      </c>
      <c r="M13" s="108">
        <f>IFERROR(IF(COUNTIF(Status,"↻ Waiting for a Run")=0,"","↻ "&amp;COUNTIF(Status,"↻ Waiting for a Run")&amp;IF(COUNTIF(Status,"↻ Waiting for a Run")=1," Control change waits for a Run."," Control changes wait for a Run.")),"")</f>
        <v/>
      </c>
    </row>
    <row r="15">
      <c r="B15" s="109" t="inlineStr">
        <is>
          <t>GRID</t>
        </is>
      </c>
    </row>
    <row r="16" ht="20" customHeight="1">
      <c r="B16" s="32" t="inlineStr">
        <is>
          <t>FICO x CHANNEL</t>
        </is>
      </c>
      <c r="C16" s="118" t="n"/>
    </row>
    <row r="17">
      <c r="M17" s="119" t="inlineStr">
        <is>
          <t>Across: charge-offs × the rest, on a log scale. Up: kept, as a gap in points. Red: Net drain. Green: Strong or Priced for it.</t>
        </is>
      </c>
    </row>
    <row r="18">
      <c r="E18" s="120">
        <f>"Paid us · gap vs "&amp;IF(judged_band,"band","book")</f>
        <v/>
      </c>
      <c r="F18" s="121" t="n"/>
      <c r="G18" s="120" t="inlineStr">
        <is>
          <t>Cost us · charge-offs</t>
        </is>
      </c>
      <c r="H18" s="121" t="n"/>
      <c r="I18" s="120">
        <f>"Kept · gap vs "&amp;IF(judged_band,"band","book")</f>
        <v/>
      </c>
      <c r="J18" s="121" t="n"/>
      <c r="K18" s="120" t="inlineStr"/>
    </row>
    <row r="19" ht="18" customHeight="1">
      <c r="B19" s="55" t="inlineStr">
        <is>
          <t>Band</t>
        </is>
      </c>
      <c r="C19" s="55" t="inlineStr">
        <is>
          <t>Segment</t>
        </is>
      </c>
      <c r="D19" s="56" t="inlineStr">
        <is>
          <t>Loans</t>
        </is>
      </c>
      <c r="E19" s="56" t="inlineStr">
        <is>
          <t>Gap pts</t>
        </is>
      </c>
      <c r="F19" s="56" t="inlineStr">
        <is>
          <t>Dollars</t>
        </is>
      </c>
      <c r="G19" s="56">
        <f>IF(judged_band,"× band","× book")</f>
        <v/>
      </c>
      <c r="H19" s="56" t="inlineStr">
        <is>
          <t>Dollars</t>
        </is>
      </c>
      <c r="I19" s="56" t="inlineStr">
        <is>
          <t>Gap pts</t>
        </is>
      </c>
      <c r="J19" s="56" t="inlineStr">
        <is>
          <t>Dollars</t>
        </is>
      </c>
      <c r="K19" s="56" t="inlineStr">
        <is>
          <t>Together</t>
        </is>
      </c>
    </row>
    <row r="20" ht="16" customHeight="1">
      <c r="B20" s="112">
        <f>IF($AN20="","",IF(INDEX('_views'!$B:$ZZ,$AN20,1)="","",INDEX('_views'!$B:$ZZ,$AN20,1)))</f>
        <v/>
      </c>
      <c r="C20" s="112">
        <f>IF($AN20="","",IF(INDEX('_views'!$B:$ZZ,$AN20,2)="","",INDEX('_views'!$B:$ZZ,$AN20,2)))</f>
        <v/>
      </c>
      <c r="D20" s="113">
        <f>IF($AN20="","",IF(INDEX('_views'!$B:$ZZ,$AN20,3)="","",INDEX('_views'!$B:$ZZ,$AN20,3)))</f>
        <v/>
      </c>
      <c r="E20" s="122">
        <f>IF(IF($AP20="","",IF(INDEX('_pockets'!$AB:$AB,$AP20)="","",INDEX('_pockets'!$AB:$AB,$AP20)))="","",IF($AP20="","",IF(INDEX('_pockets'!$AB:$AB,$AP20)="","",INDEX('_pockets'!$AB:$AB,$AP20)))*100)</f>
        <v/>
      </c>
      <c r="F20" s="113">
        <f>IF(IF($AP20="","",IF(INDEX('_pockets'!$Z:$Z,$AP20)="","",INDEX('_pockets'!$Z:$Z,$AP20)))="","",-IF($AP20="","",IF(INDEX('_pockets'!$Z:$Z,$AP20)="","",INDEX('_pockets'!$Z:$Z,$AP20))))</f>
        <v/>
      </c>
      <c r="G20" s="115">
        <f>IF($AQ20="","",IF(INDEX('_pockets'!$AB:$AB,$AQ20)="","",INDEX('_pockets'!$AB:$AB,$AQ20)))</f>
        <v/>
      </c>
      <c r="H20" s="113">
        <f>IF($AQ20="","",IF(INDEX('_pockets'!$Z:$Z,$AQ20)="","",INDEX('_pockets'!$Z:$Z,$AQ20)))</f>
        <v/>
      </c>
      <c r="I20" s="122">
        <f>IF(IF($AR20="","",IF(INDEX('_pockets'!$AB:$AB,$AR20)="","",INDEX('_pockets'!$AB:$AB,$AR20)))="","",IF($AR20="","",IF(INDEX('_pockets'!$AB:$AB,$AR20)="","",INDEX('_pockets'!$AB:$AB,$AR20)))*100)</f>
        <v/>
      </c>
      <c r="J20" s="113">
        <f>IF(IF($AR20="","",IF(INDEX('_pockets'!$Z:$Z,$AR20)="","",INDEX('_pockets'!$Z:$Z,$AR20)))="","",-IF($AR20="","",IF(INDEX('_pockets'!$Z:$Z,$AR20)="","",INDEX('_pockets'!$Z:$Z,$AR20))))</f>
        <v/>
      </c>
      <c r="K20" s="123">
        <f>IF(OR($AO20=1,$AO20=""),"",IF(AND($AT20="worse",$AU20="better"),"Priced for it",IF(AND($AT20="worse",$AU20="worse"),"Net drain",IF(AND($AT20="better",$AU20="better"),"Strong",IF(AND($AT20="better",$AU20="worse"),"Safe but idle",IF(AND(OR($AT20="in line",$AT20="worse, not significant",$AT20="better, not significant"),$AU20="worse"),"Earns less, not from losses",IF(AND($AT20="worse",OR($AU20="in line",$AU20="worse, not significant",$AU20="better, not significant")),"Losing more, profit holding","")))))))</f>
        <v/>
      </c>
      <c r="AN20">
        <f>IFERROR(MATCH("C|"&amp;$B$16&amp;"|1",'_views'!$A:$A,0),"")</f>
        <v/>
      </c>
      <c r="AO20">
        <f>IF($AN20="","",IF(INDEX('_views'!$B:$ZZ,$AN20,4)="","",INDEX('_views'!$B:$ZZ,$AN20,4)))</f>
        <v/>
      </c>
      <c r="AP20">
        <f>IF($AN20="","",IF(INDEX('_views'!$B:$ZZ,$AN20,5)="","",INDEX('_views'!$B:$ZZ,$AN20,5)))</f>
        <v/>
      </c>
      <c r="AQ20">
        <f>IF($AN20="","",IF(INDEX('_views'!$B:$ZZ,$AN20,6)="","",INDEX('_views'!$B:$ZZ,$AN20,6)))</f>
        <v/>
      </c>
      <c r="AR20">
        <f>IF($AN20="","",IF(INDEX('_views'!$B:$ZZ,$AN20,7)="","",INDEX('_views'!$B:$ZZ,$AN20,7)))</f>
        <v/>
      </c>
      <c r="AS20">
        <f>IF($AP20="","",IF(INDEX('_pockets'!$Y:$Y,$AP20)="","",INDEX('_pockets'!$Y:$Y,$AP20)))</f>
        <v/>
      </c>
      <c r="AT20">
        <f>IF($AQ20="","",IF(INDEX('_pockets'!$Y:$Y,$AQ20)="","",INDEX('_pockets'!$Y:$Y,$AQ20)))</f>
        <v/>
      </c>
      <c r="AU20">
        <f>IF($AR20="","",IF(INDEX('_pockets'!$Y:$Y,$AR20)="","",INDEX('_pockets'!$Y:$Y,$AR20)))</f>
        <v/>
      </c>
    </row>
    <row r="21" ht="16" customHeight="1">
      <c r="B21" s="112">
        <f>IF($AN21="","",IF(INDEX('_views'!$B:$ZZ,$AN21,1)="","",INDEX('_views'!$B:$ZZ,$AN21,1)))</f>
        <v/>
      </c>
      <c r="C21" s="112">
        <f>IF($AN21="","",IF(INDEX('_views'!$B:$ZZ,$AN21,2)="","",INDEX('_views'!$B:$ZZ,$AN21,2)))</f>
        <v/>
      </c>
      <c r="D21" s="113">
        <f>IF($AN21="","",IF(INDEX('_views'!$B:$ZZ,$AN21,3)="","",INDEX('_views'!$B:$ZZ,$AN21,3)))</f>
        <v/>
      </c>
      <c r="E21" s="122">
        <f>IF(IF($AP21="","",IF(INDEX('_pockets'!$AB:$AB,$AP21)="","",INDEX('_pockets'!$AB:$AB,$AP21)))="","",IF($AP21="","",IF(INDEX('_pockets'!$AB:$AB,$AP21)="","",INDEX('_pockets'!$AB:$AB,$AP21)))*100)</f>
        <v/>
      </c>
      <c r="F21" s="113">
        <f>IF(IF($AP21="","",IF(INDEX('_pockets'!$Z:$Z,$AP21)="","",INDEX('_pockets'!$Z:$Z,$AP21)))="","",-IF($AP21="","",IF(INDEX('_pockets'!$Z:$Z,$AP21)="","",INDEX('_pockets'!$Z:$Z,$AP21))))</f>
        <v/>
      </c>
      <c r="G21" s="115">
        <f>IF($AQ21="","",IF(INDEX('_pockets'!$AB:$AB,$AQ21)="","",INDEX('_pockets'!$AB:$AB,$AQ21)))</f>
        <v/>
      </c>
      <c r="H21" s="113">
        <f>IF($AQ21="","",IF(INDEX('_pockets'!$Z:$Z,$AQ21)="","",INDEX('_pockets'!$Z:$Z,$AQ21)))</f>
        <v/>
      </c>
      <c r="I21" s="122">
        <f>IF(IF($AR21="","",IF(INDEX('_pockets'!$AB:$AB,$AR21)="","",INDEX('_pockets'!$AB:$AB,$AR21)))="","",IF($AR21="","",IF(INDEX('_pockets'!$AB:$AB,$AR21)="","",INDEX('_pockets'!$AB:$AB,$AR21)))*100)</f>
        <v/>
      </c>
      <c r="J21" s="113">
        <f>IF(IF($AR21="","",IF(INDEX('_pockets'!$Z:$Z,$AR21)="","",INDEX('_pockets'!$Z:$Z,$AR21)))="","",-IF($AR21="","",IF(INDEX('_pockets'!$Z:$Z,$AR21)="","",INDEX('_pockets'!$Z:$Z,$AR21))))</f>
        <v/>
      </c>
      <c r="K21" s="123">
        <f>IF(OR($AO21=1,$AO21=""),"",IF(AND($AT21="worse",$AU21="better"),"Priced for it",IF(AND($AT21="worse",$AU21="worse"),"Net drain",IF(AND($AT21="better",$AU21="better"),"Strong",IF(AND($AT21="better",$AU21="worse"),"Safe but idle",IF(AND(OR($AT21="in line",$AT21="worse, not significant",$AT21="better, not significant"),$AU21="worse"),"Earns less, not from losses",IF(AND($AT21="worse",OR($AU21="in line",$AU21="worse, not significant",$AU21="better, not significant")),"Losing more, profit holding","")))))))</f>
        <v/>
      </c>
      <c r="AN21">
        <f>IFERROR(MATCH("C|"&amp;$B$16&amp;"|2",'_views'!$A:$A,0),"")</f>
        <v/>
      </c>
      <c r="AO21">
        <f>IF($AN21="","",IF(INDEX('_views'!$B:$ZZ,$AN21,4)="","",INDEX('_views'!$B:$ZZ,$AN21,4)))</f>
        <v/>
      </c>
      <c r="AP21">
        <f>IF($AN21="","",IF(INDEX('_views'!$B:$ZZ,$AN21,5)="","",INDEX('_views'!$B:$ZZ,$AN21,5)))</f>
        <v/>
      </c>
      <c r="AQ21">
        <f>IF($AN21="","",IF(INDEX('_views'!$B:$ZZ,$AN21,6)="","",INDEX('_views'!$B:$ZZ,$AN21,6)))</f>
        <v/>
      </c>
      <c r="AR21">
        <f>IF($AN21="","",IF(INDEX('_views'!$B:$ZZ,$AN21,7)="","",INDEX('_views'!$B:$ZZ,$AN21,7)))</f>
        <v/>
      </c>
      <c r="AS21">
        <f>IF($AP21="","",IF(INDEX('_pockets'!$Y:$Y,$AP21)="","",INDEX('_pockets'!$Y:$Y,$AP21)))</f>
        <v/>
      </c>
      <c r="AT21">
        <f>IF($AQ21="","",IF(INDEX('_pockets'!$Y:$Y,$AQ21)="","",INDEX('_pockets'!$Y:$Y,$AQ21)))</f>
        <v/>
      </c>
      <c r="AU21">
        <f>IF($AR21="","",IF(INDEX('_pockets'!$Y:$Y,$AR21)="","",INDEX('_pockets'!$Y:$Y,$AR21)))</f>
        <v/>
      </c>
    </row>
    <row r="22" ht="16" customHeight="1">
      <c r="B22" s="112">
        <f>IF($AN22="","",IF(INDEX('_views'!$B:$ZZ,$AN22,1)="","",INDEX('_views'!$B:$ZZ,$AN22,1)))</f>
        <v/>
      </c>
      <c r="C22" s="112">
        <f>IF($AN22="","",IF(INDEX('_views'!$B:$ZZ,$AN22,2)="","",INDEX('_views'!$B:$ZZ,$AN22,2)))</f>
        <v/>
      </c>
      <c r="D22" s="113">
        <f>IF($AN22="","",IF(INDEX('_views'!$B:$ZZ,$AN22,3)="","",INDEX('_views'!$B:$ZZ,$AN22,3)))</f>
        <v/>
      </c>
      <c r="E22" s="122">
        <f>IF(IF($AP22="","",IF(INDEX('_pockets'!$AB:$AB,$AP22)="","",INDEX('_pockets'!$AB:$AB,$AP22)))="","",IF($AP22="","",IF(INDEX('_pockets'!$AB:$AB,$AP22)="","",INDEX('_pockets'!$AB:$AB,$AP22)))*100)</f>
        <v/>
      </c>
      <c r="F22" s="113">
        <f>IF(IF($AP22="","",IF(INDEX('_pockets'!$Z:$Z,$AP22)="","",INDEX('_pockets'!$Z:$Z,$AP22)))="","",-IF($AP22="","",IF(INDEX('_pockets'!$Z:$Z,$AP22)="","",INDEX('_pockets'!$Z:$Z,$AP22))))</f>
        <v/>
      </c>
      <c r="G22" s="115">
        <f>IF($AQ22="","",IF(INDEX('_pockets'!$AB:$AB,$AQ22)="","",INDEX('_pockets'!$AB:$AB,$AQ22)))</f>
        <v/>
      </c>
      <c r="H22" s="113">
        <f>IF($AQ22="","",IF(INDEX('_pockets'!$Z:$Z,$AQ22)="","",INDEX('_pockets'!$Z:$Z,$AQ22)))</f>
        <v/>
      </c>
      <c r="I22" s="122">
        <f>IF(IF($AR22="","",IF(INDEX('_pockets'!$AB:$AB,$AR22)="","",INDEX('_pockets'!$AB:$AB,$AR22)))="","",IF($AR22="","",IF(INDEX('_pockets'!$AB:$AB,$AR22)="","",INDEX('_pockets'!$AB:$AB,$AR22)))*100)</f>
        <v/>
      </c>
      <c r="J22" s="113">
        <f>IF(IF($AR22="","",IF(INDEX('_pockets'!$Z:$Z,$AR22)="","",INDEX('_pockets'!$Z:$Z,$AR22)))="","",-IF($AR22="","",IF(INDEX('_pockets'!$Z:$Z,$AR22)="","",INDEX('_pockets'!$Z:$Z,$AR22))))</f>
        <v/>
      </c>
      <c r="K22" s="123">
        <f>IF(OR($AO22=1,$AO22=""),"",IF(AND($AT22="worse",$AU22="better"),"Priced for it",IF(AND($AT22="worse",$AU22="worse"),"Net drain",IF(AND($AT22="better",$AU22="better"),"Strong",IF(AND($AT22="better",$AU22="worse"),"Safe but idle",IF(AND(OR($AT22="in line",$AT22="worse, not significant",$AT22="better, not significant"),$AU22="worse"),"Earns less, not from losses",IF(AND($AT22="worse",OR($AU22="in line",$AU22="worse, not significant",$AU22="better, not significant")),"Losing more, profit holding","")))))))</f>
        <v/>
      </c>
      <c r="AN22">
        <f>IFERROR(MATCH("C|"&amp;$B$16&amp;"|3",'_views'!$A:$A,0),"")</f>
        <v/>
      </c>
      <c r="AO22">
        <f>IF($AN22="","",IF(INDEX('_views'!$B:$ZZ,$AN22,4)="","",INDEX('_views'!$B:$ZZ,$AN22,4)))</f>
        <v/>
      </c>
      <c r="AP22">
        <f>IF($AN22="","",IF(INDEX('_views'!$B:$ZZ,$AN22,5)="","",INDEX('_views'!$B:$ZZ,$AN22,5)))</f>
        <v/>
      </c>
      <c r="AQ22">
        <f>IF($AN22="","",IF(INDEX('_views'!$B:$ZZ,$AN22,6)="","",INDEX('_views'!$B:$ZZ,$AN22,6)))</f>
        <v/>
      </c>
      <c r="AR22">
        <f>IF($AN22="","",IF(INDEX('_views'!$B:$ZZ,$AN22,7)="","",INDEX('_views'!$B:$ZZ,$AN22,7)))</f>
        <v/>
      </c>
      <c r="AS22">
        <f>IF($AP22="","",IF(INDEX('_pockets'!$Y:$Y,$AP22)="","",INDEX('_pockets'!$Y:$Y,$AP22)))</f>
        <v/>
      </c>
      <c r="AT22">
        <f>IF($AQ22="","",IF(INDEX('_pockets'!$Y:$Y,$AQ22)="","",INDEX('_pockets'!$Y:$Y,$AQ22)))</f>
        <v/>
      </c>
      <c r="AU22">
        <f>IF($AR22="","",IF(INDEX('_pockets'!$Y:$Y,$AR22)="","",INDEX('_pockets'!$Y:$Y,$AR22)))</f>
        <v/>
      </c>
    </row>
    <row r="23" ht="16" customHeight="1">
      <c r="B23" s="112">
        <f>IF($AN23="","",IF(INDEX('_views'!$B:$ZZ,$AN23,1)="","",INDEX('_views'!$B:$ZZ,$AN23,1)))</f>
        <v/>
      </c>
      <c r="C23" s="112">
        <f>IF($AN23="","",IF(INDEX('_views'!$B:$ZZ,$AN23,2)="","",INDEX('_views'!$B:$ZZ,$AN23,2)))</f>
        <v/>
      </c>
      <c r="D23" s="113">
        <f>IF($AN23="","",IF(INDEX('_views'!$B:$ZZ,$AN23,3)="","",INDEX('_views'!$B:$ZZ,$AN23,3)))</f>
        <v/>
      </c>
      <c r="E23" s="122">
        <f>IF(IF($AP23="","",IF(INDEX('_pockets'!$AB:$AB,$AP23)="","",INDEX('_pockets'!$AB:$AB,$AP23)))="","",IF($AP23="","",IF(INDEX('_pockets'!$AB:$AB,$AP23)="","",INDEX('_pockets'!$AB:$AB,$AP23)))*100)</f>
        <v/>
      </c>
      <c r="F23" s="113">
        <f>IF(IF($AP23="","",IF(INDEX('_pockets'!$Z:$Z,$AP23)="","",INDEX('_pockets'!$Z:$Z,$AP23)))="","",-IF($AP23="","",IF(INDEX('_pockets'!$Z:$Z,$AP23)="","",INDEX('_pockets'!$Z:$Z,$AP23))))</f>
        <v/>
      </c>
      <c r="G23" s="115">
        <f>IF($AQ23="","",IF(INDEX('_pockets'!$AB:$AB,$AQ23)="","",INDEX('_pockets'!$AB:$AB,$AQ23)))</f>
        <v/>
      </c>
      <c r="H23" s="113">
        <f>IF($AQ23="","",IF(INDEX('_pockets'!$Z:$Z,$AQ23)="","",INDEX('_pockets'!$Z:$Z,$AQ23)))</f>
        <v/>
      </c>
      <c r="I23" s="122">
        <f>IF(IF($AR23="","",IF(INDEX('_pockets'!$AB:$AB,$AR23)="","",INDEX('_pockets'!$AB:$AB,$AR23)))="","",IF($AR23="","",IF(INDEX('_pockets'!$AB:$AB,$AR23)="","",INDEX('_pockets'!$AB:$AB,$AR23)))*100)</f>
        <v/>
      </c>
      <c r="J23" s="113">
        <f>IF(IF($AR23="","",IF(INDEX('_pockets'!$Z:$Z,$AR23)="","",INDEX('_pockets'!$Z:$Z,$AR23)))="","",-IF($AR23="","",IF(INDEX('_pockets'!$Z:$Z,$AR23)="","",INDEX('_pockets'!$Z:$Z,$AR23))))</f>
        <v/>
      </c>
      <c r="K23" s="123">
        <f>IF(OR($AO23=1,$AO23=""),"",IF(AND($AT23="worse",$AU23="better"),"Priced for it",IF(AND($AT23="worse",$AU23="worse"),"Net drain",IF(AND($AT23="better",$AU23="better"),"Strong",IF(AND($AT23="better",$AU23="worse"),"Safe but idle",IF(AND(OR($AT23="in line",$AT23="worse, not significant",$AT23="better, not significant"),$AU23="worse"),"Earns less, not from losses",IF(AND($AT23="worse",OR($AU23="in line",$AU23="worse, not significant",$AU23="better, not significant")),"Losing more, profit holding","")))))))</f>
        <v/>
      </c>
      <c r="AN23">
        <f>IFERROR(MATCH("C|"&amp;$B$16&amp;"|4",'_views'!$A:$A,0),"")</f>
        <v/>
      </c>
      <c r="AO23">
        <f>IF($AN23="","",IF(INDEX('_views'!$B:$ZZ,$AN23,4)="","",INDEX('_views'!$B:$ZZ,$AN23,4)))</f>
        <v/>
      </c>
      <c r="AP23">
        <f>IF($AN23="","",IF(INDEX('_views'!$B:$ZZ,$AN23,5)="","",INDEX('_views'!$B:$ZZ,$AN23,5)))</f>
        <v/>
      </c>
      <c r="AQ23">
        <f>IF($AN23="","",IF(INDEX('_views'!$B:$ZZ,$AN23,6)="","",INDEX('_views'!$B:$ZZ,$AN23,6)))</f>
        <v/>
      </c>
      <c r="AR23">
        <f>IF($AN23="","",IF(INDEX('_views'!$B:$ZZ,$AN23,7)="","",INDEX('_views'!$B:$ZZ,$AN23,7)))</f>
        <v/>
      </c>
      <c r="AS23">
        <f>IF($AP23="","",IF(INDEX('_pockets'!$Y:$Y,$AP23)="","",INDEX('_pockets'!$Y:$Y,$AP23)))</f>
        <v/>
      </c>
      <c r="AT23">
        <f>IF($AQ23="","",IF(INDEX('_pockets'!$Y:$Y,$AQ23)="","",INDEX('_pockets'!$Y:$Y,$AQ23)))</f>
        <v/>
      </c>
      <c r="AU23">
        <f>IF($AR23="","",IF(INDEX('_pockets'!$Y:$Y,$AR23)="","",INDEX('_pockets'!$Y:$Y,$AR23)))</f>
        <v/>
      </c>
    </row>
    <row r="24" ht="16" customHeight="1">
      <c r="B24" s="112">
        <f>IF($AN24="","",IF(INDEX('_views'!$B:$ZZ,$AN24,1)="","",INDEX('_views'!$B:$ZZ,$AN24,1)))</f>
        <v/>
      </c>
      <c r="C24" s="112">
        <f>IF($AN24="","",IF(INDEX('_views'!$B:$ZZ,$AN24,2)="","",INDEX('_views'!$B:$ZZ,$AN24,2)))</f>
        <v/>
      </c>
      <c r="D24" s="113">
        <f>IF($AN24="","",IF(INDEX('_views'!$B:$ZZ,$AN24,3)="","",INDEX('_views'!$B:$ZZ,$AN24,3)))</f>
        <v/>
      </c>
      <c r="E24" s="122">
        <f>IF(IF($AP24="","",IF(INDEX('_pockets'!$AB:$AB,$AP24)="","",INDEX('_pockets'!$AB:$AB,$AP24)))="","",IF($AP24="","",IF(INDEX('_pockets'!$AB:$AB,$AP24)="","",INDEX('_pockets'!$AB:$AB,$AP24)))*100)</f>
        <v/>
      </c>
      <c r="F24" s="113">
        <f>IF(IF($AP24="","",IF(INDEX('_pockets'!$Z:$Z,$AP24)="","",INDEX('_pockets'!$Z:$Z,$AP24)))="","",-IF($AP24="","",IF(INDEX('_pockets'!$Z:$Z,$AP24)="","",INDEX('_pockets'!$Z:$Z,$AP24))))</f>
        <v/>
      </c>
      <c r="G24" s="115">
        <f>IF($AQ24="","",IF(INDEX('_pockets'!$AB:$AB,$AQ24)="","",INDEX('_pockets'!$AB:$AB,$AQ24)))</f>
        <v/>
      </c>
      <c r="H24" s="113">
        <f>IF($AQ24="","",IF(INDEX('_pockets'!$Z:$Z,$AQ24)="","",INDEX('_pockets'!$Z:$Z,$AQ24)))</f>
        <v/>
      </c>
      <c r="I24" s="122">
        <f>IF(IF($AR24="","",IF(INDEX('_pockets'!$AB:$AB,$AR24)="","",INDEX('_pockets'!$AB:$AB,$AR24)))="","",IF($AR24="","",IF(INDEX('_pockets'!$AB:$AB,$AR24)="","",INDEX('_pockets'!$AB:$AB,$AR24)))*100)</f>
        <v/>
      </c>
      <c r="J24" s="113">
        <f>IF(IF($AR24="","",IF(INDEX('_pockets'!$Z:$Z,$AR24)="","",INDEX('_pockets'!$Z:$Z,$AR24)))="","",-IF($AR24="","",IF(INDEX('_pockets'!$Z:$Z,$AR24)="","",INDEX('_pockets'!$Z:$Z,$AR24))))</f>
        <v/>
      </c>
      <c r="K24" s="123">
        <f>IF(OR($AO24=1,$AO24=""),"",IF(AND($AT24="worse",$AU24="better"),"Priced for it",IF(AND($AT24="worse",$AU24="worse"),"Net drain",IF(AND($AT24="better",$AU24="better"),"Strong",IF(AND($AT24="better",$AU24="worse"),"Safe but idle",IF(AND(OR($AT24="in line",$AT24="worse, not significant",$AT24="better, not significant"),$AU24="worse"),"Earns less, not from losses",IF(AND($AT24="worse",OR($AU24="in line",$AU24="worse, not significant",$AU24="better, not significant")),"Losing more, profit holding","")))))))</f>
        <v/>
      </c>
      <c r="AN24">
        <f>IFERROR(MATCH("C|"&amp;$B$16&amp;"|5",'_views'!$A:$A,0),"")</f>
        <v/>
      </c>
      <c r="AO24">
        <f>IF($AN24="","",IF(INDEX('_views'!$B:$ZZ,$AN24,4)="","",INDEX('_views'!$B:$ZZ,$AN24,4)))</f>
        <v/>
      </c>
      <c r="AP24">
        <f>IF($AN24="","",IF(INDEX('_views'!$B:$ZZ,$AN24,5)="","",INDEX('_views'!$B:$ZZ,$AN24,5)))</f>
        <v/>
      </c>
      <c r="AQ24">
        <f>IF($AN24="","",IF(INDEX('_views'!$B:$ZZ,$AN24,6)="","",INDEX('_views'!$B:$ZZ,$AN24,6)))</f>
        <v/>
      </c>
      <c r="AR24">
        <f>IF($AN24="","",IF(INDEX('_views'!$B:$ZZ,$AN24,7)="","",INDEX('_views'!$B:$ZZ,$AN24,7)))</f>
        <v/>
      </c>
      <c r="AS24">
        <f>IF($AP24="","",IF(INDEX('_pockets'!$Y:$Y,$AP24)="","",INDEX('_pockets'!$Y:$Y,$AP24)))</f>
        <v/>
      </c>
      <c r="AT24">
        <f>IF($AQ24="","",IF(INDEX('_pockets'!$Y:$Y,$AQ24)="","",INDEX('_pockets'!$Y:$Y,$AQ24)))</f>
        <v/>
      </c>
      <c r="AU24">
        <f>IF($AR24="","",IF(INDEX('_pockets'!$Y:$Y,$AR24)="","",INDEX('_pockets'!$Y:$Y,$AR24)))</f>
        <v/>
      </c>
    </row>
    <row r="25" ht="16" customHeight="1">
      <c r="B25" s="112">
        <f>IF($AN25="","",IF(INDEX('_views'!$B:$ZZ,$AN25,1)="","",INDEX('_views'!$B:$ZZ,$AN25,1)))</f>
        <v/>
      </c>
      <c r="C25" s="112">
        <f>IF($AN25="","",IF(INDEX('_views'!$B:$ZZ,$AN25,2)="","",INDEX('_views'!$B:$ZZ,$AN25,2)))</f>
        <v/>
      </c>
      <c r="D25" s="113">
        <f>IF($AN25="","",IF(INDEX('_views'!$B:$ZZ,$AN25,3)="","",INDEX('_views'!$B:$ZZ,$AN25,3)))</f>
        <v/>
      </c>
      <c r="E25" s="122">
        <f>IF(IF($AP25="","",IF(INDEX('_pockets'!$AB:$AB,$AP25)="","",INDEX('_pockets'!$AB:$AB,$AP25)))="","",IF($AP25="","",IF(INDEX('_pockets'!$AB:$AB,$AP25)="","",INDEX('_pockets'!$AB:$AB,$AP25)))*100)</f>
        <v/>
      </c>
      <c r="F25" s="113">
        <f>IF(IF($AP25="","",IF(INDEX('_pockets'!$Z:$Z,$AP25)="","",INDEX('_pockets'!$Z:$Z,$AP25)))="","",-IF($AP25="","",IF(INDEX('_pockets'!$Z:$Z,$AP25)="","",INDEX('_pockets'!$Z:$Z,$AP25))))</f>
        <v/>
      </c>
      <c r="G25" s="115">
        <f>IF($AQ25="","",IF(INDEX('_pockets'!$AB:$AB,$AQ25)="","",INDEX('_pockets'!$AB:$AB,$AQ25)))</f>
        <v/>
      </c>
      <c r="H25" s="113">
        <f>IF($AQ25="","",IF(INDEX('_pockets'!$Z:$Z,$AQ25)="","",INDEX('_pockets'!$Z:$Z,$AQ25)))</f>
        <v/>
      </c>
      <c r="I25" s="122">
        <f>IF(IF($AR25="","",IF(INDEX('_pockets'!$AB:$AB,$AR25)="","",INDEX('_pockets'!$AB:$AB,$AR25)))="","",IF($AR25="","",IF(INDEX('_pockets'!$AB:$AB,$AR25)="","",INDEX('_pockets'!$AB:$AB,$AR25)))*100)</f>
        <v/>
      </c>
      <c r="J25" s="113">
        <f>IF(IF($AR25="","",IF(INDEX('_pockets'!$Z:$Z,$AR25)="","",INDEX('_pockets'!$Z:$Z,$AR25)))="","",-IF($AR25="","",IF(INDEX('_pockets'!$Z:$Z,$AR25)="","",INDEX('_pockets'!$Z:$Z,$AR25))))</f>
        <v/>
      </c>
      <c r="K25" s="123">
        <f>IF(OR($AO25=1,$AO25=""),"",IF(AND($AT25="worse",$AU25="better"),"Priced for it",IF(AND($AT25="worse",$AU25="worse"),"Net drain",IF(AND($AT25="better",$AU25="better"),"Strong",IF(AND($AT25="better",$AU25="worse"),"Safe but idle",IF(AND(OR($AT25="in line",$AT25="worse, not significant",$AT25="better, not significant"),$AU25="worse"),"Earns less, not from losses",IF(AND($AT25="worse",OR($AU25="in line",$AU25="worse, not significant",$AU25="better, not significant")),"Losing more, profit holding","")))))))</f>
        <v/>
      </c>
      <c r="AN25">
        <f>IFERROR(MATCH("C|"&amp;$B$16&amp;"|6",'_views'!$A:$A,0),"")</f>
        <v/>
      </c>
      <c r="AO25">
        <f>IF($AN25="","",IF(INDEX('_views'!$B:$ZZ,$AN25,4)="","",INDEX('_views'!$B:$ZZ,$AN25,4)))</f>
        <v/>
      </c>
      <c r="AP25">
        <f>IF($AN25="","",IF(INDEX('_views'!$B:$ZZ,$AN25,5)="","",INDEX('_views'!$B:$ZZ,$AN25,5)))</f>
        <v/>
      </c>
      <c r="AQ25">
        <f>IF($AN25="","",IF(INDEX('_views'!$B:$ZZ,$AN25,6)="","",INDEX('_views'!$B:$ZZ,$AN25,6)))</f>
        <v/>
      </c>
      <c r="AR25">
        <f>IF($AN25="","",IF(INDEX('_views'!$B:$ZZ,$AN25,7)="","",INDEX('_views'!$B:$ZZ,$AN25,7)))</f>
        <v/>
      </c>
      <c r="AS25">
        <f>IF($AP25="","",IF(INDEX('_pockets'!$Y:$Y,$AP25)="","",INDEX('_pockets'!$Y:$Y,$AP25)))</f>
        <v/>
      </c>
      <c r="AT25">
        <f>IF($AQ25="","",IF(INDEX('_pockets'!$Y:$Y,$AQ25)="","",INDEX('_pockets'!$Y:$Y,$AQ25)))</f>
        <v/>
      </c>
      <c r="AU25">
        <f>IF($AR25="","",IF(INDEX('_pockets'!$Y:$Y,$AR25)="","",INDEX('_pockets'!$Y:$Y,$AR25)))</f>
        <v/>
      </c>
    </row>
    <row r="26" ht="16" customHeight="1">
      <c r="B26" s="112">
        <f>IF($AN26="","",IF(INDEX('_views'!$B:$ZZ,$AN26,1)="","",INDEX('_views'!$B:$ZZ,$AN26,1)))</f>
        <v/>
      </c>
      <c r="C26" s="112">
        <f>IF($AN26="","",IF(INDEX('_views'!$B:$ZZ,$AN26,2)="","",INDEX('_views'!$B:$ZZ,$AN26,2)))</f>
        <v/>
      </c>
      <c r="D26" s="113">
        <f>IF($AN26="","",IF(INDEX('_views'!$B:$ZZ,$AN26,3)="","",INDEX('_views'!$B:$ZZ,$AN26,3)))</f>
        <v/>
      </c>
      <c r="E26" s="122">
        <f>IF(IF($AP26="","",IF(INDEX('_pockets'!$AB:$AB,$AP26)="","",INDEX('_pockets'!$AB:$AB,$AP26)))="","",IF($AP26="","",IF(INDEX('_pockets'!$AB:$AB,$AP26)="","",INDEX('_pockets'!$AB:$AB,$AP26)))*100)</f>
        <v/>
      </c>
      <c r="F26" s="113">
        <f>IF(IF($AP26="","",IF(INDEX('_pockets'!$Z:$Z,$AP26)="","",INDEX('_pockets'!$Z:$Z,$AP26)))="","",-IF($AP26="","",IF(INDEX('_pockets'!$Z:$Z,$AP26)="","",INDEX('_pockets'!$Z:$Z,$AP26))))</f>
        <v/>
      </c>
      <c r="G26" s="115">
        <f>IF($AQ26="","",IF(INDEX('_pockets'!$AB:$AB,$AQ26)="","",INDEX('_pockets'!$AB:$AB,$AQ26)))</f>
        <v/>
      </c>
      <c r="H26" s="113">
        <f>IF($AQ26="","",IF(INDEX('_pockets'!$Z:$Z,$AQ26)="","",INDEX('_pockets'!$Z:$Z,$AQ26)))</f>
        <v/>
      </c>
      <c r="I26" s="122">
        <f>IF(IF($AR26="","",IF(INDEX('_pockets'!$AB:$AB,$AR26)="","",INDEX('_pockets'!$AB:$AB,$AR26)))="","",IF($AR26="","",IF(INDEX('_pockets'!$AB:$AB,$AR26)="","",INDEX('_pockets'!$AB:$AB,$AR26)))*100)</f>
        <v/>
      </c>
      <c r="J26" s="113">
        <f>IF(IF($AR26="","",IF(INDEX('_pockets'!$Z:$Z,$AR26)="","",INDEX('_pockets'!$Z:$Z,$AR26)))="","",-IF($AR26="","",IF(INDEX('_pockets'!$Z:$Z,$AR26)="","",INDEX('_pockets'!$Z:$Z,$AR26))))</f>
        <v/>
      </c>
      <c r="K26" s="123">
        <f>IF(OR($AO26=1,$AO26=""),"",IF(AND($AT26="worse",$AU26="better"),"Priced for it",IF(AND($AT26="worse",$AU26="worse"),"Net drain",IF(AND($AT26="better",$AU26="better"),"Strong",IF(AND($AT26="better",$AU26="worse"),"Safe but idle",IF(AND(OR($AT26="in line",$AT26="worse, not significant",$AT26="better, not significant"),$AU26="worse"),"Earns less, not from losses",IF(AND($AT26="worse",OR($AU26="in line",$AU26="worse, not significant",$AU26="better, not significant")),"Losing more, profit holding","")))))))</f>
        <v/>
      </c>
      <c r="AN26">
        <f>IFERROR(MATCH("C|"&amp;$B$16&amp;"|7",'_views'!$A:$A,0),"")</f>
        <v/>
      </c>
      <c r="AO26">
        <f>IF($AN26="","",IF(INDEX('_views'!$B:$ZZ,$AN26,4)="","",INDEX('_views'!$B:$ZZ,$AN26,4)))</f>
        <v/>
      </c>
      <c r="AP26">
        <f>IF($AN26="","",IF(INDEX('_views'!$B:$ZZ,$AN26,5)="","",INDEX('_views'!$B:$ZZ,$AN26,5)))</f>
        <v/>
      </c>
      <c r="AQ26">
        <f>IF($AN26="","",IF(INDEX('_views'!$B:$ZZ,$AN26,6)="","",INDEX('_views'!$B:$ZZ,$AN26,6)))</f>
        <v/>
      </c>
      <c r="AR26">
        <f>IF($AN26="","",IF(INDEX('_views'!$B:$ZZ,$AN26,7)="","",INDEX('_views'!$B:$ZZ,$AN26,7)))</f>
        <v/>
      </c>
      <c r="AS26">
        <f>IF($AP26="","",IF(INDEX('_pockets'!$Y:$Y,$AP26)="","",INDEX('_pockets'!$Y:$Y,$AP26)))</f>
        <v/>
      </c>
      <c r="AT26">
        <f>IF($AQ26="","",IF(INDEX('_pockets'!$Y:$Y,$AQ26)="","",INDEX('_pockets'!$Y:$Y,$AQ26)))</f>
        <v/>
      </c>
      <c r="AU26">
        <f>IF($AR26="","",IF(INDEX('_pockets'!$Y:$Y,$AR26)="","",INDEX('_pockets'!$Y:$Y,$AR26)))</f>
        <v/>
      </c>
    </row>
    <row r="27" ht="16" customHeight="1">
      <c r="B27" s="112">
        <f>IF($AN27="","",IF(INDEX('_views'!$B:$ZZ,$AN27,1)="","",INDEX('_views'!$B:$ZZ,$AN27,1)))</f>
        <v/>
      </c>
      <c r="C27" s="112">
        <f>IF($AN27="","",IF(INDEX('_views'!$B:$ZZ,$AN27,2)="","",INDEX('_views'!$B:$ZZ,$AN27,2)))</f>
        <v/>
      </c>
      <c r="D27" s="113">
        <f>IF($AN27="","",IF(INDEX('_views'!$B:$ZZ,$AN27,3)="","",INDEX('_views'!$B:$ZZ,$AN27,3)))</f>
        <v/>
      </c>
      <c r="E27" s="122">
        <f>IF(IF($AP27="","",IF(INDEX('_pockets'!$AB:$AB,$AP27)="","",INDEX('_pockets'!$AB:$AB,$AP27)))="","",IF($AP27="","",IF(INDEX('_pockets'!$AB:$AB,$AP27)="","",INDEX('_pockets'!$AB:$AB,$AP27)))*100)</f>
        <v/>
      </c>
      <c r="F27" s="113">
        <f>IF(IF($AP27="","",IF(INDEX('_pockets'!$Z:$Z,$AP27)="","",INDEX('_pockets'!$Z:$Z,$AP27)))="","",-IF($AP27="","",IF(INDEX('_pockets'!$Z:$Z,$AP27)="","",INDEX('_pockets'!$Z:$Z,$AP27))))</f>
        <v/>
      </c>
      <c r="G27" s="115">
        <f>IF($AQ27="","",IF(INDEX('_pockets'!$AB:$AB,$AQ27)="","",INDEX('_pockets'!$AB:$AB,$AQ27)))</f>
        <v/>
      </c>
      <c r="H27" s="113">
        <f>IF($AQ27="","",IF(INDEX('_pockets'!$Z:$Z,$AQ27)="","",INDEX('_pockets'!$Z:$Z,$AQ27)))</f>
        <v/>
      </c>
      <c r="I27" s="122">
        <f>IF(IF($AR27="","",IF(INDEX('_pockets'!$AB:$AB,$AR27)="","",INDEX('_pockets'!$AB:$AB,$AR27)))="","",IF($AR27="","",IF(INDEX('_pockets'!$AB:$AB,$AR27)="","",INDEX('_pockets'!$AB:$AB,$AR27)))*100)</f>
        <v/>
      </c>
      <c r="J27" s="113">
        <f>IF(IF($AR27="","",IF(INDEX('_pockets'!$Z:$Z,$AR27)="","",INDEX('_pockets'!$Z:$Z,$AR27)))="","",-IF($AR27="","",IF(INDEX('_pockets'!$Z:$Z,$AR27)="","",INDEX('_pockets'!$Z:$Z,$AR27))))</f>
        <v/>
      </c>
      <c r="K27" s="123">
        <f>IF(OR($AO27=1,$AO27=""),"",IF(AND($AT27="worse",$AU27="better"),"Priced for it",IF(AND($AT27="worse",$AU27="worse"),"Net drain",IF(AND($AT27="better",$AU27="better"),"Strong",IF(AND($AT27="better",$AU27="worse"),"Safe but idle",IF(AND(OR($AT27="in line",$AT27="worse, not significant",$AT27="better, not significant"),$AU27="worse"),"Earns less, not from losses",IF(AND($AT27="worse",OR($AU27="in line",$AU27="worse, not significant",$AU27="better, not significant")),"Losing more, profit holding","")))))))</f>
        <v/>
      </c>
      <c r="AN27">
        <f>IFERROR(MATCH("C|"&amp;$B$16&amp;"|8",'_views'!$A:$A,0),"")</f>
        <v/>
      </c>
      <c r="AO27">
        <f>IF($AN27="","",IF(INDEX('_views'!$B:$ZZ,$AN27,4)="","",INDEX('_views'!$B:$ZZ,$AN27,4)))</f>
        <v/>
      </c>
      <c r="AP27">
        <f>IF($AN27="","",IF(INDEX('_views'!$B:$ZZ,$AN27,5)="","",INDEX('_views'!$B:$ZZ,$AN27,5)))</f>
        <v/>
      </c>
      <c r="AQ27">
        <f>IF($AN27="","",IF(INDEX('_views'!$B:$ZZ,$AN27,6)="","",INDEX('_views'!$B:$ZZ,$AN27,6)))</f>
        <v/>
      </c>
      <c r="AR27">
        <f>IF($AN27="","",IF(INDEX('_views'!$B:$ZZ,$AN27,7)="","",INDEX('_views'!$B:$ZZ,$AN27,7)))</f>
        <v/>
      </c>
      <c r="AS27">
        <f>IF($AP27="","",IF(INDEX('_pockets'!$Y:$Y,$AP27)="","",INDEX('_pockets'!$Y:$Y,$AP27)))</f>
        <v/>
      </c>
      <c r="AT27">
        <f>IF($AQ27="","",IF(INDEX('_pockets'!$Y:$Y,$AQ27)="","",INDEX('_pockets'!$Y:$Y,$AQ27)))</f>
        <v/>
      </c>
      <c r="AU27">
        <f>IF($AR27="","",IF(INDEX('_pockets'!$Y:$Y,$AR27)="","",INDEX('_pockets'!$Y:$Y,$AR27)))</f>
        <v/>
      </c>
    </row>
    <row r="28" ht="16" customHeight="1">
      <c r="B28" s="112">
        <f>IF($AN28="","",IF(INDEX('_views'!$B:$ZZ,$AN28,1)="","",INDEX('_views'!$B:$ZZ,$AN28,1)))</f>
        <v/>
      </c>
      <c r="C28" s="112">
        <f>IF($AN28="","",IF(INDEX('_views'!$B:$ZZ,$AN28,2)="","",INDEX('_views'!$B:$ZZ,$AN28,2)))</f>
        <v/>
      </c>
      <c r="D28" s="113">
        <f>IF($AN28="","",IF(INDEX('_views'!$B:$ZZ,$AN28,3)="","",INDEX('_views'!$B:$ZZ,$AN28,3)))</f>
        <v/>
      </c>
      <c r="E28" s="122">
        <f>IF(IF($AP28="","",IF(INDEX('_pockets'!$AB:$AB,$AP28)="","",INDEX('_pockets'!$AB:$AB,$AP28)))="","",IF($AP28="","",IF(INDEX('_pockets'!$AB:$AB,$AP28)="","",INDEX('_pockets'!$AB:$AB,$AP28)))*100)</f>
        <v/>
      </c>
      <c r="F28" s="113">
        <f>IF(IF($AP28="","",IF(INDEX('_pockets'!$Z:$Z,$AP28)="","",INDEX('_pockets'!$Z:$Z,$AP28)))="","",-IF($AP28="","",IF(INDEX('_pockets'!$Z:$Z,$AP28)="","",INDEX('_pockets'!$Z:$Z,$AP28))))</f>
        <v/>
      </c>
      <c r="G28" s="115">
        <f>IF($AQ28="","",IF(INDEX('_pockets'!$AB:$AB,$AQ28)="","",INDEX('_pockets'!$AB:$AB,$AQ28)))</f>
        <v/>
      </c>
      <c r="H28" s="113">
        <f>IF($AQ28="","",IF(INDEX('_pockets'!$Z:$Z,$AQ28)="","",INDEX('_pockets'!$Z:$Z,$AQ28)))</f>
        <v/>
      </c>
      <c r="I28" s="122">
        <f>IF(IF($AR28="","",IF(INDEX('_pockets'!$AB:$AB,$AR28)="","",INDEX('_pockets'!$AB:$AB,$AR28)))="","",IF($AR28="","",IF(INDEX('_pockets'!$AB:$AB,$AR28)="","",INDEX('_pockets'!$AB:$AB,$AR28)))*100)</f>
        <v/>
      </c>
      <c r="J28" s="113">
        <f>IF(IF($AR28="","",IF(INDEX('_pockets'!$Z:$Z,$AR28)="","",INDEX('_pockets'!$Z:$Z,$AR28)))="","",-IF($AR28="","",IF(INDEX('_pockets'!$Z:$Z,$AR28)="","",INDEX('_pockets'!$Z:$Z,$AR28))))</f>
        <v/>
      </c>
      <c r="K28" s="123">
        <f>IF(OR($AO28=1,$AO28=""),"",IF(AND($AT28="worse",$AU28="better"),"Priced for it",IF(AND($AT28="worse",$AU28="worse"),"Net drain",IF(AND($AT28="better",$AU28="better"),"Strong",IF(AND($AT28="better",$AU28="worse"),"Safe but idle",IF(AND(OR($AT28="in line",$AT28="worse, not significant",$AT28="better, not significant"),$AU28="worse"),"Earns less, not from losses",IF(AND($AT28="worse",OR($AU28="in line",$AU28="worse, not significant",$AU28="better, not significant")),"Losing more, profit holding","")))))))</f>
        <v/>
      </c>
      <c r="AN28">
        <f>IFERROR(MATCH("C|"&amp;$B$16&amp;"|9",'_views'!$A:$A,0),"")</f>
        <v/>
      </c>
      <c r="AO28">
        <f>IF($AN28="","",IF(INDEX('_views'!$B:$ZZ,$AN28,4)="","",INDEX('_views'!$B:$ZZ,$AN28,4)))</f>
        <v/>
      </c>
      <c r="AP28">
        <f>IF($AN28="","",IF(INDEX('_views'!$B:$ZZ,$AN28,5)="","",INDEX('_views'!$B:$ZZ,$AN28,5)))</f>
        <v/>
      </c>
      <c r="AQ28">
        <f>IF($AN28="","",IF(INDEX('_views'!$B:$ZZ,$AN28,6)="","",INDEX('_views'!$B:$ZZ,$AN28,6)))</f>
        <v/>
      </c>
      <c r="AR28">
        <f>IF($AN28="","",IF(INDEX('_views'!$B:$ZZ,$AN28,7)="","",INDEX('_views'!$B:$ZZ,$AN28,7)))</f>
        <v/>
      </c>
      <c r="AS28">
        <f>IF($AP28="","",IF(INDEX('_pockets'!$Y:$Y,$AP28)="","",INDEX('_pockets'!$Y:$Y,$AP28)))</f>
        <v/>
      </c>
      <c r="AT28">
        <f>IF($AQ28="","",IF(INDEX('_pockets'!$Y:$Y,$AQ28)="","",INDEX('_pockets'!$Y:$Y,$AQ28)))</f>
        <v/>
      </c>
      <c r="AU28">
        <f>IF($AR28="","",IF(INDEX('_pockets'!$Y:$Y,$AR28)="","",INDEX('_pockets'!$Y:$Y,$AR28)))</f>
        <v/>
      </c>
    </row>
    <row r="29" ht="16" customHeight="1">
      <c r="B29" s="112">
        <f>IF($AN29="","",IF(INDEX('_views'!$B:$ZZ,$AN29,1)="","",INDEX('_views'!$B:$ZZ,$AN29,1)))</f>
        <v/>
      </c>
      <c r="C29" s="112">
        <f>IF($AN29="","",IF(INDEX('_views'!$B:$ZZ,$AN29,2)="","",INDEX('_views'!$B:$ZZ,$AN29,2)))</f>
        <v/>
      </c>
      <c r="D29" s="113">
        <f>IF($AN29="","",IF(INDEX('_views'!$B:$ZZ,$AN29,3)="","",INDEX('_views'!$B:$ZZ,$AN29,3)))</f>
        <v/>
      </c>
      <c r="E29" s="122">
        <f>IF(IF($AP29="","",IF(INDEX('_pockets'!$AB:$AB,$AP29)="","",INDEX('_pockets'!$AB:$AB,$AP29)))="","",IF($AP29="","",IF(INDEX('_pockets'!$AB:$AB,$AP29)="","",INDEX('_pockets'!$AB:$AB,$AP29)))*100)</f>
        <v/>
      </c>
      <c r="F29" s="113">
        <f>IF(IF($AP29="","",IF(INDEX('_pockets'!$Z:$Z,$AP29)="","",INDEX('_pockets'!$Z:$Z,$AP29)))="","",-IF($AP29="","",IF(INDEX('_pockets'!$Z:$Z,$AP29)="","",INDEX('_pockets'!$Z:$Z,$AP29))))</f>
        <v/>
      </c>
      <c r="G29" s="115">
        <f>IF($AQ29="","",IF(INDEX('_pockets'!$AB:$AB,$AQ29)="","",INDEX('_pockets'!$AB:$AB,$AQ29)))</f>
        <v/>
      </c>
      <c r="H29" s="113">
        <f>IF($AQ29="","",IF(INDEX('_pockets'!$Z:$Z,$AQ29)="","",INDEX('_pockets'!$Z:$Z,$AQ29)))</f>
        <v/>
      </c>
      <c r="I29" s="122">
        <f>IF(IF($AR29="","",IF(INDEX('_pockets'!$AB:$AB,$AR29)="","",INDEX('_pockets'!$AB:$AB,$AR29)))="","",IF($AR29="","",IF(INDEX('_pockets'!$AB:$AB,$AR29)="","",INDEX('_pockets'!$AB:$AB,$AR29)))*100)</f>
        <v/>
      </c>
      <c r="J29" s="113">
        <f>IF(IF($AR29="","",IF(INDEX('_pockets'!$Z:$Z,$AR29)="","",INDEX('_pockets'!$Z:$Z,$AR29)))="","",-IF($AR29="","",IF(INDEX('_pockets'!$Z:$Z,$AR29)="","",INDEX('_pockets'!$Z:$Z,$AR29))))</f>
        <v/>
      </c>
      <c r="K29" s="123">
        <f>IF(OR($AO29=1,$AO29=""),"",IF(AND($AT29="worse",$AU29="better"),"Priced for it",IF(AND($AT29="worse",$AU29="worse"),"Net drain",IF(AND($AT29="better",$AU29="better"),"Strong",IF(AND($AT29="better",$AU29="worse"),"Safe but idle",IF(AND(OR($AT29="in line",$AT29="worse, not significant",$AT29="better, not significant"),$AU29="worse"),"Earns less, not from losses",IF(AND($AT29="worse",OR($AU29="in line",$AU29="worse, not significant",$AU29="better, not significant")),"Losing more, profit holding","")))))))</f>
        <v/>
      </c>
      <c r="AN29">
        <f>IFERROR(MATCH("C|"&amp;$B$16&amp;"|10",'_views'!$A:$A,0),"")</f>
        <v/>
      </c>
      <c r="AO29">
        <f>IF($AN29="","",IF(INDEX('_views'!$B:$ZZ,$AN29,4)="","",INDEX('_views'!$B:$ZZ,$AN29,4)))</f>
        <v/>
      </c>
      <c r="AP29">
        <f>IF($AN29="","",IF(INDEX('_views'!$B:$ZZ,$AN29,5)="","",INDEX('_views'!$B:$ZZ,$AN29,5)))</f>
        <v/>
      </c>
      <c r="AQ29">
        <f>IF($AN29="","",IF(INDEX('_views'!$B:$ZZ,$AN29,6)="","",INDEX('_views'!$B:$ZZ,$AN29,6)))</f>
        <v/>
      </c>
      <c r="AR29">
        <f>IF($AN29="","",IF(INDEX('_views'!$B:$ZZ,$AN29,7)="","",INDEX('_views'!$B:$ZZ,$AN29,7)))</f>
        <v/>
      </c>
      <c r="AS29">
        <f>IF($AP29="","",IF(INDEX('_pockets'!$Y:$Y,$AP29)="","",INDEX('_pockets'!$Y:$Y,$AP29)))</f>
        <v/>
      </c>
      <c r="AT29">
        <f>IF($AQ29="","",IF(INDEX('_pockets'!$Y:$Y,$AQ29)="","",INDEX('_pockets'!$Y:$Y,$AQ29)))</f>
        <v/>
      </c>
      <c r="AU29">
        <f>IF($AR29="","",IF(INDEX('_pockets'!$Y:$Y,$AR29)="","",INDEX('_pockets'!$Y:$Y,$AR29)))</f>
        <v/>
      </c>
    </row>
    <row r="30" ht="16" customHeight="1">
      <c r="B30" s="112">
        <f>IF($AN30="","",IF(INDEX('_views'!$B:$ZZ,$AN30,1)="","",INDEX('_views'!$B:$ZZ,$AN30,1)))</f>
        <v/>
      </c>
      <c r="C30" s="112">
        <f>IF($AN30="","",IF(INDEX('_views'!$B:$ZZ,$AN30,2)="","",INDEX('_views'!$B:$ZZ,$AN30,2)))</f>
        <v/>
      </c>
      <c r="D30" s="113">
        <f>IF($AN30="","",IF(INDEX('_views'!$B:$ZZ,$AN30,3)="","",INDEX('_views'!$B:$ZZ,$AN30,3)))</f>
        <v/>
      </c>
      <c r="E30" s="122">
        <f>IF(IF($AP30="","",IF(INDEX('_pockets'!$AB:$AB,$AP30)="","",INDEX('_pockets'!$AB:$AB,$AP30)))="","",IF($AP30="","",IF(INDEX('_pockets'!$AB:$AB,$AP30)="","",INDEX('_pockets'!$AB:$AB,$AP30)))*100)</f>
        <v/>
      </c>
      <c r="F30" s="113">
        <f>IF(IF($AP30="","",IF(INDEX('_pockets'!$Z:$Z,$AP30)="","",INDEX('_pockets'!$Z:$Z,$AP30)))="","",-IF($AP30="","",IF(INDEX('_pockets'!$Z:$Z,$AP30)="","",INDEX('_pockets'!$Z:$Z,$AP30))))</f>
        <v/>
      </c>
      <c r="G30" s="115">
        <f>IF($AQ30="","",IF(INDEX('_pockets'!$AB:$AB,$AQ30)="","",INDEX('_pockets'!$AB:$AB,$AQ30)))</f>
        <v/>
      </c>
      <c r="H30" s="113">
        <f>IF($AQ30="","",IF(INDEX('_pockets'!$Z:$Z,$AQ30)="","",INDEX('_pockets'!$Z:$Z,$AQ30)))</f>
        <v/>
      </c>
      <c r="I30" s="122">
        <f>IF(IF($AR30="","",IF(INDEX('_pockets'!$AB:$AB,$AR30)="","",INDEX('_pockets'!$AB:$AB,$AR30)))="","",IF($AR30="","",IF(INDEX('_pockets'!$AB:$AB,$AR30)="","",INDEX('_pockets'!$AB:$AB,$AR30)))*100)</f>
        <v/>
      </c>
      <c r="J30" s="113">
        <f>IF(IF($AR30="","",IF(INDEX('_pockets'!$Z:$Z,$AR30)="","",INDEX('_pockets'!$Z:$Z,$AR30)))="","",-IF($AR30="","",IF(INDEX('_pockets'!$Z:$Z,$AR30)="","",INDEX('_pockets'!$Z:$Z,$AR30))))</f>
        <v/>
      </c>
      <c r="K30" s="123">
        <f>IF(OR($AO30=1,$AO30=""),"",IF(AND($AT30="worse",$AU30="better"),"Priced for it",IF(AND($AT30="worse",$AU30="worse"),"Net drain",IF(AND($AT30="better",$AU30="better"),"Strong",IF(AND($AT30="better",$AU30="worse"),"Safe but idle",IF(AND(OR($AT30="in line",$AT30="worse, not significant",$AT30="better, not significant"),$AU30="worse"),"Earns less, not from losses",IF(AND($AT30="worse",OR($AU30="in line",$AU30="worse, not significant",$AU30="better, not significant")),"Losing more, profit holding","")))))))</f>
        <v/>
      </c>
      <c r="AN30">
        <f>IFERROR(MATCH("C|"&amp;$B$16&amp;"|11",'_views'!$A:$A,0),"")</f>
        <v/>
      </c>
      <c r="AO30">
        <f>IF($AN30="","",IF(INDEX('_views'!$B:$ZZ,$AN30,4)="","",INDEX('_views'!$B:$ZZ,$AN30,4)))</f>
        <v/>
      </c>
      <c r="AP30">
        <f>IF($AN30="","",IF(INDEX('_views'!$B:$ZZ,$AN30,5)="","",INDEX('_views'!$B:$ZZ,$AN30,5)))</f>
        <v/>
      </c>
      <c r="AQ30">
        <f>IF($AN30="","",IF(INDEX('_views'!$B:$ZZ,$AN30,6)="","",INDEX('_views'!$B:$ZZ,$AN30,6)))</f>
        <v/>
      </c>
      <c r="AR30">
        <f>IF($AN30="","",IF(INDEX('_views'!$B:$ZZ,$AN30,7)="","",INDEX('_views'!$B:$ZZ,$AN30,7)))</f>
        <v/>
      </c>
      <c r="AS30">
        <f>IF($AP30="","",IF(INDEX('_pockets'!$Y:$Y,$AP30)="","",INDEX('_pockets'!$Y:$Y,$AP30)))</f>
        <v/>
      </c>
      <c r="AT30">
        <f>IF($AQ30="","",IF(INDEX('_pockets'!$Y:$Y,$AQ30)="","",INDEX('_pockets'!$Y:$Y,$AQ30)))</f>
        <v/>
      </c>
      <c r="AU30">
        <f>IF($AR30="","",IF(INDEX('_pockets'!$Y:$Y,$AR30)="","",INDEX('_pockets'!$Y:$Y,$AR30)))</f>
        <v/>
      </c>
    </row>
    <row r="31" ht="16" customHeight="1">
      <c r="B31" s="112">
        <f>IF($AN31="","",IF(INDEX('_views'!$B:$ZZ,$AN31,1)="","",INDEX('_views'!$B:$ZZ,$AN31,1)))</f>
        <v/>
      </c>
      <c r="C31" s="112">
        <f>IF($AN31="","",IF(INDEX('_views'!$B:$ZZ,$AN31,2)="","",INDEX('_views'!$B:$ZZ,$AN31,2)))</f>
        <v/>
      </c>
      <c r="D31" s="113">
        <f>IF($AN31="","",IF(INDEX('_views'!$B:$ZZ,$AN31,3)="","",INDEX('_views'!$B:$ZZ,$AN31,3)))</f>
        <v/>
      </c>
      <c r="E31" s="122">
        <f>IF(IF($AP31="","",IF(INDEX('_pockets'!$AB:$AB,$AP31)="","",INDEX('_pockets'!$AB:$AB,$AP31)))="","",IF($AP31="","",IF(INDEX('_pockets'!$AB:$AB,$AP31)="","",INDEX('_pockets'!$AB:$AB,$AP31)))*100)</f>
        <v/>
      </c>
      <c r="F31" s="113">
        <f>IF(IF($AP31="","",IF(INDEX('_pockets'!$Z:$Z,$AP31)="","",INDEX('_pockets'!$Z:$Z,$AP31)))="","",-IF($AP31="","",IF(INDEX('_pockets'!$Z:$Z,$AP31)="","",INDEX('_pockets'!$Z:$Z,$AP31))))</f>
        <v/>
      </c>
      <c r="G31" s="115">
        <f>IF($AQ31="","",IF(INDEX('_pockets'!$AB:$AB,$AQ31)="","",INDEX('_pockets'!$AB:$AB,$AQ31)))</f>
        <v/>
      </c>
      <c r="H31" s="113">
        <f>IF($AQ31="","",IF(INDEX('_pockets'!$Z:$Z,$AQ31)="","",INDEX('_pockets'!$Z:$Z,$AQ31)))</f>
        <v/>
      </c>
      <c r="I31" s="122">
        <f>IF(IF($AR31="","",IF(INDEX('_pockets'!$AB:$AB,$AR31)="","",INDEX('_pockets'!$AB:$AB,$AR31)))="","",IF($AR31="","",IF(INDEX('_pockets'!$AB:$AB,$AR31)="","",INDEX('_pockets'!$AB:$AB,$AR31)))*100)</f>
        <v/>
      </c>
      <c r="J31" s="113">
        <f>IF(IF($AR31="","",IF(INDEX('_pockets'!$Z:$Z,$AR31)="","",INDEX('_pockets'!$Z:$Z,$AR31)))="","",-IF($AR31="","",IF(INDEX('_pockets'!$Z:$Z,$AR31)="","",INDEX('_pockets'!$Z:$Z,$AR31))))</f>
        <v/>
      </c>
      <c r="K31" s="123">
        <f>IF(OR($AO31=1,$AO31=""),"",IF(AND($AT31="worse",$AU31="better"),"Priced for it",IF(AND($AT31="worse",$AU31="worse"),"Net drain",IF(AND($AT31="better",$AU31="better"),"Strong",IF(AND($AT31="better",$AU31="worse"),"Safe but idle",IF(AND(OR($AT31="in line",$AT31="worse, not significant",$AT31="better, not significant"),$AU31="worse"),"Earns less, not from losses",IF(AND($AT31="worse",OR($AU31="in line",$AU31="worse, not significant",$AU31="better, not significant")),"Losing more, profit holding","")))))))</f>
        <v/>
      </c>
      <c r="AN31">
        <f>IFERROR(MATCH("C|"&amp;$B$16&amp;"|12",'_views'!$A:$A,0),"")</f>
        <v/>
      </c>
      <c r="AO31">
        <f>IF($AN31="","",IF(INDEX('_views'!$B:$ZZ,$AN31,4)="","",INDEX('_views'!$B:$ZZ,$AN31,4)))</f>
        <v/>
      </c>
      <c r="AP31">
        <f>IF($AN31="","",IF(INDEX('_views'!$B:$ZZ,$AN31,5)="","",INDEX('_views'!$B:$ZZ,$AN31,5)))</f>
        <v/>
      </c>
      <c r="AQ31">
        <f>IF($AN31="","",IF(INDEX('_views'!$B:$ZZ,$AN31,6)="","",INDEX('_views'!$B:$ZZ,$AN31,6)))</f>
        <v/>
      </c>
      <c r="AR31">
        <f>IF($AN31="","",IF(INDEX('_views'!$B:$ZZ,$AN31,7)="","",INDEX('_views'!$B:$ZZ,$AN31,7)))</f>
        <v/>
      </c>
      <c r="AS31">
        <f>IF($AP31="","",IF(INDEX('_pockets'!$Y:$Y,$AP31)="","",INDEX('_pockets'!$Y:$Y,$AP31)))</f>
        <v/>
      </c>
      <c r="AT31">
        <f>IF($AQ31="","",IF(INDEX('_pockets'!$Y:$Y,$AQ31)="","",INDEX('_pockets'!$Y:$Y,$AQ31)))</f>
        <v/>
      </c>
      <c r="AU31">
        <f>IF($AR31="","",IF(INDEX('_pockets'!$Y:$Y,$AR31)="","",INDEX('_pockets'!$Y:$Y,$AR31)))</f>
        <v/>
      </c>
    </row>
    <row r="32" ht="16" customHeight="1">
      <c r="B32" s="112">
        <f>IF($AN32="","",IF(INDEX('_views'!$B:$ZZ,$AN32,1)="","",INDEX('_views'!$B:$ZZ,$AN32,1)))</f>
        <v/>
      </c>
      <c r="C32" s="112">
        <f>IF($AN32="","",IF(INDEX('_views'!$B:$ZZ,$AN32,2)="","",INDEX('_views'!$B:$ZZ,$AN32,2)))</f>
        <v/>
      </c>
      <c r="D32" s="113">
        <f>IF($AN32="","",IF(INDEX('_views'!$B:$ZZ,$AN32,3)="","",INDEX('_views'!$B:$ZZ,$AN32,3)))</f>
        <v/>
      </c>
      <c r="E32" s="122">
        <f>IF(IF($AP32="","",IF(INDEX('_pockets'!$AB:$AB,$AP32)="","",INDEX('_pockets'!$AB:$AB,$AP32)))="","",IF($AP32="","",IF(INDEX('_pockets'!$AB:$AB,$AP32)="","",INDEX('_pockets'!$AB:$AB,$AP32)))*100)</f>
        <v/>
      </c>
      <c r="F32" s="113">
        <f>IF(IF($AP32="","",IF(INDEX('_pockets'!$Z:$Z,$AP32)="","",INDEX('_pockets'!$Z:$Z,$AP32)))="","",-IF($AP32="","",IF(INDEX('_pockets'!$Z:$Z,$AP32)="","",INDEX('_pockets'!$Z:$Z,$AP32))))</f>
        <v/>
      </c>
      <c r="G32" s="115">
        <f>IF($AQ32="","",IF(INDEX('_pockets'!$AB:$AB,$AQ32)="","",INDEX('_pockets'!$AB:$AB,$AQ32)))</f>
        <v/>
      </c>
      <c r="H32" s="113">
        <f>IF($AQ32="","",IF(INDEX('_pockets'!$Z:$Z,$AQ32)="","",INDEX('_pockets'!$Z:$Z,$AQ32)))</f>
        <v/>
      </c>
      <c r="I32" s="122">
        <f>IF(IF($AR32="","",IF(INDEX('_pockets'!$AB:$AB,$AR32)="","",INDEX('_pockets'!$AB:$AB,$AR32)))="","",IF($AR32="","",IF(INDEX('_pockets'!$AB:$AB,$AR32)="","",INDEX('_pockets'!$AB:$AB,$AR32)))*100)</f>
        <v/>
      </c>
      <c r="J32" s="113">
        <f>IF(IF($AR32="","",IF(INDEX('_pockets'!$Z:$Z,$AR32)="","",INDEX('_pockets'!$Z:$Z,$AR32)))="","",-IF($AR32="","",IF(INDEX('_pockets'!$Z:$Z,$AR32)="","",INDEX('_pockets'!$Z:$Z,$AR32))))</f>
        <v/>
      </c>
      <c r="K32" s="123">
        <f>IF(OR($AO32=1,$AO32=""),"",IF(AND($AT32="worse",$AU32="better"),"Priced for it",IF(AND($AT32="worse",$AU32="worse"),"Net drain",IF(AND($AT32="better",$AU32="better"),"Strong",IF(AND($AT32="better",$AU32="worse"),"Safe but idle",IF(AND(OR($AT32="in line",$AT32="worse, not significant",$AT32="better, not significant"),$AU32="worse"),"Earns less, not from losses",IF(AND($AT32="worse",OR($AU32="in line",$AU32="worse, not significant",$AU32="better, not significant")),"Losing more, profit holding","")))))))</f>
        <v/>
      </c>
      <c r="AN32">
        <f>IFERROR(MATCH("C|"&amp;$B$16&amp;"|13",'_views'!$A:$A,0),"")</f>
        <v/>
      </c>
      <c r="AO32">
        <f>IF($AN32="","",IF(INDEX('_views'!$B:$ZZ,$AN32,4)="","",INDEX('_views'!$B:$ZZ,$AN32,4)))</f>
        <v/>
      </c>
      <c r="AP32">
        <f>IF($AN32="","",IF(INDEX('_views'!$B:$ZZ,$AN32,5)="","",INDEX('_views'!$B:$ZZ,$AN32,5)))</f>
        <v/>
      </c>
      <c r="AQ32">
        <f>IF($AN32="","",IF(INDEX('_views'!$B:$ZZ,$AN32,6)="","",INDEX('_views'!$B:$ZZ,$AN32,6)))</f>
        <v/>
      </c>
      <c r="AR32">
        <f>IF($AN32="","",IF(INDEX('_views'!$B:$ZZ,$AN32,7)="","",INDEX('_views'!$B:$ZZ,$AN32,7)))</f>
        <v/>
      </c>
      <c r="AS32">
        <f>IF($AP32="","",IF(INDEX('_pockets'!$Y:$Y,$AP32)="","",INDEX('_pockets'!$Y:$Y,$AP32)))</f>
        <v/>
      </c>
      <c r="AT32">
        <f>IF($AQ32="","",IF(INDEX('_pockets'!$Y:$Y,$AQ32)="","",INDEX('_pockets'!$Y:$Y,$AQ32)))</f>
        <v/>
      </c>
      <c r="AU32">
        <f>IF($AR32="","",IF(INDEX('_pockets'!$Y:$Y,$AR32)="","",INDEX('_pockets'!$Y:$Y,$AR32)))</f>
        <v/>
      </c>
    </row>
    <row r="33" ht="16" customHeight="1">
      <c r="B33" s="112">
        <f>IF($AN33="","",IF(INDEX('_views'!$B:$ZZ,$AN33,1)="","",INDEX('_views'!$B:$ZZ,$AN33,1)))</f>
        <v/>
      </c>
      <c r="C33" s="112">
        <f>IF($AN33="","",IF(INDEX('_views'!$B:$ZZ,$AN33,2)="","",INDEX('_views'!$B:$ZZ,$AN33,2)))</f>
        <v/>
      </c>
      <c r="D33" s="113">
        <f>IF($AN33="","",IF(INDEX('_views'!$B:$ZZ,$AN33,3)="","",INDEX('_views'!$B:$ZZ,$AN33,3)))</f>
        <v/>
      </c>
      <c r="E33" s="122">
        <f>IF(IF($AP33="","",IF(INDEX('_pockets'!$AB:$AB,$AP33)="","",INDEX('_pockets'!$AB:$AB,$AP33)))="","",IF($AP33="","",IF(INDEX('_pockets'!$AB:$AB,$AP33)="","",INDEX('_pockets'!$AB:$AB,$AP33)))*100)</f>
        <v/>
      </c>
      <c r="F33" s="113">
        <f>IF(IF($AP33="","",IF(INDEX('_pockets'!$Z:$Z,$AP33)="","",INDEX('_pockets'!$Z:$Z,$AP33)))="","",-IF($AP33="","",IF(INDEX('_pockets'!$Z:$Z,$AP33)="","",INDEX('_pockets'!$Z:$Z,$AP33))))</f>
        <v/>
      </c>
      <c r="G33" s="115">
        <f>IF($AQ33="","",IF(INDEX('_pockets'!$AB:$AB,$AQ33)="","",INDEX('_pockets'!$AB:$AB,$AQ33)))</f>
        <v/>
      </c>
      <c r="H33" s="113">
        <f>IF($AQ33="","",IF(INDEX('_pockets'!$Z:$Z,$AQ33)="","",INDEX('_pockets'!$Z:$Z,$AQ33)))</f>
        <v/>
      </c>
      <c r="I33" s="122">
        <f>IF(IF($AR33="","",IF(INDEX('_pockets'!$AB:$AB,$AR33)="","",INDEX('_pockets'!$AB:$AB,$AR33)))="","",IF($AR33="","",IF(INDEX('_pockets'!$AB:$AB,$AR33)="","",INDEX('_pockets'!$AB:$AB,$AR33)))*100)</f>
        <v/>
      </c>
      <c r="J33" s="113">
        <f>IF(IF($AR33="","",IF(INDEX('_pockets'!$Z:$Z,$AR33)="","",INDEX('_pockets'!$Z:$Z,$AR33)))="","",-IF($AR33="","",IF(INDEX('_pockets'!$Z:$Z,$AR33)="","",INDEX('_pockets'!$Z:$Z,$AR33))))</f>
        <v/>
      </c>
      <c r="K33" s="123">
        <f>IF(OR($AO33=1,$AO33=""),"",IF(AND($AT33="worse",$AU33="better"),"Priced for it",IF(AND($AT33="worse",$AU33="worse"),"Net drain",IF(AND($AT33="better",$AU33="better"),"Strong",IF(AND($AT33="better",$AU33="worse"),"Safe but idle",IF(AND(OR($AT33="in line",$AT33="worse, not significant",$AT33="better, not significant"),$AU33="worse"),"Earns less, not from losses",IF(AND($AT33="worse",OR($AU33="in line",$AU33="worse, not significant",$AU33="better, not significant")),"Losing more, profit holding","")))))))</f>
        <v/>
      </c>
      <c r="AN33">
        <f>IFERROR(MATCH("C|"&amp;$B$16&amp;"|14",'_views'!$A:$A,0),"")</f>
        <v/>
      </c>
      <c r="AO33">
        <f>IF($AN33="","",IF(INDEX('_views'!$B:$ZZ,$AN33,4)="","",INDEX('_views'!$B:$ZZ,$AN33,4)))</f>
        <v/>
      </c>
      <c r="AP33">
        <f>IF($AN33="","",IF(INDEX('_views'!$B:$ZZ,$AN33,5)="","",INDEX('_views'!$B:$ZZ,$AN33,5)))</f>
        <v/>
      </c>
      <c r="AQ33">
        <f>IF($AN33="","",IF(INDEX('_views'!$B:$ZZ,$AN33,6)="","",INDEX('_views'!$B:$ZZ,$AN33,6)))</f>
        <v/>
      </c>
      <c r="AR33">
        <f>IF($AN33="","",IF(INDEX('_views'!$B:$ZZ,$AN33,7)="","",INDEX('_views'!$B:$ZZ,$AN33,7)))</f>
        <v/>
      </c>
      <c r="AS33">
        <f>IF($AP33="","",IF(INDEX('_pockets'!$Y:$Y,$AP33)="","",INDEX('_pockets'!$Y:$Y,$AP33)))</f>
        <v/>
      </c>
      <c r="AT33">
        <f>IF($AQ33="","",IF(INDEX('_pockets'!$Y:$Y,$AQ33)="","",INDEX('_pockets'!$Y:$Y,$AQ33)))</f>
        <v/>
      </c>
      <c r="AU33">
        <f>IF($AR33="","",IF(INDEX('_pockets'!$Y:$Y,$AR33)="","",INDEX('_pockets'!$Y:$Y,$AR33)))</f>
        <v/>
      </c>
    </row>
    <row r="34" ht="16" customHeight="1">
      <c r="B34" s="112">
        <f>IF($AN34="","",IF(INDEX('_views'!$B:$ZZ,$AN34,1)="","",INDEX('_views'!$B:$ZZ,$AN34,1)))</f>
        <v/>
      </c>
      <c r="C34" s="112">
        <f>IF($AN34="","",IF(INDEX('_views'!$B:$ZZ,$AN34,2)="","",INDEX('_views'!$B:$ZZ,$AN34,2)))</f>
        <v/>
      </c>
      <c r="D34" s="113">
        <f>IF($AN34="","",IF(INDEX('_views'!$B:$ZZ,$AN34,3)="","",INDEX('_views'!$B:$ZZ,$AN34,3)))</f>
        <v/>
      </c>
      <c r="E34" s="122">
        <f>IF(IF($AP34="","",IF(INDEX('_pockets'!$AB:$AB,$AP34)="","",INDEX('_pockets'!$AB:$AB,$AP34)))="","",IF($AP34="","",IF(INDEX('_pockets'!$AB:$AB,$AP34)="","",INDEX('_pockets'!$AB:$AB,$AP34)))*100)</f>
        <v/>
      </c>
      <c r="F34" s="113">
        <f>IF(IF($AP34="","",IF(INDEX('_pockets'!$Z:$Z,$AP34)="","",INDEX('_pockets'!$Z:$Z,$AP34)))="","",-IF($AP34="","",IF(INDEX('_pockets'!$Z:$Z,$AP34)="","",INDEX('_pockets'!$Z:$Z,$AP34))))</f>
        <v/>
      </c>
      <c r="G34" s="115">
        <f>IF($AQ34="","",IF(INDEX('_pockets'!$AB:$AB,$AQ34)="","",INDEX('_pockets'!$AB:$AB,$AQ34)))</f>
        <v/>
      </c>
      <c r="H34" s="113">
        <f>IF($AQ34="","",IF(INDEX('_pockets'!$Z:$Z,$AQ34)="","",INDEX('_pockets'!$Z:$Z,$AQ34)))</f>
        <v/>
      </c>
      <c r="I34" s="122">
        <f>IF(IF($AR34="","",IF(INDEX('_pockets'!$AB:$AB,$AR34)="","",INDEX('_pockets'!$AB:$AB,$AR34)))="","",IF($AR34="","",IF(INDEX('_pockets'!$AB:$AB,$AR34)="","",INDEX('_pockets'!$AB:$AB,$AR34)))*100)</f>
        <v/>
      </c>
      <c r="J34" s="113">
        <f>IF(IF($AR34="","",IF(INDEX('_pockets'!$Z:$Z,$AR34)="","",INDEX('_pockets'!$Z:$Z,$AR34)))="","",-IF($AR34="","",IF(INDEX('_pockets'!$Z:$Z,$AR34)="","",INDEX('_pockets'!$Z:$Z,$AR34))))</f>
        <v/>
      </c>
      <c r="K34" s="123">
        <f>IF(OR($AO34=1,$AO34=""),"",IF(AND($AT34="worse",$AU34="better"),"Priced for it",IF(AND($AT34="worse",$AU34="worse"),"Net drain",IF(AND($AT34="better",$AU34="better"),"Strong",IF(AND($AT34="better",$AU34="worse"),"Safe but idle",IF(AND(OR($AT34="in line",$AT34="worse, not significant",$AT34="better, not significant"),$AU34="worse"),"Earns less, not from losses",IF(AND($AT34="worse",OR($AU34="in line",$AU34="worse, not significant",$AU34="better, not significant")),"Losing more, profit holding","")))))))</f>
        <v/>
      </c>
      <c r="AN34">
        <f>IFERROR(MATCH("C|"&amp;$B$16&amp;"|15",'_views'!$A:$A,0),"")</f>
        <v/>
      </c>
      <c r="AO34">
        <f>IF($AN34="","",IF(INDEX('_views'!$B:$ZZ,$AN34,4)="","",INDEX('_views'!$B:$ZZ,$AN34,4)))</f>
        <v/>
      </c>
      <c r="AP34">
        <f>IF($AN34="","",IF(INDEX('_views'!$B:$ZZ,$AN34,5)="","",INDEX('_views'!$B:$ZZ,$AN34,5)))</f>
        <v/>
      </c>
      <c r="AQ34">
        <f>IF($AN34="","",IF(INDEX('_views'!$B:$ZZ,$AN34,6)="","",INDEX('_views'!$B:$ZZ,$AN34,6)))</f>
        <v/>
      </c>
      <c r="AR34">
        <f>IF($AN34="","",IF(INDEX('_views'!$B:$ZZ,$AN34,7)="","",INDEX('_views'!$B:$ZZ,$AN34,7)))</f>
        <v/>
      </c>
      <c r="AS34">
        <f>IF($AP34="","",IF(INDEX('_pockets'!$Y:$Y,$AP34)="","",INDEX('_pockets'!$Y:$Y,$AP34)))</f>
        <v/>
      </c>
      <c r="AT34">
        <f>IF($AQ34="","",IF(INDEX('_pockets'!$Y:$Y,$AQ34)="","",INDEX('_pockets'!$Y:$Y,$AQ34)))</f>
        <v/>
      </c>
      <c r="AU34">
        <f>IF($AR34="","",IF(INDEX('_pockets'!$Y:$Y,$AR34)="","",INDEX('_pockets'!$Y:$Y,$AR34)))</f>
        <v/>
      </c>
    </row>
    <row r="35" ht="16" customHeight="1">
      <c r="B35" s="112">
        <f>IF($AN35="","",IF(INDEX('_views'!$B:$ZZ,$AN35,1)="","",INDEX('_views'!$B:$ZZ,$AN35,1)))</f>
        <v/>
      </c>
      <c r="C35" s="112">
        <f>IF($AN35="","",IF(INDEX('_views'!$B:$ZZ,$AN35,2)="","",INDEX('_views'!$B:$ZZ,$AN35,2)))</f>
        <v/>
      </c>
      <c r="D35" s="113">
        <f>IF($AN35="","",IF(INDEX('_views'!$B:$ZZ,$AN35,3)="","",INDEX('_views'!$B:$ZZ,$AN35,3)))</f>
        <v/>
      </c>
      <c r="E35" s="122">
        <f>IF(IF($AP35="","",IF(INDEX('_pockets'!$AB:$AB,$AP35)="","",INDEX('_pockets'!$AB:$AB,$AP35)))="","",IF($AP35="","",IF(INDEX('_pockets'!$AB:$AB,$AP35)="","",INDEX('_pockets'!$AB:$AB,$AP35)))*100)</f>
        <v/>
      </c>
      <c r="F35" s="113">
        <f>IF(IF($AP35="","",IF(INDEX('_pockets'!$Z:$Z,$AP35)="","",INDEX('_pockets'!$Z:$Z,$AP35)))="","",-IF($AP35="","",IF(INDEX('_pockets'!$Z:$Z,$AP35)="","",INDEX('_pockets'!$Z:$Z,$AP35))))</f>
        <v/>
      </c>
      <c r="G35" s="115">
        <f>IF($AQ35="","",IF(INDEX('_pockets'!$AB:$AB,$AQ35)="","",INDEX('_pockets'!$AB:$AB,$AQ35)))</f>
        <v/>
      </c>
      <c r="H35" s="113">
        <f>IF($AQ35="","",IF(INDEX('_pockets'!$Z:$Z,$AQ35)="","",INDEX('_pockets'!$Z:$Z,$AQ35)))</f>
        <v/>
      </c>
      <c r="I35" s="122">
        <f>IF(IF($AR35="","",IF(INDEX('_pockets'!$AB:$AB,$AR35)="","",INDEX('_pockets'!$AB:$AB,$AR35)))="","",IF($AR35="","",IF(INDEX('_pockets'!$AB:$AB,$AR35)="","",INDEX('_pockets'!$AB:$AB,$AR35)))*100)</f>
        <v/>
      </c>
      <c r="J35" s="113">
        <f>IF(IF($AR35="","",IF(INDEX('_pockets'!$Z:$Z,$AR35)="","",INDEX('_pockets'!$Z:$Z,$AR35)))="","",-IF($AR35="","",IF(INDEX('_pockets'!$Z:$Z,$AR35)="","",INDEX('_pockets'!$Z:$Z,$AR35))))</f>
        <v/>
      </c>
      <c r="K35" s="123">
        <f>IF(OR($AO35=1,$AO35=""),"",IF(AND($AT35="worse",$AU35="better"),"Priced for it",IF(AND($AT35="worse",$AU35="worse"),"Net drain",IF(AND($AT35="better",$AU35="better"),"Strong",IF(AND($AT35="better",$AU35="worse"),"Safe but idle",IF(AND(OR($AT35="in line",$AT35="worse, not significant",$AT35="better, not significant"),$AU35="worse"),"Earns less, not from losses",IF(AND($AT35="worse",OR($AU35="in line",$AU35="worse, not significant",$AU35="better, not significant")),"Losing more, profit holding","")))))))</f>
        <v/>
      </c>
      <c r="AN35">
        <f>IFERROR(MATCH("C|"&amp;$B$16&amp;"|16",'_views'!$A:$A,0),"")</f>
        <v/>
      </c>
      <c r="AO35">
        <f>IF($AN35="","",IF(INDEX('_views'!$B:$ZZ,$AN35,4)="","",INDEX('_views'!$B:$ZZ,$AN35,4)))</f>
        <v/>
      </c>
      <c r="AP35">
        <f>IF($AN35="","",IF(INDEX('_views'!$B:$ZZ,$AN35,5)="","",INDEX('_views'!$B:$ZZ,$AN35,5)))</f>
        <v/>
      </c>
      <c r="AQ35">
        <f>IF($AN35="","",IF(INDEX('_views'!$B:$ZZ,$AN35,6)="","",INDEX('_views'!$B:$ZZ,$AN35,6)))</f>
        <v/>
      </c>
      <c r="AR35">
        <f>IF($AN35="","",IF(INDEX('_views'!$B:$ZZ,$AN35,7)="","",INDEX('_views'!$B:$ZZ,$AN35,7)))</f>
        <v/>
      </c>
      <c r="AS35">
        <f>IF($AP35="","",IF(INDEX('_pockets'!$Y:$Y,$AP35)="","",INDEX('_pockets'!$Y:$Y,$AP35)))</f>
        <v/>
      </c>
      <c r="AT35">
        <f>IF($AQ35="","",IF(INDEX('_pockets'!$Y:$Y,$AQ35)="","",INDEX('_pockets'!$Y:$Y,$AQ35)))</f>
        <v/>
      </c>
      <c r="AU35">
        <f>IF($AR35="","",IF(INDEX('_pockets'!$Y:$Y,$AR35)="","",INDEX('_pockets'!$Y:$Y,$AR35)))</f>
        <v/>
      </c>
    </row>
    <row r="36" ht="16" customHeight="1">
      <c r="B36" s="112">
        <f>IF($AN36="","",IF(INDEX('_views'!$B:$ZZ,$AN36,1)="","",INDEX('_views'!$B:$ZZ,$AN36,1)))</f>
        <v/>
      </c>
      <c r="C36" s="112">
        <f>IF($AN36="","",IF(INDEX('_views'!$B:$ZZ,$AN36,2)="","",INDEX('_views'!$B:$ZZ,$AN36,2)))</f>
        <v/>
      </c>
      <c r="D36" s="113">
        <f>IF($AN36="","",IF(INDEX('_views'!$B:$ZZ,$AN36,3)="","",INDEX('_views'!$B:$ZZ,$AN36,3)))</f>
        <v/>
      </c>
      <c r="E36" s="122">
        <f>IF(IF($AP36="","",IF(INDEX('_pockets'!$AB:$AB,$AP36)="","",INDEX('_pockets'!$AB:$AB,$AP36)))="","",IF($AP36="","",IF(INDEX('_pockets'!$AB:$AB,$AP36)="","",INDEX('_pockets'!$AB:$AB,$AP36)))*100)</f>
        <v/>
      </c>
      <c r="F36" s="113">
        <f>IF(IF($AP36="","",IF(INDEX('_pockets'!$Z:$Z,$AP36)="","",INDEX('_pockets'!$Z:$Z,$AP36)))="","",-IF($AP36="","",IF(INDEX('_pockets'!$Z:$Z,$AP36)="","",INDEX('_pockets'!$Z:$Z,$AP36))))</f>
        <v/>
      </c>
      <c r="G36" s="115">
        <f>IF($AQ36="","",IF(INDEX('_pockets'!$AB:$AB,$AQ36)="","",INDEX('_pockets'!$AB:$AB,$AQ36)))</f>
        <v/>
      </c>
      <c r="H36" s="113">
        <f>IF($AQ36="","",IF(INDEX('_pockets'!$Z:$Z,$AQ36)="","",INDEX('_pockets'!$Z:$Z,$AQ36)))</f>
        <v/>
      </c>
      <c r="I36" s="122">
        <f>IF(IF($AR36="","",IF(INDEX('_pockets'!$AB:$AB,$AR36)="","",INDEX('_pockets'!$AB:$AB,$AR36)))="","",IF($AR36="","",IF(INDEX('_pockets'!$AB:$AB,$AR36)="","",INDEX('_pockets'!$AB:$AB,$AR36)))*100)</f>
        <v/>
      </c>
      <c r="J36" s="113">
        <f>IF(IF($AR36="","",IF(INDEX('_pockets'!$Z:$Z,$AR36)="","",INDEX('_pockets'!$Z:$Z,$AR36)))="","",-IF($AR36="","",IF(INDEX('_pockets'!$Z:$Z,$AR36)="","",INDEX('_pockets'!$Z:$Z,$AR36))))</f>
        <v/>
      </c>
      <c r="K36" s="123">
        <f>IF(OR($AO36=1,$AO36=""),"",IF(AND($AT36="worse",$AU36="better"),"Priced for it",IF(AND($AT36="worse",$AU36="worse"),"Net drain",IF(AND($AT36="better",$AU36="better"),"Strong",IF(AND($AT36="better",$AU36="worse"),"Safe but idle",IF(AND(OR($AT36="in line",$AT36="worse, not significant",$AT36="better, not significant"),$AU36="worse"),"Earns less, not from losses",IF(AND($AT36="worse",OR($AU36="in line",$AU36="worse, not significant",$AU36="better, not significant")),"Losing more, profit holding","")))))))</f>
        <v/>
      </c>
      <c r="AN36">
        <f>IFERROR(MATCH("C|"&amp;$B$16&amp;"|17",'_views'!$A:$A,0),"")</f>
        <v/>
      </c>
      <c r="AO36">
        <f>IF($AN36="","",IF(INDEX('_views'!$B:$ZZ,$AN36,4)="","",INDEX('_views'!$B:$ZZ,$AN36,4)))</f>
        <v/>
      </c>
      <c r="AP36">
        <f>IF($AN36="","",IF(INDEX('_views'!$B:$ZZ,$AN36,5)="","",INDEX('_views'!$B:$ZZ,$AN36,5)))</f>
        <v/>
      </c>
      <c r="AQ36">
        <f>IF($AN36="","",IF(INDEX('_views'!$B:$ZZ,$AN36,6)="","",INDEX('_views'!$B:$ZZ,$AN36,6)))</f>
        <v/>
      </c>
      <c r="AR36">
        <f>IF($AN36="","",IF(INDEX('_views'!$B:$ZZ,$AN36,7)="","",INDEX('_views'!$B:$ZZ,$AN36,7)))</f>
        <v/>
      </c>
      <c r="AS36">
        <f>IF($AP36="","",IF(INDEX('_pockets'!$Y:$Y,$AP36)="","",INDEX('_pockets'!$Y:$Y,$AP36)))</f>
        <v/>
      </c>
      <c r="AT36">
        <f>IF($AQ36="","",IF(INDEX('_pockets'!$Y:$Y,$AQ36)="","",INDEX('_pockets'!$Y:$Y,$AQ36)))</f>
        <v/>
      </c>
      <c r="AU36">
        <f>IF($AR36="","",IF(INDEX('_pockets'!$Y:$Y,$AR36)="","",INDEX('_pockets'!$Y:$Y,$AR36)))</f>
        <v/>
      </c>
    </row>
    <row r="37" ht="16" customHeight="1">
      <c r="B37" s="112">
        <f>IF($AN37="","",IF(INDEX('_views'!$B:$ZZ,$AN37,1)="","",INDEX('_views'!$B:$ZZ,$AN37,1)))</f>
        <v/>
      </c>
      <c r="C37" s="112">
        <f>IF($AN37="","",IF(INDEX('_views'!$B:$ZZ,$AN37,2)="","",INDEX('_views'!$B:$ZZ,$AN37,2)))</f>
        <v/>
      </c>
      <c r="D37" s="113">
        <f>IF($AN37="","",IF(INDEX('_views'!$B:$ZZ,$AN37,3)="","",INDEX('_views'!$B:$ZZ,$AN37,3)))</f>
        <v/>
      </c>
      <c r="E37" s="122">
        <f>IF(IF($AP37="","",IF(INDEX('_pockets'!$AB:$AB,$AP37)="","",INDEX('_pockets'!$AB:$AB,$AP37)))="","",IF($AP37="","",IF(INDEX('_pockets'!$AB:$AB,$AP37)="","",INDEX('_pockets'!$AB:$AB,$AP37)))*100)</f>
        <v/>
      </c>
      <c r="F37" s="113">
        <f>IF(IF($AP37="","",IF(INDEX('_pockets'!$Z:$Z,$AP37)="","",INDEX('_pockets'!$Z:$Z,$AP37)))="","",-IF($AP37="","",IF(INDEX('_pockets'!$Z:$Z,$AP37)="","",INDEX('_pockets'!$Z:$Z,$AP37))))</f>
        <v/>
      </c>
      <c r="G37" s="115">
        <f>IF($AQ37="","",IF(INDEX('_pockets'!$AB:$AB,$AQ37)="","",INDEX('_pockets'!$AB:$AB,$AQ37)))</f>
        <v/>
      </c>
      <c r="H37" s="113">
        <f>IF($AQ37="","",IF(INDEX('_pockets'!$Z:$Z,$AQ37)="","",INDEX('_pockets'!$Z:$Z,$AQ37)))</f>
        <v/>
      </c>
      <c r="I37" s="122">
        <f>IF(IF($AR37="","",IF(INDEX('_pockets'!$AB:$AB,$AR37)="","",INDEX('_pockets'!$AB:$AB,$AR37)))="","",IF($AR37="","",IF(INDEX('_pockets'!$AB:$AB,$AR37)="","",INDEX('_pockets'!$AB:$AB,$AR37)))*100)</f>
        <v/>
      </c>
      <c r="J37" s="113">
        <f>IF(IF($AR37="","",IF(INDEX('_pockets'!$Z:$Z,$AR37)="","",INDEX('_pockets'!$Z:$Z,$AR37)))="","",-IF($AR37="","",IF(INDEX('_pockets'!$Z:$Z,$AR37)="","",INDEX('_pockets'!$Z:$Z,$AR37))))</f>
        <v/>
      </c>
      <c r="K37" s="123">
        <f>IF(OR($AO37=1,$AO37=""),"",IF(AND($AT37="worse",$AU37="better"),"Priced for it",IF(AND($AT37="worse",$AU37="worse"),"Net drain",IF(AND($AT37="better",$AU37="better"),"Strong",IF(AND($AT37="better",$AU37="worse"),"Safe but idle",IF(AND(OR($AT37="in line",$AT37="worse, not significant",$AT37="better, not significant"),$AU37="worse"),"Earns less, not from losses",IF(AND($AT37="worse",OR($AU37="in line",$AU37="worse, not significant",$AU37="better, not significant")),"Losing more, profit holding","")))))))</f>
        <v/>
      </c>
      <c r="AN37">
        <f>IFERROR(MATCH("C|"&amp;$B$16&amp;"|18",'_views'!$A:$A,0),"")</f>
        <v/>
      </c>
      <c r="AO37">
        <f>IF($AN37="","",IF(INDEX('_views'!$B:$ZZ,$AN37,4)="","",INDEX('_views'!$B:$ZZ,$AN37,4)))</f>
        <v/>
      </c>
      <c r="AP37">
        <f>IF($AN37="","",IF(INDEX('_views'!$B:$ZZ,$AN37,5)="","",INDEX('_views'!$B:$ZZ,$AN37,5)))</f>
        <v/>
      </c>
      <c r="AQ37">
        <f>IF($AN37="","",IF(INDEX('_views'!$B:$ZZ,$AN37,6)="","",INDEX('_views'!$B:$ZZ,$AN37,6)))</f>
        <v/>
      </c>
      <c r="AR37">
        <f>IF($AN37="","",IF(INDEX('_views'!$B:$ZZ,$AN37,7)="","",INDEX('_views'!$B:$ZZ,$AN37,7)))</f>
        <v/>
      </c>
      <c r="AS37">
        <f>IF($AP37="","",IF(INDEX('_pockets'!$Y:$Y,$AP37)="","",INDEX('_pockets'!$Y:$Y,$AP37)))</f>
        <v/>
      </c>
      <c r="AT37">
        <f>IF($AQ37="","",IF(INDEX('_pockets'!$Y:$Y,$AQ37)="","",INDEX('_pockets'!$Y:$Y,$AQ37)))</f>
        <v/>
      </c>
      <c r="AU37">
        <f>IF($AR37="","",IF(INDEX('_pockets'!$Y:$Y,$AR37)="","",INDEX('_pockets'!$Y:$Y,$AR37)))</f>
        <v/>
      </c>
    </row>
    <row r="38" ht="16" customHeight="1">
      <c r="B38" s="112">
        <f>IF($AN38="","",IF(INDEX('_views'!$B:$ZZ,$AN38,1)="","",INDEX('_views'!$B:$ZZ,$AN38,1)))</f>
        <v/>
      </c>
      <c r="C38" s="112">
        <f>IF($AN38="","",IF(INDEX('_views'!$B:$ZZ,$AN38,2)="","",INDEX('_views'!$B:$ZZ,$AN38,2)))</f>
        <v/>
      </c>
      <c r="D38" s="113">
        <f>IF($AN38="","",IF(INDEX('_views'!$B:$ZZ,$AN38,3)="","",INDEX('_views'!$B:$ZZ,$AN38,3)))</f>
        <v/>
      </c>
      <c r="E38" s="122">
        <f>IF(IF($AP38="","",IF(INDEX('_pockets'!$AB:$AB,$AP38)="","",INDEX('_pockets'!$AB:$AB,$AP38)))="","",IF($AP38="","",IF(INDEX('_pockets'!$AB:$AB,$AP38)="","",INDEX('_pockets'!$AB:$AB,$AP38)))*100)</f>
        <v/>
      </c>
      <c r="F38" s="113">
        <f>IF(IF($AP38="","",IF(INDEX('_pockets'!$Z:$Z,$AP38)="","",INDEX('_pockets'!$Z:$Z,$AP38)))="","",-IF($AP38="","",IF(INDEX('_pockets'!$Z:$Z,$AP38)="","",INDEX('_pockets'!$Z:$Z,$AP38))))</f>
        <v/>
      </c>
      <c r="G38" s="115">
        <f>IF($AQ38="","",IF(INDEX('_pockets'!$AB:$AB,$AQ38)="","",INDEX('_pockets'!$AB:$AB,$AQ38)))</f>
        <v/>
      </c>
      <c r="H38" s="113">
        <f>IF($AQ38="","",IF(INDEX('_pockets'!$Z:$Z,$AQ38)="","",INDEX('_pockets'!$Z:$Z,$AQ38)))</f>
        <v/>
      </c>
      <c r="I38" s="122">
        <f>IF(IF($AR38="","",IF(INDEX('_pockets'!$AB:$AB,$AR38)="","",INDEX('_pockets'!$AB:$AB,$AR38)))="","",IF($AR38="","",IF(INDEX('_pockets'!$AB:$AB,$AR38)="","",INDEX('_pockets'!$AB:$AB,$AR38)))*100)</f>
        <v/>
      </c>
      <c r="J38" s="113">
        <f>IF(IF($AR38="","",IF(INDEX('_pockets'!$Z:$Z,$AR38)="","",INDEX('_pockets'!$Z:$Z,$AR38)))="","",-IF($AR38="","",IF(INDEX('_pockets'!$Z:$Z,$AR38)="","",INDEX('_pockets'!$Z:$Z,$AR38))))</f>
        <v/>
      </c>
      <c r="K38" s="123">
        <f>IF(OR($AO38=1,$AO38=""),"",IF(AND($AT38="worse",$AU38="better"),"Priced for it",IF(AND($AT38="worse",$AU38="worse"),"Net drain",IF(AND($AT38="better",$AU38="better"),"Strong",IF(AND($AT38="better",$AU38="worse"),"Safe but idle",IF(AND(OR($AT38="in line",$AT38="worse, not significant",$AT38="better, not significant"),$AU38="worse"),"Earns less, not from losses",IF(AND($AT38="worse",OR($AU38="in line",$AU38="worse, not significant",$AU38="better, not significant")),"Losing more, profit holding","")))))))</f>
        <v/>
      </c>
      <c r="AN38">
        <f>IFERROR(MATCH("C|"&amp;$B$16&amp;"|19",'_views'!$A:$A,0),"")</f>
        <v/>
      </c>
      <c r="AO38">
        <f>IF($AN38="","",IF(INDEX('_views'!$B:$ZZ,$AN38,4)="","",INDEX('_views'!$B:$ZZ,$AN38,4)))</f>
        <v/>
      </c>
      <c r="AP38">
        <f>IF($AN38="","",IF(INDEX('_views'!$B:$ZZ,$AN38,5)="","",INDEX('_views'!$B:$ZZ,$AN38,5)))</f>
        <v/>
      </c>
      <c r="AQ38">
        <f>IF($AN38="","",IF(INDEX('_views'!$B:$ZZ,$AN38,6)="","",INDEX('_views'!$B:$ZZ,$AN38,6)))</f>
        <v/>
      </c>
      <c r="AR38">
        <f>IF($AN38="","",IF(INDEX('_views'!$B:$ZZ,$AN38,7)="","",INDEX('_views'!$B:$ZZ,$AN38,7)))</f>
        <v/>
      </c>
      <c r="AS38">
        <f>IF($AP38="","",IF(INDEX('_pockets'!$Y:$Y,$AP38)="","",INDEX('_pockets'!$Y:$Y,$AP38)))</f>
        <v/>
      </c>
      <c r="AT38">
        <f>IF($AQ38="","",IF(INDEX('_pockets'!$Y:$Y,$AQ38)="","",INDEX('_pockets'!$Y:$Y,$AQ38)))</f>
        <v/>
      </c>
      <c r="AU38">
        <f>IF($AR38="","",IF(INDEX('_pockets'!$Y:$Y,$AR38)="","",INDEX('_pockets'!$Y:$Y,$AR38)))</f>
        <v/>
      </c>
    </row>
    <row r="39" ht="16" customHeight="1">
      <c r="B39" s="112">
        <f>IF($AN39="","",IF(INDEX('_views'!$B:$ZZ,$AN39,1)="","",INDEX('_views'!$B:$ZZ,$AN39,1)))</f>
        <v/>
      </c>
      <c r="C39" s="112">
        <f>IF($AN39="","",IF(INDEX('_views'!$B:$ZZ,$AN39,2)="","",INDEX('_views'!$B:$ZZ,$AN39,2)))</f>
        <v/>
      </c>
      <c r="D39" s="113">
        <f>IF($AN39="","",IF(INDEX('_views'!$B:$ZZ,$AN39,3)="","",INDEX('_views'!$B:$ZZ,$AN39,3)))</f>
        <v/>
      </c>
      <c r="E39" s="122">
        <f>IF(IF($AP39="","",IF(INDEX('_pockets'!$AB:$AB,$AP39)="","",INDEX('_pockets'!$AB:$AB,$AP39)))="","",IF($AP39="","",IF(INDEX('_pockets'!$AB:$AB,$AP39)="","",INDEX('_pockets'!$AB:$AB,$AP39)))*100)</f>
        <v/>
      </c>
      <c r="F39" s="113">
        <f>IF(IF($AP39="","",IF(INDEX('_pockets'!$Z:$Z,$AP39)="","",INDEX('_pockets'!$Z:$Z,$AP39)))="","",-IF($AP39="","",IF(INDEX('_pockets'!$Z:$Z,$AP39)="","",INDEX('_pockets'!$Z:$Z,$AP39))))</f>
        <v/>
      </c>
      <c r="G39" s="115">
        <f>IF($AQ39="","",IF(INDEX('_pockets'!$AB:$AB,$AQ39)="","",INDEX('_pockets'!$AB:$AB,$AQ39)))</f>
        <v/>
      </c>
      <c r="H39" s="113">
        <f>IF($AQ39="","",IF(INDEX('_pockets'!$Z:$Z,$AQ39)="","",INDEX('_pockets'!$Z:$Z,$AQ39)))</f>
        <v/>
      </c>
      <c r="I39" s="122">
        <f>IF(IF($AR39="","",IF(INDEX('_pockets'!$AB:$AB,$AR39)="","",INDEX('_pockets'!$AB:$AB,$AR39)))="","",IF($AR39="","",IF(INDEX('_pockets'!$AB:$AB,$AR39)="","",INDEX('_pockets'!$AB:$AB,$AR39)))*100)</f>
        <v/>
      </c>
      <c r="J39" s="113">
        <f>IF(IF($AR39="","",IF(INDEX('_pockets'!$Z:$Z,$AR39)="","",INDEX('_pockets'!$Z:$Z,$AR39)))="","",-IF($AR39="","",IF(INDEX('_pockets'!$Z:$Z,$AR39)="","",INDEX('_pockets'!$Z:$Z,$AR39))))</f>
        <v/>
      </c>
      <c r="K39" s="123">
        <f>IF(OR($AO39=1,$AO39=""),"",IF(AND($AT39="worse",$AU39="better"),"Priced for it",IF(AND($AT39="worse",$AU39="worse"),"Net drain",IF(AND($AT39="better",$AU39="better"),"Strong",IF(AND($AT39="better",$AU39="worse"),"Safe but idle",IF(AND(OR($AT39="in line",$AT39="worse, not significant",$AT39="better, not significant"),$AU39="worse"),"Earns less, not from losses",IF(AND($AT39="worse",OR($AU39="in line",$AU39="worse, not significant",$AU39="better, not significant")),"Losing more, profit holding","")))))))</f>
        <v/>
      </c>
      <c r="AN39">
        <f>IFERROR(MATCH("C|"&amp;$B$16&amp;"|20",'_views'!$A:$A,0),"")</f>
        <v/>
      </c>
      <c r="AO39">
        <f>IF($AN39="","",IF(INDEX('_views'!$B:$ZZ,$AN39,4)="","",INDEX('_views'!$B:$ZZ,$AN39,4)))</f>
        <v/>
      </c>
      <c r="AP39">
        <f>IF($AN39="","",IF(INDEX('_views'!$B:$ZZ,$AN39,5)="","",INDEX('_views'!$B:$ZZ,$AN39,5)))</f>
        <v/>
      </c>
      <c r="AQ39">
        <f>IF($AN39="","",IF(INDEX('_views'!$B:$ZZ,$AN39,6)="","",INDEX('_views'!$B:$ZZ,$AN39,6)))</f>
        <v/>
      </c>
      <c r="AR39">
        <f>IF($AN39="","",IF(INDEX('_views'!$B:$ZZ,$AN39,7)="","",INDEX('_views'!$B:$ZZ,$AN39,7)))</f>
        <v/>
      </c>
      <c r="AS39">
        <f>IF($AP39="","",IF(INDEX('_pockets'!$Y:$Y,$AP39)="","",INDEX('_pockets'!$Y:$Y,$AP39)))</f>
        <v/>
      </c>
      <c r="AT39">
        <f>IF($AQ39="","",IF(INDEX('_pockets'!$Y:$Y,$AQ39)="","",INDEX('_pockets'!$Y:$Y,$AQ39)))</f>
        <v/>
      </c>
      <c r="AU39">
        <f>IF($AR39="","",IF(INDEX('_pockets'!$Y:$Y,$AR39)="","",INDEX('_pockets'!$Y:$Y,$AR39)))</f>
        <v/>
      </c>
    </row>
    <row r="40" ht="16" customHeight="1">
      <c r="B40" s="112">
        <f>IF($AN40="","",IF(INDEX('_views'!$B:$ZZ,$AN40,1)="","",INDEX('_views'!$B:$ZZ,$AN40,1)))</f>
        <v/>
      </c>
      <c r="C40" s="112">
        <f>IF($AN40="","",IF(INDEX('_views'!$B:$ZZ,$AN40,2)="","",INDEX('_views'!$B:$ZZ,$AN40,2)))</f>
        <v/>
      </c>
      <c r="D40" s="113">
        <f>IF($AN40="","",IF(INDEX('_views'!$B:$ZZ,$AN40,3)="","",INDEX('_views'!$B:$ZZ,$AN40,3)))</f>
        <v/>
      </c>
      <c r="E40" s="122">
        <f>IF(IF($AP40="","",IF(INDEX('_pockets'!$AB:$AB,$AP40)="","",INDEX('_pockets'!$AB:$AB,$AP40)))="","",IF($AP40="","",IF(INDEX('_pockets'!$AB:$AB,$AP40)="","",INDEX('_pockets'!$AB:$AB,$AP40)))*100)</f>
        <v/>
      </c>
      <c r="F40" s="113">
        <f>IF(IF($AP40="","",IF(INDEX('_pockets'!$Z:$Z,$AP40)="","",INDEX('_pockets'!$Z:$Z,$AP40)))="","",-IF($AP40="","",IF(INDEX('_pockets'!$Z:$Z,$AP40)="","",INDEX('_pockets'!$Z:$Z,$AP40))))</f>
        <v/>
      </c>
      <c r="G40" s="115">
        <f>IF($AQ40="","",IF(INDEX('_pockets'!$AB:$AB,$AQ40)="","",INDEX('_pockets'!$AB:$AB,$AQ40)))</f>
        <v/>
      </c>
      <c r="H40" s="113">
        <f>IF($AQ40="","",IF(INDEX('_pockets'!$Z:$Z,$AQ40)="","",INDEX('_pockets'!$Z:$Z,$AQ40)))</f>
        <v/>
      </c>
      <c r="I40" s="122">
        <f>IF(IF($AR40="","",IF(INDEX('_pockets'!$AB:$AB,$AR40)="","",INDEX('_pockets'!$AB:$AB,$AR40)))="","",IF($AR40="","",IF(INDEX('_pockets'!$AB:$AB,$AR40)="","",INDEX('_pockets'!$AB:$AB,$AR40)))*100)</f>
        <v/>
      </c>
      <c r="J40" s="113">
        <f>IF(IF($AR40="","",IF(INDEX('_pockets'!$Z:$Z,$AR40)="","",INDEX('_pockets'!$Z:$Z,$AR40)))="","",-IF($AR40="","",IF(INDEX('_pockets'!$Z:$Z,$AR40)="","",INDEX('_pockets'!$Z:$Z,$AR40))))</f>
        <v/>
      </c>
      <c r="K40" s="123">
        <f>IF(OR($AO40=1,$AO40=""),"",IF(AND($AT40="worse",$AU40="better"),"Priced for it",IF(AND($AT40="worse",$AU40="worse"),"Net drain",IF(AND($AT40="better",$AU40="better"),"Strong",IF(AND($AT40="better",$AU40="worse"),"Safe but idle",IF(AND(OR($AT40="in line",$AT40="worse, not significant",$AT40="better, not significant"),$AU40="worse"),"Earns less, not from losses",IF(AND($AT40="worse",OR($AU40="in line",$AU40="worse, not significant",$AU40="better, not significant")),"Losing more, profit holding","")))))))</f>
        <v/>
      </c>
      <c r="AN40">
        <f>IFERROR(MATCH("C|"&amp;$B$16&amp;"|21",'_views'!$A:$A,0),"")</f>
        <v/>
      </c>
      <c r="AO40">
        <f>IF($AN40="","",IF(INDEX('_views'!$B:$ZZ,$AN40,4)="","",INDEX('_views'!$B:$ZZ,$AN40,4)))</f>
        <v/>
      </c>
      <c r="AP40">
        <f>IF($AN40="","",IF(INDEX('_views'!$B:$ZZ,$AN40,5)="","",INDEX('_views'!$B:$ZZ,$AN40,5)))</f>
        <v/>
      </c>
      <c r="AQ40">
        <f>IF($AN40="","",IF(INDEX('_views'!$B:$ZZ,$AN40,6)="","",INDEX('_views'!$B:$ZZ,$AN40,6)))</f>
        <v/>
      </c>
      <c r="AR40">
        <f>IF($AN40="","",IF(INDEX('_views'!$B:$ZZ,$AN40,7)="","",INDEX('_views'!$B:$ZZ,$AN40,7)))</f>
        <v/>
      </c>
      <c r="AS40">
        <f>IF($AP40="","",IF(INDEX('_pockets'!$Y:$Y,$AP40)="","",INDEX('_pockets'!$Y:$Y,$AP40)))</f>
        <v/>
      </c>
      <c r="AT40">
        <f>IF($AQ40="","",IF(INDEX('_pockets'!$Y:$Y,$AQ40)="","",INDEX('_pockets'!$Y:$Y,$AQ40)))</f>
        <v/>
      </c>
      <c r="AU40">
        <f>IF($AR40="","",IF(INDEX('_pockets'!$Y:$Y,$AR40)="","",INDEX('_pockets'!$Y:$Y,$AR40)))</f>
        <v/>
      </c>
    </row>
    <row r="41" ht="16" customHeight="1">
      <c r="B41" s="112">
        <f>IF($AN41="","",IF(INDEX('_views'!$B:$ZZ,$AN41,1)="","",INDEX('_views'!$B:$ZZ,$AN41,1)))</f>
        <v/>
      </c>
      <c r="C41" s="112">
        <f>IF($AN41="","",IF(INDEX('_views'!$B:$ZZ,$AN41,2)="","",INDEX('_views'!$B:$ZZ,$AN41,2)))</f>
        <v/>
      </c>
      <c r="D41" s="113">
        <f>IF($AN41="","",IF(INDEX('_views'!$B:$ZZ,$AN41,3)="","",INDEX('_views'!$B:$ZZ,$AN41,3)))</f>
        <v/>
      </c>
      <c r="E41" s="122">
        <f>IF(IF($AP41="","",IF(INDEX('_pockets'!$AB:$AB,$AP41)="","",INDEX('_pockets'!$AB:$AB,$AP41)))="","",IF($AP41="","",IF(INDEX('_pockets'!$AB:$AB,$AP41)="","",INDEX('_pockets'!$AB:$AB,$AP41)))*100)</f>
        <v/>
      </c>
      <c r="F41" s="113">
        <f>IF(IF($AP41="","",IF(INDEX('_pockets'!$Z:$Z,$AP41)="","",INDEX('_pockets'!$Z:$Z,$AP41)))="","",-IF($AP41="","",IF(INDEX('_pockets'!$Z:$Z,$AP41)="","",INDEX('_pockets'!$Z:$Z,$AP41))))</f>
        <v/>
      </c>
      <c r="G41" s="115">
        <f>IF($AQ41="","",IF(INDEX('_pockets'!$AB:$AB,$AQ41)="","",INDEX('_pockets'!$AB:$AB,$AQ41)))</f>
        <v/>
      </c>
      <c r="H41" s="113">
        <f>IF($AQ41="","",IF(INDEX('_pockets'!$Z:$Z,$AQ41)="","",INDEX('_pockets'!$Z:$Z,$AQ41)))</f>
        <v/>
      </c>
      <c r="I41" s="122">
        <f>IF(IF($AR41="","",IF(INDEX('_pockets'!$AB:$AB,$AR41)="","",INDEX('_pockets'!$AB:$AB,$AR41)))="","",IF($AR41="","",IF(INDEX('_pockets'!$AB:$AB,$AR41)="","",INDEX('_pockets'!$AB:$AB,$AR41)))*100)</f>
        <v/>
      </c>
      <c r="J41" s="113">
        <f>IF(IF($AR41="","",IF(INDEX('_pockets'!$Z:$Z,$AR41)="","",INDEX('_pockets'!$Z:$Z,$AR41)))="","",-IF($AR41="","",IF(INDEX('_pockets'!$Z:$Z,$AR41)="","",INDEX('_pockets'!$Z:$Z,$AR41))))</f>
        <v/>
      </c>
      <c r="K41" s="123">
        <f>IF(OR($AO41=1,$AO41=""),"",IF(AND($AT41="worse",$AU41="better"),"Priced for it",IF(AND($AT41="worse",$AU41="worse"),"Net drain",IF(AND($AT41="better",$AU41="better"),"Strong",IF(AND($AT41="better",$AU41="worse"),"Safe but idle",IF(AND(OR($AT41="in line",$AT41="worse, not significant",$AT41="better, not significant"),$AU41="worse"),"Earns less, not from losses",IF(AND($AT41="worse",OR($AU41="in line",$AU41="worse, not significant",$AU41="better, not significant")),"Losing more, profit holding","")))))))</f>
        <v/>
      </c>
      <c r="M41" s="124" t="inlineStr">
        <is>
          <t>Numbered on the chart</t>
        </is>
      </c>
      <c r="AN41">
        <f>IFERROR(MATCH("C|"&amp;$B$16&amp;"|22",'_views'!$A:$A,0),"")</f>
        <v/>
      </c>
      <c r="AO41">
        <f>IF($AN41="","",IF(INDEX('_views'!$B:$ZZ,$AN41,4)="","",INDEX('_views'!$B:$ZZ,$AN41,4)))</f>
        <v/>
      </c>
      <c r="AP41">
        <f>IF($AN41="","",IF(INDEX('_views'!$B:$ZZ,$AN41,5)="","",INDEX('_views'!$B:$ZZ,$AN41,5)))</f>
        <v/>
      </c>
      <c r="AQ41">
        <f>IF($AN41="","",IF(INDEX('_views'!$B:$ZZ,$AN41,6)="","",INDEX('_views'!$B:$ZZ,$AN41,6)))</f>
        <v/>
      </c>
      <c r="AR41">
        <f>IF($AN41="","",IF(INDEX('_views'!$B:$ZZ,$AN41,7)="","",INDEX('_views'!$B:$ZZ,$AN41,7)))</f>
        <v/>
      </c>
      <c r="AS41">
        <f>IF($AP41="","",IF(INDEX('_pockets'!$Y:$Y,$AP41)="","",INDEX('_pockets'!$Y:$Y,$AP41)))</f>
        <v/>
      </c>
      <c r="AT41">
        <f>IF($AQ41="","",IF(INDEX('_pockets'!$Y:$Y,$AQ41)="","",INDEX('_pockets'!$Y:$Y,$AQ41)))</f>
        <v/>
      </c>
      <c r="AU41">
        <f>IF($AR41="","",IF(INDEX('_pockets'!$Y:$Y,$AR41)="","",INDEX('_pockets'!$Y:$Y,$AR41)))</f>
        <v/>
      </c>
    </row>
    <row r="42" ht="16" customHeight="1">
      <c r="B42" s="112">
        <f>IF($AN42="","",IF(INDEX('_views'!$B:$ZZ,$AN42,1)="","",INDEX('_views'!$B:$ZZ,$AN42,1)))</f>
        <v/>
      </c>
      <c r="C42" s="112">
        <f>IF($AN42="","",IF(INDEX('_views'!$B:$ZZ,$AN42,2)="","",INDEX('_views'!$B:$ZZ,$AN42,2)))</f>
        <v/>
      </c>
      <c r="D42" s="113">
        <f>IF($AN42="","",IF(INDEX('_views'!$B:$ZZ,$AN42,3)="","",INDEX('_views'!$B:$ZZ,$AN42,3)))</f>
        <v/>
      </c>
      <c r="E42" s="122">
        <f>IF(IF($AP42="","",IF(INDEX('_pockets'!$AB:$AB,$AP42)="","",INDEX('_pockets'!$AB:$AB,$AP42)))="","",IF($AP42="","",IF(INDEX('_pockets'!$AB:$AB,$AP42)="","",INDEX('_pockets'!$AB:$AB,$AP42)))*100)</f>
        <v/>
      </c>
      <c r="F42" s="113">
        <f>IF(IF($AP42="","",IF(INDEX('_pockets'!$Z:$Z,$AP42)="","",INDEX('_pockets'!$Z:$Z,$AP42)))="","",-IF($AP42="","",IF(INDEX('_pockets'!$Z:$Z,$AP42)="","",INDEX('_pockets'!$Z:$Z,$AP42))))</f>
        <v/>
      </c>
      <c r="G42" s="115">
        <f>IF($AQ42="","",IF(INDEX('_pockets'!$AB:$AB,$AQ42)="","",INDEX('_pockets'!$AB:$AB,$AQ42)))</f>
        <v/>
      </c>
      <c r="H42" s="113">
        <f>IF($AQ42="","",IF(INDEX('_pockets'!$Z:$Z,$AQ42)="","",INDEX('_pockets'!$Z:$Z,$AQ42)))</f>
        <v/>
      </c>
      <c r="I42" s="122">
        <f>IF(IF($AR42="","",IF(INDEX('_pockets'!$AB:$AB,$AR42)="","",INDEX('_pockets'!$AB:$AB,$AR42)))="","",IF($AR42="","",IF(INDEX('_pockets'!$AB:$AB,$AR42)="","",INDEX('_pockets'!$AB:$AB,$AR42)))*100)</f>
        <v/>
      </c>
      <c r="J42" s="113">
        <f>IF(IF($AR42="","",IF(INDEX('_pockets'!$Z:$Z,$AR42)="","",INDEX('_pockets'!$Z:$Z,$AR42)))="","",-IF($AR42="","",IF(INDEX('_pockets'!$Z:$Z,$AR42)="","",INDEX('_pockets'!$Z:$Z,$AR42))))</f>
        <v/>
      </c>
      <c r="K42" s="123">
        <f>IF(OR($AO42=1,$AO42=""),"",IF(AND($AT42="worse",$AU42="better"),"Priced for it",IF(AND($AT42="worse",$AU42="worse"),"Net drain",IF(AND($AT42="better",$AU42="better"),"Strong",IF(AND($AT42="better",$AU42="worse"),"Safe but idle",IF(AND(OR($AT42="in line",$AT42="worse, not significant",$AT42="better, not significant"),$AU42="worse"),"Earns less, not from losses",IF(AND($AT42="worse",OR($AU42="in line",$AU42="worse, not significant",$AU42="better, not significant")),"Losing more, profit holding","")))))))</f>
        <v/>
      </c>
      <c r="M42" s="119">
        <f>IF('_chart'!$C$1="","","1  "&amp;'_chart'!$C$1)</f>
        <v/>
      </c>
      <c r="AN42">
        <f>IFERROR(MATCH("C|"&amp;$B$16&amp;"|23",'_views'!$A:$A,0),"")</f>
        <v/>
      </c>
      <c r="AO42">
        <f>IF($AN42="","",IF(INDEX('_views'!$B:$ZZ,$AN42,4)="","",INDEX('_views'!$B:$ZZ,$AN42,4)))</f>
        <v/>
      </c>
      <c r="AP42">
        <f>IF($AN42="","",IF(INDEX('_views'!$B:$ZZ,$AN42,5)="","",INDEX('_views'!$B:$ZZ,$AN42,5)))</f>
        <v/>
      </c>
      <c r="AQ42">
        <f>IF($AN42="","",IF(INDEX('_views'!$B:$ZZ,$AN42,6)="","",INDEX('_views'!$B:$ZZ,$AN42,6)))</f>
        <v/>
      </c>
      <c r="AR42">
        <f>IF($AN42="","",IF(INDEX('_views'!$B:$ZZ,$AN42,7)="","",INDEX('_views'!$B:$ZZ,$AN42,7)))</f>
        <v/>
      </c>
      <c r="AS42">
        <f>IF($AP42="","",IF(INDEX('_pockets'!$Y:$Y,$AP42)="","",INDEX('_pockets'!$Y:$Y,$AP42)))</f>
        <v/>
      </c>
      <c r="AT42">
        <f>IF($AQ42="","",IF(INDEX('_pockets'!$Y:$Y,$AQ42)="","",INDEX('_pockets'!$Y:$Y,$AQ42)))</f>
        <v/>
      </c>
      <c r="AU42">
        <f>IF($AR42="","",IF(INDEX('_pockets'!$Y:$Y,$AR42)="","",INDEX('_pockets'!$Y:$Y,$AR42)))</f>
        <v/>
      </c>
    </row>
    <row r="43" ht="16" customHeight="1">
      <c r="B43" s="112">
        <f>IF($AN43="","",IF(INDEX('_views'!$B:$ZZ,$AN43,1)="","",INDEX('_views'!$B:$ZZ,$AN43,1)))</f>
        <v/>
      </c>
      <c r="C43" s="112">
        <f>IF($AN43="","",IF(INDEX('_views'!$B:$ZZ,$AN43,2)="","",INDEX('_views'!$B:$ZZ,$AN43,2)))</f>
        <v/>
      </c>
      <c r="D43" s="113">
        <f>IF($AN43="","",IF(INDEX('_views'!$B:$ZZ,$AN43,3)="","",INDEX('_views'!$B:$ZZ,$AN43,3)))</f>
        <v/>
      </c>
      <c r="E43" s="122">
        <f>IF(IF($AP43="","",IF(INDEX('_pockets'!$AB:$AB,$AP43)="","",INDEX('_pockets'!$AB:$AB,$AP43)))="","",IF($AP43="","",IF(INDEX('_pockets'!$AB:$AB,$AP43)="","",INDEX('_pockets'!$AB:$AB,$AP43)))*100)</f>
        <v/>
      </c>
      <c r="F43" s="113">
        <f>IF(IF($AP43="","",IF(INDEX('_pockets'!$Z:$Z,$AP43)="","",INDEX('_pockets'!$Z:$Z,$AP43)))="","",-IF($AP43="","",IF(INDEX('_pockets'!$Z:$Z,$AP43)="","",INDEX('_pockets'!$Z:$Z,$AP43))))</f>
        <v/>
      </c>
      <c r="G43" s="115">
        <f>IF($AQ43="","",IF(INDEX('_pockets'!$AB:$AB,$AQ43)="","",INDEX('_pockets'!$AB:$AB,$AQ43)))</f>
        <v/>
      </c>
      <c r="H43" s="113">
        <f>IF($AQ43="","",IF(INDEX('_pockets'!$Z:$Z,$AQ43)="","",INDEX('_pockets'!$Z:$Z,$AQ43)))</f>
        <v/>
      </c>
      <c r="I43" s="122">
        <f>IF(IF($AR43="","",IF(INDEX('_pockets'!$AB:$AB,$AR43)="","",INDEX('_pockets'!$AB:$AB,$AR43)))="","",IF($AR43="","",IF(INDEX('_pockets'!$AB:$AB,$AR43)="","",INDEX('_pockets'!$AB:$AB,$AR43)))*100)</f>
        <v/>
      </c>
      <c r="J43" s="113">
        <f>IF(IF($AR43="","",IF(INDEX('_pockets'!$Z:$Z,$AR43)="","",INDEX('_pockets'!$Z:$Z,$AR43)))="","",-IF($AR43="","",IF(INDEX('_pockets'!$Z:$Z,$AR43)="","",INDEX('_pockets'!$Z:$Z,$AR43))))</f>
        <v/>
      </c>
      <c r="K43" s="123">
        <f>IF(OR($AO43=1,$AO43=""),"",IF(AND($AT43="worse",$AU43="better"),"Priced for it",IF(AND($AT43="worse",$AU43="worse"),"Net drain",IF(AND($AT43="better",$AU43="better"),"Strong",IF(AND($AT43="better",$AU43="worse"),"Safe but idle",IF(AND(OR($AT43="in line",$AT43="worse, not significant",$AT43="better, not significant"),$AU43="worse"),"Earns less, not from losses",IF(AND($AT43="worse",OR($AU43="in line",$AU43="worse, not significant",$AU43="better, not significant")),"Losing more, profit holding","")))))))</f>
        <v/>
      </c>
      <c r="M43" s="119">
        <f>IF('_chart'!$C$2="","","2  "&amp;'_chart'!$C$2)</f>
        <v/>
      </c>
      <c r="AN43">
        <f>IFERROR(MATCH("C|"&amp;$B$16&amp;"|24",'_views'!$A:$A,0),"")</f>
        <v/>
      </c>
      <c r="AO43">
        <f>IF($AN43="","",IF(INDEX('_views'!$B:$ZZ,$AN43,4)="","",INDEX('_views'!$B:$ZZ,$AN43,4)))</f>
        <v/>
      </c>
      <c r="AP43">
        <f>IF($AN43="","",IF(INDEX('_views'!$B:$ZZ,$AN43,5)="","",INDEX('_views'!$B:$ZZ,$AN43,5)))</f>
        <v/>
      </c>
      <c r="AQ43">
        <f>IF($AN43="","",IF(INDEX('_views'!$B:$ZZ,$AN43,6)="","",INDEX('_views'!$B:$ZZ,$AN43,6)))</f>
        <v/>
      </c>
      <c r="AR43">
        <f>IF($AN43="","",IF(INDEX('_views'!$B:$ZZ,$AN43,7)="","",INDEX('_views'!$B:$ZZ,$AN43,7)))</f>
        <v/>
      </c>
      <c r="AS43">
        <f>IF($AP43="","",IF(INDEX('_pockets'!$Y:$Y,$AP43)="","",INDEX('_pockets'!$Y:$Y,$AP43)))</f>
        <v/>
      </c>
      <c r="AT43">
        <f>IF($AQ43="","",IF(INDEX('_pockets'!$Y:$Y,$AQ43)="","",INDEX('_pockets'!$Y:$Y,$AQ43)))</f>
        <v/>
      </c>
      <c r="AU43">
        <f>IF($AR43="","",IF(INDEX('_pockets'!$Y:$Y,$AR43)="","",INDEX('_pockets'!$Y:$Y,$AR43)))</f>
        <v/>
      </c>
    </row>
    <row r="44" ht="16" customHeight="1">
      <c r="B44" s="112">
        <f>IF($AN44="","",IF(INDEX('_views'!$B:$ZZ,$AN44,1)="","",INDEX('_views'!$B:$ZZ,$AN44,1)))</f>
        <v/>
      </c>
      <c r="C44" s="112">
        <f>IF($AN44="","",IF(INDEX('_views'!$B:$ZZ,$AN44,2)="","",INDEX('_views'!$B:$ZZ,$AN44,2)))</f>
        <v/>
      </c>
      <c r="D44" s="113">
        <f>IF($AN44="","",IF(INDEX('_views'!$B:$ZZ,$AN44,3)="","",INDEX('_views'!$B:$ZZ,$AN44,3)))</f>
        <v/>
      </c>
      <c r="E44" s="122">
        <f>IF(IF($AP44="","",IF(INDEX('_pockets'!$AB:$AB,$AP44)="","",INDEX('_pockets'!$AB:$AB,$AP44)))="","",IF($AP44="","",IF(INDEX('_pockets'!$AB:$AB,$AP44)="","",INDEX('_pockets'!$AB:$AB,$AP44)))*100)</f>
        <v/>
      </c>
      <c r="F44" s="113">
        <f>IF(IF($AP44="","",IF(INDEX('_pockets'!$Z:$Z,$AP44)="","",INDEX('_pockets'!$Z:$Z,$AP44)))="","",-IF($AP44="","",IF(INDEX('_pockets'!$Z:$Z,$AP44)="","",INDEX('_pockets'!$Z:$Z,$AP44))))</f>
        <v/>
      </c>
      <c r="G44" s="115">
        <f>IF($AQ44="","",IF(INDEX('_pockets'!$AB:$AB,$AQ44)="","",INDEX('_pockets'!$AB:$AB,$AQ44)))</f>
        <v/>
      </c>
      <c r="H44" s="113">
        <f>IF($AQ44="","",IF(INDEX('_pockets'!$Z:$Z,$AQ44)="","",INDEX('_pockets'!$Z:$Z,$AQ44)))</f>
        <v/>
      </c>
      <c r="I44" s="122">
        <f>IF(IF($AR44="","",IF(INDEX('_pockets'!$AB:$AB,$AR44)="","",INDEX('_pockets'!$AB:$AB,$AR44)))="","",IF($AR44="","",IF(INDEX('_pockets'!$AB:$AB,$AR44)="","",INDEX('_pockets'!$AB:$AB,$AR44)))*100)</f>
        <v/>
      </c>
      <c r="J44" s="113">
        <f>IF(IF($AR44="","",IF(INDEX('_pockets'!$Z:$Z,$AR44)="","",INDEX('_pockets'!$Z:$Z,$AR44)))="","",-IF($AR44="","",IF(INDEX('_pockets'!$Z:$Z,$AR44)="","",INDEX('_pockets'!$Z:$Z,$AR44))))</f>
        <v/>
      </c>
      <c r="K44" s="123">
        <f>IF(OR($AO44=1,$AO44=""),"",IF(AND($AT44="worse",$AU44="better"),"Priced for it",IF(AND($AT44="worse",$AU44="worse"),"Net drain",IF(AND($AT44="better",$AU44="better"),"Strong",IF(AND($AT44="better",$AU44="worse"),"Safe but idle",IF(AND(OR($AT44="in line",$AT44="worse, not significant",$AT44="better, not significant"),$AU44="worse"),"Earns less, not from losses",IF(AND($AT44="worse",OR($AU44="in line",$AU44="worse, not significant",$AU44="better, not significant")),"Losing more, profit holding","")))))))</f>
        <v/>
      </c>
      <c r="M44" s="119">
        <f>IF('_chart'!$C$3="","","3  "&amp;'_chart'!$C$3)</f>
        <v/>
      </c>
      <c r="AN44">
        <f>IFERROR(MATCH("C|"&amp;$B$16&amp;"|25",'_views'!$A:$A,0),"")</f>
        <v/>
      </c>
      <c r="AO44">
        <f>IF($AN44="","",IF(INDEX('_views'!$B:$ZZ,$AN44,4)="","",INDEX('_views'!$B:$ZZ,$AN44,4)))</f>
        <v/>
      </c>
      <c r="AP44">
        <f>IF($AN44="","",IF(INDEX('_views'!$B:$ZZ,$AN44,5)="","",INDEX('_views'!$B:$ZZ,$AN44,5)))</f>
        <v/>
      </c>
      <c r="AQ44">
        <f>IF($AN44="","",IF(INDEX('_views'!$B:$ZZ,$AN44,6)="","",INDEX('_views'!$B:$ZZ,$AN44,6)))</f>
        <v/>
      </c>
      <c r="AR44">
        <f>IF($AN44="","",IF(INDEX('_views'!$B:$ZZ,$AN44,7)="","",INDEX('_views'!$B:$ZZ,$AN44,7)))</f>
        <v/>
      </c>
      <c r="AS44">
        <f>IF($AP44="","",IF(INDEX('_pockets'!$Y:$Y,$AP44)="","",INDEX('_pockets'!$Y:$Y,$AP44)))</f>
        <v/>
      </c>
      <c r="AT44">
        <f>IF($AQ44="","",IF(INDEX('_pockets'!$Y:$Y,$AQ44)="","",INDEX('_pockets'!$Y:$Y,$AQ44)))</f>
        <v/>
      </c>
      <c r="AU44">
        <f>IF($AR44="","",IF(INDEX('_pockets'!$Y:$Y,$AR44)="","",INDEX('_pockets'!$Y:$Y,$AR44)))</f>
        <v/>
      </c>
    </row>
    <row r="45">
      <c r="M45" s="119">
        <f>IF('_chart'!$C$4="","","4  "&amp;'_chart'!$C$4)</f>
        <v/>
      </c>
    </row>
    <row r="46">
      <c r="M46" s="119">
        <f>IF('_chart'!$C$5="","","5  "&amp;'_chart'!$C$5)</f>
        <v/>
      </c>
    </row>
    <row r="47">
      <c r="M47" s="119">
        <f>IF('_chart'!$C$6="","","6  "&amp;'_chart'!$C$6)</f>
        <v/>
      </c>
    </row>
    <row r="48">
      <c r="M48" s="119">
        <f>IF('_chart'!$C$7="","","7  "&amp;'_chart'!$C$7)</f>
        <v/>
      </c>
    </row>
    <row r="49">
      <c r="M49" s="119">
        <f>IF('_chart'!$C$8="","","8  "&amp;'_chart'!$C$8)</f>
        <v/>
      </c>
    </row>
  </sheetData>
  <mergeCells count="22">
    <mergeCell ref="B16:C16"/>
    <mergeCell ref="C10:K10"/>
    <mergeCell ref="C9:K9"/>
    <mergeCell ref="J13:K13"/>
    <mergeCell ref="K18"/>
    <mergeCell ref="F12:G12"/>
    <mergeCell ref="D13:E13"/>
    <mergeCell ref="C8:K8"/>
    <mergeCell ref="G18:H18"/>
    <mergeCell ref="I18:J18"/>
    <mergeCell ref="C7:K7"/>
    <mergeCell ref="M13:T13"/>
    <mergeCell ref="M12:T12"/>
    <mergeCell ref="F13:G13"/>
    <mergeCell ref="H13:I13"/>
    <mergeCell ref="D12:E12"/>
    <mergeCell ref="C6:K6"/>
    <mergeCell ref="H12:I12"/>
    <mergeCell ref="J12:K12"/>
    <mergeCell ref="C5:K5"/>
    <mergeCell ref="C4:K4"/>
    <mergeCell ref="E18:F18"/>
  </mergeCells>
  <conditionalFormatting sqref="E20:F44">
    <cfRule type="expression" priority="1" dxfId="15">
      <formula>AND($B20&lt;&gt;"",AND($AO20=0,$AS20="worse"))</formula>
    </cfRule>
    <cfRule type="expression" priority="2" dxfId="16">
      <formula>AND($B20&lt;&gt;"",AND($AO20=0,$AS20="better"))</formula>
    </cfRule>
    <cfRule type="expression" priority="3" dxfId="6">
      <formula>$B20&lt;&gt;""</formula>
    </cfRule>
  </conditionalFormatting>
  <conditionalFormatting sqref="G20:H44">
    <cfRule type="expression" priority="4" dxfId="15">
      <formula>AND($B20&lt;&gt;"",AND($AO20=0,$AT20="worse"))</formula>
    </cfRule>
    <cfRule type="expression" priority="5" dxfId="16">
      <formula>AND($B20&lt;&gt;"",AND($AO20=0,$AT20="better"))</formula>
    </cfRule>
    <cfRule type="expression" priority="6" dxfId="6">
      <formula>$B20&lt;&gt;""</formula>
    </cfRule>
  </conditionalFormatting>
  <conditionalFormatting sqref="I20:J44">
    <cfRule type="expression" priority="7" dxfId="15">
      <formula>AND($B20&lt;&gt;"",AND($AO20=0,$AU20="worse"))</formula>
    </cfRule>
    <cfRule type="expression" priority="8" dxfId="16">
      <formula>AND($B20&lt;&gt;"",AND($AO20=0,$AU20="better"))</formula>
    </cfRule>
    <cfRule type="expression" priority="9" dxfId="6">
      <formula>$B20&lt;&gt;""</formula>
    </cfRule>
  </conditionalFormatting>
  <conditionalFormatting sqref="K20:K44">
    <cfRule type="expression" priority="10" dxfId="17">
      <formula>AND($B20&lt;&gt;"",OR($K20="Priced for it",$K20="Strong"))</formula>
    </cfRule>
    <cfRule type="expression" priority="11" dxfId="14">
      <formula>AND($B20&lt;&gt;"",$K20="Net drain")</formula>
    </cfRule>
    <cfRule type="expression" priority="12" dxfId="6">
      <formula>$B20&lt;&gt;""</formula>
    </cfRule>
  </conditionalFormatting>
  <conditionalFormatting sqref="B20:D44">
    <cfRule type="expression" priority="13" dxfId="6">
      <formula>$B20&lt;&gt;""</formula>
    </cfRule>
  </conditionalFormatting>
  <dataValidations count="1">
    <dataValidation sqref="B16" showDropDown="0" showInputMessage="0" showErrorMessage="1" allowBlank="0" errorTitle="Grid" error="Pick one from the list." type="list">
      <formula1>='_choices'!$G$2:$G$5</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A0908"/>
    <outlinePr summaryBelow="0" summaryRight="1"/>
    <pageSetUpPr fitToPage="1"/>
  </sheetPr>
  <dimension ref="B1:AH78"/>
  <sheetViews>
    <sheetView showGridLines="0" tabSelected="0" workbookViewId="0">
      <pane ySplit="13" topLeftCell="A14" activePane="bottomLeft" state="frozen"/>
      <selection pane="bottomLeft" activeCell="A1" sqref="A1"/>
    </sheetView>
  </sheetViews>
  <sheetFormatPr baseColWidth="8" defaultRowHeight="15"/>
  <cols>
    <col width="2" customWidth="1" min="1" max="1"/>
    <col width="2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3" customWidth="1" min="12" max="12"/>
    <col width="20"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s>
  <sheetData>
    <row r="1" ht="30" customHeight="1">
      <c r="B1" s="1" t="inlineStr">
        <is>
          <t>Grids</t>
        </is>
      </c>
      <c r="C1" s="2" t="inlineStr">
        <is>
          <t>One grid at a time: the rate, how it compares, and how many loans sit in each pocket.</t>
        </is>
      </c>
      <c r="D1" s="3" t="n"/>
      <c r="E1" s="3" t="n"/>
      <c r="F1" s="3" t="n"/>
      <c r="G1" s="3" t="n"/>
      <c r="H1" s="3" t="n"/>
      <c r="I1" s="3" t="n"/>
      <c r="J1" s="3" t="n"/>
      <c r="K1" s="3" t="n"/>
      <c r="L1" s="3" t="n"/>
      <c r="M1" s="3" t="n"/>
      <c r="N1" s="3" t="n"/>
      <c r="O1" s="3" t="n"/>
      <c r="P1" s="3" t="n"/>
      <c r="Q1" s="3" t="n"/>
      <c r="R1" s="3" t="n"/>
      <c r="S1" s="3" t="n"/>
      <c r="T1" s="3" t="n"/>
      <c r="U1" s="3" t="n"/>
      <c r="V1" s="3" t="n"/>
    </row>
    <row r="3" outlineLevel="1">
      <c r="B3" s="4" t="inlineStr">
        <is>
          <t>How this tab works</t>
        </is>
      </c>
      <c r="C3" s="5" t="n"/>
      <c r="D3" s="5" t="n"/>
      <c r="E3" s="5" t="n"/>
      <c r="F3" s="5" t="n"/>
      <c r="G3" s="5" t="n"/>
      <c r="H3" s="5" t="n"/>
      <c r="I3" s="5" t="n"/>
      <c r="J3" s="5" t="n"/>
      <c r="K3" s="5" t="n"/>
      <c r="L3" s="5" t="n"/>
      <c r="M3" s="5" t="n"/>
      <c r="N3" s="5" t="n"/>
      <c r="O3" s="5" t="n"/>
      <c r="P3" s="5" t="n"/>
      <c r="Q3" s="5" t="n"/>
      <c r="R3" s="5" t="n"/>
      <c r="S3" s="5" t="n"/>
      <c r="T3" s="5" t="n"/>
      <c r="U3" s="5" t="n"/>
      <c r="V3" s="5" t="n"/>
    </row>
    <row r="4" outlineLevel="1" ht="17" customHeight="1">
      <c r="B4" s="6" t="inlineStr">
        <is>
          <t>Rate</t>
        </is>
      </c>
      <c r="C4" s="7" t="inlineStr">
        <is>
          <t>The measure picked above, in every pocket: one band (down) by one segment (across), with the band's and the segment's totals in All.</t>
        </is>
      </c>
    </row>
    <row r="5" outlineLevel="1" ht="17" customHeight="1">
      <c r="B5" s="6" t="inlineStr">
        <is>
          <t>vs the book</t>
        </is>
      </c>
      <c r="C5" s="7" t="inlineStr">
        <is>
          <t>The pocket's rate over the book's: 2.00× goes bad twice as often as the book. Kept after losses and Earned before losses are a gap in points instead.</t>
        </is>
      </c>
    </row>
    <row r="6" outlineLevel="1" ht="17" customHeight="1">
      <c r="B6" s="6" t="inlineStr">
        <is>
          <t>vs rest of band</t>
        </is>
      </c>
      <c r="C6" s="7" t="inlineStr">
        <is>
          <t>The pocket's rate over every other loan in its band, so a band that is bad all through doesn't make each of its pockets look bad.</t>
        </is>
      </c>
    </row>
    <row r="7" outlineLevel="1" ht="31" customHeight="1">
      <c r="B7" s="6" t="inlineStr">
        <is>
          <t>Colour</t>
        </is>
      </c>
      <c r="C7" s="7" t="inlineStr">
        <is>
          <t>Red is worse, green better, pale in line: 0.5× and under the greenest, 2× and over the deepest red; for a gap in points, the largest in the grid is the deepest. A blank: alone in its band, or fewer losses than fewest losses on Control, so not compared (a setting for the next Run).</t>
        </is>
      </c>
    </row>
    <row r="8" outlineLevel="1" ht="17" customHeight="1">
      <c r="B8" s="6" t="inlineStr">
        <is>
          <t>Loans</t>
        </is>
      </c>
      <c r="C8" s="7" t="inlineStr">
        <is>
          <t>How many loans are in each pocket, shaded by its share of the grid: darker is more. A count, not a test, so no red or green.</t>
        </is>
      </c>
    </row>
    <row r="9" outlineLevel="1" ht="17" customHeight="1">
      <c r="B9" s="6" t="inlineStr">
        <is>
          <t>Groups</t>
        </is>
      </c>
      <c r="C9" s="7" t="inlineStr">
        <is>
          <t>Under the blocks: how many loans, and booked dollars, fall in each group of the split column or a new column, pocket by pocket. The count is checked against the grid's before it is shown.</t>
        </is>
      </c>
    </row>
    <row r="10" outlineLevel="1" ht="17" customHeight="1">
      <c r="B10" s="6" t="inlineStr">
        <is>
          <t>As of</t>
        </is>
      </c>
      <c r="C10" s="7" t="inlineStr">
        <is>
          <t>Everything here is as of the last Run: no line on Control changes it.</t>
        </is>
      </c>
    </row>
    <row r="12">
      <c r="B12" s="109" t="inlineStr">
        <is>
          <t>GRID</t>
        </is>
      </c>
      <c r="F12" s="109" t="inlineStr">
        <is>
          <t>MEASURE</t>
        </is>
      </c>
      <c r="J12" s="109" t="inlineStr">
        <is>
          <t>ROW</t>
        </is>
      </c>
      <c r="N12" s="109" t="inlineStr">
        <is>
          <t>COLUMN</t>
        </is>
      </c>
    </row>
    <row r="13" ht="20" customHeight="1">
      <c r="B13" s="32" t="inlineStr">
        <is>
          <t>FICO x CHANNEL</t>
        </is>
      </c>
      <c r="C13" s="125" t="n"/>
      <c r="D13" s="118" t="n"/>
      <c r="F13" s="32" t="inlineStr">
        <is>
          <t>Bad loans</t>
        </is>
      </c>
      <c r="G13" s="125" t="n"/>
      <c r="H13" s="118" t="n"/>
      <c r="J13" s="32" t="inlineStr">
        <is>
          <t>496 - 653</t>
        </is>
      </c>
      <c r="K13" s="125" t="n"/>
      <c r="L13" s="118" t="n"/>
      <c r="N13" s="32" t="inlineStr">
        <is>
          <t>Branch</t>
        </is>
      </c>
      <c r="O13" s="125" t="n"/>
      <c r="P13" s="118" t="n"/>
      <c r="X13">
        <f>IFERROR(INDEX('_choices'!$J$2:$J$6,MATCH($F$13,'_choices'!$I$2:$I$6,0)),"")</f>
        <v/>
      </c>
      <c r="Y13">
        <f>IF($X$14="","",IF(INDEX('_views'!$B:$ZZ,$X$14,1)="","",INDEX('_views'!$B:$ZZ,$X$14,1)))</f>
        <v/>
      </c>
      <c r="AE13">
        <f>IF(IF($X$16="","",IF(INDEX('_views'!$B:$ZZ,$X$16,1)="","",INDEX('_views'!$B:$ZZ,$X$16,1)))="All","",IF($X$16="","",IF(INDEX('_views'!$B:$ZZ,$X$16,1)="","",INDEX('_views'!$B:$ZZ,$X$16,1))))</f>
        <v/>
      </c>
      <c r="AF13">
        <f>IF(IF($X$15="","",IF(INDEX('_views'!$B:$ZZ,$X$15,1)="","",INDEX('_views'!$B:$ZZ,$X$15,1)))="All","",IF($X$15="","",IF(INDEX('_views'!$B:$ZZ,$X$15,1)="","",INDEX('_views'!$B:$ZZ,$X$15,1))))</f>
        <v/>
      </c>
      <c r="AG13">
        <f>SUMPRODUCT(--(LEN($AE$13:$AE$19)&gt;0))</f>
        <v/>
      </c>
      <c r="AH13">
        <f>IF($J$13="","",IFERROR(MATCH($J$13,$AE$13:$AE$19,0),""))</f>
        <v/>
      </c>
    </row>
    <row r="14">
      <c r="X14">
        <f>IFERROR(MATCH("G|"&amp;$B$13&amp;"|"&amp;$X$13&amp;"|meta",'_views'!$A:$A,0),"")</f>
        <v/>
      </c>
      <c r="Y14">
        <f>IF($X$14="","",IF(INDEX('_views'!$B:$ZZ,$X$14,2)="","",INDEX('_views'!$B:$ZZ,$X$14,2)))</f>
        <v/>
      </c>
      <c r="AE14">
        <f>IF(IF($X$16="","",IF(INDEX('_views'!$B:$ZZ,$X$16,2)="","",INDEX('_views'!$B:$ZZ,$X$16,2)))="All","",IF($X$16="","",IF(INDEX('_views'!$B:$ZZ,$X$16,2)="","",INDEX('_views'!$B:$ZZ,$X$16,2))))</f>
        <v/>
      </c>
      <c r="AF14">
        <f>IF(IF($X$15="","",IF(INDEX('_views'!$B:$ZZ,$X$15,2)="","",INDEX('_views'!$B:$ZZ,$X$15,2)))="All","",IF($X$15="","",IF(INDEX('_views'!$B:$ZZ,$X$15,2)="","",INDEX('_views'!$B:$ZZ,$X$15,2))))</f>
        <v/>
      </c>
      <c r="AG14">
        <f>SUMPRODUCT(--(LEN($AF$13:$AF$20)&gt;0))</f>
        <v/>
      </c>
      <c r="AH14">
        <f>IF($N$13="","",IFERROR(MATCH($N$13,$AF$13:$AF$20,0),""))</f>
        <v/>
      </c>
    </row>
    <row r="15" ht="20" customHeight="1">
      <c r="B15" s="126">
        <f>"Rate · "&amp;$F$13</f>
        <v/>
      </c>
      <c r="C15" s="26" t="n"/>
      <c r="D15" s="26" t="n"/>
      <c r="E15" s="26" t="n"/>
      <c r="F15" s="26" t="n"/>
      <c r="G15" s="26" t="n"/>
      <c r="H15" s="26" t="n"/>
      <c r="I15" s="26" t="n"/>
      <c r="J15" s="26" t="n"/>
      <c r="K15" s="26" t="n"/>
      <c r="M15" s="126" t="inlineStr">
        <is>
          <t>vs the book</t>
        </is>
      </c>
      <c r="N15" s="26" t="n"/>
      <c r="O15" s="26" t="n"/>
      <c r="P15" s="26" t="n"/>
      <c r="Q15" s="26" t="n"/>
      <c r="R15" s="26" t="n"/>
      <c r="S15" s="26" t="n"/>
      <c r="T15" s="26" t="n"/>
      <c r="U15" s="26" t="n"/>
      <c r="V15" s="26" t="n"/>
      <c r="X15">
        <f>IFERROR(MATCH("G|"&amp;$B$13&amp;"|cols",'_views'!$A:$A,0),"")</f>
        <v/>
      </c>
      <c r="AE15">
        <f>IF(IF($X$16="","",IF(INDEX('_views'!$B:$ZZ,$X$16,3)="","",INDEX('_views'!$B:$ZZ,$X$16,3)))="All","",IF($X$16="","",IF(INDEX('_views'!$B:$ZZ,$X$16,3)="","",INDEX('_views'!$B:$ZZ,$X$16,3))))</f>
        <v/>
      </c>
      <c r="AF15">
        <f>IF(IF($X$15="","",IF(INDEX('_views'!$B:$ZZ,$X$15,3)="","",INDEX('_views'!$B:$ZZ,$X$15,3)))="All","",IF($X$15="","",IF(INDEX('_views'!$B:$ZZ,$X$15,3)="","",INDEX('_views'!$B:$ZZ,$X$15,3))))</f>
        <v/>
      </c>
      <c r="AH15">
        <f>IF(OR($AH$13="",$AH$14=""),"",INDEX($C$17:$K$24,$AH$13,$AH$14))</f>
        <v/>
      </c>
    </row>
    <row r="16">
      <c r="B16" s="127">
        <f>IF($X$17="","",IF(INDEX('_views'!$B:$ZZ,$X$17,1)="","",INDEX('_views'!$B:$ZZ,$X$17,1)))</f>
        <v/>
      </c>
      <c r="C16" s="30">
        <f>IF($X$15="","",IF(INDEX('_views'!$B:$ZZ,$X$15,1)="","",INDEX('_views'!$B:$ZZ,$X$15,1)))</f>
        <v/>
      </c>
      <c r="D16" s="30">
        <f>IF($X$15="","",IF(INDEX('_views'!$B:$ZZ,$X$15,2)="","",INDEX('_views'!$B:$ZZ,$X$15,2)))</f>
        <v/>
      </c>
      <c r="E16" s="30">
        <f>IF($X$15="","",IF(INDEX('_views'!$B:$ZZ,$X$15,3)="","",INDEX('_views'!$B:$ZZ,$X$15,3)))</f>
        <v/>
      </c>
      <c r="F16" s="30">
        <f>IF($X$15="","",IF(INDEX('_views'!$B:$ZZ,$X$15,4)="","",INDEX('_views'!$B:$ZZ,$X$15,4)))</f>
        <v/>
      </c>
      <c r="G16" s="30">
        <f>IF($X$15="","",IF(INDEX('_views'!$B:$ZZ,$X$15,5)="","",INDEX('_views'!$B:$ZZ,$X$15,5)))</f>
        <v/>
      </c>
      <c r="H16" s="30">
        <f>IF($X$15="","",IF(INDEX('_views'!$B:$ZZ,$X$15,6)="","",INDEX('_views'!$B:$ZZ,$X$15,6)))</f>
        <v/>
      </c>
      <c r="I16" s="30">
        <f>IF($X$15="","",IF(INDEX('_views'!$B:$ZZ,$X$15,7)="","",INDEX('_views'!$B:$ZZ,$X$15,7)))</f>
        <v/>
      </c>
      <c r="J16" s="30">
        <f>IF($X$15="","",IF(INDEX('_views'!$B:$ZZ,$X$15,8)="","",INDEX('_views'!$B:$ZZ,$X$15,8)))</f>
        <v/>
      </c>
      <c r="K16" s="30">
        <f>IF($X$15="","",IF(INDEX('_views'!$B:$ZZ,$X$15,9)="","",INDEX('_views'!$B:$ZZ,$X$15,9)))</f>
        <v/>
      </c>
      <c r="M16" s="127">
        <f>IF($X$17="","",IF(INDEX('_views'!$B:$ZZ,$X$17,1)="","",INDEX('_views'!$B:$ZZ,$X$17,1)))</f>
        <v/>
      </c>
      <c r="N16" s="30">
        <f>IF($X$15="","",IF(INDEX('_views'!$B:$ZZ,$X$15,1)="","",INDEX('_views'!$B:$ZZ,$X$15,1)))</f>
        <v/>
      </c>
      <c r="O16" s="30">
        <f>IF($X$15="","",IF(INDEX('_views'!$B:$ZZ,$X$15,2)="","",INDEX('_views'!$B:$ZZ,$X$15,2)))</f>
        <v/>
      </c>
      <c r="P16" s="30">
        <f>IF($X$15="","",IF(INDEX('_views'!$B:$ZZ,$X$15,3)="","",INDEX('_views'!$B:$ZZ,$X$15,3)))</f>
        <v/>
      </c>
      <c r="Q16" s="30">
        <f>IF($X$15="","",IF(INDEX('_views'!$B:$ZZ,$X$15,4)="","",INDEX('_views'!$B:$ZZ,$X$15,4)))</f>
        <v/>
      </c>
      <c r="R16" s="30">
        <f>IF($X$15="","",IF(INDEX('_views'!$B:$ZZ,$X$15,5)="","",INDEX('_views'!$B:$ZZ,$X$15,5)))</f>
        <v/>
      </c>
      <c r="S16" s="30">
        <f>IF($X$15="","",IF(INDEX('_views'!$B:$ZZ,$X$15,6)="","",INDEX('_views'!$B:$ZZ,$X$15,6)))</f>
        <v/>
      </c>
      <c r="T16" s="30">
        <f>IF($X$15="","",IF(INDEX('_views'!$B:$ZZ,$X$15,7)="","",INDEX('_views'!$B:$ZZ,$X$15,7)))</f>
        <v/>
      </c>
      <c r="U16" s="30">
        <f>IF($X$15="","",IF(INDEX('_views'!$B:$ZZ,$X$15,8)="","",INDEX('_views'!$B:$ZZ,$X$15,8)))</f>
        <v/>
      </c>
      <c r="V16" s="30">
        <f>IF($X$15="","",IF(INDEX('_views'!$B:$ZZ,$X$15,9)="","",INDEX('_views'!$B:$ZZ,$X$15,9)))</f>
        <v/>
      </c>
      <c r="X16">
        <f>IFERROR(MATCH("G|"&amp;$B$13&amp;"|rows",'_views'!$A:$A,0),"")</f>
        <v/>
      </c>
      <c r="AE16">
        <f>IF(IF($X$16="","",IF(INDEX('_views'!$B:$ZZ,$X$16,4)="","",INDEX('_views'!$B:$ZZ,$X$16,4)))="All","",IF($X$16="","",IF(INDEX('_views'!$B:$ZZ,$X$16,4)="","",INDEX('_views'!$B:$ZZ,$X$16,4))))</f>
        <v/>
      </c>
      <c r="AF16">
        <f>IF(IF($X$15="","",IF(INDEX('_views'!$B:$ZZ,$X$15,4)="","",INDEX('_views'!$B:$ZZ,$X$15,4)))="All","",IF($X$15="","",IF(INDEX('_views'!$B:$ZZ,$X$15,4)="","",INDEX('_views'!$B:$ZZ,$X$15,4))))</f>
        <v/>
      </c>
      <c r="AH16">
        <f>IF(OR($AH$13="",$AH$14=""),"",INDEX($N$17:$V$24,$AH$13,$AH$14))</f>
        <v/>
      </c>
    </row>
    <row r="17" ht="16" customHeight="1">
      <c r="B17" s="112">
        <f>IF($X$16="","",IF(INDEX('_views'!$B:$ZZ,$X$16,1)="","",INDEX('_views'!$B:$ZZ,$X$16,1)))</f>
        <v/>
      </c>
      <c r="C17" s="114">
        <f>IF($Z17="","",IF(INDEX('_views'!$B:$ZZ,$Z17,1)="","",INDEX('_views'!$B:$ZZ,$Z17,1)))</f>
        <v/>
      </c>
      <c r="D17" s="114">
        <f>IF($Z17="","",IF(INDEX('_views'!$B:$ZZ,$Z17,2)="","",INDEX('_views'!$B:$ZZ,$Z17,2)))</f>
        <v/>
      </c>
      <c r="E17" s="114">
        <f>IF($Z17="","",IF(INDEX('_views'!$B:$ZZ,$Z17,3)="","",INDEX('_views'!$B:$ZZ,$Z17,3)))</f>
        <v/>
      </c>
      <c r="F17" s="114">
        <f>IF($Z17="","",IF(INDEX('_views'!$B:$ZZ,$Z17,4)="","",INDEX('_views'!$B:$ZZ,$Z17,4)))</f>
        <v/>
      </c>
      <c r="G17" s="114">
        <f>IF($Z17="","",IF(INDEX('_views'!$B:$ZZ,$Z17,5)="","",INDEX('_views'!$B:$ZZ,$Z17,5)))</f>
        <v/>
      </c>
      <c r="H17" s="114">
        <f>IF($Z17="","",IF(INDEX('_views'!$B:$ZZ,$Z17,6)="","",INDEX('_views'!$B:$ZZ,$Z17,6)))</f>
        <v/>
      </c>
      <c r="I17" s="114">
        <f>IF($Z17="","",IF(INDEX('_views'!$B:$ZZ,$Z17,7)="","",INDEX('_views'!$B:$ZZ,$Z17,7)))</f>
        <v/>
      </c>
      <c r="J17" s="114">
        <f>IF($Z17="","",IF(INDEX('_views'!$B:$ZZ,$Z17,8)="","",INDEX('_views'!$B:$ZZ,$Z17,8)))</f>
        <v/>
      </c>
      <c r="K17" s="114">
        <f>IF($Z17="","",IF(INDEX('_views'!$B:$ZZ,$Z17,9)="","",INDEX('_views'!$B:$ZZ,$Z17,9)))</f>
        <v/>
      </c>
      <c r="M17" s="112">
        <f>IF($X$16="","",IF(INDEX('_views'!$B:$ZZ,$X$16,1)="","",INDEX('_views'!$B:$ZZ,$X$16,1)))</f>
        <v/>
      </c>
      <c r="N17" s="115">
        <f>IF($AA17="","",IF(INDEX('_views'!$B:$ZZ,$AA17,1)="","",INDEX('_views'!$B:$ZZ,$AA17,1)))</f>
        <v/>
      </c>
      <c r="O17" s="115">
        <f>IF($AA17="","",IF(INDEX('_views'!$B:$ZZ,$AA17,2)="","",INDEX('_views'!$B:$ZZ,$AA17,2)))</f>
        <v/>
      </c>
      <c r="P17" s="115">
        <f>IF($AA17="","",IF(INDEX('_views'!$B:$ZZ,$AA17,3)="","",INDEX('_views'!$B:$ZZ,$AA17,3)))</f>
        <v/>
      </c>
      <c r="Q17" s="115">
        <f>IF($AA17="","",IF(INDEX('_views'!$B:$ZZ,$AA17,4)="","",INDEX('_views'!$B:$ZZ,$AA17,4)))</f>
        <v/>
      </c>
      <c r="R17" s="115">
        <f>IF($AA17="","",IF(INDEX('_views'!$B:$ZZ,$AA17,5)="","",INDEX('_views'!$B:$ZZ,$AA17,5)))</f>
        <v/>
      </c>
      <c r="S17" s="115">
        <f>IF($AA17="","",IF(INDEX('_views'!$B:$ZZ,$AA17,6)="","",INDEX('_views'!$B:$ZZ,$AA17,6)))</f>
        <v/>
      </c>
      <c r="T17" s="115">
        <f>IF($AA17="","",IF(INDEX('_views'!$B:$ZZ,$AA17,7)="","",INDEX('_views'!$B:$ZZ,$AA17,7)))</f>
        <v/>
      </c>
      <c r="U17" s="115">
        <f>IF($AA17="","",IF(INDEX('_views'!$B:$ZZ,$AA17,8)="","",INDEX('_views'!$B:$ZZ,$AA17,8)))</f>
        <v/>
      </c>
      <c r="V17" s="115">
        <f>IF($AA17="","",IF(INDEX('_views'!$B:$ZZ,$AA17,9)="","",INDEX('_views'!$B:$ZZ,$AA17,9)))</f>
        <v/>
      </c>
      <c r="X17">
        <f>IFERROR(MATCH("G|"&amp;$B$13&amp;"|names",'_views'!$A:$A,0),"")</f>
        <v/>
      </c>
      <c r="Z17">
        <f>IFERROR(MATCH("G|"&amp;$B$13&amp;"|"&amp;$X$13&amp;"|rate|1",'_views'!$A:$A,0),"")</f>
        <v/>
      </c>
      <c r="AA17">
        <f>IFERROR(MATCH("G|"&amp;$B$13&amp;"|"&amp;$X$13&amp;"|book|1",'_views'!$A:$A,0),"")</f>
        <v/>
      </c>
      <c r="AE17">
        <f>IF(IF($X$16="","",IF(INDEX('_views'!$B:$ZZ,$X$16,5)="","",INDEX('_views'!$B:$ZZ,$X$16,5)))="All","",IF($X$16="","",IF(INDEX('_views'!$B:$ZZ,$X$16,5)="","",INDEX('_views'!$B:$ZZ,$X$16,5))))</f>
        <v/>
      </c>
      <c r="AF17">
        <f>IF(IF($X$15="","",IF(INDEX('_views'!$B:$ZZ,$X$15,5)="","",INDEX('_views'!$B:$ZZ,$X$15,5)))="All","",IF($X$15="","",IF(INDEX('_views'!$B:$ZZ,$X$15,5)="","",INDEX('_views'!$B:$ZZ,$X$15,5))))</f>
        <v/>
      </c>
      <c r="AH17">
        <f>IF(OR($AH$13="",$AH$14=""),"",INDEX($C$28:$K$35,$AH$13,$AH$14))</f>
        <v/>
      </c>
    </row>
    <row r="18" ht="16" customHeight="1">
      <c r="B18" s="112">
        <f>IF($X$16="","",IF(INDEX('_views'!$B:$ZZ,$X$16,2)="","",INDEX('_views'!$B:$ZZ,$X$16,2)))</f>
        <v/>
      </c>
      <c r="C18" s="114">
        <f>IF($Z18="","",IF(INDEX('_views'!$B:$ZZ,$Z18,1)="","",INDEX('_views'!$B:$ZZ,$Z18,1)))</f>
        <v/>
      </c>
      <c r="D18" s="114">
        <f>IF($Z18="","",IF(INDEX('_views'!$B:$ZZ,$Z18,2)="","",INDEX('_views'!$B:$ZZ,$Z18,2)))</f>
        <v/>
      </c>
      <c r="E18" s="114">
        <f>IF($Z18="","",IF(INDEX('_views'!$B:$ZZ,$Z18,3)="","",INDEX('_views'!$B:$ZZ,$Z18,3)))</f>
        <v/>
      </c>
      <c r="F18" s="114">
        <f>IF($Z18="","",IF(INDEX('_views'!$B:$ZZ,$Z18,4)="","",INDEX('_views'!$B:$ZZ,$Z18,4)))</f>
        <v/>
      </c>
      <c r="G18" s="114">
        <f>IF($Z18="","",IF(INDEX('_views'!$B:$ZZ,$Z18,5)="","",INDEX('_views'!$B:$ZZ,$Z18,5)))</f>
        <v/>
      </c>
      <c r="H18" s="114">
        <f>IF($Z18="","",IF(INDEX('_views'!$B:$ZZ,$Z18,6)="","",INDEX('_views'!$B:$ZZ,$Z18,6)))</f>
        <v/>
      </c>
      <c r="I18" s="114">
        <f>IF($Z18="","",IF(INDEX('_views'!$B:$ZZ,$Z18,7)="","",INDEX('_views'!$B:$ZZ,$Z18,7)))</f>
        <v/>
      </c>
      <c r="J18" s="114">
        <f>IF($Z18="","",IF(INDEX('_views'!$B:$ZZ,$Z18,8)="","",INDEX('_views'!$B:$ZZ,$Z18,8)))</f>
        <v/>
      </c>
      <c r="K18" s="114">
        <f>IF($Z18="","",IF(INDEX('_views'!$B:$ZZ,$Z18,9)="","",INDEX('_views'!$B:$ZZ,$Z18,9)))</f>
        <v/>
      </c>
      <c r="M18" s="112">
        <f>IF($X$16="","",IF(INDEX('_views'!$B:$ZZ,$X$16,2)="","",INDEX('_views'!$B:$ZZ,$X$16,2)))</f>
        <v/>
      </c>
      <c r="N18" s="115">
        <f>IF($AA18="","",IF(INDEX('_views'!$B:$ZZ,$AA18,1)="","",INDEX('_views'!$B:$ZZ,$AA18,1)))</f>
        <v/>
      </c>
      <c r="O18" s="115">
        <f>IF($AA18="","",IF(INDEX('_views'!$B:$ZZ,$AA18,2)="","",INDEX('_views'!$B:$ZZ,$AA18,2)))</f>
        <v/>
      </c>
      <c r="P18" s="115">
        <f>IF($AA18="","",IF(INDEX('_views'!$B:$ZZ,$AA18,3)="","",INDEX('_views'!$B:$ZZ,$AA18,3)))</f>
        <v/>
      </c>
      <c r="Q18" s="115">
        <f>IF($AA18="","",IF(INDEX('_views'!$B:$ZZ,$AA18,4)="","",INDEX('_views'!$B:$ZZ,$AA18,4)))</f>
        <v/>
      </c>
      <c r="R18" s="115">
        <f>IF($AA18="","",IF(INDEX('_views'!$B:$ZZ,$AA18,5)="","",INDEX('_views'!$B:$ZZ,$AA18,5)))</f>
        <v/>
      </c>
      <c r="S18" s="115">
        <f>IF($AA18="","",IF(INDEX('_views'!$B:$ZZ,$AA18,6)="","",INDEX('_views'!$B:$ZZ,$AA18,6)))</f>
        <v/>
      </c>
      <c r="T18" s="115">
        <f>IF($AA18="","",IF(INDEX('_views'!$B:$ZZ,$AA18,7)="","",INDEX('_views'!$B:$ZZ,$AA18,7)))</f>
        <v/>
      </c>
      <c r="U18" s="115">
        <f>IF($AA18="","",IF(INDEX('_views'!$B:$ZZ,$AA18,8)="","",INDEX('_views'!$B:$ZZ,$AA18,8)))</f>
        <v/>
      </c>
      <c r="V18" s="115">
        <f>IF($AA18="","",IF(INDEX('_views'!$B:$ZZ,$AA18,9)="","",INDEX('_views'!$B:$ZZ,$AA18,9)))</f>
        <v/>
      </c>
      <c r="X18">
        <f>IFERROR(MATCH("G|"&amp;$B$13&amp;"|total",'_views'!$A:$A,0),"")</f>
        <v/>
      </c>
      <c r="Z18">
        <f>IFERROR(MATCH("G|"&amp;$B$13&amp;"|"&amp;$X$13&amp;"|rate|2",'_views'!$A:$A,0),"")</f>
        <v/>
      </c>
      <c r="AA18">
        <f>IFERROR(MATCH("G|"&amp;$B$13&amp;"|"&amp;$X$13&amp;"|book|2",'_views'!$A:$A,0),"")</f>
        <v/>
      </c>
      <c r="AE18">
        <f>IF(IF($X$16="","",IF(INDEX('_views'!$B:$ZZ,$X$16,6)="","",INDEX('_views'!$B:$ZZ,$X$16,6)))="All","",IF($X$16="","",IF(INDEX('_views'!$B:$ZZ,$X$16,6)="","",INDEX('_views'!$B:$ZZ,$X$16,6))))</f>
        <v/>
      </c>
      <c r="AF18">
        <f>IF(IF($X$15="","",IF(INDEX('_views'!$B:$ZZ,$X$15,6)="","",INDEX('_views'!$B:$ZZ,$X$15,6)))="All","",IF($X$15="","",IF(INDEX('_views'!$B:$ZZ,$X$15,6)="","",INDEX('_views'!$B:$ZZ,$X$15,6))))</f>
        <v/>
      </c>
      <c r="AH18">
        <f>IF(OR($AH$13="",$AH$14=""),"",INDEX($N$28:$V$35,$AH$13,$AH$14))</f>
        <v/>
      </c>
    </row>
    <row r="19" ht="16" customHeight="1">
      <c r="B19" s="112">
        <f>IF($X$16="","",IF(INDEX('_views'!$B:$ZZ,$X$16,3)="","",INDEX('_views'!$B:$ZZ,$X$16,3)))</f>
        <v/>
      </c>
      <c r="C19" s="114">
        <f>IF($Z19="","",IF(INDEX('_views'!$B:$ZZ,$Z19,1)="","",INDEX('_views'!$B:$ZZ,$Z19,1)))</f>
        <v/>
      </c>
      <c r="D19" s="114">
        <f>IF($Z19="","",IF(INDEX('_views'!$B:$ZZ,$Z19,2)="","",INDEX('_views'!$B:$ZZ,$Z19,2)))</f>
        <v/>
      </c>
      <c r="E19" s="114">
        <f>IF($Z19="","",IF(INDEX('_views'!$B:$ZZ,$Z19,3)="","",INDEX('_views'!$B:$ZZ,$Z19,3)))</f>
        <v/>
      </c>
      <c r="F19" s="114">
        <f>IF($Z19="","",IF(INDEX('_views'!$B:$ZZ,$Z19,4)="","",INDEX('_views'!$B:$ZZ,$Z19,4)))</f>
        <v/>
      </c>
      <c r="G19" s="114">
        <f>IF($Z19="","",IF(INDEX('_views'!$B:$ZZ,$Z19,5)="","",INDEX('_views'!$B:$ZZ,$Z19,5)))</f>
        <v/>
      </c>
      <c r="H19" s="114">
        <f>IF($Z19="","",IF(INDEX('_views'!$B:$ZZ,$Z19,6)="","",INDEX('_views'!$B:$ZZ,$Z19,6)))</f>
        <v/>
      </c>
      <c r="I19" s="114">
        <f>IF($Z19="","",IF(INDEX('_views'!$B:$ZZ,$Z19,7)="","",INDEX('_views'!$B:$ZZ,$Z19,7)))</f>
        <v/>
      </c>
      <c r="J19" s="114">
        <f>IF($Z19="","",IF(INDEX('_views'!$B:$ZZ,$Z19,8)="","",INDEX('_views'!$B:$ZZ,$Z19,8)))</f>
        <v/>
      </c>
      <c r="K19" s="114">
        <f>IF($Z19="","",IF(INDEX('_views'!$B:$ZZ,$Z19,9)="","",INDEX('_views'!$B:$ZZ,$Z19,9)))</f>
        <v/>
      </c>
      <c r="M19" s="112">
        <f>IF($X$16="","",IF(INDEX('_views'!$B:$ZZ,$X$16,3)="","",INDEX('_views'!$B:$ZZ,$X$16,3)))</f>
        <v/>
      </c>
      <c r="N19" s="115">
        <f>IF($AA19="","",IF(INDEX('_views'!$B:$ZZ,$AA19,1)="","",INDEX('_views'!$B:$ZZ,$AA19,1)))</f>
        <v/>
      </c>
      <c r="O19" s="115">
        <f>IF($AA19="","",IF(INDEX('_views'!$B:$ZZ,$AA19,2)="","",INDEX('_views'!$B:$ZZ,$AA19,2)))</f>
        <v/>
      </c>
      <c r="P19" s="115">
        <f>IF($AA19="","",IF(INDEX('_views'!$B:$ZZ,$AA19,3)="","",INDEX('_views'!$B:$ZZ,$AA19,3)))</f>
        <v/>
      </c>
      <c r="Q19" s="115">
        <f>IF($AA19="","",IF(INDEX('_views'!$B:$ZZ,$AA19,4)="","",INDEX('_views'!$B:$ZZ,$AA19,4)))</f>
        <v/>
      </c>
      <c r="R19" s="115">
        <f>IF($AA19="","",IF(INDEX('_views'!$B:$ZZ,$AA19,5)="","",INDEX('_views'!$B:$ZZ,$AA19,5)))</f>
        <v/>
      </c>
      <c r="S19" s="115">
        <f>IF($AA19="","",IF(INDEX('_views'!$B:$ZZ,$AA19,6)="","",INDEX('_views'!$B:$ZZ,$AA19,6)))</f>
        <v/>
      </c>
      <c r="T19" s="115">
        <f>IF($AA19="","",IF(INDEX('_views'!$B:$ZZ,$AA19,7)="","",INDEX('_views'!$B:$ZZ,$AA19,7)))</f>
        <v/>
      </c>
      <c r="U19" s="115">
        <f>IF($AA19="","",IF(INDEX('_views'!$B:$ZZ,$AA19,8)="","",INDEX('_views'!$B:$ZZ,$AA19,8)))</f>
        <v/>
      </c>
      <c r="V19" s="115">
        <f>IF($AA19="","",IF(INDEX('_views'!$B:$ZZ,$AA19,9)="","",INDEX('_views'!$B:$ZZ,$AA19,9)))</f>
        <v/>
      </c>
      <c r="Z19">
        <f>IFERROR(MATCH("G|"&amp;$B$13&amp;"|"&amp;$X$13&amp;"|rate|3",'_views'!$A:$A,0),"")</f>
        <v/>
      </c>
      <c r="AA19">
        <f>IFERROR(MATCH("G|"&amp;$B$13&amp;"|"&amp;$X$13&amp;"|book|3",'_views'!$A:$A,0),"")</f>
        <v/>
      </c>
      <c r="AE19">
        <f>IF(IF($X$16="","",IF(INDEX('_views'!$B:$ZZ,$X$16,7)="","",INDEX('_views'!$B:$ZZ,$X$16,7)))="All","",IF($X$16="","",IF(INDEX('_views'!$B:$ZZ,$X$16,7)="","",INDEX('_views'!$B:$ZZ,$X$16,7))))</f>
        <v/>
      </c>
      <c r="AF19">
        <f>IF(IF($X$15="","",IF(INDEX('_views'!$B:$ZZ,$X$15,7)="","",INDEX('_views'!$B:$ZZ,$X$15,7)))="All","",IF($X$15="","",IF(INDEX('_views'!$B:$ZZ,$X$15,7)="","",INDEX('_views'!$B:$ZZ,$X$15,7))))</f>
        <v/>
      </c>
      <c r="AH19">
        <f>IF($AH$13="","",INDEX($N$28:$V$35,$AH$13,$AG$14+1))</f>
        <v/>
      </c>
    </row>
    <row r="20" ht="16" customHeight="1">
      <c r="B20" s="112">
        <f>IF($X$16="","",IF(INDEX('_views'!$B:$ZZ,$X$16,4)="","",INDEX('_views'!$B:$ZZ,$X$16,4)))</f>
        <v/>
      </c>
      <c r="C20" s="114">
        <f>IF($Z20="","",IF(INDEX('_views'!$B:$ZZ,$Z20,1)="","",INDEX('_views'!$B:$ZZ,$Z20,1)))</f>
        <v/>
      </c>
      <c r="D20" s="114">
        <f>IF($Z20="","",IF(INDEX('_views'!$B:$ZZ,$Z20,2)="","",INDEX('_views'!$B:$ZZ,$Z20,2)))</f>
        <v/>
      </c>
      <c r="E20" s="114">
        <f>IF($Z20="","",IF(INDEX('_views'!$B:$ZZ,$Z20,3)="","",INDEX('_views'!$B:$ZZ,$Z20,3)))</f>
        <v/>
      </c>
      <c r="F20" s="114">
        <f>IF($Z20="","",IF(INDEX('_views'!$B:$ZZ,$Z20,4)="","",INDEX('_views'!$B:$ZZ,$Z20,4)))</f>
        <v/>
      </c>
      <c r="G20" s="114">
        <f>IF($Z20="","",IF(INDEX('_views'!$B:$ZZ,$Z20,5)="","",INDEX('_views'!$B:$ZZ,$Z20,5)))</f>
        <v/>
      </c>
      <c r="H20" s="114">
        <f>IF($Z20="","",IF(INDEX('_views'!$B:$ZZ,$Z20,6)="","",INDEX('_views'!$B:$ZZ,$Z20,6)))</f>
        <v/>
      </c>
      <c r="I20" s="114">
        <f>IF($Z20="","",IF(INDEX('_views'!$B:$ZZ,$Z20,7)="","",INDEX('_views'!$B:$ZZ,$Z20,7)))</f>
        <v/>
      </c>
      <c r="J20" s="114">
        <f>IF($Z20="","",IF(INDEX('_views'!$B:$ZZ,$Z20,8)="","",INDEX('_views'!$B:$ZZ,$Z20,8)))</f>
        <v/>
      </c>
      <c r="K20" s="114">
        <f>IF($Z20="","",IF(INDEX('_views'!$B:$ZZ,$Z20,9)="","",INDEX('_views'!$B:$ZZ,$Z20,9)))</f>
        <v/>
      </c>
      <c r="M20" s="112">
        <f>IF($X$16="","",IF(INDEX('_views'!$B:$ZZ,$X$16,4)="","",INDEX('_views'!$B:$ZZ,$X$16,4)))</f>
        <v/>
      </c>
      <c r="N20" s="115">
        <f>IF($AA20="","",IF(INDEX('_views'!$B:$ZZ,$AA20,1)="","",INDEX('_views'!$B:$ZZ,$AA20,1)))</f>
        <v/>
      </c>
      <c r="O20" s="115">
        <f>IF($AA20="","",IF(INDEX('_views'!$B:$ZZ,$AA20,2)="","",INDEX('_views'!$B:$ZZ,$AA20,2)))</f>
        <v/>
      </c>
      <c r="P20" s="115">
        <f>IF($AA20="","",IF(INDEX('_views'!$B:$ZZ,$AA20,3)="","",INDEX('_views'!$B:$ZZ,$AA20,3)))</f>
        <v/>
      </c>
      <c r="Q20" s="115">
        <f>IF($AA20="","",IF(INDEX('_views'!$B:$ZZ,$AA20,4)="","",INDEX('_views'!$B:$ZZ,$AA20,4)))</f>
        <v/>
      </c>
      <c r="R20" s="115">
        <f>IF($AA20="","",IF(INDEX('_views'!$B:$ZZ,$AA20,5)="","",INDEX('_views'!$B:$ZZ,$AA20,5)))</f>
        <v/>
      </c>
      <c r="S20" s="115">
        <f>IF($AA20="","",IF(INDEX('_views'!$B:$ZZ,$AA20,6)="","",INDEX('_views'!$B:$ZZ,$AA20,6)))</f>
        <v/>
      </c>
      <c r="T20" s="115">
        <f>IF($AA20="","",IF(INDEX('_views'!$B:$ZZ,$AA20,7)="","",INDEX('_views'!$B:$ZZ,$AA20,7)))</f>
        <v/>
      </c>
      <c r="U20" s="115">
        <f>IF($AA20="","",IF(INDEX('_views'!$B:$ZZ,$AA20,8)="","",INDEX('_views'!$B:$ZZ,$AA20,8)))</f>
        <v/>
      </c>
      <c r="V20" s="115">
        <f>IF($AA20="","",IF(INDEX('_views'!$B:$ZZ,$AA20,9)="","",INDEX('_views'!$B:$ZZ,$AA20,9)))</f>
        <v/>
      </c>
      <c r="Z20">
        <f>IFERROR(MATCH("G|"&amp;$B$13&amp;"|"&amp;$X$13&amp;"|rate|4",'_views'!$A:$A,0),"")</f>
        <v/>
      </c>
      <c r="AA20">
        <f>IFERROR(MATCH("G|"&amp;$B$13&amp;"|"&amp;$X$13&amp;"|book|4",'_views'!$A:$A,0),"")</f>
        <v/>
      </c>
      <c r="AF20">
        <f>IF(IF($X$15="","",IF(INDEX('_views'!$B:$ZZ,$X$15,8)="","",INDEX('_views'!$B:$ZZ,$X$15,8)))="All","",IF($X$15="","",IF(INDEX('_views'!$B:$ZZ,$X$15,8)="","",INDEX('_views'!$B:$ZZ,$X$15,8))))</f>
        <v/>
      </c>
      <c r="AH20">
        <f>IF(OR($AH$13="",$AH$14=""),"",COUNT(OFFSET($N$28,$AH$13-1,0,1,$AG$14))-IF(ISNUMBER($AH$18),1,0))</f>
        <v/>
      </c>
    </row>
    <row r="21" ht="16" customHeight="1">
      <c r="B21" s="112">
        <f>IF($X$16="","",IF(INDEX('_views'!$B:$ZZ,$X$16,5)="","",INDEX('_views'!$B:$ZZ,$X$16,5)))</f>
        <v/>
      </c>
      <c r="C21" s="114">
        <f>IF($Z21="","",IF(INDEX('_views'!$B:$ZZ,$Z21,1)="","",INDEX('_views'!$B:$ZZ,$Z21,1)))</f>
        <v/>
      </c>
      <c r="D21" s="114">
        <f>IF($Z21="","",IF(INDEX('_views'!$B:$ZZ,$Z21,2)="","",INDEX('_views'!$B:$ZZ,$Z21,2)))</f>
        <v/>
      </c>
      <c r="E21" s="114">
        <f>IF($Z21="","",IF(INDEX('_views'!$B:$ZZ,$Z21,3)="","",INDEX('_views'!$B:$ZZ,$Z21,3)))</f>
        <v/>
      </c>
      <c r="F21" s="114">
        <f>IF($Z21="","",IF(INDEX('_views'!$B:$ZZ,$Z21,4)="","",INDEX('_views'!$B:$ZZ,$Z21,4)))</f>
        <v/>
      </c>
      <c r="G21" s="114">
        <f>IF($Z21="","",IF(INDEX('_views'!$B:$ZZ,$Z21,5)="","",INDEX('_views'!$B:$ZZ,$Z21,5)))</f>
        <v/>
      </c>
      <c r="H21" s="114">
        <f>IF($Z21="","",IF(INDEX('_views'!$B:$ZZ,$Z21,6)="","",INDEX('_views'!$B:$ZZ,$Z21,6)))</f>
        <v/>
      </c>
      <c r="I21" s="114">
        <f>IF($Z21="","",IF(INDEX('_views'!$B:$ZZ,$Z21,7)="","",INDEX('_views'!$B:$ZZ,$Z21,7)))</f>
        <v/>
      </c>
      <c r="J21" s="114">
        <f>IF($Z21="","",IF(INDEX('_views'!$B:$ZZ,$Z21,8)="","",INDEX('_views'!$B:$ZZ,$Z21,8)))</f>
        <v/>
      </c>
      <c r="K21" s="114">
        <f>IF($Z21="","",IF(INDEX('_views'!$B:$ZZ,$Z21,9)="","",INDEX('_views'!$B:$ZZ,$Z21,9)))</f>
        <v/>
      </c>
      <c r="M21" s="112">
        <f>IF($X$16="","",IF(INDEX('_views'!$B:$ZZ,$X$16,5)="","",INDEX('_views'!$B:$ZZ,$X$16,5)))</f>
        <v/>
      </c>
      <c r="N21" s="115">
        <f>IF($AA21="","",IF(INDEX('_views'!$B:$ZZ,$AA21,1)="","",INDEX('_views'!$B:$ZZ,$AA21,1)))</f>
        <v/>
      </c>
      <c r="O21" s="115">
        <f>IF($AA21="","",IF(INDEX('_views'!$B:$ZZ,$AA21,2)="","",INDEX('_views'!$B:$ZZ,$AA21,2)))</f>
        <v/>
      </c>
      <c r="P21" s="115">
        <f>IF($AA21="","",IF(INDEX('_views'!$B:$ZZ,$AA21,3)="","",INDEX('_views'!$B:$ZZ,$AA21,3)))</f>
        <v/>
      </c>
      <c r="Q21" s="115">
        <f>IF($AA21="","",IF(INDEX('_views'!$B:$ZZ,$AA21,4)="","",INDEX('_views'!$B:$ZZ,$AA21,4)))</f>
        <v/>
      </c>
      <c r="R21" s="115">
        <f>IF($AA21="","",IF(INDEX('_views'!$B:$ZZ,$AA21,5)="","",INDEX('_views'!$B:$ZZ,$AA21,5)))</f>
        <v/>
      </c>
      <c r="S21" s="115">
        <f>IF($AA21="","",IF(INDEX('_views'!$B:$ZZ,$AA21,6)="","",INDEX('_views'!$B:$ZZ,$AA21,6)))</f>
        <v/>
      </c>
      <c r="T21" s="115">
        <f>IF($AA21="","",IF(INDEX('_views'!$B:$ZZ,$AA21,7)="","",INDEX('_views'!$B:$ZZ,$AA21,7)))</f>
        <v/>
      </c>
      <c r="U21" s="115">
        <f>IF($AA21="","",IF(INDEX('_views'!$B:$ZZ,$AA21,8)="","",INDEX('_views'!$B:$ZZ,$AA21,8)))</f>
        <v/>
      </c>
      <c r="V21" s="115">
        <f>IF($AA21="","",IF(INDEX('_views'!$B:$ZZ,$AA21,9)="","",INDEX('_views'!$B:$ZZ,$AA21,9)))</f>
        <v/>
      </c>
      <c r="Z21">
        <f>IFERROR(MATCH("G|"&amp;$B$13&amp;"|"&amp;$X$13&amp;"|rate|5",'_views'!$A:$A,0),"")</f>
        <v/>
      </c>
      <c r="AA21">
        <f>IFERROR(MATCH("G|"&amp;$B$13&amp;"|"&amp;$X$13&amp;"|book|5",'_views'!$A:$A,0),"")</f>
        <v/>
      </c>
      <c r="AH21">
        <f>IFERROR(MID(IF(AND(1&lt;&gt;$AH$14,1&lt;=$AG$14,ISNUMBER(INDEX($N$28:$V$35,$AH$13,1))),", "&amp;$N$27,"")&amp;IF(AND(2&lt;&gt;$AH$14,2&lt;=$AG$14,ISNUMBER(INDEX($N$28:$V$35,$AH$13,2))),", "&amp;$O$27,"")&amp;IF(AND(3&lt;&gt;$AH$14,3&lt;=$AG$14,ISNUMBER(INDEX($N$28:$V$35,$AH$13,3))),", "&amp;$P$27,"")&amp;IF(AND(4&lt;&gt;$AH$14,4&lt;=$AG$14,ISNUMBER(INDEX($N$28:$V$35,$AH$13,4))),", "&amp;$Q$27,"")&amp;IF(AND(5&lt;&gt;$AH$14,5&lt;=$AG$14,ISNUMBER(INDEX($N$28:$V$35,$AH$13,5))),", "&amp;$R$27,"")&amp;IF(AND(6&lt;&gt;$AH$14,6&lt;=$AG$14,ISNUMBER(INDEX($N$28:$V$35,$AH$13,6))),", "&amp;$S$27,"")&amp;IF(AND(7&lt;&gt;$AH$14,7&lt;=$AG$14,ISNUMBER(INDEX($N$28:$V$35,$AH$13,7))),", "&amp;$T$27,"")&amp;IF(AND(8&lt;&gt;$AH$14,8&lt;=$AG$14,ISNUMBER(INDEX($N$28:$V$35,$AH$13,8))),", "&amp;$U$27,"")&amp;IF(AND(9&lt;&gt;$AH$14,9&lt;=$AG$14,ISNUMBER(INDEX($N$28:$V$35,$AH$13,9))),", "&amp;$V$27,""),3,999),"")</f>
        <v/>
      </c>
    </row>
    <row r="22" ht="16" customHeight="1">
      <c r="B22" s="112">
        <f>IF($X$16="","",IF(INDEX('_views'!$B:$ZZ,$X$16,6)="","",INDEX('_views'!$B:$ZZ,$X$16,6)))</f>
        <v/>
      </c>
      <c r="C22" s="114">
        <f>IF($Z22="","",IF(INDEX('_views'!$B:$ZZ,$Z22,1)="","",INDEX('_views'!$B:$ZZ,$Z22,1)))</f>
        <v/>
      </c>
      <c r="D22" s="114">
        <f>IF($Z22="","",IF(INDEX('_views'!$B:$ZZ,$Z22,2)="","",INDEX('_views'!$B:$ZZ,$Z22,2)))</f>
        <v/>
      </c>
      <c r="E22" s="114">
        <f>IF($Z22="","",IF(INDEX('_views'!$B:$ZZ,$Z22,3)="","",INDEX('_views'!$B:$ZZ,$Z22,3)))</f>
        <v/>
      </c>
      <c r="F22" s="114">
        <f>IF($Z22="","",IF(INDEX('_views'!$B:$ZZ,$Z22,4)="","",INDEX('_views'!$B:$ZZ,$Z22,4)))</f>
        <v/>
      </c>
      <c r="G22" s="114">
        <f>IF($Z22="","",IF(INDEX('_views'!$B:$ZZ,$Z22,5)="","",INDEX('_views'!$B:$ZZ,$Z22,5)))</f>
        <v/>
      </c>
      <c r="H22" s="114">
        <f>IF($Z22="","",IF(INDEX('_views'!$B:$ZZ,$Z22,6)="","",INDEX('_views'!$B:$ZZ,$Z22,6)))</f>
        <v/>
      </c>
      <c r="I22" s="114">
        <f>IF($Z22="","",IF(INDEX('_views'!$B:$ZZ,$Z22,7)="","",INDEX('_views'!$B:$ZZ,$Z22,7)))</f>
        <v/>
      </c>
      <c r="J22" s="114">
        <f>IF($Z22="","",IF(INDEX('_views'!$B:$ZZ,$Z22,8)="","",INDEX('_views'!$B:$ZZ,$Z22,8)))</f>
        <v/>
      </c>
      <c r="K22" s="114">
        <f>IF($Z22="","",IF(INDEX('_views'!$B:$ZZ,$Z22,9)="","",INDEX('_views'!$B:$ZZ,$Z22,9)))</f>
        <v/>
      </c>
      <c r="M22" s="112">
        <f>IF($X$16="","",IF(INDEX('_views'!$B:$ZZ,$X$16,6)="","",INDEX('_views'!$B:$ZZ,$X$16,6)))</f>
        <v/>
      </c>
      <c r="N22" s="115">
        <f>IF($AA22="","",IF(INDEX('_views'!$B:$ZZ,$AA22,1)="","",INDEX('_views'!$B:$ZZ,$AA22,1)))</f>
        <v/>
      </c>
      <c r="O22" s="115">
        <f>IF($AA22="","",IF(INDEX('_views'!$B:$ZZ,$AA22,2)="","",INDEX('_views'!$B:$ZZ,$AA22,2)))</f>
        <v/>
      </c>
      <c r="P22" s="115">
        <f>IF($AA22="","",IF(INDEX('_views'!$B:$ZZ,$AA22,3)="","",INDEX('_views'!$B:$ZZ,$AA22,3)))</f>
        <v/>
      </c>
      <c r="Q22" s="115">
        <f>IF($AA22="","",IF(INDEX('_views'!$B:$ZZ,$AA22,4)="","",INDEX('_views'!$B:$ZZ,$AA22,4)))</f>
        <v/>
      </c>
      <c r="R22" s="115">
        <f>IF($AA22="","",IF(INDEX('_views'!$B:$ZZ,$AA22,5)="","",INDEX('_views'!$B:$ZZ,$AA22,5)))</f>
        <v/>
      </c>
      <c r="S22" s="115">
        <f>IF($AA22="","",IF(INDEX('_views'!$B:$ZZ,$AA22,6)="","",INDEX('_views'!$B:$ZZ,$AA22,6)))</f>
        <v/>
      </c>
      <c r="T22" s="115">
        <f>IF($AA22="","",IF(INDEX('_views'!$B:$ZZ,$AA22,7)="","",INDEX('_views'!$B:$ZZ,$AA22,7)))</f>
        <v/>
      </c>
      <c r="U22" s="115">
        <f>IF($AA22="","",IF(INDEX('_views'!$B:$ZZ,$AA22,8)="","",INDEX('_views'!$B:$ZZ,$AA22,8)))</f>
        <v/>
      </c>
      <c r="V22" s="115">
        <f>IF($AA22="","",IF(INDEX('_views'!$B:$ZZ,$AA22,9)="","",INDEX('_views'!$B:$ZZ,$AA22,9)))</f>
        <v/>
      </c>
      <c r="Z22">
        <f>IFERROR(MATCH("G|"&amp;$B$13&amp;"|"&amp;$X$13&amp;"|rate|6",'_views'!$A:$A,0),"")</f>
        <v/>
      </c>
      <c r="AA22">
        <f>IFERROR(MATCH("G|"&amp;$B$13&amp;"|"&amp;$X$13&amp;"|book|6",'_views'!$A:$A,0),"")</f>
        <v/>
      </c>
      <c r="AH22">
        <f>IFERROR(INDEX('_choices'!$K$2:$K$6,MATCH($F$13,'_choices'!$I$2:$I$6,0)),"")</f>
        <v/>
      </c>
    </row>
    <row r="23" ht="16" customHeight="1">
      <c r="B23" s="112">
        <f>IF($X$16="","",IF(INDEX('_views'!$B:$ZZ,$X$16,7)="","",INDEX('_views'!$B:$ZZ,$X$16,7)))</f>
        <v/>
      </c>
      <c r="C23" s="114">
        <f>IF($Z23="","",IF(INDEX('_views'!$B:$ZZ,$Z23,1)="","",INDEX('_views'!$B:$ZZ,$Z23,1)))</f>
        <v/>
      </c>
      <c r="D23" s="114">
        <f>IF($Z23="","",IF(INDEX('_views'!$B:$ZZ,$Z23,2)="","",INDEX('_views'!$B:$ZZ,$Z23,2)))</f>
        <v/>
      </c>
      <c r="E23" s="114">
        <f>IF($Z23="","",IF(INDEX('_views'!$B:$ZZ,$Z23,3)="","",INDEX('_views'!$B:$ZZ,$Z23,3)))</f>
        <v/>
      </c>
      <c r="F23" s="114">
        <f>IF($Z23="","",IF(INDEX('_views'!$B:$ZZ,$Z23,4)="","",INDEX('_views'!$B:$ZZ,$Z23,4)))</f>
        <v/>
      </c>
      <c r="G23" s="114">
        <f>IF($Z23="","",IF(INDEX('_views'!$B:$ZZ,$Z23,5)="","",INDEX('_views'!$B:$ZZ,$Z23,5)))</f>
        <v/>
      </c>
      <c r="H23" s="114">
        <f>IF($Z23="","",IF(INDEX('_views'!$B:$ZZ,$Z23,6)="","",INDEX('_views'!$B:$ZZ,$Z23,6)))</f>
        <v/>
      </c>
      <c r="I23" s="114">
        <f>IF($Z23="","",IF(INDEX('_views'!$B:$ZZ,$Z23,7)="","",INDEX('_views'!$B:$ZZ,$Z23,7)))</f>
        <v/>
      </c>
      <c r="J23" s="114">
        <f>IF($Z23="","",IF(INDEX('_views'!$B:$ZZ,$Z23,8)="","",INDEX('_views'!$B:$ZZ,$Z23,8)))</f>
        <v/>
      </c>
      <c r="K23" s="114">
        <f>IF($Z23="","",IF(INDEX('_views'!$B:$ZZ,$Z23,9)="","",INDEX('_views'!$B:$ZZ,$Z23,9)))</f>
        <v/>
      </c>
      <c r="M23" s="112">
        <f>IF($X$16="","",IF(INDEX('_views'!$B:$ZZ,$X$16,7)="","",INDEX('_views'!$B:$ZZ,$X$16,7)))</f>
        <v/>
      </c>
      <c r="N23" s="115">
        <f>IF($AA23="","",IF(INDEX('_views'!$B:$ZZ,$AA23,1)="","",INDEX('_views'!$B:$ZZ,$AA23,1)))</f>
        <v/>
      </c>
      <c r="O23" s="115">
        <f>IF($AA23="","",IF(INDEX('_views'!$B:$ZZ,$AA23,2)="","",INDEX('_views'!$B:$ZZ,$AA23,2)))</f>
        <v/>
      </c>
      <c r="P23" s="115">
        <f>IF($AA23="","",IF(INDEX('_views'!$B:$ZZ,$AA23,3)="","",INDEX('_views'!$B:$ZZ,$AA23,3)))</f>
        <v/>
      </c>
      <c r="Q23" s="115">
        <f>IF($AA23="","",IF(INDEX('_views'!$B:$ZZ,$AA23,4)="","",INDEX('_views'!$B:$ZZ,$AA23,4)))</f>
        <v/>
      </c>
      <c r="R23" s="115">
        <f>IF($AA23="","",IF(INDEX('_views'!$B:$ZZ,$AA23,5)="","",INDEX('_views'!$B:$ZZ,$AA23,5)))</f>
        <v/>
      </c>
      <c r="S23" s="115">
        <f>IF($AA23="","",IF(INDEX('_views'!$B:$ZZ,$AA23,6)="","",INDEX('_views'!$B:$ZZ,$AA23,6)))</f>
        <v/>
      </c>
      <c r="T23" s="115">
        <f>IF($AA23="","",IF(INDEX('_views'!$B:$ZZ,$AA23,7)="","",INDEX('_views'!$B:$ZZ,$AA23,7)))</f>
        <v/>
      </c>
      <c r="U23" s="115">
        <f>IF($AA23="","",IF(INDEX('_views'!$B:$ZZ,$AA23,8)="","",INDEX('_views'!$B:$ZZ,$AA23,8)))</f>
        <v/>
      </c>
      <c r="V23" s="115">
        <f>IF($AA23="","",IF(INDEX('_views'!$B:$ZZ,$AA23,9)="","",INDEX('_views'!$B:$ZZ,$AA23,9)))</f>
        <v/>
      </c>
      <c r="Z23">
        <f>IFERROR(MATCH("G|"&amp;$B$13&amp;"|"&amp;$X$13&amp;"|rate|7",'_views'!$A:$A,0),"")</f>
        <v/>
      </c>
      <c r="AA23">
        <f>IFERROR(MATCH("G|"&amp;$B$13&amp;"|"&amp;$X$13&amp;"|book|7",'_views'!$A:$A,0),"")</f>
        <v/>
      </c>
      <c r="AH23">
        <f>IFERROR(INDEX('_choices'!$L$2:$L$6,MATCH($F$13,'_choices'!$I$2:$I$6,0)),"")</f>
        <v/>
      </c>
    </row>
    <row r="24" ht="16" customHeight="1">
      <c r="B24" s="112">
        <f>IF($X$16="","",IF(INDEX('_views'!$B:$ZZ,$X$16,8)="","",INDEX('_views'!$B:$ZZ,$X$16,8)))</f>
        <v/>
      </c>
      <c r="C24" s="114">
        <f>IF($Z24="","",IF(INDEX('_views'!$B:$ZZ,$Z24,1)="","",INDEX('_views'!$B:$ZZ,$Z24,1)))</f>
        <v/>
      </c>
      <c r="D24" s="114">
        <f>IF($Z24="","",IF(INDEX('_views'!$B:$ZZ,$Z24,2)="","",INDEX('_views'!$B:$ZZ,$Z24,2)))</f>
        <v/>
      </c>
      <c r="E24" s="114">
        <f>IF($Z24="","",IF(INDEX('_views'!$B:$ZZ,$Z24,3)="","",INDEX('_views'!$B:$ZZ,$Z24,3)))</f>
        <v/>
      </c>
      <c r="F24" s="114">
        <f>IF($Z24="","",IF(INDEX('_views'!$B:$ZZ,$Z24,4)="","",INDEX('_views'!$B:$ZZ,$Z24,4)))</f>
        <v/>
      </c>
      <c r="G24" s="114">
        <f>IF($Z24="","",IF(INDEX('_views'!$B:$ZZ,$Z24,5)="","",INDEX('_views'!$B:$ZZ,$Z24,5)))</f>
        <v/>
      </c>
      <c r="H24" s="114">
        <f>IF($Z24="","",IF(INDEX('_views'!$B:$ZZ,$Z24,6)="","",INDEX('_views'!$B:$ZZ,$Z24,6)))</f>
        <v/>
      </c>
      <c r="I24" s="114">
        <f>IF($Z24="","",IF(INDEX('_views'!$B:$ZZ,$Z24,7)="","",INDEX('_views'!$B:$ZZ,$Z24,7)))</f>
        <v/>
      </c>
      <c r="J24" s="114">
        <f>IF($Z24="","",IF(INDEX('_views'!$B:$ZZ,$Z24,8)="","",INDEX('_views'!$B:$ZZ,$Z24,8)))</f>
        <v/>
      </c>
      <c r="K24" s="114">
        <f>IF($Z24="","",IF(INDEX('_views'!$B:$ZZ,$Z24,9)="","",INDEX('_views'!$B:$ZZ,$Z24,9)))</f>
        <v/>
      </c>
      <c r="M24" s="112">
        <f>IF($X$16="","",IF(INDEX('_views'!$B:$ZZ,$X$16,8)="","",INDEX('_views'!$B:$ZZ,$X$16,8)))</f>
        <v/>
      </c>
      <c r="N24" s="115">
        <f>IF($AA24="","",IF(INDEX('_views'!$B:$ZZ,$AA24,1)="","",INDEX('_views'!$B:$ZZ,$AA24,1)))</f>
        <v/>
      </c>
      <c r="O24" s="115">
        <f>IF($AA24="","",IF(INDEX('_views'!$B:$ZZ,$AA24,2)="","",INDEX('_views'!$B:$ZZ,$AA24,2)))</f>
        <v/>
      </c>
      <c r="P24" s="115">
        <f>IF($AA24="","",IF(INDEX('_views'!$B:$ZZ,$AA24,3)="","",INDEX('_views'!$B:$ZZ,$AA24,3)))</f>
        <v/>
      </c>
      <c r="Q24" s="115">
        <f>IF($AA24="","",IF(INDEX('_views'!$B:$ZZ,$AA24,4)="","",INDEX('_views'!$B:$ZZ,$AA24,4)))</f>
        <v/>
      </c>
      <c r="R24" s="115">
        <f>IF($AA24="","",IF(INDEX('_views'!$B:$ZZ,$AA24,5)="","",INDEX('_views'!$B:$ZZ,$AA24,5)))</f>
        <v/>
      </c>
      <c r="S24" s="115">
        <f>IF($AA24="","",IF(INDEX('_views'!$B:$ZZ,$AA24,6)="","",INDEX('_views'!$B:$ZZ,$AA24,6)))</f>
        <v/>
      </c>
      <c r="T24" s="115">
        <f>IF($AA24="","",IF(INDEX('_views'!$B:$ZZ,$AA24,7)="","",INDEX('_views'!$B:$ZZ,$AA24,7)))</f>
        <v/>
      </c>
      <c r="U24" s="115">
        <f>IF($AA24="","",IF(INDEX('_views'!$B:$ZZ,$AA24,8)="","",INDEX('_views'!$B:$ZZ,$AA24,8)))</f>
        <v/>
      </c>
      <c r="V24" s="115">
        <f>IF($AA24="","",IF(INDEX('_views'!$B:$ZZ,$AA24,9)="","",INDEX('_views'!$B:$ZZ,$AA24,9)))</f>
        <v/>
      </c>
      <c r="Z24">
        <f>IFERROR(MATCH("G|"&amp;$B$13&amp;"|"&amp;$X$13&amp;"|rate|8",'_views'!$A:$A,0),"")</f>
        <v/>
      </c>
      <c r="AA24">
        <f>IFERROR(MATCH("G|"&amp;$B$13&amp;"|"&amp;$X$13&amp;"|book|8",'_views'!$A:$A,0),"")</f>
        <v/>
      </c>
      <c r="AH24">
        <f>IF($X$14="","",IF(INDEX('_views'!$B:$ZZ,$X$14,3)="","",INDEX('_views'!$B:$ZZ,$X$14,3)))</f>
        <v/>
      </c>
    </row>
    <row r="26" ht="20" customHeight="1">
      <c r="B26" s="126" t="inlineStr">
        <is>
          <t>vs rest of band</t>
        </is>
      </c>
      <c r="C26" s="26" t="n"/>
      <c r="D26" s="26" t="n"/>
      <c r="E26" s="26" t="n"/>
      <c r="F26" s="26" t="n"/>
      <c r="G26" s="26" t="n"/>
      <c r="H26" s="26" t="n"/>
      <c r="I26" s="26" t="n"/>
      <c r="J26" s="26" t="n"/>
      <c r="K26" s="26" t="n"/>
      <c r="M26" s="126" t="inlineStr">
        <is>
          <t>Loans</t>
        </is>
      </c>
      <c r="N26" s="26" t="n"/>
      <c r="O26" s="26" t="n"/>
      <c r="P26" s="26" t="n"/>
      <c r="Q26" s="26" t="n"/>
      <c r="R26" s="26" t="n"/>
      <c r="S26" s="26" t="n"/>
      <c r="T26" s="26" t="n"/>
      <c r="U26" s="26" t="n"/>
      <c r="V26" s="26" t="n"/>
    </row>
    <row r="27">
      <c r="B27" s="127">
        <f>IF($X$17="","",IF(INDEX('_views'!$B:$ZZ,$X$17,1)="","",INDEX('_views'!$B:$ZZ,$X$17,1)))</f>
        <v/>
      </c>
      <c r="C27" s="30">
        <f>IF($X$15="","",IF(INDEX('_views'!$B:$ZZ,$X$15,1)="","",INDEX('_views'!$B:$ZZ,$X$15,1)))</f>
        <v/>
      </c>
      <c r="D27" s="30">
        <f>IF($X$15="","",IF(INDEX('_views'!$B:$ZZ,$X$15,2)="","",INDEX('_views'!$B:$ZZ,$X$15,2)))</f>
        <v/>
      </c>
      <c r="E27" s="30">
        <f>IF($X$15="","",IF(INDEX('_views'!$B:$ZZ,$X$15,3)="","",INDEX('_views'!$B:$ZZ,$X$15,3)))</f>
        <v/>
      </c>
      <c r="F27" s="30">
        <f>IF($X$15="","",IF(INDEX('_views'!$B:$ZZ,$X$15,4)="","",INDEX('_views'!$B:$ZZ,$X$15,4)))</f>
        <v/>
      </c>
      <c r="G27" s="30">
        <f>IF($X$15="","",IF(INDEX('_views'!$B:$ZZ,$X$15,5)="","",INDEX('_views'!$B:$ZZ,$X$15,5)))</f>
        <v/>
      </c>
      <c r="H27" s="30">
        <f>IF($X$15="","",IF(INDEX('_views'!$B:$ZZ,$X$15,6)="","",INDEX('_views'!$B:$ZZ,$X$15,6)))</f>
        <v/>
      </c>
      <c r="I27" s="30">
        <f>IF($X$15="","",IF(INDEX('_views'!$B:$ZZ,$X$15,7)="","",INDEX('_views'!$B:$ZZ,$X$15,7)))</f>
        <v/>
      </c>
      <c r="J27" s="30">
        <f>IF($X$15="","",IF(INDEX('_views'!$B:$ZZ,$X$15,8)="","",INDEX('_views'!$B:$ZZ,$X$15,8)))</f>
        <v/>
      </c>
      <c r="K27" s="30">
        <f>IF($X$15="","",IF(INDEX('_views'!$B:$ZZ,$X$15,9)="","",INDEX('_views'!$B:$ZZ,$X$15,9)))</f>
        <v/>
      </c>
      <c r="M27" s="127">
        <f>IF($X$17="","",IF(INDEX('_views'!$B:$ZZ,$X$17,1)="","",INDEX('_views'!$B:$ZZ,$X$17,1)))</f>
        <v/>
      </c>
      <c r="N27" s="30">
        <f>IF($X$15="","",IF(INDEX('_views'!$B:$ZZ,$X$15,1)="","",INDEX('_views'!$B:$ZZ,$X$15,1)))</f>
        <v/>
      </c>
      <c r="O27" s="30">
        <f>IF($X$15="","",IF(INDEX('_views'!$B:$ZZ,$X$15,2)="","",INDEX('_views'!$B:$ZZ,$X$15,2)))</f>
        <v/>
      </c>
      <c r="P27" s="30">
        <f>IF($X$15="","",IF(INDEX('_views'!$B:$ZZ,$X$15,3)="","",INDEX('_views'!$B:$ZZ,$X$15,3)))</f>
        <v/>
      </c>
      <c r="Q27" s="30">
        <f>IF($X$15="","",IF(INDEX('_views'!$B:$ZZ,$X$15,4)="","",INDEX('_views'!$B:$ZZ,$X$15,4)))</f>
        <v/>
      </c>
      <c r="R27" s="30">
        <f>IF($X$15="","",IF(INDEX('_views'!$B:$ZZ,$X$15,5)="","",INDEX('_views'!$B:$ZZ,$X$15,5)))</f>
        <v/>
      </c>
      <c r="S27" s="30">
        <f>IF($X$15="","",IF(INDEX('_views'!$B:$ZZ,$X$15,6)="","",INDEX('_views'!$B:$ZZ,$X$15,6)))</f>
        <v/>
      </c>
      <c r="T27" s="30">
        <f>IF($X$15="","",IF(INDEX('_views'!$B:$ZZ,$X$15,7)="","",INDEX('_views'!$B:$ZZ,$X$15,7)))</f>
        <v/>
      </c>
      <c r="U27" s="30">
        <f>IF($X$15="","",IF(INDEX('_views'!$B:$ZZ,$X$15,8)="","",INDEX('_views'!$B:$ZZ,$X$15,8)))</f>
        <v/>
      </c>
      <c r="V27" s="30">
        <f>IF($X$15="","",IF(INDEX('_views'!$B:$ZZ,$X$15,9)="","",INDEX('_views'!$B:$ZZ,$X$15,9)))</f>
        <v/>
      </c>
    </row>
    <row r="28" ht="16" customHeight="1">
      <c r="B28" s="112">
        <f>IF($X$16="","",IF(INDEX('_views'!$B:$ZZ,$X$16,1)="","",INDEX('_views'!$B:$ZZ,$X$16,1)))</f>
        <v/>
      </c>
      <c r="C28" s="115">
        <f>IF($Z28="","",IF(INDEX('_views'!$B:$ZZ,$Z28,1)="","",INDEX('_views'!$B:$ZZ,$Z28,1)))</f>
        <v/>
      </c>
      <c r="D28" s="115">
        <f>IF($Z28="","",IF(INDEX('_views'!$B:$ZZ,$Z28,2)="","",INDEX('_views'!$B:$ZZ,$Z28,2)))</f>
        <v/>
      </c>
      <c r="E28" s="115">
        <f>IF($Z28="","",IF(INDEX('_views'!$B:$ZZ,$Z28,3)="","",INDEX('_views'!$B:$ZZ,$Z28,3)))</f>
        <v/>
      </c>
      <c r="F28" s="115">
        <f>IF($Z28="","",IF(INDEX('_views'!$B:$ZZ,$Z28,4)="","",INDEX('_views'!$B:$ZZ,$Z28,4)))</f>
        <v/>
      </c>
      <c r="G28" s="115">
        <f>IF($Z28="","",IF(INDEX('_views'!$B:$ZZ,$Z28,5)="","",INDEX('_views'!$B:$ZZ,$Z28,5)))</f>
        <v/>
      </c>
      <c r="H28" s="115">
        <f>IF($Z28="","",IF(INDEX('_views'!$B:$ZZ,$Z28,6)="","",INDEX('_views'!$B:$ZZ,$Z28,6)))</f>
        <v/>
      </c>
      <c r="I28" s="115">
        <f>IF($Z28="","",IF(INDEX('_views'!$B:$ZZ,$Z28,7)="","",INDEX('_views'!$B:$ZZ,$Z28,7)))</f>
        <v/>
      </c>
      <c r="J28" s="115">
        <f>IF($Z28="","",IF(INDEX('_views'!$B:$ZZ,$Z28,8)="","",INDEX('_views'!$B:$ZZ,$Z28,8)))</f>
        <v/>
      </c>
      <c r="K28" s="115">
        <f>IF($Z28="","",IF(INDEX('_views'!$B:$ZZ,$Z28,9)="","",INDEX('_views'!$B:$ZZ,$Z28,9)))</f>
        <v/>
      </c>
      <c r="M28" s="112">
        <f>IF($X$16="","",IF(INDEX('_views'!$B:$ZZ,$X$16,1)="","",INDEX('_views'!$B:$ZZ,$X$16,1)))</f>
        <v/>
      </c>
      <c r="N28" s="113">
        <f>IF($AA28="","",IF(INDEX('_views'!$B:$ZZ,$AA28,1)="","",INDEX('_views'!$B:$ZZ,$AA28,1)))</f>
        <v/>
      </c>
      <c r="O28" s="113">
        <f>IF($AA28="","",IF(INDEX('_views'!$B:$ZZ,$AA28,2)="","",INDEX('_views'!$B:$ZZ,$AA28,2)))</f>
        <v/>
      </c>
      <c r="P28" s="113">
        <f>IF($AA28="","",IF(INDEX('_views'!$B:$ZZ,$AA28,3)="","",INDEX('_views'!$B:$ZZ,$AA28,3)))</f>
        <v/>
      </c>
      <c r="Q28" s="113">
        <f>IF($AA28="","",IF(INDEX('_views'!$B:$ZZ,$AA28,4)="","",INDEX('_views'!$B:$ZZ,$AA28,4)))</f>
        <v/>
      </c>
      <c r="R28" s="113">
        <f>IF($AA28="","",IF(INDEX('_views'!$B:$ZZ,$AA28,5)="","",INDEX('_views'!$B:$ZZ,$AA28,5)))</f>
        <v/>
      </c>
      <c r="S28" s="113">
        <f>IF($AA28="","",IF(INDEX('_views'!$B:$ZZ,$AA28,6)="","",INDEX('_views'!$B:$ZZ,$AA28,6)))</f>
        <v/>
      </c>
      <c r="T28" s="113">
        <f>IF($AA28="","",IF(INDEX('_views'!$B:$ZZ,$AA28,7)="","",INDEX('_views'!$B:$ZZ,$AA28,7)))</f>
        <v/>
      </c>
      <c r="U28" s="113">
        <f>IF($AA28="","",IF(INDEX('_views'!$B:$ZZ,$AA28,8)="","",INDEX('_views'!$B:$ZZ,$AA28,8)))</f>
        <v/>
      </c>
      <c r="V28" s="113">
        <f>IF($AA28="","",IF(INDEX('_views'!$B:$ZZ,$AA28,9)="","",INDEX('_views'!$B:$ZZ,$AA28,9)))</f>
        <v/>
      </c>
      <c r="Z28">
        <f>IFERROR(MATCH("G|"&amp;$B$13&amp;"|"&amp;$X$13&amp;"|band|1",'_views'!$A:$A,0),"")</f>
        <v/>
      </c>
      <c r="AA28">
        <f>IFERROR(MATCH("G|"&amp;$B$13&amp;"|loans|1",'_views'!$A:$A,0),"")</f>
        <v/>
      </c>
    </row>
    <row r="29" ht="16" customHeight="1">
      <c r="B29" s="112">
        <f>IF($X$16="","",IF(INDEX('_views'!$B:$ZZ,$X$16,2)="","",INDEX('_views'!$B:$ZZ,$X$16,2)))</f>
        <v/>
      </c>
      <c r="C29" s="115">
        <f>IF($Z29="","",IF(INDEX('_views'!$B:$ZZ,$Z29,1)="","",INDEX('_views'!$B:$ZZ,$Z29,1)))</f>
        <v/>
      </c>
      <c r="D29" s="115">
        <f>IF($Z29="","",IF(INDEX('_views'!$B:$ZZ,$Z29,2)="","",INDEX('_views'!$B:$ZZ,$Z29,2)))</f>
        <v/>
      </c>
      <c r="E29" s="115">
        <f>IF($Z29="","",IF(INDEX('_views'!$B:$ZZ,$Z29,3)="","",INDEX('_views'!$B:$ZZ,$Z29,3)))</f>
        <v/>
      </c>
      <c r="F29" s="115">
        <f>IF($Z29="","",IF(INDEX('_views'!$B:$ZZ,$Z29,4)="","",INDEX('_views'!$B:$ZZ,$Z29,4)))</f>
        <v/>
      </c>
      <c r="G29" s="115">
        <f>IF($Z29="","",IF(INDEX('_views'!$B:$ZZ,$Z29,5)="","",INDEX('_views'!$B:$ZZ,$Z29,5)))</f>
        <v/>
      </c>
      <c r="H29" s="115">
        <f>IF($Z29="","",IF(INDEX('_views'!$B:$ZZ,$Z29,6)="","",INDEX('_views'!$B:$ZZ,$Z29,6)))</f>
        <v/>
      </c>
      <c r="I29" s="115">
        <f>IF($Z29="","",IF(INDEX('_views'!$B:$ZZ,$Z29,7)="","",INDEX('_views'!$B:$ZZ,$Z29,7)))</f>
        <v/>
      </c>
      <c r="J29" s="115">
        <f>IF($Z29="","",IF(INDEX('_views'!$B:$ZZ,$Z29,8)="","",INDEX('_views'!$B:$ZZ,$Z29,8)))</f>
        <v/>
      </c>
      <c r="K29" s="115">
        <f>IF($Z29="","",IF(INDEX('_views'!$B:$ZZ,$Z29,9)="","",INDEX('_views'!$B:$ZZ,$Z29,9)))</f>
        <v/>
      </c>
      <c r="M29" s="112">
        <f>IF($X$16="","",IF(INDEX('_views'!$B:$ZZ,$X$16,2)="","",INDEX('_views'!$B:$ZZ,$X$16,2)))</f>
        <v/>
      </c>
      <c r="N29" s="113">
        <f>IF($AA29="","",IF(INDEX('_views'!$B:$ZZ,$AA29,1)="","",INDEX('_views'!$B:$ZZ,$AA29,1)))</f>
        <v/>
      </c>
      <c r="O29" s="113">
        <f>IF($AA29="","",IF(INDEX('_views'!$B:$ZZ,$AA29,2)="","",INDEX('_views'!$B:$ZZ,$AA29,2)))</f>
        <v/>
      </c>
      <c r="P29" s="113">
        <f>IF($AA29="","",IF(INDEX('_views'!$B:$ZZ,$AA29,3)="","",INDEX('_views'!$B:$ZZ,$AA29,3)))</f>
        <v/>
      </c>
      <c r="Q29" s="113">
        <f>IF($AA29="","",IF(INDEX('_views'!$B:$ZZ,$AA29,4)="","",INDEX('_views'!$B:$ZZ,$AA29,4)))</f>
        <v/>
      </c>
      <c r="R29" s="113">
        <f>IF($AA29="","",IF(INDEX('_views'!$B:$ZZ,$AA29,5)="","",INDEX('_views'!$B:$ZZ,$AA29,5)))</f>
        <v/>
      </c>
      <c r="S29" s="113">
        <f>IF($AA29="","",IF(INDEX('_views'!$B:$ZZ,$AA29,6)="","",INDEX('_views'!$B:$ZZ,$AA29,6)))</f>
        <v/>
      </c>
      <c r="T29" s="113">
        <f>IF($AA29="","",IF(INDEX('_views'!$B:$ZZ,$AA29,7)="","",INDEX('_views'!$B:$ZZ,$AA29,7)))</f>
        <v/>
      </c>
      <c r="U29" s="113">
        <f>IF($AA29="","",IF(INDEX('_views'!$B:$ZZ,$AA29,8)="","",INDEX('_views'!$B:$ZZ,$AA29,8)))</f>
        <v/>
      </c>
      <c r="V29" s="113">
        <f>IF($AA29="","",IF(INDEX('_views'!$B:$ZZ,$AA29,9)="","",INDEX('_views'!$B:$ZZ,$AA29,9)))</f>
        <v/>
      </c>
      <c r="Z29">
        <f>IFERROR(MATCH("G|"&amp;$B$13&amp;"|"&amp;$X$13&amp;"|band|2",'_views'!$A:$A,0),"")</f>
        <v/>
      </c>
      <c r="AA29">
        <f>IFERROR(MATCH("G|"&amp;$B$13&amp;"|loans|2",'_views'!$A:$A,0),"")</f>
        <v/>
      </c>
    </row>
    <row r="30" ht="16" customHeight="1">
      <c r="B30" s="112">
        <f>IF($X$16="","",IF(INDEX('_views'!$B:$ZZ,$X$16,3)="","",INDEX('_views'!$B:$ZZ,$X$16,3)))</f>
        <v/>
      </c>
      <c r="C30" s="115">
        <f>IF($Z30="","",IF(INDEX('_views'!$B:$ZZ,$Z30,1)="","",INDEX('_views'!$B:$ZZ,$Z30,1)))</f>
        <v/>
      </c>
      <c r="D30" s="115">
        <f>IF($Z30="","",IF(INDEX('_views'!$B:$ZZ,$Z30,2)="","",INDEX('_views'!$B:$ZZ,$Z30,2)))</f>
        <v/>
      </c>
      <c r="E30" s="115">
        <f>IF($Z30="","",IF(INDEX('_views'!$B:$ZZ,$Z30,3)="","",INDEX('_views'!$B:$ZZ,$Z30,3)))</f>
        <v/>
      </c>
      <c r="F30" s="115">
        <f>IF($Z30="","",IF(INDEX('_views'!$B:$ZZ,$Z30,4)="","",INDEX('_views'!$B:$ZZ,$Z30,4)))</f>
        <v/>
      </c>
      <c r="G30" s="115">
        <f>IF($Z30="","",IF(INDEX('_views'!$B:$ZZ,$Z30,5)="","",INDEX('_views'!$B:$ZZ,$Z30,5)))</f>
        <v/>
      </c>
      <c r="H30" s="115">
        <f>IF($Z30="","",IF(INDEX('_views'!$B:$ZZ,$Z30,6)="","",INDEX('_views'!$B:$ZZ,$Z30,6)))</f>
        <v/>
      </c>
      <c r="I30" s="115">
        <f>IF($Z30="","",IF(INDEX('_views'!$B:$ZZ,$Z30,7)="","",INDEX('_views'!$B:$ZZ,$Z30,7)))</f>
        <v/>
      </c>
      <c r="J30" s="115">
        <f>IF($Z30="","",IF(INDEX('_views'!$B:$ZZ,$Z30,8)="","",INDEX('_views'!$B:$ZZ,$Z30,8)))</f>
        <v/>
      </c>
      <c r="K30" s="115">
        <f>IF($Z30="","",IF(INDEX('_views'!$B:$ZZ,$Z30,9)="","",INDEX('_views'!$B:$ZZ,$Z30,9)))</f>
        <v/>
      </c>
      <c r="M30" s="112">
        <f>IF($X$16="","",IF(INDEX('_views'!$B:$ZZ,$X$16,3)="","",INDEX('_views'!$B:$ZZ,$X$16,3)))</f>
        <v/>
      </c>
      <c r="N30" s="113">
        <f>IF($AA30="","",IF(INDEX('_views'!$B:$ZZ,$AA30,1)="","",INDEX('_views'!$B:$ZZ,$AA30,1)))</f>
        <v/>
      </c>
      <c r="O30" s="113">
        <f>IF($AA30="","",IF(INDEX('_views'!$B:$ZZ,$AA30,2)="","",INDEX('_views'!$B:$ZZ,$AA30,2)))</f>
        <v/>
      </c>
      <c r="P30" s="113">
        <f>IF($AA30="","",IF(INDEX('_views'!$B:$ZZ,$AA30,3)="","",INDEX('_views'!$B:$ZZ,$AA30,3)))</f>
        <v/>
      </c>
      <c r="Q30" s="113">
        <f>IF($AA30="","",IF(INDEX('_views'!$B:$ZZ,$AA30,4)="","",INDEX('_views'!$B:$ZZ,$AA30,4)))</f>
        <v/>
      </c>
      <c r="R30" s="113">
        <f>IF($AA30="","",IF(INDEX('_views'!$B:$ZZ,$AA30,5)="","",INDEX('_views'!$B:$ZZ,$AA30,5)))</f>
        <v/>
      </c>
      <c r="S30" s="113">
        <f>IF($AA30="","",IF(INDEX('_views'!$B:$ZZ,$AA30,6)="","",INDEX('_views'!$B:$ZZ,$AA30,6)))</f>
        <v/>
      </c>
      <c r="T30" s="113">
        <f>IF($AA30="","",IF(INDEX('_views'!$B:$ZZ,$AA30,7)="","",INDEX('_views'!$B:$ZZ,$AA30,7)))</f>
        <v/>
      </c>
      <c r="U30" s="113">
        <f>IF($AA30="","",IF(INDEX('_views'!$B:$ZZ,$AA30,8)="","",INDEX('_views'!$B:$ZZ,$AA30,8)))</f>
        <v/>
      </c>
      <c r="V30" s="113">
        <f>IF($AA30="","",IF(INDEX('_views'!$B:$ZZ,$AA30,9)="","",INDEX('_views'!$B:$ZZ,$AA30,9)))</f>
        <v/>
      </c>
      <c r="Z30">
        <f>IFERROR(MATCH("G|"&amp;$B$13&amp;"|"&amp;$X$13&amp;"|band|3",'_views'!$A:$A,0),"")</f>
        <v/>
      </c>
      <c r="AA30">
        <f>IFERROR(MATCH("G|"&amp;$B$13&amp;"|loans|3",'_views'!$A:$A,0),"")</f>
        <v/>
      </c>
    </row>
    <row r="31" ht="16" customHeight="1">
      <c r="B31" s="112">
        <f>IF($X$16="","",IF(INDEX('_views'!$B:$ZZ,$X$16,4)="","",INDEX('_views'!$B:$ZZ,$X$16,4)))</f>
        <v/>
      </c>
      <c r="C31" s="115">
        <f>IF($Z31="","",IF(INDEX('_views'!$B:$ZZ,$Z31,1)="","",INDEX('_views'!$B:$ZZ,$Z31,1)))</f>
        <v/>
      </c>
      <c r="D31" s="115">
        <f>IF($Z31="","",IF(INDEX('_views'!$B:$ZZ,$Z31,2)="","",INDEX('_views'!$B:$ZZ,$Z31,2)))</f>
        <v/>
      </c>
      <c r="E31" s="115">
        <f>IF($Z31="","",IF(INDEX('_views'!$B:$ZZ,$Z31,3)="","",INDEX('_views'!$B:$ZZ,$Z31,3)))</f>
        <v/>
      </c>
      <c r="F31" s="115">
        <f>IF($Z31="","",IF(INDEX('_views'!$B:$ZZ,$Z31,4)="","",INDEX('_views'!$B:$ZZ,$Z31,4)))</f>
        <v/>
      </c>
      <c r="G31" s="115">
        <f>IF($Z31="","",IF(INDEX('_views'!$B:$ZZ,$Z31,5)="","",INDEX('_views'!$B:$ZZ,$Z31,5)))</f>
        <v/>
      </c>
      <c r="H31" s="115">
        <f>IF($Z31="","",IF(INDEX('_views'!$B:$ZZ,$Z31,6)="","",INDEX('_views'!$B:$ZZ,$Z31,6)))</f>
        <v/>
      </c>
      <c r="I31" s="115">
        <f>IF($Z31="","",IF(INDEX('_views'!$B:$ZZ,$Z31,7)="","",INDEX('_views'!$B:$ZZ,$Z31,7)))</f>
        <v/>
      </c>
      <c r="J31" s="115">
        <f>IF($Z31="","",IF(INDEX('_views'!$B:$ZZ,$Z31,8)="","",INDEX('_views'!$B:$ZZ,$Z31,8)))</f>
        <v/>
      </c>
      <c r="K31" s="115">
        <f>IF($Z31="","",IF(INDEX('_views'!$B:$ZZ,$Z31,9)="","",INDEX('_views'!$B:$ZZ,$Z31,9)))</f>
        <v/>
      </c>
      <c r="M31" s="112">
        <f>IF($X$16="","",IF(INDEX('_views'!$B:$ZZ,$X$16,4)="","",INDEX('_views'!$B:$ZZ,$X$16,4)))</f>
        <v/>
      </c>
      <c r="N31" s="113">
        <f>IF($AA31="","",IF(INDEX('_views'!$B:$ZZ,$AA31,1)="","",INDEX('_views'!$B:$ZZ,$AA31,1)))</f>
        <v/>
      </c>
      <c r="O31" s="113">
        <f>IF($AA31="","",IF(INDEX('_views'!$B:$ZZ,$AA31,2)="","",INDEX('_views'!$B:$ZZ,$AA31,2)))</f>
        <v/>
      </c>
      <c r="P31" s="113">
        <f>IF($AA31="","",IF(INDEX('_views'!$B:$ZZ,$AA31,3)="","",INDEX('_views'!$B:$ZZ,$AA31,3)))</f>
        <v/>
      </c>
      <c r="Q31" s="113">
        <f>IF($AA31="","",IF(INDEX('_views'!$B:$ZZ,$AA31,4)="","",INDEX('_views'!$B:$ZZ,$AA31,4)))</f>
        <v/>
      </c>
      <c r="R31" s="113">
        <f>IF($AA31="","",IF(INDEX('_views'!$B:$ZZ,$AA31,5)="","",INDEX('_views'!$B:$ZZ,$AA31,5)))</f>
        <v/>
      </c>
      <c r="S31" s="113">
        <f>IF($AA31="","",IF(INDEX('_views'!$B:$ZZ,$AA31,6)="","",INDEX('_views'!$B:$ZZ,$AA31,6)))</f>
        <v/>
      </c>
      <c r="T31" s="113">
        <f>IF($AA31="","",IF(INDEX('_views'!$B:$ZZ,$AA31,7)="","",INDEX('_views'!$B:$ZZ,$AA31,7)))</f>
        <v/>
      </c>
      <c r="U31" s="113">
        <f>IF($AA31="","",IF(INDEX('_views'!$B:$ZZ,$AA31,8)="","",INDEX('_views'!$B:$ZZ,$AA31,8)))</f>
        <v/>
      </c>
      <c r="V31" s="113">
        <f>IF($AA31="","",IF(INDEX('_views'!$B:$ZZ,$AA31,9)="","",INDEX('_views'!$B:$ZZ,$AA31,9)))</f>
        <v/>
      </c>
      <c r="Z31">
        <f>IFERROR(MATCH("G|"&amp;$B$13&amp;"|"&amp;$X$13&amp;"|band|4",'_views'!$A:$A,0),"")</f>
        <v/>
      </c>
      <c r="AA31">
        <f>IFERROR(MATCH("G|"&amp;$B$13&amp;"|loans|4",'_views'!$A:$A,0),"")</f>
        <v/>
      </c>
    </row>
    <row r="32" ht="16" customHeight="1">
      <c r="B32" s="112">
        <f>IF($X$16="","",IF(INDEX('_views'!$B:$ZZ,$X$16,5)="","",INDEX('_views'!$B:$ZZ,$X$16,5)))</f>
        <v/>
      </c>
      <c r="C32" s="115">
        <f>IF($Z32="","",IF(INDEX('_views'!$B:$ZZ,$Z32,1)="","",INDEX('_views'!$B:$ZZ,$Z32,1)))</f>
        <v/>
      </c>
      <c r="D32" s="115">
        <f>IF($Z32="","",IF(INDEX('_views'!$B:$ZZ,$Z32,2)="","",INDEX('_views'!$B:$ZZ,$Z32,2)))</f>
        <v/>
      </c>
      <c r="E32" s="115">
        <f>IF($Z32="","",IF(INDEX('_views'!$B:$ZZ,$Z32,3)="","",INDEX('_views'!$B:$ZZ,$Z32,3)))</f>
        <v/>
      </c>
      <c r="F32" s="115">
        <f>IF($Z32="","",IF(INDEX('_views'!$B:$ZZ,$Z32,4)="","",INDEX('_views'!$B:$ZZ,$Z32,4)))</f>
        <v/>
      </c>
      <c r="G32" s="115">
        <f>IF($Z32="","",IF(INDEX('_views'!$B:$ZZ,$Z32,5)="","",INDEX('_views'!$B:$ZZ,$Z32,5)))</f>
        <v/>
      </c>
      <c r="H32" s="115">
        <f>IF($Z32="","",IF(INDEX('_views'!$B:$ZZ,$Z32,6)="","",INDEX('_views'!$B:$ZZ,$Z32,6)))</f>
        <v/>
      </c>
      <c r="I32" s="115">
        <f>IF($Z32="","",IF(INDEX('_views'!$B:$ZZ,$Z32,7)="","",INDEX('_views'!$B:$ZZ,$Z32,7)))</f>
        <v/>
      </c>
      <c r="J32" s="115">
        <f>IF($Z32="","",IF(INDEX('_views'!$B:$ZZ,$Z32,8)="","",INDEX('_views'!$B:$ZZ,$Z32,8)))</f>
        <v/>
      </c>
      <c r="K32" s="115">
        <f>IF($Z32="","",IF(INDEX('_views'!$B:$ZZ,$Z32,9)="","",INDEX('_views'!$B:$ZZ,$Z32,9)))</f>
        <v/>
      </c>
      <c r="M32" s="112">
        <f>IF($X$16="","",IF(INDEX('_views'!$B:$ZZ,$X$16,5)="","",INDEX('_views'!$B:$ZZ,$X$16,5)))</f>
        <v/>
      </c>
      <c r="N32" s="113">
        <f>IF($AA32="","",IF(INDEX('_views'!$B:$ZZ,$AA32,1)="","",INDEX('_views'!$B:$ZZ,$AA32,1)))</f>
        <v/>
      </c>
      <c r="O32" s="113">
        <f>IF($AA32="","",IF(INDEX('_views'!$B:$ZZ,$AA32,2)="","",INDEX('_views'!$B:$ZZ,$AA32,2)))</f>
        <v/>
      </c>
      <c r="P32" s="113">
        <f>IF($AA32="","",IF(INDEX('_views'!$B:$ZZ,$AA32,3)="","",INDEX('_views'!$B:$ZZ,$AA32,3)))</f>
        <v/>
      </c>
      <c r="Q32" s="113">
        <f>IF($AA32="","",IF(INDEX('_views'!$B:$ZZ,$AA32,4)="","",INDEX('_views'!$B:$ZZ,$AA32,4)))</f>
        <v/>
      </c>
      <c r="R32" s="113">
        <f>IF($AA32="","",IF(INDEX('_views'!$B:$ZZ,$AA32,5)="","",INDEX('_views'!$B:$ZZ,$AA32,5)))</f>
        <v/>
      </c>
      <c r="S32" s="113">
        <f>IF($AA32="","",IF(INDEX('_views'!$B:$ZZ,$AA32,6)="","",INDEX('_views'!$B:$ZZ,$AA32,6)))</f>
        <v/>
      </c>
      <c r="T32" s="113">
        <f>IF($AA32="","",IF(INDEX('_views'!$B:$ZZ,$AA32,7)="","",INDEX('_views'!$B:$ZZ,$AA32,7)))</f>
        <v/>
      </c>
      <c r="U32" s="113">
        <f>IF($AA32="","",IF(INDEX('_views'!$B:$ZZ,$AA32,8)="","",INDEX('_views'!$B:$ZZ,$AA32,8)))</f>
        <v/>
      </c>
      <c r="V32" s="113">
        <f>IF($AA32="","",IF(INDEX('_views'!$B:$ZZ,$AA32,9)="","",INDEX('_views'!$B:$ZZ,$AA32,9)))</f>
        <v/>
      </c>
      <c r="Z32">
        <f>IFERROR(MATCH("G|"&amp;$B$13&amp;"|"&amp;$X$13&amp;"|band|5",'_views'!$A:$A,0),"")</f>
        <v/>
      </c>
      <c r="AA32">
        <f>IFERROR(MATCH("G|"&amp;$B$13&amp;"|loans|5",'_views'!$A:$A,0),"")</f>
        <v/>
      </c>
    </row>
    <row r="33" ht="16" customHeight="1">
      <c r="B33" s="112">
        <f>IF($X$16="","",IF(INDEX('_views'!$B:$ZZ,$X$16,6)="","",INDEX('_views'!$B:$ZZ,$X$16,6)))</f>
        <v/>
      </c>
      <c r="C33" s="115">
        <f>IF($Z33="","",IF(INDEX('_views'!$B:$ZZ,$Z33,1)="","",INDEX('_views'!$B:$ZZ,$Z33,1)))</f>
        <v/>
      </c>
      <c r="D33" s="115">
        <f>IF($Z33="","",IF(INDEX('_views'!$B:$ZZ,$Z33,2)="","",INDEX('_views'!$B:$ZZ,$Z33,2)))</f>
        <v/>
      </c>
      <c r="E33" s="115">
        <f>IF($Z33="","",IF(INDEX('_views'!$B:$ZZ,$Z33,3)="","",INDEX('_views'!$B:$ZZ,$Z33,3)))</f>
        <v/>
      </c>
      <c r="F33" s="115">
        <f>IF($Z33="","",IF(INDEX('_views'!$B:$ZZ,$Z33,4)="","",INDEX('_views'!$B:$ZZ,$Z33,4)))</f>
        <v/>
      </c>
      <c r="G33" s="115">
        <f>IF($Z33="","",IF(INDEX('_views'!$B:$ZZ,$Z33,5)="","",INDEX('_views'!$B:$ZZ,$Z33,5)))</f>
        <v/>
      </c>
      <c r="H33" s="115">
        <f>IF($Z33="","",IF(INDEX('_views'!$B:$ZZ,$Z33,6)="","",INDEX('_views'!$B:$ZZ,$Z33,6)))</f>
        <v/>
      </c>
      <c r="I33" s="115">
        <f>IF($Z33="","",IF(INDEX('_views'!$B:$ZZ,$Z33,7)="","",INDEX('_views'!$B:$ZZ,$Z33,7)))</f>
        <v/>
      </c>
      <c r="J33" s="115">
        <f>IF($Z33="","",IF(INDEX('_views'!$B:$ZZ,$Z33,8)="","",INDEX('_views'!$B:$ZZ,$Z33,8)))</f>
        <v/>
      </c>
      <c r="K33" s="115">
        <f>IF($Z33="","",IF(INDEX('_views'!$B:$ZZ,$Z33,9)="","",INDEX('_views'!$B:$ZZ,$Z33,9)))</f>
        <v/>
      </c>
      <c r="M33" s="112">
        <f>IF($X$16="","",IF(INDEX('_views'!$B:$ZZ,$X$16,6)="","",INDEX('_views'!$B:$ZZ,$X$16,6)))</f>
        <v/>
      </c>
      <c r="N33" s="113">
        <f>IF($AA33="","",IF(INDEX('_views'!$B:$ZZ,$AA33,1)="","",INDEX('_views'!$B:$ZZ,$AA33,1)))</f>
        <v/>
      </c>
      <c r="O33" s="113">
        <f>IF($AA33="","",IF(INDEX('_views'!$B:$ZZ,$AA33,2)="","",INDEX('_views'!$B:$ZZ,$AA33,2)))</f>
        <v/>
      </c>
      <c r="P33" s="113">
        <f>IF($AA33="","",IF(INDEX('_views'!$B:$ZZ,$AA33,3)="","",INDEX('_views'!$B:$ZZ,$AA33,3)))</f>
        <v/>
      </c>
      <c r="Q33" s="113">
        <f>IF($AA33="","",IF(INDEX('_views'!$B:$ZZ,$AA33,4)="","",INDEX('_views'!$B:$ZZ,$AA33,4)))</f>
        <v/>
      </c>
      <c r="R33" s="113">
        <f>IF($AA33="","",IF(INDEX('_views'!$B:$ZZ,$AA33,5)="","",INDEX('_views'!$B:$ZZ,$AA33,5)))</f>
        <v/>
      </c>
      <c r="S33" s="113">
        <f>IF($AA33="","",IF(INDEX('_views'!$B:$ZZ,$AA33,6)="","",INDEX('_views'!$B:$ZZ,$AA33,6)))</f>
        <v/>
      </c>
      <c r="T33" s="113">
        <f>IF($AA33="","",IF(INDEX('_views'!$B:$ZZ,$AA33,7)="","",INDEX('_views'!$B:$ZZ,$AA33,7)))</f>
        <v/>
      </c>
      <c r="U33" s="113">
        <f>IF($AA33="","",IF(INDEX('_views'!$B:$ZZ,$AA33,8)="","",INDEX('_views'!$B:$ZZ,$AA33,8)))</f>
        <v/>
      </c>
      <c r="V33" s="113">
        <f>IF($AA33="","",IF(INDEX('_views'!$B:$ZZ,$AA33,9)="","",INDEX('_views'!$B:$ZZ,$AA33,9)))</f>
        <v/>
      </c>
      <c r="Z33">
        <f>IFERROR(MATCH("G|"&amp;$B$13&amp;"|"&amp;$X$13&amp;"|band|6",'_views'!$A:$A,0),"")</f>
        <v/>
      </c>
      <c r="AA33">
        <f>IFERROR(MATCH("G|"&amp;$B$13&amp;"|loans|6",'_views'!$A:$A,0),"")</f>
        <v/>
      </c>
    </row>
    <row r="34" ht="16" customHeight="1">
      <c r="B34" s="112">
        <f>IF($X$16="","",IF(INDEX('_views'!$B:$ZZ,$X$16,7)="","",INDEX('_views'!$B:$ZZ,$X$16,7)))</f>
        <v/>
      </c>
      <c r="C34" s="115">
        <f>IF($Z34="","",IF(INDEX('_views'!$B:$ZZ,$Z34,1)="","",INDEX('_views'!$B:$ZZ,$Z34,1)))</f>
        <v/>
      </c>
      <c r="D34" s="115">
        <f>IF($Z34="","",IF(INDEX('_views'!$B:$ZZ,$Z34,2)="","",INDEX('_views'!$B:$ZZ,$Z34,2)))</f>
        <v/>
      </c>
      <c r="E34" s="115">
        <f>IF($Z34="","",IF(INDEX('_views'!$B:$ZZ,$Z34,3)="","",INDEX('_views'!$B:$ZZ,$Z34,3)))</f>
        <v/>
      </c>
      <c r="F34" s="115">
        <f>IF($Z34="","",IF(INDEX('_views'!$B:$ZZ,$Z34,4)="","",INDEX('_views'!$B:$ZZ,$Z34,4)))</f>
        <v/>
      </c>
      <c r="G34" s="115">
        <f>IF($Z34="","",IF(INDEX('_views'!$B:$ZZ,$Z34,5)="","",INDEX('_views'!$B:$ZZ,$Z34,5)))</f>
        <v/>
      </c>
      <c r="H34" s="115">
        <f>IF($Z34="","",IF(INDEX('_views'!$B:$ZZ,$Z34,6)="","",INDEX('_views'!$B:$ZZ,$Z34,6)))</f>
        <v/>
      </c>
      <c r="I34" s="115">
        <f>IF($Z34="","",IF(INDEX('_views'!$B:$ZZ,$Z34,7)="","",INDEX('_views'!$B:$ZZ,$Z34,7)))</f>
        <v/>
      </c>
      <c r="J34" s="115">
        <f>IF($Z34="","",IF(INDEX('_views'!$B:$ZZ,$Z34,8)="","",INDEX('_views'!$B:$ZZ,$Z34,8)))</f>
        <v/>
      </c>
      <c r="K34" s="115">
        <f>IF($Z34="","",IF(INDEX('_views'!$B:$ZZ,$Z34,9)="","",INDEX('_views'!$B:$ZZ,$Z34,9)))</f>
        <v/>
      </c>
      <c r="M34" s="112">
        <f>IF($X$16="","",IF(INDEX('_views'!$B:$ZZ,$X$16,7)="","",INDEX('_views'!$B:$ZZ,$X$16,7)))</f>
        <v/>
      </c>
      <c r="N34" s="113">
        <f>IF($AA34="","",IF(INDEX('_views'!$B:$ZZ,$AA34,1)="","",INDEX('_views'!$B:$ZZ,$AA34,1)))</f>
        <v/>
      </c>
      <c r="O34" s="113">
        <f>IF($AA34="","",IF(INDEX('_views'!$B:$ZZ,$AA34,2)="","",INDEX('_views'!$B:$ZZ,$AA34,2)))</f>
        <v/>
      </c>
      <c r="P34" s="113">
        <f>IF($AA34="","",IF(INDEX('_views'!$B:$ZZ,$AA34,3)="","",INDEX('_views'!$B:$ZZ,$AA34,3)))</f>
        <v/>
      </c>
      <c r="Q34" s="113">
        <f>IF($AA34="","",IF(INDEX('_views'!$B:$ZZ,$AA34,4)="","",INDEX('_views'!$B:$ZZ,$AA34,4)))</f>
        <v/>
      </c>
      <c r="R34" s="113">
        <f>IF($AA34="","",IF(INDEX('_views'!$B:$ZZ,$AA34,5)="","",INDEX('_views'!$B:$ZZ,$AA34,5)))</f>
        <v/>
      </c>
      <c r="S34" s="113">
        <f>IF($AA34="","",IF(INDEX('_views'!$B:$ZZ,$AA34,6)="","",INDEX('_views'!$B:$ZZ,$AA34,6)))</f>
        <v/>
      </c>
      <c r="T34" s="113">
        <f>IF($AA34="","",IF(INDEX('_views'!$B:$ZZ,$AA34,7)="","",INDEX('_views'!$B:$ZZ,$AA34,7)))</f>
        <v/>
      </c>
      <c r="U34" s="113">
        <f>IF($AA34="","",IF(INDEX('_views'!$B:$ZZ,$AA34,8)="","",INDEX('_views'!$B:$ZZ,$AA34,8)))</f>
        <v/>
      </c>
      <c r="V34" s="113">
        <f>IF($AA34="","",IF(INDEX('_views'!$B:$ZZ,$AA34,9)="","",INDEX('_views'!$B:$ZZ,$AA34,9)))</f>
        <v/>
      </c>
      <c r="Z34">
        <f>IFERROR(MATCH("G|"&amp;$B$13&amp;"|"&amp;$X$13&amp;"|band|7",'_views'!$A:$A,0),"")</f>
        <v/>
      </c>
      <c r="AA34">
        <f>IFERROR(MATCH("G|"&amp;$B$13&amp;"|loans|7",'_views'!$A:$A,0),"")</f>
        <v/>
      </c>
    </row>
    <row r="35" ht="16" customHeight="1">
      <c r="B35" s="112">
        <f>IF($X$16="","",IF(INDEX('_views'!$B:$ZZ,$X$16,8)="","",INDEX('_views'!$B:$ZZ,$X$16,8)))</f>
        <v/>
      </c>
      <c r="C35" s="115">
        <f>IF($Z35="","",IF(INDEX('_views'!$B:$ZZ,$Z35,1)="","",INDEX('_views'!$B:$ZZ,$Z35,1)))</f>
        <v/>
      </c>
      <c r="D35" s="115">
        <f>IF($Z35="","",IF(INDEX('_views'!$B:$ZZ,$Z35,2)="","",INDEX('_views'!$B:$ZZ,$Z35,2)))</f>
        <v/>
      </c>
      <c r="E35" s="115">
        <f>IF($Z35="","",IF(INDEX('_views'!$B:$ZZ,$Z35,3)="","",INDEX('_views'!$B:$ZZ,$Z35,3)))</f>
        <v/>
      </c>
      <c r="F35" s="115">
        <f>IF($Z35="","",IF(INDEX('_views'!$B:$ZZ,$Z35,4)="","",INDEX('_views'!$B:$ZZ,$Z35,4)))</f>
        <v/>
      </c>
      <c r="G35" s="115">
        <f>IF($Z35="","",IF(INDEX('_views'!$B:$ZZ,$Z35,5)="","",INDEX('_views'!$B:$ZZ,$Z35,5)))</f>
        <v/>
      </c>
      <c r="H35" s="115">
        <f>IF($Z35="","",IF(INDEX('_views'!$B:$ZZ,$Z35,6)="","",INDEX('_views'!$B:$ZZ,$Z35,6)))</f>
        <v/>
      </c>
      <c r="I35" s="115">
        <f>IF($Z35="","",IF(INDEX('_views'!$B:$ZZ,$Z35,7)="","",INDEX('_views'!$B:$ZZ,$Z35,7)))</f>
        <v/>
      </c>
      <c r="J35" s="115">
        <f>IF($Z35="","",IF(INDEX('_views'!$B:$ZZ,$Z35,8)="","",INDEX('_views'!$B:$ZZ,$Z35,8)))</f>
        <v/>
      </c>
      <c r="K35" s="115">
        <f>IF($Z35="","",IF(INDEX('_views'!$B:$ZZ,$Z35,9)="","",INDEX('_views'!$B:$ZZ,$Z35,9)))</f>
        <v/>
      </c>
      <c r="M35" s="112">
        <f>IF($X$16="","",IF(INDEX('_views'!$B:$ZZ,$X$16,8)="","",INDEX('_views'!$B:$ZZ,$X$16,8)))</f>
        <v/>
      </c>
      <c r="N35" s="113">
        <f>IF($AA35="","",IF(INDEX('_views'!$B:$ZZ,$AA35,1)="","",INDEX('_views'!$B:$ZZ,$AA35,1)))</f>
        <v/>
      </c>
      <c r="O35" s="113">
        <f>IF($AA35="","",IF(INDEX('_views'!$B:$ZZ,$AA35,2)="","",INDEX('_views'!$B:$ZZ,$AA35,2)))</f>
        <v/>
      </c>
      <c r="P35" s="113">
        <f>IF($AA35="","",IF(INDEX('_views'!$B:$ZZ,$AA35,3)="","",INDEX('_views'!$B:$ZZ,$AA35,3)))</f>
        <v/>
      </c>
      <c r="Q35" s="113">
        <f>IF($AA35="","",IF(INDEX('_views'!$B:$ZZ,$AA35,4)="","",INDEX('_views'!$B:$ZZ,$AA35,4)))</f>
        <v/>
      </c>
      <c r="R35" s="113">
        <f>IF($AA35="","",IF(INDEX('_views'!$B:$ZZ,$AA35,5)="","",INDEX('_views'!$B:$ZZ,$AA35,5)))</f>
        <v/>
      </c>
      <c r="S35" s="113">
        <f>IF($AA35="","",IF(INDEX('_views'!$B:$ZZ,$AA35,6)="","",INDEX('_views'!$B:$ZZ,$AA35,6)))</f>
        <v/>
      </c>
      <c r="T35" s="113">
        <f>IF($AA35="","",IF(INDEX('_views'!$B:$ZZ,$AA35,7)="","",INDEX('_views'!$B:$ZZ,$AA35,7)))</f>
        <v/>
      </c>
      <c r="U35" s="113">
        <f>IF($AA35="","",IF(INDEX('_views'!$B:$ZZ,$AA35,8)="","",INDEX('_views'!$B:$ZZ,$AA35,8)))</f>
        <v/>
      </c>
      <c r="V35" s="113">
        <f>IF($AA35="","",IF(INDEX('_views'!$B:$ZZ,$AA35,9)="","",INDEX('_views'!$B:$ZZ,$AA35,9)))</f>
        <v/>
      </c>
      <c r="Z35">
        <f>IFERROR(MATCH("G|"&amp;$B$13&amp;"|"&amp;$X$13&amp;"|band|8",'_views'!$A:$A,0),"")</f>
        <v/>
      </c>
      <c r="AA35">
        <f>IFERROR(MATCH("G|"&amp;$B$13&amp;"|loans|8",'_views'!$A:$A,0),"")</f>
        <v/>
      </c>
    </row>
    <row r="37">
      <c r="B37" s="128" t="inlineStr">
        <is>
          <t>A blank: alone in its band, or fewer losses than the minimum, so not compared.</t>
        </is>
      </c>
    </row>
    <row r="39" ht="20" customHeight="1">
      <c r="B39" s="126" t="inlineStr">
        <is>
          <t>What one cell says</t>
        </is>
      </c>
      <c r="C39" s="26" t="n"/>
      <c r="D39" s="26" t="n"/>
      <c r="E39" s="26" t="n"/>
      <c r="F39" s="26" t="n"/>
      <c r="G39" s="26" t="n"/>
      <c r="H39" s="26" t="n"/>
      <c r="I39" s="26" t="n"/>
      <c r="J39" s="26" t="n"/>
      <c r="K39" s="26" t="n"/>
      <c r="L39" s="26" t="n"/>
      <c r="M39" s="26" t="n"/>
      <c r="N39" s="26" t="n"/>
      <c r="O39" s="26" t="n"/>
      <c r="P39" s="26" t="n"/>
      <c r="Q39" s="26" t="n"/>
      <c r="R39" s="26" t="n"/>
      <c r="S39" s="26" t="n"/>
      <c r="T39" s="26" t="n"/>
      <c r="U39" s="26" t="n"/>
      <c r="V39" s="26" t="n"/>
    </row>
    <row r="40" ht="18" customHeight="1">
      <c r="B40" s="129">
        <f>IF(OR($AH$13="",$AH$14=""),"Pick a Row and a Column above: their lists follow the Grid.",$J$13&amp;" · "&amp;$N$13&amp;", "&amp;$F$13)</f>
        <v/>
      </c>
    </row>
    <row r="41" ht="18" customHeight="1">
      <c r="B41" s="130" t="inlineStr">
        <is>
          <t>Rate</t>
        </is>
      </c>
      <c r="C41" s="112">
        <f>IF(OR($AH$13="",$AH$14=""),"",IF(NOT(ISNUMBER($AH$18)),"No loans in this pocket.",IF($AH$15="","No rate: these loans have nothing to divide by for this measure.",SUBSTITUTE(SUBSTITUTE(SUBSTITUTE(SUBSTITUTE($AH$22,"{these}",IF($AH$18=1,"This one loan","These "&amp;TEXT($AH$18,"#,##0")&amp;" loans")),"{their}",IF($AH$18=1,"its","their")),"{r}",IF($Y$13="amt",TEXT($AH$15,"#,##0.00"),TEXT($AH$15,"0.00%"))),"{measure}",$F$13))))</f>
        <v/>
      </c>
    </row>
    <row r="42" ht="18" customHeight="1">
      <c r="B42" s="130" t="inlineStr">
        <is>
          <t>vs the book</t>
        </is>
      </c>
      <c r="C42" s="112">
        <f>IF(OR(OR($AH$13="",$AH$14=""),NOT(ISNUMBER($AH$18))),"",IF(ISNUMBER($AH$16),SUBSTITUTE(SUBSTITUTE(SUBSTITUTE(SUBSTITUTE($AH$23,"{x}",TEXT($AH$16,"0.00")),"{pts}",TEXT(ABS($AH$16),"0.00")),"{more}",IF($AH$16&lt;0,"less","more")),"{against}","the whole book"),IF($Y$13="amt",$AH$23,IF($Y$13="pts","Blank: not compared.","Blank: fewer losses than the minimum ("&amp;($AH$24)&amp;" losses), so not compared."))))</f>
        <v/>
      </c>
    </row>
    <row r="43" ht="18" customHeight="1">
      <c r="B43" s="130" t="inlineStr">
        <is>
          <t>vs rest of band</t>
        </is>
      </c>
      <c r="C43" s="112">
        <f>IF(OR(OR($AH$13="",$AH$14=""),NOT(ISNUMBER($AH$18))),"",IF(ISNUMBER($AH$17),SUBSTITUTE(SUBSTITUTE(SUBSTITUTE(SUBSTITUTE($AH$23,"{x}",TEXT($AH$17,"0.00")),"{pts}",TEXT(ABS($AH$17),"0.00")),"{more}",IF($AH$17&lt;0,"less","more")),"{against}","the other loans in "&amp;($J$13)&amp;IF(AND($AH$20&gt;=1,$AH$20&lt;=3)," (the "&amp;$AH$21&amp;" loans)","")),IF($Y$13="amt",$AH$23,IF($AH$20&lt;1,"Blank: alone in its band. Nothing else in "&amp;($J$13)&amp;" to compare with.",IF($Y$13="pts","Blank: not compared.","Blank: fewer losses than the minimum ("&amp;($AH$24)&amp;" losses), so not compared.")))))</f>
        <v/>
      </c>
    </row>
    <row r="44" ht="18" customHeight="1">
      <c r="B44" s="130" t="inlineStr">
        <is>
          <t>Loans</t>
        </is>
      </c>
      <c r="C44" s="112">
        <f>IF(OR(OR($AH$13="",$AH$14=""),NOT(ISNUMBER($AH$18))),"",(TEXT($AH$18,"#,##0")&amp;IF($AH$18=1," loan"," loans"))&amp;"; "&amp;($J$13)&amp;" has "&amp;(TEXT($AH$19,"#,##0"))&amp;" in all.")</f>
        <v/>
      </c>
    </row>
    <row r="45" ht="18" customHeight="1">
      <c r="B45" s="130" t="inlineStr">
        <is>
          <t>The colour</t>
        </is>
      </c>
      <c r="C45" s="112">
        <f>IF(OR(OR($AH$13="",$AH$14=""),NOT(ISNUMBER($AH$18))),"",IF($Y$13="amt","No colour: this figure is not compared.","vs the book is "&amp;(IF(ISNUMBER($AH$16),IF(IFERROR(IF($Y$13="pts",-$AH$16/$Y$14,IF($Y$13="x",LOG($AH$16,2),IF($Y$13="xr",-LOG($AH$16,2),0))),0)&gt;=1.0,"deep red",IF(IFERROR(IF($Y$13="pts",-$AH$16/$Y$14,IF($Y$13="x",LOG($AH$16,2),IF($Y$13="xr",-LOG($AH$16,2),0))),0)&gt;=0.585,"red",IF(IFERROR(IF($Y$13="pts",-$AH$16/$Y$14,IF($Y$13="x",LOG($AH$16,2),IF($Y$13="xr",-LOG($AH$16,2),0))),0)&gt;=0.263,"light red",IF(IFERROR(IF($Y$13="pts",-$AH$16/$Y$14,IF($Y$13="x",LOG($AH$16,2),IF($Y$13="xr",-LOG($AH$16,2),0))),0)&lt;=-0.585,"green",IF(IFERROR(IF($Y$13="pts",-$AH$16/$Y$14,IF($Y$13="x",LOG($AH$16,2),IF($Y$13="xr",-LOG($AH$16,2),0))),0)&lt;=-0.263,"light green","pale"))))),"blank"))&amp;", vs rest of band "&amp;(IF(ISNUMBER($AH$17),IF(IFERROR(IF($Y$13="pts",-$AH$17/$Y$14,IF($Y$13="x",LOG($AH$17,2),IF($Y$13="xr",-LOG($AH$17,2),0))),0)&gt;=1.0,"deep red",IF(IFERROR(IF($Y$13="pts",-$AH$17/$Y$14,IF($Y$13="x",LOG($AH$17,2),IF($Y$13="xr",-LOG($AH$17,2),0))),0)&gt;=0.585,"red",IF(IFERROR(IF($Y$13="pts",-$AH$17/$Y$14,IF($Y$13="x",LOG($AH$17,2),IF($Y$13="xr",-LOG($AH$17,2),0))),0)&gt;=0.263,"light red",IF(IFERROR(IF($Y$13="pts",-$AH$17/$Y$14,IF($Y$13="x",LOG($AH$17,2),IF($Y$13="xr",-LOG($AH$17,2),0))),0)&lt;=-0.585,"green",IF(IFERROR(IF($Y$13="pts",-$AH$17/$Y$14,IF($Y$13="x",LOG($AH$17,2),IF($Y$13="xr",-LOG($AH$17,2),0))),0)&lt;=-0.263,"light green","pale"))))),"blank"))&amp;". Red is worse, green better, deeper a bigger gap. It is the size of the gap, not a test."))</f>
        <v/>
      </c>
    </row>
    <row r="47" ht="20" customHeight="1">
      <c r="B47" s="126" t="inlineStr">
        <is>
          <t>How common each group is: a count, not a test</t>
        </is>
      </c>
      <c r="C47" s="26" t="n"/>
      <c r="D47" s="26" t="n"/>
      <c r="E47" s="26" t="n"/>
      <c r="F47" s="26" t="n"/>
      <c r="G47" s="26" t="n"/>
      <c r="H47" s="26" t="n"/>
      <c r="I47" s="26" t="n"/>
    </row>
    <row r="48">
      <c r="B48" s="131" t="inlineStr">
        <is>
          <t>SYS_FLAG, by value</t>
        </is>
      </c>
    </row>
    <row r="49">
      <c r="B49" s="128">
        <f>IF($AB$49="","",IF(INDEX('_views'!$B:$ZZ,$AB$49,1)="","",INDEX('_views'!$B:$ZZ,$AB$49,1)))</f>
        <v/>
      </c>
      <c r="AB49">
        <f>IFERROR(MATCH("P|0|"&amp;$B$13&amp;"|say",'_views'!$A:$A,0),"")</f>
        <v/>
      </c>
    </row>
    <row r="50">
      <c r="B50" s="55">
        <f>IF($AB$50="","",IF(INDEX('_views'!$B:$ZZ,$AB$50,1)="","",INDEX('_views'!$B:$ZZ,$AB$50,1)))</f>
        <v/>
      </c>
      <c r="C50" s="55">
        <f>IF($AB$50="","",IF(INDEX('_views'!$B:$ZZ,$AB$50,2)="","",INDEX('_views'!$B:$ZZ,$AB$50,2)))</f>
        <v/>
      </c>
      <c r="D50" s="56">
        <f>IF($AB$50="","",IF(INDEX('_views'!$B:$ZZ,$AB$50,3)="","",INDEX('_views'!$B:$ZZ,$AB$50,3)))</f>
        <v/>
      </c>
      <c r="E50" s="56">
        <f>IF($AB$50="","",IF(INDEX('_views'!$B:$ZZ,$AB$50,4)="","",INDEX('_views'!$B:$ZZ,$AB$50,4)))</f>
        <v/>
      </c>
      <c r="F50" s="56">
        <f>IF($AB$50="","",IF(INDEX('_views'!$B:$ZZ,$AB$50,5)="","",INDEX('_views'!$B:$ZZ,$AB$50,5)))</f>
        <v/>
      </c>
      <c r="G50" s="56">
        <f>IF($AB$50="","",IF(INDEX('_views'!$B:$ZZ,$AB$50,6)="","",INDEX('_views'!$B:$ZZ,$AB$50,6)))</f>
        <v/>
      </c>
      <c r="H50" s="56">
        <f>IF($AB$50="","",IF(INDEX('_views'!$B:$ZZ,$AB$50,7)="","",INDEX('_views'!$B:$ZZ,$AB$50,7)))</f>
        <v/>
      </c>
      <c r="I50" s="56">
        <f>IF($AB$50="","",IF(INDEX('_views'!$B:$ZZ,$AB$50,8)="","",INDEX('_views'!$B:$ZZ,$AB$50,8)))</f>
        <v/>
      </c>
      <c r="AB50">
        <f>IFERROR(MATCH("P|0|"&amp;$B$13&amp;"|head",'_views'!$A:$A,0),"")</f>
        <v/>
      </c>
    </row>
    <row r="51">
      <c r="B51" s="5" t="n"/>
      <c r="C51" s="5" t="n"/>
      <c r="D51" s="5" t="n"/>
      <c r="E51" s="5" t="n"/>
      <c r="F51" s="30">
        <f>IF(IF($AB$50="","",IF(INDEX('_views'!$B:$ZZ,$AB$50,5)="","",INDEX('_views'!$B:$ZZ,$AB$50,5)))="","","Loans")</f>
        <v/>
      </c>
      <c r="G51" s="30">
        <f>IF(IF($AB$50="","",IF(INDEX('_views'!$B:$ZZ,$AB$50,5)="","",INDEX('_views'!$B:$ZZ,$AB$50,5)))="","","Booked dollars")</f>
        <v/>
      </c>
      <c r="H51" s="30">
        <f>IF(IF($AB$50="","",IF(INDEX('_views'!$B:$ZZ,$AB$50,7)="","",INDEX('_views'!$B:$ZZ,$AB$50,7)))="","","Loans")</f>
        <v/>
      </c>
      <c r="I51" s="30">
        <f>IF(IF($AB$50="","",IF(INDEX('_views'!$B:$ZZ,$AB$50,7)="","",INDEX('_views'!$B:$ZZ,$AB$50,7)))="","","Booked dollars")</f>
        <v/>
      </c>
    </row>
    <row r="52" ht="16" customHeight="1">
      <c r="B52" s="112">
        <f>IF($AB52="","",IF(INDEX('_views'!$B:$ZZ,$AB52,1)="","",INDEX('_views'!$B:$ZZ,$AB52,1)))</f>
        <v/>
      </c>
      <c r="C52" s="112">
        <f>IF($AB52="","",IF(INDEX('_views'!$B:$ZZ,$AB52,2)="","",INDEX('_views'!$B:$ZZ,$AB52,2)))</f>
        <v/>
      </c>
      <c r="D52" s="113">
        <f>IF($AB52="","",IF(INDEX('_views'!$B:$ZZ,$AB52,3)="","",INDEX('_views'!$B:$ZZ,$AB52,3)))</f>
        <v/>
      </c>
      <c r="E52" s="113">
        <f>IF($AB52="","",IF(INDEX('_views'!$B:$ZZ,$AB52,4)="","",INDEX('_views'!$B:$ZZ,$AB52,4)))</f>
        <v/>
      </c>
      <c r="F52" s="113">
        <f>IF($AB52="","",IF(INDEX('_views'!$B:$ZZ,$AB52,5)="","",INDEX('_views'!$B:$ZZ,$AB52,5)))</f>
        <v/>
      </c>
      <c r="G52" s="113">
        <f>IF($AB52="","",IF(INDEX('_views'!$B:$ZZ,$AB52,6)="","",INDEX('_views'!$B:$ZZ,$AB52,6)))</f>
        <v/>
      </c>
      <c r="H52" s="113">
        <f>IF($AB52="","",IF(INDEX('_views'!$B:$ZZ,$AB52,7)="","",INDEX('_views'!$B:$ZZ,$AB52,7)))</f>
        <v/>
      </c>
      <c r="I52" s="113">
        <f>IF($AB52="","",IF(INDEX('_views'!$B:$ZZ,$AB52,8)="","",INDEX('_views'!$B:$ZZ,$AB52,8)))</f>
        <v/>
      </c>
      <c r="AB52">
        <f>IFERROR(MATCH("P|0|"&amp;$B$13&amp;"|1",'_views'!$A:$A,0),"")</f>
        <v/>
      </c>
    </row>
    <row r="53" ht="16" customHeight="1">
      <c r="B53" s="112">
        <f>IF($AB53="","",IF(INDEX('_views'!$B:$ZZ,$AB53,1)="","",INDEX('_views'!$B:$ZZ,$AB53,1)))</f>
        <v/>
      </c>
      <c r="C53" s="112">
        <f>IF($AB53="","",IF(INDEX('_views'!$B:$ZZ,$AB53,2)="","",INDEX('_views'!$B:$ZZ,$AB53,2)))</f>
        <v/>
      </c>
      <c r="D53" s="113">
        <f>IF($AB53="","",IF(INDEX('_views'!$B:$ZZ,$AB53,3)="","",INDEX('_views'!$B:$ZZ,$AB53,3)))</f>
        <v/>
      </c>
      <c r="E53" s="113">
        <f>IF($AB53="","",IF(INDEX('_views'!$B:$ZZ,$AB53,4)="","",INDEX('_views'!$B:$ZZ,$AB53,4)))</f>
        <v/>
      </c>
      <c r="F53" s="113">
        <f>IF($AB53="","",IF(INDEX('_views'!$B:$ZZ,$AB53,5)="","",INDEX('_views'!$B:$ZZ,$AB53,5)))</f>
        <v/>
      </c>
      <c r="G53" s="113">
        <f>IF($AB53="","",IF(INDEX('_views'!$B:$ZZ,$AB53,6)="","",INDEX('_views'!$B:$ZZ,$AB53,6)))</f>
        <v/>
      </c>
      <c r="H53" s="113">
        <f>IF($AB53="","",IF(INDEX('_views'!$B:$ZZ,$AB53,7)="","",INDEX('_views'!$B:$ZZ,$AB53,7)))</f>
        <v/>
      </c>
      <c r="I53" s="113">
        <f>IF($AB53="","",IF(INDEX('_views'!$B:$ZZ,$AB53,8)="","",INDEX('_views'!$B:$ZZ,$AB53,8)))</f>
        <v/>
      </c>
      <c r="AB53">
        <f>IFERROR(MATCH("P|0|"&amp;$B$13&amp;"|2",'_views'!$A:$A,0),"")</f>
        <v/>
      </c>
    </row>
    <row r="54" ht="16" customHeight="1">
      <c r="B54" s="112">
        <f>IF($AB54="","",IF(INDEX('_views'!$B:$ZZ,$AB54,1)="","",INDEX('_views'!$B:$ZZ,$AB54,1)))</f>
        <v/>
      </c>
      <c r="C54" s="112">
        <f>IF($AB54="","",IF(INDEX('_views'!$B:$ZZ,$AB54,2)="","",INDEX('_views'!$B:$ZZ,$AB54,2)))</f>
        <v/>
      </c>
      <c r="D54" s="113">
        <f>IF($AB54="","",IF(INDEX('_views'!$B:$ZZ,$AB54,3)="","",INDEX('_views'!$B:$ZZ,$AB54,3)))</f>
        <v/>
      </c>
      <c r="E54" s="113">
        <f>IF($AB54="","",IF(INDEX('_views'!$B:$ZZ,$AB54,4)="","",INDEX('_views'!$B:$ZZ,$AB54,4)))</f>
        <v/>
      </c>
      <c r="F54" s="113">
        <f>IF($AB54="","",IF(INDEX('_views'!$B:$ZZ,$AB54,5)="","",INDEX('_views'!$B:$ZZ,$AB54,5)))</f>
        <v/>
      </c>
      <c r="G54" s="113">
        <f>IF($AB54="","",IF(INDEX('_views'!$B:$ZZ,$AB54,6)="","",INDEX('_views'!$B:$ZZ,$AB54,6)))</f>
        <v/>
      </c>
      <c r="H54" s="113">
        <f>IF($AB54="","",IF(INDEX('_views'!$B:$ZZ,$AB54,7)="","",INDEX('_views'!$B:$ZZ,$AB54,7)))</f>
        <v/>
      </c>
      <c r="I54" s="113">
        <f>IF($AB54="","",IF(INDEX('_views'!$B:$ZZ,$AB54,8)="","",INDEX('_views'!$B:$ZZ,$AB54,8)))</f>
        <v/>
      </c>
      <c r="AB54">
        <f>IFERROR(MATCH("P|0|"&amp;$B$13&amp;"|3",'_views'!$A:$A,0),"")</f>
        <v/>
      </c>
    </row>
    <row r="55" ht="16" customHeight="1">
      <c r="B55" s="112">
        <f>IF($AB55="","",IF(INDEX('_views'!$B:$ZZ,$AB55,1)="","",INDEX('_views'!$B:$ZZ,$AB55,1)))</f>
        <v/>
      </c>
      <c r="C55" s="112">
        <f>IF($AB55="","",IF(INDEX('_views'!$B:$ZZ,$AB55,2)="","",INDEX('_views'!$B:$ZZ,$AB55,2)))</f>
        <v/>
      </c>
      <c r="D55" s="113">
        <f>IF($AB55="","",IF(INDEX('_views'!$B:$ZZ,$AB55,3)="","",INDEX('_views'!$B:$ZZ,$AB55,3)))</f>
        <v/>
      </c>
      <c r="E55" s="113">
        <f>IF($AB55="","",IF(INDEX('_views'!$B:$ZZ,$AB55,4)="","",INDEX('_views'!$B:$ZZ,$AB55,4)))</f>
        <v/>
      </c>
      <c r="F55" s="113">
        <f>IF($AB55="","",IF(INDEX('_views'!$B:$ZZ,$AB55,5)="","",INDEX('_views'!$B:$ZZ,$AB55,5)))</f>
        <v/>
      </c>
      <c r="G55" s="113">
        <f>IF($AB55="","",IF(INDEX('_views'!$B:$ZZ,$AB55,6)="","",INDEX('_views'!$B:$ZZ,$AB55,6)))</f>
        <v/>
      </c>
      <c r="H55" s="113">
        <f>IF($AB55="","",IF(INDEX('_views'!$B:$ZZ,$AB55,7)="","",INDEX('_views'!$B:$ZZ,$AB55,7)))</f>
        <v/>
      </c>
      <c r="I55" s="113">
        <f>IF($AB55="","",IF(INDEX('_views'!$B:$ZZ,$AB55,8)="","",INDEX('_views'!$B:$ZZ,$AB55,8)))</f>
        <v/>
      </c>
      <c r="AB55">
        <f>IFERROR(MATCH("P|0|"&amp;$B$13&amp;"|4",'_views'!$A:$A,0),"")</f>
        <v/>
      </c>
    </row>
    <row r="56" ht="16" customHeight="1">
      <c r="B56" s="112">
        <f>IF($AB56="","",IF(INDEX('_views'!$B:$ZZ,$AB56,1)="","",INDEX('_views'!$B:$ZZ,$AB56,1)))</f>
        <v/>
      </c>
      <c r="C56" s="112">
        <f>IF($AB56="","",IF(INDEX('_views'!$B:$ZZ,$AB56,2)="","",INDEX('_views'!$B:$ZZ,$AB56,2)))</f>
        <v/>
      </c>
      <c r="D56" s="113">
        <f>IF($AB56="","",IF(INDEX('_views'!$B:$ZZ,$AB56,3)="","",INDEX('_views'!$B:$ZZ,$AB56,3)))</f>
        <v/>
      </c>
      <c r="E56" s="113">
        <f>IF($AB56="","",IF(INDEX('_views'!$B:$ZZ,$AB56,4)="","",INDEX('_views'!$B:$ZZ,$AB56,4)))</f>
        <v/>
      </c>
      <c r="F56" s="113">
        <f>IF($AB56="","",IF(INDEX('_views'!$B:$ZZ,$AB56,5)="","",INDEX('_views'!$B:$ZZ,$AB56,5)))</f>
        <v/>
      </c>
      <c r="G56" s="113">
        <f>IF($AB56="","",IF(INDEX('_views'!$B:$ZZ,$AB56,6)="","",INDEX('_views'!$B:$ZZ,$AB56,6)))</f>
        <v/>
      </c>
      <c r="H56" s="113">
        <f>IF($AB56="","",IF(INDEX('_views'!$B:$ZZ,$AB56,7)="","",INDEX('_views'!$B:$ZZ,$AB56,7)))</f>
        <v/>
      </c>
      <c r="I56" s="113">
        <f>IF($AB56="","",IF(INDEX('_views'!$B:$ZZ,$AB56,8)="","",INDEX('_views'!$B:$ZZ,$AB56,8)))</f>
        <v/>
      </c>
      <c r="AB56">
        <f>IFERROR(MATCH("P|0|"&amp;$B$13&amp;"|5",'_views'!$A:$A,0),"")</f>
        <v/>
      </c>
    </row>
    <row r="57" ht="16" customHeight="1">
      <c r="B57" s="112">
        <f>IF($AB57="","",IF(INDEX('_views'!$B:$ZZ,$AB57,1)="","",INDEX('_views'!$B:$ZZ,$AB57,1)))</f>
        <v/>
      </c>
      <c r="C57" s="112">
        <f>IF($AB57="","",IF(INDEX('_views'!$B:$ZZ,$AB57,2)="","",INDEX('_views'!$B:$ZZ,$AB57,2)))</f>
        <v/>
      </c>
      <c r="D57" s="113">
        <f>IF($AB57="","",IF(INDEX('_views'!$B:$ZZ,$AB57,3)="","",INDEX('_views'!$B:$ZZ,$AB57,3)))</f>
        <v/>
      </c>
      <c r="E57" s="113">
        <f>IF($AB57="","",IF(INDEX('_views'!$B:$ZZ,$AB57,4)="","",INDEX('_views'!$B:$ZZ,$AB57,4)))</f>
        <v/>
      </c>
      <c r="F57" s="113">
        <f>IF($AB57="","",IF(INDEX('_views'!$B:$ZZ,$AB57,5)="","",INDEX('_views'!$B:$ZZ,$AB57,5)))</f>
        <v/>
      </c>
      <c r="G57" s="113">
        <f>IF($AB57="","",IF(INDEX('_views'!$B:$ZZ,$AB57,6)="","",INDEX('_views'!$B:$ZZ,$AB57,6)))</f>
        <v/>
      </c>
      <c r="H57" s="113">
        <f>IF($AB57="","",IF(INDEX('_views'!$B:$ZZ,$AB57,7)="","",INDEX('_views'!$B:$ZZ,$AB57,7)))</f>
        <v/>
      </c>
      <c r="I57" s="113">
        <f>IF($AB57="","",IF(INDEX('_views'!$B:$ZZ,$AB57,8)="","",INDEX('_views'!$B:$ZZ,$AB57,8)))</f>
        <v/>
      </c>
      <c r="AB57">
        <f>IFERROR(MATCH("P|0|"&amp;$B$13&amp;"|6",'_views'!$A:$A,0),"")</f>
        <v/>
      </c>
    </row>
    <row r="58" ht="16" customHeight="1">
      <c r="B58" s="112">
        <f>IF($AB58="","",IF(INDEX('_views'!$B:$ZZ,$AB58,1)="","",INDEX('_views'!$B:$ZZ,$AB58,1)))</f>
        <v/>
      </c>
      <c r="C58" s="112">
        <f>IF($AB58="","",IF(INDEX('_views'!$B:$ZZ,$AB58,2)="","",INDEX('_views'!$B:$ZZ,$AB58,2)))</f>
        <v/>
      </c>
      <c r="D58" s="113">
        <f>IF($AB58="","",IF(INDEX('_views'!$B:$ZZ,$AB58,3)="","",INDEX('_views'!$B:$ZZ,$AB58,3)))</f>
        <v/>
      </c>
      <c r="E58" s="113">
        <f>IF($AB58="","",IF(INDEX('_views'!$B:$ZZ,$AB58,4)="","",INDEX('_views'!$B:$ZZ,$AB58,4)))</f>
        <v/>
      </c>
      <c r="F58" s="113">
        <f>IF($AB58="","",IF(INDEX('_views'!$B:$ZZ,$AB58,5)="","",INDEX('_views'!$B:$ZZ,$AB58,5)))</f>
        <v/>
      </c>
      <c r="G58" s="113">
        <f>IF($AB58="","",IF(INDEX('_views'!$B:$ZZ,$AB58,6)="","",INDEX('_views'!$B:$ZZ,$AB58,6)))</f>
        <v/>
      </c>
      <c r="H58" s="113">
        <f>IF($AB58="","",IF(INDEX('_views'!$B:$ZZ,$AB58,7)="","",INDEX('_views'!$B:$ZZ,$AB58,7)))</f>
        <v/>
      </c>
      <c r="I58" s="113">
        <f>IF($AB58="","",IF(INDEX('_views'!$B:$ZZ,$AB58,8)="","",INDEX('_views'!$B:$ZZ,$AB58,8)))</f>
        <v/>
      </c>
      <c r="AB58">
        <f>IFERROR(MATCH("P|0|"&amp;$B$13&amp;"|7",'_views'!$A:$A,0),"")</f>
        <v/>
      </c>
    </row>
    <row r="59" ht="16" customHeight="1">
      <c r="B59" s="112">
        <f>IF($AB59="","",IF(INDEX('_views'!$B:$ZZ,$AB59,1)="","",INDEX('_views'!$B:$ZZ,$AB59,1)))</f>
        <v/>
      </c>
      <c r="C59" s="112">
        <f>IF($AB59="","",IF(INDEX('_views'!$B:$ZZ,$AB59,2)="","",INDEX('_views'!$B:$ZZ,$AB59,2)))</f>
        <v/>
      </c>
      <c r="D59" s="113">
        <f>IF($AB59="","",IF(INDEX('_views'!$B:$ZZ,$AB59,3)="","",INDEX('_views'!$B:$ZZ,$AB59,3)))</f>
        <v/>
      </c>
      <c r="E59" s="113">
        <f>IF($AB59="","",IF(INDEX('_views'!$B:$ZZ,$AB59,4)="","",INDEX('_views'!$B:$ZZ,$AB59,4)))</f>
        <v/>
      </c>
      <c r="F59" s="113">
        <f>IF($AB59="","",IF(INDEX('_views'!$B:$ZZ,$AB59,5)="","",INDEX('_views'!$B:$ZZ,$AB59,5)))</f>
        <v/>
      </c>
      <c r="G59" s="113">
        <f>IF($AB59="","",IF(INDEX('_views'!$B:$ZZ,$AB59,6)="","",INDEX('_views'!$B:$ZZ,$AB59,6)))</f>
        <v/>
      </c>
      <c r="H59" s="113">
        <f>IF($AB59="","",IF(INDEX('_views'!$B:$ZZ,$AB59,7)="","",INDEX('_views'!$B:$ZZ,$AB59,7)))</f>
        <v/>
      </c>
      <c r="I59" s="113">
        <f>IF($AB59="","",IF(INDEX('_views'!$B:$ZZ,$AB59,8)="","",INDEX('_views'!$B:$ZZ,$AB59,8)))</f>
        <v/>
      </c>
      <c r="AB59">
        <f>IFERROR(MATCH("P|0|"&amp;$B$13&amp;"|8",'_views'!$A:$A,0),"")</f>
        <v/>
      </c>
    </row>
    <row r="60" ht="16" customHeight="1">
      <c r="B60" s="112">
        <f>IF($AB60="","",IF(INDEX('_views'!$B:$ZZ,$AB60,1)="","",INDEX('_views'!$B:$ZZ,$AB60,1)))</f>
        <v/>
      </c>
      <c r="C60" s="112">
        <f>IF($AB60="","",IF(INDEX('_views'!$B:$ZZ,$AB60,2)="","",INDEX('_views'!$B:$ZZ,$AB60,2)))</f>
        <v/>
      </c>
      <c r="D60" s="113">
        <f>IF($AB60="","",IF(INDEX('_views'!$B:$ZZ,$AB60,3)="","",INDEX('_views'!$B:$ZZ,$AB60,3)))</f>
        <v/>
      </c>
      <c r="E60" s="113">
        <f>IF($AB60="","",IF(INDEX('_views'!$B:$ZZ,$AB60,4)="","",INDEX('_views'!$B:$ZZ,$AB60,4)))</f>
        <v/>
      </c>
      <c r="F60" s="113">
        <f>IF($AB60="","",IF(INDEX('_views'!$B:$ZZ,$AB60,5)="","",INDEX('_views'!$B:$ZZ,$AB60,5)))</f>
        <v/>
      </c>
      <c r="G60" s="113">
        <f>IF($AB60="","",IF(INDEX('_views'!$B:$ZZ,$AB60,6)="","",INDEX('_views'!$B:$ZZ,$AB60,6)))</f>
        <v/>
      </c>
      <c r="H60" s="113">
        <f>IF($AB60="","",IF(INDEX('_views'!$B:$ZZ,$AB60,7)="","",INDEX('_views'!$B:$ZZ,$AB60,7)))</f>
        <v/>
      </c>
      <c r="I60" s="113">
        <f>IF($AB60="","",IF(INDEX('_views'!$B:$ZZ,$AB60,8)="","",INDEX('_views'!$B:$ZZ,$AB60,8)))</f>
        <v/>
      </c>
      <c r="AB60">
        <f>IFERROR(MATCH("P|0|"&amp;$B$13&amp;"|9",'_views'!$A:$A,0),"")</f>
        <v/>
      </c>
    </row>
    <row r="61" ht="16" customHeight="1">
      <c r="B61" s="112">
        <f>IF($AB61="","",IF(INDEX('_views'!$B:$ZZ,$AB61,1)="","",INDEX('_views'!$B:$ZZ,$AB61,1)))</f>
        <v/>
      </c>
      <c r="C61" s="112">
        <f>IF($AB61="","",IF(INDEX('_views'!$B:$ZZ,$AB61,2)="","",INDEX('_views'!$B:$ZZ,$AB61,2)))</f>
        <v/>
      </c>
      <c r="D61" s="113">
        <f>IF($AB61="","",IF(INDEX('_views'!$B:$ZZ,$AB61,3)="","",INDEX('_views'!$B:$ZZ,$AB61,3)))</f>
        <v/>
      </c>
      <c r="E61" s="113">
        <f>IF($AB61="","",IF(INDEX('_views'!$B:$ZZ,$AB61,4)="","",INDEX('_views'!$B:$ZZ,$AB61,4)))</f>
        <v/>
      </c>
      <c r="F61" s="113">
        <f>IF($AB61="","",IF(INDEX('_views'!$B:$ZZ,$AB61,5)="","",INDEX('_views'!$B:$ZZ,$AB61,5)))</f>
        <v/>
      </c>
      <c r="G61" s="113">
        <f>IF($AB61="","",IF(INDEX('_views'!$B:$ZZ,$AB61,6)="","",INDEX('_views'!$B:$ZZ,$AB61,6)))</f>
        <v/>
      </c>
      <c r="H61" s="113">
        <f>IF($AB61="","",IF(INDEX('_views'!$B:$ZZ,$AB61,7)="","",INDEX('_views'!$B:$ZZ,$AB61,7)))</f>
        <v/>
      </c>
      <c r="I61" s="113">
        <f>IF($AB61="","",IF(INDEX('_views'!$B:$ZZ,$AB61,8)="","",INDEX('_views'!$B:$ZZ,$AB61,8)))</f>
        <v/>
      </c>
      <c r="AB61">
        <f>IFERROR(MATCH("P|0|"&amp;$B$13&amp;"|10",'_views'!$A:$A,0),"")</f>
        <v/>
      </c>
    </row>
    <row r="62" ht="16" customHeight="1">
      <c r="B62" s="112">
        <f>IF($AB62="","",IF(INDEX('_views'!$B:$ZZ,$AB62,1)="","",INDEX('_views'!$B:$ZZ,$AB62,1)))</f>
        <v/>
      </c>
      <c r="C62" s="112">
        <f>IF($AB62="","",IF(INDEX('_views'!$B:$ZZ,$AB62,2)="","",INDEX('_views'!$B:$ZZ,$AB62,2)))</f>
        <v/>
      </c>
      <c r="D62" s="113">
        <f>IF($AB62="","",IF(INDEX('_views'!$B:$ZZ,$AB62,3)="","",INDEX('_views'!$B:$ZZ,$AB62,3)))</f>
        <v/>
      </c>
      <c r="E62" s="113">
        <f>IF($AB62="","",IF(INDEX('_views'!$B:$ZZ,$AB62,4)="","",INDEX('_views'!$B:$ZZ,$AB62,4)))</f>
        <v/>
      </c>
      <c r="F62" s="113">
        <f>IF($AB62="","",IF(INDEX('_views'!$B:$ZZ,$AB62,5)="","",INDEX('_views'!$B:$ZZ,$AB62,5)))</f>
        <v/>
      </c>
      <c r="G62" s="113">
        <f>IF($AB62="","",IF(INDEX('_views'!$B:$ZZ,$AB62,6)="","",INDEX('_views'!$B:$ZZ,$AB62,6)))</f>
        <v/>
      </c>
      <c r="H62" s="113">
        <f>IF($AB62="","",IF(INDEX('_views'!$B:$ZZ,$AB62,7)="","",INDEX('_views'!$B:$ZZ,$AB62,7)))</f>
        <v/>
      </c>
      <c r="I62" s="113">
        <f>IF($AB62="","",IF(INDEX('_views'!$B:$ZZ,$AB62,8)="","",INDEX('_views'!$B:$ZZ,$AB62,8)))</f>
        <v/>
      </c>
      <c r="AB62">
        <f>IFERROR(MATCH("P|0|"&amp;$B$13&amp;"|11",'_views'!$A:$A,0),"")</f>
        <v/>
      </c>
    </row>
    <row r="63" ht="16" customHeight="1">
      <c r="B63" s="112">
        <f>IF($AB63="","",IF(INDEX('_views'!$B:$ZZ,$AB63,1)="","",INDEX('_views'!$B:$ZZ,$AB63,1)))</f>
        <v/>
      </c>
      <c r="C63" s="112">
        <f>IF($AB63="","",IF(INDEX('_views'!$B:$ZZ,$AB63,2)="","",INDEX('_views'!$B:$ZZ,$AB63,2)))</f>
        <v/>
      </c>
      <c r="D63" s="113">
        <f>IF($AB63="","",IF(INDEX('_views'!$B:$ZZ,$AB63,3)="","",INDEX('_views'!$B:$ZZ,$AB63,3)))</f>
        <v/>
      </c>
      <c r="E63" s="113">
        <f>IF($AB63="","",IF(INDEX('_views'!$B:$ZZ,$AB63,4)="","",INDEX('_views'!$B:$ZZ,$AB63,4)))</f>
        <v/>
      </c>
      <c r="F63" s="113">
        <f>IF($AB63="","",IF(INDEX('_views'!$B:$ZZ,$AB63,5)="","",INDEX('_views'!$B:$ZZ,$AB63,5)))</f>
        <v/>
      </c>
      <c r="G63" s="113">
        <f>IF($AB63="","",IF(INDEX('_views'!$B:$ZZ,$AB63,6)="","",INDEX('_views'!$B:$ZZ,$AB63,6)))</f>
        <v/>
      </c>
      <c r="H63" s="113">
        <f>IF($AB63="","",IF(INDEX('_views'!$B:$ZZ,$AB63,7)="","",INDEX('_views'!$B:$ZZ,$AB63,7)))</f>
        <v/>
      </c>
      <c r="I63" s="113">
        <f>IF($AB63="","",IF(INDEX('_views'!$B:$ZZ,$AB63,8)="","",INDEX('_views'!$B:$ZZ,$AB63,8)))</f>
        <v/>
      </c>
      <c r="AB63">
        <f>IFERROR(MATCH("P|0|"&amp;$B$13&amp;"|12",'_views'!$A:$A,0),"")</f>
        <v/>
      </c>
    </row>
    <row r="64" ht="16" customHeight="1">
      <c r="B64" s="112">
        <f>IF($AB64="","",IF(INDEX('_views'!$B:$ZZ,$AB64,1)="","",INDEX('_views'!$B:$ZZ,$AB64,1)))</f>
        <v/>
      </c>
      <c r="C64" s="112">
        <f>IF($AB64="","",IF(INDEX('_views'!$B:$ZZ,$AB64,2)="","",INDEX('_views'!$B:$ZZ,$AB64,2)))</f>
        <v/>
      </c>
      <c r="D64" s="113">
        <f>IF($AB64="","",IF(INDEX('_views'!$B:$ZZ,$AB64,3)="","",INDEX('_views'!$B:$ZZ,$AB64,3)))</f>
        <v/>
      </c>
      <c r="E64" s="113">
        <f>IF($AB64="","",IF(INDEX('_views'!$B:$ZZ,$AB64,4)="","",INDEX('_views'!$B:$ZZ,$AB64,4)))</f>
        <v/>
      </c>
      <c r="F64" s="113">
        <f>IF($AB64="","",IF(INDEX('_views'!$B:$ZZ,$AB64,5)="","",INDEX('_views'!$B:$ZZ,$AB64,5)))</f>
        <v/>
      </c>
      <c r="G64" s="113">
        <f>IF($AB64="","",IF(INDEX('_views'!$B:$ZZ,$AB64,6)="","",INDEX('_views'!$B:$ZZ,$AB64,6)))</f>
        <v/>
      </c>
      <c r="H64" s="113">
        <f>IF($AB64="","",IF(INDEX('_views'!$B:$ZZ,$AB64,7)="","",INDEX('_views'!$B:$ZZ,$AB64,7)))</f>
        <v/>
      </c>
      <c r="I64" s="113">
        <f>IF($AB64="","",IF(INDEX('_views'!$B:$ZZ,$AB64,8)="","",INDEX('_views'!$B:$ZZ,$AB64,8)))</f>
        <v/>
      </c>
      <c r="AB64">
        <f>IFERROR(MATCH("P|0|"&amp;$B$13&amp;"|13",'_views'!$A:$A,0),"")</f>
        <v/>
      </c>
    </row>
    <row r="65" ht="16" customHeight="1">
      <c r="B65" s="112">
        <f>IF($AB65="","",IF(INDEX('_views'!$B:$ZZ,$AB65,1)="","",INDEX('_views'!$B:$ZZ,$AB65,1)))</f>
        <v/>
      </c>
      <c r="C65" s="112">
        <f>IF($AB65="","",IF(INDEX('_views'!$B:$ZZ,$AB65,2)="","",INDEX('_views'!$B:$ZZ,$AB65,2)))</f>
        <v/>
      </c>
      <c r="D65" s="113">
        <f>IF($AB65="","",IF(INDEX('_views'!$B:$ZZ,$AB65,3)="","",INDEX('_views'!$B:$ZZ,$AB65,3)))</f>
        <v/>
      </c>
      <c r="E65" s="113">
        <f>IF($AB65="","",IF(INDEX('_views'!$B:$ZZ,$AB65,4)="","",INDEX('_views'!$B:$ZZ,$AB65,4)))</f>
        <v/>
      </c>
      <c r="F65" s="113">
        <f>IF($AB65="","",IF(INDEX('_views'!$B:$ZZ,$AB65,5)="","",INDEX('_views'!$B:$ZZ,$AB65,5)))</f>
        <v/>
      </c>
      <c r="G65" s="113">
        <f>IF($AB65="","",IF(INDEX('_views'!$B:$ZZ,$AB65,6)="","",INDEX('_views'!$B:$ZZ,$AB65,6)))</f>
        <v/>
      </c>
      <c r="H65" s="113">
        <f>IF($AB65="","",IF(INDEX('_views'!$B:$ZZ,$AB65,7)="","",INDEX('_views'!$B:$ZZ,$AB65,7)))</f>
        <v/>
      </c>
      <c r="I65" s="113">
        <f>IF($AB65="","",IF(INDEX('_views'!$B:$ZZ,$AB65,8)="","",INDEX('_views'!$B:$ZZ,$AB65,8)))</f>
        <v/>
      </c>
      <c r="AB65">
        <f>IFERROR(MATCH("P|0|"&amp;$B$13&amp;"|14",'_views'!$A:$A,0),"")</f>
        <v/>
      </c>
    </row>
    <row r="66" ht="16" customHeight="1">
      <c r="B66" s="112">
        <f>IF($AB66="","",IF(INDEX('_views'!$B:$ZZ,$AB66,1)="","",INDEX('_views'!$B:$ZZ,$AB66,1)))</f>
        <v/>
      </c>
      <c r="C66" s="112">
        <f>IF($AB66="","",IF(INDEX('_views'!$B:$ZZ,$AB66,2)="","",INDEX('_views'!$B:$ZZ,$AB66,2)))</f>
        <v/>
      </c>
      <c r="D66" s="113">
        <f>IF($AB66="","",IF(INDEX('_views'!$B:$ZZ,$AB66,3)="","",INDEX('_views'!$B:$ZZ,$AB66,3)))</f>
        <v/>
      </c>
      <c r="E66" s="113">
        <f>IF($AB66="","",IF(INDEX('_views'!$B:$ZZ,$AB66,4)="","",INDEX('_views'!$B:$ZZ,$AB66,4)))</f>
        <v/>
      </c>
      <c r="F66" s="113">
        <f>IF($AB66="","",IF(INDEX('_views'!$B:$ZZ,$AB66,5)="","",INDEX('_views'!$B:$ZZ,$AB66,5)))</f>
        <v/>
      </c>
      <c r="G66" s="113">
        <f>IF($AB66="","",IF(INDEX('_views'!$B:$ZZ,$AB66,6)="","",INDEX('_views'!$B:$ZZ,$AB66,6)))</f>
        <v/>
      </c>
      <c r="H66" s="113">
        <f>IF($AB66="","",IF(INDEX('_views'!$B:$ZZ,$AB66,7)="","",INDEX('_views'!$B:$ZZ,$AB66,7)))</f>
        <v/>
      </c>
      <c r="I66" s="113">
        <f>IF($AB66="","",IF(INDEX('_views'!$B:$ZZ,$AB66,8)="","",INDEX('_views'!$B:$ZZ,$AB66,8)))</f>
        <v/>
      </c>
      <c r="AB66">
        <f>IFERROR(MATCH("P|0|"&amp;$B$13&amp;"|15",'_views'!$A:$A,0),"")</f>
        <v/>
      </c>
    </row>
    <row r="67" ht="16" customHeight="1">
      <c r="B67" s="112">
        <f>IF($AB67="","",IF(INDEX('_views'!$B:$ZZ,$AB67,1)="","",INDEX('_views'!$B:$ZZ,$AB67,1)))</f>
        <v/>
      </c>
      <c r="C67" s="112">
        <f>IF($AB67="","",IF(INDEX('_views'!$B:$ZZ,$AB67,2)="","",INDEX('_views'!$B:$ZZ,$AB67,2)))</f>
        <v/>
      </c>
      <c r="D67" s="113">
        <f>IF($AB67="","",IF(INDEX('_views'!$B:$ZZ,$AB67,3)="","",INDEX('_views'!$B:$ZZ,$AB67,3)))</f>
        <v/>
      </c>
      <c r="E67" s="113">
        <f>IF($AB67="","",IF(INDEX('_views'!$B:$ZZ,$AB67,4)="","",INDEX('_views'!$B:$ZZ,$AB67,4)))</f>
        <v/>
      </c>
      <c r="F67" s="113">
        <f>IF($AB67="","",IF(INDEX('_views'!$B:$ZZ,$AB67,5)="","",INDEX('_views'!$B:$ZZ,$AB67,5)))</f>
        <v/>
      </c>
      <c r="G67" s="113">
        <f>IF($AB67="","",IF(INDEX('_views'!$B:$ZZ,$AB67,6)="","",INDEX('_views'!$B:$ZZ,$AB67,6)))</f>
        <v/>
      </c>
      <c r="H67" s="113">
        <f>IF($AB67="","",IF(INDEX('_views'!$B:$ZZ,$AB67,7)="","",INDEX('_views'!$B:$ZZ,$AB67,7)))</f>
        <v/>
      </c>
      <c r="I67" s="113">
        <f>IF($AB67="","",IF(INDEX('_views'!$B:$ZZ,$AB67,8)="","",INDEX('_views'!$B:$ZZ,$AB67,8)))</f>
        <v/>
      </c>
      <c r="AB67">
        <f>IFERROR(MATCH("P|0|"&amp;$B$13&amp;"|16",'_views'!$A:$A,0),"")</f>
        <v/>
      </c>
    </row>
    <row r="68" ht="16" customHeight="1">
      <c r="B68" s="112">
        <f>IF($AB68="","",IF(INDEX('_views'!$B:$ZZ,$AB68,1)="","",INDEX('_views'!$B:$ZZ,$AB68,1)))</f>
        <v/>
      </c>
      <c r="C68" s="112">
        <f>IF($AB68="","",IF(INDEX('_views'!$B:$ZZ,$AB68,2)="","",INDEX('_views'!$B:$ZZ,$AB68,2)))</f>
        <v/>
      </c>
      <c r="D68" s="113">
        <f>IF($AB68="","",IF(INDEX('_views'!$B:$ZZ,$AB68,3)="","",INDEX('_views'!$B:$ZZ,$AB68,3)))</f>
        <v/>
      </c>
      <c r="E68" s="113">
        <f>IF($AB68="","",IF(INDEX('_views'!$B:$ZZ,$AB68,4)="","",INDEX('_views'!$B:$ZZ,$AB68,4)))</f>
        <v/>
      </c>
      <c r="F68" s="113">
        <f>IF($AB68="","",IF(INDEX('_views'!$B:$ZZ,$AB68,5)="","",INDEX('_views'!$B:$ZZ,$AB68,5)))</f>
        <v/>
      </c>
      <c r="G68" s="113">
        <f>IF($AB68="","",IF(INDEX('_views'!$B:$ZZ,$AB68,6)="","",INDEX('_views'!$B:$ZZ,$AB68,6)))</f>
        <v/>
      </c>
      <c r="H68" s="113">
        <f>IF($AB68="","",IF(INDEX('_views'!$B:$ZZ,$AB68,7)="","",INDEX('_views'!$B:$ZZ,$AB68,7)))</f>
        <v/>
      </c>
      <c r="I68" s="113">
        <f>IF($AB68="","",IF(INDEX('_views'!$B:$ZZ,$AB68,8)="","",INDEX('_views'!$B:$ZZ,$AB68,8)))</f>
        <v/>
      </c>
      <c r="AB68">
        <f>IFERROR(MATCH("P|0|"&amp;$B$13&amp;"|17",'_views'!$A:$A,0),"")</f>
        <v/>
      </c>
    </row>
    <row r="69" ht="16" customHeight="1">
      <c r="B69" s="112">
        <f>IF($AB69="","",IF(INDEX('_views'!$B:$ZZ,$AB69,1)="","",INDEX('_views'!$B:$ZZ,$AB69,1)))</f>
        <v/>
      </c>
      <c r="C69" s="112">
        <f>IF($AB69="","",IF(INDEX('_views'!$B:$ZZ,$AB69,2)="","",INDEX('_views'!$B:$ZZ,$AB69,2)))</f>
        <v/>
      </c>
      <c r="D69" s="113">
        <f>IF($AB69="","",IF(INDEX('_views'!$B:$ZZ,$AB69,3)="","",INDEX('_views'!$B:$ZZ,$AB69,3)))</f>
        <v/>
      </c>
      <c r="E69" s="113">
        <f>IF($AB69="","",IF(INDEX('_views'!$B:$ZZ,$AB69,4)="","",INDEX('_views'!$B:$ZZ,$AB69,4)))</f>
        <v/>
      </c>
      <c r="F69" s="113">
        <f>IF($AB69="","",IF(INDEX('_views'!$B:$ZZ,$AB69,5)="","",INDEX('_views'!$B:$ZZ,$AB69,5)))</f>
        <v/>
      </c>
      <c r="G69" s="113">
        <f>IF($AB69="","",IF(INDEX('_views'!$B:$ZZ,$AB69,6)="","",INDEX('_views'!$B:$ZZ,$AB69,6)))</f>
        <v/>
      </c>
      <c r="H69" s="113">
        <f>IF($AB69="","",IF(INDEX('_views'!$B:$ZZ,$AB69,7)="","",INDEX('_views'!$B:$ZZ,$AB69,7)))</f>
        <v/>
      </c>
      <c r="I69" s="113">
        <f>IF($AB69="","",IF(INDEX('_views'!$B:$ZZ,$AB69,8)="","",INDEX('_views'!$B:$ZZ,$AB69,8)))</f>
        <v/>
      </c>
      <c r="AB69">
        <f>IFERROR(MATCH("P|0|"&amp;$B$13&amp;"|18",'_views'!$A:$A,0),"")</f>
        <v/>
      </c>
    </row>
    <row r="70" ht="16" customHeight="1">
      <c r="B70" s="112">
        <f>IF($AB70="","",IF(INDEX('_views'!$B:$ZZ,$AB70,1)="","",INDEX('_views'!$B:$ZZ,$AB70,1)))</f>
        <v/>
      </c>
      <c r="C70" s="112">
        <f>IF($AB70="","",IF(INDEX('_views'!$B:$ZZ,$AB70,2)="","",INDEX('_views'!$B:$ZZ,$AB70,2)))</f>
        <v/>
      </c>
      <c r="D70" s="113">
        <f>IF($AB70="","",IF(INDEX('_views'!$B:$ZZ,$AB70,3)="","",INDEX('_views'!$B:$ZZ,$AB70,3)))</f>
        <v/>
      </c>
      <c r="E70" s="113">
        <f>IF($AB70="","",IF(INDEX('_views'!$B:$ZZ,$AB70,4)="","",INDEX('_views'!$B:$ZZ,$AB70,4)))</f>
        <v/>
      </c>
      <c r="F70" s="113">
        <f>IF($AB70="","",IF(INDEX('_views'!$B:$ZZ,$AB70,5)="","",INDEX('_views'!$B:$ZZ,$AB70,5)))</f>
        <v/>
      </c>
      <c r="G70" s="113">
        <f>IF($AB70="","",IF(INDEX('_views'!$B:$ZZ,$AB70,6)="","",INDEX('_views'!$B:$ZZ,$AB70,6)))</f>
        <v/>
      </c>
      <c r="H70" s="113">
        <f>IF($AB70="","",IF(INDEX('_views'!$B:$ZZ,$AB70,7)="","",INDEX('_views'!$B:$ZZ,$AB70,7)))</f>
        <v/>
      </c>
      <c r="I70" s="113">
        <f>IF($AB70="","",IF(INDEX('_views'!$B:$ZZ,$AB70,8)="","",INDEX('_views'!$B:$ZZ,$AB70,8)))</f>
        <v/>
      </c>
      <c r="AB70">
        <f>IFERROR(MATCH("P|0|"&amp;$B$13&amp;"|19",'_views'!$A:$A,0),"")</f>
        <v/>
      </c>
    </row>
    <row r="71" ht="16" customHeight="1">
      <c r="B71" s="112">
        <f>IF($AB71="","",IF(INDEX('_views'!$B:$ZZ,$AB71,1)="","",INDEX('_views'!$B:$ZZ,$AB71,1)))</f>
        <v/>
      </c>
      <c r="C71" s="112">
        <f>IF($AB71="","",IF(INDEX('_views'!$B:$ZZ,$AB71,2)="","",INDEX('_views'!$B:$ZZ,$AB71,2)))</f>
        <v/>
      </c>
      <c r="D71" s="113">
        <f>IF($AB71="","",IF(INDEX('_views'!$B:$ZZ,$AB71,3)="","",INDEX('_views'!$B:$ZZ,$AB71,3)))</f>
        <v/>
      </c>
      <c r="E71" s="113">
        <f>IF($AB71="","",IF(INDEX('_views'!$B:$ZZ,$AB71,4)="","",INDEX('_views'!$B:$ZZ,$AB71,4)))</f>
        <v/>
      </c>
      <c r="F71" s="113">
        <f>IF($AB71="","",IF(INDEX('_views'!$B:$ZZ,$AB71,5)="","",INDEX('_views'!$B:$ZZ,$AB71,5)))</f>
        <v/>
      </c>
      <c r="G71" s="113">
        <f>IF($AB71="","",IF(INDEX('_views'!$B:$ZZ,$AB71,6)="","",INDEX('_views'!$B:$ZZ,$AB71,6)))</f>
        <v/>
      </c>
      <c r="H71" s="113">
        <f>IF($AB71="","",IF(INDEX('_views'!$B:$ZZ,$AB71,7)="","",INDEX('_views'!$B:$ZZ,$AB71,7)))</f>
        <v/>
      </c>
      <c r="I71" s="113">
        <f>IF($AB71="","",IF(INDEX('_views'!$B:$ZZ,$AB71,8)="","",INDEX('_views'!$B:$ZZ,$AB71,8)))</f>
        <v/>
      </c>
      <c r="AB71">
        <f>IFERROR(MATCH("P|0|"&amp;$B$13&amp;"|20",'_views'!$A:$A,0),"")</f>
        <v/>
      </c>
    </row>
    <row r="72" ht="16" customHeight="1">
      <c r="B72" s="112">
        <f>IF($AB72="","",IF(INDEX('_views'!$B:$ZZ,$AB72,1)="","",INDEX('_views'!$B:$ZZ,$AB72,1)))</f>
        <v/>
      </c>
      <c r="C72" s="112">
        <f>IF($AB72="","",IF(INDEX('_views'!$B:$ZZ,$AB72,2)="","",INDEX('_views'!$B:$ZZ,$AB72,2)))</f>
        <v/>
      </c>
      <c r="D72" s="113">
        <f>IF($AB72="","",IF(INDEX('_views'!$B:$ZZ,$AB72,3)="","",INDEX('_views'!$B:$ZZ,$AB72,3)))</f>
        <v/>
      </c>
      <c r="E72" s="113">
        <f>IF($AB72="","",IF(INDEX('_views'!$B:$ZZ,$AB72,4)="","",INDEX('_views'!$B:$ZZ,$AB72,4)))</f>
        <v/>
      </c>
      <c r="F72" s="113">
        <f>IF($AB72="","",IF(INDEX('_views'!$B:$ZZ,$AB72,5)="","",INDEX('_views'!$B:$ZZ,$AB72,5)))</f>
        <v/>
      </c>
      <c r="G72" s="113">
        <f>IF($AB72="","",IF(INDEX('_views'!$B:$ZZ,$AB72,6)="","",INDEX('_views'!$B:$ZZ,$AB72,6)))</f>
        <v/>
      </c>
      <c r="H72" s="113">
        <f>IF($AB72="","",IF(INDEX('_views'!$B:$ZZ,$AB72,7)="","",INDEX('_views'!$B:$ZZ,$AB72,7)))</f>
        <v/>
      </c>
      <c r="I72" s="113">
        <f>IF($AB72="","",IF(INDEX('_views'!$B:$ZZ,$AB72,8)="","",INDEX('_views'!$B:$ZZ,$AB72,8)))</f>
        <v/>
      </c>
      <c r="AB72">
        <f>IFERROR(MATCH("P|0|"&amp;$B$13&amp;"|21",'_views'!$A:$A,0),"")</f>
        <v/>
      </c>
    </row>
    <row r="73" ht="16" customHeight="1">
      <c r="B73" s="112">
        <f>IF($AB73="","",IF(INDEX('_views'!$B:$ZZ,$AB73,1)="","",INDEX('_views'!$B:$ZZ,$AB73,1)))</f>
        <v/>
      </c>
      <c r="C73" s="112">
        <f>IF($AB73="","",IF(INDEX('_views'!$B:$ZZ,$AB73,2)="","",INDEX('_views'!$B:$ZZ,$AB73,2)))</f>
        <v/>
      </c>
      <c r="D73" s="113">
        <f>IF($AB73="","",IF(INDEX('_views'!$B:$ZZ,$AB73,3)="","",INDEX('_views'!$B:$ZZ,$AB73,3)))</f>
        <v/>
      </c>
      <c r="E73" s="113">
        <f>IF($AB73="","",IF(INDEX('_views'!$B:$ZZ,$AB73,4)="","",INDEX('_views'!$B:$ZZ,$AB73,4)))</f>
        <v/>
      </c>
      <c r="F73" s="113">
        <f>IF($AB73="","",IF(INDEX('_views'!$B:$ZZ,$AB73,5)="","",INDEX('_views'!$B:$ZZ,$AB73,5)))</f>
        <v/>
      </c>
      <c r="G73" s="113">
        <f>IF($AB73="","",IF(INDEX('_views'!$B:$ZZ,$AB73,6)="","",INDEX('_views'!$B:$ZZ,$AB73,6)))</f>
        <v/>
      </c>
      <c r="H73" s="113">
        <f>IF($AB73="","",IF(INDEX('_views'!$B:$ZZ,$AB73,7)="","",INDEX('_views'!$B:$ZZ,$AB73,7)))</f>
        <v/>
      </c>
      <c r="I73" s="113">
        <f>IF($AB73="","",IF(INDEX('_views'!$B:$ZZ,$AB73,8)="","",INDEX('_views'!$B:$ZZ,$AB73,8)))</f>
        <v/>
      </c>
      <c r="AB73">
        <f>IFERROR(MATCH("P|0|"&amp;$B$13&amp;"|22",'_views'!$A:$A,0),"")</f>
        <v/>
      </c>
    </row>
    <row r="74" ht="16" customHeight="1">
      <c r="B74" s="112">
        <f>IF($AB74="","",IF(INDEX('_views'!$B:$ZZ,$AB74,1)="","",INDEX('_views'!$B:$ZZ,$AB74,1)))</f>
        <v/>
      </c>
      <c r="C74" s="112">
        <f>IF($AB74="","",IF(INDEX('_views'!$B:$ZZ,$AB74,2)="","",INDEX('_views'!$B:$ZZ,$AB74,2)))</f>
        <v/>
      </c>
      <c r="D74" s="113">
        <f>IF($AB74="","",IF(INDEX('_views'!$B:$ZZ,$AB74,3)="","",INDEX('_views'!$B:$ZZ,$AB74,3)))</f>
        <v/>
      </c>
      <c r="E74" s="113">
        <f>IF($AB74="","",IF(INDEX('_views'!$B:$ZZ,$AB74,4)="","",INDEX('_views'!$B:$ZZ,$AB74,4)))</f>
        <v/>
      </c>
      <c r="F74" s="113">
        <f>IF($AB74="","",IF(INDEX('_views'!$B:$ZZ,$AB74,5)="","",INDEX('_views'!$B:$ZZ,$AB74,5)))</f>
        <v/>
      </c>
      <c r="G74" s="113">
        <f>IF($AB74="","",IF(INDEX('_views'!$B:$ZZ,$AB74,6)="","",INDEX('_views'!$B:$ZZ,$AB74,6)))</f>
        <v/>
      </c>
      <c r="H74" s="113">
        <f>IF($AB74="","",IF(INDEX('_views'!$B:$ZZ,$AB74,7)="","",INDEX('_views'!$B:$ZZ,$AB74,7)))</f>
        <v/>
      </c>
      <c r="I74" s="113">
        <f>IF($AB74="","",IF(INDEX('_views'!$B:$ZZ,$AB74,8)="","",INDEX('_views'!$B:$ZZ,$AB74,8)))</f>
        <v/>
      </c>
      <c r="AB74">
        <f>IFERROR(MATCH("P|0|"&amp;$B$13&amp;"|23",'_views'!$A:$A,0),"")</f>
        <v/>
      </c>
    </row>
    <row r="75" ht="16" customHeight="1">
      <c r="B75" s="112">
        <f>IF($AB75="","",IF(INDEX('_views'!$B:$ZZ,$AB75,1)="","",INDEX('_views'!$B:$ZZ,$AB75,1)))</f>
        <v/>
      </c>
      <c r="C75" s="112">
        <f>IF($AB75="","",IF(INDEX('_views'!$B:$ZZ,$AB75,2)="","",INDEX('_views'!$B:$ZZ,$AB75,2)))</f>
        <v/>
      </c>
      <c r="D75" s="113">
        <f>IF($AB75="","",IF(INDEX('_views'!$B:$ZZ,$AB75,3)="","",INDEX('_views'!$B:$ZZ,$AB75,3)))</f>
        <v/>
      </c>
      <c r="E75" s="113">
        <f>IF($AB75="","",IF(INDEX('_views'!$B:$ZZ,$AB75,4)="","",INDEX('_views'!$B:$ZZ,$AB75,4)))</f>
        <v/>
      </c>
      <c r="F75" s="113">
        <f>IF($AB75="","",IF(INDEX('_views'!$B:$ZZ,$AB75,5)="","",INDEX('_views'!$B:$ZZ,$AB75,5)))</f>
        <v/>
      </c>
      <c r="G75" s="113">
        <f>IF($AB75="","",IF(INDEX('_views'!$B:$ZZ,$AB75,6)="","",INDEX('_views'!$B:$ZZ,$AB75,6)))</f>
        <v/>
      </c>
      <c r="H75" s="113">
        <f>IF($AB75="","",IF(INDEX('_views'!$B:$ZZ,$AB75,7)="","",INDEX('_views'!$B:$ZZ,$AB75,7)))</f>
        <v/>
      </c>
      <c r="I75" s="113">
        <f>IF($AB75="","",IF(INDEX('_views'!$B:$ZZ,$AB75,8)="","",INDEX('_views'!$B:$ZZ,$AB75,8)))</f>
        <v/>
      </c>
      <c r="AB75">
        <f>IFERROR(MATCH("P|0|"&amp;$B$13&amp;"|24",'_views'!$A:$A,0),"")</f>
        <v/>
      </c>
    </row>
    <row r="76" ht="16" customHeight="1">
      <c r="B76" s="112">
        <f>IF($AB76="","",IF(INDEX('_views'!$B:$ZZ,$AB76,1)="","",INDEX('_views'!$B:$ZZ,$AB76,1)))</f>
        <v/>
      </c>
      <c r="C76" s="112">
        <f>IF($AB76="","",IF(INDEX('_views'!$B:$ZZ,$AB76,2)="","",INDEX('_views'!$B:$ZZ,$AB76,2)))</f>
        <v/>
      </c>
      <c r="D76" s="113">
        <f>IF($AB76="","",IF(INDEX('_views'!$B:$ZZ,$AB76,3)="","",INDEX('_views'!$B:$ZZ,$AB76,3)))</f>
        <v/>
      </c>
      <c r="E76" s="113">
        <f>IF($AB76="","",IF(INDEX('_views'!$B:$ZZ,$AB76,4)="","",INDEX('_views'!$B:$ZZ,$AB76,4)))</f>
        <v/>
      </c>
      <c r="F76" s="113">
        <f>IF($AB76="","",IF(INDEX('_views'!$B:$ZZ,$AB76,5)="","",INDEX('_views'!$B:$ZZ,$AB76,5)))</f>
        <v/>
      </c>
      <c r="G76" s="113">
        <f>IF($AB76="","",IF(INDEX('_views'!$B:$ZZ,$AB76,6)="","",INDEX('_views'!$B:$ZZ,$AB76,6)))</f>
        <v/>
      </c>
      <c r="H76" s="113">
        <f>IF($AB76="","",IF(INDEX('_views'!$B:$ZZ,$AB76,7)="","",INDEX('_views'!$B:$ZZ,$AB76,7)))</f>
        <v/>
      </c>
      <c r="I76" s="113">
        <f>IF($AB76="","",IF(INDEX('_views'!$B:$ZZ,$AB76,8)="","",INDEX('_views'!$B:$ZZ,$AB76,8)))</f>
        <v/>
      </c>
      <c r="AB76">
        <f>IFERROR(MATCH("P|0|"&amp;$B$13&amp;"|25",'_views'!$A:$A,0),"")</f>
        <v/>
      </c>
    </row>
    <row r="77" ht="16" customHeight="1">
      <c r="B77" s="112">
        <f>IF($AB77="","",IF(INDEX('_views'!$B:$ZZ,$AB77,1)="","",INDEX('_views'!$B:$ZZ,$AB77,1)))</f>
        <v/>
      </c>
      <c r="C77" s="112">
        <f>IF($AB77="","",IF(INDEX('_views'!$B:$ZZ,$AB77,2)="","",INDEX('_views'!$B:$ZZ,$AB77,2)))</f>
        <v/>
      </c>
      <c r="D77" s="113">
        <f>IF($AB77="","",IF(INDEX('_views'!$B:$ZZ,$AB77,3)="","",INDEX('_views'!$B:$ZZ,$AB77,3)))</f>
        <v/>
      </c>
      <c r="E77" s="113">
        <f>IF($AB77="","",IF(INDEX('_views'!$B:$ZZ,$AB77,4)="","",INDEX('_views'!$B:$ZZ,$AB77,4)))</f>
        <v/>
      </c>
      <c r="F77" s="113">
        <f>IF($AB77="","",IF(INDEX('_views'!$B:$ZZ,$AB77,5)="","",INDEX('_views'!$B:$ZZ,$AB77,5)))</f>
        <v/>
      </c>
      <c r="G77" s="113">
        <f>IF($AB77="","",IF(INDEX('_views'!$B:$ZZ,$AB77,6)="","",INDEX('_views'!$B:$ZZ,$AB77,6)))</f>
        <v/>
      </c>
      <c r="H77" s="113">
        <f>IF($AB77="","",IF(INDEX('_views'!$B:$ZZ,$AB77,7)="","",INDEX('_views'!$B:$ZZ,$AB77,7)))</f>
        <v/>
      </c>
      <c r="I77" s="113">
        <f>IF($AB77="","",IF(INDEX('_views'!$B:$ZZ,$AB77,8)="","",INDEX('_views'!$B:$ZZ,$AB77,8)))</f>
        <v/>
      </c>
      <c r="AB77">
        <f>IFERROR(MATCH("P|0|"&amp;$B$13&amp;"|26",'_views'!$A:$A,0),"")</f>
        <v/>
      </c>
    </row>
    <row r="78" ht="16" customHeight="1">
      <c r="B78" s="112">
        <f>IF($AB78="","",IF(INDEX('_views'!$B:$ZZ,$AB78,1)="","",INDEX('_views'!$B:$ZZ,$AB78,1)))</f>
        <v/>
      </c>
      <c r="C78" s="112">
        <f>IF($AB78="","",IF(INDEX('_views'!$B:$ZZ,$AB78,2)="","",INDEX('_views'!$B:$ZZ,$AB78,2)))</f>
        <v/>
      </c>
      <c r="D78" s="113">
        <f>IF($AB78="","",IF(INDEX('_views'!$B:$ZZ,$AB78,3)="","",INDEX('_views'!$B:$ZZ,$AB78,3)))</f>
        <v/>
      </c>
      <c r="E78" s="113">
        <f>IF($AB78="","",IF(INDEX('_views'!$B:$ZZ,$AB78,4)="","",INDEX('_views'!$B:$ZZ,$AB78,4)))</f>
        <v/>
      </c>
      <c r="F78" s="113">
        <f>IF($AB78="","",IF(INDEX('_views'!$B:$ZZ,$AB78,5)="","",INDEX('_views'!$B:$ZZ,$AB78,5)))</f>
        <v/>
      </c>
      <c r="G78" s="113">
        <f>IF($AB78="","",IF(INDEX('_views'!$B:$ZZ,$AB78,6)="","",INDEX('_views'!$B:$ZZ,$AB78,6)))</f>
        <v/>
      </c>
      <c r="H78" s="113">
        <f>IF($AB78="","",IF(INDEX('_views'!$B:$ZZ,$AB78,7)="","",INDEX('_views'!$B:$ZZ,$AB78,7)))</f>
        <v/>
      </c>
      <c r="I78" s="113">
        <f>IF($AB78="","",IF(INDEX('_views'!$B:$ZZ,$AB78,8)="","",INDEX('_views'!$B:$ZZ,$AB78,8)))</f>
        <v/>
      </c>
      <c r="AB78">
        <f>IFERROR(MATCH("P|0|"&amp;$B$13&amp;"|27",'_views'!$A:$A,0),"")</f>
        <v/>
      </c>
    </row>
  </sheetData>
  <mergeCells count="17">
    <mergeCell ref="C9:V9"/>
    <mergeCell ref="C45:V45"/>
    <mergeCell ref="C8:V8"/>
    <mergeCell ref="C4:V4"/>
    <mergeCell ref="F13:H13"/>
    <mergeCell ref="J13:L13"/>
    <mergeCell ref="C43:V43"/>
    <mergeCell ref="N13:P13"/>
    <mergeCell ref="C7:V7"/>
    <mergeCell ref="B13:D13"/>
    <mergeCell ref="C6:V6"/>
    <mergeCell ref="C10:V10"/>
    <mergeCell ref="C42:V42"/>
    <mergeCell ref="B40:V40"/>
    <mergeCell ref="C44:V44"/>
    <mergeCell ref="C41:V41"/>
    <mergeCell ref="C5:V5"/>
  </mergeCells>
  <conditionalFormatting sqref="B17:B24">
    <cfRule type="expression" priority="1" dxfId="6">
      <formula>$B17&lt;&gt;""</formula>
    </cfRule>
  </conditionalFormatting>
  <conditionalFormatting sqref="C17:K24">
    <cfRule type="expression" priority="2" dxfId="18">
      <formula>AND($B17&lt;&gt;"",$Y$13="amt")</formula>
    </cfRule>
    <cfRule type="expression" priority="3" dxfId="6">
      <formula>$B17&lt;&gt;""</formula>
    </cfRule>
  </conditionalFormatting>
  <conditionalFormatting sqref="M17:M24">
    <cfRule type="expression" priority="4" dxfId="6">
      <formula>$M17&lt;&gt;""</formula>
    </cfRule>
  </conditionalFormatting>
  <conditionalFormatting sqref="N17:V24">
    <cfRule type="expression" priority="5" dxfId="19">
      <formula>AND($M17&lt;&gt;"",AND($Y$13="pts",AND(ISNUMBER(N17),IFERROR(IF($Y$13="pts",-N17/$Y$14,IF($Y$13="x",LOG(N17,2),IF($Y$13="xr",-LOG(N17,2),0))),0)&gt;=1.0)))</formula>
    </cfRule>
    <cfRule type="expression" priority="6" dxfId="20">
      <formula>AND($M17&lt;&gt;"",AND(ISNUMBER(N17),IFERROR(IF($Y$13="pts",-N17/$Y$14,IF($Y$13="x",LOG(N17,2),IF($Y$13="xr",-LOG(N17,2),0))),0)&gt;=1.0))</formula>
    </cfRule>
    <cfRule type="expression" priority="7" dxfId="21">
      <formula>AND($M17&lt;&gt;"",AND($Y$13="pts",AND(ISNUMBER(N17),IFERROR(IF($Y$13="pts",-N17/$Y$14,IF($Y$13="x",LOG(N17,2),IF($Y$13="xr",-LOG(N17,2),0))),0)&gt;=0.585)))</formula>
    </cfRule>
    <cfRule type="expression" priority="8" dxfId="22">
      <formula>AND($M17&lt;&gt;"",AND(ISNUMBER(N17),IFERROR(IF($Y$13="pts",-N17/$Y$14,IF($Y$13="x",LOG(N17,2),IF($Y$13="xr",-LOG(N17,2),0))),0)&gt;=0.585))</formula>
    </cfRule>
    <cfRule type="expression" priority="9" dxfId="23">
      <formula>AND($M17&lt;&gt;"",AND($Y$13="pts",AND(ISNUMBER(N17),IFERROR(IF($Y$13="pts",-N17/$Y$14,IF($Y$13="x",LOG(N17,2),IF($Y$13="xr",-LOG(N17,2),0))),0)&gt;=0.263)))</formula>
    </cfRule>
    <cfRule type="expression" priority="10" dxfId="24">
      <formula>AND($M17&lt;&gt;"",AND(ISNUMBER(N17),IFERROR(IF($Y$13="pts",-N17/$Y$14,IF($Y$13="x",LOG(N17,2),IF($Y$13="xr",-LOG(N17,2),0))),0)&gt;=0.263))</formula>
    </cfRule>
    <cfRule type="expression" priority="11" dxfId="25">
      <formula>AND($M17&lt;&gt;"",AND($Y$13="pts",AND(ISNUMBER(N17),IFERROR(IF($Y$13="pts",-N17/$Y$14,IF($Y$13="x",LOG(N17,2),IF($Y$13="xr",-LOG(N17,2),0))),0)&lt;=-0.585)))</formula>
    </cfRule>
    <cfRule type="expression" priority="12" dxfId="26">
      <formula>AND($M17&lt;&gt;"",AND(ISNUMBER(N17),IFERROR(IF($Y$13="pts",-N17/$Y$14,IF($Y$13="x",LOG(N17,2),IF($Y$13="xr",-LOG(N17,2),0))),0)&lt;=-0.585))</formula>
    </cfRule>
    <cfRule type="expression" priority="13" dxfId="27">
      <formula>AND($M17&lt;&gt;"",AND($Y$13="pts",AND(ISNUMBER(N17),IFERROR(IF($Y$13="pts",-N17/$Y$14,IF($Y$13="x",LOG(N17,2),IF($Y$13="xr",-LOG(N17,2),0))),0)&lt;=-0.263)))</formula>
    </cfRule>
    <cfRule type="expression" priority="14" dxfId="28">
      <formula>AND($M17&lt;&gt;"",AND(ISNUMBER(N17),IFERROR(IF($Y$13="pts",-N17/$Y$14,IF($Y$13="x",LOG(N17,2),IF($Y$13="xr",-LOG(N17,2),0))),0)&lt;=-0.263))</formula>
    </cfRule>
    <cfRule type="expression" priority="15" dxfId="29">
      <formula>AND($M17&lt;&gt;"",AND($Y$13="pts",ISNUMBER(N17)))</formula>
    </cfRule>
    <cfRule type="expression" priority="16" dxfId="12">
      <formula>AND($M17&lt;&gt;"",ISNUMBER(N17))</formula>
    </cfRule>
    <cfRule type="expression" priority="17" dxfId="6">
      <formula>$M17&lt;&gt;""</formula>
    </cfRule>
  </conditionalFormatting>
  <conditionalFormatting sqref="B28:B35">
    <cfRule type="expression" priority="18" dxfId="6">
      <formula>$B28&lt;&gt;""</formula>
    </cfRule>
  </conditionalFormatting>
  <conditionalFormatting sqref="C28:K35">
    <cfRule type="expression" priority="19" dxfId="19">
      <formula>AND($B28&lt;&gt;"",AND($Y$13="pts",AND(ISNUMBER(C28),IFERROR(IF($Y$13="pts",-C28/$Y$14,IF($Y$13="x",LOG(C28,2),IF($Y$13="xr",-LOG(C28,2),0))),0)&gt;=1.0)))</formula>
    </cfRule>
    <cfRule type="expression" priority="20" dxfId="20">
      <formula>AND($B28&lt;&gt;"",AND(ISNUMBER(C28),IFERROR(IF($Y$13="pts",-C28/$Y$14,IF($Y$13="x",LOG(C28,2),IF($Y$13="xr",-LOG(C28,2),0))),0)&gt;=1.0))</formula>
    </cfRule>
    <cfRule type="expression" priority="21" dxfId="21">
      <formula>AND($B28&lt;&gt;"",AND($Y$13="pts",AND(ISNUMBER(C28),IFERROR(IF($Y$13="pts",-C28/$Y$14,IF($Y$13="x",LOG(C28,2),IF($Y$13="xr",-LOG(C28,2),0))),0)&gt;=0.585)))</formula>
    </cfRule>
    <cfRule type="expression" priority="22" dxfId="22">
      <formula>AND($B28&lt;&gt;"",AND(ISNUMBER(C28),IFERROR(IF($Y$13="pts",-C28/$Y$14,IF($Y$13="x",LOG(C28,2),IF($Y$13="xr",-LOG(C28,2),0))),0)&gt;=0.585))</formula>
    </cfRule>
    <cfRule type="expression" priority="23" dxfId="23">
      <formula>AND($B28&lt;&gt;"",AND($Y$13="pts",AND(ISNUMBER(C28),IFERROR(IF($Y$13="pts",-C28/$Y$14,IF($Y$13="x",LOG(C28,2),IF($Y$13="xr",-LOG(C28,2),0))),0)&gt;=0.263)))</formula>
    </cfRule>
    <cfRule type="expression" priority="24" dxfId="24">
      <formula>AND($B28&lt;&gt;"",AND(ISNUMBER(C28),IFERROR(IF($Y$13="pts",-C28/$Y$14,IF($Y$13="x",LOG(C28,2),IF($Y$13="xr",-LOG(C28,2),0))),0)&gt;=0.263))</formula>
    </cfRule>
    <cfRule type="expression" priority="25" dxfId="25">
      <formula>AND($B28&lt;&gt;"",AND($Y$13="pts",AND(ISNUMBER(C28),IFERROR(IF($Y$13="pts",-C28/$Y$14,IF($Y$13="x",LOG(C28,2),IF($Y$13="xr",-LOG(C28,2),0))),0)&lt;=-0.585)))</formula>
    </cfRule>
    <cfRule type="expression" priority="26" dxfId="26">
      <formula>AND($B28&lt;&gt;"",AND(ISNUMBER(C28),IFERROR(IF($Y$13="pts",-C28/$Y$14,IF($Y$13="x",LOG(C28,2),IF($Y$13="xr",-LOG(C28,2),0))),0)&lt;=-0.585))</formula>
    </cfRule>
    <cfRule type="expression" priority="27" dxfId="27">
      <formula>AND($B28&lt;&gt;"",AND($Y$13="pts",AND(ISNUMBER(C28),IFERROR(IF($Y$13="pts",-C28/$Y$14,IF($Y$13="x",LOG(C28,2),IF($Y$13="xr",-LOG(C28,2),0))),0)&lt;=-0.263)))</formula>
    </cfRule>
    <cfRule type="expression" priority="28" dxfId="28">
      <formula>AND($B28&lt;&gt;"",AND(ISNUMBER(C28),IFERROR(IF($Y$13="pts",-C28/$Y$14,IF($Y$13="x",LOG(C28,2),IF($Y$13="xr",-LOG(C28,2),0))),0)&lt;=-0.263))</formula>
    </cfRule>
    <cfRule type="expression" priority="29" dxfId="29">
      <formula>AND($B28&lt;&gt;"",AND($Y$13="pts",ISNUMBER(C28)))</formula>
    </cfRule>
    <cfRule type="expression" priority="30" dxfId="12">
      <formula>AND($B28&lt;&gt;"",ISNUMBER(C28))</formula>
    </cfRule>
    <cfRule type="expression" priority="31" dxfId="6">
      <formula>$B28&lt;&gt;""</formula>
    </cfRule>
  </conditionalFormatting>
  <conditionalFormatting sqref="M28:M35">
    <cfRule type="expression" priority="32" dxfId="6">
      <formula>$M28&lt;&gt;""</formula>
    </cfRule>
  </conditionalFormatting>
  <conditionalFormatting sqref="N28:V35">
    <cfRule type="expression" priority="33" dxfId="30">
      <formula>AND($M28&lt;&gt;"",AND(ISNUMBER(N28),NOT(OR($M28="All",N$27="All")),N28/IF($X$18="","",IF(INDEX('_views'!$B:$ZZ,$X$18,1)="","",INDEX('_views'!$B:$ZZ,$X$18,1)))&gt;=0.2))</formula>
    </cfRule>
    <cfRule type="expression" priority="34" dxfId="31">
      <formula>AND($M28&lt;&gt;"",AND(ISNUMBER(N28),NOT(OR($M28="All",N$27="All")),N28/IF($X$18="","",IF(INDEX('_views'!$B:$ZZ,$X$18,1)="","",INDEX('_views'!$B:$ZZ,$X$18,1)))&gt;=0.1))</formula>
    </cfRule>
    <cfRule type="expression" priority="35" dxfId="32">
      <formula>AND($M28&lt;&gt;"",AND(ISNUMBER(N28),NOT(OR($M28="All",N$27="All")),N28/IF($X$18="","",IF(INDEX('_views'!$B:$ZZ,$X$18,1)="","",INDEX('_views'!$B:$ZZ,$X$18,1)))&gt;=0.05))</formula>
    </cfRule>
    <cfRule type="expression" priority="36" dxfId="33">
      <formula>AND($M28&lt;&gt;"",AND(ISNUMBER(N28),NOT(OR($M28="All",N$27="All")),N28/IF($X$18="","",IF(INDEX('_views'!$B:$ZZ,$X$18,1)="","",INDEX('_views'!$B:$ZZ,$X$18,1)))&gt;=0.02))</formula>
    </cfRule>
    <cfRule type="expression" priority="37" dxfId="6">
      <formula>$M28&lt;&gt;""</formula>
    </cfRule>
  </conditionalFormatting>
  <conditionalFormatting sqref="B52:I78">
    <cfRule type="expression" priority="38" dxfId="34">
      <formula>AND($B52&lt;&gt;"",$B52="Share of the grid")</formula>
    </cfRule>
    <cfRule type="expression" priority="39" dxfId="35">
      <formula>AND($B52&lt;&gt;"",$B52="Every pocket")</formula>
    </cfRule>
    <cfRule type="expression" priority="40" dxfId="6">
      <formula>$B52&lt;&gt;""</formula>
    </cfRule>
  </conditionalFormatting>
  <dataValidations count="4">
    <dataValidation sqref="B13" showDropDown="0" showInputMessage="0" showErrorMessage="1" allowBlank="0" errorTitle="Grid" error="Pick one from the list." type="list">
      <formula1>='_choices'!$H$2:$H$9</formula1>
    </dataValidation>
    <dataValidation sqref="F13" showDropDown="0" showInputMessage="0" showErrorMessage="1" allowBlank="0" errorTitle="Measure" error="Pick one from the list." type="list">
      <formula1>='_choices'!$I$2:$I$6</formula1>
    </dataValidation>
    <dataValidation sqref="J13" showDropDown="0" showInputMessage="0" showErrorMessage="1" allowBlank="0" errorTitle="Row" error="Pick one from the list." type="list">
      <formula1>=OFFSET($AE$13,0,0,MAX(1,$AG$13),1)</formula1>
    </dataValidation>
    <dataValidation sqref="N13" showDropDown="0" showInputMessage="0" showErrorMessage="1" allowBlank="0" errorTitle="Column" error="Pick one from the list." type="list">
      <formula1>=OFFSET($AF$13,0,0,MAX(1,$AG$14),1)</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0A0908"/>
    <outlinePr summaryBelow="0" summaryRight="1"/>
    <pageSetUpPr fitToPage="1"/>
  </sheetPr>
  <dimension ref="B1:R38"/>
  <sheetViews>
    <sheetView showGridLines="0" tabSelected="0" workbookViewId="0">
      <pane ySplit="16" topLeftCell="A17" activePane="bottomLeft" state="frozen"/>
      <selection pane="bottomLeft" activeCell="A1" sqref="A1"/>
    </sheetView>
  </sheetViews>
  <sheetFormatPr baseColWidth="8" defaultRowHeight="15"/>
  <cols>
    <col width="2" customWidth="1" min="1" max="1"/>
    <col width="26" customWidth="1" min="2" max="2"/>
    <col width="12" customWidth="1" min="3" max="3"/>
    <col width="12" customWidth="1" min="4" max="4"/>
    <col width="16" customWidth="1" min="5" max="5"/>
    <col width="20" customWidth="1" min="6" max="6"/>
    <col width="12" customWidth="1" min="7" max="7"/>
    <col width="20" customWidth="1" min="8" max="8"/>
    <col width="16" customWidth="1" min="9" max="9"/>
    <col width="12" customWidth="1" min="10" max="10"/>
    <col width="12" customWidth="1" min="11" max="11"/>
    <col width="12"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30" customHeight="1">
      <c r="B1" s="1" t="inlineStr">
        <is>
          <t>Split</t>
        </is>
      </c>
      <c r="C1" s="2" t="inlineStr">
        <is>
          <t>Every pocket split by each value of SYS_FLAG: does one value do worse than the rest of its pocket?</t>
        </is>
      </c>
      <c r="D1" s="3" t="n"/>
      <c r="E1" s="3" t="n"/>
      <c r="F1" s="3" t="n"/>
      <c r="G1" s="3" t="n"/>
      <c r="H1" s="3" t="n"/>
      <c r="I1" s="3" t="n"/>
      <c r="J1" s="3" t="n"/>
      <c r="K1" s="3" t="n"/>
      <c r="L1" s="3" t="n"/>
    </row>
    <row r="3" outlineLevel="1">
      <c r="B3" s="4" t="inlineStr">
        <is>
          <t>How this tab works</t>
        </is>
      </c>
      <c r="C3" s="5" t="n"/>
      <c r="D3" s="5" t="n"/>
      <c r="E3" s="5" t="n"/>
      <c r="F3" s="5" t="n"/>
      <c r="G3" s="5" t="n"/>
      <c r="H3" s="5" t="n"/>
      <c r="I3" s="5" t="n"/>
      <c r="J3" s="5" t="n"/>
      <c r="K3" s="5" t="n"/>
      <c r="L3" s="5" t="n"/>
    </row>
    <row r="4" outlineLevel="1" ht="31" customHeight="1">
      <c r="B4" s="6" t="inlineStr">
        <is>
          <t>What it does</t>
        </is>
      </c>
      <c r="C4" s="7" t="inlineStr">
        <is>
          <t>Inside each pocket the loans are split by their SYS_FLAG. Pick a grid and a value: that value's loans are compared with the rest of the pocket (the other value, when there are two), so the band and segment are the same on both sides. SYS_FLAG isn't a segment of its own while it splits. At most 6 values.</t>
        </is>
      </c>
    </row>
    <row r="5" outlineLevel="1" ht="31" customHeight="1">
      <c r="B5" s="6" t="inlineStr">
        <is>
          <t>Value vs rest</t>
        </is>
      </c>
      <c r="C5" s="7" t="inlineStr">
        <is>
          <t>The value's rate over the rest's: 2.00× means it goes bad, or loses, twice as often. Kept after losses and Earned before losses are a gap in points instead: +0.30 pts means the value keeps 0.30 points more per booked dollar.</t>
        </is>
      </c>
    </row>
    <row r="6" outlineLevel="1" ht="31" customHeight="1">
      <c r="B6" s="6" t="inlineStr">
        <is>
          <t>Value vs rest, all</t>
        </is>
      </c>
      <c r="C6" s="7">
        <f>"The value's actual total against what it would be at the rest's rates, added over every pocket, with its range at "&amp;TEXT(confidence,"0%")&amp;" sure. For Bad loans only, the odds are pooled too (Mantel-Haenszel), with their p-value (Cochran-Mantel-Haenszel), and Cochran's Q asks whether the gap is the same size in every pocket."</f>
        <v/>
      </c>
    </row>
    <row r="7" outlineLevel="1" ht="45" customHeight="1">
      <c r="B7" s="6" t="inlineStr">
        <is>
          <t>Do the values differ?</t>
        </is>
      </c>
      <c r="C7" s="7" t="inlineStr">
        <is>
          <t>For Bad loans, one test of every value at once, pooled over the grid's pockets (the K-group Mantel-Haenszel test, on one fewer degrees of freedom than there are values). Every pocket counts here, however small, so with two values it can differ a little from the odds' p-value, which uses only pockets above the minimums. Not worked out for the dollar measures: the tool has no test of more than two groups at once for a dollar rate.</t>
        </is>
      </c>
    </row>
    <row r="8" outlineLevel="1" ht="59" customHeight="1">
      <c r="B8" s="6" t="inlineStr">
        <is>
          <t>p-value</t>
        </is>
      </c>
      <c r="C8" s="7">
        <f>"The chance of a gap at least this big if the value were no different from the rest. Under "&amp;TEXT(significance_bar,"0%")&amp;" counts, and is bold. Bad loans: the gap in standard errors; a dollar measure: the loans dealt at random inside their pocket, 10,000 times. The allowance for many tests (Benjamini-Hochberg) covers every value and pocket of one grid and measure, and t"&amp;"he summary's p-values across the values; a gap that is not significant is in brackets, unshaded. A blank: the value or the rest has fewer loans or losses than the minimums (65 loans, 10 losses)."</f>
        <v/>
      </c>
    </row>
    <row r="9" outlineLevel="1" ht="31" customHeight="1">
      <c r="B9" s="6" t="inlineStr">
        <is>
          <t>What it holds</t>
        </is>
      </c>
      <c r="C9" s="7" t="inlineStr">
        <is>
          <t>A grid holds fixed only its band and segment. How closely SYS_FLAG moves with a band column isn't worked out for a category, so a gap here may partly be a column the grid doesn't hold fixed. Loans are treated as independent of each other.</t>
        </is>
      </c>
    </row>
    <row r="10" outlineLevel="1" ht="17" customHeight="1">
      <c r="B10" s="6" t="inlineStr">
        <is>
          <t>As of</t>
        </is>
      </c>
      <c r="C10" s="7" t="inlineStr">
        <is>
          <t>The numbers are the last Run's. The range, the brackets and the bold follow the confidence on Control.</t>
        </is>
      </c>
    </row>
    <row r="12" ht="15" customHeight="1">
      <c r="B12" s="103" t="inlineStr">
        <is>
          <t>LINES IN USE NOW</t>
        </is>
      </c>
      <c r="C12" s="96" t="inlineStr">
        <is>
          <t>Worse at</t>
        </is>
      </c>
      <c r="D12" s="96" t="inlineStr">
        <is>
          <t>Better at</t>
        </is>
      </c>
      <c r="E12" s="96" t="inlineStr">
        <is>
          <t>How sure</t>
        </is>
      </c>
      <c r="F12" s="96" t="inlineStr">
        <is>
          <t>Material at</t>
        </is>
      </c>
      <c r="G12" s="96" t="inlineStr">
        <is>
          <t>Judged against</t>
        </is>
      </c>
      <c r="H12" s="97" t="n"/>
      <c r="I12" s="104" t="inlineStr">
        <is>
          <t>The numbers are from the last Run, 2026-09-29 21:05.</t>
        </is>
      </c>
    </row>
    <row r="13" ht="22" customHeight="1">
      <c r="B13" s="105" t="inlineStr">
        <is>
          <t>live from Control</t>
        </is>
      </c>
      <c r="C13" s="106">
        <f>worse_at</f>
        <v/>
      </c>
      <c r="D13" s="106">
        <f>better_at</f>
        <v/>
      </c>
      <c r="E13" s="107">
        <f>confidence</f>
        <v/>
      </c>
      <c r="F13" s="11">
        <f>IFERROR(IF(materiality_kind="none","No floor",IF(INDEX(line_values,MATCH("gco_rate",line_keys,0))="","No line",IF(FALSE,TEXT(INDEX(line_values,MATCH("gco_rate",line_keys,0)),"#,##0.0")&amp;" bad loans","$"&amp;TEXT(INDEX(line_values,MATCH("gco_rate",line_keys,0)),"#,##0")))),"")</f>
        <v/>
      </c>
      <c r="G13" s="11">
        <f>IF(judged_band,"Rest of its band","Rest of the book")</f>
        <v/>
      </c>
      <c r="I13" s="108">
        <f>IFERROR(IF(COUNTIF(Status,"↻ Waiting for a Run")=0,"","↻ "&amp;COUNTIF(Status,"↻ Waiting for a Run")&amp;IF(COUNTIF(Status,"↻ Waiting for a Run")=1," Control change waits for a Run."," Control changes wait for a Run.")),"")</f>
        <v/>
      </c>
    </row>
    <row r="15">
      <c r="B15" s="109" t="inlineStr">
        <is>
          <t>GRID</t>
        </is>
      </c>
    </row>
    <row r="16" ht="20" customHeight="1">
      <c r="B16" s="32" t="inlineStr">
        <is>
          <t>FICO x CHANNEL · SYS_FLAG N vs Y</t>
        </is>
      </c>
      <c r="C16" s="132">
        <f>IF($N$16="","",IF(INDEX('_views'!$B:$ZZ,$N$16,1)="","",INDEX('_views'!$B:$ZZ,$N$16,1)))</f>
        <v/>
      </c>
      <c r="E16" s="104">
        <f>IF($N$16="","",IF(INDEX('_views'!$B:$ZZ,$N$16,3)="","",INDEX('_views'!$B:$ZZ,$N$16,3)))</f>
        <v/>
      </c>
      <c r="N16">
        <f>IFERROR(MATCH("S|"&amp;$B$16&amp;"|chip",'_views'!$A:$A,0),"")</f>
        <v/>
      </c>
    </row>
    <row r="18" ht="18" customHeight="1">
      <c r="B18" s="55" t="inlineStr">
        <is>
          <t>Measure</t>
        </is>
      </c>
      <c r="C18" s="56" t="inlineStr">
        <is>
          <t>Pockets</t>
        </is>
      </c>
      <c r="D18" s="56" t="inlineStr">
        <is>
          <t>Worse than the rest in</t>
        </is>
      </c>
      <c r="E18" s="56" t="inlineStr">
        <is>
          <t>Value vs rest, all</t>
        </is>
      </c>
      <c r="F18" s="56">
        <f>"Range ("&amp;TEXT(confidence,"0%")&amp;" sure)"</f>
        <v/>
      </c>
      <c r="G18" s="56" t="inlineStr">
        <is>
          <t>p-value</t>
        </is>
      </c>
      <c r="H18" s="56" t="inlineStr">
        <is>
          <t>As odds</t>
        </is>
      </c>
      <c r="I18" s="56" t="inlineStr">
        <is>
          <t>p-value, as odds</t>
        </is>
      </c>
    </row>
    <row r="19" ht="16" customHeight="1">
      <c r="B19" s="133">
        <f>IF($N19="","",IF(INDEX('_views'!$B:$ZZ,$N19,1)="","",INDEX('_views'!$B:$ZZ,$N19,1)))</f>
        <v/>
      </c>
      <c r="C19" s="38">
        <f>IF($N19="","",IF(INDEX('_views'!$B:$ZZ,$N19,2)="","",INDEX('_views'!$B:$ZZ,$N19,2)))</f>
        <v/>
      </c>
      <c r="D19" s="38">
        <f>IF($N19="","",IF(INDEX('_views'!$B:$ZZ,$N19,3)="","",INDEX('_views'!$B:$ZZ,$N19,3)))</f>
        <v/>
      </c>
      <c r="E19" s="100">
        <f>IF($N19="","",IF(INDEX('_views'!$B:$ZZ,$N19,4)="","",INDEX('_views'!$B:$ZZ,$N19,4)))</f>
        <v/>
      </c>
      <c r="F19" s="38">
        <f>IF(OR(IF($N19="","",IF(INDEX('_views'!$B:$ZZ,$N19,5)="","",INDEX('_views'!$B:$ZZ,$N19,5)))="",IF($N19="","",IF(INDEX('_views'!$B:$ZZ,$N19,4)="","",INDEX('_views'!$B:$ZZ,$N19,4)))=""),"",IF(IF($N19="","",IF(INDEX('_views'!$B:$ZZ,$N19,6)="","",INDEX('_views'!$B:$ZZ,$N19,6)))="pts",TEXT(IF($N19="","",IF(INDEX('_views'!$B:$ZZ,$N19,4)="","",INDEX('_views'!$B:$ZZ,$N19,4)))-NORMSINV(1-(1-confidence)/2)*IF($N19="","",IF(INDEX('_views'!$B:$ZZ,$N19,5)="","",INDEX('_views'!$B:$ZZ,$N19,5))),"+0.00;-0.00")&amp;" to "&amp;TEXT(IF($N19="","",IF(INDEX('_views'!$B:$ZZ,$N19,4)="","",INDEX('_views'!$B:$ZZ,$N19,4)))+NORMSINV(1-(1-confidence)/2)*IF($N19="","",IF(INDEX('_views'!$B:$ZZ,$N19,5)="","",INDEX('_views'!$B:$ZZ,$N19,5))),"+0.00;-0.00")&amp;" pts",TEXT(MAX(IF($N19="","",IF(INDEX('_views'!$B:$ZZ,$N19,4)="","",INDEX('_views'!$B:$ZZ,$N19,4)))-NORMSINV(1-(1-confidence)/2)*IF($N19="","",IF(INDEX('_views'!$B:$ZZ,$N19,5)="","",INDEX('_views'!$B:$ZZ,$N19,5))),0),"0.00")&amp;"× to "&amp;TEXT(IF($N19="","",IF(INDEX('_views'!$B:$ZZ,$N19,4)="","",INDEX('_views'!$B:$ZZ,$N19,4)))+NORMSINV(1-(1-confidence)/2)*IF($N19="","",IF(INDEX('_views'!$B:$ZZ,$N19,5)="","",INDEX('_views'!$B:$ZZ,$N19,5))),"0.00")&amp;"×"))</f>
        <v/>
      </c>
      <c r="G19" s="134">
        <f>IF($N19="","",IF(INDEX('_views'!$B:$ZZ,$N19,7)="","",INDEX('_views'!$B:$ZZ,$N19,7)))</f>
        <v/>
      </c>
      <c r="H19" s="100">
        <f>IF($N19="","",IF(INDEX('_views'!$B:$ZZ,$N19,8)="","",INDEX('_views'!$B:$ZZ,$N19,8)))</f>
        <v/>
      </c>
      <c r="I19" s="134">
        <f>IF($N19="","",IF(INDEX('_views'!$B:$ZZ,$N19,9)="","",INDEX('_views'!$B:$ZZ,$N19,9)))</f>
        <v/>
      </c>
      <c r="N19">
        <f>IFERROR(MATCH("S|"&amp;$B$16&amp;"|sum|1",'_views'!$A:$A,0),"")</f>
        <v/>
      </c>
    </row>
    <row r="20" ht="16" customHeight="1">
      <c r="B20" s="133">
        <f>IF($N20="","",IF(INDEX('_views'!$B:$ZZ,$N20,1)="","",INDEX('_views'!$B:$ZZ,$N20,1)))</f>
        <v/>
      </c>
      <c r="C20" s="38">
        <f>IF($N20="","",IF(INDEX('_views'!$B:$ZZ,$N20,2)="","",INDEX('_views'!$B:$ZZ,$N20,2)))</f>
        <v/>
      </c>
      <c r="D20" s="38">
        <f>IF($N20="","",IF(INDEX('_views'!$B:$ZZ,$N20,3)="","",INDEX('_views'!$B:$ZZ,$N20,3)))</f>
        <v/>
      </c>
      <c r="E20" s="100">
        <f>IF($N20="","",IF(INDEX('_views'!$B:$ZZ,$N20,4)="","",INDEX('_views'!$B:$ZZ,$N20,4)))</f>
        <v/>
      </c>
      <c r="F20" s="38">
        <f>IF(OR(IF($N20="","",IF(INDEX('_views'!$B:$ZZ,$N20,5)="","",INDEX('_views'!$B:$ZZ,$N20,5)))="",IF($N20="","",IF(INDEX('_views'!$B:$ZZ,$N20,4)="","",INDEX('_views'!$B:$ZZ,$N20,4)))=""),"",IF(IF($N20="","",IF(INDEX('_views'!$B:$ZZ,$N20,6)="","",INDEX('_views'!$B:$ZZ,$N20,6)))="pts",TEXT(IF($N20="","",IF(INDEX('_views'!$B:$ZZ,$N20,4)="","",INDEX('_views'!$B:$ZZ,$N20,4)))-NORMSINV(1-(1-confidence)/2)*IF($N20="","",IF(INDEX('_views'!$B:$ZZ,$N20,5)="","",INDEX('_views'!$B:$ZZ,$N20,5))),"+0.00;-0.00")&amp;" to "&amp;TEXT(IF($N20="","",IF(INDEX('_views'!$B:$ZZ,$N20,4)="","",INDEX('_views'!$B:$ZZ,$N20,4)))+NORMSINV(1-(1-confidence)/2)*IF($N20="","",IF(INDEX('_views'!$B:$ZZ,$N20,5)="","",INDEX('_views'!$B:$ZZ,$N20,5))),"+0.00;-0.00")&amp;" pts",TEXT(MAX(IF($N20="","",IF(INDEX('_views'!$B:$ZZ,$N20,4)="","",INDEX('_views'!$B:$ZZ,$N20,4)))-NORMSINV(1-(1-confidence)/2)*IF($N20="","",IF(INDEX('_views'!$B:$ZZ,$N20,5)="","",INDEX('_views'!$B:$ZZ,$N20,5))),0),"0.00")&amp;"× to "&amp;TEXT(IF($N20="","",IF(INDEX('_views'!$B:$ZZ,$N20,4)="","",INDEX('_views'!$B:$ZZ,$N20,4)))+NORMSINV(1-(1-confidence)/2)*IF($N20="","",IF(INDEX('_views'!$B:$ZZ,$N20,5)="","",INDEX('_views'!$B:$ZZ,$N20,5))),"0.00")&amp;"×"))</f>
        <v/>
      </c>
      <c r="G20" s="134">
        <f>IF($N20="","",IF(INDEX('_views'!$B:$ZZ,$N20,7)="","",INDEX('_views'!$B:$ZZ,$N20,7)))</f>
        <v/>
      </c>
      <c r="H20" s="100">
        <f>IF($N20="","",IF(INDEX('_views'!$B:$ZZ,$N20,8)="","",INDEX('_views'!$B:$ZZ,$N20,8)))</f>
        <v/>
      </c>
      <c r="I20" s="134">
        <f>IF($N20="","",IF(INDEX('_views'!$B:$ZZ,$N20,9)="","",INDEX('_views'!$B:$ZZ,$N20,9)))</f>
        <v/>
      </c>
      <c r="N20">
        <f>IFERROR(MATCH("S|"&amp;$B$16&amp;"|sum|2",'_views'!$A:$A,0),"")</f>
        <v/>
      </c>
    </row>
    <row r="21" ht="16" customHeight="1">
      <c r="B21" s="133">
        <f>IF($N21="","",IF(INDEX('_views'!$B:$ZZ,$N21,1)="","",INDEX('_views'!$B:$ZZ,$N21,1)))</f>
        <v/>
      </c>
      <c r="C21" s="38">
        <f>IF($N21="","",IF(INDEX('_views'!$B:$ZZ,$N21,2)="","",INDEX('_views'!$B:$ZZ,$N21,2)))</f>
        <v/>
      </c>
      <c r="D21" s="38">
        <f>IF($N21="","",IF(INDEX('_views'!$B:$ZZ,$N21,3)="","",INDEX('_views'!$B:$ZZ,$N21,3)))</f>
        <v/>
      </c>
      <c r="E21" s="100">
        <f>IF($N21="","",IF(INDEX('_views'!$B:$ZZ,$N21,4)="","",INDEX('_views'!$B:$ZZ,$N21,4)))</f>
        <v/>
      </c>
      <c r="F21" s="38">
        <f>IF(OR(IF($N21="","",IF(INDEX('_views'!$B:$ZZ,$N21,5)="","",INDEX('_views'!$B:$ZZ,$N21,5)))="",IF($N21="","",IF(INDEX('_views'!$B:$ZZ,$N21,4)="","",INDEX('_views'!$B:$ZZ,$N21,4)))=""),"",IF(IF($N21="","",IF(INDEX('_views'!$B:$ZZ,$N21,6)="","",INDEX('_views'!$B:$ZZ,$N21,6)))="pts",TEXT(IF($N21="","",IF(INDEX('_views'!$B:$ZZ,$N21,4)="","",INDEX('_views'!$B:$ZZ,$N21,4)))-NORMSINV(1-(1-confidence)/2)*IF($N21="","",IF(INDEX('_views'!$B:$ZZ,$N21,5)="","",INDEX('_views'!$B:$ZZ,$N21,5))),"+0.00;-0.00")&amp;" to "&amp;TEXT(IF($N21="","",IF(INDEX('_views'!$B:$ZZ,$N21,4)="","",INDEX('_views'!$B:$ZZ,$N21,4)))+NORMSINV(1-(1-confidence)/2)*IF($N21="","",IF(INDEX('_views'!$B:$ZZ,$N21,5)="","",INDEX('_views'!$B:$ZZ,$N21,5))),"+0.00;-0.00")&amp;" pts",TEXT(MAX(IF($N21="","",IF(INDEX('_views'!$B:$ZZ,$N21,4)="","",INDEX('_views'!$B:$ZZ,$N21,4)))-NORMSINV(1-(1-confidence)/2)*IF($N21="","",IF(INDEX('_views'!$B:$ZZ,$N21,5)="","",INDEX('_views'!$B:$ZZ,$N21,5))),0),"0.00")&amp;"× to "&amp;TEXT(IF($N21="","",IF(INDEX('_views'!$B:$ZZ,$N21,4)="","",INDEX('_views'!$B:$ZZ,$N21,4)))+NORMSINV(1-(1-confidence)/2)*IF($N21="","",IF(INDEX('_views'!$B:$ZZ,$N21,5)="","",INDEX('_views'!$B:$ZZ,$N21,5))),"0.00")&amp;"×"))</f>
        <v/>
      </c>
      <c r="G21" s="134">
        <f>IF($N21="","",IF(INDEX('_views'!$B:$ZZ,$N21,7)="","",INDEX('_views'!$B:$ZZ,$N21,7)))</f>
        <v/>
      </c>
      <c r="H21" s="100">
        <f>IF($N21="","",IF(INDEX('_views'!$B:$ZZ,$N21,8)="","",INDEX('_views'!$B:$ZZ,$N21,8)))</f>
        <v/>
      </c>
      <c r="I21" s="134">
        <f>IF($N21="","",IF(INDEX('_views'!$B:$ZZ,$N21,9)="","",INDEX('_views'!$B:$ZZ,$N21,9)))</f>
        <v/>
      </c>
      <c r="N21">
        <f>IFERROR(MATCH("S|"&amp;$B$16&amp;"|sum|3",'_views'!$A:$A,0),"")</f>
        <v/>
      </c>
    </row>
    <row r="22" ht="16" customHeight="1">
      <c r="B22" s="133">
        <f>IF($N22="","",IF(INDEX('_views'!$B:$ZZ,$N22,1)="","",INDEX('_views'!$B:$ZZ,$N22,1)))</f>
        <v/>
      </c>
      <c r="C22" s="38">
        <f>IF($N22="","",IF(INDEX('_views'!$B:$ZZ,$N22,2)="","",INDEX('_views'!$B:$ZZ,$N22,2)))</f>
        <v/>
      </c>
      <c r="D22" s="38">
        <f>IF($N22="","",IF(INDEX('_views'!$B:$ZZ,$N22,3)="","",INDEX('_views'!$B:$ZZ,$N22,3)))</f>
        <v/>
      </c>
      <c r="E22" s="100">
        <f>IF($N22="","",IF(INDEX('_views'!$B:$ZZ,$N22,4)="","",INDEX('_views'!$B:$ZZ,$N22,4)))</f>
        <v/>
      </c>
      <c r="F22" s="38">
        <f>IF(OR(IF($N22="","",IF(INDEX('_views'!$B:$ZZ,$N22,5)="","",INDEX('_views'!$B:$ZZ,$N22,5)))="",IF($N22="","",IF(INDEX('_views'!$B:$ZZ,$N22,4)="","",INDEX('_views'!$B:$ZZ,$N22,4)))=""),"",IF(IF($N22="","",IF(INDEX('_views'!$B:$ZZ,$N22,6)="","",INDEX('_views'!$B:$ZZ,$N22,6)))="pts",TEXT(IF($N22="","",IF(INDEX('_views'!$B:$ZZ,$N22,4)="","",INDEX('_views'!$B:$ZZ,$N22,4)))-NORMSINV(1-(1-confidence)/2)*IF($N22="","",IF(INDEX('_views'!$B:$ZZ,$N22,5)="","",INDEX('_views'!$B:$ZZ,$N22,5))),"+0.00;-0.00")&amp;" to "&amp;TEXT(IF($N22="","",IF(INDEX('_views'!$B:$ZZ,$N22,4)="","",INDEX('_views'!$B:$ZZ,$N22,4)))+NORMSINV(1-(1-confidence)/2)*IF($N22="","",IF(INDEX('_views'!$B:$ZZ,$N22,5)="","",INDEX('_views'!$B:$ZZ,$N22,5))),"+0.00;-0.00")&amp;" pts",TEXT(MAX(IF($N22="","",IF(INDEX('_views'!$B:$ZZ,$N22,4)="","",INDEX('_views'!$B:$ZZ,$N22,4)))-NORMSINV(1-(1-confidence)/2)*IF($N22="","",IF(INDEX('_views'!$B:$ZZ,$N22,5)="","",INDEX('_views'!$B:$ZZ,$N22,5))),0),"0.00")&amp;"× to "&amp;TEXT(IF($N22="","",IF(INDEX('_views'!$B:$ZZ,$N22,4)="","",INDEX('_views'!$B:$ZZ,$N22,4)))+NORMSINV(1-(1-confidence)/2)*IF($N22="","",IF(INDEX('_views'!$B:$ZZ,$N22,5)="","",INDEX('_views'!$B:$ZZ,$N22,5))),"0.00")&amp;"×"))</f>
        <v/>
      </c>
      <c r="G22" s="134">
        <f>IF($N22="","",IF(INDEX('_views'!$B:$ZZ,$N22,7)="","",INDEX('_views'!$B:$ZZ,$N22,7)))</f>
        <v/>
      </c>
      <c r="H22" s="100">
        <f>IF($N22="","",IF(INDEX('_views'!$B:$ZZ,$N22,8)="","",INDEX('_views'!$B:$ZZ,$N22,8)))</f>
        <v/>
      </c>
      <c r="I22" s="134">
        <f>IF($N22="","",IF(INDEX('_views'!$B:$ZZ,$N22,9)="","",INDEX('_views'!$B:$ZZ,$N22,9)))</f>
        <v/>
      </c>
      <c r="N22">
        <f>IFERROR(MATCH("S|"&amp;$B$16&amp;"|sum|4",'_views'!$A:$A,0),"")</f>
        <v/>
      </c>
    </row>
    <row r="23" ht="16" customHeight="1">
      <c r="B23" s="133">
        <f>IF($N23="","",IF(INDEX('_views'!$B:$ZZ,$N23,1)="","",INDEX('_views'!$B:$ZZ,$N23,1)))</f>
        <v/>
      </c>
      <c r="C23" s="38">
        <f>IF($N23="","",IF(INDEX('_views'!$B:$ZZ,$N23,2)="","",INDEX('_views'!$B:$ZZ,$N23,2)))</f>
        <v/>
      </c>
      <c r="D23" s="38">
        <f>IF($N23="","",IF(INDEX('_views'!$B:$ZZ,$N23,3)="","",INDEX('_views'!$B:$ZZ,$N23,3)))</f>
        <v/>
      </c>
      <c r="E23" s="100">
        <f>IF($N23="","",IF(INDEX('_views'!$B:$ZZ,$N23,4)="","",INDEX('_views'!$B:$ZZ,$N23,4)))</f>
        <v/>
      </c>
      <c r="F23" s="38">
        <f>IF(OR(IF($N23="","",IF(INDEX('_views'!$B:$ZZ,$N23,5)="","",INDEX('_views'!$B:$ZZ,$N23,5)))="",IF($N23="","",IF(INDEX('_views'!$B:$ZZ,$N23,4)="","",INDEX('_views'!$B:$ZZ,$N23,4)))=""),"",IF(IF($N23="","",IF(INDEX('_views'!$B:$ZZ,$N23,6)="","",INDEX('_views'!$B:$ZZ,$N23,6)))="pts",TEXT(IF($N23="","",IF(INDEX('_views'!$B:$ZZ,$N23,4)="","",INDEX('_views'!$B:$ZZ,$N23,4)))-NORMSINV(1-(1-confidence)/2)*IF($N23="","",IF(INDEX('_views'!$B:$ZZ,$N23,5)="","",INDEX('_views'!$B:$ZZ,$N23,5))),"+0.00;-0.00")&amp;" to "&amp;TEXT(IF($N23="","",IF(INDEX('_views'!$B:$ZZ,$N23,4)="","",INDEX('_views'!$B:$ZZ,$N23,4)))+NORMSINV(1-(1-confidence)/2)*IF($N23="","",IF(INDEX('_views'!$B:$ZZ,$N23,5)="","",INDEX('_views'!$B:$ZZ,$N23,5))),"+0.00;-0.00")&amp;" pts",TEXT(MAX(IF($N23="","",IF(INDEX('_views'!$B:$ZZ,$N23,4)="","",INDEX('_views'!$B:$ZZ,$N23,4)))-NORMSINV(1-(1-confidence)/2)*IF($N23="","",IF(INDEX('_views'!$B:$ZZ,$N23,5)="","",INDEX('_views'!$B:$ZZ,$N23,5))),0),"0.00")&amp;"× to "&amp;TEXT(IF($N23="","",IF(INDEX('_views'!$B:$ZZ,$N23,4)="","",INDEX('_views'!$B:$ZZ,$N23,4)))+NORMSINV(1-(1-confidence)/2)*IF($N23="","",IF(INDEX('_views'!$B:$ZZ,$N23,5)="","",INDEX('_views'!$B:$ZZ,$N23,5))),"0.00")&amp;"×"))</f>
        <v/>
      </c>
      <c r="G23" s="134">
        <f>IF($N23="","",IF(INDEX('_views'!$B:$ZZ,$N23,7)="","",INDEX('_views'!$B:$ZZ,$N23,7)))</f>
        <v/>
      </c>
      <c r="H23" s="100">
        <f>IF($N23="","",IF(INDEX('_views'!$B:$ZZ,$N23,8)="","",INDEX('_views'!$B:$ZZ,$N23,8)))</f>
        <v/>
      </c>
      <c r="I23" s="134">
        <f>IF($N23="","",IF(INDEX('_views'!$B:$ZZ,$N23,9)="","",INDEX('_views'!$B:$ZZ,$N23,9)))</f>
        <v/>
      </c>
      <c r="N23">
        <f>IFERROR(MATCH("S|"&amp;$B$16&amp;"|sum|5",'_views'!$A:$A,0),"")</f>
        <v/>
      </c>
    </row>
    <row r="24">
      <c r="B24" s="112">
        <f>"Same in every pocket? "&amp;"Bad loans: "&amp;IF(IF($N19="","",IF(INDEX('_views'!$B:$ZZ,$N19,10)="","",INDEX('_views'!$B:$ZZ,$N19,10)))="",IF(IF($N19="","",IF(INDEX('_views'!$B:$ZZ,$N19,11)="","",INDEX('_views'!$B:$ZZ,$N19,11)))="","not tested",IF($N19="","",IF(INDEX('_views'!$B:$ZZ,$N19,11)="","",INDEX('_views'!$B:$ZZ,$N19,11)))),IF(AND(ISNUMBER(IF($N19="","",IF(INDEX('_views'!$B:$ZZ,$N19,10)="","",INDEX('_views'!$B:$ZZ,$N19,10)))),IF($N19="","",IF(INDEX('_views'!$B:$ZZ,$N19,10)="","",INDEX('_views'!$B:$ZZ,$N19,10)))&lt;significance_bar),"bigger in some pockets than others","no sign the gap differs between pockets"))&amp;"; "&amp;"Bad dollars, Charge-offs, Kept after losses, Earned before losses: not tested: dollar rate"&amp;"."</f>
        <v/>
      </c>
    </row>
    <row r="25">
      <c r="B25" s="112">
        <f>"Do the values of SYS_FLAG differ at all? "&amp;"Bad loans: "&amp;IF(IF($N19="","",IF(INDEX('_views'!$B:$ZZ,$N19,12)="","",INDEX('_views'!$B:$ZZ,$N19,12)))="","not tested",IF(AND(ISNUMBER(IF($N19="","",IF(INDEX('_views'!$B:$ZZ,$N19,12)="","",INDEX('_views'!$B:$ZZ,$N19,12)))),IF($N19="","",IF(INDEX('_views'!$B:$ZZ,$N19,12)="","",INDEX('_views'!$B:$ZZ,$N19,12)))&lt;significance_bar),"yes","no sign they do")&amp;" (p-value "&amp;IF(IF($N19="","",IF(INDEX('_views'!$B:$ZZ,$N19,12)="","",INDEX('_views'!$B:$ZZ,$N19,12)))&lt;0.0001,"under 0.0001",TEXT(IF($N19="","",IF(INDEX('_views'!$B:$ZZ,$N19,12)="","",INDEX('_views'!$B:$ZZ,$N19,12))),"0.0000"))&amp;", on "&amp;IF($N19="","",IF(INDEX('_views'!$B:$ZZ,$N19,13)="","",INDEX('_views'!$B:$ZZ,$N19,13)))&amp;IF(IF($N19="","",IF(INDEX('_views'!$B:$ZZ,$N19,13)="","",INDEX('_views'!$B:$ZZ,$N19,13)))=1," degree"," degrees")&amp;" of freedom, "&amp;IF($N19="","",IF(INDEX('_views'!$B:$ZZ,$N19,14)="","",INDEX('_views'!$B:$ZZ,$N19,14)))&amp;" pockets)")&amp;"; "&amp;"Bad dollars, Charge-offs, Kept after losses, Earned before losses: not tested: dollar rate"&amp;"."</f>
        <v/>
      </c>
    </row>
    <row r="27">
      <c r="B27" s="109" t="inlineStr">
        <is>
          <t>MEASURE</t>
        </is>
      </c>
    </row>
    <row r="28" ht="20" customHeight="1">
      <c r="B28" s="32" t="inlineStr">
        <is>
          <t>Bad loans</t>
        </is>
      </c>
      <c r="O28">
        <f>IFERROR(INDEX('_choices'!$O$2:$O$6,MATCH($B$28,'_choices'!$N$2:$N$6,0)),"")</f>
        <v/>
      </c>
      <c r="P28">
        <f>IF($O$29="","",IF(INDEX('_views'!$B:$ZZ,$O$29,1)="","",INDEX('_views'!$B:$ZZ,$O$29,1)))</f>
        <v/>
      </c>
    </row>
    <row r="29">
      <c r="O29">
        <f>IFERROR(MATCH("S|"&amp;$B$16&amp;"|"&amp;$O$28&amp;"|meta",'_views'!$A:$A,0),"")</f>
        <v/>
      </c>
      <c r="P29">
        <f>IF($O$29="","",IF(INDEX('_views'!$B:$ZZ,$O$29,2)="","",INDEX('_views'!$B:$ZZ,$O$29,2)))</f>
        <v/>
      </c>
    </row>
    <row r="30" ht="20" customHeight="1">
      <c r="B30" s="126">
        <f>$B$28&amp;", value vs rest"</f>
        <v/>
      </c>
      <c r="C30" s="26" t="n"/>
      <c r="D30" s="26" t="n"/>
      <c r="E30" s="26" t="n"/>
      <c r="F30" s="26" t="n"/>
      <c r="H30" s="126" t="inlineStr">
        <is>
          <t>p-value per pocket</t>
        </is>
      </c>
      <c r="I30" s="26" t="n"/>
      <c r="J30" s="26" t="n"/>
      <c r="K30" s="26" t="n"/>
      <c r="L30" s="26" t="n"/>
      <c r="O30">
        <f>IFERROR(MATCH("S|"&amp;$B$16&amp;"|rows",'_views'!$A:$A,0),"")</f>
        <v/>
      </c>
    </row>
    <row r="31">
      <c r="B31" s="5" t="n"/>
      <c r="C31" s="30">
        <f>IF($O$31="","",IF(INDEX('_views'!$B:$ZZ,$O$31,1)="","",INDEX('_views'!$B:$ZZ,$O$31,1)))</f>
        <v/>
      </c>
      <c r="D31" s="30">
        <f>IF($O$31="","",IF(INDEX('_views'!$B:$ZZ,$O$31,2)="","",INDEX('_views'!$B:$ZZ,$O$31,2)))</f>
        <v/>
      </c>
      <c r="E31" s="30">
        <f>IF($O$31="","",IF(INDEX('_views'!$B:$ZZ,$O$31,3)="","",INDEX('_views'!$B:$ZZ,$O$31,3)))</f>
        <v/>
      </c>
      <c r="F31" s="30">
        <f>IF($O$31="","",IF(INDEX('_views'!$B:$ZZ,$O$31,4)="","",INDEX('_views'!$B:$ZZ,$O$31,4)))</f>
        <v/>
      </c>
      <c r="H31" s="5" t="n"/>
      <c r="I31" s="30">
        <f>IF($O$31="","",IF(INDEX('_views'!$B:$ZZ,$O$31,1)="","",INDEX('_views'!$B:$ZZ,$O$31,1)))</f>
        <v/>
      </c>
      <c r="J31" s="30">
        <f>IF($O$31="","",IF(INDEX('_views'!$B:$ZZ,$O$31,2)="","",INDEX('_views'!$B:$ZZ,$O$31,2)))</f>
        <v/>
      </c>
      <c r="K31" s="30">
        <f>IF($O$31="","",IF(INDEX('_views'!$B:$ZZ,$O$31,3)="","",INDEX('_views'!$B:$ZZ,$O$31,3)))</f>
        <v/>
      </c>
      <c r="L31" s="30">
        <f>IF($O$31="","",IF(INDEX('_views'!$B:$ZZ,$O$31,4)="","",INDEX('_views'!$B:$ZZ,$O$31,4)))</f>
        <v/>
      </c>
      <c r="O31">
        <f>IFERROR(MATCH("S|"&amp;$B$16&amp;"|cols",'_views'!$A:$A,0),"")</f>
        <v/>
      </c>
    </row>
    <row r="32" ht="16" customHeight="1">
      <c r="B32" s="112">
        <f>IF($O$30="","",IF(INDEX('_views'!$B:$ZZ,$O$30,1)="","",INDEX('_views'!$B:$ZZ,$O$30,1)))</f>
        <v/>
      </c>
      <c r="C32" s="115">
        <f>IF(IF($Q32="","",IF(INDEX('_views'!$B:$ZZ,$Q32,1)="","",INDEX('_views'!$B:$ZZ,$Q32,1)))="","",IF(AND(ISNUMBER(IF($R32="","",IF(INDEX('_views'!$B:$ZZ,$R32,1)="","",INDEX('_views'!$B:$ZZ,$R32,1)))),IF($R32="","",IF(INDEX('_views'!$B:$ZZ,$R32,1)="","",INDEX('_views'!$B:$ZZ,$R32,1)))&lt;significance_bar),IF($Q32="","",IF(INDEX('_views'!$B:$ZZ,$Q32,1)="","",INDEX('_views'!$B:$ZZ,$Q32,1))),IF($P$28="pts","("&amp;TEXT(IF($Q32="","",IF(INDEX('_views'!$B:$ZZ,$Q32,1)="","",INDEX('_views'!$B:$ZZ,$Q32,1))),"+0.00;-0.00")&amp;" pts)","("&amp;TEXT(IF($Q32="","",IF(INDEX('_views'!$B:$ZZ,$Q32,1)="","",INDEX('_views'!$B:$ZZ,$Q32,1))),"0.00")&amp;"×)")))</f>
        <v/>
      </c>
      <c r="D32" s="115">
        <f>IF(IF($Q32="","",IF(INDEX('_views'!$B:$ZZ,$Q32,2)="","",INDEX('_views'!$B:$ZZ,$Q32,2)))="","",IF(AND(ISNUMBER(IF($R32="","",IF(INDEX('_views'!$B:$ZZ,$R32,2)="","",INDEX('_views'!$B:$ZZ,$R32,2)))),IF($R32="","",IF(INDEX('_views'!$B:$ZZ,$R32,2)="","",INDEX('_views'!$B:$ZZ,$R32,2)))&lt;significance_bar),IF($Q32="","",IF(INDEX('_views'!$B:$ZZ,$Q32,2)="","",INDEX('_views'!$B:$ZZ,$Q32,2))),IF($P$28="pts","("&amp;TEXT(IF($Q32="","",IF(INDEX('_views'!$B:$ZZ,$Q32,2)="","",INDEX('_views'!$B:$ZZ,$Q32,2))),"+0.00;-0.00")&amp;" pts)","("&amp;TEXT(IF($Q32="","",IF(INDEX('_views'!$B:$ZZ,$Q32,2)="","",INDEX('_views'!$B:$ZZ,$Q32,2))),"0.00")&amp;"×)")))</f>
        <v/>
      </c>
      <c r="E32" s="115">
        <f>IF(IF($Q32="","",IF(INDEX('_views'!$B:$ZZ,$Q32,3)="","",INDEX('_views'!$B:$ZZ,$Q32,3)))="","",IF(AND(ISNUMBER(IF($R32="","",IF(INDEX('_views'!$B:$ZZ,$R32,3)="","",INDEX('_views'!$B:$ZZ,$R32,3)))),IF($R32="","",IF(INDEX('_views'!$B:$ZZ,$R32,3)="","",INDEX('_views'!$B:$ZZ,$R32,3)))&lt;significance_bar),IF($Q32="","",IF(INDEX('_views'!$B:$ZZ,$Q32,3)="","",INDEX('_views'!$B:$ZZ,$Q32,3))),IF($P$28="pts","("&amp;TEXT(IF($Q32="","",IF(INDEX('_views'!$B:$ZZ,$Q32,3)="","",INDEX('_views'!$B:$ZZ,$Q32,3))),"+0.00;-0.00")&amp;" pts)","("&amp;TEXT(IF($Q32="","",IF(INDEX('_views'!$B:$ZZ,$Q32,3)="","",INDEX('_views'!$B:$ZZ,$Q32,3))),"0.00")&amp;"×)")))</f>
        <v/>
      </c>
      <c r="F32" s="115">
        <f>IF(IF($Q32="","",IF(INDEX('_views'!$B:$ZZ,$Q32,4)="","",INDEX('_views'!$B:$ZZ,$Q32,4)))="","",IF(AND(ISNUMBER(IF($R32="","",IF(INDEX('_views'!$B:$ZZ,$R32,4)="","",INDEX('_views'!$B:$ZZ,$R32,4)))),IF($R32="","",IF(INDEX('_views'!$B:$ZZ,$R32,4)="","",INDEX('_views'!$B:$ZZ,$R32,4)))&lt;significance_bar),IF($Q32="","",IF(INDEX('_views'!$B:$ZZ,$Q32,4)="","",INDEX('_views'!$B:$ZZ,$Q32,4))),IF($P$28="pts","("&amp;TEXT(IF($Q32="","",IF(INDEX('_views'!$B:$ZZ,$Q32,4)="","",INDEX('_views'!$B:$ZZ,$Q32,4))),"+0.00;-0.00")&amp;" pts)","("&amp;TEXT(IF($Q32="","",IF(INDEX('_views'!$B:$ZZ,$Q32,4)="","",INDEX('_views'!$B:$ZZ,$Q32,4))),"0.00")&amp;"×)")))</f>
        <v/>
      </c>
      <c r="H32" s="112">
        <f>IF($O$30="","",IF(INDEX('_views'!$B:$ZZ,$O$30,1)="","",INDEX('_views'!$B:$ZZ,$O$30,1)))</f>
        <v/>
      </c>
      <c r="I32" s="117">
        <f>IF($R32="","",IF(INDEX('_views'!$B:$ZZ,$R32,1)="","",INDEX('_views'!$B:$ZZ,$R32,1)))</f>
        <v/>
      </c>
      <c r="J32" s="117">
        <f>IF($R32="","",IF(INDEX('_views'!$B:$ZZ,$R32,2)="","",INDEX('_views'!$B:$ZZ,$R32,2)))</f>
        <v/>
      </c>
      <c r="K32" s="117">
        <f>IF($R32="","",IF(INDEX('_views'!$B:$ZZ,$R32,3)="","",INDEX('_views'!$B:$ZZ,$R32,3)))</f>
        <v/>
      </c>
      <c r="L32" s="117">
        <f>IF($R32="","",IF(INDEX('_views'!$B:$ZZ,$R32,4)="","",INDEX('_views'!$B:$ZZ,$R32,4)))</f>
        <v/>
      </c>
      <c r="Q32">
        <f>IFERROR(MATCH("S|"&amp;$B$16&amp;"|"&amp;$O$28&amp;"|v|1",'_views'!$A:$A,0),"")</f>
        <v/>
      </c>
      <c r="R32">
        <f>IFERROR(MATCH("S|"&amp;$B$16&amp;"|"&amp;$O$28&amp;"|p|1",'_views'!$A:$A,0),"")</f>
        <v/>
      </c>
    </row>
    <row r="33" ht="16" customHeight="1">
      <c r="B33" s="112">
        <f>IF($O$30="","",IF(INDEX('_views'!$B:$ZZ,$O$30,2)="","",INDEX('_views'!$B:$ZZ,$O$30,2)))</f>
        <v/>
      </c>
      <c r="C33" s="115">
        <f>IF(IF($Q33="","",IF(INDEX('_views'!$B:$ZZ,$Q33,1)="","",INDEX('_views'!$B:$ZZ,$Q33,1)))="","",IF(AND(ISNUMBER(IF($R33="","",IF(INDEX('_views'!$B:$ZZ,$R33,1)="","",INDEX('_views'!$B:$ZZ,$R33,1)))),IF($R33="","",IF(INDEX('_views'!$B:$ZZ,$R33,1)="","",INDEX('_views'!$B:$ZZ,$R33,1)))&lt;significance_bar),IF($Q33="","",IF(INDEX('_views'!$B:$ZZ,$Q33,1)="","",INDEX('_views'!$B:$ZZ,$Q33,1))),IF($P$28="pts","("&amp;TEXT(IF($Q33="","",IF(INDEX('_views'!$B:$ZZ,$Q33,1)="","",INDEX('_views'!$B:$ZZ,$Q33,1))),"+0.00;-0.00")&amp;" pts)","("&amp;TEXT(IF($Q33="","",IF(INDEX('_views'!$B:$ZZ,$Q33,1)="","",INDEX('_views'!$B:$ZZ,$Q33,1))),"0.00")&amp;"×)")))</f>
        <v/>
      </c>
      <c r="D33" s="115">
        <f>IF(IF($Q33="","",IF(INDEX('_views'!$B:$ZZ,$Q33,2)="","",INDEX('_views'!$B:$ZZ,$Q33,2)))="","",IF(AND(ISNUMBER(IF($R33="","",IF(INDEX('_views'!$B:$ZZ,$R33,2)="","",INDEX('_views'!$B:$ZZ,$R33,2)))),IF($R33="","",IF(INDEX('_views'!$B:$ZZ,$R33,2)="","",INDEX('_views'!$B:$ZZ,$R33,2)))&lt;significance_bar),IF($Q33="","",IF(INDEX('_views'!$B:$ZZ,$Q33,2)="","",INDEX('_views'!$B:$ZZ,$Q33,2))),IF($P$28="pts","("&amp;TEXT(IF($Q33="","",IF(INDEX('_views'!$B:$ZZ,$Q33,2)="","",INDEX('_views'!$B:$ZZ,$Q33,2))),"+0.00;-0.00")&amp;" pts)","("&amp;TEXT(IF($Q33="","",IF(INDEX('_views'!$B:$ZZ,$Q33,2)="","",INDEX('_views'!$B:$ZZ,$Q33,2))),"0.00")&amp;"×)")))</f>
        <v/>
      </c>
      <c r="E33" s="115">
        <f>IF(IF($Q33="","",IF(INDEX('_views'!$B:$ZZ,$Q33,3)="","",INDEX('_views'!$B:$ZZ,$Q33,3)))="","",IF(AND(ISNUMBER(IF($R33="","",IF(INDEX('_views'!$B:$ZZ,$R33,3)="","",INDEX('_views'!$B:$ZZ,$R33,3)))),IF($R33="","",IF(INDEX('_views'!$B:$ZZ,$R33,3)="","",INDEX('_views'!$B:$ZZ,$R33,3)))&lt;significance_bar),IF($Q33="","",IF(INDEX('_views'!$B:$ZZ,$Q33,3)="","",INDEX('_views'!$B:$ZZ,$Q33,3))),IF($P$28="pts","("&amp;TEXT(IF($Q33="","",IF(INDEX('_views'!$B:$ZZ,$Q33,3)="","",INDEX('_views'!$B:$ZZ,$Q33,3))),"+0.00;-0.00")&amp;" pts)","("&amp;TEXT(IF($Q33="","",IF(INDEX('_views'!$B:$ZZ,$Q33,3)="","",INDEX('_views'!$B:$ZZ,$Q33,3))),"0.00")&amp;"×)")))</f>
        <v/>
      </c>
      <c r="F33" s="115">
        <f>IF(IF($Q33="","",IF(INDEX('_views'!$B:$ZZ,$Q33,4)="","",INDEX('_views'!$B:$ZZ,$Q33,4)))="","",IF(AND(ISNUMBER(IF($R33="","",IF(INDEX('_views'!$B:$ZZ,$R33,4)="","",INDEX('_views'!$B:$ZZ,$R33,4)))),IF($R33="","",IF(INDEX('_views'!$B:$ZZ,$R33,4)="","",INDEX('_views'!$B:$ZZ,$R33,4)))&lt;significance_bar),IF($Q33="","",IF(INDEX('_views'!$B:$ZZ,$Q33,4)="","",INDEX('_views'!$B:$ZZ,$Q33,4))),IF($P$28="pts","("&amp;TEXT(IF($Q33="","",IF(INDEX('_views'!$B:$ZZ,$Q33,4)="","",INDEX('_views'!$B:$ZZ,$Q33,4))),"+0.00;-0.00")&amp;" pts)","("&amp;TEXT(IF($Q33="","",IF(INDEX('_views'!$B:$ZZ,$Q33,4)="","",INDEX('_views'!$B:$ZZ,$Q33,4))),"0.00")&amp;"×)")))</f>
        <v/>
      </c>
      <c r="H33" s="112">
        <f>IF($O$30="","",IF(INDEX('_views'!$B:$ZZ,$O$30,2)="","",INDEX('_views'!$B:$ZZ,$O$30,2)))</f>
        <v/>
      </c>
      <c r="I33" s="117">
        <f>IF($R33="","",IF(INDEX('_views'!$B:$ZZ,$R33,1)="","",INDEX('_views'!$B:$ZZ,$R33,1)))</f>
        <v/>
      </c>
      <c r="J33" s="117">
        <f>IF($R33="","",IF(INDEX('_views'!$B:$ZZ,$R33,2)="","",INDEX('_views'!$B:$ZZ,$R33,2)))</f>
        <v/>
      </c>
      <c r="K33" s="117">
        <f>IF($R33="","",IF(INDEX('_views'!$B:$ZZ,$R33,3)="","",INDEX('_views'!$B:$ZZ,$R33,3)))</f>
        <v/>
      </c>
      <c r="L33" s="117">
        <f>IF($R33="","",IF(INDEX('_views'!$B:$ZZ,$R33,4)="","",INDEX('_views'!$B:$ZZ,$R33,4)))</f>
        <v/>
      </c>
      <c r="Q33">
        <f>IFERROR(MATCH("S|"&amp;$B$16&amp;"|"&amp;$O$28&amp;"|v|2",'_views'!$A:$A,0),"")</f>
        <v/>
      </c>
      <c r="R33">
        <f>IFERROR(MATCH("S|"&amp;$B$16&amp;"|"&amp;$O$28&amp;"|p|2",'_views'!$A:$A,0),"")</f>
        <v/>
      </c>
    </row>
    <row r="34" ht="16" customHeight="1">
      <c r="B34" s="112">
        <f>IF($O$30="","",IF(INDEX('_views'!$B:$ZZ,$O$30,3)="","",INDEX('_views'!$B:$ZZ,$O$30,3)))</f>
        <v/>
      </c>
      <c r="C34" s="115">
        <f>IF(IF($Q34="","",IF(INDEX('_views'!$B:$ZZ,$Q34,1)="","",INDEX('_views'!$B:$ZZ,$Q34,1)))="","",IF(AND(ISNUMBER(IF($R34="","",IF(INDEX('_views'!$B:$ZZ,$R34,1)="","",INDEX('_views'!$B:$ZZ,$R34,1)))),IF($R34="","",IF(INDEX('_views'!$B:$ZZ,$R34,1)="","",INDEX('_views'!$B:$ZZ,$R34,1)))&lt;significance_bar),IF($Q34="","",IF(INDEX('_views'!$B:$ZZ,$Q34,1)="","",INDEX('_views'!$B:$ZZ,$Q34,1))),IF($P$28="pts","("&amp;TEXT(IF($Q34="","",IF(INDEX('_views'!$B:$ZZ,$Q34,1)="","",INDEX('_views'!$B:$ZZ,$Q34,1))),"+0.00;-0.00")&amp;" pts)","("&amp;TEXT(IF($Q34="","",IF(INDEX('_views'!$B:$ZZ,$Q34,1)="","",INDEX('_views'!$B:$ZZ,$Q34,1))),"0.00")&amp;"×)")))</f>
        <v/>
      </c>
      <c r="D34" s="115">
        <f>IF(IF($Q34="","",IF(INDEX('_views'!$B:$ZZ,$Q34,2)="","",INDEX('_views'!$B:$ZZ,$Q34,2)))="","",IF(AND(ISNUMBER(IF($R34="","",IF(INDEX('_views'!$B:$ZZ,$R34,2)="","",INDEX('_views'!$B:$ZZ,$R34,2)))),IF($R34="","",IF(INDEX('_views'!$B:$ZZ,$R34,2)="","",INDEX('_views'!$B:$ZZ,$R34,2)))&lt;significance_bar),IF($Q34="","",IF(INDEX('_views'!$B:$ZZ,$Q34,2)="","",INDEX('_views'!$B:$ZZ,$Q34,2))),IF($P$28="pts","("&amp;TEXT(IF($Q34="","",IF(INDEX('_views'!$B:$ZZ,$Q34,2)="","",INDEX('_views'!$B:$ZZ,$Q34,2))),"+0.00;-0.00")&amp;" pts)","("&amp;TEXT(IF($Q34="","",IF(INDEX('_views'!$B:$ZZ,$Q34,2)="","",INDEX('_views'!$B:$ZZ,$Q34,2))),"0.00")&amp;"×)")))</f>
        <v/>
      </c>
      <c r="E34" s="115">
        <f>IF(IF($Q34="","",IF(INDEX('_views'!$B:$ZZ,$Q34,3)="","",INDEX('_views'!$B:$ZZ,$Q34,3)))="","",IF(AND(ISNUMBER(IF($R34="","",IF(INDEX('_views'!$B:$ZZ,$R34,3)="","",INDEX('_views'!$B:$ZZ,$R34,3)))),IF($R34="","",IF(INDEX('_views'!$B:$ZZ,$R34,3)="","",INDEX('_views'!$B:$ZZ,$R34,3)))&lt;significance_bar),IF($Q34="","",IF(INDEX('_views'!$B:$ZZ,$Q34,3)="","",INDEX('_views'!$B:$ZZ,$Q34,3))),IF($P$28="pts","("&amp;TEXT(IF($Q34="","",IF(INDEX('_views'!$B:$ZZ,$Q34,3)="","",INDEX('_views'!$B:$ZZ,$Q34,3))),"+0.00;-0.00")&amp;" pts)","("&amp;TEXT(IF($Q34="","",IF(INDEX('_views'!$B:$ZZ,$Q34,3)="","",INDEX('_views'!$B:$ZZ,$Q34,3))),"0.00")&amp;"×)")))</f>
        <v/>
      </c>
      <c r="F34" s="115">
        <f>IF(IF($Q34="","",IF(INDEX('_views'!$B:$ZZ,$Q34,4)="","",INDEX('_views'!$B:$ZZ,$Q34,4)))="","",IF(AND(ISNUMBER(IF($R34="","",IF(INDEX('_views'!$B:$ZZ,$R34,4)="","",INDEX('_views'!$B:$ZZ,$R34,4)))),IF($R34="","",IF(INDEX('_views'!$B:$ZZ,$R34,4)="","",INDEX('_views'!$B:$ZZ,$R34,4)))&lt;significance_bar),IF($Q34="","",IF(INDEX('_views'!$B:$ZZ,$Q34,4)="","",INDEX('_views'!$B:$ZZ,$Q34,4))),IF($P$28="pts","("&amp;TEXT(IF($Q34="","",IF(INDEX('_views'!$B:$ZZ,$Q34,4)="","",INDEX('_views'!$B:$ZZ,$Q34,4))),"+0.00;-0.00")&amp;" pts)","("&amp;TEXT(IF($Q34="","",IF(INDEX('_views'!$B:$ZZ,$Q34,4)="","",INDEX('_views'!$B:$ZZ,$Q34,4))),"0.00")&amp;"×)")))</f>
        <v/>
      </c>
      <c r="H34" s="112">
        <f>IF($O$30="","",IF(INDEX('_views'!$B:$ZZ,$O$30,3)="","",INDEX('_views'!$B:$ZZ,$O$30,3)))</f>
        <v/>
      </c>
      <c r="I34" s="117">
        <f>IF($R34="","",IF(INDEX('_views'!$B:$ZZ,$R34,1)="","",INDEX('_views'!$B:$ZZ,$R34,1)))</f>
        <v/>
      </c>
      <c r="J34" s="117">
        <f>IF($R34="","",IF(INDEX('_views'!$B:$ZZ,$R34,2)="","",INDEX('_views'!$B:$ZZ,$R34,2)))</f>
        <v/>
      </c>
      <c r="K34" s="117">
        <f>IF($R34="","",IF(INDEX('_views'!$B:$ZZ,$R34,3)="","",INDEX('_views'!$B:$ZZ,$R34,3)))</f>
        <v/>
      </c>
      <c r="L34" s="117">
        <f>IF($R34="","",IF(INDEX('_views'!$B:$ZZ,$R34,4)="","",INDEX('_views'!$B:$ZZ,$R34,4)))</f>
        <v/>
      </c>
      <c r="Q34">
        <f>IFERROR(MATCH("S|"&amp;$B$16&amp;"|"&amp;$O$28&amp;"|v|3",'_views'!$A:$A,0),"")</f>
        <v/>
      </c>
      <c r="R34">
        <f>IFERROR(MATCH("S|"&amp;$B$16&amp;"|"&amp;$O$28&amp;"|p|3",'_views'!$A:$A,0),"")</f>
        <v/>
      </c>
    </row>
    <row r="35" ht="16" customHeight="1">
      <c r="B35" s="112">
        <f>IF($O$30="","",IF(INDEX('_views'!$B:$ZZ,$O$30,4)="","",INDEX('_views'!$B:$ZZ,$O$30,4)))</f>
        <v/>
      </c>
      <c r="C35" s="115">
        <f>IF(IF($Q35="","",IF(INDEX('_views'!$B:$ZZ,$Q35,1)="","",INDEX('_views'!$B:$ZZ,$Q35,1)))="","",IF(AND(ISNUMBER(IF($R35="","",IF(INDEX('_views'!$B:$ZZ,$R35,1)="","",INDEX('_views'!$B:$ZZ,$R35,1)))),IF($R35="","",IF(INDEX('_views'!$B:$ZZ,$R35,1)="","",INDEX('_views'!$B:$ZZ,$R35,1)))&lt;significance_bar),IF($Q35="","",IF(INDEX('_views'!$B:$ZZ,$Q35,1)="","",INDEX('_views'!$B:$ZZ,$Q35,1))),IF($P$28="pts","("&amp;TEXT(IF($Q35="","",IF(INDEX('_views'!$B:$ZZ,$Q35,1)="","",INDEX('_views'!$B:$ZZ,$Q35,1))),"+0.00;-0.00")&amp;" pts)","("&amp;TEXT(IF($Q35="","",IF(INDEX('_views'!$B:$ZZ,$Q35,1)="","",INDEX('_views'!$B:$ZZ,$Q35,1))),"0.00")&amp;"×)")))</f>
        <v/>
      </c>
      <c r="D35" s="115">
        <f>IF(IF($Q35="","",IF(INDEX('_views'!$B:$ZZ,$Q35,2)="","",INDEX('_views'!$B:$ZZ,$Q35,2)))="","",IF(AND(ISNUMBER(IF($R35="","",IF(INDEX('_views'!$B:$ZZ,$R35,2)="","",INDEX('_views'!$B:$ZZ,$R35,2)))),IF($R35="","",IF(INDEX('_views'!$B:$ZZ,$R35,2)="","",INDEX('_views'!$B:$ZZ,$R35,2)))&lt;significance_bar),IF($Q35="","",IF(INDEX('_views'!$B:$ZZ,$Q35,2)="","",INDEX('_views'!$B:$ZZ,$Q35,2))),IF($P$28="pts","("&amp;TEXT(IF($Q35="","",IF(INDEX('_views'!$B:$ZZ,$Q35,2)="","",INDEX('_views'!$B:$ZZ,$Q35,2))),"+0.00;-0.00")&amp;" pts)","("&amp;TEXT(IF($Q35="","",IF(INDEX('_views'!$B:$ZZ,$Q35,2)="","",INDEX('_views'!$B:$ZZ,$Q35,2))),"0.00")&amp;"×)")))</f>
        <v/>
      </c>
      <c r="E35" s="115">
        <f>IF(IF($Q35="","",IF(INDEX('_views'!$B:$ZZ,$Q35,3)="","",INDEX('_views'!$B:$ZZ,$Q35,3)))="","",IF(AND(ISNUMBER(IF($R35="","",IF(INDEX('_views'!$B:$ZZ,$R35,3)="","",INDEX('_views'!$B:$ZZ,$R35,3)))),IF($R35="","",IF(INDEX('_views'!$B:$ZZ,$R35,3)="","",INDEX('_views'!$B:$ZZ,$R35,3)))&lt;significance_bar),IF($Q35="","",IF(INDEX('_views'!$B:$ZZ,$Q35,3)="","",INDEX('_views'!$B:$ZZ,$Q35,3))),IF($P$28="pts","("&amp;TEXT(IF($Q35="","",IF(INDEX('_views'!$B:$ZZ,$Q35,3)="","",INDEX('_views'!$B:$ZZ,$Q35,3))),"+0.00;-0.00")&amp;" pts)","("&amp;TEXT(IF($Q35="","",IF(INDEX('_views'!$B:$ZZ,$Q35,3)="","",INDEX('_views'!$B:$ZZ,$Q35,3))),"0.00")&amp;"×)")))</f>
        <v/>
      </c>
      <c r="F35" s="115">
        <f>IF(IF($Q35="","",IF(INDEX('_views'!$B:$ZZ,$Q35,4)="","",INDEX('_views'!$B:$ZZ,$Q35,4)))="","",IF(AND(ISNUMBER(IF($R35="","",IF(INDEX('_views'!$B:$ZZ,$R35,4)="","",INDEX('_views'!$B:$ZZ,$R35,4)))),IF($R35="","",IF(INDEX('_views'!$B:$ZZ,$R35,4)="","",INDEX('_views'!$B:$ZZ,$R35,4)))&lt;significance_bar),IF($Q35="","",IF(INDEX('_views'!$B:$ZZ,$Q35,4)="","",INDEX('_views'!$B:$ZZ,$Q35,4))),IF($P$28="pts","("&amp;TEXT(IF($Q35="","",IF(INDEX('_views'!$B:$ZZ,$Q35,4)="","",INDEX('_views'!$B:$ZZ,$Q35,4))),"+0.00;-0.00")&amp;" pts)","("&amp;TEXT(IF($Q35="","",IF(INDEX('_views'!$B:$ZZ,$Q35,4)="","",INDEX('_views'!$B:$ZZ,$Q35,4))),"0.00")&amp;"×)")))</f>
        <v/>
      </c>
      <c r="H35" s="112">
        <f>IF($O$30="","",IF(INDEX('_views'!$B:$ZZ,$O$30,4)="","",INDEX('_views'!$B:$ZZ,$O$30,4)))</f>
        <v/>
      </c>
      <c r="I35" s="117">
        <f>IF($R35="","",IF(INDEX('_views'!$B:$ZZ,$R35,1)="","",INDEX('_views'!$B:$ZZ,$R35,1)))</f>
        <v/>
      </c>
      <c r="J35" s="117">
        <f>IF($R35="","",IF(INDEX('_views'!$B:$ZZ,$R35,2)="","",INDEX('_views'!$B:$ZZ,$R35,2)))</f>
        <v/>
      </c>
      <c r="K35" s="117">
        <f>IF($R35="","",IF(INDEX('_views'!$B:$ZZ,$R35,3)="","",INDEX('_views'!$B:$ZZ,$R35,3)))</f>
        <v/>
      </c>
      <c r="L35" s="117">
        <f>IF($R35="","",IF(INDEX('_views'!$B:$ZZ,$R35,4)="","",INDEX('_views'!$B:$ZZ,$R35,4)))</f>
        <v/>
      </c>
      <c r="Q35">
        <f>IFERROR(MATCH("S|"&amp;$B$16&amp;"|"&amp;$O$28&amp;"|v|4",'_views'!$A:$A,0),"")</f>
        <v/>
      </c>
      <c r="R35">
        <f>IFERROR(MATCH("S|"&amp;$B$16&amp;"|"&amp;$O$28&amp;"|p|4",'_views'!$A:$A,0),"")</f>
        <v/>
      </c>
    </row>
    <row r="36" ht="16" customHeight="1">
      <c r="B36" s="112">
        <f>IF($O$30="","",IF(INDEX('_views'!$B:$ZZ,$O$30,5)="","",INDEX('_views'!$B:$ZZ,$O$30,5)))</f>
        <v/>
      </c>
      <c r="C36" s="115">
        <f>IF(IF($Q36="","",IF(INDEX('_views'!$B:$ZZ,$Q36,1)="","",INDEX('_views'!$B:$ZZ,$Q36,1)))="","",IF(AND(ISNUMBER(IF($R36="","",IF(INDEX('_views'!$B:$ZZ,$R36,1)="","",INDEX('_views'!$B:$ZZ,$R36,1)))),IF($R36="","",IF(INDEX('_views'!$B:$ZZ,$R36,1)="","",INDEX('_views'!$B:$ZZ,$R36,1)))&lt;significance_bar),IF($Q36="","",IF(INDEX('_views'!$B:$ZZ,$Q36,1)="","",INDEX('_views'!$B:$ZZ,$Q36,1))),IF($P$28="pts","("&amp;TEXT(IF($Q36="","",IF(INDEX('_views'!$B:$ZZ,$Q36,1)="","",INDEX('_views'!$B:$ZZ,$Q36,1))),"+0.00;-0.00")&amp;" pts)","("&amp;TEXT(IF($Q36="","",IF(INDEX('_views'!$B:$ZZ,$Q36,1)="","",INDEX('_views'!$B:$ZZ,$Q36,1))),"0.00")&amp;"×)")))</f>
        <v/>
      </c>
      <c r="D36" s="115">
        <f>IF(IF($Q36="","",IF(INDEX('_views'!$B:$ZZ,$Q36,2)="","",INDEX('_views'!$B:$ZZ,$Q36,2)))="","",IF(AND(ISNUMBER(IF($R36="","",IF(INDEX('_views'!$B:$ZZ,$R36,2)="","",INDEX('_views'!$B:$ZZ,$R36,2)))),IF($R36="","",IF(INDEX('_views'!$B:$ZZ,$R36,2)="","",INDEX('_views'!$B:$ZZ,$R36,2)))&lt;significance_bar),IF($Q36="","",IF(INDEX('_views'!$B:$ZZ,$Q36,2)="","",INDEX('_views'!$B:$ZZ,$Q36,2))),IF($P$28="pts","("&amp;TEXT(IF($Q36="","",IF(INDEX('_views'!$B:$ZZ,$Q36,2)="","",INDEX('_views'!$B:$ZZ,$Q36,2))),"+0.00;-0.00")&amp;" pts)","("&amp;TEXT(IF($Q36="","",IF(INDEX('_views'!$B:$ZZ,$Q36,2)="","",INDEX('_views'!$B:$ZZ,$Q36,2))),"0.00")&amp;"×)")))</f>
        <v/>
      </c>
      <c r="E36" s="115">
        <f>IF(IF($Q36="","",IF(INDEX('_views'!$B:$ZZ,$Q36,3)="","",INDEX('_views'!$B:$ZZ,$Q36,3)))="","",IF(AND(ISNUMBER(IF($R36="","",IF(INDEX('_views'!$B:$ZZ,$R36,3)="","",INDEX('_views'!$B:$ZZ,$R36,3)))),IF($R36="","",IF(INDEX('_views'!$B:$ZZ,$R36,3)="","",INDEX('_views'!$B:$ZZ,$R36,3)))&lt;significance_bar),IF($Q36="","",IF(INDEX('_views'!$B:$ZZ,$Q36,3)="","",INDEX('_views'!$B:$ZZ,$Q36,3))),IF($P$28="pts","("&amp;TEXT(IF($Q36="","",IF(INDEX('_views'!$B:$ZZ,$Q36,3)="","",INDEX('_views'!$B:$ZZ,$Q36,3))),"+0.00;-0.00")&amp;" pts)","("&amp;TEXT(IF($Q36="","",IF(INDEX('_views'!$B:$ZZ,$Q36,3)="","",INDEX('_views'!$B:$ZZ,$Q36,3))),"0.00")&amp;"×)")))</f>
        <v/>
      </c>
      <c r="F36" s="115">
        <f>IF(IF($Q36="","",IF(INDEX('_views'!$B:$ZZ,$Q36,4)="","",INDEX('_views'!$B:$ZZ,$Q36,4)))="","",IF(AND(ISNUMBER(IF($R36="","",IF(INDEX('_views'!$B:$ZZ,$R36,4)="","",INDEX('_views'!$B:$ZZ,$R36,4)))),IF($R36="","",IF(INDEX('_views'!$B:$ZZ,$R36,4)="","",INDEX('_views'!$B:$ZZ,$R36,4)))&lt;significance_bar),IF($Q36="","",IF(INDEX('_views'!$B:$ZZ,$Q36,4)="","",INDEX('_views'!$B:$ZZ,$Q36,4))),IF($P$28="pts","("&amp;TEXT(IF($Q36="","",IF(INDEX('_views'!$B:$ZZ,$Q36,4)="","",INDEX('_views'!$B:$ZZ,$Q36,4))),"+0.00;-0.00")&amp;" pts)","("&amp;TEXT(IF($Q36="","",IF(INDEX('_views'!$B:$ZZ,$Q36,4)="","",INDEX('_views'!$B:$ZZ,$Q36,4))),"0.00")&amp;"×)")))</f>
        <v/>
      </c>
      <c r="H36" s="112">
        <f>IF($O$30="","",IF(INDEX('_views'!$B:$ZZ,$O$30,5)="","",INDEX('_views'!$B:$ZZ,$O$30,5)))</f>
        <v/>
      </c>
      <c r="I36" s="117">
        <f>IF($R36="","",IF(INDEX('_views'!$B:$ZZ,$R36,1)="","",INDEX('_views'!$B:$ZZ,$R36,1)))</f>
        <v/>
      </c>
      <c r="J36" s="117">
        <f>IF($R36="","",IF(INDEX('_views'!$B:$ZZ,$R36,2)="","",INDEX('_views'!$B:$ZZ,$R36,2)))</f>
        <v/>
      </c>
      <c r="K36" s="117">
        <f>IF($R36="","",IF(INDEX('_views'!$B:$ZZ,$R36,3)="","",INDEX('_views'!$B:$ZZ,$R36,3)))</f>
        <v/>
      </c>
      <c r="L36" s="117">
        <f>IF($R36="","",IF(INDEX('_views'!$B:$ZZ,$R36,4)="","",INDEX('_views'!$B:$ZZ,$R36,4)))</f>
        <v/>
      </c>
      <c r="Q36">
        <f>IFERROR(MATCH("S|"&amp;$B$16&amp;"|"&amp;$O$28&amp;"|v|5",'_views'!$A:$A,0),"")</f>
        <v/>
      </c>
      <c r="R36">
        <f>IFERROR(MATCH("S|"&amp;$B$16&amp;"|"&amp;$O$28&amp;"|p|5",'_views'!$A:$A,0),"")</f>
        <v/>
      </c>
    </row>
    <row r="37" ht="16" customHeight="1">
      <c r="B37" s="112">
        <f>IF($O$30="","",IF(INDEX('_views'!$B:$ZZ,$O$30,6)="","",INDEX('_views'!$B:$ZZ,$O$30,6)))</f>
        <v/>
      </c>
      <c r="C37" s="115">
        <f>IF(IF($Q37="","",IF(INDEX('_views'!$B:$ZZ,$Q37,1)="","",INDEX('_views'!$B:$ZZ,$Q37,1)))="","",IF(AND(ISNUMBER(IF($R37="","",IF(INDEX('_views'!$B:$ZZ,$R37,1)="","",INDEX('_views'!$B:$ZZ,$R37,1)))),IF($R37="","",IF(INDEX('_views'!$B:$ZZ,$R37,1)="","",INDEX('_views'!$B:$ZZ,$R37,1)))&lt;significance_bar),IF($Q37="","",IF(INDEX('_views'!$B:$ZZ,$Q37,1)="","",INDEX('_views'!$B:$ZZ,$Q37,1))),IF($P$28="pts","("&amp;TEXT(IF($Q37="","",IF(INDEX('_views'!$B:$ZZ,$Q37,1)="","",INDEX('_views'!$B:$ZZ,$Q37,1))),"+0.00;-0.00")&amp;" pts)","("&amp;TEXT(IF($Q37="","",IF(INDEX('_views'!$B:$ZZ,$Q37,1)="","",INDEX('_views'!$B:$ZZ,$Q37,1))),"0.00")&amp;"×)")))</f>
        <v/>
      </c>
      <c r="D37" s="115">
        <f>IF(IF($Q37="","",IF(INDEX('_views'!$B:$ZZ,$Q37,2)="","",INDEX('_views'!$B:$ZZ,$Q37,2)))="","",IF(AND(ISNUMBER(IF($R37="","",IF(INDEX('_views'!$B:$ZZ,$R37,2)="","",INDEX('_views'!$B:$ZZ,$R37,2)))),IF($R37="","",IF(INDEX('_views'!$B:$ZZ,$R37,2)="","",INDEX('_views'!$B:$ZZ,$R37,2)))&lt;significance_bar),IF($Q37="","",IF(INDEX('_views'!$B:$ZZ,$Q37,2)="","",INDEX('_views'!$B:$ZZ,$Q37,2))),IF($P$28="pts","("&amp;TEXT(IF($Q37="","",IF(INDEX('_views'!$B:$ZZ,$Q37,2)="","",INDEX('_views'!$B:$ZZ,$Q37,2))),"+0.00;-0.00")&amp;" pts)","("&amp;TEXT(IF($Q37="","",IF(INDEX('_views'!$B:$ZZ,$Q37,2)="","",INDEX('_views'!$B:$ZZ,$Q37,2))),"0.00")&amp;"×)")))</f>
        <v/>
      </c>
      <c r="E37" s="115">
        <f>IF(IF($Q37="","",IF(INDEX('_views'!$B:$ZZ,$Q37,3)="","",INDEX('_views'!$B:$ZZ,$Q37,3)))="","",IF(AND(ISNUMBER(IF($R37="","",IF(INDEX('_views'!$B:$ZZ,$R37,3)="","",INDEX('_views'!$B:$ZZ,$R37,3)))),IF($R37="","",IF(INDEX('_views'!$B:$ZZ,$R37,3)="","",INDEX('_views'!$B:$ZZ,$R37,3)))&lt;significance_bar),IF($Q37="","",IF(INDEX('_views'!$B:$ZZ,$Q37,3)="","",INDEX('_views'!$B:$ZZ,$Q37,3))),IF($P$28="pts","("&amp;TEXT(IF($Q37="","",IF(INDEX('_views'!$B:$ZZ,$Q37,3)="","",INDEX('_views'!$B:$ZZ,$Q37,3))),"+0.00;-0.00")&amp;" pts)","("&amp;TEXT(IF($Q37="","",IF(INDEX('_views'!$B:$ZZ,$Q37,3)="","",INDEX('_views'!$B:$ZZ,$Q37,3))),"0.00")&amp;"×)")))</f>
        <v/>
      </c>
      <c r="F37" s="115">
        <f>IF(IF($Q37="","",IF(INDEX('_views'!$B:$ZZ,$Q37,4)="","",INDEX('_views'!$B:$ZZ,$Q37,4)))="","",IF(AND(ISNUMBER(IF($R37="","",IF(INDEX('_views'!$B:$ZZ,$R37,4)="","",INDEX('_views'!$B:$ZZ,$R37,4)))),IF($R37="","",IF(INDEX('_views'!$B:$ZZ,$R37,4)="","",INDEX('_views'!$B:$ZZ,$R37,4)))&lt;significance_bar),IF($Q37="","",IF(INDEX('_views'!$B:$ZZ,$Q37,4)="","",INDEX('_views'!$B:$ZZ,$Q37,4))),IF($P$28="pts","("&amp;TEXT(IF($Q37="","",IF(INDEX('_views'!$B:$ZZ,$Q37,4)="","",INDEX('_views'!$B:$ZZ,$Q37,4))),"+0.00;-0.00")&amp;" pts)","("&amp;TEXT(IF($Q37="","",IF(INDEX('_views'!$B:$ZZ,$Q37,4)="","",INDEX('_views'!$B:$ZZ,$Q37,4))),"0.00")&amp;"×)")))</f>
        <v/>
      </c>
      <c r="H37" s="112">
        <f>IF($O$30="","",IF(INDEX('_views'!$B:$ZZ,$O$30,6)="","",INDEX('_views'!$B:$ZZ,$O$30,6)))</f>
        <v/>
      </c>
      <c r="I37" s="117">
        <f>IF($R37="","",IF(INDEX('_views'!$B:$ZZ,$R37,1)="","",INDEX('_views'!$B:$ZZ,$R37,1)))</f>
        <v/>
      </c>
      <c r="J37" s="117">
        <f>IF($R37="","",IF(INDEX('_views'!$B:$ZZ,$R37,2)="","",INDEX('_views'!$B:$ZZ,$R37,2)))</f>
        <v/>
      </c>
      <c r="K37" s="117">
        <f>IF($R37="","",IF(INDEX('_views'!$B:$ZZ,$R37,3)="","",INDEX('_views'!$B:$ZZ,$R37,3)))</f>
        <v/>
      </c>
      <c r="L37" s="117">
        <f>IF($R37="","",IF(INDEX('_views'!$B:$ZZ,$R37,4)="","",INDEX('_views'!$B:$ZZ,$R37,4)))</f>
        <v/>
      </c>
      <c r="Q37">
        <f>IFERROR(MATCH("S|"&amp;$B$16&amp;"|"&amp;$O$28&amp;"|v|6",'_views'!$A:$A,0),"")</f>
        <v/>
      </c>
      <c r="R37">
        <f>IFERROR(MATCH("S|"&amp;$B$16&amp;"|"&amp;$O$28&amp;"|p|6",'_views'!$A:$A,0),"")</f>
        <v/>
      </c>
    </row>
    <row r="38" ht="16" customHeight="1">
      <c r="B38" s="112">
        <f>IF($O$30="","",IF(INDEX('_views'!$B:$ZZ,$O$30,7)="","",INDEX('_views'!$B:$ZZ,$O$30,7)))</f>
        <v/>
      </c>
      <c r="C38" s="115">
        <f>IF(IF($Q38="","",IF(INDEX('_views'!$B:$ZZ,$Q38,1)="","",INDEX('_views'!$B:$ZZ,$Q38,1)))="","",IF(AND(ISNUMBER(IF($R38="","",IF(INDEX('_views'!$B:$ZZ,$R38,1)="","",INDEX('_views'!$B:$ZZ,$R38,1)))),IF($R38="","",IF(INDEX('_views'!$B:$ZZ,$R38,1)="","",INDEX('_views'!$B:$ZZ,$R38,1)))&lt;significance_bar),IF($Q38="","",IF(INDEX('_views'!$B:$ZZ,$Q38,1)="","",INDEX('_views'!$B:$ZZ,$Q38,1))),IF($P$28="pts","("&amp;TEXT(IF($Q38="","",IF(INDEX('_views'!$B:$ZZ,$Q38,1)="","",INDEX('_views'!$B:$ZZ,$Q38,1))),"+0.00;-0.00")&amp;" pts)","("&amp;TEXT(IF($Q38="","",IF(INDEX('_views'!$B:$ZZ,$Q38,1)="","",INDEX('_views'!$B:$ZZ,$Q38,1))),"0.00")&amp;"×)")))</f>
        <v/>
      </c>
      <c r="D38" s="115">
        <f>IF(IF($Q38="","",IF(INDEX('_views'!$B:$ZZ,$Q38,2)="","",INDEX('_views'!$B:$ZZ,$Q38,2)))="","",IF(AND(ISNUMBER(IF($R38="","",IF(INDEX('_views'!$B:$ZZ,$R38,2)="","",INDEX('_views'!$B:$ZZ,$R38,2)))),IF($R38="","",IF(INDEX('_views'!$B:$ZZ,$R38,2)="","",INDEX('_views'!$B:$ZZ,$R38,2)))&lt;significance_bar),IF($Q38="","",IF(INDEX('_views'!$B:$ZZ,$Q38,2)="","",INDEX('_views'!$B:$ZZ,$Q38,2))),IF($P$28="pts","("&amp;TEXT(IF($Q38="","",IF(INDEX('_views'!$B:$ZZ,$Q38,2)="","",INDEX('_views'!$B:$ZZ,$Q38,2))),"+0.00;-0.00")&amp;" pts)","("&amp;TEXT(IF($Q38="","",IF(INDEX('_views'!$B:$ZZ,$Q38,2)="","",INDEX('_views'!$B:$ZZ,$Q38,2))),"0.00")&amp;"×)")))</f>
        <v/>
      </c>
      <c r="E38" s="115">
        <f>IF(IF($Q38="","",IF(INDEX('_views'!$B:$ZZ,$Q38,3)="","",INDEX('_views'!$B:$ZZ,$Q38,3)))="","",IF(AND(ISNUMBER(IF($R38="","",IF(INDEX('_views'!$B:$ZZ,$R38,3)="","",INDEX('_views'!$B:$ZZ,$R38,3)))),IF($R38="","",IF(INDEX('_views'!$B:$ZZ,$R38,3)="","",INDEX('_views'!$B:$ZZ,$R38,3)))&lt;significance_bar),IF($Q38="","",IF(INDEX('_views'!$B:$ZZ,$Q38,3)="","",INDEX('_views'!$B:$ZZ,$Q38,3))),IF($P$28="pts","("&amp;TEXT(IF($Q38="","",IF(INDEX('_views'!$B:$ZZ,$Q38,3)="","",INDEX('_views'!$B:$ZZ,$Q38,3))),"+0.00;-0.00")&amp;" pts)","("&amp;TEXT(IF($Q38="","",IF(INDEX('_views'!$B:$ZZ,$Q38,3)="","",INDEX('_views'!$B:$ZZ,$Q38,3))),"0.00")&amp;"×)")))</f>
        <v/>
      </c>
      <c r="F38" s="115">
        <f>IF(IF($Q38="","",IF(INDEX('_views'!$B:$ZZ,$Q38,4)="","",INDEX('_views'!$B:$ZZ,$Q38,4)))="","",IF(AND(ISNUMBER(IF($R38="","",IF(INDEX('_views'!$B:$ZZ,$R38,4)="","",INDEX('_views'!$B:$ZZ,$R38,4)))),IF($R38="","",IF(INDEX('_views'!$B:$ZZ,$R38,4)="","",INDEX('_views'!$B:$ZZ,$R38,4)))&lt;significance_bar),IF($Q38="","",IF(INDEX('_views'!$B:$ZZ,$Q38,4)="","",INDEX('_views'!$B:$ZZ,$Q38,4))),IF($P$28="pts","("&amp;TEXT(IF($Q38="","",IF(INDEX('_views'!$B:$ZZ,$Q38,4)="","",INDEX('_views'!$B:$ZZ,$Q38,4))),"+0.00;-0.00")&amp;" pts)","("&amp;TEXT(IF($Q38="","",IF(INDEX('_views'!$B:$ZZ,$Q38,4)="","",INDEX('_views'!$B:$ZZ,$Q38,4))),"0.00")&amp;"×)")))</f>
        <v/>
      </c>
      <c r="H38" s="112">
        <f>IF($O$30="","",IF(INDEX('_views'!$B:$ZZ,$O$30,7)="","",INDEX('_views'!$B:$ZZ,$O$30,7)))</f>
        <v/>
      </c>
      <c r="I38" s="117">
        <f>IF($R38="","",IF(INDEX('_views'!$B:$ZZ,$R38,1)="","",INDEX('_views'!$B:$ZZ,$R38,1)))</f>
        <v/>
      </c>
      <c r="J38" s="117">
        <f>IF($R38="","",IF(INDEX('_views'!$B:$ZZ,$R38,2)="","",INDEX('_views'!$B:$ZZ,$R38,2)))</f>
        <v/>
      </c>
      <c r="K38" s="117">
        <f>IF($R38="","",IF(INDEX('_views'!$B:$ZZ,$R38,3)="","",INDEX('_views'!$B:$ZZ,$R38,3)))</f>
        <v/>
      </c>
      <c r="L38" s="117">
        <f>IF($R38="","",IF(INDEX('_views'!$B:$ZZ,$R38,4)="","",INDEX('_views'!$B:$ZZ,$R38,4)))</f>
        <v/>
      </c>
      <c r="Q38">
        <f>IFERROR(MATCH("S|"&amp;$B$16&amp;"|"&amp;$O$28&amp;"|v|7",'_views'!$A:$A,0),"")</f>
        <v/>
      </c>
      <c r="R38">
        <f>IFERROR(MATCH("S|"&amp;$B$16&amp;"|"&amp;$O$28&amp;"|p|7",'_views'!$A:$A,0),"")</f>
        <v/>
      </c>
    </row>
  </sheetData>
  <mergeCells count="15">
    <mergeCell ref="C5:L5"/>
    <mergeCell ref="I13:L13"/>
    <mergeCell ref="G12:H12"/>
    <mergeCell ref="C16:D16"/>
    <mergeCell ref="C8:L8"/>
    <mergeCell ref="C9:L9"/>
    <mergeCell ref="C4:L4"/>
    <mergeCell ref="B25:L25"/>
    <mergeCell ref="I12:L12"/>
    <mergeCell ref="E16:L16"/>
    <mergeCell ref="B24:L24"/>
    <mergeCell ref="C7:L7"/>
    <mergeCell ref="G13:H13"/>
    <mergeCell ref="C6:L6"/>
    <mergeCell ref="C10:L10"/>
  </mergeCells>
  <conditionalFormatting sqref="C16:D16">
    <cfRule type="expression" priority="1" dxfId="36">
      <formula>IF($N$16="","",IF(INDEX('_views'!$B:$ZZ,$N$16,2)="","",INDEX('_views'!$B:$ZZ,$N$16,2)))=1</formula>
    </cfRule>
    <cfRule type="expression" priority="2" dxfId="3">
      <formula>IF($N$16="","",IF(INDEX('_views'!$B:$ZZ,$N$16,2)="","",INDEX('_views'!$B:$ZZ,$N$16,2)))=0</formula>
    </cfRule>
  </conditionalFormatting>
  <conditionalFormatting sqref="E19">
    <cfRule type="expression" priority="3" dxfId="37">
      <formula>AND(IF($N19="","",IF(INDEX('_views'!$B:$ZZ,$N19,6)="","",INDEX('_views'!$B:$ZZ,$N19,6)))="pts",AND(ISNUMBER(E19),IFERROR(IF(IF($N19="","",IF(INDEX('_views'!$B:$ZZ,$N19,6)="","",INDEX('_views'!$B:$ZZ,$N19,6)))="pts",-E19/1,IF(IF($N19="","",IF(INDEX('_views'!$B:$ZZ,$N19,6)="","",INDEX('_views'!$B:$ZZ,$N19,6)))="x",LOG(E19,2),IF(IF($N19="","",IF(INDEX('_views'!$B:$ZZ,$N19,6)="","",INDEX('_views'!$B:$ZZ,$N19,6)))="xr",-LOG(E19,2),0))),0)&gt;=1.0))</formula>
    </cfRule>
    <cfRule type="expression" priority="4" dxfId="38">
      <formula>AND(ISNUMBER(E19),IFERROR(IF(IF($N19="","",IF(INDEX('_views'!$B:$ZZ,$N19,6)="","",INDEX('_views'!$B:$ZZ,$N19,6)))="pts",-E19/1,IF(IF($N19="","",IF(INDEX('_views'!$B:$ZZ,$N19,6)="","",INDEX('_views'!$B:$ZZ,$N19,6)))="x",LOG(E19,2),IF(IF($N19="","",IF(INDEX('_views'!$B:$ZZ,$N19,6)="","",INDEX('_views'!$B:$ZZ,$N19,6)))="xr",-LOG(E19,2),0))),0)&gt;=1.0)</formula>
    </cfRule>
    <cfRule type="expression" priority="5" dxfId="39">
      <formula>AND(IF($N19="","",IF(INDEX('_views'!$B:$ZZ,$N19,6)="","",INDEX('_views'!$B:$ZZ,$N19,6)))="pts",AND(ISNUMBER(E19),IFERROR(IF(IF($N19="","",IF(INDEX('_views'!$B:$ZZ,$N19,6)="","",INDEX('_views'!$B:$ZZ,$N19,6)))="pts",-E19/1,IF(IF($N19="","",IF(INDEX('_views'!$B:$ZZ,$N19,6)="","",INDEX('_views'!$B:$ZZ,$N19,6)))="x",LOG(E19,2),IF(IF($N19="","",IF(INDEX('_views'!$B:$ZZ,$N19,6)="","",INDEX('_views'!$B:$ZZ,$N19,6)))="xr",-LOG(E19,2),0))),0)&gt;=0.585))</formula>
    </cfRule>
    <cfRule type="expression" priority="6" dxfId="40">
      <formula>AND(ISNUMBER(E19),IFERROR(IF(IF($N19="","",IF(INDEX('_views'!$B:$ZZ,$N19,6)="","",INDEX('_views'!$B:$ZZ,$N19,6)))="pts",-E19/1,IF(IF($N19="","",IF(INDEX('_views'!$B:$ZZ,$N19,6)="","",INDEX('_views'!$B:$ZZ,$N19,6)))="x",LOG(E19,2),IF(IF($N19="","",IF(INDEX('_views'!$B:$ZZ,$N19,6)="","",INDEX('_views'!$B:$ZZ,$N19,6)))="xr",-LOG(E19,2),0))),0)&gt;=0.585)</formula>
    </cfRule>
    <cfRule type="expression" priority="7" dxfId="41">
      <formula>AND(IF($N19="","",IF(INDEX('_views'!$B:$ZZ,$N19,6)="","",INDEX('_views'!$B:$ZZ,$N19,6)))="pts",AND(ISNUMBER(E19),IFERROR(IF(IF($N19="","",IF(INDEX('_views'!$B:$ZZ,$N19,6)="","",INDEX('_views'!$B:$ZZ,$N19,6)))="pts",-E19/1,IF(IF($N19="","",IF(INDEX('_views'!$B:$ZZ,$N19,6)="","",INDEX('_views'!$B:$ZZ,$N19,6)))="x",LOG(E19,2),IF(IF($N19="","",IF(INDEX('_views'!$B:$ZZ,$N19,6)="","",INDEX('_views'!$B:$ZZ,$N19,6)))="xr",-LOG(E19,2),0))),0)&gt;=0.263))</formula>
    </cfRule>
    <cfRule type="expression" priority="8" dxfId="42">
      <formula>AND(ISNUMBER(E19),IFERROR(IF(IF($N19="","",IF(INDEX('_views'!$B:$ZZ,$N19,6)="","",INDEX('_views'!$B:$ZZ,$N19,6)))="pts",-E19/1,IF(IF($N19="","",IF(INDEX('_views'!$B:$ZZ,$N19,6)="","",INDEX('_views'!$B:$ZZ,$N19,6)))="x",LOG(E19,2),IF(IF($N19="","",IF(INDEX('_views'!$B:$ZZ,$N19,6)="","",INDEX('_views'!$B:$ZZ,$N19,6)))="xr",-LOG(E19,2),0))),0)&gt;=0.263)</formula>
    </cfRule>
    <cfRule type="expression" priority="9" dxfId="43">
      <formula>AND(IF($N19="","",IF(INDEX('_views'!$B:$ZZ,$N19,6)="","",INDEX('_views'!$B:$ZZ,$N19,6)))="pts",AND(ISNUMBER(E19),IFERROR(IF(IF($N19="","",IF(INDEX('_views'!$B:$ZZ,$N19,6)="","",INDEX('_views'!$B:$ZZ,$N19,6)))="pts",-E19/1,IF(IF($N19="","",IF(INDEX('_views'!$B:$ZZ,$N19,6)="","",INDEX('_views'!$B:$ZZ,$N19,6)))="x",LOG(E19,2),IF(IF($N19="","",IF(INDEX('_views'!$B:$ZZ,$N19,6)="","",INDEX('_views'!$B:$ZZ,$N19,6)))="xr",-LOG(E19,2),0))),0)&lt;=-0.585))</formula>
    </cfRule>
    <cfRule type="expression" priority="10" dxfId="44">
      <formula>AND(ISNUMBER(E19),IFERROR(IF(IF($N19="","",IF(INDEX('_views'!$B:$ZZ,$N19,6)="","",INDEX('_views'!$B:$ZZ,$N19,6)))="pts",-E19/1,IF(IF($N19="","",IF(INDEX('_views'!$B:$ZZ,$N19,6)="","",INDEX('_views'!$B:$ZZ,$N19,6)))="x",LOG(E19,2),IF(IF($N19="","",IF(INDEX('_views'!$B:$ZZ,$N19,6)="","",INDEX('_views'!$B:$ZZ,$N19,6)))="xr",-LOG(E19,2),0))),0)&lt;=-0.585)</formula>
    </cfRule>
    <cfRule type="expression" priority="11" dxfId="45">
      <formula>AND(IF($N19="","",IF(INDEX('_views'!$B:$ZZ,$N19,6)="","",INDEX('_views'!$B:$ZZ,$N19,6)))="pts",AND(ISNUMBER(E19),IFERROR(IF(IF($N19="","",IF(INDEX('_views'!$B:$ZZ,$N19,6)="","",INDEX('_views'!$B:$ZZ,$N19,6)))="pts",-E19/1,IF(IF($N19="","",IF(INDEX('_views'!$B:$ZZ,$N19,6)="","",INDEX('_views'!$B:$ZZ,$N19,6)))="x",LOG(E19,2),IF(IF($N19="","",IF(INDEX('_views'!$B:$ZZ,$N19,6)="","",INDEX('_views'!$B:$ZZ,$N19,6)))="xr",-LOG(E19,2),0))),0)&lt;=-0.263))</formula>
    </cfRule>
    <cfRule type="expression" priority="12" dxfId="46">
      <formula>AND(ISNUMBER(E19),IFERROR(IF(IF($N19="","",IF(INDEX('_views'!$B:$ZZ,$N19,6)="","",INDEX('_views'!$B:$ZZ,$N19,6)))="pts",-E19/1,IF(IF($N19="","",IF(INDEX('_views'!$B:$ZZ,$N19,6)="","",INDEX('_views'!$B:$ZZ,$N19,6)))="x",LOG(E19,2),IF(IF($N19="","",IF(INDEX('_views'!$B:$ZZ,$N19,6)="","",INDEX('_views'!$B:$ZZ,$N19,6)))="xr",-LOG(E19,2),0))),0)&lt;=-0.263)</formula>
    </cfRule>
    <cfRule type="expression" priority="13" dxfId="47">
      <formula>AND(IF($N19="","",IF(INDEX('_views'!$B:$ZZ,$N19,6)="","",INDEX('_views'!$B:$ZZ,$N19,6)))="pts",ISNUMBER(E19))</formula>
    </cfRule>
    <cfRule type="expression" priority="14" dxfId="48">
      <formula>ISNUMBER(E19)</formula>
    </cfRule>
  </conditionalFormatting>
  <conditionalFormatting sqref="E20">
    <cfRule type="expression" priority="15" dxfId="37">
      <formula>AND(IF($N20="","",IF(INDEX('_views'!$B:$ZZ,$N20,6)="","",INDEX('_views'!$B:$ZZ,$N20,6)))="pts",AND(ISNUMBER(E20),IFERROR(IF(IF($N20="","",IF(INDEX('_views'!$B:$ZZ,$N20,6)="","",INDEX('_views'!$B:$ZZ,$N20,6)))="pts",-E20/1,IF(IF($N20="","",IF(INDEX('_views'!$B:$ZZ,$N20,6)="","",INDEX('_views'!$B:$ZZ,$N20,6)))="x",LOG(E20,2),IF(IF($N20="","",IF(INDEX('_views'!$B:$ZZ,$N20,6)="","",INDEX('_views'!$B:$ZZ,$N20,6)))="xr",-LOG(E20,2),0))),0)&gt;=1.0))</formula>
    </cfRule>
    <cfRule type="expression" priority="16" dxfId="38">
      <formula>AND(ISNUMBER(E20),IFERROR(IF(IF($N20="","",IF(INDEX('_views'!$B:$ZZ,$N20,6)="","",INDEX('_views'!$B:$ZZ,$N20,6)))="pts",-E20/1,IF(IF($N20="","",IF(INDEX('_views'!$B:$ZZ,$N20,6)="","",INDEX('_views'!$B:$ZZ,$N20,6)))="x",LOG(E20,2),IF(IF($N20="","",IF(INDEX('_views'!$B:$ZZ,$N20,6)="","",INDEX('_views'!$B:$ZZ,$N20,6)))="xr",-LOG(E20,2),0))),0)&gt;=1.0)</formula>
    </cfRule>
    <cfRule type="expression" priority="17" dxfId="39">
      <formula>AND(IF($N20="","",IF(INDEX('_views'!$B:$ZZ,$N20,6)="","",INDEX('_views'!$B:$ZZ,$N20,6)))="pts",AND(ISNUMBER(E20),IFERROR(IF(IF($N20="","",IF(INDEX('_views'!$B:$ZZ,$N20,6)="","",INDEX('_views'!$B:$ZZ,$N20,6)))="pts",-E20/1,IF(IF($N20="","",IF(INDEX('_views'!$B:$ZZ,$N20,6)="","",INDEX('_views'!$B:$ZZ,$N20,6)))="x",LOG(E20,2),IF(IF($N20="","",IF(INDEX('_views'!$B:$ZZ,$N20,6)="","",INDEX('_views'!$B:$ZZ,$N20,6)))="xr",-LOG(E20,2),0))),0)&gt;=0.585))</formula>
    </cfRule>
    <cfRule type="expression" priority="18" dxfId="40">
      <formula>AND(ISNUMBER(E20),IFERROR(IF(IF($N20="","",IF(INDEX('_views'!$B:$ZZ,$N20,6)="","",INDEX('_views'!$B:$ZZ,$N20,6)))="pts",-E20/1,IF(IF($N20="","",IF(INDEX('_views'!$B:$ZZ,$N20,6)="","",INDEX('_views'!$B:$ZZ,$N20,6)))="x",LOG(E20,2),IF(IF($N20="","",IF(INDEX('_views'!$B:$ZZ,$N20,6)="","",INDEX('_views'!$B:$ZZ,$N20,6)))="xr",-LOG(E20,2),0))),0)&gt;=0.585)</formula>
    </cfRule>
    <cfRule type="expression" priority="19" dxfId="41">
      <formula>AND(IF($N20="","",IF(INDEX('_views'!$B:$ZZ,$N20,6)="","",INDEX('_views'!$B:$ZZ,$N20,6)))="pts",AND(ISNUMBER(E20),IFERROR(IF(IF($N20="","",IF(INDEX('_views'!$B:$ZZ,$N20,6)="","",INDEX('_views'!$B:$ZZ,$N20,6)))="pts",-E20/1,IF(IF($N20="","",IF(INDEX('_views'!$B:$ZZ,$N20,6)="","",INDEX('_views'!$B:$ZZ,$N20,6)))="x",LOG(E20,2),IF(IF($N20="","",IF(INDEX('_views'!$B:$ZZ,$N20,6)="","",INDEX('_views'!$B:$ZZ,$N20,6)))="xr",-LOG(E20,2),0))),0)&gt;=0.263))</formula>
    </cfRule>
    <cfRule type="expression" priority="20" dxfId="42">
      <formula>AND(ISNUMBER(E20),IFERROR(IF(IF($N20="","",IF(INDEX('_views'!$B:$ZZ,$N20,6)="","",INDEX('_views'!$B:$ZZ,$N20,6)))="pts",-E20/1,IF(IF($N20="","",IF(INDEX('_views'!$B:$ZZ,$N20,6)="","",INDEX('_views'!$B:$ZZ,$N20,6)))="x",LOG(E20,2),IF(IF($N20="","",IF(INDEX('_views'!$B:$ZZ,$N20,6)="","",INDEX('_views'!$B:$ZZ,$N20,6)))="xr",-LOG(E20,2),0))),0)&gt;=0.263)</formula>
    </cfRule>
    <cfRule type="expression" priority="21" dxfId="43">
      <formula>AND(IF($N20="","",IF(INDEX('_views'!$B:$ZZ,$N20,6)="","",INDEX('_views'!$B:$ZZ,$N20,6)))="pts",AND(ISNUMBER(E20),IFERROR(IF(IF($N20="","",IF(INDEX('_views'!$B:$ZZ,$N20,6)="","",INDEX('_views'!$B:$ZZ,$N20,6)))="pts",-E20/1,IF(IF($N20="","",IF(INDEX('_views'!$B:$ZZ,$N20,6)="","",INDEX('_views'!$B:$ZZ,$N20,6)))="x",LOG(E20,2),IF(IF($N20="","",IF(INDEX('_views'!$B:$ZZ,$N20,6)="","",INDEX('_views'!$B:$ZZ,$N20,6)))="xr",-LOG(E20,2),0))),0)&lt;=-0.585))</formula>
    </cfRule>
    <cfRule type="expression" priority="22" dxfId="44">
      <formula>AND(ISNUMBER(E20),IFERROR(IF(IF($N20="","",IF(INDEX('_views'!$B:$ZZ,$N20,6)="","",INDEX('_views'!$B:$ZZ,$N20,6)))="pts",-E20/1,IF(IF($N20="","",IF(INDEX('_views'!$B:$ZZ,$N20,6)="","",INDEX('_views'!$B:$ZZ,$N20,6)))="x",LOG(E20,2),IF(IF($N20="","",IF(INDEX('_views'!$B:$ZZ,$N20,6)="","",INDEX('_views'!$B:$ZZ,$N20,6)))="xr",-LOG(E20,2),0))),0)&lt;=-0.585)</formula>
    </cfRule>
    <cfRule type="expression" priority="23" dxfId="45">
      <formula>AND(IF($N20="","",IF(INDEX('_views'!$B:$ZZ,$N20,6)="","",INDEX('_views'!$B:$ZZ,$N20,6)))="pts",AND(ISNUMBER(E20),IFERROR(IF(IF($N20="","",IF(INDEX('_views'!$B:$ZZ,$N20,6)="","",INDEX('_views'!$B:$ZZ,$N20,6)))="pts",-E20/1,IF(IF($N20="","",IF(INDEX('_views'!$B:$ZZ,$N20,6)="","",INDEX('_views'!$B:$ZZ,$N20,6)))="x",LOG(E20,2),IF(IF($N20="","",IF(INDEX('_views'!$B:$ZZ,$N20,6)="","",INDEX('_views'!$B:$ZZ,$N20,6)))="xr",-LOG(E20,2),0))),0)&lt;=-0.263))</formula>
    </cfRule>
    <cfRule type="expression" priority="24" dxfId="46">
      <formula>AND(ISNUMBER(E20),IFERROR(IF(IF($N20="","",IF(INDEX('_views'!$B:$ZZ,$N20,6)="","",INDEX('_views'!$B:$ZZ,$N20,6)))="pts",-E20/1,IF(IF($N20="","",IF(INDEX('_views'!$B:$ZZ,$N20,6)="","",INDEX('_views'!$B:$ZZ,$N20,6)))="x",LOG(E20,2),IF(IF($N20="","",IF(INDEX('_views'!$B:$ZZ,$N20,6)="","",INDEX('_views'!$B:$ZZ,$N20,6)))="xr",-LOG(E20,2),0))),0)&lt;=-0.263)</formula>
    </cfRule>
    <cfRule type="expression" priority="25" dxfId="47">
      <formula>AND(IF($N20="","",IF(INDEX('_views'!$B:$ZZ,$N20,6)="","",INDEX('_views'!$B:$ZZ,$N20,6)))="pts",ISNUMBER(E20))</formula>
    </cfRule>
    <cfRule type="expression" priority="26" dxfId="48">
      <formula>ISNUMBER(E20)</formula>
    </cfRule>
  </conditionalFormatting>
  <conditionalFormatting sqref="E21">
    <cfRule type="expression" priority="27" dxfId="37">
      <formula>AND(IF($N21="","",IF(INDEX('_views'!$B:$ZZ,$N21,6)="","",INDEX('_views'!$B:$ZZ,$N21,6)))="pts",AND(ISNUMBER(E21),IFERROR(IF(IF($N21="","",IF(INDEX('_views'!$B:$ZZ,$N21,6)="","",INDEX('_views'!$B:$ZZ,$N21,6)))="pts",-E21/1,IF(IF($N21="","",IF(INDEX('_views'!$B:$ZZ,$N21,6)="","",INDEX('_views'!$B:$ZZ,$N21,6)))="x",LOG(E21,2),IF(IF($N21="","",IF(INDEX('_views'!$B:$ZZ,$N21,6)="","",INDEX('_views'!$B:$ZZ,$N21,6)))="xr",-LOG(E21,2),0))),0)&gt;=1.0))</formula>
    </cfRule>
    <cfRule type="expression" priority="28" dxfId="38">
      <formula>AND(ISNUMBER(E21),IFERROR(IF(IF($N21="","",IF(INDEX('_views'!$B:$ZZ,$N21,6)="","",INDEX('_views'!$B:$ZZ,$N21,6)))="pts",-E21/1,IF(IF($N21="","",IF(INDEX('_views'!$B:$ZZ,$N21,6)="","",INDEX('_views'!$B:$ZZ,$N21,6)))="x",LOG(E21,2),IF(IF($N21="","",IF(INDEX('_views'!$B:$ZZ,$N21,6)="","",INDEX('_views'!$B:$ZZ,$N21,6)))="xr",-LOG(E21,2),0))),0)&gt;=1.0)</formula>
    </cfRule>
    <cfRule type="expression" priority="29" dxfId="39">
      <formula>AND(IF($N21="","",IF(INDEX('_views'!$B:$ZZ,$N21,6)="","",INDEX('_views'!$B:$ZZ,$N21,6)))="pts",AND(ISNUMBER(E21),IFERROR(IF(IF($N21="","",IF(INDEX('_views'!$B:$ZZ,$N21,6)="","",INDEX('_views'!$B:$ZZ,$N21,6)))="pts",-E21/1,IF(IF($N21="","",IF(INDEX('_views'!$B:$ZZ,$N21,6)="","",INDEX('_views'!$B:$ZZ,$N21,6)))="x",LOG(E21,2),IF(IF($N21="","",IF(INDEX('_views'!$B:$ZZ,$N21,6)="","",INDEX('_views'!$B:$ZZ,$N21,6)))="xr",-LOG(E21,2),0))),0)&gt;=0.585))</formula>
    </cfRule>
    <cfRule type="expression" priority="30" dxfId="40">
      <formula>AND(ISNUMBER(E21),IFERROR(IF(IF($N21="","",IF(INDEX('_views'!$B:$ZZ,$N21,6)="","",INDEX('_views'!$B:$ZZ,$N21,6)))="pts",-E21/1,IF(IF($N21="","",IF(INDEX('_views'!$B:$ZZ,$N21,6)="","",INDEX('_views'!$B:$ZZ,$N21,6)))="x",LOG(E21,2),IF(IF($N21="","",IF(INDEX('_views'!$B:$ZZ,$N21,6)="","",INDEX('_views'!$B:$ZZ,$N21,6)))="xr",-LOG(E21,2),0))),0)&gt;=0.585)</formula>
    </cfRule>
    <cfRule type="expression" priority="31" dxfId="41">
      <formula>AND(IF($N21="","",IF(INDEX('_views'!$B:$ZZ,$N21,6)="","",INDEX('_views'!$B:$ZZ,$N21,6)))="pts",AND(ISNUMBER(E21),IFERROR(IF(IF($N21="","",IF(INDEX('_views'!$B:$ZZ,$N21,6)="","",INDEX('_views'!$B:$ZZ,$N21,6)))="pts",-E21/1,IF(IF($N21="","",IF(INDEX('_views'!$B:$ZZ,$N21,6)="","",INDEX('_views'!$B:$ZZ,$N21,6)))="x",LOG(E21,2),IF(IF($N21="","",IF(INDEX('_views'!$B:$ZZ,$N21,6)="","",INDEX('_views'!$B:$ZZ,$N21,6)))="xr",-LOG(E21,2),0))),0)&gt;=0.263))</formula>
    </cfRule>
    <cfRule type="expression" priority="32" dxfId="42">
      <formula>AND(ISNUMBER(E21),IFERROR(IF(IF($N21="","",IF(INDEX('_views'!$B:$ZZ,$N21,6)="","",INDEX('_views'!$B:$ZZ,$N21,6)))="pts",-E21/1,IF(IF($N21="","",IF(INDEX('_views'!$B:$ZZ,$N21,6)="","",INDEX('_views'!$B:$ZZ,$N21,6)))="x",LOG(E21,2),IF(IF($N21="","",IF(INDEX('_views'!$B:$ZZ,$N21,6)="","",INDEX('_views'!$B:$ZZ,$N21,6)))="xr",-LOG(E21,2),0))),0)&gt;=0.263)</formula>
    </cfRule>
    <cfRule type="expression" priority="33" dxfId="43">
      <formula>AND(IF($N21="","",IF(INDEX('_views'!$B:$ZZ,$N21,6)="","",INDEX('_views'!$B:$ZZ,$N21,6)))="pts",AND(ISNUMBER(E21),IFERROR(IF(IF($N21="","",IF(INDEX('_views'!$B:$ZZ,$N21,6)="","",INDEX('_views'!$B:$ZZ,$N21,6)))="pts",-E21/1,IF(IF($N21="","",IF(INDEX('_views'!$B:$ZZ,$N21,6)="","",INDEX('_views'!$B:$ZZ,$N21,6)))="x",LOG(E21,2),IF(IF($N21="","",IF(INDEX('_views'!$B:$ZZ,$N21,6)="","",INDEX('_views'!$B:$ZZ,$N21,6)))="xr",-LOG(E21,2),0))),0)&lt;=-0.585))</formula>
    </cfRule>
    <cfRule type="expression" priority="34" dxfId="44">
      <formula>AND(ISNUMBER(E21),IFERROR(IF(IF($N21="","",IF(INDEX('_views'!$B:$ZZ,$N21,6)="","",INDEX('_views'!$B:$ZZ,$N21,6)))="pts",-E21/1,IF(IF($N21="","",IF(INDEX('_views'!$B:$ZZ,$N21,6)="","",INDEX('_views'!$B:$ZZ,$N21,6)))="x",LOG(E21,2),IF(IF($N21="","",IF(INDEX('_views'!$B:$ZZ,$N21,6)="","",INDEX('_views'!$B:$ZZ,$N21,6)))="xr",-LOG(E21,2),0))),0)&lt;=-0.585)</formula>
    </cfRule>
    <cfRule type="expression" priority="35" dxfId="45">
      <formula>AND(IF($N21="","",IF(INDEX('_views'!$B:$ZZ,$N21,6)="","",INDEX('_views'!$B:$ZZ,$N21,6)))="pts",AND(ISNUMBER(E21),IFERROR(IF(IF($N21="","",IF(INDEX('_views'!$B:$ZZ,$N21,6)="","",INDEX('_views'!$B:$ZZ,$N21,6)))="pts",-E21/1,IF(IF($N21="","",IF(INDEX('_views'!$B:$ZZ,$N21,6)="","",INDEX('_views'!$B:$ZZ,$N21,6)))="x",LOG(E21,2),IF(IF($N21="","",IF(INDEX('_views'!$B:$ZZ,$N21,6)="","",INDEX('_views'!$B:$ZZ,$N21,6)))="xr",-LOG(E21,2),0))),0)&lt;=-0.263))</formula>
    </cfRule>
    <cfRule type="expression" priority="36" dxfId="46">
      <formula>AND(ISNUMBER(E21),IFERROR(IF(IF($N21="","",IF(INDEX('_views'!$B:$ZZ,$N21,6)="","",INDEX('_views'!$B:$ZZ,$N21,6)))="pts",-E21/1,IF(IF($N21="","",IF(INDEX('_views'!$B:$ZZ,$N21,6)="","",INDEX('_views'!$B:$ZZ,$N21,6)))="x",LOG(E21,2),IF(IF($N21="","",IF(INDEX('_views'!$B:$ZZ,$N21,6)="","",INDEX('_views'!$B:$ZZ,$N21,6)))="xr",-LOG(E21,2),0))),0)&lt;=-0.263)</formula>
    </cfRule>
    <cfRule type="expression" priority="37" dxfId="47">
      <formula>AND(IF($N21="","",IF(INDEX('_views'!$B:$ZZ,$N21,6)="","",INDEX('_views'!$B:$ZZ,$N21,6)))="pts",ISNUMBER(E21))</formula>
    </cfRule>
    <cfRule type="expression" priority="38" dxfId="48">
      <formula>ISNUMBER(E21)</formula>
    </cfRule>
  </conditionalFormatting>
  <conditionalFormatting sqref="E22">
    <cfRule type="expression" priority="39" dxfId="37">
      <formula>AND(IF($N22="","",IF(INDEX('_views'!$B:$ZZ,$N22,6)="","",INDEX('_views'!$B:$ZZ,$N22,6)))="pts",AND(ISNUMBER(E22),IFERROR(IF(IF($N22="","",IF(INDEX('_views'!$B:$ZZ,$N22,6)="","",INDEX('_views'!$B:$ZZ,$N22,6)))="pts",-E22/1,IF(IF($N22="","",IF(INDEX('_views'!$B:$ZZ,$N22,6)="","",INDEX('_views'!$B:$ZZ,$N22,6)))="x",LOG(E22,2),IF(IF($N22="","",IF(INDEX('_views'!$B:$ZZ,$N22,6)="","",INDEX('_views'!$B:$ZZ,$N22,6)))="xr",-LOG(E22,2),0))),0)&gt;=1.0))</formula>
    </cfRule>
    <cfRule type="expression" priority="40" dxfId="38">
      <formula>AND(ISNUMBER(E22),IFERROR(IF(IF($N22="","",IF(INDEX('_views'!$B:$ZZ,$N22,6)="","",INDEX('_views'!$B:$ZZ,$N22,6)))="pts",-E22/1,IF(IF($N22="","",IF(INDEX('_views'!$B:$ZZ,$N22,6)="","",INDEX('_views'!$B:$ZZ,$N22,6)))="x",LOG(E22,2),IF(IF($N22="","",IF(INDEX('_views'!$B:$ZZ,$N22,6)="","",INDEX('_views'!$B:$ZZ,$N22,6)))="xr",-LOG(E22,2),0))),0)&gt;=1.0)</formula>
    </cfRule>
    <cfRule type="expression" priority="41" dxfId="39">
      <formula>AND(IF($N22="","",IF(INDEX('_views'!$B:$ZZ,$N22,6)="","",INDEX('_views'!$B:$ZZ,$N22,6)))="pts",AND(ISNUMBER(E22),IFERROR(IF(IF($N22="","",IF(INDEX('_views'!$B:$ZZ,$N22,6)="","",INDEX('_views'!$B:$ZZ,$N22,6)))="pts",-E22/1,IF(IF($N22="","",IF(INDEX('_views'!$B:$ZZ,$N22,6)="","",INDEX('_views'!$B:$ZZ,$N22,6)))="x",LOG(E22,2),IF(IF($N22="","",IF(INDEX('_views'!$B:$ZZ,$N22,6)="","",INDEX('_views'!$B:$ZZ,$N22,6)))="xr",-LOG(E22,2),0))),0)&gt;=0.585))</formula>
    </cfRule>
    <cfRule type="expression" priority="42" dxfId="40">
      <formula>AND(ISNUMBER(E22),IFERROR(IF(IF($N22="","",IF(INDEX('_views'!$B:$ZZ,$N22,6)="","",INDEX('_views'!$B:$ZZ,$N22,6)))="pts",-E22/1,IF(IF($N22="","",IF(INDEX('_views'!$B:$ZZ,$N22,6)="","",INDEX('_views'!$B:$ZZ,$N22,6)))="x",LOG(E22,2),IF(IF($N22="","",IF(INDEX('_views'!$B:$ZZ,$N22,6)="","",INDEX('_views'!$B:$ZZ,$N22,6)))="xr",-LOG(E22,2),0))),0)&gt;=0.585)</formula>
    </cfRule>
    <cfRule type="expression" priority="43" dxfId="41">
      <formula>AND(IF($N22="","",IF(INDEX('_views'!$B:$ZZ,$N22,6)="","",INDEX('_views'!$B:$ZZ,$N22,6)))="pts",AND(ISNUMBER(E22),IFERROR(IF(IF($N22="","",IF(INDEX('_views'!$B:$ZZ,$N22,6)="","",INDEX('_views'!$B:$ZZ,$N22,6)))="pts",-E22/1,IF(IF($N22="","",IF(INDEX('_views'!$B:$ZZ,$N22,6)="","",INDEX('_views'!$B:$ZZ,$N22,6)))="x",LOG(E22,2),IF(IF($N22="","",IF(INDEX('_views'!$B:$ZZ,$N22,6)="","",INDEX('_views'!$B:$ZZ,$N22,6)))="xr",-LOG(E22,2),0))),0)&gt;=0.263))</formula>
    </cfRule>
    <cfRule type="expression" priority="44" dxfId="42">
      <formula>AND(ISNUMBER(E22),IFERROR(IF(IF($N22="","",IF(INDEX('_views'!$B:$ZZ,$N22,6)="","",INDEX('_views'!$B:$ZZ,$N22,6)))="pts",-E22/1,IF(IF($N22="","",IF(INDEX('_views'!$B:$ZZ,$N22,6)="","",INDEX('_views'!$B:$ZZ,$N22,6)))="x",LOG(E22,2),IF(IF($N22="","",IF(INDEX('_views'!$B:$ZZ,$N22,6)="","",INDEX('_views'!$B:$ZZ,$N22,6)))="xr",-LOG(E22,2),0))),0)&gt;=0.263)</formula>
    </cfRule>
    <cfRule type="expression" priority="45" dxfId="43">
      <formula>AND(IF($N22="","",IF(INDEX('_views'!$B:$ZZ,$N22,6)="","",INDEX('_views'!$B:$ZZ,$N22,6)))="pts",AND(ISNUMBER(E22),IFERROR(IF(IF($N22="","",IF(INDEX('_views'!$B:$ZZ,$N22,6)="","",INDEX('_views'!$B:$ZZ,$N22,6)))="pts",-E22/1,IF(IF($N22="","",IF(INDEX('_views'!$B:$ZZ,$N22,6)="","",INDEX('_views'!$B:$ZZ,$N22,6)))="x",LOG(E22,2),IF(IF($N22="","",IF(INDEX('_views'!$B:$ZZ,$N22,6)="","",INDEX('_views'!$B:$ZZ,$N22,6)))="xr",-LOG(E22,2),0))),0)&lt;=-0.585))</formula>
    </cfRule>
    <cfRule type="expression" priority="46" dxfId="44">
      <formula>AND(ISNUMBER(E22),IFERROR(IF(IF($N22="","",IF(INDEX('_views'!$B:$ZZ,$N22,6)="","",INDEX('_views'!$B:$ZZ,$N22,6)))="pts",-E22/1,IF(IF($N22="","",IF(INDEX('_views'!$B:$ZZ,$N22,6)="","",INDEX('_views'!$B:$ZZ,$N22,6)))="x",LOG(E22,2),IF(IF($N22="","",IF(INDEX('_views'!$B:$ZZ,$N22,6)="","",INDEX('_views'!$B:$ZZ,$N22,6)))="xr",-LOG(E22,2),0))),0)&lt;=-0.585)</formula>
    </cfRule>
    <cfRule type="expression" priority="47" dxfId="45">
      <formula>AND(IF($N22="","",IF(INDEX('_views'!$B:$ZZ,$N22,6)="","",INDEX('_views'!$B:$ZZ,$N22,6)))="pts",AND(ISNUMBER(E22),IFERROR(IF(IF($N22="","",IF(INDEX('_views'!$B:$ZZ,$N22,6)="","",INDEX('_views'!$B:$ZZ,$N22,6)))="pts",-E22/1,IF(IF($N22="","",IF(INDEX('_views'!$B:$ZZ,$N22,6)="","",INDEX('_views'!$B:$ZZ,$N22,6)))="x",LOG(E22,2),IF(IF($N22="","",IF(INDEX('_views'!$B:$ZZ,$N22,6)="","",INDEX('_views'!$B:$ZZ,$N22,6)))="xr",-LOG(E22,2),0))),0)&lt;=-0.263))</formula>
    </cfRule>
    <cfRule type="expression" priority="48" dxfId="46">
      <formula>AND(ISNUMBER(E22),IFERROR(IF(IF($N22="","",IF(INDEX('_views'!$B:$ZZ,$N22,6)="","",INDEX('_views'!$B:$ZZ,$N22,6)))="pts",-E22/1,IF(IF($N22="","",IF(INDEX('_views'!$B:$ZZ,$N22,6)="","",INDEX('_views'!$B:$ZZ,$N22,6)))="x",LOG(E22,2),IF(IF($N22="","",IF(INDEX('_views'!$B:$ZZ,$N22,6)="","",INDEX('_views'!$B:$ZZ,$N22,6)))="xr",-LOG(E22,2),0))),0)&lt;=-0.263)</formula>
    </cfRule>
    <cfRule type="expression" priority="49" dxfId="47">
      <formula>AND(IF($N22="","",IF(INDEX('_views'!$B:$ZZ,$N22,6)="","",INDEX('_views'!$B:$ZZ,$N22,6)))="pts",ISNUMBER(E22))</formula>
    </cfRule>
    <cfRule type="expression" priority="50" dxfId="48">
      <formula>ISNUMBER(E22)</formula>
    </cfRule>
  </conditionalFormatting>
  <conditionalFormatting sqref="E23">
    <cfRule type="expression" priority="51" dxfId="37">
      <formula>AND(IF($N23="","",IF(INDEX('_views'!$B:$ZZ,$N23,6)="","",INDEX('_views'!$B:$ZZ,$N23,6)))="pts",AND(ISNUMBER(E23),IFERROR(IF(IF($N23="","",IF(INDEX('_views'!$B:$ZZ,$N23,6)="","",INDEX('_views'!$B:$ZZ,$N23,6)))="pts",-E23/1,IF(IF($N23="","",IF(INDEX('_views'!$B:$ZZ,$N23,6)="","",INDEX('_views'!$B:$ZZ,$N23,6)))="x",LOG(E23,2),IF(IF($N23="","",IF(INDEX('_views'!$B:$ZZ,$N23,6)="","",INDEX('_views'!$B:$ZZ,$N23,6)))="xr",-LOG(E23,2),0))),0)&gt;=1.0))</formula>
    </cfRule>
    <cfRule type="expression" priority="52" dxfId="38">
      <formula>AND(ISNUMBER(E23),IFERROR(IF(IF($N23="","",IF(INDEX('_views'!$B:$ZZ,$N23,6)="","",INDEX('_views'!$B:$ZZ,$N23,6)))="pts",-E23/1,IF(IF($N23="","",IF(INDEX('_views'!$B:$ZZ,$N23,6)="","",INDEX('_views'!$B:$ZZ,$N23,6)))="x",LOG(E23,2),IF(IF($N23="","",IF(INDEX('_views'!$B:$ZZ,$N23,6)="","",INDEX('_views'!$B:$ZZ,$N23,6)))="xr",-LOG(E23,2),0))),0)&gt;=1.0)</formula>
    </cfRule>
    <cfRule type="expression" priority="53" dxfId="39">
      <formula>AND(IF($N23="","",IF(INDEX('_views'!$B:$ZZ,$N23,6)="","",INDEX('_views'!$B:$ZZ,$N23,6)))="pts",AND(ISNUMBER(E23),IFERROR(IF(IF($N23="","",IF(INDEX('_views'!$B:$ZZ,$N23,6)="","",INDEX('_views'!$B:$ZZ,$N23,6)))="pts",-E23/1,IF(IF($N23="","",IF(INDEX('_views'!$B:$ZZ,$N23,6)="","",INDEX('_views'!$B:$ZZ,$N23,6)))="x",LOG(E23,2),IF(IF($N23="","",IF(INDEX('_views'!$B:$ZZ,$N23,6)="","",INDEX('_views'!$B:$ZZ,$N23,6)))="xr",-LOG(E23,2),0))),0)&gt;=0.585))</formula>
    </cfRule>
    <cfRule type="expression" priority="54" dxfId="40">
      <formula>AND(ISNUMBER(E23),IFERROR(IF(IF($N23="","",IF(INDEX('_views'!$B:$ZZ,$N23,6)="","",INDEX('_views'!$B:$ZZ,$N23,6)))="pts",-E23/1,IF(IF($N23="","",IF(INDEX('_views'!$B:$ZZ,$N23,6)="","",INDEX('_views'!$B:$ZZ,$N23,6)))="x",LOG(E23,2),IF(IF($N23="","",IF(INDEX('_views'!$B:$ZZ,$N23,6)="","",INDEX('_views'!$B:$ZZ,$N23,6)))="xr",-LOG(E23,2),0))),0)&gt;=0.585)</formula>
    </cfRule>
    <cfRule type="expression" priority="55" dxfId="41">
      <formula>AND(IF($N23="","",IF(INDEX('_views'!$B:$ZZ,$N23,6)="","",INDEX('_views'!$B:$ZZ,$N23,6)))="pts",AND(ISNUMBER(E23),IFERROR(IF(IF($N23="","",IF(INDEX('_views'!$B:$ZZ,$N23,6)="","",INDEX('_views'!$B:$ZZ,$N23,6)))="pts",-E23/1,IF(IF($N23="","",IF(INDEX('_views'!$B:$ZZ,$N23,6)="","",INDEX('_views'!$B:$ZZ,$N23,6)))="x",LOG(E23,2),IF(IF($N23="","",IF(INDEX('_views'!$B:$ZZ,$N23,6)="","",INDEX('_views'!$B:$ZZ,$N23,6)))="xr",-LOG(E23,2),0))),0)&gt;=0.263))</formula>
    </cfRule>
    <cfRule type="expression" priority="56" dxfId="42">
      <formula>AND(ISNUMBER(E23),IFERROR(IF(IF($N23="","",IF(INDEX('_views'!$B:$ZZ,$N23,6)="","",INDEX('_views'!$B:$ZZ,$N23,6)))="pts",-E23/1,IF(IF($N23="","",IF(INDEX('_views'!$B:$ZZ,$N23,6)="","",INDEX('_views'!$B:$ZZ,$N23,6)))="x",LOG(E23,2),IF(IF($N23="","",IF(INDEX('_views'!$B:$ZZ,$N23,6)="","",INDEX('_views'!$B:$ZZ,$N23,6)))="xr",-LOG(E23,2),0))),0)&gt;=0.263)</formula>
    </cfRule>
    <cfRule type="expression" priority="57" dxfId="43">
      <formula>AND(IF($N23="","",IF(INDEX('_views'!$B:$ZZ,$N23,6)="","",INDEX('_views'!$B:$ZZ,$N23,6)))="pts",AND(ISNUMBER(E23),IFERROR(IF(IF($N23="","",IF(INDEX('_views'!$B:$ZZ,$N23,6)="","",INDEX('_views'!$B:$ZZ,$N23,6)))="pts",-E23/1,IF(IF($N23="","",IF(INDEX('_views'!$B:$ZZ,$N23,6)="","",INDEX('_views'!$B:$ZZ,$N23,6)))="x",LOG(E23,2),IF(IF($N23="","",IF(INDEX('_views'!$B:$ZZ,$N23,6)="","",INDEX('_views'!$B:$ZZ,$N23,6)))="xr",-LOG(E23,2),0))),0)&lt;=-0.585))</formula>
    </cfRule>
    <cfRule type="expression" priority="58" dxfId="44">
      <formula>AND(ISNUMBER(E23),IFERROR(IF(IF($N23="","",IF(INDEX('_views'!$B:$ZZ,$N23,6)="","",INDEX('_views'!$B:$ZZ,$N23,6)))="pts",-E23/1,IF(IF($N23="","",IF(INDEX('_views'!$B:$ZZ,$N23,6)="","",INDEX('_views'!$B:$ZZ,$N23,6)))="x",LOG(E23,2),IF(IF($N23="","",IF(INDEX('_views'!$B:$ZZ,$N23,6)="","",INDEX('_views'!$B:$ZZ,$N23,6)))="xr",-LOG(E23,2),0))),0)&lt;=-0.585)</formula>
    </cfRule>
    <cfRule type="expression" priority="59" dxfId="45">
      <formula>AND(IF($N23="","",IF(INDEX('_views'!$B:$ZZ,$N23,6)="","",INDEX('_views'!$B:$ZZ,$N23,6)))="pts",AND(ISNUMBER(E23),IFERROR(IF(IF($N23="","",IF(INDEX('_views'!$B:$ZZ,$N23,6)="","",INDEX('_views'!$B:$ZZ,$N23,6)))="pts",-E23/1,IF(IF($N23="","",IF(INDEX('_views'!$B:$ZZ,$N23,6)="","",INDEX('_views'!$B:$ZZ,$N23,6)))="x",LOG(E23,2),IF(IF($N23="","",IF(INDEX('_views'!$B:$ZZ,$N23,6)="","",INDEX('_views'!$B:$ZZ,$N23,6)))="xr",-LOG(E23,2),0))),0)&lt;=-0.263))</formula>
    </cfRule>
    <cfRule type="expression" priority="60" dxfId="46">
      <formula>AND(ISNUMBER(E23),IFERROR(IF(IF($N23="","",IF(INDEX('_views'!$B:$ZZ,$N23,6)="","",INDEX('_views'!$B:$ZZ,$N23,6)))="pts",-E23/1,IF(IF($N23="","",IF(INDEX('_views'!$B:$ZZ,$N23,6)="","",INDEX('_views'!$B:$ZZ,$N23,6)))="x",LOG(E23,2),IF(IF($N23="","",IF(INDEX('_views'!$B:$ZZ,$N23,6)="","",INDEX('_views'!$B:$ZZ,$N23,6)))="xr",-LOG(E23,2),0))),0)&lt;=-0.263)</formula>
    </cfRule>
    <cfRule type="expression" priority="61" dxfId="47">
      <formula>AND(IF($N23="","",IF(INDEX('_views'!$B:$ZZ,$N23,6)="","",INDEX('_views'!$B:$ZZ,$N23,6)))="pts",ISNUMBER(E23))</formula>
    </cfRule>
    <cfRule type="expression" priority="62" dxfId="48">
      <formula>ISNUMBER(E23)</formula>
    </cfRule>
  </conditionalFormatting>
  <conditionalFormatting sqref="B32:B38">
    <cfRule type="expression" priority="63" dxfId="6">
      <formula>$B32&lt;&gt;""</formula>
    </cfRule>
  </conditionalFormatting>
  <conditionalFormatting sqref="C32:F38">
    <cfRule type="expression" priority="64" dxfId="5">
      <formula>AND($B32&lt;&gt;"",ISTEXT(C32))</formula>
    </cfRule>
    <cfRule type="expression" priority="65" dxfId="19">
      <formula>AND($B32&lt;&gt;"",AND($P$28="pts",AND(ISNUMBER(C32),IFERROR(IF($P$28="pts",-C32/$P$29,IF($P$28="x",LOG(C32,2),IF($P$28="xr",-LOG(C32,2),0))),0)&gt;=1.0)))</formula>
    </cfRule>
    <cfRule type="expression" priority="66" dxfId="20">
      <formula>AND($B32&lt;&gt;"",AND(ISNUMBER(C32),IFERROR(IF($P$28="pts",-C32/$P$29,IF($P$28="x",LOG(C32,2),IF($P$28="xr",-LOG(C32,2),0))),0)&gt;=1.0))</formula>
    </cfRule>
    <cfRule type="expression" priority="67" dxfId="21">
      <formula>AND($B32&lt;&gt;"",AND($P$28="pts",AND(ISNUMBER(C32),IFERROR(IF($P$28="pts",-C32/$P$29,IF($P$28="x",LOG(C32,2),IF($P$28="xr",-LOG(C32,2),0))),0)&gt;=0.585)))</formula>
    </cfRule>
    <cfRule type="expression" priority="68" dxfId="22">
      <formula>AND($B32&lt;&gt;"",AND(ISNUMBER(C32),IFERROR(IF($P$28="pts",-C32/$P$29,IF($P$28="x",LOG(C32,2),IF($P$28="xr",-LOG(C32,2),0))),0)&gt;=0.585))</formula>
    </cfRule>
    <cfRule type="expression" priority="69" dxfId="23">
      <formula>AND($B32&lt;&gt;"",AND($P$28="pts",AND(ISNUMBER(C32),IFERROR(IF($P$28="pts",-C32/$P$29,IF($P$28="x",LOG(C32,2),IF($P$28="xr",-LOG(C32,2),0))),0)&gt;=0.263)))</formula>
    </cfRule>
    <cfRule type="expression" priority="70" dxfId="24">
      <formula>AND($B32&lt;&gt;"",AND(ISNUMBER(C32),IFERROR(IF($P$28="pts",-C32/$P$29,IF($P$28="x",LOG(C32,2),IF($P$28="xr",-LOG(C32,2),0))),0)&gt;=0.263))</formula>
    </cfRule>
    <cfRule type="expression" priority="71" dxfId="25">
      <formula>AND($B32&lt;&gt;"",AND($P$28="pts",AND(ISNUMBER(C32),IFERROR(IF($P$28="pts",-C32/$P$29,IF($P$28="x",LOG(C32,2),IF($P$28="xr",-LOG(C32,2),0))),0)&lt;=-0.585)))</formula>
    </cfRule>
    <cfRule type="expression" priority="72" dxfId="26">
      <formula>AND($B32&lt;&gt;"",AND(ISNUMBER(C32),IFERROR(IF($P$28="pts",-C32/$P$29,IF($P$28="x",LOG(C32,2),IF($P$28="xr",-LOG(C32,2),0))),0)&lt;=-0.585))</formula>
    </cfRule>
    <cfRule type="expression" priority="73" dxfId="27">
      <formula>AND($B32&lt;&gt;"",AND($P$28="pts",AND(ISNUMBER(C32),IFERROR(IF($P$28="pts",-C32/$P$29,IF($P$28="x",LOG(C32,2),IF($P$28="xr",-LOG(C32,2),0))),0)&lt;=-0.263)))</formula>
    </cfRule>
    <cfRule type="expression" priority="74" dxfId="28">
      <formula>AND($B32&lt;&gt;"",AND(ISNUMBER(C32),IFERROR(IF($P$28="pts",-C32/$P$29,IF($P$28="x",LOG(C32,2),IF($P$28="xr",-LOG(C32,2),0))),0)&lt;=-0.263))</formula>
    </cfRule>
    <cfRule type="expression" priority="75" dxfId="29">
      <formula>AND($B32&lt;&gt;"",AND($P$28="pts",ISNUMBER(C32)))</formula>
    </cfRule>
    <cfRule type="expression" priority="76" dxfId="12">
      <formula>AND($B32&lt;&gt;"",ISNUMBER(C32))</formula>
    </cfRule>
    <cfRule type="expression" priority="77" dxfId="6">
      <formula>$B32&lt;&gt;""</formula>
    </cfRule>
  </conditionalFormatting>
  <conditionalFormatting sqref="H32:H38">
    <cfRule type="expression" priority="78" dxfId="6">
      <formula>$H32&lt;&gt;""</formula>
    </cfRule>
  </conditionalFormatting>
  <conditionalFormatting sqref="I32:L38">
    <cfRule type="expression" priority="79" dxfId="49">
      <formula>AND($H32&lt;&gt;"",AND(ISNUMBER(I32),I32&lt;significance_bar))</formula>
    </cfRule>
    <cfRule type="expression" priority="80" dxfId="6">
      <formula>$H32&lt;&gt;""</formula>
    </cfRule>
  </conditionalFormatting>
  <dataValidations count="2">
    <dataValidation sqref="B16" showDropDown="0" showInputMessage="0" showErrorMessage="1" allowBlank="0" errorTitle="Grid" error="Pick one from the list." type="list">
      <formula1>='_choices'!$M$2:$M$9</formula1>
    </dataValidation>
    <dataValidation sqref="B28" showDropDown="0" showInputMessage="0" showErrorMessage="1" allowBlank="0" errorTitle="Measure" error="Pick one from the list." type="list">
      <formula1>='_choices'!$N$2:$N$6</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B9B4AC"/>
    <outlinePr summaryBelow="0" summaryRight="1"/>
    <pageSetUpPr fitToPage="1"/>
  </sheetPr>
  <dimension ref="B1:N85"/>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74" t="inlineStr">
        <is>
          <t>Record</t>
        </is>
      </c>
      <c r="C1" s="75" t="inlineStr">
        <is>
          <t>What ran, whether it adds up, what was left out, and every Run. For the reviewer.</t>
        </is>
      </c>
      <c r="D1" s="76" t="n"/>
      <c r="E1" s="76" t="n"/>
      <c r="F1" s="76" t="n"/>
      <c r="G1" s="76"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77" t="inlineStr">
        <is>
          <t>This Run</t>
        </is>
      </c>
      <c r="C8" s="78" t="n"/>
      <c r="E8" s="77" t="inlineStr">
        <is>
          <t>Settings</t>
        </is>
      </c>
      <c r="F8" s="78" t="n"/>
      <c r="G8" s="78" t="n"/>
      <c r="K8" t="inlineStr">
        <is>
          <t>pair|this|settings</t>
        </is>
      </c>
    </row>
    <row r="9" ht="18" customHeight="1">
      <c r="B9" s="79" t="inlineStr">
        <is>
          <t>Item</t>
        </is>
      </c>
      <c r="C9" s="79" t="inlineStr">
        <is>
          <t>Detail</t>
        </is>
      </c>
      <c r="E9" s="79" t="inlineStr">
        <is>
          <t>Setting</t>
        </is>
      </c>
      <c r="F9" s="80" t="inlineStr">
        <is>
          <t>In use now</t>
        </is>
      </c>
      <c r="G9" s="80" t="inlineStr">
        <is>
          <t>Last Run used</t>
        </is>
      </c>
    </row>
    <row r="10" ht="32" customHeight="1">
      <c r="B10" s="87" t="inlineStr">
        <is>
          <t>Extract</t>
        </is>
      </c>
      <c r="C10" s="88" t="inlineStr">
        <is>
          <t>Two-flag book.csv</t>
        </is>
      </c>
      <c r="E10" s="87" t="inlineStr">
        <is>
          <t>How many bands a number column is cut into</t>
        </is>
      </c>
      <c r="F10" s="135">
        <f>IF(AND(Control!$D$26&lt;&gt;"",Control!$D$26&lt;&gt;"n/a"),Control!$D$26,IFERROR(INDEX(_options!$G:$G,MATCH(Control!$G$26&amp;"|"&amp;Control!$C$26,_options!$A:$A,0)),Control!$C$26&amp;""))</f>
        <v/>
      </c>
      <c r="G10" s="136" t="inlineStr">
        <is>
          <t>5 bands</t>
        </is>
      </c>
      <c r="K10" t="inlineStr">
        <is>
          <t>row|this|settings</t>
        </is>
      </c>
      <c r="L10">
        <f>IF(Control!$H$26="↻ Waiting for a Run",1,0)</f>
        <v/>
      </c>
    </row>
    <row r="11" ht="18" customHeight="1">
      <c r="B11" s="87" t="inlineStr">
        <is>
          <t>Loans run</t>
        </is>
      </c>
      <c r="C11" s="88" t="inlineStr">
        <is>
          <t>8,000</t>
        </is>
      </c>
      <c r="E11" s="87" t="inlineStr">
        <is>
          <t>Where the band edges fall</t>
        </is>
      </c>
      <c r="F11" s="135">
        <f>IF(AND(Control!$D$27&lt;&gt;"",Control!$D$27&lt;&gt;"n/a"),Control!$D$27,IFERROR(INDEX(_options!$G:$G,MATCH(Control!$G$27&amp;"|"&amp;Control!$C$27,_options!$A:$A,0)),Control!$C$27&amp;""))</f>
        <v/>
      </c>
      <c r="G11" s="136" t="inlineStr">
        <is>
          <t>Each band holds about the same number of loans</t>
        </is>
      </c>
      <c r="K11" t="inlineStr">
        <is>
          <t>row|this|settings</t>
        </is>
      </c>
      <c r="L11">
        <f>IF(Control!$H$27="↻ Waiting for a Run",1,0)</f>
        <v/>
      </c>
    </row>
    <row r="12" ht="46" customHeight="1">
      <c r="B12" s="87" t="inlineStr">
        <is>
          <t>What was run</t>
        </is>
      </c>
      <c r="C12" s="88" t="inlineStr">
        <is>
          <t>Where the book bleeds</t>
        </is>
      </c>
      <c r="E12" s="87" t="inlineStr">
        <is>
          <t>Fewest loans in a pocket for the usual test (smaller ones get the exact test)</t>
        </is>
      </c>
      <c r="F12" s="135">
        <f>IF(AND(Control!$D$24&lt;&gt;"",Control!$D$24&lt;&gt;"n/a"),Control!$D$24,IFERROR(INDEX(_options!$G:$G,MATCH(Control!$G$24&amp;"|"&amp;Control!$C$24,_options!$A:$A,0)),Control!$C$24&amp;""))</f>
        <v/>
      </c>
      <c r="G12" s="136" t="inlineStr">
        <is>
          <t>65 (worked out from this book)</t>
        </is>
      </c>
      <c r="K12" t="inlineStr">
        <is>
          <t>row|this|settings</t>
        </is>
      </c>
      <c r="L12">
        <f>IF(Control!$H$24="↻ Waiting for a Run",1,0)</f>
        <v/>
      </c>
    </row>
    <row r="13" ht="32" customHeight="1">
      <c r="B13" s="87" t="inlineStr">
        <is>
          <t>Record of this run</t>
        </is>
      </c>
      <c r="C13" s="88" t="inlineStr">
        <is>
          <t>Two-flag book - PocketBook - what ran.yaml, beside this workbook: every setting the run used, kept for the file.</t>
        </is>
      </c>
      <c r="E13" s="87" t="inlineStr">
        <is>
          <t>Fewest loans with a loss before a loss rate is tested</t>
        </is>
      </c>
      <c r="F13" s="135">
        <f>IF(AND(Control!$D$25&lt;&gt;"",Control!$D$25&lt;&gt;"n/a"),Control!$D$25,IFERROR(INDEX(_options!$G:$G,MATCH(Control!$G$25&amp;"|"&amp;Control!$C$25,_options!$A:$A,0)),Control!$C$25&amp;""))</f>
        <v/>
      </c>
      <c r="G13" s="136" t="inlineStr">
        <is>
          <t>10 losses</t>
        </is>
      </c>
      <c r="K13" t="inlineStr">
        <is>
          <t>row|this|settings</t>
        </is>
      </c>
      <c r="L13">
        <f>IF(Control!$H$25="↻ Waiting for a Run",1,0)</f>
        <v/>
      </c>
    </row>
    <row r="14" ht="18" customHeight="1">
      <c r="B14" s="87" t="n"/>
      <c r="C14" s="88" t="inlineStr">
        <is>
          <t>It is replaced by the next Run.</t>
        </is>
      </c>
      <c r="E14" s="87" t="inlineStr">
        <is>
          <t>Smallest excess loss worth reporting</t>
        </is>
      </c>
      <c r="F14" s="135">
        <f>'_live'!$E$10</f>
        <v/>
      </c>
      <c r="G14" s="136" t="inlineStr">
        <is>
          <t>1.0% of the book's GCO, $107,354</t>
        </is>
      </c>
      <c r="K14" t="inlineStr">
        <is>
          <t>row|this|settings</t>
        </is>
      </c>
      <c r="L14">
        <f>IF('_live'!$E$10&lt;&gt;'_live'!$F$10,1,0)</f>
        <v/>
      </c>
      <c r="M14" t="inlineStr">
        <is>
          <t>sp</t>
        </is>
      </c>
    </row>
    <row r="15" ht="18" customHeight="1">
      <c r="B15" s="87" t="inlineStr">
        <is>
          <t>Origination dates</t>
        </is>
      </c>
      <c r="C15" s="88" t="inlineStr">
        <is>
          <t>2021-06-30 to 2026-03-30 (8,000 loans; 0 without a readable date)</t>
        </is>
      </c>
      <c r="E15" s="87" t="inlineStr">
        <is>
          <t>What a pocket is judged against</t>
        </is>
      </c>
      <c r="F15" s="135">
        <f>'_live'!$E$9</f>
        <v/>
      </c>
      <c r="G15" s="136" t="inlineStr">
        <is>
          <t>the rest of its band</t>
        </is>
      </c>
      <c r="K15" t="inlineStr">
        <is>
          <t>row|this|settings</t>
        </is>
      </c>
      <c r="L15">
        <f>IF('_live'!$E$9&lt;&gt;'_live'!$F$9,1,0)</f>
        <v/>
      </c>
    </row>
    <row r="16" ht="32" customHeight="1">
      <c r="B16" s="87" t="inlineStr">
        <is>
          <t>Band edges used: FICO</t>
        </is>
      </c>
      <c r="C16" s="88" t="inlineStr">
        <is>
          <t>654; 686; 712; 746  (5 bands)</t>
        </is>
      </c>
      <c r="E16" s="87" t="inlineStr">
        <is>
          <t>How much worse than its comparison a pocket must be</t>
        </is>
      </c>
      <c r="F16" s="135">
        <f>'_live'!$E$5</f>
        <v/>
      </c>
      <c r="G16" s="136" t="inlineStr">
        <is>
          <t>worse at 1.34x</t>
        </is>
      </c>
      <c r="K16" t="inlineStr">
        <is>
          <t>row|this|settings</t>
        </is>
      </c>
      <c r="L16">
        <f>IF('_live'!$E$5&lt;&gt;'_live'!$F$5,1,0)</f>
        <v/>
      </c>
    </row>
    <row r="17" ht="32" customHeight="1">
      <c r="B17" s="87" t="inlineStr">
        <is>
          <t>Band edges used: ORIG_BAL</t>
        </is>
      </c>
      <c r="C17" s="88" t="inlineStr">
        <is>
          <t>15,449; 26,324; 37,951; 49,152  (5 bands)</t>
        </is>
      </c>
      <c r="E17" s="87" t="inlineStr">
        <is>
          <t>How much better than its comparison a pocket must be</t>
        </is>
      </c>
      <c r="F17" s="135">
        <f>'_live'!$E$6</f>
        <v/>
      </c>
      <c r="G17" s="136" t="inlineStr">
        <is>
          <t>better at 0.75x</t>
        </is>
      </c>
      <c r="K17" t="inlineStr">
        <is>
          <t>row|this|settings</t>
        </is>
      </c>
      <c r="L17">
        <f>IF('_live'!$E$6&lt;&gt;'_live'!$F$6,1,0)</f>
        <v/>
      </c>
    </row>
    <row r="18" ht="32" customHeight="1">
      <c r="B18" s="87" t="inlineStr">
        <is>
          <t>Split</t>
        </is>
      </c>
      <c r="C18" s="88" t="inlineStr">
        <is>
          <t>SYS_FLAG, each pocket split by each value, and each value set against the rest of its pocket. SYS_FLAG isn't cut</t>
        </is>
      </c>
      <c r="E18" s="87" t="inlineStr">
        <is>
          <t>How far profit must move before it counts as more or less</t>
        </is>
      </c>
      <c r="F18" s="135">
        <f>'_live'!$E$13</f>
        <v/>
      </c>
      <c r="G18" s="136" t="inlineStr">
        <is>
          <t>each pocket's own test</t>
        </is>
      </c>
      <c r="K18" t="inlineStr">
        <is>
          <t>row|this|settings</t>
        </is>
      </c>
      <c r="L18">
        <f>IF('_live'!$E$13&lt;&gt;'_live'!$F$13,1,0)</f>
        <v/>
      </c>
    </row>
    <row r="19" ht="32" customHeight="1">
      <c r="B19" s="87" t="n"/>
      <c r="C19" s="88" t="inlineStr">
        <is>
          <t>on its own while it splits. Split pockets: 158.</t>
        </is>
      </c>
      <c r="E19" s="87" t="inlineStr">
        <is>
          <t>How sure a difference must be before it counts</t>
        </is>
      </c>
      <c r="F19" s="135">
        <f>'_live'!$E$7</f>
        <v/>
      </c>
      <c r="G19" s="136" t="inlineStr">
        <is>
          <t>95% sure</t>
        </is>
      </c>
      <c r="K19" t="inlineStr">
        <is>
          <t>row|this|settings</t>
        </is>
      </c>
      <c r="L19">
        <f>IF('_live'!$E$7&lt;&gt;'_live'!$F$7,1,0)</f>
        <v/>
      </c>
      <c r="M19" t="inlineStr">
        <is>
          <t>sp</t>
        </is>
      </c>
    </row>
    <row r="20" ht="18" customHeight="1">
      <c r="E20" s="87" t="inlineStr">
        <is>
          <t>How often a real gap should be caught</t>
        </is>
      </c>
      <c r="F20" s="135">
        <f>IF(AND(Control!$D$28&lt;&gt;"",Control!$D$28&lt;&gt;"n/a"),Control!$D$28,IFERROR(INDEX(_options!$G:$G,MATCH(Control!$G$28&amp;"|"&amp;Control!$C$28,_options!$A:$A,0)),Control!$C$28&amp;""))</f>
        <v/>
      </c>
      <c r="G20" s="136" t="inlineStr">
        <is>
          <t>80% of the time</t>
        </is>
      </c>
      <c r="K20" t="inlineStr">
        <is>
          <t>row|this|settings</t>
        </is>
      </c>
      <c r="L20">
        <f>IF(Control!$H$28="↻ Waiting for a Run",1,0)</f>
        <v/>
      </c>
    </row>
    <row r="21" ht="32" customHeight="1">
      <c r="B21" s="86" t="n"/>
      <c r="C21" s="86" t="n"/>
      <c r="E21" s="81" t="inlineStr">
        <is>
          <t>Allowing for testing many pockets at once</t>
        </is>
      </c>
      <c r="F21" s="83">
        <f>IF(AND(Control!$D$29&lt;&gt;"",Control!$D$29&lt;&gt;"n/a"),Control!$D$29,IFERROR(INDEX(_options!$G:$G,MATCH(Control!$G$29&amp;"|"&amp;Control!$C$29,_options!$A:$A,0)),Control!$C$29&amp;""))</f>
        <v/>
      </c>
      <c r="G21" s="84" t="inlineStr">
        <is>
          <t>Hold down the share of false finds (Benjamini-Hochberg)</t>
        </is>
      </c>
      <c r="K21" t="inlineStr">
        <is>
          <t>row|this|settings</t>
        </is>
      </c>
      <c r="L21">
        <f>IF(Control!$H$29="↻ Waiting for a Run",1,0)</f>
        <v/>
      </c>
    </row>
    <row r="23" ht="24" customHeight="1">
      <c r="B23" s="77" t="inlineStr">
        <is>
          <t>Does it add up</t>
        </is>
      </c>
      <c r="C23" s="78" t="n"/>
      <c r="E23" s="77" t="inlineStr">
        <is>
          <t>Tests used</t>
        </is>
      </c>
      <c r="F23" s="78" t="n"/>
      <c r="G23" s="78" t="n"/>
      <c r="K23" t="inlineStr">
        <is>
          <t>pair|adds|tests</t>
        </is>
      </c>
    </row>
    <row r="24" ht="18" customHeight="1">
      <c r="B24" s="79" t="inlineStr">
        <is>
          <t>Check</t>
        </is>
      </c>
      <c r="C24" s="79" t="inlineStr">
        <is>
          <t>Result</t>
        </is>
      </c>
      <c r="E24" s="79" t="inlineStr">
        <is>
          <t>Where</t>
        </is>
      </c>
      <c r="F24" s="79" t="inlineStr">
        <is>
          <t>Test</t>
        </is>
      </c>
      <c r="G24" s="85" t="n"/>
    </row>
    <row r="25" ht="18" customHeight="1">
      <c r="B25" s="87" t="inlineStr">
        <is>
          <t>Tie-out checks</t>
        </is>
      </c>
      <c r="C25" s="88" t="inlineStr">
        <is>
          <t>702: every grid adds up to the book</t>
        </is>
      </c>
      <c r="E25" s="87" t="inlineStr">
        <is>
          <t>Tests</t>
        </is>
      </c>
      <c r="F25" s="88" t="inlineStr">
        <is>
          <t>Outcome, share of loans: the z test, pooled, for a pocket of 65 loans or more, and the exact test</t>
        </is>
      </c>
      <c r="G25" s="63" t="n"/>
      <c r="K25" t="inlineStr">
        <is>
          <t>row|adds|tests</t>
        </is>
      </c>
    </row>
    <row r="26" ht="18" customHeight="1">
      <c r="B26" s="87" t="inlineStr">
        <is>
          <t>Worse now: Bad loans</t>
        </is>
      </c>
      <c r="C26" s="88">
        <f>COUNTIFS('_pockets'!$A$4:$A$1048576,"grids",'_pockets'!$E$4:$E$1048576,"outcome_loans",'_pockets'!$Y$4:$Y$1048576,"worse")&amp;" of 81 pockets on the grids read worse; "&amp;COUNTIFS('_pockets'!$A$4:$A$1048576,"grids",'_pockets'!$E$4:$E$1048576,"outcome_loans",'_pockets'!$Y$4:$Y$1048576,"worse",'_pockets'!$AA$4:$AA$1048576,"yes")&amp;" of them are material."</f>
        <v/>
      </c>
      <c r="E26" s="87" t="n"/>
      <c r="F26" s="88" t="inlineStr">
        <is>
          <t>(Fisher's) below that. Every dollar rate: the loans are shuffled 10,000 times, within the band for the</t>
        </is>
      </c>
      <c r="G26" s="63" t="n"/>
      <c r="K26" t="inlineStr">
        <is>
          <t>row|adds|tests</t>
        </is>
      </c>
      <c r="N26" t="inlineStr">
        <is>
          <t>sp</t>
        </is>
      </c>
    </row>
    <row r="27" ht="32" customHeight="1">
      <c r="B27" s="87" t="inlineStr">
        <is>
          <t>Worse now: Bad dollars</t>
        </is>
      </c>
      <c r="C27" s="88">
        <f>COUNTIFS('_pockets'!$A$4:$A$1048576,"grids",'_pockets'!$E$4:$E$1048576,"outcome_booked",'_pockets'!$Y$4:$Y$1048576,"worse")&amp;" of 81 pockets on the grids read worse; "&amp;COUNTIFS('_pockets'!$A$4:$A$1048576,"grids",'_pockets'!$E$4:$E$1048576,"outcome_booked",'_pockets'!$Y$4:$Y$1048576,"worse",'_pockets'!$AA$4:$AA$1048576,"yes")&amp;" of them are material."</f>
        <v/>
      </c>
      <c r="E27" s="87" t="n"/>
      <c r="F27" s="88" t="inlineStr">
        <is>
          <t>rest of its band, and its p-value is how often a shuffle made a gap as big. Profit and contribution are</t>
        </is>
      </c>
      <c r="G27" s="63" t="n"/>
      <c r="K27" t="inlineStr">
        <is>
          <t>row|adds|tests</t>
        </is>
      </c>
      <c r="N27" t="inlineStr">
        <is>
          <t>sp</t>
        </is>
      </c>
    </row>
    <row r="28" ht="18" customHeight="1">
      <c r="B28" s="87" t="inlineStr">
        <is>
          <t>Worse now: Charge-offs</t>
        </is>
      </c>
      <c r="C28" s="88">
        <f>COUNTIFS('_pockets'!$A$4:$A$1048576,"grids",'_pockets'!$E$4:$E$1048576,"gco_rate",'_pockets'!$Y$4:$Y$1048576,"worse")&amp;" of 81 pockets on the grids read worse; "&amp;COUNTIFS('_pockets'!$A$4:$A$1048576,"grids",'_pockets'!$E$4:$E$1048576,"gco_rate",'_pockets'!$Y$4:$Y$1048576,"worse",'_pockets'!$AA$4:$AA$1048576,"yes")&amp;" of them are material."</f>
        <v/>
      </c>
      <c r="E28" s="87" t="n"/>
      <c r="F28" s="88" t="inlineStr">
        <is>
          <t>compared as a gap in points, never a multiple. A split by a category: each value against the rest of its</t>
        </is>
      </c>
      <c r="G28" s="63" t="n"/>
      <c r="K28" t="inlineStr">
        <is>
          <t>row|adds|tests</t>
        </is>
      </c>
      <c r="N28" t="inlineStr">
        <is>
          <t>sp</t>
        </is>
      </c>
    </row>
    <row r="29" ht="18" customHeight="1">
      <c r="B29" s="87" t="inlineStr">
        <is>
          <t>Worse now: Kept after losses</t>
        </is>
      </c>
      <c r="C29" s="88">
        <f>COUNTIFS('_pockets'!$A$4:$A$1048576,"grids",'_pockets'!$E$4:$E$1048576,"ranr_rate",'_pockets'!$Y$4:$Y$1048576,"worse")&amp;" of 81 pockets on the grids read worse; "&amp;COUNTIFS('_pockets'!$A$4:$A$1048576,"grids",'_pockets'!$E$4:$E$1048576,"ranr_rate",'_pockets'!$Y$4:$Y$1048576,"worse",'_pockets'!$AA$4:$AA$1048576,"yes")&amp;" of them are material."</f>
        <v/>
      </c>
      <c r="E29" s="87" t="n"/>
      <c r="F29" s="88" t="inlineStr">
        <is>
          <t>pocket, as the halves are compared; and whether the values differ at all, every value at once, by the</t>
        </is>
      </c>
      <c r="G29" s="63" t="n"/>
      <c r="K29" t="inlineStr">
        <is>
          <t>row|adds|tests</t>
        </is>
      </c>
      <c r="N29" t="inlineStr">
        <is>
          <t>sp</t>
        </is>
      </c>
    </row>
    <row r="30" ht="32" customHeight="1">
      <c r="B30" s="87" t="inlineStr">
        <is>
          <t>Worse now: Earned before losses</t>
        </is>
      </c>
      <c r="C30" s="88">
        <f>COUNTIFS('_pockets'!$A$4:$A$1048576,"grids",'_pockets'!$E$4:$E$1048576,"contribution_rate",'_pockets'!$Y$4:$Y$1048576,"worse")&amp;" of 81 pockets on the grids read worse; "&amp;COUNTIFS('_pockets'!$A$4:$A$1048576,"grids",'_pockets'!$E$4:$E$1048576,"contribution_rate",'_pockets'!$Y$4:$Y$1048576,"worse",'_pockets'!$AA$4:$AA$1048576,"yes")&amp;" of them are material."</f>
        <v/>
      </c>
      <c r="E30" s="87" t="n"/>
      <c r="F30" s="88" t="inlineStr">
        <is>
          <t>K-group Mantel-Haenszel test (general association, on one fewer degrees of freedom than there are</t>
        </is>
      </c>
      <c r="G30" s="63" t="n"/>
      <c r="K30" t="inlineStr">
        <is>
          <t>row|adds|tests</t>
        </is>
      </c>
      <c r="N30" t="inlineStr">
        <is>
          <t>sp</t>
        </is>
      </c>
    </row>
    <row r="31" ht="32" customHeight="1">
      <c r="B31" s="87" t="inlineStr">
        <is>
          <t>Loans needed for a 1.34x gap: Bad loans</t>
        </is>
      </c>
      <c r="C31" s="88" t="inlineStr">
        <is>
          <t>about 1,026</t>
        </is>
      </c>
      <c r="E31" s="87" t="n"/>
      <c r="F31" s="88" t="inlineStr">
        <is>
          <t>values), bad loans only. The split's odds: Cochran-Mantel-Haenszel, which asks whether an odds ratio</t>
        </is>
      </c>
      <c r="G31" s="63" t="n"/>
      <c r="K31" t="inlineStr">
        <is>
          <t>row|adds|tests</t>
        </is>
      </c>
      <c r="N31" t="inlineStr">
        <is>
          <t>sp</t>
        </is>
      </c>
    </row>
    <row r="32" ht="32" customHeight="1">
      <c r="B32" s="87" t="inlineStr">
        <is>
          <t>Loans needed for a 1.34x gap: Bad dollars</t>
        </is>
      </c>
      <c r="C32" s="88" t="inlineStr">
        <is>
          <t>about 1,122</t>
        </is>
      </c>
      <c r="E32" s="87" t="n"/>
      <c r="F32" s="88" t="inlineStr">
        <is>
          <t>this far from 1 could come from shuffling loans within their pockets. It has no continuity correction:</t>
        </is>
      </c>
      <c r="G32" s="63" t="n"/>
      <c r="K32" t="inlineStr">
        <is>
          <t>row|adds|tests</t>
        </is>
      </c>
      <c r="N32" t="inlineStr">
        <is>
          <t>sp</t>
        </is>
      </c>
    </row>
    <row r="33" ht="32" customHeight="1">
      <c r="B33" s="87" t="inlineStr">
        <is>
          <t>Loans needed for a 1.34x gap: Charge-offs</t>
        </is>
      </c>
      <c r="C33" s="88" t="inlineStr">
        <is>
          <t>about 1,200</t>
        </is>
      </c>
      <c r="E33" s="87" t="n"/>
      <c r="F33" s="88" t="inlineStr">
        <is>
          <t>nothing is taken off the gap between actual and expected before it is squared.</t>
        </is>
      </c>
      <c r="G33" s="63" t="n"/>
      <c r="K33" t="inlineStr">
        <is>
          <t>row|adds|tests</t>
        </is>
      </c>
      <c r="N33" t="inlineStr">
        <is>
          <t>sp</t>
        </is>
      </c>
    </row>
    <row r="34" ht="32" customHeight="1">
      <c r="B34" s="87" t="inlineStr">
        <is>
          <t>Smallest gap a typical pocket could show: Kept after losses</t>
        </is>
      </c>
      <c r="C34" s="88" t="inlineStr">
        <is>
          <t>2.87 points either way (the median over the pockets; caught 80% of the time at 95% sure)</t>
        </is>
      </c>
      <c r="E34" s="87" t="inlineStr">
        <is>
          <t>p-value</t>
        </is>
      </c>
      <c r="F34" s="88">
        <f>"The chance of a gap at least this big if there were no real difference, after the allowance for many tests. Below "&amp;TEXT(significance_bar,"0%")&amp;" is significant, at "&amp;TEXT(confidence,"0%")&amp;" sure. Two-sided: a gap either way counts."</f>
        <v/>
      </c>
      <c r="G34" s="63" t="n"/>
      <c r="K34" t="inlineStr">
        <is>
          <t>row|adds|tests</t>
        </is>
      </c>
    </row>
    <row r="35" ht="32" customHeight="1">
      <c r="B35" s="87" t="inlineStr">
        <is>
          <t>Smallest gap a typical pocket could show: Earned before losses</t>
        </is>
      </c>
      <c r="C35" s="88" t="inlineStr">
        <is>
          <t>1.89 points either way (the median over the pockets; caught 80% of the time at 95% sure)</t>
        </is>
      </c>
      <c r="E35" s="87" t="inlineStr">
        <is>
          <t>Standard error</t>
        </is>
      </c>
      <c r="F35" s="88">
        <f>"How far a rate worked out from this many loans typically lands from its true value. A gap of "&amp;TEXT(NORMSINV(1-(1-confidence)/2),"0.00")&amp;" standard errors is the "&amp;TEXT(confidence,"0%")&amp;" line."</f>
        <v/>
      </c>
      <c r="G35" s="63" t="n"/>
      <c r="K35" t="inlineStr">
        <is>
          <t>row|adds|tests</t>
        </is>
      </c>
    </row>
    <row r="36" ht="18" customHeight="1">
      <c r="B36" s="87" t="inlineStr">
        <is>
          <t>Materiality line: Bad loans</t>
        </is>
      </c>
      <c r="C36" s="88">
        <f>IF('_live'!$C$20="","no line: the dollar line on Control is a GCO amount",TEXT('_live'!$C$20,"#,##0.0")&amp;" loans")</f>
        <v/>
      </c>
      <c r="E36" s="87" t="inlineStr">
        <is>
          <t>The allowance for many tests covers</t>
        </is>
      </c>
      <c r="F36" s="88" t="inlineStr">
        <is>
          <t>each grid and measure on its own, one comparison at a time</t>
        </is>
      </c>
      <c r="G36" s="63" t="n"/>
      <c r="K36" t="inlineStr">
        <is>
          <t>row|adds|tests</t>
        </is>
      </c>
    </row>
    <row r="37" ht="18" customHeight="1">
      <c r="B37" s="87" t="inlineStr">
        <is>
          <t>Materiality line: Bad dollars</t>
        </is>
      </c>
      <c r="C37" s="88">
        <f>IF('_live'!$C$21="","no line: the dollar line on Control is a GCO amount",TEXT('_live'!$C$21,"#,##0")&amp;" ORIG_BAL dollars")</f>
        <v/>
      </c>
      <c r="E37" s="87" t="inlineStr">
        <is>
          <t>Contribution before losses</t>
        </is>
      </c>
      <c r="F37" s="88" t="inlineStr">
        <is>
          <t>RANR + GCO, per booked dollar. This assumes RANR has gross charge-offs taken out. If RANR nets</t>
        </is>
      </c>
      <c r="G37" s="63" t="n"/>
      <c r="K37" t="inlineStr">
        <is>
          <t>row|adds|tests</t>
        </is>
      </c>
    </row>
    <row r="38" ht="18" customHeight="1">
      <c r="B38" s="87" t="inlineStr">
        <is>
          <t>Materiality line: Charge-offs</t>
        </is>
      </c>
      <c r="C38" s="88">
        <f>IF('_live'!$C$22="","no line: the dollar line on Control is a GCO amount",TEXT('_live'!$C$22,"#,##0")&amp;" GCO_AMT dollars")</f>
        <v/>
      </c>
      <c r="E38" s="87" t="n"/>
      <c r="F38" s="88" t="inlineStr">
        <is>
          <t>recoveries instead, contribution is overstated by the recoveries.</t>
        </is>
      </c>
      <c r="G38" s="63" t="n"/>
      <c r="K38" t="inlineStr">
        <is>
          <t>row|adds|tests</t>
        </is>
      </c>
      <c r="N38" t="inlineStr">
        <is>
          <t>sp</t>
        </is>
      </c>
    </row>
    <row r="39" ht="46" customHeight="1">
      <c r="B39" s="87" t="inlineStr">
        <is>
          <t>Materiality line: Kept after losses</t>
        </is>
      </c>
      <c r="C39" s="88">
        <f>IF('_live'!$C$23="","no line: the dollar line on Control is a GCO amount","a shortfall of "&amp;TEXT('_live'!$C$23,"#,##0")&amp;" RANR_AMT dollars"&amp;": the same dollar line as GCO (Control's materiality answer)")</f>
        <v/>
      </c>
      <c r="E39" s="87" t="inlineStr">
        <is>
          <t>Decides each pocket</t>
        </is>
      </c>
      <c r="F39" s="88">
        <f>IF(judged_band,"The rest of its band decides each pocket's flag, its dollars and whether it is material. A pocket alone in its band is compared with the rest of the book.","The rest of the book decides each pocket's flag, its dollars and whether it is material: every other loan in the book, for the gap and the dollars alike.")</f>
        <v/>
      </c>
      <c r="G39" s="63" t="n"/>
      <c r="K39" t="inlineStr">
        <is>
          <t>row|adds|tests</t>
        </is>
      </c>
    </row>
    <row r="40" ht="32" customHeight="1">
      <c r="B40" s="87" t="inlineStr">
        <is>
          <t>Materiality line: Earned before losses</t>
        </is>
      </c>
      <c r="C40" s="88">
        <f>IF('_live'!$C$24="","no line: the dollar line on Control is a GCO amount","a shortfall of "&amp;TEXT('_live'!$C$24,"#,##0")&amp;" RANR_AMT + GCO_AMT dollars"&amp;": the same dollar line as GCO (Control's materiality answer)")</f>
        <v/>
      </c>
      <c r="E40" s="87" t="inlineStr">
        <is>
          <t>Profit counts as more or less</t>
        </is>
      </c>
      <c r="F40" s="88">
        <f>'_live'!$E$13&amp;IF(profit_kind="test",": only a gap that is significant at "&amp;TEXT(confidence,"0%"),"")</f>
        <v/>
      </c>
      <c r="G40" s="63" t="n"/>
      <c r="K40" t="inlineStr">
        <is>
          <t>row|adds|tests</t>
        </is>
      </c>
    </row>
    <row r="41" ht="18" customHeight="1">
      <c r="B41" s="87" t="inlineStr">
        <is>
          <t>Worked out from this book</t>
        </is>
      </c>
      <c r="C41" s="88" t="inlineStr">
        <is>
          <t>fewest loans 65 (enough to expect 5 with the outcome at the book's rate of 7.74%); worse at 1.34x; better at</t>
        </is>
      </c>
      <c r="E41" s="87" t="inlineStr">
        <is>
          <t>How profit reads</t>
        </is>
      </c>
      <c r="F41" s="88" t="inlineStr">
        <is>
          <t>As the gap: how many points of booked dollars a pocket is short of or ahead of its band, and the dollars</t>
        </is>
      </c>
      <c r="G41" s="63" t="n"/>
      <c r="K41" t="inlineStr">
        <is>
          <t>row|adds|tests</t>
        </is>
      </c>
    </row>
    <row r="42" ht="18" customHeight="1">
      <c r="B42" s="87" t="n"/>
      <c r="C42" s="88" t="inlineStr">
        <is>
          <t>0.75x (the smallest outcome gap a pocket of typical size can call significant)</t>
        </is>
      </c>
      <c r="E42" s="87" t="n"/>
      <c r="F42" s="88" t="inlineStr">
        <is>
          <t>that comes to. In this run, FICO 496 - 653 / CHANNEL Broker: "short of its band by 7.86 points</t>
        </is>
      </c>
      <c r="G42" s="63" t="n"/>
      <c r="K42" t="inlineStr">
        <is>
          <t>row|adds|tests</t>
        </is>
      </c>
      <c r="M42" t="inlineStr">
        <is>
          <t>sp</t>
        </is>
      </c>
      <c r="N42" t="inlineStr">
        <is>
          <t>sp</t>
        </is>
      </c>
    </row>
    <row r="43" ht="18" customHeight="1">
      <c r="B43" s="87" t="inlineStr">
        <is>
          <t>Pockets tested</t>
        </is>
      </c>
      <c r="C43" s="88" t="inlineStr">
        <is>
          <t>70 of 81</t>
        </is>
      </c>
      <c r="E43" s="87" t="n"/>
      <c r="F43" s="88" t="inlineStr">
        <is>
          <t>($1,339,855)". A gap its own test doesn't call significant gives the gap and says not significant. In</t>
        </is>
      </c>
      <c r="G43" s="63" t="n"/>
      <c r="K43" t="inlineStr">
        <is>
          <t>row|adds|tests</t>
        </is>
      </c>
      <c r="N43" t="inlineStr">
        <is>
          <t>sp</t>
        </is>
      </c>
    </row>
    <row r="44" ht="18" customHeight="1">
      <c r="B44" s="87" t="inlineStr">
        <is>
          <t>Pocket budget</t>
        </is>
      </c>
      <c r="C44" s="88" t="inlineStr">
        <is>
          <t>At most 123 pockets per grid can be tested: at the suggested floor a pocket needs to expect 5 bad loans, and the</t>
        </is>
      </c>
      <c r="E44" s="87" t="n"/>
      <c r="F44" s="88" t="inlineStr">
        <is>
          <t>this run, ORIG_BAL 37,951 - 49,151 / ASSET_CLASS 4: "-2.60 points against its band, not significant".</t>
        </is>
      </c>
      <c r="G44" s="63" t="n"/>
      <c r="K44" t="inlineStr">
        <is>
          <t>row|adds|tests</t>
        </is>
      </c>
      <c r="N44" t="inlineStr">
        <is>
          <t>sp</t>
        </is>
      </c>
    </row>
    <row r="45" ht="18" customHeight="1">
      <c r="B45" s="87" t="n"/>
      <c r="C45" s="88" t="inlineStr">
        <is>
          <t>book has 619 (619 ÷ 5 = 123). Fewer in practice, since loans never spread evenly. Each grid cuts the whole book</t>
        </is>
      </c>
      <c r="E45" s="87" t="n"/>
      <c r="F45" s="88" t="inlineStr">
        <is>
          <t>The examples are as of the last Run.</t>
        </is>
      </c>
      <c r="G45" s="63" t="n"/>
      <c r="K45" t="inlineStr">
        <is>
          <t>row|adds|tests</t>
        </is>
      </c>
      <c r="M45" t="inlineStr">
        <is>
          <t>sp</t>
        </is>
      </c>
      <c r="N45" t="inlineStr">
        <is>
          <t>sp</t>
        </is>
      </c>
    </row>
    <row r="46" ht="18" customHeight="1">
      <c r="B46" s="87" t="n"/>
      <c r="C46" s="88" t="inlineStr">
        <is>
          <t>again, so each grid is held to this on its own.</t>
        </is>
      </c>
      <c r="E46" s="87" t="inlineStr">
        <is>
          <t>Families of tests</t>
        </is>
      </c>
      <c r="F46" s="88" t="inlineStr">
        <is>
          <t>100, holding 2,718 tests: 4 grids x 5 rates x 2 comparisons; 4 three-way grids x 5 rates x 2</t>
        </is>
      </c>
      <c r="G46" s="63" t="n"/>
      <c r="K46" t="inlineStr">
        <is>
          <t>row|adds|tests</t>
        </is>
      </c>
      <c r="M46" t="inlineStr">
        <is>
          <t>sp</t>
        </is>
      </c>
    </row>
    <row r="47" ht="18" customHeight="1">
      <c r="B47" s="87" t="inlineStr">
        <is>
          <t>Pockets: FICO x CHANNEL</t>
        </is>
      </c>
      <c r="C47" s="88" t="inlineStr">
        <is>
          <t>19 pockets, against a budget of 123. 15 have at least 10 bad loans and can be tested, holding 98% of the loans</t>
        </is>
      </c>
      <c r="E47" s="87" t="n"/>
      <c r="F47" s="88" t="inlineStr">
        <is>
          <t>comparisons; 4 grids x 5 rates for the split's values, every value in one family. A family is one grid,</t>
        </is>
      </c>
      <c r="G47" s="63" t="n"/>
      <c r="K47" t="inlineStr">
        <is>
          <t>row|adds|tests</t>
        </is>
      </c>
      <c r="N47" t="inlineStr">
        <is>
          <t>sp</t>
        </is>
      </c>
    </row>
    <row r="48" ht="18" customHeight="1">
      <c r="B48" s="87" t="n"/>
      <c r="C48" s="88" t="inlineStr">
        <is>
          <t>and 98% of the booked dollars.</t>
        </is>
      </c>
      <c r="E48" s="87" t="n"/>
      <c r="F48" s="88" t="inlineStr">
        <is>
          <t>one rate and one comparison (against the rest of the book, the rest of its band, or each value against</t>
        </is>
      </c>
      <c r="G48" s="63" t="n"/>
      <c r="K48" t="inlineStr">
        <is>
          <t>row|adds|tests</t>
        </is>
      </c>
      <c r="M48" t="inlineStr">
        <is>
          <t>sp</t>
        </is>
      </c>
      <c r="N48" t="inlineStr">
        <is>
          <t>sp</t>
        </is>
      </c>
    </row>
    <row r="49" ht="18" customHeight="1">
      <c r="B49" s="87" t="inlineStr">
        <is>
          <t>Pockets: FICO x ASSET_CLASS</t>
        </is>
      </c>
      <c r="C49" s="88" t="inlineStr">
        <is>
          <t>25 pockets, against a budget of 123. 20 have at least 10 bad loans and can be tested, holding 98% of the loans</t>
        </is>
      </c>
      <c r="E49" s="87" t="n"/>
      <c r="F49" s="88" t="inlineStr">
        <is>
          <t>the rest of its pocket).</t>
        </is>
      </c>
      <c r="G49" s="63" t="n"/>
      <c r="K49" t="inlineStr">
        <is>
          <t>row|adds|tests</t>
        </is>
      </c>
      <c r="N49" t="inlineStr">
        <is>
          <t>sp</t>
        </is>
      </c>
    </row>
    <row r="50" ht="18" customHeight="1">
      <c r="B50" s="87" t="n"/>
      <c r="C50" s="88" t="inlineStr">
        <is>
          <t>and 98% of the booked dollars.</t>
        </is>
      </c>
      <c r="E50" s="87" t="inlineStr">
        <is>
          <t>Reading a single red</t>
        </is>
      </c>
      <c r="F50" s="88" t="inlineStr">
        <is>
          <t>Each family gets its own allowance for many tests, not one for the whole run. So a single red across 100</t>
        </is>
      </c>
      <c r="G50" s="63" t="n"/>
      <c r="K50" t="inlineStr">
        <is>
          <t>row|adds|tests</t>
        </is>
      </c>
      <c r="M50" t="inlineStr">
        <is>
          <t>sp</t>
        </is>
      </c>
    </row>
    <row r="51" ht="18" customHeight="1">
      <c r="B51" s="87" t="inlineStr">
        <is>
          <t>Pockets: ORIG_BAL x CHANNEL</t>
        </is>
      </c>
      <c r="C51" s="88" t="inlineStr">
        <is>
          <t>16 pockets, against a budget of 123. 15 have at least 10 bad loans and can be tested, holding 100% of the loans</t>
        </is>
      </c>
      <c r="E51" s="87" t="n"/>
      <c r="F51" s="88" t="inlineStr">
        <is>
          <t>families is weak evidence.</t>
        </is>
      </c>
      <c r="G51" s="63" t="n"/>
      <c r="K51" t="inlineStr">
        <is>
          <t>row|adds|tests</t>
        </is>
      </c>
      <c r="N51" t="inlineStr">
        <is>
          <t>sp</t>
        </is>
      </c>
    </row>
    <row r="52" ht="18" customHeight="1">
      <c r="B52" s="87" t="n"/>
      <c r="C52" s="88" t="inlineStr">
        <is>
          <t>and 100% of the booked dollars.</t>
        </is>
      </c>
      <c r="K52" t="inlineStr">
        <is>
          <t>row|adds|tests</t>
        </is>
      </c>
      <c r="M52" t="inlineStr">
        <is>
          <t>sp</t>
        </is>
      </c>
    </row>
    <row r="53" ht="18" customHeight="1">
      <c r="B53" s="87" t="inlineStr">
        <is>
          <t>Pockets: ORIG_BAL x ASSET_CLASS</t>
        </is>
      </c>
      <c r="C53" s="88" t="inlineStr">
        <is>
          <t>21 pockets, against a budget of 123. 20 have at least 10 bad loans and can be tested, holding 100% of the loans</t>
        </is>
      </c>
      <c r="K53" t="inlineStr">
        <is>
          <t>row|adds|tests</t>
        </is>
      </c>
    </row>
    <row r="54" ht="18" customHeight="1">
      <c r="B54" s="87" t="n"/>
      <c r="C54" s="88" t="inlineStr">
        <is>
          <t>and 100% of the booked dollars.</t>
        </is>
      </c>
      <c r="K54" t="inlineStr">
        <is>
          <t>row|adds|tests</t>
        </is>
      </c>
      <c r="M54" t="inlineStr">
        <is>
          <t>sp</t>
        </is>
      </c>
    </row>
    <row r="55" ht="32" customHeight="1">
      <c r="B55" s="87" t="inlineStr">
        <is>
          <t>Pockets: Split: FICO x CHANNEL / SYS_FLAG</t>
        </is>
      </c>
      <c r="C55" s="88" t="inlineStr">
        <is>
          <t>37 pockets, against a budget of 123. 25 have at least 10 bad loans and can be tested, holding 81% of the loans</t>
        </is>
      </c>
      <c r="K55" t="inlineStr">
        <is>
          <t>row|adds|tests</t>
        </is>
      </c>
    </row>
    <row r="56" ht="18" customHeight="1">
      <c r="B56" s="87" t="n"/>
      <c r="C56" s="88" t="inlineStr">
        <is>
          <t>and 81% of the booked dollars.</t>
        </is>
      </c>
      <c r="K56" t="inlineStr">
        <is>
          <t>row|adds|tests</t>
        </is>
      </c>
      <c r="M56" t="inlineStr">
        <is>
          <t>sp</t>
        </is>
      </c>
    </row>
    <row r="57" ht="32" customHeight="1">
      <c r="B57" s="87" t="inlineStr">
        <is>
          <t>Pockets: Split: FICO x ASSET_CLASS / SYS_FLAG</t>
        </is>
      </c>
      <c r="C57" s="88" t="inlineStr">
        <is>
          <t>49 pockets, against a budget of 123. 26 have at least 10 bad loans and can be tested, holding 63% of the loans</t>
        </is>
      </c>
      <c r="K57" t="inlineStr">
        <is>
          <t>row|adds|tests</t>
        </is>
      </c>
    </row>
    <row r="58" ht="18" customHeight="1">
      <c r="B58" s="87" t="n"/>
      <c r="C58" s="88" t="inlineStr">
        <is>
          <t>and 63% of the booked dollars.</t>
        </is>
      </c>
      <c r="K58" t="inlineStr">
        <is>
          <t>row|adds|tests</t>
        </is>
      </c>
      <c r="M58" t="inlineStr">
        <is>
          <t>sp</t>
        </is>
      </c>
    </row>
    <row r="59" ht="32" customHeight="1">
      <c r="B59" s="87" t="inlineStr">
        <is>
          <t>Pockets: Split: ORIG_BAL x CHANNEL / SYS_FLAG</t>
        </is>
      </c>
      <c r="C59" s="88" t="inlineStr">
        <is>
          <t>31 pockets, against a budget of 123. 28 have at least 10 bad loans and can be tested, holding 93% of the loans</t>
        </is>
      </c>
      <c r="K59" t="inlineStr">
        <is>
          <t>row|adds|tests</t>
        </is>
      </c>
    </row>
    <row r="60" ht="18" customHeight="1">
      <c r="B60" s="87" t="n"/>
      <c r="C60" s="88" t="inlineStr">
        <is>
          <t>and 88% of the booked dollars.</t>
        </is>
      </c>
      <c r="K60" t="inlineStr">
        <is>
          <t>row|adds|tests</t>
        </is>
      </c>
      <c r="M60" t="inlineStr">
        <is>
          <t>sp</t>
        </is>
      </c>
    </row>
    <row r="61" ht="32" customHeight="1">
      <c r="B61" s="87" t="inlineStr">
        <is>
          <t>Pockets: Split: ORIG_BAL x ASSET_CLASS / SYS_FLAG</t>
        </is>
      </c>
      <c r="C61" s="88" t="inlineStr">
        <is>
          <t>41 pockets, against a budget of 123. 32 have at least 10 bad loans and can be tested, holding 78% of the loans</t>
        </is>
      </c>
      <c r="K61" t="inlineStr">
        <is>
          <t>row|adds|tests</t>
        </is>
      </c>
    </row>
    <row r="62" ht="18" customHeight="1">
      <c r="B62" s="87" t="n"/>
      <c r="C62" s="88" t="inlineStr">
        <is>
          <t>and 73% of the booked dollars.</t>
        </is>
      </c>
      <c r="K62" t="inlineStr">
        <is>
          <t>row|adds|tests</t>
        </is>
      </c>
      <c r="M62" t="inlineStr">
        <is>
          <t>sp</t>
        </is>
      </c>
    </row>
    <row r="63" ht="18" customHeight="1">
      <c r="B63" s="87" t="inlineStr">
        <is>
          <t>Pockets in all</t>
        </is>
      </c>
      <c r="C63" s="88" t="inlineStr">
        <is>
          <t>239 pockets across 8 grids. Testable means at least 10 bad loans (fewest losses): that is the only floor that</t>
        </is>
      </c>
      <c r="K63" t="inlineStr">
        <is>
          <t>row|adds|tests</t>
        </is>
      </c>
    </row>
    <row r="64" ht="18" customHeight="1">
      <c r="B64" s="81" t="n"/>
      <c r="C64" s="82" t="inlineStr">
        <is>
          <t>stops a test now, since a pocket under fewest loans gets the exact test.</t>
        </is>
      </c>
      <c r="E64" s="86" t="n"/>
      <c r="F64" s="86" t="n"/>
      <c r="G64" s="86" t="n"/>
      <c r="K64" t="inlineStr">
        <is>
          <t>row|adds|tests</t>
        </is>
      </c>
      <c r="M64" t="inlineStr">
        <is>
          <t>sp</t>
        </is>
      </c>
    </row>
    <row r="66" ht="24" customHeight="1">
      <c r="B66" s="77" t="inlineStr">
        <is>
          <t>Left out</t>
        </is>
      </c>
      <c r="C66" s="78" t="n"/>
      <c r="E66" s="77" t="inlineStr">
        <is>
          <t>Every Run, newest first</t>
        </is>
      </c>
      <c r="F66" s="78" t="n"/>
      <c r="G66" s="78" t="n"/>
      <c r="K66" t="inlineStr">
        <is>
          <t>pair|left|runs</t>
        </is>
      </c>
    </row>
    <row r="67" ht="18" customHeight="1">
      <c r="B67" s="79" t="inlineStr">
        <is>
          <t>Where</t>
        </is>
      </c>
      <c r="C67" s="79" t="inlineStr">
        <is>
          <t>What and how many</t>
        </is>
      </c>
      <c r="E67" s="79" t="inlineStr">
        <is>
          <t>When</t>
        </is>
      </c>
      <c r="F67" s="79" t="inlineStr">
        <is>
          <t>What happened</t>
        </is>
      </c>
      <c r="G67" s="85" t="n"/>
    </row>
    <row r="68" ht="18" customHeight="1">
      <c r="B68" s="87" t="inlineStr">
        <is>
          <t>Left out of Bad loans</t>
        </is>
      </c>
      <c r="C68" s="88" t="inlineStr">
        <is>
          <t>1 x BAD_FLAG flag not 0 or 1</t>
        </is>
      </c>
      <c r="E68" s="87" t="inlineStr">
        <is>
          <t>2026-09-29 21:05</t>
        </is>
      </c>
      <c r="F68" s="88" t="inlineStr">
        <is>
          <t>Ran on 8,000 loans from Two-flag book.csv. What was run: Where the book bleeds.</t>
        </is>
      </c>
      <c r="G68" s="63" t="n"/>
      <c r="K68" t="inlineStr">
        <is>
          <t>row|left|runs</t>
        </is>
      </c>
    </row>
    <row r="69" ht="18" customHeight="1">
      <c r="B69" s="87" t="inlineStr">
        <is>
          <t>Left out of Bad dollars</t>
        </is>
      </c>
      <c r="C69" s="88" t="inlineStr">
        <is>
          <t>1 x ORIG_BAL blank; 1 x BAD_FLAG flag not 0 or 1</t>
        </is>
      </c>
      <c r="E69" s="87" t="inlineStr">
        <is>
          <t>2026-09-29 21:05</t>
        </is>
      </c>
      <c r="F69" s="89" t="inlineStr">
        <is>
          <t>Couldn't run. Fix these, save, close, and press Run again:</t>
        </is>
      </c>
      <c r="G69" s="63" t="n"/>
      <c r="K69" t="inlineStr">
        <is>
          <t>row|left|runs</t>
        </is>
      </c>
    </row>
    <row r="70" ht="18" customHeight="1">
      <c r="B70" s="87" t="inlineStr">
        <is>
          <t>Left out of Charge-offs</t>
        </is>
      </c>
      <c r="C70" s="88" t="inlineStr">
        <is>
          <t>1 x GCO_AMT not a number; 1 x ORIG_BAL blank</t>
        </is>
      </c>
      <c r="E70" s="87" t="n"/>
      <c r="F70" s="88" t="inlineStr">
        <is>
          <t>Control!C15: "How much worse than its comparison a pocket must be" needs an answer. Pick one, or enter</t>
        </is>
      </c>
      <c r="G70" s="63" t="n"/>
      <c r="K70" t="inlineStr">
        <is>
          <t>row|left|runs</t>
        </is>
      </c>
    </row>
    <row r="71" ht="18" customHeight="1">
      <c r="B71" s="87" t="inlineStr">
        <is>
          <t>Left out of Kept after losses</t>
        </is>
      </c>
      <c r="C71" s="88" t="inlineStr">
        <is>
          <t>1 x ORIG_BAL blank</t>
        </is>
      </c>
      <c r="E71" s="87" t="n"/>
      <c r="F71" s="88" t="inlineStr">
        <is>
          <t>your own in column D.</t>
        </is>
      </c>
      <c r="G71" s="63" t="n"/>
      <c r="K71" t="inlineStr">
        <is>
          <t>row|left|runs</t>
        </is>
      </c>
      <c r="N71" t="inlineStr">
        <is>
          <t>sp</t>
        </is>
      </c>
    </row>
    <row r="72" ht="18" customHeight="1">
      <c r="B72" s="87" t="inlineStr">
        <is>
          <t>Left out of Earned before losses</t>
        </is>
      </c>
      <c r="C72" s="88" t="inlineStr">
        <is>
          <t>1 x GCO_AMT not a number; 1 x ORIG_BAL blank</t>
        </is>
      </c>
      <c r="E72" s="87" t="n"/>
      <c r="F72" s="88" t="inlineStr">
        <is>
          <t>Control!C18: "How sure a difference must be before it counts" needs an answer. Pick one, or enter your</t>
        </is>
      </c>
      <c r="G72" s="63" t="n"/>
      <c r="K72" t="inlineStr">
        <is>
          <t>row|left|runs</t>
        </is>
      </c>
    </row>
    <row r="73" ht="18" customHeight="1">
      <c r="B73" s="87" t="inlineStr">
        <is>
          <t>Alone in its band</t>
        </is>
      </c>
      <c r="C73" s="88" t="inlineStr">
        <is>
          <t>8 pockets had no other pocket in its band, so they were compared with the rest of the book.</t>
        </is>
      </c>
      <c r="E73" s="87" t="n"/>
      <c r="F73" s="88" t="inlineStr">
        <is>
          <t>own in column D.</t>
        </is>
      </c>
      <c r="G73" s="63" t="n"/>
      <c r="K73" t="inlineStr">
        <is>
          <t>row|left|runs</t>
        </is>
      </c>
      <c r="N73" t="inlineStr">
        <is>
          <t>sp</t>
        </is>
      </c>
    </row>
    <row r="74" ht="18" customHeight="1">
      <c r="E74" s="87" t="n"/>
      <c r="F74" s="88" t="inlineStr">
        <is>
          <t>Control!C19: "Smallest excess loss worth reporting" needs an answer. Pick one, or enter your own in</t>
        </is>
      </c>
      <c r="G74" s="63" t="n"/>
      <c r="K74" t="inlineStr">
        <is>
          <t>row|left|runs</t>
        </is>
      </c>
    </row>
    <row r="75" ht="18" customHeight="1">
      <c r="E75" s="87" t="n"/>
      <c r="F75" s="88" t="inlineStr">
        <is>
          <t>column D.</t>
        </is>
      </c>
      <c r="G75" s="63" t="n"/>
      <c r="K75" t="inlineStr">
        <is>
          <t>row|left|runs</t>
        </is>
      </c>
      <c r="N75" t="inlineStr">
        <is>
          <t>sp</t>
        </is>
      </c>
    </row>
    <row r="76" ht="18" customHeight="1">
      <c r="E76" s="87" t="n"/>
      <c r="F76" s="88" t="inlineStr">
        <is>
          <t>Control!C16: "How much better than its comparison a pocket must be" needs an answer. Pick one, or enter</t>
        </is>
      </c>
      <c r="G76" s="63" t="n"/>
      <c r="K76" t="inlineStr">
        <is>
          <t>row|left|runs</t>
        </is>
      </c>
    </row>
    <row r="77" ht="18" customHeight="1">
      <c r="E77" s="87" t="n"/>
      <c r="F77" s="88" t="inlineStr">
        <is>
          <t>your own in column D.</t>
        </is>
      </c>
      <c r="G77" s="63" t="n"/>
      <c r="K77" t="inlineStr">
        <is>
          <t>row|left|runs</t>
        </is>
      </c>
      <c r="N77" t="inlineStr">
        <is>
          <t>sp</t>
        </is>
      </c>
    </row>
    <row r="78" ht="18" customHeight="1">
      <c r="E78" s="87" t="n"/>
      <c r="F78" s="88" t="inlineStr">
        <is>
          <t>Control!C17: "How far profit must move before it counts as more or less" needs an answer. Pick one, or</t>
        </is>
      </c>
      <c r="G78" s="63" t="n"/>
      <c r="K78" t="inlineStr">
        <is>
          <t>row|left|runs</t>
        </is>
      </c>
    </row>
    <row r="79" ht="18" customHeight="1">
      <c r="E79" s="87" t="n"/>
      <c r="F79" s="88" t="inlineStr">
        <is>
          <t>enter your own in column D.</t>
        </is>
      </c>
      <c r="G79" s="63" t="n"/>
      <c r="K79" t="inlineStr">
        <is>
          <t>row|left|runs</t>
        </is>
      </c>
      <c r="N79" t="inlineStr">
        <is>
          <t>sp</t>
        </is>
      </c>
    </row>
    <row r="80" ht="18" customHeight="1">
      <c r="E80" s="87" t="n"/>
      <c r="F80" s="88" t="inlineStr">
        <is>
          <t>Control!C20: "What a pocket is judged against" needs an answer. Pick one from the list.</t>
        </is>
      </c>
      <c r="G80" s="63" t="n"/>
      <c r="K80" t="inlineStr">
        <is>
          <t>row|left|runs</t>
        </is>
      </c>
    </row>
    <row r="81" ht="18" customHeight="1">
      <c r="E81" s="87" t="n"/>
      <c r="F81" s="88" t="inlineStr">
        <is>
          <t>Control!C24: "Fewest loans in a pocket for the usual test (smaller ones get the exact test)" needs an</t>
        </is>
      </c>
      <c r="G81" s="63" t="n"/>
      <c r="K81" t="inlineStr">
        <is>
          <t>row|left|runs</t>
        </is>
      </c>
    </row>
    <row r="82" ht="18" customHeight="1">
      <c r="E82" s="87" t="n"/>
      <c r="F82" s="88" t="inlineStr">
        <is>
          <t>answer. Pick one, or enter your own in column D.</t>
        </is>
      </c>
      <c r="G82" s="63" t="n"/>
      <c r="K82" t="inlineStr">
        <is>
          <t>row|left|runs</t>
        </is>
      </c>
      <c r="N82" t="inlineStr">
        <is>
          <t>sp</t>
        </is>
      </c>
    </row>
    <row r="83" ht="18" customHeight="1">
      <c r="E83" s="87" t="n"/>
      <c r="F83" s="88" t="inlineStr">
        <is>
          <t>Control!C25: "Fewest loans with a loss before a loss rate is tested" needs an answer. Pick one, or enter</t>
        </is>
      </c>
      <c r="G83" s="63" t="n"/>
      <c r="K83" t="inlineStr">
        <is>
          <t>row|left|runs</t>
        </is>
      </c>
    </row>
    <row r="84" ht="18" customHeight="1">
      <c r="E84" s="87" t="n"/>
      <c r="F84" s="88" t="inlineStr">
        <is>
          <t>your own in column D.</t>
        </is>
      </c>
      <c r="G84" s="63" t="n"/>
      <c r="K84" t="inlineStr">
        <is>
          <t>row|left|runs</t>
        </is>
      </c>
      <c r="N84" t="inlineStr">
        <is>
          <t>sp</t>
        </is>
      </c>
    </row>
    <row r="85" ht="18" customHeight="1">
      <c r="B85" s="86" t="n"/>
      <c r="C85" s="86" t="n"/>
      <c r="E85" s="81" t="n"/>
      <c r="F85" s="82" t="inlineStr">
        <is>
          <t>Columns!C3: set Checked every column to Yes once you've checked each column's meaning.</t>
        </is>
      </c>
      <c r="G85" s="86" t="n"/>
      <c r="K85" t="inlineStr">
        <is>
          <t>row|left|runs</t>
        </is>
      </c>
    </row>
  </sheetData>
  <mergeCells count="63">
    <mergeCell ref="F73:G73"/>
    <mergeCell ref="F69:G69"/>
    <mergeCell ref="F78:G78"/>
    <mergeCell ref="F29:G29"/>
    <mergeCell ref="C6:G6"/>
    <mergeCell ref="F54:G54"/>
    <mergeCell ref="F68:G68"/>
    <mergeCell ref="F25:G25"/>
    <mergeCell ref="F34:G34"/>
    <mergeCell ref="F63:G63"/>
    <mergeCell ref="C5:G5"/>
    <mergeCell ref="F84:G84"/>
    <mergeCell ref="F40:G40"/>
    <mergeCell ref="F74:G74"/>
    <mergeCell ref="F83:G83"/>
    <mergeCell ref="F59:G59"/>
    <mergeCell ref="C4:G4"/>
    <mergeCell ref="F55:G55"/>
    <mergeCell ref="F24:G24"/>
    <mergeCell ref="F30:G30"/>
    <mergeCell ref="F53:G53"/>
    <mergeCell ref="F51:G51"/>
    <mergeCell ref="F80:G80"/>
    <mergeCell ref="F76:G76"/>
    <mergeCell ref="F33:G33"/>
    <mergeCell ref="F45:G45"/>
    <mergeCell ref="F85:G85"/>
    <mergeCell ref="F36:G36"/>
    <mergeCell ref="F42:G42"/>
    <mergeCell ref="F32:G32"/>
    <mergeCell ref="F50:G50"/>
    <mergeCell ref="F26:G26"/>
    <mergeCell ref="F41:G41"/>
    <mergeCell ref="F70:G70"/>
    <mergeCell ref="F79:G79"/>
    <mergeCell ref="F35:G35"/>
    <mergeCell ref="F75:G75"/>
    <mergeCell ref="F47:G47"/>
    <mergeCell ref="F62:G62"/>
    <mergeCell ref="F38:G38"/>
    <mergeCell ref="F72:G72"/>
    <mergeCell ref="F81:G81"/>
    <mergeCell ref="F31:G31"/>
    <mergeCell ref="F46:G46"/>
    <mergeCell ref="F28:G28"/>
    <mergeCell ref="F27:G27"/>
    <mergeCell ref="F56:G56"/>
    <mergeCell ref="F58:G58"/>
    <mergeCell ref="F52:G52"/>
    <mergeCell ref="F67:G67"/>
    <mergeCell ref="F71:G71"/>
    <mergeCell ref="F43:G43"/>
    <mergeCell ref="F61:G61"/>
    <mergeCell ref="F37:G37"/>
    <mergeCell ref="F39:G39"/>
    <mergeCell ref="F77:G77"/>
    <mergeCell ref="F48:G48"/>
    <mergeCell ref="F82:G82"/>
    <mergeCell ref="F60:G60"/>
    <mergeCell ref="F49:G49"/>
    <mergeCell ref="F57:G57"/>
    <mergeCell ref="F64:G64"/>
    <mergeCell ref="F44:G44"/>
  </mergeCells>
  <conditionalFormatting sqref="F10:G21">
    <cfRule type="expression" priority="1" dxfId="3">
      <formula>$L10=1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/tmp/credit/Two-flag files/Two-flag book.csv</t>
        </is>
      </c>
    </row>
    <row r="2">
      <c r="A2" t="inlineStr">
        <is>
          <t>sha256</t>
        </is>
      </c>
      <c r="B2" t="inlineStr">
        <is>
          <t>2121857c69ac85983b4c7f59e64cd9dfa83c8fd9f277db9692e15cdac3c3652a</t>
        </is>
      </c>
    </row>
    <row r="3">
      <c r="A3" t="inlineStr">
        <is>
          <t>set up</t>
        </is>
      </c>
      <c r="B3" t="inlineStr">
        <is>
          <t>2026-09-29</t>
        </is>
      </c>
    </row>
    <row r="4">
      <c r="A4" t="inlineStr">
        <is>
          <t>extract name</t>
        </is>
      </c>
      <c r="B4" t="inlineStr">
        <is>
          <t>Two-flag book.csv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2026-09-29 21:05</t>
        </is>
      </c>
      <c r="B4" t="inlineStr">
        <is>
          <t>Ran on 8,000 loans from Two-flag book.csv. What was run: Where the book bleeds.</t>
        </is>
      </c>
    </row>
    <row r="5"/>
    <row r="6">
      <c r="A6" t="inlineStr">
        <is>
          <t>2026-09-29 21:05</t>
        </is>
      </c>
      <c r="B6" t="inlineStr">
        <is>
          <t>Couldn't run. Fix these, save, close, and press Run again:</t>
        </is>
      </c>
    </row>
    <row r="7">
      <c r="B7" t="inlineStr">
        <is>
          <t>Control!C15: "How much worse than its comparison a pocket must be" needs an answer. Pick one, or enter your own in column D.</t>
        </is>
      </c>
    </row>
    <row r="8">
      <c r="B8" t="inlineStr">
        <is>
          <t>Control!C18: "How sure a difference must be before it counts" needs an answer. Pick one, or enter your own in column D.</t>
        </is>
      </c>
    </row>
    <row r="9">
      <c r="B9" t="inlineStr">
        <is>
          <t>Control!C19: "Smallest excess loss worth reporting" needs an answer. Pick one, or enter your own in column D.</t>
        </is>
      </c>
    </row>
    <row r="10">
      <c r="B10" t="inlineStr">
        <is>
          <t>Control!C16: "How much better than its comparison a pocket must be" needs an answer. Pick one, or enter your own in column D.</t>
        </is>
      </c>
    </row>
    <row r="11">
      <c r="B11" t="inlineStr">
        <is>
          <t>Control!C17: "How far profit must move before it counts as more or less" needs an answer. Pick one, or enter your own in column D.</t>
        </is>
      </c>
    </row>
    <row r="12">
      <c r="B12" t="inlineStr">
        <is>
          <t>Control!C20: "What a pocket is judged against" needs an answer. Pick one from the list.</t>
        </is>
      </c>
    </row>
    <row r="13">
      <c r="B13" t="inlineStr">
        <is>
          <t>Control!C24: "Fewest loans in a pocket for the usual test (smaller ones get the exact test)" needs an answer. Pick one, or enter your own in column D.</t>
        </is>
      </c>
    </row>
    <row r="14">
      <c r="B14" t="inlineStr">
        <is>
          <t>Control!C25: "Fewest loans with a loss before a loss rate is tested" needs an answer. Pick one, or enter your own in column D.</t>
        </is>
      </c>
    </row>
    <row r="15">
      <c r="B15" t="inlineStr">
        <is>
          <t>Columns!C3: set Checked every column to Yes once you've checked each column's meaning.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9"/>
  <sheetViews>
    <sheetView tabSelected="0" workbookViewId="0">
      <selection activeCell="A1" sqref="A1"/>
    </sheetView>
  </sheetViews>
  <sheetFormatPr baseColWidth="8" defaultRowHeight="15"/>
  <sheetData>
    <row r="1">
      <c r="A1" t="inlineStr">
        <is>
          <t>Pockets: Measure</t>
        </is>
      </c>
      <c r="B1" t="inlineStr">
        <is>
          <t>Pockets: Measure (1)</t>
        </is>
      </c>
      <c r="C1" t="inlineStr">
        <is>
          <t>Pockets: Measure (2)</t>
        </is>
      </c>
      <c r="D1" t="inlineStr">
        <is>
          <t>Pockets: Measure (3)</t>
        </is>
      </c>
      <c r="E1" t="inlineStr">
        <is>
          <t>Pockets: Pockets</t>
        </is>
      </c>
      <c r="F1" t="inlineStr">
        <is>
          <t>Pockets: Show</t>
        </is>
      </c>
      <c r="G1" t="inlineStr">
        <is>
          <t>Paid, cost, kept: Grid</t>
        </is>
      </c>
      <c r="H1" t="inlineStr">
        <is>
          <t>Grids: Grid</t>
        </is>
      </c>
      <c r="I1" t="inlineStr">
        <is>
          <t>Grids: Measure</t>
        </is>
      </c>
      <c r="J1" t="inlineStr">
        <is>
          <t>Grids: Measure (1)</t>
        </is>
      </c>
      <c r="K1" t="inlineStr">
        <is>
          <t>Grids: Measure (2)</t>
        </is>
      </c>
      <c r="L1" t="inlineStr">
        <is>
          <t>Grids: Measure (3)</t>
        </is>
      </c>
      <c r="M1" t="inlineStr">
        <is>
          <t>Split: Grid</t>
        </is>
      </c>
      <c r="N1" t="inlineStr">
        <is>
          <t>Split: Measure</t>
        </is>
      </c>
      <c r="O1" t="inlineStr">
        <is>
          <t>Split: Measure (1)</t>
        </is>
      </c>
    </row>
    <row r="2">
      <c r="A2" t="inlineStr">
        <is>
          <t>Bad loans</t>
        </is>
      </c>
      <c r="B2" t="inlineStr">
        <is>
          <t>outcome_loans</t>
        </is>
      </c>
      <c r="C2" t="n">
        <v>0</v>
      </c>
      <c r="D2" t="n">
        <v>1</v>
      </c>
      <c r="E2" t="inlineStr">
        <is>
          <t>Two-way</t>
        </is>
      </c>
      <c r="F2" t="inlineStr">
        <is>
          <t>All</t>
        </is>
      </c>
      <c r="G2" t="inlineStr">
        <is>
          <t>FICO x CHANNEL</t>
        </is>
      </c>
      <c r="H2" t="inlineStr">
        <is>
          <t>FICO x CHANNEL</t>
        </is>
      </c>
      <c r="I2" t="inlineStr">
        <is>
          <t>Bad loans</t>
        </is>
      </c>
      <c r="J2" t="inlineStr">
        <is>
          <t>outcome_loans</t>
        </is>
      </c>
      <c r="K2" t="inlineStr">
        <is>
          <t>{these}: {r} went bad.</t>
        </is>
      </c>
      <c r="L2" t="inlineStr">
        <is>
          <t>{x}× the bad-loan rate of {against}.</t>
        </is>
      </c>
      <c r="M2" t="inlineStr">
        <is>
          <t>FICO x CHANNEL · SYS_FLAG N vs Y</t>
        </is>
      </c>
      <c r="N2" t="inlineStr">
        <is>
          <t>Bad loans</t>
        </is>
      </c>
      <c r="O2" t="inlineStr">
        <is>
          <t>outcome_loans</t>
        </is>
      </c>
    </row>
    <row r="3">
      <c r="A3" t="inlineStr">
        <is>
          <t>Bad dollars</t>
        </is>
      </c>
      <c r="B3" t="inlineStr">
        <is>
          <t>outcome_booked</t>
        </is>
      </c>
      <c r="C3" t="n">
        <v>0</v>
      </c>
      <c r="D3" t="n">
        <v>0</v>
      </c>
      <c r="E3" t="inlineStr">
        <is>
          <t>Split by SYS_FLAG</t>
        </is>
      </c>
      <c r="F3" t="inlineStr">
        <is>
          <t>Worse and material</t>
        </is>
      </c>
      <c r="G3" t="inlineStr">
        <is>
          <t>FICO x ASSET_CLASS</t>
        </is>
      </c>
      <c r="H3" t="inlineStr">
        <is>
          <t>FICO x ASSET_CLASS</t>
        </is>
      </c>
      <c r="I3" t="inlineStr">
        <is>
          <t>Bad dollars</t>
        </is>
      </c>
      <c r="J3" t="inlineStr">
        <is>
          <t>outcome_booked</t>
        </is>
      </c>
      <c r="K3" t="inlineStr">
        <is>
          <t>{these}: {r} of {their} booked dollars were in loans that went bad.</t>
        </is>
      </c>
      <c r="L3" t="inlineStr">
        <is>
          <t>{x}× the bad-dollar rate of {against}.</t>
        </is>
      </c>
      <c r="M3" t="inlineStr">
        <is>
          <t>FICO x CHANNEL · SYS_FLAG Y vs N</t>
        </is>
      </c>
      <c r="N3" t="inlineStr">
        <is>
          <t>Bad dollars</t>
        </is>
      </c>
      <c r="O3" t="inlineStr">
        <is>
          <t>outcome_booked</t>
        </is>
      </c>
    </row>
    <row r="4">
      <c r="A4" t="inlineStr">
        <is>
          <t>Charge-offs</t>
        </is>
      </c>
      <c r="B4" t="inlineStr">
        <is>
          <t>gco_rate</t>
        </is>
      </c>
      <c r="C4" t="n">
        <v>0</v>
      </c>
      <c r="D4" t="n">
        <v>0</v>
      </c>
      <c r="F4" t="inlineStr">
        <is>
          <t>Worse or not sure</t>
        </is>
      </c>
      <c r="G4" t="inlineStr">
        <is>
          <t>ORIG_BAL x CHANNEL</t>
        </is>
      </c>
      <c r="H4" t="inlineStr">
        <is>
          <t>ORIG_BAL x CHANNEL</t>
        </is>
      </c>
      <c r="I4" t="inlineStr">
        <is>
          <t>Charge-offs</t>
        </is>
      </c>
      <c r="J4" t="inlineStr">
        <is>
          <t>gco_rate</t>
        </is>
      </c>
      <c r="K4" t="inlineStr">
        <is>
          <t>{these} charged off {r} of {their} booked dollars.</t>
        </is>
      </c>
      <c r="L4" t="inlineStr">
        <is>
          <t>{x}× the charge-off rate of {against}.</t>
        </is>
      </c>
      <c r="M4" t="inlineStr">
        <is>
          <t>FICO x ASSET_CLASS · SYS_FLAG N vs Y</t>
        </is>
      </c>
      <c r="N4" t="inlineStr">
        <is>
          <t>Charge-offs</t>
        </is>
      </c>
      <c r="O4" t="inlineStr">
        <is>
          <t>gco_rate</t>
        </is>
      </c>
    </row>
    <row r="5">
      <c r="A5" t="inlineStr">
        <is>
          <t>Kept after losses</t>
        </is>
      </c>
      <c r="B5" t="inlineStr">
        <is>
          <t>ranr_rate</t>
        </is>
      </c>
      <c r="C5" t="n">
        <v>1</v>
      </c>
      <c r="D5" t="n">
        <v>0</v>
      </c>
      <c r="G5" t="inlineStr">
        <is>
          <t>ORIG_BAL x ASSET_CLASS</t>
        </is>
      </c>
      <c r="H5" t="inlineStr">
        <is>
          <t>ORIG_BAL x ASSET_CLASS</t>
        </is>
      </c>
      <c r="I5" t="inlineStr">
        <is>
          <t>Kept after losses</t>
        </is>
      </c>
      <c r="J5" t="inlineStr">
        <is>
          <t>ranr_rate</t>
        </is>
      </c>
      <c r="K5" t="inlineStr">
        <is>
          <t>{these} kept {r} of {their} booked dollars after losses.</t>
        </is>
      </c>
      <c r="L5" t="inlineStr">
        <is>
          <t>Kept {pts} points {more} of their booked dollars than {against}.</t>
        </is>
      </c>
      <c r="M5" t="inlineStr">
        <is>
          <t>FICO x ASSET_CLASS · SYS_FLAG Y vs N</t>
        </is>
      </c>
      <c r="N5" t="inlineStr">
        <is>
          <t>Kept after losses</t>
        </is>
      </c>
      <c r="O5" t="inlineStr">
        <is>
          <t>ranr_rate</t>
        </is>
      </c>
    </row>
    <row r="6">
      <c r="A6" t="inlineStr">
        <is>
          <t>Earned before losses</t>
        </is>
      </c>
      <c r="B6" t="inlineStr">
        <is>
          <t>contribution_rate</t>
        </is>
      </c>
      <c r="C6" t="n">
        <v>1</v>
      </c>
      <c r="D6" t="n">
        <v>0</v>
      </c>
      <c r="H6" t="inlineStr">
        <is>
          <t>FICO x CHANNEL / SYS_FLAG</t>
        </is>
      </c>
      <c r="I6" t="inlineStr">
        <is>
          <t>Earned before losses</t>
        </is>
      </c>
      <c r="J6" t="inlineStr">
        <is>
          <t>contribution_rate</t>
        </is>
      </c>
      <c r="K6" t="inlineStr">
        <is>
          <t>{these} earned {r} of {their} booked dollars before losses.</t>
        </is>
      </c>
      <c r="L6" t="inlineStr">
        <is>
          <t>Earned {pts} points {more} of their booked dollars than {against}.</t>
        </is>
      </c>
      <c r="M6" t="inlineStr">
        <is>
          <t>ORIG_BAL x CHANNEL · SYS_FLAG N vs Y</t>
        </is>
      </c>
      <c r="N6" t="inlineStr">
        <is>
          <t>Earned before losses</t>
        </is>
      </c>
      <c r="O6" t="inlineStr">
        <is>
          <t>contribution_rate</t>
        </is>
      </c>
    </row>
    <row r="7">
      <c r="H7" t="inlineStr">
        <is>
          <t>FICO x ASSET_CLASS / SYS_FLAG</t>
        </is>
      </c>
      <c r="M7" t="inlineStr">
        <is>
          <t>ORIG_BAL x CHANNEL · SYS_FLAG Y vs N</t>
        </is>
      </c>
    </row>
    <row r="8">
      <c r="H8" t="inlineStr">
        <is>
          <t>ORIG_BAL x CHANNEL / SYS_FLAG</t>
        </is>
      </c>
      <c r="M8" t="inlineStr">
        <is>
          <t>ORIG_BAL x ASSET_CLASS · SYS_FLAG N vs Y</t>
        </is>
      </c>
    </row>
    <row r="9">
      <c r="H9" t="inlineStr">
        <is>
          <t>ORIG_BAL x ASSET_CLASS / SYS_FLAG</t>
        </is>
      </c>
      <c r="M9" t="inlineStr">
        <is>
          <t>ORIG_BAL x ASSET_CLASS · SYS_FLAG Y vs 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832"/>
  <sheetViews>
    <sheetView tabSelected="0" workbookViewId="0">
      <selection activeCell="A1" sqref="A1"/>
    </sheetView>
  </sheetViews>
  <sheetFormatPr baseColWidth="8" defaultRowHeight="15"/>
  <sheetData>
    <row r="1">
      <c r="A1" t="inlineStr">
        <is>
          <t>C|FICO x CHANNEL|1</t>
        </is>
      </c>
      <c r="B1" t="inlineStr">
        <is>
          <t>496 - 653</t>
        </is>
      </c>
      <c r="C1" t="inlineStr">
        <is>
          <t>Broker</t>
        </is>
      </c>
      <c r="D1" t="n">
        <v>523</v>
      </c>
      <c r="E1" t="n">
        <v>0</v>
      </c>
      <c r="F1" t="n">
        <v>33</v>
      </c>
      <c r="G1" t="n">
        <v>31</v>
      </c>
      <c r="H1" t="n">
        <v>32</v>
      </c>
    </row>
    <row r="2">
      <c r="A2" t="inlineStr">
        <is>
          <t>C|FICO x CHANNEL|2</t>
        </is>
      </c>
      <c r="B2" t="inlineStr">
        <is>
          <t>712 - 745</t>
        </is>
      </c>
      <c r="C2" t="inlineStr">
        <is>
          <t>Online</t>
        </is>
      </c>
      <c r="D2" t="n">
        <v>564</v>
      </c>
      <c r="E2" t="n">
        <v>0</v>
      </c>
      <c r="F2" t="n">
        <v>43</v>
      </c>
      <c r="G2" t="n">
        <v>41</v>
      </c>
      <c r="H2" t="n">
        <v>42</v>
      </c>
    </row>
    <row r="3">
      <c r="A3" t="inlineStr">
        <is>
          <t>C|FICO x CHANNEL|3</t>
        </is>
      </c>
      <c r="B3" t="inlineStr">
        <is>
          <t>496 - 653</t>
        </is>
      </c>
      <c r="C3" t="inlineStr">
        <is>
          <t>Branch</t>
        </is>
      </c>
      <c r="D3" t="n">
        <v>502</v>
      </c>
      <c r="E3" t="n">
        <v>0</v>
      </c>
      <c r="F3" t="n">
        <v>23</v>
      </c>
      <c r="G3" t="n">
        <v>21</v>
      </c>
      <c r="H3" t="n">
        <v>22</v>
      </c>
    </row>
    <row r="4">
      <c r="A4" t="inlineStr">
        <is>
          <t>C|FICO x CHANNEL|4</t>
        </is>
      </c>
      <c r="B4" t="inlineStr">
        <is>
          <t>496 - 653</t>
        </is>
      </c>
      <c r="C4" t="inlineStr">
        <is>
          <t>Online</t>
        </is>
      </c>
      <c r="D4" t="n">
        <v>531</v>
      </c>
      <c r="E4" t="n">
        <v>0</v>
      </c>
      <c r="F4" t="n">
        <v>83</v>
      </c>
      <c r="G4" t="n">
        <v>81</v>
      </c>
      <c r="H4" t="n">
        <v>82</v>
      </c>
    </row>
    <row r="5">
      <c r="A5" t="inlineStr">
        <is>
          <t>C|FICO x CHANNEL|5</t>
        </is>
      </c>
      <c r="B5" t="inlineStr">
        <is>
          <t>686 - 711</t>
        </is>
      </c>
      <c r="C5" t="inlineStr">
        <is>
          <t>Online</t>
        </is>
      </c>
      <c r="D5" t="n">
        <v>546</v>
      </c>
      <c r="E5" t="n">
        <v>0</v>
      </c>
      <c r="F5" t="n">
        <v>68</v>
      </c>
      <c r="G5" t="n">
        <v>66</v>
      </c>
      <c r="H5" t="n">
        <v>67</v>
      </c>
    </row>
    <row r="6">
      <c r="A6" t="inlineStr">
        <is>
          <t>C|FICO x CHANNEL|6</t>
        </is>
      </c>
      <c r="B6" t="inlineStr">
        <is>
          <t>654 - 685</t>
        </is>
      </c>
      <c r="C6" t="inlineStr">
        <is>
          <t>Branch</t>
        </is>
      </c>
      <c r="D6" t="n">
        <v>503</v>
      </c>
      <c r="E6" t="n">
        <v>0</v>
      </c>
      <c r="F6" t="n">
        <v>58</v>
      </c>
      <c r="G6" t="n">
        <v>56</v>
      </c>
      <c r="H6" t="n">
        <v>57</v>
      </c>
    </row>
    <row r="7">
      <c r="A7" t="inlineStr">
        <is>
          <t>C|FICO x CHANNEL|7</t>
        </is>
      </c>
      <c r="B7" t="inlineStr">
        <is>
          <t>746 - 921</t>
        </is>
      </c>
      <c r="C7" t="inlineStr">
        <is>
          <t>Branch</t>
        </is>
      </c>
      <c r="D7" t="n">
        <v>518</v>
      </c>
      <c r="E7" t="n">
        <v>0</v>
      </c>
      <c r="F7" t="n">
        <v>28</v>
      </c>
      <c r="G7" t="n">
        <v>26</v>
      </c>
      <c r="H7" t="n">
        <v>27</v>
      </c>
    </row>
    <row r="8">
      <c r="A8" t="inlineStr">
        <is>
          <t>C|FICO x CHANNEL|8</t>
        </is>
      </c>
      <c r="B8" t="inlineStr">
        <is>
          <t>746 - 921</t>
        </is>
      </c>
      <c r="C8" t="inlineStr">
        <is>
          <t>Broker</t>
        </is>
      </c>
      <c r="D8" t="n">
        <v>536</v>
      </c>
      <c r="E8" t="n">
        <v>0</v>
      </c>
      <c r="F8" t="n">
        <v>48</v>
      </c>
      <c r="G8" t="n">
        <v>46</v>
      </c>
      <c r="H8" t="n">
        <v>47</v>
      </c>
    </row>
    <row r="9">
      <c r="A9" t="inlineStr">
        <is>
          <t>C|FICO x CHANNEL|9</t>
        </is>
      </c>
      <c r="B9" t="inlineStr">
        <is>
          <t>654 - 685</t>
        </is>
      </c>
      <c r="C9" t="inlineStr">
        <is>
          <t>Online</t>
        </is>
      </c>
      <c r="D9" t="n">
        <v>505</v>
      </c>
      <c r="E9" t="n">
        <v>0</v>
      </c>
      <c r="F9" t="n">
        <v>73</v>
      </c>
      <c r="G9" t="n">
        <v>71</v>
      </c>
      <c r="H9" t="n">
        <v>72</v>
      </c>
    </row>
    <row r="10">
      <c r="A10" t="inlineStr">
        <is>
          <t>C|FICO x CHANNEL|10</t>
        </is>
      </c>
      <c r="B10" t="inlineStr">
        <is>
          <t>746 - 921</t>
        </is>
      </c>
      <c r="C10" t="inlineStr">
        <is>
          <t>Online</t>
        </is>
      </c>
      <c r="D10" t="n">
        <v>517</v>
      </c>
      <c r="E10" t="n">
        <v>0</v>
      </c>
      <c r="F10" t="n">
        <v>53</v>
      </c>
      <c r="G10" t="n">
        <v>51</v>
      </c>
      <c r="H10" t="n">
        <v>52</v>
      </c>
    </row>
    <row r="11">
      <c r="A11" t="inlineStr">
        <is>
          <t>C|FICO x CHANNEL|11</t>
        </is>
      </c>
      <c r="B11" t="inlineStr">
        <is>
          <t>654 - 685</t>
        </is>
      </c>
      <c r="C11" t="inlineStr">
        <is>
          <t>Broker</t>
        </is>
      </c>
      <c r="D11" t="n">
        <v>531</v>
      </c>
      <c r="E11" t="n">
        <v>0</v>
      </c>
      <c r="F11" t="n">
        <v>78</v>
      </c>
      <c r="G11" t="n">
        <v>76</v>
      </c>
      <c r="H11" t="n">
        <v>77</v>
      </c>
    </row>
    <row r="12">
      <c r="A12" t="inlineStr">
        <is>
          <t>C|FICO x CHANNEL|12</t>
        </is>
      </c>
      <c r="B12" t="inlineStr">
        <is>
          <t>686 - 711</t>
        </is>
      </c>
      <c r="C12" t="inlineStr">
        <is>
          <t>Broker</t>
        </is>
      </c>
      <c r="D12" t="n">
        <v>501</v>
      </c>
      <c r="E12" t="n">
        <v>0</v>
      </c>
      <c r="F12" t="n">
        <v>38</v>
      </c>
      <c r="G12" t="n">
        <v>36</v>
      </c>
      <c r="H12" t="n">
        <v>37</v>
      </c>
    </row>
    <row r="13">
      <c r="A13" t="inlineStr">
        <is>
          <t>C|FICO x CHANNEL|13</t>
        </is>
      </c>
      <c r="B13" t="inlineStr">
        <is>
          <t>712 - 745</t>
        </is>
      </c>
      <c r="C13" t="inlineStr">
        <is>
          <t>Branch</t>
        </is>
      </c>
      <c r="D13" t="n">
        <v>538</v>
      </c>
      <c r="E13" t="n">
        <v>0</v>
      </c>
      <c r="F13" t="n">
        <v>18</v>
      </c>
      <c r="G13" t="n">
        <v>16</v>
      </c>
      <c r="H13" t="n">
        <v>17</v>
      </c>
    </row>
    <row r="14">
      <c r="A14" t="inlineStr">
        <is>
          <t>C|FICO x CHANNEL|14</t>
        </is>
      </c>
      <c r="B14" t="inlineStr">
        <is>
          <t>686 - 711</t>
        </is>
      </c>
      <c r="C14" t="inlineStr">
        <is>
          <t>Branch</t>
        </is>
      </c>
      <c r="D14" t="n">
        <v>515</v>
      </c>
      <c r="E14" t="n">
        <v>0</v>
      </c>
      <c r="F14" t="n">
        <v>88</v>
      </c>
      <c r="G14" t="n">
        <v>86</v>
      </c>
      <c r="H14" t="n">
        <v>87</v>
      </c>
    </row>
    <row r="15">
      <c r="A15" t="inlineStr">
        <is>
          <t>C|FICO x CHANNEL|15</t>
        </is>
      </c>
      <c r="B15" t="inlineStr">
        <is>
          <t>712 - 745</t>
        </is>
      </c>
      <c r="C15" t="inlineStr">
        <is>
          <t>Broker</t>
        </is>
      </c>
      <c r="D15" t="n">
        <v>509</v>
      </c>
      <c r="E15" t="n">
        <v>0</v>
      </c>
      <c r="F15" t="n">
        <v>63</v>
      </c>
      <c r="G15" t="n">
        <v>61</v>
      </c>
      <c r="H15" t="n">
        <v>62</v>
      </c>
    </row>
    <row r="16">
      <c r="A16" t="inlineStr">
        <is>
          <t>C|FICO x CHANNEL|16</t>
        </is>
      </c>
      <c r="B16" t="inlineStr">
        <is>
          <t>(marked missing)</t>
        </is>
      </c>
      <c r="C16" t="inlineStr">
        <is>
          <t>Broker</t>
        </is>
      </c>
      <c r="D16" t="n">
        <v>54</v>
      </c>
      <c r="E16" t="n">
        <v>1</v>
      </c>
      <c r="F16" t="n">
        <v>98</v>
      </c>
      <c r="G16" t="n">
        <v>96</v>
      </c>
      <c r="H16" t="n">
        <v>97</v>
      </c>
    </row>
    <row r="17">
      <c r="A17" t="inlineStr">
        <is>
          <t>C|FICO x CHANNEL|17</t>
        </is>
      </c>
      <c r="B17" t="inlineStr">
        <is>
          <t>(blank)</t>
        </is>
      </c>
      <c r="C17" t="inlineStr">
        <is>
          <t>Broker</t>
        </is>
      </c>
      <c r="D17" t="n">
        <v>1</v>
      </c>
      <c r="E17" t="n">
        <v>1</v>
      </c>
      <c r="F17" t="n">
        <v>13</v>
      </c>
      <c r="G17" t="n">
        <v>11</v>
      </c>
      <c r="H17" t="n">
        <v>12</v>
      </c>
    </row>
    <row r="18">
      <c r="A18" t="inlineStr">
        <is>
          <t>C|FICO x CHANNEL|18</t>
        </is>
      </c>
      <c r="B18" t="inlineStr">
        <is>
          <t>(marked missing)</t>
        </is>
      </c>
      <c r="C18" t="inlineStr">
        <is>
          <t>Online</t>
        </is>
      </c>
      <c r="D18" t="n">
        <v>55</v>
      </c>
      <c r="E18" t="n">
        <v>1</v>
      </c>
      <c r="F18" t="n">
        <v>8</v>
      </c>
      <c r="G18" t="n">
        <v>6</v>
      </c>
      <c r="H18" t="n">
        <v>7</v>
      </c>
    </row>
    <row r="19">
      <c r="A19" t="inlineStr">
        <is>
          <t>C|FICO x CHANNEL|19</t>
        </is>
      </c>
      <c r="B19" t="inlineStr">
        <is>
          <t>(marked missing)</t>
        </is>
      </c>
      <c r="C19" t="inlineStr">
        <is>
          <t>Branch</t>
        </is>
      </c>
      <c r="D19" t="n">
        <v>51</v>
      </c>
      <c r="E19" t="n">
        <v>1</v>
      </c>
      <c r="F19" t="n">
        <v>93</v>
      </c>
      <c r="G19" t="n">
        <v>91</v>
      </c>
      <c r="H19" t="n">
        <v>92</v>
      </c>
    </row>
    <row r="20">
      <c r="A20" t="inlineStr">
        <is>
          <t>C|FICO x ASSET_CLASS|1</t>
        </is>
      </c>
      <c r="B20" t="inlineStr">
        <is>
          <t>496 - 653</t>
        </is>
      </c>
      <c r="C20" t="inlineStr">
        <is>
          <t>4</t>
        </is>
      </c>
      <c r="D20" t="n">
        <v>392</v>
      </c>
      <c r="E20" t="n">
        <v>0</v>
      </c>
      <c r="F20" t="n">
        <v>153</v>
      </c>
      <c r="G20" t="n">
        <v>151</v>
      </c>
      <c r="H20" t="n">
        <v>152</v>
      </c>
    </row>
    <row r="21">
      <c r="A21" t="inlineStr">
        <is>
          <t>C|FICO x ASSET_CLASS|2</t>
        </is>
      </c>
      <c r="B21" t="inlineStr">
        <is>
          <t>654 - 685</t>
        </is>
      </c>
      <c r="C21" t="inlineStr">
        <is>
          <t>4</t>
        </is>
      </c>
      <c r="D21" t="n">
        <v>410</v>
      </c>
      <c r="E21" t="n">
        <v>0</v>
      </c>
      <c r="F21" t="n">
        <v>193</v>
      </c>
      <c r="G21" t="n">
        <v>191</v>
      </c>
      <c r="H21" t="n">
        <v>192</v>
      </c>
    </row>
    <row r="22">
      <c r="A22" t="inlineStr">
        <is>
          <t>C|FICO x ASSET_CLASS|3</t>
        </is>
      </c>
      <c r="B22" t="inlineStr">
        <is>
          <t>712 - 745</t>
        </is>
      </c>
      <c r="C22" t="inlineStr">
        <is>
          <t>4</t>
        </is>
      </c>
      <c r="D22" t="n">
        <v>427</v>
      </c>
      <c r="E22" t="n">
        <v>0</v>
      </c>
      <c r="F22" t="n">
        <v>128</v>
      </c>
      <c r="G22" t="n">
        <v>126</v>
      </c>
      <c r="H22" t="n">
        <v>127</v>
      </c>
    </row>
    <row r="23">
      <c r="A23" t="inlineStr">
        <is>
          <t>C|FICO x ASSET_CLASS|4</t>
        </is>
      </c>
      <c r="B23" t="inlineStr">
        <is>
          <t>686 - 711</t>
        </is>
      </c>
      <c r="C23" t="inlineStr">
        <is>
          <t>4</t>
        </is>
      </c>
      <c r="D23" t="n">
        <v>407</v>
      </c>
      <c r="E23" t="n">
        <v>0</v>
      </c>
      <c r="F23" t="n">
        <v>158</v>
      </c>
      <c r="G23" t="n">
        <v>156</v>
      </c>
      <c r="H23" t="n">
        <v>157</v>
      </c>
    </row>
    <row r="24">
      <c r="A24" t="inlineStr">
        <is>
          <t>C|FICO x ASSET_CLASS|5</t>
        </is>
      </c>
      <c r="B24" t="inlineStr">
        <is>
          <t>746 - 921</t>
        </is>
      </c>
      <c r="C24" t="inlineStr">
        <is>
          <t>2</t>
        </is>
      </c>
      <c r="D24" t="n">
        <v>399</v>
      </c>
      <c r="E24" t="n">
        <v>0</v>
      </c>
      <c r="F24" t="n">
        <v>133</v>
      </c>
      <c r="G24" t="n">
        <v>131</v>
      </c>
      <c r="H24" t="n">
        <v>132</v>
      </c>
    </row>
    <row r="25">
      <c r="A25" t="inlineStr">
        <is>
          <t>C|FICO x ASSET_CLASS|6</t>
        </is>
      </c>
      <c r="B25" t="inlineStr">
        <is>
          <t>654 - 685</t>
        </is>
      </c>
      <c r="C25" t="inlineStr">
        <is>
          <t>3</t>
        </is>
      </c>
      <c r="D25" t="n">
        <v>377</v>
      </c>
      <c r="E25" t="n">
        <v>0</v>
      </c>
      <c r="F25" t="n">
        <v>183</v>
      </c>
      <c r="G25" t="n">
        <v>181</v>
      </c>
      <c r="H25" t="n">
        <v>182</v>
      </c>
    </row>
    <row r="26">
      <c r="A26" t="inlineStr">
        <is>
          <t>C|FICO x ASSET_CLASS|7</t>
        </is>
      </c>
      <c r="B26" t="inlineStr">
        <is>
          <t>686 - 711</t>
        </is>
      </c>
      <c r="C26" t="inlineStr">
        <is>
          <t>1</t>
        </is>
      </c>
      <c r="D26" t="n">
        <v>372</v>
      </c>
      <c r="E26" t="n">
        <v>0</v>
      </c>
      <c r="F26" t="n">
        <v>143</v>
      </c>
      <c r="G26" t="n">
        <v>141</v>
      </c>
      <c r="H26" t="n">
        <v>142</v>
      </c>
    </row>
    <row r="27">
      <c r="A27" t="inlineStr">
        <is>
          <t>C|FICO x ASSET_CLASS|8</t>
        </is>
      </c>
      <c r="B27" t="inlineStr">
        <is>
          <t>686 - 711</t>
        </is>
      </c>
      <c r="C27" t="inlineStr">
        <is>
          <t>3</t>
        </is>
      </c>
      <c r="D27" t="n">
        <v>388</v>
      </c>
      <c r="E27" t="n">
        <v>0</v>
      </c>
      <c r="F27" t="n">
        <v>213</v>
      </c>
      <c r="G27" t="n">
        <v>211</v>
      </c>
      <c r="H27" t="n">
        <v>212</v>
      </c>
    </row>
    <row r="28">
      <c r="A28" t="inlineStr">
        <is>
          <t>C|FICO x ASSET_CLASS|9</t>
        </is>
      </c>
      <c r="B28" t="inlineStr">
        <is>
          <t>746 - 921</t>
        </is>
      </c>
      <c r="C28" t="inlineStr">
        <is>
          <t>1</t>
        </is>
      </c>
      <c r="D28" t="n">
        <v>414</v>
      </c>
      <c r="E28" t="n">
        <v>0</v>
      </c>
      <c r="F28" t="n">
        <v>148</v>
      </c>
      <c r="G28" t="n">
        <v>146</v>
      </c>
      <c r="H28" t="n">
        <v>147</v>
      </c>
    </row>
    <row r="29">
      <c r="A29" t="inlineStr">
        <is>
          <t>C|FICO x ASSET_CLASS|10</t>
        </is>
      </c>
      <c r="B29" t="inlineStr">
        <is>
          <t>746 - 921</t>
        </is>
      </c>
      <c r="C29" t="inlineStr">
        <is>
          <t>4</t>
        </is>
      </c>
      <c r="D29" t="n">
        <v>373</v>
      </c>
      <c r="E29" t="n">
        <v>0</v>
      </c>
      <c r="F29" t="n">
        <v>168</v>
      </c>
      <c r="G29" t="n">
        <v>166</v>
      </c>
      <c r="H29" t="n">
        <v>167</v>
      </c>
    </row>
    <row r="30">
      <c r="A30" t="inlineStr">
        <is>
          <t>C|FICO x ASSET_CLASS|11</t>
        </is>
      </c>
      <c r="B30" t="inlineStr">
        <is>
          <t>746 - 921</t>
        </is>
      </c>
      <c r="C30" t="inlineStr">
        <is>
          <t>3</t>
        </is>
      </c>
      <c r="D30" t="n">
        <v>385</v>
      </c>
      <c r="E30" t="n">
        <v>0</v>
      </c>
      <c r="F30" t="n">
        <v>188</v>
      </c>
      <c r="G30" t="n">
        <v>186</v>
      </c>
      <c r="H30" t="n">
        <v>187</v>
      </c>
    </row>
    <row r="31">
      <c r="A31" t="inlineStr">
        <is>
          <t>C|FICO x ASSET_CLASS|12</t>
        </is>
      </c>
      <c r="B31" t="inlineStr">
        <is>
          <t>496 - 653</t>
        </is>
      </c>
      <c r="C31" t="inlineStr">
        <is>
          <t>3</t>
        </is>
      </c>
      <c r="D31" t="n">
        <v>350</v>
      </c>
      <c r="E31" t="n">
        <v>0</v>
      </c>
      <c r="F31" t="n">
        <v>178</v>
      </c>
      <c r="G31" t="n">
        <v>176</v>
      </c>
      <c r="H31" t="n">
        <v>177</v>
      </c>
    </row>
    <row r="32">
      <c r="A32" t="inlineStr">
        <is>
          <t>C|FICO x ASSET_CLASS|13</t>
        </is>
      </c>
      <c r="B32" t="inlineStr">
        <is>
          <t>712 - 745</t>
        </is>
      </c>
      <c r="C32" t="inlineStr">
        <is>
          <t>2</t>
        </is>
      </c>
      <c r="D32" t="n">
        <v>431</v>
      </c>
      <c r="E32" t="n">
        <v>0</v>
      </c>
      <c r="F32" t="n">
        <v>118</v>
      </c>
      <c r="G32" t="n">
        <v>116</v>
      </c>
      <c r="H32" t="n">
        <v>117</v>
      </c>
    </row>
    <row r="33">
      <c r="A33" t="inlineStr">
        <is>
          <t>C|FICO x ASSET_CLASS|14</t>
        </is>
      </c>
      <c r="B33" t="inlineStr">
        <is>
          <t>712 - 745</t>
        </is>
      </c>
      <c r="C33" t="inlineStr">
        <is>
          <t>1</t>
        </is>
      </c>
      <c r="D33" t="n">
        <v>361</v>
      </c>
      <c r="E33" t="n">
        <v>0</v>
      </c>
      <c r="F33" t="n">
        <v>113</v>
      </c>
      <c r="G33" t="n">
        <v>111</v>
      </c>
      <c r="H33" t="n">
        <v>112</v>
      </c>
    </row>
    <row r="34">
      <c r="A34" t="inlineStr">
        <is>
          <t>C|FICO x ASSET_CLASS|15</t>
        </is>
      </c>
      <c r="B34" t="inlineStr">
        <is>
          <t>712 - 745</t>
        </is>
      </c>
      <c r="C34" t="inlineStr">
        <is>
          <t>3</t>
        </is>
      </c>
      <c r="D34" t="n">
        <v>392</v>
      </c>
      <c r="E34" t="n">
        <v>0</v>
      </c>
      <c r="F34" t="n">
        <v>208</v>
      </c>
      <c r="G34" t="n">
        <v>206</v>
      </c>
      <c r="H34" t="n">
        <v>207</v>
      </c>
    </row>
    <row r="35">
      <c r="A35" t="inlineStr">
        <is>
          <t>C|FICO x ASSET_CLASS|16</t>
        </is>
      </c>
      <c r="B35" t="inlineStr">
        <is>
          <t>496 - 653</t>
        </is>
      </c>
      <c r="C35" t="inlineStr">
        <is>
          <t>1</t>
        </is>
      </c>
      <c r="D35" t="n">
        <v>420</v>
      </c>
      <c r="E35" t="n">
        <v>0</v>
      </c>
      <c r="F35" t="n">
        <v>138</v>
      </c>
      <c r="G35" t="n">
        <v>136</v>
      </c>
      <c r="H35" t="n">
        <v>137</v>
      </c>
    </row>
    <row r="36">
      <c r="A36" t="inlineStr">
        <is>
          <t>C|FICO x ASSET_CLASS|17</t>
        </is>
      </c>
      <c r="B36" t="inlineStr">
        <is>
          <t>654 - 685</t>
        </is>
      </c>
      <c r="C36" t="inlineStr">
        <is>
          <t>2</t>
        </is>
      </c>
      <c r="D36" t="n">
        <v>355</v>
      </c>
      <c r="E36" t="n">
        <v>0</v>
      </c>
      <c r="F36" t="n">
        <v>163</v>
      </c>
      <c r="G36" t="n">
        <v>161</v>
      </c>
      <c r="H36" t="n">
        <v>162</v>
      </c>
    </row>
    <row r="37">
      <c r="A37" t="inlineStr">
        <is>
          <t>C|FICO x ASSET_CLASS|18</t>
        </is>
      </c>
      <c r="B37" t="inlineStr">
        <is>
          <t>654 - 685</t>
        </is>
      </c>
      <c r="C37" t="inlineStr">
        <is>
          <t>1</t>
        </is>
      </c>
      <c r="D37" t="n">
        <v>397</v>
      </c>
      <c r="E37" t="n">
        <v>0</v>
      </c>
      <c r="F37" t="n">
        <v>173</v>
      </c>
      <c r="G37" t="n">
        <v>171</v>
      </c>
      <c r="H37" t="n">
        <v>172</v>
      </c>
    </row>
    <row r="38">
      <c r="A38" t="inlineStr">
        <is>
          <t>C|FICO x ASSET_CLASS|19</t>
        </is>
      </c>
      <c r="B38" t="inlineStr">
        <is>
          <t>686 - 711</t>
        </is>
      </c>
      <c r="C38" t="inlineStr">
        <is>
          <t>2</t>
        </is>
      </c>
      <c r="D38" t="n">
        <v>395</v>
      </c>
      <c r="E38" t="n">
        <v>0</v>
      </c>
      <c r="F38" t="n">
        <v>198</v>
      </c>
      <c r="G38" t="n">
        <v>196</v>
      </c>
      <c r="H38" t="n">
        <v>197</v>
      </c>
    </row>
    <row r="39">
      <c r="A39" t="inlineStr">
        <is>
          <t>C|FICO x ASSET_CLASS|20</t>
        </is>
      </c>
      <c r="B39" t="inlineStr">
        <is>
          <t>496 - 653</t>
        </is>
      </c>
      <c r="C39" t="inlineStr">
        <is>
          <t>2</t>
        </is>
      </c>
      <c r="D39" t="n">
        <v>394</v>
      </c>
      <c r="E39" t="n">
        <v>0</v>
      </c>
      <c r="F39" t="n">
        <v>123</v>
      </c>
      <c r="G39" t="n">
        <v>121</v>
      </c>
      <c r="H39" t="n">
        <v>122</v>
      </c>
    </row>
    <row r="40">
      <c r="A40" t="inlineStr">
        <is>
          <t>C|FICO x ASSET_CLASS|21</t>
        </is>
      </c>
      <c r="B40" t="inlineStr">
        <is>
          <t>(marked missing)</t>
        </is>
      </c>
      <c r="C40" t="inlineStr">
        <is>
          <t>2</t>
        </is>
      </c>
      <c r="D40" t="n">
        <v>36</v>
      </c>
      <c r="E40" t="n">
        <v>1</v>
      </c>
      <c r="F40" t="n">
        <v>223</v>
      </c>
      <c r="G40" t="n">
        <v>221</v>
      </c>
      <c r="H40" t="n">
        <v>222</v>
      </c>
    </row>
    <row r="41">
      <c r="A41" t="inlineStr">
        <is>
          <t>C|FICO x ASSET_CLASS|22</t>
        </is>
      </c>
      <c r="B41" t="inlineStr">
        <is>
          <t>(blank)</t>
        </is>
      </c>
      <c r="C41" t="inlineStr">
        <is>
          <t>2</t>
        </is>
      </c>
      <c r="D41" t="n">
        <v>1</v>
      </c>
      <c r="E41" t="n">
        <v>1</v>
      </c>
      <c r="F41" t="n">
        <v>108</v>
      </c>
      <c r="G41" t="n">
        <v>106</v>
      </c>
      <c r="H41" t="n">
        <v>107</v>
      </c>
    </row>
    <row r="42">
      <c r="A42" t="inlineStr">
        <is>
          <t>C|FICO x ASSET_CLASS|23</t>
        </is>
      </c>
      <c r="B42" t="inlineStr">
        <is>
          <t>(marked missing)</t>
        </is>
      </c>
      <c r="C42" t="inlineStr">
        <is>
          <t>3</t>
        </is>
      </c>
      <c r="D42" t="n">
        <v>43</v>
      </c>
      <c r="E42" t="n">
        <v>1</v>
      </c>
      <c r="F42" t="n">
        <v>203</v>
      </c>
      <c r="G42" t="n">
        <v>201</v>
      </c>
      <c r="H42" t="n">
        <v>202</v>
      </c>
    </row>
    <row r="43">
      <c r="A43" t="inlineStr">
        <is>
          <t>C|FICO x ASSET_CLASS|24</t>
        </is>
      </c>
      <c r="B43" t="inlineStr">
        <is>
          <t>(marked missing)</t>
        </is>
      </c>
      <c r="C43" t="inlineStr">
        <is>
          <t>4</t>
        </is>
      </c>
      <c r="D43" t="n">
        <v>39</v>
      </c>
      <c r="E43" t="n">
        <v>1</v>
      </c>
      <c r="F43" t="n">
        <v>218</v>
      </c>
      <c r="G43" t="n">
        <v>216</v>
      </c>
      <c r="H43" t="n">
        <v>217</v>
      </c>
    </row>
    <row r="44">
      <c r="A44" t="inlineStr">
        <is>
          <t>C|FICO x ASSET_CLASS|25</t>
        </is>
      </c>
      <c r="B44" t="inlineStr">
        <is>
          <t>(marked missing)</t>
        </is>
      </c>
      <c r="C44" t="inlineStr">
        <is>
          <t>1</t>
        </is>
      </c>
      <c r="D44" t="n">
        <v>42</v>
      </c>
      <c r="E44" t="n">
        <v>1</v>
      </c>
      <c r="F44" t="n">
        <v>103</v>
      </c>
      <c r="G44" t="n">
        <v>101</v>
      </c>
      <c r="H44" t="n">
        <v>102</v>
      </c>
    </row>
    <row r="45">
      <c r="A45" t="inlineStr">
        <is>
          <t>C|ORIG_BAL x CHANNEL|1</t>
        </is>
      </c>
      <c r="B45" t="inlineStr">
        <is>
          <t>49,152 - 59,984</t>
        </is>
      </c>
      <c r="C45" t="inlineStr">
        <is>
          <t>Broker</t>
        </is>
      </c>
      <c r="D45" t="n">
        <v>520</v>
      </c>
      <c r="E45" t="n">
        <v>0</v>
      </c>
      <c r="F45" t="n">
        <v>303</v>
      </c>
      <c r="G45" t="n">
        <v>301</v>
      </c>
      <c r="H45" t="n">
        <v>302</v>
      </c>
    </row>
    <row r="46">
      <c r="A46" t="inlineStr">
        <is>
          <t>C|ORIG_BAL x CHANNEL|2</t>
        </is>
      </c>
      <c r="B46" t="inlineStr">
        <is>
          <t>15,449 - 26,323</t>
        </is>
      </c>
      <c r="C46" t="inlineStr">
        <is>
          <t>Broker</t>
        </is>
      </c>
      <c r="D46" t="n">
        <v>537</v>
      </c>
      <c r="E46" t="n">
        <v>0</v>
      </c>
      <c r="F46" t="n">
        <v>253</v>
      </c>
      <c r="G46" t="n">
        <v>251</v>
      </c>
      <c r="H46" t="n">
        <v>252</v>
      </c>
    </row>
    <row r="47">
      <c r="A47" t="inlineStr">
        <is>
          <t>C|ORIG_BAL x CHANNEL|3</t>
        </is>
      </c>
      <c r="B47" t="inlineStr">
        <is>
          <t>37,951 - 49,151</t>
        </is>
      </c>
      <c r="C47" t="inlineStr">
        <is>
          <t>Broker</t>
        </is>
      </c>
      <c r="D47" t="n">
        <v>531</v>
      </c>
      <c r="E47" t="n">
        <v>0</v>
      </c>
      <c r="F47" t="n">
        <v>263</v>
      </c>
      <c r="G47" t="n">
        <v>261</v>
      </c>
      <c r="H47" t="n">
        <v>262</v>
      </c>
    </row>
    <row r="48">
      <c r="A48" t="inlineStr">
        <is>
          <t>C|ORIG_BAL x CHANNEL|4</t>
        </is>
      </c>
      <c r="B48" t="inlineStr">
        <is>
          <t>26,324 - 37,950</t>
        </is>
      </c>
      <c r="C48" t="inlineStr">
        <is>
          <t>Broker</t>
        </is>
      </c>
      <c r="D48" t="n">
        <v>553</v>
      </c>
      <c r="E48" t="n">
        <v>0</v>
      </c>
      <c r="F48" t="n">
        <v>233</v>
      </c>
      <c r="G48" t="n">
        <v>231</v>
      </c>
      <c r="H48" t="n">
        <v>232</v>
      </c>
    </row>
    <row r="49">
      <c r="A49" t="inlineStr">
        <is>
          <t>C|ORIG_BAL x CHANNEL|5</t>
        </is>
      </c>
      <c r="B49" t="inlineStr">
        <is>
          <t>5,005 - 15,448</t>
        </is>
      </c>
      <c r="C49" t="inlineStr">
        <is>
          <t>Broker</t>
        </is>
      </c>
      <c r="D49" t="n">
        <v>514</v>
      </c>
      <c r="E49" t="n">
        <v>0</v>
      </c>
      <c r="F49" t="n">
        <v>268</v>
      </c>
      <c r="G49" t="n">
        <v>266</v>
      </c>
      <c r="H49" t="n">
        <v>267</v>
      </c>
    </row>
    <row r="50">
      <c r="A50" t="inlineStr">
        <is>
          <t>C|ORIG_BAL x CHANNEL|6</t>
        </is>
      </c>
      <c r="B50" t="inlineStr">
        <is>
          <t>5,005 - 15,448</t>
        </is>
      </c>
      <c r="C50" t="inlineStr">
        <is>
          <t>Online</t>
        </is>
      </c>
      <c r="D50" t="n">
        <v>544</v>
      </c>
      <c r="E50" t="n">
        <v>0</v>
      </c>
      <c r="F50" t="n">
        <v>228</v>
      </c>
      <c r="G50" t="n">
        <v>226</v>
      </c>
      <c r="H50" t="n">
        <v>227</v>
      </c>
    </row>
    <row r="51">
      <c r="A51" t="inlineStr">
        <is>
          <t>C|ORIG_BAL x CHANNEL|7</t>
        </is>
      </c>
      <c r="B51" t="inlineStr">
        <is>
          <t>26,324 - 37,950</t>
        </is>
      </c>
      <c r="C51" t="inlineStr">
        <is>
          <t>Online</t>
        </is>
      </c>
      <c r="D51" t="n">
        <v>528</v>
      </c>
      <c r="E51" t="n">
        <v>0</v>
      </c>
      <c r="F51" t="n">
        <v>283</v>
      </c>
      <c r="G51" t="n">
        <v>281</v>
      </c>
      <c r="H51" t="n">
        <v>282</v>
      </c>
    </row>
    <row r="52">
      <c r="A52" t="inlineStr">
        <is>
          <t>C|ORIG_BAL x CHANNEL|8</t>
        </is>
      </c>
      <c r="B52" t="inlineStr">
        <is>
          <t>15,449 - 26,323</t>
        </is>
      </c>
      <c r="C52" t="inlineStr">
        <is>
          <t>Online</t>
        </is>
      </c>
      <c r="D52" t="n">
        <v>538</v>
      </c>
      <c r="E52" t="n">
        <v>0</v>
      </c>
      <c r="F52" t="n">
        <v>258</v>
      </c>
      <c r="G52" t="n">
        <v>256</v>
      </c>
      <c r="H52" t="n">
        <v>257</v>
      </c>
    </row>
    <row r="53">
      <c r="A53" t="inlineStr">
        <is>
          <t>C|ORIG_BAL x CHANNEL|9</t>
        </is>
      </c>
      <c r="B53" t="inlineStr">
        <is>
          <t>37,951 - 49,151</t>
        </is>
      </c>
      <c r="C53" t="inlineStr">
        <is>
          <t>Online</t>
        </is>
      </c>
      <c r="D53" t="n">
        <v>543</v>
      </c>
      <c r="E53" t="n">
        <v>0</v>
      </c>
      <c r="F53" t="n">
        <v>293</v>
      </c>
      <c r="G53" t="n">
        <v>291</v>
      </c>
      <c r="H53" t="n">
        <v>292</v>
      </c>
    </row>
    <row r="54">
      <c r="A54" t="inlineStr">
        <is>
          <t>C|ORIG_BAL x CHANNEL|10</t>
        </is>
      </c>
      <c r="B54" t="inlineStr">
        <is>
          <t>49,152 - 59,984</t>
        </is>
      </c>
      <c r="C54" t="inlineStr">
        <is>
          <t>Online</t>
        </is>
      </c>
      <c r="D54" t="n">
        <v>565</v>
      </c>
      <c r="E54" t="n">
        <v>0</v>
      </c>
      <c r="F54" t="n">
        <v>278</v>
      </c>
      <c r="G54" t="n">
        <v>276</v>
      </c>
      <c r="H54" t="n">
        <v>277</v>
      </c>
    </row>
    <row r="55">
      <c r="A55" t="inlineStr">
        <is>
          <t>C|ORIG_BAL x CHANNEL|11</t>
        </is>
      </c>
      <c r="B55" t="inlineStr">
        <is>
          <t>5,005 - 15,448</t>
        </is>
      </c>
      <c r="C55" t="inlineStr">
        <is>
          <t>Branch</t>
        </is>
      </c>
      <c r="D55" t="n">
        <v>542</v>
      </c>
      <c r="E55" t="n">
        <v>0</v>
      </c>
      <c r="F55" t="n">
        <v>273</v>
      </c>
      <c r="G55" t="n">
        <v>271</v>
      </c>
      <c r="H55" t="n">
        <v>272</v>
      </c>
    </row>
    <row r="56">
      <c r="A56" t="inlineStr">
        <is>
          <t>C|ORIG_BAL x CHANNEL|12</t>
        </is>
      </c>
      <c r="B56" t="inlineStr">
        <is>
          <t>26,324 - 37,950</t>
        </is>
      </c>
      <c r="C56" t="inlineStr">
        <is>
          <t>Branch</t>
        </is>
      </c>
      <c r="D56" t="n">
        <v>518</v>
      </c>
      <c r="E56" t="n">
        <v>0</v>
      </c>
      <c r="F56" t="n">
        <v>248</v>
      </c>
      <c r="G56" t="n">
        <v>246</v>
      </c>
      <c r="H56" t="n">
        <v>247</v>
      </c>
    </row>
    <row r="57">
      <c r="A57" t="inlineStr">
        <is>
          <t>C|ORIG_BAL x CHANNEL|13</t>
        </is>
      </c>
      <c r="B57" t="inlineStr">
        <is>
          <t>37,951 - 49,151</t>
        </is>
      </c>
      <c r="C57" t="inlineStr">
        <is>
          <t>Branch</t>
        </is>
      </c>
      <c r="D57" t="n">
        <v>526</v>
      </c>
      <c r="E57" t="n">
        <v>0</v>
      </c>
      <c r="F57" t="n">
        <v>238</v>
      </c>
      <c r="G57" t="n">
        <v>236</v>
      </c>
      <c r="H57" t="n">
        <v>237</v>
      </c>
    </row>
    <row r="58">
      <c r="A58" t="inlineStr">
        <is>
          <t>C|ORIG_BAL x CHANNEL|14</t>
        </is>
      </c>
      <c r="B58" t="inlineStr">
        <is>
          <t>15,449 - 26,323</t>
        </is>
      </c>
      <c r="C58" t="inlineStr">
        <is>
          <t>Branch</t>
        </is>
      </c>
      <c r="D58" t="n">
        <v>525</v>
      </c>
      <c r="E58" t="n">
        <v>0</v>
      </c>
      <c r="F58" t="n">
        <v>298</v>
      </c>
      <c r="G58" t="n">
        <v>296</v>
      </c>
      <c r="H58" t="n">
        <v>297</v>
      </c>
    </row>
    <row r="59">
      <c r="A59" t="inlineStr">
        <is>
          <t>C|ORIG_BAL x CHANNEL|15</t>
        </is>
      </c>
      <c r="B59" t="inlineStr">
        <is>
          <t>49,152 - 59,984</t>
        </is>
      </c>
      <c r="C59" t="inlineStr">
        <is>
          <t>Branch</t>
        </is>
      </c>
      <c r="D59" t="n">
        <v>515</v>
      </c>
      <c r="E59" t="n">
        <v>0</v>
      </c>
      <c r="F59" t="n">
        <v>288</v>
      </c>
      <c r="G59" t="n">
        <v>286</v>
      </c>
      <c r="H59" t="n">
        <v>287</v>
      </c>
    </row>
    <row r="60">
      <c r="A60" t="inlineStr">
        <is>
          <t>C|ORIG_BAL x ASSET_CLASS|1</t>
        </is>
      </c>
      <c r="B60" t="inlineStr">
        <is>
          <t>37,951 - 49,151</t>
        </is>
      </c>
      <c r="C60" t="inlineStr">
        <is>
          <t>4</t>
        </is>
      </c>
      <c r="D60" t="n">
        <v>414</v>
      </c>
      <c r="E60" t="n">
        <v>0</v>
      </c>
      <c r="F60" t="n">
        <v>368</v>
      </c>
      <c r="G60" t="n">
        <v>366</v>
      </c>
      <c r="H60" t="n">
        <v>367</v>
      </c>
    </row>
    <row r="61">
      <c r="A61" t="inlineStr">
        <is>
          <t>C|ORIG_BAL x ASSET_CLASS|2</t>
        </is>
      </c>
      <c r="B61" t="inlineStr">
        <is>
          <t>49,152 - 59,984</t>
        </is>
      </c>
      <c r="C61" t="inlineStr">
        <is>
          <t>4</t>
        </is>
      </c>
      <c r="D61" t="n">
        <v>384</v>
      </c>
      <c r="E61" t="n">
        <v>0</v>
      </c>
      <c r="F61" t="n">
        <v>388</v>
      </c>
      <c r="G61" t="n">
        <v>386</v>
      </c>
      <c r="H61" t="n">
        <v>387</v>
      </c>
    </row>
    <row r="62">
      <c r="A62" t="inlineStr">
        <is>
          <t>C|ORIG_BAL x ASSET_CLASS|3</t>
        </is>
      </c>
      <c r="B62" t="inlineStr">
        <is>
          <t>26,324 - 37,950</t>
        </is>
      </c>
      <c r="C62" t="inlineStr">
        <is>
          <t>4</t>
        </is>
      </c>
      <c r="D62" t="n">
        <v>412</v>
      </c>
      <c r="E62" t="n">
        <v>0</v>
      </c>
      <c r="F62" t="n">
        <v>328</v>
      </c>
      <c r="G62" t="n">
        <v>326</v>
      </c>
      <c r="H62" t="n">
        <v>327</v>
      </c>
    </row>
    <row r="63">
      <c r="A63" t="inlineStr">
        <is>
          <t>C|ORIG_BAL x ASSET_CLASS|4</t>
        </is>
      </c>
      <c r="B63" t="inlineStr">
        <is>
          <t>37,951 - 49,151</t>
        </is>
      </c>
      <c r="C63" t="inlineStr">
        <is>
          <t>3</t>
        </is>
      </c>
      <c r="D63" t="n">
        <v>382</v>
      </c>
      <c r="E63" t="n">
        <v>0</v>
      </c>
      <c r="F63" t="n">
        <v>383</v>
      </c>
      <c r="G63" t="n">
        <v>381</v>
      </c>
      <c r="H63" t="n">
        <v>382</v>
      </c>
    </row>
    <row r="64">
      <c r="A64" t="inlineStr">
        <is>
          <t>C|ORIG_BAL x ASSET_CLASS|5</t>
        </is>
      </c>
      <c r="B64" t="inlineStr">
        <is>
          <t>15,449 - 26,323</t>
        </is>
      </c>
      <c r="C64" t="inlineStr">
        <is>
          <t>4</t>
        </is>
      </c>
      <c r="D64" t="n">
        <v>413</v>
      </c>
      <c r="E64" t="n">
        <v>0</v>
      </c>
      <c r="F64" t="n">
        <v>348</v>
      </c>
      <c r="G64" t="n">
        <v>346</v>
      </c>
      <c r="H64" t="n">
        <v>347</v>
      </c>
    </row>
    <row r="65">
      <c r="A65" t="inlineStr">
        <is>
          <t>C|ORIG_BAL x ASSET_CLASS|6</t>
        </is>
      </c>
      <c r="B65" t="inlineStr">
        <is>
          <t>5,005 - 15,448</t>
        </is>
      </c>
      <c r="C65" t="inlineStr">
        <is>
          <t>4</t>
        </is>
      </c>
      <c r="D65" t="n">
        <v>425</v>
      </c>
      <c r="E65" t="n">
        <v>0</v>
      </c>
      <c r="F65" t="n">
        <v>353</v>
      </c>
      <c r="G65" t="n">
        <v>351</v>
      </c>
      <c r="H65" t="n">
        <v>352</v>
      </c>
    </row>
    <row r="66">
      <c r="A66" t="inlineStr">
        <is>
          <t>C|ORIG_BAL x ASSET_CLASS|7</t>
        </is>
      </c>
      <c r="B66" t="inlineStr">
        <is>
          <t>15,449 - 26,323</t>
        </is>
      </c>
      <c r="C66" t="inlineStr">
        <is>
          <t>3</t>
        </is>
      </c>
      <c r="D66" t="n">
        <v>427</v>
      </c>
      <c r="E66" t="n">
        <v>0</v>
      </c>
      <c r="F66" t="n">
        <v>403</v>
      </c>
      <c r="G66" t="n">
        <v>401</v>
      </c>
      <c r="H66" t="n">
        <v>402</v>
      </c>
    </row>
    <row r="67">
      <c r="A67" t="inlineStr">
        <is>
          <t>C|ORIG_BAL x ASSET_CLASS|8</t>
        </is>
      </c>
      <c r="B67" t="inlineStr">
        <is>
          <t>5,005 - 15,448</t>
        </is>
      </c>
      <c r="C67" t="inlineStr">
        <is>
          <t>3</t>
        </is>
      </c>
      <c r="D67" t="n">
        <v>354</v>
      </c>
      <c r="E67" t="n">
        <v>0</v>
      </c>
      <c r="F67" t="n">
        <v>373</v>
      </c>
      <c r="G67" t="n">
        <v>371</v>
      </c>
      <c r="H67" t="n">
        <v>372</v>
      </c>
    </row>
    <row r="68">
      <c r="A68" t="inlineStr">
        <is>
          <t>C|ORIG_BAL x ASSET_CLASS|9</t>
        </is>
      </c>
      <c r="B68" t="inlineStr">
        <is>
          <t>15,449 - 26,323</t>
        </is>
      </c>
      <c r="C68" t="inlineStr">
        <is>
          <t>1</t>
        </is>
      </c>
      <c r="D68" t="n">
        <v>404</v>
      </c>
      <c r="E68" t="n">
        <v>0</v>
      </c>
      <c r="F68" t="n">
        <v>338</v>
      </c>
      <c r="G68" t="n">
        <v>336</v>
      </c>
      <c r="H68" t="n">
        <v>337</v>
      </c>
    </row>
    <row r="69">
      <c r="A69" t="inlineStr">
        <is>
          <t>C|ORIG_BAL x ASSET_CLASS|10</t>
        </is>
      </c>
      <c r="B69" t="inlineStr">
        <is>
          <t>49,152 - 59,984</t>
        </is>
      </c>
      <c r="C69" t="inlineStr">
        <is>
          <t>1</t>
        </is>
      </c>
      <c r="D69" t="n">
        <v>413</v>
      </c>
      <c r="E69" t="n">
        <v>0</v>
      </c>
      <c r="F69" t="n">
        <v>363</v>
      </c>
      <c r="G69" t="n">
        <v>361</v>
      </c>
      <c r="H69" t="n">
        <v>362</v>
      </c>
    </row>
    <row r="70">
      <c r="A70" t="inlineStr">
        <is>
          <t>C|ORIG_BAL x ASSET_CLASS|11</t>
        </is>
      </c>
      <c r="B70" t="inlineStr">
        <is>
          <t>26,324 - 37,950</t>
        </is>
      </c>
      <c r="C70" t="inlineStr">
        <is>
          <t>1</t>
        </is>
      </c>
      <c r="D70" t="n">
        <v>388</v>
      </c>
      <c r="E70" t="n">
        <v>0</v>
      </c>
      <c r="F70" t="n">
        <v>343</v>
      </c>
      <c r="G70" t="n">
        <v>341</v>
      </c>
      <c r="H70" t="n">
        <v>342</v>
      </c>
    </row>
    <row r="71">
      <c r="A71" t="inlineStr">
        <is>
          <t>C|ORIG_BAL x ASSET_CLASS|12</t>
        </is>
      </c>
      <c r="B71" t="inlineStr">
        <is>
          <t>5,005 - 15,448</t>
        </is>
      </c>
      <c r="C71" t="inlineStr">
        <is>
          <t>2</t>
        </is>
      </c>
      <c r="D71" t="n">
        <v>404</v>
      </c>
      <c r="E71" t="n">
        <v>0</v>
      </c>
      <c r="F71" t="n">
        <v>358</v>
      </c>
      <c r="G71" t="n">
        <v>356</v>
      </c>
      <c r="H71" t="n">
        <v>357</v>
      </c>
    </row>
    <row r="72">
      <c r="A72" t="inlineStr">
        <is>
          <t>C|ORIG_BAL x ASSET_CLASS|13</t>
        </is>
      </c>
      <c r="B72" t="inlineStr">
        <is>
          <t>5,005 - 15,448</t>
        </is>
      </c>
      <c r="C72" t="inlineStr">
        <is>
          <t>1</t>
        </is>
      </c>
      <c r="D72" t="n">
        <v>417</v>
      </c>
      <c r="E72" t="n">
        <v>0</v>
      </c>
      <c r="F72" t="n">
        <v>308</v>
      </c>
      <c r="G72" t="n">
        <v>306</v>
      </c>
      <c r="H72" t="n">
        <v>307</v>
      </c>
    </row>
    <row r="73">
      <c r="A73" t="inlineStr">
        <is>
          <t>C|ORIG_BAL x ASSET_CLASS|14</t>
        </is>
      </c>
      <c r="B73" t="inlineStr">
        <is>
          <t>49,152 - 59,984</t>
        </is>
      </c>
      <c r="C73" t="inlineStr">
        <is>
          <t>2</t>
        </is>
      </c>
      <c r="D73" t="n">
        <v>398</v>
      </c>
      <c r="E73" t="n">
        <v>0</v>
      </c>
      <c r="F73" t="n">
        <v>393</v>
      </c>
      <c r="G73" t="n">
        <v>391</v>
      </c>
      <c r="H73" t="n">
        <v>392</v>
      </c>
    </row>
    <row r="74">
      <c r="A74" t="inlineStr">
        <is>
          <t>C|ORIG_BAL x ASSET_CLASS|15</t>
        </is>
      </c>
      <c r="B74" t="inlineStr">
        <is>
          <t>26,324 - 37,950</t>
        </is>
      </c>
      <c r="C74" t="inlineStr">
        <is>
          <t>3</t>
        </is>
      </c>
      <c r="D74" t="n">
        <v>367</v>
      </c>
      <c r="E74" t="n">
        <v>0</v>
      </c>
      <c r="F74" t="n">
        <v>408</v>
      </c>
      <c r="G74" t="n">
        <v>406</v>
      </c>
      <c r="H74" t="n">
        <v>407</v>
      </c>
    </row>
    <row r="75">
      <c r="A75" t="inlineStr">
        <is>
          <t>C|ORIG_BAL x ASSET_CLASS|16</t>
        </is>
      </c>
      <c r="B75" t="inlineStr">
        <is>
          <t>26,324 - 37,950</t>
        </is>
      </c>
      <c r="C75" t="inlineStr">
        <is>
          <t>2</t>
        </is>
      </c>
      <c r="D75" t="n">
        <v>432</v>
      </c>
      <c r="E75" t="n">
        <v>0</v>
      </c>
      <c r="F75" t="n">
        <v>313</v>
      </c>
      <c r="G75" t="n">
        <v>311</v>
      </c>
      <c r="H75" t="n">
        <v>312</v>
      </c>
    </row>
    <row r="76">
      <c r="A76" t="inlineStr">
        <is>
          <t>C|ORIG_BAL x ASSET_CLASS|17</t>
        </is>
      </c>
      <c r="B76" t="inlineStr">
        <is>
          <t>15,449 - 26,323</t>
        </is>
      </c>
      <c r="C76" t="inlineStr">
        <is>
          <t>2</t>
        </is>
      </c>
      <c r="D76" t="n">
        <v>356</v>
      </c>
      <c r="E76" t="n">
        <v>0</v>
      </c>
      <c r="F76" t="n">
        <v>398</v>
      </c>
      <c r="G76" t="n">
        <v>396</v>
      </c>
      <c r="H76" t="n">
        <v>397</v>
      </c>
    </row>
    <row r="77">
      <c r="A77" t="inlineStr">
        <is>
          <t>C|ORIG_BAL x ASSET_CLASS|18</t>
        </is>
      </c>
      <c r="B77" t="inlineStr">
        <is>
          <t>49,152 - 59,984</t>
        </is>
      </c>
      <c r="C77" t="inlineStr">
        <is>
          <t>3</t>
        </is>
      </c>
      <c r="D77" t="n">
        <v>405</v>
      </c>
      <c r="E77" t="n">
        <v>0</v>
      </c>
      <c r="F77" t="n">
        <v>378</v>
      </c>
      <c r="G77" t="n">
        <v>376</v>
      </c>
      <c r="H77" t="n">
        <v>377</v>
      </c>
    </row>
    <row r="78">
      <c r="A78" t="inlineStr">
        <is>
          <t>C|ORIG_BAL x ASSET_CLASS|19</t>
        </is>
      </c>
      <c r="B78" t="inlineStr">
        <is>
          <t>37,951 - 49,151</t>
        </is>
      </c>
      <c r="C78" t="inlineStr">
        <is>
          <t>2</t>
        </is>
      </c>
      <c r="D78" t="n">
        <v>420</v>
      </c>
      <c r="E78" t="n">
        <v>0</v>
      </c>
      <c r="F78" t="n">
        <v>333</v>
      </c>
      <c r="G78" t="n">
        <v>331</v>
      </c>
      <c r="H78" t="n">
        <v>332</v>
      </c>
    </row>
    <row r="79">
      <c r="A79" t="inlineStr">
        <is>
          <t>C|ORIG_BAL x ASSET_CLASS|20</t>
        </is>
      </c>
      <c r="B79" t="inlineStr">
        <is>
          <t>37,951 - 49,151</t>
        </is>
      </c>
      <c r="C79" t="inlineStr">
        <is>
          <t>1</t>
        </is>
      </c>
      <c r="D79" t="n">
        <v>384</v>
      </c>
      <c r="E79" t="n">
        <v>0</v>
      </c>
      <c r="F79" t="n">
        <v>318</v>
      </c>
      <c r="G79" t="n">
        <v>316</v>
      </c>
      <c r="H79" t="n">
        <v>317</v>
      </c>
    </row>
    <row r="80">
      <c r="A80" t="inlineStr">
        <is>
          <t>G|FICO x CHANNEL|cols</t>
        </is>
      </c>
      <c r="B80" t="inlineStr">
        <is>
          <t>Branch</t>
        </is>
      </c>
      <c r="C80" t="inlineStr">
        <is>
          <t>Broker</t>
        </is>
      </c>
      <c r="D80" t="inlineStr">
        <is>
          <t>Online</t>
        </is>
      </c>
      <c r="E80" t="inlineStr">
        <is>
          <t>All</t>
        </is>
      </c>
    </row>
    <row r="81">
      <c r="A81" t="inlineStr">
        <is>
          <t>G|FICO x CHANNEL|rows</t>
        </is>
      </c>
      <c r="B81" t="inlineStr">
        <is>
          <t>496 - 653</t>
        </is>
      </c>
      <c r="C81" t="inlineStr">
        <is>
          <t>654 - 685</t>
        </is>
      </c>
      <c r="D81" t="inlineStr">
        <is>
          <t>686 - 711</t>
        </is>
      </c>
      <c r="E81" t="inlineStr">
        <is>
          <t>712 - 745</t>
        </is>
      </c>
      <c r="F81" t="inlineStr">
        <is>
          <t>746 - 921</t>
        </is>
      </c>
      <c r="G81" t="inlineStr">
        <is>
          <t>(blank)</t>
        </is>
      </c>
      <c r="H81" t="inlineStr">
        <is>
          <t>(marked missing)</t>
        </is>
      </c>
      <c r="I81" t="inlineStr">
        <is>
          <t>All</t>
        </is>
      </c>
    </row>
    <row r="82">
      <c r="A82" t="inlineStr">
        <is>
          <t>G|FICO x CHANNEL|names</t>
        </is>
      </c>
      <c r="B82" t="inlineStr">
        <is>
          <t>FICO</t>
        </is>
      </c>
      <c r="C82" t="inlineStr">
        <is>
          <t>CHANNEL</t>
        </is>
      </c>
    </row>
    <row r="83">
      <c r="A83" t="inlineStr">
        <is>
          <t>G|FICO x CHANNEL|total</t>
        </is>
      </c>
      <c r="B83" t="n">
        <v>8000</v>
      </c>
    </row>
    <row r="84">
      <c r="A84" t="inlineStr">
        <is>
          <t>G|FICO x CHANNEL|loans|1</t>
        </is>
      </c>
      <c r="B84" t="n">
        <v>502</v>
      </c>
      <c r="C84" t="n">
        <v>523</v>
      </c>
      <c r="D84" t="n">
        <v>531</v>
      </c>
      <c r="E84" t="n">
        <v>1556</v>
      </c>
    </row>
    <row r="85">
      <c r="A85" t="inlineStr">
        <is>
          <t>G|FICO x CHANNEL|loans|2</t>
        </is>
      </c>
      <c r="B85" t="n">
        <v>503</v>
      </c>
      <c r="C85" t="n">
        <v>531</v>
      </c>
      <c r="D85" t="n">
        <v>505</v>
      </c>
      <c r="E85" t="n">
        <v>1539</v>
      </c>
    </row>
    <row r="86">
      <c r="A86" t="inlineStr">
        <is>
          <t>G|FICO x CHANNEL|loans|3</t>
        </is>
      </c>
      <c r="B86" t="n">
        <v>515</v>
      </c>
      <c r="C86" t="n">
        <v>501</v>
      </c>
      <c r="D86" t="n">
        <v>546</v>
      </c>
      <c r="E86" t="n">
        <v>1562</v>
      </c>
    </row>
    <row r="87">
      <c r="A87" t="inlineStr">
        <is>
          <t>G|FICO x CHANNEL|loans|4</t>
        </is>
      </c>
      <c r="B87" t="n">
        <v>538</v>
      </c>
      <c r="C87" t="n">
        <v>509</v>
      </c>
      <c r="D87" t="n">
        <v>564</v>
      </c>
      <c r="E87" t="n">
        <v>1611</v>
      </c>
    </row>
    <row r="88">
      <c r="A88" t="inlineStr">
        <is>
          <t>G|FICO x CHANNEL|loans|5</t>
        </is>
      </c>
      <c r="B88" t="n">
        <v>518</v>
      </c>
      <c r="C88" t="n">
        <v>536</v>
      </c>
      <c r="D88" t="n">
        <v>517</v>
      </c>
      <c r="E88" t="n">
        <v>1571</v>
      </c>
    </row>
    <row r="89">
      <c r="A89" t="inlineStr">
        <is>
          <t>G|FICO x CHANNEL|loans|6</t>
        </is>
      </c>
      <c r="C89" t="n">
        <v>1</v>
      </c>
      <c r="E89" t="n">
        <v>1</v>
      </c>
    </row>
    <row r="90">
      <c r="A90" t="inlineStr">
        <is>
          <t>G|FICO x CHANNEL|loans|7</t>
        </is>
      </c>
      <c r="B90" t="n">
        <v>51</v>
      </c>
      <c r="C90" t="n">
        <v>54</v>
      </c>
      <c r="D90" t="n">
        <v>55</v>
      </c>
      <c r="E90" t="n">
        <v>160</v>
      </c>
    </row>
    <row r="91">
      <c r="A91" t="inlineStr">
        <is>
          <t>G|FICO x CHANNEL|loans|8</t>
        </is>
      </c>
      <c r="B91" t="n">
        <v>2627</v>
      </c>
      <c r="C91" t="n">
        <v>2655</v>
      </c>
      <c r="D91" t="n">
        <v>2718</v>
      </c>
      <c r="E91" t="n">
        <v>8000</v>
      </c>
    </row>
    <row r="92">
      <c r="A92" t="inlineStr">
        <is>
          <t>G|FICO x CHANNEL|outcome_loans|rate|1</t>
        </is>
      </c>
      <c r="B92" t="n">
        <v>0.1017964071856287</v>
      </c>
      <c r="C92" t="n">
        <v>0.2447418738049713</v>
      </c>
      <c r="D92" t="n">
        <v>0.1035781544256121</v>
      </c>
      <c r="E92" t="n">
        <v>0.1504823151125402</v>
      </c>
    </row>
    <row r="93">
      <c r="A93" t="inlineStr">
        <is>
          <t>G|FICO x CHANNEL|outcome_loans|book|1</t>
        </is>
      </c>
      <c r="B93" t="n">
        <v>1.315459549398779</v>
      </c>
      <c r="C93" t="n">
        <v>3.162665991221269</v>
      </c>
      <c r="D93" t="n">
        <v>1.33848409895068</v>
      </c>
      <c r="E93" t="n">
        <v>1.944601031640079</v>
      </c>
    </row>
    <row r="94">
      <c r="A94" t="inlineStr">
        <is>
          <t>G|FICO x CHANNEL|outcome_loans|band|1</t>
        </is>
      </c>
      <c r="B94" t="n">
        <v>0.5863028042276104</v>
      </c>
      <c r="C94" t="n">
        <v>2.38276994119557</v>
      </c>
      <c r="D94" t="n">
        <v>0.5925364811833896</v>
      </c>
    </row>
    <row r="95">
      <c r="A95" t="inlineStr">
        <is>
          <t>G|FICO x CHANNEL|outcome_loans|rate|2</t>
        </is>
      </c>
      <c r="B95" t="n">
        <v>0.08946322067594434</v>
      </c>
      <c r="C95" t="n">
        <v>0.08097928436911488</v>
      </c>
      <c r="D95" t="n">
        <v>0.08316831683168317</v>
      </c>
      <c r="E95" t="n">
        <v>0.08447043534762833</v>
      </c>
    </row>
    <row r="96">
      <c r="A96" t="inlineStr">
        <is>
          <t>G|FICO x CHANNEL|outcome_loans|book|2</t>
        </is>
      </c>
      <c r="B96" t="n">
        <v>1.156084494647623</v>
      </c>
      <c r="C96" t="n">
        <v>1.046451204634168</v>
      </c>
      <c r="D96" t="n">
        <v>1.074738879380668</v>
      </c>
      <c r="E96" t="n">
        <v>1.091565448054409</v>
      </c>
    </row>
    <row r="97">
      <c r="A97" t="inlineStr">
        <is>
          <t>G|FICO x CHANNEL|outcome_loans|band|2</t>
        </is>
      </c>
      <c r="B97" t="n">
        <v>1.09039878376798</v>
      </c>
      <c r="C97" t="n">
        <v>0.938242743035262</v>
      </c>
      <c r="D97" t="n">
        <v>0.9772277227722773</v>
      </c>
    </row>
    <row r="98">
      <c r="A98" t="inlineStr">
        <is>
          <t>G|FICO x CHANNEL|outcome_loans|rate|3</t>
        </is>
      </c>
      <c r="B98" t="n">
        <v>0.05436893203883495</v>
      </c>
      <c r="C98" t="n">
        <v>0.05189620758483034</v>
      </c>
      <c r="D98" t="n">
        <v>0.07692307692307693</v>
      </c>
      <c r="E98" t="n">
        <v>0.06145966709346991</v>
      </c>
    </row>
    <row r="99">
      <c r="A99" t="inlineStr">
        <is>
          <t>G|FICO x CHANNEL|outcome_loans|book|3</t>
        </is>
      </c>
      <c r="B99" t="n">
        <v>0.7025801088507928</v>
      </c>
      <c r="C99" t="n">
        <v>0.6706264369483972</v>
      </c>
      <c r="D99" t="n">
        <v>0.9940350441158196</v>
      </c>
      <c r="E99" t="n">
        <v>0.7942098175778123</v>
      </c>
    </row>
    <row r="100">
      <c r="A100" t="inlineStr">
        <is>
          <t>G|FICO x CHANNEL|outcome_loans|band|3</t>
        </is>
      </c>
      <c r="B100" t="n">
        <v>0.8371216447744146</v>
      </c>
      <c r="C100" t="n">
        <v>0.7865982321072141</v>
      </c>
      <c r="D100" t="n">
        <v>1.447293447293447</v>
      </c>
    </row>
    <row r="101">
      <c r="A101" t="inlineStr">
        <is>
          <t>G|FICO x CHANNEL|outcome_loans|rate|4</t>
        </is>
      </c>
      <c r="B101" t="n">
        <v>0.04089219330855019</v>
      </c>
      <c r="C101" t="n">
        <v>0.03143418467583497</v>
      </c>
      <c r="D101" t="n">
        <v>0.08687943262411348</v>
      </c>
      <c r="E101" t="n">
        <v>0.05400372439478585</v>
      </c>
    </row>
    <row r="102">
      <c r="A102" t="inlineStr">
        <is>
          <t>G|FICO x CHANNEL|outcome_loans|book|4</t>
        </is>
      </c>
      <c r="B102" t="n">
        <v>0.5284275513329449</v>
      </c>
      <c r="C102" t="n">
        <v>0.4062068549628496</v>
      </c>
      <c r="D102" t="n">
        <v>1.122695608336484</v>
      </c>
      <c r="E102" t="n">
        <v>0.6978607292954636</v>
      </c>
    </row>
    <row r="103">
      <c r="A103" t="inlineStr">
        <is>
          <t>G|FICO x CHANNEL|outcome_loans|band|4</t>
        </is>
      </c>
      <c r="B103" t="n">
        <v>0.6750357449242208</v>
      </c>
      <c r="C103" t="n">
        <v>0.4878939649685934</v>
      </c>
      <c r="D103" t="n">
        <v>2.393756998880179</v>
      </c>
    </row>
    <row r="104">
      <c r="A104" t="inlineStr">
        <is>
          <t>G|FICO x CHANNEL|outcome_loans|rate|5</t>
        </is>
      </c>
      <c r="B104" t="n">
        <v>0.0444015444015444</v>
      </c>
      <c r="C104" t="n">
        <v>0.03731343283582089</v>
      </c>
      <c r="D104" t="n">
        <v>0.0367504835589942</v>
      </c>
      <c r="E104" t="n">
        <v>0.03946530872056015</v>
      </c>
    </row>
    <row r="105">
      <c r="A105" t="inlineStr">
        <is>
          <t>G|FICO x CHANNEL|outcome_loans|book|5</t>
        </is>
      </c>
      <c r="B105" t="n">
        <v>0.5737769849239962</v>
      </c>
      <c r="C105" t="n">
        <v>0.4821811781158826</v>
      </c>
      <c r="D105" t="n">
        <v>0.4749064910959525</v>
      </c>
      <c r="E105" t="n">
        <v>0.5099886986361238</v>
      </c>
    </row>
    <row r="106">
      <c r="A106" t="inlineStr">
        <is>
          <t>G|FICO x CHANNEL|outcome_loans|band|5</t>
        </is>
      </c>
      <c r="B106" t="n">
        <v>1.198841698841699</v>
      </c>
      <c r="C106" t="n">
        <v>0.9195095948827292</v>
      </c>
      <c r="D106" t="n">
        <v>0.9008141783995323</v>
      </c>
    </row>
    <row r="107">
      <c r="A107" t="inlineStr">
        <is>
          <t>G|FICO x CHANNEL|outcome_loans|rate|6</t>
        </is>
      </c>
      <c r="C107" t="n">
        <v>0</v>
      </c>
      <c r="E107" t="n">
        <v>0</v>
      </c>
    </row>
    <row r="108">
      <c r="A108" t="inlineStr">
        <is>
          <t>G|FICO x CHANNEL|outcome_loans|book|6</t>
        </is>
      </c>
    </row>
    <row r="109">
      <c r="A109" t="inlineStr">
        <is>
          <t>G|FICO x CHANNEL|outcome_loans|band|6</t>
        </is>
      </c>
    </row>
    <row r="110">
      <c r="A110" t="inlineStr">
        <is>
          <t>G|FICO x CHANNEL|outcome_loans|rate|7</t>
        </is>
      </c>
      <c r="B110" t="n">
        <v>0.0196078431372549</v>
      </c>
      <c r="C110" t="n">
        <v>0.1296296296296296</v>
      </c>
      <c r="D110" t="n">
        <v>0.03636363636363636</v>
      </c>
      <c r="E110" t="n">
        <v>0.0625</v>
      </c>
    </row>
    <row r="111">
      <c r="A111" t="inlineStr">
        <is>
          <t>G|FICO x CHANNEL|outcome_loans|book|7</t>
        </is>
      </c>
      <c r="E111" t="n">
        <v>0.8076534733441034</v>
      </c>
    </row>
    <row r="112">
      <c r="A112" t="inlineStr">
        <is>
          <t>G|FICO x CHANNEL|outcome_loans|band|7</t>
        </is>
      </c>
    </row>
    <row r="113">
      <c r="A113" t="inlineStr">
        <is>
          <t>G|FICO x CHANNEL|outcome_loans|rate|8</t>
        </is>
      </c>
      <c r="B113" t="n">
        <v>0.06473724295506474</v>
      </c>
      <c r="C113" t="n">
        <v>0.0903954802259887</v>
      </c>
      <c r="D113" t="n">
        <v>0.07689477557027226</v>
      </c>
      <c r="E113" t="n">
        <v>0.07738467308413552</v>
      </c>
    </row>
    <row r="114">
      <c r="A114" t="inlineStr">
        <is>
          <t>G|FICO x CHANNEL|outcome_loans|book|8</t>
        </is>
      </c>
      <c r="B114" t="n">
        <v>0.8365641460380659</v>
      </c>
      <c r="C114" t="n">
        <v>1.168131577266048</v>
      </c>
      <c r="D114" t="n">
        <v>0.9936693211415312</v>
      </c>
      <c r="E114" t="n">
        <v>1</v>
      </c>
    </row>
    <row r="115">
      <c r="A115" t="inlineStr">
        <is>
          <t>G|FICO x CHANNEL|outcome_loans|band|8</t>
        </is>
      </c>
    </row>
    <row r="116">
      <c r="A116" t="inlineStr">
        <is>
          <t>G|FICO x CHANNEL|outcome_loans|meta</t>
        </is>
      </c>
      <c r="B116" t="inlineStr">
        <is>
          <t>x</t>
        </is>
      </c>
      <c r="C116" t="n">
        <v>3.162665991221269</v>
      </c>
      <c r="D116" t="n">
        <v>10</v>
      </c>
    </row>
    <row r="117">
      <c r="A117" t="inlineStr">
        <is>
          <t>G|FICO x CHANNEL|outcome_booked|rate|1</t>
        </is>
      </c>
      <c r="B117" t="n">
        <v>0.1032366130282964</v>
      </c>
      <c r="C117" t="n">
        <v>0.2452047977290487</v>
      </c>
      <c r="D117" t="n">
        <v>0.09804363285320282</v>
      </c>
      <c r="E117" t="n">
        <v>0.1491655756309188</v>
      </c>
    </row>
    <row r="118">
      <c r="A118" t="inlineStr">
        <is>
          <t>G|FICO x CHANNEL|outcome_booked|book|1</t>
        </is>
      </c>
      <c r="B118" t="n">
        <v>1.37963616176999</v>
      </c>
      <c r="C118" t="n">
        <v>3.276874318743562</v>
      </c>
      <c r="D118" t="n">
        <v>1.310238076858486</v>
      </c>
      <c r="E118" t="n">
        <v>1.993422839000397</v>
      </c>
    </row>
    <row r="119">
      <c r="A119" t="inlineStr">
        <is>
          <t>G|FICO x CHANNEL|outcome_booked|band|1</t>
        </is>
      </c>
      <c r="B119" t="n">
        <v>0.6039812851062788</v>
      </c>
      <c r="C119" t="n">
        <v>2.438440600661326</v>
      </c>
      <c r="D119" t="n">
        <v>0.5577235040008647</v>
      </c>
    </row>
    <row r="120">
      <c r="A120" t="inlineStr">
        <is>
          <t>G|FICO x CHANNEL|outcome_booked|rate|2</t>
        </is>
      </c>
      <c r="B120" t="n">
        <v>0.08626501981866973</v>
      </c>
      <c r="C120" t="n">
        <v>0.07651412632770158</v>
      </c>
      <c r="D120" t="n">
        <v>0.07697322210798571</v>
      </c>
      <c r="E120" t="n">
        <v>0.07985779590889652</v>
      </c>
    </row>
    <row r="121">
      <c r="A121" t="inlineStr">
        <is>
          <t>G|FICO x CHANNEL|outcome_booked|book|2</t>
        </is>
      </c>
      <c r="B121" t="n">
        <v>1.152830738499922</v>
      </c>
      <c r="C121" t="n">
        <v>1.022521491856776</v>
      </c>
      <c r="D121" t="n">
        <v>1.028656768108259</v>
      </c>
      <c r="E121" t="n">
        <v>1.067205711262177</v>
      </c>
    </row>
    <row r="122">
      <c r="A122" t="inlineStr">
        <is>
          <t>G|FICO x CHANNEL|outcome_booked|band|2</t>
        </is>
      </c>
      <c r="B122" t="n">
        <v>1.124215883183804</v>
      </c>
      <c r="C122" t="n">
        <v>0.9369131281724594</v>
      </c>
      <c r="D122" t="n">
        <v>0.9476799112696344</v>
      </c>
    </row>
    <row r="123">
      <c r="A123" t="inlineStr">
        <is>
          <t>G|FICO x CHANNEL|outcome_booked|rate|3</t>
        </is>
      </c>
      <c r="B123" t="n">
        <v>0.04502360615694115</v>
      </c>
      <c r="C123" t="n">
        <v>0.04625110965994935</v>
      </c>
      <c r="D123" t="n">
        <v>0.07807485876303806</v>
      </c>
      <c r="E123" t="n">
        <v>0.05686223568965074</v>
      </c>
    </row>
    <row r="124">
      <c r="A124" t="inlineStr">
        <is>
          <t>G|FICO x CHANNEL|outcome_booked|book|3</t>
        </is>
      </c>
      <c r="B124" t="n">
        <v>0.6016876509730165</v>
      </c>
      <c r="C124" t="n">
        <v>0.6180917945396528</v>
      </c>
      <c r="D124" t="n">
        <v>1.043378848984982</v>
      </c>
      <c r="E124" t="n">
        <v>0.7598970393868687</v>
      </c>
    </row>
    <row r="125">
      <c r="A125" t="inlineStr">
        <is>
          <t>G|FICO x CHANNEL|outcome_booked|band|3</t>
        </is>
      </c>
      <c r="B125" t="n">
        <v>0.718131796099021</v>
      </c>
      <c r="C125" t="n">
        <v>0.7466818259615715</v>
      </c>
      <c r="D125" t="n">
        <v>1.710989447132353</v>
      </c>
    </row>
    <row r="126">
      <c r="A126" t="inlineStr">
        <is>
          <t>G|FICO x CHANNEL|outcome_booked|rate|4</t>
        </is>
      </c>
      <c r="B126" t="n">
        <v>0.04121392727379864</v>
      </c>
      <c r="C126" t="n">
        <v>0.03545096557474654</v>
      </c>
      <c r="D126" t="n">
        <v>0.08332388471451478</v>
      </c>
      <c r="E126" t="n">
        <v>0.05451749193722224</v>
      </c>
    </row>
    <row r="127">
      <c r="A127" t="inlineStr">
        <is>
          <t>G|FICO x CHANNEL|outcome_booked|book|4</t>
        </is>
      </c>
      <c r="B127" t="n">
        <v>0.5507757642136718</v>
      </c>
      <c r="C127" t="n">
        <v>0.4737605452358035</v>
      </c>
      <c r="D127" t="n">
        <v>1.113525919915539</v>
      </c>
      <c r="E127" t="n">
        <v>0.7285622912191043</v>
      </c>
    </row>
    <row r="128">
      <c r="A128" t="inlineStr">
        <is>
          <t>G|FICO x CHANNEL|outcome_booked|band|4</t>
        </is>
      </c>
      <c r="B128" t="n">
        <v>0.6771166315286687</v>
      </c>
      <c r="C128" t="n">
        <v>0.5592595872783042</v>
      </c>
      <c r="D128" t="n">
        <v>2.172307734022388</v>
      </c>
    </row>
    <row r="129">
      <c r="A129" t="inlineStr">
        <is>
          <t>G|FICO x CHANNEL|outcome_booked|rate|5</t>
        </is>
      </c>
      <c r="B129" t="n">
        <v>0.04094877956620275</v>
      </c>
      <c r="C129" t="n">
        <v>0.03370544807318695</v>
      </c>
      <c r="D129" t="n">
        <v>0.0359906323755155</v>
      </c>
      <c r="E129" t="n">
        <v>0.03682990751373654</v>
      </c>
    </row>
    <row r="130">
      <c r="A130" t="inlineStr">
        <is>
          <t>G|FICO x CHANNEL|outcome_booked|book|5</t>
        </is>
      </c>
      <c r="B130" t="n">
        <v>0.5472323763120419</v>
      </c>
      <c r="C130" t="n">
        <v>0.4504337525843054</v>
      </c>
      <c r="D130" t="n">
        <v>0.4809725586078762</v>
      </c>
      <c r="E130" t="n">
        <v>0.4921884857523176</v>
      </c>
    </row>
    <row r="131">
      <c r="A131" t="inlineStr">
        <is>
          <t>G|FICO x CHANNEL|outcome_booked|band|5</t>
        </is>
      </c>
      <c r="B131" t="n">
        <v>1.175288487477193</v>
      </c>
      <c r="C131" t="n">
        <v>0.8769839649578951</v>
      </c>
      <c r="D131" t="n">
        <v>0.9661081622512918</v>
      </c>
    </row>
    <row r="132">
      <c r="A132" t="inlineStr">
        <is>
          <t>G|FICO x CHANNEL|outcome_booked|rate|6</t>
        </is>
      </c>
      <c r="C132" t="n">
        <v>0</v>
      </c>
      <c r="E132" t="n">
        <v>0</v>
      </c>
    </row>
    <row r="133">
      <c r="A133" t="inlineStr">
        <is>
          <t>G|FICO x CHANNEL|outcome_booked|book|6</t>
        </is>
      </c>
    </row>
    <row r="134">
      <c r="A134" t="inlineStr">
        <is>
          <t>G|FICO x CHANNEL|outcome_booked|band|6</t>
        </is>
      </c>
    </row>
    <row r="135">
      <c r="A135" t="inlineStr">
        <is>
          <t>G|FICO x CHANNEL|outcome_booked|rate|7</t>
        </is>
      </c>
      <c r="B135" t="n">
        <v>0.01600431583552905</v>
      </c>
      <c r="C135" t="n">
        <v>0.1031903128947965</v>
      </c>
      <c r="D135" t="n">
        <v>0.02927043551277416</v>
      </c>
      <c r="E135" t="n">
        <v>0.04815037624246446</v>
      </c>
    </row>
    <row r="136">
      <c r="A136" t="inlineStr">
        <is>
          <t>G|FICO x CHANNEL|outcome_booked|book|7</t>
        </is>
      </c>
      <c r="E136" t="n">
        <v>0.6434732631990415</v>
      </c>
    </row>
    <row r="137">
      <c r="A137" t="inlineStr">
        <is>
          <t>G|FICO x CHANNEL|outcome_booked|band|7</t>
        </is>
      </c>
    </row>
    <row r="138">
      <c r="A138" t="inlineStr">
        <is>
          <t>G|FICO x CHANNEL|outcome_booked|rate|8</t>
        </is>
      </c>
      <c r="B138" t="n">
        <v>0.06209402737287426</v>
      </c>
      <c r="C138" t="n">
        <v>0.08834961310910708</v>
      </c>
      <c r="D138" t="n">
        <v>0.07378839081032544</v>
      </c>
      <c r="E138" t="n">
        <v>0.07482886857347225</v>
      </c>
    </row>
    <row r="139">
      <c r="A139" t="inlineStr">
        <is>
          <t>G|FICO x CHANNEL|outcome_booked|book|8</t>
        </is>
      </c>
      <c r="B139" t="n">
        <v>0.8298137945505067</v>
      </c>
      <c r="C139" t="n">
        <v>1.180688881088174</v>
      </c>
      <c r="D139" t="n">
        <v>0.9860952359298967</v>
      </c>
      <c r="E139" t="n">
        <v>0.9999999999999987</v>
      </c>
    </row>
    <row r="140">
      <c r="A140" t="inlineStr">
        <is>
          <t>G|FICO x CHANNEL|outcome_booked|band|8</t>
        </is>
      </c>
    </row>
    <row r="141">
      <c r="A141" t="inlineStr">
        <is>
          <t>G|FICO x CHANNEL|outcome_booked|meta</t>
        </is>
      </c>
      <c r="B141" t="inlineStr">
        <is>
          <t>x</t>
        </is>
      </c>
      <c r="C141" t="n">
        <v>3.276874318743562</v>
      </c>
      <c r="D141" t="n">
        <v>10</v>
      </c>
    </row>
    <row r="142">
      <c r="A142" t="inlineStr">
        <is>
          <t>G|FICO x CHANNEL|gco_rate|rate|1</t>
        </is>
      </c>
      <c r="B142" t="n">
        <v>0.05382250925935985</v>
      </c>
      <c r="C142" t="n">
        <v>0.1416885243252877</v>
      </c>
      <c r="D142" t="n">
        <v>0.05418720216775902</v>
      </c>
      <c r="E142" t="n">
        <v>0.08345255929305037</v>
      </c>
    </row>
    <row r="143">
      <c r="A143" t="inlineStr">
        <is>
          <t>G|FICO x CHANNEL|gco_rate|book|1</t>
        </is>
      </c>
      <c r="B143" t="n">
        <v>1.293646581223346</v>
      </c>
      <c r="C143" t="n">
        <v>3.405543101097873</v>
      </c>
      <c r="D143" t="n">
        <v>1.302412128215471</v>
      </c>
      <c r="E143" t="n">
        <v>2.005817259532897</v>
      </c>
    </row>
    <row r="144">
      <c r="A144" t="inlineStr">
        <is>
          <t>G|FICO x CHANNEL|gco_rate|band|1</t>
        </is>
      </c>
      <c r="B144" t="n">
        <v>0.5518943693761096</v>
      </c>
      <c r="C144" t="n">
        <v>2.623355637889496</v>
      </c>
      <c r="D144" t="n">
        <v>0.5491282604182235</v>
      </c>
    </row>
    <row r="145">
      <c r="A145" t="inlineStr">
        <is>
          <t>G|FICO x CHANNEL|gco_rate|rate|2</t>
        </is>
      </c>
      <c r="B145" t="n">
        <v>0.05005569466772698</v>
      </c>
      <c r="C145" t="n">
        <v>0.04225891257503112</v>
      </c>
      <c r="D145" t="n">
        <v>0.04350405077341554</v>
      </c>
      <c r="E145" t="n">
        <v>0.04521453740915432</v>
      </c>
    </row>
    <row r="146">
      <c r="A146" t="inlineStr">
        <is>
          <t>G|FICO x CHANNEL|gco_rate|book|2</t>
        </is>
      </c>
      <c r="B146" t="n">
        <v>1.203109612850385</v>
      </c>
      <c r="C146" t="n">
        <v>1.015710685569688</v>
      </c>
      <c r="D146" t="n">
        <v>1.045638104332879</v>
      </c>
      <c r="E146" t="n">
        <v>1.086750367937848</v>
      </c>
    </row>
    <row r="147">
      <c r="A147" t="inlineStr">
        <is>
          <t>G|FICO x CHANNEL|gco_rate|band|2</t>
        </is>
      </c>
      <c r="B147" t="n">
        <v>1.168054905981109</v>
      </c>
      <c r="C147" t="n">
        <v>0.9027162731903188</v>
      </c>
      <c r="D147" t="n">
        <v>0.9452479312942789</v>
      </c>
    </row>
    <row r="148">
      <c r="A148" t="inlineStr">
        <is>
          <t>G|FICO x CHANNEL|gco_rate|rate|3</t>
        </is>
      </c>
      <c r="B148" t="n">
        <v>0.02416902423541164</v>
      </c>
      <c r="C148" t="n">
        <v>0.02640479870989074</v>
      </c>
      <c r="D148" t="n">
        <v>0.0432990046008993</v>
      </c>
      <c r="E148" t="n">
        <v>0.03151500509362794</v>
      </c>
    </row>
    <row r="149">
      <c r="A149" t="inlineStr">
        <is>
          <t>G|FICO x CHANNEL|gco_rate|book|3</t>
        </is>
      </c>
      <c r="B149" t="n">
        <v>0.5809126330951804</v>
      </c>
      <c r="C149" t="n">
        <v>0.6346504101906126</v>
      </c>
      <c r="D149" t="n">
        <v>1.040709733587652</v>
      </c>
      <c r="E149" t="n">
        <v>0.7574763636557552</v>
      </c>
    </row>
    <row r="150">
      <c r="A150" t="inlineStr">
        <is>
          <t>G|FICO x CHANNEL|gco_rate|band|3</t>
        </is>
      </c>
      <c r="B150" t="n">
        <v>0.6878985196916947</v>
      </c>
      <c r="C150" t="n">
        <v>0.7774930635253152</v>
      </c>
      <c r="D150" t="n">
        <v>1.713043008488713</v>
      </c>
    </row>
    <row r="151">
      <c r="A151" t="inlineStr">
        <is>
          <t>G|FICO x CHANNEL|gco_rate|rate|4</t>
        </is>
      </c>
      <c r="B151" t="n">
        <v>0.02299567418454924</v>
      </c>
      <c r="C151" t="n">
        <v>0.02075932934058127</v>
      </c>
      <c r="D151" t="n">
        <v>0.04518040416451506</v>
      </c>
      <c r="E151" t="n">
        <v>0.03026397173122731</v>
      </c>
    </row>
    <row r="152">
      <c r="A152" t="inlineStr">
        <is>
          <t>G|FICO x CHANNEL|gco_rate|book|4</t>
        </is>
      </c>
      <c r="B152" t="n">
        <v>0.5527106725629815</v>
      </c>
      <c r="C152" t="n">
        <v>0.4989591863976923</v>
      </c>
      <c r="D152" t="n">
        <v>1.08592996108872</v>
      </c>
      <c r="E152" t="n">
        <v>0.7274072521532202</v>
      </c>
    </row>
    <row r="153">
      <c r="A153" t="inlineStr">
        <is>
          <t>G|FICO x CHANNEL|gco_rate|band|4</t>
        </is>
      </c>
      <c r="B153" t="n">
        <v>0.6818678243913163</v>
      </c>
      <c r="C153" t="n">
        <v>0.5983981658374574</v>
      </c>
      <c r="D153" t="n">
        <v>2.06437015854151</v>
      </c>
    </row>
    <row r="154">
      <c r="A154" t="inlineStr">
        <is>
          <t>G|FICO x CHANNEL|gco_rate|rate|5</t>
        </is>
      </c>
      <c r="B154" t="n">
        <v>0.02259516093848434</v>
      </c>
      <c r="C154" t="n">
        <v>0.01802270743101798</v>
      </c>
      <c r="D154" t="n">
        <v>0.0177152709979479</v>
      </c>
      <c r="E154" t="n">
        <v>0.01940834703954904</v>
      </c>
    </row>
    <row r="155">
      <c r="A155" t="inlineStr">
        <is>
          <t>G|FICO x CHANNEL|gco_rate|book|5</t>
        </is>
      </c>
      <c r="B155" t="n">
        <v>0.5430841687333329</v>
      </c>
      <c r="C155" t="n">
        <v>0.4331833311630761</v>
      </c>
      <c r="D155" t="n">
        <v>0.4257939675667393</v>
      </c>
      <c r="E155" t="n">
        <v>0.4664877602402493</v>
      </c>
    </row>
    <row r="156">
      <c r="A156" t="inlineStr">
        <is>
          <t>G|FICO x CHANNEL|gco_rate|band|5</t>
        </is>
      </c>
      <c r="B156" t="n">
        <v>1.264427615577086</v>
      </c>
      <c r="C156" t="n">
        <v>0.8957851944368566</v>
      </c>
      <c r="D156" t="n">
        <v>0.8742978867022101</v>
      </c>
    </row>
    <row r="157">
      <c r="A157" t="inlineStr">
        <is>
          <t>G|FICO x CHANNEL|gco_rate|rate|6</t>
        </is>
      </c>
      <c r="C157" t="n">
        <v>0</v>
      </c>
      <c r="E157" t="n">
        <v>0</v>
      </c>
    </row>
    <row r="158">
      <c r="A158" t="inlineStr">
        <is>
          <t>G|FICO x CHANNEL|gco_rate|book|6</t>
        </is>
      </c>
    </row>
    <row r="159">
      <c r="A159" t="inlineStr">
        <is>
          <t>G|FICO x CHANNEL|gco_rate|band|6</t>
        </is>
      </c>
    </row>
    <row r="160">
      <c r="A160" t="inlineStr">
        <is>
          <t>G|FICO x CHANNEL|gco_rate|rate|7</t>
        </is>
      </c>
      <c r="B160" t="n">
        <v>0.007777850065731658</v>
      </c>
      <c r="C160" t="n">
        <v>0.0521010838886127</v>
      </c>
      <c r="D160" t="n">
        <v>0.01850663107378558</v>
      </c>
      <c r="E160" t="n">
        <v>0.02551311188947889</v>
      </c>
    </row>
    <row r="161">
      <c r="A161" t="inlineStr">
        <is>
          <t>G|FICO x CHANNEL|gco_rate|book|7</t>
        </is>
      </c>
      <c r="E161" t="n">
        <v>0.6132183435214595</v>
      </c>
    </row>
    <row r="162">
      <c r="A162" t="inlineStr">
        <is>
          <t>G|FICO x CHANNEL|gco_rate|band|7</t>
        </is>
      </c>
    </row>
    <row r="163">
      <c r="A163" t="inlineStr">
        <is>
          <t>G|FICO x CHANNEL|gco_rate|rate|8</t>
        </is>
      </c>
      <c r="B163" t="n">
        <v>0.03403247368482893</v>
      </c>
      <c r="C163" t="n">
        <v>0.05021215552951191</v>
      </c>
      <c r="D163" t="n">
        <v>0.04043303389582082</v>
      </c>
      <c r="E163" t="n">
        <v>0.04160526533333563</v>
      </c>
    </row>
    <row r="164">
      <c r="A164" t="inlineStr">
        <is>
          <t>G|FICO x CHANNEL|gco_rate|book|8</t>
        </is>
      </c>
      <c r="B164" t="n">
        <v>0.8179847769787176</v>
      </c>
      <c r="C164" t="n">
        <v>1.206870215277299</v>
      </c>
      <c r="D164" t="n">
        <v>0.971824925808715</v>
      </c>
      <c r="E164" t="n">
        <v>0.9999999999999997</v>
      </c>
    </row>
    <row r="165">
      <c r="A165" t="inlineStr">
        <is>
          <t>G|FICO x CHANNEL|gco_rate|band|8</t>
        </is>
      </c>
    </row>
    <row r="166">
      <c r="A166" t="inlineStr">
        <is>
          <t>G|FICO x CHANNEL|gco_rate|meta</t>
        </is>
      </c>
      <c r="B166" t="inlineStr">
        <is>
          <t>x</t>
        </is>
      </c>
      <c r="C166" t="n">
        <v>3.405543101097873</v>
      </c>
      <c r="D166" t="n">
        <v>10</v>
      </c>
    </row>
    <row r="167">
      <c r="A167" t="inlineStr">
        <is>
          <t>G|FICO x CHANNEL|ranr_rate|rate|1</t>
        </is>
      </c>
      <c r="B167" t="n">
        <v>0.2170734766287685</v>
      </c>
      <c r="C167" t="n">
        <v>0.1379488383901921</v>
      </c>
      <c r="D167" t="n">
        <v>0.2161038541582268</v>
      </c>
      <c r="E167" t="n">
        <v>0.1901717430158448</v>
      </c>
    </row>
    <row r="168">
      <c r="A168" t="inlineStr">
        <is>
          <t>G|FICO x CHANNEL|ranr_rate|book|1</t>
        </is>
      </c>
      <c r="B168" t="n">
        <v>8.908342698</v>
      </c>
      <c r="C168" t="n">
        <v>0.995878874</v>
      </c>
      <c r="D168" t="n">
        <v>8.811380451</v>
      </c>
      <c r="E168" t="n">
        <v>6.218169337</v>
      </c>
    </row>
    <row r="169">
      <c r="A169" t="inlineStr">
        <is>
          <t>G|FICO x CHANNEL|ranr_rate|band|1</t>
        </is>
      </c>
      <c r="B169" t="n">
        <v>3.967676562</v>
      </c>
      <c r="C169" t="n">
        <v>-7.862504873</v>
      </c>
      <c r="D169" t="n">
        <v>3.942393715</v>
      </c>
    </row>
    <row r="170">
      <c r="A170" t="inlineStr">
        <is>
          <t>G|FICO x CHANNEL|ranr_rate|rate|2</t>
        </is>
      </c>
      <c r="B170" t="n">
        <v>0.1503331012467687</v>
      </c>
      <c r="C170" t="n">
        <v>0.1579237894125024</v>
      </c>
      <c r="D170" t="n">
        <v>0.1817081086912193</v>
      </c>
      <c r="E170" t="n">
        <v>0.1630754408239561</v>
      </c>
    </row>
    <row r="171">
      <c r="A171" t="inlineStr">
        <is>
          <t>G|FICO x CHANNEL|ranr_rate|book|2</t>
        </is>
      </c>
      <c r="B171" t="n">
        <v>2.23430516</v>
      </c>
      <c r="C171" t="n">
        <v>2.993373976</v>
      </c>
      <c r="D171" t="n">
        <v>5.371805904</v>
      </c>
      <c r="E171" t="n">
        <v>3.508539118</v>
      </c>
    </row>
    <row r="172">
      <c r="A172" t="inlineStr">
        <is>
          <t>G|FICO x CHANNEL|ranr_rate|band|2</t>
        </is>
      </c>
      <c r="B172" t="n">
        <v>-1.89557693</v>
      </c>
      <c r="C172" t="n">
        <v>-0.793787777</v>
      </c>
      <c r="D172" t="n">
        <v>2.744984217</v>
      </c>
    </row>
    <row r="173">
      <c r="A173" t="inlineStr">
        <is>
          <t>G|FICO x CHANNEL|ranr_rate|rate|3</t>
        </is>
      </c>
      <c r="B173" t="n">
        <v>0.1298033696344339</v>
      </c>
      <c r="C173" t="n">
        <v>0.1268738832157217</v>
      </c>
      <c r="D173" t="n">
        <v>0.1675406164276845</v>
      </c>
      <c r="E173" t="n">
        <v>0.1419183148673722</v>
      </c>
    </row>
    <row r="174">
      <c r="A174" t="inlineStr">
        <is>
          <t>G|FICO x CHANNEL|ranr_rate|book|3</t>
        </is>
      </c>
      <c r="B174" t="n">
        <v>0.181331999</v>
      </c>
      <c r="C174" t="n">
        <v>-0.111616643</v>
      </c>
      <c r="D174" t="n">
        <v>3.955056678</v>
      </c>
      <c r="E174" t="n">
        <v>1.392826522</v>
      </c>
    </row>
    <row r="175">
      <c r="A175" t="inlineStr">
        <is>
          <t>G|FICO x CHANNEL|ranr_rate|band|3</t>
        </is>
      </c>
      <c r="B175" t="n">
        <v>-1.80843221</v>
      </c>
      <c r="C175" t="n">
        <v>-2.224678398</v>
      </c>
      <c r="D175" t="n">
        <v>3.9187792</v>
      </c>
    </row>
    <row r="176">
      <c r="A176" t="inlineStr">
        <is>
          <t>G|FICO x CHANNEL|ranr_rate|rate|4</t>
        </is>
      </c>
      <c r="B176" t="n">
        <v>0.08572381463720408</v>
      </c>
      <c r="C176" t="n">
        <v>0.0911555197398795</v>
      </c>
      <c r="D176" t="n">
        <v>0.1094328953856207</v>
      </c>
      <c r="E176" t="n">
        <v>0.09596924359374789</v>
      </c>
    </row>
    <row r="177">
      <c r="A177" t="inlineStr">
        <is>
          <t>G|FICO x CHANNEL|ranr_rate|book|4</t>
        </is>
      </c>
      <c r="B177" t="n">
        <v>-4.226623501</v>
      </c>
      <c r="C177" t="n">
        <v>-3.683452991</v>
      </c>
      <c r="D177" t="n">
        <v>-1.855715426</v>
      </c>
      <c r="E177" t="n">
        <v>-3.202080605</v>
      </c>
    </row>
    <row r="178">
      <c r="A178" t="inlineStr">
        <is>
          <t>G|FICO x CHANNEL|ranr_rate|band|4</t>
        </is>
      </c>
      <c r="B178" t="n">
        <v>-1.513520529</v>
      </c>
      <c r="C178" t="n">
        <v>-0.705353944</v>
      </c>
      <c r="D178" t="n">
        <v>2.101666415</v>
      </c>
    </row>
    <row r="179">
      <c r="A179" t="inlineStr">
        <is>
          <t>G|FICO x CHANNEL|ranr_rate|rate|5</t>
        </is>
      </c>
      <c r="B179" t="n">
        <v>0.04457648068932364</v>
      </c>
      <c r="C179" t="n">
        <v>0.04898207027874037</v>
      </c>
      <c r="D179" t="n">
        <v>0.04658320363935518</v>
      </c>
      <c r="E179" t="n">
        <v>0.04674341748455088</v>
      </c>
    </row>
    <row r="180">
      <c r="A180" t="inlineStr">
        <is>
          <t>G|FICO x CHANNEL|ranr_rate|book|5</t>
        </is>
      </c>
      <c r="B180" t="n">
        <v>-8.341356896000001</v>
      </c>
      <c r="C180" t="n">
        <v>-7.900797937</v>
      </c>
      <c r="D180" t="n">
        <v>-8.140684601</v>
      </c>
      <c r="E180" t="n">
        <v>-8.124663216</v>
      </c>
    </row>
    <row r="181">
      <c r="A181" t="inlineStr">
        <is>
          <t>G|FICO x CHANNEL|ranr_rate|band|5</t>
        </is>
      </c>
      <c r="B181" t="n">
        <v>-0.321305246</v>
      </c>
      <c r="C181" t="n">
        <v>0.338752124</v>
      </c>
      <c r="D181" t="n">
        <v>-0.02410208</v>
      </c>
    </row>
    <row r="182">
      <c r="A182" t="inlineStr">
        <is>
          <t>G|FICO x CHANNEL|ranr_rate|rate|6</t>
        </is>
      </c>
      <c r="C182" t="n">
        <v>0.140296941334961</v>
      </c>
      <c r="E182" t="n">
        <v>0.140296941334961</v>
      </c>
    </row>
    <row r="183">
      <c r="A183" t="inlineStr">
        <is>
          <t>G|FICO x CHANNEL|ranr_rate|book|6</t>
        </is>
      </c>
      <c r="C183" t="n">
        <v>1.230689169</v>
      </c>
      <c r="E183" t="n">
        <v>1.230689169</v>
      </c>
    </row>
    <row r="184">
      <c r="A184" t="inlineStr">
        <is>
          <t>G|FICO x CHANNEL|ranr_rate|band|6</t>
        </is>
      </c>
    </row>
    <row r="185">
      <c r="A185" t="inlineStr">
        <is>
          <t>G|FICO x CHANNEL|ranr_rate|rate|7</t>
        </is>
      </c>
      <c r="B185" t="n">
        <v>0.1469454487933999</v>
      </c>
      <c r="C185" t="n">
        <v>0.1256885776789557</v>
      </c>
      <c r="D185" t="n">
        <v>0.1896654103875157</v>
      </c>
      <c r="E185" t="n">
        <v>0.1551731988462655</v>
      </c>
    </row>
    <row r="186">
      <c r="A186" t="inlineStr">
        <is>
          <t>G|FICO x CHANNEL|ranr_rate|book|7</t>
        </is>
      </c>
      <c r="B186" t="n">
        <v>1.895539915</v>
      </c>
      <c r="C186" t="n">
        <v>-0.230147197</v>
      </c>
      <c r="D186" t="n">
        <v>6.167536074</v>
      </c>
      <c r="E186" t="n">
        <v>2.71831492</v>
      </c>
    </row>
    <row r="187">
      <c r="A187" t="inlineStr">
        <is>
          <t>G|FICO x CHANNEL|ranr_rate|band|7</t>
        </is>
      </c>
      <c r="B187" t="n">
        <v>-1.237059432</v>
      </c>
      <c r="C187" t="n">
        <v>-4.307550993</v>
      </c>
      <c r="D187" t="n">
        <v>5.303168205</v>
      </c>
    </row>
    <row r="188">
      <c r="A188" t="inlineStr">
        <is>
          <t>G|FICO x CHANNEL|ranr_rate|rate|8</t>
        </is>
      </c>
      <c r="B188" t="n">
        <v>0.1257424641427197</v>
      </c>
      <c r="C188" t="n">
        <v>0.1130333511764385</v>
      </c>
      <c r="D188" t="n">
        <v>0.1447377923020619</v>
      </c>
      <c r="E188" t="n">
        <v>0.1279900496481476</v>
      </c>
    </row>
    <row r="189">
      <c r="A189" t="inlineStr">
        <is>
          <t>G|FICO x CHANNEL|ranr_rate|book|8</t>
        </is>
      </c>
      <c r="B189" t="n">
        <v>-0.224758551</v>
      </c>
      <c r="C189" t="n">
        <v>-1.495669847</v>
      </c>
      <c r="D189" t="n">
        <v>1.674774265</v>
      </c>
      <c r="E189" t="n">
        <v>0</v>
      </c>
    </row>
    <row r="190">
      <c r="A190" t="inlineStr">
        <is>
          <t>G|FICO x CHANNEL|ranr_rate|band|8</t>
        </is>
      </c>
    </row>
    <row r="191">
      <c r="A191" t="inlineStr">
        <is>
          <t>G|FICO x CHANNEL|ranr_rate|meta</t>
        </is>
      </c>
      <c r="B191" t="inlineStr">
        <is>
          <t>pts</t>
        </is>
      </c>
      <c r="C191" t="n">
        <v>8.908342698</v>
      </c>
      <c r="D191" t="n">
        <v>10</v>
      </c>
    </row>
    <row r="192">
      <c r="A192" t="inlineStr">
        <is>
          <t>G|FICO x CHANNEL|contribution_rate|rate|1</t>
        </is>
      </c>
      <c r="B192" t="n">
        <v>0.2708959858881283</v>
      </c>
      <c r="C192" t="n">
        <v>0.2796373627154796</v>
      </c>
      <c r="D192" t="n">
        <v>0.2702910563259856</v>
      </c>
      <c r="E192" t="n">
        <v>0.273624302308895</v>
      </c>
    </row>
    <row r="193">
      <c r="A193" t="inlineStr">
        <is>
          <t>G|FICO x CHANNEL|contribution_rate|book|1</t>
        </is>
      </c>
      <c r="B193" t="n">
        <v>10.130353015</v>
      </c>
      <c r="C193" t="n">
        <v>11.004490698</v>
      </c>
      <c r="D193" t="n">
        <v>10.069860059</v>
      </c>
      <c r="E193" t="n">
        <v>10.403184657</v>
      </c>
    </row>
    <row r="194">
      <c r="A194" t="inlineStr">
        <is>
          <t>G|FICO x CHANNEL|contribution_rate|band|1</t>
        </is>
      </c>
      <c r="B194" t="n">
        <v>-0.402393291</v>
      </c>
      <c r="C194" t="n">
        <v>0.90530615</v>
      </c>
      <c r="D194" t="n">
        <v>-0.506745014</v>
      </c>
    </row>
    <row r="195">
      <c r="A195" t="inlineStr">
        <is>
          <t>G|FICO x CHANNEL|contribution_rate|rate|2</t>
        </is>
      </c>
      <c r="B195" t="n">
        <v>0.2003887959144957</v>
      </c>
      <c r="C195" t="n">
        <v>0.2001827019875337</v>
      </c>
      <c r="D195" t="n">
        <v>0.2252121594646349</v>
      </c>
      <c r="E195" t="n">
        <v>0.2082899782331105</v>
      </c>
    </row>
    <row r="196">
      <c r="A196" t="inlineStr">
        <is>
          <t>G|FICO x CHANNEL|contribution_rate|book|2</t>
        </is>
      </c>
      <c r="B196" t="n">
        <v>3.079634018</v>
      </c>
      <c r="C196" t="n">
        <v>3.059024625</v>
      </c>
      <c r="D196" t="n">
        <v>5.561970373</v>
      </c>
      <c r="E196" t="n">
        <v>3.86975225</v>
      </c>
    </row>
    <row r="197">
      <c r="A197" t="inlineStr">
        <is>
          <t>G|FICO x CHANNEL|contribution_rate|band|2</t>
        </is>
      </c>
      <c r="B197" t="n">
        <v>-1.17539631</v>
      </c>
      <c r="C197" t="n">
        <v>-1.249202687</v>
      </c>
      <c r="D197" t="n">
        <v>2.492993527</v>
      </c>
    </row>
    <row r="198">
      <c r="A198" t="inlineStr">
        <is>
          <t>G|FICO x CHANNEL|contribution_rate|rate|3</t>
        </is>
      </c>
      <c r="B198" t="n">
        <v>0.1539723938698455</v>
      </c>
      <c r="C198" t="n">
        <v>0.1532786819256124</v>
      </c>
      <c r="D198" t="n">
        <v>0.2108396210285837</v>
      </c>
      <c r="E198" t="n">
        <v>0.1734333199610001</v>
      </c>
    </row>
    <row r="199">
      <c r="A199" t="inlineStr">
        <is>
          <t>G|FICO x CHANNEL|contribution_rate|book|3</t>
        </is>
      </c>
      <c r="B199" t="n">
        <v>-1.562006187</v>
      </c>
      <c r="C199" t="n">
        <v>-1.631377381</v>
      </c>
      <c r="D199" t="n">
        <v>4.124716529</v>
      </c>
      <c r="E199" t="n">
        <v>0.384086423</v>
      </c>
    </row>
    <row r="200">
      <c r="A200" t="inlineStr">
        <is>
          <t>G|FICO x CHANNEL|contribution_rate|band|3</t>
        </is>
      </c>
      <c r="B200" t="n">
        <v>-2.904987592</v>
      </c>
      <c r="C200" t="n">
        <v>-2.980344415</v>
      </c>
      <c r="D200" t="n">
        <v>5.7210721</v>
      </c>
    </row>
    <row r="201">
      <c r="A201" t="inlineStr">
        <is>
          <t>G|FICO x CHANNEL|contribution_rate|rate|4</t>
        </is>
      </c>
      <c r="B201" t="n">
        <v>0.1085728838543854</v>
      </c>
      <c r="C201" t="n">
        <v>0.1119148490804608</v>
      </c>
      <c r="D201" t="n">
        <v>0.1546132995501358</v>
      </c>
      <c r="E201" t="n">
        <v>0.126193889200492</v>
      </c>
    </row>
    <row r="202">
      <c r="A202" t="inlineStr">
        <is>
          <t>G|FICO x CHANNEL|contribution_rate|book|4</t>
        </is>
      </c>
      <c r="B202" t="n">
        <v>-6.101957188</v>
      </c>
      <c r="C202" t="n">
        <v>-5.767760665</v>
      </c>
      <c r="D202" t="n">
        <v>-1.497915618</v>
      </c>
      <c r="E202" t="n">
        <v>-4.339856653</v>
      </c>
    </row>
    <row r="203">
      <c r="A203" t="inlineStr">
        <is>
          <t>G|FICO x CHANNEL|contribution_rate|band|4</t>
        </is>
      </c>
      <c r="B203" t="n">
        <v>-2.601066942</v>
      </c>
      <c r="C203" t="n">
        <v>-2.093061481</v>
      </c>
      <c r="D203" t="n">
        <v>4.438184237</v>
      </c>
    </row>
    <row r="204">
      <c r="A204" t="inlineStr">
        <is>
          <t>G|FICO x CHANNEL|contribution_rate|rate|5</t>
        </is>
      </c>
      <c r="B204" t="n">
        <v>0.067171641627808</v>
      </c>
      <c r="C204" t="n">
        <v>0.06700477770975828</v>
      </c>
      <c r="D204" t="n">
        <v>0.06429847463730305</v>
      </c>
      <c r="E204" t="n">
        <v>0.0661517645240999</v>
      </c>
    </row>
    <row r="205">
      <c r="A205" t="inlineStr">
        <is>
          <t>G|FICO x CHANNEL|contribution_rate|book|5</t>
        </is>
      </c>
      <c r="B205" t="n">
        <v>-10.242081411</v>
      </c>
      <c r="C205" t="n">
        <v>-10.258767803</v>
      </c>
      <c r="D205" t="n">
        <v>-10.52939811</v>
      </c>
      <c r="E205" t="n">
        <v>-10.344069121</v>
      </c>
    </row>
    <row r="206">
      <c r="A206" t="inlineStr">
        <is>
          <t>G|FICO x CHANNEL|contribution_rate|band|5</t>
        </is>
      </c>
      <c r="B206" t="n">
        <v>0.151223545</v>
      </c>
      <c r="C206" t="n">
        <v>0.129077644</v>
      </c>
      <c r="D206" t="n">
        <v>-0.278803257</v>
      </c>
    </row>
    <row r="207">
      <c r="A207" t="inlineStr">
        <is>
          <t>G|FICO x CHANNEL|contribution_rate|rate|6</t>
        </is>
      </c>
      <c r="C207" t="n">
        <v>0.140296941334961</v>
      </c>
      <c r="E207" t="n">
        <v>0.140296941334961</v>
      </c>
    </row>
    <row r="208">
      <c r="A208" t="inlineStr">
        <is>
          <t>G|FICO x CHANNEL|contribution_rate|book|6</t>
        </is>
      </c>
      <c r="C208" t="n">
        <v>-2.92955144</v>
      </c>
      <c r="E208" t="n">
        <v>-2.92955144</v>
      </c>
    </row>
    <row r="209">
      <c r="A209" t="inlineStr">
        <is>
          <t>G|FICO x CHANNEL|contribution_rate|band|6</t>
        </is>
      </c>
    </row>
    <row r="210">
      <c r="A210" t="inlineStr">
        <is>
          <t>G|FICO x CHANNEL|contribution_rate|rate|7</t>
        </is>
      </c>
      <c r="B210" t="n">
        <v>0.1547232988591316</v>
      </c>
      <c r="C210" t="n">
        <v>0.1777896615675683</v>
      </c>
      <c r="D210" t="n">
        <v>0.2081720414613012</v>
      </c>
      <c r="E210" t="n">
        <v>0.1806863107357444</v>
      </c>
    </row>
    <row r="211">
      <c r="A211" t="inlineStr">
        <is>
          <t>G|FICO x CHANNEL|contribution_rate|book|7</t>
        </is>
      </c>
      <c r="B211" t="n">
        <v>-1.486915688</v>
      </c>
      <c r="C211" t="n">
        <v>0.8197205829999999</v>
      </c>
      <c r="D211" t="n">
        <v>3.857958573</v>
      </c>
      <c r="E211" t="n">
        <v>1.1093855</v>
      </c>
    </row>
    <row r="212">
      <c r="A212" t="inlineStr">
        <is>
          <t>G|FICO x CHANNEL|contribution_rate|band|7</t>
        </is>
      </c>
      <c r="B212" t="n">
        <v>-3.903593148</v>
      </c>
      <c r="C212" t="n">
        <v>-0.423185495</v>
      </c>
      <c r="D212" t="n">
        <v>4.225923673</v>
      </c>
    </row>
    <row r="213">
      <c r="A213" t="inlineStr">
        <is>
          <t>G|FICO x CHANNEL|contribution_rate|rate|8</t>
        </is>
      </c>
      <c r="B213" t="n">
        <v>0.1597650989343295</v>
      </c>
      <c r="C213" t="n">
        <v>0.1632455067059504</v>
      </c>
      <c r="D213" t="n">
        <v>0.1851708261978826</v>
      </c>
      <c r="E213" t="n">
        <v>0.1695924557349811</v>
      </c>
    </row>
    <row r="214">
      <c r="A214" t="inlineStr">
        <is>
          <t>G|FICO x CHANNEL|contribution_rate|book|8</t>
        </is>
      </c>
      <c r="B214" t="n">
        <v>-0.98273568</v>
      </c>
      <c r="C214" t="n">
        <v>-0.634694903</v>
      </c>
      <c r="D214" t="n">
        <v>1.557837046</v>
      </c>
      <c r="E214" t="n">
        <v>0</v>
      </c>
    </row>
    <row r="215">
      <c r="A215" t="inlineStr">
        <is>
          <t>G|FICO x CHANNEL|contribution_rate|band|8</t>
        </is>
      </c>
    </row>
    <row r="216">
      <c r="A216" t="inlineStr">
        <is>
          <t>G|FICO x CHANNEL|contribution_rate|meta</t>
        </is>
      </c>
      <c r="B216" t="inlineStr">
        <is>
          <t>pts</t>
        </is>
      </c>
      <c r="C216" t="n">
        <v>11.004490698</v>
      </c>
      <c r="D216" t="n">
        <v>10</v>
      </c>
    </row>
    <row r="217">
      <c r="A217" t="inlineStr">
        <is>
          <t>G|FICO x ASSET_CLASS|cols</t>
        </is>
      </c>
      <c r="B217" t="inlineStr">
        <is>
          <t>1</t>
        </is>
      </c>
      <c r="C217" t="inlineStr">
        <is>
          <t>2</t>
        </is>
      </c>
      <c r="D217" t="inlineStr">
        <is>
          <t>3</t>
        </is>
      </c>
      <c r="E217" t="inlineStr">
        <is>
          <t>4</t>
        </is>
      </c>
      <c r="F217" t="inlineStr">
        <is>
          <t>All</t>
        </is>
      </c>
    </row>
    <row r="218">
      <c r="A218" t="inlineStr">
        <is>
          <t>G|FICO x ASSET_CLASS|rows</t>
        </is>
      </c>
      <c r="B218" t="inlineStr">
        <is>
          <t>496 - 653</t>
        </is>
      </c>
      <c r="C218" t="inlineStr">
        <is>
          <t>654 - 685</t>
        </is>
      </c>
      <c r="D218" t="inlineStr">
        <is>
          <t>686 - 711</t>
        </is>
      </c>
      <c r="E218" t="inlineStr">
        <is>
          <t>712 - 745</t>
        </is>
      </c>
      <c r="F218" t="inlineStr">
        <is>
          <t>746 - 921</t>
        </is>
      </c>
      <c r="G218" t="inlineStr">
        <is>
          <t>(blank)</t>
        </is>
      </c>
      <c r="H218" t="inlineStr">
        <is>
          <t>(marked missing)</t>
        </is>
      </c>
      <c r="I218" t="inlineStr">
        <is>
          <t>All</t>
        </is>
      </c>
    </row>
    <row r="219">
      <c r="A219" t="inlineStr">
        <is>
          <t>G|FICO x ASSET_CLASS|names</t>
        </is>
      </c>
      <c r="B219" t="inlineStr">
        <is>
          <t>FICO</t>
        </is>
      </c>
      <c r="C219" t="inlineStr">
        <is>
          <t>ASSET_CLASS</t>
        </is>
      </c>
    </row>
    <row r="220">
      <c r="A220" t="inlineStr">
        <is>
          <t>G|FICO x ASSET_CLASS|total</t>
        </is>
      </c>
      <c r="B220" t="n">
        <v>8000</v>
      </c>
    </row>
    <row r="221">
      <c r="A221" t="inlineStr">
        <is>
          <t>G|FICO x ASSET_CLASS|loans|1</t>
        </is>
      </c>
      <c r="B221" t="n">
        <v>420</v>
      </c>
      <c r="C221" t="n">
        <v>394</v>
      </c>
      <c r="D221" t="n">
        <v>350</v>
      </c>
      <c r="E221" t="n">
        <v>392</v>
      </c>
      <c r="F221" t="n">
        <v>1556</v>
      </c>
    </row>
    <row r="222">
      <c r="A222" t="inlineStr">
        <is>
          <t>G|FICO x ASSET_CLASS|loans|2</t>
        </is>
      </c>
      <c r="B222" t="n">
        <v>397</v>
      </c>
      <c r="C222" t="n">
        <v>355</v>
      </c>
      <c r="D222" t="n">
        <v>377</v>
      </c>
      <c r="E222" t="n">
        <v>410</v>
      </c>
      <c r="F222" t="n">
        <v>1539</v>
      </c>
    </row>
    <row r="223">
      <c r="A223" t="inlineStr">
        <is>
          <t>G|FICO x ASSET_CLASS|loans|3</t>
        </is>
      </c>
      <c r="B223" t="n">
        <v>372</v>
      </c>
      <c r="C223" t="n">
        <v>395</v>
      </c>
      <c r="D223" t="n">
        <v>388</v>
      </c>
      <c r="E223" t="n">
        <v>407</v>
      </c>
      <c r="F223" t="n">
        <v>1562</v>
      </c>
    </row>
    <row r="224">
      <c r="A224" t="inlineStr">
        <is>
          <t>G|FICO x ASSET_CLASS|loans|4</t>
        </is>
      </c>
      <c r="B224" t="n">
        <v>361</v>
      </c>
      <c r="C224" t="n">
        <v>431</v>
      </c>
      <c r="D224" t="n">
        <v>392</v>
      </c>
      <c r="E224" t="n">
        <v>427</v>
      </c>
      <c r="F224" t="n">
        <v>1611</v>
      </c>
    </row>
    <row r="225">
      <c r="A225" t="inlineStr">
        <is>
          <t>G|FICO x ASSET_CLASS|loans|5</t>
        </is>
      </c>
      <c r="B225" t="n">
        <v>414</v>
      </c>
      <c r="C225" t="n">
        <v>399</v>
      </c>
      <c r="D225" t="n">
        <v>385</v>
      </c>
      <c r="E225" t="n">
        <v>373</v>
      </c>
      <c r="F225" t="n">
        <v>1571</v>
      </c>
    </row>
    <row r="226">
      <c r="A226" t="inlineStr">
        <is>
          <t>G|FICO x ASSET_CLASS|loans|6</t>
        </is>
      </c>
      <c r="C226" t="n">
        <v>1</v>
      </c>
      <c r="F226" t="n">
        <v>1</v>
      </c>
    </row>
    <row r="227">
      <c r="A227" t="inlineStr">
        <is>
          <t>G|FICO x ASSET_CLASS|loans|7</t>
        </is>
      </c>
      <c r="B227" t="n">
        <v>42</v>
      </c>
      <c r="C227" t="n">
        <v>36</v>
      </c>
      <c r="D227" t="n">
        <v>43</v>
      </c>
      <c r="E227" t="n">
        <v>39</v>
      </c>
      <c r="F227" t="n">
        <v>160</v>
      </c>
    </row>
    <row r="228">
      <c r="A228" t="inlineStr">
        <is>
          <t>G|FICO x ASSET_CLASS|loans|8</t>
        </is>
      </c>
      <c r="B228" t="n">
        <v>2006</v>
      </c>
      <c r="C228" t="n">
        <v>2011</v>
      </c>
      <c r="D228" t="n">
        <v>1935</v>
      </c>
      <c r="E228" t="n">
        <v>2048</v>
      </c>
      <c r="F228" t="n">
        <v>8000</v>
      </c>
    </row>
    <row r="229">
      <c r="A229" t="inlineStr">
        <is>
          <t>G|FICO x ASSET_CLASS|outcome_loans|rate|1</t>
        </is>
      </c>
      <c r="B229" t="n">
        <v>0.1357142857142857</v>
      </c>
      <c r="C229" t="n">
        <v>0.1119592875318066</v>
      </c>
      <c r="D229" t="n">
        <v>0.1514285714285714</v>
      </c>
      <c r="E229" t="n">
        <v>0.2040816326530612</v>
      </c>
      <c r="F229" t="n">
        <v>0.1504823151125402</v>
      </c>
    </row>
    <row r="230">
      <c r="A230" t="inlineStr">
        <is>
          <t>G|FICO x ASSET_CLASS|outcome_loans|book|1</t>
        </is>
      </c>
      <c r="B230" t="n">
        <v>1.75376182783291</v>
      </c>
      <c r="C230" t="n">
        <v>1.446788919171117</v>
      </c>
      <c r="D230" t="n">
        <v>1.956828986845142</v>
      </c>
      <c r="E230" t="n">
        <v>2.637235831327684</v>
      </c>
      <c r="F230" t="n">
        <v>1.944601031640079</v>
      </c>
    </row>
    <row r="231">
      <c r="A231" t="inlineStr">
        <is>
          <t>G|FICO x ASSET_CLASS|outcome_loans|band|1</t>
        </is>
      </c>
      <c r="B231" t="n">
        <v>0.8702582728006456</v>
      </c>
      <c r="C231" t="n">
        <v>0.6847194321682067</v>
      </c>
      <c r="D231" t="n">
        <v>1.008129439621152</v>
      </c>
      <c r="E231" t="n">
        <v>1.541213888152664</v>
      </c>
    </row>
    <row r="232">
      <c r="A232" t="inlineStr">
        <is>
          <t>G|FICO x ASSET_CLASS|outcome_loans|rate|2</t>
        </is>
      </c>
      <c r="B232" t="n">
        <v>0.07556675062972293</v>
      </c>
      <c r="C232" t="n">
        <v>0.05915492957746479</v>
      </c>
      <c r="D232" t="n">
        <v>0.08222811671087533</v>
      </c>
      <c r="E232" t="n">
        <v>0.1170731707317073</v>
      </c>
      <c r="F232" t="n">
        <v>0.08447043534762833</v>
      </c>
    </row>
    <row r="233">
      <c r="A233" t="inlineStr">
        <is>
          <t>G|FICO x ASSET_CLASS|outcome_loans|book|2</t>
        </is>
      </c>
      <c r="B233" t="n">
        <v>0.9765079778467749</v>
      </c>
      <c r="C233" t="n">
        <v>0.7644269494186443</v>
      </c>
      <c r="D233" t="n">
        <v>1.062589185089324</v>
      </c>
      <c r="E233" t="n">
        <v>1.51287284762993</v>
      </c>
      <c r="F233" t="n">
        <v>1.091565448054409</v>
      </c>
    </row>
    <row r="234">
      <c r="A234" t="inlineStr">
        <is>
          <t>G|FICO x ASSET_CLASS|outcome_loans|band|2</t>
        </is>
      </c>
      <c r="B234" t="n">
        <v>0.8629722921914358</v>
      </c>
      <c r="C234" t="n">
        <v>0.6425636387130119</v>
      </c>
      <c r="D234" t="n">
        <v>0.9651421375559307</v>
      </c>
      <c r="E234" t="n">
        <v>1.611897679952409</v>
      </c>
    </row>
    <row r="235">
      <c r="A235" t="inlineStr">
        <is>
          <t>G|FICO x ASSET_CLASS|outcome_loans|rate|3</t>
        </is>
      </c>
      <c r="B235" t="n">
        <v>0.05376344086021505</v>
      </c>
      <c r="C235" t="n">
        <v>0.04050632911392405</v>
      </c>
      <c r="D235" t="n">
        <v>0.06958762886597938</v>
      </c>
      <c r="E235" t="n">
        <v>0.08108108108108109</v>
      </c>
      <c r="F235" t="n">
        <v>0.06145966709346991</v>
      </c>
    </row>
    <row r="236">
      <c r="A236" t="inlineStr">
        <is>
          <t>G|FICO x ASSET_CLASS|outcome_loans|book|3</t>
        </is>
      </c>
      <c r="B236" t="n">
        <v>0.6947556759949276</v>
      </c>
      <c r="C236" t="n">
        <v>0.5234412384204822</v>
      </c>
      <c r="D236" t="n">
        <v>0.8992430424862182</v>
      </c>
      <c r="E236" t="n">
        <v>1.04776666812208</v>
      </c>
      <c r="F236" t="n">
        <v>0.7942098175778123</v>
      </c>
    </row>
    <row r="237">
      <c r="A237" t="inlineStr">
        <is>
          <t>G|FICO x ASSET_CLASS|outcome_loans|band|3</t>
        </is>
      </c>
      <c r="B237" t="n">
        <v>0.8418222976796832</v>
      </c>
      <c r="C237" t="n">
        <v>0.590886075949367</v>
      </c>
      <c r="D237" t="n">
        <v>1.183998207082026</v>
      </c>
      <c r="E237" t="n">
        <v>1.486486486486487</v>
      </c>
    </row>
    <row r="238">
      <c r="A238" t="inlineStr">
        <is>
          <t>G|FICO x ASSET_CLASS|outcome_loans|rate|4</t>
        </is>
      </c>
      <c r="B238" t="n">
        <v>0.03601108033240998</v>
      </c>
      <c r="C238" t="n">
        <v>0.04640371229698376</v>
      </c>
      <c r="D238" t="n">
        <v>0.04846938775510204</v>
      </c>
      <c r="E238" t="n">
        <v>0.08196721311475409</v>
      </c>
      <c r="F238" t="n">
        <v>0.05400372439478585</v>
      </c>
    </row>
    <row r="239">
      <c r="A239" t="inlineStr">
        <is>
          <t>G|FICO x ASSET_CLASS|outcome_loans|book|4</t>
        </is>
      </c>
      <c r="B239" t="n">
        <v>0.4653515857495111</v>
      </c>
      <c r="C239" t="n">
        <v>0.5996499106035106</v>
      </c>
      <c r="D239" t="n">
        <v>0.6263435099403251</v>
      </c>
      <c r="E239" t="n">
        <v>1.05921766995948</v>
      </c>
      <c r="F239" t="n">
        <v>0.6978607292954636</v>
      </c>
    </row>
    <row r="240">
      <c r="A240" t="inlineStr">
        <is>
          <t>G|FICO x ASSET_CLASS|outcome_loans|band|4</t>
        </is>
      </c>
      <c r="B240" t="n">
        <v>0.6082952758853036</v>
      </c>
      <c r="C240" t="n">
        <v>0.8172594106035945</v>
      </c>
      <c r="D240" t="n">
        <v>0.8688850540216086</v>
      </c>
      <c r="E240" t="n">
        <v>1.866330390920555</v>
      </c>
    </row>
    <row r="241">
      <c r="A241" t="inlineStr">
        <is>
          <t>G|FICO x ASSET_CLASS|outcome_loans|rate|5</t>
        </is>
      </c>
      <c r="B241" t="n">
        <v>0.03623188405797102</v>
      </c>
      <c r="C241" t="n">
        <v>0.04010025062656641</v>
      </c>
      <c r="D241" t="n">
        <v>0.04155844155844156</v>
      </c>
      <c r="E241" t="n">
        <v>0.04021447721179625</v>
      </c>
      <c r="F241" t="n">
        <v>0.03946530872056015</v>
      </c>
    </row>
    <row r="242">
      <c r="A242" t="inlineStr">
        <is>
          <t>G|FICO x ASSET_CLASS|outcome_loans|book|5</t>
        </is>
      </c>
      <c r="B242" t="n">
        <v>0.4682049120835382</v>
      </c>
      <c r="C242" t="n">
        <v>0.5181937072082468</v>
      </c>
      <c r="D242" t="n">
        <v>0.5370371147430921</v>
      </c>
      <c r="E242" t="n">
        <v>0.5196697951811925</v>
      </c>
      <c r="F242" t="n">
        <v>0.5099886986361238</v>
      </c>
    </row>
    <row r="243">
      <c r="A243" t="inlineStr">
        <is>
          <t>G|FICO x ASSET_CLASS|outcome_loans|band|5</t>
        </is>
      </c>
      <c r="B243" t="n">
        <v>0.8919210607462227</v>
      </c>
      <c r="C243" t="n">
        <v>1.021684646398605</v>
      </c>
      <c r="D243" t="n">
        <v>1.071485036702428</v>
      </c>
      <c r="E243" t="n">
        <v>1.025041355313445</v>
      </c>
    </row>
    <row r="244">
      <c r="A244" t="inlineStr">
        <is>
          <t>G|FICO x ASSET_CLASS|outcome_loans|rate|6</t>
        </is>
      </c>
      <c r="C244" t="n">
        <v>0</v>
      </c>
      <c r="F244" t="n">
        <v>0</v>
      </c>
    </row>
    <row r="245">
      <c r="A245" t="inlineStr">
        <is>
          <t>G|FICO x ASSET_CLASS|outcome_loans|book|6</t>
        </is>
      </c>
    </row>
    <row r="246">
      <c r="A246" t="inlineStr">
        <is>
          <t>G|FICO x ASSET_CLASS|outcome_loans|band|6</t>
        </is>
      </c>
    </row>
    <row r="247">
      <c r="A247" t="inlineStr">
        <is>
          <t>G|FICO x ASSET_CLASS|outcome_loans|rate|7</t>
        </is>
      </c>
      <c r="B247" t="n">
        <v>0.02380952380952381</v>
      </c>
      <c r="C247" t="n">
        <v>0.1388888888888889</v>
      </c>
      <c r="D247" t="n">
        <v>0.04651162790697674</v>
      </c>
      <c r="E247" t="n">
        <v>0.05128205128205128</v>
      </c>
      <c r="F247" t="n">
        <v>0.0625</v>
      </c>
    </row>
    <row r="248">
      <c r="A248" t="inlineStr">
        <is>
          <t>G|FICO x ASSET_CLASS|outcome_loans|book|7</t>
        </is>
      </c>
      <c r="F248" t="n">
        <v>0.8076534733441034</v>
      </c>
    </row>
    <row r="249">
      <c r="A249" t="inlineStr">
        <is>
          <t>G|FICO x ASSET_CLASS|outcome_loans|band|7</t>
        </is>
      </c>
    </row>
    <row r="250">
      <c r="A250" t="inlineStr">
        <is>
          <t>G|FICO x ASSET_CLASS|outcome_loans|rate|8</t>
        </is>
      </c>
      <c r="B250" t="n">
        <v>0.06779661016949153</v>
      </c>
      <c r="C250" t="n">
        <v>0.06069651741293532</v>
      </c>
      <c r="D250" t="n">
        <v>0.07648578811369509</v>
      </c>
      <c r="E250" t="n">
        <v>0.10400390625</v>
      </c>
      <c r="F250" t="n">
        <v>0.07738467308413552</v>
      </c>
    </row>
    <row r="251">
      <c r="A251" t="inlineStr">
        <is>
          <t>G|FICO x ASSET_CLASS|outcome_loans|book|8</t>
        </is>
      </c>
      <c r="B251" t="n">
        <v>0.8760986829495359</v>
      </c>
      <c r="C251" t="n">
        <v>0.784348049735169</v>
      </c>
      <c r="D251" t="n">
        <v>0.9883841989037917</v>
      </c>
      <c r="E251" t="n">
        <v>1.343985857986672</v>
      </c>
      <c r="F251" t="n">
        <v>1</v>
      </c>
    </row>
    <row r="252">
      <c r="A252" t="inlineStr">
        <is>
          <t>G|FICO x ASSET_CLASS|outcome_loans|band|8</t>
        </is>
      </c>
    </row>
    <row r="253">
      <c r="A253" t="inlineStr">
        <is>
          <t>G|FICO x ASSET_CLASS|outcome_loans|meta</t>
        </is>
      </c>
      <c r="B253" t="inlineStr">
        <is>
          <t>x</t>
        </is>
      </c>
      <c r="C253" t="n">
        <v>2.637235831327684</v>
      </c>
      <c r="D253" t="n">
        <v>10</v>
      </c>
    </row>
    <row r="254">
      <c r="A254" t="inlineStr">
        <is>
          <t>G|FICO x ASSET_CLASS|outcome_booked|rate|1</t>
        </is>
      </c>
      <c r="B254" t="n">
        <v>0.1276352086740425</v>
      </c>
      <c r="C254" t="n">
        <v>0.108700694066502</v>
      </c>
      <c r="D254" t="n">
        <v>0.1408827058373993</v>
      </c>
      <c r="E254" t="n">
        <v>0.2242535291400861</v>
      </c>
      <c r="F254" t="n">
        <v>0.1491655756309188</v>
      </c>
    </row>
    <row r="255">
      <c r="A255" t="inlineStr">
        <is>
          <t>G|FICO x ASSET_CLASS|outcome_booked|book|1</t>
        </is>
      </c>
      <c r="B255" t="n">
        <v>1.705694755343268</v>
      </c>
      <c r="C255" t="n">
        <v>1.452657191519231</v>
      </c>
      <c r="D255" t="n">
        <v>1.882732006018113</v>
      </c>
      <c r="E255" t="n">
        <v>2.996885205071595</v>
      </c>
      <c r="F255" t="n">
        <v>1.993422839000397</v>
      </c>
    </row>
    <row r="256">
      <c r="A256" t="inlineStr">
        <is>
          <t>G|FICO x ASSET_CLASS|outcome_booked|band|1</t>
        </is>
      </c>
      <c r="B256" t="n">
        <v>0.8132096170035026</v>
      </c>
      <c r="C256" t="n">
        <v>0.6650342939790537</v>
      </c>
      <c r="D256" t="n">
        <v>0.9289596398675806</v>
      </c>
      <c r="E256" t="n">
        <v>1.791775105196673</v>
      </c>
    </row>
    <row r="257">
      <c r="A257" t="inlineStr">
        <is>
          <t>G|FICO x ASSET_CLASS|outcome_booked|rate|2</t>
        </is>
      </c>
      <c r="B257" t="n">
        <v>0.06348643500205574</v>
      </c>
      <c r="C257" t="n">
        <v>0.05558659797747173</v>
      </c>
      <c r="D257" t="n">
        <v>0.08342653528102482</v>
      </c>
      <c r="E257" t="n">
        <v>0.1119359301162006</v>
      </c>
      <c r="F257" t="n">
        <v>0.07985779590889652</v>
      </c>
    </row>
    <row r="258">
      <c r="A258" t="inlineStr">
        <is>
          <t>G|FICO x ASSET_CLASS|outcome_booked|book|2</t>
        </is>
      </c>
      <c r="B258" t="n">
        <v>0.8484216882114182</v>
      </c>
      <c r="C258" t="n">
        <v>0.7428496386109704</v>
      </c>
      <c r="D258" t="n">
        <v>1.11489772425345</v>
      </c>
      <c r="E258" t="n">
        <v>1.495892324047288</v>
      </c>
      <c r="F258" t="n">
        <v>1.067205711262177</v>
      </c>
    </row>
    <row r="259">
      <c r="A259" t="inlineStr">
        <is>
          <t>G|FICO x ASSET_CLASS|outcome_booked|band|2</t>
        </is>
      </c>
      <c r="B259" t="n">
        <v>0.7426239781355174</v>
      </c>
      <c r="C259" t="n">
        <v>0.6392392239448949</v>
      </c>
      <c r="D259" t="n">
        <v>1.059885234816398</v>
      </c>
      <c r="E259" t="n">
        <v>1.653404103717667</v>
      </c>
    </row>
    <row r="260">
      <c r="A260" t="inlineStr">
        <is>
          <t>G|FICO x ASSET_CLASS|outcome_booked|rate|3</t>
        </is>
      </c>
      <c r="B260" t="n">
        <v>0.06046557269561652</v>
      </c>
      <c r="C260" t="n">
        <v>0.03818519804568093</v>
      </c>
      <c r="D260" t="n">
        <v>0.06427548153730028</v>
      </c>
      <c r="E260" t="n">
        <v>0.06461676794219112</v>
      </c>
      <c r="F260" t="n">
        <v>0.05686223568965074</v>
      </c>
    </row>
    <row r="261">
      <c r="A261" t="inlineStr">
        <is>
          <t>G|FICO x ASSET_CLASS|outcome_booked|book|3</t>
        </is>
      </c>
      <c r="B261" t="n">
        <v>0.8080514091462855</v>
      </c>
      <c r="C261" t="n">
        <v>0.5103003529739055</v>
      </c>
      <c r="D261" t="n">
        <v>0.8589663690316259</v>
      </c>
      <c r="E261" t="n">
        <v>0.8635272612567401</v>
      </c>
      <c r="F261" t="n">
        <v>0.7598970393868687</v>
      </c>
    </row>
    <row r="262">
      <c r="A262" t="inlineStr">
        <is>
          <t>G|FICO x ASSET_CLASS|outcome_booked|band|3</t>
        </is>
      </c>
      <c r="B262" t="n">
        <v>1.084039607321751</v>
      </c>
      <c r="C262" t="n">
        <v>0.6040497133408764</v>
      </c>
      <c r="D262" t="n">
        <v>1.181934324020646</v>
      </c>
      <c r="E262" t="n">
        <v>1.194871410271308</v>
      </c>
    </row>
    <row r="263">
      <c r="A263" t="inlineStr">
        <is>
          <t>G|FICO x ASSET_CLASS|outcome_booked|rate|4</t>
        </is>
      </c>
      <c r="B263" t="n">
        <v>0.04054846076713071</v>
      </c>
      <c r="C263" t="n">
        <v>0.0454678030440295</v>
      </c>
      <c r="D263" t="n">
        <v>0.04231326070887811</v>
      </c>
      <c r="E263" t="n">
        <v>0.08791346933525528</v>
      </c>
      <c r="F263" t="n">
        <v>0.05451749193722223</v>
      </c>
    </row>
    <row r="264">
      <c r="A264" t="inlineStr">
        <is>
          <t>G|FICO x ASSET_CLASS|outcome_booked|book|4</t>
        </is>
      </c>
      <c r="B264" t="n">
        <v>0.5418825854264698</v>
      </c>
      <c r="C264" t="n">
        <v>0.607623821004135</v>
      </c>
      <c r="D264" t="n">
        <v>0.5654670652588034</v>
      </c>
      <c r="E264" t="n">
        <v>1.174860331463325</v>
      </c>
      <c r="F264" t="n">
        <v>0.7285622912191042</v>
      </c>
    </row>
    <row r="265">
      <c r="A265" t="inlineStr">
        <is>
          <t>G|FICO x ASSET_CLASS|outcome_booked|band|4</t>
        </is>
      </c>
      <c r="B265" t="n">
        <v>0.6919066973184953</v>
      </c>
      <c r="C265" t="n">
        <v>0.7844395065388725</v>
      </c>
      <c r="D265" t="n">
        <v>0.7247250369920415</v>
      </c>
      <c r="E265" t="n">
        <v>2.04704720669849</v>
      </c>
    </row>
    <row r="266">
      <c r="A266" t="inlineStr">
        <is>
          <t>G|FICO x ASSET_CLASS|outcome_booked|rate|5</t>
        </is>
      </c>
      <c r="B266" t="n">
        <v>0.03369942521373164</v>
      </c>
      <c r="C266" t="n">
        <v>0.04674229712438486</v>
      </c>
      <c r="D266" t="n">
        <v>0.03337613677724733</v>
      </c>
      <c r="E266" t="n">
        <v>0.03299889535073695</v>
      </c>
      <c r="F266" t="n">
        <v>0.03682990751373653</v>
      </c>
    </row>
    <row r="267">
      <c r="A267" t="inlineStr">
        <is>
          <t>G|FICO x ASSET_CLASS|outcome_booked|book|5</t>
        </is>
      </c>
      <c r="B267" t="n">
        <v>0.4503532641368636</v>
      </c>
      <c r="C267" t="n">
        <v>0.624655938483019</v>
      </c>
      <c r="D267" t="n">
        <v>0.4460328936348442</v>
      </c>
      <c r="E267" t="n">
        <v>0.4409915047470787</v>
      </c>
      <c r="F267" t="n">
        <v>0.4921884857523176</v>
      </c>
    </row>
    <row r="268">
      <c r="A268" t="inlineStr">
        <is>
          <t>G|FICO x ASSET_CLASS|outcome_booked|band|5</t>
        </is>
      </c>
      <c r="B268" t="n">
        <v>0.8879293490733464</v>
      </c>
      <c r="C268" t="n">
        <v>1.400534289227499</v>
      </c>
      <c r="D268" t="n">
        <v>0.8789983459261625</v>
      </c>
      <c r="E268" t="n">
        <v>0.8690946877055101</v>
      </c>
    </row>
    <row r="269">
      <c r="A269" t="inlineStr">
        <is>
          <t>G|FICO x ASSET_CLASS|outcome_booked|rate|6</t>
        </is>
      </c>
      <c r="C269" t="n">
        <v>0</v>
      </c>
      <c r="F269" t="n">
        <v>0</v>
      </c>
    </row>
    <row r="270">
      <c r="A270" t="inlineStr">
        <is>
          <t>G|FICO x ASSET_CLASS|outcome_booked|book|6</t>
        </is>
      </c>
    </row>
    <row r="271">
      <c r="A271" t="inlineStr">
        <is>
          <t>G|FICO x ASSET_CLASS|outcome_booked|band|6</t>
        </is>
      </c>
    </row>
    <row r="272">
      <c r="A272" t="inlineStr">
        <is>
          <t>G|FICO x ASSET_CLASS|outcome_booked|rate|7</t>
        </is>
      </c>
      <c r="B272" t="n">
        <v>0.009586870506969991</v>
      </c>
      <c r="C272" t="n">
        <v>0.1158764205229406</v>
      </c>
      <c r="D272" t="n">
        <v>0.03694305066533045</v>
      </c>
      <c r="E272" t="n">
        <v>0.04927232715453918</v>
      </c>
      <c r="F272" t="n">
        <v>0.04815037624246446</v>
      </c>
    </row>
    <row r="273">
      <c r="A273" t="inlineStr">
        <is>
          <t>G|FICO x ASSET_CLASS|outcome_booked|book|7</t>
        </is>
      </c>
      <c r="F273" t="n">
        <v>0.6434732631990415</v>
      </c>
    </row>
    <row r="274">
      <c r="A274" t="inlineStr">
        <is>
          <t>G|FICO x ASSET_CLASS|outcome_booked|band|7</t>
        </is>
      </c>
    </row>
    <row r="275">
      <c r="A275" t="inlineStr">
        <is>
          <t>G|FICO x ASSET_CLASS|outcome_booked|rate|8</t>
        </is>
      </c>
      <c r="B275" t="n">
        <v>0.06479266841209207</v>
      </c>
      <c r="C275" t="n">
        <v>0.05990447229803184</v>
      </c>
      <c r="D275" t="n">
        <v>0.07111558928800159</v>
      </c>
      <c r="E275" t="n">
        <v>0.1032953749844734</v>
      </c>
      <c r="F275" t="n">
        <v>0.07482886857347225</v>
      </c>
    </row>
    <row r="276">
      <c r="A276" t="inlineStr">
        <is>
          <t>G|FICO x ASSET_CLASS|outcome_booked|book|8</t>
        </is>
      </c>
      <c r="B276" t="n">
        <v>0.8658779645782561</v>
      </c>
      <c r="C276" t="n">
        <v>0.8005529609099106</v>
      </c>
      <c r="D276" t="n">
        <v>0.9503763807169583</v>
      </c>
      <c r="E276" t="n">
        <v>1.380421446343942</v>
      </c>
      <c r="F276" t="n">
        <v>0.9999999999999987</v>
      </c>
    </row>
    <row r="277">
      <c r="A277" t="inlineStr">
        <is>
          <t>G|FICO x ASSET_CLASS|outcome_booked|band|8</t>
        </is>
      </c>
    </row>
    <row r="278">
      <c r="A278" t="inlineStr">
        <is>
          <t>G|FICO x ASSET_CLASS|outcome_booked|meta</t>
        </is>
      </c>
      <c r="B278" t="inlineStr">
        <is>
          <t>x</t>
        </is>
      </c>
      <c r="C278" t="n">
        <v>2.996885205071595</v>
      </c>
      <c r="D278" t="n">
        <v>10</v>
      </c>
    </row>
    <row r="279">
      <c r="A279" t="inlineStr">
        <is>
          <t>G|FICO x ASSET_CLASS|gco_rate|rate|1</t>
        </is>
      </c>
      <c r="B279" t="n">
        <v>0.07355223055051165</v>
      </c>
      <c r="C279" t="n">
        <v>0.05940718881303055</v>
      </c>
      <c r="D279" t="n">
        <v>0.08042333444240277</v>
      </c>
      <c r="E279" t="n">
        <v>0.1231658585862879</v>
      </c>
      <c r="F279" t="n">
        <v>0.08345255929305034</v>
      </c>
    </row>
    <row r="280">
      <c r="A280" t="inlineStr">
        <is>
          <t>G|FICO x ASSET_CLASS|gco_rate|book|1</t>
        </is>
      </c>
      <c r="B280" t="n">
        <v>1.767858706373372</v>
      </c>
      <c r="C280" t="n">
        <v>1.427876696304382</v>
      </c>
      <c r="D280" t="n">
        <v>1.933008569902442</v>
      </c>
      <c r="E280" t="n">
        <v>2.960343062338384</v>
      </c>
      <c r="F280" t="n">
        <v>2.005817259532897</v>
      </c>
    </row>
    <row r="281">
      <c r="A281" t="inlineStr">
        <is>
          <t>G|FICO x ASSET_CLASS|gco_rate|band|1</t>
        </is>
      </c>
      <c r="B281" t="n">
        <v>0.8451400690093763</v>
      </c>
      <c r="C281" t="n">
        <v>0.6459743404111616</v>
      </c>
      <c r="D281" t="n">
        <v>0.9533049072608608</v>
      </c>
      <c r="E281" t="n">
        <v>1.7404429065153</v>
      </c>
    </row>
    <row r="282">
      <c r="A282" t="inlineStr">
        <is>
          <t>G|FICO x ASSET_CLASS|gco_rate|rate|2</t>
        </is>
      </c>
      <c r="B282" t="n">
        <v>0.03262896125692831</v>
      </c>
      <c r="C282" t="n">
        <v>0.03220881070191754</v>
      </c>
      <c r="D282" t="n">
        <v>0.04904611205615317</v>
      </c>
      <c r="E282" t="n">
        <v>0.06425822850758699</v>
      </c>
      <c r="F282" t="n">
        <v>0.04521453740915432</v>
      </c>
    </row>
    <row r="283">
      <c r="A283" t="inlineStr">
        <is>
          <t>G|FICO x ASSET_CLASS|gco_rate|book|2</t>
        </is>
      </c>
      <c r="B283" t="n">
        <v>0.7842507671927957</v>
      </c>
      <c r="C283" t="n">
        <v>0.7741522724074702</v>
      </c>
      <c r="D283" t="n">
        <v>1.178843871399509</v>
      </c>
      <c r="E283" t="n">
        <v>1.544473469710118</v>
      </c>
      <c r="F283" t="n">
        <v>1.086750367937848</v>
      </c>
    </row>
    <row r="284">
      <c r="A284" t="inlineStr">
        <is>
          <t>G|FICO x ASSET_CLASS|gco_rate|band|2</t>
        </is>
      </c>
      <c r="B284" t="n">
        <v>0.6585879176080297</v>
      </c>
      <c r="C284" t="n">
        <v>0.6570695463311553</v>
      </c>
      <c r="D284" t="n">
        <v>1.115059073035587</v>
      </c>
      <c r="E284" t="n">
        <v>1.691137770960734</v>
      </c>
    </row>
    <row r="285">
      <c r="A285" t="inlineStr">
        <is>
          <t>G|FICO x ASSET_CLASS|gco_rate|rate|3</t>
        </is>
      </c>
      <c r="B285" t="n">
        <v>0.03498530803243795</v>
      </c>
      <c r="C285" t="n">
        <v>0.01870715496835951</v>
      </c>
      <c r="D285" t="n">
        <v>0.03438001216278803</v>
      </c>
      <c r="E285" t="n">
        <v>0.03806352628725936</v>
      </c>
      <c r="F285" t="n">
        <v>0.03151500509362794</v>
      </c>
    </row>
    <row r="286">
      <c r="A286" t="inlineStr">
        <is>
          <t>G|FICO x ASSET_CLASS|gco_rate|book|3</t>
        </is>
      </c>
      <c r="B286" t="n">
        <v>0.8408865501070715</v>
      </c>
      <c r="C286" t="n">
        <v>0.4496343147551246</v>
      </c>
      <c r="D286" t="n">
        <v>0.8263380100412802</v>
      </c>
      <c r="E286" t="n">
        <v>0.9148728167528709</v>
      </c>
      <c r="F286" t="n">
        <v>0.7574763636557553</v>
      </c>
    </row>
    <row r="287">
      <c r="A287" t="inlineStr">
        <is>
          <t>G|FICO x ASSET_CLASS|gco_rate|band|3</t>
        </is>
      </c>
      <c r="B287" t="n">
        <v>1.148158152115248</v>
      </c>
      <c r="C287" t="n">
        <v>0.5215023580325703</v>
      </c>
      <c r="D287" t="n">
        <v>1.125136212823914</v>
      </c>
      <c r="E287" t="n">
        <v>1.305148031995351</v>
      </c>
    </row>
    <row r="288">
      <c r="A288" t="inlineStr">
        <is>
          <t>G|FICO x ASSET_CLASS|gco_rate|rate|4</t>
        </is>
      </c>
      <c r="B288" t="n">
        <v>0.02461761470580813</v>
      </c>
      <c r="C288" t="n">
        <v>0.02633420507366459</v>
      </c>
      <c r="D288" t="n">
        <v>0.02322727151614726</v>
      </c>
      <c r="E288" t="n">
        <v>0.04600441784929067</v>
      </c>
      <c r="F288" t="n">
        <v>0.03026397173122731</v>
      </c>
    </row>
    <row r="289">
      <c r="A289" t="inlineStr">
        <is>
          <t>G|FICO x ASSET_CLASS|gco_rate|book|4</t>
        </is>
      </c>
      <c r="B289" t="n">
        <v>0.5916946931734529</v>
      </c>
      <c r="C289" t="n">
        <v>0.6329536625395505</v>
      </c>
      <c r="D289" t="n">
        <v>0.5582772115513159</v>
      </c>
      <c r="E289" t="n">
        <v>1.10573547556324</v>
      </c>
      <c r="F289" t="n">
        <v>0.7274072521532202</v>
      </c>
    </row>
    <row r="290">
      <c r="A290" t="inlineStr">
        <is>
          <t>G|FICO x ASSET_CLASS|gco_rate|band|4</t>
        </is>
      </c>
      <c r="B290" t="n">
        <v>0.7714685081564954</v>
      </c>
      <c r="C290" t="n">
        <v>0.8291261313311146</v>
      </c>
      <c r="D290" t="n">
        <v>0.7147660377971981</v>
      </c>
      <c r="E290" t="n">
        <v>1.854678345569113</v>
      </c>
    </row>
    <row r="291">
      <c r="A291" t="inlineStr">
        <is>
          <t>G|FICO x ASSET_CLASS|gco_rate|rate|5</t>
        </is>
      </c>
      <c r="B291" t="n">
        <v>0.01846337237406543</v>
      </c>
      <c r="C291" t="n">
        <v>0.02429547794680709</v>
      </c>
      <c r="D291" t="n">
        <v>0.01682813232770902</v>
      </c>
      <c r="E291" t="n">
        <v>0.01778061167366514</v>
      </c>
      <c r="F291" t="n">
        <v>0.01940834703954903</v>
      </c>
    </row>
    <row r="292">
      <c r="A292" t="inlineStr">
        <is>
          <t>G|FICO x ASSET_CLASS|gco_rate|book|5</t>
        </is>
      </c>
      <c r="B292" t="n">
        <v>0.4437748978678406</v>
      </c>
      <c r="C292" t="n">
        <v>0.5839520010785912</v>
      </c>
      <c r="D292" t="n">
        <v>0.40447121759432</v>
      </c>
      <c r="E292" t="n">
        <v>0.4273644581090717</v>
      </c>
      <c r="F292" t="n">
        <v>0.4664877602402492</v>
      </c>
    </row>
    <row r="293">
      <c r="A293" t="inlineStr">
        <is>
          <t>G|FICO x ASSET_CLASS|gco_rate|band|5</t>
        </is>
      </c>
      <c r="B293" t="n">
        <v>0.9349815094307363</v>
      </c>
      <c r="C293" t="n">
        <v>1.372255529935013</v>
      </c>
      <c r="D293" t="n">
        <v>0.8305856601183079</v>
      </c>
      <c r="E293" t="n">
        <v>0.8938373725528002</v>
      </c>
    </row>
    <row r="294">
      <c r="A294" t="inlineStr">
        <is>
          <t>G|FICO x ASSET_CLASS|gco_rate|rate|6</t>
        </is>
      </c>
      <c r="C294" t="n">
        <v>0</v>
      </c>
      <c r="F294" t="n">
        <v>0</v>
      </c>
    </row>
    <row r="295">
      <c r="A295" t="inlineStr">
        <is>
          <t>G|FICO x ASSET_CLASS|gco_rate|book|6</t>
        </is>
      </c>
    </row>
    <row r="296">
      <c r="A296" t="inlineStr">
        <is>
          <t>G|FICO x ASSET_CLASS|gco_rate|band|6</t>
        </is>
      </c>
    </row>
    <row r="297">
      <c r="A297" t="inlineStr">
        <is>
          <t>G|FICO x ASSET_CLASS|gco_rate|rate|7</t>
        </is>
      </c>
      <c r="B297" t="n">
        <v>0.004127622161368955</v>
      </c>
      <c r="C297" t="n">
        <v>0.06113306624451557</v>
      </c>
      <c r="D297" t="n">
        <v>0.02458982875144944</v>
      </c>
      <c r="E297" t="n">
        <v>0.02144455121582318</v>
      </c>
      <c r="F297" t="n">
        <v>0.02551311188947889</v>
      </c>
    </row>
    <row r="298">
      <c r="A298" t="inlineStr">
        <is>
          <t>G|FICO x ASSET_CLASS|gco_rate|book|7</t>
        </is>
      </c>
      <c r="F298" t="n">
        <v>0.6132183435214595</v>
      </c>
    </row>
    <row r="299">
      <c r="A299" t="inlineStr">
        <is>
          <t>G|FICO x ASSET_CLASS|gco_rate|band|7</t>
        </is>
      </c>
    </row>
    <row r="300">
      <c r="A300" t="inlineStr">
        <is>
          <t>G|FICO x ASSET_CLASS|gco_rate|rate|8</t>
        </is>
      </c>
      <c r="B300" t="n">
        <v>0.03658802020131283</v>
      </c>
      <c r="C300" t="n">
        <v>0.03267264405351186</v>
      </c>
      <c r="D300" t="n">
        <v>0.0398533959196397</v>
      </c>
      <c r="E300" t="n">
        <v>0.05721698514012346</v>
      </c>
      <c r="F300" t="n">
        <v>0.0416052653333356</v>
      </c>
    </row>
    <row r="301">
      <c r="A301" t="inlineStr">
        <is>
          <t>G|FICO x ASSET_CLASS|gco_rate|book|8</t>
        </is>
      </c>
      <c r="B301" t="n">
        <v>0.8794084092043318</v>
      </c>
      <c r="C301" t="n">
        <v>0.7853007015276345</v>
      </c>
      <c r="D301" t="n">
        <v>0.9578930839724202</v>
      </c>
      <c r="E301" t="n">
        <v>1.375234232535446</v>
      </c>
      <c r="F301" t="n">
        <v>0.9999999999999988</v>
      </c>
    </row>
    <row r="302">
      <c r="A302" t="inlineStr">
        <is>
          <t>G|FICO x ASSET_CLASS|gco_rate|band|8</t>
        </is>
      </c>
    </row>
    <row r="303">
      <c r="A303" t="inlineStr">
        <is>
          <t>G|FICO x ASSET_CLASS|gco_rate|meta</t>
        </is>
      </c>
      <c r="B303" t="inlineStr">
        <is>
          <t>x</t>
        </is>
      </c>
      <c r="C303" t="n">
        <v>2.960343062338384</v>
      </c>
      <c r="D303" t="n">
        <v>10</v>
      </c>
    </row>
    <row r="304">
      <c r="A304" t="inlineStr">
        <is>
          <t>G|FICO x ASSET_CLASS|ranr_rate|rate|1</t>
        </is>
      </c>
      <c r="B304" t="n">
        <v>0.2077442608211614</v>
      </c>
      <c r="C304" t="n">
        <v>0.2055596297167591</v>
      </c>
      <c r="D304" t="n">
        <v>0.1917460412988871</v>
      </c>
      <c r="E304" t="n">
        <v>0.1527857550175701</v>
      </c>
      <c r="F304" t="n">
        <v>0.1901717430158448</v>
      </c>
    </row>
    <row r="305">
      <c r="A305" t="inlineStr">
        <is>
          <t>G|FICO x ASSET_CLASS|ranr_rate|book|1</t>
        </is>
      </c>
      <c r="B305" t="n">
        <v>7.975421117</v>
      </c>
      <c r="C305" t="n">
        <v>7.756958007</v>
      </c>
      <c r="D305" t="n">
        <v>6.375599165</v>
      </c>
      <c r="E305" t="n">
        <v>2.479570537</v>
      </c>
      <c r="F305" t="n">
        <v>6.218169337</v>
      </c>
    </row>
    <row r="306">
      <c r="A306" t="inlineStr">
        <is>
          <t>G|FICO x ASSET_CLASS|ranr_rate|band|1</t>
        </is>
      </c>
      <c r="B306" t="n">
        <v>2.392162031</v>
      </c>
      <c r="C306" t="n">
        <v>2.083559861</v>
      </c>
      <c r="D306" t="n">
        <v>0.204727885</v>
      </c>
      <c r="E306" t="n">
        <v>-4.932817269</v>
      </c>
    </row>
    <row r="307">
      <c r="A307" t="inlineStr">
        <is>
          <t>G|FICO x ASSET_CLASS|ranr_rate|rate|2</t>
        </is>
      </c>
      <c r="B307" t="n">
        <v>0.1778760363577258</v>
      </c>
      <c r="C307" t="n">
        <v>0.1780228111174895</v>
      </c>
      <c r="D307" t="n">
        <v>0.1597304607764646</v>
      </c>
      <c r="E307" t="n">
        <v>0.1399400584406234</v>
      </c>
      <c r="F307" t="n">
        <v>0.1630754408239561</v>
      </c>
    </row>
    <row r="308">
      <c r="A308" t="inlineStr">
        <is>
          <t>G|FICO x ASSET_CLASS|ranr_rate|book|2</t>
        </is>
      </c>
      <c r="B308" t="n">
        <v>4.988598671</v>
      </c>
      <c r="C308" t="n">
        <v>5.003276147</v>
      </c>
      <c r="D308" t="n">
        <v>3.174041113</v>
      </c>
      <c r="E308" t="n">
        <v>1.195000879</v>
      </c>
      <c r="F308" t="n">
        <v>3.508539118</v>
      </c>
    </row>
    <row r="309">
      <c r="A309" t="inlineStr">
        <is>
          <t>G|FICO x ASSET_CLASS|ranr_rate|band|2</t>
        </is>
      </c>
      <c r="B309" t="n">
        <v>1.989181743</v>
      </c>
      <c r="C309" t="n">
        <v>1.93196642</v>
      </c>
      <c r="D309" t="n">
        <v>-0.441818424</v>
      </c>
      <c r="E309" t="n">
        <v>-3.190361831</v>
      </c>
    </row>
    <row r="310">
      <c r="A310" t="inlineStr">
        <is>
          <t>G|FICO x ASSET_CLASS|ranr_rate|rate|3</t>
        </is>
      </c>
      <c r="B310" t="n">
        <v>0.1394747088927646</v>
      </c>
      <c r="C310" t="n">
        <v>0.1529877133403514</v>
      </c>
      <c r="D310" t="n">
        <v>0.1323364145670277</v>
      </c>
      <c r="E310" t="n">
        <v>0.1425164613916163</v>
      </c>
      <c r="F310" t="n">
        <v>0.1419183148673722</v>
      </c>
    </row>
    <row r="311">
      <c r="A311" t="inlineStr">
        <is>
          <t>G|FICO x ASSET_CLASS|ranr_rate|book|3</t>
        </is>
      </c>
      <c r="B311" t="n">
        <v>1.148465924</v>
      </c>
      <c r="C311" t="n">
        <v>2.499766369</v>
      </c>
      <c r="D311" t="n">
        <v>0.434636492</v>
      </c>
      <c r="E311" t="n">
        <v>1.452641174</v>
      </c>
      <c r="F311" t="n">
        <v>1.392826522</v>
      </c>
    </row>
    <row r="312">
      <c r="A312" t="inlineStr">
        <is>
          <t>G|FICO x ASSET_CLASS|ranr_rate|band|3</t>
        </is>
      </c>
      <c r="B312" t="n">
        <v>-0.317887412</v>
      </c>
      <c r="C312" t="n">
        <v>1.483470976</v>
      </c>
      <c r="D312" t="n">
        <v>-1.278821356</v>
      </c>
      <c r="E312" t="n">
        <v>0.081287575</v>
      </c>
    </row>
    <row r="313">
      <c r="A313" t="inlineStr">
        <is>
          <t>G|FICO x ASSET_CLASS|ranr_rate|rate|4</t>
        </is>
      </c>
      <c r="B313" t="n">
        <v>0.1013543955768143</v>
      </c>
      <c r="C313" t="n">
        <v>0.09423281563887562</v>
      </c>
      <c r="D313" t="n">
        <v>0.1008589944409684</v>
      </c>
      <c r="E313" t="n">
        <v>0.08852018205526856</v>
      </c>
      <c r="F313" t="n">
        <v>0.09596924359374788</v>
      </c>
    </row>
    <row r="314">
      <c r="A314" t="inlineStr">
        <is>
          <t>G|FICO x ASSET_CLASS|ranr_rate|book|4</t>
        </is>
      </c>
      <c r="B314" t="n">
        <v>-2.663565407</v>
      </c>
      <c r="C314" t="n">
        <v>-3.375723401</v>
      </c>
      <c r="D314" t="n">
        <v>-2.713105521</v>
      </c>
      <c r="E314" t="n">
        <v>-3.946986759</v>
      </c>
      <c r="F314" t="n">
        <v>-3.202080605</v>
      </c>
    </row>
    <row r="315">
      <c r="A315" t="inlineStr">
        <is>
          <t>G|FICO x ASSET_CLASS|ranr_rate|band|4</t>
        </is>
      </c>
      <c r="B315" t="n">
        <v>0.69605054</v>
      </c>
      <c r="C315" t="n">
        <v>-0.239737957</v>
      </c>
      <c r="D315" t="n">
        <v>0.643941248</v>
      </c>
      <c r="E315" t="n">
        <v>-1.003000679</v>
      </c>
    </row>
    <row r="316">
      <c r="A316" t="inlineStr">
        <is>
          <t>G|FICO x ASSET_CLASS|ranr_rate|rate|5</t>
        </is>
      </c>
      <c r="B316" t="n">
        <v>0.04893947310134965</v>
      </c>
      <c r="C316" t="n">
        <v>0.03938017904569642</v>
      </c>
      <c r="D316" t="n">
        <v>0.05119390860871899</v>
      </c>
      <c r="E316" t="n">
        <v>0.04769662628883067</v>
      </c>
      <c r="F316" t="n">
        <v>0.04674341748455087</v>
      </c>
    </row>
    <row r="317">
      <c r="A317" t="inlineStr">
        <is>
          <t>G|FICO x ASSET_CLASS|ranr_rate|book|5</t>
        </is>
      </c>
      <c r="B317" t="n">
        <v>-7.905057655</v>
      </c>
      <c r="C317" t="n">
        <v>-8.860987059999999</v>
      </c>
      <c r="D317" t="n">
        <v>-7.679614104</v>
      </c>
      <c r="E317" t="n">
        <v>-8.029342335999999</v>
      </c>
      <c r="F317" t="n">
        <v>-8.124663216</v>
      </c>
    </row>
    <row r="318">
      <c r="A318" t="inlineStr">
        <is>
          <t>G|FICO x ASSET_CLASS|ranr_rate|band|5</t>
        </is>
      </c>
      <c r="B318" t="n">
        <v>0.298378866</v>
      </c>
      <c r="C318" t="n">
        <v>-0.992993733</v>
      </c>
      <c r="D318" t="n">
        <v>0.59204368</v>
      </c>
      <c r="E318" t="n">
        <v>0.123669923</v>
      </c>
    </row>
    <row r="319">
      <c r="A319" t="inlineStr">
        <is>
          <t>G|FICO x ASSET_CLASS|ranr_rate|rate|6</t>
        </is>
      </c>
      <c r="C319" t="n">
        <v>0.140296941334961</v>
      </c>
      <c r="F319" t="n">
        <v>0.140296941334961</v>
      </c>
    </row>
    <row r="320">
      <c r="A320" t="inlineStr">
        <is>
          <t>G|FICO x ASSET_CLASS|ranr_rate|book|6</t>
        </is>
      </c>
      <c r="C320" t="n">
        <v>1.230689169</v>
      </c>
      <c r="F320" t="n">
        <v>1.230689169</v>
      </c>
    </row>
    <row r="321">
      <c r="A321" t="inlineStr">
        <is>
          <t>G|FICO x ASSET_CLASS|ranr_rate|band|6</t>
        </is>
      </c>
    </row>
    <row r="322">
      <c r="A322" t="inlineStr">
        <is>
          <t>G|FICO x ASSET_CLASS|ranr_rate|rate|7</t>
        </is>
      </c>
      <c r="B322" t="n">
        <v>0.1796574184198243</v>
      </c>
      <c r="C322" t="n">
        <v>0.112038788814841</v>
      </c>
      <c r="D322" t="n">
        <v>0.1540231821186723</v>
      </c>
      <c r="E322" t="n">
        <v>0.1646195456584492</v>
      </c>
      <c r="F322" t="n">
        <v>0.1551731988462655</v>
      </c>
    </row>
    <row r="323">
      <c r="A323" t="inlineStr">
        <is>
          <t>G|FICO x ASSET_CLASS|ranr_rate|book|7</t>
        </is>
      </c>
      <c r="B323" t="n">
        <v>5.166736877</v>
      </c>
      <c r="C323" t="n">
        <v>-1.595126083</v>
      </c>
      <c r="D323" t="n">
        <v>2.603313247</v>
      </c>
      <c r="E323" t="n">
        <v>3.662949601</v>
      </c>
      <c r="F323" t="n">
        <v>2.71831492</v>
      </c>
    </row>
    <row r="324">
      <c r="A324" t="inlineStr">
        <is>
          <t>G|FICO x ASSET_CLASS|ranr_rate|band|7</t>
        </is>
      </c>
      <c r="B324" t="n">
        <v>3.431925923</v>
      </c>
      <c r="C324" t="n">
        <v>-5.428953282</v>
      </c>
      <c r="D324" t="n">
        <v>-0.159407582</v>
      </c>
      <c r="E324" t="n">
        <v>1.225814525</v>
      </c>
    </row>
    <row r="325">
      <c r="A325" t="inlineStr">
        <is>
          <t>G|FICO x ASSET_CLASS|ranr_rate|rate|8</t>
        </is>
      </c>
      <c r="B325" t="n">
        <v>0.1366271301464631</v>
      </c>
      <c r="C325" t="n">
        <v>0.1319777891966655</v>
      </c>
      <c r="D325" t="n">
        <v>0.1267931865560142</v>
      </c>
      <c r="E325" t="n">
        <v>0.1166197094471362</v>
      </c>
      <c r="F325" t="n">
        <v>0.1279900496481476</v>
      </c>
    </row>
    <row r="326">
      <c r="A326" t="inlineStr">
        <is>
          <t>G|FICO x ASSET_CLASS|ranr_rate|book|8</t>
        </is>
      </c>
      <c r="B326" t="n">
        <v>0.8637080499999999</v>
      </c>
      <c r="C326" t="n">
        <v>0.398773955</v>
      </c>
      <c r="D326" t="n">
        <v>-0.119686309</v>
      </c>
      <c r="E326" t="n">
        <v>-1.13703402</v>
      </c>
      <c r="F326" t="n">
        <v>0</v>
      </c>
    </row>
    <row r="327">
      <c r="A327" t="inlineStr">
        <is>
          <t>G|FICO x ASSET_CLASS|ranr_rate|band|8</t>
        </is>
      </c>
    </row>
    <row r="328">
      <c r="A328" t="inlineStr">
        <is>
          <t>G|FICO x ASSET_CLASS|ranr_rate|meta</t>
        </is>
      </c>
      <c r="B328" t="inlineStr">
        <is>
          <t>pts</t>
        </is>
      </c>
      <c r="C328" t="n">
        <v>8.860987059999999</v>
      </c>
      <c r="D328" t="n">
        <v>10</v>
      </c>
    </row>
    <row r="329">
      <c r="A329" t="inlineStr">
        <is>
          <t>G|FICO x ASSET_CLASS|contribution_rate|rate|1</t>
        </is>
      </c>
      <c r="B329" t="n">
        <v>0.2812964913716731</v>
      </c>
      <c r="C329" t="n">
        <v>0.2649668185297895</v>
      </c>
      <c r="D329" t="n">
        <v>0.2721693757412896</v>
      </c>
      <c r="E329" t="n">
        <v>0.2759516136038578</v>
      </c>
      <c r="F329" t="n">
        <v>0.2736243023088951</v>
      </c>
    </row>
    <row r="330">
      <c r="A330" t="inlineStr">
        <is>
          <t>G|FICO x ASSET_CLASS|contribution_rate|book|1</t>
        </is>
      </c>
      <c r="B330" t="n">
        <v>11.170403564</v>
      </c>
      <c r="C330" t="n">
        <v>9.537436279</v>
      </c>
      <c r="D330" t="n">
        <v>10.257692001</v>
      </c>
      <c r="E330" t="n">
        <v>10.635915787</v>
      </c>
      <c r="F330" t="n">
        <v>10.403184657</v>
      </c>
    </row>
    <row r="331">
      <c r="A331" t="inlineStr">
        <is>
          <t>G|FICO x ASSET_CLASS|contribution_rate|band|1</t>
        </is>
      </c>
      <c r="B331" t="n">
        <v>1.044421726</v>
      </c>
      <c r="C331" t="n">
        <v>-1.172245809</v>
      </c>
      <c r="D331" t="n">
        <v>-0.189204322</v>
      </c>
      <c r="E331" t="n">
        <v>0.307072301</v>
      </c>
    </row>
    <row r="332">
      <c r="A332" t="inlineStr">
        <is>
          <t>G|FICO x ASSET_CLASS|contribution_rate|rate|2</t>
        </is>
      </c>
      <c r="B332" t="n">
        <v>0.2105049976146541</v>
      </c>
      <c r="C332" t="n">
        <v>0.210231621819407</v>
      </c>
      <c r="D332" t="n">
        <v>0.2087765728326179</v>
      </c>
      <c r="E332" t="n">
        <v>0.2041982869482105</v>
      </c>
      <c r="F332" t="n">
        <v>0.2082899782331105</v>
      </c>
    </row>
    <row r="333">
      <c r="A333" t="inlineStr">
        <is>
          <t>G|FICO x ASSET_CLASS|contribution_rate|book|2</t>
        </is>
      </c>
      <c r="B333" t="n">
        <v>4.091254188</v>
      </c>
      <c r="C333" t="n">
        <v>4.063916608</v>
      </c>
      <c r="D333" t="n">
        <v>3.91841171</v>
      </c>
      <c r="E333" t="n">
        <v>3.460583121</v>
      </c>
      <c r="F333" t="n">
        <v>3.86975225</v>
      </c>
    </row>
    <row r="334">
      <c r="A334" t="inlineStr">
        <is>
          <t>G|FICO x ASSET_CLASS|contribution_rate|band|2</t>
        </is>
      </c>
      <c r="B334" t="n">
        <v>0.297695867</v>
      </c>
      <c r="C334" t="n">
        <v>0.250959877</v>
      </c>
      <c r="D334" t="n">
        <v>0.06427137300000001</v>
      </c>
      <c r="E334" t="n">
        <v>-0.564242919</v>
      </c>
    </row>
    <row r="335">
      <c r="A335" t="inlineStr">
        <is>
          <t>G|FICO x ASSET_CLASS|contribution_rate|rate|3</t>
        </is>
      </c>
      <c r="B335" t="n">
        <v>0.1744600169252025</v>
      </c>
      <c r="C335" t="n">
        <v>0.1716948683087108</v>
      </c>
      <c r="D335" t="n">
        <v>0.1667164267298157</v>
      </c>
      <c r="E335" t="n">
        <v>0.1805799876788757</v>
      </c>
      <c r="F335" t="n">
        <v>0.1734333199610002</v>
      </c>
    </row>
    <row r="336">
      <c r="A336" t="inlineStr">
        <is>
          <t>G|FICO x ASSET_CLASS|contribution_rate|book|3</t>
        </is>
      </c>
      <c r="B336" t="n">
        <v>0.486756119</v>
      </c>
      <c r="C336" t="n">
        <v>0.210241257</v>
      </c>
      <c r="D336" t="n">
        <v>-0.287602901</v>
      </c>
      <c r="E336" t="n">
        <v>1.098753194</v>
      </c>
      <c r="F336" t="n">
        <v>0.384086423</v>
      </c>
    </row>
    <row r="337">
      <c r="A337" t="inlineStr">
        <is>
          <t>G|FICO x ASSET_CLASS|contribution_rate|band|3</t>
        </is>
      </c>
      <c r="B337" t="n">
        <v>0.133562467</v>
      </c>
      <c r="C337" t="n">
        <v>-0.232979468</v>
      </c>
      <c r="D337" t="n">
        <v>-0.896451251</v>
      </c>
      <c r="E337" t="n">
        <v>0.971225716</v>
      </c>
    </row>
    <row r="338">
      <c r="A338" t="inlineStr">
        <is>
          <t>G|FICO x ASSET_CLASS|contribution_rate|rate|4</t>
        </is>
      </c>
      <c r="B338" t="n">
        <v>0.1258163271754221</v>
      </c>
      <c r="C338" t="n">
        <v>0.1205670207125402</v>
      </c>
      <c r="D338" t="n">
        <v>0.1240862659571156</v>
      </c>
      <c r="E338" t="n">
        <v>0.1345245999045592</v>
      </c>
      <c r="F338" t="n">
        <v>0.126193889200492</v>
      </c>
    </row>
    <row r="339">
      <c r="A339" t="inlineStr">
        <is>
          <t>G|FICO x ASSET_CLASS|contribution_rate|book|4</t>
        </is>
      </c>
      <c r="B339" t="n">
        <v>-4.377612856</v>
      </c>
      <c r="C339" t="n">
        <v>-4.902543502</v>
      </c>
      <c r="D339" t="n">
        <v>-4.550618978</v>
      </c>
      <c r="E339" t="n">
        <v>-3.506785583</v>
      </c>
      <c r="F339" t="n">
        <v>-4.339856653</v>
      </c>
    </row>
    <row r="340">
      <c r="A340" t="inlineStr">
        <is>
          <t>G|FICO x ASSET_CLASS|contribution_rate|band|4</t>
        </is>
      </c>
      <c r="B340" t="n">
        <v>-0.048763379</v>
      </c>
      <c r="C340" t="n">
        <v>-0.777097056</v>
      </c>
      <c r="D340" t="n">
        <v>-0.277625563</v>
      </c>
      <c r="E340" t="n">
        <v>1.122014979</v>
      </c>
    </row>
    <row r="341">
      <c r="A341" t="inlineStr">
        <is>
          <t>G|FICO x ASSET_CLASS|contribution_rate|rate|5</t>
        </is>
      </c>
      <c r="B341" t="n">
        <v>0.06740284547541511</v>
      </c>
      <c r="C341" t="n">
        <v>0.06367565699250349</v>
      </c>
      <c r="D341" t="n">
        <v>0.068022040936428</v>
      </c>
      <c r="E341" t="n">
        <v>0.06547723796249581</v>
      </c>
      <c r="F341" t="n">
        <v>0.06615176452409989</v>
      </c>
    </row>
    <row r="342">
      <c r="A342" t="inlineStr">
        <is>
          <t>G|FICO x ASSET_CLASS|contribution_rate|book|5</t>
        </is>
      </c>
      <c r="B342" t="n">
        <v>-10.218961026</v>
      </c>
      <c r="C342" t="n">
        <v>-10.591679874</v>
      </c>
      <c r="D342" t="n">
        <v>-10.15704148</v>
      </c>
      <c r="E342" t="n">
        <v>-10.411521777</v>
      </c>
      <c r="F342" t="n">
        <v>-10.344069121</v>
      </c>
    </row>
    <row r="343">
      <c r="A343" t="inlineStr">
        <is>
          <t>G|FICO x ASSET_CLASS|contribution_rate|band|5</t>
        </is>
      </c>
      <c r="B343" t="n">
        <v>0.169984818</v>
      </c>
      <c r="C343" t="n">
        <v>-0.333923623</v>
      </c>
      <c r="D343" t="n">
        <v>0.248800705</v>
      </c>
      <c r="E343" t="n">
        <v>-0.08751351</v>
      </c>
    </row>
    <row r="344">
      <c r="A344" t="inlineStr">
        <is>
          <t>G|FICO x ASSET_CLASS|contribution_rate|rate|6</t>
        </is>
      </c>
      <c r="C344" t="n">
        <v>0.140296941334961</v>
      </c>
      <c r="F344" t="n">
        <v>0.140296941334961</v>
      </c>
    </row>
    <row r="345">
      <c r="A345" t="inlineStr">
        <is>
          <t>G|FICO x ASSET_CLASS|contribution_rate|book|6</t>
        </is>
      </c>
      <c r="C345" t="n">
        <v>-2.92955144</v>
      </c>
      <c r="F345" t="n">
        <v>-2.92955144</v>
      </c>
    </row>
    <row r="346">
      <c r="A346" t="inlineStr">
        <is>
          <t>G|FICO x ASSET_CLASS|contribution_rate|band|6</t>
        </is>
      </c>
    </row>
    <row r="347">
      <c r="A347" t="inlineStr">
        <is>
          <t>G|FICO x ASSET_CLASS|contribution_rate|rate|7</t>
        </is>
      </c>
      <c r="B347" t="n">
        <v>0.1837850405811932</v>
      </c>
      <c r="C347" t="n">
        <v>0.1731718550593566</v>
      </c>
      <c r="D347" t="n">
        <v>0.1786130108701217</v>
      </c>
      <c r="E347" t="n">
        <v>0.1860640968742723</v>
      </c>
      <c r="F347" t="n">
        <v>0.1806863107357444</v>
      </c>
    </row>
    <row r="348">
      <c r="A348" t="inlineStr">
        <is>
          <t>G|FICO x ASSET_CLASS|contribution_rate|book|7</t>
        </is>
      </c>
      <c r="B348" t="n">
        <v>1.419258485</v>
      </c>
      <c r="C348" t="n">
        <v>0.357939932</v>
      </c>
      <c r="D348" t="n">
        <v>0.9020555139999999</v>
      </c>
      <c r="E348" t="n">
        <v>1.647164114</v>
      </c>
      <c r="F348" t="n">
        <v>1.1093855</v>
      </c>
    </row>
    <row r="349">
      <c r="A349" t="inlineStr">
        <is>
          <t>G|FICO x ASSET_CLASS|contribution_rate|band|7</t>
        </is>
      </c>
      <c r="B349" t="n">
        <v>0.434345528</v>
      </c>
      <c r="C349" t="n">
        <v>-0.9457792229999999</v>
      </c>
      <c r="D349" t="n">
        <v>-0.287386879</v>
      </c>
      <c r="E349" t="n">
        <v>0.6978537299999999</v>
      </c>
    </row>
    <row r="350">
      <c r="A350" t="inlineStr">
        <is>
          <t>G|FICO x ASSET_CLASS|contribution_rate|rate|8</t>
        </is>
      </c>
      <c r="B350" t="n">
        <v>0.1732090054791082</v>
      </c>
      <c r="C350" t="n">
        <v>0.1646504332501773</v>
      </c>
      <c r="D350" t="n">
        <v>0.1666465824756539</v>
      </c>
      <c r="E350" t="n">
        <v>0.1738366945872596</v>
      </c>
      <c r="F350" t="n">
        <v>0.1695924557349811</v>
      </c>
    </row>
    <row r="351">
      <c r="A351" t="inlineStr">
        <is>
          <t>G|FICO x ASSET_CLASS|contribution_rate|book|8</t>
        </is>
      </c>
      <c r="B351" t="n">
        <v>0.361654974</v>
      </c>
      <c r="C351" t="n">
        <v>-0.494202248</v>
      </c>
      <c r="D351" t="n">
        <v>-0.294587326</v>
      </c>
      <c r="E351" t="n">
        <v>0.424423885</v>
      </c>
      <c r="F351" t="n">
        <v>0</v>
      </c>
    </row>
    <row r="352">
      <c r="A352" t="inlineStr">
        <is>
          <t>G|FICO x ASSET_CLASS|contribution_rate|band|8</t>
        </is>
      </c>
    </row>
    <row r="353">
      <c r="A353" t="inlineStr">
        <is>
          <t>G|FICO x ASSET_CLASS|contribution_rate|meta</t>
        </is>
      </c>
      <c r="B353" t="inlineStr">
        <is>
          <t>pts</t>
        </is>
      </c>
      <c r="C353" t="n">
        <v>11.170403564</v>
      </c>
      <c r="D353" t="n">
        <v>10</v>
      </c>
    </row>
    <row r="354">
      <c r="A354" t="inlineStr">
        <is>
          <t>G|ORIG_BAL x CHANNEL|cols</t>
        </is>
      </c>
      <c r="B354" t="inlineStr">
        <is>
          <t>Branch</t>
        </is>
      </c>
      <c r="C354" t="inlineStr">
        <is>
          <t>Broker</t>
        </is>
      </c>
      <c r="D354" t="inlineStr">
        <is>
          <t>Online</t>
        </is>
      </c>
      <c r="E354" t="inlineStr">
        <is>
          <t>All</t>
        </is>
      </c>
    </row>
    <row r="355">
      <c r="A355" t="inlineStr">
        <is>
          <t>G|ORIG_BAL x CHANNEL|rows</t>
        </is>
      </c>
      <c r="B355" t="inlineStr">
        <is>
          <t>5,005 - 15,448</t>
        </is>
      </c>
      <c r="C355" t="inlineStr">
        <is>
          <t>15,449 - 26,323</t>
        </is>
      </c>
      <c r="D355" t="inlineStr">
        <is>
          <t>26,324 - 37,950</t>
        </is>
      </c>
      <c r="E355" t="inlineStr">
        <is>
          <t>37,951 - 49,151</t>
        </is>
      </c>
      <c r="F355" t="inlineStr">
        <is>
          <t>49,152 - 59,984</t>
        </is>
      </c>
      <c r="G355" t="inlineStr">
        <is>
          <t>(blank)</t>
        </is>
      </c>
      <c r="H355" t="inlineStr">
        <is>
          <t>All</t>
        </is>
      </c>
    </row>
    <row r="356">
      <c r="A356" t="inlineStr">
        <is>
          <t>G|ORIG_BAL x CHANNEL|names</t>
        </is>
      </c>
      <c r="B356" t="inlineStr">
        <is>
          <t>ORIG_BAL</t>
        </is>
      </c>
      <c r="C356" t="inlineStr">
        <is>
          <t>CHANNEL</t>
        </is>
      </c>
    </row>
    <row r="357">
      <c r="A357" t="inlineStr">
        <is>
          <t>G|ORIG_BAL x CHANNEL|total</t>
        </is>
      </c>
      <c r="B357" t="n">
        <v>8000</v>
      </c>
    </row>
    <row r="358">
      <c r="A358" t="inlineStr">
        <is>
          <t>G|ORIG_BAL x CHANNEL|loans|1</t>
        </is>
      </c>
      <c r="B358" t="n">
        <v>542</v>
      </c>
      <c r="C358" t="n">
        <v>514</v>
      </c>
      <c r="D358" t="n">
        <v>544</v>
      </c>
      <c r="E358" t="n">
        <v>1600</v>
      </c>
    </row>
    <row r="359">
      <c r="A359" t="inlineStr">
        <is>
          <t>G|ORIG_BAL x CHANNEL|loans|2</t>
        </is>
      </c>
      <c r="B359" t="n">
        <v>525</v>
      </c>
      <c r="C359" t="n">
        <v>537</v>
      </c>
      <c r="D359" t="n">
        <v>538</v>
      </c>
      <c r="E359" t="n">
        <v>1600</v>
      </c>
    </row>
    <row r="360">
      <c r="A360" t="inlineStr">
        <is>
          <t>G|ORIG_BAL x CHANNEL|loans|3</t>
        </is>
      </c>
      <c r="B360" t="n">
        <v>518</v>
      </c>
      <c r="C360" t="n">
        <v>553</v>
      </c>
      <c r="D360" t="n">
        <v>528</v>
      </c>
      <c r="E360" t="n">
        <v>1599</v>
      </c>
    </row>
    <row r="361">
      <c r="A361" t="inlineStr">
        <is>
          <t>G|ORIG_BAL x CHANNEL|loans|4</t>
        </is>
      </c>
      <c r="B361" t="n">
        <v>526</v>
      </c>
      <c r="C361" t="n">
        <v>531</v>
      </c>
      <c r="D361" t="n">
        <v>543</v>
      </c>
      <c r="E361" t="n">
        <v>1600</v>
      </c>
    </row>
    <row r="362">
      <c r="A362" t="inlineStr">
        <is>
          <t>G|ORIG_BAL x CHANNEL|loans|5</t>
        </is>
      </c>
      <c r="B362" t="n">
        <v>515</v>
      </c>
      <c r="C362" t="n">
        <v>520</v>
      </c>
      <c r="D362" t="n">
        <v>565</v>
      </c>
      <c r="E362" t="n">
        <v>1600</v>
      </c>
    </row>
    <row r="363">
      <c r="A363" t="inlineStr">
        <is>
          <t>G|ORIG_BAL x CHANNEL|loans|6</t>
        </is>
      </c>
      <c r="B363" t="n">
        <v>1</v>
      </c>
      <c r="E363" t="n">
        <v>1</v>
      </c>
    </row>
    <row r="364">
      <c r="A364" t="inlineStr">
        <is>
          <t>G|ORIG_BAL x CHANNEL|loans|7</t>
        </is>
      </c>
      <c r="B364" t="n">
        <v>2627</v>
      </c>
      <c r="C364" t="n">
        <v>2655</v>
      </c>
      <c r="D364" t="n">
        <v>2718</v>
      </c>
      <c r="E364" t="n">
        <v>8000</v>
      </c>
    </row>
    <row r="365">
      <c r="A365" t="inlineStr">
        <is>
          <t>G|ORIG_BAL x CHANNEL|outcome_loans|rate|1</t>
        </is>
      </c>
      <c r="B365" t="n">
        <v>0.06457564575645756</v>
      </c>
      <c r="C365" t="n">
        <v>0.08365758754863813</v>
      </c>
      <c r="D365" t="n">
        <v>0.08272058823529412</v>
      </c>
      <c r="E365" t="n">
        <v>0.076875</v>
      </c>
    </row>
    <row r="366">
      <c r="A366" t="inlineStr">
        <is>
          <t>G|ORIG_BAL x CHANNEL|outcome_loans|book|1</t>
        </is>
      </c>
      <c r="B366" t="n">
        <v>0.8344759134182618</v>
      </c>
      <c r="C366" t="n">
        <v>1.081061458483936</v>
      </c>
      <c r="D366" t="n">
        <v>1.068953126484843</v>
      </c>
      <c r="E366" t="n">
        <v>0.9934137722132471</v>
      </c>
    </row>
    <row r="367">
      <c r="A367" t="inlineStr">
        <is>
          <t>G|ORIG_BAL x CHANNEL|outcome_loans|band|1</t>
        </is>
      </c>
      <c r="B367" t="n">
        <v>0.7763753773901375</v>
      </c>
      <c r="C367" t="n">
        <v>1.135651750972762</v>
      </c>
      <c r="D367" t="n">
        <v>1.119909502262443</v>
      </c>
    </row>
    <row r="368">
      <c r="A368" t="inlineStr">
        <is>
          <t>G|ORIG_BAL x CHANNEL|outcome_loans|rate|2</t>
        </is>
      </c>
      <c r="B368" t="n">
        <v>0.07047619047619047</v>
      </c>
      <c r="C368" t="n">
        <v>0.1173184357541899</v>
      </c>
      <c r="D368" t="n">
        <v>0.09107806691449814</v>
      </c>
      <c r="E368" t="n">
        <v>0.093125</v>
      </c>
    </row>
    <row r="369">
      <c r="A369" t="inlineStr">
        <is>
          <t>G|ORIG_BAL x CHANNEL|outcome_loans|book|2</t>
        </is>
      </c>
      <c r="B369" t="n">
        <v>0.9107254404184937</v>
      </c>
      <c r="C369" t="n">
        <v>1.516042273986697</v>
      </c>
      <c r="D369" t="n">
        <v>1.176952273423377</v>
      </c>
      <c r="E369" t="n">
        <v>1.203403675282714</v>
      </c>
    </row>
    <row r="370">
      <c r="A370" t="inlineStr">
        <is>
          <t>G|ORIG_BAL x CHANNEL|outcome_loans|band|2</t>
        </is>
      </c>
      <c r="B370" t="n">
        <v>0.6764455782312925</v>
      </c>
      <c r="C370" t="n">
        <v>1.450110432636092</v>
      </c>
      <c r="D370" t="n">
        <v>0.9672490706319703</v>
      </c>
    </row>
    <row r="371">
      <c r="A371" t="inlineStr">
        <is>
          <t>G|ORIG_BAL x CHANNEL|outcome_loans|rate|3</t>
        </is>
      </c>
      <c r="B371" t="n">
        <v>0.06382978723404255</v>
      </c>
      <c r="C371" t="n">
        <v>0.07414104882459313</v>
      </c>
      <c r="D371" t="n">
        <v>0.06818181818181818</v>
      </c>
      <c r="E371" t="n">
        <v>0.06883604505632041</v>
      </c>
    </row>
    <row r="372">
      <c r="A372" t="inlineStr">
        <is>
          <t>G|ORIG_BAL x CHANNEL|outcome_loans|book|3</t>
        </is>
      </c>
      <c r="B372" t="n">
        <v>0.8248375897982332</v>
      </c>
      <c r="C372" t="n">
        <v>0.9580844096089183</v>
      </c>
      <c r="D372" t="n">
        <v>0.8810765163753854</v>
      </c>
      <c r="E372" t="n">
        <v>0.8895307340961339</v>
      </c>
    </row>
    <row r="373">
      <c r="A373" t="inlineStr">
        <is>
          <t>G|ORIG_BAL x CHANNEL|outcome_loans|band|3</t>
        </is>
      </c>
      <c r="B373" t="n">
        <v>0.8961038961038961</v>
      </c>
      <c r="C373" t="n">
        <v>1.122860811908693</v>
      </c>
      <c r="D373" t="n">
        <v>0.9858722358722358</v>
      </c>
    </row>
    <row r="374">
      <c r="A374" t="inlineStr">
        <is>
          <t>G|ORIG_BAL x CHANNEL|outcome_loans|rate|4</t>
        </is>
      </c>
      <c r="B374" t="n">
        <v>0.07984790874524715</v>
      </c>
      <c r="C374" t="n">
        <v>0.09227871939736347</v>
      </c>
      <c r="D374" t="n">
        <v>0.07918968692449356</v>
      </c>
      <c r="E374" t="n">
        <v>0.08375</v>
      </c>
    </row>
    <row r="375">
      <c r="A375" t="inlineStr">
        <is>
          <t>G|ORIG_BAL x CHANNEL|outcome_loans|book|4</t>
        </is>
      </c>
      <c r="B375" t="n">
        <v>1.03183105339779</v>
      </c>
      <c r="C375" t="n">
        <v>1.192467651792424</v>
      </c>
      <c r="D375" t="n">
        <v>1.02332521116159</v>
      </c>
      <c r="E375" t="n">
        <v>1.082255654281099</v>
      </c>
    </row>
    <row r="376">
      <c r="A376" t="inlineStr">
        <is>
          <t>G|ORIG_BAL x CHANNEL|outcome_loans|band|4</t>
        </is>
      </c>
      <c r="B376" t="n">
        <v>0.9321375433956025</v>
      </c>
      <c r="C376" t="n">
        <v>1.160540600420959</v>
      </c>
      <c r="D376" t="n">
        <v>0.9198186711998868</v>
      </c>
    </row>
    <row r="377">
      <c r="A377" t="inlineStr">
        <is>
          <t>G|ORIG_BAL x CHANNEL|outcome_loans|rate|5</t>
        </is>
      </c>
      <c r="B377" t="n">
        <v>0.04466019417475728</v>
      </c>
      <c r="C377" t="n">
        <v>0.08461538461538462</v>
      </c>
      <c r="D377" t="n">
        <v>0.06371681415929203</v>
      </c>
      <c r="E377" t="n">
        <v>0.064375</v>
      </c>
    </row>
    <row r="378">
      <c r="A378" t="inlineStr">
        <is>
          <t>G|ORIG_BAL x CHANNEL|outcome_loans|book|5</t>
        </is>
      </c>
      <c r="B378" t="n">
        <v>0.5771193751274369</v>
      </c>
      <c r="C378" t="n">
        <v>1.093438548527402</v>
      </c>
      <c r="D378" t="n">
        <v>0.8233777002587673</v>
      </c>
      <c r="E378" t="n">
        <v>0.8318830775444265</v>
      </c>
    </row>
    <row r="379">
      <c r="A379" t="inlineStr">
        <is>
          <t>G|ORIG_BAL x CHANNEL|outcome_loans|band|5</t>
        </is>
      </c>
      <c r="B379" t="n">
        <v>0.6057038834951456</v>
      </c>
      <c r="C379" t="n">
        <v>1.548891786179922</v>
      </c>
      <c r="D379" t="n">
        <v>0.9842821291771233</v>
      </c>
    </row>
    <row r="380">
      <c r="A380" t="inlineStr">
        <is>
          <t>G|ORIG_BAL x CHANNEL|outcome_loans|rate|6</t>
        </is>
      </c>
      <c r="B380" t="n">
        <v>0</v>
      </c>
      <c r="E380" t="n">
        <v>0</v>
      </c>
    </row>
    <row r="381">
      <c r="A381" t="inlineStr">
        <is>
          <t>G|ORIG_BAL x CHANNEL|outcome_loans|book|6</t>
        </is>
      </c>
    </row>
    <row r="382">
      <c r="A382" t="inlineStr">
        <is>
          <t>G|ORIG_BAL x CHANNEL|outcome_loans|band|6</t>
        </is>
      </c>
    </row>
    <row r="383">
      <c r="A383" t="inlineStr">
        <is>
          <t>G|ORIG_BAL x CHANNEL|outcome_loans|rate|7</t>
        </is>
      </c>
      <c r="B383" t="n">
        <v>0.06473724295506474</v>
      </c>
      <c r="C383" t="n">
        <v>0.0903954802259887</v>
      </c>
      <c r="D383" t="n">
        <v>0.07689477557027226</v>
      </c>
      <c r="E383" t="n">
        <v>0.07738467308413552</v>
      </c>
    </row>
    <row r="384">
      <c r="A384" t="inlineStr">
        <is>
          <t>G|ORIG_BAL x CHANNEL|outcome_loans|book|7</t>
        </is>
      </c>
      <c r="B384" t="n">
        <v>0.8365641460380659</v>
      </c>
      <c r="C384" t="n">
        <v>1.168131577266048</v>
      </c>
      <c r="D384" t="n">
        <v>0.9936693211415312</v>
      </c>
      <c r="E384" t="n">
        <v>1</v>
      </c>
    </row>
    <row r="385">
      <c r="A385" t="inlineStr">
        <is>
          <t>G|ORIG_BAL x CHANNEL|outcome_loans|band|7</t>
        </is>
      </c>
    </row>
    <row r="386">
      <c r="A386" t="inlineStr">
        <is>
          <t>G|ORIG_BAL x CHANNEL|outcome_loans|meta</t>
        </is>
      </c>
      <c r="B386" t="inlineStr">
        <is>
          <t>x</t>
        </is>
      </c>
      <c r="C386" t="n">
        <v>1.548891786179922</v>
      </c>
      <c r="D386" t="n">
        <v>10</v>
      </c>
    </row>
    <row r="387">
      <c r="A387" t="inlineStr">
        <is>
          <t>G|ORIG_BAL x CHANNEL|outcome_booked|rate|1</t>
        </is>
      </c>
      <c r="B387" t="n">
        <v>0.06711890823290693</v>
      </c>
      <c r="C387" t="n">
        <v>0.08032199699577761</v>
      </c>
      <c r="D387" t="n">
        <v>0.07944556391978397</v>
      </c>
      <c r="E387" t="n">
        <v>0.07557453391360711</v>
      </c>
    </row>
    <row r="388">
      <c r="A388" t="inlineStr">
        <is>
          <t>G|ORIG_BAL x CHANNEL|outcome_booked|book|1</t>
        </is>
      </c>
      <c r="B388" t="n">
        <v>0.8969654294185242</v>
      </c>
      <c r="C388" t="n">
        <v>1.073409213944104</v>
      </c>
      <c r="D388" t="n">
        <v>1.061696714574518</v>
      </c>
      <c r="E388" t="n">
        <v>1.009964942065142</v>
      </c>
    </row>
    <row r="389">
      <c r="A389" t="inlineStr">
        <is>
          <t>G|ORIG_BAL x CHANNEL|outcome_booked|band|1</t>
        </is>
      </c>
      <c r="B389" t="n">
        <v>0.8403190984673156</v>
      </c>
      <c r="C389" t="n">
        <v>1.095721126639401</v>
      </c>
      <c r="D389" t="n">
        <v>1.079652489325491</v>
      </c>
    </row>
    <row r="390">
      <c r="A390" t="inlineStr">
        <is>
          <t>G|ORIG_BAL x CHANNEL|outcome_booked|rate|2</t>
        </is>
      </c>
      <c r="B390" t="n">
        <v>0.0689620818748256</v>
      </c>
      <c r="C390" t="n">
        <v>0.1166491386620997</v>
      </c>
      <c r="D390" t="n">
        <v>0.09519623101575854</v>
      </c>
      <c r="E390" t="n">
        <v>0.09377887022910673</v>
      </c>
    </row>
    <row r="391">
      <c r="A391" t="inlineStr">
        <is>
          <t>G|ORIG_BAL x CHANNEL|outcome_booked|book|2</t>
        </is>
      </c>
      <c r="B391" t="n">
        <v>0.9215972817645062</v>
      </c>
      <c r="C391" t="n">
        <v>1.558878824254374</v>
      </c>
      <c r="D391" t="n">
        <v>1.27218589336665</v>
      </c>
      <c r="E391" t="n">
        <v>1.253244530044282</v>
      </c>
    </row>
    <row r="392">
      <c r="A392" t="inlineStr">
        <is>
          <t>G|ORIG_BAL x CHANNEL|outcome_booked|band|2</t>
        </is>
      </c>
      <c r="B392" t="n">
        <v>0.650797960861509</v>
      </c>
      <c r="C392" t="n">
        <v>1.419585157819046</v>
      </c>
      <c r="D392" t="n">
        <v>1.022866651792092</v>
      </c>
    </row>
    <row r="393">
      <c r="A393" t="inlineStr">
        <is>
          <t>G|ORIG_BAL x CHANNEL|outcome_booked|rate|3</t>
        </is>
      </c>
      <c r="B393" t="n">
        <v>0.06239969619746574</v>
      </c>
      <c r="C393" t="n">
        <v>0.07396369442121604</v>
      </c>
      <c r="D393" t="n">
        <v>0.06784813887066096</v>
      </c>
      <c r="E393" t="n">
        <v>0.06822026696935879</v>
      </c>
    </row>
    <row r="394">
      <c r="A394" t="inlineStr">
        <is>
          <t>G|ORIG_BAL x CHANNEL|outcome_booked|book|3</t>
        </is>
      </c>
      <c r="B394" t="n">
        <v>0.8338986996201505</v>
      </c>
      <c r="C394" t="n">
        <v>0.9884379629312875</v>
      </c>
      <c r="D394" t="n">
        <v>0.9067107409761621</v>
      </c>
      <c r="E394" t="n">
        <v>0.9116837962393517</v>
      </c>
    </row>
    <row r="395">
      <c r="A395" t="inlineStr">
        <is>
          <t>G|ORIG_BAL x CHANNEL|outcome_booked|band|3</t>
        </is>
      </c>
      <c r="B395" t="n">
        <v>0.8789872479826164</v>
      </c>
      <c r="C395" t="n">
        <v>1.135231912861252</v>
      </c>
      <c r="D395" t="n">
        <v>0.9918874669102062</v>
      </c>
    </row>
    <row r="396">
      <c r="A396" t="inlineStr">
        <is>
          <t>G|ORIG_BAL x CHANNEL|outcome_booked|rate|4</t>
        </is>
      </c>
      <c r="B396" t="n">
        <v>0.07817734344322087</v>
      </c>
      <c r="C396" t="n">
        <v>0.0911667546552818</v>
      </c>
      <c r="D396" t="n">
        <v>0.07997680019508326</v>
      </c>
      <c r="E396" t="n">
        <v>0.08308928618120667</v>
      </c>
    </row>
    <row r="397">
      <c r="A397" t="inlineStr">
        <is>
          <t>G|ORIG_BAL x CHANNEL|outcome_booked|book|4</t>
        </is>
      </c>
      <c r="B397" t="n">
        <v>1.044748436446834</v>
      </c>
      <c r="C397" t="n">
        <v>1.218336671304441</v>
      </c>
      <c r="D397" t="n">
        <v>1.068796063868803</v>
      </c>
      <c r="E397" t="n">
        <v>1.110390785871948</v>
      </c>
    </row>
    <row r="398">
      <c r="A398" t="inlineStr">
        <is>
          <t>G|ORIG_BAL x CHANNEL|outcome_booked|band|4</t>
        </is>
      </c>
      <c r="B398" t="n">
        <v>0.9143371209400876</v>
      </c>
      <c r="C398" t="n">
        <v>1.152685706683168</v>
      </c>
      <c r="D398" t="n">
        <v>0.9443559022431686</v>
      </c>
    </row>
    <row r="399">
      <c r="A399" t="inlineStr">
        <is>
          <t>G|ORIG_BAL x CHANNEL|outcome_booked|rate|5</t>
        </is>
      </c>
      <c r="B399" t="n">
        <v>0.04509050367088964</v>
      </c>
      <c r="C399" t="n">
        <v>0.08539735471840343</v>
      </c>
      <c r="D399" t="n">
        <v>0.06352451543082047</v>
      </c>
      <c r="E399" t="n">
        <v>0.06473600628619963</v>
      </c>
    </row>
    <row r="400">
      <c r="A400" t="inlineStr">
        <is>
          <t>G|ORIG_BAL x CHANNEL|outcome_booked|book|5</t>
        </is>
      </c>
      <c r="B400" t="n">
        <v>0.6025816577276797</v>
      </c>
      <c r="C400" t="n">
        <v>1.141235412834743</v>
      </c>
      <c r="D400" t="n">
        <v>0.8489305884459224</v>
      </c>
      <c r="E400" t="n">
        <v>0.8651207417714352</v>
      </c>
    </row>
    <row r="401">
      <c r="A401" t="inlineStr">
        <is>
          <t>G|ORIG_BAL x CHANNEL|outcome_booked|band|5</t>
        </is>
      </c>
      <c r="B401" t="n">
        <v>0.6090248351916299</v>
      </c>
      <c r="C401" t="n">
        <v>1.560230441510857</v>
      </c>
      <c r="D401" t="n">
        <v>0.9713896390792535</v>
      </c>
    </row>
    <row r="402">
      <c r="A402" t="inlineStr">
        <is>
          <t>G|ORIG_BAL x CHANNEL|outcome_booked|rate|6</t>
        </is>
      </c>
    </row>
    <row r="403">
      <c r="A403" t="inlineStr">
        <is>
          <t>G|ORIG_BAL x CHANNEL|outcome_booked|book|6</t>
        </is>
      </c>
    </row>
    <row r="404">
      <c r="A404" t="inlineStr">
        <is>
          <t>G|ORIG_BAL x CHANNEL|outcome_booked|band|6</t>
        </is>
      </c>
    </row>
    <row r="405">
      <c r="A405" t="inlineStr">
        <is>
          <t>G|ORIG_BAL x CHANNEL|outcome_booked|rate|7</t>
        </is>
      </c>
      <c r="B405" t="n">
        <v>0.06209402737287426</v>
      </c>
      <c r="C405" t="n">
        <v>0.08834961310910705</v>
      </c>
      <c r="D405" t="n">
        <v>0.07378839081032539</v>
      </c>
      <c r="E405" t="n">
        <v>0.07482886857347223</v>
      </c>
    </row>
    <row r="406">
      <c r="A406" t="inlineStr">
        <is>
          <t>G|ORIG_BAL x CHANNEL|outcome_booked|book|7</t>
        </is>
      </c>
      <c r="B406" t="n">
        <v>0.8298137945505067</v>
      </c>
      <c r="C406" t="n">
        <v>1.180688881088173</v>
      </c>
      <c r="D406" t="n">
        <v>0.9860952359298959</v>
      </c>
      <c r="E406" t="n">
        <v>0.9999999999999986</v>
      </c>
    </row>
    <row r="407">
      <c r="A407" t="inlineStr">
        <is>
          <t>G|ORIG_BAL x CHANNEL|outcome_booked|band|7</t>
        </is>
      </c>
    </row>
    <row r="408">
      <c r="A408" t="inlineStr">
        <is>
          <t>G|ORIG_BAL x CHANNEL|outcome_booked|meta</t>
        </is>
      </c>
      <c r="B408" t="inlineStr">
        <is>
          <t>x</t>
        </is>
      </c>
      <c r="C408" t="n">
        <v>1.560230441510857</v>
      </c>
      <c r="D408" t="n">
        <v>10</v>
      </c>
    </row>
    <row r="409">
      <c r="A409" t="inlineStr">
        <is>
          <t>G|ORIG_BAL x CHANNEL|gco_rate|rate|1</t>
        </is>
      </c>
      <c r="B409" t="n">
        <v>0.03544280615493821</v>
      </c>
      <c r="C409" t="n">
        <v>0.04581691734433199</v>
      </c>
      <c r="D409" t="n">
        <v>0.04309844401147397</v>
      </c>
      <c r="E409" t="n">
        <v>0.04139745179629655</v>
      </c>
    </row>
    <row r="410">
      <c r="A410" t="inlineStr">
        <is>
          <t>G|ORIG_BAL x CHANNEL|gco_rate|book|1</t>
        </is>
      </c>
      <c r="B410" t="n">
        <v>0.8518827093391986</v>
      </c>
      <c r="C410" t="n">
        <v>1.101228822295764</v>
      </c>
      <c r="D410" t="n">
        <v>1.035889175713102</v>
      </c>
      <c r="E410" t="n">
        <v>0.995005114487935</v>
      </c>
    </row>
    <row r="411">
      <c r="A411" t="inlineStr">
        <is>
          <t>G|ORIG_BAL x CHANNEL|gco_rate|band|1</t>
        </is>
      </c>
      <c r="B411" t="n">
        <v>0.7978190990987081</v>
      </c>
      <c r="C411" t="n">
        <v>1.166274358991177</v>
      </c>
      <c r="D411" t="n">
        <v>1.063556469663649</v>
      </c>
    </row>
    <row r="412">
      <c r="A412" t="inlineStr">
        <is>
          <t>G|ORIG_BAL x CHANNEL|gco_rate|rate|2</t>
        </is>
      </c>
      <c r="B412" t="n">
        <v>0.04048703755894253</v>
      </c>
      <c r="C412" t="n">
        <v>0.06798370490301706</v>
      </c>
      <c r="D412" t="n">
        <v>0.05071441265118935</v>
      </c>
      <c r="E412" t="n">
        <v>0.05316017920478749</v>
      </c>
    </row>
    <row r="413">
      <c r="A413" t="inlineStr">
        <is>
          <t>G|ORIG_BAL x CHANNEL|gco_rate|book|2</t>
        </is>
      </c>
      <c r="B413" t="n">
        <v>0.9731229264989893</v>
      </c>
      <c r="C413" t="n">
        <v>1.63401685720163</v>
      </c>
      <c r="D413" t="n">
        <v>1.218942175824922</v>
      </c>
      <c r="E413" t="n">
        <v>1.277727200604911</v>
      </c>
    </row>
    <row r="414">
      <c r="A414" t="inlineStr">
        <is>
          <t>G|ORIG_BAL x CHANNEL|gco_rate|band|2</t>
        </is>
      </c>
      <c r="B414" t="n">
        <v>0.6817897670599881</v>
      </c>
      <c r="C414" t="n">
        <v>1.489673691497575</v>
      </c>
      <c r="D414" t="n">
        <v>0.9324780292725052</v>
      </c>
    </row>
    <row r="415">
      <c r="A415" t="inlineStr">
        <is>
          <t>G|ORIG_BAL x CHANNEL|gco_rate|rate|3</t>
        </is>
      </c>
      <c r="B415" t="n">
        <v>0.03518654246842046</v>
      </c>
      <c r="C415" t="n">
        <v>0.04058912713037382</v>
      </c>
      <c r="D415" t="n">
        <v>0.03635529456334192</v>
      </c>
      <c r="E415" t="n">
        <v>0.03745072983796681</v>
      </c>
    </row>
    <row r="416">
      <c r="A416" t="inlineStr">
        <is>
          <t>G|ORIG_BAL x CHANNEL|gco_rate|book|3</t>
        </is>
      </c>
      <c r="B416" t="n">
        <v>0.8457233041662092</v>
      </c>
      <c r="C416" t="n">
        <v>0.97557669216094</v>
      </c>
      <c r="D416" t="n">
        <v>0.8738147508991547</v>
      </c>
      <c r="E416" t="n">
        <v>0.9001439971099026</v>
      </c>
    </row>
    <row r="417">
      <c r="A417" t="inlineStr">
        <is>
          <t>G|ORIG_BAL x CHANNEL|gco_rate|band|3</t>
        </is>
      </c>
      <c r="B417" t="n">
        <v>0.9132072498730854</v>
      </c>
      <c r="C417" t="n">
        <v>1.134519496040276</v>
      </c>
      <c r="D417" t="n">
        <v>0.9570143539520817</v>
      </c>
    </row>
    <row r="418">
      <c r="A418" t="inlineStr">
        <is>
          <t>G|ORIG_BAL x CHANNEL|gco_rate|rate|4</t>
        </is>
      </c>
      <c r="B418" t="n">
        <v>0.04348156147247659</v>
      </c>
      <c r="C418" t="n">
        <v>0.05131566132374259</v>
      </c>
      <c r="D418" t="n">
        <v>0.04550931566329014</v>
      </c>
      <c r="E418" t="n">
        <v>0.04676588351390012</v>
      </c>
    </row>
    <row r="419">
      <c r="A419" t="inlineStr">
        <is>
          <t>G|ORIG_BAL x CHANNEL|gco_rate|book|4</t>
        </is>
      </c>
      <c r="B419" t="n">
        <v>1.045097564553628</v>
      </c>
      <c r="C419" t="n">
        <v>1.23339343981125</v>
      </c>
      <c r="D419" t="n">
        <v>1.093835486895127</v>
      </c>
      <c r="E419" t="n">
        <v>1.124037622142734</v>
      </c>
    </row>
    <row r="420">
      <c r="A420" t="inlineStr">
        <is>
          <t>G|ORIG_BAL x CHANNEL|gco_rate|band|4</t>
        </is>
      </c>
      <c r="B420" t="n">
        <v>0.8988230917155171</v>
      </c>
      <c r="C420" t="n">
        <v>1.152857633819869</v>
      </c>
      <c r="D420" t="n">
        <v>0.959861473156629</v>
      </c>
    </row>
    <row r="421">
      <c r="A421" t="inlineStr">
        <is>
          <t>G|ORIG_BAL x CHANNEL|gco_rate|rate|5</t>
        </is>
      </c>
      <c r="B421" t="n">
        <v>0.02283222249562007</v>
      </c>
      <c r="C421" t="n">
        <v>0.04914748203538337</v>
      </c>
      <c r="D421" t="n">
        <v>0.03456842093079401</v>
      </c>
      <c r="E421" t="n">
        <v>0.03555289463498783</v>
      </c>
    </row>
    <row r="422">
      <c r="A422" t="inlineStr">
        <is>
          <t>G|ORIG_BAL x CHANNEL|gco_rate|book|5</t>
        </is>
      </c>
      <c r="B422" t="n">
        <v>0.5487820426739609</v>
      </c>
      <c r="C422" t="n">
        <v>1.181280341361136</v>
      </c>
      <c r="D422" t="n">
        <v>0.8308664937919898</v>
      </c>
      <c r="E422" t="n">
        <v>0.8545287321242382</v>
      </c>
    </row>
    <row r="423">
      <c r="A423" t="inlineStr">
        <is>
          <t>G|ORIG_BAL x CHANNEL|gco_rate|band|5</t>
        </is>
      </c>
      <c r="B423" t="n">
        <v>0.5491745728203553</v>
      </c>
      <c r="C423" t="n">
        <v>1.696394485627583</v>
      </c>
      <c r="D423" t="n">
        <v>0.9578708565973761</v>
      </c>
    </row>
    <row r="424">
      <c r="A424" t="inlineStr">
        <is>
          <t>G|ORIG_BAL x CHANNEL|gco_rate|rate|6</t>
        </is>
      </c>
    </row>
    <row r="425">
      <c r="A425" t="inlineStr">
        <is>
          <t>G|ORIG_BAL x CHANNEL|gco_rate|book|6</t>
        </is>
      </c>
    </row>
    <row r="426">
      <c r="A426" t="inlineStr">
        <is>
          <t>G|ORIG_BAL x CHANNEL|gco_rate|band|6</t>
        </is>
      </c>
    </row>
    <row r="427">
      <c r="A427" t="inlineStr">
        <is>
          <t>G|ORIG_BAL x CHANNEL|gco_rate|rate|7</t>
        </is>
      </c>
      <c r="B427" t="n">
        <v>0.03403247368482894</v>
      </c>
      <c r="C427" t="n">
        <v>0.0502121555295119</v>
      </c>
      <c r="D427" t="n">
        <v>0.04043303389582081</v>
      </c>
      <c r="E427" t="n">
        <v>0.04160526533333562</v>
      </c>
    </row>
    <row r="428">
      <c r="A428" t="inlineStr">
        <is>
          <t>G|ORIG_BAL x CHANNEL|gco_rate|book|7</t>
        </is>
      </c>
      <c r="B428" t="n">
        <v>0.817984776978718</v>
      </c>
      <c r="C428" t="n">
        <v>1.206870215277298</v>
      </c>
      <c r="D428" t="n">
        <v>0.9718249258087149</v>
      </c>
      <c r="E428" t="n">
        <v>0.9999999999999993</v>
      </c>
    </row>
    <row r="429">
      <c r="A429" t="inlineStr">
        <is>
          <t>G|ORIG_BAL x CHANNEL|gco_rate|band|7</t>
        </is>
      </c>
    </row>
    <row r="430">
      <c r="A430" t="inlineStr">
        <is>
          <t>G|ORIG_BAL x CHANNEL|gco_rate|meta</t>
        </is>
      </c>
      <c r="B430" t="inlineStr">
        <is>
          <t>x</t>
        </is>
      </c>
      <c r="C430" t="n">
        <v>1.696394485627583</v>
      </c>
      <c r="D430" t="n">
        <v>10</v>
      </c>
    </row>
    <row r="431">
      <c r="A431" t="inlineStr">
        <is>
          <t>G|ORIG_BAL x CHANNEL|ranr_rate|rate|1</t>
        </is>
      </c>
      <c r="B431" t="n">
        <v>0.1418756775356384</v>
      </c>
      <c r="C431" t="n">
        <v>0.1425491297977683</v>
      </c>
      <c r="D431" t="n">
        <v>0.1553830958841331</v>
      </c>
      <c r="E431" t="n">
        <v>0.1466798967561383</v>
      </c>
    </row>
    <row r="432">
      <c r="A432" t="inlineStr">
        <is>
          <t>G|ORIG_BAL x CHANNEL|ranr_rate|book|1</t>
        </is>
      </c>
      <c r="B432" t="n">
        <v>1.388562789</v>
      </c>
      <c r="C432" t="n">
        <v>1.455908015</v>
      </c>
      <c r="D432" t="n">
        <v>2.739304624</v>
      </c>
      <c r="E432" t="n">
        <v>1.868984711</v>
      </c>
    </row>
    <row r="433">
      <c r="A433" t="inlineStr">
        <is>
          <t>G|ORIG_BAL x CHANNEL|ranr_rate|band|1</t>
        </is>
      </c>
      <c r="B433" t="n">
        <v>-0.724653998</v>
      </c>
      <c r="C433" t="n">
        <v>-0.61053612</v>
      </c>
      <c r="D433" t="n">
        <v>1.317763267</v>
      </c>
    </row>
    <row r="434">
      <c r="A434" t="inlineStr">
        <is>
          <t>G|ORIG_BAL x CHANNEL|ranr_rate|rate|2</t>
        </is>
      </c>
      <c r="B434" t="n">
        <v>0.1245390156125631</v>
      </c>
      <c r="C434" t="n">
        <v>0.09448227328017</v>
      </c>
      <c r="D434" t="n">
        <v>0.1384309643305416</v>
      </c>
      <c r="E434" t="n">
        <v>0.1190597270318928</v>
      </c>
    </row>
    <row r="435">
      <c r="A435" t="inlineStr">
        <is>
          <t>G|ORIG_BAL x CHANNEL|ranr_rate|book|2</t>
        </is>
      </c>
      <c r="B435" t="n">
        <v>-0.345103404</v>
      </c>
      <c r="C435" t="n">
        <v>-3.350777637</v>
      </c>
      <c r="D435" t="n">
        <v>1.044091468</v>
      </c>
      <c r="E435" t="n">
        <v>-0.893032262</v>
      </c>
    </row>
    <row r="436">
      <c r="A436" t="inlineStr">
        <is>
          <t>G|ORIG_BAL x CHANNEL|ranr_rate|band|2</t>
        </is>
      </c>
      <c r="B436" t="n">
        <v>0.816995282</v>
      </c>
      <c r="C436" t="n">
        <v>-3.705150293</v>
      </c>
      <c r="D436" t="n">
        <v>2.908574961</v>
      </c>
    </row>
    <row r="437">
      <c r="A437" t="inlineStr">
        <is>
          <t>G|ORIG_BAL x CHANNEL|ranr_rate|rate|3</t>
        </is>
      </c>
      <c r="B437" t="n">
        <v>0.1250621784073144</v>
      </c>
      <c r="C437" t="n">
        <v>0.1187512108936822</v>
      </c>
      <c r="D437" t="n">
        <v>0.1506805872937105</v>
      </c>
      <c r="E437" t="n">
        <v>0.1312994440713133</v>
      </c>
    </row>
    <row r="438">
      <c r="A438" t="inlineStr">
        <is>
          <t>G|ORIG_BAL x CHANNEL|ranr_rate|book|3</t>
        </is>
      </c>
      <c r="B438" t="n">
        <v>-0.292787124</v>
      </c>
      <c r="C438" t="n">
        <v>-0.923883875</v>
      </c>
      <c r="D438" t="n">
        <v>2.269053765</v>
      </c>
      <c r="E438" t="n">
        <v>0.330939442</v>
      </c>
    </row>
    <row r="439">
      <c r="A439" t="inlineStr">
        <is>
          <t>G|ORIG_BAL x CHANNEL|ranr_rate|band|3</t>
        </is>
      </c>
      <c r="B439" t="n">
        <v>-0.921239544</v>
      </c>
      <c r="C439" t="n">
        <v>-1.924232919</v>
      </c>
      <c r="D439" t="n">
        <v>2.889118423</v>
      </c>
    </row>
    <row r="440">
      <c r="A440" t="inlineStr">
        <is>
          <t>G|ORIG_BAL x CHANNEL|ranr_rate|rate|4</t>
        </is>
      </c>
      <c r="B440" t="n">
        <v>0.109981552332292</v>
      </c>
      <c r="C440" t="n">
        <v>0.1153273587483306</v>
      </c>
      <c r="D440" t="n">
        <v>0.1414284715284809</v>
      </c>
      <c r="E440" t="n">
        <v>0.1224284738147316</v>
      </c>
    </row>
    <row r="441">
      <c r="A441" t="inlineStr">
        <is>
          <t>G|ORIG_BAL x CHANNEL|ranr_rate|book|4</t>
        </is>
      </c>
      <c r="B441" t="n">
        <v>-1.800849732</v>
      </c>
      <c r="C441" t="n">
        <v>-1.26626909</v>
      </c>
      <c r="D441" t="n">
        <v>1.343842188</v>
      </c>
      <c r="E441" t="n">
        <v>-0.556157583</v>
      </c>
    </row>
    <row r="442">
      <c r="A442" t="inlineStr">
        <is>
          <t>G|ORIG_BAL x CHANNEL|ranr_rate|band|4</t>
        </is>
      </c>
      <c r="B442" t="n">
        <v>-1.855991051</v>
      </c>
      <c r="C442" t="n">
        <v>-1.061635052</v>
      </c>
      <c r="D442" t="n">
        <v>2.876693382</v>
      </c>
    </row>
    <row r="443">
      <c r="A443" t="inlineStr">
        <is>
          <t>G|ORIG_BAL x CHANNEL|ranr_rate|rate|5</t>
        </is>
      </c>
      <c r="B443" t="n">
        <v>0.1363602968168651</v>
      </c>
      <c r="C443" t="n">
        <v>0.1094749751155859</v>
      </c>
      <c r="D443" t="n">
        <v>0.1443980594250918</v>
      </c>
      <c r="E443" t="n">
        <v>0.1304237269597044</v>
      </c>
    </row>
    <row r="444">
      <c r="A444" t="inlineStr">
        <is>
          <t>G|ORIG_BAL x CHANNEL|ranr_rate|book|5</t>
        </is>
      </c>
      <c r="B444" t="n">
        <v>0.837024717</v>
      </c>
      <c r="C444" t="n">
        <v>-1.851507453</v>
      </c>
      <c r="D444" t="n">
        <v>1.640800978</v>
      </c>
      <c r="E444" t="n">
        <v>0.243367731</v>
      </c>
    </row>
    <row r="445">
      <c r="A445" t="inlineStr">
        <is>
          <t>G|ORIG_BAL x CHANNEL|ranr_rate|band|5</t>
        </is>
      </c>
      <c r="B445" t="n">
        <v>0.8747253109999999</v>
      </c>
      <c r="C445" t="n">
        <v>-3.109008183</v>
      </c>
      <c r="D445" t="n">
        <v>2.158152658</v>
      </c>
    </row>
    <row r="446">
      <c r="A446" t="inlineStr">
        <is>
          <t>G|ORIG_BAL x CHANNEL|ranr_rate|rate|6</t>
        </is>
      </c>
    </row>
    <row r="447">
      <c r="A447" t="inlineStr">
        <is>
          <t>G|ORIG_BAL x CHANNEL|ranr_rate|book|6</t>
        </is>
      </c>
    </row>
    <row r="448">
      <c r="A448" t="inlineStr">
        <is>
          <t>G|ORIG_BAL x CHANNEL|ranr_rate|band|6</t>
        </is>
      </c>
    </row>
    <row r="449">
      <c r="A449" t="inlineStr">
        <is>
          <t>G|ORIG_BAL x CHANNEL|ranr_rate|rate|7</t>
        </is>
      </c>
      <c r="B449" t="n">
        <v>0.1257424641427197</v>
      </c>
      <c r="C449" t="n">
        <v>0.1130333511764385</v>
      </c>
      <c r="D449" t="n">
        <v>0.1447377923020618</v>
      </c>
      <c r="E449" t="n">
        <v>0.1279900496481476</v>
      </c>
    </row>
    <row r="450">
      <c r="A450" t="inlineStr">
        <is>
          <t>G|ORIG_BAL x CHANNEL|ranr_rate|book|7</t>
        </is>
      </c>
      <c r="B450" t="n">
        <v>-0.224758551</v>
      </c>
      <c r="C450" t="n">
        <v>-1.495669847</v>
      </c>
      <c r="D450" t="n">
        <v>1.674774265</v>
      </c>
      <c r="E450" t="n">
        <v>0</v>
      </c>
    </row>
    <row r="451">
      <c r="A451" t="inlineStr">
        <is>
          <t>G|ORIG_BAL x CHANNEL|ranr_rate|band|7</t>
        </is>
      </c>
    </row>
    <row r="452">
      <c r="A452" t="inlineStr">
        <is>
          <t>G|ORIG_BAL x CHANNEL|ranr_rate|meta</t>
        </is>
      </c>
      <c r="B452" t="inlineStr">
        <is>
          <t>pts</t>
        </is>
      </c>
      <c r="C452" t="n">
        <v>3.705150293</v>
      </c>
      <c r="D452" t="n">
        <v>10</v>
      </c>
    </row>
    <row r="453">
      <c r="A453" t="inlineStr">
        <is>
          <t>G|ORIG_BAL x CHANNEL|contribution_rate|rate|1</t>
        </is>
      </c>
      <c r="B453" t="n">
        <v>0.1773184836905765</v>
      </c>
      <c r="C453" t="n">
        <v>0.1883660471421006</v>
      </c>
      <c r="D453" t="n">
        <v>0.1984815398956072</v>
      </c>
      <c r="E453" t="n">
        <v>0.1880773485524349</v>
      </c>
    </row>
    <row r="454">
      <c r="A454" t="inlineStr">
        <is>
          <t>G|ORIG_BAL x CHANNEL|contribution_rate|book|1</t>
        </is>
      </c>
      <c r="B454" t="n">
        <v>0.772602796</v>
      </c>
      <c r="C454" t="n">
        <v>1.877359141</v>
      </c>
      <c r="D454" t="n">
        <v>2.888908416</v>
      </c>
      <c r="E454" t="n">
        <v>1.848489282</v>
      </c>
    </row>
    <row r="455">
      <c r="A455" t="inlineStr">
        <is>
          <t>G|ORIG_BAL x CHANNEL|contribution_rate|band|1</t>
        </is>
      </c>
      <c r="B455" t="n">
        <v>-1.622834862</v>
      </c>
      <c r="C455" t="n">
        <v>0.042670264</v>
      </c>
      <c r="D455" t="n">
        <v>1.575312821</v>
      </c>
    </row>
    <row r="456">
      <c r="A456" t="inlineStr">
        <is>
          <t>G|ORIG_BAL x CHANNEL|contribution_rate|rate|2</t>
        </is>
      </c>
      <c r="B456" t="n">
        <v>0.1650260531715056</v>
      </c>
      <c r="C456" t="n">
        <v>0.1624659781831869</v>
      </c>
      <c r="D456" t="n">
        <v>0.189145376981731</v>
      </c>
      <c r="E456" t="n">
        <v>0.1722199062366803</v>
      </c>
    </row>
    <row r="457">
      <c r="A457" t="inlineStr">
        <is>
          <t>G|ORIG_BAL x CHANNEL|contribution_rate|book|2</t>
        </is>
      </c>
      <c r="B457" t="n">
        <v>-0.456640256</v>
      </c>
      <c r="C457" t="n">
        <v>-0.712647755</v>
      </c>
      <c r="D457" t="n">
        <v>1.955292125</v>
      </c>
      <c r="E457" t="n">
        <v>0.26274505</v>
      </c>
    </row>
    <row r="458">
      <c r="A458" t="inlineStr">
        <is>
          <t>G|ORIG_BAL x CHANNEL|contribution_rate|band|2</t>
        </is>
      </c>
      <c r="B458" t="n">
        <v>-1.072647284</v>
      </c>
      <c r="C458" t="n">
        <v>-1.470443999</v>
      </c>
      <c r="D458" t="n">
        <v>2.541345174</v>
      </c>
    </row>
    <row r="459">
      <c r="A459" t="inlineStr">
        <is>
          <t>G|ORIG_BAL x CHANNEL|contribution_rate|rate|3</t>
        </is>
      </c>
      <c r="B459" t="n">
        <v>0.1602487208757348</v>
      </c>
      <c r="C459" t="n">
        <v>0.159340338024056</v>
      </c>
      <c r="D459" t="n">
        <v>0.1870358818570524</v>
      </c>
      <c r="E459" t="n">
        <v>0.1687501739092802</v>
      </c>
    </row>
    <row r="460">
      <c r="A460" t="inlineStr">
        <is>
          <t>G|ORIG_BAL x CHANNEL|contribution_rate|book|3</t>
        </is>
      </c>
      <c r="B460" t="n">
        <v>-0.934373486</v>
      </c>
      <c r="C460" t="n">
        <v>-1.025211771</v>
      </c>
      <c r="D460" t="n">
        <v>1.744342612</v>
      </c>
      <c r="E460" t="n">
        <v>-0.084228183</v>
      </c>
    </row>
    <row r="461">
      <c r="A461" t="inlineStr">
        <is>
          <t>G|ORIG_BAL x CHANNEL|contribution_rate|band|3</t>
        </is>
      </c>
      <c r="B461" t="n">
        <v>-1.255658351</v>
      </c>
      <c r="C461" t="n">
        <v>-1.442969358</v>
      </c>
      <c r="D461" t="n">
        <v>2.725823503</v>
      </c>
    </row>
    <row r="462">
      <c r="A462" t="inlineStr">
        <is>
          <t>G|ORIG_BAL x CHANNEL|contribution_rate|rate|4</t>
        </is>
      </c>
      <c r="B462" t="n">
        <v>0.1533997344386167</v>
      </c>
      <c r="C462" t="n">
        <v>0.1666430200720732</v>
      </c>
      <c r="D462" t="n">
        <v>0.1869377871917709</v>
      </c>
      <c r="E462" t="n">
        <v>0.1691805976256634</v>
      </c>
    </row>
    <row r="463">
      <c r="A463" t="inlineStr">
        <is>
          <t>G|ORIG_BAL x CHANNEL|contribution_rate|book|4</t>
        </is>
      </c>
      <c r="B463" t="n">
        <v>-1.61927213</v>
      </c>
      <c r="C463" t="n">
        <v>-0.294943566</v>
      </c>
      <c r="D463" t="n">
        <v>1.734533146</v>
      </c>
      <c r="E463" t="n">
        <v>-0.041185811</v>
      </c>
    </row>
    <row r="464">
      <c r="A464" t="inlineStr">
        <is>
          <t>G|ORIG_BAL x CHANNEL|contribution_rate|band|4</t>
        </is>
      </c>
      <c r="B464" t="n">
        <v>-2.351783475</v>
      </c>
      <c r="C464" t="n">
        <v>-0.379481422</v>
      </c>
      <c r="D464" t="n">
        <v>2.689313677</v>
      </c>
    </row>
    <row r="465">
      <c r="A465" t="inlineStr">
        <is>
          <t>G|ORIG_BAL x CHANNEL|contribution_rate|rate|5</t>
        </is>
      </c>
      <c r="B465" t="n">
        <v>0.1591925193124852</v>
      </c>
      <c r="C465" t="n">
        <v>0.1586224571509692</v>
      </c>
      <c r="D465" t="n">
        <v>0.1789664803558857</v>
      </c>
      <c r="E465" t="n">
        <v>0.1659766215946923</v>
      </c>
    </row>
    <row r="466">
      <c r="A466" t="inlineStr">
        <is>
          <t>G|ORIG_BAL x CHANNEL|contribution_rate|book|5</t>
        </is>
      </c>
      <c r="B466" t="n">
        <v>-1.039993642</v>
      </c>
      <c r="C466" t="n">
        <v>-1.096999858</v>
      </c>
      <c r="D466" t="n">
        <v>0.937402462</v>
      </c>
      <c r="E466" t="n">
        <v>-0.361583414</v>
      </c>
    </row>
    <row r="467">
      <c r="A467" t="inlineStr">
        <is>
          <t>G|ORIG_BAL x CHANNEL|contribution_rate|band|5</t>
        </is>
      </c>
      <c r="B467" t="n">
        <v>-0.999605179</v>
      </c>
      <c r="C467" t="n">
        <v>-1.091432922</v>
      </c>
      <c r="D467" t="n">
        <v>2.006113586</v>
      </c>
    </row>
    <row r="468">
      <c r="A468" t="inlineStr">
        <is>
          <t>G|ORIG_BAL x CHANNEL|contribution_rate|rate|6</t>
        </is>
      </c>
    </row>
    <row r="469">
      <c r="A469" t="inlineStr">
        <is>
          <t>G|ORIG_BAL x CHANNEL|contribution_rate|book|6</t>
        </is>
      </c>
    </row>
    <row r="470">
      <c r="A470" t="inlineStr">
        <is>
          <t>G|ORIG_BAL x CHANNEL|contribution_rate|band|6</t>
        </is>
      </c>
    </row>
    <row r="471">
      <c r="A471" t="inlineStr">
        <is>
          <t>G|ORIG_BAL x CHANNEL|contribution_rate|rate|7</t>
        </is>
      </c>
      <c r="B471" t="n">
        <v>0.1597650989343296</v>
      </c>
      <c r="C471" t="n">
        <v>0.1632455067059504</v>
      </c>
      <c r="D471" t="n">
        <v>0.1851708261978826</v>
      </c>
      <c r="E471" t="n">
        <v>0.1695924557349811</v>
      </c>
    </row>
    <row r="472">
      <c r="A472" t="inlineStr">
        <is>
          <t>G|ORIG_BAL x CHANNEL|contribution_rate|book|7</t>
        </is>
      </c>
      <c r="B472" t="n">
        <v>-0.98273568</v>
      </c>
      <c r="C472" t="n">
        <v>-0.634694903</v>
      </c>
      <c r="D472" t="n">
        <v>1.557837046</v>
      </c>
      <c r="E472" t="n">
        <v>0</v>
      </c>
    </row>
    <row r="473">
      <c r="A473" t="inlineStr">
        <is>
          <t>G|ORIG_BAL x CHANNEL|contribution_rate|band|7</t>
        </is>
      </c>
    </row>
    <row r="474">
      <c r="A474" t="inlineStr">
        <is>
          <t>G|ORIG_BAL x CHANNEL|contribution_rate|meta</t>
        </is>
      </c>
      <c r="B474" t="inlineStr">
        <is>
          <t>pts</t>
        </is>
      </c>
      <c r="C474" t="n">
        <v>2.888908416</v>
      </c>
      <c r="D474" t="n">
        <v>10</v>
      </c>
    </row>
    <row r="475">
      <c r="A475" t="inlineStr">
        <is>
          <t>G|ORIG_BAL x ASSET_CLASS|cols</t>
        </is>
      </c>
      <c r="B475" t="inlineStr">
        <is>
          <t>1</t>
        </is>
      </c>
      <c r="C475" t="inlineStr">
        <is>
          <t>2</t>
        </is>
      </c>
      <c r="D475" t="inlineStr">
        <is>
          <t>3</t>
        </is>
      </c>
      <c r="E475" t="inlineStr">
        <is>
          <t>4</t>
        </is>
      </c>
      <c r="F475" t="inlineStr">
        <is>
          <t>All</t>
        </is>
      </c>
    </row>
    <row r="476">
      <c r="A476" t="inlineStr">
        <is>
          <t>G|ORIG_BAL x ASSET_CLASS|rows</t>
        </is>
      </c>
      <c r="B476" t="inlineStr">
        <is>
          <t>5,005 - 15,448</t>
        </is>
      </c>
      <c r="C476" t="inlineStr">
        <is>
          <t>15,449 - 26,323</t>
        </is>
      </c>
      <c r="D476" t="inlineStr">
        <is>
          <t>26,324 - 37,950</t>
        </is>
      </c>
      <c r="E476" t="inlineStr">
        <is>
          <t>37,951 - 49,151</t>
        </is>
      </c>
      <c r="F476" t="inlineStr">
        <is>
          <t>49,152 - 59,984</t>
        </is>
      </c>
      <c r="G476" t="inlineStr">
        <is>
          <t>(blank)</t>
        </is>
      </c>
      <c r="H476" t="inlineStr">
        <is>
          <t>All</t>
        </is>
      </c>
    </row>
    <row r="477">
      <c r="A477" t="inlineStr">
        <is>
          <t>G|ORIG_BAL x ASSET_CLASS|names</t>
        </is>
      </c>
      <c r="B477" t="inlineStr">
        <is>
          <t>ORIG_BAL</t>
        </is>
      </c>
      <c r="C477" t="inlineStr">
        <is>
          <t>ASSET_CLASS</t>
        </is>
      </c>
    </row>
    <row r="478">
      <c r="A478" t="inlineStr">
        <is>
          <t>G|ORIG_BAL x ASSET_CLASS|total</t>
        </is>
      </c>
      <c r="B478" t="n">
        <v>8000</v>
      </c>
    </row>
    <row r="479">
      <c r="A479" t="inlineStr">
        <is>
          <t>G|ORIG_BAL x ASSET_CLASS|loans|1</t>
        </is>
      </c>
      <c r="B479" t="n">
        <v>417</v>
      </c>
      <c r="C479" t="n">
        <v>404</v>
      </c>
      <c r="D479" t="n">
        <v>354</v>
      </c>
      <c r="E479" t="n">
        <v>425</v>
      </c>
      <c r="F479" t="n">
        <v>1600</v>
      </c>
    </row>
    <row r="480">
      <c r="A480" t="inlineStr">
        <is>
          <t>G|ORIG_BAL x ASSET_CLASS|loans|2</t>
        </is>
      </c>
      <c r="B480" t="n">
        <v>404</v>
      </c>
      <c r="C480" t="n">
        <v>356</v>
      </c>
      <c r="D480" t="n">
        <v>427</v>
      </c>
      <c r="E480" t="n">
        <v>413</v>
      </c>
      <c r="F480" t="n">
        <v>1600</v>
      </c>
    </row>
    <row r="481">
      <c r="A481" t="inlineStr">
        <is>
          <t>G|ORIG_BAL x ASSET_CLASS|loans|3</t>
        </is>
      </c>
      <c r="B481" t="n">
        <v>388</v>
      </c>
      <c r="C481" t="n">
        <v>432</v>
      </c>
      <c r="D481" t="n">
        <v>367</v>
      </c>
      <c r="E481" t="n">
        <v>412</v>
      </c>
      <c r="F481" t="n">
        <v>1599</v>
      </c>
    </row>
    <row r="482">
      <c r="A482" t="inlineStr">
        <is>
          <t>G|ORIG_BAL x ASSET_CLASS|loans|4</t>
        </is>
      </c>
      <c r="B482" t="n">
        <v>384</v>
      </c>
      <c r="C482" t="n">
        <v>420</v>
      </c>
      <c r="D482" t="n">
        <v>382</v>
      </c>
      <c r="E482" t="n">
        <v>414</v>
      </c>
      <c r="F482" t="n">
        <v>1600</v>
      </c>
    </row>
    <row r="483">
      <c r="A483" t="inlineStr">
        <is>
          <t>G|ORIG_BAL x ASSET_CLASS|loans|5</t>
        </is>
      </c>
      <c r="B483" t="n">
        <v>413</v>
      </c>
      <c r="C483" t="n">
        <v>398</v>
      </c>
      <c r="D483" t="n">
        <v>405</v>
      </c>
      <c r="E483" t="n">
        <v>384</v>
      </c>
      <c r="F483" t="n">
        <v>1600</v>
      </c>
    </row>
    <row r="484">
      <c r="A484" t="inlineStr">
        <is>
          <t>G|ORIG_BAL x ASSET_CLASS|loans|6</t>
        </is>
      </c>
      <c r="C484" t="n">
        <v>1</v>
      </c>
      <c r="F484" t="n">
        <v>1</v>
      </c>
    </row>
    <row r="485">
      <c r="A485" t="inlineStr">
        <is>
          <t>G|ORIG_BAL x ASSET_CLASS|loans|7</t>
        </is>
      </c>
      <c r="B485" t="n">
        <v>2006</v>
      </c>
      <c r="C485" t="n">
        <v>2011</v>
      </c>
      <c r="D485" t="n">
        <v>1935</v>
      </c>
      <c r="E485" t="n">
        <v>2048</v>
      </c>
      <c r="F485" t="n">
        <v>8000</v>
      </c>
    </row>
    <row r="486">
      <c r="A486" t="inlineStr">
        <is>
          <t>G|ORIG_BAL x ASSET_CLASS|outcome_loans|rate|1</t>
        </is>
      </c>
      <c r="B486" t="n">
        <v>0.06235011990407674</v>
      </c>
      <c r="C486" t="n">
        <v>0.06683168316831684</v>
      </c>
      <c r="D486" t="n">
        <v>0.08192090395480225</v>
      </c>
      <c r="E486" t="n">
        <v>0.09647058823529411</v>
      </c>
      <c r="F486" t="n">
        <v>0.076875</v>
      </c>
    </row>
    <row r="487">
      <c r="A487" t="inlineStr">
        <is>
          <t>G|ORIG_BAL x ASSET_CLASS|outcome_loans|book|1</t>
        </is>
      </c>
      <c r="B487" t="n">
        <v>0.8057166544631823</v>
      </c>
      <c r="C487" t="n">
        <v>0.8636294566451799</v>
      </c>
      <c r="D487" t="n">
        <v>1.058619241897356</v>
      </c>
      <c r="E487" t="n">
        <v>1.246636890620545</v>
      </c>
      <c r="F487" t="n">
        <v>0.9934137722132471</v>
      </c>
    </row>
    <row r="488">
      <c r="A488" t="inlineStr">
        <is>
          <t>G|ORIG_BAL x ASSET_CLASS|outcome_loans|band|1</t>
        </is>
      </c>
      <c r="B488" t="n">
        <v>0.7604143489332246</v>
      </c>
      <c r="C488" t="n">
        <v>0.8326113861386139</v>
      </c>
      <c r="D488" t="n">
        <v>1.085887726890251</v>
      </c>
      <c r="E488" t="n">
        <v>1.382352941176471</v>
      </c>
    </row>
    <row r="489">
      <c r="A489" t="inlineStr">
        <is>
          <t>G|ORIG_BAL x ASSET_CLASS|outcome_loans|rate|2</t>
        </is>
      </c>
      <c r="B489" t="n">
        <v>0.09405940594059406</v>
      </c>
      <c r="C489" t="n">
        <v>0.06179775280898876</v>
      </c>
      <c r="D489" t="n">
        <v>0.09836065573770492</v>
      </c>
      <c r="E489" t="n">
        <v>0.1138014527845036</v>
      </c>
      <c r="F489" t="n">
        <v>0.093125</v>
      </c>
    </row>
    <row r="490">
      <c r="A490" t="inlineStr">
        <is>
          <t>G|ORIG_BAL x ASSET_CLASS|outcome_loans|book|2</t>
        </is>
      </c>
      <c r="B490" t="n">
        <v>1.21547849453766</v>
      </c>
      <c r="C490" t="n">
        <v>0.7985787152166415</v>
      </c>
      <c r="D490" t="n">
        <v>1.271061203951376</v>
      </c>
      <c r="E490" t="n">
        <v>1.470594217808149</v>
      </c>
      <c r="F490" t="n">
        <v>1.203403675282714</v>
      </c>
    </row>
    <row r="491">
      <c r="A491" t="inlineStr">
        <is>
          <t>G|ORIG_BAL x ASSET_CLASS|outcome_loans|band|2</t>
        </is>
      </c>
      <c r="B491" t="n">
        <v>1.013468914459013</v>
      </c>
      <c r="C491" t="n">
        <v>0.6053260196408032</v>
      </c>
      <c r="D491" t="n">
        <v>1.078290179255401</v>
      </c>
      <c r="E491" t="n">
        <v>1.324336514266724</v>
      </c>
    </row>
    <row r="492">
      <c r="A492" t="inlineStr">
        <is>
          <t>G|ORIG_BAL x ASSET_CLASS|outcome_loans|rate|3</t>
        </is>
      </c>
      <c r="B492" t="n">
        <v>0.06701030927835051</v>
      </c>
      <c r="C492" t="n">
        <v>0.05336426914153132</v>
      </c>
      <c r="D492" t="n">
        <v>0.05449591280653951</v>
      </c>
      <c r="E492" t="n">
        <v>0.09951456310679611</v>
      </c>
      <c r="F492" t="n">
        <v>0.06883604505632041</v>
      </c>
    </row>
    <row r="493">
      <c r="A493" t="inlineStr">
        <is>
          <t>G|ORIG_BAL x ASSET_CLASS|outcome_loans|book|3</t>
        </is>
      </c>
      <c r="B493" t="n">
        <v>0.8659377446163582</v>
      </c>
      <c r="C493" t="n">
        <v>0.6895973971940372</v>
      </c>
      <c r="D493" t="n">
        <v>0.7042210121801447</v>
      </c>
      <c r="E493" t="n">
        <v>1.285972520664397</v>
      </c>
      <c r="F493" t="n">
        <v>0.8895307340961339</v>
      </c>
    </row>
    <row r="494">
      <c r="A494" t="inlineStr">
        <is>
          <t>G|ORIG_BAL x ASSET_CLASS|outcome_loans|band|3</t>
        </is>
      </c>
      <c r="B494" t="n">
        <v>0.9652675503190967</v>
      </c>
      <c r="C494" t="n">
        <v>0.7158172653812305</v>
      </c>
      <c r="D494" t="n">
        <v>0.7453829851650015</v>
      </c>
      <c r="E494" t="n">
        <v>1.710496693400872</v>
      </c>
    </row>
    <row r="495">
      <c r="A495" t="inlineStr">
        <is>
          <t>G|ORIG_BAL x ASSET_CLASS|outcome_loans|rate|4</t>
        </is>
      </c>
      <c r="B495" t="n">
        <v>0.05208333333333334</v>
      </c>
      <c r="C495" t="n">
        <v>0.06190476190476191</v>
      </c>
      <c r="D495" t="n">
        <v>0.0968586387434555</v>
      </c>
      <c r="E495" t="n">
        <v>0.1231884057971015</v>
      </c>
      <c r="F495" t="n">
        <v>0.08375</v>
      </c>
    </row>
    <row r="496">
      <c r="A496" t="inlineStr">
        <is>
          <t>G|ORIG_BAL x ASSET_CLASS|outcome_loans|book|4</t>
        </is>
      </c>
      <c r="B496" t="n">
        <v>0.6730445611200861</v>
      </c>
      <c r="C496" t="n">
        <v>0.799961535502731</v>
      </c>
      <c r="D496" t="n">
        <v>1.251651456072537</v>
      </c>
      <c r="E496" t="n">
        <v>1.59189670108403</v>
      </c>
      <c r="F496" t="n">
        <v>1.082255654281099</v>
      </c>
    </row>
    <row r="497">
      <c r="A497" t="inlineStr">
        <is>
          <t>G|ORIG_BAL x ASSET_CLASS|outcome_loans|band|4</t>
        </is>
      </c>
      <c r="B497" t="n">
        <v>0.5555555555555556</v>
      </c>
      <c r="C497" t="n">
        <v>0.6763668430335097</v>
      </c>
      <c r="D497" t="n">
        <v>1.216224968964214</v>
      </c>
      <c r="E497" t="n">
        <v>1.760258425004366</v>
      </c>
    </row>
    <row r="498">
      <c r="A498" t="inlineStr">
        <is>
          <t>G|ORIG_BAL x ASSET_CLASS|outcome_loans|rate|5</t>
        </is>
      </c>
      <c r="B498" t="n">
        <v>0.06295399515738499</v>
      </c>
      <c r="C498" t="n">
        <v>0.06030150753768844</v>
      </c>
      <c r="D498" t="n">
        <v>0.04938271604938271</v>
      </c>
      <c r="E498" t="n">
        <v>0.0859375</v>
      </c>
      <c r="F498" t="n">
        <v>0.064375</v>
      </c>
    </row>
    <row r="499">
      <c r="A499" t="inlineStr">
        <is>
          <t>G|ORIG_BAL x ASSET_CLASS|outcome_loans|book|5</t>
        </is>
      </c>
      <c r="B499" t="n">
        <v>0.8135202055959977</v>
      </c>
      <c r="C499" t="n">
        <v>0.7792435521711952</v>
      </c>
      <c r="D499" t="n">
        <v>0.6381459542471928</v>
      </c>
      <c r="E499" t="n">
        <v>1.110523525848142</v>
      </c>
      <c r="F499" t="n">
        <v>0.8318830775444265</v>
      </c>
    </row>
    <row r="500">
      <c r="A500" t="inlineStr">
        <is>
          <t>G|ORIG_BAL x ASSET_CLASS|outcome_loans|band|5</t>
        </is>
      </c>
      <c r="B500" t="n">
        <v>0.970472626646961</v>
      </c>
      <c r="C500" t="n">
        <v>0.9174988868392596</v>
      </c>
      <c r="D500" t="n">
        <v>0.7109921166146065</v>
      </c>
      <c r="E500" t="n">
        <v>1.492857142857143</v>
      </c>
    </row>
    <row r="501">
      <c r="A501" t="inlineStr">
        <is>
          <t>G|ORIG_BAL x ASSET_CLASS|outcome_loans|rate|6</t>
        </is>
      </c>
      <c r="C501" t="n">
        <v>0</v>
      </c>
      <c r="F501" t="n">
        <v>0</v>
      </c>
    </row>
    <row r="502">
      <c r="A502" t="inlineStr">
        <is>
          <t>G|ORIG_BAL x ASSET_CLASS|outcome_loans|book|6</t>
        </is>
      </c>
    </row>
    <row r="503">
      <c r="A503" t="inlineStr">
        <is>
          <t>G|ORIG_BAL x ASSET_CLASS|outcome_loans|band|6</t>
        </is>
      </c>
    </row>
    <row r="504">
      <c r="A504" t="inlineStr">
        <is>
          <t>G|ORIG_BAL x ASSET_CLASS|outcome_loans|rate|7</t>
        </is>
      </c>
      <c r="B504" t="n">
        <v>0.06779661016949153</v>
      </c>
      <c r="C504" t="n">
        <v>0.06069651741293532</v>
      </c>
      <c r="D504" t="n">
        <v>0.07648578811369509</v>
      </c>
      <c r="E504" t="n">
        <v>0.10400390625</v>
      </c>
      <c r="F504" t="n">
        <v>0.07738467308413552</v>
      </c>
    </row>
    <row r="505">
      <c r="A505" t="inlineStr">
        <is>
          <t>G|ORIG_BAL x ASSET_CLASS|outcome_loans|book|7</t>
        </is>
      </c>
      <c r="B505" t="n">
        <v>0.8760986829495359</v>
      </c>
      <c r="C505" t="n">
        <v>0.784348049735169</v>
      </c>
      <c r="D505" t="n">
        <v>0.9883841989037917</v>
      </c>
      <c r="E505" t="n">
        <v>1.343985857986672</v>
      </c>
      <c r="F505" t="n">
        <v>1</v>
      </c>
    </row>
    <row r="506">
      <c r="A506" t="inlineStr">
        <is>
          <t>G|ORIG_BAL x ASSET_CLASS|outcome_loans|band|7</t>
        </is>
      </c>
    </row>
    <row r="507">
      <c r="A507" t="inlineStr">
        <is>
          <t>G|ORIG_BAL x ASSET_CLASS|outcome_loans|meta</t>
        </is>
      </c>
      <c r="B507" t="inlineStr">
        <is>
          <t>x</t>
        </is>
      </c>
      <c r="C507" t="n">
        <v>1.760258425004366</v>
      </c>
      <c r="D507" t="n">
        <v>10</v>
      </c>
    </row>
    <row r="508">
      <c r="A508" t="inlineStr">
        <is>
          <t>G|ORIG_BAL x ASSET_CLASS|outcome_booked|rate|1</t>
        </is>
      </c>
      <c r="B508" t="n">
        <v>0.06159312716859232</v>
      </c>
      <c r="C508" t="n">
        <v>0.06335027854409166</v>
      </c>
      <c r="D508" t="n">
        <v>0.0772159794425423</v>
      </c>
      <c r="E508" t="n">
        <v>0.100048562735548</v>
      </c>
      <c r="F508" t="n">
        <v>0.07557453391360711</v>
      </c>
    </row>
    <row r="509">
      <c r="A509" t="inlineStr">
        <is>
          <t>G|ORIG_BAL x ASSET_CLASS|outcome_booked|book|1</t>
        </is>
      </c>
      <c r="B509" t="n">
        <v>0.8231198512391747</v>
      </c>
      <c r="C509" t="n">
        <v>0.8466021169609135</v>
      </c>
      <c r="D509" t="n">
        <v>1.03190093495435</v>
      </c>
      <c r="E509" t="n">
        <v>1.337031611500489</v>
      </c>
      <c r="F509" t="n">
        <v>1.009964942065142</v>
      </c>
    </row>
    <row r="510">
      <c r="A510" t="inlineStr">
        <is>
          <t>G|ORIG_BAL x ASSET_CLASS|outcome_booked|band|1</t>
        </is>
      </c>
      <c r="B510" t="n">
        <v>0.7648073422268861</v>
      </c>
      <c r="C510" t="n">
        <v>0.7939162699597196</v>
      </c>
      <c r="D510" t="n">
        <v>1.027958419708674</v>
      </c>
      <c r="E510" t="n">
        <v>1.496936474351225</v>
      </c>
    </row>
    <row r="511">
      <c r="A511" t="inlineStr">
        <is>
          <t>G|ORIG_BAL x ASSET_CLASS|outcome_booked|rate|2</t>
        </is>
      </c>
      <c r="B511" t="n">
        <v>0.09500769304133913</v>
      </c>
      <c r="C511" t="n">
        <v>0.0630994851011092</v>
      </c>
      <c r="D511" t="n">
        <v>0.1007157042828881</v>
      </c>
      <c r="E511" t="n">
        <v>0.1120522412356989</v>
      </c>
      <c r="F511" t="n">
        <v>0.09377887022910673</v>
      </c>
    </row>
    <row r="512">
      <c r="A512" t="inlineStr">
        <is>
          <t>G|ORIG_BAL x ASSET_CLASS|outcome_booked|book|2</t>
        </is>
      </c>
      <c r="B512" t="n">
        <v>1.269666304630195</v>
      </c>
      <c r="C512" t="n">
        <v>0.8432505569578885</v>
      </c>
      <c r="D512" t="n">
        <v>1.345947175240238</v>
      </c>
      <c r="E512" t="n">
        <v>1.49744668564216</v>
      </c>
      <c r="F512" t="n">
        <v>1.253244530044282</v>
      </c>
    </row>
    <row r="513">
      <c r="A513" t="inlineStr">
        <is>
          <t>G|ORIG_BAL x ASSET_CLASS|outcome_booked|band|2</t>
        </is>
      </c>
      <c r="B513" t="n">
        <v>1.017579450518085</v>
      </c>
      <c r="C513" t="n">
        <v>0.6145855137555094</v>
      </c>
      <c r="D513" t="n">
        <v>1.103209314998397</v>
      </c>
      <c r="E513" t="n">
        <v>1.282768045363396</v>
      </c>
    </row>
    <row r="514">
      <c r="A514" t="inlineStr">
        <is>
          <t>G|ORIG_BAL x ASSET_CLASS|outcome_booked|rate|3</t>
        </is>
      </c>
      <c r="B514" t="n">
        <v>0.06610481658734428</v>
      </c>
      <c r="C514" t="n">
        <v>0.05298171919623473</v>
      </c>
      <c r="D514" t="n">
        <v>0.05443458258166008</v>
      </c>
      <c r="E514" t="n">
        <v>0.09853094093699255</v>
      </c>
      <c r="F514" t="n">
        <v>0.06822026696935882</v>
      </c>
    </row>
    <row r="515">
      <c r="A515" t="inlineStr">
        <is>
          <t>G|ORIG_BAL x ASSET_CLASS|outcome_booked|book|3</t>
        </is>
      </c>
      <c r="B515" t="n">
        <v>0.8834132848398989</v>
      </c>
      <c r="C515" t="n">
        <v>0.7080384911100651</v>
      </c>
      <c r="D515" t="n">
        <v>0.7274543049947668</v>
      </c>
      <c r="E515" t="n">
        <v>1.316750377432846</v>
      </c>
      <c r="F515" t="n">
        <v>0.911683796239352</v>
      </c>
    </row>
    <row r="516">
      <c r="A516" t="inlineStr">
        <is>
          <t>G|ORIG_BAL x ASSET_CLASS|outcome_booked|band|3</t>
        </is>
      </c>
      <c r="B516" t="n">
        <v>0.9594698355545536</v>
      </c>
      <c r="C516" t="n">
        <v>0.71695430053061</v>
      </c>
      <c r="D516" t="n">
        <v>0.7528171359346884</v>
      </c>
      <c r="E516" t="n">
        <v>1.707245307730205</v>
      </c>
    </row>
    <row r="517">
      <c r="A517" t="inlineStr">
        <is>
          <t>G|ORIG_BAL x ASSET_CLASS|outcome_booked|rate|4</t>
        </is>
      </c>
      <c r="B517" t="n">
        <v>0.05153897170066326</v>
      </c>
      <c r="C517" t="n">
        <v>0.06184553381985863</v>
      </c>
      <c r="D517" t="n">
        <v>0.09542846063213327</v>
      </c>
      <c r="E517" t="n">
        <v>0.122436458703013</v>
      </c>
      <c r="F517" t="n">
        <v>0.08308928618120671</v>
      </c>
    </row>
    <row r="518">
      <c r="A518" t="inlineStr">
        <is>
          <t>G|ORIG_BAL x ASSET_CLASS|outcome_booked|book|4</t>
        </is>
      </c>
      <c r="B518" t="n">
        <v>0.6887578642199915</v>
      </c>
      <c r="C518" t="n">
        <v>0.8264929698774511</v>
      </c>
      <c r="D518" t="n">
        <v>1.275289369615882</v>
      </c>
      <c r="E518" t="n">
        <v>1.636219563881233</v>
      </c>
      <c r="F518" t="n">
        <v>1.110390785871949</v>
      </c>
    </row>
    <row r="519">
      <c r="A519" t="inlineStr">
        <is>
          <t>G|ORIG_BAL x ASSET_CLASS|outcome_booked|band|4</t>
        </is>
      </c>
      <c r="B519" t="n">
        <v>0.5539507937480281</v>
      </c>
      <c r="C519" t="n">
        <v>0.6822277092854625</v>
      </c>
      <c r="D519" t="n">
        <v>1.204533091203828</v>
      </c>
      <c r="E519" t="n">
        <v>1.766188562147983</v>
      </c>
    </row>
    <row r="520">
      <c r="A520" t="inlineStr">
        <is>
          <t>G|ORIG_BAL x ASSET_CLASS|outcome_booked|rate|5</t>
        </is>
      </c>
      <c r="B520" t="n">
        <v>0.06324026464407033</v>
      </c>
      <c r="C520" t="n">
        <v>0.0609452094879577</v>
      </c>
      <c r="D520" t="n">
        <v>0.04890502502359838</v>
      </c>
      <c r="E520" t="n">
        <v>0.0868866799235171</v>
      </c>
      <c r="F520" t="n">
        <v>0.06473600628619965</v>
      </c>
    </row>
    <row r="521">
      <c r="A521" t="inlineStr">
        <is>
          <t>G|ORIG_BAL x ASSET_CLASS|outcome_booked|book|5</t>
        </is>
      </c>
      <c r="B521" t="n">
        <v>0.8451319103131502</v>
      </c>
      <c r="C521" t="n">
        <v>0.8144611919144191</v>
      </c>
      <c r="D521" t="n">
        <v>0.6535582584090514</v>
      </c>
      <c r="E521" t="n">
        <v>1.161138496143444</v>
      </c>
      <c r="F521" t="n">
        <v>0.8651207417714354</v>
      </c>
    </row>
    <row r="522">
      <c r="A522" t="inlineStr">
        <is>
          <t>G|ORIG_BAL x ASSET_CLASS|outcome_booked|band|5</t>
        </is>
      </c>
      <c r="B522" t="n">
        <v>0.9691172409974351</v>
      </c>
      <c r="C522" t="n">
        <v>0.923558470540621</v>
      </c>
      <c r="D522" t="n">
        <v>0.6976779333954026</v>
      </c>
      <c r="E522" t="n">
        <v>1.505495894710763</v>
      </c>
    </row>
    <row r="523">
      <c r="A523" t="inlineStr">
        <is>
          <t>G|ORIG_BAL x ASSET_CLASS|outcome_booked|rate|6</t>
        </is>
      </c>
    </row>
    <row r="524">
      <c r="A524" t="inlineStr">
        <is>
          <t>G|ORIG_BAL x ASSET_CLASS|outcome_booked|book|6</t>
        </is>
      </c>
    </row>
    <row r="525">
      <c r="A525" t="inlineStr">
        <is>
          <t>G|ORIG_BAL x ASSET_CLASS|outcome_booked|band|6</t>
        </is>
      </c>
    </row>
    <row r="526">
      <c r="A526" t="inlineStr">
        <is>
          <t>G|ORIG_BAL x ASSET_CLASS|outcome_booked|rate|7</t>
        </is>
      </c>
      <c r="B526" t="n">
        <v>0.06479266841209205</v>
      </c>
      <c r="C526" t="n">
        <v>0.05990447229803187</v>
      </c>
      <c r="D526" t="n">
        <v>0.07111558928800162</v>
      </c>
      <c r="E526" t="n">
        <v>0.1032953749844734</v>
      </c>
      <c r="F526" t="n">
        <v>0.07482886857347225</v>
      </c>
    </row>
    <row r="527">
      <c r="A527" t="inlineStr">
        <is>
          <t>G|ORIG_BAL x ASSET_CLASS|outcome_booked|book|7</t>
        </is>
      </c>
      <c r="B527" t="n">
        <v>0.8658779645782558</v>
      </c>
      <c r="C527" t="n">
        <v>0.8005529609099109</v>
      </c>
      <c r="D527" t="n">
        <v>0.9503763807169586</v>
      </c>
      <c r="E527" t="n">
        <v>1.380421446343942</v>
      </c>
      <c r="F527" t="n">
        <v>0.9999999999999987</v>
      </c>
    </row>
    <row r="528">
      <c r="A528" t="inlineStr">
        <is>
          <t>G|ORIG_BAL x ASSET_CLASS|outcome_booked|band|7</t>
        </is>
      </c>
    </row>
    <row r="529">
      <c r="A529" t="inlineStr">
        <is>
          <t>G|ORIG_BAL x ASSET_CLASS|outcome_booked|meta</t>
        </is>
      </c>
      <c r="B529" t="inlineStr">
        <is>
          <t>x</t>
        </is>
      </c>
      <c r="C529" t="n">
        <v>1.766188562147983</v>
      </c>
      <c r="D529" t="n">
        <v>10</v>
      </c>
    </row>
    <row r="530">
      <c r="A530" t="inlineStr">
        <is>
          <t>G|ORIG_BAL x ASSET_CLASS|gco_rate|rate|1</t>
        </is>
      </c>
      <c r="B530" t="n">
        <v>0.03283146319913356</v>
      </c>
      <c r="C530" t="n">
        <v>0.03528342542722491</v>
      </c>
      <c r="D530" t="n">
        <v>0.04589589159754918</v>
      </c>
      <c r="E530" t="n">
        <v>0.05215126423873779</v>
      </c>
      <c r="F530" t="n">
        <v>0.04139745179629655</v>
      </c>
    </row>
    <row r="531">
      <c r="A531" t="inlineStr">
        <is>
          <t>G|ORIG_BAL x ASSET_CLASS|gco_rate|book|1</t>
        </is>
      </c>
      <c r="B531" t="n">
        <v>0.7891179862955422</v>
      </c>
      <c r="C531" t="n">
        <v>0.8480519267102126</v>
      </c>
      <c r="D531" t="n">
        <v>1.103127001590727</v>
      </c>
      <c r="E531" t="n">
        <v>1.253477506294193</v>
      </c>
      <c r="F531" t="n">
        <v>0.995005114487935</v>
      </c>
    </row>
    <row r="532">
      <c r="A532" t="inlineStr">
        <is>
          <t>G|ORIG_BAL x ASSET_CLASS|gco_rate|band|1</t>
        </is>
      </c>
      <c r="B532" t="n">
        <v>0.7388470693004106</v>
      </c>
      <c r="C532" t="n">
        <v>0.8109609142062252</v>
      </c>
      <c r="D532" t="n">
        <v>1.143382981592577</v>
      </c>
      <c r="E532" t="n">
        <v>1.388568780382755</v>
      </c>
    </row>
    <row r="533">
      <c r="A533" t="inlineStr">
        <is>
          <t>G|ORIG_BAL x ASSET_CLASS|gco_rate|rate|2</t>
        </is>
      </c>
      <c r="B533" t="n">
        <v>0.05479327214857932</v>
      </c>
      <c r="C533" t="n">
        <v>0.03430330474833616</v>
      </c>
      <c r="D533" t="n">
        <v>0.05821876574501091</v>
      </c>
      <c r="E533" t="n">
        <v>0.06273803182793203</v>
      </c>
      <c r="F533" t="n">
        <v>0.05316017920478749</v>
      </c>
    </row>
    <row r="534">
      <c r="A534" t="inlineStr">
        <is>
          <t>G|ORIG_BAL x ASSET_CLASS|gco_rate|book|2</t>
        </is>
      </c>
      <c r="B534" t="n">
        <v>1.316979274367876</v>
      </c>
      <c r="C534" t="n">
        <v>0.8244943151666697</v>
      </c>
      <c r="D534" t="n">
        <v>1.399312449483742</v>
      </c>
      <c r="E534" t="n">
        <v>1.50793490500021</v>
      </c>
      <c r="F534" t="n">
        <v>1.277727200604911</v>
      </c>
    </row>
    <row r="535">
      <c r="A535" t="inlineStr">
        <is>
          <t>G|ORIG_BAL x ASSET_CLASS|gco_rate|band|2</t>
        </is>
      </c>
      <c r="B535" t="n">
        <v>1.041460341846746</v>
      </c>
      <c r="C535" t="n">
        <v>0.5851305808967144</v>
      </c>
      <c r="D535" t="n">
        <v>1.133815158672301</v>
      </c>
      <c r="E535" t="n">
        <v>1.260013977986451</v>
      </c>
    </row>
    <row r="536">
      <c r="A536" t="inlineStr">
        <is>
          <t>G|ORIG_BAL x ASSET_CLASS|gco_rate|rate|3</t>
        </is>
      </c>
      <c r="B536" t="n">
        <v>0.03610668619158509</v>
      </c>
      <c r="C536" t="n">
        <v>0.02813352095832473</v>
      </c>
      <c r="D536" t="n">
        <v>0.03147978163360925</v>
      </c>
      <c r="E536" t="n">
        <v>0.05387336475321401</v>
      </c>
      <c r="F536" t="n">
        <v>0.03745072983796681</v>
      </c>
    </row>
    <row r="537">
      <c r="A537" t="inlineStr">
        <is>
          <t>G|ORIG_BAL x ASSET_CLASS|gco_rate|book|3</t>
        </is>
      </c>
      <c r="B537" t="n">
        <v>0.8678393444268004</v>
      </c>
      <c r="C537" t="n">
        <v>0.6762009743940541</v>
      </c>
      <c r="D537" t="n">
        <v>0.7566297530227863</v>
      </c>
      <c r="E537" t="n">
        <v>1.294868914345048</v>
      </c>
      <c r="F537" t="n">
        <v>0.9001439971099026</v>
      </c>
    </row>
    <row r="538">
      <c r="A538" t="inlineStr">
        <is>
          <t>G|ORIG_BAL x ASSET_CLASS|gco_rate|band|3</t>
        </is>
      </c>
      <c r="B538" t="n">
        <v>0.9531752233587916</v>
      </c>
      <c r="C538" t="n">
        <v>0.6873293826115112</v>
      </c>
      <c r="D538" t="n">
        <v>0.8026560627618921</v>
      </c>
      <c r="E538" t="n">
        <v>1.696076466137317</v>
      </c>
    </row>
    <row r="539">
      <c r="A539" t="inlineStr">
        <is>
          <t>G|ORIG_BAL x ASSET_CLASS|gco_rate|rate|4</t>
        </is>
      </c>
      <c r="B539" t="n">
        <v>0.0298348592435414</v>
      </c>
      <c r="C539" t="n">
        <v>0.03478787457424267</v>
      </c>
      <c r="D539" t="n">
        <v>0.05335130250834706</v>
      </c>
      <c r="E539" t="n">
        <v>0.06846243951895585</v>
      </c>
      <c r="F539" t="n">
        <v>0.04676588351390013</v>
      </c>
    </row>
    <row r="540">
      <c r="A540" t="inlineStr">
        <is>
          <t>G|ORIG_BAL x ASSET_CLASS|gco_rate|book|4</t>
        </is>
      </c>
      <c r="B540" t="n">
        <v>0.7170933535577437</v>
      </c>
      <c r="C540" t="n">
        <v>0.8361411541430398</v>
      </c>
      <c r="D540" t="n">
        <v>1.282320929356027</v>
      </c>
      <c r="E540" t="n">
        <v>1.645523444459355</v>
      </c>
      <c r="F540" t="n">
        <v>1.124037622142734</v>
      </c>
    </row>
    <row r="541">
      <c r="A541" t="inlineStr">
        <is>
          <t>G|ORIG_BAL x ASSET_CLASS|gco_rate|band|4</t>
        </is>
      </c>
      <c r="B541" t="n">
        <v>0.5727282750834974</v>
      </c>
      <c r="C541" t="n">
        <v>0.681667389442232</v>
      </c>
      <c r="D541" t="n">
        <v>1.193496810785595</v>
      </c>
      <c r="E541" t="n">
        <v>1.747881588717982</v>
      </c>
    </row>
    <row r="542">
      <c r="A542" t="inlineStr">
        <is>
          <t>G|ORIG_BAL x ASSET_CLASS|gco_rate|rate|5</t>
        </is>
      </c>
      <c r="B542" t="n">
        <v>0.03577416403630683</v>
      </c>
      <c r="C542" t="n">
        <v>0.03274575516062664</v>
      </c>
      <c r="D542" t="n">
        <v>0.02585489295906459</v>
      </c>
      <c r="E542" t="n">
        <v>0.04840469196655259</v>
      </c>
      <c r="F542" t="n">
        <v>0.03555289463498783</v>
      </c>
    </row>
    <row r="543">
      <c r="A543" t="inlineStr">
        <is>
          <t>G|ORIG_BAL x ASSET_CLASS|gco_rate|book|5</t>
        </is>
      </c>
      <c r="B543" t="n">
        <v>0.8598470349771636</v>
      </c>
      <c r="C543" t="n">
        <v>0.7870579576472393</v>
      </c>
      <c r="D543" t="n">
        <v>0.6214331948593225</v>
      </c>
      <c r="E543" t="n">
        <v>1.163427070558038</v>
      </c>
      <c r="F543" t="n">
        <v>0.8545287321242382</v>
      </c>
    </row>
    <row r="544">
      <c r="A544" t="inlineStr">
        <is>
          <t>G|ORIG_BAL x ASSET_CLASS|gco_rate|band|5</t>
        </is>
      </c>
      <c r="B544" t="n">
        <v>1.008403556060723</v>
      </c>
      <c r="C544" t="n">
        <v>0.8976072147098674</v>
      </c>
      <c r="D544" t="n">
        <v>0.6657296163645642</v>
      </c>
      <c r="E544" t="n">
        <v>1.537723430764651</v>
      </c>
    </row>
    <row r="545">
      <c r="A545" t="inlineStr">
        <is>
          <t>G|ORIG_BAL x ASSET_CLASS|gco_rate|rate|6</t>
        </is>
      </c>
    </row>
    <row r="546">
      <c r="A546" t="inlineStr">
        <is>
          <t>G|ORIG_BAL x ASSET_CLASS|gco_rate|book|6</t>
        </is>
      </c>
    </row>
    <row r="547">
      <c r="A547" t="inlineStr">
        <is>
          <t>G|ORIG_BAL x ASSET_CLASS|gco_rate|band|6</t>
        </is>
      </c>
    </row>
    <row r="548">
      <c r="A548" t="inlineStr">
        <is>
          <t>G|ORIG_BAL x ASSET_CLASS|gco_rate|rate|7</t>
        </is>
      </c>
      <c r="B548" t="n">
        <v>0.03658802020131283</v>
      </c>
      <c r="C548" t="n">
        <v>0.03267264405351186</v>
      </c>
      <c r="D548" t="n">
        <v>0.03985339591963971</v>
      </c>
      <c r="E548" t="n">
        <v>0.05721698514012345</v>
      </c>
      <c r="F548" t="n">
        <v>0.04160526533333563</v>
      </c>
    </row>
    <row r="549">
      <c r="A549" t="inlineStr">
        <is>
          <t>G|ORIG_BAL x ASSET_CLASS|gco_rate|book|7</t>
        </is>
      </c>
      <c r="B549" t="n">
        <v>0.8794084092043316</v>
      </c>
      <c r="C549" t="n">
        <v>0.7853007015276346</v>
      </c>
      <c r="D549" t="n">
        <v>0.9578930839724203</v>
      </c>
      <c r="E549" t="n">
        <v>1.375234232535446</v>
      </c>
      <c r="F549" t="n">
        <v>0.9999999999999994</v>
      </c>
    </row>
    <row r="550">
      <c r="A550" t="inlineStr">
        <is>
          <t>G|ORIG_BAL x ASSET_CLASS|gco_rate|band|7</t>
        </is>
      </c>
    </row>
    <row r="551">
      <c r="A551" t="inlineStr">
        <is>
          <t>G|ORIG_BAL x ASSET_CLASS|gco_rate|meta</t>
        </is>
      </c>
      <c r="B551" t="inlineStr">
        <is>
          <t>x</t>
        </is>
      </c>
      <c r="C551" t="n">
        <v>1.747881588717982</v>
      </c>
      <c r="D551" t="n">
        <v>10</v>
      </c>
    </row>
    <row r="552">
      <c r="A552" t="inlineStr">
        <is>
          <t>G|ORIG_BAL x ASSET_CLASS|ranr_rate|rate|1</t>
        </is>
      </c>
      <c r="B552" t="n">
        <v>0.1628492627009603</v>
      </c>
      <c r="C552" t="n">
        <v>0.140606734996523</v>
      </c>
      <c r="D552" t="n">
        <v>0.1432613490537175</v>
      </c>
      <c r="E552" t="n">
        <v>0.1393497515662889</v>
      </c>
      <c r="F552" t="n">
        <v>0.1466798967561384</v>
      </c>
    </row>
    <row r="553">
      <c r="A553" t="inlineStr">
        <is>
          <t>G|ORIG_BAL x ASSET_CLASS|ranr_rate|book|1</t>
        </is>
      </c>
      <c r="B553" t="n">
        <v>3.485921305</v>
      </c>
      <c r="C553" t="n">
        <v>1.261668535</v>
      </c>
      <c r="D553" t="n">
        <v>1.527129941</v>
      </c>
      <c r="E553" t="n">
        <v>1.135970192</v>
      </c>
      <c r="F553" t="n">
        <v>1.868984711</v>
      </c>
    </row>
    <row r="554">
      <c r="A554" t="inlineStr">
        <is>
          <t>G|ORIG_BAL x ASSET_CLASS|ranr_rate|band|1</t>
        </is>
      </c>
      <c r="B554" t="n">
        <v>2.190514264</v>
      </c>
      <c r="C554" t="n">
        <v>-0.816977259</v>
      </c>
      <c r="D554" t="n">
        <v>-0.437380509</v>
      </c>
      <c r="E554" t="n">
        <v>-0.9947534810000001</v>
      </c>
    </row>
    <row r="555">
      <c r="A555" t="inlineStr">
        <is>
          <t>G|ORIG_BAL x ASSET_CLASS|ranr_rate|rate|2</t>
        </is>
      </c>
      <c r="B555" t="n">
        <v>0.127064421179836</v>
      </c>
      <c r="C555" t="n">
        <v>0.1280604573540226</v>
      </c>
      <c r="D555" t="n">
        <v>0.1118381240527463</v>
      </c>
      <c r="E555" t="n">
        <v>0.1108767580785904</v>
      </c>
      <c r="F555" t="n">
        <v>0.1190597270318928</v>
      </c>
    </row>
    <row r="556">
      <c r="A556" t="inlineStr">
        <is>
          <t>G|ORIG_BAL x ASSET_CLASS|ranr_rate|book|2</t>
        </is>
      </c>
      <c r="B556" t="n">
        <v>-0.092562847</v>
      </c>
      <c r="C556" t="n">
        <v>0.007040771</v>
      </c>
      <c r="D556" t="n">
        <v>-1.61519256</v>
      </c>
      <c r="E556" t="n">
        <v>-1.711329157</v>
      </c>
      <c r="F556" t="n">
        <v>-0.893032262</v>
      </c>
    </row>
    <row r="557">
      <c r="A557" t="inlineStr">
        <is>
          <t>G|ORIG_BAL x ASSET_CLASS|ranr_rate|band|2</t>
        </is>
      </c>
      <c r="B557" t="n">
        <v>1.069180965</v>
      </c>
      <c r="C557" t="n">
        <v>1.160920896</v>
      </c>
      <c r="D557" t="n">
        <v>-0.980912961</v>
      </c>
      <c r="E557" t="n">
        <v>-1.106101487</v>
      </c>
    </row>
    <row r="558">
      <c r="A558" t="inlineStr">
        <is>
          <t>G|ORIG_BAL x ASSET_CLASS|ranr_rate|rate|3</t>
        </is>
      </c>
      <c r="B558" t="n">
        <v>0.1350298165393446</v>
      </c>
      <c r="C558" t="n">
        <v>0.132351642063907</v>
      </c>
      <c r="D558" t="n">
        <v>0.1351692687118144</v>
      </c>
      <c r="E558" t="n">
        <v>0.1232354186435214</v>
      </c>
      <c r="F558" t="n">
        <v>0.1312994440713134</v>
      </c>
    </row>
    <row r="559">
      <c r="A559" t="inlineStr">
        <is>
          <t>G|ORIG_BAL x ASSET_CLASS|ranr_rate|book|3</t>
        </is>
      </c>
      <c r="B559" t="n">
        <v>0.703976689</v>
      </c>
      <c r="C559" t="n">
        <v>0.436159242</v>
      </c>
      <c r="D559" t="n">
        <v>0.7179219060000001</v>
      </c>
      <c r="E559" t="n">
        <v>-0.4754631</v>
      </c>
      <c r="F559" t="n">
        <v>0.330939442</v>
      </c>
    </row>
    <row r="560">
      <c r="A560" t="inlineStr">
        <is>
          <t>G|ORIG_BAL x ASSET_CLASS|ranr_rate|band|3</t>
        </is>
      </c>
      <c r="B560" t="n">
        <v>0.492299535</v>
      </c>
      <c r="C560" t="n">
        <v>0.144529961</v>
      </c>
      <c r="D560" t="n">
        <v>0.5016190149999999</v>
      </c>
      <c r="E560" t="n">
        <v>-1.085662092</v>
      </c>
    </row>
    <row r="561">
      <c r="A561" t="inlineStr">
        <is>
          <t>G|ORIG_BAL x ASSET_CLASS|ranr_rate|rate|4</t>
        </is>
      </c>
      <c r="B561" t="n">
        <v>0.1349320389745104</v>
      </c>
      <c r="C561" t="n">
        <v>0.1364308528800312</v>
      </c>
      <c r="D561" t="n">
        <v>0.1153623079942106</v>
      </c>
      <c r="E561" t="n">
        <v>0.1031818979258365</v>
      </c>
      <c r="F561" t="n">
        <v>0.1224284738147316</v>
      </c>
    </row>
    <row r="562">
      <c r="A562" t="inlineStr">
        <is>
          <t>G|ORIG_BAL x ASSET_CLASS|ranr_rate|book|4</t>
        </is>
      </c>
      <c r="B562" t="n">
        <v>0.694198933</v>
      </c>
      <c r="C562" t="n">
        <v>0.844080323</v>
      </c>
      <c r="D562" t="n">
        <v>-1.262774165</v>
      </c>
      <c r="E562" t="n">
        <v>-2.480815172</v>
      </c>
      <c r="F562" t="n">
        <v>-0.556157583</v>
      </c>
    </row>
    <row r="563">
      <c r="A563" t="inlineStr">
        <is>
          <t>G|ORIG_BAL x ASSET_CLASS|ranr_rate|band|4</t>
        </is>
      </c>
      <c r="B563" t="n">
        <v>1.64466519</v>
      </c>
      <c r="C563" t="n">
        <v>1.898740495</v>
      </c>
      <c r="D563" t="n">
        <v>-0.927941259</v>
      </c>
      <c r="E563" t="n">
        <v>-2.598060758</v>
      </c>
    </row>
    <row r="564">
      <c r="A564" t="inlineStr">
        <is>
          <t>G|ORIG_BAL x ASSET_CLASS|ranr_rate|rate|5</t>
        </is>
      </c>
      <c r="B564" t="n">
        <v>0.1373835571748551</v>
      </c>
      <c r="C564" t="n">
        <v>0.1276827512674985</v>
      </c>
      <c r="D564" t="n">
        <v>0.1342645011542852</v>
      </c>
      <c r="E564" t="n">
        <v>0.1217640084646423</v>
      </c>
      <c r="F564" t="n">
        <v>0.1304237269597046</v>
      </c>
    </row>
    <row r="565">
      <c r="A565" t="inlineStr">
        <is>
          <t>G|ORIG_BAL x ASSET_CLASS|ranr_rate|book|5</t>
        </is>
      </c>
      <c r="B565" t="n">
        <v>0.939350753</v>
      </c>
      <c r="C565" t="n">
        <v>-0.030729838</v>
      </c>
      <c r="D565" t="n">
        <v>0.627445151</v>
      </c>
      <c r="E565" t="n">
        <v>-0.622604118</v>
      </c>
      <c r="F565" t="n">
        <v>0.243367731</v>
      </c>
    </row>
    <row r="566">
      <c r="A566" t="inlineStr">
        <is>
          <t>G|ORIG_BAL x ASSET_CLASS|ranr_rate|band|5</t>
        </is>
      </c>
      <c r="B566" t="n">
        <v>0.937725037</v>
      </c>
      <c r="C566" t="n">
        <v>-0.364736499</v>
      </c>
      <c r="D566" t="n">
        <v>0.514137506</v>
      </c>
      <c r="E566" t="n">
        <v>-1.140533631</v>
      </c>
    </row>
    <row r="567">
      <c r="A567" t="inlineStr">
        <is>
          <t>G|ORIG_BAL x ASSET_CLASS|ranr_rate|rate|6</t>
        </is>
      </c>
    </row>
    <row r="568">
      <c r="A568" t="inlineStr">
        <is>
          <t>G|ORIG_BAL x ASSET_CLASS|ranr_rate|book|6</t>
        </is>
      </c>
    </row>
    <row r="569">
      <c r="A569" t="inlineStr">
        <is>
          <t>G|ORIG_BAL x ASSET_CLASS|ranr_rate|band|6</t>
        </is>
      </c>
    </row>
    <row r="570">
      <c r="A570" t="inlineStr">
        <is>
          <t>G|ORIG_BAL x ASSET_CLASS|ranr_rate|rate|7</t>
        </is>
      </c>
      <c r="B570" t="n">
        <v>0.1366271301464631</v>
      </c>
      <c r="C570" t="n">
        <v>0.1319777891966655</v>
      </c>
      <c r="D570" t="n">
        <v>0.1267931865560143</v>
      </c>
      <c r="E570" t="n">
        <v>0.1166197094471362</v>
      </c>
      <c r="F570" t="n">
        <v>0.1279900496481476</v>
      </c>
    </row>
    <row r="571">
      <c r="A571" t="inlineStr">
        <is>
          <t>G|ORIG_BAL x ASSET_CLASS|ranr_rate|book|7</t>
        </is>
      </c>
      <c r="B571" t="n">
        <v>0.8637080499999999</v>
      </c>
      <c r="C571" t="n">
        <v>0.398773955</v>
      </c>
      <c r="D571" t="n">
        <v>-0.119686309</v>
      </c>
      <c r="E571" t="n">
        <v>-1.13703402</v>
      </c>
      <c r="F571" t="n">
        <v>0</v>
      </c>
    </row>
    <row r="572">
      <c r="A572" t="inlineStr">
        <is>
          <t>G|ORIG_BAL x ASSET_CLASS|ranr_rate|band|7</t>
        </is>
      </c>
    </row>
    <row r="573">
      <c r="A573" t="inlineStr">
        <is>
          <t>G|ORIG_BAL x ASSET_CLASS|ranr_rate|meta</t>
        </is>
      </c>
      <c r="B573" t="inlineStr">
        <is>
          <t>pts</t>
        </is>
      </c>
      <c r="C573" t="n">
        <v>3.485921305</v>
      </c>
      <c r="D573" t="n">
        <v>10</v>
      </c>
    </row>
    <row r="574">
      <c r="A574" t="inlineStr">
        <is>
          <t>G|ORIG_BAL x ASSET_CLASS|contribution_rate|rate|1</t>
        </is>
      </c>
      <c r="B574" t="n">
        <v>0.1956807259000939</v>
      </c>
      <c r="C574" t="n">
        <v>0.1758901604237478</v>
      </c>
      <c r="D574" t="n">
        <v>0.1891572406512666</v>
      </c>
      <c r="E574" t="n">
        <v>0.1915010158050267</v>
      </c>
      <c r="F574" t="n">
        <v>0.1880773485524349</v>
      </c>
    </row>
    <row r="575">
      <c r="A575" t="inlineStr">
        <is>
          <t>G|ORIG_BAL x ASSET_CLASS|contribution_rate|book|1</t>
        </is>
      </c>
      <c r="B575" t="n">
        <v>2.608827017</v>
      </c>
      <c r="C575" t="n">
        <v>0.629770469</v>
      </c>
      <c r="D575" t="n">
        <v>1.956478492</v>
      </c>
      <c r="E575" t="n">
        <v>2.190856007</v>
      </c>
      <c r="F575" t="n">
        <v>1.848489282</v>
      </c>
    </row>
    <row r="576">
      <c r="A576" t="inlineStr">
        <is>
          <t>G|ORIG_BAL x ASSET_CLASS|contribution_rate|band|1</t>
        </is>
      </c>
      <c r="B576" t="n">
        <v>1.030053163</v>
      </c>
      <c r="C576" t="n">
        <v>-1.63945173</v>
      </c>
      <c r="D576" t="n">
        <v>0.138165033</v>
      </c>
      <c r="E576" t="n">
        <v>0.464616298</v>
      </c>
    </row>
    <row r="577">
      <c r="A577" t="inlineStr">
        <is>
          <t>G|ORIG_BAL x ASSET_CLASS|contribution_rate|rate|2</t>
        </is>
      </c>
      <c r="B577" t="n">
        <v>0.1818576933284154</v>
      </c>
      <c r="C577" t="n">
        <v>0.1623637621023586</v>
      </c>
      <c r="D577" t="n">
        <v>0.1700568897977575</v>
      </c>
      <c r="E577" t="n">
        <v>0.1736147899065223</v>
      </c>
      <c r="F577" t="n">
        <v>0.1722199062366803</v>
      </c>
    </row>
    <row r="578">
      <c r="A578" t="inlineStr">
        <is>
          <t>G|ORIG_BAL x ASSET_CLASS|contribution_rate|book|2</t>
        </is>
      </c>
      <c r="B578" t="n">
        <v>1.226523759</v>
      </c>
      <c r="C578" t="n">
        <v>-0.722869363</v>
      </c>
      <c r="D578" t="n">
        <v>0.046443406</v>
      </c>
      <c r="E578" t="n">
        <v>0.402233417</v>
      </c>
      <c r="F578" t="n">
        <v>0.26274505</v>
      </c>
    </row>
    <row r="579">
      <c r="A579" t="inlineStr">
        <is>
          <t>G|ORIG_BAL x ASSET_CLASS|contribution_rate|band|2</t>
        </is>
      </c>
      <c r="B579" t="n">
        <v>1.287311959</v>
      </c>
      <c r="C579" t="n">
        <v>-1.271252806</v>
      </c>
      <c r="D579" t="n">
        <v>-0.29380331</v>
      </c>
      <c r="E579" t="n">
        <v>0.188548058</v>
      </c>
    </row>
    <row r="580">
      <c r="A580" t="inlineStr">
        <is>
          <t>G|ORIG_BAL x ASSET_CLASS|contribution_rate|rate|3</t>
        </is>
      </c>
      <c r="B580" t="n">
        <v>0.1711365027309296</v>
      </c>
      <c r="C580" t="n">
        <v>0.1604851630222316</v>
      </c>
      <c r="D580" t="n">
        <v>0.1666490503454237</v>
      </c>
      <c r="E580" t="n">
        <v>0.1771087833967352</v>
      </c>
      <c r="F580" t="n">
        <v>0.1687501739092802</v>
      </c>
    </row>
    <row r="581">
      <c r="A581" t="inlineStr">
        <is>
          <t>G|ORIG_BAL x ASSET_CLASS|contribution_rate|book|3</t>
        </is>
      </c>
      <c r="B581" t="n">
        <v>0.1544047</v>
      </c>
      <c r="C581" t="n">
        <v>-0.910729271</v>
      </c>
      <c r="D581" t="n">
        <v>-0.294340539</v>
      </c>
      <c r="E581" t="n">
        <v>0.751632766</v>
      </c>
      <c r="F581" t="n">
        <v>-0.084228183</v>
      </c>
    </row>
    <row r="582">
      <c r="A582" t="inlineStr">
        <is>
          <t>G|ORIG_BAL x ASSET_CLASS|contribution_rate|band|3</t>
        </is>
      </c>
      <c r="B582" t="n">
        <v>0.314925274</v>
      </c>
      <c r="C582" t="n">
        <v>-1.13528225</v>
      </c>
      <c r="D582" t="n">
        <v>-0.272354339</v>
      </c>
      <c r="E582" t="n">
        <v>1.12532203</v>
      </c>
    </row>
    <row r="583">
      <c r="A583" t="inlineStr">
        <is>
          <t>G|ORIG_BAL x ASSET_CLASS|contribution_rate|rate|4</t>
        </is>
      </c>
      <c r="B583" t="n">
        <v>0.1647391676691785</v>
      </c>
      <c r="C583" t="n">
        <v>0.171218727454274</v>
      </c>
      <c r="D583" t="n">
        <v>0.1687136105025577</v>
      </c>
      <c r="E583" t="n">
        <v>0.1716443374447924</v>
      </c>
      <c r="F583" t="n">
        <v>0.1691805976256635</v>
      </c>
    </row>
    <row r="584">
      <c r="A584" t="inlineStr">
        <is>
          <t>G|ORIG_BAL x ASSET_CLASS|contribution_rate|book|4</t>
        </is>
      </c>
      <c r="B584" t="n">
        <v>-0.485328807</v>
      </c>
      <c r="C584" t="n">
        <v>0.162627172</v>
      </c>
      <c r="D584" t="n">
        <v>-0.08788452300000001</v>
      </c>
      <c r="E584" t="n">
        <v>0.205188171</v>
      </c>
      <c r="F584" t="n">
        <v>-0.041185811</v>
      </c>
    </row>
    <row r="585">
      <c r="A585" t="inlineStr">
        <is>
          <t>G|ORIG_BAL x ASSET_CLASS|contribution_rate|band|4</t>
        </is>
      </c>
      <c r="B585" t="n">
        <v>-0.583873962</v>
      </c>
      <c r="C585" t="n">
        <v>0.276429075</v>
      </c>
      <c r="D585" t="n">
        <v>-0.061336511</v>
      </c>
      <c r="E585" t="n">
        <v>0.332642124</v>
      </c>
    </row>
    <row r="586">
      <c r="A586" t="inlineStr">
        <is>
          <t>G|ORIG_BAL x ASSET_CLASS|contribution_rate|rate|5</t>
        </is>
      </c>
      <c r="B586" t="n">
        <v>0.173157721211162</v>
      </c>
      <c r="C586" t="n">
        <v>0.160428506428125</v>
      </c>
      <c r="D586" t="n">
        <v>0.1601193941133497</v>
      </c>
      <c r="E586" t="n">
        <v>0.1701687004311949</v>
      </c>
      <c r="F586" t="n">
        <v>0.1659766215946923</v>
      </c>
    </row>
    <row r="587">
      <c r="A587" t="inlineStr">
        <is>
          <t>G|ORIG_BAL x ASSET_CLASS|contribution_rate|book|5</t>
        </is>
      </c>
      <c r="B587" t="n">
        <v>0.356526548</v>
      </c>
      <c r="C587" t="n">
        <v>-0.916394931</v>
      </c>
      <c r="D587" t="n">
        <v>-0.947306162</v>
      </c>
      <c r="E587" t="n">
        <v>0.05762447</v>
      </c>
      <c r="F587" t="n">
        <v>-0.361583414</v>
      </c>
    </row>
    <row r="588">
      <c r="A588" t="inlineStr">
        <is>
          <t>G|ORIG_BAL x ASSET_CLASS|contribution_rate|band|5</t>
        </is>
      </c>
      <c r="B588" t="n">
        <v>0.967537525</v>
      </c>
      <c r="C588" t="n">
        <v>-0.738277289</v>
      </c>
      <c r="D588" t="n">
        <v>-0.784065966</v>
      </c>
      <c r="E588" t="n">
        <v>0.55212036</v>
      </c>
    </row>
    <row r="589">
      <c r="A589" t="inlineStr">
        <is>
          <t>G|ORIG_BAL x ASSET_CLASS|contribution_rate|rate|6</t>
        </is>
      </c>
    </row>
    <row r="590">
      <c r="A590" t="inlineStr">
        <is>
          <t>G|ORIG_BAL x ASSET_CLASS|contribution_rate|book|6</t>
        </is>
      </c>
    </row>
    <row r="591">
      <c r="A591" t="inlineStr">
        <is>
          <t>G|ORIG_BAL x ASSET_CLASS|contribution_rate|band|6</t>
        </is>
      </c>
    </row>
    <row r="592">
      <c r="A592" t="inlineStr">
        <is>
          <t>G|ORIG_BAL x ASSET_CLASS|contribution_rate|rate|7</t>
        </is>
      </c>
      <c r="B592" t="n">
        <v>0.1732090054791083</v>
      </c>
      <c r="C592" t="n">
        <v>0.1646504332501773</v>
      </c>
      <c r="D592" t="n">
        <v>0.166646582475654</v>
      </c>
      <c r="E592" t="n">
        <v>0.1738366945872596</v>
      </c>
      <c r="F592" t="n">
        <v>0.1695924557349811</v>
      </c>
    </row>
    <row r="593">
      <c r="A593" t="inlineStr">
        <is>
          <t>G|ORIG_BAL x ASSET_CLASS|contribution_rate|book|7</t>
        </is>
      </c>
      <c r="B593" t="n">
        <v>0.361654974</v>
      </c>
      <c r="C593" t="n">
        <v>-0.494202248</v>
      </c>
      <c r="D593" t="n">
        <v>-0.294587326</v>
      </c>
      <c r="E593" t="n">
        <v>0.424423885</v>
      </c>
      <c r="F593" t="n">
        <v>0</v>
      </c>
    </row>
    <row r="594">
      <c r="A594" t="inlineStr">
        <is>
          <t>G|ORIG_BAL x ASSET_CLASS|contribution_rate|band|7</t>
        </is>
      </c>
    </row>
    <row r="595">
      <c r="A595" t="inlineStr">
        <is>
          <t>G|ORIG_BAL x ASSET_CLASS|contribution_rate|meta</t>
        </is>
      </c>
      <c r="B595" t="inlineStr">
        <is>
          <t>pts</t>
        </is>
      </c>
      <c r="C595" t="n">
        <v>2.608827017</v>
      </c>
      <c r="D595" t="n">
        <v>10</v>
      </c>
    </row>
    <row r="596">
      <c r="A596" t="inlineStr">
        <is>
          <t>G|FICO x CHANNEL / SYS_FLAG|cols</t>
        </is>
      </c>
      <c r="B596" t="inlineStr">
        <is>
          <t>Branch · N</t>
        </is>
      </c>
      <c r="C596" t="inlineStr">
        <is>
          <t>Branch · Y</t>
        </is>
      </c>
      <c r="D596" t="inlineStr">
        <is>
          <t>Broker · N</t>
        </is>
      </c>
      <c r="E596" t="inlineStr">
        <is>
          <t>Broker · Y</t>
        </is>
      </c>
      <c r="F596" t="inlineStr">
        <is>
          <t>Online · N</t>
        </is>
      </c>
      <c r="G596" t="inlineStr">
        <is>
          <t>Online · Y</t>
        </is>
      </c>
      <c r="H596" t="inlineStr">
        <is>
          <t>All</t>
        </is>
      </c>
    </row>
    <row r="597">
      <c r="A597" t="inlineStr">
        <is>
          <t>G|FICO x CHANNEL / SYS_FLAG|rows</t>
        </is>
      </c>
      <c r="B597" t="inlineStr">
        <is>
          <t>496 - 653</t>
        </is>
      </c>
      <c r="C597" t="inlineStr">
        <is>
          <t>654 - 685</t>
        </is>
      </c>
      <c r="D597" t="inlineStr">
        <is>
          <t>686 - 711</t>
        </is>
      </c>
      <c r="E597" t="inlineStr">
        <is>
          <t>712 - 745</t>
        </is>
      </c>
      <c r="F597" t="inlineStr">
        <is>
          <t>746 - 921</t>
        </is>
      </c>
      <c r="G597" t="inlineStr">
        <is>
          <t>(blank)</t>
        </is>
      </c>
      <c r="H597" t="inlineStr">
        <is>
          <t>(marked missing)</t>
        </is>
      </c>
      <c r="I597" t="inlineStr">
        <is>
          <t>All</t>
        </is>
      </c>
    </row>
    <row r="598">
      <c r="A598" t="inlineStr">
        <is>
          <t>G|FICO x CHANNEL / SYS_FLAG|names</t>
        </is>
      </c>
      <c r="B598" t="inlineStr">
        <is>
          <t>FICO</t>
        </is>
      </c>
      <c r="C598" t="inlineStr">
        <is>
          <t>CHANNEL / SYS_FLAG</t>
        </is>
      </c>
    </row>
    <row r="599">
      <c r="A599" t="inlineStr">
        <is>
          <t>G|FICO x CHANNEL / SYS_FLAG|total</t>
        </is>
      </c>
      <c r="B599" t="n">
        <v>8000</v>
      </c>
    </row>
    <row r="600">
      <c r="A600" t="inlineStr">
        <is>
          <t>G|FICO x CHANNEL / SYS_FLAG|loans|1</t>
        </is>
      </c>
      <c r="B600" t="n">
        <v>271</v>
      </c>
      <c r="C600" t="n">
        <v>231</v>
      </c>
      <c r="D600" t="n">
        <v>258</v>
      </c>
      <c r="E600" t="n">
        <v>265</v>
      </c>
      <c r="F600" t="n">
        <v>305</v>
      </c>
      <c r="G600" t="n">
        <v>226</v>
      </c>
      <c r="H600" t="n">
        <v>1556</v>
      </c>
    </row>
    <row r="601">
      <c r="A601" t="inlineStr">
        <is>
          <t>G|FICO x CHANNEL / SYS_FLAG|loans|2</t>
        </is>
      </c>
      <c r="B601" t="n">
        <v>249</v>
      </c>
      <c r="C601" t="n">
        <v>254</v>
      </c>
      <c r="D601" t="n">
        <v>287</v>
      </c>
      <c r="E601" t="n">
        <v>244</v>
      </c>
      <c r="F601" t="n">
        <v>269</v>
      </c>
      <c r="G601" t="n">
        <v>236</v>
      </c>
      <c r="H601" t="n">
        <v>1539</v>
      </c>
    </row>
    <row r="602">
      <c r="A602" t="inlineStr">
        <is>
          <t>G|FICO x CHANNEL / SYS_FLAG|loans|3</t>
        </is>
      </c>
      <c r="B602" t="n">
        <v>280</v>
      </c>
      <c r="C602" t="n">
        <v>235</v>
      </c>
      <c r="D602" t="n">
        <v>271</v>
      </c>
      <c r="E602" t="n">
        <v>230</v>
      </c>
      <c r="F602" t="n">
        <v>297</v>
      </c>
      <c r="G602" t="n">
        <v>249</v>
      </c>
      <c r="H602" t="n">
        <v>1562</v>
      </c>
    </row>
    <row r="603">
      <c r="A603" t="inlineStr">
        <is>
          <t>G|FICO x CHANNEL / SYS_FLAG|loans|4</t>
        </is>
      </c>
      <c r="B603" t="n">
        <v>307</v>
      </c>
      <c r="C603" t="n">
        <v>231</v>
      </c>
      <c r="D603" t="n">
        <v>291</v>
      </c>
      <c r="E603" t="n">
        <v>218</v>
      </c>
      <c r="F603" t="n">
        <v>286</v>
      </c>
      <c r="G603" t="n">
        <v>278</v>
      </c>
      <c r="H603" t="n">
        <v>1611</v>
      </c>
    </row>
    <row r="604">
      <c r="A604" t="inlineStr">
        <is>
          <t>G|FICO x CHANNEL / SYS_FLAG|loans|5</t>
        </is>
      </c>
      <c r="B604" t="n">
        <v>279</v>
      </c>
      <c r="C604" t="n">
        <v>239</v>
      </c>
      <c r="D604" t="n">
        <v>299</v>
      </c>
      <c r="E604" t="n">
        <v>237</v>
      </c>
      <c r="F604" t="n">
        <v>292</v>
      </c>
      <c r="G604" t="n">
        <v>225</v>
      </c>
      <c r="H604" t="n">
        <v>1571</v>
      </c>
    </row>
    <row r="605">
      <c r="A605" t="inlineStr">
        <is>
          <t>G|FICO x CHANNEL / SYS_FLAG|loans|6</t>
        </is>
      </c>
      <c r="E605" t="n">
        <v>1</v>
      </c>
      <c r="H605" t="n">
        <v>1</v>
      </c>
    </row>
    <row r="606">
      <c r="A606" t="inlineStr">
        <is>
          <t>G|FICO x CHANNEL / SYS_FLAG|loans|7</t>
        </is>
      </c>
      <c r="B606" t="n">
        <v>29</v>
      </c>
      <c r="C606" t="n">
        <v>22</v>
      </c>
      <c r="D606" t="n">
        <v>29</v>
      </c>
      <c r="E606" t="n">
        <v>25</v>
      </c>
      <c r="F606" t="n">
        <v>30</v>
      </c>
      <c r="G606" t="n">
        <v>25</v>
      </c>
      <c r="H606" t="n">
        <v>160</v>
      </c>
    </row>
    <row r="607">
      <c r="A607" t="inlineStr">
        <is>
          <t>G|FICO x CHANNEL / SYS_FLAG|loans|8</t>
        </is>
      </c>
      <c r="B607" t="n">
        <v>1415</v>
      </c>
      <c r="C607" t="n">
        <v>1212</v>
      </c>
      <c r="D607" t="n">
        <v>1435</v>
      </c>
      <c r="E607" t="n">
        <v>1220</v>
      </c>
      <c r="F607" t="n">
        <v>1479</v>
      </c>
      <c r="G607" t="n">
        <v>1239</v>
      </c>
      <c r="H607" t="n">
        <v>8000</v>
      </c>
    </row>
    <row r="608">
      <c r="A608" t="inlineStr">
        <is>
          <t>G|FICO x CHANNEL / SYS_FLAG|outcome_loans|rate|1</t>
        </is>
      </c>
      <c r="B608" t="n">
        <v>0.08518518518518518</v>
      </c>
      <c r="C608" t="n">
        <v>0.1212121212121212</v>
      </c>
      <c r="D608" t="n">
        <v>0.1937984496124031</v>
      </c>
      <c r="E608" t="n">
        <v>0.2943396226415094</v>
      </c>
      <c r="F608" t="n">
        <v>0.07540983606557378</v>
      </c>
      <c r="G608" t="n">
        <v>0.1415929203539823</v>
      </c>
      <c r="H608" t="n">
        <v>0.1504823151125402</v>
      </c>
    </row>
    <row r="609">
      <c r="A609" t="inlineStr">
        <is>
          <t>G|FICO x CHANNEL / SYS_FLAG|outcome_loans|book|1</t>
        </is>
      </c>
      <c r="B609" t="n">
        <v>1.100801771076408</v>
      </c>
      <c r="C609" t="n">
        <v>1.566358251334019</v>
      </c>
      <c r="D609" t="n">
        <v>2.504351855330553</v>
      </c>
      <c r="E609" t="n">
        <v>3.803590697107325</v>
      </c>
      <c r="F609" t="n">
        <v>0.9744802563627215</v>
      </c>
      <c r="G609" t="n">
        <v>1.829728222797261</v>
      </c>
      <c r="H609" t="n">
        <v>1.944601031640079</v>
      </c>
    </row>
    <row r="610">
      <c r="A610" t="inlineStr">
        <is>
          <t>G|FICO x CHANNEL / SYS_FLAG|outcome_loans|band|1</t>
        </is>
      </c>
      <c r="B610" t="n">
        <v>0.5187818149903458</v>
      </c>
      <c r="C610" t="n">
        <v>0.7790526625478081</v>
      </c>
      <c r="D610" t="n">
        <v>1.366068419278733</v>
      </c>
      <c r="E610" t="n">
        <v>2.433962264150944</v>
      </c>
      <c r="F610" t="n">
        <v>0.4467407349856266</v>
      </c>
      <c r="G610" t="n">
        <v>0.9315692631210024</v>
      </c>
    </row>
    <row r="611">
      <c r="A611" t="inlineStr">
        <is>
          <t>G|FICO x CHANNEL / SYS_FLAG|outcome_loans|rate|2</t>
        </is>
      </c>
      <c r="B611" t="n">
        <v>0.06425702811244979</v>
      </c>
      <c r="C611" t="n">
        <v>0.1141732283464567</v>
      </c>
      <c r="D611" t="n">
        <v>0.0627177700348432</v>
      </c>
      <c r="E611" t="n">
        <v>0.1024590163934426</v>
      </c>
      <c r="F611" t="n">
        <v>0.0483271375464684</v>
      </c>
      <c r="G611" t="n">
        <v>0.1228813559322034</v>
      </c>
      <c r="H611" t="n">
        <v>0.08447043534762833</v>
      </c>
    </row>
    <row r="612">
      <c r="A612" t="inlineStr">
        <is>
          <t>G|FICO x CHANNEL / SYS_FLAG|outcome_loans|book|2</t>
        </is>
      </c>
      <c r="B612" t="n">
        <v>0.8303585910686363</v>
      </c>
      <c r="C612" t="n">
        <v>1.475398470990803</v>
      </c>
      <c r="D612" t="n">
        <v>0.8104675969446055</v>
      </c>
      <c r="E612" t="n">
        <v>1.32402208744935</v>
      </c>
      <c r="F612" t="n">
        <v>0.624505287938935</v>
      </c>
      <c r="G612" t="n">
        <v>1.587928862846034</v>
      </c>
      <c r="H612" t="n">
        <v>1.091565448054409</v>
      </c>
    </row>
    <row r="613">
      <c r="A613" t="inlineStr">
        <is>
          <t>G|FICO x CHANNEL / SYS_FLAG|outcome_loans|band|2</t>
        </is>
      </c>
      <c r="B613" t="n">
        <v>0.7271190023250897</v>
      </c>
      <c r="C613" t="n">
        <v>1.45259998440789</v>
      </c>
      <c r="D613" t="n">
        <v>0.7010950721752116</v>
      </c>
      <c r="E613" t="n">
        <v>1.263661202185792</v>
      </c>
      <c r="F613" t="n">
        <v>0.5245766212308963</v>
      </c>
      <c r="G613" t="n">
        <v>1.585291156234268</v>
      </c>
    </row>
    <row r="614">
      <c r="A614" t="inlineStr">
        <is>
          <t>G|FICO x CHANNEL / SYS_FLAG|outcome_loans|rate|3</t>
        </is>
      </c>
      <c r="B614" t="n">
        <v>0.06071428571428571</v>
      </c>
      <c r="C614" t="n">
        <v>0.04680851063829787</v>
      </c>
      <c r="D614" t="n">
        <v>0.04059040590405904</v>
      </c>
      <c r="E614" t="n">
        <v>0.06521739130434782</v>
      </c>
      <c r="F614" t="n">
        <v>0.05387205387205387</v>
      </c>
      <c r="G614" t="n">
        <v>0.1044176706827309</v>
      </c>
      <c r="H614" t="n">
        <v>0.06145966709346991</v>
      </c>
    </row>
    <row r="615">
      <c r="A615" t="inlineStr">
        <is>
          <t>G|FICO x CHANNEL / SYS_FLAG|outcome_loans|book|3</t>
        </is>
      </c>
      <c r="B615" t="n">
        <v>0.7845776598199862</v>
      </c>
      <c r="C615" t="n">
        <v>0.604880899185371</v>
      </c>
      <c r="D615" t="n">
        <v>0.5245277170057645</v>
      </c>
      <c r="E615" t="n">
        <v>0.8427688417503687</v>
      </c>
      <c r="F615" t="n">
        <v>0.6961592228151193</v>
      </c>
      <c r="G615" t="n">
        <v>1.349332710486534</v>
      </c>
      <c r="H615" t="n">
        <v>0.7942098175778123</v>
      </c>
    </row>
    <row r="616">
      <c r="A616" t="inlineStr">
        <is>
          <t>G|FICO x CHANNEL / SYS_FLAG|outcome_loans|band|3</t>
        </is>
      </c>
      <c r="B616" t="n">
        <v>0.9852622061482821</v>
      </c>
      <c r="C616" t="n">
        <v>0.7307634543178974</v>
      </c>
      <c r="D616" t="n">
        <v>0.6164966355545908</v>
      </c>
      <c r="E616" t="n">
        <v>1.072463768115942</v>
      </c>
      <c r="F616" t="n">
        <v>0.8518518518518519</v>
      </c>
      <c r="G616" t="n">
        <v>1.958577165806081</v>
      </c>
    </row>
    <row r="617">
      <c r="A617" t="inlineStr">
        <is>
          <t>G|FICO x CHANNEL / SYS_FLAG|outcome_loans|rate|4</t>
        </is>
      </c>
      <c r="B617" t="n">
        <v>0.03257328990228013</v>
      </c>
      <c r="C617" t="n">
        <v>0.05194805194805195</v>
      </c>
      <c r="D617" t="n">
        <v>0.03092783505154639</v>
      </c>
      <c r="E617" t="n">
        <v>0.03211009174311927</v>
      </c>
      <c r="F617" t="n">
        <v>0.05594405594405594</v>
      </c>
      <c r="G617" t="n">
        <v>0.118705035971223</v>
      </c>
      <c r="H617" t="n">
        <v>0.05400372439478585</v>
      </c>
    </row>
    <row r="618">
      <c r="A618" t="inlineStr">
        <is>
          <t>G|FICO x CHANNEL / SYS_FLAG|outcome_loans|book|4</t>
        </is>
      </c>
      <c r="B618" t="n">
        <v>0.4209268916451353</v>
      </c>
      <c r="C618" t="n">
        <v>0.6712963934288652</v>
      </c>
      <c r="F618" t="n">
        <v>0.7229345775387779</v>
      </c>
      <c r="G618" t="n">
        <v>1.53396055368952</v>
      </c>
      <c r="H618" t="n">
        <v>0.6978607292954636</v>
      </c>
    </row>
    <row r="619">
      <c r="A619" t="inlineStr">
        <is>
          <t>G|FICO x CHANNEL / SYS_FLAG|outcome_loans|band|4</t>
        </is>
      </c>
      <c r="B619" t="n">
        <v>0.551630779643809</v>
      </c>
      <c r="C619" t="n">
        <v>0.9558441558441559</v>
      </c>
      <c r="F619" t="n">
        <v>1.044026396139072</v>
      </c>
      <c r="G619" t="n">
        <v>2.930255795363709</v>
      </c>
    </row>
    <row r="620">
      <c r="A620" t="inlineStr">
        <is>
          <t>G|FICO x CHANNEL / SYS_FLAG|outcome_loans|rate|5</t>
        </is>
      </c>
      <c r="B620" t="n">
        <v>0.03225806451612903</v>
      </c>
      <c r="C620" t="n">
        <v>0.05857740585774059</v>
      </c>
      <c r="D620" t="n">
        <v>0.02675585284280936</v>
      </c>
      <c r="E620" t="n">
        <v>0.05063291139240506</v>
      </c>
      <c r="F620" t="n">
        <v>0.0273972602739726</v>
      </c>
      <c r="G620" t="n">
        <v>0.04888888888888889</v>
      </c>
      <c r="H620" t="n">
        <v>0.03946530872056015</v>
      </c>
    </row>
    <row r="621">
      <c r="A621" t="inlineStr">
        <is>
          <t>G|FICO x CHANNEL / SYS_FLAG|outcome_loans|book|5</t>
        </is>
      </c>
      <c r="C621" t="n">
        <v>0.7569639248078626</v>
      </c>
      <c r="E621" t="n">
        <v>0.6543015480256027</v>
      </c>
      <c r="G621" t="n">
        <v>0.6317644947047208</v>
      </c>
      <c r="H621" t="n">
        <v>0.5099886986361238</v>
      </c>
    </row>
    <row r="622">
      <c r="A622" t="inlineStr">
        <is>
          <t>G|FICO x CHANNEL / SYS_FLAG|outcome_loans|band|5</t>
        </is>
      </c>
      <c r="C622" t="n">
        <v>1.625523012552301</v>
      </c>
      <c r="E622" t="n">
        <v>1.350886075949367</v>
      </c>
      <c r="G622" t="n">
        <v>1.290283224400872</v>
      </c>
    </row>
    <row r="623">
      <c r="A623" t="inlineStr">
        <is>
          <t>G|FICO x CHANNEL / SYS_FLAG|outcome_loans|rate|6</t>
        </is>
      </c>
      <c r="E623" t="n">
        <v>0</v>
      </c>
      <c r="H623" t="n">
        <v>0</v>
      </c>
    </row>
    <row r="624">
      <c r="A624" t="inlineStr">
        <is>
          <t>G|FICO x CHANNEL / SYS_FLAG|outcome_loans|book|6</t>
        </is>
      </c>
    </row>
    <row r="625">
      <c r="A625" t="inlineStr">
        <is>
          <t>G|FICO x CHANNEL / SYS_FLAG|outcome_loans|band|6</t>
        </is>
      </c>
    </row>
    <row r="626">
      <c r="A626" t="inlineStr">
        <is>
          <t>G|FICO x CHANNEL / SYS_FLAG|outcome_loans|rate|7</t>
        </is>
      </c>
      <c r="B626" t="n">
        <v>0</v>
      </c>
      <c r="C626" t="n">
        <v>0.04545454545454546</v>
      </c>
      <c r="D626" t="n">
        <v>0.06896551724137931</v>
      </c>
      <c r="E626" t="n">
        <v>0.2</v>
      </c>
      <c r="F626" t="n">
        <v>0</v>
      </c>
      <c r="G626" t="n">
        <v>0.08</v>
      </c>
      <c r="H626" t="n">
        <v>0.0625</v>
      </c>
    </row>
    <row r="627">
      <c r="A627" t="inlineStr">
        <is>
          <t>G|FICO x CHANNEL / SYS_FLAG|outcome_loans|book|7</t>
        </is>
      </c>
      <c r="H627" t="n">
        <v>0.8076534733441034</v>
      </c>
    </row>
    <row r="628">
      <c r="A628" t="inlineStr">
        <is>
          <t>G|FICO x CHANNEL / SYS_FLAG|outcome_loans|band|7</t>
        </is>
      </c>
    </row>
    <row r="629">
      <c r="A629" t="inlineStr">
        <is>
          <t>G|FICO x CHANNEL / SYS_FLAG|outcome_loans|rate|8</t>
        </is>
      </c>
      <c r="B629" t="n">
        <v>0.05304101838755304</v>
      </c>
      <c r="C629" t="n">
        <v>0.07838283828382839</v>
      </c>
      <c r="D629" t="n">
        <v>0.06829268292682927</v>
      </c>
      <c r="E629" t="n">
        <v>0.1163934426229508</v>
      </c>
      <c r="F629" t="n">
        <v>0.05138607167004733</v>
      </c>
      <c r="G629" t="n">
        <v>0.1073446327683616</v>
      </c>
      <c r="H629" t="n">
        <v>0.07738467308413552</v>
      </c>
    </row>
    <row r="630">
      <c r="A630" t="inlineStr">
        <is>
          <t>G|FICO x CHANNEL / SYS_FLAG|outcome_loans|book|8</t>
        </is>
      </c>
      <c r="B630" t="n">
        <v>0.6854202036866507</v>
      </c>
      <c r="C630" t="n">
        <v>1.01289874544805</v>
      </c>
      <c r="D630" t="n">
        <v>0.8825091611174594</v>
      </c>
      <c r="E630" t="n">
        <v>1.504089091342461</v>
      </c>
      <c r="F630" t="n">
        <v>0.664034228253164</v>
      </c>
      <c r="G630" t="n">
        <v>1.387156248003432</v>
      </c>
      <c r="H630" t="n">
        <v>1</v>
      </c>
    </row>
    <row r="631">
      <c r="A631" t="inlineStr">
        <is>
          <t>G|FICO x CHANNEL / SYS_FLAG|outcome_loans|band|8</t>
        </is>
      </c>
    </row>
    <row r="632">
      <c r="A632" t="inlineStr">
        <is>
          <t>G|FICO x CHANNEL / SYS_FLAG|outcome_loans|meta</t>
        </is>
      </c>
      <c r="B632" t="inlineStr">
        <is>
          <t>x</t>
        </is>
      </c>
      <c r="C632" t="n">
        <v>3.803590697107325</v>
      </c>
      <c r="D632" t="n">
        <v>10</v>
      </c>
    </row>
    <row r="633">
      <c r="A633" t="inlineStr">
        <is>
          <t>G|FICO x CHANNEL / SYS_FLAG|outcome_booked|rate|1</t>
        </is>
      </c>
      <c r="B633" t="n">
        <v>0.0794138438647022</v>
      </c>
      <c r="C633" t="n">
        <v>0.1297037813636696</v>
      </c>
      <c r="D633" t="n">
        <v>0.1885605093407791</v>
      </c>
      <c r="E633" t="n">
        <v>0.3016834293054531</v>
      </c>
      <c r="F633" t="n">
        <v>0.06258124234792066</v>
      </c>
      <c r="G633" t="n">
        <v>0.1453393309736574</v>
      </c>
      <c r="H633" t="n">
        <v>0.1491655756309188</v>
      </c>
    </row>
    <row r="634">
      <c r="A634" t="inlineStr">
        <is>
          <t>G|FICO x CHANNEL / SYS_FLAG|outcome_booked|book|1</t>
        </is>
      </c>
      <c r="B634" t="n">
        <v>1.061272813268959</v>
      </c>
      <c r="C634" t="n">
        <v>1.733338801405464</v>
      </c>
      <c r="D634" t="n">
        <v>2.51988988922954</v>
      </c>
      <c r="E634" t="n">
        <v>4.031644939402481</v>
      </c>
      <c r="F634" t="n">
        <v>0.8363248508357962</v>
      </c>
      <c r="G634" t="n">
        <v>1.94228957011361</v>
      </c>
      <c r="H634" t="n">
        <v>1.993422839000397</v>
      </c>
    </row>
    <row r="635">
      <c r="A635" t="inlineStr">
        <is>
          <t>G|FICO x CHANNEL / SYS_FLAG|outcome_booked|band|1</t>
        </is>
      </c>
      <c r="B635" t="n">
        <v>0.486096506781561</v>
      </c>
      <c r="C635" t="n">
        <v>0.8496149376163674</v>
      </c>
      <c r="D635" t="n">
        <v>1.335191174805331</v>
      </c>
      <c r="E635" t="n">
        <v>2.549946120035542</v>
      </c>
      <c r="F635" t="n">
        <v>0.3676148114294099</v>
      </c>
      <c r="G635" t="n">
        <v>0.9700692769157516</v>
      </c>
    </row>
    <row r="636">
      <c r="A636" t="inlineStr">
        <is>
          <t>G|FICO x CHANNEL / SYS_FLAG|outcome_booked|rate|2</t>
        </is>
      </c>
      <c r="B636" t="n">
        <v>0.05554172519848109</v>
      </c>
      <c r="C636" t="n">
        <v>0.1168027201907751</v>
      </c>
      <c r="D636" t="n">
        <v>0.06705098669680558</v>
      </c>
      <c r="E636" t="n">
        <v>0.08796899397226021</v>
      </c>
      <c r="F636" t="n">
        <v>0.03296595839017977</v>
      </c>
      <c r="G636" t="n">
        <v>0.1304315222490313</v>
      </c>
      <c r="H636" t="n">
        <v>0.07985779590889652</v>
      </c>
    </row>
    <row r="637">
      <c r="A637" t="inlineStr">
        <is>
          <t>G|FICO x CHANNEL / SYS_FLAG|outcome_booked|book|2</t>
        </is>
      </c>
      <c r="B637" t="n">
        <v>0.7422499665880453</v>
      </c>
      <c r="C637" t="n">
        <v>1.560931261122702</v>
      </c>
      <c r="D637" t="n">
        <v>0.896057737809708</v>
      </c>
      <c r="E637" t="n">
        <v>1.175602353066263</v>
      </c>
      <c r="F637" t="n">
        <v>0.440551340928153</v>
      </c>
      <c r="G637" t="n">
        <v>1.743064204170938</v>
      </c>
      <c r="H637" t="n">
        <v>1.067205711262177</v>
      </c>
    </row>
    <row r="638">
      <c r="A638" t="inlineStr">
        <is>
          <t>G|FICO x CHANNEL / SYS_FLAG|outcome_booked|band|2</t>
        </is>
      </c>
      <c r="B638" t="n">
        <v>0.6564676767459487</v>
      </c>
      <c r="C638" t="n">
        <v>1.609082622937274</v>
      </c>
      <c r="D638" t="n">
        <v>0.8087672661152377</v>
      </c>
      <c r="E638" t="n">
        <v>1.123103833474255</v>
      </c>
      <c r="F638" t="n">
        <v>0.3667534875670352</v>
      </c>
      <c r="G638" t="n">
        <v>1.829878802677026</v>
      </c>
    </row>
    <row r="639">
      <c r="A639" t="inlineStr">
        <is>
          <t>G|FICO x CHANNEL / SYS_FLAG|outcome_booked|rate|3</t>
        </is>
      </c>
      <c r="B639" t="n">
        <v>0.0465855873059688</v>
      </c>
      <c r="C639" t="n">
        <v>0.04311993893646963</v>
      </c>
      <c r="D639" t="n">
        <v>0.03474561944677844</v>
      </c>
      <c r="E639" t="n">
        <v>0.05913224439241509</v>
      </c>
      <c r="F639" t="n">
        <v>0.04588747108465464</v>
      </c>
      <c r="G639" t="n">
        <v>0.1124322659900719</v>
      </c>
      <c r="H639" t="n">
        <v>0.05686223568965071</v>
      </c>
    </row>
    <row r="640">
      <c r="A640" t="inlineStr">
        <is>
          <t>G|FICO x CHANNEL / SYS_FLAG|outcome_booked|book|3</t>
        </is>
      </c>
      <c r="B640" t="n">
        <v>0.6225616956940587</v>
      </c>
      <c r="C640" t="n">
        <v>0.5762473729524774</v>
      </c>
      <c r="D640" t="n">
        <v>0.4643344221176176</v>
      </c>
      <c r="E640" t="n">
        <v>0.7902330413342388</v>
      </c>
      <c r="F640" t="n">
        <v>0.6132321917923834</v>
      </c>
      <c r="G640" t="n">
        <v>1.502525270439949</v>
      </c>
      <c r="H640" t="n">
        <v>0.7598970393868684</v>
      </c>
    </row>
    <row r="641">
      <c r="A641" t="inlineStr">
        <is>
          <t>G|FICO x CHANNEL / SYS_FLAG|outcome_booked|band|3</t>
        </is>
      </c>
      <c r="B641" t="n">
        <v>0.787740873303767</v>
      </c>
      <c r="C641" t="n">
        <v>0.7275907255115405</v>
      </c>
      <c r="D641" t="n">
        <v>0.5656642388003054</v>
      </c>
      <c r="E641" t="n">
        <v>1.047459721754345</v>
      </c>
      <c r="F641" t="n">
        <v>0.7744643672214482</v>
      </c>
      <c r="G641" t="n">
        <v>2.460958183760527</v>
      </c>
    </row>
    <row r="642">
      <c r="A642" t="inlineStr">
        <is>
          <t>G|FICO x CHANNEL / SYS_FLAG|outcome_booked|rate|4</t>
        </is>
      </c>
      <c r="B642" t="n">
        <v>0.02849745236496489</v>
      </c>
      <c r="C642" t="n">
        <v>0.05784973680639313</v>
      </c>
      <c r="D642" t="n">
        <v>0.03368630898356112</v>
      </c>
      <c r="E642" t="n">
        <v>0.03775659872129783</v>
      </c>
      <c r="F642" t="n">
        <v>0.05542665693547472</v>
      </c>
      <c r="G642" t="n">
        <v>0.1104764265748834</v>
      </c>
      <c r="H642" t="n">
        <v>0.0545174919372222</v>
      </c>
    </row>
    <row r="643">
      <c r="A643" t="inlineStr">
        <is>
          <t>G|FICO x CHANNEL / SYS_FLAG|outcome_booked|book|4</t>
        </is>
      </c>
      <c r="B643" t="n">
        <v>0.3808350026966404</v>
      </c>
      <c r="C643" t="n">
        <v>0.7730938327577693</v>
      </c>
      <c r="F643" t="n">
        <v>0.7407122143114172</v>
      </c>
      <c r="G643" t="n">
        <v>1.476387772272805</v>
      </c>
      <c r="H643" t="n">
        <v>0.7285622912191038</v>
      </c>
    </row>
    <row r="644">
      <c r="A644" t="inlineStr">
        <is>
          <t>G|FICO x CHANNEL / SYS_FLAG|outcome_booked|band|4</t>
        </is>
      </c>
      <c r="B644" t="n">
        <v>0.4722041105377082</v>
      </c>
      <c r="C644" t="n">
        <v>1.071783999275634</v>
      </c>
      <c r="F644" t="n">
        <v>1.020342653067085</v>
      </c>
      <c r="G644" t="n">
        <v>2.626839704292058</v>
      </c>
    </row>
    <row r="645">
      <c r="A645" t="inlineStr">
        <is>
          <t>G|FICO x CHANNEL / SYS_FLAG|outcome_booked|rate|5</t>
        </is>
      </c>
      <c r="B645" t="n">
        <v>0.03251089888143482</v>
      </c>
      <c r="C645" t="n">
        <v>0.05115145563384937</v>
      </c>
      <c r="D645" t="n">
        <v>0.02158220810953489</v>
      </c>
      <c r="E645" t="n">
        <v>0.04844346992587698</v>
      </c>
      <c r="F645" t="n">
        <v>0.02591971942483821</v>
      </c>
      <c r="G645" t="n">
        <v>0.04880991963256601</v>
      </c>
      <c r="H645" t="n">
        <v>0.03682990751373654</v>
      </c>
    </row>
    <row r="646">
      <c r="A646" t="inlineStr">
        <is>
          <t>G|FICO x CHANNEL / SYS_FLAG|outcome_booked|book|5</t>
        </is>
      </c>
      <c r="C646" t="n">
        <v>0.6835791668241677</v>
      </c>
      <c r="E646" t="n">
        <v>0.6473901162665812</v>
      </c>
      <c r="G646" t="n">
        <v>0.6522872864854415</v>
      </c>
      <c r="H646" t="n">
        <v>0.4921884857523176</v>
      </c>
    </row>
    <row r="647">
      <c r="A647" t="inlineStr">
        <is>
          <t>G|FICO x CHANNEL / SYS_FLAG|outcome_booked|band|5</t>
        </is>
      </c>
      <c r="C647" t="n">
        <v>1.488936159923377</v>
      </c>
      <c r="E647" t="n">
        <v>1.39482000030846</v>
      </c>
      <c r="G647" t="n">
        <v>1.404319146137164</v>
      </c>
    </row>
    <row r="648">
      <c r="A648" t="inlineStr">
        <is>
          <t>G|FICO x CHANNEL / SYS_FLAG|outcome_booked|rate|6</t>
        </is>
      </c>
      <c r="E648" t="n">
        <v>0</v>
      </c>
      <c r="H648" t="n">
        <v>0</v>
      </c>
    </row>
    <row r="649">
      <c r="A649" t="inlineStr">
        <is>
          <t>G|FICO x CHANNEL / SYS_FLAG|outcome_booked|book|6</t>
        </is>
      </c>
    </row>
    <row r="650">
      <c r="A650" t="inlineStr">
        <is>
          <t>G|FICO x CHANNEL / SYS_FLAG|outcome_booked|band|6</t>
        </is>
      </c>
    </row>
    <row r="651">
      <c r="A651" t="inlineStr">
        <is>
          <t>G|FICO x CHANNEL / SYS_FLAG|outcome_booked|rate|7</t>
        </is>
      </c>
      <c r="B651" t="n">
        <v>0</v>
      </c>
      <c r="C651" t="n">
        <v>0.03792886709862105</v>
      </c>
      <c r="D651" t="n">
        <v>0.05448545483256266</v>
      </c>
      <c r="E651" t="n">
        <v>0.1541676576370998</v>
      </c>
      <c r="F651" t="n">
        <v>0</v>
      </c>
      <c r="G651" t="n">
        <v>0.06226875881814359</v>
      </c>
      <c r="H651" t="n">
        <v>0.04815037624246446</v>
      </c>
    </row>
    <row r="652">
      <c r="A652" t="inlineStr">
        <is>
          <t>G|FICO x CHANNEL / SYS_FLAG|outcome_booked|book|7</t>
        </is>
      </c>
      <c r="H652" t="n">
        <v>0.6434732631990415</v>
      </c>
    </row>
    <row r="653">
      <c r="A653" t="inlineStr">
        <is>
          <t>G|FICO x CHANNEL / SYS_FLAG|outcome_booked|band|7</t>
        </is>
      </c>
    </row>
    <row r="654">
      <c r="A654" t="inlineStr">
        <is>
          <t>G|FICO x CHANNEL / SYS_FLAG|outcome_booked|rate|8</t>
        </is>
      </c>
      <c r="B654" t="n">
        <v>0.04681040497767674</v>
      </c>
      <c r="C654" t="n">
        <v>0.0799427328054727</v>
      </c>
      <c r="D654" t="n">
        <v>0.0672028877166804</v>
      </c>
      <c r="E654" t="n">
        <v>0.1128943071960848</v>
      </c>
      <c r="F654" t="n">
        <v>0.04388565607070746</v>
      </c>
      <c r="G654" t="n">
        <v>0.1084527276536025</v>
      </c>
      <c r="H654" t="n">
        <v>0.07482886857347225</v>
      </c>
    </row>
    <row r="655">
      <c r="A655" t="inlineStr">
        <is>
          <t>G|FICO x CHANNEL / SYS_FLAG|outcome_booked|book|8</t>
        </is>
      </c>
      <c r="B655" t="n">
        <v>0.6255661200024016</v>
      </c>
      <c r="C655" t="n">
        <v>1.068340793192392</v>
      </c>
      <c r="D655" t="n">
        <v>0.8980877166503699</v>
      </c>
      <c r="E655" t="n">
        <v>1.508699908849178</v>
      </c>
      <c r="F655" t="n">
        <v>0.5864802837105225</v>
      </c>
      <c r="G655" t="n">
        <v>1.44934341145511</v>
      </c>
      <c r="H655" t="n">
        <v>0.9999999999999987</v>
      </c>
    </row>
    <row r="656">
      <c r="A656" t="inlineStr">
        <is>
          <t>G|FICO x CHANNEL / SYS_FLAG|outcome_booked|band|8</t>
        </is>
      </c>
    </row>
    <row r="657">
      <c r="A657" t="inlineStr">
        <is>
          <t>G|FICO x CHANNEL / SYS_FLAG|outcome_booked|meta</t>
        </is>
      </c>
      <c r="B657" t="inlineStr">
        <is>
          <t>x</t>
        </is>
      </c>
      <c r="C657" t="n">
        <v>4.031644939402481</v>
      </c>
      <c r="D657" t="n">
        <v>10</v>
      </c>
    </row>
    <row r="658">
      <c r="A658" t="inlineStr">
        <is>
          <t>G|FICO x CHANNEL / SYS_FLAG|gco_rate|rate|1</t>
        </is>
      </c>
      <c r="B658" t="n">
        <v>0.04319626527506609</v>
      </c>
      <c r="C658" t="n">
        <v>0.06567919269946912</v>
      </c>
      <c r="D658" t="n">
        <v>0.1169959507496203</v>
      </c>
      <c r="E658" t="n">
        <v>0.1663088842121316</v>
      </c>
      <c r="F658" t="n">
        <v>0.03659446658543245</v>
      </c>
      <c r="G658" t="n">
        <v>0.0776503894870335</v>
      </c>
      <c r="H658" t="n">
        <v>0.08345255929305036</v>
      </c>
    </row>
    <row r="659">
      <c r="A659" t="inlineStr">
        <is>
          <t>G|FICO x CHANNEL / SYS_FLAG|gco_rate|book|1</t>
        </is>
      </c>
      <c r="B659" t="n">
        <v>1.038240350806168</v>
      </c>
      <c r="C659" t="n">
        <v>1.578626939961961</v>
      </c>
      <c r="D659" t="n">
        <v>2.812046740052369</v>
      </c>
      <c r="E659" t="n">
        <v>3.997303775848748</v>
      </c>
      <c r="F659" t="n">
        <v>0.8795633507500225</v>
      </c>
      <c r="G659" t="n">
        <v>1.866359675029333</v>
      </c>
      <c r="H659" t="n">
        <v>2.005817259532897</v>
      </c>
    </row>
    <row r="660">
      <c r="A660" t="inlineStr">
        <is>
          <t>G|FICO x CHANNEL / SYS_FLAG|gco_rate|band|1</t>
        </is>
      </c>
      <c r="B660" t="n">
        <v>0.4711320851040447</v>
      </c>
      <c r="C660" t="n">
        <v>0.7580459550492539</v>
      </c>
      <c r="D660" t="n">
        <v>1.525447051381801</v>
      </c>
      <c r="E660" t="n">
        <v>2.493214468325908</v>
      </c>
      <c r="F660" t="n">
        <v>0.3858337599725619</v>
      </c>
      <c r="G660" t="n">
        <v>0.9194875419412953</v>
      </c>
    </row>
    <row r="661">
      <c r="A661" t="inlineStr">
        <is>
          <t>G|FICO x CHANNEL / SYS_FLAG|gco_rate|rate|2</t>
        </is>
      </c>
      <c r="B661" t="n">
        <v>0.02970099079695886</v>
      </c>
      <c r="C661" t="n">
        <v>0.07028743920074985</v>
      </c>
      <c r="D661" t="n">
        <v>0.03737148876027075</v>
      </c>
      <c r="E661" t="n">
        <v>0.04817500333397545</v>
      </c>
      <c r="F661" t="n">
        <v>0.01961302687332925</v>
      </c>
      <c r="G661" t="n">
        <v>0.07252593076389867</v>
      </c>
      <c r="H661" t="n">
        <v>0.04521453740915433</v>
      </c>
    </row>
    <row r="662">
      <c r="A662" t="inlineStr">
        <is>
          <t>G|FICO x CHANNEL / SYS_FLAG|gco_rate|book|2</t>
        </is>
      </c>
      <c r="B662" t="n">
        <v>0.7138757693046449</v>
      </c>
      <c r="C662" t="n">
        <v>1.689388077148808</v>
      </c>
      <c r="D662" t="n">
        <v>0.8982394045766933</v>
      </c>
      <c r="E662" t="n">
        <v>1.157906407951108</v>
      </c>
      <c r="F662" t="n">
        <v>0.4714073258803275</v>
      </c>
      <c r="G662" t="n">
        <v>1.743191160609863</v>
      </c>
      <c r="H662" t="n">
        <v>1.086750367937849</v>
      </c>
    </row>
    <row r="663">
      <c r="A663" t="inlineStr">
        <is>
          <t>G|FICO x CHANNEL / SYS_FLAG|gco_rate|band|2</t>
        </is>
      </c>
      <c r="B663" t="n">
        <v>0.6156350801612361</v>
      </c>
      <c r="C663" t="n">
        <v>1.744886496175044</v>
      </c>
      <c r="D663" t="n">
        <v>0.793773674737977</v>
      </c>
      <c r="E663" t="n">
        <v>1.078809654624096</v>
      </c>
      <c r="F663" t="n">
        <v>0.3869243662966473</v>
      </c>
      <c r="G663" t="n">
        <v>1.787162976169975</v>
      </c>
    </row>
    <row r="664">
      <c r="A664" t="inlineStr">
        <is>
          <t>G|FICO x CHANNEL / SYS_FLAG|gco_rate|rate|3</t>
        </is>
      </c>
      <c r="B664" t="n">
        <v>0.02691725048729523</v>
      </c>
      <c r="C664" t="n">
        <v>0.02081961874904788</v>
      </c>
      <c r="D664" t="n">
        <v>0.02262848139283763</v>
      </c>
      <c r="E664" t="n">
        <v>0.03063262831577925</v>
      </c>
      <c r="F664" t="n">
        <v>0.0236069982955354</v>
      </c>
      <c r="G664" t="n">
        <v>0.06431861285587674</v>
      </c>
      <c r="H664" t="n">
        <v>0.03151500509362794</v>
      </c>
    </row>
    <row r="665">
      <c r="A665" t="inlineStr">
        <is>
          <t>G|FICO x CHANNEL / SYS_FLAG|gco_rate|book|3</t>
        </is>
      </c>
      <c r="B665" t="n">
        <v>0.6469674035638983</v>
      </c>
      <c r="C665" t="n">
        <v>0.5004082676133409</v>
      </c>
      <c r="D665" t="n">
        <v>0.5438850398270835</v>
      </c>
      <c r="E665" t="n">
        <v>0.7362680677638962</v>
      </c>
      <c r="F665" t="n">
        <v>0.5674041039373116</v>
      </c>
      <c r="G665" t="n">
        <v>1.54592483284423</v>
      </c>
      <c r="H665" t="n">
        <v>0.7574763636557552</v>
      </c>
    </row>
    <row r="666">
      <c r="A666" t="inlineStr">
        <is>
          <t>G|FICO x CHANNEL / SYS_FLAG|gco_rate|band|3</t>
        </is>
      </c>
      <c r="B666" t="n">
        <v>0.827376030923355</v>
      </c>
      <c r="C666" t="n">
        <v>0.6236358076004213</v>
      </c>
      <c r="D666" t="n">
        <v>0.6785534350921791</v>
      </c>
      <c r="E666" t="n">
        <v>0.9671197758717929</v>
      </c>
      <c r="F666" t="n">
        <v>0.7102847333355953</v>
      </c>
      <c r="G666" t="n">
        <v>2.581234517227557</v>
      </c>
    </row>
    <row r="667">
      <c r="A667" t="inlineStr">
        <is>
          <t>G|FICO x CHANNEL / SYS_FLAG|gco_rate|rate|4</t>
        </is>
      </c>
      <c r="B667" t="n">
        <v>0.01506038913704331</v>
      </c>
      <c r="C667" t="n">
        <v>0.03333266914159281</v>
      </c>
      <c r="D667" t="n">
        <v>0.02198945898126834</v>
      </c>
      <c r="E667" t="n">
        <v>0.01915208876567817</v>
      </c>
      <c r="F667" t="n">
        <v>0.02908921838201917</v>
      </c>
      <c r="G667" t="n">
        <v>0.06084205337936844</v>
      </c>
      <c r="H667" t="n">
        <v>0.0302639717312273</v>
      </c>
    </row>
    <row r="668">
      <c r="A668" t="inlineStr">
        <is>
          <t>G|FICO x CHANNEL / SYS_FLAG|gco_rate|book|4</t>
        </is>
      </c>
      <c r="B668" t="n">
        <v>0.3619827686803953</v>
      </c>
      <c r="C668" t="n">
        <v>0.8011646813098309</v>
      </c>
      <c r="F668" t="n">
        <v>0.6991715627567897</v>
      </c>
      <c r="G668" t="n">
        <v>1.462364267885574</v>
      </c>
      <c r="H668" t="n">
        <v>0.7274072521532199</v>
      </c>
    </row>
    <row r="669">
      <c r="A669" t="inlineStr">
        <is>
          <t>G|FICO x CHANNEL / SYS_FLAG|gco_rate|band|4</t>
        </is>
      </c>
      <c r="B669" t="n">
        <v>0.4474615712255813</v>
      </c>
      <c r="C669" t="n">
        <v>1.119894997654172</v>
      </c>
      <c r="F669" t="n">
        <v>0.9532037942991682</v>
      </c>
      <c r="G669" t="n">
        <v>2.594710023167195</v>
      </c>
    </row>
    <row r="670">
      <c r="A670" t="inlineStr">
        <is>
          <t>G|FICO x CHANNEL / SYS_FLAG|gco_rate|rate|5</t>
        </is>
      </c>
      <c r="B670" t="n">
        <v>0.02067336794603068</v>
      </c>
      <c r="C670" t="n">
        <v>0.02491889981363501</v>
      </c>
      <c r="D670" t="n">
        <v>0.01081308268443443</v>
      </c>
      <c r="E670" t="n">
        <v>0.02678732871900859</v>
      </c>
      <c r="F670" t="n">
        <v>0.01271956349460758</v>
      </c>
      <c r="G670" t="n">
        <v>0.02407431807254459</v>
      </c>
      <c r="H670" t="n">
        <v>0.01940834703954903</v>
      </c>
    </row>
    <row r="671">
      <c r="A671" t="inlineStr">
        <is>
          <t>G|FICO x CHANNEL / SYS_FLAG|gco_rate|book|5</t>
        </is>
      </c>
      <c r="C671" t="n">
        <v>0.5989362070879304</v>
      </c>
      <c r="E671" t="n">
        <v>0.6438446793787327</v>
      </c>
      <c r="G671" t="n">
        <v>0.5786363307544002</v>
      </c>
      <c r="H671" t="n">
        <v>0.4664877602402493</v>
      </c>
    </row>
    <row r="672">
      <c r="A672" t="inlineStr">
        <is>
          <t>G|FICO x CHANNEL / SYS_FLAG|gco_rate|band|5</t>
        </is>
      </c>
      <c r="C672" t="n">
        <v>1.350191697759529</v>
      </c>
      <c r="E672" t="n">
        <v>1.482031176631609</v>
      </c>
      <c r="G672" t="n">
        <v>1.29424918616927</v>
      </c>
    </row>
    <row r="673">
      <c r="A673" t="inlineStr">
        <is>
          <t>G|FICO x CHANNEL / SYS_FLAG|gco_rate|rate|6</t>
        </is>
      </c>
      <c r="E673" t="n">
        <v>0</v>
      </c>
      <c r="H673" t="n">
        <v>0</v>
      </c>
    </row>
    <row r="674">
      <c r="A674" t="inlineStr">
        <is>
          <t>G|FICO x CHANNEL / SYS_FLAG|gco_rate|book|6</t>
        </is>
      </c>
    </row>
    <row r="675">
      <c r="A675" t="inlineStr">
        <is>
          <t>G|FICO x CHANNEL / SYS_FLAG|gco_rate|band|6</t>
        </is>
      </c>
    </row>
    <row r="676">
      <c r="A676" t="inlineStr">
        <is>
          <t>G|FICO x CHANNEL / SYS_FLAG|gco_rate|rate|7</t>
        </is>
      </c>
      <c r="B676" t="n">
        <v>0</v>
      </c>
      <c r="C676" t="n">
        <v>0.01843284302108283</v>
      </c>
      <c r="D676" t="n">
        <v>0.02790195897030846</v>
      </c>
      <c r="E676" t="n">
        <v>0.07742929923514315</v>
      </c>
      <c r="F676" t="n">
        <v>0</v>
      </c>
      <c r="G676" t="n">
        <v>0.03937026992191468</v>
      </c>
      <c r="H676" t="n">
        <v>0.02551311188947888</v>
      </c>
    </row>
    <row r="677">
      <c r="A677" t="inlineStr">
        <is>
          <t>G|FICO x CHANNEL / SYS_FLAG|gco_rate|book|7</t>
        </is>
      </c>
      <c r="H677" t="n">
        <v>0.6132183435214593</v>
      </c>
    </row>
    <row r="678">
      <c r="A678" t="inlineStr">
        <is>
          <t>G|FICO x CHANNEL / SYS_FLAG|gco_rate|band|7</t>
        </is>
      </c>
    </row>
    <row r="679">
      <c r="A679" t="inlineStr">
        <is>
          <t>G|FICO x CHANNEL / SYS_FLAG|gco_rate|rate|8</t>
        </is>
      </c>
      <c r="B679" t="n">
        <v>0.02622043264014382</v>
      </c>
      <c r="C679" t="n">
        <v>0.0431550830066136</v>
      </c>
      <c r="D679" t="n">
        <v>0.04061260621028653</v>
      </c>
      <c r="E679" t="n">
        <v>0.06135421166542902</v>
      </c>
      <c r="F679" t="n">
        <v>0.0239758495628505</v>
      </c>
      <c r="G679" t="n">
        <v>0.0595108000659552</v>
      </c>
      <c r="H679" t="n">
        <v>0.04160526533333562</v>
      </c>
    </row>
    <row r="680">
      <c r="A680" t="inlineStr">
        <is>
          <t>G|FICO x CHANNEL / SYS_FLAG|gco_rate|book|8</t>
        </is>
      </c>
      <c r="B680" t="n">
        <v>0.6302190943879177</v>
      </c>
      <c r="C680" t="n">
        <v>1.037250517713588</v>
      </c>
      <c r="D680" t="n">
        <v>0.9761410216929018</v>
      </c>
      <c r="E680" t="n">
        <v>1.474674207071329</v>
      </c>
      <c r="F680" t="n">
        <v>0.5762695988298429</v>
      </c>
      <c r="G680" t="n">
        <v>1.430367036219163</v>
      </c>
      <c r="H680" t="n">
        <v>0.9999999999999993</v>
      </c>
    </row>
    <row r="681">
      <c r="A681" t="inlineStr">
        <is>
          <t>G|FICO x CHANNEL / SYS_FLAG|gco_rate|band|8</t>
        </is>
      </c>
    </row>
    <row r="682">
      <c r="A682" t="inlineStr">
        <is>
          <t>G|FICO x CHANNEL / SYS_FLAG|gco_rate|meta</t>
        </is>
      </c>
      <c r="B682" t="inlineStr">
        <is>
          <t>x</t>
        </is>
      </c>
      <c r="C682" t="n">
        <v>3.997303775848748</v>
      </c>
      <c r="D682" t="n">
        <v>10</v>
      </c>
    </row>
    <row r="683">
      <c r="A683" t="inlineStr">
        <is>
          <t>G|FICO x CHANNEL / SYS_FLAG|ranr_rate|rate|1</t>
        </is>
      </c>
      <c r="B683" t="n">
        <v>0.2339664016596976</v>
      </c>
      <c r="C683" t="n">
        <v>0.1982244774183919</v>
      </c>
      <c r="D683" t="n">
        <v>0.1614995387459972</v>
      </c>
      <c r="E683" t="n">
        <v>0.1144670123030767</v>
      </c>
      <c r="F683" t="n">
        <v>0.2328439819088634</v>
      </c>
      <c r="G683" t="n">
        <v>0.1937777780728021</v>
      </c>
      <c r="H683" t="n">
        <v>0.1901717430158449</v>
      </c>
    </row>
    <row r="684">
      <c r="A684" t="inlineStr">
        <is>
          <t>G|FICO x CHANNEL / SYS_FLAG|ranr_rate|book|1</t>
        </is>
      </c>
      <c r="B684" t="n">
        <v>10.597635201</v>
      </c>
      <c r="C684" t="n">
        <v>7.023442777</v>
      </c>
      <c r="D684" t="n">
        <v>3.35094891</v>
      </c>
      <c r="E684" t="n">
        <v>-1.352303735</v>
      </c>
      <c r="F684" t="n">
        <v>10.485393226</v>
      </c>
      <c r="G684" t="n">
        <v>6.578772842</v>
      </c>
      <c r="H684" t="n">
        <v>6.218169337</v>
      </c>
    </row>
    <row r="685">
      <c r="A685" t="inlineStr">
        <is>
          <t>G|FICO x CHANNEL / SYS_FLAG|ranr_rate|band|1</t>
        </is>
      </c>
      <c r="B685" t="n">
        <v>5.275189829</v>
      </c>
      <c r="C685" t="n">
        <v>0.949814586</v>
      </c>
      <c r="D685" t="n">
        <v>-3.444742506</v>
      </c>
      <c r="E685" t="n">
        <v>-9.100711630999999</v>
      </c>
      <c r="F685" t="n">
        <v>5.304713808</v>
      </c>
      <c r="G685" t="n">
        <v>0.422571677</v>
      </c>
    </row>
    <row r="686">
      <c r="A686" t="inlineStr">
        <is>
          <t>G|FICO x CHANNEL / SYS_FLAG|ranr_rate|rate|2</t>
        </is>
      </c>
      <c r="B686" t="n">
        <v>0.169913038378118</v>
      </c>
      <c r="C686" t="n">
        <v>0.1308714432177859</v>
      </c>
      <c r="D686" t="n">
        <v>0.1664321553512761</v>
      </c>
      <c r="E686" t="n">
        <v>0.1476246487993896</v>
      </c>
      <c r="F686" t="n">
        <v>0.2075501460230495</v>
      </c>
      <c r="G686" t="n">
        <v>0.150316214007657</v>
      </c>
      <c r="H686" t="n">
        <v>0.1630754408239561</v>
      </c>
    </row>
    <row r="687">
      <c r="A687" t="inlineStr">
        <is>
          <t>G|FICO x CHANNEL / SYS_FLAG|ranr_rate|book|2</t>
        </is>
      </c>
      <c r="B687" t="n">
        <v>4.192298873</v>
      </c>
      <c r="C687" t="n">
        <v>0.288139357</v>
      </c>
      <c r="D687" t="n">
        <v>3.84421057</v>
      </c>
      <c r="E687" t="n">
        <v>1.963459915</v>
      </c>
      <c r="F687" t="n">
        <v>7.956009637</v>
      </c>
      <c r="G687" t="n">
        <v>2.232616436</v>
      </c>
      <c r="H687" t="n">
        <v>3.508539118</v>
      </c>
    </row>
    <row r="688">
      <c r="A688" t="inlineStr">
        <is>
          <t>G|FICO x CHANNEL / SYS_FLAG|ranr_rate|band|2</t>
        </is>
      </c>
      <c r="B688" t="n">
        <v>0.81730426</v>
      </c>
      <c r="C688" t="n">
        <v>-3.853947786</v>
      </c>
      <c r="D688" t="n">
        <v>0.415544281</v>
      </c>
      <c r="E688" t="n">
        <v>-1.836737248</v>
      </c>
      <c r="F688" t="n">
        <v>5.398586781</v>
      </c>
      <c r="G688" t="n">
        <v>-1.492362446</v>
      </c>
    </row>
    <row r="689">
      <c r="A689" t="inlineStr">
        <is>
          <t>G|FICO x CHANNEL / SYS_FLAG|ranr_rate|rate|3</t>
        </is>
      </c>
      <c r="B689" t="n">
        <v>0.1281026202552597</v>
      </c>
      <c r="C689" t="n">
        <v>0.1318761608748316</v>
      </c>
      <c r="D689" t="n">
        <v>0.1396611030012643</v>
      </c>
      <c r="E689" t="n">
        <v>0.112557769963748</v>
      </c>
      <c r="F689" t="n">
        <v>0.1948979666056128</v>
      </c>
      <c r="G689" t="n">
        <v>0.1383388797068483</v>
      </c>
      <c r="H689" t="n">
        <v>0.1419183148673722</v>
      </c>
    </row>
    <row r="690">
      <c r="A690" t="inlineStr">
        <is>
          <t>G|FICO x CHANNEL / SYS_FLAG|ranr_rate|book|3</t>
        </is>
      </c>
      <c r="B690" t="n">
        <v>0.011257061</v>
      </c>
      <c r="C690" t="n">
        <v>0.388611123</v>
      </c>
      <c r="D690" t="n">
        <v>1.167105335</v>
      </c>
      <c r="E690" t="n">
        <v>-1.543227968</v>
      </c>
      <c r="F690" t="n">
        <v>6.690791696</v>
      </c>
      <c r="G690" t="n">
        <v>1.034883006</v>
      </c>
      <c r="H690" t="n">
        <v>1.392826522</v>
      </c>
    </row>
    <row r="691">
      <c r="A691" t="inlineStr">
        <is>
          <t>G|FICO x CHANNEL / SYS_FLAG|ranr_rate|band|3</t>
        </is>
      </c>
      <c r="B691" t="n">
        <v>-1.687546682</v>
      </c>
      <c r="C691" t="n">
        <v>-1.179724032</v>
      </c>
      <c r="D691" t="n">
        <v>-0.272283025</v>
      </c>
      <c r="E691" t="n">
        <v>-3.465363591</v>
      </c>
      <c r="F691" t="n">
        <v>6.450921169</v>
      </c>
      <c r="G691" t="n">
        <v>-0.429930624</v>
      </c>
    </row>
    <row r="692">
      <c r="A692" t="inlineStr">
        <is>
          <t>G|FICO x CHANNEL / SYS_FLAG|ranr_rate|rate|4</t>
        </is>
      </c>
      <c r="B692" t="n">
        <v>0.0943049164055508</v>
      </c>
      <c r="C692" t="n">
        <v>0.07449793831365925</v>
      </c>
      <c r="D692" t="n">
        <v>0.08741398711430745</v>
      </c>
      <c r="E692" t="n">
        <v>0.09604406388127933</v>
      </c>
      <c r="F692" t="n">
        <v>0.1256660315638293</v>
      </c>
      <c r="G692" t="n">
        <v>0.09363308498528264</v>
      </c>
      <c r="H692" t="n">
        <v>0.09596924359374787</v>
      </c>
    </row>
    <row r="693">
      <c r="A693" t="inlineStr">
        <is>
          <t>G|FICO x CHANNEL / SYS_FLAG|ranr_rate|book|4</t>
        </is>
      </c>
      <c r="B693" t="n">
        <v>-3.368513324</v>
      </c>
      <c r="C693" t="n">
        <v>-5.349211133</v>
      </c>
      <c r="D693" t="n">
        <v>-4.057606253</v>
      </c>
      <c r="E693" t="n">
        <v>-3.194598577</v>
      </c>
      <c r="F693" t="n">
        <v>-0.232401808</v>
      </c>
      <c r="G693" t="n">
        <v>-3.435696466</v>
      </c>
      <c r="H693" t="n">
        <v>-3.202080605</v>
      </c>
    </row>
    <row r="694">
      <c r="A694" t="inlineStr">
        <is>
          <t>G|FICO x CHANNEL / SYS_FLAG|ranr_rate|band|4</t>
        </is>
      </c>
      <c r="B694" t="n">
        <v>-0.203738466</v>
      </c>
      <c r="C694" t="n">
        <v>-2.496567471</v>
      </c>
      <c r="D694" t="n">
        <v>-1.043164541</v>
      </c>
      <c r="E694" t="n">
        <v>0.008676527999999999</v>
      </c>
      <c r="F694" t="n">
        <v>3.609499669</v>
      </c>
      <c r="G694" t="n">
        <v>-0.285636496</v>
      </c>
    </row>
    <row r="695">
      <c r="A695" t="inlineStr">
        <is>
          <t>G|FICO x CHANNEL / SYS_FLAG|ranr_rate|rate|5</t>
        </is>
      </c>
      <c r="B695" t="n">
        <v>0.04741689160388554</v>
      </c>
      <c r="C695" t="n">
        <v>0.04114199357781516</v>
      </c>
      <c r="D695" t="n">
        <v>0.05699302560560132</v>
      </c>
      <c r="E695" t="n">
        <v>0.03924328468823907</v>
      </c>
      <c r="F695" t="n">
        <v>0.05243045064662431</v>
      </c>
      <c r="G695" t="n">
        <v>0.03914023005630266</v>
      </c>
      <c r="H695" t="n">
        <v>0.04674341748455087</v>
      </c>
    </row>
    <row r="696">
      <c r="A696" t="inlineStr">
        <is>
          <t>G|FICO x CHANNEL / SYS_FLAG|ranr_rate|book|5</t>
        </is>
      </c>
      <c r="B696" t="n">
        <v>-8.057315804</v>
      </c>
      <c r="C696" t="n">
        <v>-8.684805606999999</v>
      </c>
      <c r="D696" t="n">
        <v>-7.099702404</v>
      </c>
      <c r="E696" t="n">
        <v>-8.874676495999999</v>
      </c>
      <c r="F696" t="n">
        <v>-7.5559599</v>
      </c>
      <c r="G696" t="n">
        <v>-8.884981958999999</v>
      </c>
      <c r="H696" t="n">
        <v>-8.124663216</v>
      </c>
    </row>
    <row r="697">
      <c r="A697" t="inlineStr">
        <is>
          <t>G|FICO x CHANNEL / SYS_FLAG|ranr_rate|band|5</t>
        </is>
      </c>
      <c r="B697" t="n">
        <v>0.08195148300000001</v>
      </c>
      <c r="C697" t="n">
        <v>-0.656965481</v>
      </c>
      <c r="D697" t="n">
        <v>1.259290284</v>
      </c>
      <c r="E697" t="n">
        <v>-0.885563517</v>
      </c>
      <c r="F697" t="n">
        <v>0.700168625</v>
      </c>
      <c r="G697" t="n">
        <v>-0.891877119</v>
      </c>
    </row>
    <row r="698">
      <c r="A698" t="inlineStr">
        <is>
          <t>G|FICO x CHANNEL / SYS_FLAG|ranr_rate|rate|6</t>
        </is>
      </c>
      <c r="E698" t="n">
        <v>0.140296941334961</v>
      </c>
      <c r="H698" t="n">
        <v>0.140296941334961</v>
      </c>
    </row>
    <row r="699">
      <c r="A699" t="inlineStr">
        <is>
          <t>G|FICO x CHANNEL / SYS_FLAG|ranr_rate|book|6</t>
        </is>
      </c>
      <c r="E699" t="n">
        <v>1.230689169</v>
      </c>
      <c r="H699" t="n">
        <v>1.230689169</v>
      </c>
    </row>
    <row r="700">
      <c r="A700" t="inlineStr">
        <is>
          <t>G|FICO x CHANNEL / SYS_FLAG|ranr_rate|band|6</t>
        </is>
      </c>
    </row>
    <row r="701">
      <c r="A701" t="inlineStr">
        <is>
          <t>G|FICO x CHANNEL / SYS_FLAG|ranr_rate|rate|7</t>
        </is>
      </c>
      <c r="B701" t="n">
        <v>0.1550315661198207</v>
      </c>
      <c r="C701" t="n">
        <v>0.1358681559141303</v>
      </c>
      <c r="D701" t="n">
        <v>0.1539214881301053</v>
      </c>
      <c r="E701" t="n">
        <v>0.09613836715770098</v>
      </c>
      <c r="F701" t="n">
        <v>0.229985150313889</v>
      </c>
      <c r="G701" t="n">
        <v>0.1442105413235336</v>
      </c>
      <c r="H701" t="n">
        <v>0.1551731988462655</v>
      </c>
    </row>
    <row r="702">
      <c r="A702" t="inlineStr">
        <is>
          <t>G|FICO x CHANNEL / SYS_FLAG|ranr_rate|book|7</t>
        </is>
      </c>
      <c r="B702" t="n">
        <v>2.704151647</v>
      </c>
      <c r="C702" t="n">
        <v>0.787810627</v>
      </c>
      <c r="D702" t="n">
        <v>2.593143848</v>
      </c>
      <c r="E702" t="n">
        <v>-3.185168249</v>
      </c>
      <c r="F702" t="n">
        <v>10.199510067</v>
      </c>
      <c r="G702" t="n">
        <v>1.622049168</v>
      </c>
      <c r="H702" t="n">
        <v>2.71831492</v>
      </c>
    </row>
    <row r="703">
      <c r="A703" t="inlineStr">
        <is>
          <t>G|FICO x CHANNEL / SYS_FLAG|ranr_rate|band|7</t>
        </is>
      </c>
      <c r="B703" t="n">
        <v>-0.017563228</v>
      </c>
      <c r="C703" t="n">
        <v>-2.248199049</v>
      </c>
      <c r="D703" t="n">
        <v>-0.149253583</v>
      </c>
      <c r="E703" t="n">
        <v>-6.979433606</v>
      </c>
      <c r="F703" t="n">
        <v>9.182319145999999</v>
      </c>
      <c r="G703" t="n">
        <v>-1.311842904</v>
      </c>
    </row>
    <row r="704">
      <c r="A704" t="inlineStr">
        <is>
          <t>G|FICO x CHANNEL / SYS_FLAG|ranr_rate|rate|8</t>
        </is>
      </c>
      <c r="B704" t="n">
        <v>0.1332692091964859</v>
      </c>
      <c r="C704" t="n">
        <v>0.1169453091003141</v>
      </c>
      <c r="D704" t="n">
        <v>0.1222096812820414</v>
      </c>
      <c r="E704" t="n">
        <v>0.1023825193760782</v>
      </c>
      <c r="F704" t="n">
        <v>0.1640539804937369</v>
      </c>
      <c r="G704" t="n">
        <v>0.1223457649562408</v>
      </c>
      <c r="H704" t="n">
        <v>0.1279900496481476</v>
      </c>
    </row>
    <row r="705">
      <c r="A705" t="inlineStr">
        <is>
          <t>G|FICO x CHANNEL / SYS_FLAG|ranr_rate|book|8</t>
        </is>
      </c>
      <c r="B705" t="n">
        <v>0.527915955</v>
      </c>
      <c r="C705" t="n">
        <v>-1.104474055</v>
      </c>
      <c r="D705" t="n">
        <v>-0.578036837</v>
      </c>
      <c r="E705" t="n">
        <v>-2.560753027</v>
      </c>
      <c r="F705" t="n">
        <v>3.606393085</v>
      </c>
      <c r="G705" t="n">
        <v>-0.564428469</v>
      </c>
      <c r="H705" t="n">
        <v>0</v>
      </c>
    </row>
    <row r="706">
      <c r="A706" t="inlineStr">
        <is>
          <t>G|FICO x CHANNEL / SYS_FLAG|ranr_rate|band|8</t>
        </is>
      </c>
    </row>
    <row r="707">
      <c r="A707" t="inlineStr">
        <is>
          <t>G|FICO x CHANNEL / SYS_FLAG|ranr_rate|meta</t>
        </is>
      </c>
      <c r="B707" t="inlineStr">
        <is>
          <t>pts</t>
        </is>
      </c>
      <c r="C707" t="n">
        <v>10.597635201</v>
      </c>
      <c r="D707" t="n">
        <v>10</v>
      </c>
    </row>
    <row r="708">
      <c r="A708" t="inlineStr">
        <is>
          <t>G|FICO x CHANNEL / SYS_FLAG|contribution_rate|rate|1</t>
        </is>
      </c>
      <c r="B708" t="n">
        <v>0.2771626669347637</v>
      </c>
      <c r="C708" t="n">
        <v>0.263903670117861</v>
      </c>
      <c r="D708" t="n">
        <v>0.2784954894956177</v>
      </c>
      <c r="E708" t="n">
        <v>0.2807758965152085</v>
      </c>
      <c r="F708" t="n">
        <v>0.2694384484942957</v>
      </c>
      <c r="G708" t="n">
        <v>0.2714281675598356</v>
      </c>
      <c r="H708" t="n">
        <v>0.2736243023088953</v>
      </c>
    </row>
    <row r="709">
      <c r="A709" t="inlineStr">
        <is>
          <t>G|FICO x CHANNEL / SYS_FLAG|contribution_rate|book|1</t>
        </is>
      </c>
      <c r="B709" t="n">
        <v>10.75702112</v>
      </c>
      <c r="C709" t="n">
        <v>9.431121438</v>
      </c>
      <c r="D709" t="n">
        <v>10.890303376</v>
      </c>
      <c r="E709" t="n">
        <v>11.118344078</v>
      </c>
      <c r="F709" t="n">
        <v>9.984599276000001</v>
      </c>
      <c r="G709" t="n">
        <v>10.183571182</v>
      </c>
      <c r="H709" t="n">
        <v>10.403184657</v>
      </c>
    </row>
    <row r="710">
      <c r="A710" t="inlineStr">
        <is>
          <t>G|FICO x CHANNEL / SYS_FLAG|contribution_rate|band|1</t>
        </is>
      </c>
      <c r="B710" t="n">
        <v>0.426205973</v>
      </c>
      <c r="C710" t="n">
        <v>-1.146542005</v>
      </c>
      <c r="D710" t="n">
        <v>0.585235282</v>
      </c>
      <c r="E710" t="n">
        <v>0.859716374</v>
      </c>
      <c r="F710" t="n">
        <v>-0.5203560229999999</v>
      </c>
      <c r="G710" t="n">
        <v>-0.257353112</v>
      </c>
    </row>
    <row r="711">
      <c r="A711" t="inlineStr">
        <is>
          <t>G|FICO x CHANNEL / SYS_FLAG|contribution_rate|rate|2</t>
        </is>
      </c>
      <c r="B711" t="n">
        <v>0.1996140291750769</v>
      </c>
      <c r="C711" t="n">
        <v>0.2011588824185357</v>
      </c>
      <c r="D711" t="n">
        <v>0.2038036441115468</v>
      </c>
      <c r="E711" t="n">
        <v>0.195799652133365</v>
      </c>
      <c r="F711" t="n">
        <v>0.2271631728963787</v>
      </c>
      <c r="G711" t="n">
        <v>0.2228421447715557</v>
      </c>
      <c r="H711" t="n">
        <v>0.2082899782331104</v>
      </c>
    </row>
    <row r="712">
      <c r="A712" t="inlineStr">
        <is>
          <t>G|FICO x CHANNEL / SYS_FLAG|contribution_rate|book|2</t>
        </is>
      </c>
      <c r="B712" t="n">
        <v>3.002157344</v>
      </c>
      <c r="C712" t="n">
        <v>3.156642668</v>
      </c>
      <c r="D712" t="n">
        <v>3.421118838</v>
      </c>
      <c r="E712" t="n">
        <v>2.62071964</v>
      </c>
      <c r="F712" t="n">
        <v>5.757071716</v>
      </c>
      <c r="G712" t="n">
        <v>5.324968904</v>
      </c>
      <c r="H712" t="n">
        <v>3.86975225</v>
      </c>
    </row>
    <row r="713">
      <c r="A713" t="inlineStr">
        <is>
          <t>G|FICO x CHANNEL / SYS_FLAG|contribution_rate|band|2</t>
        </is>
      </c>
      <c r="B713" t="n">
        <v>-1.037044089</v>
      </c>
      <c r="C713" t="n">
        <v>-0.853399359</v>
      </c>
      <c r="D713" t="n">
        <v>-0.555385474</v>
      </c>
      <c r="E713" t="n">
        <v>-1.484807196</v>
      </c>
      <c r="F713" t="n">
        <v>2.290933212</v>
      </c>
      <c r="G713" t="n">
        <v>1.702070757</v>
      </c>
    </row>
    <row r="714">
      <c r="A714" t="inlineStr">
        <is>
          <t>G|FICO x CHANNEL / SYS_FLAG|contribution_rate|rate|3</t>
        </is>
      </c>
      <c r="B714" t="n">
        <v>0.155019870742555</v>
      </c>
      <c r="C714" t="n">
        <v>0.1526957796238796</v>
      </c>
      <c r="D714" t="n">
        <v>0.1622895843941019</v>
      </c>
      <c r="E714" t="n">
        <v>0.1431903982795272</v>
      </c>
      <c r="F714" t="n">
        <v>0.2185049649011482</v>
      </c>
      <c r="G714" t="n">
        <v>0.2026574925627251</v>
      </c>
      <c r="H714" t="n">
        <v>0.1734333199610002</v>
      </c>
    </row>
    <row r="715">
      <c r="A715" t="inlineStr">
        <is>
          <t>G|FICO x CHANNEL / SYS_FLAG|contribution_rate|book|3</t>
        </is>
      </c>
      <c r="B715" t="n">
        <v>-1.457258499</v>
      </c>
      <c r="C715" t="n">
        <v>-1.689667611</v>
      </c>
      <c r="D715" t="n">
        <v>-0.730287134</v>
      </c>
      <c r="E715" t="n">
        <v>-2.640205746</v>
      </c>
      <c r="F715" t="n">
        <v>4.891250917</v>
      </c>
      <c r="G715" t="n">
        <v>3.306503683</v>
      </c>
      <c r="H715" t="n">
        <v>0.384086423</v>
      </c>
    </row>
    <row r="716">
      <c r="A716" t="inlineStr">
        <is>
          <t>G|FICO x CHANNEL / SYS_FLAG|contribution_rate|band|3</t>
        </is>
      </c>
      <c r="B716" t="n">
        <v>-2.249148957</v>
      </c>
      <c r="C716" t="n">
        <v>-2.436187965</v>
      </c>
      <c r="D716" t="n">
        <v>-1.344246887</v>
      </c>
      <c r="E716" t="n">
        <v>-3.569508673</v>
      </c>
      <c r="F716" t="n">
        <v>5.488024532</v>
      </c>
      <c r="G716" t="n">
        <v>3.510153474</v>
      </c>
    </row>
    <row r="717">
      <c r="A717" t="inlineStr">
        <is>
          <t>G|FICO x CHANNEL / SYS_FLAG|contribution_rate|rate|4</t>
        </is>
      </c>
      <c r="B717" t="n">
        <v>0.1091426988572596</v>
      </c>
      <c r="C717" t="n">
        <v>0.107830607455252</v>
      </c>
      <c r="D717" t="n">
        <v>0.1094034460955758</v>
      </c>
      <c r="E717" t="n">
        <v>0.1151961526469575</v>
      </c>
      <c r="F717" t="n">
        <v>0.1547552499458483</v>
      </c>
      <c r="G717" t="n">
        <v>0.154475138364651</v>
      </c>
      <c r="H717" t="n">
        <v>0.1261938892004919</v>
      </c>
    </row>
    <row r="718">
      <c r="A718" t="inlineStr">
        <is>
          <t>G|FICO x CHANNEL / SYS_FLAG|contribution_rate|book|4</t>
        </is>
      </c>
      <c r="B718" t="n">
        <v>-6.044975688</v>
      </c>
      <c r="C718" t="n">
        <v>-6.176184828</v>
      </c>
      <c r="D718" t="n">
        <v>-6.018900964</v>
      </c>
      <c r="E718" t="n">
        <v>-5.439630309</v>
      </c>
      <c r="F718" t="n">
        <v>-1.483720579</v>
      </c>
      <c r="G718" t="n">
        <v>-1.511731737</v>
      </c>
      <c r="H718" t="n">
        <v>-4.339856653</v>
      </c>
    </row>
    <row r="719">
      <c r="A719" t="inlineStr">
        <is>
          <t>G|FICO x CHANNEL / SYS_FLAG|contribution_rate|band|4</t>
        </is>
      </c>
      <c r="B719" t="n">
        <v>-2.085699338</v>
      </c>
      <c r="C719" t="n">
        <v>-2.135453314</v>
      </c>
      <c r="D719" t="n">
        <v>-2.047651097</v>
      </c>
      <c r="E719" t="n">
        <v>-1.275509833</v>
      </c>
      <c r="F719" t="n">
        <v>3.472075287</v>
      </c>
      <c r="G719" t="n">
        <v>3.458478732</v>
      </c>
    </row>
    <row r="720">
      <c r="A720" t="inlineStr">
        <is>
          <t>G|FICO x CHANNEL / SYS_FLAG|contribution_rate|rate|5</t>
        </is>
      </c>
      <c r="B720" t="n">
        <v>0.06809025954991622</v>
      </c>
      <c r="C720" t="n">
        <v>0.06606089339145017</v>
      </c>
      <c r="D720" t="n">
        <v>0.06780610829003578</v>
      </c>
      <c r="E720" t="n">
        <v>0.06603061340724767</v>
      </c>
      <c r="F720" t="n">
        <v>0.06515001414123189</v>
      </c>
      <c r="G720" t="n">
        <v>0.06321454812884725</v>
      </c>
      <c r="H720" t="n">
        <v>0.0661517645240999</v>
      </c>
    </row>
    <row r="721">
      <c r="A721" t="inlineStr">
        <is>
          <t>G|FICO x CHANNEL / SYS_FLAG|contribution_rate|book|5</t>
        </is>
      </c>
      <c r="B721" t="n">
        <v>-10.150219619</v>
      </c>
      <c r="C721" t="n">
        <v>-10.353156234</v>
      </c>
      <c r="D721" t="n">
        <v>-10.178634744</v>
      </c>
      <c r="E721" t="n">
        <v>-10.356184233</v>
      </c>
      <c r="F721" t="n">
        <v>-10.444244159</v>
      </c>
      <c r="G721" t="n">
        <v>-10.637790761</v>
      </c>
      <c r="H721" t="n">
        <v>-10.344069121</v>
      </c>
    </row>
    <row r="722">
      <c r="A722" t="inlineStr">
        <is>
          <t>G|FICO x CHANNEL / SYS_FLAG|contribution_rate|band|5</t>
        </is>
      </c>
      <c r="B722" t="n">
        <v>0.235885146</v>
      </c>
      <c r="C722" t="n">
        <v>-0.010657861</v>
      </c>
      <c r="D722" t="n">
        <v>0.203256457</v>
      </c>
      <c r="E722" t="n">
        <v>-0.014304681</v>
      </c>
      <c r="F722" t="n">
        <v>-0.123332178</v>
      </c>
      <c r="G722" t="n">
        <v>-0.344544459</v>
      </c>
    </row>
    <row r="723">
      <c r="A723" t="inlineStr">
        <is>
          <t>G|FICO x CHANNEL / SYS_FLAG|contribution_rate|rate|6</t>
        </is>
      </c>
      <c r="E723" t="n">
        <v>0.140296941334961</v>
      </c>
      <c r="H723" t="n">
        <v>0.140296941334961</v>
      </c>
    </row>
    <row r="724">
      <c r="A724" t="inlineStr">
        <is>
          <t>G|FICO x CHANNEL / SYS_FLAG|contribution_rate|book|6</t>
        </is>
      </c>
      <c r="E724" t="n">
        <v>-2.92955144</v>
      </c>
      <c r="H724" t="n">
        <v>-2.92955144</v>
      </c>
    </row>
    <row r="725">
      <c r="A725" t="inlineStr">
        <is>
          <t>G|FICO x CHANNEL / SYS_FLAG|contribution_rate|band|6</t>
        </is>
      </c>
    </row>
    <row r="726">
      <c r="A726" t="inlineStr">
        <is>
          <t>G|FICO x CHANNEL / SYS_FLAG|contribution_rate|rate|7</t>
        </is>
      </c>
      <c r="B726" t="n">
        <v>0.1550315661198207</v>
      </c>
      <c r="C726" t="n">
        <v>0.1543009989352131</v>
      </c>
      <c r="D726" t="n">
        <v>0.1818234471004137</v>
      </c>
      <c r="E726" t="n">
        <v>0.1735676663928442</v>
      </c>
      <c r="F726" t="n">
        <v>0.229985150313889</v>
      </c>
      <c r="G726" t="n">
        <v>0.1835808112454482</v>
      </c>
      <c r="H726" t="n">
        <v>0.1806863107357443</v>
      </c>
    </row>
    <row r="727">
      <c r="A727" t="inlineStr">
        <is>
          <t>G|FICO x CHANNEL / SYS_FLAG|contribution_rate|book|7</t>
        </is>
      </c>
      <c r="B727" t="n">
        <v>-1.456088962</v>
      </c>
      <c r="C727" t="n">
        <v>-1.52914568</v>
      </c>
      <c r="D727" t="n">
        <v>1.223099137</v>
      </c>
      <c r="E727" t="n">
        <v>0.397521066</v>
      </c>
      <c r="F727" t="n">
        <v>6.039269458</v>
      </c>
      <c r="G727" t="n">
        <v>1.398835551</v>
      </c>
      <c r="H727" t="n">
        <v>1.1093855</v>
      </c>
    </row>
    <row r="728">
      <c r="A728" t="inlineStr">
        <is>
          <t>G|FICO x CHANNEL / SYS_FLAG|contribution_rate|band|7</t>
        </is>
      </c>
      <c r="B728" t="n">
        <v>-3.181327811</v>
      </c>
      <c r="C728" t="n">
        <v>-3.072742863</v>
      </c>
      <c r="D728" t="n">
        <v>0.135591775</v>
      </c>
      <c r="E728" t="n">
        <v>-0.841606627</v>
      </c>
      <c r="F728" t="n">
        <v>6.05087382</v>
      </c>
      <c r="G728" t="n">
        <v>0.346369477</v>
      </c>
    </row>
    <row r="729">
      <c r="A729" t="inlineStr">
        <is>
          <t>G|FICO x CHANNEL / SYS_FLAG|contribution_rate|rate|8</t>
        </is>
      </c>
      <c r="B729" t="n">
        <v>0.159477974501621</v>
      </c>
      <c r="C729" t="n">
        <v>0.1601003921069277</v>
      </c>
      <c r="D729" t="n">
        <v>0.1628222874923279</v>
      </c>
      <c r="E729" t="n">
        <v>0.1637367310415072</v>
      </c>
      <c r="F729" t="n">
        <v>0.1880298300565874</v>
      </c>
      <c r="G729" t="n">
        <v>0.181856565022196</v>
      </c>
      <c r="H729" t="n">
        <v>0.1695924557349811</v>
      </c>
    </row>
    <row r="730">
      <c r="A730" t="inlineStr">
        <is>
          <t>G|FICO x CHANNEL / SYS_FLAG|contribution_rate|book|8</t>
        </is>
      </c>
      <c r="B730" t="n">
        <v>-1.011448123</v>
      </c>
      <c r="C730" t="n">
        <v>-0.9492063630000001</v>
      </c>
      <c r="D730" t="n">
        <v>-0.677016824</v>
      </c>
      <c r="E730" t="n">
        <v>-0.585572469</v>
      </c>
      <c r="F730" t="n">
        <v>1.843737432</v>
      </c>
      <c r="G730" t="n">
        <v>1.226410929</v>
      </c>
      <c r="H730" t="n">
        <v>0</v>
      </c>
    </row>
    <row r="731">
      <c r="A731" t="inlineStr">
        <is>
          <t>G|FICO x CHANNEL / SYS_FLAG|contribution_rate|band|8</t>
        </is>
      </c>
    </row>
    <row r="732">
      <c r="A732" t="inlineStr">
        <is>
          <t>G|FICO x CHANNEL / SYS_FLAG|contribution_rate|meta</t>
        </is>
      </c>
      <c r="B732" t="inlineStr">
        <is>
          <t>pts</t>
        </is>
      </c>
      <c r="C732" t="n">
        <v>11.118344078</v>
      </c>
      <c r="D732" t="n">
        <v>10</v>
      </c>
    </row>
    <row r="733">
      <c r="A733" t="inlineStr">
        <is>
          <t>G|FICO x ASSET_CLASS / SYS_FLAG|cols</t>
        </is>
      </c>
      <c r="B733" t="inlineStr">
        <is>
          <t>1 · N</t>
        </is>
      </c>
      <c r="C733" t="inlineStr">
        <is>
          <t>1 · Y</t>
        </is>
      </c>
      <c r="D733" t="inlineStr">
        <is>
          <t>2 · N</t>
        </is>
      </c>
      <c r="E733" t="inlineStr">
        <is>
          <t>2 · Y</t>
        </is>
      </c>
      <c r="F733" t="inlineStr">
        <is>
          <t>3 · N</t>
        </is>
      </c>
      <c r="G733" t="inlineStr">
        <is>
          <t>3 · Y</t>
        </is>
      </c>
      <c r="H733" t="inlineStr">
        <is>
          <t>4 · N</t>
        </is>
      </c>
      <c r="I733" t="inlineStr">
        <is>
          <t>4 · Y</t>
        </is>
      </c>
      <c r="J733" t="inlineStr">
        <is>
          <t>All</t>
        </is>
      </c>
    </row>
    <row r="734">
      <c r="A734" t="inlineStr">
        <is>
          <t>G|FICO x ASSET_CLASS / SYS_FLAG|rows</t>
        </is>
      </c>
      <c r="B734" t="inlineStr">
        <is>
          <t>496 - 653</t>
        </is>
      </c>
      <c r="C734" t="inlineStr">
        <is>
          <t>654 - 685</t>
        </is>
      </c>
      <c r="D734" t="inlineStr">
        <is>
          <t>686 - 711</t>
        </is>
      </c>
      <c r="E734" t="inlineStr">
        <is>
          <t>712 - 745</t>
        </is>
      </c>
      <c r="F734" t="inlineStr">
        <is>
          <t>746 - 921</t>
        </is>
      </c>
      <c r="G734" t="inlineStr">
        <is>
          <t>(blank)</t>
        </is>
      </c>
      <c r="H734" t="inlineStr">
        <is>
          <t>(marked missing)</t>
        </is>
      </c>
      <c r="I734" t="inlineStr">
        <is>
          <t>All</t>
        </is>
      </c>
    </row>
    <row r="735">
      <c r="A735" t="inlineStr">
        <is>
          <t>G|FICO x ASSET_CLASS / SYS_FLAG|names</t>
        </is>
      </c>
      <c r="B735" t="inlineStr">
        <is>
          <t>FICO</t>
        </is>
      </c>
      <c r="C735" t="inlineStr">
        <is>
          <t>ASSET_CLASS / SYS_FLAG</t>
        </is>
      </c>
    </row>
    <row r="736">
      <c r="A736" t="inlineStr">
        <is>
          <t>G|FICO x ASSET_CLASS / SYS_FLAG|total</t>
        </is>
      </c>
      <c r="B736" t="n">
        <v>8000</v>
      </c>
    </row>
    <row r="737">
      <c r="A737" t="inlineStr">
        <is>
          <t>G|FICO x ASSET_CLASS / SYS_FLAG|loans|1</t>
        </is>
      </c>
      <c r="B737" t="n">
        <v>234</v>
      </c>
      <c r="C737" t="n">
        <v>186</v>
      </c>
      <c r="D737" t="n">
        <v>213</v>
      </c>
      <c r="E737" t="n">
        <v>181</v>
      </c>
      <c r="F737" t="n">
        <v>184</v>
      </c>
      <c r="G737" t="n">
        <v>166</v>
      </c>
      <c r="H737" t="n">
        <v>203</v>
      </c>
      <c r="I737" t="n">
        <v>189</v>
      </c>
      <c r="J737" t="n">
        <v>1556</v>
      </c>
    </row>
    <row r="738">
      <c r="A738" t="inlineStr">
        <is>
          <t>G|FICO x ASSET_CLASS / SYS_FLAG|loans|2</t>
        </is>
      </c>
      <c r="B738" t="n">
        <v>210</v>
      </c>
      <c r="C738" t="n">
        <v>187</v>
      </c>
      <c r="D738" t="n">
        <v>192</v>
      </c>
      <c r="E738" t="n">
        <v>163</v>
      </c>
      <c r="F738" t="n">
        <v>184</v>
      </c>
      <c r="G738" t="n">
        <v>193</v>
      </c>
      <c r="H738" t="n">
        <v>219</v>
      </c>
      <c r="I738" t="n">
        <v>191</v>
      </c>
      <c r="J738" t="n">
        <v>1539</v>
      </c>
    </row>
    <row r="739">
      <c r="A739" t="inlineStr">
        <is>
          <t>G|FICO x ASSET_CLASS / SYS_FLAG|loans|3</t>
        </is>
      </c>
      <c r="B739" t="n">
        <v>205</v>
      </c>
      <c r="C739" t="n">
        <v>167</v>
      </c>
      <c r="D739" t="n">
        <v>216</v>
      </c>
      <c r="E739" t="n">
        <v>179</v>
      </c>
      <c r="F739" t="n">
        <v>192</v>
      </c>
      <c r="G739" t="n">
        <v>196</v>
      </c>
      <c r="H739" t="n">
        <v>235</v>
      </c>
      <c r="I739" t="n">
        <v>172</v>
      </c>
      <c r="J739" t="n">
        <v>1562</v>
      </c>
    </row>
    <row r="740">
      <c r="A740" t="inlineStr">
        <is>
          <t>G|FICO x ASSET_CLASS / SYS_FLAG|loans|4</t>
        </is>
      </c>
      <c r="B740" t="n">
        <v>194</v>
      </c>
      <c r="C740" t="n">
        <v>167</v>
      </c>
      <c r="D740" t="n">
        <v>247</v>
      </c>
      <c r="E740" t="n">
        <v>184</v>
      </c>
      <c r="F740" t="n">
        <v>223</v>
      </c>
      <c r="G740" t="n">
        <v>169</v>
      </c>
      <c r="H740" t="n">
        <v>220</v>
      </c>
      <c r="I740" t="n">
        <v>207</v>
      </c>
      <c r="J740" t="n">
        <v>1611</v>
      </c>
    </row>
    <row r="741">
      <c r="A741" t="inlineStr">
        <is>
          <t>G|FICO x ASSET_CLASS / SYS_FLAG|loans|5</t>
        </is>
      </c>
      <c r="B741" t="n">
        <v>231</v>
      </c>
      <c r="C741" t="n">
        <v>183</v>
      </c>
      <c r="D741" t="n">
        <v>219</v>
      </c>
      <c r="E741" t="n">
        <v>180</v>
      </c>
      <c r="F741" t="n">
        <v>211</v>
      </c>
      <c r="G741" t="n">
        <v>174</v>
      </c>
      <c r="H741" t="n">
        <v>209</v>
      </c>
      <c r="I741" t="n">
        <v>164</v>
      </c>
      <c r="J741" t="n">
        <v>1571</v>
      </c>
    </row>
    <row r="742">
      <c r="A742" t="inlineStr">
        <is>
          <t>G|FICO x ASSET_CLASS / SYS_FLAG|loans|6</t>
        </is>
      </c>
      <c r="E742" t="n">
        <v>1</v>
      </c>
      <c r="J742" t="n">
        <v>1</v>
      </c>
    </row>
    <row r="743">
      <c r="A743" t="inlineStr">
        <is>
          <t>G|FICO x ASSET_CLASS / SYS_FLAG|loans|7</t>
        </is>
      </c>
      <c r="B743" t="n">
        <v>27</v>
      </c>
      <c r="C743" t="n">
        <v>15</v>
      </c>
      <c r="D743" t="n">
        <v>18</v>
      </c>
      <c r="E743" t="n">
        <v>18</v>
      </c>
      <c r="F743" t="n">
        <v>21</v>
      </c>
      <c r="G743" t="n">
        <v>22</v>
      </c>
      <c r="H743" t="n">
        <v>22</v>
      </c>
      <c r="I743" t="n">
        <v>17</v>
      </c>
      <c r="J743" t="n">
        <v>160</v>
      </c>
    </row>
    <row r="744">
      <c r="A744" t="inlineStr">
        <is>
          <t>G|FICO x ASSET_CLASS / SYS_FLAG|loans|8</t>
        </is>
      </c>
      <c r="B744" t="n">
        <v>1101</v>
      </c>
      <c r="C744" t="n">
        <v>905</v>
      </c>
      <c r="D744" t="n">
        <v>1105</v>
      </c>
      <c r="E744" t="n">
        <v>906</v>
      </c>
      <c r="F744" t="n">
        <v>1015</v>
      </c>
      <c r="G744" t="n">
        <v>920</v>
      </c>
      <c r="H744" t="n">
        <v>1108</v>
      </c>
      <c r="I744" t="n">
        <v>940</v>
      </c>
      <c r="J744" t="n">
        <v>8000</v>
      </c>
    </row>
    <row r="745">
      <c r="A745" t="inlineStr">
        <is>
          <t>G|FICO x ASSET_CLASS / SYS_FLAG|outcome_loans|rate|1</t>
        </is>
      </c>
      <c r="B745" t="n">
        <v>0.0811965811965812</v>
      </c>
      <c r="C745" t="n">
        <v>0.2043010752688172</v>
      </c>
      <c r="D745" t="n">
        <v>0.09905660377358491</v>
      </c>
      <c r="E745" t="n">
        <v>0.1270718232044199</v>
      </c>
      <c r="F745" t="n">
        <v>0.1195652173913044</v>
      </c>
      <c r="G745" t="n">
        <v>0.1867469879518072</v>
      </c>
      <c r="H745" t="n">
        <v>0.167487684729064</v>
      </c>
      <c r="I745" t="n">
        <v>0.2433862433862434</v>
      </c>
      <c r="J745" t="n">
        <v>0.1504823151125402</v>
      </c>
    </row>
    <row r="746">
      <c r="A746" t="inlineStr">
        <is>
          <t>G|FICO x ASSET_CLASS / SYS_FLAG|outcome_loans|book|1</t>
        </is>
      </c>
      <c r="B746" t="n">
        <v>1.049259213233365</v>
      </c>
      <c r="C746" t="n">
        <v>2.640071568780725</v>
      </c>
      <c r="D746" t="n">
        <v>1.280054561526504</v>
      </c>
      <c r="E746" t="n">
        <v>1.642079990003481</v>
      </c>
      <c r="F746" t="n">
        <v>1.545076209875676</v>
      </c>
      <c r="G746" t="n">
        <v>2.413229655293224</v>
      </c>
      <c r="H746" t="n">
        <v>2.164352165020651</v>
      </c>
      <c r="I746" t="n">
        <v>3.145147917361164</v>
      </c>
      <c r="J746" t="n">
        <v>1.944601031640079</v>
      </c>
    </row>
    <row r="747">
      <c r="A747" t="inlineStr">
        <is>
          <t>G|FICO x ASSET_CLASS / SYS_FLAG|outcome_loans|band|1</t>
        </is>
      </c>
      <c r="B747" t="n">
        <v>0.4988869012124826</v>
      </c>
      <c r="C747" t="n">
        <v>1.426980469607198</v>
      </c>
      <c r="D747" t="n">
        <v>0.6245681636991762</v>
      </c>
      <c r="E747" t="n">
        <v>0.8274724411510567</v>
      </c>
      <c r="F747" t="n">
        <v>0.7732260049220673</v>
      </c>
      <c r="G747" t="n">
        <v>1.277790966822957</v>
      </c>
      <c r="H747" t="n">
        <v>1.132216748768473</v>
      </c>
      <c r="I747" t="n">
        <v>1.768434087583024</v>
      </c>
    </row>
    <row r="748">
      <c r="A748" t="inlineStr">
        <is>
          <t>G|FICO x ASSET_CLASS / SYS_FLAG|outcome_loans|rate|2</t>
        </is>
      </c>
      <c r="B748" t="n">
        <v>0.04761904761904762</v>
      </c>
      <c r="C748" t="n">
        <v>0.106951871657754</v>
      </c>
      <c r="D748" t="n">
        <v>0.02083333333333333</v>
      </c>
      <c r="E748" t="n">
        <v>0.1042944785276074</v>
      </c>
      <c r="F748" t="n">
        <v>0.07065217391304347</v>
      </c>
      <c r="G748" t="n">
        <v>0.09326424870466321</v>
      </c>
      <c r="H748" t="n">
        <v>0.091324200913242</v>
      </c>
      <c r="I748" t="n">
        <v>0.1465968586387434</v>
      </c>
      <c r="J748" t="n">
        <v>0.08447043534762833</v>
      </c>
    </row>
    <row r="749">
      <c r="A749" t="inlineStr">
        <is>
          <t>G|FICO x ASSET_CLASS / SYS_FLAG|outcome_loans|book|2</t>
        </is>
      </c>
      <c r="B749" t="n">
        <v>0.615355027309793</v>
      </c>
      <c r="C749" t="n">
        <v>1.382080810000605</v>
      </c>
      <c r="E749" t="n">
        <v>1.347740765334945</v>
      </c>
      <c r="F749" t="n">
        <v>0.9129995785628994</v>
      </c>
      <c r="G749" t="n">
        <v>1.205203110482393</v>
      </c>
      <c r="H749" t="n">
        <v>1.180132929087274</v>
      </c>
      <c r="I749" t="n">
        <v>1.894391392974651</v>
      </c>
      <c r="J749" t="n">
        <v>1.091565448054409</v>
      </c>
    </row>
    <row r="750">
      <c r="A750" t="inlineStr">
        <is>
          <t>G|FICO x ASSET_CLASS / SYS_FLAG|outcome_loans|band|2</t>
        </is>
      </c>
      <c r="B750" t="n">
        <v>0.5273809523809523</v>
      </c>
      <c r="C750" t="n">
        <v>1.314535731648031</v>
      </c>
      <c r="E750" t="n">
        <v>1.269992942070688</v>
      </c>
      <c r="F750" t="n">
        <v>0.8182367149758454</v>
      </c>
      <c r="G750" t="n">
        <v>1.120836417468542</v>
      </c>
      <c r="H750" t="n">
        <v>1.095890410958904</v>
      </c>
      <c r="I750" t="n">
        <v>1.937378092598296</v>
      </c>
    </row>
    <row r="751">
      <c r="A751" t="inlineStr">
        <is>
          <t>G|FICO x ASSET_CLASS / SYS_FLAG|outcome_loans|rate|3</t>
        </is>
      </c>
      <c r="B751" t="n">
        <v>0.05365853658536585</v>
      </c>
      <c r="C751" t="n">
        <v>0.05389221556886228</v>
      </c>
      <c r="D751" t="n">
        <v>0.02314814814814815</v>
      </c>
      <c r="E751" t="n">
        <v>0.06145251396648044</v>
      </c>
      <c r="F751" t="n">
        <v>0.05208333333333334</v>
      </c>
      <c r="G751" t="n">
        <v>0.08673469387755102</v>
      </c>
      <c r="H751" t="n">
        <v>0.07659574468085106</v>
      </c>
      <c r="I751" t="n">
        <v>0.0872093023255814</v>
      </c>
      <c r="J751" t="n">
        <v>0.06145966709346991</v>
      </c>
    </row>
    <row r="752">
      <c r="A752" t="inlineStr">
        <is>
          <t>G|FICO x ASSET_CLASS / SYS_FLAG|outcome_loans|book|3</t>
        </is>
      </c>
      <c r="B752" t="n">
        <v>0.6934000551637181</v>
      </c>
      <c r="E752" t="n">
        <v>0.7941173816120792</v>
      </c>
      <c r="F752" t="n">
        <v>0.6730445611200861</v>
      </c>
      <c r="G752" t="n">
        <v>1.120825228314266</v>
      </c>
      <c r="H752" t="n">
        <v>0.9898051077578799</v>
      </c>
      <c r="I752" t="n">
        <v>1.126958334898749</v>
      </c>
      <c r="J752" t="n">
        <v>0.7942098175778123</v>
      </c>
    </row>
    <row r="753">
      <c r="A753" t="inlineStr">
        <is>
          <t>G|FICO x ASSET_CLASS / SYS_FLAG|outcome_loans|band|3</t>
        </is>
      </c>
      <c r="B753" t="n">
        <v>0.8566427546628408</v>
      </c>
      <c r="E753" t="n">
        <v>0.9998685507722642</v>
      </c>
      <c r="F753" t="n">
        <v>0.8296996124031008</v>
      </c>
      <c r="G753" t="n">
        <v>1.499741668819426</v>
      </c>
      <c r="H753" t="n">
        <v>1.303109656301146</v>
      </c>
      <c r="I753" t="n">
        <v>1.496554694229113</v>
      </c>
    </row>
    <row r="754">
      <c r="A754" t="inlineStr">
        <is>
          <t>G|FICO x ASSET_CLASS / SYS_FLAG|outcome_loans|rate|4</t>
        </is>
      </c>
      <c r="B754" t="n">
        <v>0.02577319587628866</v>
      </c>
      <c r="C754" t="n">
        <v>0.04790419161676647</v>
      </c>
      <c r="D754" t="n">
        <v>0.03643724696356275</v>
      </c>
      <c r="E754" t="n">
        <v>0.05978260869565218</v>
      </c>
      <c r="F754" t="n">
        <v>0.03587443946188341</v>
      </c>
      <c r="G754" t="n">
        <v>0.0650887573964497</v>
      </c>
      <c r="H754" t="n">
        <v>0.05909090909090909</v>
      </c>
      <c r="I754" t="n">
        <v>0.106280193236715</v>
      </c>
      <c r="J754" t="n">
        <v>0.05400372439478585</v>
      </c>
    </row>
    <row r="755">
      <c r="A755" t="inlineStr">
        <is>
          <t>G|FICO x ASSET_CLASS / SYS_FLAG|outcome_loans|book|4</t>
        </is>
      </c>
      <c r="E755" t="n">
        <v>0.772538104937838</v>
      </c>
      <c r="G755" t="n">
        <v>0.8411065757903088</v>
      </c>
      <c r="H755" t="n">
        <v>0.763599647525334</v>
      </c>
      <c r="I755" t="n">
        <v>1.373401075445045</v>
      </c>
      <c r="J755" t="n">
        <v>0.6978607292954636</v>
      </c>
    </row>
    <row r="756">
      <c r="A756" t="inlineStr">
        <is>
          <t>G|FICO x ASSET_CLASS / SYS_FLAG|outcome_loans|band|4</t>
        </is>
      </c>
      <c r="E756" t="n">
        <v>1.122497139588101</v>
      </c>
      <c r="G756" t="n">
        <v>1.234973528495796</v>
      </c>
      <c r="H756" t="n">
        <v>1.110749385749386</v>
      </c>
      <c r="I756" t="n">
        <v>2.295652173913044</v>
      </c>
    </row>
    <row r="757">
      <c r="A757" t="inlineStr">
        <is>
          <t>G|FICO x ASSET_CLASS / SYS_FLAG|outcome_loans|rate|5</t>
        </is>
      </c>
      <c r="B757" t="n">
        <v>0.01731601731601732</v>
      </c>
      <c r="C757" t="n">
        <v>0.06010928961748634</v>
      </c>
      <c r="D757" t="n">
        <v>0.0319634703196347</v>
      </c>
      <c r="E757" t="n">
        <v>0.05</v>
      </c>
      <c r="F757" t="n">
        <v>0.03317535545023697</v>
      </c>
      <c r="G757" t="n">
        <v>0.05172413793103448</v>
      </c>
      <c r="H757" t="n">
        <v>0.03349282296650718</v>
      </c>
      <c r="I757" t="n">
        <v>0.04878048780487805</v>
      </c>
      <c r="J757" t="n">
        <v>0.03946530872056015</v>
      </c>
    </row>
    <row r="758">
      <c r="A758" t="inlineStr">
        <is>
          <t>G|FICO x ASSET_CLASS / SYS_FLAG|outcome_loans|book|5</t>
        </is>
      </c>
      <c r="C758" t="n">
        <v>0.7767596246369518</v>
      </c>
      <c r="J758" t="n">
        <v>0.5099886986361238</v>
      </c>
    </row>
    <row r="759">
      <c r="A759" t="inlineStr">
        <is>
          <t>G|FICO x ASSET_CLASS / SYS_FLAG|outcome_loans|band|5</t>
        </is>
      </c>
      <c r="C759" t="n">
        <v>1.635915568413158</v>
      </c>
    </row>
    <row r="760">
      <c r="A760" t="inlineStr">
        <is>
          <t>G|FICO x ASSET_CLASS / SYS_FLAG|outcome_loans|rate|6</t>
        </is>
      </c>
      <c r="E760" t="n">
        <v>0</v>
      </c>
      <c r="J760" t="n">
        <v>0</v>
      </c>
    </row>
    <row r="761">
      <c r="A761" t="inlineStr">
        <is>
          <t>G|FICO x ASSET_CLASS / SYS_FLAG|outcome_loans|book|6</t>
        </is>
      </c>
    </row>
    <row r="762">
      <c r="A762" t="inlineStr">
        <is>
          <t>G|FICO x ASSET_CLASS / SYS_FLAG|outcome_loans|band|6</t>
        </is>
      </c>
    </row>
    <row r="763">
      <c r="A763" t="inlineStr">
        <is>
          <t>G|FICO x ASSET_CLASS / SYS_FLAG|outcome_loans|rate|7</t>
        </is>
      </c>
      <c r="B763" t="n">
        <v>0</v>
      </c>
      <c r="C763" t="n">
        <v>0.06666666666666667</v>
      </c>
      <c r="D763" t="n">
        <v>0.05555555555555555</v>
      </c>
      <c r="E763" t="n">
        <v>0.2222222222222222</v>
      </c>
      <c r="F763" t="n">
        <v>0</v>
      </c>
      <c r="G763" t="n">
        <v>0.09090909090909091</v>
      </c>
      <c r="H763" t="n">
        <v>0.04545454545454546</v>
      </c>
      <c r="I763" t="n">
        <v>0.05882352941176471</v>
      </c>
      <c r="J763" t="n">
        <v>0.0625</v>
      </c>
    </row>
    <row r="764">
      <c r="A764" t="inlineStr">
        <is>
          <t>G|FICO x ASSET_CLASS / SYS_FLAG|outcome_loans|book|7</t>
        </is>
      </c>
      <c r="J764" t="n">
        <v>0.8076534733441034</v>
      </c>
    </row>
    <row r="765">
      <c r="A765" t="inlineStr">
        <is>
          <t>G|FICO x ASSET_CLASS / SYS_FLAG|outcome_loans|band|7</t>
        </is>
      </c>
    </row>
    <row r="766">
      <c r="A766" t="inlineStr">
        <is>
          <t>G|FICO x ASSET_CLASS / SYS_FLAG|outcome_loans|rate|8</t>
        </is>
      </c>
      <c r="B766" t="n">
        <v>0.04450499545867393</v>
      </c>
      <c r="C766" t="n">
        <v>0.09613259668508287</v>
      </c>
      <c r="D766" t="n">
        <v>0.04257246376811594</v>
      </c>
      <c r="E766" t="n">
        <v>0.08278145695364239</v>
      </c>
      <c r="F766" t="n">
        <v>0.05911330049261083</v>
      </c>
      <c r="G766" t="n">
        <v>0.09565217391304348</v>
      </c>
      <c r="H766" t="n">
        <v>0.08393501805054152</v>
      </c>
      <c r="I766" t="n">
        <v>0.1276595744680851</v>
      </c>
      <c r="J766" t="n">
        <v>0.07738467308413552</v>
      </c>
    </row>
    <row r="767">
      <c r="A767" t="inlineStr">
        <is>
          <t>G|FICO x ASSET_CLASS / SYS_FLAG|outcome_loans|book|8</t>
        </is>
      </c>
      <c r="B767" t="n">
        <v>0.5751138266137847</v>
      </c>
      <c r="C767" t="n">
        <v>1.24226920982872</v>
      </c>
      <c r="D767" t="n">
        <v>0.5501407716981573</v>
      </c>
      <c r="E767" t="n">
        <v>1.069739699793514</v>
      </c>
      <c r="F767" t="n">
        <v>0.7638889994190534</v>
      </c>
      <c r="G767" t="n">
        <v>1.236060967900541</v>
      </c>
      <c r="H767" t="n">
        <v>1.084646541819518</v>
      </c>
      <c r="I767" t="n">
        <v>1.649675179596466</v>
      </c>
      <c r="J767" t="n">
        <v>1</v>
      </c>
    </row>
    <row r="768">
      <c r="A768" t="inlineStr">
        <is>
          <t>G|FICO x ASSET_CLASS / SYS_FLAG|outcome_loans|band|8</t>
        </is>
      </c>
    </row>
    <row r="769">
      <c r="A769" t="inlineStr">
        <is>
          <t>G|FICO x ASSET_CLASS / SYS_FLAG|outcome_loans|meta</t>
        </is>
      </c>
      <c r="B769" t="inlineStr">
        <is>
          <t>x</t>
        </is>
      </c>
      <c r="C769" t="n">
        <v>3.145147917361164</v>
      </c>
      <c r="D769" t="n">
        <v>10</v>
      </c>
    </row>
    <row r="770">
      <c r="A770" t="inlineStr">
        <is>
          <t>G|FICO x ASSET_CLASS / SYS_FLAG|outcome_booked|rate|1</t>
        </is>
      </c>
      <c r="B770" t="n">
        <v>0.06731270350366768</v>
      </c>
      <c r="C770" t="n">
        <v>0.1975596970180436</v>
      </c>
      <c r="D770" t="n">
        <v>0.09965571874015894</v>
      </c>
      <c r="E770" t="n">
        <v>0.118633819960679</v>
      </c>
      <c r="F770" t="n">
        <v>0.1076076241390775</v>
      </c>
      <c r="G770" t="n">
        <v>0.1798777485818013</v>
      </c>
      <c r="H770" t="n">
        <v>0.1606492890403957</v>
      </c>
      <c r="I770" t="n">
        <v>0.2964275934057412</v>
      </c>
      <c r="J770" t="n">
        <v>0.1491655756309188</v>
      </c>
    </row>
    <row r="771">
      <c r="A771" t="inlineStr">
        <is>
          <t>G|FICO x ASSET_CLASS / SYS_FLAG|outcome_booked|book|1</t>
        </is>
      </c>
      <c r="B771" t="n">
        <v>0.8995552757499633</v>
      </c>
      <c r="C771" t="n">
        <v>2.640153469968149</v>
      </c>
      <c r="D771" t="n">
        <v>1.331781712592778</v>
      </c>
      <c r="E771" t="n">
        <v>1.585401760340607</v>
      </c>
      <c r="F771" t="n">
        <v>1.438049594902275</v>
      </c>
      <c r="G771" t="n">
        <v>2.403854982855773</v>
      </c>
      <c r="H771" t="n">
        <v>2.146889190001031</v>
      </c>
      <c r="I771" t="n">
        <v>3.961406861506764</v>
      </c>
      <c r="J771" t="n">
        <v>1.993422839000396</v>
      </c>
    </row>
    <row r="772">
      <c r="A772" t="inlineStr">
        <is>
          <t>G|FICO x ASSET_CLASS / SYS_FLAG|outcome_booked|band|1</t>
        </is>
      </c>
      <c r="B772" t="n">
        <v>0.413523644416543</v>
      </c>
      <c r="C772" t="n">
        <v>1.38757708065876</v>
      </c>
      <c r="D772" t="n">
        <v>0.6347642707253288</v>
      </c>
      <c r="E772" t="n">
        <v>0.7728507248388223</v>
      </c>
      <c r="F772" t="n">
        <v>0.6938454510545362</v>
      </c>
      <c r="G772" t="n">
        <v>1.236215332643209</v>
      </c>
      <c r="H772" t="n">
        <v>1.089383564187331</v>
      </c>
      <c r="I772" t="n">
        <v>2.274733849473625</v>
      </c>
    </row>
    <row r="773">
      <c r="A773" t="inlineStr">
        <is>
          <t>G|FICO x ASSET_CLASS / SYS_FLAG|outcome_booked|rate|2</t>
        </is>
      </c>
      <c r="B773" t="n">
        <v>0.03975552659712497</v>
      </c>
      <c r="C773" t="n">
        <v>0.09162670190572685</v>
      </c>
      <c r="D773" t="n">
        <v>0.01609372017029523</v>
      </c>
      <c r="E773" t="n">
        <v>0.1023998313868138</v>
      </c>
      <c r="F773" t="n">
        <v>0.06340853337381124</v>
      </c>
      <c r="G773" t="n">
        <v>0.1033361338746842</v>
      </c>
      <c r="H773" t="n">
        <v>0.08449908386199335</v>
      </c>
      <c r="I773" t="n">
        <v>0.1444515712899625</v>
      </c>
      <c r="J773" t="n">
        <v>0.07985779590889651</v>
      </c>
    </row>
    <row r="774">
      <c r="A774" t="inlineStr">
        <is>
          <t>G|FICO x ASSET_CLASS / SYS_FLAG|outcome_booked|book|2</t>
        </is>
      </c>
      <c r="B774" t="n">
        <v>0.5312859509306912</v>
      </c>
      <c r="C774" t="n">
        <v>1.224483326455233</v>
      </c>
      <c r="E774" t="n">
        <v>1.368453557282779</v>
      </c>
      <c r="F774" t="n">
        <v>0.8473806243849884</v>
      </c>
      <c r="G774" t="n">
        <v>1.380966141071897</v>
      </c>
      <c r="H774" t="n">
        <v>1.129231077161431</v>
      </c>
      <c r="I774" t="n">
        <v>1.930425703926414</v>
      </c>
      <c r="J774" t="n">
        <v>1.067205711262177</v>
      </c>
    </row>
    <row r="775">
      <c r="A775" t="inlineStr">
        <is>
          <t>G|FICO x ASSET_CLASS / SYS_FLAG|outcome_booked|band|2</t>
        </is>
      </c>
      <c r="B775" t="n">
        <v>0.4605392252685241</v>
      </c>
      <c r="C775" t="n">
        <v>1.170245990008331</v>
      </c>
      <c r="E775" t="n">
        <v>1.325500812679238</v>
      </c>
      <c r="F775" t="n">
        <v>0.772099992364923</v>
      </c>
      <c r="G775" t="n">
        <v>1.348999716263114</v>
      </c>
      <c r="H775" t="n">
        <v>1.069002639029308</v>
      </c>
      <c r="I775" t="n">
        <v>2.047084140712379</v>
      </c>
    </row>
    <row r="776">
      <c r="A776" t="inlineStr">
        <is>
          <t>G|FICO x ASSET_CLASS / SYS_FLAG|outcome_booked|rate|3</t>
        </is>
      </c>
      <c r="B776" t="n">
        <v>0.05291828954732022</v>
      </c>
      <c r="C776" t="n">
        <v>0.06888557789339712</v>
      </c>
      <c r="D776" t="n">
        <v>0.01679645936086537</v>
      </c>
      <c r="E776" t="n">
        <v>0.06370414070631102</v>
      </c>
      <c r="F776" t="n">
        <v>0.04412543201702147</v>
      </c>
      <c r="G776" t="n">
        <v>0.08392400930325386</v>
      </c>
      <c r="H776" t="n">
        <v>0.05674800445777357</v>
      </c>
      <c r="I776" t="n">
        <v>0.0745218093343394</v>
      </c>
      <c r="J776" t="n">
        <v>0.05686223568965072</v>
      </c>
    </row>
    <row r="777">
      <c r="A777" t="inlineStr">
        <is>
          <t>G|FICO x ASSET_CLASS / SYS_FLAG|outcome_booked|book|3</t>
        </is>
      </c>
      <c r="B777" t="n">
        <v>0.7071908283012625</v>
      </c>
      <c r="E777" t="n">
        <v>0.8513310694222475</v>
      </c>
      <c r="F777" t="n">
        <v>0.5896846078020805</v>
      </c>
      <c r="G777" t="n">
        <v>1.121545880663039</v>
      </c>
      <c r="H777" t="n">
        <v>0.7583704730488382</v>
      </c>
      <c r="I777" t="n">
        <v>0.9958965136719733</v>
      </c>
      <c r="J777" t="n">
        <v>0.7598970393868685</v>
      </c>
    </row>
    <row r="778">
      <c r="A778" t="inlineStr">
        <is>
          <t>G|FICO x ASSET_CLASS / SYS_FLAG|outcome_booked|band|3</t>
        </is>
      </c>
      <c r="B778" t="n">
        <v>0.9217591828761249</v>
      </c>
      <c r="E778" t="n">
        <v>1.13824972568137</v>
      </c>
      <c r="F778" t="n">
        <v>0.7522036532990173</v>
      </c>
      <c r="G778" t="n">
        <v>1.585641490454097</v>
      </c>
      <c r="H778" t="n">
        <v>0.9976451176835937</v>
      </c>
      <c r="I778" t="n">
        <v>1.366784097711207</v>
      </c>
    </row>
    <row r="779">
      <c r="A779" t="inlineStr">
        <is>
          <t>G|FICO x ASSET_CLASS / SYS_FLAG|outcome_booked|rate|4</t>
        </is>
      </c>
      <c r="B779" t="n">
        <v>0.02812452179275291</v>
      </c>
      <c r="C779" t="n">
        <v>0.05464694905043065</v>
      </c>
      <c r="D779" t="n">
        <v>0.03646453087507255</v>
      </c>
      <c r="E779" t="n">
        <v>0.05604451517361919</v>
      </c>
      <c r="F779" t="n">
        <v>0.03587580536540905</v>
      </c>
      <c r="G779" t="n">
        <v>0.05117970064176201</v>
      </c>
      <c r="H779" t="n">
        <v>0.05537391519389611</v>
      </c>
      <c r="I779" t="n">
        <v>0.1219647873734382</v>
      </c>
      <c r="J779" t="n">
        <v>0.05451749193722221</v>
      </c>
    </row>
    <row r="780">
      <c r="A780" t="inlineStr">
        <is>
          <t>G|FICO x ASSET_CLASS / SYS_FLAG|outcome_booked|book|4</t>
        </is>
      </c>
      <c r="E780" t="n">
        <v>0.7489691644687995</v>
      </c>
      <c r="G780" t="n">
        <v>0.6839566282030592</v>
      </c>
      <c r="H780" t="n">
        <v>0.7400073828394991</v>
      </c>
      <c r="I780" t="n">
        <v>1.629916230173712</v>
      </c>
      <c r="J780" t="n">
        <v>0.7285622912191039</v>
      </c>
    </row>
    <row r="781">
      <c r="A781" t="inlineStr">
        <is>
          <t>G|FICO x ASSET_CLASS / SYS_FLAG|outcome_booked|band|4</t>
        </is>
      </c>
      <c r="E781" t="n">
        <v>1.032207080366033</v>
      </c>
      <c r="G781" t="n">
        <v>0.9323466120987248</v>
      </c>
      <c r="H781" t="n">
        <v>1.018132545294304</v>
      </c>
      <c r="I781" t="n">
        <v>2.72140209594139</v>
      </c>
    </row>
    <row r="782">
      <c r="A782" t="inlineStr">
        <is>
          <t>G|FICO x ASSET_CLASS / SYS_FLAG|outcome_booked|rate|5</t>
        </is>
      </c>
      <c r="B782" t="n">
        <v>0.0180056846538079</v>
      </c>
      <c r="C782" t="n">
        <v>0.05289851606465854</v>
      </c>
      <c r="D782" t="n">
        <v>0.03513639363437163</v>
      </c>
      <c r="E782" t="n">
        <v>0.05986134118029075</v>
      </c>
      <c r="F782" t="n">
        <v>0.02515837883580646</v>
      </c>
      <c r="G782" t="n">
        <v>0.04374574016093979</v>
      </c>
      <c r="H782" t="n">
        <v>0.02865350748914057</v>
      </c>
      <c r="I782" t="n">
        <v>0.0388062790600802</v>
      </c>
      <c r="J782" t="n">
        <v>0.03682990751373653</v>
      </c>
    </row>
    <row r="783">
      <c r="A783" t="inlineStr">
        <is>
          <t>G|FICO x ASSET_CLASS / SYS_FLAG|outcome_booked|book|5</t>
        </is>
      </c>
      <c r="C783" t="n">
        <v>0.7069265789141124</v>
      </c>
      <c r="J783" t="n">
        <v>0.4921884857523176</v>
      </c>
    </row>
    <row r="784">
      <c r="A784" t="inlineStr">
        <is>
          <t>G|FICO x ASSET_CLASS / SYS_FLAG|outcome_booked|band|5</t>
        </is>
      </c>
      <c r="C784" t="n">
        <v>1.526000150101828</v>
      </c>
    </row>
    <row r="785">
      <c r="A785" t="inlineStr">
        <is>
          <t>G|FICO x ASSET_CLASS / SYS_FLAG|outcome_booked|rate|6</t>
        </is>
      </c>
      <c r="E785" t="n">
        <v>0</v>
      </c>
      <c r="J785" t="n">
        <v>0</v>
      </c>
    </row>
    <row r="786">
      <c r="A786" t="inlineStr">
        <is>
          <t>G|FICO x ASSET_CLASS / SYS_FLAG|outcome_booked|book|6</t>
        </is>
      </c>
    </row>
    <row r="787">
      <c r="A787" t="inlineStr">
        <is>
          <t>G|FICO x ASSET_CLASS / SYS_FLAG|outcome_booked|band|6</t>
        </is>
      </c>
    </row>
    <row r="788">
      <c r="A788" t="inlineStr">
        <is>
          <t>G|FICO x ASSET_CLASS / SYS_FLAG|outcome_booked|rate|7</t>
        </is>
      </c>
      <c r="B788" t="n">
        <v>0</v>
      </c>
      <c r="C788" t="n">
        <v>0.02767746886327854</v>
      </c>
      <c r="D788" t="n">
        <v>0.03375793858353057</v>
      </c>
      <c r="E788" t="n">
        <v>0.189353195601807</v>
      </c>
      <c r="F788" t="n">
        <v>0</v>
      </c>
      <c r="G788" t="n">
        <v>0.06685551877571001</v>
      </c>
      <c r="H788" t="n">
        <v>0.04203560699937842</v>
      </c>
      <c r="I788" t="n">
        <v>0.05894574594996555</v>
      </c>
      <c r="J788" t="n">
        <v>0.04815037624246445</v>
      </c>
    </row>
    <row r="789">
      <c r="A789" t="inlineStr">
        <is>
          <t>G|FICO x ASSET_CLASS / SYS_FLAG|outcome_booked|book|7</t>
        </is>
      </c>
      <c r="J789" t="n">
        <v>0.6434732631990414</v>
      </c>
    </row>
    <row r="790">
      <c r="A790" t="inlineStr">
        <is>
          <t>G|FICO x ASSET_CLASS / SYS_FLAG|outcome_booked|band|7</t>
        </is>
      </c>
    </row>
    <row r="791">
      <c r="A791" t="inlineStr">
        <is>
          <t>G|FICO x ASSET_CLASS / SYS_FLAG|outcome_booked|rate|8</t>
        </is>
      </c>
      <c r="B791" t="n">
        <v>0.04006131886401177</v>
      </c>
      <c r="C791" t="n">
        <v>0.09391781030789158</v>
      </c>
      <c r="D791" t="n">
        <v>0.0411699749517607</v>
      </c>
      <c r="E791" t="n">
        <v>0.08143078150540617</v>
      </c>
      <c r="F791" t="n">
        <v>0.05299436180913607</v>
      </c>
      <c r="G791" t="n">
        <v>0.09169079542439569</v>
      </c>
      <c r="H791" t="n">
        <v>0.07585305848656562</v>
      </c>
      <c r="I791" t="n">
        <v>0.1358979596343107</v>
      </c>
      <c r="J791" t="n">
        <v>0.07482886857347222</v>
      </c>
    </row>
    <row r="792">
      <c r="A792" t="inlineStr">
        <is>
          <t>G|FICO x ASSET_CLASS / SYS_FLAG|outcome_booked|book|8</t>
        </is>
      </c>
      <c r="B792" t="n">
        <v>0.5353725056617246</v>
      </c>
      <c r="C792" t="n">
        <v>1.255101301119852</v>
      </c>
      <c r="D792" t="n">
        <v>0.5501883930175567</v>
      </c>
      <c r="E792" t="n">
        <v>1.088226817507625</v>
      </c>
      <c r="F792" t="n">
        <v>0.7082074447925457</v>
      </c>
      <c r="G792" t="n">
        <v>1.225339861104102</v>
      </c>
      <c r="H792" t="n">
        <v>1.013687096071587</v>
      </c>
      <c r="I792" t="n">
        <v>1.816116723733119</v>
      </c>
      <c r="J792" t="n">
        <v>0.9999999999999983</v>
      </c>
    </row>
    <row r="793">
      <c r="A793" t="inlineStr">
        <is>
          <t>G|FICO x ASSET_CLASS / SYS_FLAG|outcome_booked|band|8</t>
        </is>
      </c>
    </row>
    <row r="794">
      <c r="A794" t="inlineStr">
        <is>
          <t>G|FICO x ASSET_CLASS / SYS_FLAG|outcome_booked|meta</t>
        </is>
      </c>
      <c r="B794" t="inlineStr">
        <is>
          <t>x</t>
        </is>
      </c>
      <c r="C794" t="n">
        <v>3.961406861506764</v>
      </c>
      <c r="D794" t="n">
        <v>10</v>
      </c>
    </row>
    <row r="795">
      <c r="A795" t="inlineStr">
        <is>
          <t>G|FICO x ASSET_CLASS / SYS_FLAG|gco_rate|rate|1</t>
        </is>
      </c>
      <c r="B795" t="n">
        <v>0.04172092238366356</v>
      </c>
      <c r="C795" t="n">
        <v>0.1104503655102678</v>
      </c>
      <c r="D795" t="n">
        <v>0.05780123061655459</v>
      </c>
      <c r="E795" t="n">
        <v>0.06118025984938478</v>
      </c>
      <c r="F795" t="n">
        <v>0.06103988115542043</v>
      </c>
      <c r="G795" t="n">
        <v>0.1031387884963628</v>
      </c>
      <c r="H795" t="n">
        <v>0.09808637019815246</v>
      </c>
      <c r="I795" t="n">
        <v>0.1516244739842235</v>
      </c>
      <c r="J795" t="n">
        <v>0.08345255929305036</v>
      </c>
    </row>
    <row r="796">
      <c r="A796" t="inlineStr">
        <is>
          <t>G|FICO x ASSET_CLASS / SYS_FLAG|gco_rate|book|1</t>
        </is>
      </c>
      <c r="B796" t="n">
        <v>1.002779865706931</v>
      </c>
      <c r="C796" t="n">
        <v>2.654720853847578</v>
      </c>
      <c r="D796" t="n">
        <v>1.389276817572466</v>
      </c>
      <c r="E796" t="n">
        <v>1.470493202223732</v>
      </c>
      <c r="F796" t="n">
        <v>1.467119141444654</v>
      </c>
      <c r="G796" t="n">
        <v>2.478984034112726</v>
      </c>
      <c r="H796" t="n">
        <v>2.357547041517413</v>
      </c>
      <c r="I796" t="n">
        <v>3.6443578179211</v>
      </c>
      <c r="J796" t="n">
        <v>2.005817259532897</v>
      </c>
    </row>
    <row r="797">
      <c r="A797" t="inlineStr">
        <is>
          <t>G|FICO x ASSET_CLASS / SYS_FLAG|gco_rate|band|1</t>
        </is>
      </c>
      <c r="B797" t="n">
        <v>0.4615811731793643</v>
      </c>
      <c r="C797" t="n">
        <v>1.386369242731153</v>
      </c>
      <c r="D797" t="n">
        <v>0.6603482776194217</v>
      </c>
      <c r="E797" t="n">
        <v>0.7063637520003889</v>
      </c>
      <c r="F797" t="n">
        <v>0.7044878453041398</v>
      </c>
      <c r="G797" t="n">
        <v>1.271603510104168</v>
      </c>
      <c r="H797" t="n">
        <v>1.20660476623423</v>
      </c>
      <c r="I797" t="n">
        <v>2.028899747601855</v>
      </c>
    </row>
    <row r="798">
      <c r="A798" t="inlineStr">
        <is>
          <t>G|FICO x ASSET_CLASS / SYS_FLAG|gco_rate|rate|2</t>
        </is>
      </c>
      <c r="B798" t="n">
        <v>0.01858443362146788</v>
      </c>
      <c r="C798" t="n">
        <v>0.04928305428421943</v>
      </c>
      <c r="D798" t="n">
        <v>0.01200616783057025</v>
      </c>
      <c r="E798" t="n">
        <v>0.05615619283090746</v>
      </c>
      <c r="F798" t="n">
        <v>0.04059340477049262</v>
      </c>
      <c r="G798" t="n">
        <v>0.05745304546875105</v>
      </c>
      <c r="H798" t="n">
        <v>0.04374525063785453</v>
      </c>
      <c r="I798" t="n">
        <v>0.08856833403639801</v>
      </c>
      <c r="J798" t="n">
        <v>0.04521453740915432</v>
      </c>
    </row>
    <row r="799">
      <c r="A799" t="inlineStr">
        <is>
          <t>G|FICO x ASSET_CLASS / SYS_FLAG|gco_rate|book|2</t>
        </is>
      </c>
      <c r="B799" t="n">
        <v>0.446684655717779</v>
      </c>
      <c r="C799" t="n">
        <v>1.18453887721591</v>
      </c>
      <c r="E799" t="n">
        <v>1.349737644526283</v>
      </c>
      <c r="F799" t="n">
        <v>0.9756795070350799</v>
      </c>
      <c r="G799" t="n">
        <v>1.380908041529003</v>
      </c>
      <c r="H799" t="n">
        <v>1.051435444224994</v>
      </c>
      <c r="I799" t="n">
        <v>2.128777050856442</v>
      </c>
      <c r="J799" t="n">
        <v>1.086750367937848</v>
      </c>
    </row>
    <row r="800">
      <c r="A800" t="inlineStr">
        <is>
          <t>G|FICO x ASSET_CLASS / SYS_FLAG|gco_rate|band|2</t>
        </is>
      </c>
      <c r="B800" t="n">
        <v>0.3753796869342567</v>
      </c>
      <c r="C800" t="n">
        <v>1.103147257759286</v>
      </c>
      <c r="E800" t="n">
        <v>1.27771354909067</v>
      </c>
      <c r="F800" t="n">
        <v>0.8853252333697138</v>
      </c>
      <c r="G800" t="n">
        <v>1.320231051482872</v>
      </c>
      <c r="H800" t="n">
        <v>0.962027973946098</v>
      </c>
      <c r="I800" t="n">
        <v>2.272315250881231</v>
      </c>
    </row>
    <row r="801">
      <c r="A801" t="inlineStr">
        <is>
          <t>G|FICO x ASSET_CLASS / SYS_FLAG|gco_rate|rate|3</t>
        </is>
      </c>
      <c r="B801" t="n">
        <v>0.03301687756881314</v>
      </c>
      <c r="C801" t="n">
        <v>0.03718135585647276</v>
      </c>
      <c r="D801" t="n">
        <v>0.008632089207745759</v>
      </c>
      <c r="E801" t="n">
        <v>0.03072773407944593</v>
      </c>
      <c r="F801" t="n">
        <v>0.02473958629011563</v>
      </c>
      <c r="G801" t="n">
        <v>0.04378049404469063</v>
      </c>
      <c r="H801" t="n">
        <v>0.03184498305086605</v>
      </c>
      <c r="I801" t="n">
        <v>0.04589130358382132</v>
      </c>
      <c r="J801" t="n">
        <v>0.03151500509362793</v>
      </c>
    </row>
    <row r="802">
      <c r="A802" t="inlineStr">
        <is>
          <t>G|FICO x ASSET_CLASS / SYS_FLAG|gco_rate|book|3</t>
        </is>
      </c>
      <c r="B802" t="n">
        <v>0.7935744984267368</v>
      </c>
      <c r="E802" t="n">
        <v>0.7385539746774733</v>
      </c>
      <c r="F802" t="n">
        <v>0.594626331352666</v>
      </c>
      <c r="G802" t="n">
        <v>1.052282534288085</v>
      </c>
      <c r="H802" t="n">
        <v>0.7654075222385542</v>
      </c>
      <c r="I802" t="n">
        <v>1.103016726756734</v>
      </c>
      <c r="J802" t="n">
        <v>0.757476363655755</v>
      </c>
    </row>
    <row r="803">
      <c r="A803" t="inlineStr">
        <is>
          <t>G|FICO x ASSET_CLASS / SYS_FLAG|gco_rate|band|3</t>
        </is>
      </c>
      <c r="B803" t="n">
        <v>1.05463752334596</v>
      </c>
      <c r="E803" t="n">
        <v>0.9718416893173684</v>
      </c>
      <c r="F803" t="n">
        <v>0.7618706475931187</v>
      </c>
      <c r="G803" t="n">
        <v>1.472523231559712</v>
      </c>
      <c r="H803" t="n">
        <v>1.012300197648462</v>
      </c>
      <c r="I803" t="n">
        <v>1.549802678879262</v>
      </c>
    </row>
    <row r="804">
      <c r="A804" t="inlineStr">
        <is>
          <t>G|FICO x ASSET_CLASS / SYS_FLAG|gco_rate|rate|4</t>
        </is>
      </c>
      <c r="B804" t="n">
        <v>0.01891320083650138</v>
      </c>
      <c r="C804" t="n">
        <v>0.03104911737830068</v>
      </c>
      <c r="D804" t="n">
        <v>0.02369039802244191</v>
      </c>
      <c r="E804" t="n">
        <v>0.02944005210152369</v>
      </c>
      <c r="F804" t="n">
        <v>0.0183590692608516</v>
      </c>
      <c r="G804" t="n">
        <v>0.02993234682536851</v>
      </c>
      <c r="H804" t="n">
        <v>0.0266686031805337</v>
      </c>
      <c r="I804" t="n">
        <v>0.06623856033178828</v>
      </c>
      <c r="J804" t="n">
        <v>0.0302639717312273</v>
      </c>
    </row>
    <row r="805">
      <c r="A805" t="inlineStr">
        <is>
          <t>G|FICO x ASSET_CLASS / SYS_FLAG|gco_rate|book|4</t>
        </is>
      </c>
      <c r="E805" t="n">
        <v>0.7076039983317991</v>
      </c>
      <c r="G805" t="n">
        <v>0.7194365084696535</v>
      </c>
      <c r="H805" t="n">
        <v>0.6409910612723781</v>
      </c>
      <c r="I805" t="n">
        <v>1.5920715755829</v>
      </c>
      <c r="J805" t="n">
        <v>0.7274072521532199</v>
      </c>
    </row>
    <row r="806">
      <c r="A806" t="inlineStr">
        <is>
          <t>G|FICO x ASSET_CLASS / SYS_FLAG|gco_rate|band|4</t>
        </is>
      </c>
      <c r="E806" t="n">
        <v>0.9689425849422297</v>
      </c>
      <c r="G806" t="n">
        <v>0.9878220603616421</v>
      </c>
      <c r="H806" t="n">
        <v>0.8656044229301525</v>
      </c>
      <c r="I806" t="n">
        <v>2.640529538365585</v>
      </c>
    </row>
    <row r="807">
      <c r="A807" t="inlineStr">
        <is>
          <t>G|FICO x ASSET_CLASS / SYS_FLAG|gco_rate|rate|5</t>
        </is>
      </c>
      <c r="B807" t="n">
        <v>0.01278577594342931</v>
      </c>
      <c r="C807" t="n">
        <v>0.02540911544089303</v>
      </c>
      <c r="D807" t="n">
        <v>0.01897362857848018</v>
      </c>
      <c r="E807" t="n">
        <v>0.03031117300941493</v>
      </c>
      <c r="F807" t="n">
        <v>0.01086228244047657</v>
      </c>
      <c r="G807" t="n">
        <v>0.02435615853851757</v>
      </c>
      <c r="H807" t="n">
        <v>0.01617086436154371</v>
      </c>
      <c r="I807" t="n">
        <v>0.01993195480213301</v>
      </c>
      <c r="J807" t="n">
        <v>0.01940834703954903</v>
      </c>
    </row>
    <row r="808">
      <c r="A808" t="inlineStr">
        <is>
          <t>G|FICO x ASSET_CLASS / SYS_FLAG|gco_rate|book|5</t>
        </is>
      </c>
      <c r="C808" t="n">
        <v>0.6107187452674246</v>
      </c>
      <c r="J808" t="n">
        <v>0.4664877602402492</v>
      </c>
    </row>
    <row r="809">
      <c r="A809" t="inlineStr">
        <is>
          <t>G|FICO x ASSET_CLASS / SYS_FLAG|gco_rate|band|5</t>
        </is>
      </c>
      <c r="C809" t="n">
        <v>1.36609607492471</v>
      </c>
    </row>
    <row r="810">
      <c r="A810" t="inlineStr">
        <is>
          <t>G|FICO x ASSET_CLASS / SYS_FLAG|gco_rate|rate|6</t>
        </is>
      </c>
      <c r="E810" t="n">
        <v>0</v>
      </c>
      <c r="J810" t="n">
        <v>0</v>
      </c>
    </row>
    <row r="811">
      <c r="A811" t="inlineStr">
        <is>
          <t>G|FICO x ASSET_CLASS / SYS_FLAG|gco_rate|book|6</t>
        </is>
      </c>
    </row>
    <row r="812">
      <c r="A812" t="inlineStr">
        <is>
          <t>G|FICO x ASSET_CLASS / SYS_FLAG|gco_rate|band|6</t>
        </is>
      </c>
    </row>
    <row r="813">
      <c r="A813" t="inlineStr">
        <is>
          <t>G|FICO x ASSET_CLASS / SYS_FLAG|gco_rate|rate|7</t>
        </is>
      </c>
      <c r="B813" t="n">
        <v>0</v>
      </c>
      <c r="C813" t="n">
        <v>0.01191651997047521</v>
      </c>
      <c r="D813" t="n">
        <v>0.0257165877421385</v>
      </c>
      <c r="E813" t="n">
        <v>0.09282250525441747</v>
      </c>
      <c r="F813" t="n">
        <v>0</v>
      </c>
      <c r="G813" t="n">
        <v>0.04450000008599227</v>
      </c>
      <c r="H813" t="n">
        <v>0.01529329218068329</v>
      </c>
      <c r="I813" t="n">
        <v>0.02966701988812969</v>
      </c>
      <c r="J813" t="n">
        <v>0.02551311188947888</v>
      </c>
    </row>
    <row r="814">
      <c r="A814" t="inlineStr">
        <is>
          <t>G|FICO x ASSET_CLASS / SYS_FLAG|gco_rate|book|7</t>
        </is>
      </c>
      <c r="J814" t="n">
        <v>0.6132183435214593</v>
      </c>
    </row>
    <row r="815">
      <c r="A815" t="inlineStr">
        <is>
          <t>G|FICO x ASSET_CLASS / SYS_FLAG|gco_rate|band|7</t>
        </is>
      </c>
    </row>
    <row r="816">
      <c r="A816" t="inlineStr">
        <is>
          <t>G|FICO x ASSET_CLASS / SYS_FLAG|gco_rate|rate|8</t>
        </is>
      </c>
      <c r="B816" t="n">
        <v>0.02428726127203878</v>
      </c>
      <c r="C816" t="n">
        <v>0.05105761588999549</v>
      </c>
      <c r="D816" t="n">
        <v>0.02451582735282237</v>
      </c>
      <c r="E816" t="n">
        <v>0.04205486969531598</v>
      </c>
      <c r="F816" t="n">
        <v>0.02969455401340456</v>
      </c>
      <c r="G816" t="n">
        <v>0.05138794933615651</v>
      </c>
      <c r="H816" t="n">
        <v>0.04228479189813641</v>
      </c>
      <c r="I816" t="n">
        <v>0.07495703613824992</v>
      </c>
      <c r="J816" t="n">
        <v>0.04160526533333561</v>
      </c>
    </row>
    <row r="817">
      <c r="A817" t="inlineStr">
        <is>
          <t>G|FICO x ASSET_CLASS / SYS_FLAG|gco_rate|book|8</t>
        </is>
      </c>
      <c r="B817" t="n">
        <v>0.5837545098547647</v>
      </c>
      <c r="C817" t="n">
        <v>1.227191209596404</v>
      </c>
      <c r="D817" t="n">
        <v>0.5892481914585798</v>
      </c>
      <c r="E817" t="n">
        <v>1.010806429387679</v>
      </c>
      <c r="F817" t="n">
        <v>0.7137210585125677</v>
      </c>
      <c r="G817" t="n">
        <v>1.235130912504544</v>
      </c>
      <c r="H817" t="n">
        <v>1.016332705953357</v>
      </c>
      <c r="I817" t="n">
        <v>1.801623797798295</v>
      </c>
      <c r="J817" t="n">
        <v>0.9999999999999991</v>
      </c>
    </row>
    <row r="818">
      <c r="A818" t="inlineStr">
        <is>
          <t>G|FICO x ASSET_CLASS / SYS_FLAG|gco_rate|band|8</t>
        </is>
      </c>
    </row>
    <row r="819">
      <c r="A819" t="inlineStr">
        <is>
          <t>G|FICO x ASSET_CLASS / SYS_FLAG|gco_rate|meta</t>
        </is>
      </c>
      <c r="B819" t="inlineStr">
        <is>
          <t>x</t>
        </is>
      </c>
      <c r="C819" t="n">
        <v>3.6443578179211</v>
      </c>
      <c r="D819" t="n">
        <v>10</v>
      </c>
    </row>
    <row r="820">
      <c r="A820" t="inlineStr">
        <is>
          <t>G|FICO x ASSET_CLASS / SYS_FLAG|ranr_rate|rate|1</t>
        </is>
      </c>
      <c r="B820" t="n">
        <v>0.2398803715901472</v>
      </c>
      <c r="C820" t="n">
        <v>0.1704928055551581</v>
      </c>
      <c r="D820" t="n">
        <v>0.2147832988507138</v>
      </c>
      <c r="E820" t="n">
        <v>0.1953761637795907</v>
      </c>
      <c r="F820" t="n">
        <v>0.2047372623939214</v>
      </c>
      <c r="G820" t="n">
        <v>0.1765216392524634</v>
      </c>
      <c r="H820" t="n">
        <v>0.1800685302531461</v>
      </c>
      <c r="I820" t="n">
        <v>0.1218269892165544</v>
      </c>
      <c r="J820" t="n">
        <v>0.1901717430158449</v>
      </c>
    </row>
    <row r="821">
      <c r="A821" t="inlineStr">
        <is>
          <t>G|FICO x ASSET_CLASS / SYS_FLAG|ranr_rate|book|1</t>
        </is>
      </c>
      <c r="B821" t="n">
        <v>11.189032194</v>
      </c>
      <c r="C821" t="n">
        <v>4.250275591</v>
      </c>
      <c r="D821" t="n">
        <v>8.679324920000001</v>
      </c>
      <c r="E821" t="n">
        <v>6.738611413</v>
      </c>
      <c r="F821" t="n">
        <v>7.674721275</v>
      </c>
      <c r="G821" t="n">
        <v>4.85315896</v>
      </c>
      <c r="H821" t="n">
        <v>5.20784806</v>
      </c>
      <c r="I821" t="n">
        <v>-0.616306043</v>
      </c>
      <c r="J821" t="n">
        <v>6.218169337</v>
      </c>
    </row>
    <row r="822">
      <c r="A822" t="inlineStr">
        <is>
          <t>G|FICO x ASSET_CLASS / SYS_FLAG|ranr_rate|band|1</t>
        </is>
      </c>
      <c r="B822" t="n">
        <v>5.796854683</v>
      </c>
      <c r="C822" t="n">
        <v>-2.243695718</v>
      </c>
      <c r="D822" t="n">
        <v>2.852509241</v>
      </c>
      <c r="E822" t="n">
        <v>0.594292053</v>
      </c>
      <c r="F822" t="n">
        <v>1.663978629</v>
      </c>
      <c r="G822" t="n">
        <v>-1.527492553</v>
      </c>
      <c r="H822" t="n">
        <v>-1.159540769</v>
      </c>
      <c r="I822" t="n">
        <v>-7.7087058</v>
      </c>
    </row>
    <row r="823">
      <c r="A823" t="inlineStr">
        <is>
          <t>G|FICO x ASSET_CLASS / SYS_FLAG|ranr_rate|rate|2</t>
        </is>
      </c>
      <c r="B823" t="n">
        <v>0.1829562284896517</v>
      </c>
      <c r="C823" t="n">
        <v>0.1718519111925623</v>
      </c>
      <c r="D823" t="n">
        <v>0.2018347740781281</v>
      </c>
      <c r="E823" t="n">
        <v>0.149797089369544</v>
      </c>
      <c r="F823" t="n">
        <v>0.1813363173258022</v>
      </c>
      <c r="G823" t="n">
        <v>0.1382416062362677</v>
      </c>
      <c r="H823" t="n">
        <v>0.1621883576261506</v>
      </c>
      <c r="I823" t="n">
        <v>0.1135734087775936</v>
      </c>
      <c r="J823" t="n">
        <v>0.1630754408239562</v>
      </c>
    </row>
    <row r="824">
      <c r="A824" t="inlineStr">
        <is>
          <t>G|FICO x ASSET_CLASS / SYS_FLAG|ranr_rate|book|2</t>
        </is>
      </c>
      <c r="B824" t="n">
        <v>5.496617884</v>
      </c>
      <c r="C824" t="n">
        <v>4.386186154</v>
      </c>
      <c r="D824" t="n">
        <v>7.384472443</v>
      </c>
      <c r="E824" t="n">
        <v>2.180703972</v>
      </c>
      <c r="F824" t="n">
        <v>5.334626768</v>
      </c>
      <c r="G824" t="n">
        <v>1.025155659</v>
      </c>
      <c r="H824" t="n">
        <v>3.419830798</v>
      </c>
      <c r="I824" t="n">
        <v>-1.441664087</v>
      </c>
      <c r="J824" t="n">
        <v>3.508539118</v>
      </c>
    </row>
    <row r="825">
      <c r="A825" t="inlineStr">
        <is>
          <t>G|FICO x ASSET_CLASS / SYS_FLAG|ranr_rate|band|2</t>
        </is>
      </c>
      <c r="B825" t="n">
        <v>2.308635629</v>
      </c>
      <c r="C825" t="n">
        <v>0.994043938</v>
      </c>
      <c r="D825" t="n">
        <v>4.418298674</v>
      </c>
      <c r="E825" t="n">
        <v>-1.481229493</v>
      </c>
      <c r="F825" t="n">
        <v>2.077751894</v>
      </c>
      <c r="G825" t="n">
        <v>-2.827755521</v>
      </c>
      <c r="H825" t="n">
        <v>-0.104247288</v>
      </c>
      <c r="I825" t="n">
        <v>-5.662399623</v>
      </c>
    </row>
    <row r="826">
      <c r="A826" t="inlineStr">
        <is>
          <t>G|FICO x ASSET_CLASS / SYS_FLAG|ranr_rate|rate|3</t>
        </is>
      </c>
      <c r="B826" t="n">
        <v>0.1414557799347373</v>
      </c>
      <c r="C826" t="n">
        <v>0.1372645588105658</v>
      </c>
      <c r="D826" t="n">
        <v>0.1738554191758612</v>
      </c>
      <c r="E826" t="n">
        <v>0.128090415910965</v>
      </c>
      <c r="F826" t="n">
        <v>0.1439600433422341</v>
      </c>
      <c r="G826" t="n">
        <v>0.1210020904254947</v>
      </c>
      <c r="H826" t="n">
        <v>0.1553115142321899</v>
      </c>
      <c r="I826" t="n">
        <v>0.1264103059262016</v>
      </c>
      <c r="J826" t="n">
        <v>0.1419183148673722</v>
      </c>
    </row>
    <row r="827">
      <c r="A827" t="inlineStr">
        <is>
          <t>G|FICO x ASSET_CLASS / SYS_FLAG|ranr_rate|book|3</t>
        </is>
      </c>
      <c r="B827" t="n">
        <v>1.346573029</v>
      </c>
      <c r="C827" t="n">
        <v>0.927450916</v>
      </c>
      <c r="D827" t="n">
        <v>4.586536953</v>
      </c>
      <c r="E827" t="n">
        <v>0.010036626</v>
      </c>
      <c r="F827" t="n">
        <v>1.596999369</v>
      </c>
      <c r="G827" t="n">
        <v>-0.698795922</v>
      </c>
      <c r="H827" t="n">
        <v>2.732146458</v>
      </c>
      <c r="I827" t="n">
        <v>-0.157974372</v>
      </c>
      <c r="J827" t="n">
        <v>1.392826522</v>
      </c>
    </row>
    <row r="828">
      <c r="A828" t="inlineStr">
        <is>
          <t>G|FICO x ASSET_CLASS / SYS_FLAG|ranr_rate|band|3</t>
        </is>
      </c>
      <c r="B828" t="n">
        <v>-0.052678726</v>
      </c>
      <c r="C828" t="n">
        <v>-0.522499496</v>
      </c>
      <c r="D828" t="n">
        <v>3.705357729</v>
      </c>
      <c r="E828" t="n">
        <v>-1.563772396</v>
      </c>
      <c r="F828" t="n">
        <v>0.233016118</v>
      </c>
      <c r="G828" t="n">
        <v>-2.395742273</v>
      </c>
      <c r="H828" t="n">
        <v>1.570518998</v>
      </c>
      <c r="I828" t="n">
        <v>-1.756183127</v>
      </c>
    </row>
    <row r="829">
      <c r="A829" t="inlineStr">
        <is>
          <t>G|FICO x ASSET_CLASS / SYS_FLAG|ranr_rate|rate|4</t>
        </is>
      </c>
      <c r="B829" t="n">
        <v>0.1104726008896342</v>
      </c>
      <c r="C829" t="n">
        <v>0.09100720125843952</v>
      </c>
      <c r="D829" t="n">
        <v>0.09136626046066156</v>
      </c>
      <c r="E829" t="n">
        <v>0.09760033895202101</v>
      </c>
      <c r="F829" t="n">
        <v>0.108816162592166</v>
      </c>
      <c r="G829" t="n">
        <v>0.08989942273379853</v>
      </c>
      <c r="H829" t="n">
        <v>0.1003003395619969</v>
      </c>
      <c r="I829" t="n">
        <v>0.0761927270428582</v>
      </c>
      <c r="J829" t="n">
        <v>0.09596924359374785</v>
      </c>
    </row>
    <row r="830">
      <c r="A830" t="inlineStr">
        <is>
          <t>G|FICO x ASSET_CLASS / SYS_FLAG|ranr_rate|book|4</t>
        </is>
      </c>
      <c r="B830" t="n">
        <v>-1.751744876</v>
      </c>
      <c r="C830" t="n">
        <v>-3.698284839</v>
      </c>
      <c r="D830" t="n">
        <v>-3.662378919</v>
      </c>
      <c r="E830" t="n">
        <v>-3.03897107</v>
      </c>
      <c r="F830" t="n">
        <v>-1.917388706</v>
      </c>
      <c r="G830" t="n">
        <v>-3.809062691</v>
      </c>
      <c r="H830" t="n">
        <v>-2.768971009</v>
      </c>
      <c r="I830" t="n">
        <v>-5.179732261</v>
      </c>
      <c r="J830" t="n">
        <v>-3.202080605</v>
      </c>
    </row>
    <row r="831">
      <c r="A831" t="inlineStr">
        <is>
          <t>G|FICO x ASSET_CLASS / SYS_FLAG|ranr_rate|band|4</t>
        </is>
      </c>
      <c r="B831" t="n">
        <v>1.648686861</v>
      </c>
      <c r="C831" t="n">
        <v>-0.5550500229999999</v>
      </c>
      <c r="D831" t="n">
        <v>-0.540844205</v>
      </c>
      <c r="E831" t="n">
        <v>0.186789021</v>
      </c>
      <c r="F831" t="n">
        <v>1.492828159</v>
      </c>
      <c r="G831" t="n">
        <v>-0.675346402</v>
      </c>
      <c r="H831" t="n">
        <v>0.498734069</v>
      </c>
      <c r="I831" t="n">
        <v>-2.262087151</v>
      </c>
    </row>
    <row r="832">
      <c r="A832" t="inlineStr">
        <is>
          <t>G|FICO x ASSET_CLASS / SYS_FLAG|ranr_rate|rate|5</t>
        </is>
      </c>
      <c r="B832" t="n">
        <v>0.05573622973509877</v>
      </c>
      <c r="C832" t="n">
        <v>0.04062459446519969</v>
      </c>
      <c r="D832" t="n">
        <v>0.0470699412975488</v>
      </c>
      <c r="E832" t="n">
        <v>0.03068785019354794</v>
      </c>
      <c r="F832" t="n">
        <v>0.05698362956335362</v>
      </c>
      <c r="G832" t="n">
        <v>0.04388813123858536</v>
      </c>
      <c r="H832" t="n">
        <v>0.04922636849033546</v>
      </c>
      <c r="I832" t="n">
        <v>0.04565220580820405</v>
      </c>
      <c r="J832" t="n">
        <v>0.04674341748455086</v>
      </c>
    </row>
    <row r="833">
      <c r="A833" t="inlineStr">
        <is>
          <t>G|FICO x ASSET_CLASS / SYS_FLAG|ranr_rate|book|5</t>
        </is>
      </c>
      <c r="B833" t="n">
        <v>-7.225381991</v>
      </c>
      <c r="C833" t="n">
        <v>-8.736545518</v>
      </c>
      <c r="D833" t="n">
        <v>-8.092010835</v>
      </c>
      <c r="E833" t="n">
        <v>-9.730219945</v>
      </c>
      <c r="F833" t="n">
        <v>-7.100642008</v>
      </c>
      <c r="G833" t="n">
        <v>-8.410191841</v>
      </c>
      <c r="H833" t="n">
        <v>-7.876368116</v>
      </c>
      <c r="I833" t="n">
        <v>-8.233784384</v>
      </c>
      <c r="J833" t="n">
        <v>-8.124663216</v>
      </c>
    </row>
    <row r="834">
      <c r="A834" t="inlineStr">
        <is>
          <t>G|FICO x ASSET_CLASS / SYS_FLAG|ranr_rate|band|5</t>
        </is>
      </c>
      <c r="B834" t="n">
        <v>1.052114723</v>
      </c>
      <c r="C834" t="n">
        <v>-0.694327556</v>
      </c>
      <c r="D834" t="n">
        <v>0.037842469</v>
      </c>
      <c r="E834" t="n">
        <v>-1.827260138</v>
      </c>
      <c r="F834" t="n">
        <v>1.188667665</v>
      </c>
      <c r="G834" t="n">
        <v>-0.320735745</v>
      </c>
      <c r="H834" t="n">
        <v>0.285764675</v>
      </c>
      <c r="I834" t="n">
        <v>-0.12099181</v>
      </c>
    </row>
    <row r="835">
      <c r="A835" t="inlineStr">
        <is>
          <t>G|FICO x ASSET_CLASS / SYS_FLAG|ranr_rate|rate|6</t>
        </is>
      </c>
      <c r="E835" t="n">
        <v>0.140296941334961</v>
      </c>
      <c r="J835" t="n">
        <v>0.140296941334961</v>
      </c>
    </row>
    <row r="836">
      <c r="A836" t="inlineStr">
        <is>
          <t>G|FICO x ASSET_CLASS / SYS_FLAG|ranr_rate|book|6</t>
        </is>
      </c>
      <c r="E836" t="n">
        <v>1.230689169</v>
      </c>
      <c r="J836" t="n">
        <v>1.230689169</v>
      </c>
    </row>
    <row r="837">
      <c r="A837" t="inlineStr">
        <is>
          <t>G|FICO x ASSET_CLASS / SYS_FLAG|ranr_rate|band|6</t>
        </is>
      </c>
    </row>
    <row r="838">
      <c r="A838" t="inlineStr">
        <is>
          <t>G|FICO x ASSET_CLASS / SYS_FLAG|ranr_rate|rate|7</t>
        </is>
      </c>
      <c r="B838" t="n">
        <v>0.1836483093665673</v>
      </c>
      <c r="C838" t="n">
        <v>0.1721265348902237</v>
      </c>
      <c r="D838" t="n">
        <v>0.1417850375433693</v>
      </c>
      <c r="E838" t="n">
        <v>0.08542287512955458</v>
      </c>
      <c r="F838" t="n">
        <v>0.2301756883217136</v>
      </c>
      <c r="G838" t="n">
        <v>0.09236315750512079</v>
      </c>
      <c r="H838" t="n">
        <v>0.157060210451269</v>
      </c>
      <c r="I838" t="n">
        <v>0.1747242082274332</v>
      </c>
      <c r="J838" t="n">
        <v>0.1551731988462655</v>
      </c>
    </row>
    <row r="839">
      <c r="A839" t="inlineStr">
        <is>
          <t>G|FICO x ASSET_CLASS / SYS_FLAG|ranr_rate|book|7</t>
        </is>
      </c>
      <c r="B839" t="n">
        <v>5.565825972</v>
      </c>
      <c r="C839" t="n">
        <v>4.413648524</v>
      </c>
      <c r="D839" t="n">
        <v>1.37949879</v>
      </c>
      <c r="E839" t="n">
        <v>-4.256717452</v>
      </c>
      <c r="F839" t="n">
        <v>10.218563867</v>
      </c>
      <c r="G839" t="n">
        <v>-3.562689214</v>
      </c>
      <c r="H839" t="n">
        <v>2.90701608</v>
      </c>
      <c r="I839" t="n">
        <v>4.673415858</v>
      </c>
      <c r="J839" t="n">
        <v>2.71831492</v>
      </c>
    </row>
    <row r="840">
      <c r="A840" t="inlineStr">
        <is>
          <t>G|FICO x ASSET_CLASS / SYS_FLAG|ranr_rate|band|7</t>
        </is>
      </c>
      <c r="B840" t="n">
        <v>3.503816714</v>
      </c>
      <c r="C840" t="n">
        <v>1.882163345</v>
      </c>
      <c r="D840" t="n">
        <v>-1.482682815</v>
      </c>
      <c r="E840" t="n">
        <v>-7.823431236</v>
      </c>
      <c r="F840" t="n">
        <v>8.568157935</v>
      </c>
      <c r="G840" t="n">
        <v>-7.423753001</v>
      </c>
      <c r="H840" t="n">
        <v>0.217201879</v>
      </c>
      <c r="I840" t="n">
        <v>2.167912801</v>
      </c>
    </row>
    <row r="841">
      <c r="A841" t="inlineStr">
        <is>
          <t>G|FICO x ASSET_CLASS / SYS_FLAG|ranr_rate|rate|8</t>
        </is>
      </c>
      <c r="B841" t="n">
        <v>0.147728983035105</v>
      </c>
      <c r="C841" t="n">
        <v>0.1235529127423794</v>
      </c>
      <c r="D841" t="n">
        <v>0.1434312623085464</v>
      </c>
      <c r="E841" t="n">
        <v>0.1188036462606205</v>
      </c>
      <c r="F841" t="n">
        <v>0.1381391917896836</v>
      </c>
      <c r="G841" t="n">
        <v>0.1139107040211186</v>
      </c>
      <c r="H841" t="n">
        <v>0.131065555320466</v>
      </c>
      <c r="I841" t="n">
        <v>0.09945745884195699</v>
      </c>
      <c r="J841" t="n">
        <v>0.1279900496481476</v>
      </c>
    </row>
    <row r="842">
      <c r="A842" t="inlineStr">
        <is>
          <t>G|FICO x ASSET_CLASS / SYS_FLAG|ranr_rate|book|8</t>
        </is>
      </c>
      <c r="B842" t="n">
        <v>1.973893339</v>
      </c>
      <c r="C842" t="n">
        <v>-0.443713691</v>
      </c>
      <c r="D842" t="n">
        <v>1.544121266</v>
      </c>
      <c r="E842" t="n">
        <v>-0.918640339</v>
      </c>
      <c r="F842" t="n">
        <v>1.014914214</v>
      </c>
      <c r="G842" t="n">
        <v>-1.407934563</v>
      </c>
      <c r="H842" t="n">
        <v>0.307550567</v>
      </c>
      <c r="I842" t="n">
        <v>-2.853259081</v>
      </c>
      <c r="J842" t="n">
        <v>0</v>
      </c>
    </row>
    <row r="843">
      <c r="A843" t="inlineStr">
        <is>
          <t>G|FICO x ASSET_CLASS / SYS_FLAG|ranr_rate|band|8</t>
        </is>
      </c>
    </row>
    <row r="844">
      <c r="A844" t="inlineStr">
        <is>
          <t>G|FICO x ASSET_CLASS / SYS_FLAG|ranr_rate|meta</t>
        </is>
      </c>
      <c r="B844" t="inlineStr">
        <is>
          <t>pts</t>
        </is>
      </c>
      <c r="C844" t="n">
        <v>11.189032194</v>
      </c>
      <c r="D844" t="n">
        <v>10</v>
      </c>
    </row>
    <row r="845">
      <c r="A845" t="inlineStr">
        <is>
          <t>G|FICO x ASSET_CLASS / SYS_FLAG|contribution_rate|rate|1</t>
        </is>
      </c>
      <c r="B845" t="n">
        <v>0.2816012939738109</v>
      </c>
      <c r="C845" t="n">
        <v>0.280943171065426</v>
      </c>
      <c r="D845" t="n">
        <v>0.2725845294672685</v>
      </c>
      <c r="E845" t="n">
        <v>0.2565564236289755</v>
      </c>
      <c r="F845" t="n">
        <v>0.265777143549342</v>
      </c>
      <c r="G845" t="n">
        <v>0.2796604277488262</v>
      </c>
      <c r="H845" t="n">
        <v>0.2781549004512986</v>
      </c>
      <c r="I845" t="n">
        <v>0.2734514632007779</v>
      </c>
      <c r="J845" t="n">
        <v>0.2736243023088953</v>
      </c>
    </row>
    <row r="846">
      <c r="A846" t="inlineStr">
        <is>
          <t>G|FICO x ASSET_CLASS / SYS_FLAG|contribution_rate|book|1</t>
        </is>
      </c>
      <c r="B846" t="n">
        <v>11.200883824</v>
      </c>
      <c r="C846" t="n">
        <v>11.135071533</v>
      </c>
      <c r="D846" t="n">
        <v>10.299207373</v>
      </c>
      <c r="E846" t="n">
        <v>8.696396789</v>
      </c>
      <c r="F846" t="n">
        <v>9.618468781000001</v>
      </c>
      <c r="G846" t="n">
        <v>11.006797201</v>
      </c>
      <c r="H846" t="n">
        <v>10.856244472</v>
      </c>
      <c r="I846" t="n">
        <v>10.385900747</v>
      </c>
      <c r="J846" t="n">
        <v>10.403184657</v>
      </c>
    </row>
    <row r="847">
      <c r="A847" t="inlineStr">
        <is>
          <t>G|FICO x ASSET_CLASS / SYS_FLAG|contribution_rate|band|1</t>
        </is>
      </c>
      <c r="B847" t="n">
        <v>0.930250196</v>
      </c>
      <c r="C847" t="n">
        <v>0.83446144</v>
      </c>
      <c r="D847" t="n">
        <v>-0.120510936</v>
      </c>
      <c r="E847" t="n">
        <v>-1.948978593</v>
      </c>
      <c r="F847" t="n">
        <v>-0.896466795</v>
      </c>
      <c r="G847" t="n">
        <v>0.6754627520000001</v>
      </c>
      <c r="H847" t="n">
        <v>0.519974525</v>
      </c>
      <c r="I847" t="n">
        <v>-0.019494778</v>
      </c>
    </row>
    <row r="848">
      <c r="A848" t="inlineStr">
        <is>
          <t>G|FICO x ASSET_CLASS / SYS_FLAG|contribution_rate|rate|2</t>
        </is>
      </c>
      <c r="B848" t="n">
        <v>0.2015406621111196</v>
      </c>
      <c r="C848" t="n">
        <v>0.2211349654767817</v>
      </c>
      <c r="D848" t="n">
        <v>0.2138409419086984</v>
      </c>
      <c r="E848" t="n">
        <v>0.2059532822004514</v>
      </c>
      <c r="F848" t="n">
        <v>0.2219297220962947</v>
      </c>
      <c r="G848" t="n">
        <v>0.1956946517050188</v>
      </c>
      <c r="H848" t="n">
        <v>0.2059336082640051</v>
      </c>
      <c r="I848" t="n">
        <v>0.2021417428139917</v>
      </c>
      <c r="J848" t="n">
        <v>0.2082899782331105</v>
      </c>
    </row>
    <row r="849">
      <c r="A849" t="inlineStr">
        <is>
          <t>G|FICO x ASSET_CLASS / SYS_FLAG|contribution_rate|book|2</t>
        </is>
      </c>
      <c r="B849" t="n">
        <v>3.194820638</v>
      </c>
      <c r="C849" t="n">
        <v>5.154250974</v>
      </c>
      <c r="D849" t="n">
        <v>4.424848617</v>
      </c>
      <c r="E849" t="n">
        <v>3.636082647</v>
      </c>
      <c r="F849" t="n">
        <v>5.233726636</v>
      </c>
      <c r="G849" t="n">
        <v>2.610219597</v>
      </c>
      <c r="H849" t="n">
        <v>3.634115253</v>
      </c>
      <c r="I849" t="n">
        <v>3.254928708</v>
      </c>
      <c r="J849" t="n">
        <v>3.86975225</v>
      </c>
    </row>
    <row r="850">
      <c r="A850" t="inlineStr">
        <is>
          <t>G|FICO x ASSET_CLASS / SYS_FLAG|contribution_rate|band|2</t>
        </is>
      </c>
      <c r="B850" t="n">
        <v>-0.78375726</v>
      </c>
      <c r="C850" t="n">
        <v>1.454853849</v>
      </c>
      <c r="D850" t="n">
        <v>0.632771861</v>
      </c>
      <c r="E850" t="n">
        <v>-0.260663614</v>
      </c>
      <c r="F850" t="n">
        <v>1.551951991</v>
      </c>
      <c r="G850" t="n">
        <v>-1.434192694</v>
      </c>
      <c r="H850" t="n">
        <v>-0.276913347</v>
      </c>
      <c r="I850" t="n">
        <v>-0.703279532</v>
      </c>
    </row>
    <row r="851">
      <c r="A851" t="inlineStr">
        <is>
          <t>G|FICO x ASSET_CLASS / SYS_FLAG|contribution_rate|rate|3</t>
        </is>
      </c>
      <c r="B851" t="n">
        <v>0.1744726575035506</v>
      </c>
      <c r="C851" t="n">
        <v>0.1744459146670386</v>
      </c>
      <c r="D851" t="n">
        <v>0.182487508383607</v>
      </c>
      <c r="E851" t="n">
        <v>0.1588181499904109</v>
      </c>
      <c r="F851" t="n">
        <v>0.1686996296323497</v>
      </c>
      <c r="G851" t="n">
        <v>0.1647825844701854</v>
      </c>
      <c r="H851" t="n">
        <v>0.1871564972830558</v>
      </c>
      <c r="I851" t="n">
        <v>0.1723016095100228</v>
      </c>
      <c r="J851" t="n">
        <v>0.1734333199610001</v>
      </c>
    </row>
    <row r="852">
      <c r="A852" t="inlineStr">
        <is>
          <t>G|FICO x ASSET_CLASS / SYS_FLAG|contribution_rate|book|3</t>
        </is>
      </c>
      <c r="B852" t="n">
        <v>0.488020177</v>
      </c>
      <c r="C852" t="n">
        <v>0.485345893</v>
      </c>
      <c r="D852" t="n">
        <v>1.289505265</v>
      </c>
      <c r="E852" t="n">
        <v>-1.077430574</v>
      </c>
      <c r="F852" t="n">
        <v>-0.08928261</v>
      </c>
      <c r="G852" t="n">
        <v>-0.480987126</v>
      </c>
      <c r="H852" t="n">
        <v>1.756404155</v>
      </c>
      <c r="I852" t="n">
        <v>0.270915378</v>
      </c>
      <c r="J852" t="n">
        <v>0.384086423</v>
      </c>
    </row>
    <row r="853">
      <c r="A853" t="inlineStr">
        <is>
          <t>G|FICO x ASSET_CLASS / SYS_FLAG|contribution_rate|band|3</t>
        </is>
      </c>
      <c r="B853" t="n">
        <v>0.118371552</v>
      </c>
      <c r="C853" t="n">
        <v>0.113688861</v>
      </c>
      <c r="D853" t="n">
        <v>1.050471161</v>
      </c>
      <c r="E853" t="n">
        <v>-1.652803469</v>
      </c>
      <c r="F853" t="n">
        <v>-0.540241348</v>
      </c>
      <c r="G853" t="n">
        <v>-0.990854385</v>
      </c>
      <c r="H853" t="n">
        <v>1.609213013</v>
      </c>
      <c r="I853" t="n">
        <v>-0.128158992</v>
      </c>
    </row>
    <row r="854">
      <c r="A854" t="inlineStr">
        <is>
          <t>G|FICO x ASSET_CLASS / SYS_FLAG|contribution_rate|rate|4</t>
        </is>
      </c>
      <c r="B854" t="n">
        <v>0.1291512624073555</v>
      </c>
      <c r="C854" t="n">
        <v>0.1220563186367403</v>
      </c>
      <c r="D854" t="n">
        <v>0.1150566584831035</v>
      </c>
      <c r="E854" t="n">
        <v>0.1270403910535447</v>
      </c>
      <c r="F854" t="n">
        <v>0.1271752318530176</v>
      </c>
      <c r="G854" t="n">
        <v>0.1198317695591671</v>
      </c>
      <c r="H854" t="n">
        <v>0.1269689427425306</v>
      </c>
      <c r="I854" t="n">
        <v>0.1424312873746464</v>
      </c>
      <c r="J854" t="n">
        <v>0.1261938892004919</v>
      </c>
    </row>
    <row r="855">
      <c r="A855" t="inlineStr">
        <is>
          <t>G|FICO x ASSET_CLASS / SYS_FLAG|contribution_rate|book|4</t>
        </is>
      </c>
      <c r="B855" t="n">
        <v>-4.044119333</v>
      </c>
      <c r="C855" t="n">
        <v>-4.75361371</v>
      </c>
      <c r="D855" t="n">
        <v>-5.453579725</v>
      </c>
      <c r="E855" t="n">
        <v>-4.255206468</v>
      </c>
      <c r="F855" t="n">
        <v>-4.241722388</v>
      </c>
      <c r="G855" t="n">
        <v>-4.976068618</v>
      </c>
      <c r="H855" t="n">
        <v>-4.262351299</v>
      </c>
      <c r="I855" t="n">
        <v>-2.716116836</v>
      </c>
      <c r="J855" t="n">
        <v>-4.339856653</v>
      </c>
    </row>
    <row r="856">
      <c r="A856" t="inlineStr">
        <is>
          <t>G|FICO x ASSET_CLASS / SYS_FLAG|contribution_rate|band|4</t>
        </is>
      </c>
      <c r="B856" t="n">
        <v>0.335921996</v>
      </c>
      <c r="C856" t="n">
        <v>-0.462867933</v>
      </c>
      <c r="D856" t="n">
        <v>-1.308787288</v>
      </c>
      <c r="E856" t="n">
        <v>0.09695024300000001</v>
      </c>
      <c r="F856" t="n">
        <v>0.114047609</v>
      </c>
      <c r="G856" t="n">
        <v>-0.707930392</v>
      </c>
      <c r="H856" t="n">
        <v>0.089259422</v>
      </c>
      <c r="I856" t="n">
        <v>1.85748157</v>
      </c>
    </row>
    <row r="857">
      <c r="A857" t="inlineStr">
        <is>
          <t>G|FICO x ASSET_CLASS / SYS_FLAG|contribution_rate|rate|5</t>
        </is>
      </c>
      <c r="B857" t="n">
        <v>0.06852200567852806</v>
      </c>
      <c r="C857" t="n">
        <v>0.0660337099060927</v>
      </c>
      <c r="D857" t="n">
        <v>0.06604356987602898</v>
      </c>
      <c r="E857" t="n">
        <v>0.06099902320296288</v>
      </c>
      <c r="F857" t="n">
        <v>0.06784591200383021</v>
      </c>
      <c r="G857" t="n">
        <v>0.06824428977710294</v>
      </c>
      <c r="H857" t="n">
        <v>0.06539723285187914</v>
      </c>
      <c r="I857" t="n">
        <v>0.06558416061033709</v>
      </c>
      <c r="J857" t="n">
        <v>0.06615176452409988</v>
      </c>
    </row>
    <row r="858">
      <c r="A858" t="inlineStr">
        <is>
          <t>G|FICO x ASSET_CLASS / SYS_FLAG|contribution_rate|book|5</t>
        </is>
      </c>
      <c r="B858" t="n">
        <v>-10.107045006</v>
      </c>
      <c r="C858" t="n">
        <v>-10.355874583</v>
      </c>
      <c r="D858" t="n">
        <v>-10.354888586</v>
      </c>
      <c r="E858" t="n">
        <v>-10.859343253</v>
      </c>
      <c r="F858" t="n">
        <v>-10.174654373</v>
      </c>
      <c r="G858" t="n">
        <v>-10.134816596</v>
      </c>
      <c r="H858" t="n">
        <v>-10.419522288</v>
      </c>
      <c r="I858" t="n">
        <v>-10.400829512</v>
      </c>
      <c r="J858" t="n">
        <v>-10.344069121</v>
      </c>
    </row>
    <row r="859">
      <c r="A859" t="inlineStr">
        <is>
          <t>G|FICO x ASSET_CLASS / SYS_FLAG|contribution_rate|band|5</t>
        </is>
      </c>
      <c r="B859" t="n">
        <v>0.277306536</v>
      </c>
      <c r="C859" t="n">
        <v>-0.013396134</v>
      </c>
      <c r="D859" t="n">
        <v>-0.012539216</v>
      </c>
      <c r="E859" t="n">
        <v>-0.586425795</v>
      </c>
      <c r="F859" t="n">
        <v>0.196653967</v>
      </c>
      <c r="G859" t="n">
        <v>0.235054418</v>
      </c>
      <c r="H859" t="n">
        <v>-0.08683961</v>
      </c>
      <c r="I859" t="n">
        <v>-0.062935016</v>
      </c>
    </row>
    <row r="860">
      <c r="A860" t="inlineStr">
        <is>
          <t>G|FICO x ASSET_CLASS / SYS_FLAG|contribution_rate|rate|6</t>
        </is>
      </c>
      <c r="E860" t="n">
        <v>0.140296941334961</v>
      </c>
      <c r="J860" t="n">
        <v>0.140296941334961</v>
      </c>
    </row>
    <row r="861">
      <c r="A861" t="inlineStr">
        <is>
          <t>G|FICO x ASSET_CLASS / SYS_FLAG|contribution_rate|book|6</t>
        </is>
      </c>
      <c r="E861" t="n">
        <v>-2.92955144</v>
      </c>
      <c r="J861" t="n">
        <v>-2.92955144</v>
      </c>
    </row>
    <row r="862">
      <c r="A862" t="inlineStr">
        <is>
          <t>G|FICO x ASSET_CLASS / SYS_FLAG|contribution_rate|band|6</t>
        </is>
      </c>
    </row>
    <row r="863">
      <c r="A863" t="inlineStr">
        <is>
          <t>G|FICO x ASSET_CLASS / SYS_FLAG|contribution_rate|rate|7</t>
        </is>
      </c>
      <c r="B863" t="n">
        <v>0.1836483093665673</v>
      </c>
      <c r="C863" t="n">
        <v>0.1840430548606989</v>
      </c>
      <c r="D863" t="n">
        <v>0.1675016252855078</v>
      </c>
      <c r="E863" t="n">
        <v>0.178245380383972</v>
      </c>
      <c r="F863" t="n">
        <v>0.2301756883217136</v>
      </c>
      <c r="G863" t="n">
        <v>0.1368631575911131</v>
      </c>
      <c r="H863" t="n">
        <v>0.1723535026319523</v>
      </c>
      <c r="I863" t="n">
        <v>0.2043912281155629</v>
      </c>
      <c r="J863" t="n">
        <v>0.1806863107357443</v>
      </c>
    </row>
    <row r="864">
      <c r="A864" t="inlineStr">
        <is>
          <t>G|FICO x ASSET_CLASS / SYS_FLAG|contribution_rate|book|7</t>
        </is>
      </c>
      <c r="B864" t="n">
        <v>1.405585363</v>
      </c>
      <c r="C864" t="n">
        <v>1.445059913</v>
      </c>
      <c r="D864" t="n">
        <v>-0.209083045</v>
      </c>
      <c r="E864" t="n">
        <v>0.865292465</v>
      </c>
      <c r="F864" t="n">
        <v>6.058323259</v>
      </c>
      <c r="G864" t="n">
        <v>-3.272929814</v>
      </c>
      <c r="H864" t="n">
        <v>0.27610469</v>
      </c>
      <c r="I864" t="n">
        <v>3.479877238</v>
      </c>
      <c r="J864" t="n">
        <v>1.1093855</v>
      </c>
    </row>
    <row r="865">
      <c r="A865" t="inlineStr">
        <is>
          <t>G|FICO x ASSET_CLASS / SYS_FLAG|contribution_rate|band|7</t>
        </is>
      </c>
      <c r="B865" t="n">
        <v>0.364469184</v>
      </c>
      <c r="C865" t="n">
        <v>0.37266652</v>
      </c>
      <c r="D865" t="n">
        <v>-1.460148717</v>
      </c>
      <c r="E865" t="n">
        <v>-0.27378297</v>
      </c>
      <c r="F865" t="n">
        <v>5.653583051</v>
      </c>
      <c r="G865" t="n">
        <v>-5.179621884</v>
      </c>
      <c r="H865" t="n">
        <v>-0.959136433</v>
      </c>
      <c r="I865" t="n">
        <v>2.628518704</v>
      </c>
    </row>
    <row r="866">
      <c r="A866" t="inlineStr">
        <is>
          <t>G|FICO x ASSET_CLASS / SYS_FLAG|contribution_rate|rate|8</t>
        </is>
      </c>
      <c r="B866" t="n">
        <v>0.1720175555717959</v>
      </c>
      <c r="C866" t="n">
        <v>0.1746105286323749</v>
      </c>
      <c r="D866" t="n">
        <v>0.1679470896613687</v>
      </c>
      <c r="E866" t="n">
        <v>0.1608585159559364</v>
      </c>
      <c r="F866" t="n">
        <v>0.1678337458030882</v>
      </c>
      <c r="G866" t="n">
        <v>0.1652986533572751</v>
      </c>
      <c r="H866" t="n">
        <v>0.1733503472186024</v>
      </c>
      <c r="I866" t="n">
        <v>0.1744144949802069</v>
      </c>
      <c r="J866" t="n">
        <v>0.1695924557349812</v>
      </c>
    </row>
    <row r="867">
      <c r="A867" t="inlineStr">
        <is>
          <t>G|FICO x ASSET_CLASS / SYS_FLAG|contribution_rate|book|8</t>
        </is>
      </c>
      <c r="B867" t="n">
        <v>0.242509984</v>
      </c>
      <c r="C867" t="n">
        <v>0.50180729</v>
      </c>
      <c r="D867" t="n">
        <v>-0.164536607</v>
      </c>
      <c r="E867" t="n">
        <v>-0.873393978</v>
      </c>
      <c r="F867" t="n">
        <v>-0.175870993</v>
      </c>
      <c r="G867" t="n">
        <v>-0.429380238</v>
      </c>
      <c r="H867" t="n">
        <v>0.375789148</v>
      </c>
      <c r="I867" t="n">
        <v>0.482203925</v>
      </c>
      <c r="J867" t="n">
        <v>0</v>
      </c>
    </row>
    <row r="868">
      <c r="A868" t="inlineStr">
        <is>
          <t>G|FICO x ASSET_CLASS / SYS_FLAG|contribution_rate|band|8</t>
        </is>
      </c>
    </row>
    <row r="869">
      <c r="A869" t="inlineStr">
        <is>
          <t>G|FICO x ASSET_CLASS / SYS_FLAG|contribution_rate|meta</t>
        </is>
      </c>
      <c r="B869" t="inlineStr">
        <is>
          <t>pts</t>
        </is>
      </c>
      <c r="C869" t="n">
        <v>11.200883824</v>
      </c>
      <c r="D869" t="n">
        <v>10</v>
      </c>
    </row>
    <row r="870">
      <c r="A870" t="inlineStr">
        <is>
          <t>G|ORIG_BAL x CHANNEL / SYS_FLAG|cols</t>
        </is>
      </c>
      <c r="B870" t="inlineStr">
        <is>
          <t>Branch · N</t>
        </is>
      </c>
      <c r="C870" t="inlineStr">
        <is>
          <t>Branch · Y</t>
        </is>
      </c>
      <c r="D870" t="inlineStr">
        <is>
          <t>Broker · N</t>
        </is>
      </c>
      <c r="E870" t="inlineStr">
        <is>
          <t>Broker · Y</t>
        </is>
      </c>
      <c r="F870" t="inlineStr">
        <is>
          <t>Online · N</t>
        </is>
      </c>
      <c r="G870" t="inlineStr">
        <is>
          <t>Online · Y</t>
        </is>
      </c>
      <c r="H870" t="inlineStr">
        <is>
          <t>All</t>
        </is>
      </c>
    </row>
    <row r="871">
      <c r="A871" t="inlineStr">
        <is>
          <t>G|ORIG_BAL x CHANNEL / SYS_FLAG|rows</t>
        </is>
      </c>
      <c r="B871" t="inlineStr">
        <is>
          <t>5,005 - 15,448</t>
        </is>
      </c>
      <c r="C871" t="inlineStr">
        <is>
          <t>15,449 - 26,323</t>
        </is>
      </c>
      <c r="D871" t="inlineStr">
        <is>
          <t>26,324 - 37,950</t>
        </is>
      </c>
      <c r="E871" t="inlineStr">
        <is>
          <t>37,951 - 49,151</t>
        </is>
      </c>
      <c r="F871" t="inlineStr">
        <is>
          <t>49,152 - 59,984</t>
        </is>
      </c>
      <c r="G871" t="inlineStr">
        <is>
          <t>(blank)</t>
        </is>
      </c>
      <c r="H871" t="inlineStr">
        <is>
          <t>All</t>
        </is>
      </c>
    </row>
    <row r="872">
      <c r="A872" t="inlineStr">
        <is>
          <t>G|ORIG_BAL x CHANNEL / SYS_FLAG|names</t>
        </is>
      </c>
      <c r="B872" t="inlineStr">
        <is>
          <t>ORIG_BAL</t>
        </is>
      </c>
      <c r="C872" t="inlineStr">
        <is>
          <t>CHANNEL / SYS_FLAG</t>
        </is>
      </c>
    </row>
    <row r="873">
      <c r="A873" t="inlineStr">
        <is>
          <t>G|ORIG_BAL x CHANNEL / SYS_FLAG|total</t>
        </is>
      </c>
      <c r="B873" t="n">
        <v>8000</v>
      </c>
    </row>
    <row r="874">
      <c r="A874" t="inlineStr">
        <is>
          <t>G|ORIG_BAL x CHANNEL / SYS_FLAG|loans|1</t>
        </is>
      </c>
      <c r="B874" t="n">
        <v>301</v>
      </c>
      <c r="C874" t="n">
        <v>241</v>
      </c>
      <c r="D874" t="n">
        <v>277</v>
      </c>
      <c r="E874" t="n">
        <v>237</v>
      </c>
      <c r="F874" t="n">
        <v>302</v>
      </c>
      <c r="G874" t="n">
        <v>242</v>
      </c>
      <c r="H874" t="n">
        <v>1600</v>
      </c>
    </row>
    <row r="875">
      <c r="A875" t="inlineStr">
        <is>
          <t>G|ORIG_BAL x CHANNEL / SYS_FLAG|loans|2</t>
        </is>
      </c>
      <c r="B875" t="n">
        <v>274</v>
      </c>
      <c r="C875" t="n">
        <v>251</v>
      </c>
      <c r="D875" t="n">
        <v>293</v>
      </c>
      <c r="E875" t="n">
        <v>244</v>
      </c>
      <c r="F875" t="n">
        <v>300</v>
      </c>
      <c r="G875" t="n">
        <v>238</v>
      </c>
      <c r="H875" t="n">
        <v>1600</v>
      </c>
    </row>
    <row r="876">
      <c r="A876" t="inlineStr">
        <is>
          <t>G|ORIG_BAL x CHANNEL / SYS_FLAG|loans|3</t>
        </is>
      </c>
      <c r="B876" t="n">
        <v>282</v>
      </c>
      <c r="C876" t="n">
        <v>236</v>
      </c>
      <c r="D876" t="n">
        <v>305</v>
      </c>
      <c r="E876" t="n">
        <v>248</v>
      </c>
      <c r="F876" t="n">
        <v>297</v>
      </c>
      <c r="G876" t="n">
        <v>231</v>
      </c>
      <c r="H876" t="n">
        <v>1599</v>
      </c>
    </row>
    <row r="877">
      <c r="A877" t="inlineStr">
        <is>
          <t>G|ORIG_BAL x CHANNEL / SYS_FLAG|loans|4</t>
        </is>
      </c>
      <c r="B877" t="n">
        <v>269</v>
      </c>
      <c r="C877" t="n">
        <v>257</v>
      </c>
      <c r="D877" t="n">
        <v>282</v>
      </c>
      <c r="E877" t="n">
        <v>249</v>
      </c>
      <c r="F877" t="n">
        <v>289</v>
      </c>
      <c r="G877" t="n">
        <v>254</v>
      </c>
      <c r="H877" t="n">
        <v>1600</v>
      </c>
    </row>
    <row r="878">
      <c r="A878" t="inlineStr">
        <is>
          <t>G|ORIG_BAL x CHANNEL / SYS_FLAG|loans|5</t>
        </is>
      </c>
      <c r="B878" t="n">
        <v>289</v>
      </c>
      <c r="C878" t="n">
        <v>226</v>
      </c>
      <c r="D878" t="n">
        <v>278</v>
      </c>
      <c r="E878" t="n">
        <v>242</v>
      </c>
      <c r="F878" t="n">
        <v>291</v>
      </c>
      <c r="G878" t="n">
        <v>274</v>
      </c>
      <c r="H878" t="n">
        <v>1600</v>
      </c>
    </row>
    <row r="879">
      <c r="A879" t="inlineStr">
        <is>
          <t>G|ORIG_BAL x CHANNEL / SYS_FLAG|loans|6</t>
        </is>
      </c>
      <c r="C879" t="n">
        <v>1</v>
      </c>
      <c r="H879" t="n">
        <v>1</v>
      </c>
    </row>
    <row r="880">
      <c r="A880" t="inlineStr">
        <is>
          <t>G|ORIG_BAL x CHANNEL / SYS_FLAG|loans|7</t>
        </is>
      </c>
      <c r="B880" t="n">
        <v>1415</v>
      </c>
      <c r="C880" t="n">
        <v>1212</v>
      </c>
      <c r="D880" t="n">
        <v>1435</v>
      </c>
      <c r="E880" t="n">
        <v>1220</v>
      </c>
      <c r="F880" t="n">
        <v>1479</v>
      </c>
      <c r="G880" t="n">
        <v>1239</v>
      </c>
      <c r="H880" t="n">
        <v>8000</v>
      </c>
    </row>
    <row r="881">
      <c r="A881" t="inlineStr">
        <is>
          <t>G|ORIG_BAL x CHANNEL / SYS_FLAG|outcome_loans|rate|1</t>
        </is>
      </c>
      <c r="B881" t="n">
        <v>0.05647840531561462</v>
      </c>
      <c r="C881" t="n">
        <v>0.07468879668049792</v>
      </c>
      <c r="D881" t="n">
        <v>0.06137184115523465</v>
      </c>
      <c r="E881" t="n">
        <v>0.109704641350211</v>
      </c>
      <c r="F881" t="n">
        <v>0.05629139072847682</v>
      </c>
      <c r="G881" t="n">
        <v>0.115702479338843</v>
      </c>
      <c r="H881" t="n">
        <v>0.076875</v>
      </c>
    </row>
    <row r="882">
      <c r="A882" t="inlineStr">
        <is>
          <t>G|ORIG_BAL x CHANNEL / SYS_FLAG|outcome_loans|book|1</t>
        </is>
      </c>
      <c r="B882" t="n">
        <v>0.7298396835534755</v>
      </c>
      <c r="C882" t="n">
        <v>0.9651626569423309</v>
      </c>
      <c r="D882" t="n">
        <v>0.7930748907927657</v>
      </c>
      <c r="E882" t="n">
        <v>1.417653354055473</v>
      </c>
      <c r="F882" t="n">
        <v>0.7274229958595898</v>
      </c>
      <c r="G882" t="n">
        <v>1.495160149000654</v>
      </c>
      <c r="H882" t="n">
        <v>0.9934137722132471</v>
      </c>
    </row>
    <row r="883">
      <c r="A883" t="inlineStr">
        <is>
          <t>G|ORIG_BAL x CHANNEL / SYS_FLAG|outcome_loans|band|1</t>
        </is>
      </c>
      <c r="B883" t="n">
        <v>0.6921268726885225</v>
      </c>
      <c r="C883" t="n">
        <v>0.9666864256075873</v>
      </c>
      <c r="D883" t="n">
        <v>0.7659900551733533</v>
      </c>
      <c r="E883" t="n">
        <v>1.541519857323068</v>
      </c>
      <c r="F883" t="n">
        <v>0.6893040109958767</v>
      </c>
      <c r="G883" t="n">
        <v>1.653936494127882</v>
      </c>
    </row>
    <row r="884">
      <c r="A884" t="inlineStr">
        <is>
          <t>G|ORIG_BAL x CHANNEL / SYS_FLAG|outcome_loans|rate|2</t>
        </is>
      </c>
      <c r="B884" t="n">
        <v>0.072992700729927</v>
      </c>
      <c r="C884" t="n">
        <v>0.06772908366533864</v>
      </c>
      <c r="D884" t="n">
        <v>0.09556313993174062</v>
      </c>
      <c r="E884" t="n">
        <v>0.1434426229508197</v>
      </c>
      <c r="F884" t="n">
        <v>0.09333333333333334</v>
      </c>
      <c r="G884" t="n">
        <v>0.08823529411764706</v>
      </c>
      <c r="H884" t="n">
        <v>0.093125</v>
      </c>
    </row>
    <row r="885">
      <c r="A885" t="inlineStr">
        <is>
          <t>G|ORIG_BAL x CHANNEL / SYS_FLAG|outcome_loans|book|2</t>
        </is>
      </c>
      <c r="B885" t="n">
        <v>0.9432449323726754</v>
      </c>
      <c r="C885" t="n">
        <v>0.875226074699586</v>
      </c>
      <c r="D885" t="n">
        <v>1.234910430232622</v>
      </c>
      <c r="E885" t="n">
        <v>1.85363092242909</v>
      </c>
      <c r="F885" t="n">
        <v>1.206095853527194</v>
      </c>
      <c r="G885" t="n">
        <v>1.140216668250499</v>
      </c>
      <c r="H885" t="n">
        <v>1.203403675282714</v>
      </c>
    </row>
    <row r="886">
      <c r="A886" t="inlineStr">
        <is>
          <t>G|ORIG_BAL x CHANNEL / SYS_FLAG|outcome_loans|band|2</t>
        </is>
      </c>
      <c r="B886" t="n">
        <v>0.750297063316924</v>
      </c>
      <c r="C886" t="n">
        <v>0.6921707110950138</v>
      </c>
      <c r="D886" t="n">
        <v>1.032239866865992</v>
      </c>
      <c r="E886" t="n">
        <v>1.706212251941329</v>
      </c>
      <c r="F886" t="n">
        <v>1.002754820936639</v>
      </c>
      <c r="G886" t="n">
        <v>0.9388786764705883</v>
      </c>
    </row>
    <row r="887">
      <c r="A887" t="inlineStr">
        <is>
          <t>G|ORIG_BAL x CHANNEL / SYS_FLAG|outcome_loans|rate|3</t>
        </is>
      </c>
      <c r="B887" t="n">
        <v>0.0498220640569395</v>
      </c>
      <c r="C887" t="n">
        <v>0.08050847457627118</v>
      </c>
      <c r="D887" t="n">
        <v>0.06557377049180328</v>
      </c>
      <c r="E887" t="n">
        <v>0.0846774193548387</v>
      </c>
      <c r="F887" t="n">
        <v>0.04040404040404041</v>
      </c>
      <c r="G887" t="n">
        <v>0.1038961038961039</v>
      </c>
      <c r="H887" t="n">
        <v>0.06883604505632041</v>
      </c>
    </row>
    <row r="888">
      <c r="A888" t="inlineStr">
        <is>
          <t>G|ORIG_BAL x CHANNEL / SYS_FLAG|outcome_loans|book|3</t>
        </is>
      </c>
      <c r="B888" t="n">
        <v>0.6438234093561536</v>
      </c>
      <c r="C888" t="n">
        <v>1.040367186002574</v>
      </c>
      <c r="D888" t="n">
        <v>0.8473741359675839</v>
      </c>
      <c r="E888" t="n">
        <v>1.094240189692011</v>
      </c>
      <c r="F888" t="n">
        <v>0.5221194171113396</v>
      </c>
      <c r="G888" t="n">
        <v>1.34259278685773</v>
      </c>
      <c r="H888" t="n">
        <v>0.8895307340961339</v>
      </c>
    </row>
    <row r="889">
      <c r="A889" t="inlineStr">
        <is>
          <t>G|ORIG_BAL x CHANNEL / SYS_FLAG|outcome_loans|band|3</t>
        </is>
      </c>
      <c r="B889" t="n">
        <v>0.6834964412811388</v>
      </c>
      <c r="C889" t="n">
        <v>1.204972993108586</v>
      </c>
      <c r="D889" t="n">
        <v>0.9420765027322405</v>
      </c>
      <c r="E889" t="n">
        <v>1.284432765494744</v>
      </c>
      <c r="F889" t="n">
        <v>0.536384250669965</v>
      </c>
      <c r="G889" t="n">
        <v>1.651464814255512</v>
      </c>
    </row>
    <row r="890">
      <c r="A890" t="inlineStr">
        <is>
          <t>G|ORIG_BAL x CHANNEL / SYS_FLAG|outcome_loans|rate|4</t>
        </is>
      </c>
      <c r="B890" t="n">
        <v>0.07063197026022305</v>
      </c>
      <c r="C890" t="n">
        <v>0.08949416342412451</v>
      </c>
      <c r="D890" t="n">
        <v>0.04964539007092199</v>
      </c>
      <c r="E890" t="n">
        <v>0.1405622489959839</v>
      </c>
      <c r="F890" t="n">
        <v>0.03460207612456748</v>
      </c>
      <c r="G890" t="n">
        <v>0.1299212598425197</v>
      </c>
      <c r="H890" t="n">
        <v>0.08375</v>
      </c>
    </row>
    <row r="891">
      <c r="A891" t="inlineStr">
        <is>
          <t>G|ORIG_BAL x CHANNEL / SYS_FLAG|outcome_loans|book|4</t>
        </is>
      </c>
      <c r="B891" t="n">
        <v>0.912738497756905</v>
      </c>
      <c r="C891" t="n">
        <v>1.156484350936304</v>
      </c>
      <c r="D891" t="n">
        <v>0.6415403476208481</v>
      </c>
      <c r="E891" t="n">
        <v>1.816409417962642</v>
      </c>
      <c r="F891" t="n">
        <v>0.4471437914707839</v>
      </c>
      <c r="G891" t="n">
        <v>1.678901708368845</v>
      </c>
      <c r="H891" t="n">
        <v>1.082255654281099</v>
      </c>
    </row>
    <row r="892">
      <c r="A892" t="inlineStr">
        <is>
          <t>G|ORIG_BAL x CHANNEL / SYS_FLAG|outcome_loans|band|4</t>
        </is>
      </c>
      <c r="B892" t="n">
        <v>0.8174882818813641</v>
      </c>
      <c r="C892" t="n">
        <v>1.082798752059452</v>
      </c>
      <c r="D892" t="n">
        <v>0.5452718676122932</v>
      </c>
      <c r="E892" t="n">
        <v>1.918177761551255</v>
      </c>
      <c r="F892" t="n">
        <v>0.3658332403169997</v>
      </c>
      <c r="G892" t="n">
        <v>1.731425898495361</v>
      </c>
    </row>
    <row r="893">
      <c r="A893" t="inlineStr">
        <is>
          <t>G|ORIG_BAL x CHANNEL / SYS_FLAG|outcome_loans|rate|5</t>
        </is>
      </c>
      <c r="B893" t="n">
        <v>0.01730103806228374</v>
      </c>
      <c r="C893" t="n">
        <v>0.07964601769911504</v>
      </c>
      <c r="D893" t="n">
        <v>0.0683453237410072</v>
      </c>
      <c r="E893" t="n">
        <v>0.1033057851239669</v>
      </c>
      <c r="F893" t="n">
        <v>0.03092783505154639</v>
      </c>
      <c r="G893" t="n">
        <v>0.09854014598540146</v>
      </c>
      <c r="H893" t="n">
        <v>0.064375</v>
      </c>
    </row>
    <row r="894">
      <c r="A894" t="inlineStr">
        <is>
          <t>G|ORIG_BAL x CHANNEL / SYS_FLAG|outcome_loans|book|5</t>
        </is>
      </c>
      <c r="C894" t="n">
        <v>1.029222125323459</v>
      </c>
      <c r="D894" t="n">
        <v>0.8831894097000268</v>
      </c>
      <c r="E894" t="n">
        <v>1.334964418750584</v>
      </c>
      <c r="G894" t="n">
        <v>1.273380658703112</v>
      </c>
      <c r="H894" t="n">
        <v>0.8318830775444265</v>
      </c>
    </row>
    <row r="895">
      <c r="A895" t="inlineStr">
        <is>
          <t>G|ORIG_BAL x CHANNEL / SYS_FLAG|outcome_loans|band|5</t>
        </is>
      </c>
      <c r="C895" t="n">
        <v>1.287454450806871</v>
      </c>
      <c r="D895" t="n">
        <v>1.075625214114423</v>
      </c>
      <c r="E895" t="n">
        <v>1.798580207671117</v>
      </c>
      <c r="G895" t="n">
        <v>1.71926623127161</v>
      </c>
    </row>
    <row r="896">
      <c r="A896" t="inlineStr">
        <is>
          <t>G|ORIG_BAL x CHANNEL / SYS_FLAG|outcome_loans|rate|6</t>
        </is>
      </c>
      <c r="C896" t="n">
        <v>0</v>
      </c>
      <c r="H896" t="n">
        <v>0</v>
      </c>
    </row>
    <row r="897">
      <c r="A897" t="inlineStr">
        <is>
          <t>G|ORIG_BAL x CHANNEL / SYS_FLAG|outcome_loans|book|6</t>
        </is>
      </c>
    </row>
    <row r="898">
      <c r="A898" t="inlineStr">
        <is>
          <t>G|ORIG_BAL x CHANNEL / SYS_FLAG|outcome_loans|band|6</t>
        </is>
      </c>
    </row>
    <row r="899">
      <c r="A899" t="inlineStr">
        <is>
          <t>G|ORIG_BAL x CHANNEL / SYS_FLAG|outcome_loans|rate|7</t>
        </is>
      </c>
      <c r="B899" t="n">
        <v>0.05304101838755304</v>
      </c>
      <c r="C899" t="n">
        <v>0.07838283828382839</v>
      </c>
      <c r="D899" t="n">
        <v>0.06829268292682927</v>
      </c>
      <c r="E899" t="n">
        <v>0.1163934426229508</v>
      </c>
      <c r="F899" t="n">
        <v>0.05138607167004733</v>
      </c>
      <c r="G899" t="n">
        <v>0.1073446327683616</v>
      </c>
      <c r="H899" t="n">
        <v>0.07738467308413552</v>
      </c>
    </row>
    <row r="900">
      <c r="A900" t="inlineStr">
        <is>
          <t>G|ORIG_BAL x CHANNEL / SYS_FLAG|outcome_loans|book|7</t>
        </is>
      </c>
      <c r="B900" t="n">
        <v>0.6854202036866507</v>
      </c>
      <c r="C900" t="n">
        <v>1.01289874544805</v>
      </c>
      <c r="D900" t="n">
        <v>0.8825091611174594</v>
      </c>
      <c r="E900" t="n">
        <v>1.504089091342461</v>
      </c>
      <c r="F900" t="n">
        <v>0.664034228253164</v>
      </c>
      <c r="G900" t="n">
        <v>1.387156248003432</v>
      </c>
      <c r="H900" t="n">
        <v>1</v>
      </c>
    </row>
    <row r="901">
      <c r="A901" t="inlineStr">
        <is>
          <t>G|ORIG_BAL x CHANNEL / SYS_FLAG|outcome_loans|band|7</t>
        </is>
      </c>
    </row>
    <row r="902">
      <c r="A902" t="inlineStr">
        <is>
          <t>G|ORIG_BAL x CHANNEL / SYS_FLAG|outcome_loans|meta</t>
        </is>
      </c>
      <c r="B902" t="inlineStr">
        <is>
          <t>x</t>
        </is>
      </c>
      <c r="C902" t="n">
        <v>1.918177761551255</v>
      </c>
      <c r="D902" t="n">
        <v>10</v>
      </c>
    </row>
    <row r="903">
      <c r="A903" t="inlineStr">
        <is>
          <t>G|ORIG_BAL x CHANNEL / SYS_FLAG|outcome_booked|rate|1</t>
        </is>
      </c>
      <c r="B903" t="n">
        <v>0.0576191782683389</v>
      </c>
      <c r="C903" t="n">
        <v>0.07948539311439064</v>
      </c>
      <c r="D903" t="n">
        <v>0.06443311502925256</v>
      </c>
      <c r="E903" t="n">
        <v>0.0986991994820951</v>
      </c>
      <c r="F903" t="n">
        <v>0.04875440299822736</v>
      </c>
      <c r="G903" t="n">
        <v>0.1167251086094073</v>
      </c>
      <c r="H903" t="n">
        <v>0.07557453391360712</v>
      </c>
    </row>
    <row r="904">
      <c r="A904" t="inlineStr">
        <is>
          <t>G|ORIG_BAL x CHANNEL / SYS_FLAG|outcome_booked|book|1</t>
        </is>
      </c>
      <c r="B904" t="n">
        <v>0.7700126885089043</v>
      </c>
      <c r="C904" t="n">
        <v>1.06222898501193</v>
      </c>
      <c r="D904" t="n">
        <v>0.8610729556332595</v>
      </c>
      <c r="E904" t="n">
        <v>1.318998955398947</v>
      </c>
      <c r="F904" t="n">
        <v>0.6515453718287454</v>
      </c>
      <c r="G904" t="n">
        <v>1.559894073432344</v>
      </c>
      <c r="H904" t="n">
        <v>1.009964942065142</v>
      </c>
    </row>
    <row r="905">
      <c r="A905" t="inlineStr">
        <is>
          <t>G|ORIG_BAL x CHANNEL / SYS_FLAG|outcome_booked|band|1</t>
        </is>
      </c>
      <c r="B905" t="n">
        <v>0.7220178946610468</v>
      </c>
      <c r="C905" t="n">
        <v>1.061168310229191</v>
      </c>
      <c r="D905" t="n">
        <v>0.8269923751813483</v>
      </c>
      <c r="E905" t="n">
        <v>1.380509353887142</v>
      </c>
      <c r="F905" t="n">
        <v>0.596659463068807</v>
      </c>
      <c r="G905" t="n">
        <v>1.713447224331679</v>
      </c>
    </row>
    <row r="906">
      <c r="A906" t="inlineStr">
        <is>
          <t>G|ORIG_BAL x CHANNEL / SYS_FLAG|outcome_booked|rate|2</t>
        </is>
      </c>
      <c r="B906" t="n">
        <v>0.06787981773915373</v>
      </c>
      <c r="C906" t="n">
        <v>0.0701261461165415</v>
      </c>
      <c r="D906" t="n">
        <v>0.0980017326642951</v>
      </c>
      <c r="E906" t="n">
        <v>0.1388411823720672</v>
      </c>
      <c r="F906" t="n">
        <v>0.09691563345514322</v>
      </c>
      <c r="G906" t="n">
        <v>0.0930022032076228</v>
      </c>
      <c r="H906" t="n">
        <v>0.09377887022910675</v>
      </c>
    </row>
    <row r="907">
      <c r="A907" t="inlineStr">
        <is>
          <t>G|ORIG_BAL x CHANNEL / SYS_FLAG|outcome_booked|book|2</t>
        </is>
      </c>
      <c r="B907" t="n">
        <v>0.9071340918713005</v>
      </c>
      <c r="C907" t="n">
        <v>0.9371536340641931</v>
      </c>
      <c r="D907" t="n">
        <v>1.309678130013017</v>
      </c>
      <c r="E907" t="n">
        <v>1.855449441090278</v>
      </c>
      <c r="F907" t="n">
        <v>1.295163688864071</v>
      </c>
      <c r="G907" t="n">
        <v>1.242865286895345</v>
      </c>
      <c r="H907" t="n">
        <v>1.253244530044283</v>
      </c>
    </row>
    <row r="908">
      <c r="A908" t="inlineStr">
        <is>
          <t>G|ORIG_BAL x CHANNEL / SYS_FLAG|outcome_booked|band|2</t>
        </is>
      </c>
      <c r="B908" t="n">
        <v>0.6849040686662522</v>
      </c>
      <c r="C908" t="n">
        <v>0.7138269499595352</v>
      </c>
      <c r="D908" t="n">
        <v>1.055673858115572</v>
      </c>
      <c r="E908" t="n">
        <v>1.622100679267581</v>
      </c>
      <c r="F908" t="n">
        <v>1.041474420110449</v>
      </c>
      <c r="G908" t="n">
        <v>0.9903075753207488</v>
      </c>
    </row>
    <row r="909">
      <c r="A909" t="inlineStr">
        <is>
          <t>G|ORIG_BAL x CHANNEL / SYS_FLAG|outcome_booked|rate|3</t>
        </is>
      </c>
      <c r="B909" t="n">
        <v>0.05020839155998448</v>
      </c>
      <c r="C909" t="n">
        <v>0.07679229604285816</v>
      </c>
      <c r="D909" t="n">
        <v>0.06599328325014893</v>
      </c>
      <c r="E909" t="n">
        <v>0.08351121065616678</v>
      </c>
      <c r="F909" t="n">
        <v>0.04078920321890393</v>
      </c>
      <c r="G909" t="n">
        <v>0.1023946957505104</v>
      </c>
      <c r="H909" t="n">
        <v>0.06822026696935882</v>
      </c>
    </row>
    <row r="910">
      <c r="A910" t="inlineStr">
        <is>
          <t>G|ORIG_BAL x CHANNEL / SYS_FLAG|outcome_booked|book|3</t>
        </is>
      </c>
      <c r="B910" t="n">
        <v>0.6709762223744742</v>
      </c>
      <c r="C910" t="n">
        <v>1.026238903605204</v>
      </c>
      <c r="D910" t="n">
        <v>0.8819227726977055</v>
      </c>
      <c r="E910" t="n">
        <v>1.116029311256651</v>
      </c>
      <c r="F910" t="n">
        <v>0.5450998257290789</v>
      </c>
      <c r="G910" t="n">
        <v>1.368384925531407</v>
      </c>
      <c r="H910" t="n">
        <v>0.911683796239352</v>
      </c>
    </row>
    <row r="911">
      <c r="A911" t="inlineStr">
        <is>
          <t>G|ORIG_BAL x CHANNEL / SYS_FLAG|outcome_booked|band|3</t>
        </is>
      </c>
      <c r="B911" t="n">
        <v>0.6970494253319716</v>
      </c>
      <c r="C911" t="n">
        <v>1.150745468830766</v>
      </c>
      <c r="D911" t="n">
        <v>0.9600173972912874</v>
      </c>
      <c r="E911" t="n">
        <v>1.278055599734882</v>
      </c>
      <c r="F911" t="n">
        <v>0.5479811425668315</v>
      </c>
      <c r="G911" t="n">
        <v>1.639906230989024</v>
      </c>
    </row>
    <row r="912">
      <c r="A912" t="inlineStr">
        <is>
          <t>G|ORIG_BAL x CHANNEL / SYS_FLAG|outcome_booked|rate|4</t>
        </is>
      </c>
      <c r="B912" t="n">
        <v>0.07060647153692301</v>
      </c>
      <c r="C912" t="n">
        <v>0.08613032467895225</v>
      </c>
      <c r="D912" t="n">
        <v>0.05130960799187668</v>
      </c>
      <c r="E912" t="n">
        <v>0.1362010577104414</v>
      </c>
      <c r="F912" t="n">
        <v>0.03415494612532452</v>
      </c>
      <c r="G912" t="n">
        <v>0.1320577537898996</v>
      </c>
      <c r="H912" t="n">
        <v>0.08308928618120669</v>
      </c>
    </row>
    <row r="913">
      <c r="A913" t="inlineStr">
        <is>
          <t>G|ORIG_BAL x CHANNEL / SYS_FLAG|outcome_booked|book|4</t>
        </is>
      </c>
      <c r="B913" t="n">
        <v>0.943572619537826</v>
      </c>
      <c r="C913" t="n">
        <v>1.151030696052598</v>
      </c>
      <c r="D913" t="n">
        <v>0.6856926874618882</v>
      </c>
      <c r="E913" t="n">
        <v>1.820167273766934</v>
      </c>
      <c r="F913" t="n">
        <v>0.4564407664641988</v>
      </c>
      <c r="G913" t="n">
        <v>1.764796879966665</v>
      </c>
      <c r="H913" t="n">
        <v>1.110390785871948</v>
      </c>
    </row>
    <row r="914">
      <c r="A914" t="inlineStr">
        <is>
          <t>G|ORIG_BAL x CHANNEL / SYS_FLAG|outcome_booked|band|4</t>
        </is>
      </c>
      <c r="B914" t="n">
        <v>0.8246190263516815</v>
      </c>
      <c r="C914" t="n">
        <v>1.04391121631503</v>
      </c>
      <c r="D914" t="n">
        <v>0.5709885995395644</v>
      </c>
      <c r="E914" t="n">
        <v>1.85781287340994</v>
      </c>
      <c r="F914" t="n">
        <v>0.3638319809342351</v>
      </c>
      <c r="G914" t="n">
        <v>1.788486021729654</v>
      </c>
    </row>
    <row r="915">
      <c r="A915" t="inlineStr">
        <is>
          <t>G|ORIG_BAL x CHANNEL / SYS_FLAG|outcome_booked|rate|5</t>
        </is>
      </c>
      <c r="B915" t="n">
        <v>0.01738211717332663</v>
      </c>
      <c r="C915" t="n">
        <v>0.08057358264485796</v>
      </c>
      <c r="D915" t="n">
        <v>0.06890092444847121</v>
      </c>
      <c r="E915" t="n">
        <v>0.1044077966445302</v>
      </c>
      <c r="F915" t="n">
        <v>0.03165735523392776</v>
      </c>
      <c r="G915" t="n">
        <v>0.09761271814640037</v>
      </c>
      <c r="H915" t="n">
        <v>0.06473600628619963</v>
      </c>
    </row>
    <row r="916">
      <c r="A916" t="inlineStr">
        <is>
          <t>G|ORIG_BAL x CHANNEL / SYS_FLAG|outcome_booked|book|5</t>
        </is>
      </c>
      <c r="C916" t="n">
        <v>1.076771360851795</v>
      </c>
      <c r="D916" t="n">
        <v>0.920779984543256</v>
      </c>
      <c r="E916" t="n">
        <v>1.395287656153924</v>
      </c>
      <c r="G916" t="n">
        <v>1.304479407577267</v>
      </c>
      <c r="H916" t="n">
        <v>0.8651207417714352</v>
      </c>
    </row>
    <row r="917">
      <c r="A917" t="inlineStr">
        <is>
          <t>G|ORIG_BAL x CHANNEL / SYS_FLAG|outcome_booked|band|5</t>
        </is>
      </c>
      <c r="C917" t="n">
        <v>1.296674616775764</v>
      </c>
      <c r="D917" t="n">
        <v>1.079026362333243</v>
      </c>
      <c r="E917" t="n">
        <v>1.811065135173555</v>
      </c>
      <c r="G917" t="n">
        <v>1.683340468164825</v>
      </c>
    </row>
    <row r="918">
      <c r="A918" t="inlineStr">
        <is>
          <t>G|ORIG_BAL x CHANNEL / SYS_FLAG|outcome_booked|rate|6</t>
        </is>
      </c>
    </row>
    <row r="919">
      <c r="A919" t="inlineStr">
        <is>
          <t>G|ORIG_BAL x CHANNEL / SYS_FLAG|outcome_booked|book|6</t>
        </is>
      </c>
    </row>
    <row r="920">
      <c r="A920" t="inlineStr">
        <is>
          <t>G|ORIG_BAL x CHANNEL / SYS_FLAG|outcome_booked|band|6</t>
        </is>
      </c>
    </row>
    <row r="921">
      <c r="A921" t="inlineStr">
        <is>
          <t>G|ORIG_BAL x CHANNEL / SYS_FLAG|outcome_booked|rate|7</t>
        </is>
      </c>
      <c r="B921" t="n">
        <v>0.04681040497767673</v>
      </c>
      <c r="C921" t="n">
        <v>0.07994273280547269</v>
      </c>
      <c r="D921" t="n">
        <v>0.06720288771668041</v>
      </c>
      <c r="E921" t="n">
        <v>0.1128943071960848</v>
      </c>
      <c r="F921" t="n">
        <v>0.04388565607070748</v>
      </c>
      <c r="G921" t="n">
        <v>0.1084527276536025</v>
      </c>
      <c r="H921" t="n">
        <v>0.07482886857347223</v>
      </c>
    </row>
    <row r="922">
      <c r="A922" t="inlineStr">
        <is>
          <t>G|ORIG_BAL x CHANNEL / SYS_FLAG|outcome_booked|book|7</t>
        </is>
      </c>
      <c r="B922" t="n">
        <v>0.6255661200024015</v>
      </c>
      <c r="C922" t="n">
        <v>1.068340793192392</v>
      </c>
      <c r="D922" t="n">
        <v>0.89808771665037</v>
      </c>
      <c r="E922" t="n">
        <v>1.508699908849178</v>
      </c>
      <c r="F922" t="n">
        <v>0.5864802837105227</v>
      </c>
      <c r="G922" t="n">
        <v>1.44934341145511</v>
      </c>
      <c r="H922" t="n">
        <v>0.9999999999999986</v>
      </c>
    </row>
    <row r="923">
      <c r="A923" t="inlineStr">
        <is>
          <t>G|ORIG_BAL x CHANNEL / SYS_FLAG|outcome_booked|band|7</t>
        </is>
      </c>
    </row>
    <row r="924">
      <c r="A924" t="inlineStr">
        <is>
          <t>G|ORIG_BAL x CHANNEL / SYS_FLAG|outcome_booked|meta</t>
        </is>
      </c>
      <c r="B924" t="inlineStr">
        <is>
          <t>x</t>
        </is>
      </c>
      <c r="C924" t="n">
        <v>1.85781287340994</v>
      </c>
      <c r="D924" t="n">
        <v>10</v>
      </c>
    </row>
    <row r="925">
      <c r="A925" t="inlineStr">
        <is>
          <t>G|ORIG_BAL x CHANNEL / SYS_FLAG|gco_rate|rate|1</t>
        </is>
      </c>
      <c r="B925" t="n">
        <v>0.02836902486661352</v>
      </c>
      <c r="C925" t="n">
        <v>0.0446512583618181</v>
      </c>
      <c r="D925" t="n">
        <v>0.03707134104682022</v>
      </c>
      <c r="E925" t="n">
        <v>0.05593211782335367</v>
      </c>
      <c r="F925" t="n">
        <v>0.02593608923806244</v>
      </c>
      <c r="G925" t="n">
        <v>0.06394499241639874</v>
      </c>
      <c r="H925" t="n">
        <v>0.04139745179629655</v>
      </c>
    </row>
    <row r="926">
      <c r="A926" t="inlineStr">
        <is>
          <t>G|ORIG_BAL x CHANNEL / SYS_FLAG|gco_rate|book|1</t>
        </is>
      </c>
      <c r="B926" t="n">
        <v>0.6818614095914256</v>
      </c>
      <c r="C926" t="n">
        <v>1.073211719816672</v>
      </c>
      <c r="D926" t="n">
        <v>0.8910252284130324</v>
      </c>
      <c r="E926" t="n">
        <v>1.344351907750936</v>
      </c>
      <c r="F926" t="n">
        <v>0.6233847814757596</v>
      </c>
      <c r="G926" t="n">
        <v>1.536944708898748</v>
      </c>
      <c r="H926" t="n">
        <v>0.995005114487935</v>
      </c>
    </row>
    <row r="927">
      <c r="A927" t="inlineStr">
        <is>
          <t>G|ORIG_BAL x CHANNEL / SYS_FLAG|gco_rate|band|1</t>
        </is>
      </c>
      <c r="B927" t="n">
        <v>0.637999144427607</v>
      </c>
      <c r="C927" t="n">
        <v>1.093340664062522</v>
      </c>
      <c r="D927" t="n">
        <v>0.8762813259515931</v>
      </c>
      <c r="E927" t="n">
        <v>1.440317846982329</v>
      </c>
      <c r="F927" t="n">
        <v>0.5771815099473148</v>
      </c>
      <c r="G927" t="n">
        <v>1.713675330573663</v>
      </c>
    </row>
    <row r="928">
      <c r="A928" t="inlineStr">
        <is>
          <t>G|ORIG_BAL x CHANNEL / SYS_FLAG|gco_rate|rate|2</t>
        </is>
      </c>
      <c r="B928" t="n">
        <v>0.04069753541928629</v>
      </c>
      <c r="C928" t="n">
        <v>0.04026062976799067</v>
      </c>
      <c r="D928" t="n">
        <v>0.05937571387039377</v>
      </c>
      <c r="E928" t="n">
        <v>0.07822796693460864</v>
      </c>
      <c r="F928" t="n">
        <v>0.05040860340592498</v>
      </c>
      <c r="G928" t="n">
        <v>0.05110463775075075</v>
      </c>
      <c r="H928" t="n">
        <v>0.05316017920478748</v>
      </c>
    </row>
    <row r="929">
      <c r="A929" t="inlineStr">
        <is>
          <t>G|ORIG_BAL x CHANNEL / SYS_FLAG|gco_rate|book|2</t>
        </is>
      </c>
      <c r="B929" t="n">
        <v>0.9781823308473878</v>
      </c>
      <c r="C929" t="n">
        <v>0.967681120296387</v>
      </c>
      <c r="D929" t="n">
        <v>1.427120182858678</v>
      </c>
      <c r="E929" t="n">
        <v>1.880241991196474</v>
      </c>
      <c r="F929" t="n">
        <v>1.211591922369878</v>
      </c>
      <c r="G929" t="n">
        <v>1.22832139973889</v>
      </c>
      <c r="H929" t="n">
        <v>1.277727200604911</v>
      </c>
    </row>
    <row r="930">
      <c r="A930" t="inlineStr">
        <is>
          <t>G|ORIG_BAL x CHANNEL / SYS_FLAG|gco_rate|band|2</t>
        </is>
      </c>
      <c r="B930" t="n">
        <v>0.7303307171362801</v>
      </c>
      <c r="C930" t="n">
        <v>0.7242032956974487</v>
      </c>
      <c r="D930" t="n">
        <v>1.146947250565406</v>
      </c>
      <c r="E930" t="n">
        <v>1.609407256833963</v>
      </c>
      <c r="F930" t="n">
        <v>0.9370652563834073</v>
      </c>
      <c r="G930" t="n">
        <v>0.954982433546816</v>
      </c>
    </row>
    <row r="931">
      <c r="A931" t="inlineStr">
        <is>
          <t>G|ORIG_BAL x CHANNEL / SYS_FLAG|gco_rate|rate|3</t>
        </is>
      </c>
      <c r="B931" t="n">
        <v>0.02780156573220761</v>
      </c>
      <c r="C931" t="n">
        <v>0.04394095981399322</v>
      </c>
      <c r="D931" t="n">
        <v>0.04006128756035378</v>
      </c>
      <c r="E931" t="n">
        <v>0.04122141030323061</v>
      </c>
      <c r="F931" t="n">
        <v>0.02245761987566448</v>
      </c>
      <c r="G931" t="n">
        <v>0.05409866833363711</v>
      </c>
      <c r="H931" t="n">
        <v>0.0374507298379668</v>
      </c>
    </row>
    <row r="932">
      <c r="A932" t="inlineStr">
        <is>
          <t>G|ORIG_BAL x CHANNEL / SYS_FLAG|gco_rate|book|3</t>
        </is>
      </c>
      <c r="B932" t="n">
        <v>0.6682222913245548</v>
      </c>
      <c r="C932" t="n">
        <v>1.056139396346696</v>
      </c>
      <c r="D932" t="n">
        <v>0.962889846739067</v>
      </c>
      <c r="E932" t="n">
        <v>0.9907738833767878</v>
      </c>
      <c r="F932" t="n">
        <v>0.5397783116088102</v>
      </c>
      <c r="G932" t="n">
        <v>1.300284180384527</v>
      </c>
      <c r="H932" t="n">
        <v>0.9001439971099023</v>
      </c>
    </row>
    <row r="933">
      <c r="A933" t="inlineStr">
        <is>
          <t>G|ORIG_BAL x CHANNEL / SYS_FLAG|gco_rate|band|3</t>
        </is>
      </c>
      <c r="B933" t="n">
        <v>0.7038369148504119</v>
      </c>
      <c r="C933" t="n">
        <v>1.209650086485404</v>
      </c>
      <c r="D933" t="n">
        <v>1.087441088806463</v>
      </c>
      <c r="E933" t="n">
        <v>1.121925465097013</v>
      </c>
      <c r="F933" t="n">
        <v>0.5498285531261965</v>
      </c>
      <c r="G933" t="n">
        <v>1.561877160962331</v>
      </c>
    </row>
    <row r="934">
      <c r="A934" t="inlineStr">
        <is>
          <t>G|ORIG_BAL x CHANNEL / SYS_FLAG|gco_rate|rate|4</t>
        </is>
      </c>
      <c r="B934" t="n">
        <v>0.04062206664674996</v>
      </c>
      <c r="C934" t="n">
        <v>0.04647524182237373</v>
      </c>
      <c r="D934" t="n">
        <v>0.03102035847511591</v>
      </c>
      <c r="E934" t="n">
        <v>0.07424717789214945</v>
      </c>
      <c r="F934" t="n">
        <v>0.02041115727663371</v>
      </c>
      <c r="G934" t="n">
        <v>0.07403579170375833</v>
      </c>
      <c r="H934" t="n">
        <v>0.04676588351390013</v>
      </c>
    </row>
    <row r="935">
      <c r="A935" t="inlineStr">
        <is>
          <t>G|ORIG_BAL x CHANNEL / SYS_FLAG|gco_rate|book|4</t>
        </is>
      </c>
      <c r="B935" t="n">
        <v>0.9763684072506584</v>
      </c>
      <c r="C935" t="n">
        <v>1.117051927202495</v>
      </c>
      <c r="D935" t="n">
        <v>0.7455873247432765</v>
      </c>
      <c r="E935" t="n">
        <v>1.784562057164912</v>
      </c>
      <c r="F935" t="n">
        <v>0.4905907248301947</v>
      </c>
      <c r="G935" t="n">
        <v>1.779481301479363</v>
      </c>
      <c r="H935" t="n">
        <v>1.124037622142734</v>
      </c>
    </row>
    <row r="936">
      <c r="A936" t="inlineStr">
        <is>
          <t>G|ORIG_BAL x CHANNEL / SYS_FLAG|gco_rate|band|4</t>
        </is>
      </c>
      <c r="B936" t="n">
        <v>0.8461380484466625</v>
      </c>
      <c r="C936" t="n">
        <v>0.9926038513658585</v>
      </c>
      <c r="D936" t="n">
        <v>0.6188808882850518</v>
      </c>
      <c r="E936" t="n">
        <v>1.780346860606634</v>
      </c>
      <c r="F936" t="n">
        <v>0.3881987368463066</v>
      </c>
      <c r="G936" t="n">
        <v>1.779265011748837</v>
      </c>
    </row>
    <row r="937">
      <c r="A937" t="inlineStr">
        <is>
          <t>G|ORIG_BAL x CHANNEL / SYS_FLAG|gco_rate|rate|5</t>
        </is>
      </c>
      <c r="B937" t="n">
        <v>0.008950978443230468</v>
      </c>
      <c r="C937" t="n">
        <v>0.04060840296759337</v>
      </c>
      <c r="D937" t="n">
        <v>0.04179838331936418</v>
      </c>
      <c r="E937" t="n">
        <v>0.05761656365268954</v>
      </c>
      <c r="F937" t="n">
        <v>0.01693749139905862</v>
      </c>
      <c r="G937" t="n">
        <v>0.05342817172843498</v>
      </c>
      <c r="H937" t="n">
        <v>0.03555289463498782</v>
      </c>
    </row>
    <row r="938">
      <c r="A938" t="inlineStr">
        <is>
          <t>G|ORIG_BAL x CHANNEL / SYS_FLAG|gco_rate|book|5</t>
        </is>
      </c>
      <c r="C938" t="n">
        <v>0.9760399949920868</v>
      </c>
      <c r="D938" t="n">
        <v>1.004641671780754</v>
      </c>
      <c r="E938" t="n">
        <v>1.384838269653458</v>
      </c>
      <c r="G938" t="n">
        <v>1.284168513296955</v>
      </c>
      <c r="H938" t="n">
        <v>0.854528732124238</v>
      </c>
    </row>
    <row r="939">
      <c r="A939" t="inlineStr">
        <is>
          <t>G|ORIG_BAL x CHANNEL / SYS_FLAG|gco_rate|band|5</t>
        </is>
      </c>
      <c r="C939" t="n">
        <v>1.16946932008331</v>
      </c>
      <c r="D939" t="n">
        <v>1.221055209985458</v>
      </c>
      <c r="E939" t="n">
        <v>1.822620145550827</v>
      </c>
      <c r="G939" t="n">
        <v>1.675720930609563</v>
      </c>
    </row>
    <row r="940">
      <c r="A940" t="inlineStr">
        <is>
          <t>G|ORIG_BAL x CHANNEL / SYS_FLAG|gco_rate|rate|6</t>
        </is>
      </c>
    </row>
    <row r="941">
      <c r="A941" t="inlineStr">
        <is>
          <t>G|ORIG_BAL x CHANNEL / SYS_FLAG|gco_rate|book|6</t>
        </is>
      </c>
    </row>
    <row r="942">
      <c r="A942" t="inlineStr">
        <is>
          <t>G|ORIG_BAL x CHANNEL / SYS_FLAG|gco_rate|band|6</t>
        </is>
      </c>
    </row>
    <row r="943">
      <c r="A943" t="inlineStr">
        <is>
          <t>G|ORIG_BAL x CHANNEL / SYS_FLAG|gco_rate|rate|7</t>
        </is>
      </c>
      <c r="B943" t="n">
        <v>0.02622043264014381</v>
      </c>
      <c r="C943" t="n">
        <v>0.04315508300661359</v>
      </c>
      <c r="D943" t="n">
        <v>0.04061260621028653</v>
      </c>
      <c r="E943" t="n">
        <v>0.06135421166542902</v>
      </c>
      <c r="F943" t="n">
        <v>0.02397584956285052</v>
      </c>
      <c r="G943" t="n">
        <v>0.05951080006595517</v>
      </c>
      <c r="H943" t="n">
        <v>0.04160526533333562</v>
      </c>
    </row>
    <row r="944">
      <c r="A944" t="inlineStr">
        <is>
          <t>G|ORIG_BAL x CHANNEL / SYS_FLAG|gco_rate|book|7</t>
        </is>
      </c>
      <c r="B944" t="n">
        <v>0.6302190943879177</v>
      </c>
      <c r="C944" t="n">
        <v>1.037250517713588</v>
      </c>
      <c r="D944" t="n">
        <v>0.9761410216929018</v>
      </c>
      <c r="E944" t="n">
        <v>1.474674207071329</v>
      </c>
      <c r="F944" t="n">
        <v>0.5762695988298432</v>
      </c>
      <c r="G944" t="n">
        <v>1.430367036219162</v>
      </c>
      <c r="H944" t="n">
        <v>0.9999999999999993</v>
      </c>
    </row>
    <row r="945">
      <c r="A945" t="inlineStr">
        <is>
          <t>G|ORIG_BAL x CHANNEL / SYS_FLAG|gco_rate|band|7</t>
        </is>
      </c>
    </row>
    <row r="946">
      <c r="A946" t="inlineStr">
        <is>
          <t>G|ORIG_BAL x CHANNEL / SYS_FLAG|gco_rate|meta</t>
        </is>
      </c>
      <c r="B946" t="inlineStr">
        <is>
          <t>x</t>
        </is>
      </c>
      <c r="C946" t="n">
        <v>1.880241991196474</v>
      </c>
      <c r="D946" t="n">
        <v>10</v>
      </c>
    </row>
    <row r="947">
      <c r="A947" t="inlineStr">
        <is>
          <t>G|ORIG_BAL x CHANNEL / SYS_FLAG|ranr_rate|rate|1</t>
        </is>
      </c>
      <c r="B947" t="n">
        <v>0.1512430821446127</v>
      </c>
      <c r="C947" t="n">
        <v>0.1296814501304714</v>
      </c>
      <c r="D947" t="n">
        <v>0.1580647120713854</v>
      </c>
      <c r="E947" t="n">
        <v>0.1246036885932769</v>
      </c>
      <c r="F947" t="n">
        <v>0.1697418945470505</v>
      </c>
      <c r="G947" t="n">
        <v>0.1379419349644898</v>
      </c>
      <c r="H947" t="n">
        <v>0.1466798967561383</v>
      </c>
    </row>
    <row r="948">
      <c r="A948" t="inlineStr">
        <is>
          <t>G|ORIG_BAL x CHANNEL / SYS_FLAG|ranr_rate|book|1</t>
        </is>
      </c>
      <c r="B948" t="n">
        <v>2.32530325</v>
      </c>
      <c r="C948" t="n">
        <v>0.169140048</v>
      </c>
      <c r="D948" t="n">
        <v>3.007466242</v>
      </c>
      <c r="E948" t="n">
        <v>-0.338636105</v>
      </c>
      <c r="F948" t="n">
        <v>4.17518449</v>
      </c>
      <c r="G948" t="n">
        <v>0.995188532</v>
      </c>
      <c r="H948" t="n">
        <v>1.868984711</v>
      </c>
    </row>
    <row r="949">
      <c r="A949" t="inlineStr">
        <is>
          <t>G|ORIG_BAL x CHANNEL / SYS_FLAG|ranr_rate|band|1</t>
        </is>
      </c>
      <c r="B949" t="n">
        <v>0.5637804870000001</v>
      </c>
      <c r="C949" t="n">
        <v>-1.991437096</v>
      </c>
      <c r="D949" t="n">
        <v>1.377394528</v>
      </c>
      <c r="E949" t="n">
        <v>-2.59709977</v>
      </c>
      <c r="F949" t="n">
        <v>2.833969779</v>
      </c>
      <c r="G949" t="n">
        <v>-1.032023635</v>
      </c>
    </row>
    <row r="950">
      <c r="A950" t="inlineStr">
        <is>
          <t>G|ORIG_BAL x CHANNEL / SYS_FLAG|ranr_rate|rate|2</t>
        </is>
      </c>
      <c r="B950" t="n">
        <v>0.1252487975432854</v>
      </c>
      <c r="C950" t="n">
        <v>0.1237755866697224</v>
      </c>
      <c r="D950" t="n">
        <v>0.09975052222437722</v>
      </c>
      <c r="E950" t="n">
        <v>0.08821259636861455</v>
      </c>
      <c r="F950" t="n">
        <v>0.1388874121401195</v>
      </c>
      <c r="G950" t="n">
        <v>0.1378485182642591</v>
      </c>
      <c r="H950" t="n">
        <v>0.1190597270318928</v>
      </c>
    </row>
    <row r="951">
      <c r="A951" t="inlineStr">
        <is>
          <t>G|ORIG_BAL x CHANNEL / SYS_FLAG|ranr_rate|book|2</t>
        </is>
      </c>
      <c r="B951" t="n">
        <v>-0.27412521</v>
      </c>
      <c r="C951" t="n">
        <v>-0.421446298</v>
      </c>
      <c r="D951" t="n">
        <v>-2.823952742</v>
      </c>
      <c r="E951" t="n">
        <v>-3.977745328</v>
      </c>
      <c r="F951" t="n">
        <v>1.089736249</v>
      </c>
      <c r="G951" t="n">
        <v>0.985846862</v>
      </c>
      <c r="H951" t="n">
        <v>-0.893032262</v>
      </c>
    </row>
    <row r="952">
      <c r="A952" t="inlineStr">
        <is>
          <t>G|ORIG_BAL x CHANNEL / SYS_FLAG|ranr_rate|band|2</t>
        </is>
      </c>
      <c r="B952" t="n">
        <v>0.746268777</v>
      </c>
      <c r="C952" t="n">
        <v>0.560525621</v>
      </c>
      <c r="D952" t="n">
        <v>-2.363266835</v>
      </c>
      <c r="E952" t="n">
        <v>-3.645041476</v>
      </c>
      <c r="F952" t="n">
        <v>2.439584295</v>
      </c>
      <c r="G952" t="n">
        <v>2.202011318</v>
      </c>
    </row>
    <row r="953">
      <c r="A953" t="inlineStr">
        <is>
          <t>G|ORIG_BAL x CHANNEL / SYS_FLAG|ranr_rate|rate|3</t>
        </is>
      </c>
      <c r="B953" t="n">
        <v>0.1343767775113544</v>
      </c>
      <c r="C953" t="n">
        <v>0.1140203172239735</v>
      </c>
      <c r="D953" t="n">
        <v>0.1161497697930944</v>
      </c>
      <c r="E953" t="n">
        <v>0.1218673990813496</v>
      </c>
      <c r="F953" t="n">
        <v>0.1596787203529977</v>
      </c>
      <c r="G953" t="n">
        <v>0.1391925332347572</v>
      </c>
      <c r="H953" t="n">
        <v>0.1312994440713134</v>
      </c>
    </row>
    <row r="954">
      <c r="A954" t="inlineStr">
        <is>
          <t>G|ORIG_BAL x CHANNEL / SYS_FLAG|ranr_rate|book|3</t>
        </is>
      </c>
      <c r="B954" t="n">
        <v>0.638672786</v>
      </c>
      <c r="C954" t="n">
        <v>-1.396973242</v>
      </c>
      <c r="D954" t="n">
        <v>-1.184027986</v>
      </c>
      <c r="E954" t="n">
        <v>-0.612265057</v>
      </c>
      <c r="F954" t="n">
        <v>3.16886707</v>
      </c>
      <c r="G954" t="n">
        <v>1.120248359</v>
      </c>
      <c r="H954" t="n">
        <v>0.330939442</v>
      </c>
    </row>
    <row r="955">
      <c r="A955" t="inlineStr">
        <is>
          <t>G|ORIG_BAL x CHANNEL / SYS_FLAG|ranr_rate|band|3</t>
        </is>
      </c>
      <c r="B955" t="n">
        <v>0.37308948</v>
      </c>
      <c r="C955" t="n">
        <v>-2.027526462</v>
      </c>
      <c r="D955" t="n">
        <v>-1.869410667</v>
      </c>
      <c r="E955" t="n">
        <v>-1.120571039</v>
      </c>
      <c r="F955" t="n">
        <v>3.480358428</v>
      </c>
      <c r="G955" t="n">
        <v>0.922715096</v>
      </c>
    </row>
    <row r="956">
      <c r="A956" t="inlineStr">
        <is>
          <t>G|ORIG_BAL x CHANNEL / SYS_FLAG|ranr_rate|rate|4</t>
        </is>
      </c>
      <c r="B956" t="n">
        <v>0.1124705631844439</v>
      </c>
      <c r="C956" t="n">
        <v>0.107366918661601</v>
      </c>
      <c r="D956" t="n">
        <v>0.1357025276997594</v>
      </c>
      <c r="E956" t="n">
        <v>0.09230560204538017</v>
      </c>
      <c r="F956" t="n">
        <v>0.1740001585913756</v>
      </c>
      <c r="G956" t="n">
        <v>0.1044076098268792</v>
      </c>
      <c r="H956" t="n">
        <v>0.1224284738147316</v>
      </c>
    </row>
    <row r="957">
      <c r="A957" t="inlineStr">
        <is>
          <t>G|ORIG_BAL x CHANNEL / SYS_FLAG|ranr_rate|book|4</t>
        </is>
      </c>
      <c r="B957" t="n">
        <v>-1.551948646</v>
      </c>
      <c r="C957" t="n">
        <v>-2.062313099</v>
      </c>
      <c r="D957" t="n">
        <v>0.771247805</v>
      </c>
      <c r="E957" t="n">
        <v>-3.56844476</v>
      </c>
      <c r="F957" t="n">
        <v>4.601010894</v>
      </c>
      <c r="G957" t="n">
        <v>-2.358243982</v>
      </c>
      <c r="H957" t="n">
        <v>-0.556157583</v>
      </c>
    </row>
    <row r="958">
      <c r="A958" t="inlineStr">
        <is>
          <t>G|ORIG_BAL x CHANNEL / SYS_FLAG|ranr_rate|band|4</t>
        </is>
      </c>
      <c r="B958" t="n">
        <v>-1.197924196</v>
      </c>
      <c r="C958" t="n">
        <v>-1.794386056</v>
      </c>
      <c r="D958" t="n">
        <v>1.610253211</v>
      </c>
      <c r="E958" t="n">
        <v>-3.566782749</v>
      </c>
      <c r="F958" t="n">
        <v>6.293933504</v>
      </c>
      <c r="G958" t="n">
        <v>-2.142552387</v>
      </c>
    </row>
    <row r="959">
      <c r="A959" t="inlineStr">
        <is>
          <t>G|ORIG_BAL x CHANNEL / SYS_FLAG|ranr_rate|rate|5</t>
        </is>
      </c>
      <c r="B959" t="n">
        <v>0.1475275042045397</v>
      </c>
      <c r="C959" t="n">
        <v>0.122059684195831</v>
      </c>
      <c r="D959" t="n">
        <v>0.117631177967876</v>
      </c>
      <c r="E959" t="n">
        <v>0.1000757888598914</v>
      </c>
      <c r="F959" t="n">
        <v>0.1676053356710171</v>
      </c>
      <c r="G959" t="n">
        <v>0.119573307791757</v>
      </c>
      <c r="H959" t="n">
        <v>0.1304237269597045</v>
      </c>
    </row>
    <row r="960">
      <c r="A960" t="inlineStr">
        <is>
          <t>G|ORIG_BAL x CHANNEL / SYS_FLAG|ranr_rate|book|5</t>
        </is>
      </c>
      <c r="B960" t="n">
        <v>1.953745456</v>
      </c>
      <c r="C960" t="n">
        <v>-0.593036545</v>
      </c>
      <c r="D960" t="n">
        <v>-1.035887168</v>
      </c>
      <c r="E960" t="n">
        <v>-2.791426079</v>
      </c>
      <c r="F960" t="n">
        <v>3.961528602</v>
      </c>
      <c r="G960" t="n">
        <v>-0.841674186</v>
      </c>
      <c r="H960" t="n">
        <v>0.243367731</v>
      </c>
    </row>
    <row r="961">
      <c r="A961" t="inlineStr">
        <is>
          <t>G|ORIG_BAL x CHANNEL / SYS_FLAG|ranr_rate|band|5</t>
        </is>
      </c>
      <c r="B961" t="n">
        <v>2.08691486</v>
      </c>
      <c r="C961" t="n">
        <v>-0.9735753700000001</v>
      </c>
      <c r="D961" t="n">
        <v>-1.549942552</v>
      </c>
      <c r="E961" t="n">
        <v>-3.576860338</v>
      </c>
      <c r="F961" t="n">
        <v>4.546419181</v>
      </c>
      <c r="G961" t="n">
        <v>-1.307765041</v>
      </c>
    </row>
    <row r="962">
      <c r="A962" t="inlineStr">
        <is>
          <t>G|ORIG_BAL x CHANNEL / SYS_FLAG|ranr_rate|rate|6</t>
        </is>
      </c>
    </row>
    <row r="963">
      <c r="A963" t="inlineStr">
        <is>
          <t>G|ORIG_BAL x CHANNEL / SYS_FLAG|ranr_rate|book|6</t>
        </is>
      </c>
    </row>
    <row r="964">
      <c r="A964" t="inlineStr">
        <is>
          <t>G|ORIG_BAL x CHANNEL / SYS_FLAG|ranr_rate|band|6</t>
        </is>
      </c>
    </row>
    <row r="965">
      <c r="A965" t="inlineStr">
        <is>
          <t>G|ORIG_BAL x CHANNEL / SYS_FLAG|ranr_rate|rate|7</t>
        </is>
      </c>
      <c r="B965" t="n">
        <v>0.1332692091964859</v>
      </c>
      <c r="C965" t="n">
        <v>0.1169453091003141</v>
      </c>
      <c r="D965" t="n">
        <v>0.1222096812820414</v>
      </c>
      <c r="E965" t="n">
        <v>0.1023825193760781</v>
      </c>
      <c r="F965" t="n">
        <v>0.1640539804937369</v>
      </c>
      <c r="G965" t="n">
        <v>0.1223457649562408</v>
      </c>
      <c r="H965" t="n">
        <v>0.1279900496481476</v>
      </c>
    </row>
    <row r="966">
      <c r="A966" t="inlineStr">
        <is>
          <t>G|ORIG_BAL x CHANNEL / SYS_FLAG|ranr_rate|book|7</t>
        </is>
      </c>
      <c r="B966" t="n">
        <v>0.527915955</v>
      </c>
      <c r="C966" t="n">
        <v>-1.104474055</v>
      </c>
      <c r="D966" t="n">
        <v>-0.578036837</v>
      </c>
      <c r="E966" t="n">
        <v>-2.560753027</v>
      </c>
      <c r="F966" t="n">
        <v>3.606393085</v>
      </c>
      <c r="G966" t="n">
        <v>-0.564428469</v>
      </c>
      <c r="H966" t="n">
        <v>0</v>
      </c>
    </row>
    <row r="967">
      <c r="A967" t="inlineStr">
        <is>
          <t>G|ORIG_BAL x CHANNEL / SYS_FLAG|ranr_rate|band|7</t>
        </is>
      </c>
    </row>
    <row r="968">
      <c r="A968" t="inlineStr">
        <is>
          <t>G|ORIG_BAL x CHANNEL / SYS_FLAG|ranr_rate|meta</t>
        </is>
      </c>
      <c r="B968" t="inlineStr">
        <is>
          <t>pts</t>
        </is>
      </c>
      <c r="C968" t="n">
        <v>6.293933504</v>
      </c>
      <c r="D968" t="n">
        <v>10</v>
      </c>
    </row>
    <row r="969">
      <c r="A969" t="inlineStr">
        <is>
          <t>G|ORIG_BAL x CHANNEL / SYS_FLAG|contribution_rate|rate|1</t>
        </is>
      </c>
      <c r="B969" t="n">
        <v>0.1796121070112261</v>
      </c>
      <c r="C969" t="n">
        <v>0.1743327084922897</v>
      </c>
      <c r="D969" t="n">
        <v>0.1951360531182056</v>
      </c>
      <c r="E969" t="n">
        <v>0.1805358064166306</v>
      </c>
      <c r="F969" t="n">
        <v>0.1956779837851131</v>
      </c>
      <c r="G969" t="n">
        <v>0.2018869273808885</v>
      </c>
      <c r="H969" t="n">
        <v>0.1880773485524349</v>
      </c>
    </row>
    <row r="970">
      <c r="A970" t="inlineStr">
        <is>
          <t>G|ORIG_BAL x CHANNEL / SYS_FLAG|contribution_rate|book|1</t>
        </is>
      </c>
      <c r="B970" t="n">
        <v>1.001965128</v>
      </c>
      <c r="C970" t="n">
        <v>0.474025276</v>
      </c>
      <c r="D970" t="n">
        <v>2.554359738</v>
      </c>
      <c r="E970" t="n">
        <v>1.094335068</v>
      </c>
      <c r="F970" t="n">
        <v>2.608552805</v>
      </c>
      <c r="G970" t="n">
        <v>3.229447165</v>
      </c>
      <c r="H970" t="n">
        <v>1.848489282</v>
      </c>
    </row>
    <row r="971">
      <c r="A971" t="inlineStr">
        <is>
          <t>G|ORIG_BAL x CHANNEL / SYS_FLAG|contribution_rate|band|1</t>
        </is>
      </c>
      <c r="B971" t="n">
        <v>-1.045878611</v>
      </c>
      <c r="C971" t="n">
        <v>-1.610240435</v>
      </c>
      <c r="D971" t="n">
        <v>0.853999013</v>
      </c>
      <c r="E971" t="n">
        <v>-0.887205683</v>
      </c>
      <c r="F971" t="n">
        <v>0.934002802</v>
      </c>
      <c r="G971" t="n">
        <v>1.631022438</v>
      </c>
    </row>
    <row r="972">
      <c r="A972" t="inlineStr">
        <is>
          <t>G|ORIG_BAL x CHANNEL / SYS_FLAG|contribution_rate|rate|2</t>
        </is>
      </c>
      <c r="B972" t="n">
        <v>0.1659463329625717</v>
      </c>
      <c r="C972" t="n">
        <v>0.164036216437713</v>
      </c>
      <c r="D972" t="n">
        <v>0.159126236094771</v>
      </c>
      <c r="E972" t="n">
        <v>0.1664405633032231</v>
      </c>
      <c r="F972" t="n">
        <v>0.1892960155460444</v>
      </c>
      <c r="G972" t="n">
        <v>0.1889531560150098</v>
      </c>
      <c r="H972" t="n">
        <v>0.1722199062366802</v>
      </c>
    </row>
    <row r="973">
      <c r="A973" t="inlineStr">
        <is>
          <t>G|ORIG_BAL x CHANNEL / SYS_FLAG|contribution_rate|book|2</t>
        </is>
      </c>
      <c r="B973" t="n">
        <v>-0.364612277</v>
      </c>
      <c r="C973" t="n">
        <v>-0.55562393</v>
      </c>
      <c r="D973" t="n">
        <v>-1.046621964</v>
      </c>
      <c r="E973" t="n">
        <v>-0.315189243</v>
      </c>
      <c r="F973" t="n">
        <v>1.970355981</v>
      </c>
      <c r="G973" t="n">
        <v>1.936070028</v>
      </c>
      <c r="H973" t="n">
        <v>0.26274505</v>
      </c>
    </row>
    <row r="974">
      <c r="A974" t="inlineStr">
        <is>
          <t>G|ORIG_BAL x CHANNEL / SYS_FLAG|contribution_rate|band|2</t>
        </is>
      </c>
      <c r="B974" t="n">
        <v>-0.756457992</v>
      </c>
      <c r="C974" t="n">
        <v>-0.972710843</v>
      </c>
      <c r="D974" t="n">
        <v>-1.602543279</v>
      </c>
      <c r="E974" t="n">
        <v>-0.682914237</v>
      </c>
      <c r="F974" t="n">
        <v>2.101032362</v>
      </c>
      <c r="G974" t="n">
        <v>1.96110569</v>
      </c>
    </row>
    <row r="975">
      <c r="A975" t="inlineStr">
        <is>
          <t>G|ORIG_BAL x CHANNEL / SYS_FLAG|contribution_rate|rate|3</t>
        </is>
      </c>
      <c r="B975" t="n">
        <v>0.162178343243562</v>
      </c>
      <c r="C975" t="n">
        <v>0.1579612770379667</v>
      </c>
      <c r="D975" t="n">
        <v>0.1562110573534481</v>
      </c>
      <c r="E975" t="n">
        <v>0.1630888093845802</v>
      </c>
      <c r="F975" t="n">
        <v>0.1821363402286622</v>
      </c>
      <c r="G975" t="n">
        <v>0.1932912015683944</v>
      </c>
      <c r="H975" t="n">
        <v>0.1687501739092802</v>
      </c>
    </row>
    <row r="976">
      <c r="A976" t="inlineStr">
        <is>
          <t>G|ORIG_BAL x CHANNEL / SYS_FLAG|contribution_rate|book|3</t>
        </is>
      </c>
      <c r="B976" t="n">
        <v>-0.741411249</v>
      </c>
      <c r="C976" t="n">
        <v>-1.16311787</v>
      </c>
      <c r="D976" t="n">
        <v>-1.338139838</v>
      </c>
      <c r="E976" t="n">
        <v>-0.650364635</v>
      </c>
      <c r="F976" t="n">
        <v>1.254388449</v>
      </c>
      <c r="G976" t="n">
        <v>2.369874583</v>
      </c>
      <c r="H976" t="n">
        <v>-0.084228183</v>
      </c>
    </row>
    <row r="977">
      <c r="A977" t="inlineStr">
        <is>
          <t>G|ORIG_BAL x CHANNEL / SYS_FLAG|contribution_rate|band|3</t>
        </is>
      </c>
      <c r="B977" t="n">
        <v>-0.796755026</v>
      </c>
      <c r="C977" t="n">
        <v>-1.265965236</v>
      </c>
      <c r="D977" t="n">
        <v>-1.547278035</v>
      </c>
      <c r="E977" t="n">
        <v>-0.672596572</v>
      </c>
      <c r="F977" t="n">
        <v>1.641643582</v>
      </c>
      <c r="G977" t="n">
        <v>2.868886468</v>
      </c>
    </row>
    <row r="978">
      <c r="A978" t="inlineStr">
        <is>
          <t>G|ORIG_BAL x CHANNEL / SYS_FLAG|contribution_rate|rate|4</t>
        </is>
      </c>
      <c r="B978" t="n">
        <v>0.1529771392248319</v>
      </c>
      <c r="C978" t="n">
        <v>0.1538421604839745</v>
      </c>
      <c r="D978" t="n">
        <v>0.1667228861748754</v>
      </c>
      <c r="E978" t="n">
        <v>0.1665527799375296</v>
      </c>
      <c r="F978" t="n">
        <v>0.1944113158680096</v>
      </c>
      <c r="G978" t="n">
        <v>0.1784434015306375</v>
      </c>
      <c r="H978" t="n">
        <v>0.1691805976256634</v>
      </c>
    </row>
    <row r="979">
      <c r="A979" t="inlineStr">
        <is>
          <t>G|ORIG_BAL x CHANNEL / SYS_FLAG|contribution_rate|book|4</t>
        </is>
      </c>
      <c r="B979" t="n">
        <v>-1.661531651</v>
      </c>
      <c r="C979" t="n">
        <v>-1.575029525</v>
      </c>
      <c r="D979" t="n">
        <v>-0.286956956</v>
      </c>
      <c r="E979" t="n">
        <v>-0.30396758</v>
      </c>
      <c r="F979" t="n">
        <v>2.481886013</v>
      </c>
      <c r="G979" t="n">
        <v>0.88509458</v>
      </c>
      <c r="H979" t="n">
        <v>-0.041185811</v>
      </c>
    </row>
    <row r="980">
      <c r="A980" t="inlineStr">
        <is>
          <t>G|ORIG_BAL x CHANNEL / SYS_FLAG|contribution_rate|band|4</t>
        </is>
      </c>
      <c r="B980" t="n">
        <v>-1.948145919</v>
      </c>
      <c r="C980" t="n">
        <v>-1.827572148</v>
      </c>
      <c r="D980" t="n">
        <v>-0.29817705</v>
      </c>
      <c r="E980" t="n">
        <v>-0.311186725</v>
      </c>
      <c r="F980" t="n">
        <v>3.07960478</v>
      </c>
      <c r="G980" t="n">
        <v>1.101399963</v>
      </c>
    </row>
    <row r="981">
      <c r="A981" t="inlineStr">
        <is>
          <t>G|ORIG_BAL x CHANNEL / SYS_FLAG|contribution_rate|rate|5</t>
        </is>
      </c>
      <c r="B981" t="n">
        <v>0.1564784826477702</v>
      </c>
      <c r="C981" t="n">
        <v>0.1626680871634243</v>
      </c>
      <c r="D981" t="n">
        <v>0.1594295612872402</v>
      </c>
      <c r="E981" t="n">
        <v>0.1576923525125809</v>
      </c>
      <c r="F981" t="n">
        <v>0.1845428270700758</v>
      </c>
      <c r="G981" t="n">
        <v>0.173001479520192</v>
      </c>
      <c r="H981" t="n">
        <v>0.1659766215946923</v>
      </c>
    </row>
    <row r="982">
      <c r="A982" t="inlineStr">
        <is>
          <t>G|ORIG_BAL x CHANNEL / SYS_FLAG|contribution_rate|book|5</t>
        </is>
      </c>
      <c r="B982" t="n">
        <v>-1.311397309</v>
      </c>
      <c r="C982" t="n">
        <v>-0.692436857</v>
      </c>
      <c r="D982" t="n">
        <v>-1.016289445</v>
      </c>
      <c r="E982" t="n">
        <v>-1.190010322</v>
      </c>
      <c r="F982" t="n">
        <v>1.495037134</v>
      </c>
      <c r="G982" t="n">
        <v>0.340902379</v>
      </c>
      <c r="H982" t="n">
        <v>-0.361583414</v>
      </c>
    </row>
    <row r="983">
      <c r="A983" t="inlineStr">
        <is>
          <t>G|ORIG_BAL x CHANNEL / SYS_FLAG|contribution_rate|band|5</t>
        </is>
      </c>
      <c r="B983" t="n">
        <v>-1.158914024</v>
      </c>
      <c r="C983" t="n">
        <v>-0.385113721</v>
      </c>
      <c r="D983" t="n">
        <v>-0.793240453</v>
      </c>
      <c r="E983" t="n">
        <v>-0.9763982450000001</v>
      </c>
      <c r="F983" t="n">
        <v>2.270201737</v>
      </c>
      <c r="G983" t="n">
        <v>0.84668283</v>
      </c>
    </row>
    <row r="984">
      <c r="A984" t="inlineStr">
        <is>
          <t>G|ORIG_BAL x CHANNEL / SYS_FLAG|contribution_rate|rate|6</t>
        </is>
      </c>
    </row>
    <row r="985">
      <c r="A985" t="inlineStr">
        <is>
          <t>G|ORIG_BAL x CHANNEL / SYS_FLAG|contribution_rate|book|6</t>
        </is>
      </c>
    </row>
    <row r="986">
      <c r="A986" t="inlineStr">
        <is>
          <t>G|ORIG_BAL x CHANNEL / SYS_FLAG|contribution_rate|band|6</t>
        </is>
      </c>
    </row>
    <row r="987">
      <c r="A987" t="inlineStr">
        <is>
          <t>G|ORIG_BAL x CHANNEL / SYS_FLAG|contribution_rate|rate|7</t>
        </is>
      </c>
      <c r="B987" t="n">
        <v>0.159477974501621</v>
      </c>
      <c r="C987" t="n">
        <v>0.1601003921069276</v>
      </c>
      <c r="D987" t="n">
        <v>0.1628222874923279</v>
      </c>
      <c r="E987" t="n">
        <v>0.1637367310415071</v>
      </c>
      <c r="F987" t="n">
        <v>0.1880298300565875</v>
      </c>
      <c r="G987" t="n">
        <v>0.1818565650221959</v>
      </c>
      <c r="H987" t="n">
        <v>0.1695924557349812</v>
      </c>
    </row>
    <row r="988">
      <c r="A988" t="inlineStr">
        <is>
          <t>G|ORIG_BAL x CHANNEL / SYS_FLAG|contribution_rate|book|7</t>
        </is>
      </c>
      <c r="B988" t="n">
        <v>-1.011448123</v>
      </c>
      <c r="C988" t="n">
        <v>-0.9492063630000001</v>
      </c>
      <c r="D988" t="n">
        <v>-0.677016824</v>
      </c>
      <c r="E988" t="n">
        <v>-0.585572469</v>
      </c>
      <c r="F988" t="n">
        <v>1.843737432</v>
      </c>
      <c r="G988" t="n">
        <v>1.226410929</v>
      </c>
      <c r="H988" t="n">
        <v>0</v>
      </c>
    </row>
    <row r="989">
      <c r="A989" t="inlineStr">
        <is>
          <t>G|ORIG_BAL x CHANNEL / SYS_FLAG|contribution_rate|band|7</t>
        </is>
      </c>
    </row>
    <row r="990">
      <c r="A990" t="inlineStr">
        <is>
          <t>G|ORIG_BAL x CHANNEL / SYS_FLAG|contribution_rate|meta</t>
        </is>
      </c>
      <c r="B990" t="inlineStr">
        <is>
          <t>pts</t>
        </is>
      </c>
      <c r="C990" t="n">
        <v>3.229447165</v>
      </c>
      <c r="D990" t="n">
        <v>10</v>
      </c>
    </row>
    <row r="991">
      <c r="A991" t="inlineStr">
        <is>
          <t>G|ORIG_BAL x ASSET_CLASS / SYS_FLAG|cols</t>
        </is>
      </c>
      <c r="B991" t="inlineStr">
        <is>
          <t>1 · N</t>
        </is>
      </c>
      <c r="C991" t="inlineStr">
        <is>
          <t>1 · Y</t>
        </is>
      </c>
      <c r="D991" t="inlineStr">
        <is>
          <t>2 · N</t>
        </is>
      </c>
      <c r="E991" t="inlineStr">
        <is>
          <t>2 · Y</t>
        </is>
      </c>
      <c r="F991" t="inlineStr">
        <is>
          <t>3 · N</t>
        </is>
      </c>
      <c r="G991" t="inlineStr">
        <is>
          <t>3 · Y</t>
        </is>
      </c>
      <c r="H991" t="inlineStr">
        <is>
          <t>4 · N</t>
        </is>
      </c>
      <c r="I991" t="inlineStr">
        <is>
          <t>4 · Y</t>
        </is>
      </c>
      <c r="J991" t="inlineStr">
        <is>
          <t>All</t>
        </is>
      </c>
    </row>
    <row r="992">
      <c r="A992" t="inlineStr">
        <is>
          <t>G|ORIG_BAL x ASSET_CLASS / SYS_FLAG|rows</t>
        </is>
      </c>
      <c r="B992" t="inlineStr">
        <is>
          <t>5,005 - 15,448</t>
        </is>
      </c>
      <c r="C992" t="inlineStr">
        <is>
          <t>15,449 - 26,323</t>
        </is>
      </c>
      <c r="D992" t="inlineStr">
        <is>
          <t>26,324 - 37,950</t>
        </is>
      </c>
      <c r="E992" t="inlineStr">
        <is>
          <t>37,951 - 49,151</t>
        </is>
      </c>
      <c r="F992" t="inlineStr">
        <is>
          <t>49,152 - 59,984</t>
        </is>
      </c>
      <c r="G992" t="inlineStr">
        <is>
          <t>(blank)</t>
        </is>
      </c>
      <c r="H992" t="inlineStr">
        <is>
          <t>All</t>
        </is>
      </c>
    </row>
    <row r="993">
      <c r="A993" t="inlineStr">
        <is>
          <t>G|ORIG_BAL x ASSET_CLASS / SYS_FLAG|names</t>
        </is>
      </c>
      <c r="B993" t="inlineStr">
        <is>
          <t>ORIG_BAL</t>
        </is>
      </c>
      <c r="C993" t="inlineStr">
        <is>
          <t>ASSET_CLASS / SYS_FLAG</t>
        </is>
      </c>
    </row>
    <row r="994">
      <c r="A994" t="inlineStr">
        <is>
          <t>G|ORIG_BAL x ASSET_CLASS / SYS_FLAG|total</t>
        </is>
      </c>
      <c r="B994" t="n">
        <v>8000</v>
      </c>
    </row>
    <row r="995">
      <c r="A995" t="inlineStr">
        <is>
          <t>G|ORIG_BAL x ASSET_CLASS / SYS_FLAG|loans|1</t>
        </is>
      </c>
      <c r="B995" t="n">
        <v>237</v>
      </c>
      <c r="C995" t="n">
        <v>180</v>
      </c>
      <c r="D995" t="n">
        <v>244</v>
      </c>
      <c r="E995" t="n">
        <v>160</v>
      </c>
      <c r="F995" t="n">
        <v>170</v>
      </c>
      <c r="G995" t="n">
        <v>184</v>
      </c>
      <c r="H995" t="n">
        <v>229</v>
      </c>
      <c r="I995" t="n">
        <v>196</v>
      </c>
      <c r="J995" t="n">
        <v>1600</v>
      </c>
    </row>
    <row r="996">
      <c r="A996" t="inlineStr">
        <is>
          <t>G|ORIG_BAL x ASSET_CLASS / SYS_FLAG|loans|2</t>
        </is>
      </c>
      <c r="B996" t="n">
        <v>224</v>
      </c>
      <c r="C996" t="n">
        <v>180</v>
      </c>
      <c r="D996" t="n">
        <v>186</v>
      </c>
      <c r="E996" t="n">
        <v>170</v>
      </c>
      <c r="F996" t="n">
        <v>234</v>
      </c>
      <c r="G996" t="n">
        <v>193</v>
      </c>
      <c r="H996" t="n">
        <v>223</v>
      </c>
      <c r="I996" t="n">
        <v>190</v>
      </c>
      <c r="J996" t="n">
        <v>1600</v>
      </c>
    </row>
    <row r="997">
      <c r="A997" t="inlineStr">
        <is>
          <t>G|ORIG_BAL x ASSET_CLASS / SYS_FLAG|loans|3</t>
        </is>
      </c>
      <c r="B997" t="n">
        <v>215</v>
      </c>
      <c r="C997" t="n">
        <v>173</v>
      </c>
      <c r="D997" t="n">
        <v>253</v>
      </c>
      <c r="E997" t="n">
        <v>179</v>
      </c>
      <c r="F997" t="n">
        <v>198</v>
      </c>
      <c r="G997" t="n">
        <v>169</v>
      </c>
      <c r="H997" t="n">
        <v>218</v>
      </c>
      <c r="I997" t="n">
        <v>194</v>
      </c>
      <c r="J997" t="n">
        <v>1599</v>
      </c>
    </row>
    <row r="998">
      <c r="A998" t="inlineStr">
        <is>
          <t>G|ORIG_BAL x ASSET_CLASS / SYS_FLAG|loans|4</t>
        </is>
      </c>
      <c r="B998" t="n">
        <v>207</v>
      </c>
      <c r="C998" t="n">
        <v>177</v>
      </c>
      <c r="D998" t="n">
        <v>221</v>
      </c>
      <c r="E998" t="n">
        <v>199</v>
      </c>
      <c r="F998" t="n">
        <v>187</v>
      </c>
      <c r="G998" t="n">
        <v>195</v>
      </c>
      <c r="H998" t="n">
        <v>225</v>
      </c>
      <c r="I998" t="n">
        <v>189</v>
      </c>
      <c r="J998" t="n">
        <v>1600</v>
      </c>
    </row>
    <row r="999">
      <c r="A999" t="inlineStr">
        <is>
          <t>G|ORIG_BAL x ASSET_CLASS / SYS_FLAG|loans|5</t>
        </is>
      </c>
      <c r="B999" t="n">
        <v>218</v>
      </c>
      <c r="C999" t="n">
        <v>195</v>
      </c>
      <c r="D999" t="n">
        <v>201</v>
      </c>
      <c r="E999" t="n">
        <v>197</v>
      </c>
      <c r="F999" t="n">
        <v>226</v>
      </c>
      <c r="G999" t="n">
        <v>179</v>
      </c>
      <c r="H999" t="n">
        <v>213</v>
      </c>
      <c r="I999" t="n">
        <v>171</v>
      </c>
      <c r="J999" t="n">
        <v>1600</v>
      </c>
    </row>
    <row r="1000">
      <c r="A1000" t="inlineStr">
        <is>
          <t>G|ORIG_BAL x ASSET_CLASS / SYS_FLAG|loans|6</t>
        </is>
      </c>
      <c r="E1000" t="n">
        <v>1</v>
      </c>
      <c r="J1000" t="n">
        <v>1</v>
      </c>
    </row>
    <row r="1001">
      <c r="A1001" t="inlineStr">
        <is>
          <t>G|ORIG_BAL x ASSET_CLASS / SYS_FLAG|loans|7</t>
        </is>
      </c>
      <c r="B1001" t="n">
        <v>1101</v>
      </c>
      <c r="C1001" t="n">
        <v>905</v>
      </c>
      <c r="D1001" t="n">
        <v>1105</v>
      </c>
      <c r="E1001" t="n">
        <v>906</v>
      </c>
      <c r="F1001" t="n">
        <v>1015</v>
      </c>
      <c r="G1001" t="n">
        <v>920</v>
      </c>
      <c r="H1001" t="n">
        <v>1108</v>
      </c>
      <c r="I1001" t="n">
        <v>940</v>
      </c>
      <c r="J1001" t="n">
        <v>8000</v>
      </c>
    </row>
    <row r="1002">
      <c r="A1002" t="inlineStr">
        <is>
          <t>G|ORIG_BAL x ASSET_CLASS / SYS_FLAG|outcome_loans|rate|1</t>
        </is>
      </c>
      <c r="B1002" t="n">
        <v>0.03375527426160337</v>
      </c>
      <c r="C1002" t="n">
        <v>0.1</v>
      </c>
      <c r="D1002" t="n">
        <v>0.04098360655737705</v>
      </c>
      <c r="E1002" t="n">
        <v>0.10625</v>
      </c>
      <c r="F1002" t="n">
        <v>0.06470588235294118</v>
      </c>
      <c r="G1002" t="n">
        <v>0.09782608695652174</v>
      </c>
      <c r="H1002" t="n">
        <v>0.09606986899563319</v>
      </c>
      <c r="I1002" t="n">
        <v>0.09693877551020408</v>
      </c>
      <c r="J1002" t="n">
        <v>0.076875</v>
      </c>
    </row>
    <row r="1003">
      <c r="A1003" t="inlineStr">
        <is>
          <t>G|ORIG_BAL x ASSET_CLASS / SYS_FLAG|outcome_loans|book|1</t>
        </is>
      </c>
      <c r="C1003" t="n">
        <v>1.292245557350566</v>
      </c>
      <c r="D1003" t="n">
        <v>0.5296088349797399</v>
      </c>
      <c r="E1003" t="n">
        <v>1.373010904684976</v>
      </c>
      <c r="F1003" t="n">
        <v>0.8361588900503659</v>
      </c>
      <c r="G1003" t="n">
        <v>1.264153262625553</v>
      </c>
      <c r="H1003" t="n">
        <v>1.241458614048578</v>
      </c>
      <c r="I1003" t="n">
        <v>1.25268701988065</v>
      </c>
      <c r="J1003" t="n">
        <v>0.9934137722132471</v>
      </c>
    </row>
    <row r="1004">
      <c r="A1004" t="inlineStr">
        <is>
          <t>G|ORIG_BAL x ASSET_CLASS / SYS_FLAG|outcome_loans|band|1</t>
        </is>
      </c>
      <c r="C1004" t="n">
        <v>1.352380952380952</v>
      </c>
      <c r="D1004" t="n">
        <v>0.4918032786885246</v>
      </c>
      <c r="E1004" t="n">
        <v>1.443396226415094</v>
      </c>
      <c r="F1004" t="n">
        <v>0.8261554621848739</v>
      </c>
      <c r="G1004" t="n">
        <v>1.319254658385093</v>
      </c>
      <c r="H1004" t="n">
        <v>1.30407713260409</v>
      </c>
      <c r="I1004" t="n">
        <v>1.308673469387755</v>
      </c>
    </row>
    <row r="1005">
      <c r="A1005" t="inlineStr">
        <is>
          <t>G|ORIG_BAL x ASSET_CLASS / SYS_FLAG|outcome_loans|rate|2</t>
        </is>
      </c>
      <c r="B1005" t="n">
        <v>0.08035714285714286</v>
      </c>
      <c r="C1005" t="n">
        <v>0.1111111111111111</v>
      </c>
      <c r="D1005" t="n">
        <v>0.06451612903225806</v>
      </c>
      <c r="E1005" t="n">
        <v>0.05882352941176471</v>
      </c>
      <c r="F1005" t="n">
        <v>0.08547008547008547</v>
      </c>
      <c r="G1005" t="n">
        <v>0.1139896373056995</v>
      </c>
      <c r="H1005" t="n">
        <v>0.1165919282511211</v>
      </c>
      <c r="I1005" t="n">
        <v>0.1105263157894737</v>
      </c>
      <c r="J1005" t="n">
        <v>0.093125</v>
      </c>
    </row>
    <row r="1006">
      <c r="A1006" t="inlineStr">
        <is>
          <t>G|ORIG_BAL x ASSET_CLASS / SYS_FLAG|outcome_loans|book|2</t>
        </is>
      </c>
      <c r="B1006" t="n">
        <v>1.038411608585276</v>
      </c>
      <c r="C1006" t="n">
        <v>1.435828397056184</v>
      </c>
      <c r="D1006" t="n">
        <v>0.8337068111939131</v>
      </c>
      <c r="E1006" t="n">
        <v>0.7601444455003326</v>
      </c>
      <c r="F1006" t="n">
        <v>1.104483382350911</v>
      </c>
      <c r="G1006" t="n">
        <v>1.473026023922924</v>
      </c>
      <c r="H1006" t="n">
        <v>1.506654013054471</v>
      </c>
      <c r="I1006" t="n">
        <v>1.42827140549273</v>
      </c>
      <c r="J1006" t="n">
        <v>1.203403675282714</v>
      </c>
    </row>
    <row r="1007">
      <c r="A1007" t="inlineStr">
        <is>
          <t>G|ORIG_BAL x ASSET_CLASS / SYS_FLAG|outcome_loans|band|2</t>
        </is>
      </c>
      <c r="B1007" t="n">
        <v>0.8440567066521265</v>
      </c>
      <c r="C1007" t="n">
        <v>1.223083548664944</v>
      </c>
      <c r="D1007" t="n">
        <v>0.6658817989168825</v>
      </c>
      <c r="E1007" t="n">
        <v>0.6051629284807448</v>
      </c>
      <c r="F1007" t="n">
        <v>0.9050553236599748</v>
      </c>
      <c r="G1007" t="n">
        <v>1.262861572355269</v>
      </c>
      <c r="H1007" t="n">
        <v>1.305260855299136</v>
      </c>
      <c r="I1007" t="n">
        <v>1.217516447368421</v>
      </c>
    </row>
    <row r="1008">
      <c r="A1008" t="inlineStr">
        <is>
          <t>G|ORIG_BAL x ASSET_CLASS / SYS_FLAG|outcome_loans|rate|3</t>
        </is>
      </c>
      <c r="B1008" t="n">
        <v>0.05581395348837209</v>
      </c>
      <c r="C1008" t="n">
        <v>0.08092485549132948</v>
      </c>
      <c r="D1008" t="n">
        <v>0.03174603174603174</v>
      </c>
      <c r="E1008" t="n">
        <v>0.08379888268156424</v>
      </c>
      <c r="F1008" t="n">
        <v>0.04545454545454546</v>
      </c>
      <c r="G1008" t="n">
        <v>0.0650887573964497</v>
      </c>
      <c r="H1008" t="n">
        <v>0.07798165137614679</v>
      </c>
      <c r="I1008" t="n">
        <v>0.1237113402061856</v>
      </c>
      <c r="J1008" t="n">
        <v>0.06883604505632041</v>
      </c>
    </row>
    <row r="1009">
      <c r="A1009" t="inlineStr">
        <is>
          <t>G|ORIG_BAL x ASSET_CLASS / SYS_FLAG|outcome_loans|book|3</t>
        </is>
      </c>
      <c r="B1009" t="n">
        <v>0.7212533343351992</v>
      </c>
      <c r="C1009" t="n">
        <v>1.04574784987907</v>
      </c>
      <c r="E1009" t="n">
        <v>1.082887338561926</v>
      </c>
      <c r="G1009" t="n">
        <v>0.8411065757903088</v>
      </c>
      <c r="H1009" t="n">
        <v>1.007714425456863</v>
      </c>
      <c r="I1009" t="n">
        <v>1.598654297753277</v>
      </c>
      <c r="J1009" t="n">
        <v>0.8895307340961339</v>
      </c>
    </row>
    <row r="1010">
      <c r="A1010" t="inlineStr">
        <is>
          <t>G|ORIG_BAL x ASSET_CLASS / SYS_FLAG|outcome_loans|band|3</t>
        </is>
      </c>
      <c r="B1010" t="n">
        <v>0.7876601803512103</v>
      </c>
      <c r="C1010" t="n">
        <v>1.201228323699422</v>
      </c>
      <c r="E1010" t="n">
        <v>1.251690679211996</v>
      </c>
      <c r="G1010" t="n">
        <v>0.9395134779750164</v>
      </c>
      <c r="H1010" t="n">
        <v>1.157147084936372</v>
      </c>
      <c r="I1010" t="n">
        <v>2.019659554063774</v>
      </c>
    </row>
    <row r="1011">
      <c r="A1011" t="inlineStr">
        <is>
          <t>G|ORIG_BAL x ASSET_CLASS / SYS_FLAG|outcome_loans|rate|4</t>
        </is>
      </c>
      <c r="B1011" t="n">
        <v>0.02898550724637681</v>
      </c>
      <c r="C1011" t="n">
        <v>0.07909604519774012</v>
      </c>
      <c r="D1011" t="n">
        <v>0.04072398190045249</v>
      </c>
      <c r="E1011" t="n">
        <v>0.08542713567839195</v>
      </c>
      <c r="F1011" t="n">
        <v>0.06417112299465241</v>
      </c>
      <c r="G1011" t="n">
        <v>0.1282051282051282</v>
      </c>
      <c r="H1011" t="n">
        <v>0.07111111111111111</v>
      </c>
      <c r="I1011" t="n">
        <v>0.1851851851851852</v>
      </c>
      <c r="J1011" t="n">
        <v>0.08375</v>
      </c>
    </row>
    <row r="1012">
      <c r="A1012" t="inlineStr">
        <is>
          <t>G|ORIG_BAL x ASSET_CLASS / SYS_FLAG|outcome_loans|book|4</t>
        </is>
      </c>
      <c r="C1012" t="n">
        <v>1.022115130107792</v>
      </c>
      <c r="E1012" t="n">
        <v>1.10392836557586</v>
      </c>
      <c r="F1012" t="n">
        <v>0.8292484860003629</v>
      </c>
      <c r="G1012" t="n">
        <v>1.656725073526366</v>
      </c>
      <c r="H1012" t="n">
        <v>0.9189301741159576</v>
      </c>
      <c r="I1012" t="n">
        <v>2.393047328426973</v>
      </c>
      <c r="J1012" t="n">
        <v>1.082255654281099</v>
      </c>
    </row>
    <row r="1013">
      <c r="A1013" t="inlineStr">
        <is>
          <t>G|ORIG_BAL x ASSET_CLASS / SYS_FLAG|outcome_loans|band|4</t>
        </is>
      </c>
      <c r="C1013" t="n">
        <v>0.9379472693032015</v>
      </c>
      <c r="E1013" t="n">
        <v>1.022935188764334</v>
      </c>
      <c r="F1013" t="n">
        <v>0.7432278425528185</v>
      </c>
      <c r="G1013" t="n">
        <v>1.652552340625735</v>
      </c>
      <c r="H1013" t="n">
        <v>0.8286252354048964</v>
      </c>
      <c r="I1013" t="n">
        <v>2.639356528245417</v>
      </c>
    </row>
    <row r="1014">
      <c r="A1014" t="inlineStr">
        <is>
          <t>G|ORIG_BAL x ASSET_CLASS / SYS_FLAG|outcome_loans|rate|5</t>
        </is>
      </c>
      <c r="B1014" t="n">
        <v>0.02293577981651376</v>
      </c>
      <c r="C1014" t="n">
        <v>0.1076923076923077</v>
      </c>
      <c r="D1014" t="n">
        <v>0.03980099502487562</v>
      </c>
      <c r="E1014" t="n">
        <v>0.08121827411167512</v>
      </c>
      <c r="F1014" t="n">
        <v>0.03539823008849557</v>
      </c>
      <c r="G1014" t="n">
        <v>0.0670391061452514</v>
      </c>
      <c r="H1014" t="n">
        <v>0.05633802816901409</v>
      </c>
      <c r="I1014" t="n">
        <v>0.1228070175438596</v>
      </c>
      <c r="J1014" t="n">
        <v>0.064375</v>
      </c>
    </row>
    <row r="1015">
      <c r="A1015" t="inlineStr">
        <is>
          <t>G|ORIG_BAL x ASSET_CLASS / SYS_FLAG|outcome_loans|book|5</t>
        </is>
      </c>
      <c r="C1015" t="n">
        <v>1.391649061762148</v>
      </c>
      <c r="E1015" t="n">
        <v>1.049539538964926</v>
      </c>
      <c r="G1015" t="n">
        <v>0.866309870849541</v>
      </c>
      <c r="H1015" t="n">
        <v>0.7280256661129946</v>
      </c>
      <c r="I1015" t="n">
        <v>1.586968228325256</v>
      </c>
      <c r="J1015" t="n">
        <v>0.8318830775444265</v>
      </c>
    </row>
    <row r="1016">
      <c r="A1016" t="inlineStr">
        <is>
          <t>G|ORIG_BAL x ASSET_CLASS / SYS_FLAG|outcome_loans|band|5</t>
        </is>
      </c>
      <c r="C1016" t="n">
        <v>1.845215759849906</v>
      </c>
      <c r="E1016" t="n">
        <v>1.309761362973336</v>
      </c>
      <c r="G1016" t="n">
        <v>1.046841426729695</v>
      </c>
      <c r="H1016" t="n">
        <v>0.8586906051694785</v>
      </c>
      <c r="I1016" t="n">
        <v>2.140136927685066</v>
      </c>
    </row>
    <row r="1017">
      <c r="A1017" t="inlineStr">
        <is>
          <t>G|ORIG_BAL x ASSET_CLASS / SYS_FLAG|outcome_loans|rate|6</t>
        </is>
      </c>
      <c r="E1017" t="n">
        <v>0</v>
      </c>
      <c r="J1017" t="n">
        <v>0</v>
      </c>
    </row>
    <row r="1018">
      <c r="A1018" t="inlineStr">
        <is>
          <t>G|ORIG_BAL x ASSET_CLASS / SYS_FLAG|outcome_loans|book|6</t>
        </is>
      </c>
    </row>
    <row r="1019">
      <c r="A1019" t="inlineStr">
        <is>
          <t>G|ORIG_BAL x ASSET_CLASS / SYS_FLAG|outcome_loans|band|6</t>
        </is>
      </c>
    </row>
    <row r="1020">
      <c r="A1020" t="inlineStr">
        <is>
          <t>G|ORIG_BAL x ASSET_CLASS / SYS_FLAG|outcome_loans|rate|7</t>
        </is>
      </c>
      <c r="B1020" t="n">
        <v>0.04450499545867393</v>
      </c>
      <c r="C1020" t="n">
        <v>0.09613259668508287</v>
      </c>
      <c r="D1020" t="n">
        <v>0.04257246376811594</v>
      </c>
      <c r="E1020" t="n">
        <v>0.08278145695364239</v>
      </c>
      <c r="F1020" t="n">
        <v>0.05911330049261083</v>
      </c>
      <c r="G1020" t="n">
        <v>0.09565217391304348</v>
      </c>
      <c r="H1020" t="n">
        <v>0.08393501805054152</v>
      </c>
      <c r="I1020" t="n">
        <v>0.1276595744680851</v>
      </c>
      <c r="J1020" t="n">
        <v>0.07738467308413552</v>
      </c>
    </row>
    <row r="1021">
      <c r="A1021" t="inlineStr">
        <is>
          <t>G|ORIG_BAL x ASSET_CLASS / SYS_FLAG|outcome_loans|book|7</t>
        </is>
      </c>
      <c r="B1021" t="n">
        <v>0.5751138266137847</v>
      </c>
      <c r="C1021" t="n">
        <v>1.24226920982872</v>
      </c>
      <c r="D1021" t="n">
        <v>0.5501407716981573</v>
      </c>
      <c r="E1021" t="n">
        <v>1.069739699793514</v>
      </c>
      <c r="F1021" t="n">
        <v>0.7638889994190534</v>
      </c>
      <c r="G1021" t="n">
        <v>1.236060967900541</v>
      </c>
      <c r="H1021" t="n">
        <v>1.084646541819518</v>
      </c>
      <c r="I1021" t="n">
        <v>1.649675179596466</v>
      </c>
      <c r="J1021" t="n">
        <v>1</v>
      </c>
    </row>
    <row r="1022">
      <c r="A1022" t="inlineStr">
        <is>
          <t>G|ORIG_BAL x ASSET_CLASS / SYS_FLAG|outcome_loans|band|7</t>
        </is>
      </c>
    </row>
    <row r="1023">
      <c r="A1023" t="inlineStr">
        <is>
          <t>G|ORIG_BAL x ASSET_CLASS / SYS_FLAG|outcome_loans|meta</t>
        </is>
      </c>
      <c r="B1023" t="inlineStr">
        <is>
          <t>x</t>
        </is>
      </c>
      <c r="C1023" t="n">
        <v>2.639356528245417</v>
      </c>
      <c r="D1023" t="n">
        <v>10</v>
      </c>
    </row>
    <row r="1024">
      <c r="A1024" t="inlineStr">
        <is>
          <t>G|ORIG_BAL x ASSET_CLASS / SYS_FLAG|outcome_booked|rate|1</t>
        </is>
      </c>
      <c r="B1024" t="n">
        <v>0.03679993042002801</v>
      </c>
      <c r="C1024" t="n">
        <v>0.09440597172888215</v>
      </c>
      <c r="D1024" t="n">
        <v>0.03821151291320404</v>
      </c>
      <c r="E1024" t="n">
        <v>0.1007960374766282</v>
      </c>
      <c r="F1024" t="n">
        <v>0.05841988256156872</v>
      </c>
      <c r="G1024" t="n">
        <v>0.09493353387894501</v>
      </c>
      <c r="H1024" t="n">
        <v>0.09667721031344426</v>
      </c>
      <c r="I1024" t="n">
        <v>0.1039781288139145</v>
      </c>
      <c r="J1024" t="n">
        <v>0.07557453391360712</v>
      </c>
    </row>
    <row r="1025">
      <c r="A1025" t="inlineStr">
        <is>
          <t>G|ORIG_BAL x ASSET_CLASS / SYS_FLAG|outcome_booked|book|1</t>
        </is>
      </c>
      <c r="C1025" t="n">
        <v>1.261625005544319</v>
      </c>
      <c r="D1025" t="n">
        <v>0.5106520202919443</v>
      </c>
      <c r="E1025" t="n">
        <v>1.347020734085528</v>
      </c>
      <c r="F1025" t="n">
        <v>0.7807131615815879</v>
      </c>
      <c r="G1025" t="n">
        <v>1.268675254467231</v>
      </c>
      <c r="H1025" t="n">
        <v>1.291977443418373</v>
      </c>
      <c r="I1025" t="n">
        <v>1.389545649909451</v>
      </c>
      <c r="J1025" t="n">
        <v>1.009964942065142</v>
      </c>
    </row>
    <row r="1026">
      <c r="A1026" t="inlineStr">
        <is>
          <t>G|ORIG_BAL x ASSET_CLASS / SYS_FLAG|outcome_booked|band|1</t>
        </is>
      </c>
      <c r="C1026" t="n">
        <v>1.290003065634888</v>
      </c>
      <c r="D1026" t="n">
        <v>0.4640008633150221</v>
      </c>
      <c r="E1026" t="n">
        <v>1.386926471188738</v>
      </c>
      <c r="F1026" t="n">
        <v>0.7527556842333503</v>
      </c>
      <c r="G1026" t="n">
        <v>1.298283363417781</v>
      </c>
      <c r="H1026" t="n">
        <v>1.341007877461044</v>
      </c>
      <c r="I1026" t="n">
        <v>1.451272647348663</v>
      </c>
    </row>
    <row r="1027">
      <c r="A1027" t="inlineStr">
        <is>
          <t>G|ORIG_BAL x ASSET_CLASS / SYS_FLAG|outcome_booked|rate|2</t>
        </is>
      </c>
      <c r="B1027" t="n">
        <v>0.08089546690967853</v>
      </c>
      <c r="C1027" t="n">
        <v>0.1123341306486227</v>
      </c>
      <c r="D1027" t="n">
        <v>0.06463109008702723</v>
      </c>
      <c r="E1027" t="n">
        <v>0.06144707504435287</v>
      </c>
      <c r="F1027" t="n">
        <v>0.08871680626441367</v>
      </c>
      <c r="G1027" t="n">
        <v>0.1152512856454225</v>
      </c>
      <c r="H1027" t="n">
        <v>0.113990347437634</v>
      </c>
      <c r="I1027" t="n">
        <v>0.1097510846687575</v>
      </c>
      <c r="J1027" t="n">
        <v>0.09377887022910673</v>
      </c>
    </row>
    <row r="1028">
      <c r="A1028" t="inlineStr">
        <is>
          <t>G|ORIG_BAL x ASSET_CLASS / SYS_FLAG|outcome_booked|book|2</t>
        </is>
      </c>
      <c r="B1028" t="n">
        <v>1.081072966247639</v>
      </c>
      <c r="C1028" t="n">
        <v>1.501213806785345</v>
      </c>
      <c r="D1028" t="n">
        <v>0.8637186599122209</v>
      </c>
      <c r="E1028" t="n">
        <v>0.8211680360236868</v>
      </c>
      <c r="F1028" t="n">
        <v>1.185595986625204</v>
      </c>
      <c r="G1028" t="n">
        <v>1.540198159380969</v>
      </c>
      <c r="H1028" t="n">
        <v>1.523347200228079</v>
      </c>
      <c r="I1028" t="n">
        <v>1.466694429049078</v>
      </c>
      <c r="J1028" t="n">
        <v>1.253244530044282</v>
      </c>
    </row>
    <row r="1029">
      <c r="A1029" t="inlineStr">
        <is>
          <t>G|ORIG_BAL x ASSET_CLASS / SYS_FLAG|outcome_booked|band|2</t>
        </is>
      </c>
      <c r="B1029" t="n">
        <v>0.843977596492075</v>
      </c>
      <c r="C1029" t="n">
        <v>1.228778172854441</v>
      </c>
      <c r="D1029" t="n">
        <v>0.6620248829748224</v>
      </c>
      <c r="E1029" t="n">
        <v>0.6289565998508736</v>
      </c>
      <c r="F1029" t="n">
        <v>0.9374737691517826</v>
      </c>
      <c r="G1029" t="n">
        <v>1.268300748504351</v>
      </c>
      <c r="H1029" t="n">
        <v>1.260192824943628</v>
      </c>
      <c r="I1029" t="n">
        <v>1.197863962453256</v>
      </c>
    </row>
    <row r="1030">
      <c r="A1030" t="inlineStr">
        <is>
          <t>G|ORIG_BAL x ASSET_CLASS / SYS_FLAG|outcome_booked|rate|3</t>
        </is>
      </c>
      <c r="B1030" t="n">
        <v>0.05664606303416495</v>
      </c>
      <c r="C1030" t="n">
        <v>0.07770229660654655</v>
      </c>
      <c r="D1030" t="n">
        <v>0.0308754698179161</v>
      </c>
      <c r="E1030" t="n">
        <v>0.08353937164816114</v>
      </c>
      <c r="F1030" t="n">
        <v>0.04518810927868743</v>
      </c>
      <c r="G1030" t="n">
        <v>0.06513303939771156</v>
      </c>
      <c r="H1030" t="n">
        <v>0.08018408290994168</v>
      </c>
      <c r="I1030" t="n">
        <v>0.1188679459949054</v>
      </c>
      <c r="J1030" t="n">
        <v>0.06822026696935882</v>
      </c>
    </row>
    <row r="1031">
      <c r="A1031" t="inlineStr">
        <is>
          <t>G|ORIG_BAL x ASSET_CLASS / SYS_FLAG|outcome_booked|book|3</t>
        </is>
      </c>
      <c r="B1031" t="n">
        <v>0.7570081455734665</v>
      </c>
      <c r="C1031" t="n">
        <v>1.038399993048844</v>
      </c>
      <c r="E1031" t="n">
        <v>1.116405649861406</v>
      </c>
      <c r="G1031" t="n">
        <v>0.8704266232992588</v>
      </c>
      <c r="H1031" t="n">
        <v>1.071566154060063</v>
      </c>
      <c r="I1031" t="n">
        <v>1.588530579988555</v>
      </c>
      <c r="J1031" t="n">
        <v>0.911683796239352</v>
      </c>
    </row>
    <row r="1032">
      <c r="A1032" t="inlineStr">
        <is>
          <t>G|ORIG_BAL x ASSET_CLASS / SYS_FLAG|outcome_booked|band|3</t>
        </is>
      </c>
      <c r="B1032" t="n">
        <v>0.8091843803267393</v>
      </c>
      <c r="C1032" t="n">
        <v>1.158673135565362</v>
      </c>
      <c r="E1032" t="n">
        <v>1.260968194832982</v>
      </c>
      <c r="G1032" t="n">
        <v>0.9496493720400172</v>
      </c>
      <c r="H1032" t="n">
        <v>1.208540667839056</v>
      </c>
      <c r="I1032" t="n">
        <v>1.94301198795135</v>
      </c>
    </row>
    <row r="1033">
      <c r="A1033" t="inlineStr">
        <is>
          <t>G|ORIG_BAL x ASSET_CLASS / SYS_FLAG|outcome_booked|rate|4</t>
        </is>
      </c>
      <c r="B1033" t="n">
        <v>0.02991064148617389</v>
      </c>
      <c r="C1033" t="n">
        <v>0.07664499018288271</v>
      </c>
      <c r="D1033" t="n">
        <v>0.04097025853088018</v>
      </c>
      <c r="E1033" t="n">
        <v>0.08509700596620973</v>
      </c>
      <c r="F1033" t="n">
        <v>0.06425475681784935</v>
      </c>
      <c r="G1033" t="n">
        <v>0.1256107381334583</v>
      </c>
      <c r="H1033" t="n">
        <v>0.07141326548255705</v>
      </c>
      <c r="I1033" t="n">
        <v>0.1828690446008137</v>
      </c>
      <c r="J1033" t="n">
        <v>0.08308928618120667</v>
      </c>
    </row>
    <row r="1034">
      <c r="A1034" t="inlineStr">
        <is>
          <t>G|ORIG_BAL x ASSET_CLASS / SYS_FLAG|outcome_booked|book|4</t>
        </is>
      </c>
      <c r="C1034" t="n">
        <v>1.024270333683145</v>
      </c>
      <c r="E1034" t="n">
        <v>1.137221604288396</v>
      </c>
      <c r="F1034" t="n">
        <v>0.8586894074812775</v>
      </c>
      <c r="G1034" t="n">
        <v>1.678640082739253</v>
      </c>
      <c r="H1034" t="n">
        <v>0.9543544736673172</v>
      </c>
      <c r="I1034" t="n">
        <v>2.443830143192126</v>
      </c>
      <c r="J1034" t="n">
        <v>1.110390785871948</v>
      </c>
    </row>
    <row r="1035">
      <c r="A1035" t="inlineStr">
        <is>
          <t>G|ORIG_BAL x ASSET_CLASS / SYS_FLAG|outcome_booked|band|4</t>
        </is>
      </c>
      <c r="C1035" t="n">
        <v>0.9135981541329554</v>
      </c>
      <c r="E1035" t="n">
        <v>1.027685056142859</v>
      </c>
      <c r="F1035" t="n">
        <v>0.7507023071855486</v>
      </c>
      <c r="G1035" t="n">
        <v>1.626536942316129</v>
      </c>
      <c r="H1035" t="n">
        <v>0.8401705366588266</v>
      </c>
      <c r="I1035" t="n">
        <v>2.625323221864709</v>
      </c>
    </row>
    <row r="1036">
      <c r="A1036" t="inlineStr">
        <is>
          <t>G|ORIG_BAL x ASSET_CLASS / SYS_FLAG|outcome_booked|rate|5</t>
        </is>
      </c>
      <c r="B1036" t="n">
        <v>0.02296048817854681</v>
      </c>
      <c r="C1036" t="n">
        <v>0.1084151046817408</v>
      </c>
      <c r="D1036" t="n">
        <v>0.04127241320364201</v>
      </c>
      <c r="E1036" t="n">
        <v>0.081029372326368</v>
      </c>
      <c r="F1036" t="n">
        <v>0.03484243298522226</v>
      </c>
      <c r="G1036" t="n">
        <v>0.0668161388723891</v>
      </c>
      <c r="H1036" t="n">
        <v>0.05749854459934164</v>
      </c>
      <c r="I1036" t="n">
        <v>0.1236107423729956</v>
      </c>
      <c r="J1036" t="n">
        <v>0.06473600628619963</v>
      </c>
    </row>
    <row r="1037">
      <c r="A1037" t="inlineStr">
        <is>
          <t>G|ORIG_BAL x ASSET_CLASS / SYS_FLAG|outcome_booked|book|5</t>
        </is>
      </c>
      <c r="C1037" t="n">
        <v>1.448840624595187</v>
      </c>
      <c r="E1037" t="n">
        <v>1.082862454973612</v>
      </c>
      <c r="G1037" t="n">
        <v>0.8929192722830525</v>
      </c>
      <c r="H1037" t="n">
        <v>0.7684005611134618</v>
      </c>
      <c r="I1037" t="n">
        <v>1.65191248684491</v>
      </c>
      <c r="J1037" t="n">
        <v>0.8651207417714352</v>
      </c>
    </row>
    <row r="1038">
      <c r="A1038" t="inlineStr">
        <is>
          <t>G|ORIG_BAL x ASSET_CLASS / SYS_FLAG|outcome_booked|band|5</t>
        </is>
      </c>
      <c r="C1038" t="n">
        <v>1.847118039270723</v>
      </c>
      <c r="E1038" t="n">
        <v>1.29747581434054</v>
      </c>
      <c r="G1038" t="n">
        <v>1.036301173694173</v>
      </c>
      <c r="H1038" t="n">
        <v>0.8731320811803013</v>
      </c>
      <c r="I1038" t="n">
        <v>2.143010554692026</v>
      </c>
    </row>
    <row r="1039">
      <c r="A1039" t="inlineStr">
        <is>
          <t>G|ORIG_BAL x ASSET_CLASS / SYS_FLAG|outcome_booked|rate|6</t>
        </is>
      </c>
    </row>
    <row r="1040">
      <c r="A1040" t="inlineStr">
        <is>
          <t>G|ORIG_BAL x ASSET_CLASS / SYS_FLAG|outcome_booked|book|6</t>
        </is>
      </c>
    </row>
    <row r="1041">
      <c r="A1041" t="inlineStr">
        <is>
          <t>G|ORIG_BAL x ASSET_CLASS / SYS_FLAG|outcome_booked|band|6</t>
        </is>
      </c>
    </row>
    <row r="1042">
      <c r="A1042" t="inlineStr">
        <is>
          <t>G|ORIG_BAL x ASSET_CLASS / SYS_FLAG|outcome_booked|rate|7</t>
        </is>
      </c>
      <c r="B1042" t="n">
        <v>0.04006131886401176</v>
      </c>
      <c r="C1042" t="n">
        <v>0.09391781030789159</v>
      </c>
      <c r="D1042" t="n">
        <v>0.0411699749517607</v>
      </c>
      <c r="E1042" t="n">
        <v>0.08143078150540616</v>
      </c>
      <c r="F1042" t="n">
        <v>0.05299436180913607</v>
      </c>
      <c r="G1042" t="n">
        <v>0.09169079542439568</v>
      </c>
      <c r="H1042" t="n">
        <v>0.07585305848656564</v>
      </c>
      <c r="I1042" t="n">
        <v>0.1358979596343108</v>
      </c>
      <c r="J1042" t="n">
        <v>0.07482886857347222</v>
      </c>
    </row>
    <row r="1043">
      <c r="A1043" t="inlineStr">
        <is>
          <t>G|ORIG_BAL x ASSET_CLASS / SYS_FLAG|outcome_booked|book|7</t>
        </is>
      </c>
      <c r="B1043" t="n">
        <v>0.5353725056617246</v>
      </c>
      <c r="C1043" t="n">
        <v>1.255101301119853</v>
      </c>
      <c r="D1043" t="n">
        <v>0.5501883930175567</v>
      </c>
      <c r="E1043" t="n">
        <v>1.088226817507625</v>
      </c>
      <c r="F1043" t="n">
        <v>0.7082074447925457</v>
      </c>
      <c r="G1043" t="n">
        <v>1.225339861104102</v>
      </c>
      <c r="H1043" t="n">
        <v>1.013687096071587</v>
      </c>
      <c r="I1043" t="n">
        <v>1.81611672373312</v>
      </c>
      <c r="J1043" t="n">
        <v>0.9999999999999983</v>
      </c>
    </row>
    <row r="1044">
      <c r="A1044" t="inlineStr">
        <is>
          <t>G|ORIG_BAL x ASSET_CLASS / SYS_FLAG|outcome_booked|band|7</t>
        </is>
      </c>
    </row>
    <row r="1045">
      <c r="A1045" t="inlineStr">
        <is>
          <t>G|ORIG_BAL x ASSET_CLASS / SYS_FLAG|outcome_booked|meta</t>
        </is>
      </c>
      <c r="B1045" t="inlineStr">
        <is>
          <t>x</t>
        </is>
      </c>
      <c r="C1045" t="n">
        <v>2.625323221864709</v>
      </c>
      <c r="D1045" t="n">
        <v>10</v>
      </c>
    </row>
    <row r="1046">
      <c r="A1046" t="inlineStr">
        <is>
          <t>G|ORIG_BAL x ASSET_CLASS / SYS_FLAG|gco_rate|rate|1</t>
        </is>
      </c>
      <c r="B1046" t="n">
        <v>0.02158221099364878</v>
      </c>
      <c r="C1046" t="n">
        <v>0.04771941684954147</v>
      </c>
      <c r="D1046" t="n">
        <v>0.02050027446357541</v>
      </c>
      <c r="E1046" t="n">
        <v>0.05730385058954697</v>
      </c>
      <c r="F1046" t="n">
        <v>0.03353180345793035</v>
      </c>
      <c r="G1046" t="n">
        <v>0.05755051362133345</v>
      </c>
      <c r="H1046" t="n">
        <v>0.04764406554314145</v>
      </c>
      <c r="I1046" t="n">
        <v>0.05740474500406834</v>
      </c>
      <c r="J1046" t="n">
        <v>0.04139745179629655</v>
      </c>
    </row>
    <row r="1047">
      <c r="A1047" t="inlineStr">
        <is>
          <t>G|ORIG_BAL x ASSET_CLASS / SYS_FLAG|gco_rate|book|1</t>
        </is>
      </c>
      <c r="C1047" t="n">
        <v>1.146956195741575</v>
      </c>
      <c r="D1047" t="n">
        <v>0.4927326937907987</v>
      </c>
      <c r="E1047" t="n">
        <v>1.377322080040505</v>
      </c>
      <c r="F1047" t="n">
        <v>0.8059509581125891</v>
      </c>
      <c r="G1047" t="n">
        <v>1.383250729450868</v>
      </c>
      <c r="H1047" t="n">
        <v>1.145145095492692</v>
      </c>
      <c r="I1047" t="n">
        <v>1.379747119604921</v>
      </c>
      <c r="J1047" t="n">
        <v>0.995005114487935</v>
      </c>
    </row>
    <row r="1048">
      <c r="A1048" t="inlineStr">
        <is>
          <t>G|ORIG_BAL x ASSET_CLASS / SYS_FLAG|gco_rate|band|1</t>
        </is>
      </c>
      <c r="C1048" t="n">
        <v>1.175514397952917</v>
      </c>
      <c r="D1048" t="n">
        <v>0.4536639986877141</v>
      </c>
      <c r="E1048" t="n">
        <v>1.448188407025003</v>
      </c>
      <c r="F1048" t="n">
        <v>0.7921552820400009</v>
      </c>
      <c r="G1048" t="n">
        <v>1.462478285089994</v>
      </c>
      <c r="H1048" t="n">
        <v>1.180276566046068</v>
      </c>
      <c r="I1048" t="n">
        <v>1.465021126354612</v>
      </c>
    </row>
    <row r="1049">
      <c r="A1049" t="inlineStr">
        <is>
          <t>G|ORIG_BAL x ASSET_CLASS / SYS_FLAG|gco_rate|rate|2</t>
        </is>
      </c>
      <c r="B1049" t="n">
        <v>0.04512999745407575</v>
      </c>
      <c r="C1049" t="n">
        <v>0.06665746171826953</v>
      </c>
      <c r="D1049" t="n">
        <v>0.03837919816974449</v>
      </c>
      <c r="E1049" t="n">
        <v>0.02990592595829179</v>
      </c>
      <c r="F1049" t="n">
        <v>0.05128330326744554</v>
      </c>
      <c r="G1049" t="n">
        <v>0.06662045221440491</v>
      </c>
      <c r="H1049" t="n">
        <v>0.06450238386420175</v>
      </c>
      <c r="I1049" t="n">
        <v>0.0606431774434793</v>
      </c>
      <c r="J1049" t="n">
        <v>0.05316017920478746</v>
      </c>
    </row>
    <row r="1050">
      <c r="A1050" t="inlineStr">
        <is>
          <t>G|ORIG_BAL x ASSET_CLASS / SYS_FLAG|gco_rate|book|2</t>
        </is>
      </c>
      <c r="B1050" t="n">
        <v>1.084718414664597</v>
      </c>
      <c r="C1050" t="n">
        <v>1.602140046078763</v>
      </c>
      <c r="D1050" t="n">
        <v>0.9224601228295422</v>
      </c>
      <c r="E1050" t="n">
        <v>0.7188014718495275</v>
      </c>
      <c r="F1050" t="n">
        <v>1.232615700358375</v>
      </c>
      <c r="G1050" t="n">
        <v>1.601250507132956</v>
      </c>
      <c r="H1050" t="n">
        <v>1.550341846096102</v>
      </c>
      <c r="I1050" t="n">
        <v>1.457584201365249</v>
      </c>
      <c r="J1050" t="n">
        <v>1.27772720060491</v>
      </c>
    </row>
    <row r="1051">
      <c r="A1051" t="inlineStr">
        <is>
          <t>G|ORIG_BAL x ASSET_CLASS / SYS_FLAG|gco_rate|band|2</t>
        </is>
      </c>
      <c r="B1051" t="n">
        <v>0.8288144805817711</v>
      </c>
      <c r="C1051" t="n">
        <v>1.295732179988387</v>
      </c>
      <c r="D1051" t="n">
        <v>0.6963947579584326</v>
      </c>
      <c r="E1051" t="n">
        <v>0.5342429874368722</v>
      </c>
      <c r="F1051" t="n">
        <v>0.9589750302282279</v>
      </c>
      <c r="G1051" t="n">
        <v>1.297705582716536</v>
      </c>
      <c r="H1051" t="n">
        <v>1.257485691991882</v>
      </c>
      <c r="I1051" t="n">
        <v>1.162864180887587</v>
      </c>
    </row>
    <row r="1052">
      <c r="A1052" t="inlineStr">
        <is>
          <t>G|ORIG_BAL x ASSET_CLASS / SYS_FLAG|gco_rate|rate|3</t>
        </is>
      </c>
      <c r="B1052" t="n">
        <v>0.03343753926611142</v>
      </c>
      <c r="C1052" t="n">
        <v>0.03937935610125742</v>
      </c>
      <c r="D1052" t="n">
        <v>0.0175316537276591</v>
      </c>
      <c r="E1052" t="n">
        <v>0.04285562067459982</v>
      </c>
      <c r="F1052" t="n">
        <v>0.02824016270041421</v>
      </c>
      <c r="G1052" t="n">
        <v>0.03522812136505121</v>
      </c>
      <c r="H1052" t="n">
        <v>0.04374582534514742</v>
      </c>
      <c r="I1052" t="n">
        <v>0.06509947332517688</v>
      </c>
      <c r="J1052" t="n">
        <v>0.03745072983796682</v>
      </c>
    </row>
    <row r="1053">
      <c r="A1053" t="inlineStr">
        <is>
          <t>G|ORIG_BAL x ASSET_CLASS / SYS_FLAG|gco_rate|book|3</t>
        </is>
      </c>
      <c r="B1053" t="n">
        <v>0.8036852787312968</v>
      </c>
      <c r="C1053" t="n">
        <v>0.9464993381427915</v>
      </c>
      <c r="E1053" t="n">
        <v>1.030052814980184</v>
      </c>
      <c r="G1053" t="n">
        <v>0.8467226703833843</v>
      </c>
      <c r="H1053" t="n">
        <v>1.05144925755579</v>
      </c>
      <c r="I1053" t="n">
        <v>1.56469314168793</v>
      </c>
      <c r="J1053" t="n">
        <v>0.9001439971099029</v>
      </c>
    </row>
    <row r="1054">
      <c r="A1054" t="inlineStr">
        <is>
          <t>G|ORIG_BAL x ASSET_CLASS / SYS_FLAG|gco_rate|band|3</t>
        </is>
      </c>
      <c r="B1054" t="n">
        <v>0.8783480798109932</v>
      </c>
      <c r="C1054" t="n">
        <v>1.058151951778807</v>
      </c>
      <c r="E1054" t="n">
        <v>1.165942362928114</v>
      </c>
      <c r="G1054" t="n">
        <v>0.9340831797332976</v>
      </c>
      <c r="H1054" t="n">
        <v>1.199622395593157</v>
      </c>
      <c r="I1054" t="n">
        <v>1.936964095310002</v>
      </c>
    </row>
    <row r="1055">
      <c r="A1055" t="inlineStr">
        <is>
          <t>G|ORIG_BAL x ASSET_CLASS / SYS_FLAG|gco_rate|rate|4</t>
        </is>
      </c>
      <c r="B1055" t="n">
        <v>0.0197137893080877</v>
      </c>
      <c r="C1055" t="n">
        <v>0.04153139077202288</v>
      </c>
      <c r="D1055" t="n">
        <v>0.0266070327924772</v>
      </c>
      <c r="E1055" t="n">
        <v>0.04389992757422654</v>
      </c>
      <c r="F1055" t="n">
        <v>0.03638140862888396</v>
      </c>
      <c r="G1055" t="n">
        <v>0.06978149794772584</v>
      </c>
      <c r="H1055" t="n">
        <v>0.03905991768789436</v>
      </c>
      <c r="I1055" t="n">
        <v>0.1032871988884892</v>
      </c>
      <c r="J1055" t="n">
        <v>0.04676588351390011</v>
      </c>
    </row>
    <row r="1056">
      <c r="A1056" t="inlineStr">
        <is>
          <t>G|ORIG_BAL x ASSET_CLASS / SYS_FLAG|gco_rate|book|4</t>
        </is>
      </c>
      <c r="C1056" t="n">
        <v>0.9982243939385823</v>
      </c>
      <c r="E1056" t="n">
        <v>1.055153169256496</v>
      </c>
      <c r="F1056" t="n">
        <v>0.8744424134157333</v>
      </c>
      <c r="G1056" t="n">
        <v>1.67722756695928</v>
      </c>
      <c r="H1056" t="n">
        <v>0.9388215019169254</v>
      </c>
      <c r="I1056" t="n">
        <v>2.482551140125328</v>
      </c>
      <c r="J1056" t="n">
        <v>1.124037622142734</v>
      </c>
    </row>
    <row r="1057">
      <c r="A1057" t="inlineStr">
        <is>
          <t>G|ORIG_BAL x ASSET_CLASS / SYS_FLAG|gco_rate|band|4</t>
        </is>
      </c>
      <c r="C1057" t="n">
        <v>0.8758279359104355</v>
      </c>
      <c r="E1057" t="n">
        <v>0.9306236526995691</v>
      </c>
      <c r="F1057" t="n">
        <v>0.7556298967509577</v>
      </c>
      <c r="G1057" t="n">
        <v>1.600855343875921</v>
      </c>
      <c r="H1057" t="n">
        <v>0.8132943713461922</v>
      </c>
      <c r="I1057" t="n">
        <v>2.638146011255898</v>
      </c>
    </row>
    <row r="1058">
      <c r="A1058" t="inlineStr">
        <is>
          <t>G|ORIG_BAL x ASSET_CLASS / SYS_FLAG|gco_rate|rate|5</t>
        </is>
      </c>
      <c r="B1058" t="n">
        <v>0.01490243563434412</v>
      </c>
      <c r="C1058" t="n">
        <v>0.05918236225894098</v>
      </c>
      <c r="D1058" t="n">
        <v>0.02383718764570459</v>
      </c>
      <c r="E1058" t="n">
        <v>0.04184060461877476</v>
      </c>
      <c r="F1058" t="n">
        <v>0.0170654622375865</v>
      </c>
      <c r="G1058" t="n">
        <v>0.03704973484090528</v>
      </c>
      <c r="H1058" t="n">
        <v>0.03409135898201892</v>
      </c>
      <c r="I1058" t="n">
        <v>0.0662909487360247</v>
      </c>
      <c r="J1058" t="n">
        <v>0.03555289463498783</v>
      </c>
    </row>
    <row r="1059">
      <c r="A1059" t="inlineStr">
        <is>
          <t>G|ORIG_BAL x ASSET_CLASS / SYS_FLAG|gco_rate|book|5</t>
        </is>
      </c>
      <c r="C1059" t="n">
        <v>1.422472895792877</v>
      </c>
      <c r="E1059" t="n">
        <v>1.005656478418143</v>
      </c>
      <c r="G1059" t="n">
        <v>0.8905059141930215</v>
      </c>
      <c r="H1059" t="n">
        <v>0.8194001097910001</v>
      </c>
      <c r="I1059" t="n">
        <v>1.593330752848486</v>
      </c>
      <c r="J1059" t="n">
        <v>0.8545287321242382</v>
      </c>
    </row>
    <row r="1060">
      <c r="A1060" t="inlineStr">
        <is>
          <t>G|ORIG_BAL x ASSET_CLASS / SYS_FLAG|gco_rate|band|5</t>
        </is>
      </c>
      <c r="C1060" t="n">
        <v>1.833156520307234</v>
      </c>
      <c r="E1060" t="n">
        <v>1.206778951221231</v>
      </c>
      <c r="G1060" t="n">
        <v>1.047623418727635</v>
      </c>
      <c r="H1060" t="n">
        <v>0.9528447874230355</v>
      </c>
      <c r="I1060" t="n">
        <v>2.080077010763459</v>
      </c>
    </row>
    <row r="1061">
      <c r="A1061" t="inlineStr">
        <is>
          <t>G|ORIG_BAL x ASSET_CLASS / SYS_FLAG|gco_rate|rate|6</t>
        </is>
      </c>
    </row>
    <row r="1062">
      <c r="A1062" t="inlineStr">
        <is>
          <t>G|ORIG_BAL x ASSET_CLASS / SYS_FLAG|gco_rate|book|6</t>
        </is>
      </c>
    </row>
    <row r="1063">
      <c r="A1063" t="inlineStr">
        <is>
          <t>G|ORIG_BAL x ASSET_CLASS / SYS_FLAG|gco_rate|band|6</t>
        </is>
      </c>
    </row>
    <row r="1064">
      <c r="A1064" t="inlineStr">
        <is>
          <t>G|ORIG_BAL x ASSET_CLASS / SYS_FLAG|gco_rate|rate|7</t>
        </is>
      </c>
      <c r="B1064" t="n">
        <v>0.02428726127203878</v>
      </c>
      <c r="C1064" t="n">
        <v>0.05105761588999549</v>
      </c>
      <c r="D1064" t="n">
        <v>0.02451582735282238</v>
      </c>
      <c r="E1064" t="n">
        <v>0.04205486969531595</v>
      </c>
      <c r="F1064" t="n">
        <v>0.02969455401340456</v>
      </c>
      <c r="G1064" t="n">
        <v>0.05138794933615651</v>
      </c>
      <c r="H1064" t="n">
        <v>0.04228479189813641</v>
      </c>
      <c r="I1064" t="n">
        <v>0.07495703613824994</v>
      </c>
      <c r="J1064" t="n">
        <v>0.04160526533333561</v>
      </c>
    </row>
    <row r="1065">
      <c r="A1065" t="inlineStr">
        <is>
          <t>G|ORIG_BAL x ASSET_CLASS / SYS_FLAG|gco_rate|book|7</t>
        </is>
      </c>
      <c r="B1065" t="n">
        <v>0.5837545098547645</v>
      </c>
      <c r="C1065" t="n">
        <v>1.227191209596404</v>
      </c>
      <c r="D1065" t="n">
        <v>0.58924819145858</v>
      </c>
      <c r="E1065" t="n">
        <v>1.010806429387678</v>
      </c>
      <c r="F1065" t="n">
        <v>0.713721058512568</v>
      </c>
      <c r="G1065" t="n">
        <v>1.235130912504544</v>
      </c>
      <c r="H1065" t="n">
        <v>1.016332705953357</v>
      </c>
      <c r="I1065" t="n">
        <v>1.801623797798296</v>
      </c>
      <c r="J1065" t="n">
        <v>0.9999999999999991</v>
      </c>
    </row>
    <row r="1066">
      <c r="A1066" t="inlineStr">
        <is>
          <t>G|ORIG_BAL x ASSET_CLASS / SYS_FLAG|gco_rate|band|7</t>
        </is>
      </c>
    </row>
    <row r="1067">
      <c r="A1067" t="inlineStr">
        <is>
          <t>G|ORIG_BAL x ASSET_CLASS / SYS_FLAG|gco_rate|meta</t>
        </is>
      </c>
      <c r="B1067" t="inlineStr">
        <is>
          <t>x</t>
        </is>
      </c>
      <c r="C1067" t="n">
        <v>2.638146011255898</v>
      </c>
      <c r="D1067" t="n">
        <v>10</v>
      </c>
    </row>
    <row r="1068">
      <c r="A1068" t="inlineStr">
        <is>
          <t>G|ORIG_BAL x ASSET_CLASS / SYS_FLAG|ranr_rate|rate|1</t>
        </is>
      </c>
      <c r="B1068" t="n">
        <v>0.176239434966219</v>
      </c>
      <c r="C1068" t="n">
        <v>0.1451278835003983</v>
      </c>
      <c r="D1068" t="n">
        <v>0.1603051910266928</v>
      </c>
      <c r="E1068" t="n">
        <v>0.1112646564442411</v>
      </c>
      <c r="F1068" t="n">
        <v>0.1528983361923</v>
      </c>
      <c r="G1068" t="n">
        <v>0.1341773437247396</v>
      </c>
      <c r="H1068" t="n">
        <v>0.1465345434258317</v>
      </c>
      <c r="I1068" t="n">
        <v>0.1309753335771528</v>
      </c>
      <c r="J1068" t="n">
        <v>0.1466798967561383</v>
      </c>
    </row>
    <row r="1069">
      <c r="A1069" t="inlineStr">
        <is>
          <t>G|ORIG_BAL x ASSET_CLASS / SYS_FLAG|ranr_rate|book|1</t>
        </is>
      </c>
      <c r="B1069" t="n">
        <v>4.824938532</v>
      </c>
      <c r="C1069" t="n">
        <v>1.713783385</v>
      </c>
      <c r="D1069" t="n">
        <v>3.231514138</v>
      </c>
      <c r="E1069" t="n">
        <v>-1.67253932</v>
      </c>
      <c r="F1069" t="n">
        <v>2.490828654</v>
      </c>
      <c r="G1069" t="n">
        <v>0.618729408</v>
      </c>
      <c r="H1069" t="n">
        <v>1.854449378</v>
      </c>
      <c r="I1069" t="n">
        <v>0.298528393</v>
      </c>
      <c r="J1069" t="n">
        <v>1.868984711</v>
      </c>
    </row>
    <row r="1070">
      <c r="A1070" t="inlineStr">
        <is>
          <t>G|ORIG_BAL x ASSET_CLASS / SYS_FLAG|ranr_rate|band|1</t>
        </is>
      </c>
      <c r="B1070" t="n">
        <v>3.474116847</v>
      </c>
      <c r="C1070" t="n">
        <v>-0.174913471</v>
      </c>
      <c r="D1070" t="n">
        <v>1.60969443</v>
      </c>
      <c r="E1070" t="n">
        <v>-3.948550388</v>
      </c>
      <c r="F1070" t="n">
        <v>0.695556582</v>
      </c>
      <c r="G1070" t="n">
        <v>-1.408623643</v>
      </c>
      <c r="H1070" t="n">
        <v>-0.016933418</v>
      </c>
      <c r="I1070" t="n">
        <v>-1.787658464</v>
      </c>
    </row>
    <row r="1071">
      <c r="A1071" t="inlineStr">
        <is>
          <t>G|ORIG_BAL x ASSET_CLASS / SYS_FLAG|ranr_rate|rate|2</t>
        </is>
      </c>
      <c r="B1071" t="n">
        <v>0.1469879840652782</v>
      </c>
      <c r="C1071" t="n">
        <v>0.1026030522909873</v>
      </c>
      <c r="D1071" t="n">
        <v>0.1255047377985213</v>
      </c>
      <c r="E1071" t="n">
        <v>0.1308177588348792</v>
      </c>
      <c r="F1071" t="n">
        <v>0.1203622319666544</v>
      </c>
      <c r="G1071" t="n">
        <v>0.1015119371033395</v>
      </c>
      <c r="H1071" t="n">
        <v>0.09377246264905374</v>
      </c>
      <c r="I1071" t="n">
        <v>0.1311850681759872</v>
      </c>
      <c r="J1071" t="n">
        <v>0.1190597270318928</v>
      </c>
    </row>
    <row r="1072">
      <c r="A1072" t="inlineStr">
        <is>
          <t>G|ORIG_BAL x ASSET_CLASS / SYS_FLAG|ranr_rate|book|2</t>
        </is>
      </c>
      <c r="B1072" t="n">
        <v>1.899793442</v>
      </c>
      <c r="C1072" t="n">
        <v>-2.538699736</v>
      </c>
      <c r="D1072" t="n">
        <v>-0.248531185</v>
      </c>
      <c r="E1072" t="n">
        <v>0.282770919</v>
      </c>
      <c r="F1072" t="n">
        <v>-0.762781768</v>
      </c>
      <c r="G1072" t="n">
        <v>-2.647811254</v>
      </c>
      <c r="H1072" t="n">
        <v>-3.4217587</v>
      </c>
      <c r="I1072" t="n">
        <v>0.319501853</v>
      </c>
      <c r="J1072" t="n">
        <v>-0.893032262</v>
      </c>
    </row>
    <row r="1073">
      <c r="A1073" t="inlineStr">
        <is>
          <t>G|ORIG_BAL x ASSET_CLASS / SYS_FLAG|ranr_rate|band|2</t>
        </is>
      </c>
      <c r="B1073" t="n">
        <v>3.241854071</v>
      </c>
      <c r="C1073" t="n">
        <v>-1.854931427</v>
      </c>
      <c r="D1073" t="n">
        <v>0.72957519</v>
      </c>
      <c r="E1073" t="n">
        <v>1.318287271</v>
      </c>
      <c r="F1073" t="n">
        <v>0.152251217</v>
      </c>
      <c r="G1073" t="n">
        <v>-1.992447745</v>
      </c>
      <c r="H1073" t="n">
        <v>-2.944626282</v>
      </c>
      <c r="I1073" t="n">
        <v>1.376248497</v>
      </c>
    </row>
    <row r="1074">
      <c r="A1074" t="inlineStr">
        <is>
          <t>G|ORIG_BAL x ASSET_CLASS / SYS_FLAG|ranr_rate|rate|3</t>
        </is>
      </c>
      <c r="B1074" t="n">
        <v>0.1390020442669093</v>
      </c>
      <c r="C1074" t="n">
        <v>0.130159425166618</v>
      </c>
      <c r="D1074" t="n">
        <v>0.1391589892053816</v>
      </c>
      <c r="E1074" t="n">
        <v>0.1228987370954112</v>
      </c>
      <c r="F1074" t="n">
        <v>0.1339264829545374</v>
      </c>
      <c r="G1074" t="n">
        <v>0.136607210435126</v>
      </c>
      <c r="H1074" t="n">
        <v>0.1336109603303161</v>
      </c>
      <c r="I1074" t="n">
        <v>0.1117344061294539</v>
      </c>
      <c r="J1074" t="n">
        <v>0.1312994440713134</v>
      </c>
    </row>
    <row r="1075">
      <c r="A1075" t="inlineStr">
        <is>
          <t>G|ORIG_BAL x ASSET_CLASS / SYS_FLAG|ranr_rate|book|3</t>
        </is>
      </c>
      <c r="B1075" t="n">
        <v>1.101199462</v>
      </c>
      <c r="C1075" t="n">
        <v>0.216937552</v>
      </c>
      <c r="D1075" t="n">
        <v>1.116893956</v>
      </c>
      <c r="E1075" t="n">
        <v>-0.509131255</v>
      </c>
      <c r="F1075" t="n">
        <v>0.593643331</v>
      </c>
      <c r="G1075" t="n">
        <v>0.861716079</v>
      </c>
      <c r="H1075" t="n">
        <v>0.562091068</v>
      </c>
      <c r="I1075" t="n">
        <v>-1.625564352</v>
      </c>
      <c r="J1075" t="n">
        <v>0.330939442</v>
      </c>
    </row>
    <row r="1076">
      <c r="A1076" t="inlineStr">
        <is>
          <t>G|ORIG_BAL x ASSET_CLASS / SYS_FLAG|ranr_rate|band|3</t>
        </is>
      </c>
      <c r="B1076" t="n">
        <v>0.888861702</v>
      </c>
      <c r="C1076" t="n">
        <v>-0.127923062</v>
      </c>
      <c r="D1076" t="n">
        <v>0.933569972</v>
      </c>
      <c r="E1076" t="n">
        <v>-0.948018662</v>
      </c>
      <c r="F1076" t="n">
        <v>0.299406692</v>
      </c>
      <c r="G1076" t="n">
        <v>0.593675346</v>
      </c>
      <c r="H1076" t="n">
        <v>0.267298143</v>
      </c>
      <c r="I1076" t="n">
        <v>-2.228353815</v>
      </c>
    </row>
    <row r="1077">
      <c r="A1077" t="inlineStr">
        <is>
          <t>G|ORIG_BAL x ASSET_CLASS / SYS_FLAG|ranr_rate|rate|4</t>
        </is>
      </c>
      <c r="B1077" t="n">
        <v>0.140071043511119</v>
      </c>
      <c r="C1077" t="n">
        <v>0.1289667174912146</v>
      </c>
      <c r="D1077" t="n">
        <v>0.1476099886963977</v>
      </c>
      <c r="E1077" t="n">
        <v>0.1239792151671739</v>
      </c>
      <c r="F1077" t="n">
        <v>0.1406694530167586</v>
      </c>
      <c r="G1077" t="n">
        <v>0.09086001341967721</v>
      </c>
      <c r="H1077" t="n">
        <v>0.1371560416648463</v>
      </c>
      <c r="I1077" t="n">
        <v>0.06294244542938228</v>
      </c>
      <c r="J1077" t="n">
        <v>0.1224284738147315</v>
      </c>
    </row>
    <row r="1078">
      <c r="A1078" t="inlineStr">
        <is>
          <t>G|ORIG_BAL x ASSET_CLASS / SYS_FLAG|ranr_rate|book|4</t>
        </is>
      </c>
      <c r="B1078" t="n">
        <v>1.208099386</v>
      </c>
      <c r="C1078" t="n">
        <v>0.09766678400000001</v>
      </c>
      <c r="D1078" t="n">
        <v>1.961993905</v>
      </c>
      <c r="E1078" t="n">
        <v>-0.401083448</v>
      </c>
      <c r="F1078" t="n">
        <v>1.267940337</v>
      </c>
      <c r="G1078" t="n">
        <v>-3.713003623</v>
      </c>
      <c r="H1078" t="n">
        <v>0.916599202</v>
      </c>
      <c r="I1078" t="n">
        <v>-6.504760422</v>
      </c>
      <c r="J1078" t="n">
        <v>-0.556157583</v>
      </c>
    </row>
    <row r="1079">
      <c r="A1079" t="inlineStr">
        <is>
          <t>G|ORIG_BAL x ASSET_CLASS / SYS_FLAG|ranr_rate|band|4</t>
        </is>
      </c>
      <c r="B1079" t="n">
        <v>2.025077744</v>
      </c>
      <c r="C1079" t="n">
        <v>0.735422991</v>
      </c>
      <c r="D1079" t="n">
        <v>2.922444911</v>
      </c>
      <c r="E1079" t="n">
        <v>0.177066302</v>
      </c>
      <c r="F1079" t="n">
        <v>2.06656547</v>
      </c>
      <c r="G1079" t="n">
        <v>-3.592153076</v>
      </c>
      <c r="H1079" t="n">
        <v>1.713580305</v>
      </c>
      <c r="I1079" t="n">
        <v>-6.749470168</v>
      </c>
    </row>
    <row r="1080">
      <c r="A1080" t="inlineStr">
        <is>
          <t>G|ORIG_BAL x ASSET_CLASS / SYS_FLAG|ranr_rate|rate|5</t>
        </is>
      </c>
      <c r="B1080" t="n">
        <v>0.1530163316614484</v>
      </c>
      <c r="C1080" t="n">
        <v>0.1198509850320753</v>
      </c>
      <c r="D1080" t="n">
        <v>0.1454540254647117</v>
      </c>
      <c r="E1080" t="n">
        <v>0.1095398721533875</v>
      </c>
      <c r="F1080" t="n">
        <v>0.1434917227991685</v>
      </c>
      <c r="G1080" t="n">
        <v>0.1225120577257538</v>
      </c>
      <c r="H1080" t="n">
        <v>0.1364650676468008</v>
      </c>
      <c r="I1080" t="n">
        <v>0.1033932404821314</v>
      </c>
      <c r="J1080" t="n">
        <v>0.1304237269597046</v>
      </c>
    </row>
    <row r="1081">
      <c r="A1081" t="inlineStr">
        <is>
          <t>G|ORIG_BAL x ASSET_CLASS / SYS_FLAG|ranr_rate|book|5</t>
        </is>
      </c>
      <c r="B1081" t="n">
        <v>2.502628201</v>
      </c>
      <c r="C1081" t="n">
        <v>-0.8139064620000001</v>
      </c>
      <c r="D1081" t="n">
        <v>1.746397582</v>
      </c>
      <c r="E1081" t="n">
        <v>-1.845017749</v>
      </c>
      <c r="F1081" t="n">
        <v>1.550167315</v>
      </c>
      <c r="G1081" t="n">
        <v>-0.547799192</v>
      </c>
      <c r="H1081" t="n">
        <v>0.8475018</v>
      </c>
      <c r="I1081" t="n">
        <v>-2.459680917</v>
      </c>
      <c r="J1081" t="n">
        <v>0.243367731</v>
      </c>
    </row>
    <row r="1082">
      <c r="A1082" t="inlineStr">
        <is>
          <t>G|ORIG_BAL x ASSET_CLASS / SYS_FLAG|ranr_rate|band|5</t>
        </is>
      </c>
      <c r="B1082" t="n">
        <v>2.615737812</v>
      </c>
      <c r="C1082" t="n">
        <v>-1.203519247</v>
      </c>
      <c r="D1082" t="n">
        <v>1.718805739</v>
      </c>
      <c r="E1082" t="n">
        <v>-2.381193655</v>
      </c>
      <c r="F1082" t="n">
        <v>1.522558272</v>
      </c>
      <c r="G1082" t="n">
        <v>-0.890211411</v>
      </c>
      <c r="H1082" t="n">
        <v>0.69739009</v>
      </c>
      <c r="I1082" t="n">
        <v>-3.026962453</v>
      </c>
    </row>
    <row r="1083">
      <c r="A1083" t="inlineStr">
        <is>
          <t>G|ORIG_BAL x ASSET_CLASS / SYS_FLAG|ranr_rate|rate|6</t>
        </is>
      </c>
    </row>
    <row r="1084">
      <c r="A1084" t="inlineStr">
        <is>
          <t>G|ORIG_BAL x ASSET_CLASS / SYS_FLAG|ranr_rate|book|6</t>
        </is>
      </c>
    </row>
    <row r="1085">
      <c r="A1085" t="inlineStr">
        <is>
          <t>G|ORIG_BAL x ASSET_CLASS / SYS_FLAG|ranr_rate|band|6</t>
        </is>
      </c>
    </row>
    <row r="1086">
      <c r="A1086" t="inlineStr">
        <is>
          <t>G|ORIG_BAL x ASSET_CLASS / SYS_FLAG|ranr_rate|rate|7</t>
        </is>
      </c>
      <c r="B1086" t="n">
        <v>0.147728983035105</v>
      </c>
      <c r="C1086" t="n">
        <v>0.1235529127423794</v>
      </c>
      <c r="D1086" t="n">
        <v>0.1434312623085464</v>
      </c>
      <c r="E1086" t="n">
        <v>0.1188036462606204</v>
      </c>
      <c r="F1086" t="n">
        <v>0.1381391917896836</v>
      </c>
      <c r="G1086" t="n">
        <v>0.1139107040211185</v>
      </c>
      <c r="H1086" t="n">
        <v>0.131065555320466</v>
      </c>
      <c r="I1086" t="n">
        <v>0.09945745884195703</v>
      </c>
      <c r="J1086" t="n">
        <v>0.1279900496481476</v>
      </c>
    </row>
    <row r="1087">
      <c r="A1087" t="inlineStr">
        <is>
          <t>G|ORIG_BAL x ASSET_CLASS / SYS_FLAG|ranr_rate|book|7</t>
        </is>
      </c>
      <c r="B1087" t="n">
        <v>1.973893339</v>
      </c>
      <c r="C1087" t="n">
        <v>-0.443713691</v>
      </c>
      <c r="D1087" t="n">
        <v>1.544121266</v>
      </c>
      <c r="E1087" t="n">
        <v>-0.918640339</v>
      </c>
      <c r="F1087" t="n">
        <v>1.014914214</v>
      </c>
      <c r="G1087" t="n">
        <v>-1.407934563</v>
      </c>
      <c r="H1087" t="n">
        <v>0.307550567</v>
      </c>
      <c r="I1087" t="n">
        <v>-2.853259081</v>
      </c>
      <c r="J1087" t="n">
        <v>0</v>
      </c>
    </row>
    <row r="1088">
      <c r="A1088" t="inlineStr">
        <is>
          <t>G|ORIG_BAL x ASSET_CLASS / SYS_FLAG|ranr_rate|band|7</t>
        </is>
      </c>
    </row>
    <row r="1089">
      <c r="A1089" t="inlineStr">
        <is>
          <t>G|ORIG_BAL x ASSET_CLASS / SYS_FLAG|ranr_rate|meta</t>
        </is>
      </c>
      <c r="B1089" t="inlineStr">
        <is>
          <t>pts</t>
        </is>
      </c>
      <c r="C1089" t="n">
        <v>6.749470168</v>
      </c>
      <c r="D1089" t="n">
        <v>10</v>
      </c>
    </row>
    <row r="1090">
      <c r="A1090" t="inlineStr">
        <is>
          <t>G|ORIG_BAL x ASSET_CLASS / SYS_FLAG|contribution_rate|rate|1</t>
        </is>
      </c>
      <c r="B1090" t="n">
        <v>0.1978216459598678</v>
      </c>
      <c r="C1090" t="n">
        <v>0.1928473003499398</v>
      </c>
      <c r="D1090" t="n">
        <v>0.1808054654902682</v>
      </c>
      <c r="E1090" t="n">
        <v>0.1685685070337879</v>
      </c>
      <c r="F1090" t="n">
        <v>0.1864301396502303</v>
      </c>
      <c r="G1090" t="n">
        <v>0.1917278573460729</v>
      </c>
      <c r="H1090" t="n">
        <v>0.1941786089689732</v>
      </c>
      <c r="I1090" t="n">
        <v>0.1883800785812211</v>
      </c>
      <c r="J1090" t="n">
        <v>0.1880773485524348</v>
      </c>
    </row>
    <row r="1091">
      <c r="A1091" t="inlineStr">
        <is>
          <t>G|ORIG_BAL x ASSET_CLASS / SYS_FLAG|contribution_rate|book|1</t>
        </is>
      </c>
      <c r="B1091" t="n">
        <v>2.822919022</v>
      </c>
      <c r="C1091" t="n">
        <v>2.325484461</v>
      </c>
      <c r="D1091" t="n">
        <v>1.121300976</v>
      </c>
      <c r="E1091" t="n">
        <v>-0.10239487</v>
      </c>
      <c r="F1091" t="n">
        <v>1.683768392</v>
      </c>
      <c r="G1091" t="n">
        <v>2.213540161</v>
      </c>
      <c r="H1091" t="n">
        <v>2.458615323</v>
      </c>
      <c r="I1091" t="n">
        <v>1.878762285</v>
      </c>
      <c r="J1091" t="n">
        <v>1.848489282</v>
      </c>
    </row>
    <row r="1092">
      <c r="A1092" t="inlineStr">
        <is>
          <t>G|ORIG_BAL x ASSET_CLASS / SYS_FLAG|contribution_rate|band|1</t>
        </is>
      </c>
      <c r="B1092" t="n">
        <v>1.145242106</v>
      </c>
      <c r="C1092" t="n">
        <v>0.537578416</v>
      </c>
      <c r="D1092" t="n">
        <v>-0.859101421</v>
      </c>
      <c r="E1092" t="n">
        <v>-2.175098717</v>
      </c>
      <c r="F1092" t="n">
        <v>-0.184246708</v>
      </c>
      <c r="G1092" t="n">
        <v>0.411291436</v>
      </c>
      <c r="H1092" t="n">
        <v>0.710786573</v>
      </c>
      <c r="I1092" t="n">
        <v>0.034459914</v>
      </c>
    </row>
    <row r="1093">
      <c r="A1093" t="inlineStr">
        <is>
          <t>G|ORIG_BAL x ASSET_CLASS / SYS_FLAG|contribution_rate|rate|2</t>
        </is>
      </c>
      <c r="B1093" t="n">
        <v>0.192117981519354</v>
      </c>
      <c r="C1093" t="n">
        <v>0.1692605140092568</v>
      </c>
      <c r="D1093" t="n">
        <v>0.1638839359682658</v>
      </c>
      <c r="E1093" t="n">
        <v>0.160723684793171</v>
      </c>
      <c r="F1093" t="n">
        <v>0.1716455352340999</v>
      </c>
      <c r="G1093" t="n">
        <v>0.1681323893177444</v>
      </c>
      <c r="H1093" t="n">
        <v>0.1582748465132555</v>
      </c>
      <c r="I1093" t="n">
        <v>0.1918282456194665</v>
      </c>
      <c r="J1093" t="n">
        <v>0.1722199062366802</v>
      </c>
    </row>
    <row r="1094">
      <c r="A1094" t="inlineStr">
        <is>
          <t>G|ORIG_BAL x ASSET_CLASS / SYS_FLAG|contribution_rate|book|2</t>
        </is>
      </c>
      <c r="B1094" t="n">
        <v>2.252552578</v>
      </c>
      <c r="C1094" t="n">
        <v>-0.033194173</v>
      </c>
      <c r="D1094" t="n">
        <v>-0.570851977</v>
      </c>
      <c r="E1094" t="n">
        <v>-0.886877094</v>
      </c>
      <c r="F1094" t="n">
        <v>0.20530795</v>
      </c>
      <c r="G1094" t="n">
        <v>-0.146006642</v>
      </c>
      <c r="H1094" t="n">
        <v>-1.131760922</v>
      </c>
      <c r="I1094" t="n">
        <v>2.223578988</v>
      </c>
      <c r="J1094" t="n">
        <v>0.26274505</v>
      </c>
    </row>
    <row r="1095">
      <c r="A1095" t="inlineStr">
        <is>
          <t>G|ORIG_BAL x ASSET_CLASS / SYS_FLAG|contribution_rate|band|2</t>
        </is>
      </c>
      <c r="B1095" t="n">
        <v>2.309727251</v>
      </c>
      <c r="C1095" t="n">
        <v>-0.333571012</v>
      </c>
      <c r="D1095" t="n">
        <v>-0.943631797</v>
      </c>
      <c r="E1095" t="n">
        <v>-1.288933611</v>
      </c>
      <c r="F1095" t="n">
        <v>-0.067138851</v>
      </c>
      <c r="G1095" t="n">
        <v>-0.464113367</v>
      </c>
      <c r="H1095" t="n">
        <v>-1.623860484</v>
      </c>
      <c r="I1095" t="n">
        <v>2.225582545</v>
      </c>
    </row>
    <row r="1096">
      <c r="A1096" t="inlineStr">
        <is>
          <t>G|ORIG_BAL x ASSET_CLASS / SYS_FLAG|contribution_rate|rate|3</t>
        </is>
      </c>
      <c r="B1096" t="n">
        <v>0.1724395835330208</v>
      </c>
      <c r="C1096" t="n">
        <v>0.1695387812678755</v>
      </c>
      <c r="D1096" t="n">
        <v>0.1566906429330407</v>
      </c>
      <c r="E1096" t="n">
        <v>0.165754357770011</v>
      </c>
      <c r="F1096" t="n">
        <v>0.1621666456549517</v>
      </c>
      <c r="G1096" t="n">
        <v>0.1718353318001772</v>
      </c>
      <c r="H1096" t="n">
        <v>0.1773567856754636</v>
      </c>
      <c r="I1096" t="n">
        <v>0.1768338794546308</v>
      </c>
      <c r="J1096" t="n">
        <v>0.1687501739092803</v>
      </c>
    </row>
    <row r="1097">
      <c r="A1097" t="inlineStr">
        <is>
          <t>G|ORIG_BAL x ASSET_CLASS / SYS_FLAG|contribution_rate|book|3</t>
        </is>
      </c>
      <c r="B1097" t="n">
        <v>0.28471278</v>
      </c>
      <c r="C1097" t="n">
        <v>-0.005367447</v>
      </c>
      <c r="D1097" t="n">
        <v>-1.29018128</v>
      </c>
      <c r="E1097" t="n">
        <v>-0.383809796</v>
      </c>
      <c r="F1097" t="n">
        <v>-0.742581008</v>
      </c>
      <c r="G1097" t="n">
        <v>0.224287607</v>
      </c>
      <c r="H1097" t="n">
        <v>0.776432994</v>
      </c>
      <c r="I1097" t="n">
        <v>0.724142372</v>
      </c>
      <c r="J1097" t="n">
        <v>-0.084228183</v>
      </c>
    </row>
    <row r="1098">
      <c r="A1098" t="inlineStr">
        <is>
          <t>G|ORIG_BAL x ASSET_CLASS / SYS_FLAG|contribution_rate|band|3</t>
        </is>
      </c>
      <c r="B1098" t="n">
        <v>0.425749076</v>
      </c>
      <c r="C1098" t="n">
        <v>0.08849069699999999</v>
      </c>
      <c r="D1098" t="n">
        <v>-1.432451344</v>
      </c>
      <c r="E1098" t="n">
        <v>-0.338077452</v>
      </c>
      <c r="F1098" t="n">
        <v>-0.7503324099999999</v>
      </c>
      <c r="G1098" t="n">
        <v>0.345075885</v>
      </c>
      <c r="H1098" t="n">
        <v>0.995247745</v>
      </c>
      <c r="I1098" t="n">
        <v>0.920691089</v>
      </c>
    </row>
    <row r="1099">
      <c r="A1099" t="inlineStr">
        <is>
          <t>G|ORIG_BAL x ASSET_CLASS / SYS_FLAG|contribution_rate|rate|4</t>
        </is>
      </c>
      <c r="B1099" t="n">
        <v>0.1597559262386171</v>
      </c>
      <c r="C1099" t="n">
        <v>0.1704981082632374</v>
      </c>
      <c r="D1099" t="n">
        <v>0.1742170214888749</v>
      </c>
      <c r="E1099" t="n">
        <v>0.1678791427414002</v>
      </c>
      <c r="F1099" t="n">
        <v>0.1770508616456425</v>
      </c>
      <c r="G1099" t="n">
        <v>0.1606415113674031</v>
      </c>
      <c r="H1099" t="n">
        <v>0.1762159593527407</v>
      </c>
      <c r="I1099" t="n">
        <v>0.1662296443178715</v>
      </c>
      <c r="J1099" t="n">
        <v>0.1691805976256633</v>
      </c>
    </row>
    <row r="1100">
      <c r="A1100" t="inlineStr">
        <is>
          <t>G|ORIG_BAL x ASSET_CLASS / SYS_FLAG|contribution_rate|book|4</t>
        </is>
      </c>
      <c r="B1100" t="n">
        <v>-0.98365295</v>
      </c>
      <c r="C1100" t="n">
        <v>0.090565253</v>
      </c>
      <c r="D1100" t="n">
        <v>0.462456575</v>
      </c>
      <c r="E1100" t="n">
        <v>-0.171331299</v>
      </c>
      <c r="F1100" t="n">
        <v>0.745840591</v>
      </c>
      <c r="G1100" t="n">
        <v>-0.895094437</v>
      </c>
      <c r="H1100" t="n">
        <v>0.662350362</v>
      </c>
      <c r="I1100" t="n">
        <v>-0.336281142</v>
      </c>
      <c r="J1100" t="n">
        <v>-0.041185811</v>
      </c>
    </row>
    <row r="1101">
      <c r="A1101" t="inlineStr">
        <is>
          <t>G|ORIG_BAL x ASSET_CLASS / SYS_FLAG|contribution_rate|band|4</t>
        </is>
      </c>
      <c r="B1101" t="n">
        <v>-1.081181802</v>
      </c>
      <c r="C1101" t="n">
        <v>0.148204404</v>
      </c>
      <c r="D1101" t="n">
        <v>0.584556479</v>
      </c>
      <c r="E1101" t="n">
        <v>-0.148614353</v>
      </c>
      <c r="F1101" t="n">
        <v>0.891709126</v>
      </c>
      <c r="G1101" t="n">
        <v>-0.971733003</v>
      </c>
      <c r="H1101" t="n">
        <v>0.818653874</v>
      </c>
      <c r="I1101" t="n">
        <v>-0.334850042</v>
      </c>
    </row>
    <row r="1102">
      <c r="A1102" t="inlineStr">
        <is>
          <t>G|ORIG_BAL x ASSET_CLASS / SYS_FLAG|contribution_rate|rate|5</t>
        </is>
      </c>
      <c r="B1102" t="n">
        <v>0.1679187672957926</v>
      </c>
      <c r="C1102" t="n">
        <v>0.1790333472910162</v>
      </c>
      <c r="D1102" t="n">
        <v>0.1692912131104163</v>
      </c>
      <c r="E1102" t="n">
        <v>0.1513804767721622</v>
      </c>
      <c r="F1102" t="n">
        <v>0.160557185036755</v>
      </c>
      <c r="G1102" t="n">
        <v>0.1595617925666591</v>
      </c>
      <c r="H1102" t="n">
        <v>0.1705564266288198</v>
      </c>
      <c r="I1102" t="n">
        <v>0.1696841892181561</v>
      </c>
      <c r="J1102" t="n">
        <v>0.1659766215946924</v>
      </c>
    </row>
    <row r="1103">
      <c r="A1103" t="inlineStr">
        <is>
          <t>G|ORIG_BAL x ASSET_CLASS / SYS_FLAG|contribution_rate|book|5</t>
        </is>
      </c>
      <c r="B1103" t="n">
        <v>-0.167368844</v>
      </c>
      <c r="C1103" t="n">
        <v>0.944089156</v>
      </c>
      <c r="D1103" t="n">
        <v>-0.030124262</v>
      </c>
      <c r="E1103" t="n">
        <v>-1.821197896</v>
      </c>
      <c r="F1103" t="n">
        <v>-0.90352707</v>
      </c>
      <c r="G1103" t="n">
        <v>-1.003066317</v>
      </c>
      <c r="H1103" t="n">
        <v>0.09639708900000001</v>
      </c>
      <c r="I1103" t="n">
        <v>0.009173348</v>
      </c>
      <c r="J1103" t="n">
        <v>-0.361583414</v>
      </c>
    </row>
    <row r="1104">
      <c r="A1104" t="inlineStr">
        <is>
          <t>G|ORIG_BAL x ASSET_CLASS / SYS_FLAG|contribution_rate|band|5</t>
        </is>
      </c>
      <c r="B1104" t="n">
        <v>0.22485871</v>
      </c>
      <c r="C1104" t="n">
        <v>1.486276766</v>
      </c>
      <c r="D1104" t="n">
        <v>0.379043631</v>
      </c>
      <c r="E1104" t="n">
        <v>-1.664263986</v>
      </c>
      <c r="F1104" t="n">
        <v>-0.631421074</v>
      </c>
      <c r="G1104" t="n">
        <v>-0.72178877</v>
      </c>
      <c r="H1104" t="n">
        <v>0.528675804</v>
      </c>
      <c r="I1104" t="n">
        <v>0.415185572</v>
      </c>
    </row>
    <row r="1105">
      <c r="A1105" t="inlineStr">
        <is>
          <t>G|ORIG_BAL x ASSET_CLASS / SYS_FLAG|contribution_rate|rate|6</t>
        </is>
      </c>
    </row>
    <row r="1106">
      <c r="A1106" t="inlineStr">
        <is>
          <t>G|ORIG_BAL x ASSET_CLASS / SYS_FLAG|contribution_rate|book|6</t>
        </is>
      </c>
    </row>
    <row r="1107">
      <c r="A1107" t="inlineStr">
        <is>
          <t>G|ORIG_BAL x ASSET_CLASS / SYS_FLAG|contribution_rate|band|6</t>
        </is>
      </c>
    </row>
    <row r="1108">
      <c r="A1108" t="inlineStr">
        <is>
          <t>G|ORIG_BAL x ASSET_CLASS / SYS_FLAG|contribution_rate|rate|7</t>
        </is>
      </c>
      <c r="B1108" t="n">
        <v>0.1720175555717958</v>
      </c>
      <c r="C1108" t="n">
        <v>0.1746105286323749</v>
      </c>
      <c r="D1108" t="n">
        <v>0.1679470896613688</v>
      </c>
      <c r="E1108" t="n">
        <v>0.1608585159559363</v>
      </c>
      <c r="F1108" t="n">
        <v>0.1678337458030882</v>
      </c>
      <c r="G1108" t="n">
        <v>0.1652986533572751</v>
      </c>
      <c r="H1108" t="n">
        <v>0.1733503472186024</v>
      </c>
      <c r="I1108" t="n">
        <v>0.1744144949802069</v>
      </c>
      <c r="J1108" t="n">
        <v>0.1695924557349811</v>
      </c>
    </row>
    <row r="1109">
      <c r="A1109" t="inlineStr">
        <is>
          <t>G|ORIG_BAL x ASSET_CLASS / SYS_FLAG|contribution_rate|book|7</t>
        </is>
      </c>
      <c r="B1109" t="n">
        <v>0.242509984</v>
      </c>
      <c r="C1109" t="n">
        <v>0.50180729</v>
      </c>
      <c r="D1109" t="n">
        <v>-0.164536607</v>
      </c>
      <c r="E1109" t="n">
        <v>-0.873393978</v>
      </c>
      <c r="F1109" t="n">
        <v>-0.175870993</v>
      </c>
      <c r="G1109" t="n">
        <v>-0.429380238</v>
      </c>
      <c r="H1109" t="n">
        <v>0.375789148</v>
      </c>
      <c r="I1109" t="n">
        <v>0.482203925</v>
      </c>
      <c r="J1109" t="n">
        <v>0</v>
      </c>
    </row>
    <row r="1110">
      <c r="A1110" t="inlineStr">
        <is>
          <t>G|ORIG_BAL x ASSET_CLASS / SYS_FLAG|contribution_rate|band|7</t>
        </is>
      </c>
    </row>
    <row r="1111">
      <c r="A1111" t="inlineStr">
        <is>
          <t>G|ORIG_BAL x ASSET_CLASS / SYS_FLAG|contribution_rate|meta</t>
        </is>
      </c>
      <c r="B1111" t="inlineStr">
        <is>
          <t>pts</t>
        </is>
      </c>
      <c r="C1111" t="n">
        <v>2.822919022</v>
      </c>
      <c r="D1111" t="n">
        <v>10</v>
      </c>
    </row>
    <row r="1112">
      <c r="A1112" t="inlineStr">
        <is>
          <t>P|0|FICO x CHANNEL|head</t>
        </is>
      </c>
      <c r="B1112" t="inlineStr">
        <is>
          <t>FICO</t>
        </is>
      </c>
      <c r="C1112" t="inlineStr">
        <is>
          <t>CHANNEL</t>
        </is>
      </c>
      <c r="D1112" t="inlineStr">
        <is>
          <t>Loans</t>
        </is>
      </c>
      <c r="E1112" t="inlineStr">
        <is>
          <t>Booked dollars</t>
        </is>
      </c>
      <c r="F1112" t="inlineStr">
        <is>
          <t>N</t>
        </is>
      </c>
      <c r="H1112" t="inlineStr">
        <is>
          <t>Y</t>
        </is>
      </c>
    </row>
    <row r="1113">
      <c r="A1113" t="inlineStr">
        <is>
          <t>P|0|FICO x CHANNEL|1</t>
        </is>
      </c>
      <c r="B1113" t="inlineStr">
        <is>
          <t>496 - 653</t>
        </is>
      </c>
      <c r="C1113" t="inlineStr">
        <is>
          <t>Branch</t>
        </is>
      </c>
      <c r="D1113" t="n">
        <v>502</v>
      </c>
      <c r="E1113" t="n">
        <v>16339706.79000001</v>
      </c>
      <c r="F1113" t="n">
        <v>271</v>
      </c>
      <c r="G1113" t="n">
        <v>8616970.880000006</v>
      </c>
      <c r="H1113" t="n">
        <v>231</v>
      </c>
      <c r="I1113" t="n">
        <v>7722735.910000001</v>
      </c>
    </row>
    <row r="1114">
      <c r="A1114" t="inlineStr">
        <is>
          <t>P|0|FICO x CHANNEL|2</t>
        </is>
      </c>
      <c r="B1114" t="inlineStr">
        <is>
          <t>496 - 653</t>
        </is>
      </c>
      <c r="C1114" t="inlineStr">
        <is>
          <t>Broker</t>
        </is>
      </c>
      <c r="D1114" t="n">
        <v>523</v>
      </c>
      <c r="E1114" t="n">
        <v>17041067.38</v>
      </c>
      <c r="F1114" t="n">
        <v>258</v>
      </c>
      <c r="G1114" t="n">
        <v>8508056.250000006</v>
      </c>
      <c r="H1114" t="n">
        <v>265</v>
      </c>
      <c r="I1114" t="n">
        <v>8533011.129999999</v>
      </c>
    </row>
    <row r="1115">
      <c r="A1115" t="inlineStr">
        <is>
          <t>P|0|FICO x CHANNEL|3</t>
        </is>
      </c>
      <c r="B1115" t="inlineStr">
        <is>
          <t>496 - 653</t>
        </is>
      </c>
      <c r="C1115" t="inlineStr">
        <is>
          <t>Online</t>
        </is>
      </c>
      <c r="D1115" t="n">
        <v>531</v>
      </c>
      <c r="E1115" t="n">
        <v>17367178.27</v>
      </c>
      <c r="F1115" t="n">
        <v>305</v>
      </c>
      <c r="G1115" t="n">
        <v>9925227.060000001</v>
      </c>
      <c r="H1115" t="n">
        <v>226</v>
      </c>
      <c r="I1115" t="n">
        <v>7441951.209999996</v>
      </c>
    </row>
    <row r="1116">
      <c r="A1116" t="inlineStr">
        <is>
          <t>P|0|FICO x CHANNEL|4</t>
        </is>
      </c>
      <c r="B1116" t="inlineStr">
        <is>
          <t>654 - 685</t>
        </is>
      </c>
      <c r="C1116" t="inlineStr">
        <is>
          <t>Branch</t>
        </is>
      </c>
      <c r="D1116" t="n">
        <v>503</v>
      </c>
      <c r="E1116" t="n">
        <v>16176090.75999999</v>
      </c>
      <c r="F1116" t="n">
        <v>249</v>
      </c>
      <c r="G1116" t="n">
        <v>8063542.109999994</v>
      </c>
      <c r="H1116" t="n">
        <v>254</v>
      </c>
      <c r="I1116" t="n">
        <v>8112548.649999998</v>
      </c>
    </row>
    <row r="1117">
      <c r="A1117" t="inlineStr">
        <is>
          <t>P|0|FICO x CHANNEL|5</t>
        </is>
      </c>
      <c r="B1117" t="inlineStr">
        <is>
          <t>654 - 685</t>
        </is>
      </c>
      <c r="C1117" t="inlineStr">
        <is>
          <t>Broker</t>
        </is>
      </c>
      <c r="D1117" t="n">
        <v>531</v>
      </c>
      <c r="E1117" t="n">
        <v>17321902.41999999</v>
      </c>
      <c r="F1117" t="n">
        <v>287</v>
      </c>
      <c r="G1117" t="n">
        <v>9485611.939999998</v>
      </c>
      <c r="H1117" t="n">
        <v>244</v>
      </c>
      <c r="I1117" t="n">
        <v>7836290.479999998</v>
      </c>
    </row>
    <row r="1118">
      <c r="A1118" t="inlineStr">
        <is>
          <t>P|0|FICO x CHANNEL|6</t>
        </is>
      </c>
      <c r="B1118" t="inlineStr">
        <is>
          <t>654 - 685</t>
        </is>
      </c>
      <c r="C1118" t="inlineStr">
        <is>
          <t>Online</t>
        </is>
      </c>
      <c r="D1118" t="n">
        <v>505</v>
      </c>
      <c r="E1118" t="n">
        <v>15851602.5</v>
      </c>
      <c r="F1118" t="n">
        <v>269</v>
      </c>
      <c r="G1118" t="n">
        <v>8694349.990000004</v>
      </c>
      <c r="H1118" t="n">
        <v>236</v>
      </c>
      <c r="I1118" t="n">
        <v>7157252.51</v>
      </c>
    </row>
    <row r="1119">
      <c r="A1119" t="inlineStr">
        <is>
          <t>P|0|FICO x CHANNEL|7</t>
        </is>
      </c>
      <c r="B1119" t="inlineStr">
        <is>
          <t>686 - 711</t>
        </is>
      </c>
      <c r="C1119" t="inlineStr">
        <is>
          <t>Branch</t>
        </is>
      </c>
      <c r="D1119" t="n">
        <v>515</v>
      </c>
      <c r="E1119" t="n">
        <v>16839795.27</v>
      </c>
      <c r="F1119" t="n">
        <v>280</v>
      </c>
      <c r="G1119" t="n">
        <v>9250034.289999995</v>
      </c>
      <c r="H1119" t="n">
        <v>235</v>
      </c>
      <c r="I1119" t="n">
        <v>7589760.98</v>
      </c>
    </row>
    <row r="1120">
      <c r="A1120" t="inlineStr">
        <is>
          <t>P|0|FICO x CHANNEL|8</t>
        </is>
      </c>
      <c r="B1120" t="inlineStr">
        <is>
          <t>686 - 711</t>
        </is>
      </c>
      <c r="C1120" t="inlineStr">
        <is>
          <t>Broker</t>
        </is>
      </c>
      <c r="D1120" t="n">
        <v>501</v>
      </c>
      <c r="E1120" t="n">
        <v>16516467.51</v>
      </c>
      <c r="F1120" t="n">
        <v>271</v>
      </c>
      <c r="G1120" t="n">
        <v>8724079.030000001</v>
      </c>
      <c r="H1120" t="n">
        <v>230</v>
      </c>
      <c r="I1120" t="n">
        <v>7792388.48</v>
      </c>
    </row>
    <row r="1121">
      <c r="A1121" t="inlineStr">
        <is>
          <t>P|0|FICO x CHANNEL|9</t>
        </is>
      </c>
      <c r="B1121" t="inlineStr">
        <is>
          <t>686 - 711</t>
        </is>
      </c>
      <c r="C1121" t="inlineStr">
        <is>
          <t>Online</t>
        </is>
      </c>
      <c r="D1121" t="n">
        <v>546</v>
      </c>
      <c r="E1121" t="n">
        <v>17660164.64000001</v>
      </c>
      <c r="F1121" t="n">
        <v>297</v>
      </c>
      <c r="G1121" t="n">
        <v>9118030.480000006</v>
      </c>
      <c r="H1121" t="n">
        <v>249</v>
      </c>
      <c r="I1121" t="n">
        <v>8542134.160000002</v>
      </c>
    </row>
    <row r="1122">
      <c r="A1122" t="inlineStr">
        <is>
          <t>P|0|FICO x CHANNEL|10</t>
        </is>
      </c>
      <c r="B1122" t="inlineStr">
        <is>
          <t>712 - 745</t>
        </is>
      </c>
      <c r="C1122" t="inlineStr">
        <is>
          <t>Branch</t>
        </is>
      </c>
      <c r="D1122" t="n">
        <v>538</v>
      </c>
      <c r="E1122" t="n">
        <v>16513064.02999999</v>
      </c>
      <c r="F1122" t="n">
        <v>307</v>
      </c>
      <c r="G1122" t="n">
        <v>9359005.379999993</v>
      </c>
      <c r="H1122" t="n">
        <v>231</v>
      </c>
      <c r="I1122" t="n">
        <v>7154058.649999997</v>
      </c>
    </row>
    <row r="1123">
      <c r="A1123" t="inlineStr">
        <is>
          <t>P|0|FICO x CHANNEL|11</t>
        </is>
      </c>
      <c r="B1123" t="inlineStr">
        <is>
          <t>712 - 745</t>
        </is>
      </c>
      <c r="C1123" t="inlineStr">
        <is>
          <t>Broker</t>
        </is>
      </c>
      <c r="D1123" t="n">
        <v>509</v>
      </c>
      <c r="E1123" t="n">
        <v>16230509.4</v>
      </c>
      <c r="F1123" t="n">
        <v>291</v>
      </c>
      <c r="G1123" t="n">
        <v>9193841.93</v>
      </c>
      <c r="H1123" t="n">
        <v>218</v>
      </c>
      <c r="I1123" t="n">
        <v>7036667.47</v>
      </c>
    </row>
    <row r="1124">
      <c r="A1124" t="inlineStr">
        <is>
          <t>P|0|FICO x CHANNEL|12</t>
        </is>
      </c>
      <c r="B1124" t="inlineStr">
        <is>
          <t>712 - 745</t>
        </is>
      </c>
      <c r="C1124" t="inlineStr">
        <is>
          <t>Online</t>
        </is>
      </c>
      <c r="D1124" t="n">
        <v>564</v>
      </c>
      <c r="E1124" t="n">
        <v>18368910.49000001</v>
      </c>
      <c r="F1124" t="n">
        <v>286</v>
      </c>
      <c r="G1124" t="n">
        <v>9060212.500000004</v>
      </c>
      <c r="H1124" t="n">
        <v>278</v>
      </c>
      <c r="I1124" t="n">
        <v>9308697.990000006</v>
      </c>
    </row>
    <row r="1125">
      <c r="A1125" t="inlineStr">
        <is>
          <t>P|0|FICO x CHANNEL|13</t>
        </is>
      </c>
      <c r="B1125" t="inlineStr">
        <is>
          <t>746 - 921</t>
        </is>
      </c>
      <c r="C1125" t="inlineStr">
        <is>
          <t>Branch</t>
        </is>
      </c>
      <c r="D1125" t="n">
        <v>518</v>
      </c>
      <c r="E1125" t="n">
        <v>16450329.82999999</v>
      </c>
      <c r="F1125" t="n">
        <v>279</v>
      </c>
      <c r="G1125" t="n">
        <v>9003882.69999999</v>
      </c>
      <c r="H1125" t="n">
        <v>239</v>
      </c>
      <c r="I1125" t="n">
        <v>7446447.130000001</v>
      </c>
    </row>
    <row r="1126">
      <c r="A1126" t="inlineStr">
        <is>
          <t>P|0|FICO x CHANNEL|14</t>
        </is>
      </c>
      <c r="B1126" t="inlineStr">
        <is>
          <t>746 - 921</t>
        </is>
      </c>
      <c r="C1126" t="inlineStr">
        <is>
          <t>Broker</t>
        </is>
      </c>
      <c r="D1126" t="n">
        <v>536</v>
      </c>
      <c r="E1126" t="n">
        <v>17135666.28000001</v>
      </c>
      <c r="F1126" t="n">
        <v>299</v>
      </c>
      <c r="G1126" t="n">
        <v>9401860.040000001</v>
      </c>
      <c r="H1126" t="n">
        <v>237</v>
      </c>
      <c r="I1126" t="n">
        <v>7733806.240000006</v>
      </c>
    </row>
    <row r="1127">
      <c r="A1127" t="inlineStr">
        <is>
          <t>P|0|FICO x CHANNEL|15</t>
        </is>
      </c>
      <c r="B1127" t="inlineStr">
        <is>
          <t>746 - 921</t>
        </is>
      </c>
      <c r="C1127" t="inlineStr">
        <is>
          <t>Online</t>
        </is>
      </c>
      <c r="D1127" t="n">
        <v>517</v>
      </c>
      <c r="E1127" t="n">
        <v>16939748.2</v>
      </c>
      <c r="F1127" t="n">
        <v>292</v>
      </c>
      <c r="G1127" t="n">
        <v>9486832.630000001</v>
      </c>
      <c r="H1127" t="n">
        <v>225</v>
      </c>
      <c r="I1127" t="n">
        <v>7452915.570000002</v>
      </c>
    </row>
    <row r="1128">
      <c r="A1128" t="inlineStr">
        <is>
          <t>P|0|FICO x CHANNEL|16</t>
        </is>
      </c>
      <c r="B1128" t="inlineStr">
        <is>
          <t>(blank)</t>
        </is>
      </c>
      <c r="C1128" t="inlineStr">
        <is>
          <t>Broker</t>
        </is>
      </c>
      <c r="D1128" t="n">
        <v>1</v>
      </c>
      <c r="E1128" t="n">
        <v>27999.47</v>
      </c>
      <c r="F1128" t="n">
        <v>0</v>
      </c>
      <c r="G1128" t="n">
        <v>0</v>
      </c>
      <c r="H1128" t="n">
        <v>1</v>
      </c>
      <c r="I1128" t="n">
        <v>27999.47</v>
      </c>
    </row>
    <row r="1129">
      <c r="A1129" t="inlineStr">
        <is>
          <t>P|0|FICO x CHANNEL|17</t>
        </is>
      </c>
      <c r="B1129" t="inlineStr">
        <is>
          <t>(marked missing)</t>
        </is>
      </c>
      <c r="C1129" t="inlineStr">
        <is>
          <t>Branch</t>
        </is>
      </c>
      <c r="D1129" t="n">
        <v>51</v>
      </c>
      <c r="E1129" t="n">
        <v>1771003.54</v>
      </c>
      <c r="F1129" t="n">
        <v>29</v>
      </c>
      <c r="G1129" t="n">
        <v>1023717.84</v>
      </c>
      <c r="H1129" t="n">
        <v>22</v>
      </c>
      <c r="I1129" t="n">
        <v>747285.7</v>
      </c>
    </row>
    <row r="1130">
      <c r="A1130" t="inlineStr">
        <is>
          <t>P|0|FICO x CHANNEL|18</t>
        </is>
      </c>
      <c r="B1130" t="inlineStr">
        <is>
          <t>(marked missing)</t>
        </is>
      </c>
      <c r="C1130" t="inlineStr">
        <is>
          <t>Broker</t>
        </is>
      </c>
      <c r="D1130" t="n">
        <v>54</v>
      </c>
      <c r="E1130" t="n">
        <v>1668510.01</v>
      </c>
      <c r="F1130" t="n">
        <v>29</v>
      </c>
      <c r="G1130" t="n">
        <v>853273.7799999998</v>
      </c>
      <c r="H1130" t="n">
        <v>25</v>
      </c>
      <c r="I1130" t="n">
        <v>815236.2300000002</v>
      </c>
    </row>
    <row r="1131">
      <c r="A1131" t="inlineStr">
        <is>
          <t>P|0|FICO x CHANNEL|19</t>
        </is>
      </c>
      <c r="B1131" t="inlineStr">
        <is>
          <t>(marked missing)</t>
        </is>
      </c>
      <c r="C1131" t="inlineStr">
        <is>
          <t>Online</t>
        </is>
      </c>
      <c r="D1131" t="n">
        <v>55</v>
      </c>
      <c r="E1131" t="n">
        <v>1848729.24</v>
      </c>
      <c r="F1131" t="n">
        <v>30</v>
      </c>
      <c r="G1131" t="n">
        <v>979704.2100000001</v>
      </c>
      <c r="H1131" t="n">
        <v>25</v>
      </c>
      <c r="I1131" t="n">
        <v>869025.03</v>
      </c>
    </row>
    <row r="1132">
      <c r="A1132" t="inlineStr">
        <is>
          <t>P|0|FICO x CHANNEL|20</t>
        </is>
      </c>
      <c r="B1132" t="inlineStr">
        <is>
          <t>Every pocket</t>
        </is>
      </c>
      <c r="D1132" t="n">
        <v>8000</v>
      </c>
      <c r="E1132" t="n">
        <v>258068446.03</v>
      </c>
      <c r="F1132" t="n">
        <v>4329</v>
      </c>
      <c r="G1132" t="n">
        <v>138748233.04</v>
      </c>
      <c r="H1132" t="n">
        <v>3671</v>
      </c>
      <c r="I1132" t="n">
        <v>119320212.99</v>
      </c>
    </row>
    <row r="1133">
      <c r="A1133" t="inlineStr">
        <is>
          <t>P|0|FICO x CHANNEL|21</t>
        </is>
      </c>
      <c r="B1133" t="inlineStr">
        <is>
          <t>Share of the grid</t>
        </is>
      </c>
      <c r="F1133" t="n">
        <v>0.541125</v>
      </c>
      <c r="G1133" t="n">
        <v>0.5376412156326573</v>
      </c>
      <c r="H1133" t="n">
        <v>0.458875</v>
      </c>
      <c r="I1133" t="n">
        <v>0.4623587843673427</v>
      </c>
    </row>
    <row r="1134">
      <c r="A1134" t="inlineStr">
        <is>
          <t>P|0|FICO x ASSET_CLASS|head</t>
        </is>
      </c>
      <c r="B1134" t="inlineStr">
        <is>
          <t>FICO</t>
        </is>
      </c>
      <c r="C1134" t="inlineStr">
        <is>
          <t>ASSET_CLASS</t>
        </is>
      </c>
      <c r="D1134" t="inlineStr">
        <is>
          <t>Loans</t>
        </is>
      </c>
      <c r="E1134" t="inlineStr">
        <is>
          <t>Booked dollars</t>
        </is>
      </c>
      <c r="F1134" t="inlineStr">
        <is>
          <t>N</t>
        </is>
      </c>
      <c r="H1134" t="inlineStr">
        <is>
          <t>Y</t>
        </is>
      </c>
    </row>
    <row r="1135">
      <c r="A1135" t="inlineStr">
        <is>
          <t>P|0|FICO x ASSET_CLASS|1</t>
        </is>
      </c>
      <c r="B1135" t="inlineStr">
        <is>
          <t>496 - 653</t>
        </is>
      </c>
      <c r="C1135" t="inlineStr">
        <is>
          <t>1</t>
        </is>
      </c>
      <c r="D1135" t="n">
        <v>420</v>
      </c>
      <c r="E1135" t="n">
        <v>13469152.5</v>
      </c>
      <c r="F1135" t="n">
        <v>234</v>
      </c>
      <c r="G1135" t="n">
        <v>7231058.249999998</v>
      </c>
      <c r="H1135" t="n">
        <v>186</v>
      </c>
      <c r="I1135" t="n">
        <v>6238094.25</v>
      </c>
    </row>
    <row r="1136">
      <c r="A1136" t="inlineStr">
        <is>
          <t>P|0|FICO x ASSET_CLASS|2</t>
        </is>
      </c>
      <c r="B1136" t="inlineStr">
        <is>
          <t>496 - 653</t>
        </is>
      </c>
      <c r="C1136" t="inlineStr">
        <is>
          <t>2</t>
        </is>
      </c>
      <c r="D1136" t="n">
        <v>394</v>
      </c>
      <c r="E1136" t="n">
        <v>13268648.05</v>
      </c>
      <c r="F1136" t="n">
        <v>213</v>
      </c>
      <c r="G1136" t="n">
        <v>6962430.310000005</v>
      </c>
      <c r="H1136" t="n">
        <v>181</v>
      </c>
      <c r="I1136" t="n">
        <v>6306217.74</v>
      </c>
    </row>
    <row r="1137">
      <c r="A1137" t="inlineStr">
        <is>
          <t>P|0|FICO x ASSET_CLASS|3</t>
        </is>
      </c>
      <c r="B1137" t="inlineStr">
        <is>
          <t>496 - 653</t>
        </is>
      </c>
      <c r="C1137" t="inlineStr">
        <is>
          <t>3</t>
        </is>
      </c>
      <c r="D1137" t="n">
        <v>350</v>
      </c>
      <c r="E1137" t="n">
        <v>11724243.3</v>
      </c>
      <c r="F1137" t="n">
        <v>184</v>
      </c>
      <c r="G1137" t="n">
        <v>6326090.790000003</v>
      </c>
      <c r="H1137" t="n">
        <v>166</v>
      </c>
      <c r="I1137" t="n">
        <v>5398152.510000002</v>
      </c>
    </row>
    <row r="1138">
      <c r="A1138" t="inlineStr">
        <is>
          <t>P|0|FICO x ASSET_CLASS|4</t>
        </is>
      </c>
      <c r="B1138" t="inlineStr">
        <is>
          <t>496 - 653</t>
        </is>
      </c>
      <c r="C1138" t="inlineStr">
        <is>
          <t>4</t>
        </is>
      </c>
      <c r="D1138" t="n">
        <v>392</v>
      </c>
      <c r="E1138" t="n">
        <v>12285908.59</v>
      </c>
      <c r="F1138" t="n">
        <v>203</v>
      </c>
      <c r="G1138" t="n">
        <v>6530674.840000001</v>
      </c>
      <c r="H1138" t="n">
        <v>189</v>
      </c>
      <c r="I1138" t="n">
        <v>5755233.75</v>
      </c>
    </row>
    <row r="1139">
      <c r="A1139" t="inlineStr">
        <is>
          <t>P|0|FICO x ASSET_CLASS|5</t>
        </is>
      </c>
      <c r="B1139" t="inlineStr">
        <is>
          <t>654 - 685</t>
        </is>
      </c>
      <c r="C1139" t="inlineStr">
        <is>
          <t>1</t>
        </is>
      </c>
      <c r="D1139" t="n">
        <v>397</v>
      </c>
      <c r="E1139" t="n">
        <v>12630808.77</v>
      </c>
      <c r="F1139" t="n">
        <v>210</v>
      </c>
      <c r="G1139" t="n">
        <v>6852251.330000001</v>
      </c>
      <c r="H1139" t="n">
        <v>187</v>
      </c>
      <c r="I1139" t="n">
        <v>5778557.439999999</v>
      </c>
    </row>
    <row r="1140">
      <c r="A1140" t="inlineStr">
        <is>
          <t>P|0|FICO x ASSET_CLASS|6</t>
        </is>
      </c>
      <c r="B1140" t="inlineStr">
        <is>
          <t>654 - 685</t>
        </is>
      </c>
      <c r="C1140" t="inlineStr">
        <is>
          <t>2</t>
        </is>
      </c>
      <c r="D1140" t="n">
        <v>355</v>
      </c>
      <c r="E1140" t="n">
        <v>11168462.05</v>
      </c>
      <c r="F1140" t="n">
        <v>192</v>
      </c>
      <c r="G1140" t="n">
        <v>6057877.170000002</v>
      </c>
      <c r="H1140" t="n">
        <v>163</v>
      </c>
      <c r="I1140" t="n">
        <v>5110584.88</v>
      </c>
    </row>
    <row r="1141">
      <c r="A1141" t="inlineStr">
        <is>
          <t>P|0|FICO x ASSET_CLASS|7</t>
        </is>
      </c>
      <c r="B1141" t="inlineStr">
        <is>
          <t>654 - 685</t>
        </is>
      </c>
      <c r="C1141" t="inlineStr">
        <is>
          <t>3</t>
        </is>
      </c>
      <c r="D1141" t="n">
        <v>377</v>
      </c>
      <c r="E1141" t="n">
        <v>11987321.02</v>
      </c>
      <c r="F1141" t="n">
        <v>184</v>
      </c>
      <c r="G1141" t="n">
        <v>5977387.739999998</v>
      </c>
      <c r="H1141" t="n">
        <v>193</v>
      </c>
      <c r="I1141" t="n">
        <v>6009933.279999998</v>
      </c>
    </row>
    <row r="1142">
      <c r="A1142" t="inlineStr">
        <is>
          <t>P|0|FICO x ASSET_CLASS|8</t>
        </is>
      </c>
      <c r="B1142" t="inlineStr">
        <is>
          <t>654 - 685</t>
        </is>
      </c>
      <c r="C1142" t="inlineStr">
        <is>
          <t>4</t>
        </is>
      </c>
      <c r="D1142" t="n">
        <v>410</v>
      </c>
      <c r="E1142" t="n">
        <v>13563003.83999999</v>
      </c>
      <c r="F1142" t="n">
        <v>219</v>
      </c>
      <c r="G1142" t="n">
        <v>7355987.799999998</v>
      </c>
      <c r="H1142" t="n">
        <v>191</v>
      </c>
      <c r="I1142" t="n">
        <v>6207016.039999996</v>
      </c>
    </row>
    <row r="1143">
      <c r="A1143" t="inlineStr">
        <is>
          <t>P|0|FICO x ASSET_CLASS|9</t>
        </is>
      </c>
      <c r="B1143" t="inlineStr">
        <is>
          <t>686 - 711</t>
        </is>
      </c>
      <c r="C1143" t="inlineStr">
        <is>
          <t>1</t>
        </is>
      </c>
      <c r="D1143" t="n">
        <v>372</v>
      </c>
      <c r="E1143" t="n">
        <v>11800012.44</v>
      </c>
      <c r="F1143" t="n">
        <v>205</v>
      </c>
      <c r="G1143" t="n">
        <v>6222482.109999998</v>
      </c>
      <c r="H1143" t="n">
        <v>167</v>
      </c>
      <c r="I1143" t="n">
        <v>5577530.330000002</v>
      </c>
    </row>
    <row r="1144">
      <c r="A1144" t="inlineStr">
        <is>
          <t>P|0|FICO x ASSET_CLASS|10</t>
        </is>
      </c>
      <c r="B1144" t="inlineStr">
        <is>
          <t>686 - 711</t>
        </is>
      </c>
      <c r="C1144" t="inlineStr">
        <is>
          <t>2</t>
        </is>
      </c>
      <c r="D1144" t="n">
        <v>395</v>
      </c>
      <c r="E1144" t="n">
        <v>12948870.12</v>
      </c>
      <c r="F1144" t="n">
        <v>216</v>
      </c>
      <c r="G1144" t="n">
        <v>7044506.669999999</v>
      </c>
      <c r="H1144" t="n">
        <v>179</v>
      </c>
      <c r="I1144" t="n">
        <v>5904363.450000001</v>
      </c>
    </row>
    <row r="1145">
      <c r="A1145" t="inlineStr">
        <is>
          <t>P|0|FICO x ASSET_CLASS|11</t>
        </is>
      </c>
      <c r="B1145" t="inlineStr">
        <is>
          <t>686 - 711</t>
        </is>
      </c>
      <c r="C1145" t="inlineStr">
        <is>
          <t>3</t>
        </is>
      </c>
      <c r="D1145" t="n">
        <v>388</v>
      </c>
      <c r="E1145" t="n">
        <v>12791047.54</v>
      </c>
      <c r="F1145" t="n">
        <v>192</v>
      </c>
      <c r="G1145" t="n">
        <v>6314930.580000002</v>
      </c>
      <c r="H1145" t="n">
        <v>196</v>
      </c>
      <c r="I1145" t="n">
        <v>6476116.959999999</v>
      </c>
    </row>
    <row r="1146">
      <c r="A1146" t="inlineStr">
        <is>
          <t>P|0|FICO x ASSET_CLASS|12</t>
        </is>
      </c>
      <c r="B1146" t="inlineStr">
        <is>
          <t>686 - 711</t>
        </is>
      </c>
      <c r="C1146" t="inlineStr">
        <is>
          <t>4</t>
        </is>
      </c>
      <c r="D1146" t="n">
        <v>407</v>
      </c>
      <c r="E1146" t="n">
        <v>13476497.32</v>
      </c>
      <c r="F1146" t="n">
        <v>235</v>
      </c>
      <c r="G1146" t="n">
        <v>7510224.44</v>
      </c>
      <c r="H1146" t="n">
        <v>172</v>
      </c>
      <c r="I1146" t="n">
        <v>5966272.880000001</v>
      </c>
    </row>
    <row r="1147">
      <c r="A1147" t="inlineStr">
        <is>
          <t>P|0|FICO x ASSET_CLASS|13</t>
        </is>
      </c>
      <c r="B1147" t="inlineStr">
        <is>
          <t>712 - 745</t>
        </is>
      </c>
      <c r="C1147" t="inlineStr">
        <is>
          <t>1</t>
        </is>
      </c>
      <c r="D1147" t="n">
        <v>361</v>
      </c>
      <c r="E1147" t="n">
        <v>11568157.98</v>
      </c>
      <c r="F1147" t="n">
        <v>194</v>
      </c>
      <c r="G1147" t="n">
        <v>6149269.000000003</v>
      </c>
      <c r="H1147" t="n">
        <v>167</v>
      </c>
      <c r="I1147" t="n">
        <v>5418888.979999998</v>
      </c>
    </row>
    <row r="1148">
      <c r="A1148" t="inlineStr">
        <is>
          <t>P|0|FICO x ASSET_CLASS|14</t>
        </is>
      </c>
      <c r="B1148" t="inlineStr">
        <is>
          <t>712 - 745</t>
        </is>
      </c>
      <c r="C1148" t="inlineStr">
        <is>
          <t>2</t>
        </is>
      </c>
      <c r="D1148" t="n">
        <v>431</v>
      </c>
      <c r="E1148" t="n">
        <v>14091585.41</v>
      </c>
      <c r="F1148" t="n">
        <v>247</v>
      </c>
      <c r="G1148" t="n">
        <v>7611989.880000005</v>
      </c>
      <c r="H1148" t="n">
        <v>184</v>
      </c>
      <c r="I1148" t="n">
        <v>6479595.529999999</v>
      </c>
    </row>
    <row r="1149">
      <c r="A1149" t="inlineStr">
        <is>
          <t>P|0|FICO x ASSET_CLASS|15</t>
        </is>
      </c>
      <c r="B1149" t="inlineStr">
        <is>
          <t>712 - 745</t>
        </is>
      </c>
      <c r="C1149" t="inlineStr">
        <is>
          <t>3</t>
        </is>
      </c>
      <c r="D1149" t="n">
        <v>392</v>
      </c>
      <c r="E1149" t="n">
        <v>12300354.34</v>
      </c>
      <c r="F1149" t="n">
        <v>223</v>
      </c>
      <c r="G1149" t="n">
        <v>7126313.329999999</v>
      </c>
      <c r="H1149" t="n">
        <v>169</v>
      </c>
      <c r="I1149" t="n">
        <v>5174041.010000001</v>
      </c>
    </row>
    <row r="1150">
      <c r="A1150" t="inlineStr">
        <is>
          <t>P|0|FICO x ASSET_CLASS|16</t>
        </is>
      </c>
      <c r="B1150" t="inlineStr">
        <is>
          <t>712 - 745</t>
        </is>
      </c>
      <c r="C1150" t="inlineStr">
        <is>
          <t>4</t>
        </is>
      </c>
      <c r="D1150" t="n">
        <v>427</v>
      </c>
      <c r="E1150" t="n">
        <v>13152386.19</v>
      </c>
      <c r="F1150" t="n">
        <v>220</v>
      </c>
      <c r="G1150" t="n">
        <v>6725487.600000002</v>
      </c>
      <c r="H1150" t="n">
        <v>207</v>
      </c>
      <c r="I1150" t="n">
        <v>6426898.590000001</v>
      </c>
    </row>
    <row r="1151">
      <c r="A1151" t="inlineStr">
        <is>
          <t>P|0|FICO x ASSET_CLASS|17</t>
        </is>
      </c>
      <c r="B1151" t="inlineStr">
        <is>
          <t>746 - 921</t>
        </is>
      </c>
      <c r="C1151" t="inlineStr">
        <is>
          <t>1</t>
        </is>
      </c>
      <c r="D1151" t="n">
        <v>414</v>
      </c>
      <c r="E1151" t="n">
        <v>13339013.86</v>
      </c>
      <c r="F1151" t="n">
        <v>231</v>
      </c>
      <c r="G1151" t="n">
        <v>7339528.739999998</v>
      </c>
      <c r="H1151" t="n">
        <v>183</v>
      </c>
      <c r="I1151" t="n">
        <v>5999485.120000003</v>
      </c>
    </row>
    <row r="1152">
      <c r="A1152" t="inlineStr">
        <is>
          <t>P|0|FICO x ASSET_CLASS|18</t>
        </is>
      </c>
      <c r="B1152" t="inlineStr">
        <is>
          <t>746 - 921</t>
        </is>
      </c>
      <c r="C1152" t="inlineStr">
        <is>
          <t>2</t>
        </is>
      </c>
      <c r="D1152" t="n">
        <v>399</v>
      </c>
      <c r="E1152" t="n">
        <v>13059938.59</v>
      </c>
      <c r="F1152" t="n">
        <v>219</v>
      </c>
      <c r="G1152" t="n">
        <v>6929596.490000001</v>
      </c>
      <c r="H1152" t="n">
        <v>180</v>
      </c>
      <c r="I1152" t="n">
        <v>6130342.099999999</v>
      </c>
    </row>
    <row r="1153">
      <c r="A1153" t="inlineStr">
        <is>
          <t>P|0|FICO x ASSET_CLASS|19</t>
        </is>
      </c>
      <c r="B1153" t="inlineStr">
        <is>
          <t>746 - 921</t>
        </is>
      </c>
      <c r="C1153" t="inlineStr">
        <is>
          <t>3</t>
        </is>
      </c>
      <c r="D1153" t="n">
        <v>385</v>
      </c>
      <c r="E1153" t="n">
        <v>12544699.31</v>
      </c>
      <c r="F1153" t="n">
        <v>211</v>
      </c>
      <c r="G1153" t="n">
        <v>6998495.059999997</v>
      </c>
      <c r="H1153" t="n">
        <v>174</v>
      </c>
      <c r="I1153" t="n">
        <v>5546204.250000002</v>
      </c>
    </row>
    <row r="1154">
      <c r="A1154" t="inlineStr">
        <is>
          <t>P|0|FICO x ASSET_CLASS|20</t>
        </is>
      </c>
      <c r="B1154" t="inlineStr">
        <is>
          <t>746 - 921</t>
        </is>
      </c>
      <c r="C1154" t="inlineStr">
        <is>
          <t>4</t>
        </is>
      </c>
      <c r="D1154" t="n">
        <v>373</v>
      </c>
      <c r="E1154" t="n">
        <v>11582092.55</v>
      </c>
      <c r="F1154" t="n">
        <v>209</v>
      </c>
      <c r="G1154" t="n">
        <v>6624955.080000004</v>
      </c>
      <c r="H1154" t="n">
        <v>164</v>
      </c>
      <c r="I1154" t="n">
        <v>4957137.470000002</v>
      </c>
    </row>
    <row r="1155">
      <c r="A1155" t="inlineStr">
        <is>
          <t>P|0|FICO x ASSET_CLASS|21</t>
        </is>
      </c>
      <c r="B1155" t="inlineStr">
        <is>
          <t>(blank)</t>
        </is>
      </c>
      <c r="C1155" t="inlineStr">
        <is>
          <t>2</t>
        </is>
      </c>
      <c r="D1155" t="n">
        <v>1</v>
      </c>
      <c r="E1155" t="n">
        <v>27999.47</v>
      </c>
      <c r="F1155" t="n">
        <v>0</v>
      </c>
      <c r="G1155" t="n">
        <v>0</v>
      </c>
      <c r="H1155" t="n">
        <v>1</v>
      </c>
      <c r="I1155" t="n">
        <v>27999.47</v>
      </c>
    </row>
    <row r="1156">
      <c r="A1156" t="inlineStr">
        <is>
          <t>P|0|FICO x ASSET_CLASS|22</t>
        </is>
      </c>
      <c r="B1156" t="inlineStr">
        <is>
          <t>(marked missing)</t>
        </is>
      </c>
      <c r="C1156" t="inlineStr">
        <is>
          <t>1</t>
        </is>
      </c>
      <c r="D1156" t="n">
        <v>42</v>
      </c>
      <c r="E1156" t="n">
        <v>1515477.86</v>
      </c>
      <c r="F1156" t="n">
        <v>27</v>
      </c>
      <c r="G1156" t="n">
        <v>990549.4400000001</v>
      </c>
      <c r="H1156" t="n">
        <v>15</v>
      </c>
      <c r="I1156" t="n">
        <v>524928.42</v>
      </c>
    </row>
    <row r="1157">
      <c r="A1157" t="inlineStr">
        <is>
          <t>P|0|FICO x ASSET_CLASS|23</t>
        </is>
      </c>
      <c r="B1157" t="inlineStr">
        <is>
          <t>(marked missing)</t>
        </is>
      </c>
      <c r="C1157" t="inlineStr">
        <is>
          <t>2</t>
        </is>
      </c>
      <c r="D1157" t="n">
        <v>36</v>
      </c>
      <c r="E1157" t="n">
        <v>1086599.84</v>
      </c>
      <c r="F1157" t="n">
        <v>18</v>
      </c>
      <c r="G1157" t="n">
        <v>513125.23</v>
      </c>
      <c r="H1157" t="n">
        <v>18</v>
      </c>
      <c r="I1157" t="n">
        <v>573474.61</v>
      </c>
    </row>
    <row r="1158">
      <c r="A1158" t="inlineStr">
        <is>
          <t>P|0|FICO x ASSET_CLASS|24</t>
        </is>
      </c>
      <c r="B1158" t="inlineStr">
        <is>
          <t>(marked missing)</t>
        </is>
      </c>
      <c r="C1158" t="inlineStr">
        <is>
          <t>3</t>
        </is>
      </c>
      <c r="D1158" t="n">
        <v>43</v>
      </c>
      <c r="E1158" t="n">
        <v>1473137.14</v>
      </c>
      <c r="F1158" t="n">
        <v>21</v>
      </c>
      <c r="G1158" t="n">
        <v>659110.4</v>
      </c>
      <c r="H1158" t="n">
        <v>22</v>
      </c>
      <c r="I1158" t="n">
        <v>814026.7399999999</v>
      </c>
    </row>
    <row r="1159">
      <c r="A1159" t="inlineStr">
        <is>
          <t>P|0|FICO x ASSET_CLASS|25</t>
        </is>
      </c>
      <c r="B1159" t="inlineStr">
        <is>
          <t>(marked missing)</t>
        </is>
      </c>
      <c r="C1159" t="inlineStr">
        <is>
          <t>4</t>
        </is>
      </c>
      <c r="D1159" t="n">
        <v>39</v>
      </c>
      <c r="E1159" t="n">
        <v>1213027.95</v>
      </c>
      <c r="F1159" t="n">
        <v>22</v>
      </c>
      <c r="G1159" t="n">
        <v>693910.76</v>
      </c>
      <c r="H1159" t="n">
        <v>17</v>
      </c>
      <c r="I1159" t="n">
        <v>519117.1900000001</v>
      </c>
    </row>
    <row r="1160">
      <c r="A1160" t="inlineStr">
        <is>
          <t>P|0|FICO x ASSET_CLASS|26</t>
        </is>
      </c>
      <c r="B1160" t="inlineStr">
        <is>
          <t>Every pocket</t>
        </is>
      </c>
      <c r="D1160" t="n">
        <v>8000</v>
      </c>
      <c r="E1160" t="n">
        <v>258068446.03</v>
      </c>
      <c r="F1160" t="n">
        <v>4329</v>
      </c>
      <c r="G1160" t="n">
        <v>138748233.04</v>
      </c>
      <c r="H1160" t="n">
        <v>3671</v>
      </c>
      <c r="I1160" t="n">
        <v>119320212.99</v>
      </c>
    </row>
    <row r="1161">
      <c r="A1161" t="inlineStr">
        <is>
          <t>P|0|FICO x ASSET_CLASS|27</t>
        </is>
      </c>
      <c r="B1161" t="inlineStr">
        <is>
          <t>Share of the grid</t>
        </is>
      </c>
      <c r="F1161" t="n">
        <v>0.541125</v>
      </c>
      <c r="G1161" t="n">
        <v>0.5376412156326572</v>
      </c>
      <c r="H1161" t="n">
        <v>0.458875</v>
      </c>
      <c r="I1161" t="n">
        <v>0.4623587843673428</v>
      </c>
    </row>
    <row r="1162">
      <c r="A1162" t="inlineStr">
        <is>
          <t>P|0|ORIG_BAL x CHANNEL|head</t>
        </is>
      </c>
      <c r="B1162" t="inlineStr">
        <is>
          <t>ORIG_BAL</t>
        </is>
      </c>
      <c r="C1162" t="inlineStr">
        <is>
          <t>CHANNEL</t>
        </is>
      </c>
      <c r="D1162" t="inlineStr">
        <is>
          <t>Loans</t>
        </is>
      </c>
      <c r="E1162" t="inlineStr">
        <is>
          <t>Booked dollars</t>
        </is>
      </c>
      <c r="F1162" t="inlineStr">
        <is>
          <t>N</t>
        </is>
      </c>
      <c r="H1162" t="inlineStr">
        <is>
          <t>Y</t>
        </is>
      </c>
    </row>
    <row r="1163">
      <c r="A1163" t="inlineStr">
        <is>
          <t>P|0|ORIG_BAL x CHANNEL|1</t>
        </is>
      </c>
      <c r="B1163" t="inlineStr">
        <is>
          <t>5,005 - 15,448</t>
        </is>
      </c>
      <c r="C1163" t="inlineStr">
        <is>
          <t>Branch</t>
        </is>
      </c>
      <c r="D1163" t="n">
        <v>542</v>
      </c>
      <c r="E1163" t="n">
        <v>5471077.52</v>
      </c>
      <c r="F1163" t="n">
        <v>301</v>
      </c>
      <c r="G1163" t="n">
        <v>3094179.669999999</v>
      </c>
      <c r="H1163" t="n">
        <v>241</v>
      </c>
      <c r="I1163" t="n">
        <v>2376897.850000001</v>
      </c>
    </row>
    <row r="1164">
      <c r="A1164" t="inlineStr">
        <is>
          <t>P|0|ORIG_BAL x CHANNEL|2</t>
        </is>
      </c>
      <c r="B1164" t="inlineStr">
        <is>
          <t>5,005 - 15,448</t>
        </is>
      </c>
      <c r="C1164" t="inlineStr">
        <is>
          <t>Broker</t>
        </is>
      </c>
      <c r="D1164" t="n">
        <v>514</v>
      </c>
      <c r="E1164" t="n">
        <v>5250097.43</v>
      </c>
      <c r="F1164" t="n">
        <v>277</v>
      </c>
      <c r="G1164" t="n">
        <v>2815673.429999998</v>
      </c>
      <c r="H1164" t="n">
        <v>237</v>
      </c>
      <c r="I1164" t="n">
        <v>2434424.000000001</v>
      </c>
    </row>
    <row r="1165">
      <c r="A1165" t="inlineStr">
        <is>
          <t>P|0|ORIG_BAL x CHANNEL|3</t>
        </is>
      </c>
      <c r="B1165" t="inlineStr">
        <is>
          <t>5,005 - 15,448</t>
        </is>
      </c>
      <c r="C1165" t="inlineStr">
        <is>
          <t>Online</t>
        </is>
      </c>
      <c r="D1165" t="n">
        <v>544</v>
      </c>
      <c r="E1165" t="n">
        <v>5511902.470000002</v>
      </c>
      <c r="F1165" t="n">
        <v>302</v>
      </c>
      <c r="G1165" t="n">
        <v>3023084.910000002</v>
      </c>
      <c r="H1165" t="n">
        <v>242</v>
      </c>
      <c r="I1165" t="n">
        <v>2488817.56</v>
      </c>
    </row>
    <row r="1166">
      <c r="A1166" t="inlineStr">
        <is>
          <t>P|0|ORIG_BAL x CHANNEL|4</t>
        </is>
      </c>
      <c r="B1166" t="inlineStr">
        <is>
          <t>15,449 - 26,323</t>
        </is>
      </c>
      <c r="C1166" t="inlineStr">
        <is>
          <t>Branch</t>
        </is>
      </c>
      <c r="D1166" t="n">
        <v>525</v>
      </c>
      <c r="E1166" t="n">
        <v>11003092.27</v>
      </c>
      <c r="F1166" t="n">
        <v>274</v>
      </c>
      <c r="G1166" t="n">
        <v>5701885.079999999</v>
      </c>
      <c r="H1166" t="n">
        <v>251</v>
      </c>
      <c r="I1166" t="n">
        <v>5301207.189999996</v>
      </c>
    </row>
    <row r="1167">
      <c r="A1167" t="inlineStr">
        <is>
          <t>P|0|ORIG_BAL x CHANNEL|5</t>
        </is>
      </c>
      <c r="B1167" t="inlineStr">
        <is>
          <t>15,449 - 26,323</t>
        </is>
      </c>
      <c r="C1167" t="inlineStr">
        <is>
          <t>Broker</t>
        </is>
      </c>
      <c r="D1167" t="n">
        <v>537</v>
      </c>
      <c r="E1167" t="n">
        <v>11248028.79</v>
      </c>
      <c r="F1167" t="n">
        <v>293</v>
      </c>
      <c r="G1167" t="n">
        <v>6112147.650000003</v>
      </c>
      <c r="H1167" t="n">
        <v>244</v>
      </c>
      <c r="I1167" t="n">
        <v>5135881.139999999</v>
      </c>
    </row>
    <row r="1168">
      <c r="A1168" t="inlineStr">
        <is>
          <t>P|0|ORIG_BAL x CHANNEL|6</t>
        </is>
      </c>
      <c r="B1168" t="inlineStr">
        <is>
          <t>15,449 - 26,323</t>
        </is>
      </c>
      <c r="C1168" t="inlineStr">
        <is>
          <t>Online</t>
        </is>
      </c>
      <c r="D1168" t="n">
        <v>538</v>
      </c>
      <c r="E1168" t="n">
        <v>11158749.76</v>
      </c>
      <c r="F1168" t="n">
        <v>300</v>
      </c>
      <c r="G1168" t="n">
        <v>6256047.950000001</v>
      </c>
      <c r="H1168" t="n">
        <v>238</v>
      </c>
      <c r="I1168" t="n">
        <v>4902701.809999999</v>
      </c>
    </row>
    <row r="1169">
      <c r="A1169" t="inlineStr">
        <is>
          <t>P|0|ORIG_BAL x CHANNEL|7</t>
        </is>
      </c>
      <c r="B1169" t="inlineStr">
        <is>
          <t>26,324 - 37,950</t>
        </is>
      </c>
      <c r="C1169" t="inlineStr">
        <is>
          <t>Branch</t>
        </is>
      </c>
      <c r="D1169" t="n">
        <v>518</v>
      </c>
      <c r="E1169" t="n">
        <v>16587370.03</v>
      </c>
      <c r="F1169" t="n">
        <v>282</v>
      </c>
      <c r="G1169" t="n">
        <v>8997410.880000003</v>
      </c>
      <c r="H1169" t="n">
        <v>236</v>
      </c>
      <c r="I1169" t="n">
        <v>7589959.149999998</v>
      </c>
    </row>
    <row r="1170">
      <c r="A1170" t="inlineStr">
        <is>
          <t>P|0|ORIG_BAL x CHANNEL|8</t>
        </is>
      </c>
      <c r="B1170" t="inlineStr">
        <is>
          <t>26,324 - 37,950</t>
        </is>
      </c>
      <c r="C1170" t="inlineStr">
        <is>
          <t>Broker</t>
        </is>
      </c>
      <c r="D1170" t="n">
        <v>553</v>
      </c>
      <c r="E1170" t="n">
        <v>17868104.62</v>
      </c>
      <c r="F1170" t="n">
        <v>305</v>
      </c>
      <c r="G1170" t="n">
        <v>9738367.730000006</v>
      </c>
      <c r="H1170" t="n">
        <v>248</v>
      </c>
      <c r="I1170" t="n">
        <v>8129736.889999999</v>
      </c>
    </row>
    <row r="1171">
      <c r="A1171" t="inlineStr">
        <is>
          <t>P|0|ORIG_BAL x CHANNEL|9</t>
        </is>
      </c>
      <c r="B1171" t="inlineStr">
        <is>
          <t>26,324 - 37,950</t>
        </is>
      </c>
      <c r="C1171" t="inlineStr">
        <is>
          <t>Online</t>
        </is>
      </c>
      <c r="D1171" t="n">
        <v>528</v>
      </c>
      <c r="E1171" t="n">
        <v>16906793.01000001</v>
      </c>
      <c r="F1171" t="n">
        <v>297</v>
      </c>
      <c r="G1171" t="n">
        <v>9480834.620000005</v>
      </c>
      <c r="H1171" t="n">
        <v>231</v>
      </c>
      <c r="I1171" t="n">
        <v>7425958.390000002</v>
      </c>
    </row>
    <row r="1172">
      <c r="A1172" t="inlineStr">
        <is>
          <t>P|0|ORIG_BAL x CHANNEL|10</t>
        </is>
      </c>
      <c r="B1172" t="inlineStr">
        <is>
          <t>37,951 - 49,151</t>
        </is>
      </c>
      <c r="C1172" t="inlineStr">
        <is>
          <t>Branch</t>
        </is>
      </c>
      <c r="D1172" t="n">
        <v>526</v>
      </c>
      <c r="E1172" t="n">
        <v>22956050.95999999</v>
      </c>
      <c r="F1172" t="n">
        <v>269</v>
      </c>
      <c r="G1172" t="n">
        <v>11760549.44999999</v>
      </c>
      <c r="H1172" t="n">
        <v>257</v>
      </c>
      <c r="I1172" t="n">
        <v>11195501.51</v>
      </c>
    </row>
    <row r="1173">
      <c r="A1173" t="inlineStr">
        <is>
          <t>P|0|ORIG_BAL x CHANNEL|11</t>
        </is>
      </c>
      <c r="B1173" t="inlineStr">
        <is>
          <t>37,951 - 49,151</t>
        </is>
      </c>
      <c r="C1173" t="inlineStr">
        <is>
          <t>Broker</t>
        </is>
      </c>
      <c r="D1173" t="n">
        <v>531</v>
      </c>
      <c r="E1173" t="n">
        <v>23078023.54000001</v>
      </c>
      <c r="F1173" t="n">
        <v>282</v>
      </c>
      <c r="G1173" t="n">
        <v>12242725.38000001</v>
      </c>
      <c r="H1173" t="n">
        <v>249</v>
      </c>
      <c r="I1173" t="n">
        <v>10835298.16</v>
      </c>
    </row>
    <row r="1174">
      <c r="A1174" t="inlineStr">
        <is>
          <t>P|0|ORIG_BAL x CHANNEL|12</t>
        </is>
      </c>
      <c r="B1174" t="inlineStr">
        <is>
          <t>37,951 - 49,151</t>
        </is>
      </c>
      <c r="C1174" t="inlineStr">
        <is>
          <t>Online</t>
        </is>
      </c>
      <c r="D1174" t="n">
        <v>543</v>
      </c>
      <c r="E1174" t="n">
        <v>23663785.18999999</v>
      </c>
      <c r="F1174" t="n">
        <v>289</v>
      </c>
      <c r="G1174" t="n">
        <v>12588326.39999999</v>
      </c>
      <c r="H1174" t="n">
        <v>254</v>
      </c>
      <c r="I1174" t="n">
        <v>11075458.79</v>
      </c>
    </row>
    <row r="1175">
      <c r="A1175" t="inlineStr">
        <is>
          <t>P|0|ORIG_BAL x CHANNEL|13</t>
        </is>
      </c>
      <c r="B1175" t="inlineStr">
        <is>
          <t>49,152 - 59,984</t>
        </is>
      </c>
      <c r="C1175" t="inlineStr">
        <is>
          <t>Branch</t>
        </is>
      </c>
      <c r="D1175" t="n">
        <v>515</v>
      </c>
      <c r="E1175" t="n">
        <v>28072399.44</v>
      </c>
      <c r="F1175" t="n">
        <v>289</v>
      </c>
      <c r="G1175" t="n">
        <v>15763128.12</v>
      </c>
      <c r="H1175" t="n">
        <v>226</v>
      </c>
      <c r="I1175" t="n">
        <v>12309271.32</v>
      </c>
    </row>
    <row r="1176">
      <c r="A1176" t="inlineStr">
        <is>
          <t>P|0|ORIG_BAL x CHANNEL|14</t>
        </is>
      </c>
      <c r="B1176" t="inlineStr">
        <is>
          <t>49,152 - 59,984</t>
        </is>
      </c>
      <c r="C1176" t="inlineStr">
        <is>
          <t>Broker</t>
        </is>
      </c>
      <c r="D1176" t="n">
        <v>520</v>
      </c>
      <c r="E1176" t="n">
        <v>28497868.09</v>
      </c>
      <c r="F1176" t="n">
        <v>278</v>
      </c>
      <c r="G1176" t="n">
        <v>15257808.77999999</v>
      </c>
      <c r="H1176" t="n">
        <v>242</v>
      </c>
      <c r="I1176" t="n">
        <v>13240059.31</v>
      </c>
    </row>
    <row r="1177">
      <c r="A1177" t="inlineStr">
        <is>
          <t>P|0|ORIG_BAL x CHANNEL|15</t>
        </is>
      </c>
      <c r="B1177" t="inlineStr">
        <is>
          <t>49,152 - 59,984</t>
        </is>
      </c>
      <c r="C1177" t="inlineStr">
        <is>
          <t>Online</t>
        </is>
      </c>
      <c r="D1177" t="n">
        <v>565</v>
      </c>
      <c r="E1177" t="n">
        <v>30795102.91</v>
      </c>
      <c r="F1177" t="n">
        <v>291</v>
      </c>
      <c r="G1177" t="n">
        <v>15916062.98999999</v>
      </c>
      <c r="H1177" t="n">
        <v>274</v>
      </c>
      <c r="I1177" t="n">
        <v>14879039.92000001</v>
      </c>
    </row>
    <row r="1178">
      <c r="A1178" t="inlineStr">
        <is>
          <t>P|0|ORIG_BAL x CHANNEL|16</t>
        </is>
      </c>
      <c r="B1178" t="inlineStr">
        <is>
          <t>(blank)</t>
        </is>
      </c>
      <c r="C1178" t="inlineStr">
        <is>
          <t>Branch</t>
        </is>
      </c>
      <c r="D1178" t="n">
        <v>1</v>
      </c>
      <c r="E1178" t="n">
        <v>0</v>
      </c>
      <c r="F1178" t="n">
        <v>0</v>
      </c>
      <c r="G1178" t="n">
        <v>0</v>
      </c>
      <c r="H1178" t="n">
        <v>1</v>
      </c>
      <c r="I1178" t="n">
        <v>0</v>
      </c>
    </row>
    <row r="1179">
      <c r="A1179" t="inlineStr">
        <is>
          <t>P|0|ORIG_BAL x CHANNEL|17</t>
        </is>
      </c>
      <c r="B1179" t="inlineStr">
        <is>
          <t>Every pocket</t>
        </is>
      </c>
      <c r="D1179" t="n">
        <v>8000</v>
      </c>
      <c r="E1179" t="n">
        <v>258068446.03</v>
      </c>
      <c r="F1179" t="n">
        <v>4329</v>
      </c>
      <c r="G1179" t="n">
        <v>138748233.04</v>
      </c>
      <c r="H1179" t="n">
        <v>3671</v>
      </c>
      <c r="I1179" t="n">
        <v>119320212.99</v>
      </c>
    </row>
    <row r="1180">
      <c r="A1180" t="inlineStr">
        <is>
          <t>P|0|ORIG_BAL x CHANNEL|18</t>
        </is>
      </c>
      <c r="B1180" t="inlineStr">
        <is>
          <t>Share of the grid</t>
        </is>
      </c>
      <c r="F1180" t="n">
        <v>0.541125</v>
      </c>
      <c r="G1180" t="n">
        <v>0.5376412156326572</v>
      </c>
      <c r="H1180" t="n">
        <v>0.458875</v>
      </c>
      <c r="I1180" t="n">
        <v>0.4623587843673428</v>
      </c>
    </row>
    <row r="1181">
      <c r="A1181" t="inlineStr">
        <is>
          <t>P|0|ORIG_BAL x ASSET_CLASS|head</t>
        </is>
      </c>
      <c r="B1181" t="inlineStr">
        <is>
          <t>ORIG_BAL</t>
        </is>
      </c>
      <c r="C1181" t="inlineStr">
        <is>
          <t>ASSET_CLASS</t>
        </is>
      </c>
      <c r="D1181" t="inlineStr">
        <is>
          <t>Loans</t>
        </is>
      </c>
      <c r="E1181" t="inlineStr">
        <is>
          <t>Booked dollars</t>
        </is>
      </c>
      <c r="F1181" t="inlineStr">
        <is>
          <t>N</t>
        </is>
      </c>
      <c r="H1181" t="inlineStr">
        <is>
          <t>Y</t>
        </is>
      </c>
    </row>
    <row r="1182">
      <c r="A1182" t="inlineStr">
        <is>
          <t>P|0|ORIG_BAL x ASSET_CLASS|1</t>
        </is>
      </c>
      <c r="B1182" t="inlineStr">
        <is>
          <t>5,005 - 15,448</t>
        </is>
      </c>
      <c r="C1182" t="inlineStr">
        <is>
          <t>1</t>
        </is>
      </c>
      <c r="D1182" t="n">
        <v>417</v>
      </c>
      <c r="E1182" t="n">
        <v>4250568.400000001</v>
      </c>
      <c r="F1182" t="n">
        <v>237</v>
      </c>
      <c r="G1182" t="n">
        <v>2421156.480000001</v>
      </c>
      <c r="H1182" t="n">
        <v>180</v>
      </c>
      <c r="I1182" t="n">
        <v>1829411.92</v>
      </c>
    </row>
    <row r="1183">
      <c r="A1183" t="inlineStr">
        <is>
          <t>P|0|ORIG_BAL x ASSET_CLASS|2</t>
        </is>
      </c>
      <c r="B1183" t="inlineStr">
        <is>
          <t>5,005 - 15,448</t>
        </is>
      </c>
      <c r="C1183" t="inlineStr">
        <is>
          <t>2</t>
        </is>
      </c>
      <c r="D1183" t="n">
        <v>404</v>
      </c>
      <c r="E1183" t="n">
        <v>4165898.809999999</v>
      </c>
      <c r="F1183" t="n">
        <v>244</v>
      </c>
      <c r="G1183" t="n">
        <v>2492552.969999998</v>
      </c>
      <c r="H1183" t="n">
        <v>160</v>
      </c>
      <c r="I1183" t="n">
        <v>1673345.840000001</v>
      </c>
    </row>
    <row r="1184">
      <c r="A1184" t="inlineStr">
        <is>
          <t>P|0|ORIG_BAL x ASSET_CLASS|3</t>
        </is>
      </c>
      <c r="B1184" t="inlineStr">
        <is>
          <t>5,005 - 15,448</t>
        </is>
      </c>
      <c r="C1184" t="inlineStr">
        <is>
          <t>3</t>
        </is>
      </c>
      <c r="D1184" t="n">
        <v>354</v>
      </c>
      <c r="E1184" t="n">
        <v>3545372.239999999</v>
      </c>
      <c r="F1184" t="n">
        <v>170</v>
      </c>
      <c r="G1184" t="n">
        <v>1720324.41</v>
      </c>
      <c r="H1184" t="n">
        <v>184</v>
      </c>
      <c r="I1184" t="n">
        <v>1825047.829999999</v>
      </c>
    </row>
    <row r="1185">
      <c r="A1185" t="inlineStr">
        <is>
          <t>P|0|ORIG_BAL x ASSET_CLASS|4</t>
        </is>
      </c>
      <c r="B1185" t="inlineStr">
        <is>
          <t>5,005 - 15,448</t>
        </is>
      </c>
      <c r="C1185" t="inlineStr">
        <is>
          <t>4</t>
        </is>
      </c>
      <c r="D1185" t="n">
        <v>425</v>
      </c>
      <c r="E1185" t="n">
        <v>4271237.970000002</v>
      </c>
      <c r="F1185" t="n">
        <v>229</v>
      </c>
      <c r="G1185" t="n">
        <v>2298904.150000002</v>
      </c>
      <c r="H1185" t="n">
        <v>196</v>
      </c>
      <c r="I1185" t="n">
        <v>1972333.82</v>
      </c>
    </row>
    <row r="1186">
      <c r="A1186" t="inlineStr">
        <is>
          <t>P|0|ORIG_BAL x ASSET_CLASS|5</t>
        </is>
      </c>
      <c r="B1186" t="inlineStr">
        <is>
          <t>15,449 - 26,323</t>
        </is>
      </c>
      <c r="C1186" t="inlineStr">
        <is>
          <t>1</t>
        </is>
      </c>
      <c r="D1186" t="n">
        <v>404</v>
      </c>
      <c r="E1186" t="n">
        <v>8396724.670000002</v>
      </c>
      <c r="F1186" t="n">
        <v>224</v>
      </c>
      <c r="G1186" t="n">
        <v>4627592.550000002</v>
      </c>
      <c r="H1186" t="n">
        <v>180</v>
      </c>
      <c r="I1186" t="n">
        <v>3769132.12</v>
      </c>
    </row>
    <row r="1187">
      <c r="A1187" t="inlineStr">
        <is>
          <t>P|0|ORIG_BAL x ASSET_CLASS|6</t>
        </is>
      </c>
      <c r="B1187" t="inlineStr">
        <is>
          <t>15,449 - 26,323</t>
        </is>
      </c>
      <c r="C1187" t="inlineStr">
        <is>
          <t>2</t>
        </is>
      </c>
      <c r="D1187" t="n">
        <v>356</v>
      </c>
      <c r="E1187" t="n">
        <v>7506879.639999999</v>
      </c>
      <c r="F1187" t="n">
        <v>186</v>
      </c>
      <c r="G1187" t="n">
        <v>3895849.5</v>
      </c>
      <c r="H1187" t="n">
        <v>170</v>
      </c>
      <c r="I1187" t="n">
        <v>3611030.139999999</v>
      </c>
    </row>
    <row r="1188">
      <c r="A1188" t="inlineStr">
        <is>
          <t>P|0|ORIG_BAL x ASSET_CLASS|7</t>
        </is>
      </c>
      <c r="B1188" t="inlineStr">
        <is>
          <t>15,449 - 26,323</t>
        </is>
      </c>
      <c r="C1188" t="inlineStr">
        <is>
          <t>3</t>
        </is>
      </c>
      <c r="D1188" t="n">
        <v>427</v>
      </c>
      <c r="E1188" t="n">
        <v>8813109.200000001</v>
      </c>
      <c r="F1188" t="n">
        <v>234</v>
      </c>
      <c r="G1188" t="n">
        <v>4827819.080000002</v>
      </c>
      <c r="H1188" t="n">
        <v>193</v>
      </c>
      <c r="I1188" t="n">
        <v>3985290.119999999</v>
      </c>
    </row>
    <row r="1189">
      <c r="A1189" t="inlineStr">
        <is>
          <t>P|0|ORIG_BAL x ASSET_CLASS|8</t>
        </is>
      </c>
      <c r="B1189" t="inlineStr">
        <is>
          <t>15,449 - 26,323</t>
        </is>
      </c>
      <c r="C1189" t="inlineStr">
        <is>
          <t>4</t>
        </is>
      </c>
      <c r="D1189" t="n">
        <v>413</v>
      </c>
      <c r="E1189" t="n">
        <v>8693157.310000002</v>
      </c>
      <c r="F1189" t="n">
        <v>223</v>
      </c>
      <c r="G1189" t="n">
        <v>4718819.550000004</v>
      </c>
      <c r="H1189" t="n">
        <v>190</v>
      </c>
      <c r="I1189" t="n">
        <v>3974337.759999999</v>
      </c>
    </row>
    <row r="1190">
      <c r="A1190" t="inlineStr">
        <is>
          <t>P|0|ORIG_BAL x ASSET_CLASS|9</t>
        </is>
      </c>
      <c r="B1190" t="inlineStr">
        <is>
          <t>26,324 - 37,950</t>
        </is>
      </c>
      <c r="C1190" t="inlineStr">
        <is>
          <t>1</t>
        </is>
      </c>
      <c r="D1190" t="n">
        <v>388</v>
      </c>
      <c r="E1190" t="n">
        <v>12442793.77</v>
      </c>
      <c r="F1190" t="n">
        <v>215</v>
      </c>
      <c r="G1190" t="n">
        <v>6853317.409999999</v>
      </c>
      <c r="H1190" t="n">
        <v>173</v>
      </c>
      <c r="I1190" t="n">
        <v>5589476.359999998</v>
      </c>
    </row>
    <row r="1191">
      <c r="A1191" t="inlineStr">
        <is>
          <t>P|0|ORIG_BAL x ASSET_CLASS|10</t>
        </is>
      </c>
      <c r="B1191" t="inlineStr">
        <is>
          <t>26,324 - 37,950</t>
        </is>
      </c>
      <c r="C1191" t="inlineStr">
        <is>
          <t>2</t>
        </is>
      </c>
      <c r="D1191" t="n">
        <v>432</v>
      </c>
      <c r="E1191" t="n">
        <v>13969830.53</v>
      </c>
      <c r="F1191" t="n">
        <v>253</v>
      </c>
      <c r="G1191" t="n">
        <v>8121367.340000007</v>
      </c>
      <c r="H1191" t="n">
        <v>179</v>
      </c>
      <c r="I1191" t="n">
        <v>5848463.189999999</v>
      </c>
    </row>
    <row r="1192">
      <c r="A1192" t="inlineStr">
        <is>
          <t>P|0|ORIG_BAL x ASSET_CLASS|11</t>
        </is>
      </c>
      <c r="B1192" t="inlineStr">
        <is>
          <t>26,324 - 37,950</t>
        </is>
      </c>
      <c r="C1192" t="inlineStr">
        <is>
          <t>3</t>
        </is>
      </c>
      <c r="D1192" t="n">
        <v>367</v>
      </c>
      <c r="E1192" t="n">
        <v>11737978.5</v>
      </c>
      <c r="F1192" t="n">
        <v>198</v>
      </c>
      <c r="G1192" t="n">
        <v>6296249.490000001</v>
      </c>
      <c r="H1192" t="n">
        <v>169</v>
      </c>
      <c r="I1192" t="n">
        <v>5441729.010000002</v>
      </c>
    </row>
    <row r="1193">
      <c r="A1193" t="inlineStr">
        <is>
          <t>P|0|ORIG_BAL x ASSET_CLASS|12</t>
        </is>
      </c>
      <c r="B1193" t="inlineStr">
        <is>
          <t>26,324 - 37,950</t>
        </is>
      </c>
      <c r="C1193" t="inlineStr">
        <is>
          <t>4</t>
        </is>
      </c>
      <c r="D1193" t="n">
        <v>412</v>
      </c>
      <c r="E1193" t="n">
        <v>13211664.86</v>
      </c>
      <c r="F1193" t="n">
        <v>218</v>
      </c>
      <c r="G1193" t="n">
        <v>6945678.99</v>
      </c>
      <c r="H1193" t="n">
        <v>194</v>
      </c>
      <c r="I1193" t="n">
        <v>6265985.869999997</v>
      </c>
    </row>
    <row r="1194">
      <c r="A1194" t="inlineStr">
        <is>
          <t>P|0|ORIG_BAL x ASSET_CLASS|13</t>
        </is>
      </c>
      <c r="B1194" t="inlineStr">
        <is>
          <t>37,951 - 49,151</t>
        </is>
      </c>
      <c r="C1194" t="inlineStr">
        <is>
          <t>1</t>
        </is>
      </c>
      <c r="D1194" t="n">
        <v>384</v>
      </c>
      <c r="E1194" t="n">
        <v>16710070.10000001</v>
      </c>
      <c r="F1194" t="n">
        <v>207</v>
      </c>
      <c r="G1194" t="n">
        <v>8976766.350000007</v>
      </c>
      <c r="H1194" t="n">
        <v>177</v>
      </c>
      <c r="I1194" t="n">
        <v>7733303.75</v>
      </c>
    </row>
    <row r="1195">
      <c r="A1195" t="inlineStr">
        <is>
          <t>P|0|ORIG_BAL x ASSET_CLASS|14</t>
        </is>
      </c>
      <c r="B1195" t="inlineStr">
        <is>
          <t>37,951 - 49,151</t>
        </is>
      </c>
      <c r="C1195" t="inlineStr">
        <is>
          <t>2</t>
        </is>
      </c>
      <c r="D1195" t="n">
        <v>420</v>
      </c>
      <c r="E1195" t="n">
        <v>18298742.53</v>
      </c>
      <c r="F1195" t="n">
        <v>221</v>
      </c>
      <c r="G1195" t="n">
        <v>9642059</v>
      </c>
      <c r="H1195" t="n">
        <v>199</v>
      </c>
      <c r="I1195" t="n">
        <v>8656683.530000005</v>
      </c>
    </row>
    <row r="1196">
      <c r="A1196" t="inlineStr">
        <is>
          <t>P|0|ORIG_BAL x ASSET_CLASS|15</t>
        </is>
      </c>
      <c r="B1196" t="inlineStr">
        <is>
          <t>37,951 - 49,151</t>
        </is>
      </c>
      <c r="C1196" t="inlineStr">
        <is>
          <t>3</t>
        </is>
      </c>
      <c r="D1196" t="n">
        <v>382</v>
      </c>
      <c r="E1196" t="n">
        <v>16623742.22000001</v>
      </c>
      <c r="F1196" t="n">
        <v>187</v>
      </c>
      <c r="G1196" t="n">
        <v>8177562.970000001</v>
      </c>
      <c r="H1196" t="n">
        <v>195</v>
      </c>
      <c r="I1196" t="n">
        <v>8446179.250000006</v>
      </c>
    </row>
    <row r="1197">
      <c r="A1197" t="inlineStr">
        <is>
          <t>P|0|ORIG_BAL x ASSET_CLASS|16</t>
        </is>
      </c>
      <c r="B1197" t="inlineStr">
        <is>
          <t>37,951 - 49,151</t>
        </is>
      </c>
      <c r="C1197" t="inlineStr">
        <is>
          <t>4</t>
        </is>
      </c>
      <c r="D1197" t="n">
        <v>414</v>
      </c>
      <c r="E1197" t="n">
        <v>18065304.84</v>
      </c>
      <c r="F1197" t="n">
        <v>225</v>
      </c>
      <c r="G1197" t="n">
        <v>9795212.909999996</v>
      </c>
      <c r="H1197" t="n">
        <v>189</v>
      </c>
      <c r="I1197" t="n">
        <v>8270091.930000002</v>
      </c>
    </row>
    <row r="1198">
      <c r="A1198" t="inlineStr">
        <is>
          <t>P|0|ORIG_BAL x ASSET_CLASS|17</t>
        </is>
      </c>
      <c r="B1198" t="inlineStr">
        <is>
          <t>49,152 - 59,984</t>
        </is>
      </c>
      <c r="C1198" t="inlineStr">
        <is>
          <t>1</t>
        </is>
      </c>
      <c r="D1198" t="n">
        <v>413</v>
      </c>
      <c r="E1198" t="n">
        <v>22522466.47</v>
      </c>
      <c r="F1198" t="n">
        <v>218</v>
      </c>
      <c r="G1198" t="n">
        <v>11906306.08</v>
      </c>
      <c r="H1198" t="n">
        <v>195</v>
      </c>
      <c r="I1198" t="n">
        <v>10616160.39</v>
      </c>
    </row>
    <row r="1199">
      <c r="A1199" t="inlineStr">
        <is>
          <t>P|0|ORIG_BAL x ASSET_CLASS|18</t>
        </is>
      </c>
      <c r="B1199" t="inlineStr">
        <is>
          <t>49,152 - 59,984</t>
        </is>
      </c>
      <c r="C1199" t="inlineStr">
        <is>
          <t>2</t>
        </is>
      </c>
      <c r="D1199" t="n">
        <v>398</v>
      </c>
      <c r="E1199" t="n">
        <v>21710752.02000001</v>
      </c>
      <c r="F1199" t="n">
        <v>201</v>
      </c>
      <c r="G1199" t="n">
        <v>10967696.94</v>
      </c>
      <c r="H1199" t="n">
        <v>197</v>
      </c>
      <c r="I1199" t="n">
        <v>10743055.08000001</v>
      </c>
    </row>
    <row r="1200">
      <c r="A1200" t="inlineStr">
        <is>
          <t>P|0|ORIG_BAL x ASSET_CLASS|19</t>
        </is>
      </c>
      <c r="B1200" t="inlineStr">
        <is>
          <t>49,152 - 59,984</t>
        </is>
      </c>
      <c r="C1200" t="inlineStr">
        <is>
          <t>3</t>
        </is>
      </c>
      <c r="D1200" t="n">
        <v>405</v>
      </c>
      <c r="E1200" t="n">
        <v>22100600.48999999</v>
      </c>
      <c r="F1200" t="n">
        <v>226</v>
      </c>
      <c r="G1200" t="n">
        <v>12380371.94999999</v>
      </c>
      <c r="H1200" t="n">
        <v>179</v>
      </c>
      <c r="I1200" t="n">
        <v>9720228.540000001</v>
      </c>
    </row>
    <row r="1201">
      <c r="A1201" t="inlineStr">
        <is>
          <t>P|0|ORIG_BAL x ASSET_CLASS|20</t>
        </is>
      </c>
      <c r="B1201" t="inlineStr">
        <is>
          <t>49,152 - 59,984</t>
        </is>
      </c>
      <c r="C1201" t="inlineStr">
        <is>
          <t>4</t>
        </is>
      </c>
      <c r="D1201" t="n">
        <v>384</v>
      </c>
      <c r="E1201" t="n">
        <v>21031551.45999999</v>
      </c>
      <c r="F1201" t="n">
        <v>213</v>
      </c>
      <c r="G1201" t="n">
        <v>11682624.92</v>
      </c>
      <c r="H1201" t="n">
        <v>171</v>
      </c>
      <c r="I1201" t="n">
        <v>9348926.53999999</v>
      </c>
    </row>
    <row r="1202">
      <c r="A1202" t="inlineStr">
        <is>
          <t>P|0|ORIG_BAL x ASSET_CLASS|21</t>
        </is>
      </c>
      <c r="B1202" t="inlineStr">
        <is>
          <t>(blank)</t>
        </is>
      </c>
      <c r="C1202" t="inlineStr">
        <is>
          <t>2</t>
        </is>
      </c>
      <c r="D1202" t="n">
        <v>1</v>
      </c>
      <c r="E1202" t="n">
        <v>0</v>
      </c>
      <c r="F1202" t="n">
        <v>0</v>
      </c>
      <c r="G1202" t="n">
        <v>0</v>
      </c>
      <c r="H1202" t="n">
        <v>1</v>
      </c>
      <c r="I1202" t="n">
        <v>0</v>
      </c>
    </row>
    <row r="1203">
      <c r="A1203" t="inlineStr">
        <is>
          <t>P|0|ORIG_BAL x ASSET_CLASS|22</t>
        </is>
      </c>
      <c r="B1203" t="inlineStr">
        <is>
          <t>Every pocket</t>
        </is>
      </c>
      <c r="D1203" t="n">
        <v>8000</v>
      </c>
      <c r="E1203" t="n">
        <v>258068446.03</v>
      </c>
      <c r="F1203" t="n">
        <v>4329</v>
      </c>
      <c r="G1203" t="n">
        <v>138748233.04</v>
      </c>
      <c r="H1203" t="n">
        <v>3671</v>
      </c>
      <c r="I1203" t="n">
        <v>119320212.99</v>
      </c>
    </row>
    <row r="1204">
      <c r="A1204" t="inlineStr">
        <is>
          <t>P|0|ORIG_BAL x ASSET_CLASS|23</t>
        </is>
      </c>
      <c r="B1204" t="inlineStr">
        <is>
          <t>Share of the grid</t>
        </is>
      </c>
      <c r="F1204" t="n">
        <v>0.541125</v>
      </c>
      <c r="G1204" t="n">
        <v>0.5376412156326571</v>
      </c>
      <c r="H1204" t="n">
        <v>0.458875</v>
      </c>
      <c r="I1204" t="n">
        <v>0.4623587843673428</v>
      </c>
    </row>
    <row r="1205">
      <c r="A1205" t="inlineStr">
        <is>
          <t>P|0|FICO x CHANNEL / SYS_FLAG|say</t>
        </is>
      </c>
      <c r="B1205" t="inlineStr">
        <is>
          <t>Counted on the two-way grids: pick one without the split.</t>
        </is>
      </c>
    </row>
    <row r="1206">
      <c r="A1206" t="inlineStr">
        <is>
          <t>P|0|FICO x ASSET_CLASS / SYS_FLAG|say</t>
        </is>
      </c>
      <c r="B1206" t="inlineStr">
        <is>
          <t>Counted on the two-way grids: pick one without the split.</t>
        </is>
      </c>
    </row>
    <row r="1207">
      <c r="A1207" t="inlineStr">
        <is>
          <t>P|0|ORIG_BAL x CHANNEL / SYS_FLAG|say</t>
        </is>
      </c>
      <c r="B1207" t="inlineStr">
        <is>
          <t>Counted on the two-way grids: pick one without the split.</t>
        </is>
      </c>
    </row>
    <row r="1208">
      <c r="A1208" t="inlineStr">
        <is>
          <t>P|0|ORIG_BAL x ASSET_CLASS / SYS_FLAG|say</t>
        </is>
      </c>
      <c r="B1208" t="inlineStr">
        <is>
          <t>Counted on the two-way grids: pick one without the split.</t>
        </is>
      </c>
    </row>
    <row r="1209">
      <c r="A1209" t="inlineStr">
        <is>
          <t>S|FICO x CHANNEL · SYS_FLAG N vs Y|chip</t>
        </is>
      </c>
    </row>
    <row r="1210">
      <c r="A1210" t="inlineStr">
        <is>
          <t>S|FICO x CHANNEL · SYS_FLAG N vs Y|rows</t>
        </is>
      </c>
      <c r="B1210" t="inlineStr">
        <is>
          <t>496 - 653</t>
        </is>
      </c>
      <c r="C1210" t="inlineStr">
        <is>
          <t>654 - 685</t>
        </is>
      </c>
      <c r="D1210" t="inlineStr">
        <is>
          <t>686 - 711</t>
        </is>
      </c>
      <c r="E1210" t="inlineStr">
        <is>
          <t>712 - 745</t>
        </is>
      </c>
      <c r="F1210" t="inlineStr">
        <is>
          <t>746 - 921</t>
        </is>
      </c>
      <c r="G1210" t="inlineStr">
        <is>
          <t>(blank)</t>
        </is>
      </c>
      <c r="H1210" t="inlineStr">
        <is>
          <t>(marked missing)</t>
        </is>
      </c>
    </row>
    <row r="1211">
      <c r="A1211" t="inlineStr">
        <is>
          <t>S|FICO x CHANNEL · SYS_FLAG N vs Y|cols</t>
        </is>
      </c>
      <c r="B1211" t="inlineStr">
        <is>
          <t>Branch</t>
        </is>
      </c>
      <c r="C1211" t="inlineStr">
        <is>
          <t>Broker</t>
        </is>
      </c>
      <c r="D1211" t="inlineStr">
        <is>
          <t>Online</t>
        </is>
      </c>
    </row>
    <row r="1212">
      <c r="A1212" t="inlineStr">
        <is>
          <t>S|FICO x CHANNEL · SYS_FLAG N vs Y|sum|1</t>
        </is>
      </c>
      <c r="B1212" t="inlineStr">
        <is>
          <t>Bad loans</t>
        </is>
      </c>
      <c r="C1212" t="n">
        <v>15</v>
      </c>
      <c r="D1212" t="inlineStr">
        <is>
          <t>1 of 15</t>
        </is>
      </c>
      <c r="E1212" t="n">
        <v>0.6031235581106111</v>
      </c>
      <c r="F1212" t="n">
        <v>0.0621165928362253</v>
      </c>
      <c r="G1212" t="inlineStr">
        <is>
          <t>x</t>
        </is>
      </c>
      <c r="H1212" t="n">
        <v>1.66736411754293e-10</v>
      </c>
      <c r="I1212" t="n">
        <v>0.5667085355788762</v>
      </c>
      <c r="J1212" t="n">
        <v>5.56500743701305e-11</v>
      </c>
      <c r="K1212" t="n">
        <v>0.8427846748745236</v>
      </c>
      <c r="M1212" t="n">
        <v>1.102500503842273e-11</v>
      </c>
      <c r="N1212" t="n">
        <v>1</v>
      </c>
      <c r="O1212" t="n">
        <v>18</v>
      </c>
    </row>
    <row r="1213">
      <c r="A1213" t="inlineStr">
        <is>
          <t>S|FICO x CHANNEL · SYS_FLAG N vs Y|outcome_loans|meta</t>
        </is>
      </c>
      <c r="B1213" t="inlineStr">
        <is>
          <t>x</t>
        </is>
      </c>
      <c r="C1213" t="n">
        <v>1.297077922077922</v>
      </c>
    </row>
    <row r="1214">
      <c r="A1214" t="inlineStr">
        <is>
          <t>S|FICO x CHANNEL · SYS_FLAG N vs Y|outcome_loans|v|1</t>
        </is>
      </c>
      <c r="B1214" t="n">
        <v>0.7027777777777777</v>
      </c>
      <c r="C1214" t="n">
        <v>0.6584178095806004</v>
      </c>
      <c r="D1214" t="n">
        <v>0.5325819672131148</v>
      </c>
    </row>
    <row r="1215">
      <c r="A1215" t="inlineStr">
        <is>
          <t>S|FICO x CHANNEL · SYS_FLAG N vs Y|outcome_loans|p|1</t>
        </is>
      </c>
      <c r="B1215" t="n">
        <v>0.2694805222682622</v>
      </c>
      <c r="C1215" t="n">
        <v>0.04076659558410643</v>
      </c>
      <c r="D1215" t="n">
        <v>0.05001271264035039</v>
      </c>
    </row>
    <row r="1216">
      <c r="A1216" t="inlineStr">
        <is>
          <t>S|FICO x CHANNEL · SYS_FLAG N vs Y|outcome_loans|v|2</t>
        </is>
      </c>
      <c r="B1216" t="n">
        <v>0.5628029358814568</v>
      </c>
      <c r="C1216" t="n">
        <v>0.6121254355400697</v>
      </c>
      <c r="D1216" t="n">
        <v>0.3932829124471222</v>
      </c>
    </row>
    <row r="1217">
      <c r="A1217" t="inlineStr">
        <is>
          <t>S|FICO x CHANNEL · SYS_FLAG N vs Y|outcome_loans|p|2</t>
        </is>
      </c>
      <c r="B1217" t="n">
        <v>0.1246640428049841</v>
      </c>
      <c r="C1217" t="n">
        <v>0.202155067497946</v>
      </c>
      <c r="D1217" t="n">
        <v>0.03702988483311467</v>
      </c>
    </row>
    <row r="1218">
      <c r="A1218" t="inlineStr">
        <is>
          <t>S|FICO x CHANNEL · SYS_FLAG N vs Y|outcome_loans|v|3</t>
        </is>
      </c>
      <c r="B1218" t="n">
        <v>1.297077922077922</v>
      </c>
      <c r="C1218" t="n">
        <v>0.6223862238622386</v>
      </c>
      <c r="D1218" t="n">
        <v>0.515928515928516</v>
      </c>
    </row>
    <row r="1219">
      <c r="A1219" t="inlineStr">
        <is>
          <t>S|FICO x CHANNEL · SYS_FLAG N vs Y|outcome_loans|p|3</t>
        </is>
      </c>
      <c r="B1219" t="n">
        <v>0.5230439160973697</v>
      </c>
      <c r="C1219" t="n">
        <v>0.2694805222682622</v>
      </c>
      <c r="D1219" t="n">
        <v>0.08181925107253929</v>
      </c>
    </row>
    <row r="1220">
      <c r="A1220" t="inlineStr">
        <is>
          <t>S|FICO x CHANNEL · SYS_FLAG N vs Y|outcome_loans|v|4</t>
        </is>
      </c>
      <c r="B1220" t="n">
        <v>0.6270358306188925</v>
      </c>
      <c r="C1220" t="n">
        <v>0.9631811487481591</v>
      </c>
      <c r="D1220" t="n">
        <v>0.4712862894681076</v>
      </c>
    </row>
    <row r="1221">
      <c r="A1221" t="inlineStr">
        <is>
          <t>S|FICO x CHANNEL · SYS_FLAG N vs Y|outcome_loans|p|4</t>
        </is>
      </c>
      <c r="B1221" t="n">
        <v>0.3015487297061033</v>
      </c>
      <c r="C1221" t="n">
        <v>0.9397040652372569</v>
      </c>
      <c r="D1221" t="n">
        <v>0.04076659558410643</v>
      </c>
    </row>
    <row r="1222">
      <c r="A1222" t="inlineStr">
        <is>
          <t>S|FICO x CHANNEL · SYS_FLAG N vs Y|outcome_loans|v|5</t>
        </is>
      </c>
      <c r="B1222" t="n">
        <v>0.5506912442396313</v>
      </c>
      <c r="C1222" t="n">
        <v>0.5284280936454849</v>
      </c>
      <c r="D1222" t="n">
        <v>0.560398505603985</v>
      </c>
    </row>
    <row r="1223">
      <c r="A1223" t="inlineStr">
        <is>
          <t>S|FICO x CHANNEL · SYS_FLAG N vs Y|outcome_loans|p|5</t>
        </is>
      </c>
      <c r="B1223" t="n">
        <v>0.2457727030910409</v>
      </c>
      <c r="C1223" t="n">
        <v>0.2457727030910409</v>
      </c>
      <c r="D1223" t="n">
        <v>0.2694805222682622</v>
      </c>
    </row>
    <row r="1224">
      <c r="A1224" t="inlineStr">
        <is>
          <t>S|FICO x CHANNEL · SYS_FLAG N vs Y|outcome_loans|v|6</t>
        </is>
      </c>
    </row>
    <row r="1225">
      <c r="A1225" t="inlineStr">
        <is>
          <t>S|FICO x CHANNEL · SYS_FLAG N vs Y|outcome_loans|p|6</t>
        </is>
      </c>
    </row>
    <row r="1226">
      <c r="A1226" t="inlineStr">
        <is>
          <t>S|FICO x CHANNEL · SYS_FLAG N vs Y|outcome_loans|v|7</t>
        </is>
      </c>
    </row>
    <row r="1227">
      <c r="A1227" t="inlineStr">
        <is>
          <t>S|FICO x CHANNEL · SYS_FLAG N vs Y|outcome_loans|p|7</t>
        </is>
      </c>
    </row>
    <row r="1228">
      <c r="A1228" t="inlineStr">
        <is>
          <t>S|FICO x CHANNEL · SYS_FLAG N vs Y|sum|2</t>
        </is>
      </c>
      <c r="B1228" t="inlineStr">
        <is>
          <t>Bad dollars</t>
        </is>
      </c>
      <c r="C1228" t="n">
        <v>15</v>
      </c>
      <c r="D1228" t="inlineStr">
        <is>
          <t>1 of 15</t>
        </is>
      </c>
      <c r="E1228" t="n">
        <v>0.5475360591197479</v>
      </c>
      <c r="F1228" t="n">
        <v>0.0673934676758344</v>
      </c>
      <c r="G1228" t="inlineStr">
        <is>
          <t>x</t>
        </is>
      </c>
      <c r="H1228" t="n">
        <v>9.999000099990002e-05</v>
      </c>
      <c r="L1228" t="inlineStr">
        <is>
          <t>not tested: dollar rate</t>
        </is>
      </c>
    </row>
    <row r="1229">
      <c r="A1229" t="inlineStr">
        <is>
          <t>S|FICO x CHANNEL · SYS_FLAG N vs Y|outcome_booked|meta</t>
        </is>
      </c>
      <c r="B1229" t="inlineStr">
        <is>
          <t>x</t>
        </is>
      </c>
      <c r="C1229" t="n">
        <v>1.080372293073171</v>
      </c>
    </row>
    <row r="1230">
      <c r="A1230" t="inlineStr">
        <is>
          <t>S|FICO x CHANNEL · SYS_FLAG N vs Y|outcome_booked|v|1</t>
        </is>
      </c>
      <c r="B1230" t="n">
        <v>0.6122708453814304</v>
      </c>
      <c r="C1230" t="n">
        <v>0.6250277311382005</v>
      </c>
      <c r="D1230" t="n">
        <v>0.4305871089998579</v>
      </c>
    </row>
    <row r="1231">
      <c r="A1231" t="inlineStr">
        <is>
          <t>S|FICO x CHANNEL · SYS_FLAG N vs Y|outcome_booked|p|1</t>
        </is>
      </c>
      <c r="B1231" t="n">
        <v>0.2096040395960404</v>
      </c>
      <c r="C1231" t="n">
        <v>0.03549645035496451</v>
      </c>
      <c r="D1231" t="n">
        <v>0.02924707529247075</v>
      </c>
    </row>
    <row r="1232">
      <c r="A1232" t="inlineStr">
        <is>
          <t>S|FICO x CHANNEL · SYS_FLAG N vs Y|outcome_booked|v|2</t>
        </is>
      </c>
      <c r="B1232" t="n">
        <v>0.475517394695639</v>
      </c>
      <c r="C1232" t="n">
        <v>0.7622115892100478</v>
      </c>
      <c r="D1232" t="n">
        <v>0.2527453319699686</v>
      </c>
    </row>
    <row r="1233">
      <c r="A1233" t="inlineStr">
        <is>
          <t>S|FICO x CHANNEL · SYS_FLAG N vs Y|outcome_booked|p|2</t>
        </is>
      </c>
      <c r="B1233" t="n">
        <v>0.07799220077992201</v>
      </c>
      <c r="C1233" t="n">
        <v>0.4824902125172098</v>
      </c>
      <c r="D1233" t="n">
        <v>0.002999700029997001</v>
      </c>
    </row>
    <row r="1234">
      <c r="A1234" t="inlineStr">
        <is>
          <t>S|FICO x CHANNEL · SYS_FLAG N vs Y|outcome_booked|v|3</t>
        </is>
      </c>
      <c r="B1234" t="n">
        <v>1.080372293073171</v>
      </c>
      <c r="C1234" t="n">
        <v>0.5875917581649458</v>
      </c>
      <c r="D1234" t="n">
        <v>0.4081343614359478</v>
      </c>
    </row>
    <row r="1235">
      <c r="A1235" t="inlineStr">
        <is>
          <t>S|FICO x CHANNEL · SYS_FLAG N vs Y|outcome_booked|p|3</t>
        </is>
      </c>
      <c r="B1235" t="n">
        <v>0.8516148385161484</v>
      </c>
      <c r="C1235" t="n">
        <v>0.3176955031769551</v>
      </c>
      <c r="D1235" t="n">
        <v>0.04113874326853029</v>
      </c>
    </row>
    <row r="1236">
      <c r="A1236" t="inlineStr">
        <is>
          <t>S|FICO x CHANNEL · SYS_FLAG N vs Y|outcome_booked|v|4</t>
        </is>
      </c>
      <c r="B1236" t="n">
        <v>0.49261161654612</v>
      </c>
      <c r="C1236" t="n">
        <v>0.8921965993869906</v>
      </c>
      <c r="D1236" t="n">
        <v>0.501705736272211</v>
      </c>
    </row>
    <row r="1237">
      <c r="A1237" t="inlineStr">
        <is>
          <t>S|FICO x CHANNEL · SYS_FLAG N vs Y|outcome_booked|p|4</t>
        </is>
      </c>
      <c r="B1237" t="n">
        <v>0.21664500216645</v>
      </c>
      <c r="C1237" t="n">
        <v>0.8516148385161484</v>
      </c>
      <c r="D1237" t="n">
        <v>0.07799220077992201</v>
      </c>
    </row>
    <row r="1238">
      <c r="A1238" t="inlineStr">
        <is>
          <t>S|FICO x CHANNEL · SYS_FLAG N vs Y|outcome_booked|v|5</t>
        </is>
      </c>
      <c r="B1238" t="n">
        <v>0.6355811086619555</v>
      </c>
      <c r="C1238" t="n">
        <v>0.4455132578768134</v>
      </c>
      <c r="D1238" t="n">
        <v>0.5310338476268369</v>
      </c>
    </row>
    <row r="1239">
      <c r="A1239" t="inlineStr">
        <is>
          <t>S|FICO x CHANNEL · SYS_FLAG N vs Y|outcome_booked|p|5</t>
        </is>
      </c>
      <c r="B1239" t="n">
        <v>0.4092090790920908</v>
      </c>
      <c r="C1239" t="n">
        <v>0.2096040395960404</v>
      </c>
      <c r="D1239" t="n">
        <v>0.3176955031769551</v>
      </c>
    </row>
    <row r="1240">
      <c r="A1240" t="inlineStr">
        <is>
          <t>S|FICO x CHANNEL · SYS_FLAG N vs Y|outcome_booked|v|6</t>
        </is>
      </c>
    </row>
    <row r="1241">
      <c r="A1241" t="inlineStr">
        <is>
          <t>S|FICO x CHANNEL · SYS_FLAG N vs Y|outcome_booked|p|6</t>
        </is>
      </c>
    </row>
    <row r="1242">
      <c r="A1242" t="inlineStr">
        <is>
          <t>S|FICO x CHANNEL · SYS_FLAG N vs Y|outcome_booked|v|7</t>
        </is>
      </c>
    </row>
    <row r="1243">
      <c r="A1243" t="inlineStr">
        <is>
          <t>S|FICO x CHANNEL · SYS_FLAG N vs Y|outcome_booked|p|7</t>
        </is>
      </c>
    </row>
    <row r="1244">
      <c r="A1244" t="inlineStr">
        <is>
          <t>S|FICO x CHANNEL · SYS_FLAG N vs Y|sum|3</t>
        </is>
      </c>
      <c r="B1244" t="inlineStr">
        <is>
          <t>Charge-offs</t>
        </is>
      </c>
      <c r="C1244" t="n">
        <v>15</v>
      </c>
      <c r="D1244" t="inlineStr">
        <is>
          <t>2 of 15</t>
        </is>
      </c>
      <c r="E1244" t="n">
        <v>0.5798018292340212</v>
      </c>
      <c r="F1244" t="n">
        <v>0.07081958703352918</v>
      </c>
      <c r="G1244" t="inlineStr">
        <is>
          <t>x</t>
        </is>
      </c>
      <c r="H1244" t="n">
        <v>9.999000099990002e-05</v>
      </c>
      <c r="L1244" t="inlineStr">
        <is>
          <t>not tested: dollar rate</t>
        </is>
      </c>
    </row>
    <row r="1245">
      <c r="A1245" t="inlineStr">
        <is>
          <t>S|FICO x CHANNEL · SYS_FLAG N vs Y|gco_rate|meta</t>
        </is>
      </c>
      <c r="B1245" t="inlineStr">
        <is>
          <t>x</t>
        </is>
      </c>
      <c r="C1245" t="n">
        <v>1.292879125777757</v>
      </c>
    </row>
    <row r="1246">
      <c r="A1246" t="inlineStr">
        <is>
          <t>S|FICO x CHANNEL · SYS_FLAG N vs Y|gco_rate|v|1</t>
        </is>
      </c>
      <c r="B1246" t="n">
        <v>0.6576856916119684</v>
      </c>
      <c r="C1246" t="n">
        <v>0.7034858739139201</v>
      </c>
      <c r="D1246" t="n">
        <v>0.4712721575149755</v>
      </c>
    </row>
    <row r="1247">
      <c r="A1247" t="inlineStr">
        <is>
          <t>S|FICO x CHANNEL · SYS_FLAG N vs Y|gco_rate|p|1</t>
        </is>
      </c>
      <c r="B1247" t="n">
        <v>0.2764723527647235</v>
      </c>
      <c r="C1247" t="n">
        <v>0.1284871512848715</v>
      </c>
      <c r="D1247" t="n">
        <v>0.06111888811118889</v>
      </c>
    </row>
    <row r="1248">
      <c r="A1248" t="inlineStr">
        <is>
          <t>S|FICO x CHANNEL · SYS_FLAG N vs Y|gco_rate|v|2</t>
        </is>
      </c>
      <c r="B1248" t="n">
        <v>0.4225647019537738</v>
      </c>
      <c r="C1248" t="n">
        <v>0.7757443938548622</v>
      </c>
      <c r="D1248" t="n">
        <v>0.2704277858518991</v>
      </c>
    </row>
    <row r="1249">
      <c r="A1249" t="inlineStr">
        <is>
          <t>S|FICO x CHANNEL · SYS_FLAG N vs Y|gco_rate|p|2</t>
        </is>
      </c>
      <c r="B1249" t="n">
        <v>0.06111888811118889</v>
      </c>
      <c r="C1249" t="n">
        <v>0.641117706411177</v>
      </c>
      <c r="D1249" t="n">
        <v>0.007499250074992501</v>
      </c>
    </row>
    <row r="1250">
      <c r="A1250" t="inlineStr">
        <is>
          <t>S|FICO x CHANNEL · SYS_FLAG N vs Y|gco_rate|v|3</t>
        </is>
      </c>
      <c r="B1250" t="n">
        <v>1.292879125777757</v>
      </c>
      <c r="C1250" t="n">
        <v>0.738705185842033</v>
      </c>
      <c r="D1250" t="n">
        <v>0.3670321427552126</v>
      </c>
    </row>
    <row r="1251">
      <c r="A1251" t="inlineStr">
        <is>
          <t>S|FICO x CHANNEL · SYS_FLAG N vs Y|gco_rate|p|3</t>
        </is>
      </c>
      <c r="B1251" t="n">
        <v>0.6539346065393461</v>
      </c>
      <c r="C1251" t="n">
        <v>0.6495600439956005</v>
      </c>
      <c r="D1251" t="n">
        <v>0.053994600539946</v>
      </c>
    </row>
    <row r="1252">
      <c r="A1252" t="inlineStr">
        <is>
          <t>S|FICO x CHANNEL · SYS_FLAG N vs Y|gco_rate|v|4</t>
        </is>
      </c>
      <c r="B1252" t="n">
        <v>0.4518206769781546</v>
      </c>
      <c r="C1252" t="n">
        <v>1.148149387270747</v>
      </c>
      <c r="D1252" t="n">
        <v>0.4781103984219464</v>
      </c>
    </row>
    <row r="1253">
      <c r="A1253" t="inlineStr">
        <is>
          <t>S|FICO x CHANNEL · SYS_FLAG N vs Y|gco_rate|p|4</t>
        </is>
      </c>
      <c r="B1253" t="n">
        <v>0.1797945205479452</v>
      </c>
      <c r="C1253" t="n">
        <v>0.8209179082091791</v>
      </c>
      <c r="D1253" t="n">
        <v>0.07379262073792621</v>
      </c>
    </row>
    <row r="1254">
      <c r="A1254" t="inlineStr">
        <is>
          <t>S|FICO x CHANNEL · SYS_FLAG N vs Y|gco_rate|v|5</t>
        </is>
      </c>
      <c r="B1254" t="n">
        <v>0.8296260308698991</v>
      </c>
      <c r="C1254" t="n">
        <v>0.4036640905056481</v>
      </c>
      <c r="D1254" t="n">
        <v>0.5283457440530176</v>
      </c>
    </row>
    <row r="1255">
      <c r="A1255" t="inlineStr">
        <is>
          <t>S|FICO x CHANNEL · SYS_FLAG N vs Y|gco_rate|p|5</t>
        </is>
      </c>
      <c r="B1255" t="n">
        <v>0.7479966289085377</v>
      </c>
      <c r="C1255" t="n">
        <v>0.1585555730141271</v>
      </c>
      <c r="D1255" t="n">
        <v>0.3293670632936706</v>
      </c>
    </row>
    <row r="1256">
      <c r="A1256" t="inlineStr">
        <is>
          <t>S|FICO x CHANNEL · SYS_FLAG N vs Y|gco_rate|v|6</t>
        </is>
      </c>
    </row>
    <row r="1257">
      <c r="A1257" t="inlineStr">
        <is>
          <t>S|FICO x CHANNEL · SYS_FLAG N vs Y|gco_rate|p|6</t>
        </is>
      </c>
    </row>
    <row r="1258">
      <c r="A1258" t="inlineStr">
        <is>
          <t>S|FICO x CHANNEL · SYS_FLAG N vs Y|gco_rate|v|7</t>
        </is>
      </c>
    </row>
    <row r="1259">
      <c r="A1259" t="inlineStr">
        <is>
          <t>S|FICO x CHANNEL · SYS_FLAG N vs Y|gco_rate|p|7</t>
        </is>
      </c>
    </row>
    <row r="1260">
      <c r="A1260" t="inlineStr">
        <is>
          <t>S|FICO x CHANNEL · SYS_FLAG N vs Y|sum|4</t>
        </is>
      </c>
      <c r="B1260" t="inlineStr">
        <is>
          <t>Kept after losses</t>
        </is>
      </c>
      <c r="C1260" t="n">
        <v>15</v>
      </c>
      <c r="D1260" t="inlineStr">
        <is>
          <t>2 of 15</t>
        </is>
      </c>
      <c r="E1260" t="n">
        <v>2.612141864199008</v>
      </c>
      <c r="F1260" t="n">
        <v>0.4421006516510159</v>
      </c>
      <c r="G1260" t="inlineStr">
        <is>
          <t>pts</t>
        </is>
      </c>
      <c r="H1260" t="n">
        <v>9.999000099990002e-05</v>
      </c>
      <c r="L1260" t="inlineStr">
        <is>
          <t>not tested: dollar rate</t>
        </is>
      </c>
    </row>
    <row r="1261">
      <c r="A1261" t="inlineStr">
        <is>
          <t>S|FICO x CHANNEL · SYS_FLAG N vs Y|ranr_rate|meta</t>
        </is>
      </c>
      <c r="B1261" t="inlineStr">
        <is>
          <t>pts</t>
        </is>
      </c>
      <c r="C1261" t="n">
        <v>5.723393202</v>
      </c>
    </row>
    <row r="1262">
      <c r="A1262" t="inlineStr">
        <is>
          <t>S|FICO x CHANNEL · SYS_FLAG N vs Y|ranr_rate|v|1</t>
        </is>
      </c>
      <c r="B1262" t="n">
        <v>3.574192424</v>
      </c>
      <c r="C1262" t="n">
        <v>4.703252644</v>
      </c>
      <c r="D1262" t="n">
        <v>3.906620384</v>
      </c>
    </row>
    <row r="1263">
      <c r="A1263" t="inlineStr">
        <is>
          <t>S|FICO x CHANNEL · SYS_FLAG N vs Y|ranr_rate|p|1</t>
        </is>
      </c>
      <c r="B1263" t="n">
        <v>0.1786321367863214</v>
      </c>
      <c r="C1263" t="n">
        <v>0.1537346265373463</v>
      </c>
      <c r="D1263" t="n">
        <v>0.1537346265373463</v>
      </c>
    </row>
    <row r="1264">
      <c r="A1264" t="inlineStr">
        <is>
          <t>S|FICO x CHANNEL · SYS_FLAG N vs Y|ranr_rate|v|2</t>
        </is>
      </c>
      <c r="B1264" t="n">
        <v>3.904159516</v>
      </c>
      <c r="C1264" t="n">
        <v>1.880750655</v>
      </c>
      <c r="D1264" t="n">
        <v>5.723393202</v>
      </c>
    </row>
    <row r="1265">
      <c r="A1265" t="inlineStr">
        <is>
          <t>S|FICO x CHANNEL · SYS_FLAG N vs Y|ranr_rate|p|2</t>
        </is>
      </c>
      <c r="B1265" t="n">
        <v>0.1537346265373463</v>
      </c>
      <c r="C1265" t="n">
        <v>0.3632136786321368</v>
      </c>
      <c r="D1265" t="n">
        <v>0.02174782521747825</v>
      </c>
    </row>
    <row r="1266">
      <c r="A1266" t="inlineStr">
        <is>
          <t>S|FICO x CHANNEL · SYS_FLAG N vs Y|ranr_rate|v|3</t>
        </is>
      </c>
      <c r="B1266" t="n">
        <v>-0.377354062</v>
      </c>
      <c r="C1266" t="n">
        <v>2.710333304</v>
      </c>
      <c r="D1266" t="n">
        <v>5.65590869</v>
      </c>
    </row>
    <row r="1267">
      <c r="A1267" t="inlineStr">
        <is>
          <t>S|FICO x CHANNEL · SYS_FLAG N vs Y|ranr_rate|p|3</t>
        </is>
      </c>
      <c r="B1267" t="n">
        <v>0.771022897710229</v>
      </c>
      <c r="C1267" t="n">
        <v>0.1537346265373463</v>
      </c>
      <c r="D1267" t="n">
        <v>0.02174782521747825</v>
      </c>
    </row>
    <row r="1268">
      <c r="A1268" t="inlineStr">
        <is>
          <t>S|FICO x CHANNEL · SYS_FLAG N vs Y|ranr_rate|v|4</t>
        </is>
      </c>
      <c r="B1268" t="n">
        <v>1.980697809</v>
      </c>
      <c r="C1268" t="n">
        <v>-0.863007677</v>
      </c>
      <c r="D1268" t="n">
        <v>3.203294658</v>
      </c>
    </row>
    <row r="1269">
      <c r="A1269" t="inlineStr">
        <is>
          <t>S|FICO x CHANNEL · SYS_FLAG N vs Y|ranr_rate|p|4</t>
        </is>
      </c>
      <c r="B1269" t="n">
        <v>0.1786321367863214</v>
      </c>
      <c r="C1269" t="n">
        <v>0.6106532203922465</v>
      </c>
      <c r="D1269" t="n">
        <v>0.1537346265373463</v>
      </c>
    </row>
    <row r="1270">
      <c r="A1270" t="inlineStr">
        <is>
          <t>S|FICO x CHANNEL · SYS_FLAG N vs Y|ranr_rate|v|5</t>
        </is>
      </c>
      <c r="B1270" t="n">
        <v>0.627489803</v>
      </c>
      <c r="C1270" t="n">
        <v>1.774974092</v>
      </c>
      <c r="D1270" t="n">
        <v>1.329022059</v>
      </c>
    </row>
    <row r="1271">
      <c r="A1271" t="inlineStr">
        <is>
          <t>S|FICO x CHANNEL · SYS_FLAG N vs Y|ranr_rate|p|5</t>
        </is>
      </c>
      <c r="B1271" t="n">
        <v>0.6106532203922465</v>
      </c>
      <c r="C1271" t="n">
        <v>0.1537346265373463</v>
      </c>
      <c r="D1271" t="n">
        <v>0.2401123524011235</v>
      </c>
    </row>
    <row r="1272">
      <c r="A1272" t="inlineStr">
        <is>
          <t>S|FICO x CHANNEL · SYS_FLAG N vs Y|ranr_rate|v|6</t>
        </is>
      </c>
    </row>
    <row r="1273">
      <c r="A1273" t="inlineStr">
        <is>
          <t>S|FICO x CHANNEL · SYS_FLAG N vs Y|ranr_rate|p|6</t>
        </is>
      </c>
    </row>
    <row r="1274">
      <c r="A1274" t="inlineStr">
        <is>
          <t>S|FICO x CHANNEL · SYS_FLAG N vs Y|ranr_rate|v|7</t>
        </is>
      </c>
    </row>
    <row r="1275">
      <c r="A1275" t="inlineStr">
        <is>
          <t>S|FICO x CHANNEL · SYS_FLAG N vs Y|ranr_rate|p|7</t>
        </is>
      </c>
    </row>
    <row r="1276">
      <c r="A1276" t="inlineStr">
        <is>
          <t>S|FICO x CHANNEL · SYS_FLAG N vs Y|sum|5</t>
        </is>
      </c>
      <c r="B1276" t="inlineStr">
        <is>
          <t>Earned before losses</t>
        </is>
      </c>
      <c r="C1276" t="n">
        <v>15</v>
      </c>
      <c r="D1276" t="inlineStr">
        <is>
          <t>4 of 15</t>
        </is>
      </c>
      <c r="E1276" t="n">
        <v>0.3854124322324641</v>
      </c>
      <c r="F1276" t="n">
        <v>0.2379887702158736</v>
      </c>
      <c r="G1276" t="inlineStr">
        <is>
          <t>pts</t>
        </is>
      </c>
      <c r="H1276" t="n">
        <v>0.1065893410658934</v>
      </c>
      <c r="L1276" t="inlineStr">
        <is>
          <t>not tested: dollar rate</t>
        </is>
      </c>
    </row>
    <row r="1277">
      <c r="A1277" t="inlineStr">
        <is>
          <t>S|FICO x CHANNEL · SYS_FLAG N vs Y|contribution_rate|meta</t>
        </is>
      </c>
      <c r="B1277" t="inlineStr">
        <is>
          <t>pts</t>
        </is>
      </c>
      <c r="C1277" t="n">
        <v>1.909918611</v>
      </c>
    </row>
    <row r="1278">
      <c r="A1278" t="inlineStr">
        <is>
          <t>S|FICO x CHANNEL · SYS_FLAG N vs Y|contribution_rate|v|1</t>
        </is>
      </c>
      <c r="B1278" t="n">
        <v>1.325899682</v>
      </c>
      <c r="C1278" t="n">
        <v>-0.228040702</v>
      </c>
      <c r="D1278" t="n">
        <v>-0.198971907</v>
      </c>
    </row>
    <row r="1279">
      <c r="A1279" t="inlineStr">
        <is>
          <t>S|FICO x CHANNEL · SYS_FLAG N vs Y|contribution_rate|p|1</t>
        </is>
      </c>
      <c r="B1279" t="n">
        <v>0.9527261559558331</v>
      </c>
      <c r="C1279" t="n">
        <v>0.9527261559558331</v>
      </c>
      <c r="D1279" t="n">
        <v>0.9527261559558331</v>
      </c>
    </row>
    <row r="1280">
      <c r="A1280" t="inlineStr">
        <is>
          <t>S|FICO x CHANNEL · SYS_FLAG N vs Y|contribution_rate|v|2</t>
        </is>
      </c>
      <c r="B1280" t="n">
        <v>-0.154485324</v>
      </c>
      <c r="C1280" t="n">
        <v>0.800399198</v>
      </c>
      <c r="D1280" t="n">
        <v>0.432102812</v>
      </c>
    </row>
    <row r="1281">
      <c r="A1281" t="inlineStr">
        <is>
          <t>S|FICO x CHANNEL · SYS_FLAG N vs Y|contribution_rate|p|2</t>
        </is>
      </c>
      <c r="B1281" t="n">
        <v>0.9527261559558331</v>
      </c>
      <c r="C1281" t="n">
        <v>0.9527261559558331</v>
      </c>
      <c r="D1281" t="n">
        <v>0.9527261559558331</v>
      </c>
    </row>
    <row r="1282">
      <c r="A1282" t="inlineStr">
        <is>
          <t>S|FICO x CHANNEL · SYS_FLAG N vs Y|contribution_rate|v|3</t>
        </is>
      </c>
      <c r="B1282" t="n">
        <v>0.232409112</v>
      </c>
      <c r="C1282" t="n">
        <v>1.909918611</v>
      </c>
      <c r="D1282" t="n">
        <v>1.584747234</v>
      </c>
    </row>
    <row r="1283">
      <c r="A1283" t="inlineStr">
        <is>
          <t>S|FICO x CHANNEL · SYS_FLAG N vs Y|contribution_rate|p|3</t>
        </is>
      </c>
      <c r="B1283" t="n">
        <v>0.9527261559558331</v>
      </c>
      <c r="C1283" t="n">
        <v>0.1934806519348065</v>
      </c>
      <c r="D1283" t="n">
        <v>0.7184281571842817</v>
      </c>
    </row>
    <row r="1284">
      <c r="A1284" t="inlineStr">
        <is>
          <t>S|FICO x CHANNEL · SYS_FLAG N vs Y|contribution_rate|v|4</t>
        </is>
      </c>
      <c r="B1284" t="n">
        <v>0.13120914</v>
      </c>
      <c r="C1284" t="n">
        <v>-0.579270655</v>
      </c>
      <c r="D1284" t="n">
        <v>0.028011158</v>
      </c>
    </row>
    <row r="1285">
      <c r="A1285" t="inlineStr">
        <is>
          <t>S|FICO x CHANNEL · SYS_FLAG N vs Y|contribution_rate|p|4</t>
        </is>
      </c>
      <c r="B1285" t="n">
        <v>0.9527261559558331</v>
      </c>
      <c r="C1285" t="n">
        <v>0.9527261559558331</v>
      </c>
      <c r="D1285" t="n">
        <v>0.9726027397260274</v>
      </c>
    </row>
    <row r="1286">
      <c r="A1286" t="inlineStr">
        <is>
          <t>S|FICO x CHANNEL · SYS_FLAG N vs Y|contribution_rate|v|5</t>
        </is>
      </c>
      <c r="B1286" t="n">
        <v>0.202936616</v>
      </c>
      <c r="C1286" t="n">
        <v>0.177549488</v>
      </c>
      <c r="D1286" t="n">
        <v>0.193546601</v>
      </c>
    </row>
    <row r="1287">
      <c r="A1287" t="inlineStr">
        <is>
          <t>S|FICO x CHANNEL · SYS_FLAG N vs Y|contribution_rate|p|5</t>
        </is>
      </c>
      <c r="B1287" t="n">
        <v>0.9527261559558331</v>
      </c>
      <c r="C1287" t="n">
        <v>0.9527261559558331</v>
      </c>
      <c r="D1287" t="n">
        <v>0.9527261559558331</v>
      </c>
    </row>
    <row r="1288">
      <c r="A1288" t="inlineStr">
        <is>
          <t>S|FICO x CHANNEL · SYS_FLAG N vs Y|contribution_rate|v|6</t>
        </is>
      </c>
    </row>
    <row r="1289">
      <c r="A1289" t="inlineStr">
        <is>
          <t>S|FICO x CHANNEL · SYS_FLAG N vs Y|contribution_rate|p|6</t>
        </is>
      </c>
    </row>
    <row r="1290">
      <c r="A1290" t="inlineStr">
        <is>
          <t>S|FICO x CHANNEL · SYS_FLAG N vs Y|contribution_rate|v|7</t>
        </is>
      </c>
    </row>
    <row r="1291">
      <c r="A1291" t="inlineStr">
        <is>
          <t>S|FICO x CHANNEL · SYS_FLAG N vs Y|contribution_rate|p|7</t>
        </is>
      </c>
    </row>
    <row r="1292">
      <c r="A1292" t="inlineStr">
        <is>
          <t>S|FICO x CHANNEL · SYS_FLAG Y vs N|chip</t>
        </is>
      </c>
    </row>
    <row r="1293">
      <c r="A1293" t="inlineStr">
        <is>
          <t>S|FICO x CHANNEL · SYS_FLAG Y vs N|rows</t>
        </is>
      </c>
      <c r="B1293" t="inlineStr">
        <is>
          <t>496 - 653</t>
        </is>
      </c>
      <c r="C1293" t="inlineStr">
        <is>
          <t>654 - 685</t>
        </is>
      </c>
      <c r="D1293" t="inlineStr">
        <is>
          <t>686 - 711</t>
        </is>
      </c>
      <c r="E1293" t="inlineStr">
        <is>
          <t>712 - 745</t>
        </is>
      </c>
      <c r="F1293" t="inlineStr">
        <is>
          <t>746 - 921</t>
        </is>
      </c>
      <c r="G1293" t="inlineStr">
        <is>
          <t>(blank)</t>
        </is>
      </c>
      <c r="H1293" t="inlineStr">
        <is>
          <t>(marked missing)</t>
        </is>
      </c>
    </row>
    <row r="1294">
      <c r="A1294" t="inlineStr">
        <is>
          <t>S|FICO x CHANNEL · SYS_FLAG Y vs N|cols</t>
        </is>
      </c>
      <c r="B1294" t="inlineStr">
        <is>
          <t>Branch</t>
        </is>
      </c>
      <c r="C1294" t="inlineStr">
        <is>
          <t>Broker</t>
        </is>
      </c>
      <c r="D1294" t="inlineStr">
        <is>
          <t>Online</t>
        </is>
      </c>
    </row>
    <row r="1295">
      <c r="A1295" t="inlineStr">
        <is>
          <t>S|FICO x CHANNEL · SYS_FLAG Y vs N|sum|1</t>
        </is>
      </c>
      <c r="B1295" t="inlineStr">
        <is>
          <t>Bad loans</t>
        </is>
      </c>
      <c r="C1295" t="n">
        <v>15</v>
      </c>
      <c r="D1295" t="inlineStr">
        <is>
          <t>14 of 15</t>
        </is>
      </c>
      <c r="E1295" t="n">
        <v>1.659342100324173</v>
      </c>
      <c r="F1295" t="n">
        <v>0.1023272110868351</v>
      </c>
      <c r="G1295" t="inlineStr">
        <is>
          <t>x</t>
        </is>
      </c>
      <c r="H1295" t="n">
        <v>1.66736411754293e-10</v>
      </c>
      <c r="I1295" t="n">
        <v>1.764575504370212</v>
      </c>
      <c r="J1295" t="n">
        <v>5.56500743701305e-11</v>
      </c>
      <c r="K1295" t="n">
        <v>0.8427846748745236</v>
      </c>
      <c r="M1295" t="n">
        <v>1.102500503842273e-11</v>
      </c>
      <c r="N1295" t="n">
        <v>1</v>
      </c>
      <c r="O1295" t="n">
        <v>18</v>
      </c>
    </row>
    <row r="1296">
      <c r="A1296" t="inlineStr">
        <is>
          <t>S|FICO x CHANNEL · SYS_FLAG Y vs N|outcome_loans|meta</t>
        </is>
      </c>
      <c r="B1296" t="inlineStr">
        <is>
          <t>x</t>
        </is>
      </c>
      <c r="C1296" t="n">
        <v>2.542698826597132</v>
      </c>
    </row>
    <row r="1297">
      <c r="A1297" t="inlineStr">
        <is>
          <t>S|FICO x CHANNEL · SYS_FLAG Y vs N|outcome_loans|v|1</t>
        </is>
      </c>
      <c r="B1297" t="n">
        <v>1.422924901185771</v>
      </c>
      <c r="C1297" t="n">
        <v>1.518792452830189</v>
      </c>
      <c r="D1297" t="n">
        <v>1.877645248172374</v>
      </c>
    </row>
    <row r="1298">
      <c r="A1298" t="inlineStr">
        <is>
          <t>S|FICO x CHANNEL · SYS_FLAG Y vs N|outcome_loans|p|1</t>
        </is>
      </c>
      <c r="B1298" t="n">
        <v>0.2694805222682622</v>
      </c>
      <c r="C1298" t="n">
        <v>0.04076659558410643</v>
      </c>
      <c r="D1298" t="n">
        <v>0.05001271264035039</v>
      </c>
    </row>
    <row r="1299">
      <c r="A1299" t="inlineStr">
        <is>
          <t>S|FICO x CHANNEL · SYS_FLAG Y vs N|outcome_loans|v|2</t>
        </is>
      </c>
      <c r="B1299" t="n">
        <v>1.776820866141733</v>
      </c>
      <c r="C1299" t="n">
        <v>1.633652094717668</v>
      </c>
      <c r="D1299" t="n">
        <v>2.542698826597132</v>
      </c>
    </row>
    <row r="1300">
      <c r="A1300" t="inlineStr">
        <is>
          <t>S|FICO x CHANNEL · SYS_FLAG Y vs N|outcome_loans|p|2</t>
        </is>
      </c>
      <c r="B1300" t="n">
        <v>0.1246640428049841</v>
      </c>
      <c r="C1300" t="n">
        <v>0.202155067497946</v>
      </c>
      <c r="D1300" t="n">
        <v>0.03702988483311467</v>
      </c>
    </row>
    <row r="1301">
      <c r="A1301" t="inlineStr">
        <is>
          <t>S|FICO x CHANNEL · SYS_FLAG Y vs N|outcome_loans|v|3</t>
        </is>
      </c>
      <c r="B1301" t="n">
        <v>0.7709637046307884</v>
      </c>
      <c r="C1301" t="n">
        <v>1.606719367588933</v>
      </c>
      <c r="D1301" t="n">
        <v>1.938253012048193</v>
      </c>
    </row>
    <row r="1302">
      <c r="A1302" t="inlineStr">
        <is>
          <t>S|FICO x CHANNEL · SYS_FLAG Y vs N|outcome_loans|p|3</t>
        </is>
      </c>
      <c r="B1302" t="n">
        <v>0.5230439160973697</v>
      </c>
      <c r="C1302" t="n">
        <v>0.2694805222682622</v>
      </c>
      <c r="D1302" t="n">
        <v>0.08181925107253929</v>
      </c>
    </row>
    <row r="1303">
      <c r="A1303" t="inlineStr">
        <is>
          <t>S|FICO x CHANNEL · SYS_FLAG Y vs N|outcome_loans|v|4</t>
        </is>
      </c>
      <c r="B1303" t="n">
        <v>1.594805194805195</v>
      </c>
      <c r="C1303" t="n">
        <v>1.03822629969419</v>
      </c>
      <c r="D1303" t="n">
        <v>2.121852517985611</v>
      </c>
    </row>
    <row r="1304">
      <c r="A1304" t="inlineStr">
        <is>
          <t>S|FICO x CHANNEL · SYS_FLAG Y vs N|outcome_loans|p|4</t>
        </is>
      </c>
      <c r="B1304" t="n">
        <v>0.3015487297061033</v>
      </c>
      <c r="C1304" t="n">
        <v>0.9397040652372569</v>
      </c>
      <c r="D1304" t="n">
        <v>0.04076659558410643</v>
      </c>
    </row>
    <row r="1305">
      <c r="A1305" t="inlineStr">
        <is>
          <t>S|FICO x CHANNEL · SYS_FLAG Y vs N|outcome_loans|v|5</t>
        </is>
      </c>
      <c r="B1305" t="n">
        <v>1.815899581589958</v>
      </c>
      <c r="C1305" t="n">
        <v>1.892405063291139</v>
      </c>
      <c r="D1305" t="n">
        <v>1.784444444444445</v>
      </c>
    </row>
    <row r="1306">
      <c r="A1306" t="inlineStr">
        <is>
          <t>S|FICO x CHANNEL · SYS_FLAG Y vs N|outcome_loans|p|5</t>
        </is>
      </c>
      <c r="B1306" t="n">
        <v>0.2457727030910409</v>
      </c>
      <c r="C1306" t="n">
        <v>0.2457727030910409</v>
      </c>
      <c r="D1306" t="n">
        <v>0.2694805222682622</v>
      </c>
    </row>
    <row r="1307">
      <c r="A1307" t="inlineStr">
        <is>
          <t>S|FICO x CHANNEL · SYS_FLAG Y vs N|outcome_loans|v|6</t>
        </is>
      </c>
    </row>
    <row r="1308">
      <c r="A1308" t="inlineStr">
        <is>
          <t>S|FICO x CHANNEL · SYS_FLAG Y vs N|outcome_loans|p|6</t>
        </is>
      </c>
    </row>
    <row r="1309">
      <c r="A1309" t="inlineStr">
        <is>
          <t>S|FICO x CHANNEL · SYS_FLAG Y vs N|outcome_loans|v|7</t>
        </is>
      </c>
    </row>
    <row r="1310">
      <c r="A1310" t="inlineStr">
        <is>
          <t>S|FICO x CHANNEL · SYS_FLAG Y vs N|outcome_loans|p|7</t>
        </is>
      </c>
    </row>
    <row r="1311">
      <c r="A1311" t="inlineStr">
        <is>
          <t>S|FICO x CHANNEL · SYS_FLAG Y vs N|sum|2</t>
        </is>
      </c>
      <c r="B1311" t="inlineStr">
        <is>
          <t>Bad dollars</t>
        </is>
      </c>
      <c r="C1311" t="n">
        <v>15</v>
      </c>
      <c r="D1311" t="inlineStr">
        <is>
          <t>14 of 15</t>
        </is>
      </c>
      <c r="E1311" t="n">
        <v>1.822879257719994</v>
      </c>
      <c r="F1311" t="n">
        <v>0.1222065502370372</v>
      </c>
      <c r="G1311" t="inlineStr">
        <is>
          <t>x</t>
        </is>
      </c>
      <c r="H1311" t="n">
        <v>9.999000099990002e-05</v>
      </c>
      <c r="L1311" t="inlineStr">
        <is>
          <t>not tested: dollar rate</t>
        </is>
      </c>
    </row>
    <row r="1312">
      <c r="A1312" t="inlineStr">
        <is>
          <t>S|FICO x CHANNEL · SYS_FLAG Y vs N|outcome_booked|meta</t>
        </is>
      </c>
      <c r="B1312" t="inlineStr">
        <is>
          <t>x</t>
        </is>
      </c>
      <c r="C1312" t="n">
        <v>3.956551807329999</v>
      </c>
    </row>
    <row r="1313">
      <c r="A1313" t="inlineStr">
        <is>
          <t>S|FICO x CHANNEL · SYS_FLAG Y vs N|outcome_booked|v|1</t>
        </is>
      </c>
      <c r="B1313" t="n">
        <v>1.63326411431043</v>
      </c>
      <c r="C1313" t="n">
        <v>1.599929011435957</v>
      </c>
      <c r="D1313" t="n">
        <v>2.322410446338583</v>
      </c>
    </row>
    <row r="1314">
      <c r="A1314" t="inlineStr">
        <is>
          <t>S|FICO x CHANNEL · SYS_FLAG Y vs N|outcome_booked|p|1</t>
        </is>
      </c>
      <c r="B1314" t="n">
        <v>0.2096040395960404</v>
      </c>
      <c r="C1314" t="n">
        <v>0.03549645035496451</v>
      </c>
      <c r="D1314" t="n">
        <v>0.02924707529247075</v>
      </c>
    </row>
    <row r="1315">
      <c r="A1315" t="inlineStr">
        <is>
          <t>S|FICO x CHANNEL · SYS_FLAG Y vs N|outcome_booked|v|2</t>
        </is>
      </c>
      <c r="B1315" t="n">
        <v>2.102972490922362</v>
      </c>
      <c r="C1315" t="n">
        <v>1.311971654795219</v>
      </c>
      <c r="D1315" t="n">
        <v>3.956551807329999</v>
      </c>
    </row>
    <row r="1316">
      <c r="A1316" t="inlineStr">
        <is>
          <t>S|FICO x CHANNEL · SYS_FLAG Y vs N|outcome_booked|p|2</t>
        </is>
      </c>
      <c r="B1316" t="n">
        <v>0.07799220077992201</v>
      </c>
      <c r="C1316" t="n">
        <v>0.4824902125172098</v>
      </c>
      <c r="D1316" t="n">
        <v>0.002999700029997001</v>
      </c>
    </row>
    <row r="1317">
      <c r="A1317" t="inlineStr">
        <is>
          <t>S|FICO x CHANNEL · SYS_FLAG Y vs N|outcome_booked|v|3</t>
        </is>
      </c>
      <c r="B1317" t="n">
        <v>0.9256068546106935</v>
      </c>
      <c r="C1317" t="n">
        <v>1.701861855794249</v>
      </c>
      <c r="D1317" t="n">
        <v>2.450173507767586</v>
      </c>
    </row>
    <row r="1318">
      <c r="A1318" t="inlineStr">
        <is>
          <t>S|FICO x CHANNEL · SYS_FLAG Y vs N|outcome_booked|p|3</t>
        </is>
      </c>
      <c r="B1318" t="n">
        <v>0.8516148385161484</v>
      </c>
      <c r="C1318" t="n">
        <v>0.3176955031769551</v>
      </c>
      <c r="D1318" t="n">
        <v>0.04612038796120388</v>
      </c>
    </row>
    <row r="1319">
      <c r="A1319" t="inlineStr">
        <is>
          <t>S|FICO x CHANNEL · SYS_FLAG Y vs N|outcome_booked|v|4</t>
        </is>
      </c>
      <c r="B1319" t="n">
        <v>2.029996789380172</v>
      </c>
      <c r="C1319" t="n">
        <v>1.120829199177714</v>
      </c>
      <c r="D1319" t="n">
        <v>1.993200252064547</v>
      </c>
    </row>
    <row r="1320">
      <c r="A1320" t="inlineStr">
        <is>
          <t>S|FICO x CHANNEL · SYS_FLAG Y vs N|outcome_booked|p|4</t>
        </is>
      </c>
      <c r="B1320" t="n">
        <v>0.21664500216645</v>
      </c>
      <c r="C1320" t="n">
        <v>0.8516148385161484</v>
      </c>
      <c r="D1320" t="n">
        <v>0.07799220077992201</v>
      </c>
    </row>
    <row r="1321">
      <c r="A1321" t="inlineStr">
        <is>
          <t>S|FICO x CHANNEL · SYS_FLAG Y vs N|outcome_booked|v|5</t>
        </is>
      </c>
      <c r="B1321" t="n">
        <v>1.573363314880818</v>
      </c>
      <c r="C1321" t="n">
        <v>2.244602113000428</v>
      </c>
      <c r="D1321" t="n">
        <v>1.883119135378938</v>
      </c>
    </row>
    <row r="1322">
      <c r="A1322" t="inlineStr">
        <is>
          <t>S|FICO x CHANNEL · SYS_FLAG Y vs N|outcome_booked|p|5</t>
        </is>
      </c>
      <c r="B1322" t="n">
        <v>0.4092090790920908</v>
      </c>
      <c r="C1322" t="n">
        <v>0.2096040395960404</v>
      </c>
      <c r="D1322" t="n">
        <v>0.3176955031769551</v>
      </c>
    </row>
    <row r="1323">
      <c r="A1323" t="inlineStr">
        <is>
          <t>S|FICO x CHANNEL · SYS_FLAG Y vs N|outcome_booked|v|6</t>
        </is>
      </c>
    </row>
    <row r="1324">
      <c r="A1324" t="inlineStr">
        <is>
          <t>S|FICO x CHANNEL · SYS_FLAG Y vs N|outcome_booked|p|6</t>
        </is>
      </c>
    </row>
    <row r="1325">
      <c r="A1325" t="inlineStr">
        <is>
          <t>S|FICO x CHANNEL · SYS_FLAG Y vs N|outcome_booked|v|7</t>
        </is>
      </c>
    </row>
    <row r="1326">
      <c r="A1326" t="inlineStr">
        <is>
          <t>S|FICO x CHANNEL · SYS_FLAG Y vs N|outcome_booked|p|7</t>
        </is>
      </c>
    </row>
    <row r="1327">
      <c r="A1327" t="inlineStr">
        <is>
          <t>S|FICO x CHANNEL · SYS_FLAG Y vs N|sum|3</t>
        </is>
      </c>
      <c r="B1327" t="inlineStr">
        <is>
          <t>Charge-offs</t>
        </is>
      </c>
      <c r="C1327" t="n">
        <v>15</v>
      </c>
      <c r="D1327" t="inlineStr">
        <is>
          <t>13 of 15</t>
        </is>
      </c>
      <c r="E1327" t="n">
        <v>1.725257011437162</v>
      </c>
      <c r="F1327" t="n">
        <v>0.1216640947673577</v>
      </c>
      <c r="G1327" t="inlineStr">
        <is>
          <t>x</t>
        </is>
      </c>
      <c r="H1327" t="n">
        <v>9.999000099990002e-05</v>
      </c>
      <c r="L1327" t="inlineStr">
        <is>
          <t>not tested: dollar rate</t>
        </is>
      </c>
    </row>
    <row r="1328">
      <c r="A1328" t="inlineStr">
        <is>
          <t>S|FICO x CHANNEL · SYS_FLAG Y vs N|gco_rate|meta</t>
        </is>
      </c>
      <c r="B1328" t="inlineStr">
        <is>
          <t>x</t>
        </is>
      </c>
      <c r="C1328" t="n">
        <v>3.697844867715089</v>
      </c>
    </row>
    <row r="1329">
      <c r="A1329" t="inlineStr">
        <is>
          <t>S|FICO x CHANNEL · SYS_FLAG Y vs N|gco_rate|v|1</t>
        </is>
      </c>
      <c r="B1329" t="n">
        <v>1.520483131614175</v>
      </c>
      <c r="C1329" t="n">
        <v>1.421492651211873</v>
      </c>
      <c r="D1329" t="n">
        <v>2.121916145594116</v>
      </c>
    </row>
    <row r="1330">
      <c r="A1330" t="inlineStr">
        <is>
          <t>S|FICO x CHANNEL · SYS_FLAG Y vs N|gco_rate|p|1</t>
        </is>
      </c>
      <c r="B1330" t="n">
        <v>0.2764723527647235</v>
      </c>
      <c r="C1330" t="n">
        <v>0.12816900128169</v>
      </c>
      <c r="D1330" t="n">
        <v>0.06111888811118889</v>
      </c>
    </row>
    <row r="1331">
      <c r="A1331" t="inlineStr">
        <is>
          <t>S|FICO x CHANNEL · SYS_FLAG Y vs N|gco_rate|v|2</t>
        </is>
      </c>
      <c r="B1331" t="n">
        <v>2.36650149758461</v>
      </c>
      <c r="C1331" t="n">
        <v>1.289084404504372</v>
      </c>
      <c r="D1331" t="n">
        <v>3.697844867715089</v>
      </c>
    </row>
    <row r="1332">
      <c r="A1332" t="inlineStr">
        <is>
          <t>S|FICO x CHANNEL · SYS_FLAG Y vs N|gco_rate|p|2</t>
        </is>
      </c>
      <c r="B1332" t="n">
        <v>0.06111888811118889</v>
      </c>
      <c r="C1332" t="n">
        <v>0.641117706411177</v>
      </c>
      <c r="D1332" t="n">
        <v>0.007499250074992501</v>
      </c>
    </row>
    <row r="1333">
      <c r="A1333" t="inlineStr">
        <is>
          <t>S|FICO x CHANNEL · SYS_FLAG Y vs N|gco_rate|v|3</t>
        </is>
      </c>
      <c r="B1333" t="n">
        <v>0.7734675114337776</v>
      </c>
      <c r="C1333" t="n">
        <v>1.353720021418454</v>
      </c>
      <c r="D1333" t="n">
        <v>2.724557016977495</v>
      </c>
    </row>
    <row r="1334">
      <c r="A1334" t="inlineStr">
        <is>
          <t>S|FICO x CHANNEL · SYS_FLAG Y vs N|gco_rate|p|3</t>
        </is>
      </c>
      <c r="B1334" t="n">
        <v>0.6539346065393461</v>
      </c>
      <c r="C1334" t="n">
        <v>0.6495600439956005</v>
      </c>
      <c r="D1334" t="n">
        <v>0.053994600539946</v>
      </c>
    </row>
    <row r="1335">
      <c r="A1335" t="inlineStr">
        <is>
          <t>S|FICO x CHANNEL · SYS_FLAG Y vs N|gco_rate|v|4</t>
        </is>
      </c>
      <c r="B1335" t="n">
        <v>2.213267455327968</v>
      </c>
      <c r="C1335" t="n">
        <v>0.8709668019569202</v>
      </c>
      <c r="D1335" t="n">
        <v>2.091567142861994</v>
      </c>
    </row>
    <row r="1336">
      <c r="A1336" t="inlineStr">
        <is>
          <t>S|FICO x CHANNEL · SYS_FLAG Y vs N|gco_rate|p|4</t>
        </is>
      </c>
      <c r="B1336" t="n">
        <v>0.1797945205479452</v>
      </c>
      <c r="C1336" t="n">
        <v>0.8209179082091791</v>
      </c>
      <c r="D1336" t="n">
        <v>0.07379262073792621</v>
      </c>
    </row>
    <row r="1337">
      <c r="A1337" t="inlineStr">
        <is>
          <t>S|FICO x CHANNEL · SYS_FLAG Y vs N|gco_rate|v|5</t>
        </is>
      </c>
      <c r="B1337" t="n">
        <v>1.205362371466884</v>
      </c>
      <c r="C1337" t="n">
        <v>2.477307304564432</v>
      </c>
      <c r="D1337" t="n">
        <v>1.892700019363937</v>
      </c>
    </row>
    <row r="1338">
      <c r="A1338" t="inlineStr">
        <is>
          <t>S|FICO x CHANNEL · SYS_FLAG Y vs N|gco_rate|p|5</t>
        </is>
      </c>
      <c r="B1338" t="n">
        <v>0.7479966289085377</v>
      </c>
      <c r="C1338" t="n">
        <v>0.1585555730141271</v>
      </c>
      <c r="D1338" t="n">
        <v>0.3293670632936706</v>
      </c>
    </row>
    <row r="1339">
      <c r="A1339" t="inlineStr">
        <is>
          <t>S|FICO x CHANNEL · SYS_FLAG Y vs N|gco_rate|v|6</t>
        </is>
      </c>
    </row>
    <row r="1340">
      <c r="A1340" t="inlineStr">
        <is>
          <t>S|FICO x CHANNEL · SYS_FLAG Y vs N|gco_rate|p|6</t>
        </is>
      </c>
    </row>
    <row r="1341">
      <c r="A1341" t="inlineStr">
        <is>
          <t>S|FICO x CHANNEL · SYS_FLAG Y vs N|gco_rate|v|7</t>
        </is>
      </c>
    </row>
    <row r="1342">
      <c r="A1342" t="inlineStr">
        <is>
          <t>S|FICO x CHANNEL · SYS_FLAG Y vs N|gco_rate|p|7</t>
        </is>
      </c>
    </row>
    <row r="1343">
      <c r="A1343" t="inlineStr">
        <is>
          <t>S|FICO x CHANNEL · SYS_FLAG Y vs N|sum|4</t>
        </is>
      </c>
      <c r="B1343" t="inlineStr">
        <is>
          <t>Kept after losses</t>
        </is>
      </c>
      <c r="C1343" t="n">
        <v>15</v>
      </c>
      <c r="D1343" t="inlineStr">
        <is>
          <t>13 of 15</t>
        </is>
      </c>
      <c r="E1343" t="n">
        <v>-2.712402494594421</v>
      </c>
      <c r="F1343" t="n">
        <v>0.4550705475896603</v>
      </c>
      <c r="G1343" t="inlineStr">
        <is>
          <t>pts</t>
        </is>
      </c>
      <c r="H1343" t="n">
        <v>9.999000099990002e-05</v>
      </c>
      <c r="L1343" t="inlineStr">
        <is>
          <t>not tested: dollar rate</t>
        </is>
      </c>
    </row>
    <row r="1344">
      <c r="A1344" t="inlineStr">
        <is>
          <t>S|FICO x CHANNEL · SYS_FLAG Y vs N|ranr_rate|meta</t>
        </is>
      </c>
      <c r="B1344" t="inlineStr">
        <is>
          <t>pts</t>
        </is>
      </c>
      <c r="C1344" t="n">
        <v>5.723393202</v>
      </c>
    </row>
    <row r="1345">
      <c r="A1345" t="inlineStr">
        <is>
          <t>S|FICO x CHANNEL · SYS_FLAG Y vs N|ranr_rate|v|1</t>
        </is>
      </c>
      <c r="B1345" t="n">
        <v>-3.574192424</v>
      </c>
      <c r="C1345" t="n">
        <v>-4.703252644</v>
      </c>
      <c r="D1345" t="n">
        <v>-3.906620384</v>
      </c>
    </row>
    <row r="1346">
      <c r="A1346" t="inlineStr">
        <is>
          <t>S|FICO x CHANNEL · SYS_FLAG Y vs N|ranr_rate|p|1</t>
        </is>
      </c>
      <c r="B1346" t="n">
        <v>0.1786321367863214</v>
      </c>
      <c r="C1346" t="n">
        <v>0.1537346265373463</v>
      </c>
      <c r="D1346" t="n">
        <v>0.1537346265373463</v>
      </c>
    </row>
    <row r="1347">
      <c r="A1347" t="inlineStr">
        <is>
          <t>S|FICO x CHANNEL · SYS_FLAG Y vs N|ranr_rate|v|2</t>
        </is>
      </c>
      <c r="B1347" t="n">
        <v>-3.904159516</v>
      </c>
      <c r="C1347" t="n">
        <v>-1.880750655</v>
      </c>
      <c r="D1347" t="n">
        <v>-5.723393202</v>
      </c>
    </row>
    <row r="1348">
      <c r="A1348" t="inlineStr">
        <is>
          <t>S|FICO x CHANNEL · SYS_FLAG Y vs N|ranr_rate|p|2</t>
        </is>
      </c>
      <c r="B1348" t="n">
        <v>0.1537346265373463</v>
      </c>
      <c r="C1348" t="n">
        <v>0.3632136786321368</v>
      </c>
      <c r="D1348" t="n">
        <v>0.02174782521747825</v>
      </c>
    </row>
    <row r="1349">
      <c r="A1349" t="inlineStr">
        <is>
          <t>S|FICO x CHANNEL · SYS_FLAG Y vs N|ranr_rate|v|3</t>
        </is>
      </c>
      <c r="B1349" t="n">
        <v>0.377354062</v>
      </c>
      <c r="C1349" t="n">
        <v>-2.710333304</v>
      </c>
      <c r="D1349" t="n">
        <v>-5.65590869</v>
      </c>
    </row>
    <row r="1350">
      <c r="A1350" t="inlineStr">
        <is>
          <t>S|FICO x CHANNEL · SYS_FLAG Y vs N|ranr_rate|p|3</t>
        </is>
      </c>
      <c r="B1350" t="n">
        <v>0.771022897710229</v>
      </c>
      <c r="C1350" t="n">
        <v>0.1537346265373463</v>
      </c>
      <c r="D1350" t="n">
        <v>0.02174782521747825</v>
      </c>
    </row>
    <row r="1351">
      <c r="A1351" t="inlineStr">
        <is>
          <t>S|FICO x CHANNEL · SYS_FLAG Y vs N|ranr_rate|v|4</t>
        </is>
      </c>
      <c r="B1351" t="n">
        <v>-1.980697809</v>
      </c>
      <c r="C1351" t="n">
        <v>0.863007677</v>
      </c>
      <c r="D1351" t="n">
        <v>-3.203294658</v>
      </c>
    </row>
    <row r="1352">
      <c r="A1352" t="inlineStr">
        <is>
          <t>S|FICO x CHANNEL · SYS_FLAG Y vs N|ranr_rate|p|4</t>
        </is>
      </c>
      <c r="B1352" t="n">
        <v>0.1786321367863214</v>
      </c>
      <c r="C1352" t="n">
        <v>0.6106532203922465</v>
      </c>
      <c r="D1352" t="n">
        <v>0.1537346265373463</v>
      </c>
    </row>
    <row r="1353">
      <c r="A1353" t="inlineStr">
        <is>
          <t>S|FICO x CHANNEL · SYS_FLAG Y vs N|ranr_rate|v|5</t>
        </is>
      </c>
      <c r="B1353" t="n">
        <v>-0.627489803</v>
      </c>
      <c r="C1353" t="n">
        <v>-1.774974092</v>
      </c>
      <c r="D1353" t="n">
        <v>-1.329022059</v>
      </c>
    </row>
    <row r="1354">
      <c r="A1354" t="inlineStr">
        <is>
          <t>S|FICO x CHANNEL · SYS_FLAG Y vs N|ranr_rate|p|5</t>
        </is>
      </c>
      <c r="B1354" t="n">
        <v>0.6106532203922465</v>
      </c>
      <c r="C1354" t="n">
        <v>0.1537346265373463</v>
      </c>
      <c r="D1354" t="n">
        <v>0.2401123524011235</v>
      </c>
    </row>
    <row r="1355">
      <c r="A1355" t="inlineStr">
        <is>
          <t>S|FICO x CHANNEL · SYS_FLAG Y vs N|ranr_rate|v|6</t>
        </is>
      </c>
    </row>
    <row r="1356">
      <c r="A1356" t="inlineStr">
        <is>
          <t>S|FICO x CHANNEL · SYS_FLAG Y vs N|ranr_rate|p|6</t>
        </is>
      </c>
    </row>
    <row r="1357">
      <c r="A1357" t="inlineStr">
        <is>
          <t>S|FICO x CHANNEL · SYS_FLAG Y vs N|ranr_rate|v|7</t>
        </is>
      </c>
    </row>
    <row r="1358">
      <c r="A1358" t="inlineStr">
        <is>
          <t>S|FICO x CHANNEL · SYS_FLAG Y vs N|ranr_rate|p|7</t>
        </is>
      </c>
    </row>
    <row r="1359">
      <c r="A1359" t="inlineStr">
        <is>
          <t>S|FICO x CHANNEL · SYS_FLAG Y vs N|sum|5</t>
        </is>
      </c>
      <c r="B1359" t="inlineStr">
        <is>
          <t>Earned before losses</t>
        </is>
      </c>
      <c r="C1359" t="n">
        <v>15</v>
      </c>
      <c r="D1359" t="inlineStr">
        <is>
          <t>11 of 15</t>
        </is>
      </c>
      <c r="E1359" t="n">
        <v>-0.3984100812127655</v>
      </c>
      <c r="F1359" t="n">
        <v>0.2439203473045795</v>
      </c>
      <c r="G1359" t="inlineStr">
        <is>
          <t>pts</t>
        </is>
      </c>
      <c r="H1359" t="n">
        <v>0.1065893410658934</v>
      </c>
      <c r="L1359" t="inlineStr">
        <is>
          <t>not tested: dollar rate</t>
        </is>
      </c>
    </row>
    <row r="1360">
      <c r="A1360" t="inlineStr">
        <is>
          <t>S|FICO x CHANNEL · SYS_FLAG Y vs N|contribution_rate|meta</t>
        </is>
      </c>
      <c r="B1360" t="inlineStr">
        <is>
          <t>pts</t>
        </is>
      </c>
      <c r="C1360" t="n">
        <v>1.909918611</v>
      </c>
    </row>
    <row r="1361">
      <c r="A1361" t="inlineStr">
        <is>
          <t>S|FICO x CHANNEL · SYS_FLAG Y vs N|contribution_rate|v|1</t>
        </is>
      </c>
      <c r="B1361" t="n">
        <v>-1.325899682</v>
      </c>
      <c r="C1361" t="n">
        <v>0.228040702</v>
      </c>
      <c r="D1361" t="n">
        <v>0.198971907</v>
      </c>
    </row>
    <row r="1362">
      <c r="A1362" t="inlineStr">
        <is>
          <t>S|FICO x CHANNEL · SYS_FLAG Y vs N|contribution_rate|p|1</t>
        </is>
      </c>
      <c r="B1362" t="n">
        <v>0.9527261559558331</v>
      </c>
      <c r="C1362" t="n">
        <v>0.9527261559558331</v>
      </c>
      <c r="D1362" t="n">
        <v>0.9527261559558331</v>
      </c>
    </row>
    <row r="1363">
      <c r="A1363" t="inlineStr">
        <is>
          <t>S|FICO x CHANNEL · SYS_FLAG Y vs N|contribution_rate|v|2</t>
        </is>
      </c>
      <c r="B1363" t="n">
        <v>0.154485324</v>
      </c>
      <c r="C1363" t="n">
        <v>-0.800399198</v>
      </c>
      <c r="D1363" t="n">
        <v>-0.432102812</v>
      </c>
    </row>
    <row r="1364">
      <c r="A1364" t="inlineStr">
        <is>
          <t>S|FICO x CHANNEL · SYS_FLAG Y vs N|contribution_rate|p|2</t>
        </is>
      </c>
      <c r="B1364" t="n">
        <v>0.9527261559558331</v>
      </c>
      <c r="C1364" t="n">
        <v>0.9527261559558331</v>
      </c>
      <c r="D1364" t="n">
        <v>0.9527261559558331</v>
      </c>
    </row>
    <row r="1365">
      <c r="A1365" t="inlineStr">
        <is>
          <t>S|FICO x CHANNEL · SYS_FLAG Y vs N|contribution_rate|v|3</t>
        </is>
      </c>
      <c r="B1365" t="n">
        <v>-0.232409112</v>
      </c>
      <c r="C1365" t="n">
        <v>-1.909918611</v>
      </c>
      <c r="D1365" t="n">
        <v>-1.584747234</v>
      </c>
    </row>
    <row r="1366">
      <c r="A1366" t="inlineStr">
        <is>
          <t>S|FICO x CHANNEL · SYS_FLAG Y vs N|contribution_rate|p|3</t>
        </is>
      </c>
      <c r="B1366" t="n">
        <v>0.9527261559558331</v>
      </c>
      <c r="C1366" t="n">
        <v>0.1934806519348065</v>
      </c>
      <c r="D1366" t="n">
        <v>0.7184281571842817</v>
      </c>
    </row>
    <row r="1367">
      <c r="A1367" t="inlineStr">
        <is>
          <t>S|FICO x CHANNEL · SYS_FLAG Y vs N|contribution_rate|v|4</t>
        </is>
      </c>
      <c r="B1367" t="n">
        <v>-0.13120914</v>
      </c>
      <c r="C1367" t="n">
        <v>0.579270655</v>
      </c>
      <c r="D1367" t="n">
        <v>-0.028011158</v>
      </c>
    </row>
    <row r="1368">
      <c r="A1368" t="inlineStr">
        <is>
          <t>S|FICO x CHANNEL · SYS_FLAG Y vs N|contribution_rate|p|4</t>
        </is>
      </c>
      <c r="B1368" t="n">
        <v>0.9527261559558331</v>
      </c>
      <c r="C1368" t="n">
        <v>0.9527261559558331</v>
      </c>
      <c r="D1368" t="n">
        <v>0.9726027397260274</v>
      </c>
    </row>
    <row r="1369">
      <c r="A1369" t="inlineStr">
        <is>
          <t>S|FICO x CHANNEL · SYS_FLAG Y vs N|contribution_rate|v|5</t>
        </is>
      </c>
      <c r="B1369" t="n">
        <v>-0.202936616</v>
      </c>
      <c r="C1369" t="n">
        <v>-0.177549488</v>
      </c>
      <c r="D1369" t="n">
        <v>-0.193546601</v>
      </c>
    </row>
    <row r="1370">
      <c r="A1370" t="inlineStr">
        <is>
          <t>S|FICO x CHANNEL · SYS_FLAG Y vs N|contribution_rate|p|5</t>
        </is>
      </c>
      <c r="B1370" t="n">
        <v>0.9527261559558331</v>
      </c>
      <c r="C1370" t="n">
        <v>0.9527261559558331</v>
      </c>
      <c r="D1370" t="n">
        <v>0.9527261559558331</v>
      </c>
    </row>
    <row r="1371">
      <c r="A1371" t="inlineStr">
        <is>
          <t>S|FICO x CHANNEL · SYS_FLAG Y vs N|contribution_rate|v|6</t>
        </is>
      </c>
    </row>
    <row r="1372">
      <c r="A1372" t="inlineStr">
        <is>
          <t>S|FICO x CHANNEL · SYS_FLAG Y vs N|contribution_rate|p|6</t>
        </is>
      </c>
    </row>
    <row r="1373">
      <c r="A1373" t="inlineStr">
        <is>
          <t>S|FICO x CHANNEL · SYS_FLAG Y vs N|contribution_rate|v|7</t>
        </is>
      </c>
    </row>
    <row r="1374">
      <c r="A1374" t="inlineStr">
        <is>
          <t>S|FICO x CHANNEL · SYS_FLAG Y vs N|contribution_rate|p|7</t>
        </is>
      </c>
    </row>
    <row r="1375">
      <c r="A1375" t="inlineStr">
        <is>
          <t>S|FICO x ASSET_CLASS · SYS_FLAG N vs Y|chip</t>
        </is>
      </c>
    </row>
    <row r="1376">
      <c r="A1376" t="inlineStr">
        <is>
          <t>S|FICO x ASSET_CLASS · SYS_FLAG N vs Y|rows</t>
        </is>
      </c>
      <c r="B1376" t="inlineStr">
        <is>
          <t>496 - 653</t>
        </is>
      </c>
      <c r="C1376" t="inlineStr">
        <is>
          <t>654 - 685</t>
        </is>
      </c>
      <c r="D1376" t="inlineStr">
        <is>
          <t>686 - 711</t>
        </is>
      </c>
      <c r="E1376" t="inlineStr">
        <is>
          <t>712 - 745</t>
        </is>
      </c>
      <c r="F1376" t="inlineStr">
        <is>
          <t>746 - 921</t>
        </is>
      </c>
      <c r="G1376" t="inlineStr">
        <is>
          <t>(blank)</t>
        </is>
      </c>
      <c r="H1376" t="inlineStr">
        <is>
          <t>(marked missing)</t>
        </is>
      </c>
    </row>
    <row r="1377">
      <c r="A1377" t="inlineStr">
        <is>
          <t>S|FICO x ASSET_CLASS · SYS_FLAG N vs Y|cols</t>
        </is>
      </c>
      <c r="B1377" t="inlineStr">
        <is>
          <t>1</t>
        </is>
      </c>
      <c r="C1377" t="inlineStr">
        <is>
          <t>2</t>
        </is>
      </c>
      <c r="D1377" t="inlineStr">
        <is>
          <t>3</t>
        </is>
      </c>
      <c r="E1377" t="inlineStr">
        <is>
          <t>4</t>
        </is>
      </c>
    </row>
    <row r="1378">
      <c r="A1378" t="inlineStr">
        <is>
          <t>S|FICO x ASSET_CLASS · SYS_FLAG N vs Y|sum|1</t>
        </is>
      </c>
      <c r="B1378" t="inlineStr">
        <is>
          <t>Bad loans</t>
        </is>
      </c>
      <c r="C1378" t="n">
        <v>20</v>
      </c>
      <c r="D1378" t="inlineStr">
        <is>
          <t>0 of 20</t>
        </is>
      </c>
      <c r="E1378" t="n">
        <v>0.5886088604005515</v>
      </c>
      <c r="F1378" t="n">
        <v>0.06163062970837476</v>
      </c>
      <c r="G1378" t="inlineStr">
        <is>
          <t>x</t>
        </is>
      </c>
      <c r="H1378" t="n">
        <v>3.128370207191649e-11</v>
      </c>
      <c r="I1378" t="n">
        <v>0.5555695941868072</v>
      </c>
      <c r="J1378" t="n">
        <v>8.723181707296492e-12</v>
      </c>
      <c r="K1378" t="n">
        <v>0.7798084899140335</v>
      </c>
      <c r="M1378" t="n">
        <v>1.850969372299824e-12</v>
      </c>
      <c r="N1378" t="n">
        <v>1</v>
      </c>
      <c r="O1378" t="n">
        <v>24</v>
      </c>
    </row>
    <row r="1379">
      <c r="A1379" t="inlineStr">
        <is>
          <t>S|FICO x ASSET_CLASS · SYS_FLAG N vs Y|outcome_loans|meta</t>
        </is>
      </c>
      <c r="B1379" t="inlineStr">
        <is>
          <t>x</t>
        </is>
      </c>
      <c r="C1379" t="n">
        <v>0.9956639566395663</v>
      </c>
    </row>
    <row r="1380">
      <c r="A1380" t="inlineStr">
        <is>
          <t>S|FICO x ASSET_CLASS · SYS_FLAG N vs Y|outcome_loans|v|1</t>
        </is>
      </c>
      <c r="B1380" t="n">
        <v>0.3974358974358974</v>
      </c>
      <c r="C1380" t="n">
        <v>0.779532403609516</v>
      </c>
      <c r="D1380" t="n">
        <v>0.6402524544179523</v>
      </c>
      <c r="E1380" t="n">
        <v>0.6881559220389805</v>
      </c>
    </row>
    <row r="1381">
      <c r="A1381" t="inlineStr">
        <is>
          <t>S|FICO x ASSET_CLASS · SYS_FLAG N vs Y|outcome_loans|p|1</t>
        </is>
      </c>
      <c r="B1381" t="n">
        <v>0.005062395051771168</v>
      </c>
      <c r="C1381" t="n">
        <v>0.474979081624309</v>
      </c>
      <c r="D1381" t="n">
        <v>0.183292426672739</v>
      </c>
      <c r="E1381" t="n">
        <v>0.183292426672739</v>
      </c>
    </row>
    <row r="1382">
      <c r="A1382" t="inlineStr">
        <is>
          <t>S|FICO x ASSET_CLASS · SYS_FLAG N vs Y|outcome_loans|v|2</t>
        </is>
      </c>
      <c r="B1382" t="n">
        <v>0.4452380952380952</v>
      </c>
      <c r="C1382" t="n">
        <v>0.1997549019607843</v>
      </c>
      <c r="D1382" t="n">
        <v>0.7575483091787439</v>
      </c>
      <c r="E1382" t="n">
        <v>0.6229615133724723</v>
      </c>
    </row>
    <row r="1383">
      <c r="A1383" t="inlineStr">
        <is>
          <t>S|FICO x ASSET_CLASS · SYS_FLAG N vs Y|outcome_loans|p|2</t>
        </is>
      </c>
      <c r="B1383" t="n">
        <v>0.1278492837379381</v>
      </c>
      <c r="C1383" t="n">
        <v>0.008947170485720151</v>
      </c>
      <c r="D1383" t="n">
        <v>0.499249302395699</v>
      </c>
      <c r="E1383" t="n">
        <v>0.183292426672739</v>
      </c>
    </row>
    <row r="1384">
      <c r="A1384" t="inlineStr">
        <is>
          <t>S|FICO x ASSET_CLASS · SYS_FLAG N vs Y|outcome_loans|v|3</t>
        </is>
      </c>
      <c r="B1384" t="n">
        <v>0.9956639566395663</v>
      </c>
      <c r="C1384" t="n">
        <v>0.3766835016835017</v>
      </c>
      <c r="D1384" t="n">
        <v>0.6004901960784315</v>
      </c>
      <c r="E1384" t="n">
        <v>0.8782978723404256</v>
      </c>
    </row>
    <row r="1385">
      <c r="A1385" t="inlineStr">
        <is>
          <t>S|FICO x ASSET_CLASS · SYS_FLAG N vs Y|outcome_loans|p|3</t>
        </is>
      </c>
      <c r="B1385" t="n">
        <v>0.9920700057451615</v>
      </c>
      <c r="C1385" t="n">
        <v>0.183292426672739</v>
      </c>
      <c r="D1385" t="n">
        <v>0.3313757930975317</v>
      </c>
      <c r="E1385" t="n">
        <v>0.7351489030103198</v>
      </c>
    </row>
    <row r="1386">
      <c r="A1386" t="inlineStr">
        <is>
          <t>S|FICO x ASSET_CLASS · SYS_FLAG N vs Y|outcome_loans|v|4</t>
        </is>
      </c>
      <c r="B1386" t="n">
        <v>0.5380154639175257</v>
      </c>
      <c r="C1386" t="n">
        <v>0.6094957673905042</v>
      </c>
      <c r="D1386" t="n">
        <v>0.5511618426416632</v>
      </c>
      <c r="E1386" t="n">
        <v>0.5559917355371901</v>
      </c>
    </row>
    <row r="1387">
      <c r="A1387" t="inlineStr">
        <is>
          <t>S|FICO x ASSET_CLASS · SYS_FLAG N vs Y|outcome_loans|p|4</t>
        </is>
      </c>
      <c r="B1387" t="n">
        <v>0.4007376135119204</v>
      </c>
      <c r="C1387" t="n">
        <v>0.4007376135119204</v>
      </c>
      <c r="D1387" t="n">
        <v>0.3313757930975317</v>
      </c>
      <c r="E1387" t="n">
        <v>0.183292426672739</v>
      </c>
    </row>
    <row r="1388">
      <c r="A1388" t="inlineStr">
        <is>
          <t>S|FICO x ASSET_CLASS · SYS_FLAG N vs Y|outcome_loans|v|5</t>
        </is>
      </c>
      <c r="B1388" t="n">
        <v>0.2880755608028335</v>
      </c>
      <c r="C1388" t="n">
        <v>0.639269406392694</v>
      </c>
      <c r="D1388" t="n">
        <v>0.6413902053712481</v>
      </c>
      <c r="E1388" t="n">
        <v>0.6866028708133971</v>
      </c>
    </row>
    <row r="1389">
      <c r="A1389" t="inlineStr">
        <is>
          <t>S|FICO x ASSET_CLASS · SYS_FLAG N vs Y|outcome_loans|p|5</t>
        </is>
      </c>
      <c r="B1389" t="n">
        <v>0.1278492837379381</v>
      </c>
      <c r="C1389" t="n">
        <v>0.474979081624309</v>
      </c>
      <c r="D1389" t="n">
        <v>0.474979081624309</v>
      </c>
      <c r="E1389" t="n">
        <v>0.5063378656072233</v>
      </c>
    </row>
    <row r="1390">
      <c r="A1390" t="inlineStr">
        <is>
          <t>S|FICO x ASSET_CLASS · SYS_FLAG N vs Y|outcome_loans|v|6</t>
        </is>
      </c>
    </row>
    <row r="1391">
      <c r="A1391" t="inlineStr">
        <is>
          <t>S|FICO x ASSET_CLASS · SYS_FLAG N vs Y|outcome_loans|p|6</t>
        </is>
      </c>
    </row>
    <row r="1392">
      <c r="A1392" t="inlineStr">
        <is>
          <t>S|FICO x ASSET_CLASS · SYS_FLAG N vs Y|outcome_loans|v|7</t>
        </is>
      </c>
    </row>
    <row r="1393">
      <c r="A1393" t="inlineStr">
        <is>
          <t>S|FICO x ASSET_CLASS · SYS_FLAG N vs Y|outcome_loans|p|7</t>
        </is>
      </c>
    </row>
    <row r="1394">
      <c r="A1394" t="inlineStr">
        <is>
          <t>S|FICO x ASSET_CLASS · SYS_FLAG N vs Y|sum|2</t>
        </is>
      </c>
      <c r="B1394" t="inlineStr">
        <is>
          <t>Bad dollars</t>
        </is>
      </c>
      <c r="C1394" t="n">
        <v>20</v>
      </c>
      <c r="D1394" t="inlineStr">
        <is>
          <t>0 of 20</t>
        </is>
      </c>
      <c r="E1394" t="n">
        <v>0.5357010880677747</v>
      </c>
      <c r="F1394" t="n">
        <v>0.06663330615429351</v>
      </c>
      <c r="G1394" t="inlineStr">
        <is>
          <t>x</t>
        </is>
      </c>
      <c r="H1394" t="n">
        <v>9.999000099990002e-05</v>
      </c>
      <c r="L1394" t="inlineStr">
        <is>
          <t>not tested: dollar rate</t>
        </is>
      </c>
    </row>
    <row r="1395">
      <c r="A1395" t="inlineStr">
        <is>
          <t>S|FICO x ASSET_CLASS · SYS_FLAG N vs Y|outcome_booked|meta</t>
        </is>
      </c>
      <c r="B1395" t="inlineStr">
        <is>
          <t>x</t>
        </is>
      </c>
      <c r="C1395" t="n">
        <v>0.8400279007553638</v>
      </c>
    </row>
    <row r="1396">
      <c r="A1396" t="inlineStr">
        <is>
          <t>S|FICO x ASSET_CLASS · SYS_FLAG N vs Y|outcome_booked|v|1</t>
        </is>
      </c>
      <c r="B1396" t="n">
        <v>0.3407208277785517</v>
      </c>
      <c r="C1396" t="n">
        <v>0.8400279007553638</v>
      </c>
      <c r="D1396" t="n">
        <v>0.5982264342726181</v>
      </c>
      <c r="E1396" t="n">
        <v>0.5419511968998909</v>
      </c>
    </row>
    <row r="1397">
      <c r="A1397" t="inlineStr">
        <is>
          <t>S|FICO x ASSET_CLASS · SYS_FLAG N vs Y|outcome_booked|p|1</t>
        </is>
      </c>
      <c r="B1397" t="n">
        <v>0.003999600039996</v>
      </c>
      <c r="C1397" t="n">
        <v>0.6136386361363864</v>
      </c>
      <c r="D1397" t="n">
        <v>0.1887311268873113</v>
      </c>
      <c r="E1397" t="n">
        <v>0.04199580041995801</v>
      </c>
    </row>
    <row r="1398">
      <c r="A1398" t="inlineStr">
        <is>
          <t>S|FICO x ASSET_CLASS · SYS_FLAG N vs Y|outcome_booked|v|2</t>
        </is>
      </c>
      <c r="B1398" t="n">
        <v>0.4338858189835181</v>
      </c>
      <c r="C1398" t="n">
        <v>0.1571654948288093</v>
      </c>
      <c r="D1398" t="n">
        <v>0.6136143379498481</v>
      </c>
      <c r="E1398" t="n">
        <v>0.5849647955187384</v>
      </c>
    </row>
    <row r="1399">
      <c r="A1399" t="inlineStr">
        <is>
          <t>S|FICO x ASSET_CLASS · SYS_FLAG N vs Y|outcome_booked|p|2</t>
        </is>
      </c>
      <c r="B1399" t="n">
        <v>0.15665100156651</v>
      </c>
      <c r="C1399" t="n">
        <v>0.006999300069993001</v>
      </c>
      <c r="D1399" t="n">
        <v>0.372508203725082</v>
      </c>
      <c r="E1399" t="n">
        <v>0.196424801964248</v>
      </c>
    </row>
    <row r="1400">
      <c r="A1400" t="inlineStr">
        <is>
          <t>S|FICO x ASSET_CLASS · SYS_FLAG N vs Y|outcome_booked|v|3</t>
        </is>
      </c>
      <c r="B1400" t="n">
        <v>0.7682056413784195</v>
      </c>
      <c r="C1400" t="n">
        <v>0.2636635417201598</v>
      </c>
      <c r="D1400" t="n">
        <v>0.5257784081498911</v>
      </c>
      <c r="E1400" t="n">
        <v>0.7614952584306656</v>
      </c>
    </row>
    <row r="1401">
      <c r="A1401" t="inlineStr">
        <is>
          <t>S|FICO x ASSET_CLASS · SYS_FLAG N vs Y|outcome_booked|p|3</t>
        </is>
      </c>
      <c r="B1401" t="n">
        <v>0.6136386361363864</v>
      </c>
      <c r="C1401" t="n">
        <v>0.1334866513348665</v>
      </c>
      <c r="D1401" t="n">
        <v>0.3135686431356864</v>
      </c>
      <c r="E1401" t="n">
        <v>0.5737073351488381</v>
      </c>
    </row>
    <row r="1402">
      <c r="A1402" t="inlineStr">
        <is>
          <t>S|FICO x ASSET_CLASS · SYS_FLAG N vs Y|outcome_booked|v|4</t>
        </is>
      </c>
      <c r="B1402" t="n">
        <v>0.5146585908537793</v>
      </c>
      <c r="C1402" t="n">
        <v>0.6506351381952329</v>
      </c>
      <c r="D1402" t="n">
        <v>0.7009772412802044</v>
      </c>
      <c r="E1402" t="n">
        <v>0.4540155924213547</v>
      </c>
    </row>
    <row r="1403">
      <c r="A1403" t="inlineStr">
        <is>
          <t>S|FICO x ASSET_CLASS · SYS_FLAG N vs Y|outcome_booked|p|4</t>
        </is>
      </c>
      <c r="B1403" t="n">
        <v>0.4682388903966746</v>
      </c>
      <c r="C1403" t="n">
        <v>0.5242142452421424</v>
      </c>
      <c r="D1403" t="n">
        <v>0.5737073351488381</v>
      </c>
      <c r="E1403" t="n">
        <v>0.1371862813718628</v>
      </c>
    </row>
    <row r="1404">
      <c r="A1404" t="inlineStr">
        <is>
          <t>S|FICO x ASSET_CLASS · SYS_FLAG N vs Y|outcome_booked|v|5</t>
        </is>
      </c>
      <c r="B1404" t="n">
        <v>0.340381658944824</v>
      </c>
      <c r="C1404" t="n">
        <v>0.5869630205669402</v>
      </c>
      <c r="D1404" t="n">
        <v>0.5751046557504627</v>
      </c>
      <c r="E1404" t="n">
        <v>0.7383729690955161</v>
      </c>
    </row>
    <row r="1405">
      <c r="A1405" t="inlineStr">
        <is>
          <t>S|FICO x ASSET_CLASS · SYS_FLAG N vs Y|outcome_booked|p|5</t>
        </is>
      </c>
      <c r="B1405" t="n">
        <v>0.1871241447283843</v>
      </c>
      <c r="C1405" t="n">
        <v>0.4682388903966746</v>
      </c>
      <c r="D1405" t="n">
        <v>0.4682388903966746</v>
      </c>
      <c r="E1405" t="n">
        <v>0.6136386361363864</v>
      </c>
    </row>
    <row r="1406">
      <c r="A1406" t="inlineStr">
        <is>
          <t>S|FICO x ASSET_CLASS · SYS_FLAG N vs Y|outcome_booked|v|6</t>
        </is>
      </c>
    </row>
    <row r="1407">
      <c r="A1407" t="inlineStr">
        <is>
          <t>S|FICO x ASSET_CLASS · SYS_FLAG N vs Y|outcome_booked|p|6</t>
        </is>
      </c>
    </row>
    <row r="1408">
      <c r="A1408" t="inlineStr">
        <is>
          <t>S|FICO x ASSET_CLASS · SYS_FLAG N vs Y|outcome_booked|v|7</t>
        </is>
      </c>
    </row>
    <row r="1409">
      <c r="A1409" t="inlineStr">
        <is>
          <t>S|FICO x ASSET_CLASS · SYS_FLAG N vs Y|outcome_booked|p|7</t>
        </is>
      </c>
    </row>
    <row r="1410">
      <c r="A1410" t="inlineStr">
        <is>
          <t>S|FICO x ASSET_CLASS · SYS_FLAG N vs Y|sum|3</t>
        </is>
      </c>
      <c r="B1410" t="inlineStr">
        <is>
          <t>Charge-offs</t>
        </is>
      </c>
      <c r="C1410" t="n">
        <v>20</v>
      </c>
      <c r="D1410" t="inlineStr">
        <is>
          <t>0 of 20</t>
        </is>
      </c>
      <c r="E1410" t="n">
        <v>0.5651957604824595</v>
      </c>
      <c r="F1410" t="n">
        <v>0.07015984297840425</v>
      </c>
      <c r="G1410" t="inlineStr">
        <is>
          <t>x</t>
        </is>
      </c>
      <c r="H1410" t="n">
        <v>9.999000099990002e-05</v>
      </c>
      <c r="L1410" t="inlineStr">
        <is>
          <t>not tested: dollar rate</t>
        </is>
      </c>
    </row>
    <row r="1411">
      <c r="A1411" t="inlineStr">
        <is>
          <t>S|FICO x ASSET_CLASS · SYS_FLAG N vs Y|gco_rate|meta</t>
        </is>
      </c>
      <c r="B1411" t="inlineStr">
        <is>
          <t>x</t>
        </is>
      </c>
      <c r="C1411" t="n">
        <v>0.9447692892912065</v>
      </c>
    </row>
    <row r="1412">
      <c r="A1412" t="inlineStr">
        <is>
          <t>S|FICO x ASSET_CLASS · SYS_FLAG N vs Y|gco_rate|v|1</t>
        </is>
      </c>
      <c r="B1412" t="n">
        <v>0.3777345796088384</v>
      </c>
      <c r="C1412" t="n">
        <v>0.9447692892912065</v>
      </c>
      <c r="D1412" t="n">
        <v>0.5918227472448258</v>
      </c>
      <c r="E1412" t="n">
        <v>0.6469032842835013</v>
      </c>
    </row>
    <row r="1413">
      <c r="A1413" t="inlineStr">
        <is>
          <t>S|FICO x ASSET_CLASS · SYS_FLAG N vs Y|gco_rate|p|1</t>
        </is>
      </c>
      <c r="B1413" t="n">
        <v>0.023997600239976</v>
      </c>
      <c r="C1413" t="n">
        <v>0.8681131886811319</v>
      </c>
      <c r="D1413" t="n">
        <v>0.1962303769623038</v>
      </c>
      <c r="E1413" t="n">
        <v>0.151984801519848</v>
      </c>
    </row>
    <row r="1414">
      <c r="A1414" t="inlineStr">
        <is>
          <t>S|FICO x ASSET_CLASS · SYS_FLAG N vs Y|gco_rate|v|2</t>
        </is>
      </c>
      <c r="B1414" t="n">
        <v>0.3770958170386502</v>
      </c>
      <c r="C1414" t="n">
        <v>0.2137995335033157</v>
      </c>
      <c r="D1414" t="n">
        <v>0.7065492253595425</v>
      </c>
      <c r="E1414" t="n">
        <v>0.4939152476310212</v>
      </c>
    </row>
    <row r="1415">
      <c r="A1415" t="inlineStr">
        <is>
          <t>S|FICO x ASSET_CLASS · SYS_FLAG N vs Y|gco_rate|p|2</t>
        </is>
      </c>
      <c r="B1415" t="n">
        <v>0.120987901209879</v>
      </c>
      <c r="C1415" t="n">
        <v>0.045995400459954</v>
      </c>
      <c r="D1415" t="n">
        <v>0.525947405259474</v>
      </c>
      <c r="E1415" t="n">
        <v>0.120987901209879</v>
      </c>
    </row>
    <row r="1416">
      <c r="A1416" t="inlineStr">
        <is>
          <t>S|FICO x ASSET_CLASS · SYS_FLAG N vs Y|gco_rate|v|3</t>
        </is>
      </c>
      <c r="B1416" t="n">
        <v>0.8879955237852186</v>
      </c>
      <c r="C1416" t="n">
        <v>0.2809217622564575</v>
      </c>
      <c r="D1416" t="n">
        <v>0.5650823918264088</v>
      </c>
      <c r="E1416" t="n">
        <v>0.6939219539209777</v>
      </c>
    </row>
    <row r="1417">
      <c r="A1417" t="inlineStr">
        <is>
          <t>S|FICO x ASSET_CLASS · SYS_FLAG N vs Y|gco_rate|p|3</t>
        </is>
      </c>
      <c r="B1417" t="n">
        <v>0.8527568295801998</v>
      </c>
      <c r="C1417" t="n">
        <v>0.120987901209879</v>
      </c>
      <c r="D1417" t="n">
        <v>0.4366836043668361</v>
      </c>
      <c r="E1417" t="n">
        <v>0.525947405259474</v>
      </c>
    </row>
    <row r="1418">
      <c r="A1418" t="inlineStr">
        <is>
          <t>S|FICO x ASSET_CLASS · SYS_FLAG N vs Y|gco_rate|v|4</t>
        </is>
      </c>
      <c r="B1418" t="n">
        <v>0.6091381151375098</v>
      </c>
      <c r="C1418" t="n">
        <v>0.8046995956646353</v>
      </c>
      <c r="D1418" t="n">
        <v>0.6133521493641043</v>
      </c>
      <c r="E1418" t="n">
        <v>0.4026144748157408</v>
      </c>
    </row>
    <row r="1419">
      <c r="A1419" t="inlineStr">
        <is>
          <t>S|FICO x ASSET_CLASS · SYS_FLAG N vs Y|gco_rate|p|4</t>
        </is>
      </c>
      <c r="B1419" t="n">
        <v>0.569068093190681</v>
      </c>
      <c r="C1419" t="n">
        <v>0.80344906685802</v>
      </c>
      <c r="D1419" t="n">
        <v>0.525947405259474</v>
      </c>
      <c r="E1419" t="n">
        <v>0.120987901209879</v>
      </c>
    </row>
    <row r="1420">
      <c r="A1420" t="inlineStr">
        <is>
          <t>S|FICO x ASSET_CLASS · SYS_FLAG N vs Y|gco_rate|v|5</t>
        </is>
      </c>
      <c r="B1420" t="n">
        <v>0.5031964207164837</v>
      </c>
      <c r="C1420" t="n">
        <v>0.6259615413955376</v>
      </c>
      <c r="D1420" t="n">
        <v>0.4459768326478344</v>
      </c>
      <c r="E1420" t="n">
        <v>0.8113034833800241</v>
      </c>
    </row>
    <row r="1421">
      <c r="A1421" t="inlineStr">
        <is>
          <t>S|FICO x ASSET_CLASS · SYS_FLAG N vs Y|gco_rate|p|5</t>
        </is>
      </c>
      <c r="B1421" t="n">
        <v>0.4366836043668361</v>
      </c>
      <c r="C1421" t="n">
        <v>0.525947405259474</v>
      </c>
      <c r="D1421" t="n">
        <v>0.3721850037218501</v>
      </c>
      <c r="E1421" t="n">
        <v>0.819140308191403</v>
      </c>
    </row>
    <row r="1422">
      <c r="A1422" t="inlineStr">
        <is>
          <t>S|FICO x ASSET_CLASS · SYS_FLAG N vs Y|gco_rate|v|6</t>
        </is>
      </c>
    </row>
    <row r="1423">
      <c r="A1423" t="inlineStr">
        <is>
          <t>S|FICO x ASSET_CLASS · SYS_FLAG N vs Y|gco_rate|p|6</t>
        </is>
      </c>
    </row>
    <row r="1424">
      <c r="A1424" t="inlineStr">
        <is>
          <t>S|FICO x ASSET_CLASS · SYS_FLAG N vs Y|gco_rate|v|7</t>
        </is>
      </c>
    </row>
    <row r="1425">
      <c r="A1425" t="inlineStr">
        <is>
          <t>S|FICO x ASSET_CLASS · SYS_FLAG N vs Y|gco_rate|p|7</t>
        </is>
      </c>
    </row>
    <row r="1426">
      <c r="A1426" t="inlineStr">
        <is>
          <t>S|FICO x ASSET_CLASS · SYS_FLAG N vs Y|sum|4</t>
        </is>
      </c>
      <c r="B1426" t="inlineStr">
        <is>
          <t>Kept after losses</t>
        </is>
      </c>
      <c r="C1426" t="n">
        <v>20</v>
      </c>
      <c r="D1426" t="inlineStr">
        <is>
          <t>1 of 20</t>
        </is>
      </c>
      <c r="E1426" t="n">
        <v>2.665141078810107</v>
      </c>
      <c r="F1426" t="n">
        <v>0.4462745765034222</v>
      </c>
      <c r="G1426" t="inlineStr">
        <is>
          <t>pts</t>
        </is>
      </c>
      <c r="H1426" t="n">
        <v>9.999000099990002e-05</v>
      </c>
      <c r="L1426" t="inlineStr">
        <is>
          <t>not tested: dollar rate</t>
        </is>
      </c>
    </row>
    <row r="1427">
      <c r="A1427" t="inlineStr">
        <is>
          <t>S|FICO x ASSET_CLASS · SYS_FLAG N vs Y|ranr_rate|meta</t>
        </is>
      </c>
      <c r="B1427" t="inlineStr">
        <is>
          <t>pts</t>
        </is>
      </c>
      <c r="C1427" t="n">
        <v>6.938756603</v>
      </c>
    </row>
    <row r="1428">
      <c r="A1428" t="inlineStr">
        <is>
          <t>S|FICO x ASSET_CLASS · SYS_FLAG N vs Y|ranr_rate|v|1</t>
        </is>
      </c>
      <c r="B1428" t="n">
        <v>6.938756603</v>
      </c>
      <c r="C1428" t="n">
        <v>1.940713507</v>
      </c>
      <c r="D1428" t="n">
        <v>2.821562314</v>
      </c>
      <c r="E1428" t="n">
        <v>5.824154104</v>
      </c>
    </row>
    <row r="1429">
      <c r="A1429" t="inlineStr">
        <is>
          <t>S|FICO x ASSET_CLASS · SYS_FLAG N vs Y|ranr_rate|p|1</t>
        </is>
      </c>
      <c r="B1429" t="n">
        <v>0.088657800886578</v>
      </c>
      <c r="C1429" t="n">
        <v>0.5601939806019398</v>
      </c>
      <c r="D1429" t="n">
        <v>0.4438222844382229</v>
      </c>
      <c r="E1429" t="n">
        <v>0.205979402059794</v>
      </c>
    </row>
    <row r="1430">
      <c r="A1430" t="inlineStr">
        <is>
          <t>S|FICO x ASSET_CLASS · SYS_FLAG N vs Y|ranr_rate|v|2</t>
        </is>
      </c>
      <c r="B1430" t="n">
        <v>1.11043173</v>
      </c>
      <c r="C1430" t="n">
        <v>5.203768471</v>
      </c>
      <c r="D1430" t="n">
        <v>4.309471109</v>
      </c>
      <c r="E1430" t="n">
        <v>4.861494885</v>
      </c>
    </row>
    <row r="1431">
      <c r="A1431" t="inlineStr">
        <is>
          <t>S|FICO x ASSET_CLASS · SYS_FLAG N vs Y|ranr_rate|p|2</t>
        </is>
      </c>
      <c r="B1431" t="n">
        <v>0.6504055476805261</v>
      </c>
      <c r="C1431" t="n">
        <v>0.088657800886578</v>
      </c>
      <c r="D1431" t="n">
        <v>0.208312502083125</v>
      </c>
      <c r="E1431" t="n">
        <v>0.1604839516048395</v>
      </c>
    </row>
    <row r="1432">
      <c r="A1432" t="inlineStr">
        <is>
          <t>S|FICO x ASSET_CLASS · SYS_FLAG N vs Y|ranr_rate|v|3</t>
        </is>
      </c>
      <c r="B1432" t="n">
        <v>0.419122112</v>
      </c>
      <c r="C1432" t="n">
        <v>4.576500326</v>
      </c>
      <c r="D1432" t="n">
        <v>2.295795292</v>
      </c>
      <c r="E1432" t="n">
        <v>2.890120831</v>
      </c>
    </row>
    <row r="1433">
      <c r="A1433" t="inlineStr">
        <is>
          <t>S|FICO x ASSET_CLASS · SYS_FLAG N vs Y|ranr_rate|p|3</t>
        </is>
      </c>
      <c r="B1433" t="n">
        <v>0.845915408459154</v>
      </c>
      <c r="C1433" t="n">
        <v>0.02199780021997801</v>
      </c>
      <c r="D1433" t="n">
        <v>0.3551311535513115</v>
      </c>
      <c r="E1433" t="n">
        <v>0.3465367748939391</v>
      </c>
    </row>
    <row r="1434">
      <c r="A1434" t="inlineStr">
        <is>
          <t>S|FICO x ASSET_CLASS · SYS_FLAG N vs Y|ranr_rate|v|4</t>
        </is>
      </c>
      <c r="B1434" t="n">
        <v>1.946539963</v>
      </c>
      <c r="C1434" t="n">
        <v>-0.623407849</v>
      </c>
      <c r="D1434" t="n">
        <v>1.891673986</v>
      </c>
      <c r="E1434" t="n">
        <v>2.410761252</v>
      </c>
    </row>
    <row r="1435">
      <c r="A1435" t="inlineStr">
        <is>
          <t>S|FICO x ASSET_CLASS · SYS_FLAG N vs Y|ranr_rate|p|4</t>
        </is>
      </c>
      <c r="B1435" t="n">
        <v>0.3826760181124745</v>
      </c>
      <c r="C1435" t="n">
        <v>0.7812552078125521</v>
      </c>
      <c r="D1435" t="n">
        <v>0.3551311535513115</v>
      </c>
      <c r="E1435" t="n">
        <v>0.3551311535513115</v>
      </c>
    </row>
    <row r="1436">
      <c r="A1436" t="inlineStr">
        <is>
          <t>S|FICO x ASSET_CLASS · SYS_FLAG N vs Y|ranr_rate|v|5</t>
        </is>
      </c>
      <c r="B1436" t="n">
        <v>1.511163527</v>
      </c>
      <c r="C1436" t="n">
        <v>1.63820911</v>
      </c>
      <c r="D1436" t="n">
        <v>1.309549832</v>
      </c>
      <c r="E1436" t="n">
        <v>0.357416268</v>
      </c>
    </row>
    <row r="1437">
      <c r="A1437" t="inlineStr">
        <is>
          <t>S|FICO x ASSET_CLASS · SYS_FLAG N vs Y|ranr_rate|p|5</t>
        </is>
      </c>
      <c r="B1437" t="n">
        <v>0.3551311535513115</v>
      </c>
      <c r="C1437" t="n">
        <v>0.3755009114473168</v>
      </c>
      <c r="D1437" t="n">
        <v>0.3551311535513115</v>
      </c>
      <c r="E1437" t="n">
        <v>0.7883422184097381</v>
      </c>
    </row>
    <row r="1438">
      <c r="A1438" t="inlineStr">
        <is>
          <t>S|FICO x ASSET_CLASS · SYS_FLAG N vs Y|ranr_rate|v|6</t>
        </is>
      </c>
    </row>
    <row r="1439">
      <c r="A1439" t="inlineStr">
        <is>
          <t>S|FICO x ASSET_CLASS · SYS_FLAG N vs Y|ranr_rate|p|6</t>
        </is>
      </c>
    </row>
    <row r="1440">
      <c r="A1440" t="inlineStr">
        <is>
          <t>S|FICO x ASSET_CLASS · SYS_FLAG N vs Y|ranr_rate|v|7</t>
        </is>
      </c>
    </row>
    <row r="1441">
      <c r="A1441" t="inlineStr">
        <is>
          <t>S|FICO x ASSET_CLASS · SYS_FLAG N vs Y|ranr_rate|p|7</t>
        </is>
      </c>
    </row>
    <row r="1442">
      <c r="A1442" t="inlineStr">
        <is>
          <t>S|FICO x ASSET_CLASS · SYS_FLAG N vs Y|sum|5</t>
        </is>
      </c>
      <c r="B1442" t="inlineStr">
        <is>
          <t>Earned before losses</t>
        </is>
      </c>
      <c r="C1442" t="n">
        <v>20</v>
      </c>
      <c r="D1442" t="inlineStr">
        <is>
          <t>6 of 20</t>
        </is>
      </c>
      <c r="E1442" t="n">
        <v>0.3020464704049222</v>
      </c>
      <c r="F1442" t="n">
        <v>0.2419313030981957</v>
      </c>
      <c r="G1442" t="inlineStr">
        <is>
          <t>pts</t>
        </is>
      </c>
      <c r="H1442" t="n">
        <v>0.2164783521647835</v>
      </c>
      <c r="L1442" t="inlineStr">
        <is>
          <t>not tested: dollar rate</t>
        </is>
      </c>
    </row>
    <row r="1443">
      <c r="A1443" t="inlineStr">
        <is>
          <t>S|FICO x ASSET_CLASS · SYS_FLAG N vs Y|contribution_rate|meta</t>
        </is>
      </c>
      <c r="B1443" t="inlineStr">
        <is>
          <t>pts</t>
        </is>
      </c>
      <c r="C1443" t="n">
        <v>2.623507039</v>
      </c>
    </row>
    <row r="1444">
      <c r="A1444" t="inlineStr">
        <is>
          <t>S|FICO x ASSET_CLASS · SYS_FLAG N vs Y|contribution_rate|v|1</t>
        </is>
      </c>
      <c r="B1444" t="n">
        <v>0.06581229099999999</v>
      </c>
      <c r="C1444" t="n">
        <v>1.602810584</v>
      </c>
      <c r="D1444" t="n">
        <v>-1.38832842</v>
      </c>
      <c r="E1444" t="n">
        <v>0.470343725</v>
      </c>
    </row>
    <row r="1445">
      <c r="A1445" t="inlineStr">
        <is>
          <t>S|FICO x ASSET_CLASS · SYS_FLAG N vs Y|contribution_rate|p|1</t>
        </is>
      </c>
      <c r="B1445" t="n">
        <v>0.9988001199880012</v>
      </c>
      <c r="C1445" t="n">
        <v>0.7703674077036742</v>
      </c>
      <c r="D1445" t="n">
        <v>0.7839216078392162</v>
      </c>
      <c r="E1445" t="n">
        <v>0.9732776722327767</v>
      </c>
    </row>
    <row r="1446">
      <c r="A1446" t="inlineStr">
        <is>
          <t>S|FICO x ASSET_CLASS · SYS_FLAG N vs Y|contribution_rate|v|2</t>
        </is>
      </c>
      <c r="B1446" t="n">
        <v>-1.959430337</v>
      </c>
      <c r="C1446" t="n">
        <v>0.788765971</v>
      </c>
      <c r="D1446" t="n">
        <v>2.623507039</v>
      </c>
      <c r="E1446" t="n">
        <v>0.379186545</v>
      </c>
    </row>
    <row r="1447">
      <c r="A1447" t="inlineStr">
        <is>
          <t>S|FICO x ASSET_CLASS · SYS_FLAG N vs Y|contribution_rate|p|2</t>
        </is>
      </c>
      <c r="B1447" t="n">
        <v>0.4350993472081363</v>
      </c>
      <c r="C1447" t="n">
        <v>0.8554529162468368</v>
      </c>
      <c r="D1447" t="n">
        <v>0.334966503349665</v>
      </c>
      <c r="E1447" t="n">
        <v>0.9732776722327767</v>
      </c>
    </row>
    <row r="1448">
      <c r="A1448" t="inlineStr">
        <is>
          <t>S|FICO x ASSET_CLASS · SYS_FLAG N vs Y|contribution_rate|v|3</t>
        </is>
      </c>
      <c r="B1448" t="n">
        <v>0.002674284</v>
      </c>
      <c r="C1448" t="n">
        <v>2.366935839</v>
      </c>
      <c r="D1448" t="n">
        <v>0.391704516</v>
      </c>
      <c r="E1448" t="n">
        <v>1.485488777</v>
      </c>
    </row>
    <row r="1449">
      <c r="A1449" t="inlineStr">
        <is>
          <t>S|FICO x ASSET_CLASS · SYS_FLAG N vs Y|contribution_rate|p|3</t>
        </is>
      </c>
      <c r="B1449" t="n">
        <v>0.9988001199880012</v>
      </c>
      <c r="C1449" t="n">
        <v>0.334966503349665</v>
      </c>
      <c r="D1449" t="n">
        <v>0.9719028097190281</v>
      </c>
      <c r="E1449" t="n">
        <v>0.4350993472081363</v>
      </c>
    </row>
    <row r="1450">
      <c r="A1450" t="inlineStr">
        <is>
          <t>S|FICO x ASSET_CLASS · SYS_FLAG N vs Y|contribution_rate|v|4</t>
        </is>
      </c>
      <c r="B1450" t="n">
        <v>0.709494377</v>
      </c>
      <c r="C1450" t="n">
        <v>-1.198373257</v>
      </c>
      <c r="D1450" t="n">
        <v>0.734346229</v>
      </c>
      <c r="E1450" t="n">
        <v>-1.546234463</v>
      </c>
    </row>
    <row r="1451">
      <c r="A1451" t="inlineStr">
        <is>
          <t>S|FICO x ASSET_CLASS · SYS_FLAG N vs Y|contribution_rate|p|4</t>
        </is>
      </c>
      <c r="B1451" t="n">
        <v>0.7839216078392162</v>
      </c>
      <c r="C1451" t="n">
        <v>0.4350993472081363</v>
      </c>
      <c r="D1451" t="n">
        <v>0.7703674077036742</v>
      </c>
      <c r="E1451" t="n">
        <v>0.368629803686298</v>
      </c>
    </row>
    <row r="1452">
      <c r="A1452" t="inlineStr">
        <is>
          <t>S|FICO x ASSET_CLASS · SYS_FLAG N vs Y|contribution_rate|v|5</t>
        </is>
      </c>
      <c r="B1452" t="n">
        <v>0.248829577</v>
      </c>
      <c r="C1452" t="n">
        <v>0.504454667</v>
      </c>
      <c r="D1452" t="n">
        <v>-0.039837777</v>
      </c>
      <c r="E1452" t="n">
        <v>-0.018692776</v>
      </c>
    </row>
    <row r="1453">
      <c r="A1453" t="inlineStr">
        <is>
          <t>S|FICO x ASSET_CLASS · SYS_FLAG N vs Y|contribution_rate|p|5</t>
        </is>
      </c>
      <c r="B1453" t="n">
        <v>0.8120854581208546</v>
      </c>
      <c r="C1453" t="n">
        <v>0.4350993472081363</v>
      </c>
      <c r="D1453" t="n">
        <v>0.9988001199880012</v>
      </c>
      <c r="E1453" t="n">
        <v>0.9988001199880012</v>
      </c>
    </row>
    <row r="1454">
      <c r="A1454" t="inlineStr">
        <is>
          <t>S|FICO x ASSET_CLASS · SYS_FLAG N vs Y|contribution_rate|v|6</t>
        </is>
      </c>
    </row>
    <row r="1455">
      <c r="A1455" t="inlineStr">
        <is>
          <t>S|FICO x ASSET_CLASS · SYS_FLAG N vs Y|contribution_rate|p|6</t>
        </is>
      </c>
    </row>
    <row r="1456">
      <c r="A1456" t="inlineStr">
        <is>
          <t>S|FICO x ASSET_CLASS · SYS_FLAG N vs Y|contribution_rate|v|7</t>
        </is>
      </c>
    </row>
    <row r="1457">
      <c r="A1457" t="inlineStr">
        <is>
          <t>S|FICO x ASSET_CLASS · SYS_FLAG N vs Y|contribution_rate|p|7</t>
        </is>
      </c>
    </row>
    <row r="1458">
      <c r="A1458" t="inlineStr">
        <is>
          <t>S|FICO x ASSET_CLASS · SYS_FLAG Y vs N|chip</t>
        </is>
      </c>
    </row>
    <row r="1459">
      <c r="A1459" t="inlineStr">
        <is>
          <t>S|FICO x ASSET_CLASS · SYS_FLAG Y vs N|rows</t>
        </is>
      </c>
      <c r="B1459" t="inlineStr">
        <is>
          <t>496 - 653</t>
        </is>
      </c>
      <c r="C1459" t="inlineStr">
        <is>
          <t>654 - 685</t>
        </is>
      </c>
      <c r="D1459" t="inlineStr">
        <is>
          <t>686 - 711</t>
        </is>
      </c>
      <c r="E1459" t="inlineStr">
        <is>
          <t>712 - 745</t>
        </is>
      </c>
      <c r="F1459" t="inlineStr">
        <is>
          <t>746 - 921</t>
        </is>
      </c>
      <c r="G1459" t="inlineStr">
        <is>
          <t>(blank)</t>
        </is>
      </c>
      <c r="H1459" t="inlineStr">
        <is>
          <t>(marked missing)</t>
        </is>
      </c>
    </row>
    <row r="1460">
      <c r="A1460" t="inlineStr">
        <is>
          <t>S|FICO x ASSET_CLASS · SYS_FLAG Y vs N|cols</t>
        </is>
      </c>
      <c r="B1460" t="inlineStr">
        <is>
          <t>1</t>
        </is>
      </c>
      <c r="C1460" t="inlineStr">
        <is>
          <t>2</t>
        </is>
      </c>
      <c r="D1460" t="inlineStr">
        <is>
          <t>3</t>
        </is>
      </c>
      <c r="E1460" t="inlineStr">
        <is>
          <t>4</t>
        </is>
      </c>
    </row>
    <row r="1461">
      <c r="A1461" t="inlineStr">
        <is>
          <t>S|FICO x ASSET_CLASS · SYS_FLAG Y vs N|sum|1</t>
        </is>
      </c>
      <c r="B1461" t="inlineStr">
        <is>
          <t>Bad loans</t>
        </is>
      </c>
      <c r="C1461" t="n">
        <v>20</v>
      </c>
      <c r="D1461" t="inlineStr">
        <is>
          <t>20 of 20</t>
        </is>
      </c>
      <c r="E1461" t="n">
        <v>1.692440882722242</v>
      </c>
      <c r="F1461" t="n">
        <v>0.1042770133493036</v>
      </c>
      <c r="G1461" t="inlineStr">
        <is>
          <t>x</t>
        </is>
      </c>
      <c r="H1461" t="n">
        <v>3.128370207191649e-11</v>
      </c>
      <c r="I1461" t="n">
        <v>1.799954515984105</v>
      </c>
      <c r="J1461" t="n">
        <v>8.723181707296492e-12</v>
      </c>
      <c r="K1461" t="n">
        <v>0.7798084899140335</v>
      </c>
      <c r="M1461" t="n">
        <v>1.850969372299824e-12</v>
      </c>
      <c r="N1461" t="n">
        <v>1</v>
      </c>
      <c r="O1461" t="n">
        <v>24</v>
      </c>
    </row>
    <row r="1462">
      <c r="A1462" t="inlineStr">
        <is>
          <t>S|FICO x ASSET_CLASS · SYS_FLAG Y vs N|outcome_loans|meta</t>
        </is>
      </c>
      <c r="B1462" t="inlineStr">
        <is>
          <t>x</t>
        </is>
      </c>
      <c r="C1462" t="n">
        <v>5.006134969325154</v>
      </c>
    </row>
    <row r="1463">
      <c r="A1463" t="inlineStr">
        <is>
          <t>S|FICO x ASSET_CLASS · SYS_FLAG Y vs N|outcome_loans|v|1</t>
        </is>
      </c>
      <c r="B1463" t="n">
        <v>2.516129032258065</v>
      </c>
      <c r="C1463" t="n">
        <v>1.28282031044462</v>
      </c>
      <c r="D1463" t="n">
        <v>1.561883899233297</v>
      </c>
      <c r="E1463" t="n">
        <v>1.453159041394336</v>
      </c>
    </row>
    <row r="1464">
      <c r="A1464" t="inlineStr">
        <is>
          <t>S|FICO x ASSET_CLASS · SYS_FLAG Y vs N|outcome_loans|p|1</t>
        </is>
      </c>
      <c r="B1464" t="n">
        <v>0.005062395051771168</v>
      </c>
      <c r="C1464" t="n">
        <v>0.474979081624309</v>
      </c>
      <c r="D1464" t="n">
        <v>0.183292426672739</v>
      </c>
      <c r="E1464" t="n">
        <v>0.183292426672739</v>
      </c>
    </row>
    <row r="1465">
      <c r="A1465" t="inlineStr">
        <is>
          <t>S|FICO x ASSET_CLASS · SYS_FLAG Y vs N|outcome_loans|v|2</t>
        </is>
      </c>
      <c r="B1465" t="n">
        <v>2.245989304812834</v>
      </c>
      <c r="C1465" t="n">
        <v>5.006134969325154</v>
      </c>
      <c r="D1465" t="n">
        <v>1.320047827819849</v>
      </c>
      <c r="E1465" t="n">
        <v>1.605235602094241</v>
      </c>
    </row>
    <row r="1466">
      <c r="A1466" t="inlineStr">
        <is>
          <t>S|FICO x ASSET_CLASS · SYS_FLAG Y vs N|outcome_loans|p|2</t>
        </is>
      </c>
      <c r="B1466" t="n">
        <v>0.1278492837379381</v>
      </c>
      <c r="C1466" t="n">
        <v>0.008947170485720151</v>
      </c>
      <c r="D1466" t="n">
        <v>0.499249302395699</v>
      </c>
      <c r="E1466" t="n">
        <v>0.183292426672739</v>
      </c>
    </row>
    <row r="1467">
      <c r="A1467" t="inlineStr">
        <is>
          <t>S|FICO x ASSET_CLASS · SYS_FLAG Y vs N|outcome_loans|v|3</t>
        </is>
      </c>
      <c r="B1467" t="n">
        <v>1.004354926510615</v>
      </c>
      <c r="C1467" t="n">
        <v>2.654748603351955</v>
      </c>
      <c r="D1467" t="n">
        <v>1.66530612244898</v>
      </c>
      <c r="E1467" t="n">
        <v>1.138565891472868</v>
      </c>
    </row>
    <row r="1468">
      <c r="A1468" t="inlineStr">
        <is>
          <t>S|FICO x ASSET_CLASS · SYS_FLAG Y vs N|outcome_loans|p|3</t>
        </is>
      </c>
      <c r="B1468" t="n">
        <v>0.9920700057451615</v>
      </c>
      <c r="C1468" t="n">
        <v>0.183292426672739</v>
      </c>
      <c r="D1468" t="n">
        <v>0.3313757930975317</v>
      </c>
      <c r="E1468" t="n">
        <v>0.7351489030103198</v>
      </c>
    </row>
    <row r="1469">
      <c r="A1469" t="inlineStr">
        <is>
          <t>S|FICO x ASSET_CLASS · SYS_FLAG Y vs N|outcome_loans|v|4</t>
        </is>
      </c>
      <c r="B1469" t="n">
        <v>1.858682634730539</v>
      </c>
      <c r="C1469" t="n">
        <v>1.640700483091788</v>
      </c>
      <c r="D1469" t="n">
        <v>1.814349112426036</v>
      </c>
      <c r="E1469" t="n">
        <v>1.798587885544407</v>
      </c>
    </row>
    <row r="1470">
      <c r="A1470" t="inlineStr">
        <is>
          <t>S|FICO x ASSET_CLASS · SYS_FLAG Y vs N|outcome_loans|p|4</t>
        </is>
      </c>
      <c r="B1470" t="n">
        <v>0.4007376135119204</v>
      </c>
      <c r="C1470" t="n">
        <v>0.4007376135119204</v>
      </c>
      <c r="D1470" t="n">
        <v>0.3313757930975317</v>
      </c>
      <c r="E1470" t="n">
        <v>0.183292426672739</v>
      </c>
    </row>
    <row r="1471">
      <c r="A1471" t="inlineStr">
        <is>
          <t>S|FICO x ASSET_CLASS · SYS_FLAG Y vs N|outcome_loans|v|5</t>
        </is>
      </c>
      <c r="B1471" t="n">
        <v>3.471311475409836</v>
      </c>
      <c r="C1471" t="n">
        <v>1.564285714285715</v>
      </c>
      <c r="D1471" t="n">
        <v>1.559113300492611</v>
      </c>
      <c r="E1471" t="n">
        <v>1.456445993031359</v>
      </c>
    </row>
    <row r="1472">
      <c r="A1472" t="inlineStr">
        <is>
          <t>S|FICO x ASSET_CLASS · SYS_FLAG Y vs N|outcome_loans|p|5</t>
        </is>
      </c>
      <c r="B1472" t="n">
        <v>0.1278492837379381</v>
      </c>
      <c r="C1472" t="n">
        <v>0.474979081624309</v>
      </c>
      <c r="D1472" t="n">
        <v>0.474979081624309</v>
      </c>
      <c r="E1472" t="n">
        <v>0.5063378656072233</v>
      </c>
    </row>
    <row r="1473">
      <c r="A1473" t="inlineStr">
        <is>
          <t>S|FICO x ASSET_CLASS · SYS_FLAG Y vs N|outcome_loans|v|6</t>
        </is>
      </c>
    </row>
    <row r="1474">
      <c r="A1474" t="inlineStr">
        <is>
          <t>S|FICO x ASSET_CLASS · SYS_FLAG Y vs N|outcome_loans|p|6</t>
        </is>
      </c>
    </row>
    <row r="1475">
      <c r="A1475" t="inlineStr">
        <is>
          <t>S|FICO x ASSET_CLASS · SYS_FLAG Y vs N|outcome_loans|v|7</t>
        </is>
      </c>
    </row>
    <row r="1476">
      <c r="A1476" t="inlineStr">
        <is>
          <t>S|FICO x ASSET_CLASS · SYS_FLAG Y vs N|outcome_loans|p|7</t>
        </is>
      </c>
    </row>
    <row r="1477">
      <c r="A1477" t="inlineStr">
        <is>
          <t>S|FICO x ASSET_CLASS · SYS_FLAG Y vs N|sum|2</t>
        </is>
      </c>
      <c r="B1477" t="inlineStr">
        <is>
          <t>Bad dollars</t>
        </is>
      </c>
      <c r="C1477" t="n">
        <v>20</v>
      </c>
      <c r="D1477" t="inlineStr">
        <is>
          <t>20 of 20</t>
        </is>
      </c>
      <c r="E1477" t="n">
        <v>1.866141566388789</v>
      </c>
      <c r="F1477" t="n">
        <v>0.1246917037129972</v>
      </c>
      <c r="G1477" t="inlineStr">
        <is>
          <t>x</t>
        </is>
      </c>
      <c r="H1477" t="n">
        <v>9.999000099990002e-05</v>
      </c>
      <c r="L1477" t="inlineStr">
        <is>
          <t>not tested: dollar rate</t>
        </is>
      </c>
    </row>
    <row r="1478">
      <c r="A1478" t="inlineStr">
        <is>
          <t>S|FICO x ASSET_CLASS · SYS_FLAG Y vs N|outcome_booked|meta</t>
        </is>
      </c>
      <c r="B1478" t="inlineStr">
        <is>
          <t>x</t>
        </is>
      </c>
      <c r="C1478" t="n">
        <v>6.36271976294312</v>
      </c>
    </row>
    <row r="1479">
      <c r="A1479" t="inlineStr">
        <is>
          <t>S|FICO x ASSET_CLASS · SYS_FLAG Y vs N|outcome_booked|v|1</t>
        </is>
      </c>
      <c r="B1479" t="n">
        <v>2.934954128046263</v>
      </c>
      <c r="C1479" t="n">
        <v>1.190436649902684</v>
      </c>
      <c r="D1479" t="n">
        <v>1.671607843969478</v>
      </c>
      <c r="E1479" t="n">
        <v>1.845184595440094</v>
      </c>
    </row>
    <row r="1480">
      <c r="A1480" t="inlineStr">
        <is>
          <t>S|FICO x ASSET_CLASS · SYS_FLAG Y vs N|outcome_booked|p|1</t>
        </is>
      </c>
      <c r="B1480" t="n">
        <v>0.006999300069993001</v>
      </c>
      <c r="C1480" t="n">
        <v>0.6136386361363864</v>
      </c>
      <c r="D1480" t="n">
        <v>0.1887311268873113</v>
      </c>
      <c r="E1480" t="n">
        <v>0.04199580041995801</v>
      </c>
    </row>
    <row r="1481">
      <c r="A1481" t="inlineStr">
        <is>
          <t>S|FICO x ASSET_CLASS · SYS_FLAG Y vs N|outcome_booked|v|2</t>
        </is>
      </c>
      <c r="B1481" t="n">
        <v>2.30475382288995</v>
      </c>
      <c r="C1481" t="n">
        <v>6.36271976294312</v>
      </c>
      <c r="D1481" t="n">
        <v>1.6296881251848</v>
      </c>
      <c r="E1481" t="n">
        <v>1.709504584995093</v>
      </c>
    </row>
    <row r="1482">
      <c r="A1482" t="inlineStr">
        <is>
          <t>S|FICO x ASSET_CLASS · SYS_FLAG Y vs N|outcome_booked|p|2</t>
        </is>
      </c>
      <c r="B1482" t="n">
        <v>0.15665100156651</v>
      </c>
      <c r="C1482" t="n">
        <v>0.006999300069993001</v>
      </c>
      <c r="D1482" t="n">
        <v>0.372508203725082</v>
      </c>
      <c r="E1482" t="n">
        <v>0.196424801964248</v>
      </c>
    </row>
    <row r="1483">
      <c r="A1483" t="inlineStr">
        <is>
          <t>S|FICO x ASSET_CLASS · SYS_FLAG Y vs N|outcome_booked|v|3</t>
        </is>
      </c>
      <c r="B1483" t="n">
        <v>1.301734777950424</v>
      </c>
      <c r="C1483" t="n">
        <v>3.792712460266324</v>
      </c>
      <c r="D1483" t="n">
        <v>1.901941929336352</v>
      </c>
      <c r="E1483" t="n">
        <v>1.313205813074738</v>
      </c>
    </row>
    <row r="1484">
      <c r="A1484" t="inlineStr">
        <is>
          <t>S|FICO x ASSET_CLASS · SYS_FLAG Y vs N|outcome_booked|p|3</t>
        </is>
      </c>
      <c r="B1484" t="n">
        <v>0.6136386361363864</v>
      </c>
      <c r="C1484" t="n">
        <v>0.1334866513348665</v>
      </c>
      <c r="D1484" t="n">
        <v>0.3135686431356864</v>
      </c>
      <c r="E1484" t="n">
        <v>0.5737073351488381</v>
      </c>
    </row>
    <row r="1485">
      <c r="A1485" t="inlineStr">
        <is>
          <t>S|FICO x ASSET_CLASS · SYS_FLAG Y vs N|outcome_booked|v|4</t>
        </is>
      </c>
      <c r="B1485" t="n">
        <v>1.943035670192693</v>
      </c>
      <c r="C1485" t="n">
        <v>1.536959720272493</v>
      </c>
      <c r="D1485" t="n">
        <v>1.426579838988333</v>
      </c>
      <c r="E1485" t="n">
        <v>2.202567525636736</v>
      </c>
    </row>
    <row r="1486">
      <c r="A1486" t="inlineStr">
        <is>
          <t>S|FICO x ASSET_CLASS · SYS_FLAG Y vs N|outcome_booked|p|4</t>
        </is>
      </c>
      <c r="B1486" t="n">
        <v>0.4682388903966746</v>
      </c>
      <c r="C1486" t="n">
        <v>0.5242142452421424</v>
      </c>
      <c r="D1486" t="n">
        <v>0.5737073351488381</v>
      </c>
      <c r="E1486" t="n">
        <v>0.1371862813718628</v>
      </c>
    </row>
    <row r="1487">
      <c r="A1487" t="inlineStr">
        <is>
          <t>S|FICO x ASSET_CLASS · SYS_FLAG Y vs N|outcome_booked|v|5</t>
        </is>
      </c>
      <c r="B1487" t="n">
        <v>2.937878624541578</v>
      </c>
      <c r="C1487" t="n">
        <v>1.703684840373952</v>
      </c>
      <c r="D1487" t="n">
        <v>1.738813953253578</v>
      </c>
      <c r="E1487" t="n">
        <v>1.354329101761362</v>
      </c>
    </row>
    <row r="1488">
      <c r="A1488" t="inlineStr">
        <is>
          <t>S|FICO x ASSET_CLASS · SYS_FLAG Y vs N|outcome_booked|p|5</t>
        </is>
      </c>
      <c r="B1488" t="n">
        <v>0.1871241447283843</v>
      </c>
      <c r="C1488" t="n">
        <v>0.4682388903966746</v>
      </c>
      <c r="D1488" t="n">
        <v>0.4682388903966746</v>
      </c>
      <c r="E1488" t="n">
        <v>0.6136386361363864</v>
      </c>
    </row>
    <row r="1489">
      <c r="A1489" t="inlineStr">
        <is>
          <t>S|FICO x ASSET_CLASS · SYS_FLAG Y vs N|outcome_booked|v|6</t>
        </is>
      </c>
    </row>
    <row r="1490">
      <c r="A1490" t="inlineStr">
        <is>
          <t>S|FICO x ASSET_CLASS · SYS_FLAG Y vs N|outcome_booked|p|6</t>
        </is>
      </c>
    </row>
    <row r="1491">
      <c r="A1491" t="inlineStr">
        <is>
          <t>S|FICO x ASSET_CLASS · SYS_FLAG Y vs N|outcome_booked|v|7</t>
        </is>
      </c>
    </row>
    <row r="1492">
      <c r="A1492" t="inlineStr">
        <is>
          <t>S|FICO x ASSET_CLASS · SYS_FLAG Y vs N|outcome_booked|p|7</t>
        </is>
      </c>
    </row>
    <row r="1493">
      <c r="A1493" t="inlineStr">
        <is>
          <t>S|FICO x ASSET_CLASS · SYS_FLAG Y vs N|sum|3</t>
        </is>
      </c>
      <c r="B1493" t="inlineStr">
        <is>
          <t>Charge-offs</t>
        </is>
      </c>
      <c r="C1493" t="n">
        <v>20</v>
      </c>
      <c r="D1493" t="inlineStr">
        <is>
          <t>20 of 20</t>
        </is>
      </c>
      <c r="E1493" t="n">
        <v>1.764163747236726</v>
      </c>
      <c r="F1493" t="n">
        <v>0.1242010377741757</v>
      </c>
      <c r="G1493" t="inlineStr">
        <is>
          <t>x</t>
        </is>
      </c>
      <c r="H1493" t="n">
        <v>9.999000099990002e-05</v>
      </c>
      <c r="L1493" t="inlineStr">
        <is>
          <t>not tested: dollar rate</t>
        </is>
      </c>
    </row>
    <row r="1494">
      <c r="A1494" t="inlineStr">
        <is>
          <t>S|FICO x ASSET_CLASS · SYS_FLAG Y vs N|gco_rate|meta</t>
        </is>
      </c>
      <c r="B1494" t="inlineStr">
        <is>
          <t>x</t>
        </is>
      </c>
      <c r="C1494" t="n">
        <v>4.67727868070625</v>
      </c>
    </row>
    <row r="1495">
      <c r="A1495" t="inlineStr">
        <is>
          <t>S|FICO x ASSET_CLASS · SYS_FLAG Y vs N|gco_rate|v|1</t>
        </is>
      </c>
      <c r="B1495" t="n">
        <v>2.647361544276794</v>
      </c>
      <c r="C1495" t="n">
        <v>1.058459468713498</v>
      </c>
      <c r="D1495" t="n">
        <v>1.689695106609884</v>
      </c>
      <c r="E1495" t="n">
        <v>1.545826129337993</v>
      </c>
    </row>
    <row r="1496">
      <c r="A1496" t="inlineStr">
        <is>
          <t>S|FICO x ASSET_CLASS · SYS_FLAG Y vs N|gco_rate|p|1</t>
        </is>
      </c>
      <c r="B1496" t="n">
        <v>0.023997600239976</v>
      </c>
      <c r="C1496" t="n">
        <v>0.8681131886811319</v>
      </c>
      <c r="D1496" t="n">
        <v>0.1962303769623038</v>
      </c>
      <c r="E1496" t="n">
        <v>0.151984801519848</v>
      </c>
    </row>
    <row r="1497">
      <c r="A1497" t="inlineStr">
        <is>
          <t>S|FICO x ASSET_CLASS · SYS_FLAG Y vs N|gco_rate|v|2</t>
        </is>
      </c>
      <c r="B1497" t="n">
        <v>2.65184590975589</v>
      </c>
      <c r="C1497" t="n">
        <v>4.67727868070625</v>
      </c>
      <c r="D1497" t="n">
        <v>1.415329553989857</v>
      </c>
      <c r="E1497" t="n">
        <v>2.024638852103324</v>
      </c>
    </row>
    <row r="1498">
      <c r="A1498" t="inlineStr">
        <is>
          <t>S|FICO x ASSET_CLASS · SYS_FLAG Y vs N|gco_rate|p|2</t>
        </is>
      </c>
      <c r="B1498" t="n">
        <v>0.120987901209879</v>
      </c>
      <c r="C1498" t="n">
        <v>0.045995400459954</v>
      </c>
      <c r="D1498" t="n">
        <v>0.525947405259474</v>
      </c>
      <c r="E1498" t="n">
        <v>0.120987901209879</v>
      </c>
    </row>
    <row r="1499">
      <c r="A1499" t="inlineStr">
        <is>
          <t>S|FICO x ASSET_CLASS · SYS_FLAG Y vs N|gco_rate|v|3</t>
        </is>
      </c>
      <c r="B1499" t="n">
        <v>1.12613180271151</v>
      </c>
      <c r="C1499" t="n">
        <v>3.559709977495746</v>
      </c>
      <c r="D1499" t="n">
        <v>1.76965344251462</v>
      </c>
      <c r="E1499" t="n">
        <v>1.441084252125964</v>
      </c>
    </row>
    <row r="1500">
      <c r="A1500" t="inlineStr">
        <is>
          <t>S|FICO x ASSET_CLASS · SYS_FLAG Y vs N|gco_rate|p|3</t>
        </is>
      </c>
      <c r="B1500" t="n">
        <v>0.8527568295801998</v>
      </c>
      <c r="C1500" t="n">
        <v>0.120987901209879</v>
      </c>
      <c r="D1500" t="n">
        <v>0.4366836043668361</v>
      </c>
      <c r="E1500" t="n">
        <v>0.525947405259474</v>
      </c>
    </row>
    <row r="1501">
      <c r="A1501" t="inlineStr">
        <is>
          <t>S|FICO x ASSET_CLASS · SYS_FLAG Y vs N|gco_rate|v|4</t>
        </is>
      </c>
      <c r="B1501" t="n">
        <v>1.641663811784713</v>
      </c>
      <c r="C1501" t="n">
        <v>1.242699766953478</v>
      </c>
      <c r="D1501" t="n">
        <v>1.630384765157756</v>
      </c>
      <c r="E1501" t="n">
        <v>2.483765643194167</v>
      </c>
    </row>
    <row r="1502">
      <c r="A1502" t="inlineStr">
        <is>
          <t>S|FICO x ASSET_CLASS · SYS_FLAG Y vs N|gco_rate|p|4</t>
        </is>
      </c>
      <c r="B1502" t="n">
        <v>0.569068093190681</v>
      </c>
      <c r="C1502" t="n">
        <v>0.80344906685802</v>
      </c>
      <c r="D1502" t="n">
        <v>0.525947405259474</v>
      </c>
      <c r="E1502" t="n">
        <v>0.120987901209879</v>
      </c>
    </row>
    <row r="1503">
      <c r="A1503" t="inlineStr">
        <is>
          <t>S|FICO x ASSET_CLASS · SYS_FLAG Y vs N|gco_rate|v|5</t>
        </is>
      </c>
      <c r="B1503" t="n">
        <v>1.987295534765798</v>
      </c>
      <c r="C1503" t="n">
        <v>1.597542235215553</v>
      </c>
      <c r="D1503" t="n">
        <v>2.242268940435411</v>
      </c>
      <c r="E1503" t="n">
        <v>1.232584378701093</v>
      </c>
    </row>
    <row r="1504">
      <c r="A1504" t="inlineStr">
        <is>
          <t>S|FICO x ASSET_CLASS · SYS_FLAG Y vs N|gco_rate|p|5</t>
        </is>
      </c>
      <c r="B1504" t="n">
        <v>0.4366836043668361</v>
      </c>
      <c r="C1504" t="n">
        <v>0.525947405259474</v>
      </c>
      <c r="D1504" t="n">
        <v>0.3721850037218501</v>
      </c>
      <c r="E1504" t="n">
        <v>0.819140308191403</v>
      </c>
    </row>
    <row r="1505">
      <c r="A1505" t="inlineStr">
        <is>
          <t>S|FICO x ASSET_CLASS · SYS_FLAG Y vs N|gco_rate|v|6</t>
        </is>
      </c>
    </row>
    <row r="1506">
      <c r="A1506" t="inlineStr">
        <is>
          <t>S|FICO x ASSET_CLASS · SYS_FLAG Y vs N|gco_rate|p|6</t>
        </is>
      </c>
    </row>
    <row r="1507">
      <c r="A1507" t="inlineStr">
        <is>
          <t>S|FICO x ASSET_CLASS · SYS_FLAG Y vs N|gco_rate|v|7</t>
        </is>
      </c>
    </row>
    <row r="1508">
      <c r="A1508" t="inlineStr">
        <is>
          <t>S|FICO x ASSET_CLASS · SYS_FLAG Y vs N|gco_rate|p|7</t>
        </is>
      </c>
    </row>
    <row r="1509">
      <c r="A1509" t="inlineStr">
        <is>
          <t>S|FICO x ASSET_CLASS · SYS_FLAG Y vs N|sum|4</t>
        </is>
      </c>
      <c r="B1509" t="inlineStr">
        <is>
          <t>Kept after losses</t>
        </is>
      </c>
      <c r="C1509" t="n">
        <v>20</v>
      </c>
      <c r="D1509" t="inlineStr">
        <is>
          <t>19 of 20</t>
        </is>
      </c>
      <c r="E1509" t="n">
        <v>-2.693494819205148</v>
      </c>
      <c r="F1509" t="n">
        <v>0.454346498019233</v>
      </c>
      <c r="G1509" t="inlineStr">
        <is>
          <t>pts</t>
        </is>
      </c>
      <c r="H1509" t="n">
        <v>9.999000099990002e-05</v>
      </c>
      <c r="L1509" t="inlineStr">
        <is>
          <t>not tested: dollar rate</t>
        </is>
      </c>
    </row>
    <row r="1510">
      <c r="A1510" t="inlineStr">
        <is>
          <t>S|FICO x ASSET_CLASS · SYS_FLAG Y vs N|ranr_rate|meta</t>
        </is>
      </c>
      <c r="B1510" t="inlineStr">
        <is>
          <t>pts</t>
        </is>
      </c>
      <c r="C1510" t="n">
        <v>6.938756603</v>
      </c>
    </row>
    <row r="1511">
      <c r="A1511" t="inlineStr">
        <is>
          <t>S|FICO x ASSET_CLASS · SYS_FLAG Y vs N|ranr_rate|v|1</t>
        </is>
      </c>
      <c r="B1511" t="n">
        <v>-6.938756603</v>
      </c>
      <c r="C1511" t="n">
        <v>-1.940713507</v>
      </c>
      <c r="D1511" t="n">
        <v>-2.821562314</v>
      </c>
      <c r="E1511" t="n">
        <v>-5.824154104</v>
      </c>
    </row>
    <row r="1512">
      <c r="A1512" t="inlineStr">
        <is>
          <t>S|FICO x ASSET_CLASS · SYS_FLAG Y vs N|ranr_rate|p|1</t>
        </is>
      </c>
      <c r="B1512" t="n">
        <v>0.088657800886578</v>
      </c>
      <c r="C1512" t="n">
        <v>0.5601939806019398</v>
      </c>
      <c r="D1512" t="n">
        <v>0.4438222844382229</v>
      </c>
      <c r="E1512" t="n">
        <v>0.205979402059794</v>
      </c>
    </row>
    <row r="1513">
      <c r="A1513" t="inlineStr">
        <is>
          <t>S|FICO x ASSET_CLASS · SYS_FLAG Y vs N|ranr_rate|v|2</t>
        </is>
      </c>
      <c r="B1513" t="n">
        <v>-1.11043173</v>
      </c>
      <c r="C1513" t="n">
        <v>-5.203768471</v>
      </c>
      <c r="D1513" t="n">
        <v>-4.309471109</v>
      </c>
      <c r="E1513" t="n">
        <v>-4.861494885</v>
      </c>
    </row>
    <row r="1514">
      <c r="A1514" t="inlineStr">
        <is>
          <t>S|FICO x ASSET_CLASS · SYS_FLAG Y vs N|ranr_rate|p|2</t>
        </is>
      </c>
      <c r="B1514" t="n">
        <v>0.6504055476805261</v>
      </c>
      <c r="C1514" t="n">
        <v>0.088657800886578</v>
      </c>
      <c r="D1514" t="n">
        <v>0.208312502083125</v>
      </c>
      <c r="E1514" t="n">
        <v>0.1604839516048395</v>
      </c>
    </row>
    <row r="1515">
      <c r="A1515" t="inlineStr">
        <is>
          <t>S|FICO x ASSET_CLASS · SYS_FLAG Y vs N|ranr_rate|v|3</t>
        </is>
      </c>
      <c r="B1515" t="n">
        <v>-0.419122112</v>
      </c>
      <c r="C1515" t="n">
        <v>-4.576500326</v>
      </c>
      <c r="D1515" t="n">
        <v>-2.295795292</v>
      </c>
      <c r="E1515" t="n">
        <v>-2.890120831</v>
      </c>
    </row>
    <row r="1516">
      <c r="A1516" t="inlineStr">
        <is>
          <t>S|FICO x ASSET_CLASS · SYS_FLAG Y vs N|ranr_rate|p|3</t>
        </is>
      </c>
      <c r="B1516" t="n">
        <v>0.845915408459154</v>
      </c>
      <c r="C1516" t="n">
        <v>0.02199780021997801</v>
      </c>
      <c r="D1516" t="n">
        <v>0.3551311535513115</v>
      </c>
      <c r="E1516" t="n">
        <v>0.3465367748939391</v>
      </c>
    </row>
    <row r="1517">
      <c r="A1517" t="inlineStr">
        <is>
          <t>S|FICO x ASSET_CLASS · SYS_FLAG Y vs N|ranr_rate|v|4</t>
        </is>
      </c>
      <c r="B1517" t="n">
        <v>-1.946539963</v>
      </c>
      <c r="C1517" t="n">
        <v>0.623407849</v>
      </c>
      <c r="D1517" t="n">
        <v>-1.891673986</v>
      </c>
      <c r="E1517" t="n">
        <v>-2.410761252</v>
      </c>
    </row>
    <row r="1518">
      <c r="A1518" t="inlineStr">
        <is>
          <t>S|FICO x ASSET_CLASS · SYS_FLAG Y vs N|ranr_rate|p|4</t>
        </is>
      </c>
      <c r="B1518" t="n">
        <v>0.3826760181124745</v>
      </c>
      <c r="C1518" t="n">
        <v>0.7812552078125521</v>
      </c>
      <c r="D1518" t="n">
        <v>0.3551311535513115</v>
      </c>
      <c r="E1518" t="n">
        <v>0.3551311535513115</v>
      </c>
    </row>
    <row r="1519">
      <c r="A1519" t="inlineStr">
        <is>
          <t>S|FICO x ASSET_CLASS · SYS_FLAG Y vs N|ranr_rate|v|5</t>
        </is>
      </c>
      <c r="B1519" t="n">
        <v>-1.511163527</v>
      </c>
      <c r="C1519" t="n">
        <v>-1.63820911</v>
      </c>
      <c r="D1519" t="n">
        <v>-1.309549832</v>
      </c>
      <c r="E1519" t="n">
        <v>-0.357416268</v>
      </c>
    </row>
    <row r="1520">
      <c r="A1520" t="inlineStr">
        <is>
          <t>S|FICO x ASSET_CLASS · SYS_FLAG Y vs N|ranr_rate|p|5</t>
        </is>
      </c>
      <c r="B1520" t="n">
        <v>0.3551311535513115</v>
      </c>
      <c r="C1520" t="n">
        <v>0.3755009114473168</v>
      </c>
      <c r="D1520" t="n">
        <v>0.3551311535513115</v>
      </c>
      <c r="E1520" t="n">
        <v>0.7883422184097381</v>
      </c>
    </row>
    <row r="1521">
      <c r="A1521" t="inlineStr">
        <is>
          <t>S|FICO x ASSET_CLASS · SYS_FLAG Y vs N|ranr_rate|v|6</t>
        </is>
      </c>
    </row>
    <row r="1522">
      <c r="A1522" t="inlineStr">
        <is>
          <t>S|FICO x ASSET_CLASS · SYS_FLAG Y vs N|ranr_rate|p|6</t>
        </is>
      </c>
    </row>
    <row r="1523">
      <c r="A1523" t="inlineStr">
        <is>
          <t>S|FICO x ASSET_CLASS · SYS_FLAG Y vs N|ranr_rate|v|7</t>
        </is>
      </c>
    </row>
    <row r="1524">
      <c r="A1524" t="inlineStr">
        <is>
          <t>S|FICO x ASSET_CLASS · SYS_FLAG Y vs N|ranr_rate|p|7</t>
        </is>
      </c>
    </row>
    <row r="1525">
      <c r="A1525" t="inlineStr">
        <is>
          <t>S|FICO x ASSET_CLASS · SYS_FLAG Y vs N|sum|5</t>
        </is>
      </c>
      <c r="B1525" t="inlineStr">
        <is>
          <t>Earned before losses</t>
        </is>
      </c>
      <c r="C1525" t="n">
        <v>20</v>
      </c>
      <c r="D1525" t="inlineStr">
        <is>
          <t>14 of 20</t>
        </is>
      </c>
      <c r="E1525" t="n">
        <v>-0.3094541727154838</v>
      </c>
      <c r="F1525" t="n">
        <v>0.2460760392831994</v>
      </c>
      <c r="G1525" t="inlineStr">
        <is>
          <t>pts</t>
        </is>
      </c>
      <c r="H1525" t="n">
        <v>0.2164783521647835</v>
      </c>
      <c r="L1525" t="inlineStr">
        <is>
          <t>not tested: dollar rate</t>
        </is>
      </c>
    </row>
    <row r="1526">
      <c r="A1526" t="inlineStr">
        <is>
          <t>S|FICO x ASSET_CLASS · SYS_FLAG Y vs N|contribution_rate|meta</t>
        </is>
      </c>
      <c r="B1526" t="inlineStr">
        <is>
          <t>pts</t>
        </is>
      </c>
      <c r="C1526" t="n">
        <v>2.623507039</v>
      </c>
    </row>
    <row r="1527">
      <c r="A1527" t="inlineStr">
        <is>
          <t>S|FICO x ASSET_CLASS · SYS_FLAG Y vs N|contribution_rate|v|1</t>
        </is>
      </c>
      <c r="B1527" t="n">
        <v>-0.06581229099999999</v>
      </c>
      <c r="C1527" t="n">
        <v>-1.602810584</v>
      </c>
      <c r="D1527" t="n">
        <v>1.38832842</v>
      </c>
      <c r="E1527" t="n">
        <v>-0.470343725</v>
      </c>
    </row>
    <row r="1528">
      <c r="A1528" t="inlineStr">
        <is>
          <t>S|FICO x ASSET_CLASS · SYS_FLAG Y vs N|contribution_rate|p|1</t>
        </is>
      </c>
      <c r="B1528" t="n">
        <v>0.9988001199880012</v>
      </c>
      <c r="C1528" t="n">
        <v>0.7703674077036742</v>
      </c>
      <c r="D1528" t="n">
        <v>0.7839216078392162</v>
      </c>
      <c r="E1528" t="n">
        <v>0.9732776722327767</v>
      </c>
    </row>
    <row r="1529">
      <c r="A1529" t="inlineStr">
        <is>
          <t>S|FICO x ASSET_CLASS · SYS_FLAG Y vs N|contribution_rate|v|2</t>
        </is>
      </c>
      <c r="B1529" t="n">
        <v>1.959430337</v>
      </c>
      <c r="C1529" t="n">
        <v>-0.788765971</v>
      </c>
      <c r="D1529" t="n">
        <v>-2.623507039</v>
      </c>
      <c r="E1529" t="n">
        <v>-0.379186545</v>
      </c>
    </row>
    <row r="1530">
      <c r="A1530" t="inlineStr">
        <is>
          <t>S|FICO x ASSET_CLASS · SYS_FLAG Y vs N|contribution_rate|p|2</t>
        </is>
      </c>
      <c r="B1530" t="n">
        <v>0.4350993472081363</v>
      </c>
      <c r="C1530" t="n">
        <v>0.8554529162468368</v>
      </c>
      <c r="D1530" t="n">
        <v>0.334966503349665</v>
      </c>
      <c r="E1530" t="n">
        <v>0.9732776722327767</v>
      </c>
    </row>
    <row r="1531">
      <c r="A1531" t="inlineStr">
        <is>
          <t>S|FICO x ASSET_CLASS · SYS_FLAG Y vs N|contribution_rate|v|3</t>
        </is>
      </c>
      <c r="B1531" t="n">
        <v>-0.002674284</v>
      </c>
      <c r="C1531" t="n">
        <v>-2.366935839</v>
      </c>
      <c r="D1531" t="n">
        <v>-0.391704516</v>
      </c>
      <c r="E1531" t="n">
        <v>-1.485488777</v>
      </c>
    </row>
    <row r="1532">
      <c r="A1532" t="inlineStr">
        <is>
          <t>S|FICO x ASSET_CLASS · SYS_FLAG Y vs N|contribution_rate|p|3</t>
        </is>
      </c>
      <c r="B1532" t="n">
        <v>0.9988001199880012</v>
      </c>
      <c r="C1532" t="n">
        <v>0.334966503349665</v>
      </c>
      <c r="D1532" t="n">
        <v>0.9719028097190281</v>
      </c>
      <c r="E1532" t="n">
        <v>0.4350993472081363</v>
      </c>
    </row>
    <row r="1533">
      <c r="A1533" t="inlineStr">
        <is>
          <t>S|FICO x ASSET_CLASS · SYS_FLAG Y vs N|contribution_rate|v|4</t>
        </is>
      </c>
      <c r="B1533" t="n">
        <v>-0.709494377</v>
      </c>
      <c r="C1533" t="n">
        <v>1.198373257</v>
      </c>
      <c r="D1533" t="n">
        <v>-0.734346229</v>
      </c>
      <c r="E1533" t="n">
        <v>1.546234463</v>
      </c>
    </row>
    <row r="1534">
      <c r="A1534" t="inlineStr">
        <is>
          <t>S|FICO x ASSET_CLASS · SYS_FLAG Y vs N|contribution_rate|p|4</t>
        </is>
      </c>
      <c r="B1534" t="n">
        <v>0.7839216078392162</v>
      </c>
      <c r="C1534" t="n">
        <v>0.4350993472081363</v>
      </c>
      <c r="D1534" t="n">
        <v>0.7703674077036742</v>
      </c>
      <c r="E1534" t="n">
        <v>0.368629803686298</v>
      </c>
    </row>
    <row r="1535">
      <c r="A1535" t="inlineStr">
        <is>
          <t>S|FICO x ASSET_CLASS · SYS_FLAG Y vs N|contribution_rate|v|5</t>
        </is>
      </c>
      <c r="B1535" t="n">
        <v>-0.248829577</v>
      </c>
      <c r="C1535" t="n">
        <v>-0.504454667</v>
      </c>
      <c r="D1535" t="n">
        <v>0.039837777</v>
      </c>
      <c r="E1535" t="n">
        <v>0.018692776</v>
      </c>
    </row>
    <row r="1536">
      <c r="A1536" t="inlineStr">
        <is>
          <t>S|FICO x ASSET_CLASS · SYS_FLAG Y vs N|contribution_rate|p|5</t>
        </is>
      </c>
      <c r="B1536" t="n">
        <v>0.8120854581208546</v>
      </c>
      <c r="C1536" t="n">
        <v>0.4350993472081363</v>
      </c>
      <c r="D1536" t="n">
        <v>0.9988001199880012</v>
      </c>
      <c r="E1536" t="n">
        <v>0.9988001199880012</v>
      </c>
    </row>
    <row r="1537">
      <c r="A1537" t="inlineStr">
        <is>
          <t>S|FICO x ASSET_CLASS · SYS_FLAG Y vs N|contribution_rate|v|6</t>
        </is>
      </c>
    </row>
    <row r="1538">
      <c r="A1538" t="inlineStr">
        <is>
          <t>S|FICO x ASSET_CLASS · SYS_FLAG Y vs N|contribution_rate|p|6</t>
        </is>
      </c>
    </row>
    <row r="1539">
      <c r="A1539" t="inlineStr">
        <is>
          <t>S|FICO x ASSET_CLASS · SYS_FLAG Y vs N|contribution_rate|v|7</t>
        </is>
      </c>
    </row>
    <row r="1540">
      <c r="A1540" t="inlineStr">
        <is>
          <t>S|FICO x ASSET_CLASS · SYS_FLAG Y vs N|contribution_rate|p|7</t>
        </is>
      </c>
    </row>
    <row r="1541">
      <c r="A1541" t="inlineStr">
        <is>
          <t>S|ORIG_BAL x CHANNEL · SYS_FLAG N vs Y|chip</t>
        </is>
      </c>
    </row>
    <row r="1542">
      <c r="A1542" t="inlineStr">
        <is>
          <t>S|ORIG_BAL x CHANNEL · SYS_FLAG N vs Y|rows</t>
        </is>
      </c>
      <c r="B1542" t="inlineStr">
        <is>
          <t>5,005 - 15,448</t>
        </is>
      </c>
      <c r="C1542" t="inlineStr">
        <is>
          <t>15,449 - 26,323</t>
        </is>
      </c>
      <c r="D1542" t="inlineStr">
        <is>
          <t>26,324 - 37,950</t>
        </is>
      </c>
      <c r="E1542" t="inlineStr">
        <is>
          <t>37,951 - 49,151</t>
        </is>
      </c>
      <c r="F1542" t="inlineStr">
        <is>
          <t>49,152 - 59,984</t>
        </is>
      </c>
      <c r="G1542" t="inlineStr">
        <is>
          <t>(blank)</t>
        </is>
      </c>
    </row>
    <row r="1543">
      <c r="A1543" t="inlineStr">
        <is>
          <t>S|ORIG_BAL x CHANNEL · SYS_FLAG N vs Y|cols</t>
        </is>
      </c>
      <c r="B1543" t="inlineStr">
        <is>
          <t>Branch</t>
        </is>
      </c>
      <c r="C1543" t="inlineStr">
        <is>
          <t>Broker</t>
        </is>
      </c>
      <c r="D1543" t="inlineStr">
        <is>
          <t>Online</t>
        </is>
      </c>
    </row>
    <row r="1544">
      <c r="A1544" t="inlineStr">
        <is>
          <t>S|ORIG_BAL x CHANNEL · SYS_FLAG N vs Y|sum|1</t>
        </is>
      </c>
      <c r="B1544" t="inlineStr">
        <is>
          <t>Bad loans</t>
        </is>
      </c>
      <c r="C1544" t="n">
        <v>15</v>
      </c>
      <c r="D1544" t="inlineStr">
        <is>
          <t>2 of 15</t>
        </is>
      </c>
      <c r="E1544" t="n">
        <v>0.5713014453531249</v>
      </c>
      <c r="F1544" t="n">
        <v>0.06106388636827022</v>
      </c>
      <c r="G1544" t="inlineStr">
        <is>
          <t>x</t>
        </is>
      </c>
      <c r="H1544" t="n">
        <v>2.210875720935313e-12</v>
      </c>
      <c r="I1544" t="n">
        <v>0.5447160387845478</v>
      </c>
      <c r="J1544" t="n">
        <v>5.557919212743171e-13</v>
      </c>
      <c r="K1544" t="n">
        <v>0.01573428043015973</v>
      </c>
      <c r="M1544" t="n">
        <v>5.557919212743187e-13</v>
      </c>
      <c r="N1544" t="n">
        <v>1</v>
      </c>
      <c r="O1544" t="n">
        <v>15</v>
      </c>
    </row>
    <row r="1545">
      <c r="A1545" t="inlineStr">
        <is>
          <t>S|ORIG_BAL x CHANNEL · SYS_FLAG N vs Y|outcome_loans|meta</t>
        </is>
      </c>
      <c r="B1545" t="inlineStr">
        <is>
          <t>x</t>
        </is>
      </c>
      <c r="C1545" t="n">
        <v>1.077715757835981</v>
      </c>
    </row>
    <row r="1546">
      <c r="A1546" t="inlineStr">
        <is>
          <t>S|ORIG_BAL x CHANNEL · SYS_FLAG N vs Y|outcome_loans|v|1</t>
        </is>
      </c>
      <c r="B1546" t="n">
        <v>0.7561830933923958</v>
      </c>
      <c r="C1546" t="n">
        <v>0.5594279366842543</v>
      </c>
      <c r="D1546" t="n">
        <v>0.4865184484389782</v>
      </c>
    </row>
    <row r="1547">
      <c r="A1547" t="inlineStr">
        <is>
          <t>S|ORIG_BAL x CHANNEL · SYS_FLAG N vs Y|outcome_loans|p|1</t>
        </is>
      </c>
      <c r="B1547" t="n">
        <v>0.4903858355695458</v>
      </c>
      <c r="C1547" t="n">
        <v>0.1039569902959033</v>
      </c>
      <c r="D1547" t="n">
        <v>0.03105762260068567</v>
      </c>
    </row>
    <row r="1548">
      <c r="A1548" t="inlineStr">
        <is>
          <t>S|ORIG_BAL x CHANNEL · SYS_FLAG N vs Y|outcome_loans|v|2</t>
        </is>
      </c>
      <c r="B1548" t="n">
        <v>1.077715757835981</v>
      </c>
      <c r="C1548" t="n">
        <v>0.6662116040955632</v>
      </c>
      <c r="D1548" t="n">
        <v>1.057777777777778</v>
      </c>
    </row>
    <row r="1549">
      <c r="A1549" t="inlineStr">
        <is>
          <t>S|ORIG_BAL x CHANNEL · SYS_FLAG N vs Y|outcome_loans|p|2</t>
        </is>
      </c>
      <c r="B1549" t="n">
        <v>0.8382577473142603</v>
      </c>
      <c r="C1549" t="n">
        <v>0.1612982155620388</v>
      </c>
      <c r="D1549" t="n">
        <v>0.8382577473142603</v>
      </c>
    </row>
    <row r="1550">
      <c r="A1550" t="inlineStr">
        <is>
          <t>S|ORIG_BAL x CHANNEL · SYS_FLAG N vs Y|outcome_loans|v|3</t>
        </is>
      </c>
      <c r="B1550" t="n">
        <v>0.6188424798651433</v>
      </c>
      <c r="C1550" t="n">
        <v>0.7743950039032007</v>
      </c>
      <c r="D1550" t="n">
        <v>0.3888888888888889</v>
      </c>
    </row>
    <row r="1551">
      <c r="A1551" t="inlineStr">
        <is>
          <t>S|ORIG_BAL x CHANNEL · SYS_FLAG N vs Y|outcome_loans|p|3</t>
        </is>
      </c>
      <c r="B1551" t="n">
        <v>0.2326516302451457</v>
      </c>
      <c r="C1551" t="n">
        <v>0.4903858355695458</v>
      </c>
      <c r="D1551" t="n">
        <v>0.01226150619792516</v>
      </c>
    </row>
    <row r="1552">
      <c r="A1552" t="inlineStr">
        <is>
          <t>S|ORIG_BAL x CHANNEL · SYS_FLAG N vs Y|outcome_loans|v|4</t>
        </is>
      </c>
      <c r="B1552" t="n">
        <v>0.789235493777275</v>
      </c>
      <c r="C1552" t="n">
        <v>0.3531914893617021</v>
      </c>
      <c r="D1552" t="n">
        <v>0.2663311313830345</v>
      </c>
    </row>
    <row r="1553">
      <c r="A1553" t="inlineStr">
        <is>
          <t>S|ORIG_BAL x CHANNEL · SYS_FLAG N vs Y|outcome_loans|p|4</t>
        </is>
      </c>
      <c r="B1553" t="n">
        <v>0.4903858355695458</v>
      </c>
      <c r="C1553" t="n">
        <v>0.002275429021917355</v>
      </c>
      <c r="D1553" t="n">
        <v>0.0006086177613070279</v>
      </c>
    </row>
    <row r="1554">
      <c r="A1554" t="inlineStr">
        <is>
          <t>S|ORIG_BAL x CHANNEL · SYS_FLAG N vs Y|outcome_loans|v|5</t>
        </is>
      </c>
      <c r="B1554" t="n">
        <v>0.2172241445597847</v>
      </c>
      <c r="C1554" t="n">
        <v>0.6615827338129496</v>
      </c>
      <c r="D1554" t="n">
        <v>0.3138602520045819</v>
      </c>
    </row>
    <row r="1555">
      <c r="A1555" t="inlineStr">
        <is>
          <t>S|ORIG_BAL x CHANNEL · SYS_FLAG N vs Y|outcome_loans|p|5</t>
        </is>
      </c>
      <c r="B1555" t="n">
        <v>0.003380609347395555</v>
      </c>
      <c r="C1555" t="n">
        <v>0.2326516302451457</v>
      </c>
      <c r="D1555" t="n">
        <v>0.003777627981855522</v>
      </c>
    </row>
    <row r="1556">
      <c r="A1556" t="inlineStr">
        <is>
          <t>S|ORIG_BAL x CHANNEL · SYS_FLAG N vs Y|outcome_loans|v|6</t>
        </is>
      </c>
    </row>
    <row r="1557">
      <c r="A1557" t="inlineStr">
        <is>
          <t>S|ORIG_BAL x CHANNEL · SYS_FLAG N vs Y|outcome_loans|p|6</t>
        </is>
      </c>
    </row>
    <row r="1558">
      <c r="A1558" t="inlineStr">
        <is>
          <t>S|ORIG_BAL x CHANNEL · SYS_FLAG N vs Y|sum|2</t>
        </is>
      </c>
      <c r="B1558" t="inlineStr">
        <is>
          <t>Bad dollars</t>
        </is>
      </c>
      <c r="C1558" t="n">
        <v>15</v>
      </c>
      <c r="D1558" t="inlineStr">
        <is>
          <t>1 of 15</t>
        </is>
      </c>
      <c r="E1558" t="n">
        <v>0.5234601279885992</v>
      </c>
      <c r="F1558" t="n">
        <v>0.06645291917062235</v>
      </c>
      <c r="G1558" t="inlineStr">
        <is>
          <t>x</t>
        </is>
      </c>
      <c r="H1558" t="n">
        <v>9.999000099990002e-05</v>
      </c>
      <c r="L1558" t="inlineStr">
        <is>
          <t>not tested: dollar rate</t>
        </is>
      </c>
    </row>
    <row r="1559">
      <c r="A1559" t="inlineStr">
        <is>
          <t>S|ORIG_BAL x CHANNEL · SYS_FLAG N vs Y|outcome_booked|meta</t>
        </is>
      </c>
      <c r="B1559" t="inlineStr">
        <is>
          <t>x</t>
        </is>
      </c>
      <c r="C1559" t="n">
        <v>1.042078898268505</v>
      </c>
    </row>
    <row r="1560">
      <c r="A1560" t="inlineStr">
        <is>
          <t>S|ORIG_BAL x CHANNEL · SYS_FLAG N vs Y|outcome_booked|v|1</t>
        </is>
      </c>
      <c r="B1560" t="n">
        <v>0.7249027275416102</v>
      </c>
      <c r="C1560" t="n">
        <v>0.6528230762493802</v>
      </c>
      <c r="D1560" t="n">
        <v>0.4176856511770088</v>
      </c>
    </row>
    <row r="1561">
      <c r="A1561" t="inlineStr">
        <is>
          <t>S|ORIG_BAL x CHANNEL · SYS_FLAG N vs Y|outcome_booked|p|1</t>
        </is>
      </c>
      <c r="B1561" t="n">
        <v>0.4762705547627055</v>
      </c>
      <c r="C1561" t="n">
        <v>0.2791387527913876</v>
      </c>
      <c r="D1561" t="n">
        <v>0.01224877512248775</v>
      </c>
    </row>
    <row r="1562">
      <c r="A1562" t="inlineStr">
        <is>
          <t>S|ORIG_BAL x CHANNEL · SYS_FLAG N vs Y|outcome_booked|v|2</t>
        </is>
      </c>
      <c r="B1562" t="n">
        <v>0.9679673202965606</v>
      </c>
      <c r="C1562" t="n">
        <v>0.7058549271185955</v>
      </c>
      <c r="D1562" t="n">
        <v>1.042078898268505</v>
      </c>
    </row>
    <row r="1563">
      <c r="A1563" t="inlineStr">
        <is>
          <t>S|ORIG_BAL x CHANNEL · SYS_FLAG N vs Y|outcome_booked|p|2</t>
        </is>
      </c>
      <c r="B1563" t="n">
        <v>0.9272072792720728</v>
      </c>
      <c r="C1563" t="n">
        <v>0.2787846215378462</v>
      </c>
      <c r="D1563" t="n">
        <v>0.9272072792720728</v>
      </c>
    </row>
    <row r="1564">
      <c r="A1564" t="inlineStr">
        <is>
          <t>S|ORIG_BAL x CHANNEL · SYS_FLAG N vs Y|outcome_booked|v|3</t>
        </is>
      </c>
      <c r="B1564" t="n">
        <v>0.6538206844598439</v>
      </c>
      <c r="C1564" t="n">
        <v>0.790232625435849</v>
      </c>
      <c r="D1564" t="n">
        <v>0.3983526970800206</v>
      </c>
    </row>
    <row r="1565">
      <c r="A1565" t="inlineStr">
        <is>
          <t>S|ORIG_BAL x CHANNEL · SYS_FLAG N vs Y|outcome_booked|p|3</t>
        </is>
      </c>
      <c r="B1565" t="n">
        <v>0.3226177382261773</v>
      </c>
      <c r="C1565" t="n">
        <v>0.5636936306369363</v>
      </c>
      <c r="D1565" t="n">
        <v>0.01224877512248775</v>
      </c>
    </row>
    <row r="1566">
      <c r="A1566" t="inlineStr">
        <is>
          <t>S|ORIG_BAL x CHANNEL · SYS_FLAG N vs Y|outcome_booked|v|4</t>
        </is>
      </c>
      <c r="B1566" t="n">
        <v>0.8197632111582784</v>
      </c>
      <c r="C1566" t="n">
        <v>0.3767196000853318</v>
      </c>
      <c r="D1566" t="n">
        <v>0.2586364309941553</v>
      </c>
    </row>
    <row r="1567">
      <c r="A1567" t="inlineStr">
        <is>
          <t>S|ORIG_BAL x CHANNEL · SYS_FLAG N vs Y|outcome_booked|p|4</t>
        </is>
      </c>
      <c r="B1567" t="n">
        <v>0.5912870251436394</v>
      </c>
      <c r="C1567" t="n">
        <v>0.0035996400359964</v>
      </c>
      <c r="D1567" t="n">
        <v>0.0014998500149985</v>
      </c>
    </row>
    <row r="1568">
      <c r="A1568" t="inlineStr">
        <is>
          <t>S|ORIG_BAL x CHANNEL · SYS_FLAG N vs Y|outcome_booked|v|5</t>
        </is>
      </c>
      <c r="B1568" t="n">
        <v>0.2157297293076979</v>
      </c>
      <c r="C1568" t="n">
        <v>0.6599212574426148</v>
      </c>
      <c r="D1568" t="n">
        <v>0.3243158866496043</v>
      </c>
    </row>
    <row r="1569">
      <c r="A1569" t="inlineStr">
        <is>
          <t>S|ORIG_BAL x CHANNEL · SYS_FLAG N vs Y|outcome_booked|p|5</t>
        </is>
      </c>
      <c r="B1569" t="n">
        <v>0.001999800019998001</v>
      </c>
      <c r="C1569" t="n">
        <v>0.2787846215378462</v>
      </c>
      <c r="D1569" t="n">
        <v>0.007713514362849429</v>
      </c>
    </row>
    <row r="1570">
      <c r="A1570" t="inlineStr">
        <is>
          <t>S|ORIG_BAL x CHANNEL · SYS_FLAG N vs Y|outcome_booked|v|6</t>
        </is>
      </c>
    </row>
    <row r="1571">
      <c r="A1571" t="inlineStr">
        <is>
          <t>S|ORIG_BAL x CHANNEL · SYS_FLAG N vs Y|outcome_booked|p|6</t>
        </is>
      </c>
    </row>
    <row r="1572">
      <c r="A1572" t="inlineStr">
        <is>
          <t>S|ORIG_BAL x CHANNEL · SYS_FLAG N vs Y|sum|3</t>
        </is>
      </c>
      <c r="B1572" t="inlineStr">
        <is>
          <t>Charge-offs</t>
        </is>
      </c>
      <c r="C1572" t="n">
        <v>15</v>
      </c>
      <c r="D1572" t="inlineStr">
        <is>
          <t>1 of 15</t>
        </is>
      </c>
      <c r="E1572" t="n">
        <v>0.5533778766976516</v>
      </c>
      <c r="F1572" t="n">
        <v>0.06978807289035739</v>
      </c>
      <c r="G1572" t="inlineStr">
        <is>
          <t>x</t>
        </is>
      </c>
      <c r="H1572" t="n">
        <v>9.999000099990002e-05</v>
      </c>
      <c r="L1572" t="inlineStr">
        <is>
          <t>not tested: dollar rate</t>
        </is>
      </c>
    </row>
    <row r="1573">
      <c r="A1573" t="inlineStr">
        <is>
          <t>S|ORIG_BAL x CHANNEL · SYS_FLAG N vs Y|gco_rate|meta</t>
        </is>
      </c>
      <c r="B1573" t="inlineStr">
        <is>
          <t>x</t>
        </is>
      </c>
      <c r="C1573" t="n">
        <v>1.010851932863777</v>
      </c>
    </row>
    <row r="1574">
      <c r="A1574" t="inlineStr">
        <is>
          <t>S|ORIG_BAL x CHANNEL · SYS_FLAG N vs Y|gco_rate|v|1</t>
        </is>
      </c>
      <c r="B1574" t="n">
        <v>0.635346592849268</v>
      </c>
      <c r="C1574" t="n">
        <v>0.6627916569134737</v>
      </c>
      <c r="D1574" t="n">
        <v>0.4056000049100187</v>
      </c>
    </row>
    <row r="1575">
      <c r="A1575" t="inlineStr">
        <is>
          <t>S|ORIG_BAL x CHANNEL · SYS_FLAG N vs Y|gco_rate|p|1</t>
        </is>
      </c>
      <c r="B1575" t="n">
        <v>0.3366330033663301</v>
      </c>
      <c r="C1575" t="n">
        <v>0.3366330033663301</v>
      </c>
      <c r="D1575" t="n">
        <v>0.0158984101589841</v>
      </c>
    </row>
    <row r="1576">
      <c r="A1576" t="inlineStr">
        <is>
          <t>S|ORIG_BAL x CHANNEL · SYS_FLAG N vs Y|gco_rate|v|2</t>
        </is>
      </c>
      <c r="B1576" t="n">
        <v>1.010851932863777</v>
      </c>
      <c r="C1576" t="n">
        <v>0.7590087816039806</v>
      </c>
      <c r="D1576" t="n">
        <v>0.9863802117486774</v>
      </c>
    </row>
    <row r="1577">
      <c r="A1577" t="inlineStr">
        <is>
          <t>S|ORIG_BAL x CHANNEL · SYS_FLAG N vs Y|gco_rate|p|2</t>
        </is>
      </c>
      <c r="B1577" t="n">
        <v>0.9773022697730227</v>
      </c>
      <c r="C1577" t="n">
        <v>0.3868249538682495</v>
      </c>
      <c r="D1577" t="n">
        <v>0.9773022697730227</v>
      </c>
    </row>
    <row r="1578">
      <c r="A1578" t="inlineStr">
        <is>
          <t>S|ORIG_BAL x CHANNEL · SYS_FLAG N vs Y|gco_rate|v|3</t>
        </is>
      </c>
      <c r="B1578" t="n">
        <v>0.6327027413578268</v>
      </c>
      <c r="C1578" t="n">
        <v>0.9718563063625723</v>
      </c>
      <c r="D1578" t="n">
        <v>0.4151233397680683</v>
      </c>
    </row>
    <row r="1579">
      <c r="A1579" t="inlineStr">
        <is>
          <t>S|ORIG_BAL x CHANNEL · SYS_FLAG N vs Y|gco_rate|p|3</t>
        </is>
      </c>
      <c r="B1579" t="n">
        <v>0.3366330033663301</v>
      </c>
      <c r="C1579" t="n">
        <v>0.9773022697730227</v>
      </c>
      <c r="D1579" t="n">
        <v>0.02274772522747725</v>
      </c>
    </row>
    <row r="1580">
      <c r="A1580" t="inlineStr">
        <is>
          <t>S|ORIG_BAL x CHANNEL · SYS_FLAG N vs Y|gco_rate|v|4</t>
        </is>
      </c>
      <c r="B1580" t="n">
        <v>0.8740582093581279</v>
      </c>
      <c r="C1580" t="n">
        <v>0.4177984854882391</v>
      </c>
      <c r="D1580" t="n">
        <v>0.2756931047391982</v>
      </c>
    </row>
    <row r="1581">
      <c r="A1581" t="inlineStr">
        <is>
          <t>S|ORIG_BAL x CHANNEL · SYS_FLAG N vs Y|gco_rate|p|4</t>
        </is>
      </c>
      <c r="B1581" t="n">
        <v>0.8240425957404259</v>
      </c>
      <c r="C1581" t="n">
        <v>0.008999100089991</v>
      </c>
      <c r="D1581" t="n">
        <v>0.0014998500149985</v>
      </c>
    </row>
    <row r="1582">
      <c r="A1582" t="inlineStr">
        <is>
          <t>S|ORIG_BAL x CHANNEL · SYS_FLAG N vs Y|gco_rate|v|5</t>
        </is>
      </c>
      <c r="B1582" t="n">
        <v>0.2204218287129784</v>
      </c>
      <c r="C1582" t="n">
        <v>0.7254577619610092</v>
      </c>
      <c r="D1582" t="n">
        <v>0.3170142426948203</v>
      </c>
    </row>
    <row r="1583">
      <c r="A1583" t="inlineStr">
        <is>
          <t>S|ORIG_BAL x CHANNEL · SYS_FLAG N vs Y|gco_rate|p|5</t>
        </is>
      </c>
      <c r="B1583" t="n">
        <v>0.005999400059994</v>
      </c>
      <c r="C1583" t="n">
        <v>0.3868249538682495</v>
      </c>
      <c r="D1583" t="n">
        <v>0.008999100089991</v>
      </c>
    </row>
    <row r="1584">
      <c r="A1584" t="inlineStr">
        <is>
          <t>S|ORIG_BAL x CHANNEL · SYS_FLAG N vs Y|gco_rate|v|6</t>
        </is>
      </c>
    </row>
    <row r="1585">
      <c r="A1585" t="inlineStr">
        <is>
          <t>S|ORIG_BAL x CHANNEL · SYS_FLAG N vs Y|gco_rate|p|6</t>
        </is>
      </c>
    </row>
    <row r="1586">
      <c r="A1586" t="inlineStr">
        <is>
          <t>S|ORIG_BAL x CHANNEL · SYS_FLAG N vs Y|sum|4</t>
        </is>
      </c>
      <c r="B1586" t="inlineStr">
        <is>
          <t>Kept after losses</t>
        </is>
      </c>
      <c r="C1586" t="n">
        <v>15</v>
      </c>
      <c r="D1586" t="inlineStr">
        <is>
          <t>1 of 15</t>
        </is>
      </c>
      <c r="E1586" t="n">
        <v>2.56965370515255</v>
      </c>
      <c r="F1586" t="n">
        <v>0.4600137640640348</v>
      </c>
      <c r="G1586" t="inlineStr">
        <is>
          <t>pts</t>
        </is>
      </c>
      <c r="H1586" t="n">
        <v>9.999000099990002e-05</v>
      </c>
      <c r="L1586" t="inlineStr">
        <is>
          <t>not tested: dollar rate</t>
        </is>
      </c>
    </row>
    <row r="1587">
      <c r="A1587" t="inlineStr">
        <is>
          <t>S|ORIG_BAL x CHANNEL · SYS_FLAG N vs Y|ranr_rate|meta</t>
        </is>
      </c>
      <c r="B1587" t="inlineStr">
        <is>
          <t>pts</t>
        </is>
      </c>
      <c r="C1587" t="n">
        <v>6.959254876</v>
      </c>
    </row>
    <row r="1588">
      <c r="A1588" t="inlineStr">
        <is>
          <t>S|ORIG_BAL x CHANNEL · SYS_FLAG N vs Y|ranr_rate|v|1</t>
        </is>
      </c>
      <c r="B1588" t="n">
        <v>2.156163201</v>
      </c>
      <c r="C1588" t="n">
        <v>3.346102348</v>
      </c>
      <c r="D1588" t="n">
        <v>3.179995958</v>
      </c>
    </row>
    <row r="1589">
      <c r="A1589" t="inlineStr">
        <is>
          <t>S|ORIG_BAL x CHANNEL · SYS_FLAG N vs Y|ranr_rate|p|1</t>
        </is>
      </c>
      <c r="B1589" t="n">
        <v>0.3468938820403674</v>
      </c>
      <c r="C1589" t="n">
        <v>0.1717328267173283</v>
      </c>
      <c r="D1589" t="n">
        <v>0.1717328267173283</v>
      </c>
    </row>
    <row r="1590">
      <c r="A1590" t="inlineStr">
        <is>
          <t>S|ORIG_BAL x CHANNEL · SYS_FLAG N vs Y|ranr_rate|v|2</t>
        </is>
      </c>
      <c r="B1590" t="n">
        <v>0.147321087</v>
      </c>
      <c r="C1590" t="n">
        <v>1.153792586</v>
      </c>
      <c r="D1590" t="n">
        <v>0.103889388</v>
      </c>
    </row>
    <row r="1591">
      <c r="A1591" t="inlineStr">
        <is>
          <t>S|ORIG_BAL x CHANNEL · SYS_FLAG N vs Y|ranr_rate|p|2</t>
        </is>
      </c>
      <c r="B1591" t="n">
        <v>0.9584041595840416</v>
      </c>
      <c r="C1591" t="n">
        <v>0.698930106989301</v>
      </c>
      <c r="D1591" t="n">
        <v>0.9584041595840416</v>
      </c>
    </row>
    <row r="1592">
      <c r="A1592" t="inlineStr">
        <is>
          <t>S|ORIG_BAL x CHANNEL · SYS_FLAG N vs Y|ranr_rate|v|3</t>
        </is>
      </c>
      <c r="B1592" t="n">
        <v>2.035646029</v>
      </c>
      <c r="C1592" t="n">
        <v>-0.571762929</v>
      </c>
      <c r="D1592" t="n">
        <v>2.048618712</v>
      </c>
    </row>
    <row r="1593">
      <c r="A1593" t="inlineStr">
        <is>
          <t>S|ORIG_BAL x CHANNEL · SYS_FLAG N vs Y|ranr_rate|p|3</t>
        </is>
      </c>
      <c r="B1593" t="n">
        <v>0.348298503482985</v>
      </c>
      <c r="C1593" t="n">
        <v>0.8807869213078692</v>
      </c>
      <c r="D1593" t="n">
        <v>0.348298503482985</v>
      </c>
    </row>
    <row r="1594">
      <c r="A1594" t="inlineStr">
        <is>
          <t>S|ORIG_BAL x CHANNEL · SYS_FLAG N vs Y|ranr_rate|v|4</t>
        </is>
      </c>
      <c r="B1594" t="n">
        <v>0.510364452</v>
      </c>
      <c r="C1594" t="n">
        <v>4.339692565</v>
      </c>
      <c r="D1594" t="n">
        <v>6.959254876</v>
      </c>
    </row>
    <row r="1595">
      <c r="A1595" t="inlineStr">
        <is>
          <t>S|ORIG_BAL x CHANNEL · SYS_FLAG N vs Y|ranr_rate|p|4</t>
        </is>
      </c>
      <c r="B1595" t="n">
        <v>0.8819118088191181</v>
      </c>
      <c r="C1595" t="n">
        <v>0.04199580041995801</v>
      </c>
      <c r="D1595" t="n">
        <v>0.002999700029997001</v>
      </c>
    </row>
    <row r="1596">
      <c r="A1596" t="inlineStr">
        <is>
          <t>S|ORIG_BAL x CHANNEL · SYS_FLAG N vs Y|ranr_rate|v|5</t>
        </is>
      </c>
      <c r="B1596" t="n">
        <v>2.546782001</v>
      </c>
      <c r="C1596" t="n">
        <v>1.755538911</v>
      </c>
      <c r="D1596" t="n">
        <v>4.803202788</v>
      </c>
    </row>
    <row r="1597">
      <c r="A1597" t="inlineStr">
        <is>
          <t>S|ORIG_BAL x CHANNEL · SYS_FLAG N vs Y|ranr_rate|p|5</t>
        </is>
      </c>
      <c r="B1597" t="n">
        <v>0.1717328267173283</v>
      </c>
      <c r="C1597" t="n">
        <v>0.3818618138186181</v>
      </c>
      <c r="D1597" t="n">
        <v>0.0134986501349865</v>
      </c>
    </row>
    <row r="1598">
      <c r="A1598" t="inlineStr">
        <is>
          <t>S|ORIG_BAL x CHANNEL · SYS_FLAG N vs Y|ranr_rate|v|6</t>
        </is>
      </c>
    </row>
    <row r="1599">
      <c r="A1599" t="inlineStr">
        <is>
          <t>S|ORIG_BAL x CHANNEL · SYS_FLAG N vs Y|ranr_rate|p|6</t>
        </is>
      </c>
    </row>
    <row r="1600">
      <c r="A1600" t="inlineStr">
        <is>
          <t>S|ORIG_BAL x CHANNEL · SYS_FLAG N vs Y|sum|5</t>
        </is>
      </c>
      <c r="B1600" t="inlineStr">
        <is>
          <t>Earned before losses</t>
        </is>
      </c>
      <c r="C1600" t="n">
        <v>15</v>
      </c>
      <c r="D1600" t="inlineStr">
        <is>
          <t>6 of 15</t>
        </is>
      </c>
      <c r="E1600" t="n">
        <v>0.1281797751296413</v>
      </c>
      <c r="F1600" t="n">
        <v>0.2983864408698744</v>
      </c>
      <c r="G1600" t="inlineStr">
        <is>
          <t>pts</t>
        </is>
      </c>
      <c r="H1600" t="n">
        <v>0.6693330666933307</v>
      </c>
      <c r="L1600" t="inlineStr">
        <is>
          <t>not tested: dollar rate</t>
        </is>
      </c>
    </row>
    <row r="1601">
      <c r="A1601" t="inlineStr">
        <is>
          <t>S|ORIG_BAL x CHANNEL · SYS_FLAG N vs Y|contribution_rate|meta</t>
        </is>
      </c>
      <c r="B1601" t="inlineStr">
        <is>
          <t>pts</t>
        </is>
      </c>
      <c r="C1601" t="n">
        <v>1.596791434</v>
      </c>
    </row>
    <row r="1602">
      <c r="A1602" t="inlineStr">
        <is>
          <t>S|ORIG_BAL x CHANNEL · SYS_FLAG N vs Y|contribution_rate|v|1</t>
        </is>
      </c>
      <c r="B1602" t="n">
        <v>0.527939852</v>
      </c>
      <c r="C1602" t="n">
        <v>1.46002467</v>
      </c>
      <c r="D1602" t="n">
        <v>-0.62089436</v>
      </c>
    </row>
    <row r="1603">
      <c r="A1603" t="inlineStr">
        <is>
          <t>S|ORIG_BAL x CHANNEL · SYS_FLAG N vs Y|contribution_rate|p|1</t>
        </is>
      </c>
      <c r="B1603" t="n">
        <v>0.9862013798620138</v>
      </c>
      <c r="C1603" t="n">
        <v>0.9862013798620138</v>
      </c>
      <c r="D1603" t="n">
        <v>0.9862013798620138</v>
      </c>
    </row>
    <row r="1604">
      <c r="A1604" t="inlineStr">
        <is>
          <t>S|ORIG_BAL x CHANNEL · SYS_FLAG N vs Y|contribution_rate|v|2</t>
        </is>
      </c>
      <c r="B1604" t="n">
        <v>0.191011652</v>
      </c>
      <c r="C1604" t="n">
        <v>-0.731432721</v>
      </c>
      <c r="D1604" t="n">
        <v>0.034285953</v>
      </c>
    </row>
    <row r="1605">
      <c r="A1605" t="inlineStr">
        <is>
          <t>S|ORIG_BAL x CHANNEL · SYS_FLAG N vs Y|contribution_rate|p|2</t>
        </is>
      </c>
      <c r="B1605" t="n">
        <v>0.9862013798620138</v>
      </c>
      <c r="C1605" t="n">
        <v>0.9862013798620138</v>
      </c>
      <c r="D1605" t="n">
        <v>0.9862013798620138</v>
      </c>
    </row>
    <row r="1606">
      <c r="A1606" t="inlineStr">
        <is>
          <t>S|ORIG_BAL x CHANNEL · SYS_FLAG N vs Y|contribution_rate|v|3</t>
        </is>
      </c>
      <c r="B1606" t="n">
        <v>0.421706621</v>
      </c>
      <c r="C1606" t="n">
        <v>-0.6877752029999999</v>
      </c>
      <c r="D1606" t="n">
        <v>-1.115486134</v>
      </c>
    </row>
    <row r="1607">
      <c r="A1607" t="inlineStr">
        <is>
          <t>S|ORIG_BAL x CHANNEL · SYS_FLAG N vs Y|contribution_rate|p|3</t>
        </is>
      </c>
      <c r="B1607" t="n">
        <v>0.9862013798620138</v>
      </c>
      <c r="C1607" t="n">
        <v>0.9862013798620138</v>
      </c>
      <c r="D1607" t="n">
        <v>0.9862013798620138</v>
      </c>
    </row>
    <row r="1608">
      <c r="A1608" t="inlineStr">
        <is>
          <t>S|ORIG_BAL x CHANNEL · SYS_FLAG N vs Y|contribution_rate|v|4</t>
        </is>
      </c>
      <c r="B1608" t="n">
        <v>-0.086502126</v>
      </c>
      <c r="C1608" t="n">
        <v>0.017010624</v>
      </c>
      <c r="D1608" t="n">
        <v>1.596791434</v>
      </c>
    </row>
    <row r="1609">
      <c r="A1609" t="inlineStr">
        <is>
          <t>S|ORIG_BAL x CHANNEL · SYS_FLAG N vs Y|contribution_rate|p|4</t>
        </is>
      </c>
      <c r="B1609" t="n">
        <v>0.9862013798620138</v>
      </c>
      <c r="C1609" t="n">
        <v>0.9862013798620138</v>
      </c>
      <c r="D1609" t="n">
        <v>0.9862013798620138</v>
      </c>
    </row>
    <row r="1610">
      <c r="A1610" t="inlineStr">
        <is>
          <t>S|ORIG_BAL x CHANNEL · SYS_FLAG N vs Y|contribution_rate|v|5</t>
        </is>
      </c>
      <c r="B1610" t="n">
        <v>-0.618960452</v>
      </c>
      <c r="C1610" t="n">
        <v>0.173720877</v>
      </c>
      <c r="D1610" t="n">
        <v>1.154134755</v>
      </c>
    </row>
    <row r="1611">
      <c r="A1611" t="inlineStr">
        <is>
          <t>S|ORIG_BAL x CHANNEL · SYS_FLAG N vs Y|contribution_rate|p|5</t>
        </is>
      </c>
      <c r="B1611" t="n">
        <v>0.9862013798620138</v>
      </c>
      <c r="C1611" t="n">
        <v>0.9862013798620138</v>
      </c>
      <c r="D1611" t="n">
        <v>0.9862013798620138</v>
      </c>
    </row>
    <row r="1612">
      <c r="A1612" t="inlineStr">
        <is>
          <t>S|ORIG_BAL x CHANNEL · SYS_FLAG N vs Y|contribution_rate|v|6</t>
        </is>
      </c>
    </row>
    <row r="1613">
      <c r="A1613" t="inlineStr">
        <is>
          <t>S|ORIG_BAL x CHANNEL · SYS_FLAG N vs Y|contribution_rate|p|6</t>
        </is>
      </c>
    </row>
    <row r="1614">
      <c r="A1614" t="inlineStr">
        <is>
          <t>S|ORIG_BAL x CHANNEL · SYS_FLAG Y vs N|chip</t>
        </is>
      </c>
    </row>
    <row r="1615">
      <c r="A1615" t="inlineStr">
        <is>
          <t>S|ORIG_BAL x CHANNEL · SYS_FLAG Y vs N|rows</t>
        </is>
      </c>
      <c r="B1615" t="inlineStr">
        <is>
          <t>5,005 - 15,448</t>
        </is>
      </c>
      <c r="C1615" t="inlineStr">
        <is>
          <t>15,449 - 26,323</t>
        </is>
      </c>
      <c r="D1615" t="inlineStr">
        <is>
          <t>26,324 - 37,950</t>
        </is>
      </c>
      <c r="E1615" t="inlineStr">
        <is>
          <t>37,951 - 49,151</t>
        </is>
      </c>
      <c r="F1615" t="inlineStr">
        <is>
          <t>49,152 - 59,984</t>
        </is>
      </c>
      <c r="G1615" t="inlineStr">
        <is>
          <t>(blank)</t>
        </is>
      </c>
    </row>
    <row r="1616">
      <c r="A1616" t="inlineStr">
        <is>
          <t>S|ORIG_BAL x CHANNEL · SYS_FLAG Y vs N|cols</t>
        </is>
      </c>
      <c r="B1616" t="inlineStr">
        <is>
          <t>Branch</t>
        </is>
      </c>
      <c r="C1616" t="inlineStr">
        <is>
          <t>Broker</t>
        </is>
      </c>
      <c r="D1616" t="inlineStr">
        <is>
          <t>Online</t>
        </is>
      </c>
    </row>
    <row r="1617">
      <c r="A1617" t="inlineStr">
        <is>
          <t>S|ORIG_BAL x CHANNEL · SYS_FLAG Y vs N|sum|1</t>
        </is>
      </c>
      <c r="B1617" t="inlineStr">
        <is>
          <t>Bad loans</t>
        </is>
      </c>
      <c r="C1617" t="n">
        <v>15</v>
      </c>
      <c r="D1617" t="inlineStr">
        <is>
          <t>13 of 15</t>
        </is>
      </c>
      <c r="E1617" t="n">
        <v>1.751799738225351</v>
      </c>
      <c r="F1617" t="n">
        <v>0.1070411836860048</v>
      </c>
      <c r="G1617" t="inlineStr">
        <is>
          <t>x</t>
        </is>
      </c>
      <c r="H1617" t="n">
        <v>2.210875720935313e-12</v>
      </c>
      <c r="I1617" t="n">
        <v>1.835818901590175</v>
      </c>
      <c r="J1617" t="n">
        <v>5.557919212743171e-13</v>
      </c>
      <c r="K1617" t="n">
        <v>0.01573428043015973</v>
      </c>
      <c r="M1617" t="n">
        <v>5.557919212743187e-13</v>
      </c>
      <c r="N1617" t="n">
        <v>1</v>
      </c>
      <c r="O1617" t="n">
        <v>15</v>
      </c>
    </row>
    <row r="1618">
      <c r="A1618" t="inlineStr">
        <is>
          <t>S|ORIG_BAL x CHANNEL · SYS_FLAG Y vs N|outcome_loans|meta</t>
        </is>
      </c>
      <c r="B1618" t="inlineStr">
        <is>
          <t>x</t>
        </is>
      </c>
      <c r="C1618" t="n">
        <v>4.603539823008849</v>
      </c>
    </row>
    <row r="1619">
      <c r="A1619" t="inlineStr">
        <is>
          <t>S|ORIG_BAL x CHANNEL · SYS_FLAG Y vs N|outcome_loans|v|1</t>
        </is>
      </c>
      <c r="B1619" t="n">
        <v>1.32243104710764</v>
      </c>
      <c r="C1619" t="n">
        <v>1.787540332588732</v>
      </c>
      <c r="D1619" t="n">
        <v>2.055420515313563</v>
      </c>
    </row>
    <row r="1620">
      <c r="A1620" t="inlineStr">
        <is>
          <t>S|ORIG_BAL x CHANNEL · SYS_FLAG Y vs N|outcome_loans|p|1</t>
        </is>
      </c>
      <c r="B1620" t="n">
        <v>0.4903858355695458</v>
      </c>
      <c r="C1620" t="n">
        <v>0.1039569902959033</v>
      </c>
      <c r="D1620" t="n">
        <v>0.03105762260068567</v>
      </c>
    </row>
    <row r="1621">
      <c r="A1621" t="inlineStr">
        <is>
          <t>S|ORIG_BAL x CHANNEL · SYS_FLAG Y vs N|outcome_loans|v|2</t>
        </is>
      </c>
      <c r="B1621" t="n">
        <v>0.9278884462151394</v>
      </c>
      <c r="C1621" t="n">
        <v>1.501024590163934</v>
      </c>
      <c r="D1621" t="n">
        <v>0.9453781512605042</v>
      </c>
    </row>
    <row r="1622">
      <c r="A1622" t="inlineStr">
        <is>
          <t>S|ORIG_BAL x CHANNEL · SYS_FLAG Y vs N|outcome_loans|p|2</t>
        </is>
      </c>
      <c r="B1622" t="n">
        <v>0.8382577473142603</v>
      </c>
      <c r="C1622" t="n">
        <v>0.1612982155620388</v>
      </c>
      <c r="D1622" t="n">
        <v>0.8382577473142603</v>
      </c>
    </row>
    <row r="1623">
      <c r="A1623" t="inlineStr">
        <is>
          <t>S|ORIG_BAL x CHANNEL · SYS_FLAG Y vs N|outcome_loans|v|3</t>
        </is>
      </c>
      <c r="B1623" t="n">
        <v>1.6159200968523</v>
      </c>
      <c r="C1623" t="n">
        <v>1.29133064516129</v>
      </c>
      <c r="D1623" t="n">
        <v>2.571428571428571</v>
      </c>
    </row>
    <row r="1624">
      <c r="A1624" t="inlineStr">
        <is>
          <t>S|ORIG_BAL x CHANNEL · SYS_FLAG Y vs N|outcome_loans|p|3</t>
        </is>
      </c>
      <c r="B1624" t="n">
        <v>0.2326516302451457</v>
      </c>
      <c r="C1624" t="n">
        <v>0.4903858355695458</v>
      </c>
      <c r="D1624" t="n">
        <v>0.01226150619792516</v>
      </c>
    </row>
    <row r="1625">
      <c r="A1625" t="inlineStr">
        <is>
          <t>S|ORIG_BAL x CHANNEL · SYS_FLAG Y vs N|outcome_loans|v|4</t>
        </is>
      </c>
      <c r="B1625" t="n">
        <v>1.2670489453205</v>
      </c>
      <c r="C1625" t="n">
        <v>2.831325301204819</v>
      </c>
      <c r="D1625" t="n">
        <v>3.754724409448818</v>
      </c>
    </row>
    <row r="1626">
      <c r="A1626" t="inlineStr">
        <is>
          <t>S|ORIG_BAL x CHANNEL · SYS_FLAG Y vs N|outcome_loans|p|4</t>
        </is>
      </c>
      <c r="B1626" t="n">
        <v>0.4903858355695458</v>
      </c>
      <c r="C1626" t="n">
        <v>0.002275429021917355</v>
      </c>
      <c r="D1626" t="n">
        <v>0.0006086177613070279</v>
      </c>
    </row>
    <row r="1627">
      <c r="A1627" t="inlineStr">
        <is>
          <t>S|ORIG_BAL x CHANNEL · SYS_FLAG Y vs N|outcome_loans|v|5</t>
        </is>
      </c>
      <c r="B1627" t="n">
        <v>4.603539823008849</v>
      </c>
      <c r="C1627" t="n">
        <v>1.5115267507612</v>
      </c>
      <c r="D1627" t="n">
        <v>3.186131386861314</v>
      </c>
    </row>
    <row r="1628">
      <c r="A1628" t="inlineStr">
        <is>
          <t>S|ORIG_BAL x CHANNEL · SYS_FLAG Y vs N|outcome_loans|p|5</t>
        </is>
      </c>
      <c r="B1628" t="n">
        <v>0.003380609347395555</v>
      </c>
      <c r="C1628" t="n">
        <v>0.2326516302451457</v>
      </c>
      <c r="D1628" t="n">
        <v>0.003777627981855522</v>
      </c>
    </row>
    <row r="1629">
      <c r="A1629" t="inlineStr">
        <is>
          <t>S|ORIG_BAL x CHANNEL · SYS_FLAG Y vs N|outcome_loans|v|6</t>
        </is>
      </c>
    </row>
    <row r="1630">
      <c r="A1630" t="inlineStr">
        <is>
          <t>S|ORIG_BAL x CHANNEL · SYS_FLAG Y vs N|outcome_loans|p|6</t>
        </is>
      </c>
    </row>
    <row r="1631">
      <c r="A1631" t="inlineStr">
        <is>
          <t>S|ORIG_BAL x CHANNEL · SYS_FLAG Y vs N|sum|2</t>
        </is>
      </c>
      <c r="B1631" t="inlineStr">
        <is>
          <t>Bad dollars</t>
        </is>
      </c>
      <c r="C1631" t="n">
        <v>15</v>
      </c>
      <c r="D1631" t="inlineStr">
        <is>
          <t>14 of 15</t>
        </is>
      </c>
      <c r="E1631" t="n">
        <v>1.907880847575971</v>
      </c>
      <c r="F1631" t="n">
        <v>0.1278846218865719</v>
      </c>
      <c r="G1631" t="inlineStr">
        <is>
          <t>x</t>
        </is>
      </c>
      <c r="H1631" t="n">
        <v>9.999000099990002e-05</v>
      </c>
      <c r="L1631" t="inlineStr">
        <is>
          <t>not tested: dollar rate</t>
        </is>
      </c>
    </row>
    <row r="1632">
      <c r="A1632" t="inlineStr">
        <is>
          <t>S|ORIG_BAL x CHANNEL · SYS_FLAG Y vs N|outcome_booked|meta</t>
        </is>
      </c>
      <c r="B1632" t="inlineStr">
        <is>
          <t>x</t>
        </is>
      </c>
      <c r="C1632" t="n">
        <v>4.635429725931227</v>
      </c>
    </row>
    <row r="1633">
      <c r="A1633" t="inlineStr">
        <is>
          <t>S|ORIG_BAL x CHANNEL · SYS_FLAG Y vs N|outcome_booked|v|1</t>
        </is>
      </c>
      <c r="B1633" t="n">
        <v>1.379495430223221</v>
      </c>
      <c r="C1633" t="n">
        <v>1.531808596205317</v>
      </c>
      <c r="D1633" t="n">
        <v>2.394144968068858</v>
      </c>
    </row>
    <row r="1634">
      <c r="A1634" t="inlineStr">
        <is>
          <t>S|ORIG_BAL x CHANNEL · SYS_FLAG Y vs N|outcome_booked|p|1</t>
        </is>
      </c>
      <c r="B1634" t="n">
        <v>0.4762705547627055</v>
      </c>
      <c r="C1634" t="n">
        <v>0.2791387527913876</v>
      </c>
      <c r="D1634" t="n">
        <v>0.01224877512248775</v>
      </c>
    </row>
    <row r="1635">
      <c r="A1635" t="inlineStr">
        <is>
          <t>S|ORIG_BAL x CHANNEL · SYS_FLAG Y vs N|outcome_booked|v|2</t>
        </is>
      </c>
      <c r="B1635" t="n">
        <v>1.033092728475198</v>
      </c>
      <c r="C1635" t="n">
        <v>1.416721710907577</v>
      </c>
      <c r="D1635" t="n">
        <v>0.9596202376437881</v>
      </c>
    </row>
    <row r="1636">
      <c r="A1636" t="inlineStr">
        <is>
          <t>S|ORIG_BAL x CHANNEL · SYS_FLAG Y vs N|outcome_booked|p|2</t>
        </is>
      </c>
      <c r="B1636" t="n">
        <v>0.9272072792720728</v>
      </c>
      <c r="C1636" t="n">
        <v>0.2787846215378462</v>
      </c>
      <c r="D1636" t="n">
        <v>0.9272072792720728</v>
      </c>
    </row>
    <row r="1637">
      <c r="A1637" t="inlineStr">
        <is>
          <t>S|ORIG_BAL x CHANNEL · SYS_FLAG Y vs N|outcome_booked|v|3</t>
        </is>
      </c>
      <c r="B1637" t="n">
        <v>1.529471342476957</v>
      </c>
      <c r="C1637" t="n">
        <v>1.265450157095773</v>
      </c>
      <c r="D1637" t="n">
        <v>2.510338218694478</v>
      </c>
    </row>
    <row r="1638">
      <c r="A1638" t="inlineStr">
        <is>
          <t>S|ORIG_BAL x CHANNEL · SYS_FLAG Y vs N|outcome_booked|p|3</t>
        </is>
      </c>
      <c r="B1638" t="n">
        <v>0.3226177382261773</v>
      </c>
      <c r="C1638" t="n">
        <v>0.5636936306369363</v>
      </c>
      <c r="D1638" t="n">
        <v>0.01224877512248775</v>
      </c>
    </row>
    <row r="1639">
      <c r="A1639" t="inlineStr">
        <is>
          <t>S|ORIG_BAL x CHANNEL · SYS_FLAG Y vs N|outcome_booked|v|4</t>
        </is>
      </c>
      <c r="B1639" t="n">
        <v>1.219864451573836</v>
      </c>
      <c r="C1639" t="n">
        <v>2.654494217379417</v>
      </c>
      <c r="D1639" t="n">
        <v>3.866431330482588</v>
      </c>
    </row>
    <row r="1640">
      <c r="A1640" t="inlineStr">
        <is>
          <t>S|ORIG_BAL x CHANNEL · SYS_FLAG Y vs N|outcome_booked|p|4</t>
        </is>
      </c>
      <c r="B1640" t="n">
        <v>0.5912870251436394</v>
      </c>
      <c r="C1640" t="n">
        <v>0.002999700029997001</v>
      </c>
      <c r="D1640" t="n">
        <v>0.0014998500149985</v>
      </c>
    </row>
    <row r="1641">
      <c r="A1641" t="inlineStr">
        <is>
          <t>S|ORIG_BAL x CHANNEL · SYS_FLAG Y vs N|outcome_booked|v|5</t>
        </is>
      </c>
      <c r="B1641" t="n">
        <v>4.635429725931227</v>
      </c>
      <c r="C1641" t="n">
        <v>1.515332304759038</v>
      </c>
      <c r="D1641" t="n">
        <v>3.083413551925116</v>
      </c>
    </row>
    <row r="1642">
      <c r="A1642" t="inlineStr">
        <is>
          <t>S|ORIG_BAL x CHANNEL · SYS_FLAG Y vs N|outcome_booked|p|5</t>
        </is>
      </c>
      <c r="B1642" t="n">
        <v>0.003999600039996001</v>
      </c>
      <c r="C1642" t="n">
        <v>0.2787846215378462</v>
      </c>
      <c r="D1642" t="n">
        <v>0.007874212578742126</v>
      </c>
    </row>
    <row r="1643">
      <c r="A1643" t="inlineStr">
        <is>
          <t>S|ORIG_BAL x CHANNEL · SYS_FLAG Y vs N|outcome_booked|v|6</t>
        </is>
      </c>
    </row>
    <row r="1644">
      <c r="A1644" t="inlineStr">
        <is>
          <t>S|ORIG_BAL x CHANNEL · SYS_FLAG Y vs N|outcome_booked|p|6</t>
        </is>
      </c>
    </row>
    <row r="1645">
      <c r="A1645" t="inlineStr">
        <is>
          <t>S|ORIG_BAL x CHANNEL · SYS_FLAG Y vs N|sum|3</t>
        </is>
      </c>
      <c r="B1645" t="inlineStr">
        <is>
          <t>Charge-offs</t>
        </is>
      </c>
      <c r="C1645" t="n">
        <v>15</v>
      </c>
      <c r="D1645" t="inlineStr">
        <is>
          <t>14 of 15</t>
        </is>
      </c>
      <c r="E1645" t="n">
        <v>1.803593561180166</v>
      </c>
      <c r="F1645" t="n">
        <v>0.1271415660277348</v>
      </c>
      <c r="G1645" t="inlineStr">
        <is>
          <t>x</t>
        </is>
      </c>
      <c r="H1645" t="n">
        <v>9.999000099990002e-05</v>
      </c>
      <c r="L1645" t="inlineStr">
        <is>
          <t>not tested: dollar rate</t>
        </is>
      </c>
    </row>
    <row r="1646">
      <c r="A1646" t="inlineStr">
        <is>
          <t>S|ORIG_BAL x CHANNEL · SYS_FLAG Y vs N|gco_rate|meta</t>
        </is>
      </c>
      <c r="B1646" t="inlineStr">
        <is>
          <t>x</t>
        </is>
      </c>
      <c r="C1646" t="n">
        <v>4.53675575526663</v>
      </c>
    </row>
    <row r="1647">
      <c r="A1647" t="inlineStr">
        <is>
          <t>S|ORIG_BAL x CHANNEL · SYS_FLAG Y vs N|gco_rate|v|1</t>
        </is>
      </c>
      <c r="B1647" t="n">
        <v>1.573944066521883</v>
      </c>
      <c r="C1647" t="n">
        <v>1.508769746222904</v>
      </c>
      <c r="D1647" t="n">
        <v>2.465483204867927</v>
      </c>
    </row>
    <row r="1648">
      <c r="A1648" t="inlineStr">
        <is>
          <t>S|ORIG_BAL x CHANNEL · SYS_FLAG Y vs N|gco_rate|p|1</t>
        </is>
      </c>
      <c r="B1648" t="n">
        <v>0.3366330033663301</v>
      </c>
      <c r="C1648" t="n">
        <v>0.3366330033663301</v>
      </c>
      <c r="D1648" t="n">
        <v>0.0158984101589841</v>
      </c>
    </row>
    <row r="1649">
      <c r="A1649" t="inlineStr">
        <is>
          <t>S|ORIG_BAL x CHANNEL · SYS_FLAG Y vs N|gco_rate|v|2</t>
        </is>
      </c>
      <c r="B1649" t="n">
        <v>0.9892645673308126</v>
      </c>
      <c r="C1649" t="n">
        <v>1.317507813133259</v>
      </c>
      <c r="D1649" t="n">
        <v>1.013807848220289</v>
      </c>
    </row>
    <row r="1650">
      <c r="A1650" t="inlineStr">
        <is>
          <t>S|ORIG_BAL x CHANNEL · SYS_FLAG Y vs N|gco_rate|p|2</t>
        </is>
      </c>
      <c r="B1650" t="n">
        <v>0.9773022697730227</v>
      </c>
      <c r="C1650" t="n">
        <v>0.3868249538682495</v>
      </c>
      <c r="D1650" t="n">
        <v>0.9773022697730227</v>
      </c>
    </row>
    <row r="1651">
      <c r="A1651" t="inlineStr">
        <is>
          <t>S|ORIG_BAL x CHANNEL · SYS_FLAG Y vs N|gco_rate|v|3</t>
        </is>
      </c>
      <c r="B1651" t="n">
        <v>1.580521048247596</v>
      </c>
      <c r="C1651" t="n">
        <v>1.028958698372564</v>
      </c>
      <c r="D1651" t="n">
        <v>2.408922612153548</v>
      </c>
    </row>
    <row r="1652">
      <c r="A1652" t="inlineStr">
        <is>
          <t>S|ORIG_BAL x CHANNEL · SYS_FLAG Y vs N|gco_rate|p|3</t>
        </is>
      </c>
      <c r="B1652" t="n">
        <v>0.3366330033663301</v>
      </c>
      <c r="C1652" t="n">
        <v>0.9773022697730227</v>
      </c>
      <c r="D1652" t="n">
        <v>0.02274772522747725</v>
      </c>
    </row>
    <row r="1653">
      <c r="A1653" t="inlineStr">
        <is>
          <t>S|ORIG_BAL x CHANNEL · SYS_FLAG Y vs N|gco_rate|v|4</t>
        </is>
      </c>
      <c r="B1653" t="n">
        <v>1.144088562172946</v>
      </c>
      <c r="C1653" t="n">
        <v>2.393498384350055</v>
      </c>
      <c r="D1653" t="n">
        <v>3.627221656290555</v>
      </c>
    </row>
    <row r="1654">
      <c r="A1654" t="inlineStr">
        <is>
          <t>S|ORIG_BAL x CHANNEL · SYS_FLAG Y vs N|gco_rate|p|4</t>
        </is>
      </c>
      <c r="B1654" t="n">
        <v>0.8240425957404259</v>
      </c>
      <c r="C1654" t="n">
        <v>0.009374062593740627</v>
      </c>
      <c r="D1654" t="n">
        <v>0.0014998500149985</v>
      </c>
    </row>
    <row r="1655">
      <c r="A1655" t="inlineStr">
        <is>
          <t>S|ORIG_BAL x CHANNEL · SYS_FLAG Y vs N|gco_rate|v|5</t>
        </is>
      </c>
      <c r="B1655" t="n">
        <v>4.53675575526663</v>
      </c>
      <c r="C1655" t="n">
        <v>1.378440003587344</v>
      </c>
      <c r="D1655" t="n">
        <v>3.154432404990299</v>
      </c>
    </row>
    <row r="1656">
      <c r="A1656" t="inlineStr">
        <is>
          <t>S|ORIG_BAL x CHANNEL · SYS_FLAG Y vs N|gco_rate|p|5</t>
        </is>
      </c>
      <c r="B1656" t="n">
        <v>0.007499250074992501</v>
      </c>
      <c r="C1656" t="n">
        <v>0.3868249538682495</v>
      </c>
      <c r="D1656" t="n">
        <v>0.008999100089991</v>
      </c>
    </row>
    <row r="1657">
      <c r="A1657" t="inlineStr">
        <is>
          <t>S|ORIG_BAL x CHANNEL · SYS_FLAG Y vs N|gco_rate|v|6</t>
        </is>
      </c>
    </row>
    <row r="1658">
      <c r="A1658" t="inlineStr">
        <is>
          <t>S|ORIG_BAL x CHANNEL · SYS_FLAG Y vs N|gco_rate|p|6</t>
        </is>
      </c>
    </row>
    <row r="1659">
      <c r="A1659" t="inlineStr">
        <is>
          <t>S|ORIG_BAL x CHANNEL · SYS_FLAG Y vs N|sum|4</t>
        </is>
      </c>
      <c r="B1659" t="inlineStr">
        <is>
          <t>Kept after losses</t>
        </is>
      </c>
      <c r="C1659" t="n">
        <v>15</v>
      </c>
      <c r="D1659" t="inlineStr">
        <is>
          <t>14 of 15</t>
        </is>
      </c>
      <c r="E1659" t="n">
        <v>-2.600469310149142</v>
      </c>
      <c r="F1659" t="n">
        <v>0.4652189447583977</v>
      </c>
      <c r="G1659" t="inlineStr">
        <is>
          <t>pts</t>
        </is>
      </c>
      <c r="H1659" t="n">
        <v>9.999000099990002e-05</v>
      </c>
      <c r="L1659" t="inlineStr">
        <is>
          <t>not tested: dollar rate</t>
        </is>
      </c>
    </row>
    <row r="1660">
      <c r="A1660" t="inlineStr">
        <is>
          <t>S|ORIG_BAL x CHANNEL · SYS_FLAG Y vs N|ranr_rate|meta</t>
        </is>
      </c>
      <c r="B1660" t="inlineStr">
        <is>
          <t>pts</t>
        </is>
      </c>
      <c r="C1660" t="n">
        <v>6.959254876</v>
      </c>
    </row>
    <row r="1661">
      <c r="A1661" t="inlineStr">
        <is>
          <t>S|ORIG_BAL x CHANNEL · SYS_FLAG Y vs N|ranr_rate|v|1</t>
        </is>
      </c>
      <c r="B1661" t="n">
        <v>-2.156163201</v>
      </c>
      <c r="C1661" t="n">
        <v>-3.346102348</v>
      </c>
      <c r="D1661" t="n">
        <v>-3.179995958</v>
      </c>
    </row>
    <row r="1662">
      <c r="A1662" t="inlineStr">
        <is>
          <t>S|ORIG_BAL x CHANNEL · SYS_FLAG Y vs N|ranr_rate|p|1</t>
        </is>
      </c>
      <c r="B1662" t="n">
        <v>0.3468938820403674</v>
      </c>
      <c r="C1662" t="n">
        <v>0.1717328267173283</v>
      </c>
      <c r="D1662" t="n">
        <v>0.1717328267173283</v>
      </c>
    </row>
    <row r="1663">
      <c r="A1663" t="inlineStr">
        <is>
          <t>S|ORIG_BAL x CHANNEL · SYS_FLAG Y vs N|ranr_rate|v|2</t>
        </is>
      </c>
      <c r="B1663" t="n">
        <v>-0.147321087</v>
      </c>
      <c r="C1663" t="n">
        <v>-1.153792586</v>
      </c>
      <c r="D1663" t="n">
        <v>-0.103889388</v>
      </c>
    </row>
    <row r="1664">
      <c r="A1664" t="inlineStr">
        <is>
          <t>S|ORIG_BAL x CHANNEL · SYS_FLAG Y vs N|ranr_rate|p|2</t>
        </is>
      </c>
      <c r="B1664" t="n">
        <v>0.9584041595840416</v>
      </c>
      <c r="C1664" t="n">
        <v>0.698930106989301</v>
      </c>
      <c r="D1664" t="n">
        <v>0.9584041595840416</v>
      </c>
    </row>
    <row r="1665">
      <c r="A1665" t="inlineStr">
        <is>
          <t>S|ORIG_BAL x CHANNEL · SYS_FLAG Y vs N|ranr_rate|v|3</t>
        </is>
      </c>
      <c r="B1665" t="n">
        <v>-2.035646029</v>
      </c>
      <c r="C1665" t="n">
        <v>0.571762929</v>
      </c>
      <c r="D1665" t="n">
        <v>-2.048618712</v>
      </c>
    </row>
    <row r="1666">
      <c r="A1666" t="inlineStr">
        <is>
          <t>S|ORIG_BAL x CHANNEL · SYS_FLAG Y vs N|ranr_rate|p|3</t>
        </is>
      </c>
      <c r="B1666" t="n">
        <v>0.348298503482985</v>
      </c>
      <c r="C1666" t="n">
        <v>0.8807869213078692</v>
      </c>
      <c r="D1666" t="n">
        <v>0.348298503482985</v>
      </c>
    </row>
    <row r="1667">
      <c r="A1667" t="inlineStr">
        <is>
          <t>S|ORIG_BAL x CHANNEL · SYS_FLAG Y vs N|ranr_rate|v|4</t>
        </is>
      </c>
      <c r="B1667" t="n">
        <v>-0.510364452</v>
      </c>
      <c r="C1667" t="n">
        <v>-4.339692565</v>
      </c>
      <c r="D1667" t="n">
        <v>-6.959254876</v>
      </c>
    </row>
    <row r="1668">
      <c r="A1668" t="inlineStr">
        <is>
          <t>S|ORIG_BAL x CHANNEL · SYS_FLAG Y vs N|ranr_rate|p|4</t>
        </is>
      </c>
      <c r="B1668" t="n">
        <v>0.8819118088191181</v>
      </c>
      <c r="C1668" t="n">
        <v>0.04199580041995801</v>
      </c>
      <c r="D1668" t="n">
        <v>0.002999700029997001</v>
      </c>
    </row>
    <row r="1669">
      <c r="A1669" t="inlineStr">
        <is>
          <t>S|ORIG_BAL x CHANNEL · SYS_FLAG Y vs N|ranr_rate|v|5</t>
        </is>
      </c>
      <c r="B1669" t="n">
        <v>-2.546782001</v>
      </c>
      <c r="C1669" t="n">
        <v>-1.755538911</v>
      </c>
      <c r="D1669" t="n">
        <v>-4.803202788</v>
      </c>
    </row>
    <row r="1670">
      <c r="A1670" t="inlineStr">
        <is>
          <t>S|ORIG_BAL x CHANNEL · SYS_FLAG Y vs N|ranr_rate|p|5</t>
        </is>
      </c>
      <c r="B1670" t="n">
        <v>0.1717328267173283</v>
      </c>
      <c r="C1670" t="n">
        <v>0.3818618138186181</v>
      </c>
      <c r="D1670" t="n">
        <v>0.0134986501349865</v>
      </c>
    </row>
    <row r="1671">
      <c r="A1671" t="inlineStr">
        <is>
          <t>S|ORIG_BAL x CHANNEL · SYS_FLAG Y vs N|ranr_rate|v|6</t>
        </is>
      </c>
    </row>
    <row r="1672">
      <c r="A1672" t="inlineStr">
        <is>
          <t>S|ORIG_BAL x CHANNEL · SYS_FLAG Y vs N|ranr_rate|p|6</t>
        </is>
      </c>
    </row>
    <row r="1673">
      <c r="A1673" t="inlineStr">
        <is>
          <t>S|ORIG_BAL x CHANNEL · SYS_FLAG Y vs N|sum|5</t>
        </is>
      </c>
      <c r="B1673" t="inlineStr">
        <is>
          <t>Earned before losses</t>
        </is>
      </c>
      <c r="C1673" t="n">
        <v>15</v>
      </c>
      <c r="D1673" t="inlineStr">
        <is>
          <t>9 of 15</t>
        </is>
      </c>
      <c r="E1673" t="n">
        <v>-0.157294296080912</v>
      </c>
      <c r="F1673" t="n">
        <v>0.3001537578104882</v>
      </c>
      <c r="G1673" t="inlineStr">
        <is>
          <t>pts</t>
        </is>
      </c>
      <c r="H1673" t="n">
        <v>0.6693330666933307</v>
      </c>
      <c r="L1673" t="inlineStr">
        <is>
          <t>not tested: dollar rate</t>
        </is>
      </c>
    </row>
    <row r="1674">
      <c r="A1674" t="inlineStr">
        <is>
          <t>S|ORIG_BAL x CHANNEL · SYS_FLAG Y vs N|contribution_rate|meta</t>
        </is>
      </c>
      <c r="B1674" t="inlineStr">
        <is>
          <t>pts</t>
        </is>
      </c>
      <c r="C1674" t="n">
        <v>1.596791434</v>
      </c>
    </row>
    <row r="1675">
      <c r="A1675" t="inlineStr">
        <is>
          <t>S|ORIG_BAL x CHANNEL · SYS_FLAG Y vs N|contribution_rate|v|1</t>
        </is>
      </c>
      <c r="B1675" t="n">
        <v>-0.527939852</v>
      </c>
      <c r="C1675" t="n">
        <v>-1.46002467</v>
      </c>
      <c r="D1675" t="n">
        <v>0.62089436</v>
      </c>
    </row>
    <row r="1676">
      <c r="A1676" t="inlineStr">
        <is>
          <t>S|ORIG_BAL x CHANNEL · SYS_FLAG Y vs N|contribution_rate|p|1</t>
        </is>
      </c>
      <c r="B1676" t="n">
        <v>0.9862013798620138</v>
      </c>
      <c r="C1676" t="n">
        <v>0.9862013798620138</v>
      </c>
      <c r="D1676" t="n">
        <v>0.9862013798620138</v>
      </c>
    </row>
    <row r="1677">
      <c r="A1677" t="inlineStr">
        <is>
          <t>S|ORIG_BAL x CHANNEL · SYS_FLAG Y vs N|contribution_rate|v|2</t>
        </is>
      </c>
      <c r="B1677" t="n">
        <v>-0.191011652</v>
      </c>
      <c r="C1677" t="n">
        <v>0.731432721</v>
      </c>
      <c r="D1677" t="n">
        <v>-0.034285953</v>
      </c>
    </row>
    <row r="1678">
      <c r="A1678" t="inlineStr">
        <is>
          <t>S|ORIG_BAL x CHANNEL · SYS_FLAG Y vs N|contribution_rate|p|2</t>
        </is>
      </c>
      <c r="B1678" t="n">
        <v>0.9862013798620138</v>
      </c>
      <c r="C1678" t="n">
        <v>0.9862013798620138</v>
      </c>
      <c r="D1678" t="n">
        <v>0.9862013798620138</v>
      </c>
    </row>
    <row r="1679">
      <c r="A1679" t="inlineStr">
        <is>
          <t>S|ORIG_BAL x CHANNEL · SYS_FLAG Y vs N|contribution_rate|v|3</t>
        </is>
      </c>
      <c r="B1679" t="n">
        <v>-0.421706621</v>
      </c>
      <c r="C1679" t="n">
        <v>0.6877752029999999</v>
      </c>
      <c r="D1679" t="n">
        <v>1.115486134</v>
      </c>
    </row>
    <row r="1680">
      <c r="A1680" t="inlineStr">
        <is>
          <t>S|ORIG_BAL x CHANNEL · SYS_FLAG Y vs N|contribution_rate|p|3</t>
        </is>
      </c>
      <c r="B1680" t="n">
        <v>0.9862013798620138</v>
      </c>
      <c r="C1680" t="n">
        <v>0.9862013798620138</v>
      </c>
      <c r="D1680" t="n">
        <v>0.9862013798620138</v>
      </c>
    </row>
    <row r="1681">
      <c r="A1681" t="inlineStr">
        <is>
          <t>S|ORIG_BAL x CHANNEL · SYS_FLAG Y vs N|contribution_rate|v|4</t>
        </is>
      </c>
      <c r="B1681" t="n">
        <v>0.086502126</v>
      </c>
      <c r="C1681" t="n">
        <v>-0.017010624</v>
      </c>
      <c r="D1681" t="n">
        <v>-1.596791434</v>
      </c>
    </row>
    <row r="1682">
      <c r="A1682" t="inlineStr">
        <is>
          <t>S|ORIG_BAL x CHANNEL · SYS_FLAG Y vs N|contribution_rate|p|4</t>
        </is>
      </c>
      <c r="B1682" t="n">
        <v>0.9862013798620138</v>
      </c>
      <c r="C1682" t="n">
        <v>0.9862013798620138</v>
      </c>
      <c r="D1682" t="n">
        <v>0.9862013798620138</v>
      </c>
    </row>
    <row r="1683">
      <c r="A1683" t="inlineStr">
        <is>
          <t>S|ORIG_BAL x CHANNEL · SYS_FLAG Y vs N|contribution_rate|v|5</t>
        </is>
      </c>
      <c r="B1683" t="n">
        <v>0.618960452</v>
      </c>
      <c r="C1683" t="n">
        <v>-0.173720877</v>
      </c>
      <c r="D1683" t="n">
        <v>-1.154134755</v>
      </c>
    </row>
    <row r="1684">
      <c r="A1684" t="inlineStr">
        <is>
          <t>S|ORIG_BAL x CHANNEL · SYS_FLAG Y vs N|contribution_rate|p|5</t>
        </is>
      </c>
      <c r="B1684" t="n">
        <v>0.9862013798620138</v>
      </c>
      <c r="C1684" t="n">
        <v>0.9862013798620138</v>
      </c>
      <c r="D1684" t="n">
        <v>0.9862013798620138</v>
      </c>
    </row>
    <row r="1685">
      <c r="A1685" t="inlineStr">
        <is>
          <t>S|ORIG_BAL x CHANNEL · SYS_FLAG Y vs N|contribution_rate|v|6</t>
        </is>
      </c>
    </row>
    <row r="1686">
      <c r="A1686" t="inlineStr">
        <is>
          <t>S|ORIG_BAL x CHANNEL · SYS_FLAG Y vs N|contribution_rate|p|6</t>
        </is>
      </c>
    </row>
    <row r="1687">
      <c r="A1687" t="inlineStr">
        <is>
          <t>S|ORIG_BAL x ASSET_CLASS · SYS_FLAG N vs Y|chip</t>
        </is>
      </c>
    </row>
    <row r="1688">
      <c r="A1688" t="inlineStr">
        <is>
          <t>S|ORIG_BAL x ASSET_CLASS · SYS_FLAG N vs Y|rows</t>
        </is>
      </c>
      <c r="B1688" t="inlineStr">
        <is>
          <t>5,005 - 15,448</t>
        </is>
      </c>
      <c r="C1688" t="inlineStr">
        <is>
          <t>15,449 - 26,323</t>
        </is>
      </c>
      <c r="D1688" t="inlineStr">
        <is>
          <t>26,324 - 37,950</t>
        </is>
      </c>
      <c r="E1688" t="inlineStr">
        <is>
          <t>37,951 - 49,151</t>
        </is>
      </c>
      <c r="F1688" t="inlineStr">
        <is>
          <t>49,152 - 59,984</t>
        </is>
      </c>
      <c r="G1688" t="inlineStr">
        <is>
          <t>(blank)</t>
        </is>
      </c>
    </row>
    <row r="1689">
      <c r="A1689" t="inlineStr">
        <is>
          <t>S|ORIG_BAL x ASSET_CLASS · SYS_FLAG N vs Y|cols</t>
        </is>
      </c>
      <c r="B1689" t="inlineStr">
        <is>
          <t>1</t>
        </is>
      </c>
      <c r="C1689" t="inlineStr">
        <is>
          <t>2</t>
        </is>
      </c>
      <c r="D1689" t="inlineStr">
        <is>
          <t>3</t>
        </is>
      </c>
      <c r="E1689" t="inlineStr">
        <is>
          <t>4</t>
        </is>
      </c>
    </row>
    <row r="1690">
      <c r="A1690" t="inlineStr">
        <is>
          <t>S|ORIG_BAL x ASSET_CLASS · SYS_FLAG N vs Y|sum|1</t>
        </is>
      </c>
      <c r="B1690" t="inlineStr">
        <is>
          <t>Bad loans</t>
        </is>
      </c>
      <c r="C1690" t="n">
        <v>20</v>
      </c>
      <c r="D1690" t="inlineStr">
        <is>
          <t>2 of 20</t>
        </is>
      </c>
      <c r="E1690" t="n">
        <v>0.5711244112609529</v>
      </c>
      <c r="F1690" t="n">
        <v>0.06118471486701377</v>
      </c>
      <c r="G1690" t="inlineStr">
        <is>
          <t>x</t>
        </is>
      </c>
      <c r="H1690" t="n">
        <v>4.474675050674765e-12</v>
      </c>
      <c r="I1690" t="n">
        <v>0.5465644539820194</v>
      </c>
      <c r="J1690" t="n">
        <v>7.943089394783887e-13</v>
      </c>
      <c r="K1690" t="n">
        <v>0.1957680909809109</v>
      </c>
      <c r="M1690" t="n">
        <v>7.943089394783819e-13</v>
      </c>
      <c r="N1690" t="n">
        <v>1</v>
      </c>
      <c r="O1690" t="n">
        <v>20</v>
      </c>
    </row>
    <row r="1691">
      <c r="A1691" t="inlineStr">
        <is>
          <t>S|ORIG_BAL x ASSET_CLASS · SYS_FLAG N vs Y|outcome_loans|meta</t>
        </is>
      </c>
      <c r="B1691" t="inlineStr">
        <is>
          <t>x</t>
        </is>
      </c>
      <c r="C1691" t="n">
        <v>1.096774193548387</v>
      </c>
    </row>
    <row r="1692">
      <c r="A1692" t="inlineStr">
        <is>
          <t>S|ORIG_BAL x ASSET_CLASS · SYS_FLAG N vs Y|outcome_loans|v|1</t>
        </is>
      </c>
      <c r="B1692" t="n">
        <v>0.3375527426160337</v>
      </c>
      <c r="C1692" t="n">
        <v>0.3857280617164899</v>
      </c>
      <c r="D1692" t="n">
        <v>0.661437908496732</v>
      </c>
      <c r="E1692" t="n">
        <v>0.991036543323374</v>
      </c>
    </row>
    <row r="1693">
      <c r="A1693" t="inlineStr">
        <is>
          <t>S|ORIG_BAL x ASSET_CLASS · SYS_FLAG N vs Y|outcome_loans|p|1</t>
        </is>
      </c>
      <c r="B1693" t="n">
        <v>0.03724301349464756</v>
      </c>
      <c r="C1693" t="n">
        <v>0.05098009131120271</v>
      </c>
      <c r="D1693" t="n">
        <v>0.3942694730931902</v>
      </c>
      <c r="E1693" t="n">
        <v>0.9758715398303034</v>
      </c>
    </row>
    <row r="1694">
      <c r="A1694" t="inlineStr">
        <is>
          <t>S|ORIG_BAL x ASSET_CLASS · SYS_FLAG N vs Y|outcome_loans|v|2</t>
        </is>
      </c>
      <c r="B1694" t="n">
        <v>0.7232142857142858</v>
      </c>
      <c r="C1694" t="n">
        <v>1.096774193548387</v>
      </c>
      <c r="D1694" t="n">
        <v>0.7498057498057498</v>
      </c>
      <c r="E1694" t="n">
        <v>1.054879350843476</v>
      </c>
    </row>
    <row r="1695">
      <c r="A1695" t="inlineStr">
        <is>
          <t>S|ORIG_BAL x ASSET_CLASS · SYS_FLAG N vs Y|outcome_loans|p|2</t>
        </is>
      </c>
      <c r="B1695" t="n">
        <v>0.4068338709080764</v>
      </c>
      <c r="C1695" t="n">
        <v>0.8911571956621716</v>
      </c>
      <c r="D1695" t="n">
        <v>0.4068338709080764</v>
      </c>
      <c r="E1695" t="n">
        <v>0.8911571956621716</v>
      </c>
    </row>
    <row r="1696">
      <c r="A1696" t="inlineStr">
        <is>
          <t>S|ORIG_BAL x ASSET_CLASS · SYS_FLAG N vs Y|outcome_loans|v|3</t>
        </is>
      </c>
      <c r="B1696" t="n">
        <v>0.6897009966777409</v>
      </c>
      <c r="C1696" t="n">
        <v>0.3788359788359789</v>
      </c>
      <c r="D1696" t="n">
        <v>0.6983471074380165</v>
      </c>
      <c r="E1696" t="n">
        <v>0.6303516819571866</v>
      </c>
    </row>
    <row r="1697">
      <c r="A1697" t="inlineStr">
        <is>
          <t>S|ORIG_BAL x ASSET_CLASS · SYS_FLAG N vs Y|outcome_loans|p|3</t>
        </is>
      </c>
      <c r="B1697" t="n">
        <v>0.4068338709080764</v>
      </c>
      <c r="C1697" t="n">
        <v>0.06967623583141758</v>
      </c>
      <c r="D1697" t="n">
        <v>0.4809933703335152</v>
      </c>
      <c r="E1697" t="n">
        <v>0.2212467280951125</v>
      </c>
    </row>
    <row r="1698">
      <c r="A1698" t="inlineStr">
        <is>
          <t>S|ORIG_BAL x ASSET_CLASS · SYS_FLAG N vs Y|outcome_loans|v|4</t>
        </is>
      </c>
      <c r="B1698" t="n">
        <v>0.3664596273291925</v>
      </c>
      <c r="C1698" t="n">
        <v>0.4767101410700027</v>
      </c>
      <c r="D1698" t="n">
        <v>0.5005347593582888</v>
      </c>
      <c r="E1698" t="n">
        <v>0.384</v>
      </c>
    </row>
    <row r="1699">
      <c r="A1699" t="inlineStr">
        <is>
          <t>S|ORIG_BAL x ASSET_CLASS · SYS_FLAG N vs Y|outcome_loans|p|4</t>
        </is>
      </c>
      <c r="B1699" t="n">
        <v>0.07885613821724301</v>
      </c>
      <c r="C1699" t="n">
        <v>0.12814381469977</v>
      </c>
      <c r="D1699" t="n">
        <v>0.08601295916408219</v>
      </c>
      <c r="E1699" t="n">
        <v>0.004351436524476711</v>
      </c>
    </row>
    <row r="1700">
      <c r="A1700" t="inlineStr">
        <is>
          <t>S|ORIG_BAL x ASSET_CLASS · SYS_FLAG N vs Y|outcome_loans|v|5</t>
        </is>
      </c>
      <c r="B1700" t="n">
        <v>0.2129750982961992</v>
      </c>
      <c r="C1700" t="n">
        <v>0.4900497512437811</v>
      </c>
      <c r="D1700" t="n">
        <v>0.528023598820059</v>
      </c>
      <c r="E1700" t="n">
        <v>0.4587525150905433</v>
      </c>
    </row>
    <row r="1701">
      <c r="A1701" t="inlineStr">
        <is>
          <t>S|ORIG_BAL x ASSET_CLASS · SYS_FLAG N vs Y|outcome_loans|p|5</t>
        </is>
      </c>
      <c r="B1701" t="n">
        <v>0.004351436524476711</v>
      </c>
      <c r="C1701" t="n">
        <v>0.1653212500419103</v>
      </c>
      <c r="D1701" t="n">
        <v>0.2407013465809081</v>
      </c>
      <c r="E1701" t="n">
        <v>0.06967623583141758</v>
      </c>
    </row>
    <row r="1702">
      <c r="A1702" t="inlineStr">
        <is>
          <t>S|ORIG_BAL x ASSET_CLASS · SYS_FLAG N vs Y|outcome_loans|v|6</t>
        </is>
      </c>
    </row>
    <row r="1703">
      <c r="A1703" t="inlineStr">
        <is>
          <t>S|ORIG_BAL x ASSET_CLASS · SYS_FLAG N vs Y|outcome_loans|p|6</t>
        </is>
      </c>
    </row>
    <row r="1704">
      <c r="A1704" t="inlineStr">
        <is>
          <t>S|ORIG_BAL x ASSET_CLASS · SYS_FLAG N vs Y|sum|2</t>
        </is>
      </c>
      <c r="B1704" t="inlineStr">
        <is>
          <t>Bad dollars</t>
        </is>
      </c>
      <c r="C1704" t="n">
        <v>20</v>
      </c>
      <c r="D1704" t="inlineStr">
        <is>
          <t>2 of 20</t>
        </is>
      </c>
      <c r="E1704" t="n">
        <v>0.5235200480853823</v>
      </c>
      <c r="F1704" t="n">
        <v>0.06646846652807824</v>
      </c>
      <c r="G1704" t="inlineStr">
        <is>
          <t>x</t>
        </is>
      </c>
      <c r="H1704" t="n">
        <v>9.999000099990002e-05</v>
      </c>
      <c r="L1704" t="inlineStr">
        <is>
          <t>not tested: dollar rate</t>
        </is>
      </c>
    </row>
    <row r="1705">
      <c r="A1705" t="inlineStr">
        <is>
          <t>S|ORIG_BAL x ASSET_CLASS · SYS_FLAG N vs Y|outcome_booked|meta</t>
        </is>
      </c>
      <c r="B1705" t="inlineStr">
        <is>
          <t>x</t>
        </is>
      </c>
      <c r="C1705" t="n">
        <v>1.05181719455932</v>
      </c>
    </row>
    <row r="1706">
      <c r="A1706" t="inlineStr">
        <is>
          <t>S|ORIG_BAL x ASSET_CLASS · SYS_FLAG N vs Y|outcome_booked|v|1</t>
        </is>
      </c>
      <c r="B1706" t="n">
        <v>0.3898051123896181</v>
      </c>
      <c r="C1706" t="n">
        <v>0.3790973719781813</v>
      </c>
      <c r="D1706" t="n">
        <v>0.6153766764446285</v>
      </c>
      <c r="E1706" t="n">
        <v>0.9297840941768011</v>
      </c>
    </row>
    <row r="1707">
      <c r="A1707" t="inlineStr">
        <is>
          <t>S|ORIG_BAL x ASSET_CLASS · SYS_FLAG N vs Y|outcome_booked|p|1</t>
        </is>
      </c>
      <c r="B1707" t="n">
        <v>0.0791920807919208</v>
      </c>
      <c r="C1707" t="n">
        <v>0.0791920807919208</v>
      </c>
      <c r="D1707" t="n">
        <v>0.3241214340104451</v>
      </c>
      <c r="E1707" t="n">
        <v>0.90990900909909</v>
      </c>
    </row>
    <row r="1708">
      <c r="A1708" t="inlineStr">
        <is>
          <t>S|ORIG_BAL x ASSET_CLASS · SYS_FLAG N vs Y|outcome_booked|v|2</t>
        </is>
      </c>
      <c r="B1708" t="n">
        <v>0.7201325762934579</v>
      </c>
      <c r="C1708" t="n">
        <v>1.05181719455932</v>
      </c>
      <c r="D1708" t="n">
        <v>0.7697684738837208</v>
      </c>
      <c r="E1708" t="n">
        <v>1.038626158289653</v>
      </c>
    </row>
    <row r="1709">
      <c r="A1709" t="inlineStr">
        <is>
          <t>S|ORIG_BAL x ASSET_CLASS · SYS_FLAG N vs Y|outcome_booked|p|2</t>
        </is>
      </c>
      <c r="B1709" t="n">
        <v>0.4256717185424314</v>
      </c>
      <c r="C1709" t="n">
        <v>0.9199080091990801</v>
      </c>
      <c r="D1709" t="n">
        <v>0.494185875530094</v>
      </c>
      <c r="E1709" t="n">
        <v>0.9199080091990801</v>
      </c>
    </row>
    <row r="1710">
      <c r="A1710" t="inlineStr">
        <is>
          <t>S|ORIG_BAL x ASSET_CLASS · SYS_FLAG N vs Y|outcome_booked|v|3</t>
        </is>
      </c>
      <c r="B1710" t="n">
        <v>0.7290140125587024</v>
      </c>
      <c r="C1710" t="n">
        <v>0.3695918368640941</v>
      </c>
      <c r="D1710" t="n">
        <v>0.6937816766505005</v>
      </c>
      <c r="E1710" t="n">
        <v>0.6745643851991714</v>
      </c>
    </row>
    <row r="1711">
      <c r="A1711" t="inlineStr">
        <is>
          <t>S|ORIG_BAL x ASSET_CLASS · SYS_FLAG N vs Y|outcome_booked|p|3</t>
        </is>
      </c>
      <c r="B1711" t="n">
        <v>0.494185875530094</v>
      </c>
      <c r="C1711" t="n">
        <v>0.0791920807919208</v>
      </c>
      <c r="D1711" t="n">
        <v>0.494185875530094</v>
      </c>
      <c r="E1711" t="n">
        <v>0.3234676532346766</v>
      </c>
    </row>
    <row r="1712">
      <c r="A1712" t="inlineStr">
        <is>
          <t>S|ORIG_BAL x ASSET_CLASS · SYS_FLAG N vs Y|outcome_booked|v|4</t>
        </is>
      </c>
      <c r="B1712" t="n">
        <v>0.390249139765092</v>
      </c>
      <c r="C1712" t="n">
        <v>0.4814535842441817</v>
      </c>
      <c r="D1712" t="n">
        <v>0.511538724894525</v>
      </c>
      <c r="E1712" t="n">
        <v>0.3905158778427789</v>
      </c>
    </row>
    <row r="1713">
      <c r="A1713" t="inlineStr">
        <is>
          <t>S|ORIG_BAL x ASSET_CLASS · SYS_FLAG N vs Y|outcome_booked|p|4</t>
        </is>
      </c>
      <c r="B1713" t="n">
        <v>0.1097033153827474</v>
      </c>
      <c r="C1713" t="n">
        <v>0.131320201313202</v>
      </c>
      <c r="D1713" t="n">
        <v>0.1102389761023898</v>
      </c>
      <c r="E1713" t="n">
        <v>0.005332800053328</v>
      </c>
    </row>
    <row r="1714">
      <c r="A1714" t="inlineStr">
        <is>
          <t>S|ORIG_BAL x ASSET_CLASS · SYS_FLAG N vs Y|outcome_booked|v|5</t>
        </is>
      </c>
      <c r="B1714" t="n">
        <v>0.2117831112735512</v>
      </c>
      <c r="C1714" t="n">
        <v>0.5093512638528909</v>
      </c>
      <c r="D1714" t="n">
        <v>0.5214673217164968</v>
      </c>
      <c r="E1714" t="n">
        <v>0.4651581528880369</v>
      </c>
    </row>
    <row r="1715">
      <c r="A1715" t="inlineStr">
        <is>
          <t>S|ORIG_BAL x ASSET_CLASS · SYS_FLAG N vs Y|outcome_booked|p|5</t>
        </is>
      </c>
      <c r="B1715" t="n">
        <v>0.005332800053328</v>
      </c>
      <c r="C1715" t="n">
        <v>0.2193780621937806</v>
      </c>
      <c r="D1715" t="n">
        <v>0.225613802256138</v>
      </c>
      <c r="E1715" t="n">
        <v>0.08232510082325101</v>
      </c>
    </row>
    <row r="1716">
      <c r="A1716" t="inlineStr">
        <is>
          <t>S|ORIG_BAL x ASSET_CLASS · SYS_FLAG N vs Y|outcome_booked|v|6</t>
        </is>
      </c>
    </row>
    <row r="1717">
      <c r="A1717" t="inlineStr">
        <is>
          <t>S|ORIG_BAL x ASSET_CLASS · SYS_FLAG N vs Y|outcome_booked|p|6</t>
        </is>
      </c>
    </row>
    <row r="1718">
      <c r="A1718" t="inlineStr">
        <is>
          <t>S|ORIG_BAL x ASSET_CLASS · SYS_FLAG N vs Y|sum|3</t>
        </is>
      </c>
      <c r="B1718" t="inlineStr">
        <is>
          <t>Charge-offs</t>
        </is>
      </c>
      <c r="C1718" t="n">
        <v>20</v>
      </c>
      <c r="D1718" t="inlineStr">
        <is>
          <t>2 of 20</t>
        </is>
      </c>
      <c r="E1718" t="n">
        <v>0.5529290517285574</v>
      </c>
      <c r="F1718" t="n">
        <v>0.06991201759080908</v>
      </c>
      <c r="G1718" t="inlineStr">
        <is>
          <t>x</t>
        </is>
      </c>
      <c r="H1718" t="n">
        <v>9.999000099990002e-05</v>
      </c>
      <c r="L1718" t="inlineStr">
        <is>
          <t>not tested: dollar rate</t>
        </is>
      </c>
    </row>
    <row r="1719">
      <c r="A1719" t="inlineStr">
        <is>
          <t>S|ORIG_BAL x ASSET_CLASS · SYS_FLAG N vs Y|gco_rate|meta</t>
        </is>
      </c>
      <c r="B1719" t="inlineStr">
        <is>
          <t>x</t>
        </is>
      </c>
      <c r="C1719" t="n">
        <v>1.283330876404561</v>
      </c>
    </row>
    <row r="1720">
      <c r="A1720" t="inlineStr">
        <is>
          <t>S|ORIG_BAL x ASSET_CLASS · SYS_FLAG N vs Y|gco_rate|v|1</t>
        </is>
      </c>
      <c r="B1720" t="n">
        <v>0.4522731503969785</v>
      </c>
      <c r="C1720" t="n">
        <v>0.357746892271057</v>
      </c>
      <c r="D1720" t="n">
        <v>0.5826499425975656</v>
      </c>
      <c r="E1720" t="n">
        <v>0.8299673753409211</v>
      </c>
    </row>
    <row r="1721">
      <c r="A1721" t="inlineStr">
        <is>
          <t>S|ORIG_BAL x ASSET_CLASS · SYS_FLAG N vs Y|gco_rate|p|1</t>
        </is>
      </c>
      <c r="B1721" t="n">
        <v>0.1845529732741012</v>
      </c>
      <c r="C1721" t="n">
        <v>0.07332600073326001</v>
      </c>
      <c r="D1721" t="n">
        <v>0.338632803386328</v>
      </c>
      <c r="E1721" t="n">
        <v>0.67228571260521</v>
      </c>
    </row>
    <row r="1722">
      <c r="A1722" t="inlineStr">
        <is>
          <t>S|ORIG_BAL x ASSET_CLASS · SYS_FLAG N vs Y|gco_rate|v|2</t>
        </is>
      </c>
      <c r="B1722" t="n">
        <v>0.6770434440606143</v>
      </c>
      <c r="C1722" t="n">
        <v>1.283330876404561</v>
      </c>
      <c r="D1722" t="n">
        <v>0.7697831756290133</v>
      </c>
      <c r="E1722" t="n">
        <v>1.063637932301936</v>
      </c>
    </row>
    <row r="1723">
      <c r="A1723" t="inlineStr">
        <is>
          <t>S|ORIG_BAL x ASSET_CLASS · SYS_FLAG N vs Y|gco_rate|p|2</t>
        </is>
      </c>
      <c r="B1723" t="n">
        <v>0.3446798177325125</v>
      </c>
      <c r="C1723" t="n">
        <v>0.67228571260521</v>
      </c>
      <c r="D1723" t="n">
        <v>0.5327467253274673</v>
      </c>
      <c r="E1723" t="n">
        <v>0.8323167683231677</v>
      </c>
    </row>
    <row r="1724">
      <c r="A1724" t="inlineStr">
        <is>
          <t>S|ORIG_BAL x ASSET_CLASS · SYS_FLAG N vs Y|gco_rate|v|3</t>
        </is>
      </c>
      <c r="B1724" t="n">
        <v>0.8491134080540167</v>
      </c>
      <c r="C1724" t="n">
        <v>0.4090864500779467</v>
      </c>
      <c r="D1724" t="n">
        <v>0.8016369197714428</v>
      </c>
      <c r="E1724" t="n">
        <v>0.6719843204665213</v>
      </c>
    </row>
    <row r="1725">
      <c r="A1725" t="inlineStr">
        <is>
          <t>S|ORIG_BAL x ASSET_CLASS · SYS_FLAG N vs Y|gco_rate|p|3</t>
        </is>
      </c>
      <c r="B1725" t="n">
        <v>0.7240328598719076</v>
      </c>
      <c r="C1725" t="n">
        <v>0.1628408587712658</v>
      </c>
      <c r="D1725" t="n">
        <v>0.6930418069304181</v>
      </c>
      <c r="E1725" t="n">
        <v>0.338632803386328</v>
      </c>
    </row>
    <row r="1726">
      <c r="A1726" t="inlineStr">
        <is>
          <t>S|ORIG_BAL x ASSET_CLASS · SYS_FLAG N vs Y|gco_rate|v|4</t>
        </is>
      </c>
      <c r="B1726" t="n">
        <v>0.4746720237784007</v>
      </c>
      <c r="C1726" t="n">
        <v>0.6060837514478744</v>
      </c>
      <c r="D1726" t="n">
        <v>0.5213618179440302</v>
      </c>
      <c r="E1726" t="n">
        <v>0.3781680412309776</v>
      </c>
    </row>
    <row r="1727">
      <c r="A1727" t="inlineStr">
        <is>
          <t>S|ORIG_BAL x ASSET_CLASS · SYS_FLAG N vs Y|gco_rate|p|4</t>
        </is>
      </c>
      <c r="B1727" t="n">
        <v>0.243753402437534</v>
      </c>
      <c r="C1727" t="n">
        <v>0.3411966495658127</v>
      </c>
      <c r="D1727" t="n">
        <v>0.1845529732741012</v>
      </c>
      <c r="E1727" t="n">
        <v>0.009332400093324001</v>
      </c>
    </row>
    <row r="1728">
      <c r="A1728" t="inlineStr">
        <is>
          <t>S|ORIG_BAL x ASSET_CLASS · SYS_FLAG N vs Y|gco_rate|v|5</t>
        </is>
      </c>
      <c r="B1728" t="n">
        <v>0.2518053532425995</v>
      </c>
      <c r="C1728" t="n">
        <v>0.5697142252817338</v>
      </c>
      <c r="D1728" t="n">
        <v>0.4606095647071983</v>
      </c>
      <c r="E1728" t="n">
        <v>0.5142686842177074</v>
      </c>
    </row>
    <row r="1729">
      <c r="A1729" t="inlineStr">
        <is>
          <t>S|ORIG_BAL x ASSET_CLASS · SYS_FLAG N vs Y|gco_rate|p|5</t>
        </is>
      </c>
      <c r="B1729" t="n">
        <v>0.009332400093324001</v>
      </c>
      <c r="C1729" t="n">
        <v>0.338632803386328</v>
      </c>
      <c r="D1729" t="n">
        <v>0.227977202279772</v>
      </c>
      <c r="E1729" t="n">
        <v>0.1845529732741012</v>
      </c>
    </row>
    <row r="1730">
      <c r="A1730" t="inlineStr">
        <is>
          <t>S|ORIG_BAL x ASSET_CLASS · SYS_FLAG N vs Y|gco_rate|v|6</t>
        </is>
      </c>
    </row>
    <row r="1731">
      <c r="A1731" t="inlineStr">
        <is>
          <t>S|ORIG_BAL x ASSET_CLASS · SYS_FLAG N vs Y|gco_rate|p|6</t>
        </is>
      </c>
    </row>
    <row r="1732">
      <c r="A1732" t="inlineStr">
        <is>
          <t>S|ORIG_BAL x ASSET_CLASS · SYS_FLAG N vs Y|sum|4</t>
        </is>
      </c>
      <c r="B1732" t="inlineStr">
        <is>
          <t>Kept after losses</t>
        </is>
      </c>
      <c r="C1732" t="n">
        <v>20</v>
      </c>
      <c r="D1732" t="inlineStr">
        <is>
          <t>3 of 20</t>
        </is>
      </c>
      <c r="E1732" t="n">
        <v>2.586760465626098</v>
      </c>
      <c r="F1732" t="n">
        <v>0.4605592485239655</v>
      </c>
      <c r="G1732" t="inlineStr">
        <is>
          <t>pts</t>
        </is>
      </c>
      <c r="H1732" t="n">
        <v>9.999000099990002e-05</v>
      </c>
      <c r="L1732" t="inlineStr">
        <is>
          <t>not tested: dollar rate</t>
        </is>
      </c>
    </row>
    <row r="1733">
      <c r="A1733" t="inlineStr">
        <is>
          <t>S|ORIG_BAL x ASSET_CLASS · SYS_FLAG N vs Y|ranr_rate|meta</t>
        </is>
      </c>
      <c r="B1733" t="inlineStr">
        <is>
          <t>pts</t>
        </is>
      </c>
      <c r="C1733" t="n">
        <v>7.421359624</v>
      </c>
    </row>
    <row r="1734">
      <c r="A1734" t="inlineStr">
        <is>
          <t>S|ORIG_BAL x ASSET_CLASS · SYS_FLAG N vs Y|ranr_rate|v|1</t>
        </is>
      </c>
      <c r="B1734" t="n">
        <v>3.111155147</v>
      </c>
      <c r="C1734" t="n">
        <v>4.904053458</v>
      </c>
      <c r="D1734" t="n">
        <v>1.872099247</v>
      </c>
      <c r="E1734" t="n">
        <v>1.555920985</v>
      </c>
    </row>
    <row r="1735">
      <c r="A1735" t="inlineStr">
        <is>
          <t>S|ORIG_BAL x ASSET_CLASS · SYS_FLAG N vs Y|ranr_rate|p|1</t>
        </is>
      </c>
      <c r="B1735" t="n">
        <v>0.185759201857592</v>
      </c>
      <c r="C1735" t="n">
        <v>0.05199480051994801</v>
      </c>
      <c r="D1735" t="n">
        <v>0.5247475252474753</v>
      </c>
      <c r="E1735" t="n">
        <v>0.5478202179782022</v>
      </c>
    </row>
    <row r="1736">
      <c r="A1736" t="inlineStr">
        <is>
          <t>S|ORIG_BAL x ASSET_CLASS · SYS_FLAG N vs Y|ranr_rate|v|2</t>
        </is>
      </c>
      <c r="B1736" t="n">
        <v>4.438493177</v>
      </c>
      <c r="C1736" t="n">
        <v>-0.531302104</v>
      </c>
      <c r="D1736" t="n">
        <v>1.885029486</v>
      </c>
      <c r="E1736" t="n">
        <v>-3.741260553</v>
      </c>
    </row>
    <row r="1737">
      <c r="A1737" t="inlineStr">
        <is>
          <t>S|ORIG_BAL x ASSET_CLASS · SYS_FLAG N vs Y|ranr_rate|p|2</t>
        </is>
      </c>
      <c r="B1737" t="n">
        <v>0.153984601539846</v>
      </c>
      <c r="C1737" t="n">
        <v>0.8080244607118235</v>
      </c>
      <c r="D1737" t="n">
        <v>0.5247475252474753</v>
      </c>
      <c r="E1737" t="n">
        <v>0.185759201857592</v>
      </c>
    </row>
    <row r="1738">
      <c r="A1738" t="inlineStr">
        <is>
          <t>S|ORIG_BAL x ASSET_CLASS · SYS_FLAG N vs Y|ranr_rate|v|3</t>
        </is>
      </c>
      <c r="B1738" t="n">
        <v>0.88426191</v>
      </c>
      <c r="C1738" t="n">
        <v>1.626025211</v>
      </c>
      <c r="D1738" t="n">
        <v>-0.268072748</v>
      </c>
      <c r="E1738" t="n">
        <v>2.18765542</v>
      </c>
    </row>
    <row r="1739">
      <c r="A1739" t="inlineStr">
        <is>
          <t>S|ORIG_BAL x ASSET_CLASS · SYS_FLAG N vs Y|ranr_rate|p|3</t>
        </is>
      </c>
      <c r="B1739" t="n">
        <v>0.7221500072215001</v>
      </c>
      <c r="C1739" t="n">
        <v>0.4714728527147286</v>
      </c>
      <c r="D1739" t="n">
        <v>0.8843115688431157</v>
      </c>
      <c r="E1739" t="n">
        <v>0.4231243542312435</v>
      </c>
    </row>
    <row r="1740">
      <c r="A1740" t="inlineStr">
        <is>
          <t>S|ORIG_BAL x ASSET_CLASS · SYS_FLAG N vs Y|ranr_rate|v|4</t>
        </is>
      </c>
      <c r="B1740" t="n">
        <v>1.110432602</v>
      </c>
      <c r="C1740" t="n">
        <v>2.363077353</v>
      </c>
      <c r="D1740" t="n">
        <v>4.98094396</v>
      </c>
      <c r="E1740" t="n">
        <v>7.421359624</v>
      </c>
    </row>
    <row r="1741">
      <c r="A1741" t="inlineStr">
        <is>
          <t>S|ORIG_BAL x ASSET_CLASS · SYS_FLAG N vs Y|ranr_rate|p|4</t>
        </is>
      </c>
      <c r="B1741" t="n">
        <v>0.652522982995818</v>
      </c>
      <c r="C1741" t="n">
        <v>0.382870803828708</v>
      </c>
      <c r="D1741" t="n">
        <v>0.097323600973236</v>
      </c>
      <c r="E1741" t="n">
        <v>0.00999900009999</v>
      </c>
    </row>
    <row r="1742">
      <c r="A1742" t="inlineStr">
        <is>
          <t>S|ORIG_BAL x ASSET_CLASS · SYS_FLAG N vs Y|ranr_rate|v|5</t>
        </is>
      </c>
      <c r="B1742" t="n">
        <v>3.316534663</v>
      </c>
      <c r="C1742" t="n">
        <v>3.591415331</v>
      </c>
      <c r="D1742" t="n">
        <v>2.097966507</v>
      </c>
      <c r="E1742" t="n">
        <v>3.307182716</v>
      </c>
    </row>
    <row r="1743">
      <c r="A1743" t="inlineStr">
        <is>
          <t>S|ORIG_BAL x ASSET_CLASS · SYS_FLAG N vs Y|ranr_rate|p|5</t>
        </is>
      </c>
      <c r="B1743" t="n">
        <v>0.185759201857592</v>
      </c>
      <c r="C1743" t="n">
        <v>0.1583841615838416</v>
      </c>
      <c r="D1743" t="n">
        <v>0.3487651234876512</v>
      </c>
      <c r="E1743" t="n">
        <v>0.185759201857592</v>
      </c>
    </row>
    <row r="1744">
      <c r="A1744" t="inlineStr">
        <is>
          <t>S|ORIG_BAL x ASSET_CLASS · SYS_FLAG N vs Y|ranr_rate|v|6</t>
        </is>
      </c>
    </row>
    <row r="1745">
      <c r="A1745" t="inlineStr">
        <is>
          <t>S|ORIG_BAL x ASSET_CLASS · SYS_FLAG N vs Y|ranr_rate|p|6</t>
        </is>
      </c>
    </row>
    <row r="1746">
      <c r="A1746" t="inlineStr">
        <is>
          <t>S|ORIG_BAL x ASSET_CLASS · SYS_FLAG N vs Y|sum|5</t>
        </is>
      </c>
      <c r="B1746" t="inlineStr">
        <is>
          <t>Earned before losses</t>
        </is>
      </c>
      <c r="C1746" t="n">
        <v>20</v>
      </c>
      <c r="D1746" t="inlineStr">
        <is>
          <t>6 of 20</t>
        </is>
      </c>
      <c r="E1746" t="n">
        <v>0.1414727947958779</v>
      </c>
      <c r="F1746" t="n">
        <v>0.2993976809210105</v>
      </c>
      <c r="G1746" t="inlineStr">
        <is>
          <t>pts</t>
        </is>
      </c>
      <c r="H1746" t="n">
        <v>0.6424357564243576</v>
      </c>
      <c r="L1746" t="inlineStr">
        <is>
          <t>not tested: dollar rate</t>
        </is>
      </c>
    </row>
    <row r="1747">
      <c r="A1747" t="inlineStr">
        <is>
          <t>S|ORIG_BAL x ASSET_CLASS · SYS_FLAG N vs Y|contribution_rate|meta</t>
        </is>
      </c>
      <c r="B1747" t="inlineStr">
        <is>
          <t>pts</t>
        </is>
      </c>
      <c r="C1747" t="n">
        <v>3.355339911</v>
      </c>
    </row>
    <row r="1748">
      <c r="A1748" t="inlineStr">
        <is>
          <t>S|ORIG_BAL x ASSET_CLASS · SYS_FLAG N vs Y|contribution_rate|v|1</t>
        </is>
      </c>
      <c r="B1748" t="n">
        <v>0.497434561</v>
      </c>
      <c r="C1748" t="n">
        <v>1.223695846</v>
      </c>
      <c r="D1748" t="n">
        <v>-0.52977177</v>
      </c>
      <c r="E1748" t="n">
        <v>0.579853039</v>
      </c>
    </row>
    <row r="1749">
      <c r="A1749" t="inlineStr">
        <is>
          <t>S|ORIG_BAL x ASSET_CLASS · SYS_FLAG N vs Y|contribution_rate|p|1</t>
        </is>
      </c>
      <c r="B1749" t="n">
        <v>0.964727056706094</v>
      </c>
      <c r="C1749" t="n">
        <v>0.9425724094257242</v>
      </c>
      <c r="D1749" t="n">
        <v>0.964727056706094</v>
      </c>
      <c r="E1749" t="n">
        <v>0.964727056706094</v>
      </c>
    </row>
    <row r="1750">
      <c r="A1750" t="inlineStr">
        <is>
          <t>S|ORIG_BAL x ASSET_CLASS · SYS_FLAG N vs Y|contribution_rate|v|2</t>
        </is>
      </c>
      <c r="B1750" t="n">
        <v>2.285746751</v>
      </c>
      <c r="C1750" t="n">
        <v>0.316025118</v>
      </c>
      <c r="D1750" t="n">
        <v>0.351314592</v>
      </c>
      <c r="E1750" t="n">
        <v>-3.355339911</v>
      </c>
    </row>
    <row r="1751">
      <c r="A1751" t="inlineStr">
        <is>
          <t>S|ORIG_BAL x ASSET_CLASS · SYS_FLAG N vs Y|contribution_rate|p|2</t>
        </is>
      </c>
      <c r="B1751" t="n">
        <v>0.8529147085291471</v>
      </c>
      <c r="C1751" t="n">
        <v>0.964727056706094</v>
      </c>
      <c r="D1751" t="n">
        <v>0.964727056706094</v>
      </c>
      <c r="E1751" t="n">
        <v>0.155984401559844</v>
      </c>
    </row>
    <row r="1752">
      <c r="A1752" t="inlineStr">
        <is>
          <t>S|ORIG_BAL x ASSET_CLASS · SYS_FLAG N vs Y|contribution_rate|v|3</t>
        </is>
      </c>
      <c r="B1752" t="n">
        <v>0.290080227</v>
      </c>
      <c r="C1752" t="n">
        <v>-0.906371484</v>
      </c>
      <c r="D1752" t="n">
        <v>-0.966868615</v>
      </c>
      <c r="E1752" t="n">
        <v>0.052290622</v>
      </c>
    </row>
    <row r="1753">
      <c r="A1753" t="inlineStr">
        <is>
          <t>S|ORIG_BAL x ASSET_CLASS · SYS_FLAG N vs Y|contribution_rate|p|3</t>
        </is>
      </c>
      <c r="B1753" t="n">
        <v>0.964727056706094</v>
      </c>
      <c r="C1753" t="n">
        <v>0.9425724094257242</v>
      </c>
      <c r="D1753" t="n">
        <v>0.9437056294370564</v>
      </c>
      <c r="E1753" t="n">
        <v>0.9672032796720329</v>
      </c>
    </row>
    <row r="1754">
      <c r="A1754" t="inlineStr">
        <is>
          <t>S|ORIG_BAL x ASSET_CLASS · SYS_FLAG N vs Y|contribution_rate|v|4</t>
        </is>
      </c>
      <c r="B1754" t="n">
        <v>-1.074218202</v>
      </c>
      <c r="C1754" t="n">
        <v>0.633787875</v>
      </c>
      <c r="D1754" t="n">
        <v>1.640935028</v>
      </c>
      <c r="E1754" t="n">
        <v>0.998631503</v>
      </c>
    </row>
    <row r="1755">
      <c r="A1755" t="inlineStr">
        <is>
          <t>S|ORIG_BAL x ASSET_CLASS · SYS_FLAG N vs Y|contribution_rate|p|4</t>
        </is>
      </c>
      <c r="B1755" t="n">
        <v>0.9425724094257242</v>
      </c>
      <c r="C1755" t="n">
        <v>0.964727056706094</v>
      </c>
      <c r="D1755" t="n">
        <v>0.873912608739126</v>
      </c>
      <c r="E1755" t="n">
        <v>0.9425724094257242</v>
      </c>
    </row>
    <row r="1756">
      <c r="A1756" t="inlineStr">
        <is>
          <t>S|ORIG_BAL x ASSET_CLASS · SYS_FLAG N vs Y|contribution_rate|v|5</t>
        </is>
      </c>
      <c r="B1756" t="n">
        <v>-1.111458</v>
      </c>
      <c r="C1756" t="n">
        <v>1.791073634</v>
      </c>
      <c r="D1756" t="n">
        <v>0.099539247</v>
      </c>
      <c r="E1756" t="n">
        <v>0.08722374099999999</v>
      </c>
    </row>
    <row r="1757">
      <c r="A1757" t="inlineStr">
        <is>
          <t>S|ORIG_BAL x ASSET_CLASS · SYS_FLAG N vs Y|contribution_rate|p|5</t>
        </is>
      </c>
      <c r="B1757" t="n">
        <v>0.9425724094257242</v>
      </c>
      <c r="C1757" t="n">
        <v>0.873912608739126</v>
      </c>
      <c r="D1757" t="n">
        <v>0.9672032796720329</v>
      </c>
      <c r="E1757" t="n">
        <v>0.9672032796720329</v>
      </c>
    </row>
    <row r="1758">
      <c r="A1758" t="inlineStr">
        <is>
          <t>S|ORIG_BAL x ASSET_CLASS · SYS_FLAG N vs Y|contribution_rate|v|6</t>
        </is>
      </c>
    </row>
    <row r="1759">
      <c r="A1759" t="inlineStr">
        <is>
          <t>S|ORIG_BAL x ASSET_CLASS · SYS_FLAG N vs Y|contribution_rate|p|6</t>
        </is>
      </c>
    </row>
    <row r="1760">
      <c r="A1760" t="inlineStr">
        <is>
          <t>S|ORIG_BAL x ASSET_CLASS · SYS_FLAG Y vs N|chip</t>
        </is>
      </c>
    </row>
    <row r="1761">
      <c r="A1761" t="inlineStr">
        <is>
          <t>S|ORIG_BAL x ASSET_CLASS · SYS_FLAG Y vs N|rows</t>
        </is>
      </c>
      <c r="B1761" t="inlineStr">
        <is>
          <t>5,005 - 15,448</t>
        </is>
      </c>
      <c r="C1761" t="inlineStr">
        <is>
          <t>15,449 - 26,323</t>
        </is>
      </c>
      <c r="D1761" t="inlineStr">
        <is>
          <t>26,324 - 37,950</t>
        </is>
      </c>
      <c r="E1761" t="inlineStr">
        <is>
          <t>37,951 - 49,151</t>
        </is>
      </c>
      <c r="F1761" t="inlineStr">
        <is>
          <t>49,152 - 59,984</t>
        </is>
      </c>
      <c r="G1761" t="inlineStr">
        <is>
          <t>(blank)</t>
        </is>
      </c>
    </row>
    <row r="1762">
      <c r="A1762" t="inlineStr">
        <is>
          <t>S|ORIG_BAL x ASSET_CLASS · SYS_FLAG Y vs N|cols</t>
        </is>
      </c>
      <c r="B1762" t="inlineStr">
        <is>
          <t>1</t>
        </is>
      </c>
      <c r="C1762" t="inlineStr">
        <is>
          <t>2</t>
        </is>
      </c>
      <c r="D1762" t="inlineStr">
        <is>
          <t>3</t>
        </is>
      </c>
      <c r="E1762" t="inlineStr">
        <is>
          <t>4</t>
        </is>
      </c>
    </row>
    <row r="1763">
      <c r="A1763" t="inlineStr">
        <is>
          <t>S|ORIG_BAL x ASSET_CLASS · SYS_FLAG Y vs N|sum|1</t>
        </is>
      </c>
      <c r="B1763" t="inlineStr">
        <is>
          <t>Bad loans</t>
        </is>
      </c>
      <c r="C1763" t="n">
        <v>20</v>
      </c>
      <c r="D1763" t="inlineStr">
        <is>
          <t>18 of 20</t>
        </is>
      </c>
      <c r="E1763" t="n">
        <v>1.736526901080611</v>
      </c>
      <c r="F1763" t="n">
        <v>0.106414288220282</v>
      </c>
      <c r="G1763" t="inlineStr">
        <is>
          <t>x</t>
        </is>
      </c>
      <c r="H1763" t="n">
        <v>4.474675050674765e-12</v>
      </c>
      <c r="I1763" t="n">
        <v>1.829610383028856</v>
      </c>
      <c r="J1763" t="n">
        <v>7.943089394783887e-13</v>
      </c>
      <c r="K1763" t="n">
        <v>0.1957680909809109</v>
      </c>
      <c r="M1763" t="n">
        <v>7.943089394783819e-13</v>
      </c>
      <c r="N1763" t="n">
        <v>1</v>
      </c>
      <c r="O1763" t="n">
        <v>20</v>
      </c>
    </row>
    <row r="1764">
      <c r="A1764" t="inlineStr">
        <is>
          <t>S|ORIG_BAL x ASSET_CLASS · SYS_FLAG Y vs N|outcome_loans|meta</t>
        </is>
      </c>
      <c r="B1764" t="inlineStr">
        <is>
          <t>x</t>
        </is>
      </c>
      <c r="C1764" t="n">
        <v>4.695384615384615</v>
      </c>
    </row>
    <row r="1765">
      <c r="A1765" t="inlineStr">
        <is>
          <t>S|ORIG_BAL x ASSET_CLASS · SYS_FLAG Y vs N|outcome_loans|v|1</t>
        </is>
      </c>
      <c r="B1765" t="n">
        <v>2.9625</v>
      </c>
      <c r="C1765" t="n">
        <v>2.5925</v>
      </c>
      <c r="D1765" t="n">
        <v>1.511857707509881</v>
      </c>
      <c r="E1765" t="n">
        <v>1.00904452690167</v>
      </c>
    </row>
    <row r="1766">
      <c r="A1766" t="inlineStr">
        <is>
          <t>S|ORIG_BAL x ASSET_CLASS · SYS_FLAG Y vs N|outcome_loans|p|1</t>
        </is>
      </c>
      <c r="B1766" t="n">
        <v>0.03724301349464756</v>
      </c>
      <c r="C1766" t="n">
        <v>0.05098009131120271</v>
      </c>
      <c r="D1766" t="n">
        <v>0.3942694730931902</v>
      </c>
      <c r="E1766" t="n">
        <v>0.9758715398303034</v>
      </c>
    </row>
    <row r="1767">
      <c r="A1767" t="inlineStr">
        <is>
          <t>S|ORIG_BAL x ASSET_CLASS · SYS_FLAG Y vs N|outcome_loans|v|2</t>
        </is>
      </c>
      <c r="B1767" t="n">
        <v>1.382716049382716</v>
      </c>
      <c r="C1767" t="n">
        <v>0.9117647058823529</v>
      </c>
      <c r="D1767" t="n">
        <v>1.333678756476684</v>
      </c>
      <c r="E1767" t="n">
        <v>0.9479757085020243</v>
      </c>
    </row>
    <row r="1768">
      <c r="A1768" t="inlineStr">
        <is>
          <t>S|ORIG_BAL x ASSET_CLASS · SYS_FLAG Y vs N|outcome_loans|p|2</t>
        </is>
      </c>
      <c r="B1768" t="n">
        <v>0.4068338709080764</v>
      </c>
      <c r="C1768" t="n">
        <v>0.8911571956621716</v>
      </c>
      <c r="D1768" t="n">
        <v>0.4068338709080764</v>
      </c>
      <c r="E1768" t="n">
        <v>0.8911571956621716</v>
      </c>
    </row>
    <row r="1769">
      <c r="A1769" t="inlineStr">
        <is>
          <t>S|ORIG_BAL x ASSET_CLASS · SYS_FLAG Y vs N|outcome_loans|v|3</t>
        </is>
      </c>
      <c r="B1769" t="n">
        <v>1.44990366088632</v>
      </c>
      <c r="C1769" t="n">
        <v>2.639664804469274</v>
      </c>
      <c r="D1769" t="n">
        <v>1.431952662721893</v>
      </c>
      <c r="E1769" t="n">
        <v>1.58641600970285</v>
      </c>
    </row>
    <row r="1770">
      <c r="A1770" t="inlineStr">
        <is>
          <t>S|ORIG_BAL x ASSET_CLASS · SYS_FLAG Y vs N|outcome_loans|p|3</t>
        </is>
      </c>
      <c r="B1770" t="n">
        <v>0.4068338709080764</v>
      </c>
      <c r="C1770" t="n">
        <v>0.06967623583141758</v>
      </c>
      <c r="D1770" t="n">
        <v>0.4809933703335152</v>
      </c>
      <c r="E1770" t="n">
        <v>0.2212467280951125</v>
      </c>
    </row>
    <row r="1771">
      <c r="A1771" t="inlineStr">
        <is>
          <t>S|ORIG_BAL x ASSET_CLASS · SYS_FLAG Y vs N|outcome_loans|v|4</t>
        </is>
      </c>
      <c r="B1771" t="n">
        <v>2.728813559322034</v>
      </c>
      <c r="C1771" t="n">
        <v>2.097710776102736</v>
      </c>
      <c r="D1771" t="n">
        <v>1.997863247863247</v>
      </c>
      <c r="E1771" t="n">
        <v>2.604166666666667</v>
      </c>
    </row>
    <row r="1772">
      <c r="A1772" t="inlineStr">
        <is>
          <t>S|ORIG_BAL x ASSET_CLASS · SYS_FLAG Y vs N|outcome_loans|p|4</t>
        </is>
      </c>
      <c r="B1772" t="n">
        <v>0.07885613821724301</v>
      </c>
      <c r="C1772" t="n">
        <v>0.12814381469977</v>
      </c>
      <c r="D1772" t="n">
        <v>0.08601295916408219</v>
      </c>
      <c r="E1772" t="n">
        <v>0.004351436524476711</v>
      </c>
    </row>
    <row r="1773">
      <c r="A1773" t="inlineStr">
        <is>
          <t>S|ORIG_BAL x ASSET_CLASS · SYS_FLAG Y vs N|outcome_loans|v|5</t>
        </is>
      </c>
      <c r="B1773" t="n">
        <v>4.695384615384615</v>
      </c>
      <c r="C1773" t="n">
        <v>2.040609137055837</v>
      </c>
      <c r="D1773" t="n">
        <v>1.893854748603352</v>
      </c>
      <c r="E1773" t="n">
        <v>2.179824561403509</v>
      </c>
    </row>
    <row r="1774">
      <c r="A1774" t="inlineStr">
        <is>
          <t>S|ORIG_BAL x ASSET_CLASS · SYS_FLAG Y vs N|outcome_loans|p|5</t>
        </is>
      </c>
      <c r="B1774" t="n">
        <v>0.004351436524476711</v>
      </c>
      <c r="C1774" t="n">
        <v>0.1653212500419103</v>
      </c>
      <c r="D1774" t="n">
        <v>0.2407013465809081</v>
      </c>
      <c r="E1774" t="n">
        <v>0.06967623583141758</v>
      </c>
    </row>
    <row r="1775">
      <c r="A1775" t="inlineStr">
        <is>
          <t>S|ORIG_BAL x ASSET_CLASS · SYS_FLAG Y vs N|outcome_loans|v|6</t>
        </is>
      </c>
    </row>
    <row r="1776">
      <c r="A1776" t="inlineStr">
        <is>
          <t>S|ORIG_BAL x ASSET_CLASS · SYS_FLAG Y vs N|outcome_loans|p|6</t>
        </is>
      </c>
    </row>
    <row r="1777">
      <c r="A1777" t="inlineStr">
        <is>
          <t>S|ORIG_BAL x ASSET_CLASS · SYS_FLAG Y vs N|sum|2</t>
        </is>
      </c>
      <c r="B1777" t="inlineStr">
        <is>
          <t>Bad dollars</t>
        </is>
      </c>
      <c r="C1777" t="n">
        <v>20</v>
      </c>
      <c r="D1777" t="inlineStr">
        <is>
          <t>18 of 20</t>
        </is>
      </c>
      <c r="E1777" t="n">
        <v>1.906151386698467</v>
      </c>
      <c r="F1777" t="n">
        <v>0.1275312064536567</v>
      </c>
      <c r="G1777" t="inlineStr">
        <is>
          <t>x</t>
        </is>
      </c>
      <c r="H1777" t="n">
        <v>9.999000099990002e-05</v>
      </c>
      <c r="L1777" t="inlineStr">
        <is>
          <t>not tested: dollar rate</t>
        </is>
      </c>
    </row>
    <row r="1778">
      <c r="A1778" t="inlineStr">
        <is>
          <t>S|ORIG_BAL x ASSET_CLASS · SYS_FLAG Y vs N|outcome_booked|meta</t>
        </is>
      </c>
      <c r="B1778" t="inlineStr">
        <is>
          <t>x</t>
        </is>
      </c>
      <c r="C1778" t="n">
        <v>4.721811829028911</v>
      </c>
    </row>
    <row r="1779">
      <c r="A1779" t="inlineStr">
        <is>
          <t>S|ORIG_BAL x ASSET_CLASS · SYS_FLAG Y vs N|outcome_booked|v|1</t>
        </is>
      </c>
      <c r="B1779" t="n">
        <v>2.565384517072418</v>
      </c>
      <c r="C1779" t="n">
        <v>2.637844717260541</v>
      </c>
      <c r="D1779" t="n">
        <v>1.625020964033855</v>
      </c>
      <c r="E1779" t="n">
        <v>1.075518506138101</v>
      </c>
    </row>
    <row r="1780">
      <c r="A1780" t="inlineStr">
        <is>
          <t>S|ORIG_BAL x ASSET_CLASS · SYS_FLAG Y vs N|outcome_booked|p|1</t>
        </is>
      </c>
      <c r="B1780" t="n">
        <v>0.0791920807919208</v>
      </c>
      <c r="C1780" t="n">
        <v>0.0791920807919208</v>
      </c>
      <c r="D1780" t="n">
        <v>0.3241214340104451</v>
      </c>
      <c r="E1780" t="n">
        <v>0.90990900909909</v>
      </c>
    </row>
    <row r="1781">
      <c r="A1781" t="inlineStr">
        <is>
          <t>S|ORIG_BAL x ASSET_CLASS · SYS_FLAG Y vs N|outcome_booked|v|2</t>
        </is>
      </c>
      <c r="B1781" t="n">
        <v>1.388633194663998</v>
      </c>
      <c r="C1781" t="n">
        <v>0.950735550980387</v>
      </c>
      <c r="D1781" t="n">
        <v>1.299091913903267</v>
      </c>
      <c r="E1781" t="n">
        <v>0.9628103355751604</v>
      </c>
    </row>
    <row r="1782">
      <c r="A1782" t="inlineStr">
        <is>
          <t>S|ORIG_BAL x ASSET_CLASS · SYS_FLAG Y vs N|outcome_booked|p|2</t>
        </is>
      </c>
      <c r="B1782" t="n">
        <v>0.4256717185424314</v>
      </c>
      <c r="C1782" t="n">
        <v>0.9199080091990801</v>
      </c>
      <c r="D1782" t="n">
        <v>0.494185875530094</v>
      </c>
      <c r="E1782" t="n">
        <v>0.9199080091990801</v>
      </c>
    </row>
    <row r="1783">
      <c r="A1783" t="inlineStr">
        <is>
          <t>S|ORIG_BAL x ASSET_CLASS · SYS_FLAG Y vs N|outcome_booked|v|3</t>
        </is>
      </c>
      <c r="B1783" t="n">
        <v>1.371715745888323</v>
      </c>
      <c r="C1783" t="n">
        <v>2.705687464541374</v>
      </c>
      <c r="D1783" t="n">
        <v>1.441375628177278</v>
      </c>
      <c r="E1783" t="n">
        <v>1.482438180759781</v>
      </c>
    </row>
    <row r="1784">
      <c r="A1784" t="inlineStr">
        <is>
          <t>S|ORIG_BAL x ASSET_CLASS · SYS_FLAG Y vs N|outcome_booked|p|3</t>
        </is>
      </c>
      <c r="B1784" t="n">
        <v>0.494185875530094</v>
      </c>
      <c r="C1784" t="n">
        <v>0.0791920807919208</v>
      </c>
      <c r="D1784" t="n">
        <v>0.494185875530094</v>
      </c>
      <c r="E1784" t="n">
        <v>0.3234676532346766</v>
      </c>
    </row>
    <row r="1785">
      <c r="A1785" t="inlineStr">
        <is>
          <t>S|ORIG_BAL x ASSET_CLASS · SYS_FLAG Y vs N|outcome_booked|v|4</t>
        </is>
      </c>
      <c r="B1785" t="n">
        <v>2.562465610050912</v>
      </c>
      <c r="C1785" t="n">
        <v>2.077043421682835</v>
      </c>
      <c r="D1785" t="n">
        <v>1.954886211608303</v>
      </c>
      <c r="E1785" t="n">
        <v>2.560715342802524</v>
      </c>
    </row>
    <row r="1786">
      <c r="A1786" t="inlineStr">
        <is>
          <t>S|ORIG_BAL x ASSET_CLASS · SYS_FLAG Y vs N|outcome_booked|p|4</t>
        </is>
      </c>
      <c r="B1786" t="n">
        <v>0.1097033153827474</v>
      </c>
      <c r="C1786" t="n">
        <v>0.131320201313202</v>
      </c>
      <c r="D1786" t="n">
        <v>0.1102389761023898</v>
      </c>
      <c r="E1786" t="n">
        <v>0.006999300069993001</v>
      </c>
    </row>
    <row r="1787">
      <c r="A1787" t="inlineStr">
        <is>
          <t>S|ORIG_BAL x ASSET_CLASS · SYS_FLAG Y vs N|outcome_booked|v|5</t>
        </is>
      </c>
      <c r="B1787" t="n">
        <v>4.721811829028911</v>
      </c>
      <c r="C1787" t="n">
        <v>1.963281670169403</v>
      </c>
      <c r="D1787" t="n">
        <v>1.917665706660837</v>
      </c>
      <c r="E1787" t="n">
        <v>2.149806455699593</v>
      </c>
    </row>
    <row r="1788">
      <c r="A1788" t="inlineStr">
        <is>
          <t>S|ORIG_BAL x ASSET_CLASS · SYS_FLAG Y vs N|outcome_booked|p|5</t>
        </is>
      </c>
      <c r="B1788" t="n">
        <v>0.005332800053328</v>
      </c>
      <c r="C1788" t="n">
        <v>0.2193780621937806</v>
      </c>
      <c r="D1788" t="n">
        <v>0.225613802256138</v>
      </c>
      <c r="E1788" t="n">
        <v>0.08232510082325101</v>
      </c>
    </row>
    <row r="1789">
      <c r="A1789" t="inlineStr">
        <is>
          <t>S|ORIG_BAL x ASSET_CLASS · SYS_FLAG Y vs N|outcome_booked|v|6</t>
        </is>
      </c>
    </row>
    <row r="1790">
      <c r="A1790" t="inlineStr">
        <is>
          <t>S|ORIG_BAL x ASSET_CLASS · SYS_FLAG Y vs N|outcome_booked|p|6</t>
        </is>
      </c>
    </row>
    <row r="1791">
      <c r="A1791" t="inlineStr">
        <is>
          <t>S|ORIG_BAL x ASSET_CLASS · SYS_FLAG Y vs N|sum|3</t>
        </is>
      </c>
      <c r="B1791" t="inlineStr">
        <is>
          <t>Charge-offs</t>
        </is>
      </c>
      <c r="C1791" t="n">
        <v>20</v>
      </c>
      <c r="D1791" t="inlineStr">
        <is>
          <t>18 of 20</t>
        </is>
      </c>
      <c r="E1791" t="n">
        <v>1.802857960901274</v>
      </c>
      <c r="F1791" t="n">
        <v>0.1269078730251589</v>
      </c>
      <c r="G1791" t="inlineStr">
        <is>
          <t>x</t>
        </is>
      </c>
      <c r="H1791" t="n">
        <v>9.999000099990002e-05</v>
      </c>
      <c r="L1791" t="inlineStr">
        <is>
          <t>not tested: dollar rate</t>
        </is>
      </c>
    </row>
    <row r="1792">
      <c r="A1792" t="inlineStr">
        <is>
          <t>S|ORIG_BAL x ASSET_CLASS · SYS_FLAG Y vs N|gco_rate|meta</t>
        </is>
      </c>
      <c r="B1792" t="inlineStr">
        <is>
          <t>x</t>
        </is>
      </c>
      <c r="C1792" t="n">
        <v>3.97132144778733</v>
      </c>
    </row>
    <row r="1793">
      <c r="A1793" t="inlineStr">
        <is>
          <t>S|ORIG_BAL x ASSET_CLASS · SYS_FLAG Y vs N|gco_rate|v|1</t>
        </is>
      </c>
      <c r="B1793" t="n">
        <v>2.211053207828631</v>
      </c>
      <c r="C1793" t="n">
        <v>2.795272360443936</v>
      </c>
      <c r="D1793" t="n">
        <v>1.716296401818573</v>
      </c>
      <c r="E1793" t="n">
        <v>1.204866636582234</v>
      </c>
    </row>
    <row r="1794">
      <c r="A1794" t="inlineStr">
        <is>
          <t>S|ORIG_BAL x ASSET_CLASS · SYS_FLAG Y vs N|gco_rate|p|1</t>
        </is>
      </c>
      <c r="B1794" t="n">
        <v>0.1845529732741012</v>
      </c>
      <c r="C1794" t="n">
        <v>0.07332600073326001</v>
      </c>
      <c r="D1794" t="n">
        <v>0.338632803386328</v>
      </c>
      <c r="E1794" t="n">
        <v>0.67228571260521</v>
      </c>
    </row>
    <row r="1795">
      <c r="A1795" t="inlineStr">
        <is>
          <t>S|ORIG_BAL x ASSET_CLASS · SYS_FLAG Y vs N|gco_rate|v|2</t>
        </is>
      </c>
      <c r="B1795" t="n">
        <v>1.477010092590856</v>
      </c>
      <c r="C1795" t="n">
        <v>0.7792222710339882</v>
      </c>
      <c r="D1795" t="n">
        <v>1.29906710312663</v>
      </c>
      <c r="E1795" t="n">
        <v>0.9401695535959211</v>
      </c>
    </row>
    <row r="1796">
      <c r="A1796" t="inlineStr">
        <is>
          <t>S|ORIG_BAL x ASSET_CLASS · SYS_FLAG Y vs N|gco_rate|p|2</t>
        </is>
      </c>
      <c r="B1796" t="n">
        <v>0.3446798177325125</v>
      </c>
      <c r="C1796" t="n">
        <v>0.67228571260521</v>
      </c>
      <c r="D1796" t="n">
        <v>0.5327467253274673</v>
      </c>
      <c r="E1796" t="n">
        <v>0.8323167683231677</v>
      </c>
    </row>
    <row r="1797">
      <c r="A1797" t="inlineStr">
        <is>
          <t>S|ORIG_BAL x ASSET_CLASS · SYS_FLAG Y vs N|gco_rate|v|3</t>
        </is>
      </c>
      <c r="B1797" t="n">
        <v>1.177698986395448</v>
      </c>
      <c r="C1797" t="n">
        <v>2.444471088713551</v>
      </c>
      <c r="D1797" t="n">
        <v>1.247447535581461</v>
      </c>
      <c r="E1797" t="n">
        <v>1.488129960094538</v>
      </c>
    </row>
    <row r="1798">
      <c r="A1798" t="inlineStr">
        <is>
          <t>S|ORIG_BAL x ASSET_CLASS · SYS_FLAG Y vs N|gco_rate|p|3</t>
        </is>
      </c>
      <c r="B1798" t="n">
        <v>0.7240328598719076</v>
      </c>
      <c r="C1798" t="n">
        <v>0.1774822517748225</v>
      </c>
      <c r="D1798" t="n">
        <v>0.6930418069304181</v>
      </c>
      <c r="E1798" t="n">
        <v>0.338632803386328</v>
      </c>
    </row>
    <row r="1799">
      <c r="A1799" t="inlineStr">
        <is>
          <t>S|ORIG_BAL x ASSET_CLASS · SYS_FLAG Y vs N|gco_rate|v|4</t>
        </is>
      </c>
      <c r="B1799" t="n">
        <v>2.106717796511318</v>
      </c>
      <c r="C1799" t="n">
        <v>1.649936989089542</v>
      </c>
      <c r="D1799" t="n">
        <v>1.918053769152986</v>
      </c>
      <c r="E1799" t="n">
        <v>2.64432710057913</v>
      </c>
    </row>
    <row r="1800">
      <c r="A1800" t="inlineStr">
        <is>
          <t>S|ORIG_BAL x ASSET_CLASS · SYS_FLAG Y vs N|gco_rate|p|4</t>
        </is>
      </c>
      <c r="B1800" t="n">
        <v>0.243753402437534</v>
      </c>
      <c r="C1800" t="n">
        <v>0.3411966495658127</v>
      </c>
      <c r="D1800" t="n">
        <v>0.1845529732741012</v>
      </c>
      <c r="E1800" t="n">
        <v>0.009332400093324001</v>
      </c>
    </row>
    <row r="1801">
      <c r="A1801" t="inlineStr">
        <is>
          <t>S|ORIG_BAL x ASSET_CLASS · SYS_FLAG Y vs N|gco_rate|v|5</t>
        </is>
      </c>
      <c r="B1801" t="n">
        <v>3.97132144778733</v>
      </c>
      <c r="C1801" t="n">
        <v>1.755265983582352</v>
      </c>
      <c r="D1801" t="n">
        <v>2.171036115230657</v>
      </c>
      <c r="E1801" t="n">
        <v>1.944508834951082</v>
      </c>
    </row>
    <row r="1802">
      <c r="A1802" t="inlineStr">
        <is>
          <t>S|ORIG_BAL x ASSET_CLASS · SYS_FLAG Y vs N|gco_rate|p|5</t>
        </is>
      </c>
      <c r="B1802" t="n">
        <v>0.011998800119988</v>
      </c>
      <c r="C1802" t="n">
        <v>0.338632803386328</v>
      </c>
      <c r="D1802" t="n">
        <v>0.227977202279772</v>
      </c>
      <c r="E1802" t="n">
        <v>0.1845529732741012</v>
      </c>
    </row>
    <row r="1803">
      <c r="A1803" t="inlineStr">
        <is>
          <t>S|ORIG_BAL x ASSET_CLASS · SYS_FLAG Y vs N|gco_rate|v|6</t>
        </is>
      </c>
    </row>
    <row r="1804">
      <c r="A1804" t="inlineStr">
        <is>
          <t>S|ORIG_BAL x ASSET_CLASS · SYS_FLAG Y vs N|gco_rate|p|6</t>
        </is>
      </c>
    </row>
    <row r="1805">
      <c r="A1805" t="inlineStr">
        <is>
          <t>S|ORIG_BAL x ASSET_CLASS · SYS_FLAG Y vs N|sum|4</t>
        </is>
      </c>
      <c r="B1805" t="inlineStr">
        <is>
          <t>Kept after losses</t>
        </is>
      </c>
      <c r="C1805" t="n">
        <v>20</v>
      </c>
      <c r="D1805" t="inlineStr">
        <is>
          <t>17 of 20</t>
        </is>
      </c>
      <c r="E1805" t="n">
        <v>-2.615907231507666</v>
      </c>
      <c r="F1805" t="n">
        <v>0.4661900665856478</v>
      </c>
      <c r="G1805" t="inlineStr">
        <is>
          <t>pts</t>
        </is>
      </c>
      <c r="H1805" t="n">
        <v>9.999000099990002e-05</v>
      </c>
      <c r="L1805" t="inlineStr">
        <is>
          <t>not tested: dollar rate</t>
        </is>
      </c>
    </row>
    <row r="1806">
      <c r="A1806" t="inlineStr">
        <is>
          <t>S|ORIG_BAL x ASSET_CLASS · SYS_FLAG Y vs N|ranr_rate|meta</t>
        </is>
      </c>
      <c r="B1806" t="inlineStr">
        <is>
          <t>pts</t>
        </is>
      </c>
      <c r="C1806" t="n">
        <v>7.421359624</v>
      </c>
    </row>
    <row r="1807">
      <c r="A1807" t="inlineStr">
        <is>
          <t>S|ORIG_BAL x ASSET_CLASS · SYS_FLAG Y vs N|ranr_rate|v|1</t>
        </is>
      </c>
      <c r="B1807" t="n">
        <v>-3.111155147</v>
      </c>
      <c r="C1807" t="n">
        <v>-4.904053458</v>
      </c>
      <c r="D1807" t="n">
        <v>-1.872099247</v>
      </c>
      <c r="E1807" t="n">
        <v>-1.555920985</v>
      </c>
    </row>
    <row r="1808">
      <c r="A1808" t="inlineStr">
        <is>
          <t>S|ORIG_BAL x ASSET_CLASS · SYS_FLAG Y vs N|ranr_rate|p|1</t>
        </is>
      </c>
      <c r="B1808" t="n">
        <v>0.185759201857592</v>
      </c>
      <c r="C1808" t="n">
        <v>0.05899410058994101</v>
      </c>
      <c r="D1808" t="n">
        <v>0.5247475252474753</v>
      </c>
      <c r="E1808" t="n">
        <v>0.5478202179782022</v>
      </c>
    </row>
    <row r="1809">
      <c r="A1809" t="inlineStr">
        <is>
          <t>S|ORIG_BAL x ASSET_CLASS · SYS_FLAG Y vs N|ranr_rate|v|2</t>
        </is>
      </c>
      <c r="B1809" t="n">
        <v>-4.438493177</v>
      </c>
      <c r="C1809" t="n">
        <v>0.531302104</v>
      </c>
      <c r="D1809" t="n">
        <v>-1.885029486</v>
      </c>
      <c r="E1809" t="n">
        <v>3.741260553</v>
      </c>
    </row>
    <row r="1810">
      <c r="A1810" t="inlineStr">
        <is>
          <t>S|ORIG_BAL x ASSET_CLASS · SYS_FLAG Y vs N|ranr_rate|p|2</t>
        </is>
      </c>
      <c r="B1810" t="n">
        <v>0.153984601539846</v>
      </c>
      <c r="C1810" t="n">
        <v>0.8080244607118235</v>
      </c>
      <c r="D1810" t="n">
        <v>0.5247475252474753</v>
      </c>
      <c r="E1810" t="n">
        <v>0.185759201857592</v>
      </c>
    </row>
    <row r="1811">
      <c r="A1811" t="inlineStr">
        <is>
          <t>S|ORIG_BAL x ASSET_CLASS · SYS_FLAG Y vs N|ranr_rate|v|3</t>
        </is>
      </c>
      <c r="B1811" t="n">
        <v>-0.88426191</v>
      </c>
      <c r="C1811" t="n">
        <v>-1.626025211</v>
      </c>
      <c r="D1811" t="n">
        <v>0.268072748</v>
      </c>
      <c r="E1811" t="n">
        <v>-2.18765542</v>
      </c>
    </row>
    <row r="1812">
      <c r="A1812" t="inlineStr">
        <is>
          <t>S|ORIG_BAL x ASSET_CLASS · SYS_FLAG Y vs N|ranr_rate|p|3</t>
        </is>
      </c>
      <c r="B1812" t="n">
        <v>0.7221500072215001</v>
      </c>
      <c r="C1812" t="n">
        <v>0.4714913124072208</v>
      </c>
      <c r="D1812" t="n">
        <v>0.8843115688431157</v>
      </c>
      <c r="E1812" t="n">
        <v>0.4231243542312435</v>
      </c>
    </row>
    <row r="1813">
      <c r="A1813" t="inlineStr">
        <is>
          <t>S|ORIG_BAL x ASSET_CLASS · SYS_FLAG Y vs N|ranr_rate|v|4</t>
        </is>
      </c>
      <c r="B1813" t="n">
        <v>-1.110432602</v>
      </c>
      <c r="C1813" t="n">
        <v>-2.363077353</v>
      </c>
      <c r="D1813" t="n">
        <v>-4.98094396</v>
      </c>
      <c r="E1813" t="n">
        <v>-7.421359624</v>
      </c>
    </row>
    <row r="1814">
      <c r="A1814" t="inlineStr">
        <is>
          <t>S|ORIG_BAL x ASSET_CLASS · SYS_FLAG Y vs N|ranr_rate|p|4</t>
        </is>
      </c>
      <c r="B1814" t="n">
        <v>0.652522982995818</v>
      </c>
      <c r="C1814" t="n">
        <v>0.382870803828708</v>
      </c>
      <c r="D1814" t="n">
        <v>0.097323600973236</v>
      </c>
      <c r="E1814" t="n">
        <v>0.00999900009999</v>
      </c>
    </row>
    <row r="1815">
      <c r="A1815" t="inlineStr">
        <is>
          <t>S|ORIG_BAL x ASSET_CLASS · SYS_FLAG Y vs N|ranr_rate|v|5</t>
        </is>
      </c>
      <c r="B1815" t="n">
        <v>-3.316534663</v>
      </c>
      <c r="C1815" t="n">
        <v>-3.591415331</v>
      </c>
      <c r="D1815" t="n">
        <v>-2.097966507</v>
      </c>
      <c r="E1815" t="n">
        <v>-3.307182716</v>
      </c>
    </row>
    <row r="1816">
      <c r="A1816" t="inlineStr">
        <is>
          <t>S|ORIG_BAL x ASSET_CLASS · SYS_FLAG Y vs N|ranr_rate|p|5</t>
        </is>
      </c>
      <c r="B1816" t="n">
        <v>0.185759201857592</v>
      </c>
      <c r="C1816" t="n">
        <v>0.1583841615838416</v>
      </c>
      <c r="D1816" t="n">
        <v>0.3487651234876512</v>
      </c>
      <c r="E1816" t="n">
        <v>0.185759201857592</v>
      </c>
    </row>
    <row r="1817">
      <c r="A1817" t="inlineStr">
        <is>
          <t>S|ORIG_BAL x ASSET_CLASS · SYS_FLAG Y vs N|ranr_rate|v|6</t>
        </is>
      </c>
    </row>
    <row r="1818">
      <c r="A1818" t="inlineStr">
        <is>
          <t>S|ORIG_BAL x ASSET_CLASS · SYS_FLAG Y vs N|ranr_rate|p|6</t>
        </is>
      </c>
    </row>
    <row r="1819">
      <c r="A1819" t="inlineStr">
        <is>
          <t>S|ORIG_BAL x ASSET_CLASS · SYS_FLAG Y vs N|sum|5</t>
        </is>
      </c>
      <c r="B1819" t="inlineStr">
        <is>
          <t>Earned before losses</t>
        </is>
      </c>
      <c r="C1819" t="n">
        <v>20</v>
      </c>
      <c r="D1819" t="inlineStr">
        <is>
          <t>14 of 20</t>
        </is>
      </c>
      <c r="E1819" t="n">
        <v>-0.1748684427117886</v>
      </c>
      <c r="F1819" t="n">
        <v>0.3021826111438509</v>
      </c>
      <c r="G1819" t="inlineStr">
        <is>
          <t>pts</t>
        </is>
      </c>
      <c r="H1819" t="n">
        <v>0.6424357564243576</v>
      </c>
      <c r="L1819" t="inlineStr">
        <is>
          <t>not tested: dollar rate</t>
        </is>
      </c>
    </row>
    <row r="1820">
      <c r="A1820" t="inlineStr">
        <is>
          <t>S|ORIG_BAL x ASSET_CLASS · SYS_FLAG Y vs N|contribution_rate|meta</t>
        </is>
      </c>
      <c r="B1820" t="inlineStr">
        <is>
          <t>pts</t>
        </is>
      </c>
      <c r="C1820" t="n">
        <v>3.355339911</v>
      </c>
    </row>
    <row r="1821">
      <c r="A1821" t="inlineStr">
        <is>
          <t>S|ORIG_BAL x ASSET_CLASS · SYS_FLAG Y vs N|contribution_rate|v|1</t>
        </is>
      </c>
      <c r="B1821" t="n">
        <v>-0.497434561</v>
      </c>
      <c r="C1821" t="n">
        <v>-1.223695846</v>
      </c>
      <c r="D1821" t="n">
        <v>0.52977177</v>
      </c>
      <c r="E1821" t="n">
        <v>-0.579853039</v>
      </c>
    </row>
    <row r="1822">
      <c r="A1822" t="inlineStr">
        <is>
          <t>S|ORIG_BAL x ASSET_CLASS · SYS_FLAG Y vs N|contribution_rate|p|1</t>
        </is>
      </c>
      <c r="B1822" t="n">
        <v>0.964727056706094</v>
      </c>
      <c r="C1822" t="n">
        <v>0.9425724094257242</v>
      </c>
      <c r="D1822" t="n">
        <v>0.964727056706094</v>
      </c>
      <c r="E1822" t="n">
        <v>0.964727056706094</v>
      </c>
    </row>
    <row r="1823">
      <c r="A1823" t="inlineStr">
        <is>
          <t>S|ORIG_BAL x ASSET_CLASS · SYS_FLAG Y vs N|contribution_rate|v|2</t>
        </is>
      </c>
      <c r="B1823" t="n">
        <v>-2.285746751</v>
      </c>
      <c r="C1823" t="n">
        <v>-0.316025118</v>
      </c>
      <c r="D1823" t="n">
        <v>-0.351314592</v>
      </c>
      <c r="E1823" t="n">
        <v>3.355339911</v>
      </c>
    </row>
    <row r="1824">
      <c r="A1824" t="inlineStr">
        <is>
          <t>S|ORIG_BAL x ASSET_CLASS · SYS_FLAG Y vs N|contribution_rate|p|2</t>
        </is>
      </c>
      <c r="B1824" t="n">
        <v>0.8529147085291471</v>
      </c>
      <c r="C1824" t="n">
        <v>0.964727056706094</v>
      </c>
      <c r="D1824" t="n">
        <v>0.964727056706094</v>
      </c>
      <c r="E1824" t="n">
        <v>0.155984401559844</v>
      </c>
    </row>
    <row r="1825">
      <c r="A1825" t="inlineStr">
        <is>
          <t>S|ORIG_BAL x ASSET_CLASS · SYS_FLAG Y vs N|contribution_rate|v|3</t>
        </is>
      </c>
      <c r="B1825" t="n">
        <v>-0.290080227</v>
      </c>
      <c r="C1825" t="n">
        <v>0.906371484</v>
      </c>
      <c r="D1825" t="n">
        <v>0.966868615</v>
      </c>
      <c r="E1825" t="n">
        <v>-0.052290622</v>
      </c>
    </row>
    <row r="1826">
      <c r="A1826" t="inlineStr">
        <is>
          <t>S|ORIG_BAL x ASSET_CLASS · SYS_FLAG Y vs N|contribution_rate|p|3</t>
        </is>
      </c>
      <c r="B1826" t="n">
        <v>0.964727056706094</v>
      </c>
      <c r="C1826" t="n">
        <v>0.9425724094257242</v>
      </c>
      <c r="D1826" t="n">
        <v>0.9437056294370564</v>
      </c>
      <c r="E1826" t="n">
        <v>0.9672032796720329</v>
      </c>
    </row>
    <row r="1827">
      <c r="A1827" t="inlineStr">
        <is>
          <t>S|ORIG_BAL x ASSET_CLASS · SYS_FLAG Y vs N|contribution_rate|v|4</t>
        </is>
      </c>
      <c r="B1827" t="n">
        <v>1.074218202</v>
      </c>
      <c r="C1827" t="n">
        <v>-0.633787875</v>
      </c>
      <c r="D1827" t="n">
        <v>-1.640935028</v>
      </c>
      <c r="E1827" t="n">
        <v>-0.998631503</v>
      </c>
    </row>
    <row r="1828">
      <c r="A1828" t="inlineStr">
        <is>
          <t>S|ORIG_BAL x ASSET_CLASS · SYS_FLAG Y vs N|contribution_rate|p|4</t>
        </is>
      </c>
      <c r="B1828" t="n">
        <v>0.9425724094257242</v>
      </c>
      <c r="C1828" t="n">
        <v>0.964727056706094</v>
      </c>
      <c r="D1828" t="n">
        <v>0.873912608739126</v>
      </c>
      <c r="E1828" t="n">
        <v>0.9425724094257242</v>
      </c>
    </row>
    <row r="1829">
      <c r="A1829" t="inlineStr">
        <is>
          <t>S|ORIG_BAL x ASSET_CLASS · SYS_FLAG Y vs N|contribution_rate|v|5</t>
        </is>
      </c>
      <c r="B1829" t="n">
        <v>1.111458</v>
      </c>
      <c r="C1829" t="n">
        <v>-1.791073634</v>
      </c>
      <c r="D1829" t="n">
        <v>-0.099539247</v>
      </c>
      <c r="E1829" t="n">
        <v>-0.08722374099999999</v>
      </c>
    </row>
    <row r="1830">
      <c r="A1830" t="inlineStr">
        <is>
          <t>S|ORIG_BAL x ASSET_CLASS · SYS_FLAG Y vs N|contribution_rate|p|5</t>
        </is>
      </c>
      <c r="B1830" t="n">
        <v>0.9425724094257242</v>
      </c>
      <c r="C1830" t="n">
        <v>0.873912608739126</v>
      </c>
      <c r="D1830" t="n">
        <v>0.9672032796720329</v>
      </c>
      <c r="E1830" t="n">
        <v>0.9672032796720329</v>
      </c>
    </row>
    <row r="1831">
      <c r="A1831" t="inlineStr">
        <is>
          <t>S|ORIG_BAL x ASSET_CLASS · SYS_FLAG Y vs N|contribution_rate|v|6</t>
        </is>
      </c>
    </row>
    <row r="1832">
      <c r="A1832" t="inlineStr">
        <is>
          <t>S|ORIG_BAL x ASSET_CLASS · SYS_FLAG Y vs N|contribution_rate|p|6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37" t="inlineStr">
        <is>
          <t>The lines in use: what the formulas on the result tabs read</t>
        </is>
      </c>
    </row>
    <row r="2">
      <c r="B2" s="138"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39" t="inlineStr">
        <is>
          <t>Setting</t>
        </is>
      </c>
      <c r="C4" s="139" t="inlineStr">
        <is>
          <t>In use now</t>
        </is>
      </c>
      <c r="D4" s="139" t="inlineStr">
        <is>
          <t>The last Run used</t>
        </is>
      </c>
      <c r="E4" s="139" t="inlineStr">
        <is>
          <t>In words now</t>
        </is>
      </c>
      <c r="F4" s="139" t="inlineStr">
        <is>
          <t>In words at the last Run</t>
        </is>
      </c>
      <c r="K4" s="139" t="inlineStr">
        <is>
          <t>Option (setting|label)</t>
        </is>
      </c>
      <c r="L4" s="139" t="inlineStr">
        <is>
          <t>Kind</t>
        </is>
      </c>
      <c r="M4" s="139" t="inlineStr">
        <is>
          <t>Value</t>
        </is>
      </c>
    </row>
    <row r="5">
      <c r="B5" t="inlineStr">
        <is>
          <t>Worse at (a multiple)</t>
        </is>
      </c>
      <c r="C5">
        <f>IF(AND(Control!$D$15&lt;&gt;"",Control!$D$15&lt;&gt;"n/a"),Control!$D$15,IFERROR(INDEX($M$5:$M$400,MATCH("worse_at|"&amp;Control!$C$15,$K$5:$K$400,0)),IF(ISNUMBER(Control!$C$15),Control!$C$15,VALUE(Control!$C$15))))</f>
        <v/>
      </c>
      <c r="D5" t="n">
        <v>1.34</v>
      </c>
      <c r="E5">
        <f>IFERROR("worse at "&amp;TEXT(C5,"0.00")&amp;"x","no usable answer on Control")</f>
        <v/>
      </c>
      <c r="F5" t="inlineStr">
        <is>
          <t>worse at 1.34x</t>
        </is>
      </c>
      <c r="K5" t="inlineStr">
        <is>
          <t>materiality|0.5% of the book's total losses</t>
        </is>
      </c>
      <c r="L5" t="inlineStr">
        <is>
          <t>share</t>
        </is>
      </c>
      <c r="M5" t="n">
        <v>0.005</v>
      </c>
    </row>
    <row r="6">
      <c r="B6" t="inlineStr">
        <is>
          <t>Better at (a multiple)</t>
        </is>
      </c>
      <c r="C6">
        <f>IF(AND(Control!$D$16&lt;&gt;"",Control!$D$16&lt;&gt;"n/a"),Control!$D$16,IFERROR(INDEX($M$5:$M$400,MATCH("better_at|"&amp;Control!$C$16,$K$5:$K$400,0)),IF(ISNUMBER(Control!$C$16),Control!$C$16,VALUE(Control!$C$16))))</f>
        <v/>
      </c>
      <c r="D6" t="n">
        <v>0.75</v>
      </c>
      <c r="E6">
        <f>IFERROR("better at "&amp;TEXT(C6,"0.00")&amp;"x","no usable answer on Control")</f>
        <v/>
      </c>
      <c r="F6" t="inlineStr">
        <is>
          <t>better at 0.75x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f>IFERROR(INDEX($M$5:$M$400,MATCH("compare_to|"&amp;Control!$C$20,$K$5:$K$400,0))="peers",NA())</f>
        <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$107,354</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107353.5509</v>
      </c>
      <c r="K12" t="inlineStr">
        <is>
          <t>compare_to|The rest of the book</t>
        </is>
      </c>
      <c r="M12" t="inlineStr">
        <is>
          <t>topline</t>
        </is>
      </c>
    </row>
    <row r="13">
      <c r="B13" t="inlineStr">
        <is>
          <t>Profit line: each pocket's own test, points or dollars</t>
        </is>
      </c>
      <c r="C13">
        <f>IF(AND(Control!$D$17&lt;&gt;"",Control!$D$17&lt;&gt;"n/a"),"points",IFERROR(INDEX($L$5:$L$400,MATCH("revenue_line|"&amp;Control!$C$17,$K$5:$K$400,0)),IFERROR(IF(VALUE(Control!$C$17)&gt;0,"points",NA()),NA())))</f>
        <v/>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t="n">
        <v>1.34</v>
      </c>
    </row>
    <row r="14">
      <c r="B14" t="inlineStr">
        <is>
          <t>Profit line (0.0025 = 0.25 points; dollars for the materiality line)</t>
        </is>
      </c>
      <c r="C14">
        <f>IF(C13="points",IF(AND(Control!$D$17&lt;&gt;"",Control!$D$17&lt;&gt;"n/a"),Control!$D$17,IFERROR(INDEX($M$5:$M$400,MATCH("revenue_line|"&amp;Control!$C$17,$K$5:$K$400,0)),VALUE(Control!$C$17)))/100,IF(C13="dollars",C12,0))</f>
        <v/>
      </c>
      <c r="D14" t="n">
        <v>0</v>
      </c>
      <c r="K14" t="inlineStr">
        <is>
          <t>worse_at|1.25 times</t>
        </is>
      </c>
      <c r="M14" t="n">
        <v>1.25</v>
      </c>
    </row>
    <row r="15">
      <c r="B15" t="inlineStr">
        <is>
          <t>The book's GCO (from the Run)</t>
        </is>
      </c>
      <c r="C15" t="n">
        <v>10735355.09</v>
      </c>
      <c r="D15" t="n">
        <v>10735355.09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1.34x and better at 0.75x (the loss line); profit line each pocket's own test; 95% sure; materiality 1.0% of the book's GCO, $107,354; judged against the rest of its band.</t>
        </is>
      </c>
      <c r="K17" t="inlineStr">
        <is>
          <t>better_at|The smallest significant gap in a typical pocket (suggested)</t>
        </is>
      </c>
      <c r="M17" t="n">
        <v>0.75</v>
      </c>
    </row>
    <row r="18">
      <c r="K18" t="inlineStr">
        <is>
          <t>better_at|0.8 times</t>
        </is>
      </c>
      <c r="M18" t="n">
        <v>0.8</v>
      </c>
    </row>
    <row r="19">
      <c r="B19" s="139" t="inlineStr">
        <is>
          <t>Each rate's materiality line</t>
        </is>
      </c>
      <c r="C19" s="139" t="inlineStr">
        <is>
          <t>In use now</t>
        </is>
      </c>
      <c r="D19" s="139" t="inlineStr">
        <is>
          <t>The last Run used</t>
        </is>
      </c>
      <c r="E19" s="139" t="inlineStr">
        <is>
          <t>The rate's book total, for a share</t>
        </is>
      </c>
      <c r="G19" s="139" t="inlineStr">
        <is>
          <t>Rate (key)</t>
        </is>
      </c>
      <c r="K19" t="inlineStr">
        <is>
          <t>better_at|0.67 times</t>
        </is>
      </c>
      <c r="M19" t="n">
        <v>0.67</v>
      </c>
    </row>
    <row r="20">
      <c r="B20" t="inlineStr">
        <is>
          <t>Outcome, share of loans</t>
        </is>
      </c>
      <c r="C20">
        <f>IF(C10="share",C11*E20,IF(C10="none",0,""))</f>
        <v/>
      </c>
      <c r="D20" t="n">
        <v>6.19</v>
      </c>
      <c r="E20" t="n">
        <v>619</v>
      </c>
      <c r="G20" t="inlineStr">
        <is>
          <t>outcome_loans</t>
        </is>
      </c>
      <c r="K20" t="inlineStr">
        <is>
          <t>better_at|0.5 times</t>
        </is>
      </c>
      <c r="M20" t="n">
        <v>0.5</v>
      </c>
    </row>
    <row r="21">
      <c r="B21" t="inlineStr">
        <is>
          <t>Outcome, share of booked dollars</t>
        </is>
      </c>
      <c r="C21">
        <f>IF(C10="share",C11*E21,IF(C10="none",0,""))</f>
        <v/>
      </c>
      <c r="D21" t="n">
        <v>193082.0206000001</v>
      </c>
      <c r="E21" t="n">
        <v>19308202.06000001</v>
      </c>
      <c r="G21" t="inlineStr">
        <is>
          <t>outcome_booked</t>
        </is>
      </c>
      <c r="K21" t="inlineStr">
        <is>
          <t>revenue_line|Each pocket's own test (suggested)</t>
        </is>
      </c>
      <c r="L21" t="inlineStr">
        <is>
          <t>test</t>
        </is>
      </c>
      <c r="M21" t="n">
        <v>0</v>
      </c>
    </row>
    <row r="22">
      <c r="B22" t="inlineStr">
        <is>
          <t>GCO per booked dollar</t>
        </is>
      </c>
      <c r="C22">
        <f>C12</f>
        <v/>
      </c>
      <c r="D22" t="n">
        <v>107353.5509</v>
      </c>
      <c r="E22" t="n">
        <v>10735355.09</v>
      </c>
      <c r="G22" t="inlineStr">
        <is>
          <t>gco_rate</t>
        </is>
      </c>
      <c r="K22" t="inlineStr">
        <is>
          <t>revenue_line|0.25 points either way</t>
        </is>
      </c>
      <c r="L22" t="inlineStr">
        <is>
          <t>points</t>
        </is>
      </c>
      <c r="M22" t="n">
        <v>0.25</v>
      </c>
    </row>
    <row r="23">
      <c r="B23" t="inlineStr">
        <is>
          <t>Profit after losses: RANR per booked dollar</t>
        </is>
      </c>
      <c r="C23">
        <f>C12</f>
        <v/>
      </c>
      <c r="D23" t="n">
        <v>107353.5509</v>
      </c>
      <c r="E23" t="n">
        <v>33030193.2200001</v>
      </c>
      <c r="G23" t="inlineStr">
        <is>
          <t>ranr_rate</t>
        </is>
      </c>
      <c r="K23" t="inlineStr">
        <is>
          <t>revenue_line|0.5 points either way</t>
        </is>
      </c>
      <c r="L23" t="inlineStr">
        <is>
          <t>points</t>
        </is>
      </c>
      <c r="M23" t="n">
        <v>0.5</v>
      </c>
    </row>
    <row r="24">
      <c r="B24" t="inlineStr">
        <is>
          <t>Contribution before losses per booked dollar</t>
        </is>
      </c>
      <c r="C24">
        <f>C12</f>
        <v/>
      </c>
      <c r="D24" t="n">
        <v>107353.5509</v>
      </c>
      <c r="E24" t="n">
        <v>43759731.33000007</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J1198"/>
  <sheetViews>
    <sheetView tabSelected="0" workbookViewId="0">
      <pane ySplit="3" topLeftCell="A4" activePane="bottomLeft" state="frozen"/>
      <selection pane="bottomLeft" activeCell="A1" sqref="A1"/>
    </sheetView>
  </sheetViews>
  <sheetFormatPr baseColWidth="8" defaultRowHeight="15"/>
  <sheetData>
    <row r="1">
      <c r="A1" s="139" t="inlineStr">
        <is>
          <t>Every pocket's numbers from the last Run (columns A to U), and the formulas that read them with the lines on Control (V onwards).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40" t="inlineStr">
        <is>
          <t>Grids or three-way</t>
        </is>
      </c>
      <c r="B3" s="140" t="inlineStr">
        <is>
          <t>Grid</t>
        </is>
      </c>
      <c r="C3" s="140" t="inlineStr">
        <is>
          <t>Band</t>
        </is>
      </c>
      <c r="D3" s="140" t="inlineStr">
        <is>
          <t>Segment</t>
        </is>
      </c>
      <c r="E3" s="140" t="inlineStr">
        <is>
          <t>Rate (key)</t>
        </is>
      </c>
      <c r="F3" s="140" t="inlineStr">
        <is>
          <t>Rate</t>
        </is>
      </c>
      <c r="G3" s="140" t="inlineStr">
        <is>
          <t>Loans</t>
        </is>
      </c>
      <c r="H3" s="140" t="inlineStr">
        <is>
          <t>Booked dollars (the rate's bottom)</t>
        </is>
      </c>
      <c r="I3" s="140" t="inlineStr">
        <is>
          <t>Too few losses to test (fewest losses is a Run setting)</t>
        </is>
      </c>
      <c r="J3" s="140" t="inlineStr">
        <is>
          <t>Alone in its band</t>
        </is>
      </c>
      <c r="K3" s="140" t="inlineStr">
        <is>
          <t>Vs rest of book (a multiple; profit: the gap, 0.01 = 1 point)</t>
        </is>
      </c>
      <c r="L3" s="140" t="inlineStr">
        <is>
          <t>p-value vs book, after the allowance</t>
        </is>
      </c>
      <c r="M3" s="140" t="inlineStr">
        <is>
          <t>Vs rest of band</t>
        </is>
      </c>
      <c r="N3" s="140" t="inlineStr">
        <is>
          <t>p-value vs band, after the allowance</t>
        </is>
      </c>
      <c r="O3" s="140" t="inlineStr">
        <is>
          <t>Excess over the rest of the book ($)</t>
        </is>
      </c>
      <c r="P3" s="140" t="inlineStr">
        <is>
          <t>Excess over its band ($)</t>
        </is>
      </c>
      <c r="Q3" s="140" t="inlineStr">
        <is>
          <t>Materiality line in use (from _live)</t>
        </is>
      </c>
      <c r="R3" s="140" t="inlineStr">
        <is>
          <t>Test vs book</t>
        </is>
      </c>
      <c r="S3" s="140" t="inlineStr">
        <is>
          <t>Test vs band</t>
        </is>
      </c>
      <c r="T3" s="140" t="inlineStr">
        <is>
          <t>Rest of book's rate</t>
        </is>
      </c>
      <c r="U3" s="140" t="inlineStr">
        <is>
          <t>Rest of band's rate</t>
        </is>
      </c>
      <c r="V3" s="141" t="inlineStr">
        <is>
          <t>Judged against its band?</t>
        </is>
      </c>
      <c r="W3" s="141" t="inlineStr">
        <is>
          <t>Reading vs book</t>
        </is>
      </c>
      <c r="X3" s="141" t="inlineStr">
        <is>
          <t>Reading vs band</t>
        </is>
      </c>
      <c r="Y3" s="141" t="inlineStr">
        <is>
          <t>Flag</t>
        </is>
      </c>
      <c r="Z3" s="141" t="inlineStr">
        <is>
          <t>Dollars that decide</t>
        </is>
      </c>
      <c r="AA3" s="141" t="inlineStr">
        <is>
          <t>Material</t>
        </is>
      </c>
      <c r="AB3" s="141" t="inlineStr">
        <is>
          <t>Gap that decides</t>
        </is>
      </c>
      <c r="AC3" s="141" t="inlineStr">
        <is>
          <t>p-value that decides</t>
        </is>
      </c>
      <c r="AD3" s="141" t="inlineStr">
        <is>
          <t>Flag as the tabs print it</t>
        </is>
      </c>
      <c r="AE3" s="141" t="inlineStr">
        <is>
          <t>Test, as printed</t>
        </is>
      </c>
      <c r="AF3" s="141" t="inlineStr">
        <is>
          <t>Rest's rate that decides</t>
        </is>
      </c>
      <c r="AG3" s="141" t="inlineStr">
        <is>
          <t>The other dollars, for reference</t>
        </is>
      </c>
      <c r="AH3" s="141" t="inlineStr">
        <is>
          <t>This pocket's rate</t>
        </is>
      </c>
      <c r="AI3" s="141" t="inlineStr">
        <is>
          <t>Worse?</t>
        </is>
      </c>
      <c r="AJ3" s="141" t="inlineStr">
        <is>
          <t>Material?</t>
        </is>
      </c>
    </row>
    <row r="4">
      <c r="A4" t="inlineStr">
        <is>
          <t>grids</t>
        </is>
      </c>
      <c r="B4" t="inlineStr">
        <is>
          <t>FICO x CHANNEL</t>
        </is>
      </c>
      <c r="C4" t="inlineStr">
        <is>
          <t>(marked missing)</t>
        </is>
      </c>
      <c r="D4" t="inlineStr">
        <is>
          <t>Online</t>
        </is>
      </c>
      <c r="E4" t="inlineStr">
        <is>
          <t>outcome_loans</t>
        </is>
      </c>
      <c r="F4" t="inlineStr">
        <is>
          <t>Outcome, share of loans</t>
        </is>
      </c>
      <c r="G4" t="n">
        <v>55</v>
      </c>
      <c r="H4" t="n">
        <v>55</v>
      </c>
      <c r="I4" t="b">
        <v>1</v>
      </c>
      <c r="J4" t="b">
        <v>0</v>
      </c>
      <c r="K4" t="n">
        <v>0.4681891852070134</v>
      </c>
      <c r="M4" t="n">
        <v>0.4772727272727272</v>
      </c>
      <c r="O4" t="n">
        <v>-2.271777442094662</v>
      </c>
      <c r="P4" t="n">
        <v>-2.190476190476191</v>
      </c>
      <c r="Q4">
        <f>'_live'!$C$20</f>
        <v/>
      </c>
      <c r="T4" t="n">
        <v>0.0776686807653575</v>
      </c>
      <c r="U4" t="n">
        <v>0.0761904761904762</v>
      </c>
      <c r="V4">
        <f>AND(judged_band,NOT($J4))</f>
        <v/>
      </c>
      <c r="W4">
        <f>IF($K4="","",IF($I4,"too few losses to test",IF(AND($K4&gt;better_at,$K4&lt;worse_at),"in line",IF($K4&gt;=worse_at,IF(AND(ISNUMBER($L4),$L4&lt;significance_bar),"worse","worse, not significant"),IF(AND(ISNUMBER($L4),$L4&lt;significance_bar),"better","better, not significant")))))</f>
        <v/>
      </c>
      <c r="X4">
        <f>IF($M4="","",IF($I4,"too few losses to test",IF(AND($M4&gt;better_at,$M4&lt;worse_at),"in line",IF($M4&gt;=worse_at,IF(AND(ISNUMBER($N4),$N4&lt;significance_bar),"worse","worse, not significant"),IF(AND(ISNUMBER($N4),$N4&lt;significance_bar),"better","better, not significant")))))</f>
        <v/>
      </c>
      <c r="Y4">
        <f>IF($V4,$X4,$W4)</f>
        <v/>
      </c>
      <c r="Z4">
        <f>IF($V4,IF($P4="","",$P4),IF($O4="","",$O4))</f>
        <v/>
      </c>
      <c r="AA4">
        <f>IF(OR($Q4="",$Z4=""),"",IF(AND($Z4&gt;0,$Z4&gt;=$Q4),"yes","below the line"))</f>
        <v/>
      </c>
      <c r="AB4">
        <f>IF($V4,IF($M4="","",$M4),IF($K4="","",$K4))</f>
        <v/>
      </c>
      <c r="AC4">
        <f>IF($V4,IF($N4="","",$N4),IF($L4="","",$L4))</f>
        <v/>
      </c>
      <c r="AD4">
        <f>$Y4</f>
        <v/>
      </c>
      <c r="AE4">
        <f>IF($V4,IF($S4="","",$S4),IF($R4="","",$R4))</f>
        <v/>
      </c>
      <c r="AF4">
        <f>IF($V4,IF($U4="","",$U4),IF($T4="","",$T4))</f>
        <v/>
      </c>
      <c r="AG4">
        <f>IF($V4,IF($O4="","",$O4),IF($P4="","",$P4))</f>
        <v/>
      </c>
      <c r="AH4" t="n">
        <v>0.03636363636363636</v>
      </c>
      <c r="AI4">
        <f>IF($Y4="worse","Yes",IF($Y4="worse, not significant","Not sure",IF(OR($Y4="too few losses to test",$Y4="too few loans to test"),"Too few losses",IF($Y4="","","No"))))</f>
        <v/>
      </c>
      <c r="AJ4">
        <f>IF($AA4="yes","Yes",IF($AA4="","","No"))</f>
        <v/>
      </c>
    </row>
    <row r="5">
      <c r="A5" t="inlineStr">
        <is>
          <t>grids</t>
        </is>
      </c>
      <c r="B5" t="inlineStr">
        <is>
          <t>FICO x CHANNEL</t>
        </is>
      </c>
      <c r="C5" t="inlineStr">
        <is>
          <t>(marked missing)</t>
        </is>
      </c>
      <c r="D5" t="inlineStr">
        <is>
          <t>Online</t>
        </is>
      </c>
      <c r="E5" t="inlineStr">
        <is>
          <t>outcome_booked</t>
        </is>
      </c>
      <c r="F5" t="inlineStr">
        <is>
          <t>Outcome, share of booked dollars</t>
        </is>
      </c>
      <c r="G5" t="n">
        <v>55</v>
      </c>
      <c r="H5" t="n">
        <v>1848729.24</v>
      </c>
      <c r="I5" t="b">
        <v>1</v>
      </c>
      <c r="J5" t="b">
        <v>0</v>
      </c>
      <c r="K5" t="n">
        <v>0.3894539005046767</v>
      </c>
      <c r="M5" t="n">
        <v>0.5020804867348562</v>
      </c>
      <c r="O5" t="n">
        <v>-84833.01412374644</v>
      </c>
      <c r="P5" t="n">
        <v>-53664.6496016724</v>
      </c>
      <c r="Q5">
        <f>'_live'!$C$21</f>
        <v/>
      </c>
      <c r="T5" t="n">
        <v>0.07515763861870137</v>
      </c>
      <c r="U5" t="n">
        <v>0.05829829337349172</v>
      </c>
      <c r="V5">
        <f>AND(judged_band,NOT($J5))</f>
        <v/>
      </c>
      <c r="W5">
        <f>IF($K5="","",IF($I5,"too few losses to test",IF(AND($K5&gt;better_at,$K5&lt;worse_at),"in line",IF($K5&gt;=worse_at,IF(AND(ISNUMBER($L5),$L5&lt;significance_bar),"worse","worse, not significant"),IF(AND(ISNUMBER($L5),$L5&lt;significance_bar),"better","better, not significant")))))</f>
        <v/>
      </c>
      <c r="X5">
        <f>IF($M5="","",IF($I5,"too few losses to test",IF(AND($M5&gt;better_at,$M5&lt;worse_at),"in line",IF($M5&gt;=worse_at,IF(AND(ISNUMBER($N5),$N5&lt;significance_bar),"worse","worse, not significant"),IF(AND(ISNUMBER($N5),$N5&lt;significance_bar),"better","better, not significant")))))</f>
        <v/>
      </c>
      <c r="Y5">
        <f>IF($V5,$X5,$W5)</f>
        <v/>
      </c>
      <c r="Z5">
        <f>IF($V5,IF($P5="","",$P5),IF($O5="","",$O5))</f>
        <v/>
      </c>
      <c r="AA5">
        <f>IF(OR($Q5="",$Z5=""),"",IF(AND($Z5&gt;0,$Z5&gt;=$Q5),"yes","below the line"))</f>
        <v/>
      </c>
      <c r="AB5">
        <f>IF($V5,IF($M5="","",$M5),IF($K5="","",$K5))</f>
        <v/>
      </c>
      <c r="AC5">
        <f>IF($V5,IF($N5="","",$N5),IF($L5="","",$L5))</f>
        <v/>
      </c>
      <c r="AD5">
        <f>$Y5</f>
        <v/>
      </c>
      <c r="AE5">
        <f>IF($V5,IF($S5="","",$S5),IF($R5="","",$R5))</f>
        <v/>
      </c>
      <c r="AF5">
        <f>IF($V5,IF($U5="","",$U5),IF($T5="","",$T5))</f>
        <v/>
      </c>
      <c r="AG5">
        <f>IF($V5,IF($O5="","",$O5),IF($P5="","",$P5))</f>
        <v/>
      </c>
      <c r="AH5" t="n">
        <v>0.02927043551277416</v>
      </c>
      <c r="AI5">
        <f>IF($Y5="worse","Yes",IF($Y5="worse, not significant","Not sure",IF(OR($Y5="too few losses to test",$Y5="too few loans to test"),"Too few losses",IF($Y5="","","No"))))</f>
        <v/>
      </c>
      <c r="AJ5">
        <f>IF($AA5="yes","Yes",IF($AA5="","","No"))</f>
        <v/>
      </c>
    </row>
    <row r="6">
      <c r="A6" t="inlineStr">
        <is>
          <t>grids</t>
        </is>
      </c>
      <c r="B6" t="inlineStr">
        <is>
          <t>FICO x CHANNEL</t>
        </is>
      </c>
      <c r="C6" t="inlineStr">
        <is>
          <t>(marked missing)</t>
        </is>
      </c>
      <c r="D6" t="inlineStr">
        <is>
          <t>Online</t>
        </is>
      </c>
      <c r="E6" t="inlineStr">
        <is>
          <t>gco_rate</t>
        </is>
      </c>
      <c r="F6" t="inlineStr">
        <is>
          <t>GCO per booked dollar</t>
        </is>
      </c>
      <c r="G6" t="n">
        <v>55</v>
      </c>
      <c r="H6" t="n">
        <v>1848729.24</v>
      </c>
      <c r="I6" t="b">
        <v>1</v>
      </c>
      <c r="J6" t="b">
        <v>0</v>
      </c>
      <c r="K6" t="n">
        <v>0.4430395970601176</v>
      </c>
      <c r="M6" t="n">
        <v>0.6320770103080136</v>
      </c>
      <c r="O6" t="n">
        <v>-43011.28863544598</v>
      </c>
      <c r="P6" t="n">
        <v>-19915.33465588316</v>
      </c>
      <c r="Q6">
        <f>'_live'!$C$22</f>
        <v/>
      </c>
      <c r="T6" t="n">
        <v>0.04177195717175219</v>
      </c>
      <c r="U6" t="n">
        <v>0.02927907639730043</v>
      </c>
      <c r="V6">
        <f>AND(judged_band,NOT($J6))</f>
        <v/>
      </c>
      <c r="W6">
        <f>IF($K6="","",IF($I6,"too few losses to test",IF(AND($K6&gt;better_at,$K6&lt;worse_at),"in line",IF($K6&gt;=worse_at,IF(AND(ISNUMBER($L6),$L6&lt;significance_bar),"worse","worse, not significant"),IF(AND(ISNUMBER($L6),$L6&lt;significance_bar),"better","better, not significant")))))</f>
        <v/>
      </c>
      <c r="X6">
        <f>IF($M6="","",IF($I6,"too few losses to test",IF(AND($M6&gt;better_at,$M6&lt;worse_at),"in line",IF($M6&gt;=worse_at,IF(AND(ISNUMBER($N6),$N6&lt;significance_bar),"worse","worse, not significant"),IF(AND(ISNUMBER($N6),$N6&lt;significance_bar),"better","better, not significant")))))</f>
        <v/>
      </c>
      <c r="Y6">
        <f>IF($V6,$X6,$W6)</f>
        <v/>
      </c>
      <c r="Z6">
        <f>IF($V6,IF($P6="","",$P6),IF($O6="","",$O6))</f>
        <v/>
      </c>
      <c r="AA6">
        <f>IF(OR($Q6="",$Z6=""),"",IF(AND($Z6&gt;0,$Z6&gt;=$Q6),"yes","below the line"))</f>
        <v/>
      </c>
      <c r="AB6">
        <f>IF($V6,IF($M6="","",$M6),IF($K6="","",$K6))</f>
        <v/>
      </c>
      <c r="AC6">
        <f>IF($V6,IF($N6="","",$N6),IF($L6="","",$L6))</f>
        <v/>
      </c>
      <c r="AD6">
        <f>$Y6</f>
        <v/>
      </c>
      <c r="AE6">
        <f>IF($V6,IF($S6="","",$S6),IF($R6="","",$R6))</f>
        <v/>
      </c>
      <c r="AF6">
        <f>IF($V6,IF($U6="","",$U6),IF($T6="","",$T6))</f>
        <v/>
      </c>
      <c r="AG6">
        <f>IF($V6,IF($O6="","",$O6),IF($P6="","",$P6))</f>
        <v/>
      </c>
      <c r="AH6" t="n">
        <v>0.01850663107378558</v>
      </c>
      <c r="AI6">
        <f>IF($Y6="worse","Yes",IF($Y6="worse, not significant","Not sure",IF(OR($Y6="too few losses to test",$Y6="too few loans to test"),"Too few losses",IF($Y6="","","No"))))</f>
        <v/>
      </c>
      <c r="AJ6">
        <f>IF($AA6="yes","Yes",IF($AA6="","","No"))</f>
        <v/>
      </c>
    </row>
    <row r="7">
      <c r="A7" t="inlineStr">
        <is>
          <t>grids</t>
        </is>
      </c>
      <c r="B7" t="inlineStr">
        <is>
          <t>FICO x CHANNEL</t>
        </is>
      </c>
      <c r="C7" t="inlineStr">
        <is>
          <t>(marked missing)</t>
        </is>
      </c>
      <c r="D7" t="inlineStr">
        <is>
          <t>Online</t>
        </is>
      </c>
      <c r="E7" t="inlineStr">
        <is>
          <t>ranr_rate</t>
        </is>
      </c>
      <c r="F7" t="inlineStr">
        <is>
          <t>Profit after losses: RANR per booked dollar</t>
        </is>
      </c>
      <c r="G7" t="n">
        <v>55</v>
      </c>
      <c r="H7" t="n">
        <v>1848729.24</v>
      </c>
      <c r="I7" t="b">
        <v>0</v>
      </c>
      <c r="J7" t="b">
        <v>0</v>
      </c>
      <c r="K7" t="n">
        <v>0.06212037349722599</v>
      </c>
      <c r="L7" t="n">
        <v>0.03872689654111512</v>
      </c>
      <c r="M7" t="n">
        <v>0.05303168205113509</v>
      </c>
      <c r="N7" t="n">
        <v>0.1167633236676332</v>
      </c>
      <c r="O7" t="n">
        <v>-114843.7508840428</v>
      </c>
      <c r="P7" t="n">
        <v>-98041.22125431665</v>
      </c>
      <c r="Q7">
        <f>'_live'!$C$23</f>
        <v/>
      </c>
      <c r="R7" t="inlineStr">
        <is>
          <t>shuffled: 264 of 10,000</t>
        </is>
      </c>
      <c r="S7" t="inlineStr">
        <is>
          <t>shuffled: 518 of 10,000</t>
        </is>
      </c>
      <c r="T7" t="n">
        <v>0.1275450368902897</v>
      </c>
      <c r="U7" t="n">
        <v>0.1366337283363806</v>
      </c>
      <c r="V7">
        <f>AND(judged_band,NOT($J7))</f>
        <v/>
      </c>
      <c r="W7">
        <f>IF($K7="","",IF(profit_kind="test",IF(OR(NOT(AND(ISNUMBER($L7),$L7&lt;significance_bar)),$K7=0),"in line",IF($K7&lt;0,"worse","better")),IF(OR($K7=0,IF(profit_kind="points",ABS($K7),ABS($K7*$H7))&lt;profit_line*(1-1E-9)),"in line",IF(AND(ISNUMBER($L7),$L7&lt;significance_bar),IF($K7&lt;0,"worse","better"),IF($K7&lt;0,"worse, not significant","better, not significant")))))</f>
        <v/>
      </c>
      <c r="X7">
        <f>IF($M7="","",IF(profit_kind="test",IF(OR(NOT(AND(ISNUMBER($N7),$N7&lt;significance_bar)),$M7=0),"in line",IF($M7&lt;0,"worse","better")),IF(OR($M7=0,IF(profit_kind="points",ABS($M7),ABS($M7*$H7))&lt;profit_line*(1-1E-9)),"in line",IF(AND(ISNUMBER($N7),$N7&lt;significance_bar),IF($M7&lt;0,"worse","better"),IF($M7&lt;0,"worse, not significant","better, not significant")))))</f>
        <v/>
      </c>
      <c r="Y7">
        <f>IF($V7,$X7,$W7)</f>
        <v/>
      </c>
      <c r="Z7">
        <f>IF($V7,IF($P7="","",$P7),IF($O7="","",$O7))</f>
        <v/>
      </c>
      <c r="AA7">
        <f>IF(OR($Q7="",$Z7=""),"",IF(AND($Z7&gt;0,$Z7&gt;=$Q7),"yes","below the line"))</f>
        <v/>
      </c>
      <c r="AB7">
        <f>IF($V7,IF($M7="","",$M7),IF($K7="","",$K7))</f>
        <v/>
      </c>
      <c r="AC7">
        <f>IF($V7,IF($N7="","",$N7),IF($L7="","",$L7))</f>
        <v/>
      </c>
      <c r="AD7">
        <f>IF($Y7="","",IF($Y7="in line",IF(profit_kind="test",IF(ROUND($AB7*100,2)=0,"0.00",TEXT($AB7*100,"+0.00;-0.00"))&amp;" points against "&amp;IF($V7,"its band","the book")&amp;", "&amp;IF($AC7="","not tested","not significant"),IF(profit_kind="points","within "&amp;TEXT(profit_line*100,"0.00")&amp;" points of "&amp;IF($V7,"its band","the book")&amp;" ("&amp;IF(ROUND($AB7*100,2)=0,"0.00",TEXT($AB7*100,"+0.00;-0.00"))&amp;")","within $"&amp;TEXT(profit_line,"#,##0")&amp;" of "&amp;IF($V7,"its band","the book")&amp;" ("&amp;IF(ROUND($AB7*100,2)=0,"0.00",TEXT($AB7*100,"+0.00;-0.00"))&amp;" points)")),IF(LEFT($Y7,5)="worse","short of ","ahead of ")&amp;IF($V7,"its band","the book")&amp;" by "&amp;TEXT(ABS($AB7)*100,"0.00")&amp;" points"&amp;IF($Z7="",""," ($"&amp;TEXT(ABS($Z7),"#,##0")&amp;")")&amp;IF(RIGHT($Y7,15)="not significant"," (not significant)","")))</f>
        <v/>
      </c>
      <c r="AE7">
        <f>IF($V7,IF($S7="","",$S7),IF($R7="","",$R7))</f>
        <v/>
      </c>
      <c r="AF7">
        <f>IF($V7,IF($U7="","",$U7),IF($T7="","",$T7))</f>
        <v/>
      </c>
      <c r="AG7">
        <f>IF($V7,IF($O7="","",$O7),IF($P7="","",$P7))</f>
        <v/>
      </c>
      <c r="AH7" t="n">
        <v>0.1896654103875157</v>
      </c>
      <c r="AI7">
        <f>IF($Y7="worse","Yes",IF($Y7="worse, not significant","Not sure",IF(OR($Y7="too few losses to test",$Y7="too few loans to test"),"Too few losses",IF($Y7="","","No"))))</f>
        <v/>
      </c>
      <c r="AJ7">
        <f>IF($AA7="yes","Yes",IF($AA7="","","No"))</f>
        <v/>
      </c>
    </row>
    <row r="8">
      <c r="A8" t="inlineStr">
        <is>
          <t>grids</t>
        </is>
      </c>
      <c r="B8" t="inlineStr">
        <is>
          <t>FICO x CHANNEL</t>
        </is>
      </c>
      <c r="C8" t="inlineStr">
        <is>
          <t>(marked missing)</t>
        </is>
      </c>
      <c r="D8" t="inlineStr">
        <is>
          <t>Online</t>
        </is>
      </c>
      <c r="E8" t="inlineStr">
        <is>
          <t>contribution_rate</t>
        </is>
      </c>
      <c r="F8" t="inlineStr">
        <is>
          <t>Contribution before losses per booked dollar</t>
        </is>
      </c>
      <c r="G8" t="n">
        <v>55</v>
      </c>
      <c r="H8" t="n">
        <v>1848729.24</v>
      </c>
      <c r="I8" t="b">
        <v>0</v>
      </c>
      <c r="J8" t="b">
        <v>0</v>
      </c>
      <c r="K8" t="n">
        <v>0.03885799621578018</v>
      </c>
      <c r="L8" t="n">
        <v>0.03906484351564844</v>
      </c>
      <c r="M8" t="n">
        <v>0.04225923672762022</v>
      </c>
      <c r="N8" t="n">
        <v>0.1166283371662834</v>
      </c>
      <c r="O8" t="n">
        <v>-71837.91381192219</v>
      </c>
      <c r="P8" t="n">
        <v>-78125.88659843343</v>
      </c>
      <c r="Q8">
        <f>'_live'!$C$24</f>
        <v/>
      </c>
      <c r="R8" t="inlineStr">
        <is>
          <t>shuffled: 328 of 10,000</t>
        </is>
      </c>
      <c r="S8" t="inlineStr">
        <is>
          <t>shuffled: 628 of 10,000</t>
        </is>
      </c>
      <c r="T8" t="n">
        <v>0.1693140452455211</v>
      </c>
      <c r="U8" t="n">
        <v>0.165912804733681</v>
      </c>
      <c r="V8">
        <f>AND(judged_band,NOT($J8))</f>
        <v/>
      </c>
      <c r="W8">
        <f>IF($K8="","",IF(profit_kind="test",IF(OR(NOT(AND(ISNUMBER($L8),$L8&lt;significance_bar)),$K8=0),"in line",IF($K8&lt;0,"worse","better")),IF(OR($K8=0,IF(profit_kind="points",ABS($K8),ABS($K8*$H8))&lt;profit_line*(1-1E-9)),"in line",IF(AND(ISNUMBER($L8),$L8&lt;significance_bar),IF($K8&lt;0,"worse","better"),IF($K8&lt;0,"worse, not significant","better, not significant")))))</f>
        <v/>
      </c>
      <c r="X8">
        <f>IF($M8="","",IF(profit_kind="test",IF(OR(NOT(AND(ISNUMBER($N8),$N8&lt;significance_bar)),$M8=0),"in line",IF($M8&lt;0,"worse","better")),IF(OR($M8=0,IF(profit_kind="points",ABS($M8),ABS($M8*$H8))&lt;profit_line*(1-1E-9)),"in line",IF(AND(ISNUMBER($N8),$N8&lt;significance_bar),IF($M8&lt;0,"worse","better"),IF($M8&lt;0,"worse, not significant","better, not significant")))))</f>
        <v/>
      </c>
      <c r="Y8">
        <f>IF($V8,$X8,$W8)</f>
        <v/>
      </c>
      <c r="Z8">
        <f>IF($V8,IF($P8="","",$P8),IF($O8="","",$O8))</f>
        <v/>
      </c>
      <c r="AA8">
        <f>IF(OR($Q8="",$Z8=""),"",IF(AND($Z8&gt;0,$Z8&gt;=$Q8),"yes","below the line"))</f>
        <v/>
      </c>
      <c r="AB8">
        <f>IF($V8,IF($M8="","",$M8),IF($K8="","",$K8))</f>
        <v/>
      </c>
      <c r="AC8">
        <f>IF($V8,IF($N8="","",$N8),IF($L8="","",$L8))</f>
        <v/>
      </c>
      <c r="AD8">
        <f>IF($Y8="","",IF($Y8="in line",IF(profit_kind="test",IF(ROUND($AB8*100,2)=0,"0.00",TEXT($AB8*100,"+0.00;-0.00"))&amp;" points against "&amp;IF($V8,"its band","the book")&amp;", "&amp;IF($AC8="","not tested","not significant"),IF(profit_kind="points","within "&amp;TEXT(profit_line*100,"0.00")&amp;" points of "&amp;IF($V8,"its band","the book")&amp;" ("&amp;IF(ROUND($AB8*100,2)=0,"0.00",TEXT($AB8*100,"+0.00;-0.00"))&amp;")","within $"&amp;TEXT(profit_line,"#,##0")&amp;" of "&amp;IF($V8,"its band","the book")&amp;" ("&amp;IF(ROUND($AB8*100,2)=0,"0.00",TEXT($AB8*100,"+0.00;-0.00"))&amp;" points)")),IF(LEFT($Y8,5)="worse","short of ","ahead of ")&amp;IF($V8,"its band","the book")&amp;" by "&amp;TEXT(ABS($AB8)*100,"0.00")&amp;" points"&amp;IF($Z8="",""," ($"&amp;TEXT(ABS($Z8),"#,##0")&amp;")")&amp;IF(RIGHT($Y8,15)="not significant"," (not significant)","")))</f>
        <v/>
      </c>
      <c r="AE8">
        <f>IF($V8,IF($S8="","",$S8),IF($R8="","",$R8))</f>
        <v/>
      </c>
      <c r="AF8">
        <f>IF($V8,IF($U8="","",$U8),IF($T8="","",$T8))</f>
        <v/>
      </c>
      <c r="AG8">
        <f>IF($V8,IF($O8="","",$O8),IF($P8="","",$P8))</f>
        <v/>
      </c>
      <c r="AH8" t="n">
        <v>0.2081720414613012</v>
      </c>
      <c r="AI8">
        <f>IF($Y8="worse","Yes",IF($Y8="worse, not significant","Not sure",IF(OR($Y8="too few losses to test",$Y8="too few loans to test"),"Too few losses",IF($Y8="","","No"))))</f>
        <v/>
      </c>
      <c r="AJ8">
        <f>IF($AA8="yes","Yes",IF($AA8="","","No"))</f>
        <v/>
      </c>
    </row>
    <row r="9">
      <c r="A9" t="inlineStr">
        <is>
          <t>grids</t>
        </is>
      </c>
      <c r="B9" t="inlineStr">
        <is>
          <t>FICO x CHANNEL</t>
        </is>
      </c>
      <c r="C9" t="inlineStr">
        <is>
          <t>(blank)</t>
        </is>
      </c>
      <c r="D9" t="inlineStr">
        <is>
          <t>Broker</t>
        </is>
      </c>
      <c r="E9" t="inlineStr">
        <is>
          <t>outcome_loans</t>
        </is>
      </c>
      <c r="F9" t="inlineStr">
        <is>
          <t>Outcome, share of loans</t>
        </is>
      </c>
      <c r="G9" t="n">
        <v>1</v>
      </c>
      <c r="H9" t="n">
        <v>1</v>
      </c>
      <c r="I9" t="b">
        <v>1</v>
      </c>
      <c r="J9" t="b">
        <v>1</v>
      </c>
      <c r="K9" t="n">
        <v>0</v>
      </c>
      <c r="O9" t="n">
        <v>-0.07739434858714679</v>
      </c>
      <c r="Q9">
        <f>'_live'!$C$20</f>
        <v/>
      </c>
      <c r="T9" t="n">
        <v>0.07739434858714679</v>
      </c>
      <c r="V9">
        <f>AND(judged_band,NOT($J9))</f>
        <v/>
      </c>
      <c r="W9">
        <f>IF($K9="","",IF($I9,"too few losses to test",IF(AND($K9&gt;better_at,$K9&lt;worse_at),"in line",IF($K9&gt;=worse_at,IF(AND(ISNUMBER($L9),$L9&lt;significance_bar),"worse","worse, not significant"),IF(AND(ISNUMBER($L9),$L9&lt;significance_bar),"better","better, not significant")))))</f>
        <v/>
      </c>
      <c r="X9">
        <f>IF($M9="","",IF($I9,"too few losses to test",IF(AND($M9&gt;better_at,$M9&lt;worse_at),"in line",IF($M9&gt;=worse_at,IF(AND(ISNUMBER($N9),$N9&lt;significance_bar),"worse","worse, not significant"),IF(AND(ISNUMBER($N9),$N9&lt;significance_bar),"better","better, not significant")))))</f>
        <v/>
      </c>
      <c r="Y9">
        <f>IF($V9,$X9,$W9)</f>
        <v/>
      </c>
      <c r="Z9">
        <f>IF($V9,IF($P9="","",$P9),IF($O9="","",$O9))</f>
        <v/>
      </c>
      <c r="AA9">
        <f>IF(OR($Q9="",$Z9=""),"",IF(AND($Z9&gt;0,$Z9&gt;=$Q9),"yes","below the line"))</f>
        <v/>
      </c>
      <c r="AB9">
        <f>IF($V9,IF($M9="","",$M9),IF($K9="","",$K9))</f>
        <v/>
      </c>
      <c r="AC9">
        <f>IF($V9,IF($N9="","",$N9),IF($L9="","",$L9))</f>
        <v/>
      </c>
      <c r="AD9">
        <f>$Y9</f>
        <v/>
      </c>
      <c r="AE9">
        <f>IF($V9,IF($S9="","",$S9),IF($R9="","",$R9))</f>
        <v/>
      </c>
      <c r="AF9">
        <f>IF($V9,IF($U9="","",$U9),IF($T9="","",$T9))</f>
        <v/>
      </c>
      <c r="AG9">
        <f>IF($V9,IF($O9="","",$O9),IF($P9="","",$P9))</f>
        <v/>
      </c>
      <c r="AH9" t="n">
        <v>0</v>
      </c>
      <c r="AI9">
        <f>IF($Y9="worse","Yes",IF($Y9="worse, not significant","Not sure",IF(OR($Y9="too few losses to test",$Y9="too few loans to test"),"Too few losses",IF($Y9="","","No"))))</f>
        <v/>
      </c>
      <c r="AJ9">
        <f>IF($AA9="yes","Yes",IF($AA9="","","No"))</f>
        <v/>
      </c>
    </row>
    <row r="10">
      <c r="A10" t="inlineStr">
        <is>
          <t>grids</t>
        </is>
      </c>
      <c r="B10" t="inlineStr">
        <is>
          <t>FICO x CHANNEL</t>
        </is>
      </c>
      <c r="C10" t="inlineStr">
        <is>
          <t>(blank)</t>
        </is>
      </c>
      <c r="D10" t="inlineStr">
        <is>
          <t>Broker</t>
        </is>
      </c>
      <c r="E10" t="inlineStr">
        <is>
          <t>outcome_booked</t>
        </is>
      </c>
      <c r="F10" t="inlineStr">
        <is>
          <t>Outcome, share of booked dollars</t>
        </is>
      </c>
      <c r="G10" t="n">
        <v>1</v>
      </c>
      <c r="H10" t="n">
        <v>27999.47</v>
      </c>
      <c r="I10" t="b">
        <v>1</v>
      </c>
      <c r="J10" t="b">
        <v>1</v>
      </c>
      <c r="K10" t="n">
        <v>0</v>
      </c>
      <c r="O10" t="n">
        <v>-2095.396036050188</v>
      </c>
      <c r="Q10">
        <f>'_live'!$C$21</f>
        <v/>
      </c>
      <c r="T10" t="n">
        <v>0.07483698927337509</v>
      </c>
      <c r="V10">
        <f>AND(judged_band,NOT($J10))</f>
        <v/>
      </c>
      <c r="W10">
        <f>IF($K10="","",IF($I10,"too few losses to test",IF(AND($K10&gt;better_at,$K10&lt;worse_at),"in line",IF($K10&gt;=worse_at,IF(AND(ISNUMBER($L10),$L10&lt;significance_bar),"worse","worse, not significant"),IF(AND(ISNUMBER($L10),$L10&lt;significance_bar),"better","better, not significant")))))</f>
        <v/>
      </c>
      <c r="X10">
        <f>IF($M10="","",IF($I10,"too few losses to test",IF(AND($M10&gt;better_at,$M10&lt;worse_at),"in line",IF($M10&gt;=worse_at,IF(AND(ISNUMBER($N10),$N10&lt;significance_bar),"worse","worse, not significant"),IF(AND(ISNUMBER($N10),$N10&lt;significance_bar),"better","better, not significant")))))</f>
        <v/>
      </c>
      <c r="Y10">
        <f>IF($V10,$X10,$W10)</f>
        <v/>
      </c>
      <c r="Z10">
        <f>IF($V10,IF($P10="","",$P10),IF($O10="","",$O10))</f>
        <v/>
      </c>
      <c r="AA10">
        <f>IF(OR($Q10="",$Z10=""),"",IF(AND($Z10&gt;0,$Z10&gt;=$Q10),"yes","below the line"))</f>
        <v/>
      </c>
      <c r="AB10">
        <f>IF($V10,IF($M10="","",$M10),IF($K10="","",$K10))</f>
        <v/>
      </c>
      <c r="AC10">
        <f>IF($V10,IF($N10="","",$N10),IF($L10="","",$L10))</f>
        <v/>
      </c>
      <c r="AD10">
        <f>$Y10</f>
        <v/>
      </c>
      <c r="AE10">
        <f>IF($V10,IF($S10="","",$S10),IF($R10="","",$R10))</f>
        <v/>
      </c>
      <c r="AF10">
        <f>IF($V10,IF($U10="","",$U10),IF($T10="","",$T10))</f>
        <v/>
      </c>
      <c r="AG10">
        <f>IF($V10,IF($O10="","",$O10),IF($P10="","",$P10))</f>
        <v/>
      </c>
      <c r="AH10" t="n">
        <v>0</v>
      </c>
      <c r="AI10">
        <f>IF($Y10="worse","Yes",IF($Y10="worse, not significant","Not sure",IF(OR($Y10="too few losses to test",$Y10="too few loans to test"),"Too few losses",IF($Y10="","","No"))))</f>
        <v/>
      </c>
      <c r="AJ10">
        <f>IF($AA10="yes","Yes",IF($AA10="","","No"))</f>
        <v/>
      </c>
    </row>
    <row r="11">
      <c r="A11" t="inlineStr">
        <is>
          <t>grids</t>
        </is>
      </c>
      <c r="B11" t="inlineStr">
        <is>
          <t>FICO x CHANNEL</t>
        </is>
      </c>
      <c r="C11" t="inlineStr">
        <is>
          <t>(blank)</t>
        </is>
      </c>
      <c r="D11" t="inlineStr">
        <is>
          <t>Broker</t>
        </is>
      </c>
      <c r="E11" t="inlineStr">
        <is>
          <t>gco_rate</t>
        </is>
      </c>
      <c r="F11" t="inlineStr">
        <is>
          <t>GCO per booked dollar</t>
        </is>
      </c>
      <c r="G11" t="n">
        <v>1</v>
      </c>
      <c r="H11" t="n">
        <v>27999.47</v>
      </c>
      <c r="I11" t="b">
        <v>1</v>
      </c>
      <c r="J11" t="b">
        <v>1</v>
      </c>
      <c r="K11" t="n">
        <v>0</v>
      </c>
      <c r="O11" t="n">
        <v>-1165.051801786329</v>
      </c>
      <c r="Q11">
        <f>'_live'!$C$22</f>
        <v/>
      </c>
      <c r="T11" t="n">
        <v>0.04160978053464329</v>
      </c>
      <c r="V11">
        <f>AND(judged_band,NOT($J11))</f>
        <v/>
      </c>
      <c r="W11">
        <f>IF($K11="","",IF($I11,"too few losses to test",IF(AND($K11&gt;better_at,$K11&lt;worse_at),"in line",IF($K11&gt;=worse_at,IF(AND(ISNUMBER($L11),$L11&lt;significance_bar),"worse","worse, not significant"),IF(AND(ISNUMBER($L11),$L11&lt;significance_bar),"better","better, not significant")))))</f>
        <v/>
      </c>
      <c r="X11">
        <f>IF($M11="","",IF($I11,"too few losses to test",IF(AND($M11&gt;better_at,$M11&lt;worse_at),"in line",IF($M11&gt;=worse_at,IF(AND(ISNUMBER($N11),$N11&lt;significance_bar),"worse","worse, not significant"),IF(AND(ISNUMBER($N11),$N11&lt;significance_bar),"better","better, not significant")))))</f>
        <v/>
      </c>
      <c r="Y11">
        <f>IF($V11,$X11,$W11)</f>
        <v/>
      </c>
      <c r="Z11">
        <f>IF($V11,IF($P11="","",$P11),IF($O11="","",$O11))</f>
        <v/>
      </c>
      <c r="AA11">
        <f>IF(OR($Q11="",$Z11=""),"",IF(AND($Z11&gt;0,$Z11&gt;=$Q11),"yes","below the line"))</f>
        <v/>
      </c>
      <c r="AB11">
        <f>IF($V11,IF($M11="","",$M11),IF($K11="","",$K11))</f>
        <v/>
      </c>
      <c r="AC11">
        <f>IF($V11,IF($N11="","",$N11),IF($L11="","",$L11))</f>
        <v/>
      </c>
      <c r="AD11">
        <f>$Y11</f>
        <v/>
      </c>
      <c r="AE11">
        <f>IF($V11,IF($S11="","",$S11),IF($R11="","",$R11))</f>
        <v/>
      </c>
      <c r="AF11">
        <f>IF($V11,IF($U11="","",$U11),IF($T11="","",$T11))</f>
        <v/>
      </c>
      <c r="AG11">
        <f>IF($V11,IF($O11="","",$O11),IF($P11="","",$P11))</f>
        <v/>
      </c>
      <c r="AH11" t="n">
        <v>0</v>
      </c>
      <c r="AI11">
        <f>IF($Y11="worse","Yes",IF($Y11="worse, not significant","Not sure",IF(OR($Y11="too few losses to test",$Y11="too few loans to test"),"Too few losses",IF($Y11="","","No"))))</f>
        <v/>
      </c>
      <c r="AJ11">
        <f>IF($AA11="yes","Yes",IF($AA11="","","No"))</f>
        <v/>
      </c>
    </row>
    <row r="12">
      <c r="A12" t="inlineStr">
        <is>
          <t>grids</t>
        </is>
      </c>
      <c r="B12" t="inlineStr">
        <is>
          <t>FICO x CHANNEL</t>
        </is>
      </c>
      <c r="C12" t="inlineStr">
        <is>
          <t>(blank)</t>
        </is>
      </c>
      <c r="D12" t="inlineStr">
        <is>
          <t>Broker</t>
        </is>
      </c>
      <c r="E12" t="inlineStr">
        <is>
          <t>ranr_rate</t>
        </is>
      </c>
      <c r="F12" t="inlineStr">
        <is>
          <t>Profit after losses: RANR per booked dollar</t>
        </is>
      </c>
      <c r="G12" t="n">
        <v>1</v>
      </c>
      <c r="H12" t="n">
        <v>27999.47</v>
      </c>
      <c r="I12" t="b">
        <v>0</v>
      </c>
      <c r="J12" t="b">
        <v>1</v>
      </c>
      <c r="K12" t="n">
        <v>0.01230822708383753</v>
      </c>
      <c r="L12" t="n">
        <v>0.9303069693030698</v>
      </c>
      <c r="O12" t="n">
        <v>-344.6238349870969</v>
      </c>
      <c r="Q12">
        <f>'_live'!$C$23</f>
        <v/>
      </c>
      <c r="R12" t="inlineStr">
        <is>
          <t>shuffled: 9,243 of 10,000</t>
        </is>
      </c>
      <c r="S12" t="inlineStr">
        <is>
          <t>10,000 shuffles</t>
        </is>
      </c>
      <c r="T12" t="n">
        <v>0.1279887142511234</v>
      </c>
      <c r="V12">
        <f>AND(judged_band,NOT($J12))</f>
        <v/>
      </c>
      <c r="W12">
        <f>IF($K12="","",IF(profit_kind="test",IF(OR(NOT(AND(ISNUMBER($L12),$L12&lt;significance_bar)),$K12=0),"in line",IF($K12&lt;0,"worse","better")),IF(OR($K12=0,IF(profit_kind="points",ABS($K12),ABS($K12*$H12))&lt;profit_line*(1-1E-9)),"in line",IF(AND(ISNUMBER($L12),$L12&lt;significance_bar),IF($K12&lt;0,"worse","better"),IF($K12&lt;0,"worse, not significant","better, not significant")))))</f>
        <v/>
      </c>
      <c r="X12">
        <f>IF($M12="","",IF(profit_kind="test",IF(OR(NOT(AND(ISNUMBER($N12),$N12&lt;significance_bar)),$M12=0),"in line",IF($M12&lt;0,"worse","better")),IF(OR($M12=0,IF(profit_kind="points",ABS($M12),ABS($M12*$H12))&lt;profit_line*(1-1E-9)),"in line",IF(AND(ISNUMBER($N12),$N12&lt;significance_bar),IF($M12&lt;0,"worse","better"),IF($M12&lt;0,"worse, not significant","better, not significant")))))</f>
        <v/>
      </c>
      <c r="Y12">
        <f>IF($V12,$X12,$W12)</f>
        <v/>
      </c>
      <c r="Z12">
        <f>IF($V12,IF($P12="","",$P12),IF($O12="","",$O12))</f>
        <v/>
      </c>
      <c r="AA12">
        <f>IF(OR($Q12="",$Z12=""),"",IF(AND($Z12&gt;0,$Z12&gt;=$Q12),"yes","below the line"))</f>
        <v/>
      </c>
      <c r="AB12">
        <f>IF($V12,IF($M12="","",$M12),IF($K12="","",$K12))</f>
        <v/>
      </c>
      <c r="AC12">
        <f>IF($V12,IF($N12="","",$N12),IF($L12="","",$L12))</f>
        <v/>
      </c>
      <c r="AD12">
        <f>IF($Y12="","",IF($Y12="in line",IF(profit_kind="test",IF(ROUND($AB12*100,2)=0,"0.00",TEXT($AB12*100,"+0.00;-0.00"))&amp;" points against "&amp;IF($V12,"its band","the book")&amp;", "&amp;IF($AC12="","not tested","not significant"),IF(profit_kind="points","within "&amp;TEXT(profit_line*100,"0.00")&amp;" points of "&amp;IF($V12,"its band","the book")&amp;" ("&amp;IF(ROUND($AB12*100,2)=0,"0.00",TEXT($AB12*100,"+0.00;-0.00"))&amp;")","within $"&amp;TEXT(profit_line,"#,##0")&amp;" of "&amp;IF($V12,"its band","the book")&amp;" ("&amp;IF(ROUND($AB12*100,2)=0,"0.00",TEXT($AB12*100,"+0.00;-0.00"))&amp;" points)")),IF(LEFT($Y12,5)="worse","short of ","ahead of ")&amp;IF($V12,"its band","the book")&amp;" by "&amp;TEXT(ABS($AB12)*100,"0.00")&amp;" points"&amp;IF($Z12="",""," ($"&amp;TEXT(ABS($Z12),"#,##0")&amp;")")&amp;IF(RIGHT($Y12,15)="not significant"," (not significant)","")))</f>
        <v/>
      </c>
      <c r="AE12">
        <f>IF($V12,IF($S12="","",$S12),IF($R12="","",$R12))</f>
        <v/>
      </c>
      <c r="AF12">
        <f>IF($V12,IF($U12="","",$U12),IF($T12="","",$T12))</f>
        <v/>
      </c>
      <c r="AG12">
        <f>IF($V12,IF($O12="","",$O12),IF($P12="","",$P12))</f>
        <v/>
      </c>
      <c r="AH12" t="n">
        <v>0.140296941334961</v>
      </c>
      <c r="AI12">
        <f>IF($Y12="worse","Yes",IF($Y12="worse, not significant","Not sure",IF(OR($Y12="too few losses to test",$Y12="too few loans to test"),"Too few losses",IF($Y12="","","No"))))</f>
        <v/>
      </c>
      <c r="AJ12">
        <f>IF($AA12="yes","Yes",IF($AA12="","","No"))</f>
        <v/>
      </c>
    </row>
    <row r="13">
      <c r="A13" t="inlineStr">
        <is>
          <t>grids</t>
        </is>
      </c>
      <c r="B13" t="inlineStr">
        <is>
          <t>FICO x CHANNEL</t>
        </is>
      </c>
      <c r="C13" t="inlineStr">
        <is>
          <t>(blank)</t>
        </is>
      </c>
      <c r="D13" t="inlineStr">
        <is>
          <t>Broker</t>
        </is>
      </c>
      <c r="E13" t="inlineStr">
        <is>
          <t>contribution_rate</t>
        </is>
      </c>
      <c r="F13" t="inlineStr">
        <is>
          <t>Contribution before losses per booked dollar</t>
        </is>
      </c>
      <c r="G13" t="n">
        <v>1</v>
      </c>
      <c r="H13" t="n">
        <v>27999.47</v>
      </c>
      <c r="I13" t="b">
        <v>0</v>
      </c>
      <c r="J13" t="b">
        <v>1</v>
      </c>
      <c r="K13" t="n">
        <v>-0.02929869368860016</v>
      </c>
      <c r="L13" t="n">
        <v>0.8512148785121487</v>
      </c>
      <c r="O13" t="n">
        <v>820.3478949731489</v>
      </c>
      <c r="Q13">
        <f>'_live'!$C$24</f>
        <v/>
      </c>
      <c r="R13" t="inlineStr">
        <is>
          <t>shuffled: 8,512 of 10,000</t>
        </is>
      </c>
      <c r="S13" t="inlineStr">
        <is>
          <t>10,000 shuffles</t>
        </is>
      </c>
      <c r="T13" t="n">
        <v>0.1695956350235611</v>
      </c>
      <c r="V13">
        <f>AND(judged_band,NOT($J13))</f>
        <v/>
      </c>
      <c r="W13">
        <f>IF($K13="","",IF(profit_kind="test",IF(OR(NOT(AND(ISNUMBER($L13),$L13&lt;significance_bar)),$K13=0),"in line",IF($K13&lt;0,"worse","better")),IF(OR($K13=0,IF(profit_kind="points",ABS($K13),ABS($K13*$H13))&lt;profit_line*(1-1E-9)),"in line",IF(AND(ISNUMBER($L13),$L13&lt;significance_bar),IF($K13&lt;0,"worse","better"),IF($K13&lt;0,"worse, not significant","better, not significant")))))</f>
        <v/>
      </c>
      <c r="X13">
        <f>IF($M13="","",IF(profit_kind="test",IF(OR(NOT(AND(ISNUMBER($N13),$N13&lt;significance_bar)),$M13=0),"in line",IF($M13&lt;0,"worse","better")),IF(OR($M13=0,IF(profit_kind="points",ABS($M13),ABS($M13*$H13))&lt;profit_line*(1-1E-9)),"in line",IF(AND(ISNUMBER($N13),$N13&lt;significance_bar),IF($M13&lt;0,"worse","better"),IF($M13&lt;0,"worse, not significant","better, not significant")))))</f>
        <v/>
      </c>
      <c r="Y13">
        <f>IF($V13,$X13,$W13)</f>
        <v/>
      </c>
      <c r="Z13">
        <f>IF($V13,IF($P13="","",$P13),IF($O13="","",$O13))</f>
        <v/>
      </c>
      <c r="AA13">
        <f>IF(OR($Q13="",$Z13=""),"",IF(AND($Z13&gt;0,$Z13&gt;=$Q13),"yes","below the line"))</f>
        <v/>
      </c>
      <c r="AB13">
        <f>IF($V13,IF($M13="","",$M13),IF($K13="","",$K13))</f>
        <v/>
      </c>
      <c r="AC13">
        <f>IF($V13,IF($N13="","",$N13),IF($L13="","",$L13))</f>
        <v/>
      </c>
      <c r="AD13">
        <f>IF($Y13="","",IF($Y13="in line",IF(profit_kind="test",IF(ROUND($AB13*100,2)=0,"0.00",TEXT($AB13*100,"+0.00;-0.00"))&amp;" points against "&amp;IF($V13,"its band","the book")&amp;", "&amp;IF($AC13="","not tested","not significant"),IF(profit_kind="points","within "&amp;TEXT(profit_line*100,"0.00")&amp;" points of "&amp;IF($V13,"its band","the book")&amp;" ("&amp;IF(ROUND($AB13*100,2)=0,"0.00",TEXT($AB13*100,"+0.00;-0.00"))&amp;")","within $"&amp;TEXT(profit_line,"#,##0")&amp;" of "&amp;IF($V13,"its band","the book")&amp;" ("&amp;IF(ROUND($AB13*100,2)=0,"0.00",TEXT($AB13*100,"+0.00;-0.00"))&amp;" points)")),IF(LEFT($Y13,5)="worse","short of ","ahead of ")&amp;IF($V13,"its band","the book")&amp;" by "&amp;TEXT(ABS($AB13)*100,"0.00")&amp;" points"&amp;IF($Z13="",""," ($"&amp;TEXT(ABS($Z13),"#,##0")&amp;")")&amp;IF(RIGHT($Y13,15)="not significant"," (not significant)","")))</f>
        <v/>
      </c>
      <c r="AE13">
        <f>IF($V13,IF($S13="","",$S13),IF($R13="","",$R13))</f>
        <v/>
      </c>
      <c r="AF13">
        <f>IF($V13,IF($U13="","",$U13),IF($T13="","",$T13))</f>
        <v/>
      </c>
      <c r="AG13">
        <f>IF($V13,IF($O13="","",$O13),IF($P13="","",$P13))</f>
        <v/>
      </c>
      <c r="AH13" t="n">
        <v>0.140296941334961</v>
      </c>
      <c r="AI13">
        <f>IF($Y13="worse","Yes",IF($Y13="worse, not significant","Not sure",IF(OR($Y13="too few losses to test",$Y13="too few loans to test"),"Too few losses",IF($Y13="","","No"))))</f>
        <v/>
      </c>
      <c r="AJ13">
        <f>IF($AA13="yes","Yes",IF($AA13="","","No"))</f>
        <v/>
      </c>
    </row>
    <row r="14">
      <c r="A14" t="inlineStr">
        <is>
          <t>grids</t>
        </is>
      </c>
      <c r="B14" t="inlineStr">
        <is>
          <t>FICO x CHANNEL</t>
        </is>
      </c>
      <c r="C14" t="inlineStr">
        <is>
          <t>712 - 745</t>
        </is>
      </c>
      <c r="D14" t="inlineStr">
        <is>
          <t>Branch</t>
        </is>
      </c>
      <c r="E14" t="inlineStr">
        <is>
          <t>outcome_loans</t>
        </is>
      </c>
      <c r="F14" t="inlineStr">
        <is>
          <t>Outcome, share of loans</t>
        </is>
      </c>
      <c r="G14" t="n">
        <v>538</v>
      </c>
      <c r="H14" t="n">
        <v>538</v>
      </c>
      <c r="I14" t="b">
        <v>0</v>
      </c>
      <c r="J14" t="b">
        <v>0</v>
      </c>
      <c r="K14" t="n">
        <v>0.5110496721525845</v>
      </c>
      <c r="L14" t="n">
        <v>0.003114030038984809</v>
      </c>
      <c r="M14" t="n">
        <v>0.6750357449242208</v>
      </c>
      <c r="N14" t="n">
        <v>0.212600540160617</v>
      </c>
      <c r="O14" t="n">
        <v>-21.048652995577</v>
      </c>
      <c r="P14" t="n">
        <v>-10.59086672879776</v>
      </c>
      <c r="Q14">
        <f>'_live'!$C$20</f>
        <v/>
      </c>
      <c r="R14" t="inlineStr">
        <is>
          <t>z test</t>
        </is>
      </c>
      <c r="S14" t="inlineStr">
        <is>
          <t>z test</t>
        </is>
      </c>
      <c r="T14" t="n">
        <v>0.08001608363490149</v>
      </c>
      <c r="U14" t="n">
        <v>0.06057781919850885</v>
      </c>
      <c r="V14">
        <f>AND(judged_band,NOT($J14))</f>
        <v/>
      </c>
      <c r="W14">
        <f>IF($K14="","",IF($I14,"too few losses to test",IF(AND($K14&gt;better_at,$K14&lt;worse_at),"in line",IF($K14&gt;=worse_at,IF(AND(ISNUMBER($L14),$L14&lt;significance_bar),"worse","worse, not significant"),IF(AND(ISNUMBER($L14),$L14&lt;significance_bar),"better","better, not significant")))))</f>
        <v/>
      </c>
      <c r="X14">
        <f>IF($M14="","",IF($I14,"too few losses to test",IF(AND($M14&gt;better_at,$M14&lt;worse_at),"in line",IF($M14&gt;=worse_at,IF(AND(ISNUMBER($N14),$N14&lt;significance_bar),"worse","worse, not significant"),IF(AND(ISNUMBER($N14),$N14&lt;significance_bar),"better","better, not significant")))))</f>
        <v/>
      </c>
      <c r="Y14">
        <f>IF($V14,$X14,$W14)</f>
        <v/>
      </c>
      <c r="Z14">
        <f>IF($V14,IF($P14="","",$P14),IF($O14="","",$O14))</f>
        <v/>
      </c>
      <c r="AA14">
        <f>IF(OR($Q14="",$Z14=""),"",IF(AND($Z14&gt;0,$Z14&gt;=$Q14),"yes","below the line"))</f>
        <v/>
      </c>
      <c r="AB14">
        <f>IF($V14,IF($M14="","",$M14),IF($K14="","",$K14))</f>
        <v/>
      </c>
      <c r="AC14">
        <f>IF($V14,IF($N14="","",$N14),IF($L14="","",$L14))</f>
        <v/>
      </c>
      <c r="AD14">
        <f>$Y14</f>
        <v/>
      </c>
      <c r="AE14">
        <f>IF($V14,IF($S14="","",$S14),IF($R14="","",$R14))</f>
        <v/>
      </c>
      <c r="AF14">
        <f>IF($V14,IF($U14="","",$U14),IF($T14="","",$T14))</f>
        <v/>
      </c>
      <c r="AG14">
        <f>IF($V14,IF($O14="","",$O14),IF($P14="","",$P14))</f>
        <v/>
      </c>
      <c r="AH14" t="n">
        <v>0.04089219330855019</v>
      </c>
      <c r="AI14">
        <f>IF($Y14="worse","Yes",IF($Y14="worse, not significant","Not sure",IF(OR($Y14="too few losses to test",$Y14="too few loans to test"),"Too few losses",IF($Y14="","","No"))))</f>
        <v/>
      </c>
      <c r="AJ14">
        <f>IF($AA14="yes","Yes",IF($AA14="","","No"))</f>
        <v/>
      </c>
    </row>
    <row r="15">
      <c r="A15" t="inlineStr">
        <is>
          <t>grids</t>
        </is>
      </c>
      <c r="B15" t="inlineStr">
        <is>
          <t>FICO x CHANNEL</t>
        </is>
      </c>
      <c r="C15" t="inlineStr">
        <is>
          <t>712 - 745</t>
        </is>
      </c>
      <c r="D15" t="inlineStr">
        <is>
          <t>Branch</t>
        </is>
      </c>
      <c r="E15" t="inlineStr">
        <is>
          <t>outcome_booked</t>
        </is>
      </c>
      <c r="F15" t="inlineStr">
        <is>
          <t>Outcome, share of booked dollars</t>
        </is>
      </c>
      <c r="G15" t="n">
        <v>537</v>
      </c>
      <c r="H15" t="n">
        <v>16513064.03</v>
      </c>
      <c r="I15" t="b">
        <v>0</v>
      </c>
      <c r="J15" t="b">
        <v>0</v>
      </c>
      <c r="K15" t="n">
        <v>0.5343631730517466</v>
      </c>
      <c r="L15" t="n">
        <v>0.014998500149985</v>
      </c>
      <c r="M15" t="n">
        <v>0.6771166315286687</v>
      </c>
      <c r="N15" t="n">
        <v>0.3207536389218221</v>
      </c>
      <c r="O15" t="n">
        <v>-593037.9233898538</v>
      </c>
      <c r="P15" t="n">
        <v>-324529.25997703</v>
      </c>
      <c r="Q15">
        <f>'_live'!$C$21</f>
        <v/>
      </c>
      <c r="R15" t="inlineStr">
        <is>
          <t>shuffled: 57 of 10,000</t>
        </is>
      </c>
      <c r="S15" t="inlineStr">
        <is>
          <t>shuffled: 1,496 of 10,000</t>
        </is>
      </c>
      <c r="T15" t="n">
        <v>0.07712718494133122</v>
      </c>
      <c r="U15" t="n">
        <v>0.06086680692032842</v>
      </c>
      <c r="V15">
        <f>AND(judged_band,NOT($J15))</f>
        <v/>
      </c>
      <c r="W15">
        <f>IF($K15="","",IF($I15,"too few losses to test",IF(AND($K15&gt;better_at,$K15&lt;worse_at),"in line",IF($K15&gt;=worse_at,IF(AND(ISNUMBER($L15),$L15&lt;significance_bar),"worse","worse, not significant"),IF(AND(ISNUMBER($L15),$L15&lt;significance_bar),"better","better, not significant")))))</f>
        <v/>
      </c>
      <c r="X15">
        <f>IF($M15="","",IF($I15,"too few losses to test",IF(AND($M15&gt;better_at,$M15&lt;worse_at),"in line",IF($M15&gt;=worse_at,IF(AND(ISNUMBER($N15),$N15&lt;significance_bar),"worse","worse, not significant"),IF(AND(ISNUMBER($N15),$N15&lt;significance_bar),"better","better, not significant")))))</f>
        <v/>
      </c>
      <c r="Y15">
        <f>IF($V15,$X15,$W15)</f>
        <v/>
      </c>
      <c r="Z15">
        <f>IF($V15,IF($P15="","",$P15),IF($O15="","",$O15))</f>
        <v/>
      </c>
      <c r="AA15">
        <f>IF(OR($Q15="",$Z15=""),"",IF(AND($Z15&gt;0,$Z15&gt;=$Q15),"yes","below the line"))</f>
        <v/>
      </c>
      <c r="AB15">
        <f>IF($V15,IF($M15="","",$M15),IF($K15="","",$K15))</f>
        <v/>
      </c>
      <c r="AC15">
        <f>IF($V15,IF($N15="","",$N15),IF($L15="","",$L15))</f>
        <v/>
      </c>
      <c r="AD15">
        <f>$Y15</f>
        <v/>
      </c>
      <c r="AE15">
        <f>IF($V15,IF($S15="","",$S15),IF($R15="","",$R15))</f>
        <v/>
      </c>
      <c r="AF15">
        <f>IF($V15,IF($U15="","",$U15),IF($T15="","",$T15))</f>
        <v/>
      </c>
      <c r="AG15">
        <f>IF($V15,IF($O15="","",$O15),IF($P15="","",$P15))</f>
        <v/>
      </c>
      <c r="AH15" t="n">
        <v>0.04121392727379864</v>
      </c>
      <c r="AI15">
        <f>IF($Y15="worse","Yes",IF($Y15="worse, not significant","Not sure",IF(OR($Y15="too few losses to test",$Y15="too few loans to test"),"Too few losses",IF($Y15="","","No"))))</f>
        <v/>
      </c>
      <c r="AJ15">
        <f>IF($AA15="yes","Yes",IF($AA15="","","No"))</f>
        <v/>
      </c>
    </row>
    <row r="16">
      <c r="A16" t="inlineStr">
        <is>
          <t>grids</t>
        </is>
      </c>
      <c r="B16" t="inlineStr">
        <is>
          <t>FICO x CHANNEL</t>
        </is>
      </c>
      <c r="C16" t="inlineStr">
        <is>
          <t>712 - 745</t>
        </is>
      </c>
      <c r="D16" t="inlineStr">
        <is>
          <t>Branch</t>
        </is>
      </c>
      <c r="E16" t="inlineStr">
        <is>
          <t>gco_rate</t>
        </is>
      </c>
      <c r="F16" t="inlineStr">
        <is>
          <t>GCO per booked dollar</t>
        </is>
      </c>
      <c r="G16" t="n">
        <v>536</v>
      </c>
      <c r="H16" t="n">
        <v>16473379.6</v>
      </c>
      <c r="I16" t="b">
        <v>0</v>
      </c>
      <c r="J16" t="b">
        <v>0</v>
      </c>
      <c r="K16" t="n">
        <v>0.5363499394739212</v>
      </c>
      <c r="L16" t="n">
        <v>0.01924807519248075</v>
      </c>
      <c r="M16" t="n">
        <v>0.6818678243913163</v>
      </c>
      <c r="N16" t="n">
        <v>0.3190930906909309</v>
      </c>
      <c r="O16" t="n">
        <v>-327469.5610407831</v>
      </c>
      <c r="P16" t="n">
        <v>-176740.569721237</v>
      </c>
      <c r="Q16">
        <f>'_live'!$C$22</f>
        <v/>
      </c>
      <c r="R16" t="inlineStr">
        <is>
          <t>shuffled: 76 of 10,000</t>
        </is>
      </c>
      <c r="S16" t="inlineStr">
        <is>
          <t>shuffled: 1,701 of 10,000</t>
        </is>
      </c>
      <c r="T16" t="n">
        <v>0.04287438571747496</v>
      </c>
      <c r="U16" t="n">
        <v>0.03372453335083939</v>
      </c>
      <c r="V16">
        <f>AND(judged_band,NOT($J16))</f>
        <v/>
      </c>
      <c r="W16">
        <f>IF($K16="","",IF($I16,"too few losses to test",IF(AND($K16&gt;better_at,$K16&lt;worse_at),"in line",IF($K16&gt;=worse_at,IF(AND(ISNUMBER($L16),$L16&lt;significance_bar),"worse","worse, not significant"),IF(AND(ISNUMBER($L16),$L16&lt;significance_bar),"better","better, not significant")))))</f>
        <v/>
      </c>
      <c r="X16">
        <f>IF($M16="","",IF($I16,"too few losses to test",IF(AND($M16&gt;better_at,$M16&lt;worse_at),"in line",IF($M16&gt;=worse_at,IF(AND(ISNUMBER($N16),$N16&lt;significance_bar),"worse","worse, not significant"),IF(AND(ISNUMBER($N16),$N16&lt;significance_bar),"better","better, not significant")))))</f>
        <v/>
      </c>
      <c r="Y16">
        <f>IF($V16,$X16,$W16)</f>
        <v/>
      </c>
      <c r="Z16">
        <f>IF($V16,IF($P16="","",$P16),IF($O16="","",$O16))</f>
        <v/>
      </c>
      <c r="AA16">
        <f>IF(OR($Q16="",$Z16=""),"",IF(AND($Z16&gt;0,$Z16&gt;=$Q16),"yes","below the line"))</f>
        <v/>
      </c>
      <c r="AB16">
        <f>IF($V16,IF($M16="","",$M16),IF($K16="","",$K16))</f>
        <v/>
      </c>
      <c r="AC16">
        <f>IF($V16,IF($N16="","",$N16),IF($L16="","",$L16))</f>
        <v/>
      </c>
      <c r="AD16">
        <f>$Y16</f>
        <v/>
      </c>
      <c r="AE16">
        <f>IF($V16,IF($S16="","",$S16),IF($R16="","",$R16))</f>
        <v/>
      </c>
      <c r="AF16">
        <f>IF($V16,IF($U16="","",$U16),IF($T16="","",$T16))</f>
        <v/>
      </c>
      <c r="AG16">
        <f>IF($V16,IF($O16="","",$O16),IF($P16="","",$P16))</f>
        <v/>
      </c>
      <c r="AH16" t="n">
        <v>0.02299567418454924</v>
      </c>
      <c r="AI16">
        <f>IF($Y16="worse","Yes",IF($Y16="worse, not significant","Not sure",IF(OR($Y16="too few losses to test",$Y16="too few loans to test"),"Too few losses",IF($Y16="","","No"))))</f>
        <v/>
      </c>
      <c r="AJ16">
        <f>IF($AA16="yes","Yes",IF($AA16="","","No"))</f>
        <v/>
      </c>
    </row>
    <row r="17">
      <c r="A17" t="inlineStr">
        <is>
          <t>grids</t>
        </is>
      </c>
      <c r="B17" t="inlineStr">
        <is>
          <t>FICO x CHANNEL</t>
        </is>
      </c>
      <c r="C17" t="inlineStr">
        <is>
          <t>712 - 745</t>
        </is>
      </c>
      <c r="D17" t="inlineStr">
        <is>
          <t>Branch</t>
        </is>
      </c>
      <c r="E17" t="inlineStr">
        <is>
          <t>ranr_rate</t>
        </is>
      </c>
      <c r="F17" t="inlineStr">
        <is>
          <t>Profit after losses: RANR per booked dollar</t>
        </is>
      </c>
      <c r="G17" t="n">
        <v>537</v>
      </c>
      <c r="H17" t="n">
        <v>16513064.03</v>
      </c>
      <c r="I17" t="b">
        <v>0</v>
      </c>
      <c r="J17" t="b">
        <v>0</v>
      </c>
      <c r="K17" t="n">
        <v>-0.04515561399833806</v>
      </c>
      <c r="L17" t="n">
        <v>0.0002110900021109</v>
      </c>
      <c r="M17" t="n">
        <v>-0.01513520528551406</v>
      </c>
      <c r="N17" t="n">
        <v>0.1531646835316469</v>
      </c>
      <c r="O17" t="n">
        <v>745657.5452685207</v>
      </c>
      <c r="P17" t="n">
        <v>249928.613986888</v>
      </c>
      <c r="Q17">
        <f>'_live'!$C$23</f>
        <v/>
      </c>
      <c r="R17" t="inlineStr">
        <is>
          <t>shuffled: 0 of 10,000</t>
        </is>
      </c>
      <c r="S17" t="inlineStr">
        <is>
          <t>shuffled: 850 of 10,000</t>
        </is>
      </c>
      <c r="T17" t="n">
        <v>0.1308794286355421</v>
      </c>
      <c r="U17" t="n">
        <v>0.1008590199227181</v>
      </c>
      <c r="V17">
        <f>AND(judged_band,NOT($J17))</f>
        <v/>
      </c>
      <c r="W17">
        <f>IF($K17="","",IF(profit_kind="test",IF(OR(NOT(AND(ISNUMBER($L17),$L17&lt;significance_bar)),$K17=0),"in line",IF($K17&lt;0,"worse","better")),IF(OR($K17=0,IF(profit_kind="points",ABS($K17),ABS($K17*$H17))&lt;profit_line*(1-1E-9)),"in line",IF(AND(ISNUMBER($L17),$L17&lt;significance_bar),IF($K17&lt;0,"worse","better"),IF($K17&lt;0,"worse, not significant","better, not significant")))))</f>
        <v/>
      </c>
      <c r="X17">
        <f>IF($M17="","",IF(profit_kind="test",IF(OR(NOT(AND(ISNUMBER($N17),$N17&lt;significance_bar)),$M17=0),"in line",IF($M17&lt;0,"worse","better")),IF(OR($M17=0,IF(profit_kind="points",ABS($M17),ABS($M17*$H17))&lt;profit_line*(1-1E-9)),"in line",IF(AND(ISNUMBER($N17),$N17&lt;significance_bar),IF($M17&lt;0,"worse","better"),IF($M17&lt;0,"worse, not significant","better, not significant")))))</f>
        <v/>
      </c>
      <c r="Y17">
        <f>IF($V17,$X17,$W17)</f>
        <v/>
      </c>
      <c r="Z17">
        <f>IF($V17,IF($P17="","",$P17),IF($O17="","",$O17))</f>
        <v/>
      </c>
      <c r="AA17">
        <f>IF(OR($Q17="",$Z17=""),"",IF(AND($Z17&gt;0,$Z17&gt;=$Q17),"yes","below the line"))</f>
        <v/>
      </c>
      <c r="AB17">
        <f>IF($V17,IF($M17="","",$M17),IF($K17="","",$K17))</f>
        <v/>
      </c>
      <c r="AC17">
        <f>IF($V17,IF($N17="","",$N17),IF($L17="","",$L17))</f>
        <v/>
      </c>
      <c r="AD17">
        <f>IF($Y17="","",IF($Y17="in line",IF(profit_kind="test",IF(ROUND($AB17*100,2)=0,"0.00",TEXT($AB17*100,"+0.00;-0.00"))&amp;" points against "&amp;IF($V17,"its band","the book")&amp;", "&amp;IF($AC17="","not tested","not significant"),IF(profit_kind="points","within "&amp;TEXT(profit_line*100,"0.00")&amp;" points of "&amp;IF($V17,"its band","the book")&amp;" ("&amp;IF(ROUND($AB17*100,2)=0,"0.00",TEXT($AB17*100,"+0.00;-0.00"))&amp;")","within $"&amp;TEXT(profit_line,"#,##0")&amp;" of "&amp;IF($V17,"its band","the book")&amp;" ("&amp;IF(ROUND($AB17*100,2)=0,"0.00",TEXT($AB17*100,"+0.00;-0.00"))&amp;" points)")),IF(LEFT($Y17,5)="worse","short of ","ahead of ")&amp;IF($V17,"its band","the book")&amp;" by "&amp;TEXT(ABS($AB17)*100,"0.00")&amp;" points"&amp;IF($Z17="",""," ($"&amp;TEXT(ABS($Z17),"#,##0")&amp;")")&amp;IF(RIGHT($Y17,15)="not significant"," (not significant)","")))</f>
        <v/>
      </c>
      <c r="AE17">
        <f>IF($V17,IF($S17="","",$S17),IF($R17="","",$R17))</f>
        <v/>
      </c>
      <c r="AF17">
        <f>IF($V17,IF($U17="","",$U17),IF($T17="","",$T17))</f>
        <v/>
      </c>
      <c r="AG17">
        <f>IF($V17,IF($O17="","",$O17),IF($P17="","",$P17))</f>
        <v/>
      </c>
      <c r="AH17" t="n">
        <v>0.08572381463720408</v>
      </c>
      <c r="AI17">
        <f>IF($Y17="worse","Yes",IF($Y17="worse, not significant","Not sure",IF(OR($Y17="too few losses to test",$Y17="too few loans to test"),"Too few losses",IF($Y17="","","No"))))</f>
        <v/>
      </c>
      <c r="AJ17">
        <f>IF($AA17="yes","Yes",IF($AA17="","","No"))</f>
        <v/>
      </c>
    </row>
    <row r="18">
      <c r="A18" t="inlineStr">
        <is>
          <t>grids</t>
        </is>
      </c>
      <c r="B18" t="inlineStr">
        <is>
          <t>FICO x CHANNEL</t>
        </is>
      </c>
      <c r="C18" t="inlineStr">
        <is>
          <t>712 - 745</t>
        </is>
      </c>
      <c r="D18" t="inlineStr">
        <is>
          <t>Branch</t>
        </is>
      </c>
      <c r="E18" t="inlineStr">
        <is>
          <t>contribution_rate</t>
        </is>
      </c>
      <c r="F18" t="inlineStr">
        <is>
          <t>Contribution before losses per booked dollar</t>
        </is>
      </c>
      <c r="G18" t="n">
        <v>536</v>
      </c>
      <c r="H18" t="n">
        <v>16473379.6</v>
      </c>
      <c r="I18" t="b">
        <v>0</v>
      </c>
      <c r="J18" t="b">
        <v>0</v>
      </c>
      <c r="K18" t="n">
        <v>-0.06518093049863156</v>
      </c>
      <c r="L18" t="n">
        <v>0.000158317501583175</v>
      </c>
      <c r="M18" t="n">
        <v>-0.02601066941917214</v>
      </c>
      <c r="N18" t="n">
        <v>0.0002571171454283143</v>
      </c>
      <c r="O18" t="n">
        <v>1073750.210785175</v>
      </c>
      <c r="P18" t="n">
        <v>428483.6309921339</v>
      </c>
      <c r="Q18">
        <f>'_live'!$C$24</f>
        <v/>
      </c>
      <c r="R18" t="inlineStr">
        <is>
          <t>shuffled: 0 of 10,000</t>
        </is>
      </c>
      <c r="S18" t="inlineStr">
        <is>
          <t>shuffled: 0 of 10,000</t>
        </is>
      </c>
      <c r="T18" t="n">
        <v>0.173753814353017</v>
      </c>
      <c r="U18" t="n">
        <v>0.1345835532735575</v>
      </c>
      <c r="V18">
        <f>AND(judged_band,NOT($J18))</f>
        <v/>
      </c>
      <c r="W18">
        <f>IF($K18="","",IF(profit_kind="test",IF(OR(NOT(AND(ISNUMBER($L18),$L18&lt;significance_bar)),$K18=0),"in line",IF($K18&lt;0,"worse","better")),IF(OR($K18=0,IF(profit_kind="points",ABS($K18),ABS($K18*$H18))&lt;profit_line*(1-1E-9)),"in line",IF(AND(ISNUMBER($L18),$L18&lt;significance_bar),IF($K18&lt;0,"worse","better"),IF($K18&lt;0,"worse, not significant","better, not significant")))))</f>
        <v/>
      </c>
      <c r="X18">
        <f>IF($M18="","",IF(profit_kind="test",IF(OR(NOT(AND(ISNUMBER($N18),$N18&lt;significance_bar)),$M18=0),"in line",IF($M18&lt;0,"worse","better")),IF(OR($M18=0,IF(profit_kind="points",ABS($M18),ABS($M18*$H18))&lt;profit_line*(1-1E-9)),"in line",IF(AND(ISNUMBER($N18),$N18&lt;significance_bar),IF($M18&lt;0,"worse","better"),IF($M18&lt;0,"worse, not significant","better, not significant")))))</f>
        <v/>
      </c>
      <c r="Y18">
        <f>IF($V18,$X18,$W18)</f>
        <v/>
      </c>
      <c r="Z18">
        <f>IF($V18,IF($P18="","",$P18),IF($O18="","",$O18))</f>
        <v/>
      </c>
      <c r="AA18">
        <f>IF(OR($Q18="",$Z18=""),"",IF(AND($Z18&gt;0,$Z18&gt;=$Q18),"yes","below the line"))</f>
        <v/>
      </c>
      <c r="AB18">
        <f>IF($V18,IF($M18="","",$M18),IF($K18="","",$K18))</f>
        <v/>
      </c>
      <c r="AC18">
        <f>IF($V18,IF($N18="","",$N18),IF($L18="","",$L18))</f>
        <v/>
      </c>
      <c r="AD18">
        <f>IF($Y18="","",IF($Y18="in line",IF(profit_kind="test",IF(ROUND($AB18*100,2)=0,"0.00",TEXT($AB18*100,"+0.00;-0.00"))&amp;" points against "&amp;IF($V18,"its band","the book")&amp;", "&amp;IF($AC18="","not tested","not significant"),IF(profit_kind="points","within "&amp;TEXT(profit_line*100,"0.00")&amp;" points of "&amp;IF($V18,"its band","the book")&amp;" ("&amp;IF(ROUND($AB18*100,2)=0,"0.00",TEXT($AB18*100,"+0.00;-0.00"))&amp;")","within $"&amp;TEXT(profit_line,"#,##0")&amp;" of "&amp;IF($V18,"its band","the book")&amp;" ("&amp;IF(ROUND($AB18*100,2)=0,"0.00",TEXT($AB18*100,"+0.00;-0.00"))&amp;" points)")),IF(LEFT($Y18,5)="worse","short of ","ahead of ")&amp;IF($V18,"its band","the book")&amp;" by "&amp;TEXT(ABS($AB18)*100,"0.00")&amp;" points"&amp;IF($Z18="",""," ($"&amp;TEXT(ABS($Z18),"#,##0")&amp;")")&amp;IF(RIGHT($Y18,15)="not significant"," (not significant)","")))</f>
        <v/>
      </c>
      <c r="AE18">
        <f>IF($V18,IF($S18="","",$S18),IF($R18="","",$R18))</f>
        <v/>
      </c>
      <c r="AF18">
        <f>IF($V18,IF($U18="","",$U18),IF($T18="","",$T18))</f>
        <v/>
      </c>
      <c r="AG18">
        <f>IF($V18,IF($O18="","",$O18),IF($P18="","",$P18))</f>
        <v/>
      </c>
      <c r="AH18" t="n">
        <v>0.1085728838543854</v>
      </c>
      <c r="AI18">
        <f>IF($Y18="worse","Yes",IF($Y18="worse, not significant","Not sure",IF(OR($Y18="too few losses to test",$Y18="too few loans to test"),"Too few losses",IF($Y18="","","No"))))</f>
        <v/>
      </c>
      <c r="AJ18">
        <f>IF($AA18="yes","Yes",IF($AA18="","","No"))</f>
        <v/>
      </c>
    </row>
    <row r="19">
      <c r="A19" t="inlineStr">
        <is>
          <t>grids</t>
        </is>
      </c>
      <c r="B19" t="inlineStr">
        <is>
          <t>FICO x CHANNEL</t>
        </is>
      </c>
      <c r="C19" t="inlineStr">
        <is>
          <t>496 - 653</t>
        </is>
      </c>
      <c r="D19" t="inlineStr">
        <is>
          <t>Branch</t>
        </is>
      </c>
      <c r="E19" t="inlineStr">
        <is>
          <t>outcome_loans</t>
        </is>
      </c>
      <c r="F19" t="inlineStr">
        <is>
          <t>Outcome, share of loans</t>
        </is>
      </c>
      <c r="G19" t="n">
        <v>501</v>
      </c>
      <c r="H19" t="n">
        <v>501</v>
      </c>
      <c r="I19" t="b">
        <v>0</v>
      </c>
      <c r="J19" t="b">
        <v>0</v>
      </c>
      <c r="K19" t="n">
        <v>1.343784262460993</v>
      </c>
      <c r="L19" t="n">
        <v>0.05778926894344564</v>
      </c>
      <c r="M19" t="n">
        <v>0.5863028042276104</v>
      </c>
      <c r="N19" t="n">
        <v>0.0008021048282253793</v>
      </c>
      <c r="O19" t="n">
        <v>13.04747932782075</v>
      </c>
      <c r="P19" t="n">
        <v>-35.98576850094877</v>
      </c>
      <c r="Q19">
        <f>'_live'!$C$20</f>
        <v/>
      </c>
      <c r="R19" t="inlineStr">
        <is>
          <t>z test</t>
        </is>
      </c>
      <c r="S19" t="inlineStr">
        <is>
          <t>z test</t>
        </is>
      </c>
      <c r="T19" t="n">
        <v>0.07575353427580689</v>
      </c>
      <c r="U19" t="n">
        <v>0.1736242884250474</v>
      </c>
      <c r="V19">
        <f>AND(judged_band,NOT($J19))</f>
        <v/>
      </c>
      <c r="W19">
        <f>IF($K19="","",IF($I19,"too few losses to test",IF(AND($K19&gt;better_at,$K19&lt;worse_at),"in line",IF($K19&gt;=worse_at,IF(AND(ISNUMBER($L19),$L19&lt;significance_bar),"worse","worse, not significant"),IF(AND(ISNUMBER($L19),$L19&lt;significance_bar),"better","better, not significant")))))</f>
        <v/>
      </c>
      <c r="X19">
        <f>IF($M19="","",IF($I19,"too few losses to test",IF(AND($M19&gt;better_at,$M19&lt;worse_at),"in line",IF($M19&gt;=worse_at,IF(AND(ISNUMBER($N19),$N19&lt;significance_bar),"worse","worse, not significant"),IF(AND(ISNUMBER($N19),$N19&lt;significance_bar),"better","better, not significant")))))</f>
        <v/>
      </c>
      <c r="Y19">
        <f>IF($V19,$X19,$W19)</f>
        <v/>
      </c>
      <c r="Z19">
        <f>IF($V19,IF($P19="","",$P19),IF($O19="","",$O19))</f>
        <v/>
      </c>
      <c r="AA19">
        <f>IF(OR($Q19="",$Z19=""),"",IF(AND($Z19&gt;0,$Z19&gt;=$Q19),"yes","below the line"))</f>
        <v/>
      </c>
      <c r="AB19">
        <f>IF($V19,IF($M19="","",$M19),IF($K19="","",$K19))</f>
        <v/>
      </c>
      <c r="AC19">
        <f>IF($V19,IF($N19="","",$N19),IF($L19="","",$L19))</f>
        <v/>
      </c>
      <c r="AD19">
        <f>$Y19</f>
        <v/>
      </c>
      <c r="AE19">
        <f>IF($V19,IF($S19="","",$S19),IF($R19="","",$R19))</f>
        <v/>
      </c>
      <c r="AF19">
        <f>IF($V19,IF($U19="","",$U19),IF($T19="","",$T19))</f>
        <v/>
      </c>
      <c r="AG19">
        <f>IF($V19,IF($O19="","",$O19),IF($P19="","",$P19))</f>
        <v/>
      </c>
      <c r="AH19" t="n">
        <v>0.1017964071856287</v>
      </c>
      <c r="AI19">
        <f>IF($Y19="worse","Yes",IF($Y19="worse, not significant","Not sure",IF(OR($Y19="too few losses to test",$Y19="too few loans to test"),"Too few losses",IF($Y19="","","No"))))</f>
        <v/>
      </c>
      <c r="AJ19">
        <f>IF($AA19="yes","Yes",IF($AA19="","","No"))</f>
        <v/>
      </c>
    </row>
    <row r="20">
      <c r="A20" t="inlineStr">
        <is>
          <t>grids</t>
        </is>
      </c>
      <c r="B20" t="inlineStr">
        <is>
          <t>FICO x CHANNEL</t>
        </is>
      </c>
      <c r="C20" t="inlineStr">
        <is>
          <t>496 - 653</t>
        </is>
      </c>
      <c r="D20" t="inlineStr">
        <is>
          <t>Branch</t>
        </is>
      </c>
      <c r="E20" t="inlineStr">
        <is>
          <t>outcome_booked</t>
        </is>
      </c>
      <c r="F20" t="inlineStr">
        <is>
          <t>Outcome, share of booked dollars</t>
        </is>
      </c>
      <c r="G20" t="n">
        <v>501</v>
      </c>
      <c r="H20" t="n">
        <v>16302718.78</v>
      </c>
      <c r="I20" t="b">
        <v>0</v>
      </c>
      <c r="J20" t="b">
        <v>0</v>
      </c>
      <c r="K20" t="n">
        <v>1.415887845092618</v>
      </c>
      <c r="L20" t="n">
        <v>0.037662900376629</v>
      </c>
      <c r="M20" t="n">
        <v>0.6039812851062788</v>
      </c>
      <c r="N20" t="n">
        <v>0.00674932506749325</v>
      </c>
      <c r="O20" t="n">
        <v>494357.5361808725</v>
      </c>
      <c r="P20" t="n">
        <v>-1103534.749210148</v>
      </c>
      <c r="Q20">
        <f>'_live'!$C$21</f>
        <v/>
      </c>
      <c r="R20" t="inlineStr">
        <is>
          <t>shuffled: 222 of 10,000</t>
        </is>
      </c>
      <c r="S20" t="inlineStr">
        <is>
          <t>shuffled: 17 of 10,000</t>
        </is>
      </c>
      <c r="T20" t="n">
        <v>0.07291298769610059</v>
      </c>
      <c r="U20" t="n">
        <v>0.170926840903904</v>
      </c>
      <c r="V20">
        <f>AND(judged_band,NOT($J20))</f>
        <v/>
      </c>
      <c r="W20">
        <f>IF($K20="","",IF($I20,"too few losses to test",IF(AND($K20&gt;better_at,$K20&lt;worse_at),"in line",IF($K20&gt;=worse_at,IF(AND(ISNUMBER($L20),$L20&lt;significance_bar),"worse","worse, not significant"),IF(AND(ISNUMBER($L20),$L20&lt;significance_bar),"better","better, not significant")))))</f>
        <v/>
      </c>
      <c r="X20">
        <f>IF($M20="","",IF($I20,"too few losses to test",IF(AND($M20&gt;better_at,$M20&lt;worse_at),"in line",IF($M20&gt;=worse_at,IF(AND(ISNUMBER($N20),$N20&lt;significance_bar),"worse","worse, not significant"),IF(AND(ISNUMBER($N20),$N20&lt;significance_bar),"better","better, not significant")))))</f>
        <v/>
      </c>
      <c r="Y20">
        <f>IF($V20,$X20,$W20)</f>
        <v/>
      </c>
      <c r="Z20">
        <f>IF($V20,IF($P20="","",$P20),IF($O20="","",$O20))</f>
        <v/>
      </c>
      <c r="AA20">
        <f>IF(OR($Q20="",$Z20=""),"",IF(AND($Z20&gt;0,$Z20&gt;=$Q20),"yes","below the line"))</f>
        <v/>
      </c>
      <c r="AB20">
        <f>IF($V20,IF($M20="","",$M20),IF($K20="","",$K20))</f>
        <v/>
      </c>
      <c r="AC20">
        <f>IF($V20,IF($N20="","",$N20),IF($L20="","",$L20))</f>
        <v/>
      </c>
      <c r="AD20">
        <f>$Y20</f>
        <v/>
      </c>
      <c r="AE20">
        <f>IF($V20,IF($S20="","",$S20),IF($R20="","",$R20))</f>
        <v/>
      </c>
      <c r="AF20">
        <f>IF($V20,IF($U20="","",$U20),IF($T20="","",$T20))</f>
        <v/>
      </c>
      <c r="AG20">
        <f>IF($V20,IF($O20="","",$O20),IF($P20="","",$P20))</f>
        <v/>
      </c>
      <c r="AH20" t="n">
        <v>0.1032366130282964</v>
      </c>
      <c r="AI20">
        <f>IF($Y20="worse","Yes",IF($Y20="worse, not significant","Not sure",IF(OR($Y20="too few losses to test",$Y20="too few loans to test"),"Too few losses",IF($Y20="","","No"))))</f>
        <v/>
      </c>
      <c r="AJ20">
        <f>IF($AA20="yes","Yes",IF($AA20="","","No"))</f>
        <v/>
      </c>
    </row>
    <row r="21">
      <c r="A21" t="inlineStr">
        <is>
          <t>grids</t>
        </is>
      </c>
      <c r="B21" t="inlineStr">
        <is>
          <t>FICO x CHANNEL</t>
        </is>
      </c>
      <c r="C21" t="inlineStr">
        <is>
          <t>496 - 653</t>
        </is>
      </c>
      <c r="D21" t="inlineStr">
        <is>
          <t>Branch</t>
        </is>
      </c>
      <c r="E21" t="inlineStr">
        <is>
          <t>gco_rate</t>
        </is>
      </c>
      <c r="F21" t="inlineStr">
        <is>
          <t>GCO per booked dollar</t>
        </is>
      </c>
      <c r="G21" t="n">
        <v>502</v>
      </c>
      <c r="H21" t="n">
        <v>16339706.79</v>
      </c>
      <c r="I21" t="b">
        <v>0</v>
      </c>
      <c r="J21" t="b">
        <v>0</v>
      </c>
      <c r="K21" t="n">
        <v>1.319848697701079</v>
      </c>
      <c r="L21" t="n">
        <v>0.1357364263573643</v>
      </c>
      <c r="M21" t="n">
        <v>0.5518943693761096</v>
      </c>
      <c r="N21" t="n">
        <v>0.002999700029997</v>
      </c>
      <c r="O21" t="n">
        <v>213122.1745249684</v>
      </c>
      <c r="P21" t="n">
        <v>-714056.6004070712</v>
      </c>
      <c r="Q21">
        <f>'_live'!$C$22</f>
        <v/>
      </c>
      <c r="R21" t="inlineStr">
        <is>
          <t>shuffled: 904 of 10,000</t>
        </is>
      </c>
      <c r="S21" t="inlineStr">
        <is>
          <t>shuffled: 5 of 10,000</t>
        </is>
      </c>
      <c r="T21" t="n">
        <v>0.04077930247088796</v>
      </c>
      <c r="U21" t="n">
        <v>0.09752320778377145</v>
      </c>
      <c r="V21">
        <f>AND(judged_band,NOT($J21))</f>
        <v/>
      </c>
      <c r="W21">
        <f>IF($K21="","",IF($I21,"too few losses to test",IF(AND($K21&gt;better_at,$K21&lt;worse_at),"in line",IF($K21&gt;=worse_at,IF(AND(ISNUMBER($L21),$L21&lt;significance_bar),"worse","worse, not significant"),IF(AND(ISNUMBER($L21),$L21&lt;significance_bar),"better","better, not significant")))))</f>
        <v/>
      </c>
      <c r="X21">
        <f>IF($M21="","",IF($I21,"too few losses to test",IF(AND($M21&gt;better_at,$M21&lt;worse_at),"in line",IF($M21&gt;=worse_at,IF(AND(ISNUMBER($N21),$N21&lt;significance_bar),"worse","worse, not significant"),IF(AND(ISNUMBER($N21),$N21&lt;significance_bar),"better","better, not significant")))))</f>
        <v/>
      </c>
      <c r="Y21">
        <f>IF($V21,$X21,$W21)</f>
        <v/>
      </c>
      <c r="Z21">
        <f>IF($V21,IF($P21="","",$P21),IF($O21="","",$O21))</f>
        <v/>
      </c>
      <c r="AA21">
        <f>IF(OR($Q21="",$Z21=""),"",IF(AND($Z21&gt;0,$Z21&gt;=$Q21),"yes","below the line"))</f>
        <v/>
      </c>
      <c r="AB21">
        <f>IF($V21,IF($M21="","",$M21),IF($K21="","",$K21))</f>
        <v/>
      </c>
      <c r="AC21">
        <f>IF($V21,IF($N21="","",$N21),IF($L21="","",$L21))</f>
        <v/>
      </c>
      <c r="AD21">
        <f>$Y21</f>
        <v/>
      </c>
      <c r="AE21">
        <f>IF($V21,IF($S21="","",$S21),IF($R21="","",$R21))</f>
        <v/>
      </c>
      <c r="AF21">
        <f>IF($V21,IF($U21="","",$U21),IF($T21="","",$T21))</f>
        <v/>
      </c>
      <c r="AG21">
        <f>IF($V21,IF($O21="","",$O21),IF($P21="","",$P21))</f>
        <v/>
      </c>
      <c r="AH21" t="n">
        <v>0.05382250925935985</v>
      </c>
      <c r="AI21">
        <f>IF($Y21="worse","Yes",IF($Y21="worse, not significant","Not sure",IF(OR($Y21="too few losses to test",$Y21="too few loans to test"),"Too few losses",IF($Y21="","","No"))))</f>
        <v/>
      </c>
      <c r="AJ21">
        <f>IF($AA21="yes","Yes",IF($AA21="","","No"))</f>
        <v/>
      </c>
    </row>
    <row r="22">
      <c r="A22" t="inlineStr">
        <is>
          <t>grids</t>
        </is>
      </c>
      <c r="B22" t="inlineStr">
        <is>
          <t>FICO x CHANNEL</t>
        </is>
      </c>
      <c r="C22" t="inlineStr">
        <is>
          <t>496 - 653</t>
        </is>
      </c>
      <c r="D22" t="inlineStr">
        <is>
          <t>Branch</t>
        </is>
      </c>
      <c r="E22" t="inlineStr">
        <is>
          <t>ranr_rate</t>
        </is>
      </c>
      <c r="F22" t="inlineStr">
        <is>
          <t>Profit after losses: RANR per booked dollar</t>
        </is>
      </c>
      <c r="G22" t="n">
        <v>502</v>
      </c>
      <c r="H22" t="n">
        <v>16339706.79</v>
      </c>
      <c r="I22" t="b">
        <v>0</v>
      </c>
      <c r="J22" t="b">
        <v>0</v>
      </c>
      <c r="K22" t="n">
        <v>0.09510504063437188</v>
      </c>
      <c r="L22" t="n">
        <v>0.0002110900021109</v>
      </c>
      <c r="M22" t="n">
        <v>0.03967676561685449</v>
      </c>
      <c r="N22" t="n">
        <v>0.0323967603239676</v>
      </c>
      <c r="O22" t="n">
        <v>-1553988.478216672</v>
      </c>
      <c r="P22" t="n">
        <v>-648306.716554956</v>
      </c>
      <c r="Q22">
        <f>'_live'!$C$23</f>
        <v/>
      </c>
      <c r="R22" t="inlineStr">
        <is>
          <t>shuffled: 0 of 10,000</t>
        </is>
      </c>
      <c r="S22" t="inlineStr">
        <is>
          <t>shuffled: 71 of 10,000</t>
        </is>
      </c>
      <c r="T22" t="n">
        <v>0.1219684359943966</v>
      </c>
      <c r="U22" t="n">
        <v>0.177396711011914</v>
      </c>
      <c r="V22">
        <f>AND(judged_band,NOT($J22))</f>
        <v/>
      </c>
      <c r="W22">
        <f>IF($K22="","",IF(profit_kind="test",IF(OR(NOT(AND(ISNUMBER($L22),$L22&lt;significance_bar)),$K22=0),"in line",IF($K22&lt;0,"worse","better")),IF(OR($K22=0,IF(profit_kind="points",ABS($K22),ABS($K22*$H22))&lt;profit_line*(1-1E-9)),"in line",IF(AND(ISNUMBER($L22),$L22&lt;significance_bar),IF($K22&lt;0,"worse","better"),IF($K22&lt;0,"worse, not significant","better, not significant")))))</f>
        <v/>
      </c>
      <c r="X22">
        <f>IF($M22="","",IF(profit_kind="test",IF(OR(NOT(AND(ISNUMBER($N22),$N22&lt;significance_bar)),$M22=0),"in line",IF($M22&lt;0,"worse","better")),IF(OR($M22=0,IF(profit_kind="points",ABS($M22),ABS($M22*$H22))&lt;profit_line*(1-1E-9)),"in line",IF(AND(ISNUMBER($N22),$N22&lt;significance_bar),IF($M22&lt;0,"worse","better"),IF($M22&lt;0,"worse, not significant","better, not significant")))))</f>
        <v/>
      </c>
      <c r="Y22">
        <f>IF($V22,$X22,$W22)</f>
        <v/>
      </c>
      <c r="Z22">
        <f>IF($V22,IF($P22="","",$P22),IF($O22="","",$O22))</f>
        <v/>
      </c>
      <c r="AA22">
        <f>IF(OR($Q22="",$Z22=""),"",IF(AND($Z22&gt;0,$Z22&gt;=$Q22),"yes","below the line"))</f>
        <v/>
      </c>
      <c r="AB22">
        <f>IF($V22,IF($M22="","",$M22),IF($K22="","",$K22))</f>
        <v/>
      </c>
      <c r="AC22">
        <f>IF($V22,IF($N22="","",$N22),IF($L22="","",$L22))</f>
        <v/>
      </c>
      <c r="AD22">
        <f>IF($Y22="","",IF($Y22="in line",IF(profit_kind="test",IF(ROUND($AB22*100,2)=0,"0.00",TEXT($AB22*100,"+0.00;-0.00"))&amp;" points against "&amp;IF($V22,"its band","the book")&amp;", "&amp;IF($AC22="","not tested","not significant"),IF(profit_kind="points","within "&amp;TEXT(profit_line*100,"0.00")&amp;" points of "&amp;IF($V22,"its band","the book")&amp;" ("&amp;IF(ROUND($AB22*100,2)=0,"0.00",TEXT($AB22*100,"+0.00;-0.00"))&amp;")","within $"&amp;TEXT(profit_line,"#,##0")&amp;" of "&amp;IF($V22,"its band","the book")&amp;" ("&amp;IF(ROUND($AB22*100,2)=0,"0.00",TEXT($AB22*100,"+0.00;-0.00"))&amp;" points)")),IF(LEFT($Y22,5)="worse","short of ","ahead of ")&amp;IF($V22,"its band","the book")&amp;" by "&amp;TEXT(ABS($AB22)*100,"0.00")&amp;" points"&amp;IF($Z22="",""," ($"&amp;TEXT(ABS($Z22),"#,##0")&amp;")")&amp;IF(RIGHT($Y22,15)="not significant"," (not significant)","")))</f>
        <v/>
      </c>
      <c r="AE22">
        <f>IF($V22,IF($S22="","",$S22),IF($R22="","",$R22))</f>
        <v/>
      </c>
      <c r="AF22">
        <f>IF($V22,IF($U22="","",$U22),IF($T22="","",$T22))</f>
        <v/>
      </c>
      <c r="AG22">
        <f>IF($V22,IF($O22="","",$O22),IF($P22="","",$P22))</f>
        <v/>
      </c>
      <c r="AH22" t="n">
        <v>0.2170734766287685</v>
      </c>
      <c r="AI22">
        <f>IF($Y22="worse","Yes",IF($Y22="worse, not significant","Not sure",IF(OR($Y22="too few losses to test",$Y22="too few loans to test"),"Too few losses",IF($Y22="","","No"))))</f>
        <v/>
      </c>
      <c r="AJ22">
        <f>IF($AA22="yes","Yes",IF($AA22="","","No"))</f>
        <v/>
      </c>
    </row>
    <row r="23">
      <c r="A23" t="inlineStr">
        <is>
          <t>grids</t>
        </is>
      </c>
      <c r="B23" t="inlineStr">
        <is>
          <t>FICO x CHANNEL</t>
        </is>
      </c>
      <c r="C23" t="inlineStr">
        <is>
          <t>496 - 653</t>
        </is>
      </c>
      <c r="D23" t="inlineStr">
        <is>
          <t>Branch</t>
        </is>
      </c>
      <c r="E23" t="inlineStr">
        <is>
          <t>contribution_rate</t>
        </is>
      </c>
      <c r="F23" t="inlineStr">
        <is>
          <t>Contribution before losses per booked dollar</t>
        </is>
      </c>
      <c r="G23" t="n">
        <v>502</v>
      </c>
      <c r="H23" t="n">
        <v>16339706.79</v>
      </c>
      <c r="I23" t="b">
        <v>0</v>
      </c>
      <c r="J23" t="b">
        <v>0</v>
      </c>
      <c r="K23" t="n">
        <v>0.1081522886986904</v>
      </c>
      <c r="L23" t="n">
        <v>0.000158317501583175</v>
      </c>
      <c r="M23" t="n">
        <v>-0.004023932907556982</v>
      </c>
      <c r="N23" t="n">
        <v>0.6793791209114383</v>
      </c>
      <c r="O23" t="n">
        <v>-1767176.686004032</v>
      </c>
      <c r="P23" t="n">
        <v>65749.88385211304</v>
      </c>
      <c r="Q23">
        <f>'_live'!$C$24</f>
        <v/>
      </c>
      <c r="R23" t="inlineStr">
        <is>
          <t>shuffled: 0 of 10,000</t>
        </is>
      </c>
      <c r="S23" t="inlineStr">
        <is>
          <t>shuffled: 6,416 of 10,000</t>
        </is>
      </c>
      <c r="T23" t="n">
        <v>0.1627436971894379</v>
      </c>
      <c r="U23" t="n">
        <v>0.2749199187956853</v>
      </c>
      <c r="V23">
        <f>AND(judged_band,NOT($J23))</f>
        <v/>
      </c>
      <c r="W23">
        <f>IF($K23="","",IF(profit_kind="test",IF(OR(NOT(AND(ISNUMBER($L23),$L23&lt;significance_bar)),$K23=0),"in line",IF($K23&lt;0,"worse","better")),IF(OR($K23=0,IF(profit_kind="points",ABS($K23),ABS($K23*$H23))&lt;profit_line*(1-1E-9)),"in line",IF(AND(ISNUMBER($L23),$L23&lt;significance_bar),IF($K23&lt;0,"worse","better"),IF($K23&lt;0,"worse, not significant","better, not significant")))))</f>
        <v/>
      </c>
      <c r="X23">
        <f>IF($M23="","",IF(profit_kind="test",IF(OR(NOT(AND(ISNUMBER($N23),$N23&lt;significance_bar)),$M23=0),"in line",IF($M23&lt;0,"worse","better")),IF(OR($M23=0,IF(profit_kind="points",ABS($M23),ABS($M23*$H23))&lt;profit_line*(1-1E-9)),"in line",IF(AND(ISNUMBER($N23),$N23&lt;significance_bar),IF($M23&lt;0,"worse","better"),IF($M23&lt;0,"worse, not significant","better, not significant")))))</f>
        <v/>
      </c>
      <c r="Y23">
        <f>IF($V23,$X23,$W23)</f>
        <v/>
      </c>
      <c r="Z23">
        <f>IF($V23,IF($P23="","",$P23),IF($O23="","",$O23))</f>
        <v/>
      </c>
      <c r="AA23">
        <f>IF(OR($Q23="",$Z23=""),"",IF(AND($Z23&gt;0,$Z23&gt;=$Q23),"yes","below the line"))</f>
        <v/>
      </c>
      <c r="AB23">
        <f>IF($V23,IF($M23="","",$M23),IF($K23="","",$K23))</f>
        <v/>
      </c>
      <c r="AC23">
        <f>IF($V23,IF($N23="","",$N23),IF($L23="","",$L23))</f>
        <v/>
      </c>
      <c r="AD23">
        <f>IF($Y23="","",IF($Y23="in line",IF(profit_kind="test",IF(ROUND($AB23*100,2)=0,"0.00",TEXT($AB23*100,"+0.00;-0.00"))&amp;" points against "&amp;IF($V23,"its band","the book")&amp;", "&amp;IF($AC23="","not tested","not significant"),IF(profit_kind="points","within "&amp;TEXT(profit_line*100,"0.00")&amp;" points of "&amp;IF($V23,"its band","the book")&amp;" ("&amp;IF(ROUND($AB23*100,2)=0,"0.00",TEXT($AB23*100,"+0.00;-0.00"))&amp;")","within $"&amp;TEXT(profit_line,"#,##0")&amp;" of "&amp;IF($V23,"its band","the book")&amp;" ("&amp;IF(ROUND($AB23*100,2)=0,"0.00",TEXT($AB23*100,"+0.00;-0.00"))&amp;" points)")),IF(LEFT($Y23,5)="worse","short of ","ahead of ")&amp;IF($V23,"its band","the book")&amp;" by "&amp;TEXT(ABS($AB23)*100,"0.00")&amp;" points"&amp;IF($Z23="",""," ($"&amp;TEXT(ABS($Z23),"#,##0")&amp;")")&amp;IF(RIGHT($Y23,15)="not significant"," (not significant)","")))</f>
        <v/>
      </c>
      <c r="AE23">
        <f>IF($V23,IF($S23="","",$S23),IF($R23="","",$R23))</f>
        <v/>
      </c>
      <c r="AF23">
        <f>IF($V23,IF($U23="","",$U23),IF($T23="","",$T23))</f>
        <v/>
      </c>
      <c r="AG23">
        <f>IF($V23,IF($O23="","",$O23),IF($P23="","",$P23))</f>
        <v/>
      </c>
      <c r="AH23" t="n">
        <v>0.2708959858881283</v>
      </c>
      <c r="AI23">
        <f>IF($Y23="worse","Yes",IF($Y23="worse, not significant","Not sure",IF(OR($Y23="too few losses to test",$Y23="too few loans to test"),"Too few losses",IF($Y23="","","No"))))</f>
        <v/>
      </c>
      <c r="AJ23">
        <f>IF($AA23="yes","Yes",IF($AA23="","","No"))</f>
        <v/>
      </c>
    </row>
    <row r="24">
      <c r="A24" t="inlineStr">
        <is>
          <t>grids</t>
        </is>
      </c>
      <c r="B24" t="inlineStr">
        <is>
          <t>FICO x CHANNEL</t>
        </is>
      </c>
      <c r="C24" t="inlineStr">
        <is>
          <t>746 - 921</t>
        </is>
      </c>
      <c r="D24" t="inlineStr">
        <is>
          <t>Branch</t>
        </is>
      </c>
      <c r="E24" t="inlineStr">
        <is>
          <t>outcome_loans</t>
        </is>
      </c>
      <c r="F24" t="inlineStr">
        <is>
          <t>Outcome, share of loans</t>
        </is>
      </c>
      <c r="G24" t="n">
        <v>518</v>
      </c>
      <c r="H24" t="n">
        <v>518</v>
      </c>
      <c r="I24" t="b">
        <v>0</v>
      </c>
      <c r="J24" t="b">
        <v>0</v>
      </c>
      <c r="K24" t="n">
        <v>0.5573287813220699</v>
      </c>
      <c r="L24" t="n">
        <v>0.009179207664643392</v>
      </c>
      <c r="M24" t="n">
        <v>1.198841698841699</v>
      </c>
      <c r="N24" t="n">
        <v>0.7213952466964266</v>
      </c>
      <c r="O24" t="n">
        <v>-18.26827964175912</v>
      </c>
      <c r="P24" t="n">
        <v>3.814814814814817</v>
      </c>
      <c r="Q24">
        <f>'_live'!$C$20</f>
        <v/>
      </c>
      <c r="R24" t="inlineStr">
        <is>
          <t>z test</t>
        </is>
      </c>
      <c r="S24" t="inlineStr">
        <is>
          <t>z test</t>
        </is>
      </c>
      <c r="T24" t="n">
        <v>0.07966849351690951</v>
      </c>
      <c r="U24" t="n">
        <v>0.03703703703703703</v>
      </c>
      <c r="V24">
        <f>AND(judged_band,NOT($J24))</f>
        <v/>
      </c>
      <c r="W24">
        <f>IF($K24="","",IF($I24,"too few losses to test",IF(AND($K24&gt;better_at,$K24&lt;worse_at),"in line",IF($K24&gt;=worse_at,IF(AND(ISNUMBER($L24),$L24&lt;significance_bar),"worse","worse, not significant"),IF(AND(ISNUMBER($L24),$L24&lt;significance_bar),"better","better, not significant")))))</f>
        <v/>
      </c>
      <c r="X24">
        <f>IF($M24="","",IF($I24,"too few losses to test",IF(AND($M24&gt;better_at,$M24&lt;worse_at),"in line",IF($M24&gt;=worse_at,IF(AND(ISNUMBER($N24),$N24&lt;significance_bar),"worse","worse, not significant"),IF(AND(ISNUMBER($N24),$N24&lt;significance_bar),"better","better, not significant")))))</f>
        <v/>
      </c>
      <c r="Y24">
        <f>IF($V24,$X24,$W24)</f>
        <v/>
      </c>
      <c r="Z24">
        <f>IF($V24,IF($P24="","",$P24),IF($O24="","",$O24))</f>
        <v/>
      </c>
      <c r="AA24">
        <f>IF(OR($Q24="",$Z24=""),"",IF(AND($Z24&gt;0,$Z24&gt;=$Q24),"yes","below the line"))</f>
        <v/>
      </c>
      <c r="AB24">
        <f>IF($V24,IF($M24="","",$M24),IF($K24="","",$K24))</f>
        <v/>
      </c>
      <c r="AC24">
        <f>IF($V24,IF($N24="","",$N24),IF($L24="","",$L24))</f>
        <v/>
      </c>
      <c r="AD24">
        <f>$Y24</f>
        <v/>
      </c>
      <c r="AE24">
        <f>IF($V24,IF($S24="","",$S24),IF($R24="","",$R24))</f>
        <v/>
      </c>
      <c r="AF24">
        <f>IF($V24,IF($U24="","",$U24),IF($T24="","",$T24))</f>
        <v/>
      </c>
      <c r="AG24">
        <f>IF($V24,IF($O24="","",$O24),IF($P24="","",$P24))</f>
        <v/>
      </c>
      <c r="AH24" t="n">
        <v>0.0444015444015444</v>
      </c>
      <c r="AI24">
        <f>IF($Y24="worse","Yes",IF($Y24="worse, not significant","Not sure",IF(OR($Y24="too few losses to test",$Y24="too few loans to test"),"Too few losses",IF($Y24="","","No"))))</f>
        <v/>
      </c>
      <c r="AJ24">
        <f>IF($AA24="yes","Yes",IF($AA24="","","No"))</f>
        <v/>
      </c>
    </row>
    <row r="25">
      <c r="A25" t="inlineStr">
        <is>
          <t>grids</t>
        </is>
      </c>
      <c r="B25" t="inlineStr">
        <is>
          <t>FICO x CHANNEL</t>
        </is>
      </c>
      <c r="C25" t="inlineStr">
        <is>
          <t>746 - 921</t>
        </is>
      </c>
      <c r="D25" t="inlineStr">
        <is>
          <t>Branch</t>
        </is>
      </c>
      <c r="E25" t="inlineStr">
        <is>
          <t>outcome_booked</t>
        </is>
      </c>
      <c r="F25" t="inlineStr">
        <is>
          <t>Outcome, share of booked dollars</t>
        </is>
      </c>
      <c r="G25" t="n">
        <v>518</v>
      </c>
      <c r="H25" t="n">
        <v>16450329.83000001</v>
      </c>
      <c r="I25" t="b">
        <v>0</v>
      </c>
      <c r="J25" t="b">
        <v>0</v>
      </c>
      <c r="K25" t="n">
        <v>0.530865292683231</v>
      </c>
      <c r="L25" t="n">
        <v>0.014998500149985</v>
      </c>
      <c r="M25" t="n">
        <v>1.175288487477193</v>
      </c>
      <c r="N25" t="n">
        <v>0.7831944078319442</v>
      </c>
      <c r="O25" t="n">
        <v>-595290.2971687946</v>
      </c>
      <c r="P25" t="n">
        <v>100467.242903178</v>
      </c>
      <c r="Q25">
        <f>'_live'!$C$21</f>
        <v/>
      </c>
      <c r="R25" t="inlineStr">
        <is>
          <t>shuffled: 59 of 10,000</t>
        </is>
      </c>
      <c r="S25" t="inlineStr">
        <is>
          <t>shuffled: 5,743 of 10,000</t>
        </is>
      </c>
      <c r="T25" t="n">
        <v>0.07713591400791954</v>
      </c>
      <c r="U25" t="n">
        <v>0.03484147084100268</v>
      </c>
      <c r="V25">
        <f>AND(judged_band,NOT($J25))</f>
        <v/>
      </c>
      <c r="W25">
        <f>IF($K25="","",IF($I25,"too few losses to test",IF(AND($K25&gt;better_at,$K25&lt;worse_at),"in line",IF($K25&gt;=worse_at,IF(AND(ISNUMBER($L25),$L25&lt;significance_bar),"worse","worse, not significant"),IF(AND(ISNUMBER($L25),$L25&lt;significance_bar),"better","better, not significant")))))</f>
        <v/>
      </c>
      <c r="X25">
        <f>IF($M25="","",IF($I25,"too few losses to test",IF(AND($M25&gt;better_at,$M25&lt;worse_at),"in line",IF($M25&gt;=worse_at,IF(AND(ISNUMBER($N25),$N25&lt;significance_bar),"worse","worse, not significant"),IF(AND(ISNUMBER($N25),$N25&lt;significance_bar),"better","better, not significant")))))</f>
        <v/>
      </c>
      <c r="Y25">
        <f>IF($V25,$X25,$W25)</f>
        <v/>
      </c>
      <c r="Z25">
        <f>IF($V25,IF($P25="","",$P25),IF($O25="","",$O25))</f>
        <v/>
      </c>
      <c r="AA25">
        <f>IF(OR($Q25="",$Z25=""),"",IF(AND($Z25&gt;0,$Z25&gt;=$Q25),"yes","below the line"))</f>
        <v/>
      </c>
      <c r="AB25">
        <f>IF($V25,IF($M25="","",$M25),IF($K25="","",$K25))</f>
        <v/>
      </c>
      <c r="AC25">
        <f>IF($V25,IF($N25="","",$N25),IF($L25="","",$L25))</f>
        <v/>
      </c>
      <c r="AD25">
        <f>$Y25</f>
        <v/>
      </c>
      <c r="AE25">
        <f>IF($V25,IF($S25="","",$S25),IF($R25="","",$R25))</f>
        <v/>
      </c>
      <c r="AF25">
        <f>IF($V25,IF($U25="","",$U25),IF($T25="","",$T25))</f>
        <v/>
      </c>
      <c r="AG25">
        <f>IF($V25,IF($O25="","",$O25),IF($P25="","",$P25))</f>
        <v/>
      </c>
      <c r="AH25" t="n">
        <v>0.04094877956620275</v>
      </c>
      <c r="AI25">
        <f>IF($Y25="worse","Yes",IF($Y25="worse, not significant","Not sure",IF(OR($Y25="too few losses to test",$Y25="too few loans to test"),"Too few losses",IF($Y25="","","No"))))</f>
        <v/>
      </c>
      <c r="AJ25">
        <f>IF($AA25="yes","Yes",IF($AA25="","","No"))</f>
        <v/>
      </c>
    </row>
    <row r="26">
      <c r="A26" t="inlineStr">
        <is>
          <t>grids</t>
        </is>
      </c>
      <c r="B26" t="inlineStr">
        <is>
          <t>FICO x CHANNEL</t>
        </is>
      </c>
      <c r="C26" t="inlineStr">
        <is>
          <t>746 - 921</t>
        </is>
      </c>
      <c r="D26" t="inlineStr">
        <is>
          <t>Branch</t>
        </is>
      </c>
      <c r="E26" t="inlineStr">
        <is>
          <t>gco_rate</t>
        </is>
      </c>
      <c r="F26" t="inlineStr">
        <is>
          <t>GCO per booked dollar</t>
        </is>
      </c>
      <c r="G26" t="n">
        <v>518</v>
      </c>
      <c r="H26" t="n">
        <v>16450329.83000001</v>
      </c>
      <c r="I26" t="b">
        <v>0</v>
      </c>
      <c r="J26" t="b">
        <v>0</v>
      </c>
      <c r="K26" t="n">
        <v>0.5266966495227127</v>
      </c>
      <c r="L26" t="n">
        <v>0.01924807519248075</v>
      </c>
      <c r="M26" t="n">
        <v>1.264427615577086</v>
      </c>
      <c r="N26" t="n">
        <v>0.6053940060539401</v>
      </c>
      <c r="O26" t="n">
        <v>-334017.3853956094</v>
      </c>
      <c r="P26" t="n">
        <v>77732.54473390407</v>
      </c>
      <c r="Q26">
        <f>'_live'!$C$22</f>
        <v/>
      </c>
      <c r="R26" t="inlineStr">
        <is>
          <t>shuffled: 64 of 10,000</t>
        </is>
      </c>
      <c r="S26" t="inlineStr">
        <is>
          <t>shuffled: 4,164 of 10,000</t>
        </is>
      </c>
      <c r="T26" t="n">
        <v>0.04289976205271071</v>
      </c>
      <c r="U26" t="n">
        <v>0.01786987302406542</v>
      </c>
      <c r="V26">
        <f>AND(judged_band,NOT($J26))</f>
        <v/>
      </c>
      <c r="W26">
        <f>IF($K26="","",IF($I26,"too few losses to test",IF(AND($K26&gt;better_at,$K26&lt;worse_at),"in line",IF($K26&gt;=worse_at,IF(AND(ISNUMBER($L26),$L26&lt;significance_bar),"worse","worse, not significant"),IF(AND(ISNUMBER($L26),$L26&lt;significance_bar),"better","better, not significant")))))</f>
        <v/>
      </c>
      <c r="X26">
        <f>IF($M26="","",IF($I26,"too few losses to test",IF(AND($M26&gt;better_at,$M26&lt;worse_at),"in line",IF($M26&gt;=worse_at,IF(AND(ISNUMBER($N26),$N26&lt;significance_bar),"worse","worse, not significant"),IF(AND(ISNUMBER($N26),$N26&lt;significance_bar),"better","better, not significant")))))</f>
        <v/>
      </c>
      <c r="Y26">
        <f>IF($V26,$X26,$W26)</f>
        <v/>
      </c>
      <c r="Z26">
        <f>IF($V26,IF($P26="","",$P26),IF($O26="","",$O26))</f>
        <v/>
      </c>
      <c r="AA26">
        <f>IF(OR($Q26="",$Z26=""),"",IF(AND($Z26&gt;0,$Z26&gt;=$Q26),"yes","below the line"))</f>
        <v/>
      </c>
      <c r="AB26">
        <f>IF($V26,IF($M26="","",$M26),IF($K26="","",$K26))</f>
        <v/>
      </c>
      <c r="AC26">
        <f>IF($V26,IF($N26="","",$N26),IF($L26="","",$L26))</f>
        <v/>
      </c>
      <c r="AD26">
        <f>$Y26</f>
        <v/>
      </c>
      <c r="AE26">
        <f>IF($V26,IF($S26="","",$S26),IF($R26="","",$R26))</f>
        <v/>
      </c>
      <c r="AF26">
        <f>IF($V26,IF($U26="","",$U26),IF($T26="","",$T26))</f>
        <v/>
      </c>
      <c r="AG26">
        <f>IF($V26,IF($O26="","",$O26),IF($P26="","",$P26))</f>
        <v/>
      </c>
      <c r="AH26" t="n">
        <v>0.02259516093848434</v>
      </c>
      <c r="AI26">
        <f>IF($Y26="worse","Yes",IF($Y26="worse, not significant","Not sure",IF(OR($Y26="too few losses to test",$Y26="too few loans to test"),"Too few losses",IF($Y26="","","No"))))</f>
        <v/>
      </c>
      <c r="AJ26">
        <f>IF($AA26="yes","Yes",IF($AA26="","","No"))</f>
        <v/>
      </c>
    </row>
    <row r="27">
      <c r="A27" t="inlineStr">
        <is>
          <t>grids</t>
        </is>
      </c>
      <c r="B27" t="inlineStr">
        <is>
          <t>FICO x CHANNEL</t>
        </is>
      </c>
      <c r="C27" t="inlineStr">
        <is>
          <t>746 - 921</t>
        </is>
      </c>
      <c r="D27" t="inlineStr">
        <is>
          <t>Branch</t>
        </is>
      </c>
      <c r="E27" t="inlineStr">
        <is>
          <t>ranr_rate</t>
        </is>
      </c>
      <c r="F27" t="inlineStr">
        <is>
          <t>Profit after losses: RANR per booked dollar</t>
        </is>
      </c>
      <c r="G27" t="n">
        <v>518</v>
      </c>
      <c r="H27" t="n">
        <v>16450329.83000001</v>
      </c>
      <c r="I27" t="b">
        <v>0</v>
      </c>
      <c r="J27" t="b">
        <v>0</v>
      </c>
      <c r="K27" t="n">
        <v>-0.08909269908056701</v>
      </c>
      <c r="L27" t="n">
        <v>0.0002110900021109</v>
      </c>
      <c r="M27" t="n">
        <v>-0.003213052463847316</v>
      </c>
      <c r="N27" t="n">
        <v>0.6815693430656935</v>
      </c>
      <c r="O27" t="n">
        <v>1465604.285320266</v>
      </c>
      <c r="P27" t="n">
        <v>52855.77279138251</v>
      </c>
      <c r="Q27">
        <f>'_live'!$C$23</f>
        <v/>
      </c>
      <c r="R27" t="inlineStr">
        <is>
          <t>shuffled: 0 of 10,000</t>
        </is>
      </c>
      <c r="S27" t="inlineStr">
        <is>
          <t>shuffled: 6,058 of 10,000</t>
        </is>
      </c>
      <c r="T27" t="n">
        <v>0.1336691797698907</v>
      </c>
      <c r="U27" t="n">
        <v>0.04778953315317096</v>
      </c>
      <c r="V27">
        <f>AND(judged_band,NOT($J27))</f>
        <v/>
      </c>
      <c r="W27">
        <f>IF($K27="","",IF(profit_kind="test",IF(OR(NOT(AND(ISNUMBER($L27),$L27&lt;significance_bar)),$K27=0),"in line",IF($K27&lt;0,"worse","better")),IF(OR($K27=0,IF(profit_kind="points",ABS($K27),ABS($K27*$H27))&lt;profit_line*(1-1E-9)),"in line",IF(AND(ISNUMBER($L27),$L27&lt;significance_bar),IF($K27&lt;0,"worse","better"),IF($K27&lt;0,"worse, not significant","better, not significant")))))</f>
        <v/>
      </c>
      <c r="X27">
        <f>IF($M27="","",IF(profit_kind="test",IF(OR(NOT(AND(ISNUMBER($N27),$N27&lt;significance_bar)),$M27=0),"in line",IF($M27&lt;0,"worse","better")),IF(OR($M27=0,IF(profit_kind="points",ABS($M27),ABS($M27*$H27))&lt;profit_line*(1-1E-9)),"in line",IF(AND(ISNUMBER($N27),$N27&lt;significance_bar),IF($M27&lt;0,"worse","better"),IF($M27&lt;0,"worse, not significant","better, not significant")))))</f>
        <v/>
      </c>
      <c r="Y27">
        <f>IF($V27,$X27,$W27)</f>
        <v/>
      </c>
      <c r="Z27">
        <f>IF($V27,IF($P27="","",$P27),IF($O27="","",$O27))</f>
        <v/>
      </c>
      <c r="AA27">
        <f>IF(OR($Q27="",$Z27=""),"",IF(AND($Z27&gt;0,$Z27&gt;=$Q27),"yes","below the line"))</f>
        <v/>
      </c>
      <c r="AB27">
        <f>IF($V27,IF($M27="","",$M27),IF($K27="","",$K27))</f>
        <v/>
      </c>
      <c r="AC27">
        <f>IF($V27,IF($N27="","",$N27),IF($L27="","",$L27))</f>
        <v/>
      </c>
      <c r="AD27">
        <f>IF($Y27="","",IF($Y27="in line",IF(profit_kind="test",IF(ROUND($AB27*100,2)=0,"0.00",TEXT($AB27*100,"+0.00;-0.00"))&amp;" points against "&amp;IF($V27,"its band","the book")&amp;", "&amp;IF($AC27="","not tested","not significant"),IF(profit_kind="points","within "&amp;TEXT(profit_line*100,"0.00")&amp;" points of "&amp;IF($V27,"its band","the book")&amp;" ("&amp;IF(ROUND($AB27*100,2)=0,"0.00",TEXT($AB27*100,"+0.00;-0.00"))&amp;")","within $"&amp;TEXT(profit_line,"#,##0")&amp;" of "&amp;IF($V27,"its band","the book")&amp;" ("&amp;IF(ROUND($AB27*100,2)=0,"0.00",TEXT($AB27*100,"+0.00;-0.00"))&amp;" points)")),IF(LEFT($Y27,5)="worse","short of ","ahead of ")&amp;IF($V27,"its band","the book")&amp;" by "&amp;TEXT(ABS($AB27)*100,"0.00")&amp;" points"&amp;IF($Z27="",""," ($"&amp;TEXT(ABS($Z27),"#,##0")&amp;")")&amp;IF(RIGHT($Y27,15)="not significant"," (not significant)","")))</f>
        <v/>
      </c>
      <c r="AE27">
        <f>IF($V27,IF($S27="","",$S27),IF($R27="","",$R27))</f>
        <v/>
      </c>
      <c r="AF27">
        <f>IF($V27,IF($U27="","",$U27),IF($T27="","",$T27))</f>
        <v/>
      </c>
      <c r="AG27">
        <f>IF($V27,IF($O27="","",$O27),IF($P27="","",$P27))</f>
        <v/>
      </c>
      <c r="AH27" t="n">
        <v>0.04457648068932364</v>
      </c>
      <c r="AI27">
        <f>IF($Y27="worse","Yes",IF($Y27="worse, not significant","Not sure",IF(OR($Y27="too few losses to test",$Y27="too few loans to test"),"Too few losses",IF($Y27="","","No"))))</f>
        <v/>
      </c>
      <c r="AJ27">
        <f>IF($AA27="yes","Yes",IF($AA27="","","No"))</f>
        <v/>
      </c>
    </row>
    <row r="28">
      <c r="A28" t="inlineStr">
        <is>
          <t>grids</t>
        </is>
      </c>
      <c r="B28" t="inlineStr">
        <is>
          <t>FICO x CHANNEL</t>
        </is>
      </c>
      <c r="C28" t="inlineStr">
        <is>
          <t>746 - 921</t>
        </is>
      </c>
      <c r="D28" t="inlineStr">
        <is>
          <t>Branch</t>
        </is>
      </c>
      <c r="E28" t="inlineStr">
        <is>
          <t>contribution_rate</t>
        </is>
      </c>
      <c r="F28" t="inlineStr">
        <is>
          <t>Contribution before losses per booked dollar</t>
        </is>
      </c>
      <c r="G28" t="n">
        <v>518</v>
      </c>
      <c r="H28" t="n">
        <v>16450329.83000001</v>
      </c>
      <c r="I28" t="b">
        <v>0</v>
      </c>
      <c r="J28" t="b">
        <v>0</v>
      </c>
      <c r="K28" t="n">
        <v>-0.1093951791660717</v>
      </c>
      <c r="L28" t="n">
        <v>0.000158317501583175</v>
      </c>
      <c r="M28" t="n">
        <v>0.00151223545057165</v>
      </c>
      <c r="N28" t="n">
        <v>0.5290185267187567</v>
      </c>
      <c r="O28" t="n">
        <v>1799586.779093825</v>
      </c>
      <c r="P28" t="n">
        <v>-24876.77194252238</v>
      </c>
      <c r="Q28">
        <f>'_live'!$C$24</f>
        <v/>
      </c>
      <c r="R28" t="inlineStr">
        <is>
          <t>shuffled: 0 of 10,000</t>
        </is>
      </c>
      <c r="S28" t="inlineStr">
        <is>
          <t>shuffled: 4,114 of 10,000</t>
        </is>
      </c>
      <c r="T28" t="n">
        <v>0.1765668207938797</v>
      </c>
      <c r="U28" t="n">
        <v>0.06565940617723635</v>
      </c>
      <c r="V28">
        <f>AND(judged_band,NOT($J28))</f>
        <v/>
      </c>
      <c r="W28">
        <f>IF($K28="","",IF(profit_kind="test",IF(OR(NOT(AND(ISNUMBER($L28),$L28&lt;significance_bar)),$K28=0),"in line",IF($K28&lt;0,"worse","better")),IF(OR($K28=0,IF(profit_kind="points",ABS($K28),ABS($K28*$H28))&lt;profit_line*(1-1E-9)),"in line",IF(AND(ISNUMBER($L28),$L28&lt;significance_bar),IF($K28&lt;0,"worse","better"),IF($K28&lt;0,"worse, not significant","better, not significant")))))</f>
        <v/>
      </c>
      <c r="X28">
        <f>IF($M28="","",IF(profit_kind="test",IF(OR(NOT(AND(ISNUMBER($N28),$N28&lt;significance_bar)),$M28=0),"in line",IF($M28&lt;0,"worse","better")),IF(OR($M28=0,IF(profit_kind="points",ABS($M28),ABS($M28*$H28))&lt;profit_line*(1-1E-9)),"in line",IF(AND(ISNUMBER($N28),$N28&lt;significance_bar),IF($M28&lt;0,"worse","better"),IF($M28&lt;0,"worse, not significant","better, not significant")))))</f>
        <v/>
      </c>
      <c r="Y28">
        <f>IF($V28,$X28,$W28)</f>
        <v/>
      </c>
      <c r="Z28">
        <f>IF($V28,IF($P28="","",$P28),IF($O28="","",$O28))</f>
        <v/>
      </c>
      <c r="AA28">
        <f>IF(OR($Q28="",$Z28=""),"",IF(AND($Z28&gt;0,$Z28&gt;=$Q28),"yes","below the line"))</f>
        <v/>
      </c>
      <c r="AB28">
        <f>IF($V28,IF($M28="","",$M28),IF($K28="","",$K28))</f>
        <v/>
      </c>
      <c r="AC28">
        <f>IF($V28,IF($N28="","",$N28),IF($L28="","",$L28))</f>
        <v/>
      </c>
      <c r="AD28">
        <f>IF($Y28="","",IF($Y28="in line",IF(profit_kind="test",IF(ROUND($AB28*100,2)=0,"0.00",TEXT($AB28*100,"+0.00;-0.00"))&amp;" points against "&amp;IF($V28,"its band","the book")&amp;", "&amp;IF($AC28="","not tested","not significant"),IF(profit_kind="points","within "&amp;TEXT(profit_line*100,"0.00")&amp;" points of "&amp;IF($V28,"its band","the book")&amp;" ("&amp;IF(ROUND($AB28*100,2)=0,"0.00",TEXT($AB28*100,"+0.00;-0.00"))&amp;")","within $"&amp;TEXT(profit_line,"#,##0")&amp;" of "&amp;IF($V28,"its band","the book")&amp;" ("&amp;IF(ROUND($AB28*100,2)=0,"0.00",TEXT($AB28*100,"+0.00;-0.00"))&amp;" points)")),IF(LEFT($Y28,5)="worse","short of ","ahead of ")&amp;IF($V28,"its band","the book")&amp;" by "&amp;TEXT(ABS($AB28)*100,"0.00")&amp;" points"&amp;IF($Z28="",""," ($"&amp;TEXT(ABS($Z28),"#,##0")&amp;")")&amp;IF(RIGHT($Y28,15)="not significant"," (not significant)","")))</f>
        <v/>
      </c>
      <c r="AE28">
        <f>IF($V28,IF($S28="","",$S28),IF($R28="","",$R28))</f>
        <v/>
      </c>
      <c r="AF28">
        <f>IF($V28,IF($U28="","",$U28),IF($T28="","",$T28))</f>
        <v/>
      </c>
      <c r="AG28">
        <f>IF($V28,IF($O28="","",$O28),IF($P28="","",$P28))</f>
        <v/>
      </c>
      <c r="AH28" t="n">
        <v>0.067171641627808</v>
      </c>
      <c r="AI28">
        <f>IF($Y28="worse","Yes",IF($Y28="worse, not significant","Not sure",IF(OR($Y28="too few losses to test",$Y28="too few loans to test"),"Too few losses",IF($Y28="","","No"))))</f>
        <v/>
      </c>
      <c r="AJ28">
        <f>IF($AA28="yes","Yes",IF($AA28="","","No"))</f>
        <v/>
      </c>
    </row>
    <row r="29">
      <c r="A29" t="inlineStr">
        <is>
          <t>grids</t>
        </is>
      </c>
      <c r="B29" t="inlineStr">
        <is>
          <t>FICO x CHANNEL</t>
        </is>
      </c>
      <c r="C29" t="inlineStr">
        <is>
          <t>496 - 653</t>
        </is>
      </c>
      <c r="D29" t="inlineStr">
        <is>
          <t>Broker</t>
        </is>
      </c>
      <c r="E29" t="inlineStr">
        <is>
          <t>outcome_loans</t>
        </is>
      </c>
      <c r="F29" t="inlineStr">
        <is>
          <t>Outcome, share of loans</t>
        </is>
      </c>
      <c r="G29" t="n">
        <v>523</v>
      </c>
      <c r="H29" t="n">
        <v>523</v>
      </c>
      <c r="I29" t="b">
        <v>0</v>
      </c>
      <c r="J29" t="b">
        <v>0</v>
      </c>
      <c r="K29" t="n">
        <v>3.726456718056956</v>
      </c>
      <c r="L29" t="n">
        <v>1.723388122920422e-48</v>
      </c>
      <c r="M29" t="n">
        <v>2.38276994119557</v>
      </c>
      <c r="N29" t="n">
        <v>2.032065948705747e-12</v>
      </c>
      <c r="O29" t="n">
        <v>93.65101658640984</v>
      </c>
      <c r="P29" t="n">
        <v>74.28100775193798</v>
      </c>
      <c r="Q29">
        <f>'_live'!$C$20</f>
        <v/>
      </c>
      <c r="R29" t="inlineStr">
        <is>
          <t>z test</t>
        </is>
      </c>
      <c r="S29" t="inlineStr">
        <is>
          <t>z test</t>
        </is>
      </c>
      <c r="T29" t="n">
        <v>0.06567683253076512</v>
      </c>
      <c r="U29" t="n">
        <v>0.1027131782945736</v>
      </c>
      <c r="V29">
        <f>AND(judged_band,NOT($J29))</f>
        <v/>
      </c>
      <c r="W29">
        <f>IF($K29="","",IF($I29,"too few losses to test",IF(AND($K29&gt;better_at,$K29&lt;worse_at),"in line",IF($K29&gt;=worse_at,IF(AND(ISNUMBER($L29),$L29&lt;significance_bar),"worse","worse, not significant"),IF(AND(ISNUMBER($L29),$L29&lt;significance_bar),"better","better, not significant")))))</f>
        <v/>
      </c>
      <c r="X29">
        <f>IF($M29="","",IF($I29,"too few losses to test",IF(AND($M29&gt;better_at,$M29&lt;worse_at),"in line",IF($M29&gt;=worse_at,IF(AND(ISNUMBER($N29),$N29&lt;significance_bar),"worse","worse, not significant"),IF(AND(ISNUMBER($N29),$N29&lt;significance_bar),"better","better, not significant")))))</f>
        <v/>
      </c>
      <c r="Y29">
        <f>IF($V29,$X29,$W29)</f>
        <v/>
      </c>
      <c r="Z29">
        <f>IF($V29,IF($P29="","",$P29),IF($O29="","",$O29))</f>
        <v/>
      </c>
      <c r="AA29">
        <f>IF(OR($Q29="",$Z29=""),"",IF(AND($Z29&gt;0,$Z29&gt;=$Q29),"yes","below the line"))</f>
        <v/>
      </c>
      <c r="AB29">
        <f>IF($V29,IF($M29="","",$M29),IF($K29="","",$K29))</f>
        <v/>
      </c>
      <c r="AC29">
        <f>IF($V29,IF($N29="","",$N29),IF($L29="","",$L29))</f>
        <v/>
      </c>
      <c r="AD29">
        <f>$Y29</f>
        <v/>
      </c>
      <c r="AE29">
        <f>IF($V29,IF($S29="","",$S29),IF($R29="","",$R29))</f>
        <v/>
      </c>
      <c r="AF29">
        <f>IF($V29,IF($U29="","",$U29),IF($T29="","",$T29))</f>
        <v/>
      </c>
      <c r="AG29">
        <f>IF($V29,IF($O29="","",$O29),IF($P29="","",$P29))</f>
        <v/>
      </c>
      <c r="AH29" t="n">
        <v>0.2447418738049713</v>
      </c>
      <c r="AI29">
        <f>IF($Y29="worse","Yes",IF($Y29="worse, not significant","Not sure",IF(OR($Y29="too few losses to test",$Y29="too few loans to test"),"Too few losses",IF($Y29="","","No"))))</f>
        <v/>
      </c>
      <c r="AJ29">
        <f>IF($AA29="yes","Yes",IF($AA29="","","No"))</f>
        <v/>
      </c>
    </row>
    <row r="30">
      <c r="A30" t="inlineStr">
        <is>
          <t>grids</t>
        </is>
      </c>
      <c r="B30" t="inlineStr">
        <is>
          <t>FICO x CHANNEL</t>
        </is>
      </c>
      <c r="C30" t="inlineStr">
        <is>
          <t>496 - 653</t>
        </is>
      </c>
      <c r="D30" t="inlineStr">
        <is>
          <t>Broker</t>
        </is>
      </c>
      <c r="E30" t="inlineStr">
        <is>
          <t>outcome_booked</t>
        </is>
      </c>
      <c r="F30" t="inlineStr">
        <is>
          <t>Outcome, share of booked dollars</t>
        </is>
      </c>
      <c r="G30" t="n">
        <v>523</v>
      </c>
      <c r="H30" t="n">
        <v>17041067.38000004</v>
      </c>
      <c r="I30" t="b">
        <v>0</v>
      </c>
      <c r="J30" t="b">
        <v>0</v>
      </c>
      <c r="K30" t="n">
        <v>3.905708177400983</v>
      </c>
      <c r="L30" t="n">
        <v>0.0014998500149985</v>
      </c>
      <c r="M30" t="n">
        <v>2.438440600661326</v>
      </c>
      <c r="N30" t="n">
        <v>0.0007499250074992502</v>
      </c>
      <c r="O30" t="n">
        <v>3108693.904828939</v>
      </c>
      <c r="P30" t="n">
        <v>2464935.212756606</v>
      </c>
      <c r="Q30">
        <f>'_live'!$C$21</f>
        <v/>
      </c>
      <c r="R30" t="inlineStr">
        <is>
          <t>shuffled: 0 of 10,000</t>
        </is>
      </c>
      <c r="S30" t="inlineStr">
        <is>
          <t>shuffled: 0 of 10,000</t>
        </is>
      </c>
      <c r="T30" t="n">
        <v>0.06278113637568743</v>
      </c>
      <c r="U30" t="n">
        <v>0.1005580360097954</v>
      </c>
      <c r="V30">
        <f>AND(judged_band,NOT($J30))</f>
        <v/>
      </c>
      <c r="W30">
        <f>IF($K30="","",IF($I30,"too few losses to test",IF(AND($K30&gt;better_at,$K30&lt;worse_at),"in line",IF($K30&gt;=worse_at,IF(AND(ISNUMBER($L30),$L30&lt;significance_bar),"worse","worse, not significant"),IF(AND(ISNUMBER($L30),$L30&lt;significance_bar),"better","better, not significant")))))</f>
        <v/>
      </c>
      <c r="X30">
        <f>IF($M30="","",IF($I30,"too few losses to test",IF(AND($M30&gt;better_at,$M30&lt;worse_at),"in line",IF($M30&gt;=worse_at,IF(AND(ISNUMBER($N30),$N30&lt;significance_bar),"worse","worse, not significant"),IF(AND(ISNUMBER($N30),$N30&lt;significance_bar),"better","better, not significant")))))</f>
        <v/>
      </c>
      <c r="Y30">
        <f>IF($V30,$X30,$W30)</f>
        <v/>
      </c>
      <c r="Z30">
        <f>IF($V30,IF($P30="","",$P30),IF($O30="","",$O30))</f>
        <v/>
      </c>
      <c r="AA30">
        <f>IF(OR($Q30="",$Z30=""),"",IF(AND($Z30&gt;0,$Z30&gt;=$Q30),"yes","below the line"))</f>
        <v/>
      </c>
      <c r="AB30">
        <f>IF($V30,IF($M30="","",$M30),IF($K30="","",$K30))</f>
        <v/>
      </c>
      <c r="AC30">
        <f>IF($V30,IF($N30="","",$N30),IF($L30="","",$L30))</f>
        <v/>
      </c>
      <c r="AD30">
        <f>$Y30</f>
        <v/>
      </c>
      <c r="AE30">
        <f>IF($V30,IF($S30="","",$S30),IF($R30="","",$R30))</f>
        <v/>
      </c>
      <c r="AF30">
        <f>IF($V30,IF($U30="","",$U30),IF($T30="","",$T30))</f>
        <v/>
      </c>
      <c r="AG30">
        <f>IF($V30,IF($O30="","",$O30),IF($P30="","",$P30))</f>
        <v/>
      </c>
      <c r="AH30" t="n">
        <v>0.2452047977290487</v>
      </c>
      <c r="AI30">
        <f>IF($Y30="worse","Yes",IF($Y30="worse, not significant","Not sure",IF(OR($Y30="too few losses to test",$Y30="too few loans to test"),"Too few losses",IF($Y30="","","No"))))</f>
        <v/>
      </c>
      <c r="AJ30">
        <f>IF($AA30="yes","Yes",IF($AA30="","","No"))</f>
        <v/>
      </c>
    </row>
    <row r="31">
      <c r="A31" t="inlineStr">
        <is>
          <t>grids</t>
        </is>
      </c>
      <c r="B31" t="inlineStr">
        <is>
          <t>FICO x CHANNEL</t>
        </is>
      </c>
      <c r="C31" t="inlineStr">
        <is>
          <t>496 - 653</t>
        </is>
      </c>
      <c r="D31" t="inlineStr">
        <is>
          <t>Broker</t>
        </is>
      </c>
      <c r="E31" t="inlineStr">
        <is>
          <t>gco_rate</t>
        </is>
      </c>
      <c r="F31" t="inlineStr">
        <is>
          <t>GCO per booked dollar</t>
        </is>
      </c>
      <c r="G31" t="n">
        <v>523</v>
      </c>
      <c r="H31" t="n">
        <v>17041067.38000004</v>
      </c>
      <c r="I31" t="b">
        <v>0</v>
      </c>
      <c r="J31" t="b">
        <v>0</v>
      </c>
      <c r="K31" t="n">
        <v>4.103579213801332</v>
      </c>
      <c r="L31" t="n">
        <v>0.0014998500149985</v>
      </c>
      <c r="M31" t="n">
        <v>2.623355637889496</v>
      </c>
      <c r="N31" t="n">
        <v>0.0014998500149985</v>
      </c>
      <c r="O31" t="n">
        <v>1826129.129008131</v>
      </c>
      <c r="P31" t="n">
        <v>1494128.584156671</v>
      </c>
      <c r="Q31">
        <f>'_live'!$C$22</f>
        <v/>
      </c>
      <c r="R31" t="inlineStr">
        <is>
          <t>shuffled: 0 of 10,000</t>
        </is>
      </c>
      <c r="S31" t="inlineStr">
        <is>
          <t>shuffled: 0 of 10,000</t>
        </is>
      </c>
      <c r="T31" t="n">
        <v>0.0345280344165783</v>
      </c>
      <c r="U31" t="n">
        <v>0.05401041409668608</v>
      </c>
      <c r="V31">
        <f>AND(judged_band,NOT($J31))</f>
        <v/>
      </c>
      <c r="W31">
        <f>IF($K31="","",IF($I31,"too few losses to test",IF(AND($K31&gt;better_at,$K31&lt;worse_at),"in line",IF($K31&gt;=worse_at,IF(AND(ISNUMBER($L31),$L31&lt;significance_bar),"worse","worse, not significant"),IF(AND(ISNUMBER($L31),$L31&lt;significance_bar),"better","better, not significant")))))</f>
        <v/>
      </c>
      <c r="X31">
        <f>IF($M31="","",IF($I31,"too few losses to test",IF(AND($M31&gt;better_at,$M31&lt;worse_at),"in line",IF($M31&gt;=worse_at,IF(AND(ISNUMBER($N31),$N31&lt;significance_bar),"worse","worse, not significant"),IF(AND(ISNUMBER($N31),$N31&lt;significance_bar),"better","better, not significant")))))</f>
        <v/>
      </c>
      <c r="Y31">
        <f>IF($V31,$X31,$W31)</f>
        <v/>
      </c>
      <c r="Z31">
        <f>IF($V31,IF($P31="","",$P31),IF($O31="","",$O31))</f>
        <v/>
      </c>
      <c r="AA31">
        <f>IF(OR($Q31="",$Z31=""),"",IF(AND($Z31&gt;0,$Z31&gt;=$Q31),"yes","below the line"))</f>
        <v/>
      </c>
      <c r="AB31">
        <f>IF($V31,IF($M31="","",$M31),IF($K31="","",$K31))</f>
        <v/>
      </c>
      <c r="AC31">
        <f>IF($V31,IF($N31="","",$N31),IF($L31="","",$L31))</f>
        <v/>
      </c>
      <c r="AD31">
        <f>$Y31</f>
        <v/>
      </c>
      <c r="AE31">
        <f>IF($V31,IF($S31="","",$S31),IF($R31="","",$R31))</f>
        <v/>
      </c>
      <c r="AF31">
        <f>IF($V31,IF($U31="","",$U31),IF($T31="","",$T31))</f>
        <v/>
      </c>
      <c r="AG31">
        <f>IF($V31,IF($O31="","",$O31),IF($P31="","",$P31))</f>
        <v/>
      </c>
      <c r="AH31" t="n">
        <v>0.1416885243252877</v>
      </c>
      <c r="AI31">
        <f>IF($Y31="worse","Yes",IF($Y31="worse, not significant","Not sure",IF(OR($Y31="too few losses to test",$Y31="too few loans to test"),"Too few losses",IF($Y31="","","No"))))</f>
        <v/>
      </c>
      <c r="AJ31">
        <f>IF($AA31="yes","Yes",IF($AA31="","","No"))</f>
        <v/>
      </c>
    </row>
    <row r="32">
      <c r="A32" t="inlineStr">
        <is>
          <t>grids</t>
        </is>
      </c>
      <c r="B32" t="inlineStr">
        <is>
          <t>FICO x CHANNEL</t>
        </is>
      </c>
      <c r="C32" t="inlineStr">
        <is>
          <t>496 - 653</t>
        </is>
      </c>
      <c r="D32" t="inlineStr">
        <is>
          <t>Broker</t>
        </is>
      </c>
      <c r="E32" t="inlineStr">
        <is>
          <t>ranr_rate</t>
        </is>
      </c>
      <c r="F32" t="inlineStr">
        <is>
          <t>Profit after losses: RANR per booked dollar</t>
        </is>
      </c>
      <c r="G32" t="n">
        <v>523</v>
      </c>
      <c r="H32" t="n">
        <v>17041067.38000004</v>
      </c>
      <c r="I32" t="b">
        <v>0</v>
      </c>
      <c r="J32" t="b">
        <v>0</v>
      </c>
      <c r="K32" t="n">
        <v>0.01066289294351233</v>
      </c>
      <c r="L32" t="n">
        <v>0.3393874898224464</v>
      </c>
      <c r="M32" t="n">
        <v>-0.07862504872532058</v>
      </c>
      <c r="N32" t="n">
        <v>0.0017998200179982</v>
      </c>
      <c r="O32" t="n">
        <v>-181707.0771161206</v>
      </c>
      <c r="P32" t="n">
        <v>1339854.753083974</v>
      </c>
      <c r="Q32">
        <f>'_live'!$C$23</f>
        <v/>
      </c>
      <c r="R32" t="inlineStr">
        <is>
          <t>shuffled: 2,500 of 10,000</t>
        </is>
      </c>
      <c r="S32" t="inlineStr">
        <is>
          <t>shuffled: 0 of 10,000</t>
        </is>
      </c>
      <c r="T32" t="n">
        <v>0.1272859454466798</v>
      </c>
      <c r="U32" t="n">
        <v>0.2165738871155127</v>
      </c>
      <c r="V32">
        <f>AND(judged_band,NOT($J32))</f>
        <v/>
      </c>
      <c r="W32">
        <f>IF($K32="","",IF(profit_kind="test",IF(OR(NOT(AND(ISNUMBER($L32),$L32&lt;significance_bar)),$K32=0),"in line",IF($K32&lt;0,"worse","better")),IF(OR($K32=0,IF(profit_kind="points",ABS($K32),ABS($K32*$H32))&lt;profit_line*(1-1E-9)),"in line",IF(AND(ISNUMBER($L32),$L32&lt;significance_bar),IF($K32&lt;0,"worse","better"),IF($K32&lt;0,"worse, not significant","better, not significant")))))</f>
        <v/>
      </c>
      <c r="X32">
        <f>IF($M32="","",IF(profit_kind="test",IF(OR(NOT(AND(ISNUMBER($N32),$N32&lt;significance_bar)),$M32=0),"in line",IF($M32&lt;0,"worse","better")),IF(OR($M32=0,IF(profit_kind="points",ABS($M32),ABS($M32*$H32))&lt;profit_line*(1-1E-9)),"in line",IF(AND(ISNUMBER($N32),$N32&lt;significance_bar),IF($M32&lt;0,"worse","better"),IF($M32&lt;0,"worse, not significant","better, not significant")))))</f>
        <v/>
      </c>
      <c r="Y32">
        <f>IF($V32,$X32,$W32)</f>
        <v/>
      </c>
      <c r="Z32">
        <f>IF($V32,IF($P32="","",$P32),IF($O32="","",$O32))</f>
        <v/>
      </c>
      <c r="AA32">
        <f>IF(OR($Q32="",$Z32=""),"",IF(AND($Z32&gt;0,$Z32&gt;=$Q32),"yes","below the line"))</f>
        <v/>
      </c>
      <c r="AB32">
        <f>IF($V32,IF($M32="","",$M32),IF($K32="","",$K32))</f>
        <v/>
      </c>
      <c r="AC32">
        <f>IF($V32,IF($N32="","",$N32),IF($L32="","",$L32))</f>
        <v/>
      </c>
      <c r="AD32">
        <f>IF($Y32="","",IF($Y32="in line",IF(profit_kind="test",IF(ROUND($AB32*100,2)=0,"0.00",TEXT($AB32*100,"+0.00;-0.00"))&amp;" points against "&amp;IF($V32,"its band","the book")&amp;", "&amp;IF($AC32="","not tested","not significant"),IF(profit_kind="points","within "&amp;TEXT(profit_line*100,"0.00")&amp;" points of "&amp;IF($V32,"its band","the book")&amp;" ("&amp;IF(ROUND($AB32*100,2)=0,"0.00",TEXT($AB32*100,"+0.00;-0.00"))&amp;")","within $"&amp;TEXT(profit_line,"#,##0")&amp;" of "&amp;IF($V32,"its band","the book")&amp;" ("&amp;IF(ROUND($AB32*100,2)=0,"0.00",TEXT($AB32*100,"+0.00;-0.00"))&amp;" points)")),IF(LEFT($Y32,5)="worse","short of ","ahead of ")&amp;IF($V32,"its band","the book")&amp;" by "&amp;TEXT(ABS($AB32)*100,"0.00")&amp;" points"&amp;IF($Z32="",""," ($"&amp;TEXT(ABS($Z32),"#,##0")&amp;")")&amp;IF(RIGHT($Y32,15)="not significant"," (not significant)","")))</f>
        <v/>
      </c>
      <c r="AE32">
        <f>IF($V32,IF($S32="","",$S32),IF($R32="","",$R32))</f>
        <v/>
      </c>
      <c r="AF32">
        <f>IF($V32,IF($U32="","",$U32),IF($T32="","",$T32))</f>
        <v/>
      </c>
      <c r="AG32">
        <f>IF($V32,IF($O32="","",$O32),IF($P32="","",$P32))</f>
        <v/>
      </c>
      <c r="AH32" t="n">
        <v>0.1379488383901921</v>
      </c>
      <c r="AI32">
        <f>IF($Y32="worse","Yes",IF($Y32="worse, not significant","Not sure",IF(OR($Y32="too few losses to test",$Y32="too few loans to test"),"Too few losses",IF($Y32="","","No"))))</f>
        <v/>
      </c>
      <c r="AJ32">
        <f>IF($AA32="yes","Yes",IF($AA32="","","No"))</f>
        <v/>
      </c>
    </row>
    <row r="33">
      <c r="A33" t="inlineStr">
        <is>
          <t>grids</t>
        </is>
      </c>
      <c r="B33" t="inlineStr">
        <is>
          <t>FICO x CHANNEL</t>
        </is>
      </c>
      <c r="C33" t="inlineStr">
        <is>
          <t>496 - 653</t>
        </is>
      </c>
      <c r="D33" t="inlineStr">
        <is>
          <t>Broker</t>
        </is>
      </c>
      <c r="E33" t="inlineStr">
        <is>
          <t>contribution_rate</t>
        </is>
      </c>
      <c r="F33" t="inlineStr">
        <is>
          <t>Contribution before losses per booked dollar</t>
        </is>
      </c>
      <c r="G33" t="n">
        <v>523</v>
      </c>
      <c r="H33" t="n">
        <v>17041067.38000004</v>
      </c>
      <c r="I33" t="b">
        <v>0</v>
      </c>
      <c r="J33" t="b">
        <v>0</v>
      </c>
      <c r="K33" t="n">
        <v>0.117826560233583</v>
      </c>
      <c r="L33" t="n">
        <v>0.000158317501583175</v>
      </c>
      <c r="M33" t="n">
        <v>0.009053061503280946</v>
      </c>
      <c r="N33" t="n">
        <v>0.4146508426080469</v>
      </c>
      <c r="O33" t="n">
        <v>-2007890.352094121</v>
      </c>
      <c r="P33" t="n">
        <v>-154273.8310726946</v>
      </c>
      <c r="Q33">
        <f>'_live'!$C$24</f>
        <v/>
      </c>
      <c r="R33" t="inlineStr">
        <is>
          <t>shuffled: 0 of 10,000</t>
        </is>
      </c>
      <c r="S33" t="inlineStr">
        <is>
          <t>shuffled: 2,994 of 10,000</t>
        </is>
      </c>
      <c r="T33" t="n">
        <v>0.1618108024818966</v>
      </c>
      <c r="U33" t="n">
        <v>0.2705843012121986</v>
      </c>
      <c r="V33">
        <f>AND(judged_band,NOT($J33))</f>
        <v/>
      </c>
      <c r="W33">
        <f>IF($K33="","",IF(profit_kind="test",IF(OR(NOT(AND(ISNUMBER($L33),$L33&lt;significance_bar)),$K33=0),"in line",IF($K33&lt;0,"worse","better")),IF(OR($K33=0,IF(profit_kind="points",ABS($K33),ABS($K33*$H33))&lt;profit_line*(1-1E-9)),"in line",IF(AND(ISNUMBER($L33),$L33&lt;significance_bar),IF($K33&lt;0,"worse","better"),IF($K33&lt;0,"worse, not significant","better, not significant")))))</f>
        <v/>
      </c>
      <c r="X33">
        <f>IF($M33="","",IF(profit_kind="test",IF(OR(NOT(AND(ISNUMBER($N33),$N33&lt;significance_bar)),$M33=0),"in line",IF($M33&lt;0,"worse","better")),IF(OR($M33=0,IF(profit_kind="points",ABS($M33),ABS($M33*$H33))&lt;profit_line*(1-1E-9)),"in line",IF(AND(ISNUMBER($N33),$N33&lt;significance_bar),IF($M33&lt;0,"worse","better"),IF($M33&lt;0,"worse, not significant","better, not significant")))))</f>
        <v/>
      </c>
      <c r="Y33">
        <f>IF($V33,$X33,$W33)</f>
        <v/>
      </c>
      <c r="Z33">
        <f>IF($V33,IF($P33="","",$P33),IF($O33="","",$O33))</f>
        <v/>
      </c>
      <c r="AA33">
        <f>IF(OR($Q33="",$Z33=""),"",IF(AND($Z33&gt;0,$Z33&gt;=$Q33),"yes","below the line"))</f>
        <v/>
      </c>
      <c r="AB33">
        <f>IF($V33,IF($M33="","",$M33),IF($K33="","",$K33))</f>
        <v/>
      </c>
      <c r="AC33">
        <f>IF($V33,IF($N33="","",$N33),IF($L33="","",$L33))</f>
        <v/>
      </c>
      <c r="AD33">
        <f>IF($Y33="","",IF($Y33="in line",IF(profit_kind="test",IF(ROUND($AB33*100,2)=0,"0.00",TEXT($AB33*100,"+0.00;-0.00"))&amp;" points against "&amp;IF($V33,"its band","the book")&amp;", "&amp;IF($AC33="","not tested","not significant"),IF(profit_kind="points","within "&amp;TEXT(profit_line*100,"0.00")&amp;" points of "&amp;IF($V33,"its band","the book")&amp;" ("&amp;IF(ROUND($AB33*100,2)=0,"0.00",TEXT($AB33*100,"+0.00;-0.00"))&amp;")","within $"&amp;TEXT(profit_line,"#,##0")&amp;" of "&amp;IF($V33,"its band","the book")&amp;" ("&amp;IF(ROUND($AB33*100,2)=0,"0.00",TEXT($AB33*100,"+0.00;-0.00"))&amp;" points)")),IF(LEFT($Y33,5)="worse","short of ","ahead of ")&amp;IF($V33,"its band","the book")&amp;" by "&amp;TEXT(ABS($AB33)*100,"0.00")&amp;" points"&amp;IF($Z33="",""," ($"&amp;TEXT(ABS($Z33),"#,##0")&amp;")")&amp;IF(RIGHT($Y33,15)="not significant"," (not significant)","")))</f>
        <v/>
      </c>
      <c r="AE33">
        <f>IF($V33,IF($S33="","",$S33),IF($R33="","",$R33))</f>
        <v/>
      </c>
      <c r="AF33">
        <f>IF($V33,IF($U33="","",$U33),IF($T33="","",$T33))</f>
        <v/>
      </c>
      <c r="AG33">
        <f>IF($V33,IF($O33="","",$O33),IF($P33="","",$P33))</f>
        <v/>
      </c>
      <c r="AH33" t="n">
        <v>0.2796373627154796</v>
      </c>
      <c r="AI33">
        <f>IF($Y33="worse","Yes",IF($Y33="worse, not significant","Not sure",IF(OR($Y33="too few losses to test",$Y33="too few loans to test"),"Too few losses",IF($Y33="","","No"))))</f>
        <v/>
      </c>
      <c r="AJ33">
        <f>IF($AA33="yes","Yes",IF($AA33="","","No"))</f>
        <v/>
      </c>
    </row>
    <row r="34">
      <c r="A34" t="inlineStr">
        <is>
          <t>grids</t>
        </is>
      </c>
      <c r="B34" t="inlineStr">
        <is>
          <t>FICO x CHANNEL</t>
        </is>
      </c>
      <c r="C34" t="inlineStr">
        <is>
          <t>686 - 711</t>
        </is>
      </c>
      <c r="D34" t="inlineStr">
        <is>
          <t>Broker</t>
        </is>
      </c>
      <c r="E34" t="inlineStr">
        <is>
          <t>outcome_loans</t>
        </is>
      </c>
      <c r="F34" t="inlineStr">
        <is>
          <t>Outcome, share of loans</t>
        </is>
      </c>
      <c r="G34" t="n">
        <v>501</v>
      </c>
      <c r="H34" t="n">
        <v>501</v>
      </c>
      <c r="I34" t="b">
        <v>0</v>
      </c>
      <c r="J34" t="b">
        <v>0</v>
      </c>
      <c r="K34" t="n">
        <v>0.6561851002884618</v>
      </c>
      <c r="L34" t="n">
        <v>0.05143550141880118</v>
      </c>
      <c r="M34" t="n">
        <v>0.7865982321072141</v>
      </c>
      <c r="N34" t="n">
        <v>0.5240803312867395</v>
      </c>
      <c r="O34" t="n">
        <v>-13.62296612429981</v>
      </c>
      <c r="P34" t="n">
        <v>-7.05372290292177</v>
      </c>
      <c r="Q34">
        <f>'_live'!$C$20</f>
        <v/>
      </c>
      <c r="R34" t="inlineStr">
        <is>
          <t>z test</t>
        </is>
      </c>
      <c r="S34" t="inlineStr">
        <is>
          <t>z test</t>
        </is>
      </c>
      <c r="T34" t="n">
        <v>0.07908775673512937</v>
      </c>
      <c r="U34" t="n">
        <v>0.06597549481621112</v>
      </c>
      <c r="V34">
        <f>AND(judged_band,NOT($J34))</f>
        <v/>
      </c>
      <c r="W34">
        <f>IF($K34="","",IF($I34,"too few losses to test",IF(AND($K34&gt;better_at,$K34&lt;worse_at),"in line",IF($K34&gt;=worse_at,IF(AND(ISNUMBER($L34),$L34&lt;significance_bar),"worse","worse, not significant"),IF(AND(ISNUMBER($L34),$L34&lt;significance_bar),"better","better, not significant")))))</f>
        <v/>
      </c>
      <c r="X34">
        <f>IF($M34="","",IF($I34,"too few losses to test",IF(AND($M34&gt;better_at,$M34&lt;worse_at),"in line",IF($M34&gt;=worse_at,IF(AND(ISNUMBER($N34),$N34&lt;significance_bar),"worse","worse, not significant"),IF(AND(ISNUMBER($N34),$N34&lt;significance_bar),"better","better, not significant")))))</f>
        <v/>
      </c>
      <c r="Y34">
        <f>IF($V34,$X34,$W34)</f>
        <v/>
      </c>
      <c r="Z34">
        <f>IF($V34,IF($P34="","",$P34),IF($O34="","",$O34))</f>
        <v/>
      </c>
      <c r="AA34">
        <f>IF(OR($Q34="",$Z34=""),"",IF(AND($Z34&gt;0,$Z34&gt;=$Q34),"yes","below the line"))</f>
        <v/>
      </c>
      <c r="AB34">
        <f>IF($V34,IF($M34="","",$M34),IF($K34="","",$K34))</f>
        <v/>
      </c>
      <c r="AC34">
        <f>IF($V34,IF($N34="","",$N34),IF($L34="","",$L34))</f>
        <v/>
      </c>
      <c r="AD34">
        <f>$Y34</f>
        <v/>
      </c>
      <c r="AE34">
        <f>IF($V34,IF($S34="","",$S34),IF($R34="","",$R34))</f>
        <v/>
      </c>
      <c r="AF34">
        <f>IF($V34,IF($U34="","",$U34),IF($T34="","",$T34))</f>
        <v/>
      </c>
      <c r="AG34">
        <f>IF($V34,IF($O34="","",$O34),IF($P34="","",$P34))</f>
        <v/>
      </c>
      <c r="AH34" t="n">
        <v>0.05189620758483034</v>
      </c>
      <c r="AI34">
        <f>IF($Y34="worse","Yes",IF($Y34="worse, not significant","Not sure",IF(OR($Y34="too few losses to test",$Y34="too few loans to test"),"Too few losses",IF($Y34="","","No"))))</f>
        <v/>
      </c>
      <c r="AJ34">
        <f>IF($AA34="yes","Yes",IF($AA34="","","No"))</f>
        <v/>
      </c>
    </row>
    <row r="35">
      <c r="A35" t="inlineStr">
        <is>
          <t>grids</t>
        </is>
      </c>
      <c r="B35" t="inlineStr">
        <is>
          <t>FICO x CHANNEL</t>
        </is>
      </c>
      <c r="C35" t="inlineStr">
        <is>
          <t>686 - 711</t>
        </is>
      </c>
      <c r="D35" t="inlineStr">
        <is>
          <t>Broker</t>
        </is>
      </c>
      <c r="E35" t="inlineStr">
        <is>
          <t>outcome_booked</t>
        </is>
      </c>
      <c r="F35" t="inlineStr">
        <is>
          <t>Outcome, share of booked dollars</t>
        </is>
      </c>
      <c r="G35" t="n">
        <v>501</v>
      </c>
      <c r="H35" t="n">
        <v>16516467.50999999</v>
      </c>
      <c r="I35" t="b">
        <v>0</v>
      </c>
      <c r="J35" t="b">
        <v>0</v>
      </c>
      <c r="K35" t="n">
        <v>0.6023596496723526</v>
      </c>
      <c r="L35" t="n">
        <v>0.037662900376629</v>
      </c>
      <c r="M35" t="n">
        <v>0.7466818259615715</v>
      </c>
      <c r="N35" t="n">
        <v>0.4134586541345866</v>
      </c>
      <c r="O35" t="n">
        <v>-504282.5031528106</v>
      </c>
      <c r="P35" t="n">
        <v>-259161.2656752625</v>
      </c>
      <c r="Q35">
        <f>'_live'!$C$21</f>
        <v/>
      </c>
      <c r="R35" t="inlineStr">
        <is>
          <t>shuffled: 225 of 10,000</t>
        </is>
      </c>
      <c r="S35" t="inlineStr">
        <is>
          <t>shuffled: 2,480 of 10,000</t>
        </is>
      </c>
      <c r="T35" t="n">
        <v>0.07678321362512773</v>
      </c>
      <c r="U35" t="n">
        <v>0.06194219284818872</v>
      </c>
      <c r="V35">
        <f>AND(judged_band,NOT($J35))</f>
        <v/>
      </c>
      <c r="W35">
        <f>IF($K35="","",IF($I35,"too few losses to test",IF(AND($K35&gt;better_at,$K35&lt;worse_at),"in line",IF($K35&gt;=worse_at,IF(AND(ISNUMBER($L35),$L35&lt;significance_bar),"worse","worse, not significant"),IF(AND(ISNUMBER($L35),$L35&lt;significance_bar),"better","better, not significant")))))</f>
        <v/>
      </c>
      <c r="X35">
        <f>IF($M35="","",IF($I35,"too few losses to test",IF(AND($M35&gt;better_at,$M35&lt;worse_at),"in line",IF($M35&gt;=worse_at,IF(AND(ISNUMBER($N35),$N35&lt;significance_bar),"worse","worse, not significant"),IF(AND(ISNUMBER($N35),$N35&lt;significance_bar),"better","better, not significant")))))</f>
        <v/>
      </c>
      <c r="Y35">
        <f>IF($V35,$X35,$W35)</f>
        <v/>
      </c>
      <c r="Z35">
        <f>IF($V35,IF($P35="","",$P35),IF($O35="","",$O35))</f>
        <v/>
      </c>
      <c r="AA35">
        <f>IF(OR($Q35="",$Z35=""),"",IF(AND($Z35&gt;0,$Z35&gt;=$Q35),"yes","below the line"))</f>
        <v/>
      </c>
      <c r="AB35">
        <f>IF($V35,IF($M35="","",$M35),IF($K35="","",$K35))</f>
        <v/>
      </c>
      <c r="AC35">
        <f>IF($V35,IF($N35="","",$N35),IF($L35="","",$L35))</f>
        <v/>
      </c>
      <c r="AD35">
        <f>$Y35</f>
        <v/>
      </c>
      <c r="AE35">
        <f>IF($V35,IF($S35="","",$S35),IF($R35="","",$R35))</f>
        <v/>
      </c>
      <c r="AF35">
        <f>IF($V35,IF($U35="","",$U35),IF($T35="","",$T35))</f>
        <v/>
      </c>
      <c r="AG35">
        <f>IF($V35,IF($O35="","",$O35),IF($P35="","",$P35))</f>
        <v/>
      </c>
      <c r="AH35" t="n">
        <v>0.04625110965994935</v>
      </c>
      <c r="AI35">
        <f>IF($Y35="worse","Yes",IF($Y35="worse, not significant","Not sure",IF(OR($Y35="too few losses to test",$Y35="too few loans to test"),"Too few losses",IF($Y35="","","No"))))</f>
        <v/>
      </c>
      <c r="AJ35">
        <f>IF($AA35="yes","Yes",IF($AA35="","","No"))</f>
        <v/>
      </c>
    </row>
    <row r="36">
      <c r="A36" t="inlineStr">
        <is>
          <t>grids</t>
        </is>
      </c>
      <c r="B36" t="inlineStr">
        <is>
          <t>FICO x CHANNEL</t>
        </is>
      </c>
      <c r="C36" t="inlineStr">
        <is>
          <t>686 - 711</t>
        </is>
      </c>
      <c r="D36" t="inlineStr">
        <is>
          <t>Broker</t>
        </is>
      </c>
      <c r="E36" t="inlineStr">
        <is>
          <t>gco_rate</t>
        </is>
      </c>
      <c r="F36" t="inlineStr">
        <is>
          <t>GCO per booked dollar</t>
        </is>
      </c>
      <c r="G36" t="n">
        <v>501</v>
      </c>
      <c r="H36" t="n">
        <v>16516467.50999999</v>
      </c>
      <c r="I36" t="b">
        <v>0</v>
      </c>
      <c r="J36" t="b">
        <v>0</v>
      </c>
      <c r="K36" t="n">
        <v>0.6191799430350436</v>
      </c>
      <c r="L36" t="n">
        <v>0.06824317568243175</v>
      </c>
      <c r="M36" t="n">
        <v>0.7774930635253152</v>
      </c>
      <c r="N36" t="n">
        <v>0.5541112555411125</v>
      </c>
      <c r="O36" t="n">
        <v>-268227.2902916291</v>
      </c>
      <c r="P36" t="n">
        <v>-124809.3322578705</v>
      </c>
      <c r="Q36">
        <f>'_live'!$C$22</f>
        <v/>
      </c>
      <c r="R36" t="inlineStr">
        <is>
          <t>shuffled: 363 of 10,000</t>
        </is>
      </c>
      <c r="S36" t="inlineStr">
        <is>
          <t>shuffled: 3,324 of 10,000</t>
        </is>
      </c>
      <c r="T36" t="n">
        <v>0.04264479010812583</v>
      </c>
      <c r="U36" t="n">
        <v>0.03396145888448946</v>
      </c>
      <c r="V36">
        <f>AND(judged_band,NOT($J36))</f>
        <v/>
      </c>
      <c r="W36">
        <f>IF($K36="","",IF($I36,"too few losses to test",IF(AND($K36&gt;better_at,$K36&lt;worse_at),"in line",IF($K36&gt;=worse_at,IF(AND(ISNUMBER($L36),$L36&lt;significance_bar),"worse","worse, not significant"),IF(AND(ISNUMBER($L36),$L36&lt;significance_bar),"better","better, not significant")))))</f>
        <v/>
      </c>
      <c r="X36">
        <f>IF($M36="","",IF($I36,"too few losses to test",IF(AND($M36&gt;better_at,$M36&lt;worse_at),"in line",IF($M36&gt;=worse_at,IF(AND(ISNUMBER($N36),$N36&lt;significance_bar),"worse","worse, not significant"),IF(AND(ISNUMBER($N36),$N36&lt;significance_bar),"better","better, not significant")))))</f>
        <v/>
      </c>
      <c r="Y36">
        <f>IF($V36,$X36,$W36)</f>
        <v/>
      </c>
      <c r="Z36">
        <f>IF($V36,IF($P36="","",$P36),IF($O36="","",$O36))</f>
        <v/>
      </c>
      <c r="AA36">
        <f>IF(OR($Q36="",$Z36=""),"",IF(AND($Z36&gt;0,$Z36&gt;=$Q36),"yes","below the line"))</f>
        <v/>
      </c>
      <c r="AB36">
        <f>IF($V36,IF($M36="","",$M36),IF($K36="","",$K36))</f>
        <v/>
      </c>
      <c r="AC36">
        <f>IF($V36,IF($N36="","",$N36),IF($L36="","",$L36))</f>
        <v/>
      </c>
      <c r="AD36">
        <f>$Y36</f>
        <v/>
      </c>
      <c r="AE36">
        <f>IF($V36,IF($S36="","",$S36),IF($R36="","",$R36))</f>
        <v/>
      </c>
      <c r="AF36">
        <f>IF($V36,IF($U36="","",$U36),IF($T36="","",$T36))</f>
        <v/>
      </c>
      <c r="AG36">
        <f>IF($V36,IF($O36="","",$O36),IF($P36="","",$P36))</f>
        <v/>
      </c>
      <c r="AH36" t="n">
        <v>0.02640479870989074</v>
      </c>
      <c r="AI36">
        <f>IF($Y36="worse","Yes",IF($Y36="worse, not significant","Not sure",IF(OR($Y36="too few losses to test",$Y36="too few loans to test"),"Too few losses",IF($Y36="","","No"))))</f>
        <v/>
      </c>
      <c r="AJ36">
        <f>IF($AA36="yes","Yes",IF($AA36="","","No"))</f>
        <v/>
      </c>
    </row>
    <row r="37">
      <c r="A37" t="inlineStr">
        <is>
          <t>grids</t>
        </is>
      </c>
      <c r="B37" t="inlineStr">
        <is>
          <t>FICO x CHANNEL</t>
        </is>
      </c>
      <c r="C37" t="inlineStr">
        <is>
          <t>686 - 711</t>
        </is>
      </c>
      <c r="D37" t="inlineStr">
        <is>
          <t>Broker</t>
        </is>
      </c>
      <c r="E37" t="inlineStr">
        <is>
          <t>ranr_rate</t>
        </is>
      </c>
      <c r="F37" t="inlineStr">
        <is>
          <t>Profit after losses: RANR per booked dollar</t>
        </is>
      </c>
      <c r="G37" t="n">
        <v>501</v>
      </c>
      <c r="H37" t="n">
        <v>16516467.50999999</v>
      </c>
      <c r="I37" t="b">
        <v>0</v>
      </c>
      <c r="J37" t="b">
        <v>0</v>
      </c>
      <c r="K37" t="n">
        <v>-0.00119248593405033</v>
      </c>
      <c r="L37" t="n">
        <v>0.9303069693030698</v>
      </c>
      <c r="M37" t="n">
        <v>-0.02224678397985932</v>
      </c>
      <c r="N37" t="n">
        <v>0.05708000628508577</v>
      </c>
      <c r="O37" t="n">
        <v>19695.65518587432</v>
      </c>
      <c r="P37" t="n">
        <v>367438.2848053349</v>
      </c>
      <c r="Q37">
        <f>'_live'!$C$23</f>
        <v/>
      </c>
      <c r="R37" t="inlineStr">
        <is>
          <t>shuffled: 8,985 of 10,000</t>
        </is>
      </c>
      <c r="S37" t="inlineStr">
        <is>
          <t>shuffled: 221 of 10,000</t>
        </is>
      </c>
      <c r="T37" t="n">
        <v>0.128066369149772</v>
      </c>
      <c r="U37" t="n">
        <v>0.149120667195581</v>
      </c>
      <c r="V37">
        <f>AND(judged_band,NOT($J37))</f>
        <v/>
      </c>
      <c r="W37">
        <f>IF($K37="","",IF(profit_kind="test",IF(OR(NOT(AND(ISNUMBER($L37),$L37&lt;significance_bar)),$K37=0),"in line",IF($K37&lt;0,"worse","better")),IF(OR($K37=0,IF(profit_kind="points",ABS($K37),ABS($K37*$H37))&lt;profit_line*(1-1E-9)),"in line",IF(AND(ISNUMBER($L37),$L37&lt;significance_bar),IF($K37&lt;0,"worse","better"),IF($K37&lt;0,"worse, not significant","better, not significant")))))</f>
        <v/>
      </c>
      <c r="X37">
        <f>IF($M37="","",IF(profit_kind="test",IF(OR(NOT(AND(ISNUMBER($N37),$N37&lt;significance_bar)),$M37=0),"in line",IF($M37&lt;0,"worse","better")),IF(OR($M37=0,IF(profit_kind="points",ABS($M37),ABS($M37*$H37))&lt;profit_line*(1-1E-9)),"in line",IF(AND(ISNUMBER($N37),$N37&lt;significance_bar),IF($M37&lt;0,"worse","better"),IF($M37&lt;0,"worse, not significant","better, not significant")))))</f>
        <v/>
      </c>
      <c r="Y37">
        <f>IF($V37,$X37,$W37)</f>
        <v/>
      </c>
      <c r="Z37">
        <f>IF($V37,IF($P37="","",$P37),IF($O37="","",$O37))</f>
        <v/>
      </c>
      <c r="AA37">
        <f>IF(OR($Q37="",$Z37=""),"",IF(AND($Z37&gt;0,$Z37&gt;=$Q37),"yes","below the line"))</f>
        <v/>
      </c>
      <c r="AB37">
        <f>IF($V37,IF($M37="","",$M37),IF($K37="","",$K37))</f>
        <v/>
      </c>
      <c r="AC37">
        <f>IF($V37,IF($N37="","",$N37),IF($L37="","",$L37))</f>
        <v/>
      </c>
      <c r="AD37">
        <f>IF($Y37="","",IF($Y37="in line",IF(profit_kind="test",IF(ROUND($AB37*100,2)=0,"0.00",TEXT($AB37*100,"+0.00;-0.00"))&amp;" points against "&amp;IF($V37,"its band","the book")&amp;", "&amp;IF($AC37="","not tested","not significant"),IF(profit_kind="points","within "&amp;TEXT(profit_line*100,"0.00")&amp;" points of "&amp;IF($V37,"its band","the book")&amp;" ("&amp;IF(ROUND($AB37*100,2)=0,"0.00",TEXT($AB37*100,"+0.00;-0.00"))&amp;")","within $"&amp;TEXT(profit_line,"#,##0")&amp;" of "&amp;IF($V37,"its band","the book")&amp;" ("&amp;IF(ROUND($AB37*100,2)=0,"0.00",TEXT($AB37*100,"+0.00;-0.00"))&amp;" points)")),IF(LEFT($Y37,5)="worse","short of ","ahead of ")&amp;IF($V37,"its band","the book")&amp;" by "&amp;TEXT(ABS($AB37)*100,"0.00")&amp;" points"&amp;IF($Z37="",""," ($"&amp;TEXT(ABS($Z37),"#,##0")&amp;")")&amp;IF(RIGHT($Y37,15)="not significant"," (not significant)","")))</f>
        <v/>
      </c>
      <c r="AE37">
        <f>IF($V37,IF($S37="","",$S37),IF($R37="","",$R37))</f>
        <v/>
      </c>
      <c r="AF37">
        <f>IF($V37,IF($U37="","",$U37),IF($T37="","",$T37))</f>
        <v/>
      </c>
      <c r="AG37">
        <f>IF($V37,IF($O37="","",$O37),IF($P37="","",$P37))</f>
        <v/>
      </c>
      <c r="AH37" t="n">
        <v>0.1268738832157217</v>
      </c>
      <c r="AI37">
        <f>IF($Y37="worse","Yes",IF($Y37="worse, not significant","Not sure",IF(OR($Y37="too few losses to test",$Y37="too few loans to test"),"Too few losses",IF($Y37="","","No"))))</f>
        <v/>
      </c>
      <c r="AJ37">
        <f>IF($AA37="yes","Yes",IF($AA37="","","No"))</f>
        <v/>
      </c>
    </row>
    <row r="38">
      <c r="A38" t="inlineStr">
        <is>
          <t>grids</t>
        </is>
      </c>
      <c r="B38" t="inlineStr">
        <is>
          <t>FICO x CHANNEL</t>
        </is>
      </c>
      <c r="C38" t="inlineStr">
        <is>
          <t>686 - 711</t>
        </is>
      </c>
      <c r="D38" t="inlineStr">
        <is>
          <t>Broker</t>
        </is>
      </c>
      <c r="E38" t="inlineStr">
        <is>
          <t>contribution_rate</t>
        </is>
      </c>
      <c r="F38" t="inlineStr">
        <is>
          <t>Contribution before losses per booked dollar</t>
        </is>
      </c>
      <c r="G38" t="n">
        <v>501</v>
      </c>
      <c r="H38" t="n">
        <v>16516467.50999999</v>
      </c>
      <c r="I38" t="b">
        <v>0</v>
      </c>
      <c r="J38" t="b">
        <v>0</v>
      </c>
      <c r="K38" t="n">
        <v>-0.01742943508906991</v>
      </c>
      <c r="L38" t="n">
        <v>0.00721927807219278</v>
      </c>
      <c r="M38" t="n">
        <v>-0.0298034441544581</v>
      </c>
      <c r="N38" t="n">
        <v>0.0002571171454283143</v>
      </c>
      <c r="O38" t="n">
        <v>287872.6983662769</v>
      </c>
      <c r="P38" t="n">
        <v>492247.6170632062</v>
      </c>
      <c r="Q38">
        <f>'_live'!$C$24</f>
        <v/>
      </c>
      <c r="R38" t="inlineStr">
        <is>
          <t>shuffled: 50 of 10,000</t>
        </is>
      </c>
      <c r="S38" t="inlineStr">
        <is>
          <t>shuffled: 0 of 10,000</t>
        </is>
      </c>
      <c r="T38" t="n">
        <v>0.1707081170146823</v>
      </c>
      <c r="U38" t="n">
        <v>0.1830821260800705</v>
      </c>
      <c r="V38">
        <f>AND(judged_band,NOT($J38))</f>
        <v/>
      </c>
      <c r="W38">
        <f>IF($K38="","",IF(profit_kind="test",IF(OR(NOT(AND(ISNUMBER($L38),$L38&lt;significance_bar)),$K38=0),"in line",IF($K38&lt;0,"worse","better")),IF(OR($K38=0,IF(profit_kind="points",ABS($K38),ABS($K38*$H38))&lt;profit_line*(1-1E-9)),"in line",IF(AND(ISNUMBER($L38),$L38&lt;significance_bar),IF($K38&lt;0,"worse","better"),IF($K38&lt;0,"worse, not significant","better, not significant")))))</f>
        <v/>
      </c>
      <c r="X38">
        <f>IF($M38="","",IF(profit_kind="test",IF(OR(NOT(AND(ISNUMBER($N38),$N38&lt;significance_bar)),$M38=0),"in line",IF($M38&lt;0,"worse","better")),IF(OR($M38=0,IF(profit_kind="points",ABS($M38),ABS($M38*$H38))&lt;profit_line*(1-1E-9)),"in line",IF(AND(ISNUMBER($N38),$N38&lt;significance_bar),IF($M38&lt;0,"worse","better"),IF($M38&lt;0,"worse, not significant","better, not significant")))))</f>
        <v/>
      </c>
      <c r="Y38">
        <f>IF($V38,$X38,$W38)</f>
        <v/>
      </c>
      <c r="Z38">
        <f>IF($V38,IF($P38="","",$P38),IF($O38="","",$O38))</f>
        <v/>
      </c>
      <c r="AA38">
        <f>IF(OR($Q38="",$Z38=""),"",IF(AND($Z38&gt;0,$Z38&gt;=$Q38),"yes","below the line"))</f>
        <v/>
      </c>
      <c r="AB38">
        <f>IF($V38,IF($M38="","",$M38),IF($K38="","",$K38))</f>
        <v/>
      </c>
      <c r="AC38">
        <f>IF($V38,IF($N38="","",$N38),IF($L38="","",$L38))</f>
        <v/>
      </c>
      <c r="AD38">
        <f>IF($Y38="","",IF($Y38="in line",IF(profit_kind="test",IF(ROUND($AB38*100,2)=0,"0.00",TEXT($AB38*100,"+0.00;-0.00"))&amp;" points against "&amp;IF($V38,"its band","the book")&amp;", "&amp;IF($AC38="","not tested","not significant"),IF(profit_kind="points","within "&amp;TEXT(profit_line*100,"0.00")&amp;" points of "&amp;IF($V38,"its band","the book")&amp;" ("&amp;IF(ROUND($AB38*100,2)=0,"0.00",TEXT($AB38*100,"+0.00;-0.00"))&amp;")","within $"&amp;TEXT(profit_line,"#,##0")&amp;" of "&amp;IF($V38,"its band","the book")&amp;" ("&amp;IF(ROUND($AB38*100,2)=0,"0.00",TEXT($AB38*100,"+0.00;-0.00"))&amp;" points)")),IF(LEFT($Y38,5)="worse","short of ","ahead of ")&amp;IF($V38,"its band","the book")&amp;" by "&amp;TEXT(ABS($AB38)*100,"0.00")&amp;" points"&amp;IF($Z38="",""," ($"&amp;TEXT(ABS($Z38),"#,##0")&amp;")")&amp;IF(RIGHT($Y38,15)="not significant"," (not significant)","")))</f>
        <v/>
      </c>
      <c r="AE38">
        <f>IF($V38,IF($S38="","",$S38),IF($R38="","",$R38))</f>
        <v/>
      </c>
      <c r="AF38">
        <f>IF($V38,IF($U38="","",$U38),IF($T38="","",$T38))</f>
        <v/>
      </c>
      <c r="AG38">
        <f>IF($V38,IF($O38="","",$O38),IF($P38="","",$P38))</f>
        <v/>
      </c>
      <c r="AH38" t="n">
        <v>0.1532786819256124</v>
      </c>
      <c r="AI38">
        <f>IF($Y38="worse","Yes",IF($Y38="worse, not significant","Not sure",IF(OR($Y38="too few losses to test",$Y38="too few loans to test"),"Too few losses",IF($Y38="","","No"))))</f>
        <v/>
      </c>
      <c r="AJ38">
        <f>IF($AA38="yes","Yes",IF($AA38="","","No"))</f>
        <v/>
      </c>
    </row>
    <row r="39">
      <c r="A39" t="inlineStr">
        <is>
          <t>grids</t>
        </is>
      </c>
      <c r="B39" t="inlineStr">
        <is>
          <t>FICO x CHANNEL</t>
        </is>
      </c>
      <c r="C39" t="inlineStr">
        <is>
          <t>712 - 745</t>
        </is>
      </c>
      <c r="D39" t="inlineStr">
        <is>
          <t>Online</t>
        </is>
      </c>
      <c r="E39" t="inlineStr">
        <is>
          <t>outcome_loans</t>
        </is>
      </c>
      <c r="F39" t="inlineStr">
        <is>
          <t>Outcome, share of loans</t>
        </is>
      </c>
      <c r="G39" t="n">
        <v>564</v>
      </c>
      <c r="H39" t="n">
        <v>564</v>
      </c>
      <c r="I39" t="b">
        <v>0</v>
      </c>
      <c r="J39" t="b">
        <v>0</v>
      </c>
      <c r="K39" t="n">
        <v>1.133243125544357</v>
      </c>
      <c r="L39" t="n">
        <v>0.4767549432059792</v>
      </c>
      <c r="M39" t="n">
        <v>2.393756998880179</v>
      </c>
      <c r="N39" t="n">
        <v>0.0001371657214717494</v>
      </c>
      <c r="O39" t="n">
        <v>5.761264290517815</v>
      </c>
      <c r="P39" t="n">
        <v>28.53008595988539</v>
      </c>
      <c r="Q39">
        <f>'_live'!$C$20</f>
        <v/>
      </c>
      <c r="R39" t="inlineStr">
        <is>
          <t>z test</t>
        </is>
      </c>
      <c r="S39" t="inlineStr">
        <is>
          <t>z test</t>
        </is>
      </c>
      <c r="T39" t="n">
        <v>0.07666442501681238</v>
      </c>
      <c r="U39" t="n">
        <v>0.03629417382999045</v>
      </c>
      <c r="V39">
        <f>AND(judged_band,NOT($J39))</f>
        <v/>
      </c>
      <c r="W39">
        <f>IF($K39="","",IF($I39,"too few losses to test",IF(AND($K39&gt;better_at,$K39&lt;worse_at),"in line",IF($K39&gt;=worse_at,IF(AND(ISNUMBER($L39),$L39&lt;significance_bar),"worse","worse, not significant"),IF(AND(ISNUMBER($L39),$L39&lt;significance_bar),"better","better, not significant")))))</f>
        <v/>
      </c>
      <c r="X39">
        <f>IF($M39="","",IF($I39,"too few losses to test",IF(AND($M39&gt;better_at,$M39&lt;worse_at),"in line",IF($M39&gt;=worse_at,IF(AND(ISNUMBER($N39),$N39&lt;significance_bar),"worse","worse, not significant"),IF(AND(ISNUMBER($N39),$N39&lt;significance_bar),"better","better, not significant")))))</f>
        <v/>
      </c>
      <c r="Y39">
        <f>IF($V39,$X39,$W39)</f>
        <v/>
      </c>
      <c r="Z39">
        <f>IF($V39,IF($P39="","",$P39),IF($O39="","",$O39))</f>
        <v/>
      </c>
      <c r="AA39">
        <f>IF(OR($Q39="",$Z39=""),"",IF(AND($Z39&gt;0,$Z39&gt;=$Q39),"yes","below the line"))</f>
        <v/>
      </c>
      <c r="AB39">
        <f>IF($V39,IF($M39="","",$M39),IF($K39="","",$K39))</f>
        <v/>
      </c>
      <c r="AC39">
        <f>IF($V39,IF($N39="","",$N39),IF($L39="","",$L39))</f>
        <v/>
      </c>
      <c r="AD39">
        <f>$Y39</f>
        <v/>
      </c>
      <c r="AE39">
        <f>IF($V39,IF($S39="","",$S39),IF($R39="","",$R39))</f>
        <v/>
      </c>
      <c r="AF39">
        <f>IF($V39,IF($U39="","",$U39),IF($T39="","",$T39))</f>
        <v/>
      </c>
      <c r="AG39">
        <f>IF($V39,IF($O39="","",$O39),IF($P39="","",$P39))</f>
        <v/>
      </c>
      <c r="AH39" t="n">
        <v>0.08687943262411348</v>
      </c>
      <c r="AI39">
        <f>IF($Y39="worse","Yes",IF($Y39="worse, not significant","Not sure",IF(OR($Y39="too few losses to test",$Y39="too few loans to test"),"Too few losses",IF($Y39="","","No"))))</f>
        <v/>
      </c>
      <c r="AJ39">
        <f>IF($AA39="yes","Yes",IF($AA39="","","No"))</f>
        <v/>
      </c>
    </row>
    <row r="40">
      <c r="A40" t="inlineStr">
        <is>
          <t>grids</t>
        </is>
      </c>
      <c r="B40" t="inlineStr">
        <is>
          <t>FICO x CHANNEL</t>
        </is>
      </c>
      <c r="C40" t="inlineStr">
        <is>
          <t>712 - 745</t>
        </is>
      </c>
      <c r="D40" t="inlineStr">
        <is>
          <t>Online</t>
        </is>
      </c>
      <c r="E40" t="inlineStr">
        <is>
          <t>outcome_booked</t>
        </is>
      </c>
      <c r="F40" t="inlineStr">
        <is>
          <t>Outcome, share of booked dollars</t>
        </is>
      </c>
      <c r="G40" t="n">
        <v>564</v>
      </c>
      <c r="H40" t="n">
        <v>18368910.48999999</v>
      </c>
      <c r="I40" t="b">
        <v>0</v>
      </c>
      <c r="J40" t="b">
        <v>0</v>
      </c>
      <c r="K40" t="n">
        <v>1.123299957362862</v>
      </c>
      <c r="L40" t="n">
        <v>0.5871912808719127</v>
      </c>
      <c r="M40" t="n">
        <v>2.172307734022388</v>
      </c>
      <c r="N40" t="n">
        <v>0.003999600039996001</v>
      </c>
      <c r="O40" t="n">
        <v>168004.1815526905</v>
      </c>
      <c r="P40" t="n">
        <v>825986.9559946364</v>
      </c>
      <c r="Q40">
        <f>'_live'!$C$21</f>
        <v/>
      </c>
      <c r="R40" t="inlineStr">
        <is>
          <t>shuffled: 4,697 of 10,000</t>
        </is>
      </c>
      <c r="S40" t="inlineStr">
        <is>
          <t>shuffled: 7 of 10,000</t>
        </is>
      </c>
      <c r="T40" t="n">
        <v>0.07417776896398337</v>
      </c>
      <c r="U40" t="n">
        <v>0.03835731163200657</v>
      </c>
      <c r="V40">
        <f>AND(judged_band,NOT($J40))</f>
        <v/>
      </c>
      <c r="W40">
        <f>IF($K40="","",IF($I40,"too few losses to test",IF(AND($K40&gt;better_at,$K40&lt;worse_at),"in line",IF($K40&gt;=worse_at,IF(AND(ISNUMBER($L40),$L40&lt;significance_bar),"worse","worse, not significant"),IF(AND(ISNUMBER($L40),$L40&lt;significance_bar),"better","better, not significant")))))</f>
        <v/>
      </c>
      <c r="X40">
        <f>IF($M40="","",IF($I40,"too few losses to test",IF(AND($M40&gt;better_at,$M40&lt;worse_at),"in line",IF($M40&gt;=worse_at,IF(AND(ISNUMBER($N40),$N40&lt;significance_bar),"worse","worse, not significant"),IF(AND(ISNUMBER($N40),$N40&lt;significance_bar),"better","better, not significant")))))</f>
        <v/>
      </c>
      <c r="Y40">
        <f>IF($V40,$X40,$W40)</f>
        <v/>
      </c>
      <c r="Z40">
        <f>IF($V40,IF($P40="","",$P40),IF($O40="","",$O40))</f>
        <v/>
      </c>
      <c r="AA40">
        <f>IF(OR($Q40="",$Z40=""),"",IF(AND($Z40&gt;0,$Z40&gt;=$Q40),"yes","below the line"))</f>
        <v/>
      </c>
      <c r="AB40">
        <f>IF($V40,IF($M40="","",$M40),IF($K40="","",$K40))</f>
        <v/>
      </c>
      <c r="AC40">
        <f>IF($V40,IF($N40="","",$N40),IF($L40="","",$L40))</f>
        <v/>
      </c>
      <c r="AD40">
        <f>$Y40</f>
        <v/>
      </c>
      <c r="AE40">
        <f>IF($V40,IF($S40="","",$S40),IF($R40="","",$R40))</f>
        <v/>
      </c>
      <c r="AF40">
        <f>IF($V40,IF($U40="","",$U40),IF($T40="","",$T40))</f>
        <v/>
      </c>
      <c r="AG40">
        <f>IF($V40,IF($O40="","",$O40),IF($P40="","",$P40))</f>
        <v/>
      </c>
      <c r="AH40" t="n">
        <v>0.08332388471451478</v>
      </c>
      <c r="AI40">
        <f>IF($Y40="worse","Yes",IF($Y40="worse, not significant","Not sure",IF(OR($Y40="too few losses to test",$Y40="too few loans to test"),"Too few losses",IF($Y40="","","No"))))</f>
        <v/>
      </c>
      <c r="AJ40">
        <f>IF($AA40="yes","Yes",IF($AA40="","","No"))</f>
        <v/>
      </c>
    </row>
    <row r="41">
      <c r="A41" t="inlineStr">
        <is>
          <t>grids</t>
        </is>
      </c>
      <c r="B41" t="inlineStr">
        <is>
          <t>FICO x CHANNEL</t>
        </is>
      </c>
      <c r="C41" t="inlineStr">
        <is>
          <t>712 - 745</t>
        </is>
      </c>
      <c r="D41" t="inlineStr">
        <is>
          <t>Online</t>
        </is>
      </c>
      <c r="E41" t="inlineStr">
        <is>
          <t>gco_rate</t>
        </is>
      </c>
      <c r="F41" t="inlineStr">
        <is>
          <t>GCO per booked dollar</t>
        </is>
      </c>
      <c r="G41" t="n">
        <v>564</v>
      </c>
      <c r="H41" t="n">
        <v>18368910.48999999</v>
      </c>
      <c r="I41" t="b">
        <v>0</v>
      </c>
      <c r="J41" t="b">
        <v>0</v>
      </c>
      <c r="K41" t="n">
        <v>1.0931294943132</v>
      </c>
      <c r="L41" t="n">
        <v>0.7464253574642536</v>
      </c>
      <c r="M41" t="n">
        <v>2.06437015854151</v>
      </c>
      <c r="N41" t="n">
        <v>0.00674932506749325</v>
      </c>
      <c r="O41" t="n">
        <v>70704.8396819632</v>
      </c>
      <c r="P41" t="n">
        <v>427896.3942571366</v>
      </c>
      <c r="Q41">
        <f>'_live'!$C$22</f>
        <v/>
      </c>
      <c r="R41" t="inlineStr">
        <is>
          <t>shuffled: 5,971 of 10,000</t>
        </is>
      </c>
      <c r="S41" t="inlineStr">
        <is>
          <t>shuffled: 17 of 10,000</t>
        </is>
      </c>
      <c r="T41" t="n">
        <v>0.0413312461145341</v>
      </c>
      <c r="U41" t="n">
        <v>0.02188580569118248</v>
      </c>
      <c r="V41">
        <f>AND(judged_band,NOT($J41))</f>
        <v/>
      </c>
      <c r="W41">
        <f>IF($K41="","",IF($I41,"too few losses to test",IF(AND($K41&gt;better_at,$K41&lt;worse_at),"in line",IF($K41&gt;=worse_at,IF(AND(ISNUMBER($L41),$L41&lt;significance_bar),"worse","worse, not significant"),IF(AND(ISNUMBER($L41),$L41&lt;significance_bar),"better","better, not significant")))))</f>
        <v/>
      </c>
      <c r="X41">
        <f>IF($M41="","",IF($I41,"too few losses to test",IF(AND($M41&gt;better_at,$M41&lt;worse_at),"in line",IF($M41&gt;=worse_at,IF(AND(ISNUMBER($N41),$N41&lt;significance_bar),"worse","worse, not significant"),IF(AND(ISNUMBER($N41),$N41&lt;significance_bar),"better","better, not significant")))))</f>
        <v/>
      </c>
      <c r="Y41">
        <f>IF($V41,$X41,$W41)</f>
        <v/>
      </c>
      <c r="Z41">
        <f>IF($V41,IF($P41="","",$P41),IF($O41="","",$O41))</f>
        <v/>
      </c>
      <c r="AA41">
        <f>IF(OR($Q41="",$Z41=""),"",IF(AND($Z41&gt;0,$Z41&gt;=$Q41),"yes","below the line"))</f>
        <v/>
      </c>
      <c r="AB41">
        <f>IF($V41,IF($M41="","",$M41),IF($K41="","",$K41))</f>
        <v/>
      </c>
      <c r="AC41">
        <f>IF($V41,IF($N41="","",$N41),IF($L41="","",$L41))</f>
        <v/>
      </c>
      <c r="AD41">
        <f>$Y41</f>
        <v/>
      </c>
      <c r="AE41">
        <f>IF($V41,IF($S41="","",$S41),IF($R41="","",$R41))</f>
        <v/>
      </c>
      <c r="AF41">
        <f>IF($V41,IF($U41="","",$U41),IF($T41="","",$T41))</f>
        <v/>
      </c>
      <c r="AG41">
        <f>IF($V41,IF($O41="","",$O41),IF($P41="","",$P41))</f>
        <v/>
      </c>
      <c r="AH41" t="n">
        <v>0.04518040416451506</v>
      </c>
      <c r="AI41">
        <f>IF($Y41="worse","Yes",IF($Y41="worse, not significant","Not sure",IF(OR($Y41="too few losses to test",$Y41="too few loans to test"),"Too few losses",IF($Y41="","","No"))))</f>
        <v/>
      </c>
      <c r="AJ41">
        <f>IF($AA41="yes","Yes",IF($AA41="","","No"))</f>
        <v/>
      </c>
    </row>
    <row r="42">
      <c r="A42" t="inlineStr">
        <is>
          <t>grids</t>
        </is>
      </c>
      <c r="B42" t="inlineStr">
        <is>
          <t>FICO x CHANNEL</t>
        </is>
      </c>
      <c r="C42" t="inlineStr">
        <is>
          <t>712 - 745</t>
        </is>
      </c>
      <c r="D42" t="inlineStr">
        <is>
          <t>Online</t>
        </is>
      </c>
      <c r="E42" t="inlineStr">
        <is>
          <t>ranr_rate</t>
        </is>
      </c>
      <c r="F42" t="inlineStr">
        <is>
          <t>Profit after losses: RANR per booked dollar</t>
        </is>
      </c>
      <c r="G42" t="n">
        <v>564</v>
      </c>
      <c r="H42" t="n">
        <v>18368910.48999999</v>
      </c>
      <c r="I42" t="b">
        <v>0</v>
      </c>
      <c r="J42" t="b">
        <v>0</v>
      </c>
      <c r="K42" t="n">
        <v>-0.01997924590250309</v>
      </c>
      <c r="L42" t="n">
        <v>0.03720461287204613</v>
      </c>
      <c r="M42" t="n">
        <v>0.02101666414595046</v>
      </c>
      <c r="N42" t="n">
        <v>0.05009499050094991</v>
      </c>
      <c r="O42" t="n">
        <v>366996.9796407784</v>
      </c>
      <c r="P42" t="n">
        <v>-386053.2224953561</v>
      </c>
      <c r="Q42">
        <f>'_live'!$C$23</f>
        <v/>
      </c>
      <c r="R42" t="inlineStr">
        <is>
          <t>shuffled: 234 of 10,000</t>
        </is>
      </c>
      <c r="S42" t="inlineStr">
        <is>
          <t>shuffled: 150 of 10,000</t>
        </is>
      </c>
      <c r="T42" t="n">
        <v>0.1294121412881238</v>
      </c>
      <c r="U42" t="n">
        <v>0.08841623123967023</v>
      </c>
      <c r="V42">
        <f>AND(judged_band,NOT($J42))</f>
        <v/>
      </c>
      <c r="W42">
        <f>IF($K42="","",IF(profit_kind="test",IF(OR(NOT(AND(ISNUMBER($L42),$L42&lt;significance_bar)),$K42=0),"in line",IF($K42&lt;0,"worse","better")),IF(OR($K42=0,IF(profit_kind="points",ABS($K42),ABS($K42*$H42))&lt;profit_line*(1-1E-9)),"in line",IF(AND(ISNUMBER($L42),$L42&lt;significance_bar),IF($K42&lt;0,"worse","better"),IF($K42&lt;0,"worse, not significant","better, not significant")))))</f>
        <v/>
      </c>
      <c r="X42">
        <f>IF($M42="","",IF(profit_kind="test",IF(OR(NOT(AND(ISNUMBER($N42),$N42&lt;significance_bar)),$M42=0),"in line",IF($M42&lt;0,"worse","better")),IF(OR($M42=0,IF(profit_kind="points",ABS($M42),ABS($M42*$H42))&lt;profit_line*(1-1E-9)),"in line",IF(AND(ISNUMBER($N42),$N42&lt;significance_bar),IF($M42&lt;0,"worse","better"),IF($M42&lt;0,"worse, not significant","better, not significant")))))</f>
        <v/>
      </c>
      <c r="Y42">
        <f>IF($V42,$X42,$W42)</f>
        <v/>
      </c>
      <c r="Z42">
        <f>IF($V42,IF($P42="","",$P42),IF($O42="","",$O42))</f>
        <v/>
      </c>
      <c r="AA42">
        <f>IF(OR($Q42="",$Z42=""),"",IF(AND($Z42&gt;0,$Z42&gt;=$Q42),"yes","below the line"))</f>
        <v/>
      </c>
      <c r="AB42">
        <f>IF($V42,IF($M42="","",$M42),IF($K42="","",$K42))</f>
        <v/>
      </c>
      <c r="AC42">
        <f>IF($V42,IF($N42="","",$N42),IF($L42="","",$L42))</f>
        <v/>
      </c>
      <c r="AD42">
        <f>IF($Y42="","",IF($Y42="in line",IF(profit_kind="test",IF(ROUND($AB42*100,2)=0,"0.00",TEXT($AB42*100,"+0.00;-0.00"))&amp;" points against "&amp;IF($V42,"its band","the book")&amp;", "&amp;IF($AC42="","not tested","not significant"),IF(profit_kind="points","within "&amp;TEXT(profit_line*100,"0.00")&amp;" points of "&amp;IF($V42,"its band","the book")&amp;" ("&amp;IF(ROUND($AB42*100,2)=0,"0.00",TEXT($AB42*100,"+0.00;-0.00"))&amp;")","within $"&amp;TEXT(profit_line,"#,##0")&amp;" of "&amp;IF($V42,"its band","the book")&amp;" ("&amp;IF(ROUND($AB42*100,2)=0,"0.00",TEXT($AB42*100,"+0.00;-0.00"))&amp;" points)")),IF(LEFT($Y42,5)="worse","short of ","ahead of ")&amp;IF($V42,"its band","the book")&amp;" by "&amp;TEXT(ABS($AB42)*100,"0.00")&amp;" points"&amp;IF($Z42="",""," ($"&amp;TEXT(ABS($Z42),"#,##0")&amp;")")&amp;IF(RIGHT($Y42,15)="not significant"," (not significant)","")))</f>
        <v/>
      </c>
      <c r="AE42">
        <f>IF($V42,IF($S42="","",$S42),IF($R42="","",$R42))</f>
        <v/>
      </c>
      <c r="AF42">
        <f>IF($V42,IF($U42="","",$U42),IF($T42="","",$T42))</f>
        <v/>
      </c>
      <c r="AG42">
        <f>IF($V42,IF($O42="","",$O42),IF($P42="","",$P42))</f>
        <v/>
      </c>
      <c r="AH42" t="n">
        <v>0.1094328953856207</v>
      </c>
      <c r="AI42">
        <f>IF($Y42="worse","Yes",IF($Y42="worse, not significant","Not sure",IF(OR($Y42="too few losses to test",$Y42="too few loans to test"),"Too few losses",IF($Y42="","","No"))))</f>
        <v/>
      </c>
      <c r="AJ42">
        <f>IF($AA42="yes","Yes",IF($AA42="","","No"))</f>
        <v/>
      </c>
    </row>
    <row r="43">
      <c r="A43" t="inlineStr">
        <is>
          <t>grids</t>
        </is>
      </c>
      <c r="B43" t="inlineStr">
        <is>
          <t>FICO x CHANNEL</t>
        </is>
      </c>
      <c r="C43" t="inlineStr">
        <is>
          <t>712 - 745</t>
        </is>
      </c>
      <c r="D43" t="inlineStr">
        <is>
          <t>Online</t>
        </is>
      </c>
      <c r="E43" t="inlineStr">
        <is>
          <t>contribution_rate</t>
        </is>
      </c>
      <c r="F43" t="inlineStr">
        <is>
          <t>Contribution before losses per booked dollar</t>
        </is>
      </c>
      <c r="G43" t="n">
        <v>564</v>
      </c>
      <c r="H43" t="n">
        <v>18368910.48999999</v>
      </c>
      <c r="I43" t="b">
        <v>0</v>
      </c>
      <c r="J43" t="b">
        <v>0</v>
      </c>
      <c r="K43" t="n">
        <v>-0.01612724493605203</v>
      </c>
      <c r="L43" t="n">
        <v>0.00721927807219278</v>
      </c>
      <c r="M43" t="n">
        <v>0.04438184236778041</v>
      </c>
      <c r="N43" t="n">
        <v>0.0002571171454283143</v>
      </c>
      <c r="O43" t="n">
        <v>296239.9186806455</v>
      </c>
      <c r="P43" t="n">
        <v>-815246.0898350475</v>
      </c>
      <c r="Q43">
        <f>'_live'!$C$24</f>
        <v/>
      </c>
      <c r="R43" t="inlineStr">
        <is>
          <t>shuffled: 55 of 10,000</t>
        </is>
      </c>
      <c r="S43" t="inlineStr">
        <is>
          <t>shuffled: 0 of 10,000</t>
        </is>
      </c>
      <c r="T43" t="n">
        <v>0.1707405444861878</v>
      </c>
      <c r="U43" t="n">
        <v>0.1102314571823553</v>
      </c>
      <c r="V43">
        <f>AND(judged_band,NOT($J43))</f>
        <v/>
      </c>
      <c r="W43">
        <f>IF($K43="","",IF(profit_kind="test",IF(OR(NOT(AND(ISNUMBER($L43),$L43&lt;significance_bar)),$K43=0),"in line",IF($K43&lt;0,"worse","better")),IF(OR($K43=0,IF(profit_kind="points",ABS($K43),ABS($K43*$H43))&lt;profit_line*(1-1E-9)),"in line",IF(AND(ISNUMBER($L43),$L43&lt;significance_bar),IF($K43&lt;0,"worse","better"),IF($K43&lt;0,"worse, not significant","better, not significant")))))</f>
        <v/>
      </c>
      <c r="X43">
        <f>IF($M43="","",IF(profit_kind="test",IF(OR(NOT(AND(ISNUMBER($N43),$N43&lt;significance_bar)),$M43=0),"in line",IF($M43&lt;0,"worse","better")),IF(OR($M43=0,IF(profit_kind="points",ABS($M43),ABS($M43*$H43))&lt;profit_line*(1-1E-9)),"in line",IF(AND(ISNUMBER($N43),$N43&lt;significance_bar),IF($M43&lt;0,"worse","better"),IF($M43&lt;0,"worse, not significant","better, not significant")))))</f>
        <v/>
      </c>
      <c r="Y43">
        <f>IF($V43,$X43,$W43)</f>
        <v/>
      </c>
      <c r="Z43">
        <f>IF($V43,IF($P43="","",$P43),IF($O43="","",$O43))</f>
        <v/>
      </c>
      <c r="AA43">
        <f>IF(OR($Q43="",$Z43=""),"",IF(AND($Z43&gt;0,$Z43&gt;=$Q43),"yes","below the line"))</f>
        <v/>
      </c>
      <c r="AB43">
        <f>IF($V43,IF($M43="","",$M43),IF($K43="","",$K43))</f>
        <v/>
      </c>
      <c r="AC43">
        <f>IF($V43,IF($N43="","",$N43),IF($L43="","",$L43))</f>
        <v/>
      </c>
      <c r="AD43">
        <f>IF($Y43="","",IF($Y43="in line",IF(profit_kind="test",IF(ROUND($AB43*100,2)=0,"0.00",TEXT($AB43*100,"+0.00;-0.00"))&amp;" points against "&amp;IF($V43,"its band","the book")&amp;", "&amp;IF($AC43="","not tested","not significant"),IF(profit_kind="points","within "&amp;TEXT(profit_line*100,"0.00")&amp;" points of "&amp;IF($V43,"its band","the book")&amp;" ("&amp;IF(ROUND($AB43*100,2)=0,"0.00",TEXT($AB43*100,"+0.00;-0.00"))&amp;")","within $"&amp;TEXT(profit_line,"#,##0")&amp;" of "&amp;IF($V43,"its band","the book")&amp;" ("&amp;IF(ROUND($AB43*100,2)=0,"0.00",TEXT($AB43*100,"+0.00;-0.00"))&amp;" points)")),IF(LEFT($Y43,5)="worse","short of ","ahead of ")&amp;IF($V43,"its band","the book")&amp;" by "&amp;TEXT(ABS($AB43)*100,"0.00")&amp;" points"&amp;IF($Z43="",""," ($"&amp;TEXT(ABS($Z43),"#,##0")&amp;")")&amp;IF(RIGHT($Y43,15)="not significant"," (not significant)","")))</f>
        <v/>
      </c>
      <c r="AE43">
        <f>IF($V43,IF($S43="","",$S43),IF($R43="","",$R43))</f>
        <v/>
      </c>
      <c r="AF43">
        <f>IF($V43,IF($U43="","",$U43),IF($T43="","",$T43))</f>
        <v/>
      </c>
      <c r="AG43">
        <f>IF($V43,IF($O43="","",$O43),IF($P43="","",$P43))</f>
        <v/>
      </c>
      <c r="AH43" t="n">
        <v>0.1546132995501358</v>
      </c>
      <c r="AI43">
        <f>IF($Y43="worse","Yes",IF($Y43="worse, not significant","Not sure",IF(OR($Y43="too few losses to test",$Y43="too few loans to test"),"Too few losses",IF($Y43="","","No"))))</f>
        <v/>
      </c>
      <c r="AJ43">
        <f>IF($AA43="yes","Yes",IF($AA43="","","No"))</f>
        <v/>
      </c>
    </row>
    <row r="44">
      <c r="A44" t="inlineStr">
        <is>
          <t>grids</t>
        </is>
      </c>
      <c r="B44" t="inlineStr">
        <is>
          <t>FICO x CHANNEL</t>
        </is>
      </c>
      <c r="C44" t="inlineStr">
        <is>
          <t>746 - 921</t>
        </is>
      </c>
      <c r="D44" t="inlineStr">
        <is>
          <t>Broker</t>
        </is>
      </c>
      <c r="E44" t="inlineStr">
        <is>
          <t>outcome_loans</t>
        </is>
      </c>
      <c r="F44" t="inlineStr">
        <is>
          <t>Outcome, share of loans</t>
        </is>
      </c>
      <c r="G44" t="n">
        <v>536</v>
      </c>
      <c r="H44" t="n">
        <v>536</v>
      </c>
      <c r="I44" t="b">
        <v>0</v>
      </c>
      <c r="J44" t="b">
        <v>0</v>
      </c>
      <c r="K44" t="n">
        <v>0.4648917349811875</v>
      </c>
      <c r="L44" t="n">
        <v>0.00131203224236217</v>
      </c>
      <c r="M44" t="n">
        <v>0.9195095948827292</v>
      </c>
      <c r="N44" t="n">
        <v>0.8063280654421801</v>
      </c>
      <c r="O44" t="n">
        <v>-23.02076912769664</v>
      </c>
      <c r="P44" t="n">
        <v>-1.750724637681159</v>
      </c>
      <c r="Q44">
        <f>'_live'!$C$20</f>
        <v/>
      </c>
      <c r="R44" t="inlineStr">
        <is>
          <t>z test</t>
        </is>
      </c>
      <c r="S44" t="inlineStr">
        <is>
          <t>z test</t>
        </is>
      </c>
      <c r="T44" t="n">
        <v>0.08026262896958328</v>
      </c>
      <c r="U44" t="n">
        <v>0.04057971014492753</v>
      </c>
      <c r="V44">
        <f>AND(judged_band,NOT($J44))</f>
        <v/>
      </c>
      <c r="W44">
        <f>IF($K44="","",IF($I44,"too few losses to test",IF(AND($K44&gt;better_at,$K44&lt;worse_at),"in line",IF($K44&gt;=worse_at,IF(AND(ISNUMBER($L44),$L44&lt;significance_bar),"worse","worse, not significant"),IF(AND(ISNUMBER($L44),$L44&lt;significance_bar),"better","better, not significant")))))</f>
        <v/>
      </c>
      <c r="X44">
        <f>IF($M44="","",IF($I44,"too few losses to test",IF(AND($M44&gt;better_at,$M44&lt;worse_at),"in line",IF($M44&gt;=worse_at,IF(AND(ISNUMBER($N44),$N44&lt;significance_bar),"worse","worse, not significant"),IF(AND(ISNUMBER($N44),$N44&lt;significance_bar),"better","better, not significant")))))</f>
        <v/>
      </c>
      <c r="Y44">
        <f>IF($V44,$X44,$W44)</f>
        <v/>
      </c>
      <c r="Z44">
        <f>IF($V44,IF($P44="","",$P44),IF($O44="","",$O44))</f>
        <v/>
      </c>
      <c r="AA44">
        <f>IF(OR($Q44="",$Z44=""),"",IF(AND($Z44&gt;0,$Z44&gt;=$Q44),"yes","below the line"))</f>
        <v/>
      </c>
      <c r="AB44">
        <f>IF($V44,IF($M44="","",$M44),IF($K44="","",$K44))</f>
        <v/>
      </c>
      <c r="AC44">
        <f>IF($V44,IF($N44="","",$N44),IF($L44="","",$L44))</f>
        <v/>
      </c>
      <c r="AD44">
        <f>$Y44</f>
        <v/>
      </c>
      <c r="AE44">
        <f>IF($V44,IF($S44="","",$S44),IF($R44="","",$R44))</f>
        <v/>
      </c>
      <c r="AF44">
        <f>IF($V44,IF($U44="","",$U44),IF($T44="","",$T44))</f>
        <v/>
      </c>
      <c r="AG44">
        <f>IF($V44,IF($O44="","",$O44),IF($P44="","",$P44))</f>
        <v/>
      </c>
      <c r="AH44" t="n">
        <v>0.03731343283582089</v>
      </c>
      <c r="AI44">
        <f>IF($Y44="worse","Yes",IF($Y44="worse, not significant","Not sure",IF(OR($Y44="too few losses to test",$Y44="too few loans to test"),"Too few losses",IF($Y44="","","No"))))</f>
        <v/>
      </c>
      <c r="AJ44">
        <f>IF($AA44="yes","Yes",IF($AA44="","","No"))</f>
        <v/>
      </c>
    </row>
    <row r="45">
      <c r="A45" t="inlineStr">
        <is>
          <t>grids</t>
        </is>
      </c>
      <c r="B45" t="inlineStr">
        <is>
          <t>FICO x CHANNEL</t>
        </is>
      </c>
      <c r="C45" t="inlineStr">
        <is>
          <t>746 - 921</t>
        </is>
      </c>
      <c r="D45" t="inlineStr">
        <is>
          <t>Broker</t>
        </is>
      </c>
      <c r="E45" t="inlineStr">
        <is>
          <t>outcome_booked</t>
        </is>
      </c>
      <c r="F45" t="inlineStr">
        <is>
          <t>Outcome, share of booked dollars</t>
        </is>
      </c>
      <c r="G45" t="n">
        <v>536</v>
      </c>
      <c r="H45" t="n">
        <v>17135666.27999998</v>
      </c>
      <c r="I45" t="b">
        <v>0</v>
      </c>
      <c r="J45" t="b">
        <v>0</v>
      </c>
      <c r="K45" t="n">
        <v>0.4334876976108042</v>
      </c>
      <c r="L45" t="n">
        <v>0.002999700029997001</v>
      </c>
      <c r="M45" t="n">
        <v>0.8769839649578951</v>
      </c>
      <c r="N45" t="n">
        <v>0.8316668333166684</v>
      </c>
      <c r="O45" t="n">
        <v>-754803.0898030138</v>
      </c>
      <c r="P45" t="n">
        <v>-81016.07013701263</v>
      </c>
      <c r="Q45">
        <f>'_live'!$C$21</f>
        <v/>
      </c>
      <c r="R45" t="inlineStr">
        <is>
          <t>shuffled: 3 of 10,000</t>
        </is>
      </c>
      <c r="S45" t="inlineStr">
        <is>
          <t>shuffled: 6,653 of 10,000</t>
        </is>
      </c>
      <c r="T45" t="n">
        <v>0.07775410526978442</v>
      </c>
      <c r="U45" t="n">
        <v>0.03843336870452949</v>
      </c>
      <c r="V45">
        <f>AND(judged_band,NOT($J45))</f>
        <v/>
      </c>
      <c r="W45">
        <f>IF($K45="","",IF($I45,"too few losses to test",IF(AND($K45&gt;better_at,$K45&lt;worse_at),"in line",IF($K45&gt;=worse_at,IF(AND(ISNUMBER($L45),$L45&lt;significance_bar),"worse","worse, not significant"),IF(AND(ISNUMBER($L45),$L45&lt;significance_bar),"better","better, not significant")))))</f>
        <v/>
      </c>
      <c r="X45">
        <f>IF($M45="","",IF($I45,"too few losses to test",IF(AND($M45&gt;better_at,$M45&lt;worse_at),"in line",IF($M45&gt;=worse_at,IF(AND(ISNUMBER($N45),$N45&lt;significance_bar),"worse","worse, not significant"),IF(AND(ISNUMBER($N45),$N45&lt;significance_bar),"better","better, not significant")))))</f>
        <v/>
      </c>
      <c r="Y45">
        <f>IF($V45,$X45,$W45)</f>
        <v/>
      </c>
      <c r="Z45">
        <f>IF($V45,IF($P45="","",$P45),IF($O45="","",$O45))</f>
        <v/>
      </c>
      <c r="AA45">
        <f>IF(OR($Q45="",$Z45=""),"",IF(AND($Z45&gt;0,$Z45&gt;=$Q45),"yes","below the line"))</f>
        <v/>
      </c>
      <c r="AB45">
        <f>IF($V45,IF($M45="","",$M45),IF($K45="","",$K45))</f>
        <v/>
      </c>
      <c r="AC45">
        <f>IF($V45,IF($N45="","",$N45),IF($L45="","",$L45))</f>
        <v/>
      </c>
      <c r="AD45">
        <f>$Y45</f>
        <v/>
      </c>
      <c r="AE45">
        <f>IF($V45,IF($S45="","",$S45),IF($R45="","",$R45))</f>
        <v/>
      </c>
      <c r="AF45">
        <f>IF($V45,IF($U45="","",$U45),IF($T45="","",$T45))</f>
        <v/>
      </c>
      <c r="AG45">
        <f>IF($V45,IF($O45="","",$O45),IF($P45="","",$P45))</f>
        <v/>
      </c>
      <c r="AH45" t="n">
        <v>0.03370544807318695</v>
      </c>
      <c r="AI45">
        <f>IF($Y45="worse","Yes",IF($Y45="worse, not significant","Not sure",IF(OR($Y45="too few losses to test",$Y45="too few loans to test"),"Too few losses",IF($Y45="","","No"))))</f>
        <v/>
      </c>
      <c r="AJ45">
        <f>IF($AA45="yes","Yes",IF($AA45="","","No"))</f>
        <v/>
      </c>
    </row>
    <row r="46">
      <c r="A46" t="inlineStr">
        <is>
          <t>grids</t>
        </is>
      </c>
      <c r="B46" t="inlineStr">
        <is>
          <t>FICO x CHANNEL</t>
        </is>
      </c>
      <c r="C46" t="inlineStr">
        <is>
          <t>746 - 921</t>
        </is>
      </c>
      <c r="D46" t="inlineStr">
        <is>
          <t>Broker</t>
        </is>
      </c>
      <c r="E46" t="inlineStr">
        <is>
          <t>gco_rate</t>
        </is>
      </c>
      <c r="F46" t="inlineStr">
        <is>
          <t>GCO per booked dollar</t>
        </is>
      </c>
      <c r="G46" t="n">
        <v>536</v>
      </c>
      <c r="H46" t="n">
        <v>17135666.27999998</v>
      </c>
      <c r="I46" t="b">
        <v>0</v>
      </c>
      <c r="J46" t="b">
        <v>0</v>
      </c>
      <c r="K46" t="n">
        <v>0.4163943595457726</v>
      </c>
      <c r="L46" t="n">
        <v>0.00374962503749625</v>
      </c>
      <c r="M46" t="n">
        <v>0.8957851944368566</v>
      </c>
      <c r="N46" t="n">
        <v>0.7650306397931635</v>
      </c>
      <c r="O46" t="n">
        <v>-432848.2549674665</v>
      </c>
      <c r="P46" t="n">
        <v>-35929.11921097885</v>
      </c>
      <c r="Q46">
        <f>'_live'!$C$22</f>
        <v/>
      </c>
      <c r="R46" t="inlineStr">
        <is>
          <t>shuffled: 4 of 10,000</t>
        </is>
      </c>
      <c r="S46" t="inlineStr">
        <is>
          <t>shuffled: 7,140 of 10,000</t>
        </is>
      </c>
      <c r="T46" t="n">
        <v>0.0432827847396353</v>
      </c>
      <c r="U46" t="n">
        <v>0.02011945223357718</v>
      </c>
      <c r="V46">
        <f>AND(judged_band,NOT($J46))</f>
        <v/>
      </c>
      <c r="W46">
        <f>IF($K46="","",IF($I46,"too few losses to test",IF(AND($K46&gt;better_at,$K46&lt;worse_at),"in line",IF($K46&gt;=worse_at,IF(AND(ISNUMBER($L46),$L46&lt;significance_bar),"worse","worse, not significant"),IF(AND(ISNUMBER($L46),$L46&lt;significance_bar),"better","better, not significant")))))</f>
        <v/>
      </c>
      <c r="X46">
        <f>IF($M46="","",IF($I46,"too few losses to test",IF(AND($M46&gt;better_at,$M46&lt;worse_at),"in line",IF($M46&gt;=worse_at,IF(AND(ISNUMBER($N46),$N46&lt;significance_bar),"worse","worse, not significant"),IF(AND(ISNUMBER($N46),$N46&lt;significance_bar),"better","better, not significant")))))</f>
        <v/>
      </c>
      <c r="Y46">
        <f>IF($V46,$X46,$W46)</f>
        <v/>
      </c>
      <c r="Z46">
        <f>IF($V46,IF($P46="","",$P46),IF($O46="","",$O46))</f>
        <v/>
      </c>
      <c r="AA46">
        <f>IF(OR($Q46="",$Z46=""),"",IF(AND($Z46&gt;0,$Z46&gt;=$Q46),"yes","below the line"))</f>
        <v/>
      </c>
      <c r="AB46">
        <f>IF($V46,IF($M46="","",$M46),IF($K46="","",$K46))</f>
        <v/>
      </c>
      <c r="AC46">
        <f>IF($V46,IF($N46="","",$N46),IF($L46="","",$L46))</f>
        <v/>
      </c>
      <c r="AD46">
        <f>$Y46</f>
        <v/>
      </c>
      <c r="AE46">
        <f>IF($V46,IF($S46="","",$S46),IF($R46="","",$R46))</f>
        <v/>
      </c>
      <c r="AF46">
        <f>IF($V46,IF($U46="","",$U46),IF($T46="","",$T46))</f>
        <v/>
      </c>
      <c r="AG46">
        <f>IF($V46,IF($O46="","",$O46),IF($P46="","",$P46))</f>
        <v/>
      </c>
      <c r="AH46" t="n">
        <v>0.01802270743101798</v>
      </c>
      <c r="AI46">
        <f>IF($Y46="worse","Yes",IF($Y46="worse, not significant","Not sure",IF(OR($Y46="too few losses to test",$Y46="too few loans to test"),"Too few losses",IF($Y46="","","No"))))</f>
        <v/>
      </c>
      <c r="AJ46">
        <f>IF($AA46="yes","Yes",IF($AA46="","","No"))</f>
        <v/>
      </c>
    </row>
    <row r="47">
      <c r="A47" t="inlineStr">
        <is>
          <t>grids</t>
        </is>
      </c>
      <c r="B47" t="inlineStr">
        <is>
          <t>FICO x CHANNEL</t>
        </is>
      </c>
      <c r="C47" t="inlineStr">
        <is>
          <t>746 - 921</t>
        </is>
      </c>
      <c r="D47" t="inlineStr">
        <is>
          <t>Broker</t>
        </is>
      </c>
      <c r="E47" t="inlineStr">
        <is>
          <t>ranr_rate</t>
        </is>
      </c>
      <c r="F47" t="inlineStr">
        <is>
          <t>Profit after losses: RANR per booked dollar</t>
        </is>
      </c>
      <c r="G47" t="n">
        <v>536</v>
      </c>
      <c r="H47" t="n">
        <v>17135666.27999998</v>
      </c>
      <c r="I47" t="b">
        <v>0</v>
      </c>
      <c r="J47" t="b">
        <v>0</v>
      </c>
      <c r="K47" t="n">
        <v>-0.08462719967366061</v>
      </c>
      <c r="L47" t="n">
        <v>0.0002110900021109</v>
      </c>
      <c r="M47" t="n">
        <v>0.003387521244378633</v>
      </c>
      <c r="N47" t="n">
        <v>0.6815693430656935</v>
      </c>
      <c r="O47" t="n">
        <v>1450143.451818772</v>
      </c>
      <c r="P47" t="n">
        <v>-58047.43356008246</v>
      </c>
      <c r="Q47">
        <f>'_live'!$C$23</f>
        <v/>
      </c>
      <c r="R47" t="inlineStr">
        <is>
          <t>shuffled: 0 of 10,000</t>
        </is>
      </c>
      <c r="S47" t="inlineStr">
        <is>
          <t>shuffled: 5,824 of 10,000</t>
        </is>
      </c>
      <c r="T47" t="n">
        <v>0.133609269952401</v>
      </c>
      <c r="U47" t="n">
        <v>0.04559454903436174</v>
      </c>
      <c r="V47">
        <f>AND(judged_band,NOT($J47))</f>
        <v/>
      </c>
      <c r="W47">
        <f>IF($K47="","",IF(profit_kind="test",IF(OR(NOT(AND(ISNUMBER($L47),$L47&lt;significance_bar)),$K47=0),"in line",IF($K47&lt;0,"worse","better")),IF(OR($K47=0,IF(profit_kind="points",ABS($K47),ABS($K47*$H47))&lt;profit_line*(1-1E-9)),"in line",IF(AND(ISNUMBER($L47),$L47&lt;significance_bar),IF($K47&lt;0,"worse","better"),IF($K47&lt;0,"worse, not significant","better, not significant")))))</f>
        <v/>
      </c>
      <c r="X47">
        <f>IF($M47="","",IF(profit_kind="test",IF(OR(NOT(AND(ISNUMBER($N47),$N47&lt;significance_bar)),$M47=0),"in line",IF($M47&lt;0,"worse","better")),IF(OR($M47=0,IF(profit_kind="points",ABS($M47),ABS($M47*$H47))&lt;profit_line*(1-1E-9)),"in line",IF(AND(ISNUMBER($N47),$N47&lt;significance_bar),IF($M47&lt;0,"worse","better"),IF($M47&lt;0,"worse, not significant","better, not significant")))))</f>
        <v/>
      </c>
      <c r="Y47">
        <f>IF($V47,$X47,$W47)</f>
        <v/>
      </c>
      <c r="Z47">
        <f>IF($V47,IF($P47="","",$P47),IF($O47="","",$O47))</f>
        <v/>
      </c>
      <c r="AA47">
        <f>IF(OR($Q47="",$Z47=""),"",IF(AND($Z47&gt;0,$Z47&gt;=$Q47),"yes","below the line"))</f>
        <v/>
      </c>
      <c r="AB47">
        <f>IF($V47,IF($M47="","",$M47),IF($K47="","",$K47))</f>
        <v/>
      </c>
      <c r="AC47">
        <f>IF($V47,IF($N47="","",$N47),IF($L47="","",$L47))</f>
        <v/>
      </c>
      <c r="AD47">
        <f>IF($Y47="","",IF($Y47="in line",IF(profit_kind="test",IF(ROUND($AB47*100,2)=0,"0.00",TEXT($AB47*100,"+0.00;-0.00"))&amp;" points against "&amp;IF($V47,"its band","the book")&amp;", "&amp;IF($AC47="","not tested","not significant"),IF(profit_kind="points","within "&amp;TEXT(profit_line*100,"0.00")&amp;" points of "&amp;IF($V47,"its band","the book")&amp;" ("&amp;IF(ROUND($AB47*100,2)=0,"0.00",TEXT($AB47*100,"+0.00;-0.00"))&amp;")","within $"&amp;TEXT(profit_line,"#,##0")&amp;" of "&amp;IF($V47,"its band","the book")&amp;" ("&amp;IF(ROUND($AB47*100,2)=0,"0.00",TEXT($AB47*100,"+0.00;-0.00"))&amp;" points)")),IF(LEFT($Y47,5)="worse","short of ","ahead of ")&amp;IF($V47,"its band","the book")&amp;" by "&amp;TEXT(ABS($AB47)*100,"0.00")&amp;" points"&amp;IF($Z47="",""," ($"&amp;TEXT(ABS($Z47),"#,##0")&amp;")")&amp;IF(RIGHT($Y47,15)="not significant"," (not significant)","")))</f>
        <v/>
      </c>
      <c r="AE47">
        <f>IF($V47,IF($S47="","",$S47),IF($R47="","",$R47))</f>
        <v/>
      </c>
      <c r="AF47">
        <f>IF($V47,IF($U47="","",$U47),IF($T47="","",$T47))</f>
        <v/>
      </c>
      <c r="AG47">
        <f>IF($V47,IF($O47="","",$O47),IF($P47="","",$P47))</f>
        <v/>
      </c>
      <c r="AH47" t="n">
        <v>0.04898207027874037</v>
      </c>
      <c r="AI47">
        <f>IF($Y47="worse","Yes",IF($Y47="worse, not significant","Not sure",IF(OR($Y47="too few losses to test",$Y47="too few loans to test"),"Too few losses",IF($Y47="","","No"))))</f>
        <v/>
      </c>
      <c r="AJ47">
        <f>IF($AA47="yes","Yes",IF($AA47="","","No"))</f>
        <v/>
      </c>
    </row>
    <row r="48">
      <c r="A48" t="inlineStr">
        <is>
          <t>grids</t>
        </is>
      </c>
      <c r="B48" t="inlineStr">
        <is>
          <t>FICO x CHANNEL</t>
        </is>
      </c>
      <c r="C48" t="inlineStr">
        <is>
          <t>746 - 921</t>
        </is>
      </c>
      <c r="D48" t="inlineStr">
        <is>
          <t>Broker</t>
        </is>
      </c>
      <c r="E48" t="inlineStr">
        <is>
          <t>contribution_rate</t>
        </is>
      </c>
      <c r="F48" t="inlineStr">
        <is>
          <t>Contribution before losses per booked dollar</t>
        </is>
      </c>
      <c r="G48" t="n">
        <v>536</v>
      </c>
      <c r="H48" t="n">
        <v>17135666.27999998</v>
      </c>
      <c r="I48" t="b">
        <v>0</v>
      </c>
      <c r="J48" t="b">
        <v>0</v>
      </c>
      <c r="K48" t="n">
        <v>-0.1098851400497994</v>
      </c>
      <c r="L48" t="n">
        <v>0.000158317501583175</v>
      </c>
      <c r="M48" t="n">
        <v>0.001290776441819352</v>
      </c>
      <c r="N48" t="n">
        <v>0.5734226577342266</v>
      </c>
      <c r="O48" t="n">
        <v>1882955.089024423</v>
      </c>
      <c r="P48" t="n">
        <v>-22118.31434910232</v>
      </c>
      <c r="Q48">
        <f>'_live'!$C$24</f>
        <v/>
      </c>
      <c r="R48" t="inlineStr">
        <is>
          <t>shuffled: 0 of 10,000</t>
        </is>
      </c>
      <c r="S48" t="inlineStr">
        <is>
          <t>shuffled: 4,778 of 10,000</t>
        </is>
      </c>
      <c r="T48" t="n">
        <v>0.1768899177595577</v>
      </c>
      <c r="U48" t="n">
        <v>0.06571400126793893</v>
      </c>
      <c r="V48">
        <f>AND(judged_band,NOT($J48))</f>
        <v/>
      </c>
      <c r="W48">
        <f>IF($K48="","",IF(profit_kind="test",IF(OR(NOT(AND(ISNUMBER($L48),$L48&lt;significance_bar)),$K48=0),"in line",IF($K48&lt;0,"worse","better")),IF(OR($K48=0,IF(profit_kind="points",ABS($K48),ABS($K48*$H48))&lt;profit_line*(1-1E-9)),"in line",IF(AND(ISNUMBER($L48),$L48&lt;significance_bar),IF($K48&lt;0,"worse","better"),IF($K48&lt;0,"worse, not significant","better, not significant")))))</f>
        <v/>
      </c>
      <c r="X48">
        <f>IF($M48="","",IF(profit_kind="test",IF(OR(NOT(AND(ISNUMBER($N48),$N48&lt;significance_bar)),$M48=0),"in line",IF($M48&lt;0,"worse","better")),IF(OR($M48=0,IF(profit_kind="points",ABS($M48),ABS($M48*$H48))&lt;profit_line*(1-1E-9)),"in line",IF(AND(ISNUMBER($N48),$N48&lt;significance_bar),IF($M48&lt;0,"worse","better"),IF($M48&lt;0,"worse, not significant","better, not significant")))))</f>
        <v/>
      </c>
      <c r="Y48">
        <f>IF($V48,$X48,$W48)</f>
        <v/>
      </c>
      <c r="Z48">
        <f>IF($V48,IF($P48="","",$P48),IF($O48="","",$O48))</f>
        <v/>
      </c>
      <c r="AA48">
        <f>IF(OR($Q48="",$Z48=""),"",IF(AND($Z48&gt;0,$Z48&gt;=$Q48),"yes","below the line"))</f>
        <v/>
      </c>
      <c r="AB48">
        <f>IF($V48,IF($M48="","",$M48),IF($K48="","",$K48))</f>
        <v/>
      </c>
      <c r="AC48">
        <f>IF($V48,IF($N48="","",$N48),IF($L48="","",$L48))</f>
        <v/>
      </c>
      <c r="AD48">
        <f>IF($Y48="","",IF($Y48="in line",IF(profit_kind="test",IF(ROUND($AB48*100,2)=0,"0.00",TEXT($AB48*100,"+0.00;-0.00"))&amp;" points against "&amp;IF($V48,"its band","the book")&amp;", "&amp;IF($AC48="","not tested","not significant"),IF(profit_kind="points","within "&amp;TEXT(profit_line*100,"0.00")&amp;" points of "&amp;IF($V48,"its band","the book")&amp;" ("&amp;IF(ROUND($AB48*100,2)=0,"0.00",TEXT($AB48*100,"+0.00;-0.00"))&amp;")","within $"&amp;TEXT(profit_line,"#,##0")&amp;" of "&amp;IF($V48,"its band","the book")&amp;" ("&amp;IF(ROUND($AB48*100,2)=0,"0.00",TEXT($AB48*100,"+0.00;-0.00"))&amp;" points)")),IF(LEFT($Y48,5)="worse","short of ","ahead of ")&amp;IF($V48,"its band","the book")&amp;" by "&amp;TEXT(ABS($AB48)*100,"0.00")&amp;" points"&amp;IF($Z48="",""," ($"&amp;TEXT(ABS($Z48),"#,##0")&amp;")")&amp;IF(RIGHT($Y48,15)="not significant"," (not significant)","")))</f>
        <v/>
      </c>
      <c r="AE48">
        <f>IF($V48,IF($S48="","",$S48),IF($R48="","",$R48))</f>
        <v/>
      </c>
      <c r="AF48">
        <f>IF($V48,IF($U48="","",$U48),IF($T48="","",$T48))</f>
        <v/>
      </c>
      <c r="AG48">
        <f>IF($V48,IF($O48="","",$O48),IF($P48="","",$P48))</f>
        <v/>
      </c>
      <c r="AH48" t="n">
        <v>0.06700477770975828</v>
      </c>
      <c r="AI48">
        <f>IF($Y48="worse","Yes",IF($Y48="worse, not significant","Not sure",IF(OR($Y48="too few losses to test",$Y48="too few loans to test"),"Too few losses",IF($Y48="","","No"))))</f>
        <v/>
      </c>
      <c r="AJ48">
        <f>IF($AA48="yes","Yes",IF($AA48="","","No"))</f>
        <v/>
      </c>
    </row>
    <row r="49">
      <c r="A49" t="inlineStr">
        <is>
          <t>grids</t>
        </is>
      </c>
      <c r="B49" t="inlineStr">
        <is>
          <t>FICO x CHANNEL</t>
        </is>
      </c>
      <c r="C49" t="inlineStr">
        <is>
          <t>746 - 921</t>
        </is>
      </c>
      <c r="D49" t="inlineStr">
        <is>
          <t>Online</t>
        </is>
      </c>
      <c r="E49" t="inlineStr">
        <is>
          <t>outcome_loans</t>
        </is>
      </c>
      <c r="F49" t="inlineStr">
        <is>
          <t>Outcome, share of loans</t>
        </is>
      </c>
      <c r="G49" t="n">
        <v>517</v>
      </c>
      <c r="H49" t="n">
        <v>517</v>
      </c>
      <c r="I49" t="b">
        <v>0</v>
      </c>
      <c r="J49" t="b">
        <v>0</v>
      </c>
      <c r="K49" t="n">
        <v>0.4582785299806577</v>
      </c>
      <c r="L49" t="n">
        <v>0.00131203224236217</v>
      </c>
      <c r="M49" t="n">
        <v>0.9008141783995323</v>
      </c>
      <c r="N49" t="n">
        <v>0.8063280654421801</v>
      </c>
      <c r="O49" t="n">
        <v>-22.45950280673617</v>
      </c>
      <c r="P49" t="n">
        <v>-2.092030360531307</v>
      </c>
      <c r="Q49">
        <f>'_live'!$C$20</f>
        <v/>
      </c>
      <c r="R49" t="inlineStr">
        <is>
          <t>z test</t>
        </is>
      </c>
      <c r="S49" t="inlineStr">
        <is>
          <t>z test</t>
        </is>
      </c>
      <c r="T49" t="n">
        <v>0.08019246190858059</v>
      </c>
      <c r="U49" t="n">
        <v>0.04079696394686907</v>
      </c>
      <c r="V49">
        <f>AND(judged_band,NOT($J49))</f>
        <v/>
      </c>
      <c r="W49">
        <f>IF($K49="","",IF($I49,"too few losses to test",IF(AND($K49&gt;better_at,$K49&lt;worse_at),"in line",IF($K49&gt;=worse_at,IF(AND(ISNUMBER($L49),$L49&lt;significance_bar),"worse","worse, not significant"),IF(AND(ISNUMBER($L49),$L49&lt;significance_bar),"better","better, not significant")))))</f>
        <v/>
      </c>
      <c r="X49">
        <f>IF($M49="","",IF($I49,"too few losses to test",IF(AND($M49&gt;better_at,$M49&lt;worse_at),"in line",IF($M49&gt;=worse_at,IF(AND(ISNUMBER($N49),$N49&lt;significance_bar),"worse","worse, not significant"),IF(AND(ISNUMBER($N49),$N49&lt;significance_bar),"better","better, not significant")))))</f>
        <v/>
      </c>
      <c r="Y49">
        <f>IF($V49,$X49,$W49)</f>
        <v/>
      </c>
      <c r="Z49">
        <f>IF($V49,IF($P49="","",$P49),IF($O49="","",$O49))</f>
        <v/>
      </c>
      <c r="AA49">
        <f>IF(OR($Q49="",$Z49=""),"",IF(AND($Z49&gt;0,$Z49&gt;=$Q49),"yes","below the line"))</f>
        <v/>
      </c>
      <c r="AB49">
        <f>IF($V49,IF($M49="","",$M49),IF($K49="","",$K49))</f>
        <v/>
      </c>
      <c r="AC49">
        <f>IF($V49,IF($N49="","",$N49),IF($L49="","",$L49))</f>
        <v/>
      </c>
      <c r="AD49">
        <f>$Y49</f>
        <v/>
      </c>
      <c r="AE49">
        <f>IF($V49,IF($S49="","",$S49),IF($R49="","",$R49))</f>
        <v/>
      </c>
      <c r="AF49">
        <f>IF($V49,IF($U49="","",$U49),IF($T49="","",$T49))</f>
        <v/>
      </c>
      <c r="AG49">
        <f>IF($V49,IF($O49="","",$O49),IF($P49="","",$P49))</f>
        <v/>
      </c>
      <c r="AH49" t="n">
        <v>0.0367504835589942</v>
      </c>
      <c r="AI49">
        <f>IF($Y49="worse","Yes",IF($Y49="worse, not significant","Not sure",IF(OR($Y49="too few losses to test",$Y49="too few loans to test"),"Too few losses",IF($Y49="","","No"))))</f>
        <v/>
      </c>
      <c r="AJ49">
        <f>IF($AA49="yes","Yes",IF($AA49="","","No"))</f>
        <v/>
      </c>
    </row>
    <row r="50">
      <c r="A50" t="inlineStr">
        <is>
          <t>grids</t>
        </is>
      </c>
      <c r="B50" t="inlineStr">
        <is>
          <t>FICO x CHANNEL</t>
        </is>
      </c>
      <c r="C50" t="inlineStr">
        <is>
          <t>746 - 921</t>
        </is>
      </c>
      <c r="D50" t="inlineStr">
        <is>
          <t>Online</t>
        </is>
      </c>
      <c r="E50" t="inlineStr">
        <is>
          <t>outcome_booked</t>
        </is>
      </c>
      <c r="F50" t="inlineStr">
        <is>
          <t>Outcome, share of booked dollars</t>
        </is>
      </c>
      <c r="G50" t="n">
        <v>517</v>
      </c>
      <c r="H50" t="n">
        <v>16939748.19999999</v>
      </c>
      <c r="I50" t="b">
        <v>0</v>
      </c>
      <c r="J50" t="b">
        <v>0</v>
      </c>
      <c r="K50" t="n">
        <v>0.4640494833061994</v>
      </c>
      <c r="L50" t="n">
        <v>0.008249175082491752</v>
      </c>
      <c r="M50" t="n">
        <v>0.9661081622512918</v>
      </c>
      <c r="N50" t="n">
        <v>0.9056094390560944</v>
      </c>
      <c r="O50" t="n">
        <v>-704136.4534518097</v>
      </c>
      <c r="P50" t="n">
        <v>-21387.78429191583</v>
      </c>
      <c r="Q50">
        <f>'_live'!$C$21</f>
        <v/>
      </c>
      <c r="R50" t="inlineStr">
        <is>
          <t>shuffled: 16 of 10,000</t>
        </is>
      </c>
      <c r="S50" t="inlineStr">
        <is>
          <t>shuffled: 9,056 of 10,000</t>
        </is>
      </c>
      <c r="T50" t="n">
        <v>0.07755774690038252</v>
      </c>
      <c r="U50" t="n">
        <v>0.03725321219898158</v>
      </c>
      <c r="V50">
        <f>AND(judged_band,NOT($J50))</f>
        <v/>
      </c>
      <c r="W50">
        <f>IF($K50="","",IF($I50,"too few losses to test",IF(AND($K50&gt;better_at,$K50&lt;worse_at),"in line",IF($K50&gt;=worse_at,IF(AND(ISNUMBER($L50),$L50&lt;significance_bar),"worse","worse, not significant"),IF(AND(ISNUMBER($L50),$L50&lt;significance_bar),"better","better, not significant")))))</f>
        <v/>
      </c>
      <c r="X50">
        <f>IF($M50="","",IF($I50,"too few losses to test",IF(AND($M50&gt;better_at,$M50&lt;worse_at),"in line",IF($M50&gt;=worse_at,IF(AND(ISNUMBER($N50),$N50&lt;significance_bar),"worse","worse, not significant"),IF(AND(ISNUMBER($N50),$N50&lt;significance_bar),"better","better, not significant")))))</f>
        <v/>
      </c>
      <c r="Y50">
        <f>IF($V50,$X50,$W50)</f>
        <v/>
      </c>
      <c r="Z50">
        <f>IF($V50,IF($P50="","",$P50),IF($O50="","",$O50))</f>
        <v/>
      </c>
      <c r="AA50">
        <f>IF(OR($Q50="",$Z50=""),"",IF(AND($Z50&gt;0,$Z50&gt;=$Q50),"yes","below the line"))</f>
        <v/>
      </c>
      <c r="AB50">
        <f>IF($V50,IF($M50="","",$M50),IF($K50="","",$K50))</f>
        <v/>
      </c>
      <c r="AC50">
        <f>IF($V50,IF($N50="","",$N50),IF($L50="","",$L50))</f>
        <v/>
      </c>
      <c r="AD50">
        <f>$Y50</f>
        <v/>
      </c>
      <c r="AE50">
        <f>IF($V50,IF($S50="","",$S50),IF($R50="","",$R50))</f>
        <v/>
      </c>
      <c r="AF50">
        <f>IF($V50,IF($U50="","",$U50),IF($T50="","",$T50))</f>
        <v/>
      </c>
      <c r="AG50">
        <f>IF($V50,IF($O50="","",$O50),IF($P50="","",$P50))</f>
        <v/>
      </c>
      <c r="AH50" t="n">
        <v>0.0359906323755155</v>
      </c>
      <c r="AI50">
        <f>IF($Y50="worse","Yes",IF($Y50="worse, not significant","Not sure",IF(OR($Y50="too few losses to test",$Y50="too few loans to test"),"Too few losses",IF($Y50="","","No"))))</f>
        <v/>
      </c>
      <c r="AJ50">
        <f>IF($AA50="yes","Yes",IF($AA50="","","No"))</f>
        <v/>
      </c>
    </row>
    <row r="51">
      <c r="A51" t="inlineStr">
        <is>
          <t>grids</t>
        </is>
      </c>
      <c r="B51" t="inlineStr">
        <is>
          <t>FICO x CHANNEL</t>
        </is>
      </c>
      <c r="C51" t="inlineStr">
        <is>
          <t>746 - 921</t>
        </is>
      </c>
      <c r="D51" t="inlineStr">
        <is>
          <t>Online</t>
        </is>
      </c>
      <c r="E51" t="inlineStr">
        <is>
          <t>gco_rate</t>
        </is>
      </c>
      <c r="F51" t="inlineStr">
        <is>
          <t>GCO per booked dollar</t>
        </is>
      </c>
      <c r="G51" t="n">
        <v>517</v>
      </c>
      <c r="H51" t="n">
        <v>16939748.19999999</v>
      </c>
      <c r="I51" t="b">
        <v>0</v>
      </c>
      <c r="J51" t="b">
        <v>0</v>
      </c>
      <c r="K51" t="n">
        <v>0.4092812288783006</v>
      </c>
      <c r="L51" t="n">
        <v>0.0044995500449955</v>
      </c>
      <c r="M51" t="n">
        <v>0.8742978867022101</v>
      </c>
      <c r="N51" t="n">
        <v>0.762616046087699</v>
      </c>
      <c r="O51" t="n">
        <v>-433125.4424118275</v>
      </c>
      <c r="P51" t="n">
        <v>-43145.7379332484</v>
      </c>
      <c r="Q51">
        <f>'_live'!$C$22</f>
        <v/>
      </c>
      <c r="R51" t="inlineStr">
        <is>
          <t>shuffled: 8 of 10,000</t>
        </is>
      </c>
      <c r="S51" t="inlineStr">
        <is>
          <t>shuffled: 6,609 of 10,000</t>
        </is>
      </c>
      <c r="T51" t="n">
        <v>0.04328385898981827</v>
      </c>
      <c r="U51" t="n">
        <v>0.02026228276127791</v>
      </c>
      <c r="V51">
        <f>AND(judged_band,NOT($J51))</f>
        <v/>
      </c>
      <c r="W51">
        <f>IF($K51="","",IF($I51,"too few losses to test",IF(AND($K51&gt;better_at,$K51&lt;worse_at),"in line",IF($K51&gt;=worse_at,IF(AND(ISNUMBER($L51),$L51&lt;significance_bar),"worse","worse, not significant"),IF(AND(ISNUMBER($L51),$L51&lt;significance_bar),"better","better, not significant")))))</f>
        <v/>
      </c>
      <c r="X51">
        <f>IF($M51="","",IF($I51,"too few losses to test",IF(AND($M51&gt;better_at,$M51&lt;worse_at),"in line",IF($M51&gt;=worse_at,IF(AND(ISNUMBER($N51),$N51&lt;significance_bar),"worse","worse, not significant"),IF(AND(ISNUMBER($N51),$N51&lt;significance_bar),"better","better, not significant")))))</f>
        <v/>
      </c>
      <c r="Y51">
        <f>IF($V51,$X51,$W51)</f>
        <v/>
      </c>
      <c r="Z51">
        <f>IF($V51,IF($P51="","",$P51),IF($O51="","",$O51))</f>
        <v/>
      </c>
      <c r="AA51">
        <f>IF(OR($Q51="",$Z51=""),"",IF(AND($Z51&gt;0,$Z51&gt;=$Q51),"yes","below the line"))</f>
        <v/>
      </c>
      <c r="AB51">
        <f>IF($V51,IF($M51="","",$M51),IF($K51="","",$K51))</f>
        <v/>
      </c>
      <c r="AC51">
        <f>IF($V51,IF($N51="","",$N51),IF($L51="","",$L51))</f>
        <v/>
      </c>
      <c r="AD51">
        <f>$Y51</f>
        <v/>
      </c>
      <c r="AE51">
        <f>IF($V51,IF($S51="","",$S51),IF($R51="","",$R51))</f>
        <v/>
      </c>
      <c r="AF51">
        <f>IF($V51,IF($U51="","",$U51),IF($T51="","",$T51))</f>
        <v/>
      </c>
      <c r="AG51">
        <f>IF($V51,IF($O51="","",$O51),IF($P51="","",$P51))</f>
        <v/>
      </c>
      <c r="AH51" t="n">
        <v>0.0177152709979479</v>
      </c>
      <c r="AI51">
        <f>IF($Y51="worse","Yes",IF($Y51="worse, not significant","Not sure",IF(OR($Y51="too few losses to test",$Y51="too few loans to test"),"Too few losses",IF($Y51="","","No"))))</f>
        <v/>
      </c>
      <c r="AJ51">
        <f>IF($AA51="yes","Yes",IF($AA51="","","No"))</f>
        <v/>
      </c>
    </row>
    <row r="52">
      <c r="A52" t="inlineStr">
        <is>
          <t>grids</t>
        </is>
      </c>
      <c r="B52" t="inlineStr">
        <is>
          <t>FICO x CHANNEL</t>
        </is>
      </c>
      <c r="C52" t="inlineStr">
        <is>
          <t>746 - 921</t>
        </is>
      </c>
      <c r="D52" t="inlineStr">
        <is>
          <t>Online</t>
        </is>
      </c>
      <c r="E52" t="inlineStr">
        <is>
          <t>ranr_rate</t>
        </is>
      </c>
      <c r="F52" t="inlineStr">
        <is>
          <t>Profit after losses: RANR per booked dollar</t>
        </is>
      </c>
      <c r="G52" t="n">
        <v>517</v>
      </c>
      <c r="H52" t="n">
        <v>16939748.19999999</v>
      </c>
      <c r="I52" t="b">
        <v>0</v>
      </c>
      <c r="J52" t="b">
        <v>0</v>
      </c>
      <c r="K52" t="n">
        <v>-0.08712583128742349</v>
      </c>
      <c r="L52" t="n">
        <v>0.0002110900021109</v>
      </c>
      <c r="M52" t="n">
        <v>-0.0002410208037530795</v>
      </c>
      <c r="N52" t="n">
        <v>0.9686031396860313</v>
      </c>
      <c r="O52" t="n">
        <v>1475889.643724635</v>
      </c>
      <c r="P52" t="n">
        <v>4082.831726538832</v>
      </c>
      <c r="Q52">
        <f>'_live'!$C$23</f>
        <v/>
      </c>
      <c r="R52" t="inlineStr">
        <is>
          <t>shuffled: 0 of 10,000</t>
        </is>
      </c>
      <c r="S52" t="inlineStr">
        <is>
          <t>shuffled: 9,686 of 10,000</t>
        </is>
      </c>
      <c r="T52" t="n">
        <v>0.1337090349267787</v>
      </c>
      <c r="U52" t="n">
        <v>0.04682422444310826</v>
      </c>
      <c r="V52">
        <f>AND(judged_band,NOT($J52))</f>
        <v/>
      </c>
      <c r="W52">
        <f>IF($K52="","",IF(profit_kind="test",IF(OR(NOT(AND(ISNUMBER($L52),$L52&lt;significance_bar)),$K52=0),"in line",IF($K52&lt;0,"worse","better")),IF(OR($K52=0,IF(profit_kind="points",ABS($K52),ABS($K52*$H52))&lt;profit_line*(1-1E-9)),"in line",IF(AND(ISNUMBER($L52),$L52&lt;significance_bar),IF($K52&lt;0,"worse","better"),IF($K52&lt;0,"worse, not significant","better, not significant")))))</f>
        <v/>
      </c>
      <c r="X52">
        <f>IF($M52="","",IF(profit_kind="test",IF(OR(NOT(AND(ISNUMBER($N52),$N52&lt;significance_bar)),$M52=0),"in line",IF($M52&lt;0,"worse","better")),IF(OR($M52=0,IF(profit_kind="points",ABS($M52),ABS($M52*$H52))&lt;profit_line*(1-1E-9)),"in line",IF(AND(ISNUMBER($N52),$N52&lt;significance_bar),IF($M52&lt;0,"worse","better"),IF($M52&lt;0,"worse, not significant","better, not significant")))))</f>
        <v/>
      </c>
      <c r="Y52">
        <f>IF($V52,$X52,$W52)</f>
        <v/>
      </c>
      <c r="Z52">
        <f>IF($V52,IF($P52="","",$P52),IF($O52="","",$O52))</f>
        <v/>
      </c>
      <c r="AA52">
        <f>IF(OR($Q52="",$Z52=""),"",IF(AND($Z52&gt;0,$Z52&gt;=$Q52),"yes","below the line"))</f>
        <v/>
      </c>
      <c r="AB52">
        <f>IF($V52,IF($M52="","",$M52),IF($K52="","",$K52))</f>
        <v/>
      </c>
      <c r="AC52">
        <f>IF($V52,IF($N52="","",$N52),IF($L52="","",$L52))</f>
        <v/>
      </c>
      <c r="AD52">
        <f>IF($Y52="","",IF($Y52="in line",IF(profit_kind="test",IF(ROUND($AB52*100,2)=0,"0.00",TEXT($AB52*100,"+0.00;-0.00"))&amp;" points against "&amp;IF($V52,"its band","the book")&amp;", "&amp;IF($AC52="","not tested","not significant"),IF(profit_kind="points","within "&amp;TEXT(profit_line*100,"0.00")&amp;" points of "&amp;IF($V52,"its band","the book")&amp;" ("&amp;IF(ROUND($AB52*100,2)=0,"0.00",TEXT($AB52*100,"+0.00;-0.00"))&amp;")","within $"&amp;TEXT(profit_line,"#,##0")&amp;" of "&amp;IF($V52,"its band","the book")&amp;" ("&amp;IF(ROUND($AB52*100,2)=0,"0.00",TEXT($AB52*100,"+0.00;-0.00"))&amp;" points)")),IF(LEFT($Y52,5)="worse","short of ","ahead of ")&amp;IF($V52,"its band","the book")&amp;" by "&amp;TEXT(ABS($AB52)*100,"0.00")&amp;" points"&amp;IF($Z52="",""," ($"&amp;TEXT(ABS($Z52),"#,##0")&amp;")")&amp;IF(RIGHT($Y52,15)="not significant"," (not significant)","")))</f>
        <v/>
      </c>
      <c r="AE52">
        <f>IF($V52,IF($S52="","",$S52),IF($R52="","",$R52))</f>
        <v/>
      </c>
      <c r="AF52">
        <f>IF($V52,IF($U52="","",$U52),IF($T52="","",$T52))</f>
        <v/>
      </c>
      <c r="AG52">
        <f>IF($V52,IF($O52="","",$O52),IF($P52="","",$P52))</f>
        <v/>
      </c>
      <c r="AH52" t="n">
        <v>0.04658320363935518</v>
      </c>
      <c r="AI52">
        <f>IF($Y52="worse","Yes",IF($Y52="worse, not significant","Not sure",IF(OR($Y52="too few losses to test",$Y52="too few loans to test"),"Too few losses",IF($Y52="","","No"))))</f>
        <v/>
      </c>
      <c r="AJ52">
        <f>IF($AA52="yes","Yes",IF($AA52="","","No"))</f>
        <v/>
      </c>
    </row>
    <row r="53">
      <c r="A53" t="inlineStr">
        <is>
          <t>grids</t>
        </is>
      </c>
      <c r="B53" t="inlineStr">
        <is>
          <t>FICO x CHANNEL</t>
        </is>
      </c>
      <c r="C53" t="inlineStr">
        <is>
          <t>746 - 921</t>
        </is>
      </c>
      <c r="D53" t="inlineStr">
        <is>
          <t>Online</t>
        </is>
      </c>
      <c r="E53" t="inlineStr">
        <is>
          <t>contribution_rate</t>
        </is>
      </c>
      <c r="F53" t="inlineStr">
        <is>
          <t>Contribution before losses per booked dollar</t>
        </is>
      </c>
      <c r="G53" t="n">
        <v>517</v>
      </c>
      <c r="H53" t="n">
        <v>16939748.19999999</v>
      </c>
      <c r="I53" t="b">
        <v>0</v>
      </c>
      <c r="J53" t="b">
        <v>0</v>
      </c>
      <c r="K53" t="n">
        <v>-0.1126923005051701</v>
      </c>
      <c r="L53" t="n">
        <v>0.000158317501583175</v>
      </c>
      <c r="M53" t="n">
        <v>-0.002788032567083085</v>
      </c>
      <c r="N53" t="n">
        <v>0.1912308769123088</v>
      </c>
      <c r="O53" t="n">
        <v>1908979.194636313</v>
      </c>
      <c r="P53" t="n">
        <v>47228.569659787</v>
      </c>
      <c r="Q53">
        <f>'_live'!$C$24</f>
        <v/>
      </c>
      <c r="R53" t="inlineStr">
        <is>
          <t>shuffled: 0 of 10,000</t>
        </is>
      </c>
      <c r="S53" t="inlineStr">
        <is>
          <t>shuffled: 1,274 of 10,000</t>
        </is>
      </c>
      <c r="T53" t="n">
        <v>0.1769907751424731</v>
      </c>
      <c r="U53" t="n">
        <v>0.06708650720438614</v>
      </c>
      <c r="V53">
        <f>AND(judged_band,NOT($J53))</f>
        <v/>
      </c>
      <c r="W53">
        <f>IF($K53="","",IF(profit_kind="test",IF(OR(NOT(AND(ISNUMBER($L53),$L53&lt;significance_bar)),$K53=0),"in line",IF($K53&lt;0,"worse","better")),IF(OR($K53=0,IF(profit_kind="points",ABS($K53),ABS($K53*$H53))&lt;profit_line*(1-1E-9)),"in line",IF(AND(ISNUMBER($L53),$L53&lt;significance_bar),IF($K53&lt;0,"worse","better"),IF($K53&lt;0,"worse, not significant","better, not significant")))))</f>
        <v/>
      </c>
      <c r="X53">
        <f>IF($M53="","",IF(profit_kind="test",IF(OR(NOT(AND(ISNUMBER($N53),$N53&lt;significance_bar)),$M53=0),"in line",IF($M53&lt;0,"worse","better")),IF(OR($M53=0,IF(profit_kind="points",ABS($M53),ABS($M53*$H53))&lt;profit_line*(1-1E-9)),"in line",IF(AND(ISNUMBER($N53),$N53&lt;significance_bar),IF($M53&lt;0,"worse","better"),IF($M53&lt;0,"worse, not significant","better, not significant")))))</f>
        <v/>
      </c>
      <c r="Y53">
        <f>IF($V53,$X53,$W53)</f>
        <v/>
      </c>
      <c r="Z53">
        <f>IF($V53,IF($P53="","",$P53),IF($O53="","",$O53))</f>
        <v/>
      </c>
      <c r="AA53">
        <f>IF(OR($Q53="",$Z53=""),"",IF(AND($Z53&gt;0,$Z53&gt;=$Q53),"yes","below the line"))</f>
        <v/>
      </c>
      <c r="AB53">
        <f>IF($V53,IF($M53="","",$M53),IF($K53="","",$K53))</f>
        <v/>
      </c>
      <c r="AC53">
        <f>IF($V53,IF($N53="","",$N53),IF($L53="","",$L53))</f>
        <v/>
      </c>
      <c r="AD53">
        <f>IF($Y53="","",IF($Y53="in line",IF(profit_kind="test",IF(ROUND($AB53*100,2)=0,"0.00",TEXT($AB53*100,"+0.00;-0.00"))&amp;" points against "&amp;IF($V53,"its band","the book")&amp;", "&amp;IF($AC53="","not tested","not significant"),IF(profit_kind="points","within "&amp;TEXT(profit_line*100,"0.00")&amp;" points of "&amp;IF($V53,"its band","the book")&amp;" ("&amp;IF(ROUND($AB53*100,2)=0,"0.00",TEXT($AB53*100,"+0.00;-0.00"))&amp;")","within $"&amp;TEXT(profit_line,"#,##0")&amp;" of "&amp;IF($V53,"its band","the book")&amp;" ("&amp;IF(ROUND($AB53*100,2)=0,"0.00",TEXT($AB53*100,"+0.00;-0.00"))&amp;" points)")),IF(LEFT($Y53,5)="worse","short of ","ahead of ")&amp;IF($V53,"its band","the book")&amp;" by "&amp;TEXT(ABS($AB53)*100,"0.00")&amp;" points"&amp;IF($Z53="",""," ($"&amp;TEXT(ABS($Z53),"#,##0")&amp;")")&amp;IF(RIGHT($Y53,15)="not significant"," (not significant)","")))</f>
        <v/>
      </c>
      <c r="AE53">
        <f>IF($V53,IF($S53="","",$S53),IF($R53="","",$R53))</f>
        <v/>
      </c>
      <c r="AF53">
        <f>IF($V53,IF($U53="","",$U53),IF($T53="","",$T53))</f>
        <v/>
      </c>
      <c r="AG53">
        <f>IF($V53,IF($O53="","",$O53),IF($P53="","",$P53))</f>
        <v/>
      </c>
      <c r="AH53" t="n">
        <v>0.06429847463730305</v>
      </c>
      <c r="AI53">
        <f>IF($Y53="worse","Yes",IF($Y53="worse, not significant","Not sure",IF(OR($Y53="too few losses to test",$Y53="too few loans to test"),"Too few losses",IF($Y53="","","No"))))</f>
        <v/>
      </c>
      <c r="AJ53">
        <f>IF($AA53="yes","Yes",IF($AA53="","","No"))</f>
        <v/>
      </c>
    </row>
    <row r="54">
      <c r="A54" t="inlineStr">
        <is>
          <t>grids</t>
        </is>
      </c>
      <c r="B54" t="inlineStr">
        <is>
          <t>FICO x CHANNEL</t>
        </is>
      </c>
      <c r="C54" t="inlineStr">
        <is>
          <t>654 - 685</t>
        </is>
      </c>
      <c r="D54" t="inlineStr">
        <is>
          <t>Branch</t>
        </is>
      </c>
      <c r="E54" t="inlineStr">
        <is>
          <t>outcome_loans</t>
        </is>
      </c>
      <c r="F54" t="inlineStr">
        <is>
          <t>Outcome, share of loans</t>
        </is>
      </c>
      <c r="G54" t="n">
        <v>503</v>
      </c>
      <c r="H54" t="n">
        <v>503</v>
      </c>
      <c r="I54" t="b">
        <v>0</v>
      </c>
      <c r="J54" t="b">
        <v>0</v>
      </c>
      <c r="K54" t="n">
        <v>1.168321083949266</v>
      </c>
      <c r="L54" t="n">
        <v>0.4022307010148998</v>
      </c>
      <c r="M54" t="n">
        <v>1.09039878376798</v>
      </c>
      <c r="N54" t="n">
        <v>0.8063280654421801</v>
      </c>
      <c r="O54" t="n">
        <v>6.48319103521878</v>
      </c>
      <c r="P54" t="n">
        <v>3.730694980694977</v>
      </c>
      <c r="Q54">
        <f>'_live'!$C$20</f>
        <v/>
      </c>
      <c r="R54" t="inlineStr">
        <is>
          <t>z test</t>
        </is>
      </c>
      <c r="S54" t="inlineStr">
        <is>
          <t>z test</t>
        </is>
      </c>
      <c r="T54" t="n">
        <v>0.07657417289220918</v>
      </c>
      <c r="U54" t="n">
        <v>0.08204633204633205</v>
      </c>
      <c r="V54">
        <f>AND(judged_band,NOT($J54))</f>
        <v/>
      </c>
      <c r="W54">
        <f>IF($K54="","",IF($I54,"too few losses to test",IF(AND($K54&gt;better_at,$K54&lt;worse_at),"in line",IF($K54&gt;=worse_at,IF(AND(ISNUMBER($L54),$L54&lt;significance_bar),"worse","worse, not significant"),IF(AND(ISNUMBER($L54),$L54&lt;significance_bar),"better","better, not significant")))))</f>
        <v/>
      </c>
      <c r="X54">
        <f>IF($M54="","",IF($I54,"too few losses to test",IF(AND($M54&gt;better_at,$M54&lt;worse_at),"in line",IF($M54&gt;=worse_at,IF(AND(ISNUMBER($N54),$N54&lt;significance_bar),"worse","worse, not significant"),IF(AND(ISNUMBER($N54),$N54&lt;significance_bar),"better","better, not significant")))))</f>
        <v/>
      </c>
      <c r="Y54">
        <f>IF($V54,$X54,$W54)</f>
        <v/>
      </c>
      <c r="Z54">
        <f>IF($V54,IF($P54="","",$P54),IF($O54="","",$O54))</f>
        <v/>
      </c>
      <c r="AA54">
        <f>IF(OR($Q54="",$Z54=""),"",IF(AND($Z54&gt;0,$Z54&gt;=$Q54),"yes","below the line"))</f>
        <v/>
      </c>
      <c r="AB54">
        <f>IF($V54,IF($M54="","",$M54),IF($K54="","",$K54))</f>
        <v/>
      </c>
      <c r="AC54">
        <f>IF($V54,IF($N54="","",$N54),IF($L54="","",$L54))</f>
        <v/>
      </c>
      <c r="AD54">
        <f>$Y54</f>
        <v/>
      </c>
      <c r="AE54">
        <f>IF($V54,IF($S54="","",$S54),IF($R54="","",$R54))</f>
        <v/>
      </c>
      <c r="AF54">
        <f>IF($V54,IF($U54="","",$U54),IF($T54="","",$T54))</f>
        <v/>
      </c>
      <c r="AG54">
        <f>IF($V54,IF($O54="","",$O54),IF($P54="","",$P54))</f>
        <v/>
      </c>
      <c r="AH54" t="n">
        <v>0.08946322067594434</v>
      </c>
      <c r="AI54">
        <f>IF($Y54="worse","Yes",IF($Y54="worse, not significant","Not sure",IF(OR($Y54="too few losses to test",$Y54="too few loans to test"),"Too few losses",IF($Y54="","","No"))))</f>
        <v/>
      </c>
      <c r="AJ54">
        <f>IF($AA54="yes","Yes",IF($AA54="","","No"))</f>
        <v/>
      </c>
    </row>
    <row r="55">
      <c r="A55" t="inlineStr">
        <is>
          <t>grids</t>
        </is>
      </c>
      <c r="B55" t="inlineStr">
        <is>
          <t>FICO x CHANNEL</t>
        </is>
      </c>
      <c r="C55" t="inlineStr">
        <is>
          <t>654 - 685</t>
        </is>
      </c>
      <c r="D55" t="inlineStr">
        <is>
          <t>Branch</t>
        </is>
      </c>
      <c r="E55" t="inlineStr">
        <is>
          <t>outcome_booked</t>
        </is>
      </c>
      <c r="F55" t="inlineStr">
        <is>
          <t>Outcome, share of booked dollars</t>
        </is>
      </c>
      <c r="G55" t="n">
        <v>503</v>
      </c>
      <c r="H55" t="n">
        <v>16176090.76</v>
      </c>
      <c r="I55" t="b">
        <v>0</v>
      </c>
      <c r="J55" t="b">
        <v>0</v>
      </c>
      <c r="K55" t="n">
        <v>1.16473647407521</v>
      </c>
      <c r="L55" t="n">
        <v>0.49904100499041</v>
      </c>
      <c r="M55" t="n">
        <v>1.124215883183804</v>
      </c>
      <c r="N55" t="n">
        <v>0.7831944078319442</v>
      </c>
      <c r="O55" t="n">
        <v>197365.1150086168</v>
      </c>
      <c r="P55" t="n">
        <v>154182.7246834799</v>
      </c>
      <c r="Q55">
        <f>'_live'!$C$21</f>
        <v/>
      </c>
      <c r="R55" t="inlineStr">
        <is>
          <t>shuffled: 3,659 of 10,000</t>
        </is>
      </c>
      <c r="S55" t="inlineStr">
        <is>
          <t>shuffled: 5,464 of 10,000</t>
        </is>
      </c>
      <c r="T55" t="n">
        <v>0.07406398077055446</v>
      </c>
      <c r="U55" t="n">
        <v>0.0767335003081128</v>
      </c>
      <c r="V55">
        <f>AND(judged_band,NOT($J55))</f>
        <v/>
      </c>
      <c r="W55">
        <f>IF($K55="","",IF($I55,"too few losses to test",IF(AND($K55&gt;better_at,$K55&lt;worse_at),"in line",IF($K55&gt;=worse_at,IF(AND(ISNUMBER($L55),$L55&lt;significance_bar),"worse","worse, not significant"),IF(AND(ISNUMBER($L55),$L55&lt;significance_bar),"better","better, not significant")))))</f>
        <v/>
      </c>
      <c r="X55">
        <f>IF($M55="","",IF($I55,"too few losses to test",IF(AND($M55&gt;better_at,$M55&lt;worse_at),"in line",IF($M55&gt;=worse_at,IF(AND(ISNUMBER($N55),$N55&lt;significance_bar),"worse","worse, not significant"),IF(AND(ISNUMBER($N55),$N55&lt;significance_bar),"better","better, not significant")))))</f>
        <v/>
      </c>
      <c r="Y55">
        <f>IF($V55,$X55,$W55)</f>
        <v/>
      </c>
      <c r="Z55">
        <f>IF($V55,IF($P55="","",$P55),IF($O55="","",$O55))</f>
        <v/>
      </c>
      <c r="AA55">
        <f>IF(OR($Q55="",$Z55=""),"",IF(AND($Z55&gt;0,$Z55&gt;=$Q55),"yes","below the line"))</f>
        <v/>
      </c>
      <c r="AB55">
        <f>IF($V55,IF($M55="","",$M55),IF($K55="","",$K55))</f>
        <v/>
      </c>
      <c r="AC55">
        <f>IF($V55,IF($N55="","",$N55),IF($L55="","",$L55))</f>
        <v/>
      </c>
      <c r="AD55">
        <f>$Y55</f>
        <v/>
      </c>
      <c r="AE55">
        <f>IF($V55,IF($S55="","",$S55),IF($R55="","",$R55))</f>
        <v/>
      </c>
      <c r="AF55">
        <f>IF($V55,IF($U55="","",$U55),IF($T55="","",$T55))</f>
        <v/>
      </c>
      <c r="AG55">
        <f>IF($V55,IF($O55="","",$O55),IF($P55="","",$P55))</f>
        <v/>
      </c>
      <c r="AH55" t="n">
        <v>0.08626501981866973</v>
      </c>
      <c r="AI55">
        <f>IF($Y55="worse","Yes",IF($Y55="worse, not significant","Not sure",IF(OR($Y55="too few losses to test",$Y55="too few loans to test"),"Too few losses",IF($Y55="","","No"))))</f>
        <v/>
      </c>
      <c r="AJ55">
        <f>IF($AA55="yes","Yes",IF($AA55="","","No"))</f>
        <v/>
      </c>
    </row>
    <row r="56">
      <c r="A56" t="inlineStr">
        <is>
          <t>grids</t>
        </is>
      </c>
      <c r="B56" t="inlineStr">
        <is>
          <t>FICO x CHANNEL</t>
        </is>
      </c>
      <c r="C56" t="inlineStr">
        <is>
          <t>654 - 685</t>
        </is>
      </c>
      <c r="D56" t="inlineStr">
        <is>
          <t>Branch</t>
        </is>
      </c>
      <c r="E56" t="inlineStr">
        <is>
          <t>gco_rate</t>
        </is>
      </c>
      <c r="F56" t="inlineStr">
        <is>
          <t>GCO per booked dollar</t>
        </is>
      </c>
      <c r="G56" t="n">
        <v>503</v>
      </c>
      <c r="H56" t="n">
        <v>16176090.76</v>
      </c>
      <c r="I56" t="b">
        <v>0</v>
      </c>
      <c r="J56" t="b">
        <v>0</v>
      </c>
      <c r="K56" t="n">
        <v>1.21967870088331</v>
      </c>
      <c r="L56" t="n">
        <v>0.342511203425112</v>
      </c>
      <c r="M56" t="n">
        <v>1.168054905981109</v>
      </c>
      <c r="N56" t="n">
        <v>0.6053940060539401</v>
      </c>
      <c r="O56" t="n">
        <v>145837.6238119949</v>
      </c>
      <c r="P56" t="n">
        <v>116497.0706906916</v>
      </c>
      <c r="Q56">
        <f>'_live'!$C$22</f>
        <v/>
      </c>
      <c r="R56" t="inlineStr">
        <is>
          <t>shuffled: 2,511 of 10,000</t>
        </is>
      </c>
      <c r="S56" t="inlineStr">
        <is>
          <t>shuffled: 4,439 of 10,000</t>
        </is>
      </c>
      <c r="T56" t="n">
        <v>0.04104006623340711</v>
      </c>
      <c r="U56" t="n">
        <v>0.04285388846997963</v>
      </c>
      <c r="V56">
        <f>AND(judged_band,NOT($J56))</f>
        <v/>
      </c>
      <c r="W56">
        <f>IF($K56="","",IF($I56,"too few losses to test",IF(AND($K56&gt;better_at,$K56&lt;worse_at),"in line",IF($K56&gt;=worse_at,IF(AND(ISNUMBER($L56),$L56&lt;significance_bar),"worse","worse, not significant"),IF(AND(ISNUMBER($L56),$L56&lt;significance_bar),"better","better, not significant")))))</f>
        <v/>
      </c>
      <c r="X56">
        <f>IF($M56="","",IF($I56,"too few losses to test",IF(AND($M56&gt;better_at,$M56&lt;worse_at),"in line",IF($M56&gt;=worse_at,IF(AND(ISNUMBER($N56),$N56&lt;significance_bar),"worse","worse, not significant"),IF(AND(ISNUMBER($N56),$N56&lt;significance_bar),"better","better, not significant")))))</f>
        <v/>
      </c>
      <c r="Y56">
        <f>IF($V56,$X56,$W56)</f>
        <v/>
      </c>
      <c r="Z56">
        <f>IF($V56,IF($P56="","",$P56),IF($O56="","",$O56))</f>
        <v/>
      </c>
      <c r="AA56">
        <f>IF(OR($Q56="",$Z56=""),"",IF(AND($Z56&gt;0,$Z56&gt;=$Q56),"yes","below the line"))</f>
        <v/>
      </c>
      <c r="AB56">
        <f>IF($V56,IF($M56="","",$M56),IF($K56="","",$K56))</f>
        <v/>
      </c>
      <c r="AC56">
        <f>IF($V56,IF($N56="","",$N56),IF($L56="","",$L56))</f>
        <v/>
      </c>
      <c r="AD56">
        <f>$Y56</f>
        <v/>
      </c>
      <c r="AE56">
        <f>IF($V56,IF($S56="","",$S56),IF($R56="","",$R56))</f>
        <v/>
      </c>
      <c r="AF56">
        <f>IF($V56,IF($U56="","",$U56),IF($T56="","",$T56))</f>
        <v/>
      </c>
      <c r="AG56">
        <f>IF($V56,IF($O56="","",$O56),IF($P56="","",$P56))</f>
        <v/>
      </c>
      <c r="AH56" t="n">
        <v>0.05005569466772698</v>
      </c>
      <c r="AI56">
        <f>IF($Y56="worse","Yes",IF($Y56="worse, not significant","Not sure",IF(OR($Y56="too few losses to test",$Y56="too few loans to test"),"Too few losses",IF($Y56="","","No"))))</f>
        <v/>
      </c>
      <c r="AJ56">
        <f>IF($AA56="yes","Yes",IF($AA56="","","No"))</f>
        <v/>
      </c>
    </row>
    <row r="57">
      <c r="A57" t="inlineStr">
        <is>
          <t>grids</t>
        </is>
      </c>
      <c r="B57" t="inlineStr">
        <is>
          <t>FICO x CHANNEL</t>
        </is>
      </c>
      <c r="C57" t="inlineStr">
        <is>
          <t>654 - 685</t>
        </is>
      </c>
      <c r="D57" t="inlineStr">
        <is>
          <t>Branch</t>
        </is>
      </c>
      <c r="E57" t="inlineStr">
        <is>
          <t>ranr_rate</t>
        </is>
      </c>
      <c r="F57" t="inlineStr">
        <is>
          <t>Profit after losses: RANR per booked dollar</t>
        </is>
      </c>
      <c r="G57" t="n">
        <v>503</v>
      </c>
      <c r="H57" t="n">
        <v>16176090.76</v>
      </c>
      <c r="I57" t="b">
        <v>0</v>
      </c>
      <c r="J57" t="b">
        <v>0</v>
      </c>
      <c r="K57" t="n">
        <v>0.02383720063905323</v>
      </c>
      <c r="L57" t="n">
        <v>0.0227977202279772</v>
      </c>
      <c r="M57" t="n">
        <v>-0.01895576930046797</v>
      </c>
      <c r="N57" t="n">
        <v>0.154620901546209</v>
      </c>
      <c r="O57" t="n">
        <v>-385592.7210016551</v>
      </c>
      <c r="P57" t="n">
        <v>306630.2446299917</v>
      </c>
      <c r="Q57">
        <f>'_live'!$C$23</f>
        <v/>
      </c>
      <c r="R57" t="inlineStr">
        <is>
          <t>shuffled: 131 of 10,000</t>
        </is>
      </c>
      <c r="S57" t="inlineStr">
        <is>
          <t>shuffled: 944 of 10,000</t>
        </is>
      </c>
      <c r="T57" t="n">
        <v>0.1264959006077155</v>
      </c>
      <c r="U57" t="n">
        <v>0.1692888705472367</v>
      </c>
      <c r="V57">
        <f>AND(judged_band,NOT($J57))</f>
        <v/>
      </c>
      <c r="W57">
        <f>IF($K57="","",IF(profit_kind="test",IF(OR(NOT(AND(ISNUMBER($L57),$L57&lt;significance_bar)),$K57=0),"in line",IF($K57&lt;0,"worse","better")),IF(OR($K57=0,IF(profit_kind="points",ABS($K57),ABS($K57*$H57))&lt;profit_line*(1-1E-9)),"in line",IF(AND(ISNUMBER($L57),$L57&lt;significance_bar),IF($K57&lt;0,"worse","better"),IF($K57&lt;0,"worse, not significant","better, not significant")))))</f>
        <v/>
      </c>
      <c r="X57">
        <f>IF($M57="","",IF(profit_kind="test",IF(OR(NOT(AND(ISNUMBER($N57),$N57&lt;significance_bar)),$M57=0),"in line",IF($M57&lt;0,"worse","better")),IF(OR($M57=0,IF(profit_kind="points",ABS($M57),ABS($M57*$H57))&lt;profit_line*(1-1E-9)),"in line",IF(AND(ISNUMBER($N57),$N57&lt;significance_bar),IF($M57&lt;0,"worse","better"),IF($M57&lt;0,"worse, not significant","better, not significant")))))</f>
        <v/>
      </c>
      <c r="Y57">
        <f>IF($V57,$X57,$W57)</f>
        <v/>
      </c>
      <c r="Z57">
        <f>IF($V57,IF($P57="","",$P57),IF($O57="","",$O57))</f>
        <v/>
      </c>
      <c r="AA57">
        <f>IF(OR($Q57="",$Z57=""),"",IF(AND($Z57&gt;0,$Z57&gt;=$Q57),"yes","below the line"))</f>
        <v/>
      </c>
      <c r="AB57">
        <f>IF($V57,IF($M57="","",$M57),IF($K57="","",$K57))</f>
        <v/>
      </c>
      <c r="AC57">
        <f>IF($V57,IF($N57="","",$N57),IF($L57="","",$L57))</f>
        <v/>
      </c>
      <c r="AD57">
        <f>IF($Y57="","",IF($Y57="in line",IF(profit_kind="test",IF(ROUND($AB57*100,2)=0,"0.00",TEXT($AB57*100,"+0.00;-0.00"))&amp;" points against "&amp;IF($V57,"its band","the book")&amp;", "&amp;IF($AC57="","not tested","not significant"),IF(profit_kind="points","within "&amp;TEXT(profit_line*100,"0.00")&amp;" points of "&amp;IF($V57,"its band","the book")&amp;" ("&amp;IF(ROUND($AB57*100,2)=0,"0.00",TEXT($AB57*100,"+0.00;-0.00"))&amp;")","within $"&amp;TEXT(profit_line,"#,##0")&amp;" of "&amp;IF($V57,"its band","the book")&amp;" ("&amp;IF(ROUND($AB57*100,2)=0,"0.00",TEXT($AB57*100,"+0.00;-0.00"))&amp;" points)")),IF(LEFT($Y57,5)="worse","short of ","ahead of ")&amp;IF($V57,"its band","the book")&amp;" by "&amp;TEXT(ABS($AB57)*100,"0.00")&amp;" points"&amp;IF($Z57="",""," ($"&amp;TEXT(ABS($Z57),"#,##0")&amp;")")&amp;IF(RIGHT($Y57,15)="not significant"," (not significant)","")))</f>
        <v/>
      </c>
      <c r="AE57">
        <f>IF($V57,IF($S57="","",$S57),IF($R57="","",$R57))</f>
        <v/>
      </c>
      <c r="AF57">
        <f>IF($V57,IF($U57="","",$U57),IF($T57="","",$T57))</f>
        <v/>
      </c>
      <c r="AG57">
        <f>IF($V57,IF($O57="","",$O57),IF($P57="","",$P57))</f>
        <v/>
      </c>
      <c r="AH57" t="n">
        <v>0.1503331012467687</v>
      </c>
      <c r="AI57">
        <f>IF($Y57="worse","Yes",IF($Y57="worse, not significant","Not sure",IF(OR($Y57="too few losses to test",$Y57="too few loans to test"),"Too few losses",IF($Y57="","","No"))))</f>
        <v/>
      </c>
      <c r="AJ57">
        <f>IF($AA57="yes","Yes",IF($AA57="","","No"))</f>
        <v/>
      </c>
    </row>
    <row r="58">
      <c r="A58" t="inlineStr">
        <is>
          <t>grids</t>
        </is>
      </c>
      <c r="B58" t="inlineStr">
        <is>
          <t>FICO x CHANNEL</t>
        </is>
      </c>
      <c r="C58" t="inlineStr">
        <is>
          <t>654 - 685</t>
        </is>
      </c>
      <c r="D58" t="inlineStr">
        <is>
          <t>Branch</t>
        </is>
      </c>
      <c r="E58" t="inlineStr">
        <is>
          <t>contribution_rate</t>
        </is>
      </c>
      <c r="F58" t="inlineStr">
        <is>
          <t>Contribution before losses per booked dollar</t>
        </is>
      </c>
      <c r="G58" t="n">
        <v>503</v>
      </c>
      <c r="H58" t="n">
        <v>16176090.76</v>
      </c>
      <c r="I58" t="b">
        <v>0</v>
      </c>
      <c r="J58" t="b">
        <v>0</v>
      </c>
      <c r="K58" t="n">
        <v>0.03285612472557464</v>
      </c>
      <c r="L58" t="n">
        <v>0.000158317501583175</v>
      </c>
      <c r="M58" t="n">
        <v>-0.0117539631027207</v>
      </c>
      <c r="N58" t="n">
        <v>0.1166283371662834</v>
      </c>
      <c r="O58" t="n">
        <v>-531483.6555827754</v>
      </c>
      <c r="P58" t="n">
        <v>190133.1739393012</v>
      </c>
      <c r="Q58">
        <f>'_live'!$C$24</f>
        <v/>
      </c>
      <c r="R58" t="inlineStr">
        <is>
          <t>shuffled: 0 of 10,000</t>
        </is>
      </c>
      <c r="S58" t="inlineStr">
        <is>
          <t>shuffled: 647 of 10,000</t>
        </is>
      </c>
      <c r="T58" t="n">
        <v>0.1675326711889211</v>
      </c>
      <c r="U58" t="n">
        <v>0.2121427590172164</v>
      </c>
      <c r="V58">
        <f>AND(judged_band,NOT($J58))</f>
        <v/>
      </c>
      <c r="W58">
        <f>IF($K58="","",IF(profit_kind="test",IF(OR(NOT(AND(ISNUMBER($L58),$L58&lt;significance_bar)),$K58=0),"in line",IF($K58&lt;0,"worse","better")),IF(OR($K58=0,IF(profit_kind="points",ABS($K58),ABS($K58*$H58))&lt;profit_line*(1-1E-9)),"in line",IF(AND(ISNUMBER($L58),$L58&lt;significance_bar),IF($K58&lt;0,"worse","better"),IF($K58&lt;0,"worse, not significant","better, not significant")))))</f>
        <v/>
      </c>
      <c r="X58">
        <f>IF($M58="","",IF(profit_kind="test",IF(OR(NOT(AND(ISNUMBER($N58),$N58&lt;significance_bar)),$M58=0),"in line",IF($M58&lt;0,"worse","better")),IF(OR($M58=0,IF(profit_kind="points",ABS($M58),ABS($M58*$H58))&lt;profit_line*(1-1E-9)),"in line",IF(AND(ISNUMBER($N58),$N58&lt;significance_bar),IF($M58&lt;0,"worse","better"),IF($M58&lt;0,"worse, not significant","better, not significant")))))</f>
        <v/>
      </c>
      <c r="Y58">
        <f>IF($V58,$X58,$W58)</f>
        <v/>
      </c>
      <c r="Z58">
        <f>IF($V58,IF($P58="","",$P58),IF($O58="","",$O58))</f>
        <v/>
      </c>
      <c r="AA58">
        <f>IF(OR($Q58="",$Z58=""),"",IF(AND($Z58&gt;0,$Z58&gt;=$Q58),"yes","below the line"))</f>
        <v/>
      </c>
      <c r="AB58">
        <f>IF($V58,IF($M58="","",$M58),IF($K58="","",$K58))</f>
        <v/>
      </c>
      <c r="AC58">
        <f>IF($V58,IF($N58="","",$N58),IF($L58="","",$L58))</f>
        <v/>
      </c>
      <c r="AD58">
        <f>IF($Y58="","",IF($Y58="in line",IF(profit_kind="test",IF(ROUND($AB58*100,2)=0,"0.00",TEXT($AB58*100,"+0.00;-0.00"))&amp;" points against "&amp;IF($V58,"its band","the book")&amp;", "&amp;IF($AC58="","not tested","not significant"),IF(profit_kind="points","within "&amp;TEXT(profit_line*100,"0.00")&amp;" points of "&amp;IF($V58,"its band","the book")&amp;" ("&amp;IF(ROUND($AB58*100,2)=0,"0.00",TEXT($AB58*100,"+0.00;-0.00"))&amp;")","within $"&amp;TEXT(profit_line,"#,##0")&amp;" of "&amp;IF($V58,"its band","the book")&amp;" ("&amp;IF(ROUND($AB58*100,2)=0,"0.00",TEXT($AB58*100,"+0.00;-0.00"))&amp;" points)")),IF(LEFT($Y58,5)="worse","short of ","ahead of ")&amp;IF($V58,"its band","the book")&amp;" by "&amp;TEXT(ABS($AB58)*100,"0.00")&amp;" points"&amp;IF($Z58="",""," ($"&amp;TEXT(ABS($Z58),"#,##0")&amp;")")&amp;IF(RIGHT($Y58,15)="not significant"," (not significant)","")))</f>
        <v/>
      </c>
      <c r="AE58">
        <f>IF($V58,IF($S58="","",$S58),IF($R58="","",$R58))</f>
        <v/>
      </c>
      <c r="AF58">
        <f>IF($V58,IF($U58="","",$U58),IF($T58="","",$T58))</f>
        <v/>
      </c>
      <c r="AG58">
        <f>IF($V58,IF($O58="","",$O58),IF($P58="","",$P58))</f>
        <v/>
      </c>
      <c r="AH58" t="n">
        <v>0.2003887959144957</v>
      </c>
      <c r="AI58">
        <f>IF($Y58="worse","Yes",IF($Y58="worse, not significant","Not sure",IF(OR($Y58="too few losses to test",$Y58="too few loans to test"),"Too few losses",IF($Y58="","","No"))))</f>
        <v/>
      </c>
      <c r="AJ58">
        <f>IF($AA58="yes","Yes",IF($AA58="","","No"))</f>
        <v/>
      </c>
    </row>
    <row r="59">
      <c r="A59" t="inlineStr">
        <is>
          <t>grids</t>
        </is>
      </c>
      <c r="B59" t="inlineStr">
        <is>
          <t>FICO x CHANNEL</t>
        </is>
      </c>
      <c r="C59" t="inlineStr">
        <is>
          <t>712 - 745</t>
        </is>
      </c>
      <c r="D59" t="inlineStr">
        <is>
          <t>Broker</t>
        </is>
      </c>
      <c r="E59" t="inlineStr">
        <is>
          <t>outcome_loans</t>
        </is>
      </c>
      <c r="F59" t="inlineStr">
        <is>
          <t>Outcome, share of loans</t>
        </is>
      </c>
      <c r="G59" t="n">
        <v>509</v>
      </c>
      <c r="H59" t="n">
        <v>509</v>
      </c>
      <c r="I59" t="b">
        <v>0</v>
      </c>
      <c r="J59" t="b">
        <v>0</v>
      </c>
      <c r="K59" t="n">
        <v>0.3904511496218971</v>
      </c>
      <c r="L59" t="n">
        <v>0.0004563927215480011</v>
      </c>
      <c r="M59" t="n">
        <v>0.4878939649685934</v>
      </c>
      <c r="N59" t="n">
        <v>0.01935817929232487</v>
      </c>
      <c r="O59" t="n">
        <v>-24.97823765020026</v>
      </c>
      <c r="P59" t="n">
        <v>-16.7940108892922</v>
      </c>
      <c r="Q59">
        <f>'_live'!$C$20</f>
        <v/>
      </c>
      <c r="R59" t="inlineStr">
        <is>
          <t>z test</t>
        </is>
      </c>
      <c r="S59" t="inlineStr">
        <is>
          <t>z test</t>
        </is>
      </c>
      <c r="T59" t="n">
        <v>0.08050734312416555</v>
      </c>
      <c r="U59" t="n">
        <v>0.06442831215970962</v>
      </c>
      <c r="V59">
        <f>AND(judged_band,NOT($J59))</f>
        <v/>
      </c>
      <c r="W59">
        <f>IF($K59="","",IF($I59,"too few losses to test",IF(AND($K59&gt;better_at,$K59&lt;worse_at),"in line",IF($K59&gt;=worse_at,IF(AND(ISNUMBER($L59),$L59&lt;significance_bar),"worse","worse, not significant"),IF(AND(ISNUMBER($L59),$L59&lt;significance_bar),"better","better, not significant")))))</f>
        <v/>
      </c>
      <c r="X59">
        <f>IF($M59="","",IF($I59,"too few losses to test",IF(AND($M59&gt;better_at,$M59&lt;worse_at),"in line",IF($M59&gt;=worse_at,IF(AND(ISNUMBER($N59),$N59&lt;significance_bar),"worse","worse, not significant"),IF(AND(ISNUMBER($N59),$N59&lt;significance_bar),"better","better, not significant")))))</f>
        <v/>
      </c>
      <c r="Y59">
        <f>IF($V59,$X59,$W59)</f>
        <v/>
      </c>
      <c r="Z59">
        <f>IF($V59,IF($P59="","",$P59),IF($O59="","",$O59))</f>
        <v/>
      </c>
      <c r="AA59">
        <f>IF(OR($Q59="",$Z59=""),"",IF(AND($Z59&gt;0,$Z59&gt;=$Q59),"yes","below the line"))</f>
        <v/>
      </c>
      <c r="AB59">
        <f>IF($V59,IF($M59="","",$M59),IF($K59="","",$K59))</f>
        <v/>
      </c>
      <c r="AC59">
        <f>IF($V59,IF($N59="","",$N59),IF($L59="","",$L59))</f>
        <v/>
      </c>
      <c r="AD59">
        <f>$Y59</f>
        <v/>
      </c>
      <c r="AE59">
        <f>IF($V59,IF($S59="","",$S59),IF($R59="","",$R59))</f>
        <v/>
      </c>
      <c r="AF59">
        <f>IF($V59,IF($U59="","",$U59),IF($T59="","",$T59))</f>
        <v/>
      </c>
      <c r="AG59">
        <f>IF($V59,IF($O59="","",$O59),IF($P59="","",$P59))</f>
        <v/>
      </c>
      <c r="AH59" t="n">
        <v>0.03143418467583497</v>
      </c>
      <c r="AI59">
        <f>IF($Y59="worse","Yes",IF($Y59="worse, not significant","Not sure",IF(OR($Y59="too few losses to test",$Y59="too few loans to test"),"Too few losses",IF($Y59="","","No"))))</f>
        <v/>
      </c>
      <c r="AJ59">
        <f>IF($AA59="yes","Yes",IF($AA59="","","No"))</f>
        <v/>
      </c>
    </row>
    <row r="60">
      <c r="A60" t="inlineStr">
        <is>
          <t>grids</t>
        </is>
      </c>
      <c r="B60" t="inlineStr">
        <is>
          <t>FICO x CHANNEL</t>
        </is>
      </c>
      <c r="C60" t="inlineStr">
        <is>
          <t>712 - 745</t>
        </is>
      </c>
      <c r="D60" t="inlineStr">
        <is>
          <t>Broker</t>
        </is>
      </c>
      <c r="E60" t="inlineStr">
        <is>
          <t>outcome_booked</t>
        </is>
      </c>
      <c r="F60" t="inlineStr">
        <is>
          <t>Outcome, share of booked dollars</t>
        </is>
      </c>
      <c r="G60" t="n">
        <v>509</v>
      </c>
      <c r="H60" t="n">
        <v>16230509.4</v>
      </c>
      <c r="I60" t="b">
        <v>0</v>
      </c>
      <c r="J60" t="b">
        <v>0</v>
      </c>
      <c r="K60" t="n">
        <v>0.4575968525424571</v>
      </c>
      <c r="L60" t="n">
        <v>0.008249175082491752</v>
      </c>
      <c r="M60" t="n">
        <v>0.5592595872783042</v>
      </c>
      <c r="N60" t="n">
        <v>0.1067393260673933</v>
      </c>
      <c r="O60" t="n">
        <v>-682023.5821659642</v>
      </c>
      <c r="P60" t="n">
        <v>-453450.2599394799</v>
      </c>
      <c r="Q60">
        <f>'_live'!$C$21</f>
        <v/>
      </c>
      <c r="R60" t="inlineStr">
        <is>
          <t>shuffled: 21 of 10,000</t>
        </is>
      </c>
      <c r="S60" t="inlineStr">
        <is>
          <t>shuffled: 426 of 10,000</t>
        </is>
      </c>
      <c r="T60" t="n">
        <v>0.07747204854617591</v>
      </c>
      <c r="U60" t="n">
        <v>0.06338910656368432</v>
      </c>
      <c r="V60">
        <f>AND(judged_band,NOT($J60))</f>
        <v/>
      </c>
      <c r="W60">
        <f>IF($K60="","",IF($I60,"too few losses to test",IF(AND($K60&gt;better_at,$K60&lt;worse_at),"in line",IF($K60&gt;=worse_at,IF(AND(ISNUMBER($L60),$L60&lt;significance_bar),"worse","worse, not significant"),IF(AND(ISNUMBER($L60),$L60&lt;significance_bar),"better","better, not significant")))))</f>
        <v/>
      </c>
      <c r="X60">
        <f>IF($M60="","",IF($I60,"too few losses to test",IF(AND($M60&gt;better_at,$M60&lt;worse_at),"in line",IF($M60&gt;=worse_at,IF(AND(ISNUMBER($N60),$N60&lt;significance_bar),"worse","worse, not significant"),IF(AND(ISNUMBER($N60),$N60&lt;significance_bar),"better","better, not significant")))))</f>
        <v/>
      </c>
      <c r="Y60">
        <f>IF($V60,$X60,$W60)</f>
        <v/>
      </c>
      <c r="Z60">
        <f>IF($V60,IF($P60="","",$P60),IF($O60="","",$O60))</f>
        <v/>
      </c>
      <c r="AA60">
        <f>IF(OR($Q60="",$Z60=""),"",IF(AND($Z60&gt;0,$Z60&gt;=$Q60),"yes","below the line"))</f>
        <v/>
      </c>
      <c r="AB60">
        <f>IF($V60,IF($M60="","",$M60),IF($K60="","",$K60))</f>
        <v/>
      </c>
      <c r="AC60">
        <f>IF($V60,IF($N60="","",$N60),IF($L60="","",$L60))</f>
        <v/>
      </c>
      <c r="AD60">
        <f>$Y60</f>
        <v/>
      </c>
      <c r="AE60">
        <f>IF($V60,IF($S60="","",$S60),IF($R60="","",$R60))</f>
        <v/>
      </c>
      <c r="AF60">
        <f>IF($V60,IF($U60="","",$U60),IF($T60="","",$T60))</f>
        <v/>
      </c>
      <c r="AG60">
        <f>IF($V60,IF($O60="","",$O60),IF($P60="","",$P60))</f>
        <v/>
      </c>
      <c r="AH60" t="n">
        <v>0.03545096557474654</v>
      </c>
      <c r="AI60">
        <f>IF($Y60="worse","Yes",IF($Y60="worse, not significant","Not sure",IF(OR($Y60="too few losses to test",$Y60="too few loans to test"),"Too few losses",IF($Y60="","","No"))))</f>
        <v/>
      </c>
      <c r="AJ60">
        <f>IF($AA60="yes","Yes",IF($AA60="","","No"))</f>
        <v/>
      </c>
    </row>
    <row r="61">
      <c r="A61" t="inlineStr">
        <is>
          <t>grids</t>
        </is>
      </c>
      <c r="B61" t="inlineStr">
        <is>
          <t>FICO x CHANNEL</t>
        </is>
      </c>
      <c r="C61" t="inlineStr">
        <is>
          <t>712 - 745</t>
        </is>
      </c>
      <c r="D61" t="inlineStr">
        <is>
          <t>Broker</t>
        </is>
      </c>
      <c r="E61" t="inlineStr">
        <is>
          <t>gco_rate</t>
        </is>
      </c>
      <c r="F61" t="inlineStr">
        <is>
          <t>GCO per booked dollar</t>
        </is>
      </c>
      <c r="G61" t="n">
        <v>509</v>
      </c>
      <c r="H61" t="n">
        <v>16230509.4</v>
      </c>
      <c r="I61" t="b">
        <v>0</v>
      </c>
      <c r="J61" t="b">
        <v>0</v>
      </c>
      <c r="K61" t="n">
        <v>0.4827242275040043</v>
      </c>
      <c r="L61" t="n">
        <v>0.01312368763123688</v>
      </c>
      <c r="M61" t="n">
        <v>0.5983981658374574</v>
      </c>
      <c r="N61" t="n">
        <v>0.1947305269473053</v>
      </c>
      <c r="O61" t="n">
        <v>-361050.9658826862</v>
      </c>
      <c r="P61" t="n">
        <v>-226126.2097741389</v>
      </c>
      <c r="Q61">
        <f>'_live'!$C$22</f>
        <v/>
      </c>
      <c r="R61" t="inlineStr">
        <is>
          <t>shuffled: 34 of 10,000</t>
        </is>
      </c>
      <c r="S61" t="inlineStr">
        <is>
          <t>shuffled: 778 of 10,000</t>
        </is>
      </c>
      <c r="T61" t="n">
        <v>0.04300453169280604</v>
      </c>
      <c r="U61" t="n">
        <v>0.03469149894790973</v>
      </c>
      <c r="V61">
        <f>AND(judged_band,NOT($J61))</f>
        <v/>
      </c>
      <c r="W61">
        <f>IF($K61="","",IF($I61,"too few losses to test",IF(AND($K61&gt;better_at,$K61&lt;worse_at),"in line",IF($K61&gt;=worse_at,IF(AND(ISNUMBER($L61),$L61&lt;significance_bar),"worse","worse, not significant"),IF(AND(ISNUMBER($L61),$L61&lt;significance_bar),"better","better, not significant")))))</f>
        <v/>
      </c>
      <c r="X61">
        <f>IF($M61="","",IF($I61,"too few losses to test",IF(AND($M61&gt;better_at,$M61&lt;worse_at),"in line",IF($M61&gt;=worse_at,IF(AND(ISNUMBER($N61),$N61&lt;significance_bar),"worse","worse, not significant"),IF(AND(ISNUMBER($N61),$N61&lt;significance_bar),"better","better, not significant")))))</f>
        <v/>
      </c>
      <c r="Y61">
        <f>IF($V61,$X61,$W61)</f>
        <v/>
      </c>
      <c r="Z61">
        <f>IF($V61,IF($P61="","",$P61),IF($O61="","",$O61))</f>
        <v/>
      </c>
      <c r="AA61">
        <f>IF(OR($Q61="",$Z61=""),"",IF(AND($Z61&gt;0,$Z61&gt;=$Q61),"yes","below the line"))</f>
        <v/>
      </c>
      <c r="AB61">
        <f>IF($V61,IF($M61="","",$M61),IF($K61="","",$K61))</f>
        <v/>
      </c>
      <c r="AC61">
        <f>IF($V61,IF($N61="","",$N61),IF($L61="","",$L61))</f>
        <v/>
      </c>
      <c r="AD61">
        <f>$Y61</f>
        <v/>
      </c>
      <c r="AE61">
        <f>IF($V61,IF($S61="","",$S61),IF($R61="","",$R61))</f>
        <v/>
      </c>
      <c r="AF61">
        <f>IF($V61,IF($U61="","",$U61),IF($T61="","",$T61))</f>
        <v/>
      </c>
      <c r="AG61">
        <f>IF($V61,IF($O61="","",$O61),IF($P61="","",$P61))</f>
        <v/>
      </c>
      <c r="AH61" t="n">
        <v>0.02075932934058127</v>
      </c>
      <c r="AI61">
        <f>IF($Y61="worse","Yes",IF($Y61="worse, not significant","Not sure",IF(OR($Y61="too few losses to test",$Y61="too few loans to test"),"Too few losses",IF($Y61="","","No"))))</f>
        <v/>
      </c>
      <c r="AJ61">
        <f>IF($AA61="yes","Yes",IF($AA61="","","No"))</f>
        <v/>
      </c>
    </row>
    <row r="62">
      <c r="A62" t="inlineStr">
        <is>
          <t>grids</t>
        </is>
      </c>
      <c r="B62" t="inlineStr">
        <is>
          <t>FICO x CHANNEL</t>
        </is>
      </c>
      <c r="C62" t="inlineStr">
        <is>
          <t>712 - 745</t>
        </is>
      </c>
      <c r="D62" t="inlineStr">
        <is>
          <t>Broker</t>
        </is>
      </c>
      <c r="E62" t="inlineStr">
        <is>
          <t>ranr_rate</t>
        </is>
      </c>
      <c r="F62" t="inlineStr">
        <is>
          <t>Profit after losses: RANR per booked dollar</t>
        </is>
      </c>
      <c r="G62" t="n">
        <v>509</v>
      </c>
      <c r="H62" t="n">
        <v>16230509.4</v>
      </c>
      <c r="I62" t="b">
        <v>0</v>
      </c>
      <c r="J62" t="b">
        <v>0</v>
      </c>
      <c r="K62" t="n">
        <v>-0.03930661180018204</v>
      </c>
      <c r="L62" t="n">
        <v>0.0002110900021109</v>
      </c>
      <c r="M62" t="n">
        <v>-0.007053539441555928</v>
      </c>
      <c r="N62" t="n">
        <v>0.6029397060293971</v>
      </c>
      <c r="O62" t="n">
        <v>637966.3323050055</v>
      </c>
      <c r="P62" t="n">
        <v>114482.5382094444</v>
      </c>
      <c r="Q62">
        <f>'_live'!$C$23</f>
        <v/>
      </c>
      <c r="R62" t="inlineStr">
        <is>
          <t>shuffled: 0 of 10,000</t>
        </is>
      </c>
      <c r="S62" t="inlineStr">
        <is>
          <t>shuffled: 4,354 of 10,000</t>
        </is>
      </c>
      <c r="T62" t="n">
        <v>0.1304621315400615</v>
      </c>
      <c r="U62" t="n">
        <v>0.09820905918143542</v>
      </c>
      <c r="V62">
        <f>AND(judged_band,NOT($J62))</f>
        <v/>
      </c>
      <c r="W62">
        <f>IF($K62="","",IF(profit_kind="test",IF(OR(NOT(AND(ISNUMBER($L62),$L62&lt;significance_bar)),$K62=0),"in line",IF($K62&lt;0,"worse","better")),IF(OR($K62=0,IF(profit_kind="points",ABS($K62),ABS($K62*$H62))&lt;profit_line*(1-1E-9)),"in line",IF(AND(ISNUMBER($L62),$L62&lt;significance_bar),IF($K62&lt;0,"worse","better"),IF($K62&lt;0,"worse, not significant","better, not significant")))))</f>
        <v/>
      </c>
      <c r="X62">
        <f>IF($M62="","",IF(profit_kind="test",IF(OR(NOT(AND(ISNUMBER($N62),$N62&lt;significance_bar)),$M62=0),"in line",IF($M62&lt;0,"worse","better")),IF(OR($M62=0,IF(profit_kind="points",ABS($M62),ABS($M62*$H62))&lt;profit_line*(1-1E-9)),"in line",IF(AND(ISNUMBER($N62),$N62&lt;significance_bar),IF($M62&lt;0,"worse","better"),IF($M62&lt;0,"worse, not significant","better, not significant")))))</f>
        <v/>
      </c>
      <c r="Y62">
        <f>IF($V62,$X62,$W62)</f>
        <v/>
      </c>
      <c r="Z62">
        <f>IF($V62,IF($P62="","",$P62),IF($O62="","",$O62))</f>
        <v/>
      </c>
      <c r="AA62">
        <f>IF(OR($Q62="",$Z62=""),"",IF(AND($Z62&gt;0,$Z62&gt;=$Q62),"yes","below the line"))</f>
        <v/>
      </c>
      <c r="AB62">
        <f>IF($V62,IF($M62="","",$M62),IF($K62="","",$K62))</f>
        <v/>
      </c>
      <c r="AC62">
        <f>IF($V62,IF($N62="","",$N62),IF($L62="","",$L62))</f>
        <v/>
      </c>
      <c r="AD62">
        <f>IF($Y62="","",IF($Y62="in line",IF(profit_kind="test",IF(ROUND($AB62*100,2)=0,"0.00",TEXT($AB62*100,"+0.00;-0.00"))&amp;" points against "&amp;IF($V62,"its band","the book")&amp;", "&amp;IF($AC62="","not tested","not significant"),IF(profit_kind="points","within "&amp;TEXT(profit_line*100,"0.00")&amp;" points of "&amp;IF($V62,"its band","the book")&amp;" ("&amp;IF(ROUND($AB62*100,2)=0,"0.00",TEXT($AB62*100,"+0.00;-0.00"))&amp;")","within $"&amp;TEXT(profit_line,"#,##0")&amp;" of "&amp;IF($V62,"its band","the book")&amp;" ("&amp;IF(ROUND($AB62*100,2)=0,"0.00",TEXT($AB62*100,"+0.00;-0.00"))&amp;" points)")),IF(LEFT($Y62,5)="worse","short of ","ahead of ")&amp;IF($V62,"its band","the book")&amp;" by "&amp;TEXT(ABS($AB62)*100,"0.00")&amp;" points"&amp;IF($Z62="",""," ($"&amp;TEXT(ABS($Z62),"#,##0")&amp;")")&amp;IF(RIGHT($Y62,15)="not significant"," (not significant)","")))</f>
        <v/>
      </c>
      <c r="AE62">
        <f>IF($V62,IF($S62="","",$S62),IF($R62="","",$R62))</f>
        <v/>
      </c>
      <c r="AF62">
        <f>IF($V62,IF($U62="","",$U62),IF($T62="","",$T62))</f>
        <v/>
      </c>
      <c r="AG62">
        <f>IF($V62,IF($O62="","",$O62),IF($P62="","",$P62))</f>
        <v/>
      </c>
      <c r="AH62" t="n">
        <v>0.0911555197398795</v>
      </c>
      <c r="AI62">
        <f>IF($Y62="worse","Yes",IF($Y62="worse, not significant","Not sure",IF(OR($Y62="too few losses to test",$Y62="too few loans to test"),"Too few losses",IF($Y62="","","No"))))</f>
        <v/>
      </c>
      <c r="AJ62">
        <f>IF($AA62="yes","Yes",IF($AA62="","","No"))</f>
        <v/>
      </c>
    </row>
    <row r="63">
      <c r="A63" t="inlineStr">
        <is>
          <t>grids</t>
        </is>
      </c>
      <c r="B63" t="inlineStr">
        <is>
          <t>FICO x CHANNEL</t>
        </is>
      </c>
      <c r="C63" t="inlineStr">
        <is>
          <t>712 - 745</t>
        </is>
      </c>
      <c r="D63" t="inlineStr">
        <is>
          <t>Broker</t>
        </is>
      </c>
      <c r="E63" t="inlineStr">
        <is>
          <t>contribution_rate</t>
        </is>
      </c>
      <c r="F63" t="inlineStr">
        <is>
          <t>Contribution before losses per booked dollar</t>
        </is>
      </c>
      <c r="G63" t="n">
        <v>509</v>
      </c>
      <c r="H63" t="n">
        <v>16230509.4</v>
      </c>
      <c r="I63" t="b">
        <v>0</v>
      </c>
      <c r="J63" t="b">
        <v>0</v>
      </c>
      <c r="K63" t="n">
        <v>-0.06154916870452837</v>
      </c>
      <c r="L63" t="n">
        <v>0.000158317501583175</v>
      </c>
      <c r="M63" t="n">
        <v>-0.02093061480965411</v>
      </c>
      <c r="N63" t="n">
        <v>0.0002571171454283143</v>
      </c>
      <c r="O63" t="n">
        <v>998974.3612210331</v>
      </c>
      <c r="P63" t="n">
        <v>339714.54041587</v>
      </c>
      <c r="Q63">
        <f>'_live'!$C$24</f>
        <v/>
      </c>
      <c r="R63" t="inlineStr">
        <is>
          <t>shuffled: 0 of 10,000</t>
        </is>
      </c>
      <c r="S63" t="inlineStr">
        <is>
          <t>shuffled: 0 of 10,000</t>
        </is>
      </c>
      <c r="T63" t="n">
        <v>0.1734640177849892</v>
      </c>
      <c r="U63" t="n">
        <v>0.1328454638901149</v>
      </c>
      <c r="V63">
        <f>AND(judged_band,NOT($J63))</f>
        <v/>
      </c>
      <c r="W63">
        <f>IF($K63="","",IF(profit_kind="test",IF(OR(NOT(AND(ISNUMBER($L63),$L63&lt;significance_bar)),$K63=0),"in line",IF($K63&lt;0,"worse","better")),IF(OR($K63=0,IF(profit_kind="points",ABS($K63),ABS($K63*$H63))&lt;profit_line*(1-1E-9)),"in line",IF(AND(ISNUMBER($L63),$L63&lt;significance_bar),IF($K63&lt;0,"worse","better"),IF($K63&lt;0,"worse, not significant","better, not significant")))))</f>
        <v/>
      </c>
      <c r="X63">
        <f>IF($M63="","",IF(profit_kind="test",IF(OR(NOT(AND(ISNUMBER($N63),$N63&lt;significance_bar)),$M63=0),"in line",IF($M63&lt;0,"worse","better")),IF(OR($M63=0,IF(profit_kind="points",ABS($M63),ABS($M63*$H63))&lt;profit_line*(1-1E-9)),"in line",IF(AND(ISNUMBER($N63),$N63&lt;significance_bar),IF($M63&lt;0,"worse","better"),IF($M63&lt;0,"worse, not significant","better, not significant")))))</f>
        <v/>
      </c>
      <c r="Y63">
        <f>IF($V63,$X63,$W63)</f>
        <v/>
      </c>
      <c r="Z63">
        <f>IF($V63,IF($P63="","",$P63),IF($O63="","",$O63))</f>
        <v/>
      </c>
      <c r="AA63">
        <f>IF(OR($Q63="",$Z63=""),"",IF(AND($Z63&gt;0,$Z63&gt;=$Q63),"yes","below the line"))</f>
        <v/>
      </c>
      <c r="AB63">
        <f>IF($V63,IF($M63="","",$M63),IF($K63="","",$K63))</f>
        <v/>
      </c>
      <c r="AC63">
        <f>IF($V63,IF($N63="","",$N63),IF($L63="","",$L63))</f>
        <v/>
      </c>
      <c r="AD63">
        <f>IF($Y63="","",IF($Y63="in line",IF(profit_kind="test",IF(ROUND($AB63*100,2)=0,"0.00",TEXT($AB63*100,"+0.00;-0.00"))&amp;" points against "&amp;IF($V63,"its band","the book")&amp;", "&amp;IF($AC63="","not tested","not significant"),IF(profit_kind="points","within "&amp;TEXT(profit_line*100,"0.00")&amp;" points of "&amp;IF($V63,"its band","the book")&amp;" ("&amp;IF(ROUND($AB63*100,2)=0,"0.00",TEXT($AB63*100,"+0.00;-0.00"))&amp;")","within $"&amp;TEXT(profit_line,"#,##0")&amp;" of "&amp;IF($V63,"its band","the book")&amp;" ("&amp;IF(ROUND($AB63*100,2)=0,"0.00",TEXT($AB63*100,"+0.00;-0.00"))&amp;" points)")),IF(LEFT($Y63,5)="worse","short of ","ahead of ")&amp;IF($V63,"its band","the book")&amp;" by "&amp;TEXT(ABS($AB63)*100,"0.00")&amp;" points"&amp;IF($Z63="",""," ($"&amp;TEXT(ABS($Z63),"#,##0")&amp;")")&amp;IF(RIGHT($Y63,15)="not significant"," (not significant)","")))</f>
        <v/>
      </c>
      <c r="AE63">
        <f>IF($V63,IF($S63="","",$S63),IF($R63="","",$R63))</f>
        <v/>
      </c>
      <c r="AF63">
        <f>IF($V63,IF($U63="","",$U63),IF($T63="","",$T63))</f>
        <v/>
      </c>
      <c r="AG63">
        <f>IF($V63,IF($O63="","",$O63),IF($P63="","",$P63))</f>
        <v/>
      </c>
      <c r="AH63" t="n">
        <v>0.1119148490804608</v>
      </c>
      <c r="AI63">
        <f>IF($Y63="worse","Yes",IF($Y63="worse, not significant","Not sure",IF(OR($Y63="too few losses to test",$Y63="too few loans to test"),"Too few losses",IF($Y63="","","No"))))</f>
        <v/>
      </c>
      <c r="AJ63">
        <f>IF($AA63="yes","Yes",IF($AA63="","","No"))</f>
        <v/>
      </c>
    </row>
    <row r="64">
      <c r="A64" t="inlineStr">
        <is>
          <t>grids</t>
        </is>
      </c>
      <c r="B64" t="inlineStr">
        <is>
          <t>FICO x CHANNEL</t>
        </is>
      </c>
      <c r="C64" t="inlineStr">
        <is>
          <t>686 - 711</t>
        </is>
      </c>
      <c r="D64" t="inlineStr">
        <is>
          <t>Online</t>
        </is>
      </c>
      <c r="E64" t="inlineStr">
        <is>
          <t>outcome_loans</t>
        </is>
      </c>
      <c r="F64" t="inlineStr">
        <is>
          <t>Outcome, share of loans</t>
        </is>
      </c>
      <c r="G64" t="n">
        <v>546</v>
      </c>
      <c r="H64" t="n">
        <v>546</v>
      </c>
      <c r="I64" t="b">
        <v>0</v>
      </c>
      <c r="J64" t="b">
        <v>0</v>
      </c>
      <c r="K64" t="n">
        <v>0.9936008532195708</v>
      </c>
      <c r="L64" t="n">
        <v>0.9666430387104495</v>
      </c>
      <c r="M64" t="n">
        <v>1.447293447293447</v>
      </c>
      <c r="N64" t="n">
        <v>0.1553108308529606</v>
      </c>
      <c r="O64" t="n">
        <v>-0.2704951026432241</v>
      </c>
      <c r="P64" t="n">
        <v>12.98031496062992</v>
      </c>
      <c r="Q64">
        <f>'_live'!$C$20</f>
        <v/>
      </c>
      <c r="R64" t="inlineStr">
        <is>
          <t>z test</t>
        </is>
      </c>
      <c r="S64" t="inlineStr">
        <is>
          <t>z test</t>
        </is>
      </c>
      <c r="T64" t="n">
        <v>0.07741848919898027</v>
      </c>
      <c r="U64" t="n">
        <v>0.0531496062992126</v>
      </c>
      <c r="V64">
        <f>AND(judged_band,NOT($J64))</f>
        <v/>
      </c>
      <c r="W64">
        <f>IF($K64="","",IF($I64,"too few losses to test",IF(AND($K64&gt;better_at,$K64&lt;worse_at),"in line",IF($K64&gt;=worse_at,IF(AND(ISNUMBER($L64),$L64&lt;significance_bar),"worse","worse, not significant"),IF(AND(ISNUMBER($L64),$L64&lt;significance_bar),"better","better, not significant")))))</f>
        <v/>
      </c>
      <c r="X64">
        <f>IF($M64="","",IF($I64,"too few losses to test",IF(AND($M64&gt;better_at,$M64&lt;worse_at),"in line",IF($M64&gt;=worse_at,IF(AND(ISNUMBER($N64),$N64&lt;significance_bar),"worse","worse, not significant"),IF(AND(ISNUMBER($N64),$N64&lt;significance_bar),"better","better, not significant")))))</f>
        <v/>
      </c>
      <c r="Y64">
        <f>IF($V64,$X64,$W64)</f>
        <v/>
      </c>
      <c r="Z64">
        <f>IF($V64,IF($P64="","",$P64),IF($O64="","",$O64))</f>
        <v/>
      </c>
      <c r="AA64">
        <f>IF(OR($Q64="",$Z64=""),"",IF(AND($Z64&gt;0,$Z64&gt;=$Q64),"yes","below the line"))</f>
        <v/>
      </c>
      <c r="AB64">
        <f>IF($V64,IF($M64="","",$M64),IF($K64="","",$K64))</f>
        <v/>
      </c>
      <c r="AC64">
        <f>IF($V64,IF($N64="","",$N64),IF($L64="","",$L64))</f>
        <v/>
      </c>
      <c r="AD64">
        <f>$Y64</f>
        <v/>
      </c>
      <c r="AE64">
        <f>IF($V64,IF($S64="","",$S64),IF($R64="","",$R64))</f>
        <v/>
      </c>
      <c r="AF64">
        <f>IF($V64,IF($U64="","",$U64),IF($T64="","",$T64))</f>
        <v/>
      </c>
      <c r="AG64">
        <f>IF($V64,IF($O64="","",$O64),IF($P64="","",$P64))</f>
        <v/>
      </c>
      <c r="AH64" t="n">
        <v>0.07692307692307693</v>
      </c>
      <c r="AI64">
        <f>IF($Y64="worse","Yes",IF($Y64="worse, not significant","Not sure",IF(OR($Y64="too few losses to test",$Y64="too few loans to test"),"Too few losses",IF($Y64="","","No"))))</f>
        <v/>
      </c>
      <c r="AJ64">
        <f>IF($AA64="yes","Yes",IF($AA64="","","No"))</f>
        <v/>
      </c>
    </row>
    <row r="65">
      <c r="A65" t="inlineStr">
        <is>
          <t>grids</t>
        </is>
      </c>
      <c r="B65" t="inlineStr">
        <is>
          <t>FICO x CHANNEL</t>
        </is>
      </c>
      <c r="C65" t="inlineStr">
        <is>
          <t>686 - 711</t>
        </is>
      </c>
      <c r="D65" t="inlineStr">
        <is>
          <t>Online</t>
        </is>
      </c>
      <c r="E65" t="inlineStr">
        <is>
          <t>outcome_booked</t>
        </is>
      </c>
      <c r="F65" t="inlineStr">
        <is>
          <t>Outcome, share of booked dollars</t>
        </is>
      </c>
      <c r="G65" t="n">
        <v>546</v>
      </c>
      <c r="H65" t="n">
        <v>17660164.64000002</v>
      </c>
      <c r="I65" t="b">
        <v>0</v>
      </c>
      <c r="J65" t="b">
        <v>0</v>
      </c>
      <c r="K65" t="n">
        <v>1.046714791308219</v>
      </c>
      <c r="L65" t="n">
        <v>0.8905109489051095</v>
      </c>
      <c r="M65" t="n">
        <v>1.710989447132353</v>
      </c>
      <c r="N65" t="n">
        <v>0.04259574042595741</v>
      </c>
      <c r="O65" t="n">
        <v>61536.38887348515</v>
      </c>
      <c r="P65" t="n">
        <v>572956.6694010361</v>
      </c>
      <c r="Q65">
        <f>'_live'!$C$21</f>
        <v/>
      </c>
      <c r="R65" t="inlineStr">
        <is>
          <t>shuffled: 7,874 of 10,000</t>
        </is>
      </c>
      <c r="S65" t="inlineStr">
        <is>
          <t>shuffled: 141 of 10,000</t>
        </is>
      </c>
      <c r="T65" t="n">
        <v>0.07459038451673879</v>
      </c>
      <c r="U65" t="n">
        <v>0.04563140871142882</v>
      </c>
      <c r="V65">
        <f>AND(judged_band,NOT($J65))</f>
        <v/>
      </c>
      <c r="W65">
        <f>IF($K65="","",IF($I65,"too few losses to test",IF(AND($K65&gt;better_at,$K65&lt;worse_at),"in line",IF($K65&gt;=worse_at,IF(AND(ISNUMBER($L65),$L65&lt;significance_bar),"worse","worse, not significant"),IF(AND(ISNUMBER($L65),$L65&lt;significance_bar),"better","better, not significant")))))</f>
        <v/>
      </c>
      <c r="X65">
        <f>IF($M65="","",IF($I65,"too few losses to test",IF(AND($M65&gt;better_at,$M65&lt;worse_at),"in line",IF($M65&gt;=worse_at,IF(AND(ISNUMBER($N65),$N65&lt;significance_bar),"worse","worse, not significant"),IF(AND(ISNUMBER($N65),$N65&lt;significance_bar),"better","better, not significant")))))</f>
        <v/>
      </c>
      <c r="Y65">
        <f>IF($V65,$X65,$W65)</f>
        <v/>
      </c>
      <c r="Z65">
        <f>IF($V65,IF($P65="","",$P65),IF($O65="","",$O65))</f>
        <v/>
      </c>
      <c r="AA65">
        <f>IF(OR($Q65="",$Z65=""),"",IF(AND($Z65&gt;0,$Z65&gt;=$Q65),"yes","below the line"))</f>
        <v/>
      </c>
      <c r="AB65">
        <f>IF($V65,IF($M65="","",$M65),IF($K65="","",$K65))</f>
        <v/>
      </c>
      <c r="AC65">
        <f>IF($V65,IF($N65="","",$N65),IF($L65="","",$L65))</f>
        <v/>
      </c>
      <c r="AD65">
        <f>$Y65</f>
        <v/>
      </c>
      <c r="AE65">
        <f>IF($V65,IF($S65="","",$S65),IF($R65="","",$R65))</f>
        <v/>
      </c>
      <c r="AF65">
        <f>IF($V65,IF($U65="","",$U65),IF($T65="","",$T65))</f>
        <v/>
      </c>
      <c r="AG65">
        <f>IF($V65,IF($O65="","",$O65),IF($P65="","",$P65))</f>
        <v/>
      </c>
      <c r="AH65" t="n">
        <v>0.07807485876303806</v>
      </c>
      <c r="AI65">
        <f>IF($Y65="worse","Yes",IF($Y65="worse, not significant","Not sure",IF(OR($Y65="too few losses to test",$Y65="too few loans to test"),"Too few losses",IF($Y65="","","No"))))</f>
        <v/>
      </c>
      <c r="AJ65">
        <f>IF($AA65="yes","Yes",IF($AA65="","","No"))</f>
        <v/>
      </c>
    </row>
    <row r="66">
      <c r="A66" t="inlineStr">
        <is>
          <t>grids</t>
        </is>
      </c>
      <c r="B66" t="inlineStr">
        <is>
          <t>FICO x CHANNEL</t>
        </is>
      </c>
      <c r="C66" t="inlineStr">
        <is>
          <t>686 - 711</t>
        </is>
      </c>
      <c r="D66" t="inlineStr">
        <is>
          <t>Online</t>
        </is>
      </c>
      <c r="E66" t="inlineStr">
        <is>
          <t>gco_rate</t>
        </is>
      </c>
      <c r="F66" t="inlineStr">
        <is>
          <t>GCO per booked dollar</t>
        </is>
      </c>
      <c r="G66" t="n">
        <v>546</v>
      </c>
      <c r="H66" t="n">
        <v>17660164.64000002</v>
      </c>
      <c r="I66" t="b">
        <v>0</v>
      </c>
      <c r="J66" t="b">
        <v>0</v>
      </c>
      <c r="K66" t="n">
        <v>1.043831826434182</v>
      </c>
      <c r="L66" t="n">
        <v>0.8654134586541345</v>
      </c>
      <c r="M66" t="n">
        <v>1.713043008488713</v>
      </c>
      <c r="N66" t="n">
        <v>0.0605939406059394</v>
      </c>
      <c r="O66" t="n">
        <v>32109.36329269351</v>
      </c>
      <c r="P66" t="n">
        <v>318287.8933242416</v>
      </c>
      <c r="Q66">
        <f>'_live'!$C$22</f>
        <v/>
      </c>
      <c r="R66" t="inlineStr">
        <is>
          <t>shuffled: 8,077 of 10,000</t>
        </is>
      </c>
      <c r="S66" t="inlineStr">
        <is>
          <t>shuffled: 201 of 10,000</t>
        </is>
      </c>
      <c r="T66" t="n">
        <v>0.04148082430942193</v>
      </c>
      <c r="U66" t="n">
        <v>0.0252760756071727</v>
      </c>
      <c r="V66">
        <f>AND(judged_band,NOT($J66))</f>
        <v/>
      </c>
      <c r="W66">
        <f>IF($K66="","",IF($I66,"too few losses to test",IF(AND($K66&gt;better_at,$K66&lt;worse_at),"in line",IF($K66&gt;=worse_at,IF(AND(ISNUMBER($L66),$L66&lt;significance_bar),"worse","worse, not significant"),IF(AND(ISNUMBER($L66),$L66&lt;significance_bar),"better","better, not significant")))))</f>
        <v/>
      </c>
      <c r="X66">
        <f>IF($M66="","",IF($I66,"too few losses to test",IF(AND($M66&gt;better_at,$M66&lt;worse_at),"in line",IF($M66&gt;=worse_at,IF(AND(ISNUMBER($N66),$N66&lt;significance_bar),"worse","worse, not significant"),IF(AND(ISNUMBER($N66),$N66&lt;significance_bar),"better","better, not significant")))))</f>
        <v/>
      </c>
      <c r="Y66">
        <f>IF($V66,$X66,$W66)</f>
        <v/>
      </c>
      <c r="Z66">
        <f>IF($V66,IF($P66="","",$P66),IF($O66="","",$O66))</f>
        <v/>
      </c>
      <c r="AA66">
        <f>IF(OR($Q66="",$Z66=""),"",IF(AND($Z66&gt;0,$Z66&gt;=$Q66),"yes","below the line"))</f>
        <v/>
      </c>
      <c r="AB66">
        <f>IF($V66,IF($M66="","",$M66),IF($K66="","",$K66))</f>
        <v/>
      </c>
      <c r="AC66">
        <f>IF($V66,IF($N66="","",$N66),IF($L66="","",$L66))</f>
        <v/>
      </c>
      <c r="AD66">
        <f>$Y66</f>
        <v/>
      </c>
      <c r="AE66">
        <f>IF($V66,IF($S66="","",$S66),IF($R66="","",$R66))</f>
        <v/>
      </c>
      <c r="AF66">
        <f>IF($V66,IF($U66="","",$U66),IF($T66="","",$T66))</f>
        <v/>
      </c>
      <c r="AG66">
        <f>IF($V66,IF($O66="","",$O66),IF($P66="","",$P66))</f>
        <v/>
      </c>
      <c r="AH66" t="n">
        <v>0.0432990046008993</v>
      </c>
      <c r="AI66">
        <f>IF($Y66="worse","Yes",IF($Y66="worse, not significant","Not sure",IF(OR($Y66="too few losses to test",$Y66="too few loans to test"),"Too few losses",IF($Y66="","","No"))))</f>
        <v/>
      </c>
      <c r="AJ66">
        <f>IF($AA66="yes","Yes",IF($AA66="","","No"))</f>
        <v/>
      </c>
    </row>
    <row r="67">
      <c r="A67" t="inlineStr">
        <is>
          <t>grids</t>
        </is>
      </c>
      <c r="B67" t="inlineStr">
        <is>
          <t>FICO x CHANNEL</t>
        </is>
      </c>
      <c r="C67" t="inlineStr">
        <is>
          <t>686 - 711</t>
        </is>
      </c>
      <c r="D67" t="inlineStr">
        <is>
          <t>Online</t>
        </is>
      </c>
      <c r="E67" t="inlineStr">
        <is>
          <t>ranr_rate</t>
        </is>
      </c>
      <c r="F67" t="inlineStr">
        <is>
          <t>Profit after losses: RANR per booked dollar</t>
        </is>
      </c>
      <c r="G67" t="n">
        <v>546</v>
      </c>
      <c r="H67" t="n">
        <v>17660164.64000002</v>
      </c>
      <c r="I67" t="b">
        <v>0</v>
      </c>
      <c r="J67" t="b">
        <v>0</v>
      </c>
      <c r="K67" t="n">
        <v>0.04245591395349185</v>
      </c>
      <c r="L67" t="n">
        <v>0.0002110900021109</v>
      </c>
      <c r="M67" t="n">
        <v>0.03918779200494793</v>
      </c>
      <c r="N67" t="n">
        <v>0.0017998200179982</v>
      </c>
      <c r="O67" t="n">
        <v>-749778.43036034</v>
      </c>
      <c r="P67" t="n">
        <v>-692062.8586854567</v>
      </c>
      <c r="Q67">
        <f>'_live'!$C$23</f>
        <v/>
      </c>
      <c r="R67" t="inlineStr">
        <is>
          <t>shuffled: 0 of 10,000</t>
        </is>
      </c>
      <c r="S67" t="inlineStr">
        <is>
          <t>shuffled: 1 of 10,000</t>
        </is>
      </c>
      <c r="T67" t="n">
        <v>0.1250847024741926</v>
      </c>
      <c r="U67" t="n">
        <v>0.1283528244227365</v>
      </c>
      <c r="V67">
        <f>AND(judged_band,NOT($J67))</f>
        <v/>
      </c>
      <c r="W67">
        <f>IF($K67="","",IF(profit_kind="test",IF(OR(NOT(AND(ISNUMBER($L67),$L67&lt;significance_bar)),$K67=0),"in line",IF($K67&lt;0,"worse","better")),IF(OR($K67=0,IF(profit_kind="points",ABS($K67),ABS($K67*$H67))&lt;profit_line*(1-1E-9)),"in line",IF(AND(ISNUMBER($L67),$L67&lt;significance_bar),IF($K67&lt;0,"worse","better"),IF($K67&lt;0,"worse, not significant","better, not significant")))))</f>
        <v/>
      </c>
      <c r="X67">
        <f>IF($M67="","",IF(profit_kind="test",IF(OR(NOT(AND(ISNUMBER($N67),$N67&lt;significance_bar)),$M67=0),"in line",IF($M67&lt;0,"worse","better")),IF(OR($M67=0,IF(profit_kind="points",ABS($M67),ABS($M67*$H67))&lt;profit_line*(1-1E-9)),"in line",IF(AND(ISNUMBER($N67),$N67&lt;significance_bar),IF($M67&lt;0,"worse","better"),IF($M67&lt;0,"worse, not significant","better, not significant")))))</f>
        <v/>
      </c>
      <c r="Y67">
        <f>IF($V67,$X67,$W67)</f>
        <v/>
      </c>
      <c r="Z67">
        <f>IF($V67,IF($P67="","",$P67),IF($O67="","",$O67))</f>
        <v/>
      </c>
      <c r="AA67">
        <f>IF(OR($Q67="",$Z67=""),"",IF(AND($Z67&gt;0,$Z67&gt;=$Q67),"yes","below the line"))</f>
        <v/>
      </c>
      <c r="AB67">
        <f>IF($V67,IF($M67="","",$M67),IF($K67="","",$K67))</f>
        <v/>
      </c>
      <c r="AC67">
        <f>IF($V67,IF($N67="","",$N67),IF($L67="","",$L67))</f>
        <v/>
      </c>
      <c r="AD67">
        <f>IF($Y67="","",IF($Y67="in line",IF(profit_kind="test",IF(ROUND($AB67*100,2)=0,"0.00",TEXT($AB67*100,"+0.00;-0.00"))&amp;" points against "&amp;IF($V67,"its band","the book")&amp;", "&amp;IF($AC67="","not tested","not significant"),IF(profit_kind="points","within "&amp;TEXT(profit_line*100,"0.00")&amp;" points of "&amp;IF($V67,"its band","the book")&amp;" ("&amp;IF(ROUND($AB67*100,2)=0,"0.00",TEXT($AB67*100,"+0.00;-0.00"))&amp;")","within $"&amp;TEXT(profit_line,"#,##0")&amp;" of "&amp;IF($V67,"its band","the book")&amp;" ("&amp;IF(ROUND($AB67*100,2)=0,"0.00",TEXT($AB67*100,"+0.00;-0.00"))&amp;" points)")),IF(LEFT($Y67,5)="worse","short of ","ahead of ")&amp;IF($V67,"its band","the book")&amp;" by "&amp;TEXT(ABS($AB67)*100,"0.00")&amp;" points"&amp;IF($Z67="",""," ($"&amp;TEXT(ABS($Z67),"#,##0")&amp;")")&amp;IF(RIGHT($Y67,15)="not significant"," (not significant)","")))</f>
        <v/>
      </c>
      <c r="AE67">
        <f>IF($V67,IF($S67="","",$S67),IF($R67="","",$R67))</f>
        <v/>
      </c>
      <c r="AF67">
        <f>IF($V67,IF($U67="","",$U67),IF($T67="","",$T67))</f>
        <v/>
      </c>
      <c r="AG67">
        <f>IF($V67,IF($O67="","",$O67),IF($P67="","",$P67))</f>
        <v/>
      </c>
      <c r="AH67" t="n">
        <v>0.1675406164276845</v>
      </c>
      <c r="AI67">
        <f>IF($Y67="worse","Yes",IF($Y67="worse, not significant","Not sure",IF(OR($Y67="too few losses to test",$Y67="too few loans to test"),"Too few losses",IF($Y67="","","No"))))</f>
        <v/>
      </c>
      <c r="AJ67">
        <f>IF($AA67="yes","Yes",IF($AA67="","","No"))</f>
        <v/>
      </c>
    </row>
    <row r="68">
      <c r="A68" t="inlineStr">
        <is>
          <t>grids</t>
        </is>
      </c>
      <c r="B68" t="inlineStr">
        <is>
          <t>FICO x CHANNEL</t>
        </is>
      </c>
      <c r="C68" t="inlineStr">
        <is>
          <t>686 - 711</t>
        </is>
      </c>
      <c r="D68" t="inlineStr">
        <is>
          <t>Online</t>
        </is>
      </c>
      <c r="E68" t="inlineStr">
        <is>
          <t>contribution_rate</t>
        </is>
      </c>
      <c r="F68" t="inlineStr">
        <is>
          <t>Contribution before losses per booked dollar</t>
        </is>
      </c>
      <c r="G68" t="n">
        <v>546</v>
      </c>
      <c r="H68" t="n">
        <v>17660164.64000002</v>
      </c>
      <c r="I68" t="b">
        <v>0</v>
      </c>
      <c r="J68" t="b">
        <v>0</v>
      </c>
      <c r="K68" t="n">
        <v>0.04427764323136515</v>
      </c>
      <c r="L68" t="n">
        <v>0.000158317501583175</v>
      </c>
      <c r="M68" t="n">
        <v>0.05721072099867444</v>
      </c>
      <c r="N68" t="n">
        <v>0.0002571171454283143</v>
      </c>
      <c r="O68" t="n">
        <v>-781950.4693370908</v>
      </c>
      <c r="P68" t="n">
        <v>-1010350.752009697</v>
      </c>
      <c r="Q68">
        <f>'_live'!$C$24</f>
        <v/>
      </c>
      <c r="R68" t="inlineStr">
        <is>
          <t>shuffled: 0 of 10,000</t>
        </is>
      </c>
      <c r="S68" t="inlineStr">
        <is>
          <t>shuffled: 0 of 10,000</t>
        </is>
      </c>
      <c r="T68" t="n">
        <v>0.1665619777972186</v>
      </c>
      <c r="U68" t="n">
        <v>0.1536289000299093</v>
      </c>
      <c r="V68">
        <f>AND(judged_band,NOT($J68))</f>
        <v/>
      </c>
      <c r="W68">
        <f>IF($K68="","",IF(profit_kind="test",IF(OR(NOT(AND(ISNUMBER($L68),$L68&lt;significance_bar)),$K68=0),"in line",IF($K68&lt;0,"worse","better")),IF(OR($K68=0,IF(profit_kind="points",ABS($K68),ABS($K68*$H68))&lt;profit_line*(1-1E-9)),"in line",IF(AND(ISNUMBER($L68),$L68&lt;significance_bar),IF($K68&lt;0,"worse","better"),IF($K68&lt;0,"worse, not significant","better, not significant")))))</f>
        <v/>
      </c>
      <c r="X68">
        <f>IF($M68="","",IF(profit_kind="test",IF(OR(NOT(AND(ISNUMBER($N68),$N68&lt;significance_bar)),$M68=0),"in line",IF($M68&lt;0,"worse","better")),IF(OR($M68=0,IF(profit_kind="points",ABS($M68),ABS($M68*$H68))&lt;profit_line*(1-1E-9)),"in line",IF(AND(ISNUMBER($N68),$N68&lt;significance_bar),IF($M68&lt;0,"worse","better"),IF($M68&lt;0,"worse, not significant","better, not significant")))))</f>
        <v/>
      </c>
      <c r="Y68">
        <f>IF($V68,$X68,$W68)</f>
        <v/>
      </c>
      <c r="Z68">
        <f>IF($V68,IF($P68="","",$P68),IF($O68="","",$O68))</f>
        <v/>
      </c>
      <c r="AA68">
        <f>IF(OR($Q68="",$Z68=""),"",IF(AND($Z68&gt;0,$Z68&gt;=$Q68),"yes","below the line"))</f>
        <v/>
      </c>
      <c r="AB68">
        <f>IF($V68,IF($M68="","",$M68),IF($K68="","",$K68))</f>
        <v/>
      </c>
      <c r="AC68">
        <f>IF($V68,IF($N68="","",$N68),IF($L68="","",$L68))</f>
        <v/>
      </c>
      <c r="AD68">
        <f>IF($Y68="","",IF($Y68="in line",IF(profit_kind="test",IF(ROUND($AB68*100,2)=0,"0.00",TEXT($AB68*100,"+0.00;-0.00"))&amp;" points against "&amp;IF($V68,"its band","the book")&amp;", "&amp;IF($AC68="","not tested","not significant"),IF(profit_kind="points","within "&amp;TEXT(profit_line*100,"0.00")&amp;" points of "&amp;IF($V68,"its band","the book")&amp;" ("&amp;IF(ROUND($AB68*100,2)=0,"0.00",TEXT($AB68*100,"+0.00;-0.00"))&amp;")","within $"&amp;TEXT(profit_line,"#,##0")&amp;" of "&amp;IF($V68,"its band","the book")&amp;" ("&amp;IF(ROUND($AB68*100,2)=0,"0.00",TEXT($AB68*100,"+0.00;-0.00"))&amp;" points)")),IF(LEFT($Y68,5)="worse","short of ","ahead of ")&amp;IF($V68,"its band","the book")&amp;" by "&amp;TEXT(ABS($AB68)*100,"0.00")&amp;" points"&amp;IF($Z68="",""," ($"&amp;TEXT(ABS($Z68),"#,##0")&amp;")")&amp;IF(RIGHT($Y68,15)="not significant"," (not significant)","")))</f>
        <v/>
      </c>
      <c r="AE68">
        <f>IF($V68,IF($S68="","",$S68),IF($R68="","",$R68))</f>
        <v/>
      </c>
      <c r="AF68">
        <f>IF($V68,IF($U68="","",$U68),IF($T68="","",$T68))</f>
        <v/>
      </c>
      <c r="AG68">
        <f>IF($V68,IF($O68="","",$O68),IF($P68="","",$P68))</f>
        <v/>
      </c>
      <c r="AH68" t="n">
        <v>0.2108396210285837</v>
      </c>
      <c r="AI68">
        <f>IF($Y68="worse","Yes",IF($Y68="worse, not significant","Not sure",IF(OR($Y68="too few losses to test",$Y68="too few loans to test"),"Too few losses",IF($Y68="","","No"))))</f>
        <v/>
      </c>
      <c r="AJ68">
        <f>IF($AA68="yes","Yes",IF($AA68="","","No"))</f>
        <v/>
      </c>
    </row>
    <row r="69">
      <c r="A69" t="inlineStr">
        <is>
          <t>grids</t>
        </is>
      </c>
      <c r="B69" t="inlineStr">
        <is>
          <t>FICO x CHANNEL</t>
        </is>
      </c>
      <c r="C69" t="inlineStr">
        <is>
          <t>654 - 685</t>
        </is>
      </c>
      <c r="D69" t="inlineStr">
        <is>
          <t>Online</t>
        </is>
      </c>
      <c r="E69" t="inlineStr">
        <is>
          <t>outcome_loans</t>
        </is>
      </c>
      <c r="F69" t="inlineStr">
        <is>
          <t>Outcome, share of loans</t>
        </is>
      </c>
      <c r="G69" t="n">
        <v>505</v>
      </c>
      <c r="H69" t="n">
        <v>505</v>
      </c>
      <c r="I69" t="b">
        <v>0</v>
      </c>
      <c r="J69" t="b">
        <v>0</v>
      </c>
      <c r="K69" t="n">
        <v>1.080179144430908</v>
      </c>
      <c r="L69" t="n">
        <v>0.7099475760368447</v>
      </c>
      <c r="M69" t="n">
        <v>0.9772277227722773</v>
      </c>
      <c r="N69" t="n">
        <v>0.8978554344132285</v>
      </c>
      <c r="O69" t="n">
        <v>3.117560715238859</v>
      </c>
      <c r="P69" t="n">
        <v>-0.9787234042553195</v>
      </c>
      <c r="Q69">
        <f>'_live'!$C$20</f>
        <v/>
      </c>
      <c r="R69" t="inlineStr">
        <is>
          <t>z test</t>
        </is>
      </c>
      <c r="S69" t="inlineStr">
        <is>
          <t>z test</t>
        </is>
      </c>
      <c r="T69" t="n">
        <v>0.07699492927675473</v>
      </c>
      <c r="U69" t="n">
        <v>0.0851063829787234</v>
      </c>
      <c r="V69">
        <f>AND(judged_band,NOT($J69))</f>
        <v/>
      </c>
      <c r="W69">
        <f>IF($K69="","",IF($I69,"too few losses to test",IF(AND($K69&gt;better_at,$K69&lt;worse_at),"in line",IF($K69&gt;=worse_at,IF(AND(ISNUMBER($L69),$L69&lt;significance_bar),"worse","worse, not significant"),IF(AND(ISNUMBER($L69),$L69&lt;significance_bar),"better","better, not significant")))))</f>
        <v/>
      </c>
      <c r="X69">
        <f>IF($M69="","",IF($I69,"too few losses to test",IF(AND($M69&gt;better_at,$M69&lt;worse_at),"in line",IF($M69&gt;=worse_at,IF(AND(ISNUMBER($N69),$N69&lt;significance_bar),"worse","worse, not significant"),IF(AND(ISNUMBER($N69),$N69&lt;significance_bar),"better","better, not significant")))))</f>
        <v/>
      </c>
      <c r="Y69">
        <f>IF($V69,$X69,$W69)</f>
        <v/>
      </c>
      <c r="Z69">
        <f>IF($V69,IF($P69="","",$P69),IF($O69="","",$O69))</f>
        <v/>
      </c>
      <c r="AA69">
        <f>IF(OR($Q69="",$Z69=""),"",IF(AND($Z69&gt;0,$Z69&gt;=$Q69),"yes","below the line"))</f>
        <v/>
      </c>
      <c r="AB69">
        <f>IF($V69,IF($M69="","",$M69),IF($K69="","",$K69))</f>
        <v/>
      </c>
      <c r="AC69">
        <f>IF($V69,IF($N69="","",$N69),IF($L69="","",$L69))</f>
        <v/>
      </c>
      <c r="AD69">
        <f>$Y69</f>
        <v/>
      </c>
      <c r="AE69">
        <f>IF($V69,IF($S69="","",$S69),IF($R69="","",$R69))</f>
        <v/>
      </c>
      <c r="AF69">
        <f>IF($V69,IF($U69="","",$U69),IF($T69="","",$T69))</f>
        <v/>
      </c>
      <c r="AG69">
        <f>IF($V69,IF($O69="","",$O69),IF($P69="","",$P69))</f>
        <v/>
      </c>
      <c r="AH69" t="n">
        <v>0.08316831683168317</v>
      </c>
      <c r="AI69">
        <f>IF($Y69="worse","Yes",IF($Y69="worse, not significant","Not sure",IF(OR($Y69="too few losses to test",$Y69="too few loans to test"),"Too few losses",IF($Y69="","","No"))))</f>
        <v/>
      </c>
      <c r="AJ69">
        <f>IF($AA69="yes","Yes",IF($AA69="","","No"))</f>
        <v/>
      </c>
    </row>
    <row r="70">
      <c r="A70" t="inlineStr">
        <is>
          <t>grids</t>
        </is>
      </c>
      <c r="B70" t="inlineStr">
        <is>
          <t>FICO x CHANNEL</t>
        </is>
      </c>
      <c r="C70" t="inlineStr">
        <is>
          <t>654 - 685</t>
        </is>
      </c>
      <c r="D70" t="inlineStr">
        <is>
          <t>Online</t>
        </is>
      </c>
      <c r="E70" t="inlineStr">
        <is>
          <t>outcome_booked</t>
        </is>
      </c>
      <c r="F70" t="inlineStr">
        <is>
          <t>Outcome, share of booked dollars</t>
        </is>
      </c>
      <c r="G70" t="n">
        <v>505</v>
      </c>
      <c r="H70" t="n">
        <v>15851602.49999998</v>
      </c>
      <c r="I70" t="b">
        <v>0</v>
      </c>
      <c r="J70" t="b">
        <v>0</v>
      </c>
      <c r="K70" t="n">
        <v>1.030589840970626</v>
      </c>
      <c r="L70" t="n">
        <v>0.8905109489051095</v>
      </c>
      <c r="M70" t="n">
        <v>0.9476799112696344</v>
      </c>
      <c r="N70" t="n">
        <v>0.844522690588084</v>
      </c>
      <c r="O70" t="n">
        <v>36216.31025212537</v>
      </c>
      <c r="P70" t="n">
        <v>-67362.72342539555</v>
      </c>
      <c r="Q70">
        <f>'_live'!$C$21</f>
        <v/>
      </c>
      <c r="R70" t="inlineStr">
        <is>
          <t>shuffled: 8,626 of 10,000</t>
        </is>
      </c>
      <c r="S70" t="inlineStr">
        <is>
          <t>shuffled: 7,882 of 10,000</t>
        </is>
      </c>
      <c r="T70" t="n">
        <v>0.07468851239159424</v>
      </c>
      <c r="U70" t="n">
        <v>0.08122280655381039</v>
      </c>
      <c r="V70">
        <f>AND(judged_band,NOT($J70))</f>
        <v/>
      </c>
      <c r="W70">
        <f>IF($K70="","",IF($I70,"too few losses to test",IF(AND($K70&gt;better_at,$K70&lt;worse_at),"in line",IF($K70&gt;=worse_at,IF(AND(ISNUMBER($L70),$L70&lt;significance_bar),"worse","worse, not significant"),IF(AND(ISNUMBER($L70),$L70&lt;significance_bar),"better","better, not significant")))))</f>
        <v/>
      </c>
      <c r="X70">
        <f>IF($M70="","",IF($I70,"too few losses to test",IF(AND($M70&gt;better_at,$M70&lt;worse_at),"in line",IF($M70&gt;=worse_at,IF(AND(ISNUMBER($N70),$N70&lt;significance_bar),"worse","worse, not significant"),IF(AND(ISNUMBER($N70),$N70&lt;significance_bar),"better","better, not significant")))))</f>
        <v/>
      </c>
      <c r="Y70">
        <f>IF($V70,$X70,$W70)</f>
        <v/>
      </c>
      <c r="Z70">
        <f>IF($V70,IF($P70="","",$P70),IF($O70="","",$O70))</f>
        <v/>
      </c>
      <c r="AA70">
        <f>IF(OR($Q70="",$Z70=""),"",IF(AND($Z70&gt;0,$Z70&gt;=$Q70),"yes","below the line"))</f>
        <v/>
      </c>
      <c r="AB70">
        <f>IF($V70,IF($M70="","",$M70),IF($K70="","",$K70))</f>
        <v/>
      </c>
      <c r="AC70">
        <f>IF($V70,IF($N70="","",$N70),IF($L70="","",$L70))</f>
        <v/>
      </c>
      <c r="AD70">
        <f>$Y70</f>
        <v/>
      </c>
      <c r="AE70">
        <f>IF($V70,IF($S70="","",$S70),IF($R70="","",$R70))</f>
        <v/>
      </c>
      <c r="AF70">
        <f>IF($V70,IF($U70="","",$U70),IF($T70="","",$T70))</f>
        <v/>
      </c>
      <c r="AG70">
        <f>IF($V70,IF($O70="","",$O70),IF($P70="","",$P70))</f>
        <v/>
      </c>
      <c r="AH70" t="n">
        <v>0.07697322210798571</v>
      </c>
      <c r="AI70">
        <f>IF($Y70="worse","Yes",IF($Y70="worse, not significant","Not sure",IF(OR($Y70="too few losses to test",$Y70="too few loans to test"),"Too few losses",IF($Y70="","","No"))))</f>
        <v/>
      </c>
      <c r="AJ70">
        <f>IF($AA70="yes","Yes",IF($AA70="","","No"))</f>
        <v/>
      </c>
    </row>
    <row r="71">
      <c r="A71" t="inlineStr">
        <is>
          <t>grids</t>
        </is>
      </c>
      <c r="B71" t="inlineStr">
        <is>
          <t>FICO x CHANNEL</t>
        </is>
      </c>
      <c r="C71" t="inlineStr">
        <is>
          <t>654 - 685</t>
        </is>
      </c>
      <c r="D71" t="inlineStr">
        <is>
          <t>Online</t>
        </is>
      </c>
      <c r="E71" t="inlineStr">
        <is>
          <t>gco_rate</t>
        </is>
      </c>
      <c r="F71" t="inlineStr">
        <is>
          <t>GCO per booked dollar</t>
        </is>
      </c>
      <c r="G71" t="n">
        <v>505</v>
      </c>
      <c r="H71" t="n">
        <v>15851602.49999998</v>
      </c>
      <c r="I71" t="b">
        <v>0</v>
      </c>
      <c r="J71" t="b">
        <v>0</v>
      </c>
      <c r="K71" t="n">
        <v>1.04877101684204</v>
      </c>
      <c r="L71" t="n">
        <v>0.8654134586541345</v>
      </c>
      <c r="M71" t="n">
        <v>0.9452479312942789</v>
      </c>
      <c r="N71" t="n">
        <v>0.7933206679332067</v>
      </c>
      <c r="O71" t="n">
        <v>32068.89560412639</v>
      </c>
      <c r="P71" t="n">
        <v>-39944.56239244947</v>
      </c>
      <c r="Q71">
        <f>'_live'!$C$22</f>
        <v/>
      </c>
      <c r="R71" t="inlineStr">
        <is>
          <t>shuffled: 7,853 of 10,000</t>
        </is>
      </c>
      <c r="S71" t="inlineStr">
        <is>
          <t>shuffled: 7,933 of 10,000</t>
        </is>
      </c>
      <c r="T71" t="n">
        <v>0.04148098114344428</v>
      </c>
      <c r="U71" t="n">
        <v>0.0460239576656335</v>
      </c>
      <c r="V71">
        <f>AND(judged_band,NOT($J71))</f>
        <v/>
      </c>
      <c r="W71">
        <f>IF($K71="","",IF($I71,"too few losses to test",IF(AND($K71&gt;better_at,$K71&lt;worse_at),"in line",IF($K71&gt;=worse_at,IF(AND(ISNUMBER($L71),$L71&lt;significance_bar),"worse","worse, not significant"),IF(AND(ISNUMBER($L71),$L71&lt;significance_bar),"better","better, not significant")))))</f>
        <v/>
      </c>
      <c r="X71">
        <f>IF($M71="","",IF($I71,"too few losses to test",IF(AND($M71&gt;better_at,$M71&lt;worse_at),"in line",IF($M71&gt;=worse_at,IF(AND(ISNUMBER($N71),$N71&lt;significance_bar),"worse","worse, not significant"),IF(AND(ISNUMBER($N71),$N71&lt;significance_bar),"better","better, not significant")))))</f>
        <v/>
      </c>
      <c r="Y71">
        <f>IF($V71,$X71,$W71)</f>
        <v/>
      </c>
      <c r="Z71">
        <f>IF($V71,IF($P71="","",$P71),IF($O71="","",$O71))</f>
        <v/>
      </c>
      <c r="AA71">
        <f>IF(OR($Q71="",$Z71=""),"",IF(AND($Z71&gt;0,$Z71&gt;=$Q71),"yes","below the line"))</f>
        <v/>
      </c>
      <c r="AB71">
        <f>IF($V71,IF($M71="","",$M71),IF($K71="","",$K71))</f>
        <v/>
      </c>
      <c r="AC71">
        <f>IF($V71,IF($N71="","",$N71),IF($L71="","",$L71))</f>
        <v/>
      </c>
      <c r="AD71">
        <f>$Y71</f>
        <v/>
      </c>
      <c r="AE71">
        <f>IF($V71,IF($S71="","",$S71),IF($R71="","",$R71))</f>
        <v/>
      </c>
      <c r="AF71">
        <f>IF($V71,IF($U71="","",$U71),IF($T71="","",$T71))</f>
        <v/>
      </c>
      <c r="AG71">
        <f>IF($V71,IF($O71="","",$O71),IF($P71="","",$P71))</f>
        <v/>
      </c>
      <c r="AH71" t="n">
        <v>0.04350405077341554</v>
      </c>
      <c r="AI71">
        <f>IF($Y71="worse","Yes",IF($Y71="worse, not significant","Not sure",IF(OR($Y71="too few losses to test",$Y71="too few loans to test"),"Too few losses",IF($Y71="","","No"))))</f>
        <v/>
      </c>
      <c r="AJ71">
        <f>IF($AA71="yes","Yes",IF($AA71="","","No"))</f>
        <v/>
      </c>
    </row>
    <row r="72">
      <c r="A72" t="inlineStr">
        <is>
          <t>grids</t>
        </is>
      </c>
      <c r="B72" t="inlineStr">
        <is>
          <t>FICO x CHANNEL</t>
        </is>
      </c>
      <c r="C72" t="inlineStr">
        <is>
          <t>654 - 685</t>
        </is>
      </c>
      <c r="D72" t="inlineStr">
        <is>
          <t>Online</t>
        </is>
      </c>
      <c r="E72" t="inlineStr">
        <is>
          <t>ranr_rate</t>
        </is>
      </c>
      <c r="F72" t="inlineStr">
        <is>
          <t>Profit after losses: RANR per booked dollar</t>
        </is>
      </c>
      <c r="G72" t="n">
        <v>505</v>
      </c>
      <c r="H72" t="n">
        <v>15851602.49999998</v>
      </c>
      <c r="I72" t="b">
        <v>0</v>
      </c>
      <c r="J72" t="b">
        <v>0</v>
      </c>
      <c r="K72" t="n">
        <v>0.05723357558028858</v>
      </c>
      <c r="L72" t="n">
        <v>0.0002110900021109</v>
      </c>
      <c r="M72" t="n">
        <v>0.0274498421666097</v>
      </c>
      <c r="N72" t="n">
        <v>0.05009499050094991</v>
      </c>
      <c r="O72" t="n">
        <v>-907243.8897524406</v>
      </c>
      <c r="P72" t="n">
        <v>-435123.9867128353</v>
      </c>
      <c r="Q72">
        <f>'_live'!$C$23</f>
        <v/>
      </c>
      <c r="R72" t="inlineStr">
        <is>
          <t>shuffled: 0 of 10,000</t>
        </is>
      </c>
      <c r="S72" t="inlineStr">
        <is>
          <t>shuffled: 166 of 10,000</t>
        </is>
      </c>
      <c r="T72" t="n">
        <v>0.1244745331109308</v>
      </c>
      <c r="U72" t="n">
        <v>0.1542582665246096</v>
      </c>
      <c r="V72">
        <f>AND(judged_band,NOT($J72))</f>
        <v/>
      </c>
      <c r="W72">
        <f>IF($K72="","",IF(profit_kind="test",IF(OR(NOT(AND(ISNUMBER($L72),$L72&lt;significance_bar)),$K72=0),"in line",IF($K72&lt;0,"worse","better")),IF(OR($K72=0,IF(profit_kind="points",ABS($K72),ABS($K72*$H72))&lt;profit_line*(1-1E-9)),"in line",IF(AND(ISNUMBER($L72),$L72&lt;significance_bar),IF($K72&lt;0,"worse","better"),IF($K72&lt;0,"worse, not significant","better, not significant")))))</f>
        <v/>
      </c>
      <c r="X72">
        <f>IF($M72="","",IF(profit_kind="test",IF(OR(NOT(AND(ISNUMBER($N72),$N72&lt;significance_bar)),$M72=0),"in line",IF($M72&lt;0,"worse","better")),IF(OR($M72=0,IF(profit_kind="points",ABS($M72),ABS($M72*$H72))&lt;profit_line*(1-1E-9)),"in line",IF(AND(ISNUMBER($N72),$N72&lt;significance_bar),IF($M72&lt;0,"worse","better"),IF($M72&lt;0,"worse, not significant","better, not significant")))))</f>
        <v/>
      </c>
      <c r="Y72">
        <f>IF($V72,$X72,$W72)</f>
        <v/>
      </c>
      <c r="Z72">
        <f>IF($V72,IF($P72="","",$P72),IF($O72="","",$O72))</f>
        <v/>
      </c>
      <c r="AA72">
        <f>IF(OR($Q72="",$Z72=""),"",IF(AND($Z72&gt;0,$Z72&gt;=$Q72),"yes","below the line"))</f>
        <v/>
      </c>
      <c r="AB72">
        <f>IF($V72,IF($M72="","",$M72),IF($K72="","",$K72))</f>
        <v/>
      </c>
      <c r="AC72">
        <f>IF($V72,IF($N72="","",$N72),IF($L72="","",$L72))</f>
        <v/>
      </c>
      <c r="AD72">
        <f>IF($Y72="","",IF($Y72="in line",IF(profit_kind="test",IF(ROUND($AB72*100,2)=0,"0.00",TEXT($AB72*100,"+0.00;-0.00"))&amp;" points against "&amp;IF($V72,"its band","the book")&amp;", "&amp;IF($AC72="","not tested","not significant"),IF(profit_kind="points","within "&amp;TEXT(profit_line*100,"0.00")&amp;" points of "&amp;IF($V72,"its band","the book")&amp;" ("&amp;IF(ROUND($AB72*100,2)=0,"0.00",TEXT($AB72*100,"+0.00;-0.00"))&amp;")","within $"&amp;TEXT(profit_line,"#,##0")&amp;" of "&amp;IF($V72,"its band","the book")&amp;" ("&amp;IF(ROUND($AB72*100,2)=0,"0.00",TEXT($AB72*100,"+0.00;-0.00"))&amp;" points)")),IF(LEFT($Y72,5)="worse","short of ","ahead of ")&amp;IF($V72,"its band","the book")&amp;" by "&amp;TEXT(ABS($AB72)*100,"0.00")&amp;" points"&amp;IF($Z72="",""," ($"&amp;TEXT(ABS($Z72),"#,##0")&amp;")")&amp;IF(RIGHT($Y72,15)="not significant"," (not significant)","")))</f>
        <v/>
      </c>
      <c r="AE72">
        <f>IF($V72,IF($S72="","",$S72),IF($R72="","",$R72))</f>
        <v/>
      </c>
      <c r="AF72">
        <f>IF($V72,IF($U72="","",$U72),IF($T72="","",$T72))</f>
        <v/>
      </c>
      <c r="AG72">
        <f>IF($V72,IF($O72="","",$O72),IF($P72="","",$P72))</f>
        <v/>
      </c>
      <c r="AH72" t="n">
        <v>0.1817081086912193</v>
      </c>
      <c r="AI72">
        <f>IF($Y72="worse","Yes",IF($Y72="worse, not significant","Not sure",IF(OR($Y72="too few losses to test",$Y72="too few loans to test"),"Too few losses",IF($Y72="","","No"))))</f>
        <v/>
      </c>
      <c r="AJ72">
        <f>IF($AA72="yes","Yes",IF($AA72="","","No"))</f>
        <v/>
      </c>
    </row>
    <row r="73">
      <c r="A73" t="inlineStr">
        <is>
          <t>grids</t>
        </is>
      </c>
      <c r="B73" t="inlineStr">
        <is>
          <t>FICO x CHANNEL</t>
        </is>
      </c>
      <c r="C73" t="inlineStr">
        <is>
          <t>654 - 685</t>
        </is>
      </c>
      <c r="D73" t="inlineStr">
        <is>
          <t>Online</t>
        </is>
      </c>
      <c r="E73" t="inlineStr">
        <is>
          <t>contribution_rate</t>
        </is>
      </c>
      <c r="F73" t="inlineStr">
        <is>
          <t>Contribution before losses per booked dollar</t>
        </is>
      </c>
      <c r="G73" t="n">
        <v>505</v>
      </c>
      <c r="H73" t="n">
        <v>15851602.49999998</v>
      </c>
      <c r="I73" t="b">
        <v>0</v>
      </c>
      <c r="J73" t="b">
        <v>0</v>
      </c>
      <c r="K73" t="n">
        <v>0.05926026767865153</v>
      </c>
      <c r="L73" t="n">
        <v>0.000158317501583175</v>
      </c>
      <c r="M73" t="n">
        <v>0.02492993527439166</v>
      </c>
      <c r="N73" t="n">
        <v>0.0002571171454283143</v>
      </c>
      <c r="O73" t="n">
        <v>-939370.2072855812</v>
      </c>
      <c r="P73" t="n">
        <v>-395179.4243203849</v>
      </c>
      <c r="Q73">
        <f>'_live'!$C$24</f>
        <v/>
      </c>
      <c r="R73" t="inlineStr">
        <is>
          <t>shuffled: 0 of 10,000</t>
        </is>
      </c>
      <c r="S73" t="inlineStr">
        <is>
          <t>shuffled: 0 of 10,000</t>
        </is>
      </c>
      <c r="T73" t="n">
        <v>0.1659518917859834</v>
      </c>
      <c r="U73" t="n">
        <v>0.2002822241902432</v>
      </c>
      <c r="V73">
        <f>AND(judged_band,NOT($J73))</f>
        <v/>
      </c>
      <c r="W73">
        <f>IF($K73="","",IF(profit_kind="test",IF(OR(NOT(AND(ISNUMBER($L73),$L73&lt;significance_bar)),$K73=0),"in line",IF($K73&lt;0,"worse","better")),IF(OR($K73=0,IF(profit_kind="points",ABS($K73),ABS($K73*$H73))&lt;profit_line*(1-1E-9)),"in line",IF(AND(ISNUMBER($L73),$L73&lt;significance_bar),IF($K73&lt;0,"worse","better"),IF($K73&lt;0,"worse, not significant","better, not significant")))))</f>
        <v/>
      </c>
      <c r="X73">
        <f>IF($M73="","",IF(profit_kind="test",IF(OR(NOT(AND(ISNUMBER($N73),$N73&lt;significance_bar)),$M73=0),"in line",IF($M73&lt;0,"worse","better")),IF(OR($M73=0,IF(profit_kind="points",ABS($M73),ABS($M73*$H73))&lt;profit_line*(1-1E-9)),"in line",IF(AND(ISNUMBER($N73),$N73&lt;significance_bar),IF($M73&lt;0,"worse","better"),IF($M73&lt;0,"worse, not significant","better, not significant")))))</f>
        <v/>
      </c>
      <c r="Y73">
        <f>IF($V73,$X73,$W73)</f>
        <v/>
      </c>
      <c r="Z73">
        <f>IF($V73,IF($P73="","",$P73),IF($O73="","",$O73))</f>
        <v/>
      </c>
      <c r="AA73">
        <f>IF(OR($Q73="",$Z73=""),"",IF(AND($Z73&gt;0,$Z73&gt;=$Q73),"yes","below the line"))</f>
        <v/>
      </c>
      <c r="AB73">
        <f>IF($V73,IF($M73="","",$M73),IF($K73="","",$K73))</f>
        <v/>
      </c>
      <c r="AC73">
        <f>IF($V73,IF($N73="","",$N73),IF($L73="","",$L73))</f>
        <v/>
      </c>
      <c r="AD73">
        <f>IF($Y73="","",IF($Y73="in line",IF(profit_kind="test",IF(ROUND($AB73*100,2)=0,"0.00",TEXT($AB73*100,"+0.00;-0.00"))&amp;" points against "&amp;IF($V73,"its band","the book")&amp;", "&amp;IF($AC73="","not tested","not significant"),IF(profit_kind="points","within "&amp;TEXT(profit_line*100,"0.00")&amp;" points of "&amp;IF($V73,"its band","the book")&amp;" ("&amp;IF(ROUND($AB73*100,2)=0,"0.00",TEXT($AB73*100,"+0.00;-0.00"))&amp;")","within $"&amp;TEXT(profit_line,"#,##0")&amp;" of "&amp;IF($V73,"its band","the book")&amp;" ("&amp;IF(ROUND($AB73*100,2)=0,"0.00",TEXT($AB73*100,"+0.00;-0.00"))&amp;" points)")),IF(LEFT($Y73,5)="worse","short of ","ahead of ")&amp;IF($V73,"its band","the book")&amp;" by "&amp;TEXT(ABS($AB73)*100,"0.00")&amp;" points"&amp;IF($Z73="",""," ($"&amp;TEXT(ABS($Z73),"#,##0")&amp;")")&amp;IF(RIGHT($Y73,15)="not significant"," (not significant)","")))</f>
        <v/>
      </c>
      <c r="AE73">
        <f>IF($V73,IF($S73="","",$S73),IF($R73="","",$R73))</f>
        <v/>
      </c>
      <c r="AF73">
        <f>IF($V73,IF($U73="","",$U73),IF($T73="","",$T73))</f>
        <v/>
      </c>
      <c r="AG73">
        <f>IF($V73,IF($O73="","",$O73),IF($P73="","",$P73))</f>
        <v/>
      </c>
      <c r="AH73" t="n">
        <v>0.2252121594646349</v>
      </c>
      <c r="AI73">
        <f>IF($Y73="worse","Yes",IF($Y73="worse, not significant","Not sure",IF(OR($Y73="too few losses to test",$Y73="too few loans to test"),"Too few losses",IF($Y73="","","No"))))</f>
        <v/>
      </c>
      <c r="AJ73">
        <f>IF($AA73="yes","Yes",IF($AA73="","","No"))</f>
        <v/>
      </c>
    </row>
    <row r="74">
      <c r="A74" t="inlineStr">
        <is>
          <t>grids</t>
        </is>
      </c>
      <c r="B74" t="inlineStr">
        <is>
          <t>FICO x CHANNEL</t>
        </is>
      </c>
      <c r="C74" t="inlineStr">
        <is>
          <t>654 - 685</t>
        </is>
      </c>
      <c r="D74" t="inlineStr">
        <is>
          <t>Broker</t>
        </is>
      </c>
      <c r="E74" t="inlineStr">
        <is>
          <t>outcome_loans</t>
        </is>
      </c>
      <c r="F74" t="inlineStr">
        <is>
          <t>Outcome, share of loans</t>
        </is>
      </c>
      <c r="G74" t="n">
        <v>531</v>
      </c>
      <c r="H74" t="n">
        <v>531</v>
      </c>
      <c r="I74" t="b">
        <v>0</v>
      </c>
      <c r="J74" t="b">
        <v>0</v>
      </c>
      <c r="K74" t="n">
        <v>1.049918916091233</v>
      </c>
      <c r="L74" t="n">
        <v>0.8017907608235507</v>
      </c>
      <c r="M74" t="n">
        <v>0.938242743035262</v>
      </c>
      <c r="N74" t="n">
        <v>0.8063280654421801</v>
      </c>
      <c r="O74" t="n">
        <v>2.044456347080882</v>
      </c>
      <c r="P74" t="n">
        <v>-2.830357142857139</v>
      </c>
      <c r="Q74">
        <f>'_live'!$C$20</f>
        <v/>
      </c>
      <c r="R74" t="inlineStr">
        <is>
          <t>z test</t>
        </is>
      </c>
      <c r="S74" t="inlineStr">
        <is>
          <t>z test</t>
        </is>
      </c>
      <c r="T74" t="n">
        <v>0.0771290840921264</v>
      </c>
      <c r="U74" t="n">
        <v>0.08630952380952381</v>
      </c>
      <c r="V74">
        <f>AND(judged_band,NOT($J74))</f>
        <v/>
      </c>
      <c r="W74">
        <f>IF($K74="","",IF($I74,"too few losses to test",IF(AND($K74&gt;better_at,$K74&lt;worse_at),"in line",IF($K74&gt;=worse_at,IF(AND(ISNUMBER($L74),$L74&lt;significance_bar),"worse","worse, not significant"),IF(AND(ISNUMBER($L74),$L74&lt;significance_bar),"better","better, not significant")))))</f>
        <v/>
      </c>
      <c r="X74">
        <f>IF($M74="","",IF($I74,"too few losses to test",IF(AND($M74&gt;better_at,$M74&lt;worse_at),"in line",IF($M74&gt;=worse_at,IF(AND(ISNUMBER($N74),$N74&lt;significance_bar),"worse","worse, not significant"),IF(AND(ISNUMBER($N74),$N74&lt;significance_bar),"better","better, not significant")))))</f>
        <v/>
      </c>
      <c r="Y74">
        <f>IF($V74,$X74,$W74)</f>
        <v/>
      </c>
      <c r="Z74">
        <f>IF($V74,IF($P74="","",$P74),IF($O74="","",$O74))</f>
        <v/>
      </c>
      <c r="AA74">
        <f>IF(OR($Q74="",$Z74=""),"",IF(AND($Z74&gt;0,$Z74&gt;=$Q74),"yes","below the line"))</f>
        <v/>
      </c>
      <c r="AB74">
        <f>IF($V74,IF($M74="","",$M74),IF($K74="","",$K74))</f>
        <v/>
      </c>
      <c r="AC74">
        <f>IF($V74,IF($N74="","",$N74),IF($L74="","",$L74))</f>
        <v/>
      </c>
      <c r="AD74">
        <f>$Y74</f>
        <v/>
      </c>
      <c r="AE74">
        <f>IF($V74,IF($S74="","",$S74),IF($R74="","",$R74))</f>
        <v/>
      </c>
      <c r="AF74">
        <f>IF($V74,IF($U74="","",$U74),IF($T74="","",$T74))</f>
        <v/>
      </c>
      <c r="AG74">
        <f>IF($V74,IF($O74="","",$O74),IF($P74="","",$P74))</f>
        <v/>
      </c>
      <c r="AH74" t="n">
        <v>0.08097928436911488</v>
      </c>
      <c r="AI74">
        <f>IF($Y74="worse","Yes",IF($Y74="worse, not significant","Not sure",IF(OR($Y74="too few losses to test",$Y74="too few loans to test"),"Too few losses",IF($Y74="","","No"))))</f>
        <v/>
      </c>
      <c r="AJ74">
        <f>IF($AA74="yes","Yes",IF($AA74="","","No"))</f>
        <v/>
      </c>
    </row>
    <row r="75">
      <c r="A75" t="inlineStr">
        <is>
          <t>grids</t>
        </is>
      </c>
      <c r="B75" t="inlineStr">
        <is>
          <t>FICO x CHANNEL</t>
        </is>
      </c>
      <c r="C75" t="inlineStr">
        <is>
          <t>654 - 685</t>
        </is>
      </c>
      <c r="D75" t="inlineStr">
        <is>
          <t>Broker</t>
        </is>
      </c>
      <c r="E75" t="inlineStr">
        <is>
          <t>outcome_booked</t>
        </is>
      </c>
      <c r="F75" t="inlineStr">
        <is>
          <t>Outcome, share of booked dollars</t>
        </is>
      </c>
      <c r="G75" t="n">
        <v>531</v>
      </c>
      <c r="H75" t="n">
        <v>17321902.42</v>
      </c>
      <c r="I75" t="b">
        <v>0</v>
      </c>
      <c r="J75" t="b">
        <v>0</v>
      </c>
      <c r="K75" t="n">
        <v>1.024181370296632</v>
      </c>
      <c r="L75" t="n">
        <v>0.8905109489051095</v>
      </c>
      <c r="M75" t="n">
        <v>0.9369131281724594</v>
      </c>
      <c r="N75" t="n">
        <v>0.844522690588084</v>
      </c>
      <c r="O75" t="n">
        <v>31292.5710633453</v>
      </c>
      <c r="P75" t="n">
        <v>-89243.55877811671</v>
      </c>
      <c r="Q75">
        <f>'_live'!$C$21</f>
        <v/>
      </c>
      <c r="R75" t="inlineStr">
        <is>
          <t>shuffled: 8,905 of 10,000</t>
        </is>
      </c>
      <c r="S75" t="inlineStr">
        <is>
          <t>shuffled: 7,453 of 10,000</t>
        </is>
      </c>
      <c r="T75" t="n">
        <v>0.07470759432534976</v>
      </c>
      <c r="U75" t="n">
        <v>0.08166619084199392</v>
      </c>
      <c r="V75">
        <f>AND(judged_band,NOT($J75))</f>
        <v/>
      </c>
      <c r="W75">
        <f>IF($K75="","",IF($I75,"too few losses to test",IF(AND($K75&gt;better_at,$K75&lt;worse_at),"in line",IF($K75&gt;=worse_at,IF(AND(ISNUMBER($L75),$L75&lt;significance_bar),"worse","worse, not significant"),IF(AND(ISNUMBER($L75),$L75&lt;significance_bar),"better","better, not significant")))))</f>
        <v/>
      </c>
      <c r="X75">
        <f>IF($M75="","",IF($I75,"too few losses to test",IF(AND($M75&gt;better_at,$M75&lt;worse_at),"in line",IF($M75&gt;=worse_at,IF(AND(ISNUMBER($N75),$N75&lt;significance_bar),"worse","worse, not significant"),IF(AND(ISNUMBER($N75),$N75&lt;significance_bar),"better","better, not significant")))))</f>
        <v/>
      </c>
      <c r="Y75">
        <f>IF($V75,$X75,$W75)</f>
        <v/>
      </c>
      <c r="Z75">
        <f>IF($V75,IF($P75="","",$P75),IF($O75="","",$O75))</f>
        <v/>
      </c>
      <c r="AA75">
        <f>IF(OR($Q75="",$Z75=""),"",IF(AND($Z75&gt;0,$Z75&gt;=$Q75),"yes","below the line"))</f>
        <v/>
      </c>
      <c r="AB75">
        <f>IF($V75,IF($M75="","",$M75),IF($K75="","",$K75))</f>
        <v/>
      </c>
      <c r="AC75">
        <f>IF($V75,IF($N75="","",$N75),IF($L75="","",$L75))</f>
        <v/>
      </c>
      <c r="AD75">
        <f>$Y75</f>
        <v/>
      </c>
      <c r="AE75">
        <f>IF($V75,IF($S75="","",$S75),IF($R75="","",$R75))</f>
        <v/>
      </c>
      <c r="AF75">
        <f>IF($V75,IF($U75="","",$U75),IF($T75="","",$T75))</f>
        <v/>
      </c>
      <c r="AG75">
        <f>IF($V75,IF($O75="","",$O75),IF($P75="","",$P75))</f>
        <v/>
      </c>
      <c r="AH75" t="n">
        <v>0.07651412632770158</v>
      </c>
      <c r="AI75">
        <f>IF($Y75="worse","Yes",IF($Y75="worse, not significant","Not sure",IF(OR($Y75="too few losses to test",$Y75="too few loans to test"),"Too few losses",IF($Y75="","","No"))))</f>
        <v/>
      </c>
      <c r="AJ75">
        <f>IF($AA75="yes","Yes",IF($AA75="","","No"))</f>
        <v/>
      </c>
    </row>
    <row r="76">
      <c r="A76" t="inlineStr">
        <is>
          <t>grids</t>
        </is>
      </c>
      <c r="B76" t="inlineStr">
        <is>
          <t>FICO x CHANNEL</t>
        </is>
      </c>
      <c r="C76" t="inlineStr">
        <is>
          <t>654 - 685</t>
        </is>
      </c>
      <c r="D76" t="inlineStr">
        <is>
          <t>Broker</t>
        </is>
      </c>
      <c r="E76" t="inlineStr">
        <is>
          <t>gco_rate</t>
        </is>
      </c>
      <c r="F76" t="inlineStr">
        <is>
          <t>GCO per booked dollar</t>
        </is>
      </c>
      <c r="G76" t="n">
        <v>531</v>
      </c>
      <c r="H76" t="n">
        <v>17321902.42</v>
      </c>
      <c r="I76" t="b">
        <v>0</v>
      </c>
      <c r="J76" t="b">
        <v>0</v>
      </c>
      <c r="K76" t="n">
        <v>1.016860330062832</v>
      </c>
      <c r="L76" t="n">
        <v>0.9238076192380762</v>
      </c>
      <c r="M76" t="n">
        <v>0.9027162731903188</v>
      </c>
      <c r="N76" t="n">
        <v>0.762616046087699</v>
      </c>
      <c r="O76" t="n">
        <v>12137.20458580717</v>
      </c>
      <c r="P76" t="n">
        <v>-78886.52637617034</v>
      </c>
      <c r="Q76">
        <f>'_live'!$C$22</f>
        <v/>
      </c>
      <c r="R76" t="inlineStr">
        <is>
          <t>shuffled: 9,238 of 10,000</t>
        </is>
      </c>
      <c r="S76" t="inlineStr">
        <is>
          <t>shuffled: 6,275 of 10,000</t>
        </is>
      </c>
      <c r="T76" t="n">
        <v>0.04155822714848158</v>
      </c>
      <c r="U76" t="n">
        <v>0.04681306167848568</v>
      </c>
      <c r="V76">
        <f>AND(judged_band,NOT($J76))</f>
        <v/>
      </c>
      <c r="W76">
        <f>IF($K76="","",IF($I76,"too few losses to test",IF(AND($K76&gt;better_at,$K76&lt;worse_at),"in line",IF($K76&gt;=worse_at,IF(AND(ISNUMBER($L76),$L76&lt;significance_bar),"worse","worse, not significant"),IF(AND(ISNUMBER($L76),$L76&lt;significance_bar),"better","better, not significant")))))</f>
        <v/>
      </c>
      <c r="X76">
        <f>IF($M76="","",IF($I76,"too few losses to test",IF(AND($M76&gt;better_at,$M76&lt;worse_at),"in line",IF($M76&gt;=worse_at,IF(AND(ISNUMBER($N76),$N76&lt;significance_bar),"worse","worse, not significant"),IF(AND(ISNUMBER($N76),$N76&lt;significance_bar),"better","better, not significant")))))</f>
        <v/>
      </c>
      <c r="Y76">
        <f>IF($V76,$X76,$W76)</f>
        <v/>
      </c>
      <c r="Z76">
        <f>IF($V76,IF($P76="","",$P76),IF($O76="","",$O76))</f>
        <v/>
      </c>
      <c r="AA76">
        <f>IF(OR($Q76="",$Z76=""),"",IF(AND($Z76&gt;0,$Z76&gt;=$Q76),"yes","below the line"))</f>
        <v/>
      </c>
      <c r="AB76">
        <f>IF($V76,IF($M76="","",$M76),IF($K76="","",$K76))</f>
        <v/>
      </c>
      <c r="AC76">
        <f>IF($V76,IF($N76="","",$N76),IF($L76="","",$L76))</f>
        <v/>
      </c>
      <c r="AD76">
        <f>$Y76</f>
        <v/>
      </c>
      <c r="AE76">
        <f>IF($V76,IF($S76="","",$S76),IF($R76="","",$R76))</f>
        <v/>
      </c>
      <c r="AF76">
        <f>IF($V76,IF($U76="","",$U76),IF($T76="","",$T76))</f>
        <v/>
      </c>
      <c r="AG76">
        <f>IF($V76,IF($O76="","",$O76),IF($P76="","",$P76))</f>
        <v/>
      </c>
      <c r="AH76" t="n">
        <v>0.04225891257503112</v>
      </c>
      <c r="AI76">
        <f>IF($Y76="worse","Yes",IF($Y76="worse, not significant","Not sure",IF(OR($Y76="too few losses to test",$Y76="too few loans to test"),"Too few losses",IF($Y76="","","No"))))</f>
        <v/>
      </c>
      <c r="AJ76">
        <f>IF($AA76="yes","Yes",IF($AA76="","","No"))</f>
        <v/>
      </c>
    </row>
    <row r="77">
      <c r="A77" t="inlineStr">
        <is>
          <t>grids</t>
        </is>
      </c>
      <c r="B77" t="inlineStr">
        <is>
          <t>FICO x CHANNEL</t>
        </is>
      </c>
      <c r="C77" t="inlineStr">
        <is>
          <t>654 - 685</t>
        </is>
      </c>
      <c r="D77" t="inlineStr">
        <is>
          <t>Broker</t>
        </is>
      </c>
      <c r="E77" t="inlineStr">
        <is>
          <t>ranr_rate</t>
        </is>
      </c>
      <c r="F77" t="inlineStr">
        <is>
          <t>Profit after losses: RANR per booked dollar</t>
        </is>
      </c>
      <c r="G77" t="n">
        <v>531</v>
      </c>
      <c r="H77" t="n">
        <v>17321902.42</v>
      </c>
      <c r="I77" t="b">
        <v>0</v>
      </c>
      <c r="J77" t="b">
        <v>0</v>
      </c>
      <c r="K77" t="n">
        <v>0.03208749579128933</v>
      </c>
      <c r="L77" t="n">
        <v>0.00037996200379962</v>
      </c>
      <c r="M77" t="n">
        <v>-0.007937877766459628</v>
      </c>
      <c r="N77" t="n">
        <v>0.6256945733998028</v>
      </c>
      <c r="O77" t="n">
        <v>-555816.4709988744</v>
      </c>
      <c r="P77" t="n">
        <v>137499.1440925011</v>
      </c>
      <c r="Q77">
        <f>'_live'!$C$23</f>
        <v/>
      </c>
      <c r="R77" t="inlineStr">
        <is>
          <t>shuffled: 1 of 10,000</t>
        </is>
      </c>
      <c r="S77" t="inlineStr">
        <is>
          <t>shuffled: 4,866 of 10,000</t>
        </is>
      </c>
      <c r="T77" t="n">
        <v>0.125836293621213</v>
      </c>
      <c r="U77" t="n">
        <v>0.165861667178962</v>
      </c>
      <c r="V77">
        <f>AND(judged_band,NOT($J77))</f>
        <v/>
      </c>
      <c r="W77">
        <f>IF($K77="","",IF(profit_kind="test",IF(OR(NOT(AND(ISNUMBER($L77),$L77&lt;significance_bar)),$K77=0),"in line",IF($K77&lt;0,"worse","better")),IF(OR($K77=0,IF(profit_kind="points",ABS($K77),ABS($K77*$H77))&lt;profit_line*(1-1E-9)),"in line",IF(AND(ISNUMBER($L77),$L77&lt;significance_bar),IF($K77&lt;0,"worse","better"),IF($K77&lt;0,"worse, not significant","better, not significant")))))</f>
        <v/>
      </c>
      <c r="X77">
        <f>IF($M77="","",IF(profit_kind="test",IF(OR(NOT(AND(ISNUMBER($N77),$N77&lt;significance_bar)),$M77=0),"in line",IF($M77&lt;0,"worse","better")),IF(OR($M77=0,IF(profit_kind="points",ABS($M77),ABS($M77*$H77))&lt;profit_line*(1-1E-9)),"in line",IF(AND(ISNUMBER($N77),$N77&lt;significance_bar),IF($M77&lt;0,"worse","better"),IF($M77&lt;0,"worse, not significant","better, not significant")))))</f>
        <v/>
      </c>
      <c r="Y77">
        <f>IF($V77,$X77,$W77)</f>
        <v/>
      </c>
      <c r="Z77">
        <f>IF($V77,IF($P77="","",$P77),IF($O77="","",$O77))</f>
        <v/>
      </c>
      <c r="AA77">
        <f>IF(OR($Q77="",$Z77=""),"",IF(AND($Z77&gt;0,$Z77&gt;=$Q77),"yes","below the line"))</f>
        <v/>
      </c>
      <c r="AB77">
        <f>IF($V77,IF($M77="","",$M77),IF($K77="","",$K77))</f>
        <v/>
      </c>
      <c r="AC77">
        <f>IF($V77,IF($N77="","",$N77),IF($L77="","",$L77))</f>
        <v/>
      </c>
      <c r="AD77">
        <f>IF($Y77="","",IF($Y77="in line",IF(profit_kind="test",IF(ROUND($AB77*100,2)=0,"0.00",TEXT($AB77*100,"+0.00;-0.00"))&amp;" points against "&amp;IF($V77,"its band","the book")&amp;", "&amp;IF($AC77="","not tested","not significant"),IF(profit_kind="points","within "&amp;TEXT(profit_line*100,"0.00")&amp;" points of "&amp;IF($V77,"its band","the book")&amp;" ("&amp;IF(ROUND($AB77*100,2)=0,"0.00",TEXT($AB77*100,"+0.00;-0.00"))&amp;")","within $"&amp;TEXT(profit_line,"#,##0")&amp;" of "&amp;IF($V77,"its band","the book")&amp;" ("&amp;IF(ROUND($AB77*100,2)=0,"0.00",TEXT($AB77*100,"+0.00;-0.00"))&amp;" points)")),IF(LEFT($Y77,5)="worse","short of ","ahead of ")&amp;IF($V77,"its band","the book")&amp;" by "&amp;TEXT(ABS($AB77)*100,"0.00")&amp;" points"&amp;IF($Z77="",""," ($"&amp;TEXT(ABS($Z77),"#,##0")&amp;")")&amp;IF(RIGHT($Y77,15)="not significant"," (not significant)","")))</f>
        <v/>
      </c>
      <c r="AE77">
        <f>IF($V77,IF($S77="","",$S77),IF($R77="","",$R77))</f>
        <v/>
      </c>
      <c r="AF77">
        <f>IF($V77,IF($U77="","",$U77),IF($T77="","",$T77))</f>
        <v/>
      </c>
      <c r="AG77">
        <f>IF($V77,IF($O77="","",$O77),IF($P77="","",$P77))</f>
        <v/>
      </c>
      <c r="AH77" t="n">
        <v>0.1579237894125024</v>
      </c>
      <c r="AI77">
        <f>IF($Y77="worse","Yes",IF($Y77="worse, not significant","Not sure",IF(OR($Y77="too few losses to test",$Y77="too few loans to test"),"Too few losses",IF($Y77="","","No"))))</f>
        <v/>
      </c>
      <c r="AJ77">
        <f>IF($AA77="yes","Yes",IF($AA77="","","No"))</f>
        <v/>
      </c>
    </row>
    <row r="78">
      <c r="A78" t="inlineStr">
        <is>
          <t>grids</t>
        </is>
      </c>
      <c r="B78" t="inlineStr">
        <is>
          <t>FICO x CHANNEL</t>
        </is>
      </c>
      <c r="C78" t="inlineStr">
        <is>
          <t>654 - 685</t>
        </is>
      </c>
      <c r="D78" t="inlineStr">
        <is>
          <t>Broker</t>
        </is>
      </c>
      <c r="E78" t="inlineStr">
        <is>
          <t>contribution_rate</t>
        </is>
      </c>
      <c r="F78" t="inlineStr">
        <is>
          <t>Contribution before losses per booked dollar</t>
        </is>
      </c>
      <c r="G78" t="n">
        <v>531</v>
      </c>
      <c r="H78" t="n">
        <v>17321902.42</v>
      </c>
      <c r="I78" t="b">
        <v>0</v>
      </c>
      <c r="J78" t="b">
        <v>0</v>
      </c>
      <c r="K78" t="n">
        <v>0.03279160130489919</v>
      </c>
      <c r="L78" t="n">
        <v>0.000158317501583175</v>
      </c>
      <c r="M78" t="n">
        <v>-0.01249202686991407</v>
      </c>
      <c r="N78" t="n">
        <v>0.1122637736226377</v>
      </c>
      <c r="O78" t="n">
        <v>-568012.9179990087</v>
      </c>
      <c r="P78" t="n">
        <v>216385.6704686694</v>
      </c>
      <c r="Q78">
        <f>'_live'!$C$24</f>
        <v/>
      </c>
      <c r="R78" t="inlineStr">
        <is>
          <t>shuffled: 0 of 10,000</t>
        </is>
      </c>
      <c r="S78" t="inlineStr">
        <is>
          <t>shuffled: 498 of 10,000</t>
        </is>
      </c>
      <c r="T78" t="n">
        <v>0.1673911006826345</v>
      </c>
      <c r="U78" t="n">
        <v>0.2126747288574477</v>
      </c>
      <c r="V78">
        <f>AND(judged_band,NOT($J78))</f>
        <v/>
      </c>
      <c r="W78">
        <f>IF($K78="","",IF(profit_kind="test",IF(OR(NOT(AND(ISNUMBER($L78),$L78&lt;significance_bar)),$K78=0),"in line",IF($K78&lt;0,"worse","better")),IF(OR($K78=0,IF(profit_kind="points",ABS($K78),ABS($K78*$H78))&lt;profit_line*(1-1E-9)),"in line",IF(AND(ISNUMBER($L78),$L78&lt;significance_bar),IF($K78&lt;0,"worse","better"),IF($K78&lt;0,"worse, not significant","better, not significant")))))</f>
        <v/>
      </c>
      <c r="X78">
        <f>IF($M78="","",IF(profit_kind="test",IF(OR(NOT(AND(ISNUMBER($N78),$N78&lt;significance_bar)),$M78=0),"in line",IF($M78&lt;0,"worse","better")),IF(OR($M78=0,IF(profit_kind="points",ABS($M78),ABS($M78*$H78))&lt;profit_line*(1-1E-9)),"in line",IF(AND(ISNUMBER($N78),$N78&lt;significance_bar),IF($M78&lt;0,"worse","better"),IF($M78&lt;0,"worse, not significant","better, not significant")))))</f>
        <v/>
      </c>
      <c r="Y78">
        <f>IF($V78,$X78,$W78)</f>
        <v/>
      </c>
      <c r="Z78">
        <f>IF($V78,IF($P78="","",$P78),IF($O78="","",$O78))</f>
        <v/>
      </c>
      <c r="AA78">
        <f>IF(OR($Q78="",$Z78=""),"",IF(AND($Z78&gt;0,$Z78&gt;=$Q78),"yes","below the line"))</f>
        <v/>
      </c>
      <c r="AB78">
        <f>IF($V78,IF($M78="","",$M78),IF($K78="","",$K78))</f>
        <v/>
      </c>
      <c r="AC78">
        <f>IF($V78,IF($N78="","",$N78),IF($L78="","",$L78))</f>
        <v/>
      </c>
      <c r="AD78">
        <f>IF($Y78="","",IF($Y78="in line",IF(profit_kind="test",IF(ROUND($AB78*100,2)=0,"0.00",TEXT($AB78*100,"+0.00;-0.00"))&amp;" points against "&amp;IF($V78,"its band","the book")&amp;", "&amp;IF($AC78="","not tested","not significant"),IF(profit_kind="points","within "&amp;TEXT(profit_line*100,"0.00")&amp;" points of "&amp;IF($V78,"its band","the book")&amp;" ("&amp;IF(ROUND($AB78*100,2)=0,"0.00",TEXT($AB78*100,"+0.00;-0.00"))&amp;")","within $"&amp;TEXT(profit_line,"#,##0")&amp;" of "&amp;IF($V78,"its band","the book")&amp;" ("&amp;IF(ROUND($AB78*100,2)=0,"0.00",TEXT($AB78*100,"+0.00;-0.00"))&amp;" points)")),IF(LEFT($Y78,5)="worse","short of ","ahead of ")&amp;IF($V78,"its band","the book")&amp;" by "&amp;TEXT(ABS($AB78)*100,"0.00")&amp;" points"&amp;IF($Z78="",""," ($"&amp;TEXT(ABS($Z78),"#,##0")&amp;")")&amp;IF(RIGHT($Y78,15)="not significant"," (not significant)","")))</f>
        <v/>
      </c>
      <c r="AE78">
        <f>IF($V78,IF($S78="","",$S78),IF($R78="","",$R78))</f>
        <v/>
      </c>
      <c r="AF78">
        <f>IF($V78,IF($U78="","",$U78),IF($T78="","",$T78))</f>
        <v/>
      </c>
      <c r="AG78">
        <f>IF($V78,IF($O78="","",$O78),IF($P78="","",$P78))</f>
        <v/>
      </c>
      <c r="AH78" t="n">
        <v>0.2001827019875337</v>
      </c>
      <c r="AI78">
        <f>IF($Y78="worse","Yes",IF($Y78="worse, not significant","Not sure",IF(OR($Y78="too few losses to test",$Y78="too few loans to test"),"Too few losses",IF($Y78="","","No"))))</f>
        <v/>
      </c>
      <c r="AJ78">
        <f>IF($AA78="yes","Yes",IF($AA78="","","No"))</f>
        <v/>
      </c>
    </row>
    <row r="79">
      <c r="A79" t="inlineStr">
        <is>
          <t>grids</t>
        </is>
      </c>
      <c r="B79" t="inlineStr">
        <is>
          <t>FICO x CHANNEL</t>
        </is>
      </c>
      <c r="C79" t="inlineStr">
        <is>
          <t>496 - 653</t>
        </is>
      </c>
      <c r="D79" t="inlineStr">
        <is>
          <t>Online</t>
        </is>
      </c>
      <c r="E79" t="inlineStr">
        <is>
          <t>outcome_loans</t>
        </is>
      </c>
      <c r="F79" t="inlineStr">
        <is>
          <t>Outcome, share of loans</t>
        </is>
      </c>
      <c r="G79" t="n">
        <v>531</v>
      </c>
      <c r="H79" t="n">
        <v>531</v>
      </c>
      <c r="I79" t="b">
        <v>0</v>
      </c>
      <c r="J79" t="b">
        <v>0</v>
      </c>
      <c r="K79" t="n">
        <v>1.371492300089487</v>
      </c>
      <c r="L79" t="n">
        <v>0.04155974667616561</v>
      </c>
      <c r="M79" t="n">
        <v>0.5925364811833896</v>
      </c>
      <c r="N79" t="n">
        <v>0.0008021048282253793</v>
      </c>
      <c r="O79" t="n">
        <v>14.89769683985003</v>
      </c>
      <c r="P79" t="n">
        <v>-37.8212890625</v>
      </c>
      <c r="Q79">
        <f>'_live'!$C$20</f>
        <v/>
      </c>
      <c r="R79" t="inlineStr">
        <is>
          <t>z test</t>
        </is>
      </c>
      <c r="S79" t="inlineStr">
        <is>
          <t>z test</t>
        </is>
      </c>
      <c r="T79" t="n">
        <v>0.07552222817354044</v>
      </c>
      <c r="U79" t="n">
        <v>0.1748046875</v>
      </c>
      <c r="V79">
        <f>AND(judged_band,NOT($J79))</f>
        <v/>
      </c>
      <c r="W79">
        <f>IF($K79="","",IF($I79,"too few losses to test",IF(AND($K79&gt;better_at,$K79&lt;worse_at),"in line",IF($K79&gt;=worse_at,IF(AND(ISNUMBER($L79),$L79&lt;significance_bar),"worse","worse, not significant"),IF(AND(ISNUMBER($L79),$L79&lt;significance_bar),"better","better, not significant")))))</f>
        <v/>
      </c>
      <c r="X79">
        <f>IF($M79="","",IF($I79,"too few losses to test",IF(AND($M79&gt;better_at,$M79&lt;worse_at),"in line",IF($M79&gt;=worse_at,IF(AND(ISNUMBER($N79),$N79&lt;significance_bar),"worse","worse, not significant"),IF(AND(ISNUMBER($N79),$N79&lt;significance_bar),"better","better, not significant")))))</f>
        <v/>
      </c>
      <c r="Y79">
        <f>IF($V79,$X79,$W79)</f>
        <v/>
      </c>
      <c r="Z79">
        <f>IF($V79,IF($P79="","",$P79),IF($O79="","",$O79))</f>
        <v/>
      </c>
      <c r="AA79">
        <f>IF(OR($Q79="",$Z79=""),"",IF(AND($Z79&gt;0,$Z79&gt;=$Q79),"yes","below the line"))</f>
        <v/>
      </c>
      <c r="AB79">
        <f>IF($V79,IF($M79="","",$M79),IF($K79="","",$K79))</f>
        <v/>
      </c>
      <c r="AC79">
        <f>IF($V79,IF($N79="","",$N79),IF($L79="","",$L79))</f>
        <v/>
      </c>
      <c r="AD79">
        <f>$Y79</f>
        <v/>
      </c>
      <c r="AE79">
        <f>IF($V79,IF($S79="","",$S79),IF($R79="","",$R79))</f>
        <v/>
      </c>
      <c r="AF79">
        <f>IF($V79,IF($U79="","",$U79),IF($T79="","",$T79))</f>
        <v/>
      </c>
      <c r="AG79">
        <f>IF($V79,IF($O79="","",$O79),IF($P79="","",$P79))</f>
        <v/>
      </c>
      <c r="AH79" t="n">
        <v>0.1035781544256121</v>
      </c>
      <c r="AI79">
        <f>IF($Y79="worse","Yes",IF($Y79="worse, not significant","Not sure",IF(OR($Y79="too few losses to test",$Y79="too few loans to test"),"Too few losses",IF($Y79="","","No"))))</f>
        <v/>
      </c>
      <c r="AJ79">
        <f>IF($AA79="yes","Yes",IF($AA79="","","No"))</f>
        <v/>
      </c>
    </row>
    <row r="80">
      <c r="A80" t="inlineStr">
        <is>
          <t>grids</t>
        </is>
      </c>
      <c r="B80" t="inlineStr">
        <is>
          <t>FICO x CHANNEL</t>
        </is>
      </c>
      <c r="C80" t="inlineStr">
        <is>
          <t>496 - 653</t>
        </is>
      </c>
      <c r="D80" t="inlineStr">
        <is>
          <t>Online</t>
        </is>
      </c>
      <c r="E80" t="inlineStr">
        <is>
          <t>outcome_booked</t>
        </is>
      </c>
      <c r="F80" t="inlineStr">
        <is>
          <t>Outcome, share of booked dollars</t>
        </is>
      </c>
      <c r="G80" t="n">
        <v>531</v>
      </c>
      <c r="H80" t="n">
        <v>17367178.26999998</v>
      </c>
      <c r="I80" t="b">
        <v>0</v>
      </c>
      <c r="J80" t="b">
        <v>0</v>
      </c>
      <c r="K80" t="n">
        <v>1.340243265389965</v>
      </c>
      <c r="L80" t="n">
        <v>0.08279172082791722</v>
      </c>
      <c r="M80" t="n">
        <v>0.5577235040008647</v>
      </c>
      <c r="N80" t="n">
        <v>0.0007499250074992502</v>
      </c>
      <c r="O80" t="n">
        <v>432269.467771301</v>
      </c>
      <c r="P80" t="n">
        <v>-1350279.176403547</v>
      </c>
      <c r="Q80">
        <f>'_live'!$C$21</f>
        <v/>
      </c>
      <c r="R80" t="inlineStr">
        <is>
          <t>shuffled: 551 of 10,000</t>
        </is>
      </c>
      <c r="S80" t="inlineStr">
        <is>
          <t>shuffled: 0 of 10,000</t>
        </is>
      </c>
      <c r="T80" t="n">
        <v>0.07315360978491875</v>
      </c>
      <c r="U80" t="n">
        <v>0.1757925426306775</v>
      </c>
      <c r="V80">
        <f>AND(judged_band,NOT($J80))</f>
        <v/>
      </c>
      <c r="W80">
        <f>IF($K80="","",IF($I80,"too few losses to test",IF(AND($K80&gt;better_at,$K80&lt;worse_at),"in line",IF($K80&gt;=worse_at,IF(AND(ISNUMBER($L80),$L80&lt;significance_bar),"worse","worse, not significant"),IF(AND(ISNUMBER($L80),$L80&lt;significance_bar),"better","better, not significant")))))</f>
        <v/>
      </c>
      <c r="X80">
        <f>IF($M80="","",IF($I80,"too few losses to test",IF(AND($M80&gt;better_at,$M80&lt;worse_at),"in line",IF($M80&gt;=worse_at,IF(AND(ISNUMBER($N80),$N80&lt;significance_bar),"worse","worse, not significant"),IF(AND(ISNUMBER($N80),$N80&lt;significance_bar),"better","better, not significant")))))</f>
        <v/>
      </c>
      <c r="Y80">
        <f>IF($V80,$X80,$W80)</f>
        <v/>
      </c>
      <c r="Z80">
        <f>IF($V80,IF($P80="","",$P80),IF($O80="","",$O80))</f>
        <v/>
      </c>
      <c r="AA80">
        <f>IF(OR($Q80="",$Z80=""),"",IF(AND($Z80&gt;0,$Z80&gt;=$Q80),"yes","below the line"))</f>
        <v/>
      </c>
      <c r="AB80">
        <f>IF($V80,IF($M80="","",$M80),IF($K80="","",$K80))</f>
        <v/>
      </c>
      <c r="AC80">
        <f>IF($V80,IF($N80="","",$N80),IF($L80="","",$L80))</f>
        <v/>
      </c>
      <c r="AD80">
        <f>$Y80</f>
        <v/>
      </c>
      <c r="AE80">
        <f>IF($V80,IF($S80="","",$S80),IF($R80="","",$R80))</f>
        <v/>
      </c>
      <c r="AF80">
        <f>IF($V80,IF($U80="","",$U80),IF($T80="","",$T80))</f>
        <v/>
      </c>
      <c r="AG80">
        <f>IF($V80,IF($O80="","",$O80),IF($P80="","",$P80))</f>
        <v/>
      </c>
      <c r="AH80" t="n">
        <v>0.09804363285320282</v>
      </c>
      <c r="AI80">
        <f>IF($Y80="worse","Yes",IF($Y80="worse, not significant","Not sure",IF(OR($Y80="too few losses to test",$Y80="too few loans to test"),"Too few losses",IF($Y80="","","No"))))</f>
        <v/>
      </c>
      <c r="AJ80">
        <f>IF($AA80="yes","Yes",IF($AA80="","","No"))</f>
        <v/>
      </c>
    </row>
    <row r="81">
      <c r="A81" t="inlineStr">
        <is>
          <t>grids</t>
        </is>
      </c>
      <c r="B81" t="inlineStr">
        <is>
          <t>FICO x CHANNEL</t>
        </is>
      </c>
      <c r="C81" t="inlineStr">
        <is>
          <t>496 - 653</t>
        </is>
      </c>
      <c r="D81" t="inlineStr">
        <is>
          <t>Online</t>
        </is>
      </c>
      <c r="E81" t="inlineStr">
        <is>
          <t>gco_rate</t>
        </is>
      </c>
      <c r="F81" t="inlineStr">
        <is>
          <t>GCO per booked dollar</t>
        </is>
      </c>
      <c r="G81" t="n">
        <v>531</v>
      </c>
      <c r="H81" t="n">
        <v>17367178.26999998</v>
      </c>
      <c r="I81" t="b">
        <v>0</v>
      </c>
      <c r="J81" t="b">
        <v>0</v>
      </c>
      <c r="K81" t="n">
        <v>1.331469266721665</v>
      </c>
      <c r="L81" t="n">
        <v>0.1084891510848915</v>
      </c>
      <c r="M81" t="n">
        <v>0.5491282604182235</v>
      </c>
      <c r="N81" t="n">
        <v>0.00224977502249775</v>
      </c>
      <c r="O81" t="n">
        <v>234281.5621507792</v>
      </c>
      <c r="P81" t="n">
        <v>-772689.8544911416</v>
      </c>
      <c r="Q81">
        <f>'_live'!$C$22</f>
        <v/>
      </c>
      <c r="R81" t="inlineStr">
        <is>
          <t>shuffled: 650 of 10,000</t>
        </is>
      </c>
      <c r="S81" t="inlineStr">
        <is>
          <t>shuffled: 2 of 10,000</t>
        </is>
      </c>
      <c r="T81" t="n">
        <v>0.04069729848228372</v>
      </c>
      <c r="U81" t="n">
        <v>0.09867858945465549</v>
      </c>
      <c r="V81">
        <f>AND(judged_band,NOT($J81))</f>
        <v/>
      </c>
      <c r="W81">
        <f>IF($K81="","",IF($I81,"too few losses to test",IF(AND($K81&gt;better_at,$K81&lt;worse_at),"in line",IF($K81&gt;=worse_at,IF(AND(ISNUMBER($L81),$L81&lt;significance_bar),"worse","worse, not significant"),IF(AND(ISNUMBER($L81),$L81&lt;significance_bar),"better","better, not significant")))))</f>
        <v/>
      </c>
      <c r="X81">
        <f>IF($M81="","",IF($I81,"too few losses to test",IF(AND($M81&gt;better_at,$M81&lt;worse_at),"in line",IF($M81&gt;=worse_at,IF(AND(ISNUMBER($N81),$N81&lt;significance_bar),"worse","worse, not significant"),IF(AND(ISNUMBER($N81),$N81&lt;significance_bar),"better","better, not significant")))))</f>
        <v/>
      </c>
      <c r="Y81">
        <f>IF($V81,$X81,$W81)</f>
        <v/>
      </c>
      <c r="Z81">
        <f>IF($V81,IF($P81="","",$P81),IF($O81="","",$O81))</f>
        <v/>
      </c>
      <c r="AA81">
        <f>IF(OR($Q81="",$Z81=""),"",IF(AND($Z81&gt;0,$Z81&gt;=$Q81),"yes","below the line"))</f>
        <v/>
      </c>
      <c r="AB81">
        <f>IF($V81,IF($M81="","",$M81),IF($K81="","",$K81))</f>
        <v/>
      </c>
      <c r="AC81">
        <f>IF($V81,IF($N81="","",$N81),IF($L81="","",$L81))</f>
        <v/>
      </c>
      <c r="AD81">
        <f>$Y81</f>
        <v/>
      </c>
      <c r="AE81">
        <f>IF($V81,IF($S81="","",$S81),IF($R81="","",$R81))</f>
        <v/>
      </c>
      <c r="AF81">
        <f>IF($V81,IF($U81="","",$U81),IF($T81="","",$T81))</f>
        <v/>
      </c>
      <c r="AG81">
        <f>IF($V81,IF($O81="","",$O81),IF($P81="","",$P81))</f>
        <v/>
      </c>
      <c r="AH81" t="n">
        <v>0.05418720216775902</v>
      </c>
      <c r="AI81">
        <f>IF($Y81="worse","Yes",IF($Y81="worse, not significant","Not sure",IF(OR($Y81="too few losses to test",$Y81="too few loans to test"),"Too few losses",IF($Y81="","","No"))))</f>
        <v/>
      </c>
      <c r="AJ81">
        <f>IF($AA81="yes","Yes",IF($AA81="","","No"))</f>
        <v/>
      </c>
    </row>
    <row r="82">
      <c r="A82" t="inlineStr">
        <is>
          <t>grids</t>
        </is>
      </c>
      <c r="B82" t="inlineStr">
        <is>
          <t>FICO x CHANNEL</t>
        </is>
      </c>
      <c r="C82" t="inlineStr">
        <is>
          <t>496 - 653</t>
        </is>
      </c>
      <c r="D82" t="inlineStr">
        <is>
          <t>Online</t>
        </is>
      </c>
      <c r="E82" t="inlineStr">
        <is>
          <t>ranr_rate</t>
        </is>
      </c>
      <c r="F82" t="inlineStr">
        <is>
          <t>Profit after losses: RANR per booked dollar</t>
        </is>
      </c>
      <c r="G82" t="n">
        <v>531</v>
      </c>
      <c r="H82" t="n">
        <v>17367178.26999998</v>
      </c>
      <c r="I82" t="b">
        <v>0</v>
      </c>
      <c r="J82" t="b">
        <v>0</v>
      </c>
      <c r="K82" t="n">
        <v>0.09447142848611979</v>
      </c>
      <c r="L82" t="n">
        <v>0.0002110900021109</v>
      </c>
      <c r="M82" t="n">
        <v>0.03942393715077805</v>
      </c>
      <c r="N82" t="n">
        <v>0.0323967603239676</v>
      </c>
      <c r="O82" t="n">
        <v>-1640702.139939996</v>
      </c>
      <c r="P82" t="n">
        <v>-684682.5446028374</v>
      </c>
      <c r="Q82">
        <f>'_live'!$C$23</f>
        <v/>
      </c>
      <c r="R82" t="inlineStr">
        <is>
          <t>shuffled: 0 of 10,000</t>
        </is>
      </c>
      <c r="S82" t="inlineStr">
        <is>
          <t>shuffled: 62 of 10,000</t>
        </is>
      </c>
      <c r="T82" t="n">
        <v>0.121632425672107</v>
      </c>
      <c r="U82" t="n">
        <v>0.1766799170074487</v>
      </c>
      <c r="V82">
        <f>AND(judged_band,NOT($J82))</f>
        <v/>
      </c>
      <c r="W82">
        <f>IF($K82="","",IF(profit_kind="test",IF(OR(NOT(AND(ISNUMBER($L82),$L82&lt;significance_bar)),$K82=0),"in line",IF($K82&lt;0,"worse","better")),IF(OR($K82=0,IF(profit_kind="points",ABS($K82),ABS($K82*$H82))&lt;profit_line*(1-1E-9)),"in line",IF(AND(ISNUMBER($L82),$L82&lt;significance_bar),IF($K82&lt;0,"worse","better"),IF($K82&lt;0,"worse, not significant","better, not significant")))))</f>
        <v/>
      </c>
      <c r="X82">
        <f>IF($M82="","",IF(profit_kind="test",IF(OR(NOT(AND(ISNUMBER($N82),$N82&lt;significance_bar)),$M82=0),"in line",IF($M82&lt;0,"worse","better")),IF(OR($M82=0,IF(profit_kind="points",ABS($M82),ABS($M82*$H82))&lt;profit_line*(1-1E-9)),"in line",IF(AND(ISNUMBER($N82),$N82&lt;significance_bar),IF($M82&lt;0,"worse","better"),IF($M82&lt;0,"worse, not significant","better, not significant")))))</f>
        <v/>
      </c>
      <c r="Y82">
        <f>IF($V82,$X82,$W82)</f>
        <v/>
      </c>
      <c r="Z82">
        <f>IF($V82,IF($P82="","",$P82),IF($O82="","",$O82))</f>
        <v/>
      </c>
      <c r="AA82">
        <f>IF(OR($Q82="",$Z82=""),"",IF(AND($Z82&gt;0,$Z82&gt;=$Q82),"yes","below the line"))</f>
        <v/>
      </c>
      <c r="AB82">
        <f>IF($V82,IF($M82="","",$M82),IF($K82="","",$K82))</f>
        <v/>
      </c>
      <c r="AC82">
        <f>IF($V82,IF($N82="","",$N82),IF($L82="","",$L82))</f>
        <v/>
      </c>
      <c r="AD82">
        <f>IF($Y82="","",IF($Y82="in line",IF(profit_kind="test",IF(ROUND($AB82*100,2)=0,"0.00",TEXT($AB82*100,"+0.00;-0.00"))&amp;" points against "&amp;IF($V82,"its band","the book")&amp;", "&amp;IF($AC82="","not tested","not significant"),IF(profit_kind="points","within "&amp;TEXT(profit_line*100,"0.00")&amp;" points of "&amp;IF($V82,"its band","the book")&amp;" ("&amp;IF(ROUND($AB82*100,2)=0,"0.00",TEXT($AB82*100,"+0.00;-0.00"))&amp;")","within $"&amp;TEXT(profit_line,"#,##0")&amp;" of "&amp;IF($V82,"its band","the book")&amp;" ("&amp;IF(ROUND($AB82*100,2)=0,"0.00",TEXT($AB82*100,"+0.00;-0.00"))&amp;" points)")),IF(LEFT($Y82,5)="worse","short of ","ahead of ")&amp;IF($V82,"its band","the book")&amp;" by "&amp;TEXT(ABS($AB82)*100,"0.00")&amp;" points"&amp;IF($Z82="",""," ($"&amp;TEXT(ABS($Z82),"#,##0")&amp;")")&amp;IF(RIGHT($Y82,15)="not significant"," (not significant)","")))</f>
        <v/>
      </c>
      <c r="AE82">
        <f>IF($V82,IF($S82="","",$S82),IF($R82="","",$R82))</f>
        <v/>
      </c>
      <c r="AF82">
        <f>IF($V82,IF($U82="","",$U82),IF($T82="","",$T82))</f>
        <v/>
      </c>
      <c r="AG82">
        <f>IF($V82,IF($O82="","",$O82),IF($P82="","",$P82))</f>
        <v/>
      </c>
      <c r="AH82" t="n">
        <v>0.2161038541582268</v>
      </c>
      <c r="AI82">
        <f>IF($Y82="worse","Yes",IF($Y82="worse, not significant","Not sure",IF(OR($Y82="too few losses to test",$Y82="too few loans to test"),"Too few losses",IF($Y82="","","No"))))</f>
        <v/>
      </c>
      <c r="AJ82">
        <f>IF($AA82="yes","Yes",IF($AA82="","","No"))</f>
        <v/>
      </c>
    </row>
    <row r="83">
      <c r="A83" t="inlineStr">
        <is>
          <t>grids</t>
        </is>
      </c>
      <c r="B83" t="inlineStr">
        <is>
          <t>FICO x CHANNEL</t>
        </is>
      </c>
      <c r="C83" t="inlineStr">
        <is>
          <t>496 - 653</t>
        </is>
      </c>
      <c r="D83" t="inlineStr">
        <is>
          <t>Online</t>
        </is>
      </c>
      <c r="E83" t="inlineStr">
        <is>
          <t>contribution_rate</t>
        </is>
      </c>
      <c r="F83" t="inlineStr">
        <is>
          <t>Contribution before losses per booked dollar</t>
        </is>
      </c>
      <c r="G83" t="n">
        <v>531</v>
      </c>
      <c r="H83" t="n">
        <v>17367178.26999998</v>
      </c>
      <c r="I83" t="b">
        <v>0</v>
      </c>
      <c r="J83" t="b">
        <v>0</v>
      </c>
      <c r="K83" t="n">
        <v>0.1079654461082857</v>
      </c>
      <c r="L83" t="n">
        <v>0.000158317501583175</v>
      </c>
      <c r="M83" t="n">
        <v>-0.005067450136118423</v>
      </c>
      <c r="N83" t="n">
        <v>0.6245375462453755</v>
      </c>
      <c r="O83" t="n">
        <v>-1875055.149562673</v>
      </c>
      <c r="P83" t="n">
        <v>88007.30988830421</v>
      </c>
      <c r="Q83">
        <f>'_live'!$C$24</f>
        <v/>
      </c>
      <c r="R83" t="inlineStr">
        <is>
          <t>shuffled: 0 of 10,000</t>
        </is>
      </c>
      <c r="S83" t="inlineStr">
        <is>
          <t>shuffled: 5,551 of 10,000</t>
        </is>
      </c>
      <c r="T83" t="n">
        <v>0.1623256102176999</v>
      </c>
      <c r="U83" t="n">
        <v>0.275358506462104</v>
      </c>
      <c r="V83">
        <f>AND(judged_band,NOT($J83))</f>
        <v/>
      </c>
      <c r="W83">
        <f>IF($K83="","",IF(profit_kind="test",IF(OR(NOT(AND(ISNUMBER($L83),$L83&lt;significance_bar)),$K83=0),"in line",IF($K83&lt;0,"worse","better")),IF(OR($K83=0,IF(profit_kind="points",ABS($K83),ABS($K83*$H83))&lt;profit_line*(1-1E-9)),"in line",IF(AND(ISNUMBER($L83),$L83&lt;significance_bar),IF($K83&lt;0,"worse","better"),IF($K83&lt;0,"worse, not significant","better, not significant")))))</f>
        <v/>
      </c>
      <c r="X83">
        <f>IF($M83="","",IF(profit_kind="test",IF(OR(NOT(AND(ISNUMBER($N83),$N83&lt;significance_bar)),$M83=0),"in line",IF($M83&lt;0,"worse","better")),IF(OR($M83=0,IF(profit_kind="points",ABS($M83),ABS($M83*$H83))&lt;profit_line*(1-1E-9)),"in line",IF(AND(ISNUMBER($N83),$N83&lt;significance_bar),IF($M83&lt;0,"worse","better"),IF($M83&lt;0,"worse, not significant","better, not significant")))))</f>
        <v/>
      </c>
      <c r="Y83">
        <f>IF($V83,$X83,$W83)</f>
        <v/>
      </c>
      <c r="Z83">
        <f>IF($V83,IF($P83="","",$P83),IF($O83="","",$O83))</f>
        <v/>
      </c>
      <c r="AA83">
        <f>IF(OR($Q83="",$Z83=""),"",IF(AND($Z83&gt;0,$Z83&gt;=$Q83),"yes","below the line"))</f>
        <v/>
      </c>
      <c r="AB83">
        <f>IF($V83,IF($M83="","",$M83),IF($K83="","",$K83))</f>
        <v/>
      </c>
      <c r="AC83">
        <f>IF($V83,IF($N83="","",$N83),IF($L83="","",$L83))</f>
        <v/>
      </c>
      <c r="AD83">
        <f>IF($Y83="","",IF($Y83="in line",IF(profit_kind="test",IF(ROUND($AB83*100,2)=0,"0.00",TEXT($AB83*100,"+0.00;-0.00"))&amp;" points against "&amp;IF($V83,"its band","the book")&amp;", "&amp;IF($AC83="","not tested","not significant"),IF(profit_kind="points","within "&amp;TEXT(profit_line*100,"0.00")&amp;" points of "&amp;IF($V83,"its band","the book")&amp;" ("&amp;IF(ROUND($AB83*100,2)=0,"0.00",TEXT($AB83*100,"+0.00;-0.00"))&amp;")","within $"&amp;TEXT(profit_line,"#,##0")&amp;" of "&amp;IF($V83,"its band","the book")&amp;" ("&amp;IF(ROUND($AB83*100,2)=0,"0.00",TEXT($AB83*100,"+0.00;-0.00"))&amp;" points)")),IF(LEFT($Y83,5)="worse","short of ","ahead of ")&amp;IF($V83,"its band","the book")&amp;" by "&amp;TEXT(ABS($AB83)*100,"0.00")&amp;" points"&amp;IF($Z83="",""," ($"&amp;TEXT(ABS($Z83),"#,##0")&amp;")")&amp;IF(RIGHT($Y83,15)="not significant"," (not significant)","")))</f>
        <v/>
      </c>
      <c r="AE83">
        <f>IF($V83,IF($S83="","",$S83),IF($R83="","",$R83))</f>
        <v/>
      </c>
      <c r="AF83">
        <f>IF($V83,IF($U83="","",$U83),IF($T83="","",$T83))</f>
        <v/>
      </c>
      <c r="AG83">
        <f>IF($V83,IF($O83="","",$O83),IF($P83="","",$P83))</f>
        <v/>
      </c>
      <c r="AH83" t="n">
        <v>0.2702910563259856</v>
      </c>
      <c r="AI83">
        <f>IF($Y83="worse","Yes",IF($Y83="worse, not significant","Not sure",IF(OR($Y83="too few losses to test",$Y83="too few loans to test"),"Too few losses",IF($Y83="","","No"))))</f>
        <v/>
      </c>
      <c r="AJ83">
        <f>IF($AA83="yes","Yes",IF($AA83="","","No"))</f>
        <v/>
      </c>
    </row>
    <row r="84">
      <c r="A84" t="inlineStr">
        <is>
          <t>grids</t>
        </is>
      </c>
      <c r="B84" t="inlineStr">
        <is>
          <t>FICO x CHANNEL</t>
        </is>
      </c>
      <c r="C84" t="inlineStr">
        <is>
          <t>686 - 711</t>
        </is>
      </c>
      <c r="D84" t="inlineStr">
        <is>
          <t>Branch</t>
        </is>
      </c>
      <c r="E84" t="inlineStr">
        <is>
          <t>outcome_loans</t>
        </is>
      </c>
      <c r="F84" t="inlineStr">
        <is>
          <t>Outcome, share of loans</t>
        </is>
      </c>
      <c r="G84" t="n">
        <v>515</v>
      </c>
      <c r="H84" t="n">
        <v>515</v>
      </c>
      <c r="I84" t="b">
        <v>0</v>
      </c>
      <c r="J84" t="b">
        <v>0</v>
      </c>
      <c r="K84" t="n">
        <v>0.6884891495408473</v>
      </c>
      <c r="L84" t="n">
        <v>0.06493741468820462</v>
      </c>
      <c r="M84" t="n">
        <v>0.8371216447744146</v>
      </c>
      <c r="N84" t="n">
        <v>0.6885931175310831</v>
      </c>
      <c r="O84" t="n">
        <v>-12.66876002137894</v>
      </c>
      <c r="P84" t="n">
        <v>-5.447946513849089</v>
      </c>
      <c r="Q84">
        <f>'_live'!$C$20</f>
        <v/>
      </c>
      <c r="R84" t="inlineStr">
        <is>
          <t>z test</t>
        </is>
      </c>
      <c r="S84" t="inlineStr">
        <is>
          <t>z test</t>
        </is>
      </c>
      <c r="T84" t="n">
        <v>0.07896846606092998</v>
      </c>
      <c r="U84" t="n">
        <v>0.06494746895893028</v>
      </c>
      <c r="V84">
        <f>AND(judged_band,NOT($J84))</f>
        <v/>
      </c>
      <c r="W84">
        <f>IF($K84="","",IF($I84,"too few losses to test",IF(AND($K84&gt;better_at,$K84&lt;worse_at),"in line",IF($K84&gt;=worse_at,IF(AND(ISNUMBER($L84),$L84&lt;significance_bar),"worse","worse, not significant"),IF(AND(ISNUMBER($L84),$L84&lt;significance_bar),"better","better, not significant")))))</f>
        <v/>
      </c>
      <c r="X84">
        <f>IF($M84="","",IF($I84,"too few losses to test",IF(AND($M84&gt;better_at,$M84&lt;worse_at),"in line",IF($M84&gt;=worse_at,IF(AND(ISNUMBER($N84),$N84&lt;significance_bar),"worse","worse, not significant"),IF(AND(ISNUMBER($N84),$N84&lt;significance_bar),"better","better, not significant")))))</f>
        <v/>
      </c>
      <c r="Y84">
        <f>IF($V84,$X84,$W84)</f>
        <v/>
      </c>
      <c r="Z84">
        <f>IF($V84,IF($P84="","",$P84),IF($O84="","",$O84))</f>
        <v/>
      </c>
      <c r="AA84">
        <f>IF(OR($Q84="",$Z84=""),"",IF(AND($Z84&gt;0,$Z84&gt;=$Q84),"yes","below the line"))</f>
        <v/>
      </c>
      <c r="AB84">
        <f>IF($V84,IF($M84="","",$M84),IF($K84="","",$K84))</f>
        <v/>
      </c>
      <c r="AC84">
        <f>IF($V84,IF($N84="","",$N84),IF($L84="","",$L84))</f>
        <v/>
      </c>
      <c r="AD84">
        <f>$Y84</f>
        <v/>
      </c>
      <c r="AE84">
        <f>IF($V84,IF($S84="","",$S84),IF($R84="","",$R84))</f>
        <v/>
      </c>
      <c r="AF84">
        <f>IF($V84,IF($U84="","",$U84),IF($T84="","",$T84))</f>
        <v/>
      </c>
      <c r="AG84">
        <f>IF($V84,IF($O84="","",$O84),IF($P84="","",$P84))</f>
        <v/>
      </c>
      <c r="AH84" t="n">
        <v>0.05436893203883495</v>
      </c>
      <c r="AI84">
        <f>IF($Y84="worse","Yes",IF($Y84="worse, not significant","Not sure",IF(OR($Y84="too few losses to test",$Y84="too few loans to test"),"Too few losses",IF($Y84="","","No"))))</f>
        <v/>
      </c>
      <c r="AJ84">
        <f>IF($AA84="yes","Yes",IF($AA84="","","No"))</f>
        <v/>
      </c>
    </row>
    <row r="85">
      <c r="A85" t="inlineStr">
        <is>
          <t>grids</t>
        </is>
      </c>
      <c r="B85" t="inlineStr">
        <is>
          <t>FICO x CHANNEL</t>
        </is>
      </c>
      <c r="C85" t="inlineStr">
        <is>
          <t>686 - 711</t>
        </is>
      </c>
      <c r="D85" t="inlineStr">
        <is>
          <t>Branch</t>
        </is>
      </c>
      <c r="E85" t="inlineStr">
        <is>
          <t>outcome_booked</t>
        </is>
      </c>
      <c r="F85" t="inlineStr">
        <is>
          <t>Outcome, share of booked dollars</t>
        </is>
      </c>
      <c r="G85" t="n">
        <v>515</v>
      </c>
      <c r="H85" t="n">
        <v>16839795.26999999</v>
      </c>
      <c r="I85" t="b">
        <v>0</v>
      </c>
      <c r="J85" t="b">
        <v>0</v>
      </c>
      <c r="K85" t="n">
        <v>0.5854075677972884</v>
      </c>
      <c r="L85" t="n">
        <v>0.03578213607210708</v>
      </c>
      <c r="M85" t="n">
        <v>0.718131796099021</v>
      </c>
      <c r="N85" t="n">
        <v>0.3592140785921408</v>
      </c>
      <c r="O85" t="n">
        <v>-536957.7586660291</v>
      </c>
      <c r="P85" t="n">
        <v>-297590.467821245</v>
      </c>
      <c r="Q85">
        <f>'_live'!$C$21</f>
        <v/>
      </c>
      <c r="R85" t="inlineStr">
        <is>
          <t>shuffled: 166 of 10,000</t>
        </is>
      </c>
      <c r="S85" t="inlineStr">
        <is>
          <t>shuffled: 1,915 of 10,000</t>
        </is>
      </c>
      <c r="T85" t="n">
        <v>0.07690984646192969</v>
      </c>
      <c r="U85" t="n">
        <v>0.06269546398239827</v>
      </c>
      <c r="V85">
        <f>AND(judged_band,NOT($J85))</f>
        <v/>
      </c>
      <c r="W85">
        <f>IF($K85="","",IF($I85,"too few losses to test",IF(AND($K85&gt;better_at,$K85&lt;worse_at),"in line",IF($K85&gt;=worse_at,IF(AND(ISNUMBER($L85),$L85&lt;significance_bar),"worse","worse, not significant"),IF(AND(ISNUMBER($L85),$L85&lt;significance_bar),"better","better, not significant")))))</f>
        <v/>
      </c>
      <c r="X85">
        <f>IF($M85="","",IF($I85,"too few losses to test",IF(AND($M85&gt;better_at,$M85&lt;worse_at),"in line",IF($M85&gt;=worse_at,IF(AND(ISNUMBER($N85),$N85&lt;significance_bar),"worse","worse, not significant"),IF(AND(ISNUMBER($N85),$N85&lt;significance_bar),"better","better, not significant")))))</f>
        <v/>
      </c>
      <c r="Y85">
        <f>IF($V85,$X85,$W85)</f>
        <v/>
      </c>
      <c r="Z85">
        <f>IF($V85,IF($P85="","",$P85),IF($O85="","",$O85))</f>
        <v/>
      </c>
      <c r="AA85">
        <f>IF(OR($Q85="",$Z85=""),"",IF(AND($Z85&gt;0,$Z85&gt;=$Q85),"yes","below the line"))</f>
        <v/>
      </c>
      <c r="AB85">
        <f>IF($V85,IF($M85="","",$M85),IF($K85="","",$K85))</f>
        <v/>
      </c>
      <c r="AC85">
        <f>IF($V85,IF($N85="","",$N85),IF($L85="","",$L85))</f>
        <v/>
      </c>
      <c r="AD85">
        <f>$Y85</f>
        <v/>
      </c>
      <c r="AE85">
        <f>IF($V85,IF($S85="","",$S85),IF($R85="","",$R85))</f>
        <v/>
      </c>
      <c r="AF85">
        <f>IF($V85,IF($U85="","",$U85),IF($T85="","",$T85))</f>
        <v/>
      </c>
      <c r="AG85">
        <f>IF($V85,IF($O85="","",$O85),IF($P85="","",$P85))</f>
        <v/>
      </c>
      <c r="AH85" t="n">
        <v>0.04502360615694115</v>
      </c>
      <c r="AI85">
        <f>IF($Y85="worse","Yes",IF($Y85="worse, not significant","Not sure",IF(OR($Y85="too few losses to test",$Y85="too few loans to test"),"Too few losses",IF($Y85="","","No"))))</f>
        <v/>
      </c>
      <c r="AJ85">
        <f>IF($AA85="yes","Yes",IF($AA85="","","No"))</f>
        <v/>
      </c>
    </row>
    <row r="86">
      <c r="A86" t="inlineStr">
        <is>
          <t>grids</t>
        </is>
      </c>
      <c r="B86" t="inlineStr">
        <is>
          <t>FICO x CHANNEL</t>
        </is>
      </c>
      <c r="C86" t="inlineStr">
        <is>
          <t>686 - 711</t>
        </is>
      </c>
      <c r="D86" t="inlineStr">
        <is>
          <t>Branch</t>
        </is>
      </c>
      <c r="E86" t="inlineStr">
        <is>
          <t>gco_rate</t>
        </is>
      </c>
      <c r="F86" t="inlineStr">
        <is>
          <t>GCO per booked dollar</t>
        </is>
      </c>
      <c r="G86" t="n">
        <v>515</v>
      </c>
      <c r="H86" t="n">
        <v>16839795.26999999</v>
      </c>
      <c r="I86" t="b">
        <v>0</v>
      </c>
      <c r="J86" t="b">
        <v>0</v>
      </c>
      <c r="K86" t="n">
        <v>0.564397982369212</v>
      </c>
      <c r="L86" t="n">
        <v>0.02892567886068536</v>
      </c>
      <c r="M86" t="n">
        <v>0.6878985196916947</v>
      </c>
      <c r="N86" t="n">
        <v>0.3190930906909309</v>
      </c>
      <c r="O86" t="n">
        <v>-314123.4470512646</v>
      </c>
      <c r="P86" t="n">
        <v>-184657.6813779352</v>
      </c>
      <c r="Q86">
        <f>'_live'!$C$22</f>
        <v/>
      </c>
      <c r="R86" t="inlineStr">
        <is>
          <t>shuffled: 134 of 10,000</t>
        </is>
      </c>
      <c r="S86" t="inlineStr">
        <is>
          <t>shuffled: 1,578 of 10,000</t>
        </is>
      </c>
      <c r="T86" t="n">
        <v>0.0428226623595564</v>
      </c>
      <c r="U86" t="n">
        <v>0.03513457805701314</v>
      </c>
      <c r="V86">
        <f>AND(judged_band,NOT($J86))</f>
        <v/>
      </c>
      <c r="W86">
        <f>IF($K86="","",IF($I86,"too few losses to test",IF(AND($K86&gt;better_at,$K86&lt;worse_at),"in line",IF($K86&gt;=worse_at,IF(AND(ISNUMBER($L86),$L86&lt;significance_bar),"worse","worse, not significant"),IF(AND(ISNUMBER($L86),$L86&lt;significance_bar),"better","better, not significant")))))</f>
        <v/>
      </c>
      <c r="X86">
        <f>IF($M86="","",IF($I86,"too few losses to test",IF(AND($M86&gt;better_at,$M86&lt;worse_at),"in line",IF($M86&gt;=worse_at,IF(AND(ISNUMBER($N86),$N86&lt;significance_bar),"worse","worse, not significant"),IF(AND(ISNUMBER($N86),$N86&lt;significance_bar),"better","better, not significant")))))</f>
        <v/>
      </c>
      <c r="Y86">
        <f>IF($V86,$X86,$W86)</f>
        <v/>
      </c>
      <c r="Z86">
        <f>IF($V86,IF($P86="","",$P86),IF($O86="","",$O86))</f>
        <v/>
      </c>
      <c r="AA86">
        <f>IF(OR($Q86="",$Z86=""),"",IF(AND($Z86&gt;0,$Z86&gt;=$Q86),"yes","below the line"))</f>
        <v/>
      </c>
      <c r="AB86">
        <f>IF($V86,IF($M86="","",$M86),IF($K86="","",$K86))</f>
        <v/>
      </c>
      <c r="AC86">
        <f>IF($V86,IF($N86="","",$N86),IF($L86="","",$L86))</f>
        <v/>
      </c>
      <c r="AD86">
        <f>$Y86</f>
        <v/>
      </c>
      <c r="AE86">
        <f>IF($V86,IF($S86="","",$S86),IF($R86="","",$R86))</f>
        <v/>
      </c>
      <c r="AF86">
        <f>IF($V86,IF($U86="","",$U86),IF($T86="","",$T86))</f>
        <v/>
      </c>
      <c r="AG86">
        <f>IF($V86,IF($O86="","",$O86),IF($P86="","",$P86))</f>
        <v/>
      </c>
      <c r="AH86" t="n">
        <v>0.02416902423541164</v>
      </c>
      <c r="AI86">
        <f>IF($Y86="worse","Yes",IF($Y86="worse, not significant","Not sure",IF(OR($Y86="too few losses to test",$Y86="too few loans to test"),"Too few losses",IF($Y86="","","No"))))</f>
        <v/>
      </c>
      <c r="AJ86">
        <f>IF($AA86="yes","Yes",IF($AA86="","","No"))</f>
        <v/>
      </c>
    </row>
    <row r="87">
      <c r="A87" t="inlineStr">
        <is>
          <t>grids</t>
        </is>
      </c>
      <c r="B87" t="inlineStr">
        <is>
          <t>FICO x CHANNEL</t>
        </is>
      </c>
      <c r="C87" t="inlineStr">
        <is>
          <t>686 - 711</t>
        </is>
      </c>
      <c r="D87" t="inlineStr">
        <is>
          <t>Branch</t>
        </is>
      </c>
      <c r="E87" t="inlineStr">
        <is>
          <t>ranr_rate</t>
        </is>
      </c>
      <c r="F87" t="inlineStr">
        <is>
          <t>Profit after losses: RANR per booked dollar</t>
        </is>
      </c>
      <c r="G87" t="n">
        <v>515</v>
      </c>
      <c r="H87" t="n">
        <v>16839795.26999999</v>
      </c>
      <c r="I87" t="b">
        <v>0</v>
      </c>
      <c r="J87" t="b">
        <v>0</v>
      </c>
      <c r="K87" t="n">
        <v>0.001939905021818844</v>
      </c>
      <c r="L87" t="n">
        <v>0.9303069693030698</v>
      </c>
      <c r="M87" t="n">
        <v>-0.01808432210233071</v>
      </c>
      <c r="N87" t="n">
        <v>0.117988201179882</v>
      </c>
      <c r="O87" t="n">
        <v>-32667.60341067426</v>
      </c>
      <c r="P87" t="n">
        <v>304536.2817999851</v>
      </c>
      <c r="Q87">
        <f>'_live'!$C$23</f>
        <v/>
      </c>
      <c r="R87" t="inlineStr">
        <is>
          <t>shuffled: 8,261 of 10,000</t>
        </is>
      </c>
      <c r="S87" t="inlineStr">
        <is>
          <t>shuffled: 589 of 10,000</t>
        </is>
      </c>
      <c r="T87" t="n">
        <v>0.127863464612615</v>
      </c>
      <c r="U87" t="n">
        <v>0.1478876917367646</v>
      </c>
      <c r="V87">
        <f>AND(judged_band,NOT($J87))</f>
        <v/>
      </c>
      <c r="W87">
        <f>IF($K87="","",IF(profit_kind="test",IF(OR(NOT(AND(ISNUMBER($L87),$L87&lt;significance_bar)),$K87=0),"in line",IF($K87&lt;0,"worse","better")),IF(OR($K87=0,IF(profit_kind="points",ABS($K87),ABS($K87*$H87))&lt;profit_line*(1-1E-9)),"in line",IF(AND(ISNUMBER($L87),$L87&lt;significance_bar),IF($K87&lt;0,"worse","better"),IF($K87&lt;0,"worse, not significant","better, not significant")))))</f>
        <v/>
      </c>
      <c r="X87">
        <f>IF($M87="","",IF(profit_kind="test",IF(OR(NOT(AND(ISNUMBER($N87),$N87&lt;significance_bar)),$M87=0),"in line",IF($M87&lt;0,"worse","better")),IF(OR($M87=0,IF(profit_kind="points",ABS($M87),ABS($M87*$H87))&lt;profit_line*(1-1E-9)),"in line",IF(AND(ISNUMBER($N87),$N87&lt;significance_bar),IF($M87&lt;0,"worse","better"),IF($M87&lt;0,"worse, not significant","better, not significant")))))</f>
        <v/>
      </c>
      <c r="Y87">
        <f>IF($V87,$X87,$W87)</f>
        <v/>
      </c>
      <c r="Z87">
        <f>IF($V87,IF($P87="","",$P87),IF($O87="","",$O87))</f>
        <v/>
      </c>
      <c r="AA87">
        <f>IF(OR($Q87="",$Z87=""),"",IF(AND($Z87&gt;0,$Z87&gt;=$Q87),"yes","below the line"))</f>
        <v/>
      </c>
      <c r="AB87">
        <f>IF($V87,IF($M87="","",$M87),IF($K87="","",$K87))</f>
        <v/>
      </c>
      <c r="AC87">
        <f>IF($V87,IF($N87="","",$N87),IF($L87="","",$L87))</f>
        <v/>
      </c>
      <c r="AD87">
        <f>IF($Y87="","",IF($Y87="in line",IF(profit_kind="test",IF(ROUND($AB87*100,2)=0,"0.00",TEXT($AB87*100,"+0.00;-0.00"))&amp;" points against "&amp;IF($V87,"its band","the book")&amp;", "&amp;IF($AC87="","not tested","not significant"),IF(profit_kind="points","within "&amp;TEXT(profit_line*100,"0.00")&amp;" points of "&amp;IF($V87,"its band","the book")&amp;" ("&amp;IF(ROUND($AB87*100,2)=0,"0.00",TEXT($AB87*100,"+0.00;-0.00"))&amp;")","within $"&amp;TEXT(profit_line,"#,##0")&amp;" of "&amp;IF($V87,"its band","the book")&amp;" ("&amp;IF(ROUND($AB87*100,2)=0,"0.00",TEXT($AB87*100,"+0.00;-0.00"))&amp;" points)")),IF(LEFT($Y87,5)="worse","short of ","ahead of ")&amp;IF($V87,"its band","the book")&amp;" by "&amp;TEXT(ABS($AB87)*100,"0.00")&amp;" points"&amp;IF($Z87="",""," ($"&amp;TEXT(ABS($Z87),"#,##0")&amp;")")&amp;IF(RIGHT($Y87,15)="not significant"," (not significant)","")))</f>
        <v/>
      </c>
      <c r="AE87">
        <f>IF($V87,IF($S87="","",$S87),IF($R87="","",$R87))</f>
        <v/>
      </c>
      <c r="AF87">
        <f>IF($V87,IF($U87="","",$U87),IF($T87="","",$T87))</f>
        <v/>
      </c>
      <c r="AG87">
        <f>IF($V87,IF($O87="","",$O87),IF($P87="","",$P87))</f>
        <v/>
      </c>
      <c r="AH87" t="n">
        <v>0.1298033696344339</v>
      </c>
      <c r="AI87">
        <f>IF($Y87="worse","Yes",IF($Y87="worse, not significant","Not sure",IF(OR($Y87="too few losses to test",$Y87="too few loans to test"),"Too few losses",IF($Y87="","","No"))))</f>
        <v/>
      </c>
      <c r="AJ87">
        <f>IF($AA87="yes","Yes",IF($AA87="","","No"))</f>
        <v/>
      </c>
    </row>
    <row r="88">
      <c r="A88" t="inlineStr">
        <is>
          <t>grids</t>
        </is>
      </c>
      <c r="B88" t="inlineStr">
        <is>
          <t>FICO x CHANNEL</t>
        </is>
      </c>
      <c r="C88" t="inlineStr">
        <is>
          <t>686 - 711</t>
        </is>
      </c>
      <c r="D88" t="inlineStr">
        <is>
          <t>Branch</t>
        </is>
      </c>
      <c r="E88" t="inlineStr">
        <is>
          <t>contribution_rate</t>
        </is>
      </c>
      <c r="F88" t="inlineStr">
        <is>
          <t>Contribution before losses per booked dollar</t>
        </is>
      </c>
      <c r="G88" t="n">
        <v>515</v>
      </c>
      <c r="H88" t="n">
        <v>16839795.26999999</v>
      </c>
      <c r="I88" t="b">
        <v>0</v>
      </c>
      <c r="J88" t="b">
        <v>0</v>
      </c>
      <c r="K88" t="n">
        <v>-0.01671065339556996</v>
      </c>
      <c r="L88" t="n">
        <v>0.00721927807219278</v>
      </c>
      <c r="M88" t="n">
        <v>-0.02904987592393221</v>
      </c>
      <c r="N88" t="n">
        <v>0.0002571171454283143</v>
      </c>
      <c r="O88" t="n">
        <v>281403.982009328</v>
      </c>
      <c r="P88" t="n">
        <v>489193.9631779199</v>
      </c>
      <c r="Q88">
        <f>'_live'!$C$24</f>
        <v/>
      </c>
      <c r="R88" t="inlineStr">
        <is>
          <t>shuffled: 56 of 10,000</t>
        </is>
      </c>
      <c r="S88" t="inlineStr">
        <is>
          <t>shuffled: 0 of 10,000</t>
        </is>
      </c>
      <c r="T88" t="n">
        <v>0.1706830472654155</v>
      </c>
      <c r="U88" t="n">
        <v>0.1830222697937777</v>
      </c>
      <c r="V88">
        <f>AND(judged_band,NOT($J88))</f>
        <v/>
      </c>
      <c r="W88">
        <f>IF($K88="","",IF(profit_kind="test",IF(OR(NOT(AND(ISNUMBER($L88),$L88&lt;significance_bar)),$K88=0),"in line",IF($K88&lt;0,"worse","better")),IF(OR($K88=0,IF(profit_kind="points",ABS($K88),ABS($K88*$H88))&lt;profit_line*(1-1E-9)),"in line",IF(AND(ISNUMBER($L88),$L88&lt;significance_bar),IF($K88&lt;0,"worse","better"),IF($K88&lt;0,"worse, not significant","better, not significant")))))</f>
        <v/>
      </c>
      <c r="X88">
        <f>IF($M88="","",IF(profit_kind="test",IF(OR(NOT(AND(ISNUMBER($N88),$N88&lt;significance_bar)),$M88=0),"in line",IF($M88&lt;0,"worse","better")),IF(OR($M88=0,IF(profit_kind="points",ABS($M88),ABS($M88*$H88))&lt;profit_line*(1-1E-9)),"in line",IF(AND(ISNUMBER($N88),$N88&lt;significance_bar),IF($M88&lt;0,"worse","better"),IF($M88&lt;0,"worse, not significant","better, not significant")))))</f>
        <v/>
      </c>
      <c r="Y88">
        <f>IF($V88,$X88,$W88)</f>
        <v/>
      </c>
      <c r="Z88">
        <f>IF($V88,IF($P88="","",$P88),IF($O88="","",$O88))</f>
        <v/>
      </c>
      <c r="AA88">
        <f>IF(OR($Q88="",$Z88=""),"",IF(AND($Z88&gt;0,$Z88&gt;=$Q88),"yes","below the line"))</f>
        <v/>
      </c>
      <c r="AB88">
        <f>IF($V88,IF($M88="","",$M88),IF($K88="","",$K88))</f>
        <v/>
      </c>
      <c r="AC88">
        <f>IF($V88,IF($N88="","",$N88),IF($L88="","",$L88))</f>
        <v/>
      </c>
      <c r="AD88">
        <f>IF($Y88="","",IF($Y88="in line",IF(profit_kind="test",IF(ROUND($AB88*100,2)=0,"0.00",TEXT($AB88*100,"+0.00;-0.00"))&amp;" points against "&amp;IF($V88,"its band","the book")&amp;", "&amp;IF($AC88="","not tested","not significant"),IF(profit_kind="points","within "&amp;TEXT(profit_line*100,"0.00")&amp;" points of "&amp;IF($V88,"its band","the book")&amp;" ("&amp;IF(ROUND($AB88*100,2)=0,"0.00",TEXT($AB88*100,"+0.00;-0.00"))&amp;")","within $"&amp;TEXT(profit_line,"#,##0")&amp;" of "&amp;IF($V88,"its band","the book")&amp;" ("&amp;IF(ROUND($AB88*100,2)=0,"0.00",TEXT($AB88*100,"+0.00;-0.00"))&amp;" points)")),IF(LEFT($Y88,5)="worse","short of ","ahead of ")&amp;IF($V88,"its band","the book")&amp;" by "&amp;TEXT(ABS($AB88)*100,"0.00")&amp;" points"&amp;IF($Z88="",""," ($"&amp;TEXT(ABS($Z88),"#,##0")&amp;")")&amp;IF(RIGHT($Y88,15)="not significant"," (not significant)","")))</f>
        <v/>
      </c>
      <c r="AE88">
        <f>IF($V88,IF($S88="","",$S88),IF($R88="","",$R88))</f>
        <v/>
      </c>
      <c r="AF88">
        <f>IF($V88,IF($U88="","",$U88),IF($T88="","",$T88))</f>
        <v/>
      </c>
      <c r="AG88">
        <f>IF($V88,IF($O88="","",$O88),IF($P88="","",$P88))</f>
        <v/>
      </c>
      <c r="AH88" t="n">
        <v>0.1539723938698455</v>
      </c>
      <c r="AI88">
        <f>IF($Y88="worse","Yes",IF($Y88="worse, not significant","Not sure",IF(OR($Y88="too few losses to test",$Y88="too few loans to test"),"Too few losses",IF($Y88="","","No"))))</f>
        <v/>
      </c>
      <c r="AJ88">
        <f>IF($AA88="yes","Yes",IF($AA88="","","No"))</f>
        <v/>
      </c>
    </row>
    <row r="89">
      <c r="A89" t="inlineStr">
        <is>
          <t>grids</t>
        </is>
      </c>
      <c r="B89" t="inlineStr">
        <is>
          <t>FICO x CHANNEL</t>
        </is>
      </c>
      <c r="C89" t="inlineStr">
        <is>
          <t>(marked missing)</t>
        </is>
      </c>
      <c r="D89" t="inlineStr">
        <is>
          <t>Branch</t>
        </is>
      </c>
      <c r="E89" t="inlineStr">
        <is>
          <t>outcome_loans</t>
        </is>
      </c>
      <c r="F89" t="inlineStr">
        <is>
          <t>Outcome, share of loans</t>
        </is>
      </c>
      <c r="G89" t="n">
        <v>51</v>
      </c>
      <c r="H89" t="n">
        <v>51</v>
      </c>
      <c r="I89" t="b">
        <v>1</v>
      </c>
      <c r="J89" t="b">
        <v>0</v>
      </c>
      <c r="K89" t="n">
        <v>0.2521733612538867</v>
      </c>
      <c r="M89" t="n">
        <v>0.2374727668845316</v>
      </c>
      <c r="O89" t="n">
        <v>-2.965525918470056</v>
      </c>
      <c r="P89" t="n">
        <v>-3.211009174311926</v>
      </c>
      <c r="Q89">
        <f>'_live'!$C$20</f>
        <v/>
      </c>
      <c r="T89" t="n">
        <v>0.07775541016607952</v>
      </c>
      <c r="U89" t="n">
        <v>0.08256880733944955</v>
      </c>
      <c r="V89">
        <f>AND(judged_band,NOT($J89))</f>
        <v/>
      </c>
      <c r="W89">
        <f>IF($K89="","",IF($I89,"too few losses to test",IF(AND($K89&gt;better_at,$K89&lt;worse_at),"in line",IF($K89&gt;=worse_at,IF(AND(ISNUMBER($L89),$L89&lt;significance_bar),"worse","worse, not significant"),IF(AND(ISNUMBER($L89),$L89&lt;significance_bar),"better","better, not significant")))))</f>
        <v/>
      </c>
      <c r="X89">
        <f>IF($M89="","",IF($I89,"too few losses to test",IF(AND($M89&gt;better_at,$M89&lt;worse_at),"in line",IF($M89&gt;=worse_at,IF(AND(ISNUMBER($N89),$N89&lt;significance_bar),"worse","worse, not significant"),IF(AND(ISNUMBER($N89),$N89&lt;significance_bar),"better","better, not significant")))))</f>
        <v/>
      </c>
      <c r="Y89">
        <f>IF($V89,$X89,$W89)</f>
        <v/>
      </c>
      <c r="Z89">
        <f>IF($V89,IF($P89="","",$P89),IF($O89="","",$O89))</f>
        <v/>
      </c>
      <c r="AA89">
        <f>IF(OR($Q89="",$Z89=""),"",IF(AND($Z89&gt;0,$Z89&gt;=$Q89),"yes","below the line"))</f>
        <v/>
      </c>
      <c r="AB89">
        <f>IF($V89,IF($M89="","",$M89),IF($K89="","",$K89))</f>
        <v/>
      </c>
      <c r="AC89">
        <f>IF($V89,IF($N89="","",$N89),IF($L89="","",$L89))</f>
        <v/>
      </c>
      <c r="AD89">
        <f>$Y89</f>
        <v/>
      </c>
      <c r="AE89">
        <f>IF($V89,IF($S89="","",$S89),IF($R89="","",$R89))</f>
        <v/>
      </c>
      <c r="AF89">
        <f>IF($V89,IF($U89="","",$U89),IF($T89="","",$T89))</f>
        <v/>
      </c>
      <c r="AG89">
        <f>IF($V89,IF($O89="","",$O89),IF($P89="","",$P89))</f>
        <v/>
      </c>
      <c r="AH89" t="n">
        <v>0.0196078431372549</v>
      </c>
      <c r="AI89">
        <f>IF($Y89="worse","Yes",IF($Y89="worse, not significant","Not sure",IF(OR($Y89="too few losses to test",$Y89="too few loans to test"),"Too few losses",IF($Y89="","","No"))))</f>
        <v/>
      </c>
      <c r="AJ89">
        <f>IF($AA89="yes","Yes",IF($AA89="","","No"))</f>
        <v/>
      </c>
    </row>
    <row r="90">
      <c r="A90" t="inlineStr">
        <is>
          <t>grids</t>
        </is>
      </c>
      <c r="B90" t="inlineStr">
        <is>
          <t>FICO x CHANNEL</t>
        </is>
      </c>
      <c r="C90" t="inlineStr">
        <is>
          <t>(marked missing)</t>
        </is>
      </c>
      <c r="D90" t="inlineStr">
        <is>
          <t>Branch</t>
        </is>
      </c>
      <c r="E90" t="inlineStr">
        <is>
          <t>outcome_booked</t>
        </is>
      </c>
      <c r="F90" t="inlineStr">
        <is>
          <t>Outcome, share of booked dollars</t>
        </is>
      </c>
      <c r="G90" t="n">
        <v>51</v>
      </c>
      <c r="H90" t="n">
        <v>1771003.54</v>
      </c>
      <c r="I90" t="b">
        <v>1</v>
      </c>
      <c r="J90" t="b">
        <v>0</v>
      </c>
      <c r="K90" t="n">
        <v>0.2127232043448544</v>
      </c>
      <c r="M90" t="n">
        <v>0.2487591556274611</v>
      </c>
      <c r="O90" t="n">
        <v>-104898.4636242883</v>
      </c>
      <c r="P90" t="n">
        <v>-85596.62886350202</v>
      </c>
      <c r="Q90">
        <f>'_live'!$C$21</f>
        <v/>
      </c>
      <c r="T90" t="n">
        <v>0.07523540219704376</v>
      </c>
      <c r="U90" t="n">
        <v>0.06433659012533764</v>
      </c>
      <c r="V90">
        <f>AND(judged_band,NOT($J90))</f>
        <v/>
      </c>
      <c r="W90">
        <f>IF($K90="","",IF($I90,"too few losses to test",IF(AND($K90&gt;better_at,$K90&lt;worse_at),"in line",IF($K90&gt;=worse_at,IF(AND(ISNUMBER($L90),$L90&lt;significance_bar),"worse","worse, not significant"),IF(AND(ISNUMBER($L90),$L90&lt;significance_bar),"better","better, not significant")))))</f>
        <v/>
      </c>
      <c r="X90">
        <f>IF($M90="","",IF($I90,"too few losses to test",IF(AND($M90&gt;better_at,$M90&lt;worse_at),"in line",IF($M90&gt;=worse_at,IF(AND(ISNUMBER($N90),$N90&lt;significance_bar),"worse","worse, not significant"),IF(AND(ISNUMBER($N90),$N90&lt;significance_bar),"better","better, not significant")))))</f>
        <v/>
      </c>
      <c r="Y90">
        <f>IF($V90,$X90,$W90)</f>
        <v/>
      </c>
      <c r="Z90">
        <f>IF($V90,IF($P90="","",$P90),IF($O90="","",$O90))</f>
        <v/>
      </c>
      <c r="AA90">
        <f>IF(OR($Q90="",$Z90=""),"",IF(AND($Z90&gt;0,$Z90&gt;=$Q90),"yes","below the line"))</f>
        <v/>
      </c>
      <c r="AB90">
        <f>IF($V90,IF($M90="","",$M90),IF($K90="","",$K90))</f>
        <v/>
      </c>
      <c r="AC90">
        <f>IF($V90,IF($N90="","",$N90),IF($L90="","",$L90))</f>
        <v/>
      </c>
      <c r="AD90">
        <f>$Y90</f>
        <v/>
      </c>
      <c r="AE90">
        <f>IF($V90,IF($S90="","",$S90),IF($R90="","",$R90))</f>
        <v/>
      </c>
      <c r="AF90">
        <f>IF($V90,IF($U90="","",$U90),IF($T90="","",$T90))</f>
        <v/>
      </c>
      <c r="AG90">
        <f>IF($V90,IF($O90="","",$O90),IF($P90="","",$P90))</f>
        <v/>
      </c>
      <c r="AH90" t="n">
        <v>0.01600431583552905</v>
      </c>
      <c r="AI90">
        <f>IF($Y90="worse","Yes",IF($Y90="worse, not significant","Not sure",IF(OR($Y90="too few losses to test",$Y90="too few loans to test"),"Too few losses",IF($Y90="","","No"))))</f>
        <v/>
      </c>
      <c r="AJ90">
        <f>IF($AA90="yes","Yes",IF($AA90="","","No"))</f>
        <v/>
      </c>
    </row>
    <row r="91">
      <c r="A91" t="inlineStr">
        <is>
          <t>grids</t>
        </is>
      </c>
      <c r="B91" t="inlineStr">
        <is>
          <t>FICO x CHANNEL</t>
        </is>
      </c>
      <c r="C91" t="inlineStr">
        <is>
          <t>(marked missing)</t>
        </is>
      </c>
      <c r="D91" t="inlineStr">
        <is>
          <t>Branch</t>
        </is>
      </c>
      <c r="E91" t="inlineStr">
        <is>
          <t>gco_rate</t>
        </is>
      </c>
      <c r="F91" t="inlineStr">
        <is>
          <t>GCO per booked dollar</t>
        </is>
      </c>
      <c r="G91" t="n">
        <v>51</v>
      </c>
      <c r="H91" t="n">
        <v>1771003.54</v>
      </c>
      <c r="I91" t="b">
        <v>1</v>
      </c>
      <c r="J91" t="b">
        <v>0</v>
      </c>
      <c r="K91" t="n">
        <v>0.1858993104822754</v>
      </c>
      <c r="M91" t="n">
        <v>0.2258167925955009</v>
      </c>
      <c r="O91" t="n">
        <v>-60322.50108264946</v>
      </c>
      <c r="P91" t="n">
        <v>-47224.40650291339</v>
      </c>
      <c r="Q91">
        <f>'_live'!$C$22</f>
        <v/>
      </c>
      <c r="T91" t="n">
        <v>0.04183904741525783</v>
      </c>
      <c r="U91" t="n">
        <v>0.03444318722418442</v>
      </c>
      <c r="V91">
        <f>AND(judged_band,NOT($J91))</f>
        <v/>
      </c>
      <c r="W91">
        <f>IF($K91="","",IF($I91,"too few losses to test",IF(AND($K91&gt;better_at,$K91&lt;worse_at),"in line",IF($K91&gt;=worse_at,IF(AND(ISNUMBER($L91),$L91&lt;significance_bar),"worse","worse, not significant"),IF(AND(ISNUMBER($L91),$L91&lt;significance_bar),"better","better, not significant")))))</f>
        <v/>
      </c>
      <c r="X91">
        <f>IF($M91="","",IF($I91,"too few losses to test",IF(AND($M91&gt;better_at,$M91&lt;worse_at),"in line",IF($M91&gt;=worse_at,IF(AND(ISNUMBER($N91),$N91&lt;significance_bar),"worse","worse, not significant"),IF(AND(ISNUMBER($N91),$N91&lt;significance_bar),"better","better, not significant")))))</f>
        <v/>
      </c>
      <c r="Y91">
        <f>IF($V91,$X91,$W91)</f>
        <v/>
      </c>
      <c r="Z91">
        <f>IF($V91,IF($P91="","",$P91),IF($O91="","",$O91))</f>
        <v/>
      </c>
      <c r="AA91">
        <f>IF(OR($Q91="",$Z91=""),"",IF(AND($Z91&gt;0,$Z91&gt;=$Q91),"yes","below the line"))</f>
        <v/>
      </c>
      <c r="AB91">
        <f>IF($V91,IF($M91="","",$M91),IF($K91="","",$K91))</f>
        <v/>
      </c>
      <c r="AC91">
        <f>IF($V91,IF($N91="","",$N91),IF($L91="","",$L91))</f>
        <v/>
      </c>
      <c r="AD91">
        <f>$Y91</f>
        <v/>
      </c>
      <c r="AE91">
        <f>IF($V91,IF($S91="","",$S91),IF($R91="","",$R91))</f>
        <v/>
      </c>
      <c r="AF91">
        <f>IF($V91,IF($U91="","",$U91),IF($T91="","",$T91))</f>
        <v/>
      </c>
      <c r="AG91">
        <f>IF($V91,IF($O91="","",$O91),IF($P91="","",$P91))</f>
        <v/>
      </c>
      <c r="AH91" t="n">
        <v>0.007777850065731658</v>
      </c>
      <c r="AI91">
        <f>IF($Y91="worse","Yes",IF($Y91="worse, not significant","Not sure",IF(OR($Y91="too few losses to test",$Y91="too few loans to test"),"Too few losses",IF($Y91="","","No"))))</f>
        <v/>
      </c>
      <c r="AJ91">
        <f>IF($AA91="yes","Yes",IF($AA91="","","No"))</f>
        <v/>
      </c>
    </row>
    <row r="92">
      <c r="A92" t="inlineStr">
        <is>
          <t>grids</t>
        </is>
      </c>
      <c r="B92" t="inlineStr">
        <is>
          <t>FICO x CHANNEL</t>
        </is>
      </c>
      <c r="C92" t="inlineStr">
        <is>
          <t>(marked missing)</t>
        </is>
      </c>
      <c r="D92" t="inlineStr">
        <is>
          <t>Branch</t>
        </is>
      </c>
      <c r="E92" t="inlineStr">
        <is>
          <t>ranr_rate</t>
        </is>
      </c>
      <c r="F92" t="inlineStr">
        <is>
          <t>Profit after losses: RANR per booked dollar</t>
        </is>
      </c>
      <c r="G92" t="n">
        <v>51</v>
      </c>
      <c r="H92" t="n">
        <v>1771003.54</v>
      </c>
      <c r="I92" t="b">
        <v>0</v>
      </c>
      <c r="J92" t="b">
        <v>0</v>
      </c>
      <c r="K92" t="n">
        <v>0.01908638008155075</v>
      </c>
      <c r="L92" t="n">
        <v>0.6398560143985601</v>
      </c>
      <c r="M92" t="n">
        <v>-0.0123705943219497</v>
      </c>
      <c r="N92" t="n">
        <v>0.7071175235417635</v>
      </c>
      <c r="O92" t="n">
        <v>-33802.04669021186</v>
      </c>
      <c r="P92" t="n">
        <v>21908.36633607684</v>
      </c>
      <c r="Q92">
        <f>'_live'!$C$23</f>
        <v/>
      </c>
      <c r="R92" t="inlineStr">
        <is>
          <t>shuffled: 5,051 of 10,000</t>
        </is>
      </c>
      <c r="S92" t="inlineStr">
        <is>
          <t>shuffled: 6,678 of 10,000</t>
        </is>
      </c>
      <c r="T92" t="n">
        <v>0.1278590687118492</v>
      </c>
      <c r="U92" t="n">
        <v>0.1593160431153496</v>
      </c>
      <c r="V92">
        <f>AND(judged_band,NOT($J92))</f>
        <v/>
      </c>
      <c r="W92">
        <f>IF($K92="","",IF(profit_kind="test",IF(OR(NOT(AND(ISNUMBER($L92),$L92&lt;significance_bar)),$K92=0),"in line",IF($K92&lt;0,"worse","better")),IF(OR($K92=0,IF(profit_kind="points",ABS($K92),ABS($K92*$H92))&lt;profit_line*(1-1E-9)),"in line",IF(AND(ISNUMBER($L92),$L92&lt;significance_bar),IF($K92&lt;0,"worse","better"),IF($K92&lt;0,"worse, not significant","better, not significant")))))</f>
        <v/>
      </c>
      <c r="X92">
        <f>IF($M92="","",IF(profit_kind="test",IF(OR(NOT(AND(ISNUMBER($N92),$N92&lt;significance_bar)),$M92=0),"in line",IF($M92&lt;0,"worse","better")),IF(OR($M92=0,IF(profit_kind="points",ABS($M92),ABS($M92*$H92))&lt;profit_line*(1-1E-9)),"in line",IF(AND(ISNUMBER($N92),$N92&lt;significance_bar),IF($M92&lt;0,"worse","better"),IF($M92&lt;0,"worse, not significant","better, not significant")))))</f>
        <v/>
      </c>
      <c r="Y92">
        <f>IF($V92,$X92,$W92)</f>
        <v/>
      </c>
      <c r="Z92">
        <f>IF($V92,IF($P92="","",$P92),IF($O92="","",$O92))</f>
        <v/>
      </c>
      <c r="AA92">
        <f>IF(OR($Q92="",$Z92=""),"",IF(AND($Z92&gt;0,$Z92&gt;=$Q92),"yes","below the line"))</f>
        <v/>
      </c>
      <c r="AB92">
        <f>IF($V92,IF($M92="","",$M92),IF($K92="","",$K92))</f>
        <v/>
      </c>
      <c r="AC92">
        <f>IF($V92,IF($N92="","",$N92),IF($L92="","",$L92))</f>
        <v/>
      </c>
      <c r="AD92">
        <f>IF($Y92="","",IF($Y92="in line",IF(profit_kind="test",IF(ROUND($AB92*100,2)=0,"0.00",TEXT($AB92*100,"+0.00;-0.00"))&amp;" points against "&amp;IF($V92,"its band","the book")&amp;", "&amp;IF($AC92="","not tested","not significant"),IF(profit_kind="points","within "&amp;TEXT(profit_line*100,"0.00")&amp;" points of "&amp;IF($V92,"its band","the book")&amp;" ("&amp;IF(ROUND($AB92*100,2)=0,"0.00",TEXT($AB92*100,"+0.00;-0.00"))&amp;")","within $"&amp;TEXT(profit_line,"#,##0")&amp;" of "&amp;IF($V92,"its band","the book")&amp;" ("&amp;IF(ROUND($AB92*100,2)=0,"0.00",TEXT($AB92*100,"+0.00;-0.00"))&amp;" points)")),IF(LEFT($Y92,5)="worse","short of ","ahead of ")&amp;IF($V92,"its band","the book")&amp;" by "&amp;TEXT(ABS($AB92)*100,"0.00")&amp;" points"&amp;IF($Z92="",""," ($"&amp;TEXT(ABS($Z92),"#,##0")&amp;")")&amp;IF(RIGHT($Y92,15)="not significant"," (not significant)","")))</f>
        <v/>
      </c>
      <c r="AE92">
        <f>IF($V92,IF($S92="","",$S92),IF($R92="","",$R92))</f>
        <v/>
      </c>
      <c r="AF92">
        <f>IF($V92,IF($U92="","",$U92),IF($T92="","",$T92))</f>
        <v/>
      </c>
      <c r="AG92">
        <f>IF($V92,IF($O92="","",$O92),IF($P92="","",$P92))</f>
        <v/>
      </c>
      <c r="AH92" t="n">
        <v>0.1469454487933999</v>
      </c>
      <c r="AI92">
        <f>IF($Y92="worse","Yes",IF($Y92="worse, not significant","Not sure",IF(OR($Y92="too few losses to test",$Y92="too few loans to test"),"Too few losses",IF($Y92="","","No"))))</f>
        <v/>
      </c>
      <c r="AJ92">
        <f>IF($AA92="yes","Yes",IF($AA92="","","No"))</f>
        <v/>
      </c>
    </row>
    <row r="93">
      <c r="A93" t="inlineStr">
        <is>
          <t>grids</t>
        </is>
      </c>
      <c r="B93" t="inlineStr">
        <is>
          <t>FICO x CHANNEL</t>
        </is>
      </c>
      <c r="C93" t="inlineStr">
        <is>
          <t>(marked missing)</t>
        </is>
      </c>
      <c r="D93" t="inlineStr">
        <is>
          <t>Branch</t>
        </is>
      </c>
      <c r="E93" t="inlineStr">
        <is>
          <t>contribution_rate</t>
        </is>
      </c>
      <c r="F93" t="inlineStr">
        <is>
          <t>Contribution before losses per booked dollar</t>
        </is>
      </c>
      <c r="G93" t="n">
        <v>51</v>
      </c>
      <c r="H93" t="n">
        <v>1771003.54</v>
      </c>
      <c r="I93" t="b">
        <v>0</v>
      </c>
      <c r="J93" t="b">
        <v>0</v>
      </c>
      <c r="K93" t="n">
        <v>-0.01497191797726319</v>
      </c>
      <c r="L93" t="n">
        <v>0.4762935471158767</v>
      </c>
      <c r="M93" t="n">
        <v>-0.03903593148040246</v>
      </c>
      <c r="N93" t="n">
        <v>0.1549481415494814</v>
      </c>
      <c r="O93" t="n">
        <v>26515.31973832275</v>
      </c>
      <c r="P93" t="n">
        <v>69132.7728389902</v>
      </c>
      <c r="Q93">
        <f>'_live'!$C$24</f>
        <v/>
      </c>
      <c r="R93" t="inlineStr">
        <is>
          <t>shuffled: 4,261 of 10,000</t>
        </is>
      </c>
      <c r="S93" t="inlineStr">
        <is>
          <t>shuffled: 946 of 10,000</t>
        </is>
      </c>
      <c r="T93" t="n">
        <v>0.1696952168363948</v>
      </c>
      <c r="U93" t="n">
        <v>0.193759230339534</v>
      </c>
      <c r="V93">
        <f>AND(judged_band,NOT($J93))</f>
        <v/>
      </c>
      <c r="W93">
        <f>IF($K93="","",IF(profit_kind="test",IF(OR(NOT(AND(ISNUMBER($L93),$L93&lt;significance_bar)),$K93=0),"in line",IF($K93&lt;0,"worse","better")),IF(OR($K93=0,IF(profit_kind="points",ABS($K93),ABS($K93*$H93))&lt;profit_line*(1-1E-9)),"in line",IF(AND(ISNUMBER($L93),$L93&lt;significance_bar),IF($K93&lt;0,"worse","better"),IF($K93&lt;0,"worse, not significant","better, not significant")))))</f>
        <v/>
      </c>
      <c r="X93">
        <f>IF($M93="","",IF(profit_kind="test",IF(OR(NOT(AND(ISNUMBER($N93),$N93&lt;significance_bar)),$M93=0),"in line",IF($M93&lt;0,"worse","better")),IF(OR($M93=0,IF(profit_kind="points",ABS($M93),ABS($M93*$H93))&lt;profit_line*(1-1E-9)),"in line",IF(AND(ISNUMBER($N93),$N93&lt;significance_bar),IF($M93&lt;0,"worse","better"),IF($M93&lt;0,"worse, not significant","better, not significant")))))</f>
        <v/>
      </c>
      <c r="Y93">
        <f>IF($V93,$X93,$W93)</f>
        <v/>
      </c>
      <c r="Z93">
        <f>IF($V93,IF($P93="","",$P93),IF($O93="","",$O93))</f>
        <v/>
      </c>
      <c r="AA93">
        <f>IF(OR($Q93="",$Z93=""),"",IF(AND($Z93&gt;0,$Z93&gt;=$Q93),"yes","below the line"))</f>
        <v/>
      </c>
      <c r="AB93">
        <f>IF($V93,IF($M93="","",$M93),IF($K93="","",$K93))</f>
        <v/>
      </c>
      <c r="AC93">
        <f>IF($V93,IF($N93="","",$N93),IF($L93="","",$L93))</f>
        <v/>
      </c>
      <c r="AD93">
        <f>IF($Y93="","",IF($Y93="in line",IF(profit_kind="test",IF(ROUND($AB93*100,2)=0,"0.00",TEXT($AB93*100,"+0.00;-0.00"))&amp;" points against "&amp;IF($V93,"its band","the book")&amp;", "&amp;IF($AC93="","not tested","not significant"),IF(profit_kind="points","within "&amp;TEXT(profit_line*100,"0.00")&amp;" points of "&amp;IF($V93,"its band","the book")&amp;" ("&amp;IF(ROUND($AB93*100,2)=0,"0.00",TEXT($AB93*100,"+0.00;-0.00"))&amp;")","within $"&amp;TEXT(profit_line,"#,##0")&amp;" of "&amp;IF($V93,"its band","the book")&amp;" ("&amp;IF(ROUND($AB93*100,2)=0,"0.00",TEXT($AB93*100,"+0.00;-0.00"))&amp;" points)")),IF(LEFT($Y93,5)="worse","short of ","ahead of ")&amp;IF($V93,"its band","the book")&amp;" by "&amp;TEXT(ABS($AB93)*100,"0.00")&amp;" points"&amp;IF($Z93="",""," ($"&amp;TEXT(ABS($Z93),"#,##0")&amp;")")&amp;IF(RIGHT($Y93,15)="not significant"," (not significant)","")))</f>
        <v/>
      </c>
      <c r="AE93">
        <f>IF($V93,IF($S93="","",$S93),IF($R93="","",$R93))</f>
        <v/>
      </c>
      <c r="AF93">
        <f>IF($V93,IF($U93="","",$U93),IF($T93="","",$T93))</f>
        <v/>
      </c>
      <c r="AG93">
        <f>IF($V93,IF($O93="","",$O93),IF($P93="","",$P93))</f>
        <v/>
      </c>
      <c r="AH93" t="n">
        <v>0.1547232988591316</v>
      </c>
      <c r="AI93">
        <f>IF($Y93="worse","Yes",IF($Y93="worse, not significant","Not sure",IF(OR($Y93="too few losses to test",$Y93="too few loans to test"),"Too few losses",IF($Y93="","","No"))))</f>
        <v/>
      </c>
      <c r="AJ93">
        <f>IF($AA93="yes","Yes",IF($AA93="","","No"))</f>
        <v/>
      </c>
    </row>
    <row r="94">
      <c r="A94" t="inlineStr">
        <is>
          <t>grids</t>
        </is>
      </c>
      <c r="B94" t="inlineStr">
        <is>
          <t>FICO x CHANNEL</t>
        </is>
      </c>
      <c r="C94" t="inlineStr">
        <is>
          <t>(marked missing)</t>
        </is>
      </c>
      <c r="D94" t="inlineStr">
        <is>
          <t>Broker</t>
        </is>
      </c>
      <c r="E94" t="inlineStr">
        <is>
          <t>outcome_loans</t>
        </is>
      </c>
      <c r="F94" t="inlineStr">
        <is>
          <t>Outcome, share of loans</t>
        </is>
      </c>
      <c r="G94" t="n">
        <v>54</v>
      </c>
      <c r="H94" t="n">
        <v>54</v>
      </c>
      <c r="I94" t="b">
        <v>1</v>
      </c>
      <c r="J94" t="b">
        <v>0</v>
      </c>
      <c r="K94" t="n">
        <v>1.682855240861777</v>
      </c>
      <c r="M94" t="n">
        <v>4.580246913580247</v>
      </c>
      <c r="O94" t="n">
        <v>2.84040276903713</v>
      </c>
      <c r="P94" t="n">
        <v>5.471698113207547</v>
      </c>
      <c r="Q94">
        <f>'_live'!$C$20</f>
        <v/>
      </c>
      <c r="T94" t="n">
        <v>0.07702957835116425</v>
      </c>
      <c r="U94" t="n">
        <v>0.02830188679245283</v>
      </c>
      <c r="V94">
        <f>AND(judged_band,NOT($J94))</f>
        <v/>
      </c>
      <c r="W94">
        <f>IF($K94="","",IF($I94,"too few losses to test",IF(AND($K94&gt;better_at,$K94&lt;worse_at),"in line",IF($K94&gt;=worse_at,IF(AND(ISNUMBER($L94),$L94&lt;significance_bar),"worse","worse, not significant"),IF(AND(ISNUMBER($L94),$L94&lt;significance_bar),"better","better, not significant")))))</f>
        <v/>
      </c>
      <c r="X94">
        <f>IF($M94="","",IF($I94,"too few losses to test",IF(AND($M94&gt;better_at,$M94&lt;worse_at),"in line",IF($M94&gt;=worse_at,IF(AND(ISNUMBER($N94),$N94&lt;significance_bar),"worse","worse, not significant"),IF(AND(ISNUMBER($N94),$N94&lt;significance_bar),"better","better, not significant")))))</f>
        <v/>
      </c>
      <c r="Y94">
        <f>IF($V94,$X94,$W94)</f>
        <v/>
      </c>
      <c r="Z94">
        <f>IF($V94,IF($P94="","",$P94),IF($O94="","",$O94))</f>
        <v/>
      </c>
      <c r="AA94">
        <f>IF(OR($Q94="",$Z94=""),"",IF(AND($Z94&gt;0,$Z94&gt;=$Q94),"yes","below the line"))</f>
        <v/>
      </c>
      <c r="AB94">
        <f>IF($V94,IF($M94="","",$M94),IF($K94="","",$K94))</f>
        <v/>
      </c>
      <c r="AC94">
        <f>IF($V94,IF($N94="","",$N94),IF($L94="","",$L94))</f>
        <v/>
      </c>
      <c r="AD94">
        <f>$Y94</f>
        <v/>
      </c>
      <c r="AE94">
        <f>IF($V94,IF($S94="","",$S94),IF($R94="","",$R94))</f>
        <v/>
      </c>
      <c r="AF94">
        <f>IF($V94,IF($U94="","",$U94),IF($T94="","",$T94))</f>
        <v/>
      </c>
      <c r="AG94">
        <f>IF($V94,IF($O94="","",$O94),IF($P94="","",$P94))</f>
        <v/>
      </c>
      <c r="AH94" t="n">
        <v>0.1296296296296296</v>
      </c>
      <c r="AI94">
        <f>IF($Y94="worse","Yes",IF($Y94="worse, not significant","Not sure",IF(OR($Y94="too few losses to test",$Y94="too few loans to test"),"Too few losses",IF($Y94="","","No"))))</f>
        <v/>
      </c>
      <c r="AJ94">
        <f>IF($AA94="yes","Yes",IF($AA94="","","No"))</f>
        <v/>
      </c>
    </row>
    <row r="95">
      <c r="A95" t="inlineStr">
        <is>
          <t>grids</t>
        </is>
      </c>
      <c r="B95" t="inlineStr">
        <is>
          <t>FICO x CHANNEL</t>
        </is>
      </c>
      <c r="C95" t="inlineStr">
        <is>
          <t>(marked missing)</t>
        </is>
      </c>
      <c r="D95" t="inlineStr">
        <is>
          <t>Broker</t>
        </is>
      </c>
      <c r="E95" t="inlineStr">
        <is>
          <t>outcome_booked</t>
        </is>
      </c>
      <c r="F95" t="inlineStr">
        <is>
          <t>Outcome, share of booked dollars</t>
        </is>
      </c>
      <c r="G95" t="n">
        <v>54</v>
      </c>
      <c r="H95" t="n">
        <v>1668510.01</v>
      </c>
      <c r="I95" t="b">
        <v>1</v>
      </c>
      <c r="J95" t="b">
        <v>0</v>
      </c>
      <c r="K95" t="n">
        <v>1.382427577635682</v>
      </c>
      <c r="M95" t="n">
        <v>4.529903087007024</v>
      </c>
      <c r="O95" t="n">
        <v>47629.33956684174</v>
      </c>
      <c r="P95" t="n">
        <v>134165.7358937271</v>
      </c>
      <c r="Q95">
        <f>'_live'!$C$21</f>
        <v/>
      </c>
      <c r="T95" t="n">
        <v>0.07464428123698118</v>
      </c>
      <c r="U95" t="n">
        <v>0.02277980586180176</v>
      </c>
      <c r="V95">
        <f>AND(judged_band,NOT($J95))</f>
        <v/>
      </c>
      <c r="W95">
        <f>IF($K95="","",IF($I95,"too few losses to test",IF(AND($K95&gt;better_at,$K95&lt;worse_at),"in line",IF($K95&gt;=worse_at,IF(AND(ISNUMBER($L95),$L95&lt;significance_bar),"worse","worse, not significant"),IF(AND(ISNUMBER($L95),$L95&lt;significance_bar),"better","better, not significant")))))</f>
        <v/>
      </c>
      <c r="X95">
        <f>IF($M95="","",IF($I95,"too few losses to test",IF(AND($M95&gt;better_at,$M95&lt;worse_at),"in line",IF($M95&gt;=worse_at,IF(AND(ISNUMBER($N95),$N95&lt;significance_bar),"worse","worse, not significant"),IF(AND(ISNUMBER($N95),$N95&lt;significance_bar),"better","better, not significant")))))</f>
        <v/>
      </c>
      <c r="Y95">
        <f>IF($V95,$X95,$W95)</f>
        <v/>
      </c>
      <c r="Z95">
        <f>IF($V95,IF($P95="","",$P95),IF($O95="","",$O95))</f>
        <v/>
      </c>
      <c r="AA95">
        <f>IF(OR($Q95="",$Z95=""),"",IF(AND($Z95&gt;0,$Z95&gt;=$Q95),"yes","below the line"))</f>
        <v/>
      </c>
      <c r="AB95">
        <f>IF($V95,IF($M95="","",$M95),IF($K95="","",$K95))</f>
        <v/>
      </c>
      <c r="AC95">
        <f>IF($V95,IF($N95="","",$N95),IF($L95="","",$L95))</f>
        <v/>
      </c>
      <c r="AD95">
        <f>$Y95</f>
        <v/>
      </c>
      <c r="AE95">
        <f>IF($V95,IF($S95="","",$S95),IF($R95="","",$R95))</f>
        <v/>
      </c>
      <c r="AF95">
        <f>IF($V95,IF($U95="","",$U95),IF($T95="","",$T95))</f>
        <v/>
      </c>
      <c r="AG95">
        <f>IF($V95,IF($O95="","",$O95),IF($P95="","",$P95))</f>
        <v/>
      </c>
      <c r="AH95" t="n">
        <v>0.1031903128947965</v>
      </c>
      <c r="AI95">
        <f>IF($Y95="worse","Yes",IF($Y95="worse, not significant","Not sure",IF(OR($Y95="too few losses to test",$Y95="too few loans to test"),"Too few losses",IF($Y95="","","No"))))</f>
        <v/>
      </c>
      <c r="AJ95">
        <f>IF($AA95="yes","Yes",IF($AA95="","","No"))</f>
        <v/>
      </c>
    </row>
    <row r="96">
      <c r="A96" t="inlineStr">
        <is>
          <t>grids</t>
        </is>
      </c>
      <c r="B96" t="inlineStr">
        <is>
          <t>FICO x CHANNEL</t>
        </is>
      </c>
      <c r="C96" t="inlineStr">
        <is>
          <t>(marked missing)</t>
        </is>
      </c>
      <c r="D96" t="inlineStr">
        <is>
          <t>Broker</t>
        </is>
      </c>
      <c r="E96" t="inlineStr">
        <is>
          <t>gco_rate</t>
        </is>
      </c>
      <c r="F96" t="inlineStr">
        <is>
          <t>GCO per booked dollar</t>
        </is>
      </c>
      <c r="G96" t="n">
        <v>54</v>
      </c>
      <c r="H96" t="n">
        <v>1668510.01</v>
      </c>
      <c r="I96" t="b">
        <v>1</v>
      </c>
      <c r="J96" t="b">
        <v>0</v>
      </c>
      <c r="K96" t="n">
        <v>1.254330883770802</v>
      </c>
      <c r="M96" t="n">
        <v>3.929953858074747</v>
      </c>
      <c r="O96" t="n">
        <v>17626.35690685791</v>
      </c>
      <c r="P96" t="n">
        <v>64811.02715866691</v>
      </c>
      <c r="Q96">
        <f>'_live'!$C$22</f>
        <v/>
      </c>
      <c r="T96" t="n">
        <v>0.04153695373583171</v>
      </c>
      <c r="U96" t="n">
        <v>0.01325742890888205</v>
      </c>
      <c r="V96">
        <f>AND(judged_band,NOT($J96))</f>
        <v/>
      </c>
      <c r="W96">
        <f>IF($K96="","",IF($I96,"too few losses to test",IF(AND($K96&gt;better_at,$K96&lt;worse_at),"in line",IF($K96&gt;=worse_at,IF(AND(ISNUMBER($L96),$L96&lt;significance_bar),"worse","worse, not significant"),IF(AND(ISNUMBER($L96),$L96&lt;significance_bar),"better","better, not significant")))))</f>
        <v/>
      </c>
      <c r="X96">
        <f>IF($M96="","",IF($I96,"too few losses to test",IF(AND($M96&gt;better_at,$M96&lt;worse_at),"in line",IF($M96&gt;=worse_at,IF(AND(ISNUMBER($N96),$N96&lt;significance_bar),"worse","worse, not significant"),IF(AND(ISNUMBER($N96),$N96&lt;significance_bar),"better","better, not significant")))))</f>
        <v/>
      </c>
      <c r="Y96">
        <f>IF($V96,$X96,$W96)</f>
        <v/>
      </c>
      <c r="Z96">
        <f>IF($V96,IF($P96="","",$P96),IF($O96="","",$O96))</f>
        <v/>
      </c>
      <c r="AA96">
        <f>IF(OR($Q96="",$Z96=""),"",IF(AND($Z96&gt;0,$Z96&gt;=$Q96),"yes","below the line"))</f>
        <v/>
      </c>
      <c r="AB96">
        <f>IF($V96,IF($M96="","",$M96),IF($K96="","",$K96))</f>
        <v/>
      </c>
      <c r="AC96">
        <f>IF($V96,IF($N96="","",$N96),IF($L96="","",$L96))</f>
        <v/>
      </c>
      <c r="AD96">
        <f>$Y96</f>
        <v/>
      </c>
      <c r="AE96">
        <f>IF($V96,IF($S96="","",$S96),IF($R96="","",$R96))</f>
        <v/>
      </c>
      <c r="AF96">
        <f>IF($V96,IF($U96="","",$U96),IF($T96="","",$T96))</f>
        <v/>
      </c>
      <c r="AG96">
        <f>IF($V96,IF($O96="","",$O96),IF($P96="","",$P96))</f>
        <v/>
      </c>
      <c r="AH96" t="n">
        <v>0.0521010838886127</v>
      </c>
      <c r="AI96">
        <f>IF($Y96="worse","Yes",IF($Y96="worse, not significant","Not sure",IF(OR($Y96="too few losses to test",$Y96="too few loans to test"),"Too few losses",IF($Y96="","","No"))))</f>
        <v/>
      </c>
      <c r="AJ96">
        <f>IF($AA96="yes","Yes",IF($AA96="","","No"))</f>
        <v/>
      </c>
    </row>
    <row r="97">
      <c r="A97" t="inlineStr">
        <is>
          <t>grids</t>
        </is>
      </c>
      <c r="B97" t="inlineStr">
        <is>
          <t>FICO x CHANNEL</t>
        </is>
      </c>
      <c r="C97" t="inlineStr">
        <is>
          <t>(marked missing)</t>
        </is>
      </c>
      <c r="D97" t="inlineStr">
        <is>
          <t>Broker</t>
        </is>
      </c>
      <c r="E97" t="inlineStr">
        <is>
          <t>ranr_rate</t>
        </is>
      </c>
      <c r="F97" t="inlineStr">
        <is>
          <t>Profit after losses: RANR per booked dollar</t>
        </is>
      </c>
      <c r="G97" t="n">
        <v>54</v>
      </c>
      <c r="H97" t="n">
        <v>1668510.01</v>
      </c>
      <c r="I97" t="b">
        <v>0</v>
      </c>
      <c r="J97" t="b">
        <v>0</v>
      </c>
      <c r="K97" t="n">
        <v>-0.002316448685169586</v>
      </c>
      <c r="L97" t="n">
        <v>0.9303069693030698</v>
      </c>
      <c r="M97" t="n">
        <v>-0.0430755099286384</v>
      </c>
      <c r="N97" t="n">
        <v>0.1844815518448155</v>
      </c>
      <c r="O97" t="n">
        <v>3865.017818856781</v>
      </c>
      <c r="P97" t="n">
        <v>71871.91950178755</v>
      </c>
      <c r="Q97">
        <f>'_live'!$C$23</f>
        <v/>
      </c>
      <c r="R97" t="inlineStr">
        <is>
          <t>shuffled: 9,303 of 10,000</t>
        </is>
      </c>
      <c r="S97" t="inlineStr">
        <is>
          <t>shuffled: 1,229 of 10,000</t>
        </is>
      </c>
      <c r="T97" t="n">
        <v>0.1280050263641253</v>
      </c>
      <c r="U97" t="n">
        <v>0.1687640876075941</v>
      </c>
      <c r="V97">
        <f>AND(judged_band,NOT($J97))</f>
        <v/>
      </c>
      <c r="W97">
        <f>IF($K97="","",IF(profit_kind="test",IF(OR(NOT(AND(ISNUMBER($L97),$L97&lt;significance_bar)),$K97=0),"in line",IF($K97&lt;0,"worse","better")),IF(OR($K97=0,IF(profit_kind="points",ABS($K97),ABS($K97*$H97))&lt;profit_line*(1-1E-9)),"in line",IF(AND(ISNUMBER($L97),$L97&lt;significance_bar),IF($K97&lt;0,"worse","better"),IF($K97&lt;0,"worse, not significant","better, not significant")))))</f>
        <v/>
      </c>
      <c r="X97">
        <f>IF($M97="","",IF(profit_kind="test",IF(OR(NOT(AND(ISNUMBER($N97),$N97&lt;significance_bar)),$M97=0),"in line",IF($M97&lt;0,"worse","better")),IF(OR($M97=0,IF(profit_kind="points",ABS($M97),ABS($M97*$H97))&lt;profit_line*(1-1E-9)),"in line",IF(AND(ISNUMBER($N97),$N97&lt;significance_bar),IF($M97&lt;0,"worse","better"),IF($M97&lt;0,"worse, not significant","better, not significant")))))</f>
        <v/>
      </c>
      <c r="Y97">
        <f>IF($V97,$X97,$W97)</f>
        <v/>
      </c>
      <c r="Z97">
        <f>IF($V97,IF($P97="","",$P97),IF($O97="","",$O97))</f>
        <v/>
      </c>
      <c r="AA97">
        <f>IF(OR($Q97="",$Z97=""),"",IF(AND($Z97&gt;0,$Z97&gt;=$Q97),"yes","below the line"))</f>
        <v/>
      </c>
      <c r="AB97">
        <f>IF($V97,IF($M97="","",$M97),IF($K97="","",$K97))</f>
        <v/>
      </c>
      <c r="AC97">
        <f>IF($V97,IF($N97="","",$N97),IF($L97="","",$L97))</f>
        <v/>
      </c>
      <c r="AD97">
        <f>IF($Y97="","",IF($Y97="in line",IF(profit_kind="test",IF(ROUND($AB97*100,2)=0,"0.00",TEXT($AB97*100,"+0.00;-0.00"))&amp;" points against "&amp;IF($V97,"its band","the book")&amp;", "&amp;IF($AC97="","not tested","not significant"),IF(profit_kind="points","within "&amp;TEXT(profit_line*100,"0.00")&amp;" points of "&amp;IF($V97,"its band","the book")&amp;" ("&amp;IF(ROUND($AB97*100,2)=0,"0.00",TEXT($AB97*100,"+0.00;-0.00"))&amp;")","within $"&amp;TEXT(profit_line,"#,##0")&amp;" of "&amp;IF($V97,"its band","the book")&amp;" ("&amp;IF(ROUND($AB97*100,2)=0,"0.00",TEXT($AB97*100,"+0.00;-0.00"))&amp;" points)")),IF(LEFT($Y97,5)="worse","short of ","ahead of ")&amp;IF($V97,"its band","the book")&amp;" by "&amp;TEXT(ABS($AB97)*100,"0.00")&amp;" points"&amp;IF($Z97="",""," ($"&amp;TEXT(ABS($Z97),"#,##0")&amp;")")&amp;IF(RIGHT($Y97,15)="not significant"," (not significant)","")))</f>
        <v/>
      </c>
      <c r="AE97">
        <f>IF($V97,IF($S97="","",$S97),IF($R97="","",$R97))</f>
        <v/>
      </c>
      <c r="AF97">
        <f>IF($V97,IF($U97="","",$U97),IF($T97="","",$T97))</f>
        <v/>
      </c>
      <c r="AG97">
        <f>IF($V97,IF($O97="","",$O97),IF($P97="","",$P97))</f>
        <v/>
      </c>
      <c r="AH97" t="n">
        <v>0.1256885776789557</v>
      </c>
      <c r="AI97">
        <f>IF($Y97="worse","Yes",IF($Y97="worse, not significant","Not sure",IF(OR($Y97="too few losses to test",$Y97="too few loans to test"),"Too few losses",IF($Y97="","","No"))))</f>
        <v/>
      </c>
      <c r="AJ97">
        <f>IF($AA97="yes","Yes",IF($AA97="","","No"))</f>
        <v/>
      </c>
    </row>
    <row r="98">
      <c r="A98" t="inlineStr">
        <is>
          <t>grids</t>
        </is>
      </c>
      <c r="B98" t="inlineStr">
        <is>
          <t>FICO x CHANNEL</t>
        </is>
      </c>
      <c r="C98" t="inlineStr">
        <is>
          <t>(marked missing)</t>
        </is>
      </c>
      <c r="D98" t="inlineStr">
        <is>
          <t>Broker</t>
        </is>
      </c>
      <c r="E98" t="inlineStr">
        <is>
          <t>contribution_rate</t>
        </is>
      </c>
      <c r="F98" t="inlineStr">
        <is>
          <t>Contribution before losses per booked dollar</t>
        </is>
      </c>
      <c r="G98" t="n">
        <v>54</v>
      </c>
      <c r="H98" t="n">
        <v>1668510.01</v>
      </c>
      <c r="I98" t="b">
        <v>0</v>
      </c>
      <c r="J98" t="b">
        <v>0</v>
      </c>
      <c r="K98" t="n">
        <v>0.008250557005012621</v>
      </c>
      <c r="L98" t="n">
        <v>0.6849870568498706</v>
      </c>
      <c r="M98" t="n">
        <v>-0.004231854948907793</v>
      </c>
      <c r="N98" t="n">
        <v>0.8534146585341466</v>
      </c>
      <c r="O98" t="n">
        <v>-13766.1369509392</v>
      </c>
      <c r="P98" t="n">
        <v>7060.892343120649</v>
      </c>
      <c r="Q98">
        <f>'_live'!$C$24</f>
        <v/>
      </c>
      <c r="R98" t="inlineStr">
        <is>
          <t>shuffled: 6,489 of 10,000</t>
        </is>
      </c>
      <c r="S98" t="inlineStr">
        <is>
          <t>shuffled: 8,534 of 10,000</t>
        </is>
      </c>
      <c r="T98" t="n">
        <v>0.1695391045625557</v>
      </c>
      <c r="U98" t="n">
        <v>0.1820215165164761</v>
      </c>
      <c r="V98">
        <f>AND(judged_band,NOT($J98))</f>
        <v/>
      </c>
      <c r="W98">
        <f>IF($K98="","",IF(profit_kind="test",IF(OR(NOT(AND(ISNUMBER($L98),$L98&lt;significance_bar)),$K98=0),"in line",IF($K98&lt;0,"worse","better")),IF(OR($K98=0,IF(profit_kind="points",ABS($K98),ABS($K98*$H98))&lt;profit_line*(1-1E-9)),"in line",IF(AND(ISNUMBER($L98),$L98&lt;significance_bar),IF($K98&lt;0,"worse","better"),IF($K98&lt;0,"worse, not significant","better, not significant")))))</f>
        <v/>
      </c>
      <c r="X98">
        <f>IF($M98="","",IF(profit_kind="test",IF(OR(NOT(AND(ISNUMBER($N98),$N98&lt;significance_bar)),$M98=0),"in line",IF($M98&lt;0,"worse","better")),IF(OR($M98=0,IF(profit_kind="points",ABS($M98),ABS($M98*$H98))&lt;profit_line*(1-1E-9)),"in line",IF(AND(ISNUMBER($N98),$N98&lt;significance_bar),IF($M98&lt;0,"worse","better"),IF($M98&lt;0,"worse, not significant","better, not significant")))))</f>
        <v/>
      </c>
      <c r="Y98">
        <f>IF($V98,$X98,$W98)</f>
        <v/>
      </c>
      <c r="Z98">
        <f>IF($V98,IF($P98="","",$P98),IF($O98="","",$O98))</f>
        <v/>
      </c>
      <c r="AA98">
        <f>IF(OR($Q98="",$Z98=""),"",IF(AND($Z98&gt;0,$Z98&gt;=$Q98),"yes","below the line"))</f>
        <v/>
      </c>
      <c r="AB98">
        <f>IF($V98,IF($M98="","",$M98),IF($K98="","",$K98))</f>
        <v/>
      </c>
      <c r="AC98">
        <f>IF($V98,IF($N98="","",$N98),IF($L98="","",$L98))</f>
        <v/>
      </c>
      <c r="AD98">
        <f>IF($Y98="","",IF($Y98="in line",IF(profit_kind="test",IF(ROUND($AB98*100,2)=0,"0.00",TEXT($AB98*100,"+0.00;-0.00"))&amp;" points against "&amp;IF($V98,"its band","the book")&amp;", "&amp;IF($AC98="","not tested","not significant"),IF(profit_kind="points","within "&amp;TEXT(profit_line*100,"0.00")&amp;" points of "&amp;IF($V98,"its band","the book")&amp;" ("&amp;IF(ROUND($AB98*100,2)=0,"0.00",TEXT($AB98*100,"+0.00;-0.00"))&amp;")","within $"&amp;TEXT(profit_line,"#,##0")&amp;" of "&amp;IF($V98,"its band","the book")&amp;" ("&amp;IF(ROUND($AB98*100,2)=0,"0.00",TEXT($AB98*100,"+0.00;-0.00"))&amp;" points)")),IF(LEFT($Y98,5)="worse","short of ","ahead of ")&amp;IF($V98,"its band","the book")&amp;" by "&amp;TEXT(ABS($AB98)*100,"0.00")&amp;" points"&amp;IF($Z98="",""," ($"&amp;TEXT(ABS($Z98),"#,##0")&amp;")")&amp;IF(RIGHT($Y98,15)="not significant"," (not significant)","")))</f>
        <v/>
      </c>
      <c r="AE98">
        <f>IF($V98,IF($S98="","",$S98),IF($R98="","",$R98))</f>
        <v/>
      </c>
      <c r="AF98">
        <f>IF($V98,IF($U98="","",$U98),IF($T98="","",$T98))</f>
        <v/>
      </c>
      <c r="AG98">
        <f>IF($V98,IF($O98="","",$O98),IF($P98="","",$P98))</f>
        <v/>
      </c>
      <c r="AH98" t="n">
        <v>0.1777896615675683</v>
      </c>
      <c r="AI98">
        <f>IF($Y98="worse","Yes",IF($Y98="worse, not significant","Not sure",IF(OR($Y98="too few losses to test",$Y98="too few loans to test"),"Too few losses",IF($Y98="","","No"))))</f>
        <v/>
      </c>
      <c r="AJ98">
        <f>IF($AA98="yes","Yes",IF($AA98="","","No"))</f>
        <v/>
      </c>
    </row>
    <row r="99">
      <c r="A99" t="inlineStr">
        <is>
          <t>grids</t>
        </is>
      </c>
      <c r="B99" t="inlineStr">
        <is>
          <t>FICO x ASSET_CLASS</t>
        </is>
      </c>
      <c r="C99" t="inlineStr">
        <is>
          <t>(marked missing)</t>
        </is>
      </c>
      <c r="D99" t="inlineStr">
        <is>
          <t>1</t>
        </is>
      </c>
      <c r="E99" t="inlineStr">
        <is>
          <t>outcome_loans</t>
        </is>
      </c>
      <c r="F99" t="inlineStr">
        <is>
          <t>Outcome, share of loans</t>
        </is>
      </c>
      <c r="G99" t="n">
        <v>42</v>
      </c>
      <c r="H99" t="n">
        <v>42</v>
      </c>
      <c r="I99" t="b">
        <v>1</v>
      </c>
      <c r="J99" t="b">
        <v>0</v>
      </c>
      <c r="K99" t="n">
        <v>0.306557250732008</v>
      </c>
      <c r="M99" t="n">
        <v>0.3121693121693122</v>
      </c>
      <c r="O99" t="n">
        <v>-2.262033429684554</v>
      </c>
      <c r="P99" t="n">
        <v>-2.203389830508475</v>
      </c>
      <c r="Q99">
        <f>'_live'!$C$20</f>
        <v/>
      </c>
      <c r="T99" t="n">
        <v>0.07766746261153701</v>
      </c>
      <c r="U99" t="n">
        <v>0.07627118644067797</v>
      </c>
      <c r="V99">
        <f>AND(judged_band,NOT($J99))</f>
        <v/>
      </c>
      <c r="W99">
        <f>IF($K99="","",IF($I99,"too few losses to test",IF(AND($K99&gt;better_at,$K99&lt;worse_at),"in line",IF($K99&gt;=worse_at,IF(AND(ISNUMBER($L99),$L99&lt;significance_bar),"worse","worse, not significant"),IF(AND(ISNUMBER($L99),$L99&lt;significance_bar),"better","better, not significant")))))</f>
        <v/>
      </c>
      <c r="X99">
        <f>IF($M99="","",IF($I99,"too few losses to test",IF(AND($M99&gt;better_at,$M99&lt;worse_at),"in line",IF($M99&gt;=worse_at,IF(AND(ISNUMBER($N99),$N99&lt;significance_bar),"worse","worse, not significant"),IF(AND(ISNUMBER($N99),$N99&lt;significance_bar),"better","better, not significant")))))</f>
        <v/>
      </c>
      <c r="Y99">
        <f>IF($V99,$X99,$W99)</f>
        <v/>
      </c>
      <c r="Z99">
        <f>IF($V99,IF($P99="","",$P99),IF($O99="","",$O99))</f>
        <v/>
      </c>
      <c r="AA99">
        <f>IF(OR($Q99="",$Z99=""),"",IF(AND($Z99&gt;0,$Z99&gt;=$Q99),"yes","below the line"))</f>
        <v/>
      </c>
      <c r="AB99">
        <f>IF($V99,IF($M99="","",$M99),IF($K99="","",$K99))</f>
        <v/>
      </c>
      <c r="AC99">
        <f>IF($V99,IF($N99="","",$N99),IF($L99="","",$L99))</f>
        <v/>
      </c>
      <c r="AD99">
        <f>$Y99</f>
        <v/>
      </c>
      <c r="AE99">
        <f>IF($V99,IF($S99="","",$S99),IF($R99="","",$R99))</f>
        <v/>
      </c>
      <c r="AF99">
        <f>IF($V99,IF($U99="","",$U99),IF($T99="","",$T99))</f>
        <v/>
      </c>
      <c r="AG99">
        <f>IF($V99,IF($O99="","",$O99),IF($P99="","",$P99))</f>
        <v/>
      </c>
      <c r="AH99" t="n">
        <v>0.02380952380952381</v>
      </c>
      <c r="AI99">
        <f>IF($Y99="worse","Yes",IF($Y99="worse, not significant","Not sure",IF(OR($Y99="too few losses to test",$Y99="too few loans to test"),"Too few losses",IF($Y99="","","No"))))</f>
        <v/>
      </c>
      <c r="AJ99">
        <f>IF($AA99="yes","Yes",IF($AA99="","","No"))</f>
        <v/>
      </c>
    </row>
    <row r="100">
      <c r="A100" t="inlineStr">
        <is>
          <t>grids</t>
        </is>
      </c>
      <c r="B100" t="inlineStr">
        <is>
          <t>FICO x ASSET_CLASS</t>
        </is>
      </c>
      <c r="C100" t="inlineStr">
        <is>
          <t>(marked missing)</t>
        </is>
      </c>
      <c r="D100" t="inlineStr">
        <is>
          <t>1</t>
        </is>
      </c>
      <c r="E100" t="inlineStr">
        <is>
          <t>outcome_booked</t>
        </is>
      </c>
      <c r="F100" t="inlineStr">
        <is>
          <t>Outcome, share of booked dollars</t>
        </is>
      </c>
      <c r="G100" t="n">
        <v>42</v>
      </c>
      <c r="H100" t="n">
        <v>1515477.86</v>
      </c>
      <c r="I100" t="b">
        <v>1</v>
      </c>
      <c r="J100" t="b">
        <v>0</v>
      </c>
      <c r="K100" t="n">
        <v>0.1274607192524686</v>
      </c>
      <c r="M100" t="n">
        <v>0.1506400622049624</v>
      </c>
      <c r="O100" t="n">
        <v>-99456.93698537898</v>
      </c>
      <c r="P100" t="n">
        <v>-81917.69874506115</v>
      </c>
      <c r="Q100">
        <f>'_live'!$C$21</f>
        <v/>
      </c>
      <c r="T100" t="n">
        <v>0.0752143135798625</v>
      </c>
      <c r="U100" t="n">
        <v>0.06364090910906553</v>
      </c>
      <c r="V100">
        <f>AND(judged_band,NOT($J100))</f>
        <v/>
      </c>
      <c r="W100">
        <f>IF($K100="","",IF($I100,"too few losses to test",IF(AND($K100&gt;better_at,$K100&lt;worse_at),"in line",IF($K100&gt;=worse_at,IF(AND(ISNUMBER($L100),$L100&lt;significance_bar),"worse","worse, not significant"),IF(AND(ISNUMBER($L100),$L100&lt;significance_bar),"better","better, not significant")))))</f>
        <v/>
      </c>
      <c r="X100">
        <f>IF($M100="","",IF($I100,"too few losses to test",IF(AND($M100&gt;better_at,$M100&lt;worse_at),"in line",IF($M100&gt;=worse_at,IF(AND(ISNUMBER($N100),$N100&lt;significance_bar),"worse","worse, not significant"),IF(AND(ISNUMBER($N100),$N100&lt;significance_bar),"better","better, not significant")))))</f>
        <v/>
      </c>
      <c r="Y100">
        <f>IF($V100,$X100,$W100)</f>
        <v/>
      </c>
      <c r="Z100">
        <f>IF($V100,IF($P100="","",$P100),IF($O100="","",$O100))</f>
        <v/>
      </c>
      <c r="AA100">
        <f>IF(OR($Q100="",$Z100=""),"",IF(AND($Z100&gt;0,$Z100&gt;=$Q100),"yes","below the line"))</f>
        <v/>
      </c>
      <c r="AB100">
        <f>IF($V100,IF($M100="","",$M100),IF($K100="","",$K100))</f>
        <v/>
      </c>
      <c r="AC100">
        <f>IF($V100,IF($N100="","",$N100),IF($L100="","",$L100))</f>
        <v/>
      </c>
      <c r="AD100">
        <f>$Y100</f>
        <v/>
      </c>
      <c r="AE100">
        <f>IF($V100,IF($S100="","",$S100),IF($R100="","",$R100))</f>
        <v/>
      </c>
      <c r="AF100">
        <f>IF($V100,IF($U100="","",$U100),IF($T100="","",$T100))</f>
        <v/>
      </c>
      <c r="AG100">
        <f>IF($V100,IF($O100="","",$O100),IF($P100="","",$P100))</f>
        <v/>
      </c>
      <c r="AH100" t="n">
        <v>0.009586870506969991</v>
      </c>
      <c r="AI100">
        <f>IF($Y100="worse","Yes",IF($Y100="worse, not significant","Not sure",IF(OR($Y100="too few losses to test",$Y100="too few loans to test"),"Too few losses",IF($Y100="","","No"))))</f>
        <v/>
      </c>
      <c r="AJ100">
        <f>IF($AA100="yes","Yes",IF($AA100="","","No"))</f>
        <v/>
      </c>
    </row>
    <row r="101">
      <c r="A101" t="inlineStr">
        <is>
          <t>grids</t>
        </is>
      </c>
      <c r="B101" t="inlineStr">
        <is>
          <t>FICO x ASSET_CLASS</t>
        </is>
      </c>
      <c r="C101" t="inlineStr">
        <is>
          <t>(marked missing)</t>
        </is>
      </c>
      <c r="D101" t="inlineStr">
        <is>
          <t>1</t>
        </is>
      </c>
      <c r="E101" t="inlineStr">
        <is>
          <t>gco_rate</t>
        </is>
      </c>
      <c r="F101" t="inlineStr">
        <is>
          <t>GCO per booked dollar</t>
        </is>
      </c>
      <c r="G101" t="n">
        <v>42</v>
      </c>
      <c r="H101" t="n">
        <v>1515477.86</v>
      </c>
      <c r="I101" t="b">
        <v>1</v>
      </c>
      <c r="J101" t="b">
        <v>0</v>
      </c>
      <c r="K101" t="n">
        <v>0.09868394714822806</v>
      </c>
      <c r="M101" t="n">
        <v>0.1210324777551084</v>
      </c>
      <c r="O101" t="n">
        <v>-57132.09184120053</v>
      </c>
      <c r="P101" t="n">
        <v>-45427.66721155433</v>
      </c>
      <c r="Q101">
        <f>'_live'!$C$22</f>
        <v/>
      </c>
      <c r="T101" t="n">
        <v>0.0418266828663538</v>
      </c>
      <c r="U101" t="n">
        <v>0.03410342610452542</v>
      </c>
      <c r="V101">
        <f>AND(judged_band,NOT($J101))</f>
        <v/>
      </c>
      <c r="W101">
        <f>IF($K101="","",IF($I101,"too few losses to test",IF(AND($K101&gt;better_at,$K101&lt;worse_at),"in line",IF($K101&gt;=worse_at,IF(AND(ISNUMBER($L101),$L101&lt;significance_bar),"worse","worse, not significant"),IF(AND(ISNUMBER($L101),$L101&lt;significance_bar),"better","better, not significant")))))</f>
        <v/>
      </c>
      <c r="X101">
        <f>IF($M101="","",IF($I101,"too few losses to test",IF(AND($M101&gt;better_at,$M101&lt;worse_at),"in line",IF($M101&gt;=worse_at,IF(AND(ISNUMBER($N101),$N101&lt;significance_bar),"worse","worse, not significant"),IF(AND(ISNUMBER($N101),$N101&lt;significance_bar),"better","better, not significant")))))</f>
        <v/>
      </c>
      <c r="Y101">
        <f>IF($V101,$X101,$W101)</f>
        <v/>
      </c>
      <c r="Z101">
        <f>IF($V101,IF($P101="","",$P101),IF($O101="","",$O101))</f>
        <v/>
      </c>
      <c r="AA101">
        <f>IF(OR($Q101="",$Z101=""),"",IF(AND($Z101&gt;0,$Z101&gt;=$Q101),"yes","below the line"))</f>
        <v/>
      </c>
      <c r="AB101">
        <f>IF($V101,IF($M101="","",$M101),IF($K101="","",$K101))</f>
        <v/>
      </c>
      <c r="AC101">
        <f>IF($V101,IF($N101="","",$N101),IF($L101="","",$L101))</f>
        <v/>
      </c>
      <c r="AD101">
        <f>$Y101</f>
        <v/>
      </c>
      <c r="AE101">
        <f>IF($V101,IF($S101="","",$S101),IF($R101="","",$R101))</f>
        <v/>
      </c>
      <c r="AF101">
        <f>IF($V101,IF($U101="","",$U101),IF($T101="","",$T101))</f>
        <v/>
      </c>
      <c r="AG101">
        <f>IF($V101,IF($O101="","",$O101),IF($P101="","",$P101))</f>
        <v/>
      </c>
      <c r="AH101" t="n">
        <v>0.004127622161368955</v>
      </c>
      <c r="AI101">
        <f>IF($Y101="worse","Yes",IF($Y101="worse, not significant","Not sure",IF(OR($Y101="too few losses to test",$Y101="too few loans to test"),"Too few losses",IF($Y101="","","No"))))</f>
        <v/>
      </c>
      <c r="AJ101">
        <f>IF($AA101="yes","Yes",IF($AA101="","","No"))</f>
        <v/>
      </c>
    </row>
    <row r="102">
      <c r="A102" t="inlineStr">
        <is>
          <t>grids</t>
        </is>
      </c>
      <c r="B102" t="inlineStr">
        <is>
          <t>FICO x ASSET_CLASS</t>
        </is>
      </c>
      <c r="C102" t="inlineStr">
        <is>
          <t>(marked missing)</t>
        </is>
      </c>
      <c r="D102" t="inlineStr">
        <is>
          <t>1</t>
        </is>
      </c>
      <c r="E102" t="inlineStr">
        <is>
          <t>ranr_rate</t>
        </is>
      </c>
      <c r="F102" t="inlineStr">
        <is>
          <t>Profit after losses: RANR per booked dollar</t>
        </is>
      </c>
      <c r="G102" t="n">
        <v>42</v>
      </c>
      <c r="H102" t="n">
        <v>1515477.86</v>
      </c>
      <c r="I102" t="b">
        <v>0</v>
      </c>
      <c r="J102" t="b">
        <v>0</v>
      </c>
      <c r="K102" t="n">
        <v>0.05197257184150014</v>
      </c>
      <c r="L102" t="n">
        <v>0.1448384573307375</v>
      </c>
      <c r="M102" t="n">
        <v>0.03431925922526244</v>
      </c>
      <c r="N102" t="n">
        <v>0.5532537655325377</v>
      </c>
      <c r="O102" t="n">
        <v>-78763.28195305291</v>
      </c>
      <c r="P102" t="n">
        <v>-52010.07752748599</v>
      </c>
      <c r="Q102">
        <f>'_live'!$C$23</f>
        <v/>
      </c>
      <c r="R102" t="inlineStr">
        <is>
          <t>shuffled: 984 of 10,000</t>
        </is>
      </c>
      <c r="S102" t="inlineStr">
        <is>
          <t>shuffled: 2,535 of 10,000</t>
        </is>
      </c>
      <c r="T102" t="n">
        <v>0.1276848465783242</v>
      </c>
      <c r="U102" t="n">
        <v>0.1453381591945619</v>
      </c>
      <c r="V102">
        <f>AND(judged_band,NOT($J102))</f>
        <v/>
      </c>
      <c r="W102">
        <f>IF($K102="","",IF(profit_kind="test",IF(OR(NOT(AND(ISNUMBER($L102),$L102&lt;significance_bar)),$K102=0),"in line",IF($K102&lt;0,"worse","better")),IF(OR($K102=0,IF(profit_kind="points",ABS($K102),ABS($K102*$H102))&lt;profit_line*(1-1E-9)),"in line",IF(AND(ISNUMBER($L102),$L102&lt;significance_bar),IF($K102&lt;0,"worse","better"),IF($K102&lt;0,"worse, not significant","better, not significant")))))</f>
        <v/>
      </c>
      <c r="X102">
        <f>IF($M102="","",IF(profit_kind="test",IF(OR(NOT(AND(ISNUMBER($N102),$N102&lt;significance_bar)),$M102=0),"in line",IF($M102&lt;0,"worse","better")),IF(OR($M102=0,IF(profit_kind="points",ABS($M102),ABS($M102*$H102))&lt;profit_line*(1-1E-9)),"in line",IF(AND(ISNUMBER($N102),$N102&lt;significance_bar),IF($M102&lt;0,"worse","better"),IF($M102&lt;0,"worse, not significant","better, not significant")))))</f>
        <v/>
      </c>
      <c r="Y102">
        <f>IF($V102,$X102,$W102)</f>
        <v/>
      </c>
      <c r="Z102">
        <f>IF($V102,IF($P102="","",$P102),IF($O102="","",$O102))</f>
        <v/>
      </c>
      <c r="AA102">
        <f>IF(OR($Q102="",$Z102=""),"",IF(AND($Z102&gt;0,$Z102&gt;=$Q102),"yes","below the line"))</f>
        <v/>
      </c>
      <c r="AB102">
        <f>IF($V102,IF($M102="","",$M102),IF($K102="","",$K102))</f>
        <v/>
      </c>
      <c r="AC102">
        <f>IF($V102,IF($N102="","",$N102),IF($L102="","",$L102))</f>
        <v/>
      </c>
      <c r="AD102">
        <f>IF($Y102="","",IF($Y102="in line",IF(profit_kind="test",IF(ROUND($AB102*100,2)=0,"0.00",TEXT($AB102*100,"+0.00;-0.00"))&amp;" points against "&amp;IF($V102,"its band","the book")&amp;", "&amp;IF($AC102="","not tested","not significant"),IF(profit_kind="points","within "&amp;TEXT(profit_line*100,"0.00")&amp;" points of "&amp;IF($V102,"its band","the book")&amp;" ("&amp;IF(ROUND($AB102*100,2)=0,"0.00",TEXT($AB102*100,"+0.00;-0.00"))&amp;")","within $"&amp;TEXT(profit_line,"#,##0")&amp;" of "&amp;IF($V102,"its band","the book")&amp;" ("&amp;IF(ROUND($AB102*100,2)=0,"0.00",TEXT($AB102*100,"+0.00;-0.00"))&amp;" points)")),IF(LEFT($Y102,5)="worse","short of ","ahead of ")&amp;IF($V102,"its band","the book")&amp;" by "&amp;TEXT(ABS($AB102)*100,"0.00")&amp;" points"&amp;IF($Z102="",""," ($"&amp;TEXT(ABS($Z102),"#,##0")&amp;")")&amp;IF(RIGHT($Y102,15)="not significant"," (not significant)","")))</f>
        <v/>
      </c>
      <c r="AE102">
        <f>IF($V102,IF($S102="","",$S102),IF($R102="","",$R102))</f>
        <v/>
      </c>
      <c r="AF102">
        <f>IF($V102,IF($U102="","",$U102),IF($T102="","",$T102))</f>
        <v/>
      </c>
      <c r="AG102">
        <f>IF($V102,IF($O102="","",$O102),IF($P102="","",$P102))</f>
        <v/>
      </c>
      <c r="AH102" t="n">
        <v>0.1796574184198243</v>
      </c>
      <c r="AI102">
        <f>IF($Y102="worse","Yes",IF($Y102="worse, not significant","Not sure",IF(OR($Y102="too few losses to test",$Y102="too few loans to test"),"Too few losses",IF($Y102="","","No"))))</f>
        <v/>
      </c>
      <c r="AJ102">
        <f>IF($AA102="yes","Yes",IF($AA102="","","No"))</f>
        <v/>
      </c>
    </row>
    <row r="103">
      <c r="A103" t="inlineStr">
        <is>
          <t>grids</t>
        </is>
      </c>
      <c r="B103" t="inlineStr">
        <is>
          <t>FICO x ASSET_CLASS</t>
        </is>
      </c>
      <c r="C103" t="inlineStr">
        <is>
          <t>(marked missing)</t>
        </is>
      </c>
      <c r="D103" t="inlineStr">
        <is>
          <t>1</t>
        </is>
      </c>
      <c r="E103" t="inlineStr">
        <is>
          <t>contribution_rate</t>
        </is>
      </c>
      <c r="F103" t="inlineStr">
        <is>
          <t>Contribution before losses per booked dollar</t>
        </is>
      </c>
      <c r="G103" t="n">
        <v>42</v>
      </c>
      <c r="H103" t="n">
        <v>1515477.86</v>
      </c>
      <c r="I103" t="b">
        <v>0</v>
      </c>
      <c r="J103" t="b">
        <v>0</v>
      </c>
      <c r="K103" t="n">
        <v>0.01427643449250299</v>
      </c>
      <c r="L103" t="n">
        <v>0.6090640935906408</v>
      </c>
      <c r="M103" t="n">
        <v>0.004343455282105974</v>
      </c>
      <c r="N103" t="n">
        <v>0.9216078392160784</v>
      </c>
      <c r="O103" t="n">
        <v>-21635.62039312863</v>
      </c>
      <c r="P103" t="n">
        <v>-6582.410315931658</v>
      </c>
      <c r="Q103">
        <f>'_live'!$C$24</f>
        <v/>
      </c>
      <c r="R103" t="inlineStr">
        <is>
          <t>shuffled: 4,872 of 10,000</t>
        </is>
      </c>
      <c r="S103" t="inlineStr">
        <is>
          <t>shuffled: 8,644 of 10,000</t>
        </is>
      </c>
      <c r="T103" t="n">
        <v>0.1695086060886903</v>
      </c>
      <c r="U103" t="n">
        <v>0.1794415852990873</v>
      </c>
      <c r="V103">
        <f>AND(judged_band,NOT($J103))</f>
        <v/>
      </c>
      <c r="W103">
        <f>IF($K103="","",IF(profit_kind="test",IF(OR(NOT(AND(ISNUMBER($L103),$L103&lt;significance_bar)),$K103=0),"in line",IF($K103&lt;0,"worse","better")),IF(OR($K103=0,IF(profit_kind="points",ABS($K103),ABS($K103*$H103))&lt;profit_line*(1-1E-9)),"in line",IF(AND(ISNUMBER($L103),$L103&lt;significance_bar),IF($K103&lt;0,"worse","better"),IF($K103&lt;0,"worse, not significant","better, not significant")))))</f>
        <v/>
      </c>
      <c r="X103">
        <f>IF($M103="","",IF(profit_kind="test",IF(OR(NOT(AND(ISNUMBER($N103),$N103&lt;significance_bar)),$M103=0),"in line",IF($M103&lt;0,"worse","better")),IF(OR($M103=0,IF(profit_kind="points",ABS($M103),ABS($M103*$H103))&lt;profit_line*(1-1E-9)),"in line",IF(AND(ISNUMBER($N103),$N103&lt;significance_bar),IF($M103&lt;0,"worse","better"),IF($M103&lt;0,"worse, not significant","better, not significant")))))</f>
        <v/>
      </c>
      <c r="Y103">
        <f>IF($V103,$X103,$W103)</f>
        <v/>
      </c>
      <c r="Z103">
        <f>IF($V103,IF($P103="","",$P103),IF($O103="","",$O103))</f>
        <v/>
      </c>
      <c r="AA103">
        <f>IF(OR($Q103="",$Z103=""),"",IF(AND($Z103&gt;0,$Z103&gt;=$Q103),"yes","below the line"))</f>
        <v/>
      </c>
      <c r="AB103">
        <f>IF($V103,IF($M103="","",$M103),IF($K103="","",$K103))</f>
        <v/>
      </c>
      <c r="AC103">
        <f>IF($V103,IF($N103="","",$N103),IF($L103="","",$L103))</f>
        <v/>
      </c>
      <c r="AD103">
        <f>IF($Y103="","",IF($Y103="in line",IF(profit_kind="test",IF(ROUND($AB103*100,2)=0,"0.00",TEXT($AB103*100,"+0.00;-0.00"))&amp;" points against "&amp;IF($V103,"its band","the book")&amp;", "&amp;IF($AC103="","not tested","not significant"),IF(profit_kind="points","within "&amp;TEXT(profit_line*100,"0.00")&amp;" points of "&amp;IF($V103,"its band","the book")&amp;" ("&amp;IF(ROUND($AB103*100,2)=0,"0.00",TEXT($AB103*100,"+0.00;-0.00"))&amp;")","within $"&amp;TEXT(profit_line,"#,##0")&amp;" of "&amp;IF($V103,"its band","the book")&amp;" ("&amp;IF(ROUND($AB103*100,2)=0,"0.00",TEXT($AB103*100,"+0.00;-0.00"))&amp;" points)")),IF(LEFT($Y103,5)="worse","short of ","ahead of ")&amp;IF($V103,"its band","the book")&amp;" by "&amp;TEXT(ABS($AB103)*100,"0.00")&amp;" points"&amp;IF($Z103="",""," ($"&amp;TEXT(ABS($Z103),"#,##0")&amp;")")&amp;IF(RIGHT($Y103,15)="not significant"," (not significant)","")))</f>
        <v/>
      </c>
      <c r="AE103">
        <f>IF($V103,IF($S103="","",$S103),IF($R103="","",$R103))</f>
        <v/>
      </c>
      <c r="AF103">
        <f>IF($V103,IF($U103="","",$U103),IF($T103="","",$T103))</f>
        <v/>
      </c>
      <c r="AG103">
        <f>IF($V103,IF($O103="","",$O103),IF($P103="","",$P103))</f>
        <v/>
      </c>
      <c r="AH103" t="n">
        <v>0.1837850405811932</v>
      </c>
      <c r="AI103">
        <f>IF($Y103="worse","Yes",IF($Y103="worse, not significant","Not sure",IF(OR($Y103="too few losses to test",$Y103="too few loans to test"),"Too few losses",IF($Y103="","","No"))))</f>
        <v/>
      </c>
      <c r="AJ103">
        <f>IF($AA103="yes","Yes",IF($AA103="","","No"))</f>
        <v/>
      </c>
    </row>
    <row r="104">
      <c r="A104" t="inlineStr">
        <is>
          <t>grids</t>
        </is>
      </c>
      <c r="B104" t="inlineStr">
        <is>
          <t>FICO x ASSET_CLASS</t>
        </is>
      </c>
      <c r="C104" t="inlineStr">
        <is>
          <t>(blank)</t>
        </is>
      </c>
      <c r="D104" t="inlineStr">
        <is>
          <t>2</t>
        </is>
      </c>
      <c r="E104" t="inlineStr">
        <is>
          <t>outcome_loans</t>
        </is>
      </c>
      <c r="F104" t="inlineStr">
        <is>
          <t>Outcome, share of loans</t>
        </is>
      </c>
      <c r="G104" t="n">
        <v>1</v>
      </c>
      <c r="H104" t="n">
        <v>1</v>
      </c>
      <c r="I104" t="b">
        <v>1</v>
      </c>
      <c r="J104" t="b">
        <v>1</v>
      </c>
      <c r="K104" t="n">
        <v>0</v>
      </c>
      <c r="O104" t="n">
        <v>-0.07739434858714679</v>
      </c>
      <c r="Q104">
        <f>'_live'!$C$20</f>
        <v/>
      </c>
      <c r="T104" t="n">
        <v>0.07739434858714679</v>
      </c>
      <c r="V104">
        <f>AND(judged_band,NOT($J104))</f>
        <v/>
      </c>
      <c r="W104">
        <f>IF($K104="","",IF($I104,"too few losses to test",IF(AND($K104&gt;better_at,$K104&lt;worse_at),"in line",IF($K104&gt;=worse_at,IF(AND(ISNUMBER($L104),$L104&lt;significance_bar),"worse","worse, not significant"),IF(AND(ISNUMBER($L104),$L104&lt;significance_bar),"better","better, not significant")))))</f>
        <v/>
      </c>
      <c r="X104">
        <f>IF($M104="","",IF($I104,"too few losses to test",IF(AND($M104&gt;better_at,$M104&lt;worse_at),"in line",IF($M104&gt;=worse_at,IF(AND(ISNUMBER($N104),$N104&lt;significance_bar),"worse","worse, not significant"),IF(AND(ISNUMBER($N104),$N104&lt;significance_bar),"better","better, not significant")))))</f>
        <v/>
      </c>
      <c r="Y104">
        <f>IF($V104,$X104,$W104)</f>
        <v/>
      </c>
      <c r="Z104">
        <f>IF($V104,IF($P104="","",$P104),IF($O104="","",$O104))</f>
        <v/>
      </c>
      <c r="AA104">
        <f>IF(OR($Q104="",$Z104=""),"",IF(AND($Z104&gt;0,$Z104&gt;=$Q104),"yes","below the line"))</f>
        <v/>
      </c>
      <c r="AB104">
        <f>IF($V104,IF($M104="","",$M104),IF($K104="","",$K104))</f>
        <v/>
      </c>
      <c r="AC104">
        <f>IF($V104,IF($N104="","",$N104),IF($L104="","",$L104))</f>
        <v/>
      </c>
      <c r="AD104">
        <f>$Y104</f>
        <v/>
      </c>
      <c r="AE104">
        <f>IF($V104,IF($S104="","",$S104),IF($R104="","",$R104))</f>
        <v/>
      </c>
      <c r="AF104">
        <f>IF($V104,IF($U104="","",$U104),IF($T104="","",$T104))</f>
        <v/>
      </c>
      <c r="AG104">
        <f>IF($V104,IF($O104="","",$O104),IF($P104="","",$P104))</f>
        <v/>
      </c>
      <c r="AH104" t="n">
        <v>0</v>
      </c>
      <c r="AI104">
        <f>IF($Y104="worse","Yes",IF($Y104="worse, not significant","Not sure",IF(OR($Y104="too few losses to test",$Y104="too few loans to test"),"Too few losses",IF($Y104="","","No"))))</f>
        <v/>
      </c>
      <c r="AJ104">
        <f>IF($AA104="yes","Yes",IF($AA104="","","No"))</f>
        <v/>
      </c>
    </row>
    <row r="105">
      <c r="A105" t="inlineStr">
        <is>
          <t>grids</t>
        </is>
      </c>
      <c r="B105" t="inlineStr">
        <is>
          <t>FICO x ASSET_CLASS</t>
        </is>
      </c>
      <c r="C105" t="inlineStr">
        <is>
          <t>(blank)</t>
        </is>
      </c>
      <c r="D105" t="inlineStr">
        <is>
          <t>2</t>
        </is>
      </c>
      <c r="E105" t="inlineStr">
        <is>
          <t>outcome_booked</t>
        </is>
      </c>
      <c r="F105" t="inlineStr">
        <is>
          <t>Outcome, share of booked dollars</t>
        </is>
      </c>
      <c r="G105" t="n">
        <v>1</v>
      </c>
      <c r="H105" t="n">
        <v>27999.47</v>
      </c>
      <c r="I105" t="b">
        <v>1</v>
      </c>
      <c r="J105" t="b">
        <v>1</v>
      </c>
      <c r="K105" t="n">
        <v>0</v>
      </c>
      <c r="O105" t="n">
        <v>-2095.396036050188</v>
      </c>
      <c r="Q105">
        <f>'_live'!$C$21</f>
        <v/>
      </c>
      <c r="T105" t="n">
        <v>0.07483698927337509</v>
      </c>
      <c r="V105">
        <f>AND(judged_band,NOT($J105))</f>
        <v/>
      </c>
      <c r="W105">
        <f>IF($K105="","",IF($I105,"too few losses to test",IF(AND($K105&gt;better_at,$K105&lt;worse_at),"in line",IF($K105&gt;=worse_at,IF(AND(ISNUMBER($L105),$L105&lt;significance_bar),"worse","worse, not significant"),IF(AND(ISNUMBER($L105),$L105&lt;significance_bar),"better","better, not significant")))))</f>
        <v/>
      </c>
      <c r="X105">
        <f>IF($M105="","",IF($I105,"too few losses to test",IF(AND($M105&gt;better_at,$M105&lt;worse_at),"in line",IF($M105&gt;=worse_at,IF(AND(ISNUMBER($N105),$N105&lt;significance_bar),"worse","worse, not significant"),IF(AND(ISNUMBER($N105),$N105&lt;significance_bar),"better","better, not significant")))))</f>
        <v/>
      </c>
      <c r="Y105">
        <f>IF($V105,$X105,$W105)</f>
        <v/>
      </c>
      <c r="Z105">
        <f>IF($V105,IF($P105="","",$P105),IF($O105="","",$O105))</f>
        <v/>
      </c>
      <c r="AA105">
        <f>IF(OR($Q105="",$Z105=""),"",IF(AND($Z105&gt;0,$Z105&gt;=$Q105),"yes","below the line"))</f>
        <v/>
      </c>
      <c r="AB105">
        <f>IF($V105,IF($M105="","",$M105),IF($K105="","",$K105))</f>
        <v/>
      </c>
      <c r="AC105">
        <f>IF($V105,IF($N105="","",$N105),IF($L105="","",$L105))</f>
        <v/>
      </c>
      <c r="AD105">
        <f>$Y105</f>
        <v/>
      </c>
      <c r="AE105">
        <f>IF($V105,IF($S105="","",$S105),IF($R105="","",$R105))</f>
        <v/>
      </c>
      <c r="AF105">
        <f>IF($V105,IF($U105="","",$U105),IF($T105="","",$T105))</f>
        <v/>
      </c>
      <c r="AG105">
        <f>IF($V105,IF($O105="","",$O105),IF($P105="","",$P105))</f>
        <v/>
      </c>
      <c r="AH105" t="n">
        <v>0</v>
      </c>
      <c r="AI105">
        <f>IF($Y105="worse","Yes",IF($Y105="worse, not significant","Not sure",IF(OR($Y105="too few losses to test",$Y105="too few loans to test"),"Too few losses",IF($Y105="","","No"))))</f>
        <v/>
      </c>
      <c r="AJ105">
        <f>IF($AA105="yes","Yes",IF($AA105="","","No"))</f>
        <v/>
      </c>
    </row>
    <row r="106">
      <c r="A106" t="inlineStr">
        <is>
          <t>grids</t>
        </is>
      </c>
      <c r="B106" t="inlineStr">
        <is>
          <t>FICO x ASSET_CLASS</t>
        </is>
      </c>
      <c r="C106" t="inlineStr">
        <is>
          <t>(blank)</t>
        </is>
      </c>
      <c r="D106" t="inlineStr">
        <is>
          <t>2</t>
        </is>
      </c>
      <c r="E106" t="inlineStr">
        <is>
          <t>gco_rate</t>
        </is>
      </c>
      <c r="F106" t="inlineStr">
        <is>
          <t>GCO per booked dollar</t>
        </is>
      </c>
      <c r="G106" t="n">
        <v>1</v>
      </c>
      <c r="H106" t="n">
        <v>27999.47</v>
      </c>
      <c r="I106" t="b">
        <v>1</v>
      </c>
      <c r="J106" t="b">
        <v>1</v>
      </c>
      <c r="K106" t="n">
        <v>0</v>
      </c>
      <c r="O106" t="n">
        <v>-1165.051801786329</v>
      </c>
      <c r="Q106">
        <f>'_live'!$C$22</f>
        <v/>
      </c>
      <c r="T106" t="n">
        <v>0.04160978053464329</v>
      </c>
      <c r="V106">
        <f>AND(judged_band,NOT($J106))</f>
        <v/>
      </c>
      <c r="W106">
        <f>IF($K106="","",IF($I106,"too few losses to test",IF(AND($K106&gt;better_at,$K106&lt;worse_at),"in line",IF($K106&gt;=worse_at,IF(AND(ISNUMBER($L106),$L106&lt;significance_bar),"worse","worse, not significant"),IF(AND(ISNUMBER($L106),$L106&lt;significance_bar),"better","better, not significant")))))</f>
        <v/>
      </c>
      <c r="X106">
        <f>IF($M106="","",IF($I106,"too few losses to test",IF(AND($M106&gt;better_at,$M106&lt;worse_at),"in line",IF($M106&gt;=worse_at,IF(AND(ISNUMBER($N106),$N106&lt;significance_bar),"worse","worse, not significant"),IF(AND(ISNUMBER($N106),$N106&lt;significance_bar),"better","better, not significant")))))</f>
        <v/>
      </c>
      <c r="Y106">
        <f>IF($V106,$X106,$W106)</f>
        <v/>
      </c>
      <c r="Z106">
        <f>IF($V106,IF($P106="","",$P106),IF($O106="","",$O106))</f>
        <v/>
      </c>
      <c r="AA106">
        <f>IF(OR($Q106="",$Z106=""),"",IF(AND($Z106&gt;0,$Z106&gt;=$Q106),"yes","below the line"))</f>
        <v/>
      </c>
      <c r="AB106">
        <f>IF($V106,IF($M106="","",$M106),IF($K106="","",$K106))</f>
        <v/>
      </c>
      <c r="AC106">
        <f>IF($V106,IF($N106="","",$N106),IF($L106="","",$L106))</f>
        <v/>
      </c>
      <c r="AD106">
        <f>$Y106</f>
        <v/>
      </c>
      <c r="AE106">
        <f>IF($V106,IF($S106="","",$S106),IF($R106="","",$R106))</f>
        <v/>
      </c>
      <c r="AF106">
        <f>IF($V106,IF($U106="","",$U106),IF($T106="","",$T106))</f>
        <v/>
      </c>
      <c r="AG106">
        <f>IF($V106,IF($O106="","",$O106),IF($P106="","",$P106))</f>
        <v/>
      </c>
      <c r="AH106" t="n">
        <v>0</v>
      </c>
      <c r="AI106">
        <f>IF($Y106="worse","Yes",IF($Y106="worse, not significant","Not sure",IF(OR($Y106="too few losses to test",$Y106="too few loans to test"),"Too few losses",IF($Y106="","","No"))))</f>
        <v/>
      </c>
      <c r="AJ106">
        <f>IF($AA106="yes","Yes",IF($AA106="","","No"))</f>
        <v/>
      </c>
    </row>
    <row r="107">
      <c r="A107" t="inlineStr">
        <is>
          <t>grids</t>
        </is>
      </c>
      <c r="B107" t="inlineStr">
        <is>
          <t>FICO x ASSET_CLASS</t>
        </is>
      </c>
      <c r="C107" t="inlineStr">
        <is>
          <t>(blank)</t>
        </is>
      </c>
      <c r="D107" t="inlineStr">
        <is>
          <t>2</t>
        </is>
      </c>
      <c r="E107" t="inlineStr">
        <is>
          <t>ranr_rate</t>
        </is>
      </c>
      <c r="F107" t="inlineStr">
        <is>
          <t>Profit after losses: RANR per booked dollar</t>
        </is>
      </c>
      <c r="G107" t="n">
        <v>1</v>
      </c>
      <c r="H107" t="n">
        <v>27999.47</v>
      </c>
      <c r="I107" t="b">
        <v>0</v>
      </c>
      <c r="J107" t="b">
        <v>1</v>
      </c>
      <c r="K107" t="n">
        <v>0.01230822708383753</v>
      </c>
      <c r="L107" t="n">
        <v>0.9234076592340766</v>
      </c>
      <c r="O107" t="n">
        <v>-344.6238349870969</v>
      </c>
      <c r="Q107">
        <f>'_live'!$C$23</f>
        <v/>
      </c>
      <c r="R107" t="inlineStr">
        <is>
          <t>shuffled: 9,234 of 10,000</t>
        </is>
      </c>
      <c r="S107" t="inlineStr">
        <is>
          <t>10,000 shuffles</t>
        </is>
      </c>
      <c r="T107" t="n">
        <v>0.1279887142511234</v>
      </c>
      <c r="V107">
        <f>AND(judged_band,NOT($J107))</f>
        <v/>
      </c>
      <c r="W107">
        <f>IF($K107="","",IF(profit_kind="test",IF(OR(NOT(AND(ISNUMBER($L107),$L107&lt;significance_bar)),$K107=0),"in line",IF($K107&lt;0,"worse","better")),IF(OR($K107=0,IF(profit_kind="points",ABS($K107),ABS($K107*$H107))&lt;profit_line*(1-1E-9)),"in line",IF(AND(ISNUMBER($L107),$L107&lt;significance_bar),IF($K107&lt;0,"worse","better"),IF($K107&lt;0,"worse, not significant","better, not significant")))))</f>
        <v/>
      </c>
      <c r="X107">
        <f>IF($M107="","",IF(profit_kind="test",IF(OR(NOT(AND(ISNUMBER($N107),$N107&lt;significance_bar)),$M107=0),"in line",IF($M107&lt;0,"worse","better")),IF(OR($M107=0,IF(profit_kind="points",ABS($M107),ABS($M107*$H107))&lt;profit_line*(1-1E-9)),"in line",IF(AND(ISNUMBER($N107),$N107&lt;significance_bar),IF($M107&lt;0,"worse","better"),IF($M107&lt;0,"worse, not significant","better, not significant")))))</f>
        <v/>
      </c>
      <c r="Y107">
        <f>IF($V107,$X107,$W107)</f>
        <v/>
      </c>
      <c r="Z107">
        <f>IF($V107,IF($P107="","",$P107),IF($O107="","",$O107))</f>
        <v/>
      </c>
      <c r="AA107">
        <f>IF(OR($Q107="",$Z107=""),"",IF(AND($Z107&gt;0,$Z107&gt;=$Q107),"yes","below the line"))</f>
        <v/>
      </c>
      <c r="AB107">
        <f>IF($V107,IF($M107="","",$M107),IF($K107="","",$K107))</f>
        <v/>
      </c>
      <c r="AC107">
        <f>IF($V107,IF($N107="","",$N107),IF($L107="","",$L107))</f>
        <v/>
      </c>
      <c r="AD107">
        <f>IF($Y107="","",IF($Y107="in line",IF(profit_kind="test",IF(ROUND($AB107*100,2)=0,"0.00",TEXT($AB107*100,"+0.00;-0.00"))&amp;" points against "&amp;IF($V107,"its band","the book")&amp;", "&amp;IF($AC107="","not tested","not significant"),IF(profit_kind="points","within "&amp;TEXT(profit_line*100,"0.00")&amp;" points of "&amp;IF($V107,"its band","the book")&amp;" ("&amp;IF(ROUND($AB107*100,2)=0,"0.00",TEXT($AB107*100,"+0.00;-0.00"))&amp;")","within $"&amp;TEXT(profit_line,"#,##0")&amp;" of "&amp;IF($V107,"its band","the book")&amp;" ("&amp;IF(ROUND($AB107*100,2)=0,"0.00",TEXT($AB107*100,"+0.00;-0.00"))&amp;" points)")),IF(LEFT($Y107,5)="worse","short of ","ahead of ")&amp;IF($V107,"its band","the book")&amp;" by "&amp;TEXT(ABS($AB107)*100,"0.00")&amp;" points"&amp;IF($Z107="",""," ($"&amp;TEXT(ABS($Z107),"#,##0")&amp;")")&amp;IF(RIGHT($Y107,15)="not significant"," (not significant)","")))</f>
        <v/>
      </c>
      <c r="AE107">
        <f>IF($V107,IF($S107="","",$S107),IF($R107="","",$R107))</f>
        <v/>
      </c>
      <c r="AF107">
        <f>IF($V107,IF($U107="","",$U107),IF($T107="","",$T107))</f>
        <v/>
      </c>
      <c r="AG107">
        <f>IF($V107,IF($O107="","",$O107),IF($P107="","",$P107))</f>
        <v/>
      </c>
      <c r="AH107" t="n">
        <v>0.140296941334961</v>
      </c>
      <c r="AI107">
        <f>IF($Y107="worse","Yes",IF($Y107="worse, not significant","Not sure",IF(OR($Y107="too few losses to test",$Y107="too few loans to test"),"Too few losses",IF($Y107="","","No"))))</f>
        <v/>
      </c>
      <c r="AJ107">
        <f>IF($AA107="yes","Yes",IF($AA107="","","No"))</f>
        <v/>
      </c>
    </row>
    <row r="108">
      <c r="A108" t="inlineStr">
        <is>
          <t>grids</t>
        </is>
      </c>
      <c r="B108" t="inlineStr">
        <is>
          <t>FICO x ASSET_CLASS</t>
        </is>
      </c>
      <c r="C108" t="inlineStr">
        <is>
          <t>(blank)</t>
        </is>
      </c>
      <c r="D108" t="inlineStr">
        <is>
          <t>2</t>
        </is>
      </c>
      <c r="E108" t="inlineStr">
        <is>
          <t>contribution_rate</t>
        </is>
      </c>
      <c r="F108" t="inlineStr">
        <is>
          <t>Contribution before losses per booked dollar</t>
        </is>
      </c>
      <c r="G108" t="n">
        <v>1</v>
      </c>
      <c r="H108" t="n">
        <v>27999.47</v>
      </c>
      <c r="I108" t="b">
        <v>0</v>
      </c>
      <c r="J108" t="b">
        <v>1</v>
      </c>
      <c r="K108" t="n">
        <v>-0.02929869368860016</v>
      </c>
      <c r="L108" t="n">
        <v>0.8764123587641237</v>
      </c>
      <c r="O108" t="n">
        <v>820.3478949731489</v>
      </c>
      <c r="Q108">
        <f>'_live'!$C$24</f>
        <v/>
      </c>
      <c r="R108" t="inlineStr">
        <is>
          <t>shuffled: 8,547 of 10,000</t>
        </is>
      </c>
      <c r="S108" t="inlineStr">
        <is>
          <t>10,000 shuffles</t>
        </is>
      </c>
      <c r="T108" t="n">
        <v>0.1695956350235611</v>
      </c>
      <c r="V108">
        <f>AND(judged_band,NOT($J108))</f>
        <v/>
      </c>
      <c r="W108">
        <f>IF($K108="","",IF(profit_kind="test",IF(OR(NOT(AND(ISNUMBER($L108),$L108&lt;significance_bar)),$K108=0),"in line",IF($K108&lt;0,"worse","better")),IF(OR($K108=0,IF(profit_kind="points",ABS($K108),ABS($K108*$H108))&lt;profit_line*(1-1E-9)),"in line",IF(AND(ISNUMBER($L108),$L108&lt;significance_bar),IF($K108&lt;0,"worse","better"),IF($K108&lt;0,"worse, not significant","better, not significant")))))</f>
        <v/>
      </c>
      <c r="X108">
        <f>IF($M108="","",IF(profit_kind="test",IF(OR(NOT(AND(ISNUMBER($N108),$N108&lt;significance_bar)),$M108=0),"in line",IF($M108&lt;0,"worse","better")),IF(OR($M108=0,IF(profit_kind="points",ABS($M108),ABS($M108*$H108))&lt;profit_line*(1-1E-9)),"in line",IF(AND(ISNUMBER($N108),$N108&lt;significance_bar),IF($M108&lt;0,"worse","better"),IF($M108&lt;0,"worse, not significant","better, not significant")))))</f>
        <v/>
      </c>
      <c r="Y108">
        <f>IF($V108,$X108,$W108)</f>
        <v/>
      </c>
      <c r="Z108">
        <f>IF($V108,IF($P108="","",$P108),IF($O108="","",$O108))</f>
        <v/>
      </c>
      <c r="AA108">
        <f>IF(OR($Q108="",$Z108=""),"",IF(AND($Z108&gt;0,$Z108&gt;=$Q108),"yes","below the line"))</f>
        <v/>
      </c>
      <c r="AB108">
        <f>IF($V108,IF($M108="","",$M108),IF($K108="","",$K108))</f>
        <v/>
      </c>
      <c r="AC108">
        <f>IF($V108,IF($N108="","",$N108),IF($L108="","",$L108))</f>
        <v/>
      </c>
      <c r="AD108">
        <f>IF($Y108="","",IF($Y108="in line",IF(profit_kind="test",IF(ROUND($AB108*100,2)=0,"0.00",TEXT($AB108*100,"+0.00;-0.00"))&amp;" points against "&amp;IF($V108,"its band","the book")&amp;", "&amp;IF($AC108="","not tested","not significant"),IF(profit_kind="points","within "&amp;TEXT(profit_line*100,"0.00")&amp;" points of "&amp;IF($V108,"its band","the book")&amp;" ("&amp;IF(ROUND($AB108*100,2)=0,"0.00",TEXT($AB108*100,"+0.00;-0.00"))&amp;")","within $"&amp;TEXT(profit_line,"#,##0")&amp;" of "&amp;IF($V108,"its band","the book")&amp;" ("&amp;IF(ROUND($AB108*100,2)=0,"0.00",TEXT($AB108*100,"+0.00;-0.00"))&amp;" points)")),IF(LEFT($Y108,5)="worse","short of ","ahead of ")&amp;IF($V108,"its band","the book")&amp;" by "&amp;TEXT(ABS($AB108)*100,"0.00")&amp;" points"&amp;IF($Z108="",""," ($"&amp;TEXT(ABS($Z108),"#,##0")&amp;")")&amp;IF(RIGHT($Y108,15)="not significant"," (not significant)","")))</f>
        <v/>
      </c>
      <c r="AE108">
        <f>IF($V108,IF($S108="","",$S108),IF($R108="","",$R108))</f>
        <v/>
      </c>
      <c r="AF108">
        <f>IF($V108,IF($U108="","",$U108),IF($T108="","",$T108))</f>
        <v/>
      </c>
      <c r="AG108">
        <f>IF($V108,IF($O108="","",$O108),IF($P108="","",$P108))</f>
        <v/>
      </c>
      <c r="AH108" t="n">
        <v>0.140296941334961</v>
      </c>
      <c r="AI108">
        <f>IF($Y108="worse","Yes",IF($Y108="worse, not significant","Not sure",IF(OR($Y108="too few losses to test",$Y108="too few loans to test"),"Too few losses",IF($Y108="","","No"))))</f>
        <v/>
      </c>
      <c r="AJ108">
        <f>IF($AA108="yes","Yes",IF($AA108="","","No"))</f>
        <v/>
      </c>
    </row>
    <row r="109">
      <c r="A109" t="inlineStr">
        <is>
          <t>grids</t>
        </is>
      </c>
      <c r="B109" t="inlineStr">
        <is>
          <t>FICO x ASSET_CLASS</t>
        </is>
      </c>
      <c r="C109" t="inlineStr">
        <is>
          <t>712 - 745</t>
        </is>
      </c>
      <c r="D109" t="inlineStr">
        <is>
          <t>1</t>
        </is>
      </c>
      <c r="E109" t="inlineStr">
        <is>
          <t>outcome_loans</t>
        </is>
      </c>
      <c r="F109" t="inlineStr">
        <is>
          <t>Outcome, share of loans</t>
        </is>
      </c>
      <c r="G109" t="n">
        <v>361</v>
      </c>
      <c r="H109" t="n">
        <v>361</v>
      </c>
      <c r="I109" t="b">
        <v>0</v>
      </c>
      <c r="J109" t="b">
        <v>0</v>
      </c>
      <c r="K109" t="n">
        <v>0.4538822303282961</v>
      </c>
      <c r="L109" t="n">
        <v>0.00868829374124103</v>
      </c>
      <c r="M109" t="n">
        <v>0.6082952758853036</v>
      </c>
      <c r="N109" t="n">
        <v>0.2149217653910706</v>
      </c>
      <c r="O109" t="n">
        <v>-15.64179104477612</v>
      </c>
      <c r="P109" t="n">
        <v>-8.371200000000002</v>
      </c>
      <c r="Q109">
        <f>'_live'!$C$20</f>
        <v/>
      </c>
      <c r="R109" t="inlineStr">
        <is>
          <t>z test</t>
        </is>
      </c>
      <c r="S109" t="inlineStr">
        <is>
          <t>z test</t>
        </is>
      </c>
      <c r="T109" t="n">
        <v>0.07934014139827179</v>
      </c>
      <c r="U109" t="n">
        <v>0.0592</v>
      </c>
      <c r="V109">
        <f>AND(judged_band,NOT($J109))</f>
        <v/>
      </c>
      <c r="W109">
        <f>IF($K109="","",IF($I109,"too few losses to test",IF(AND($K109&gt;better_at,$K109&lt;worse_at),"in line",IF($K109&gt;=worse_at,IF(AND(ISNUMBER($L109),$L109&lt;significance_bar),"worse","worse, not significant"),IF(AND(ISNUMBER($L109),$L109&lt;significance_bar),"better","better, not significant")))))</f>
        <v/>
      </c>
      <c r="X109">
        <f>IF($M109="","",IF($I109,"too few losses to test",IF(AND($M109&gt;better_at,$M109&lt;worse_at),"in line",IF($M109&gt;=worse_at,IF(AND(ISNUMBER($N109),$N109&lt;significance_bar),"worse","worse, not significant"),IF(AND(ISNUMBER($N109),$N109&lt;significance_bar),"better","better, not significant")))))</f>
        <v/>
      </c>
      <c r="Y109">
        <f>IF($V109,$X109,$W109)</f>
        <v/>
      </c>
      <c r="Z109">
        <f>IF($V109,IF($P109="","",$P109),IF($O109="","",$O109))</f>
        <v/>
      </c>
      <c r="AA109">
        <f>IF(OR($Q109="",$Z109=""),"",IF(AND($Z109&gt;0,$Z109&gt;=$Q109),"yes","below the line"))</f>
        <v/>
      </c>
      <c r="AB109">
        <f>IF($V109,IF($M109="","",$M109),IF($K109="","",$K109))</f>
        <v/>
      </c>
      <c r="AC109">
        <f>IF($V109,IF($N109="","",$N109),IF($L109="","",$L109))</f>
        <v/>
      </c>
      <c r="AD109">
        <f>$Y109</f>
        <v/>
      </c>
      <c r="AE109">
        <f>IF($V109,IF($S109="","",$S109),IF($R109="","",$R109))</f>
        <v/>
      </c>
      <c r="AF109">
        <f>IF($V109,IF($U109="","",$U109),IF($T109="","",$T109))</f>
        <v/>
      </c>
      <c r="AG109">
        <f>IF($V109,IF($O109="","",$O109),IF($P109="","",$P109))</f>
        <v/>
      </c>
      <c r="AH109" t="n">
        <v>0.03601108033240998</v>
      </c>
      <c r="AI109">
        <f>IF($Y109="worse","Yes",IF($Y109="worse, not significant","Not sure",IF(OR($Y109="too few losses to test",$Y109="too few loans to test"),"Too few losses",IF($Y109="","","No"))))</f>
        <v/>
      </c>
      <c r="AJ109">
        <f>IF($AA109="yes","Yes",IF($AA109="","","No"))</f>
        <v/>
      </c>
    </row>
    <row r="110">
      <c r="A110" t="inlineStr">
        <is>
          <t>grids</t>
        </is>
      </c>
      <c r="B110" t="inlineStr">
        <is>
          <t>FICO x ASSET_CLASS</t>
        </is>
      </c>
      <c r="C110" t="inlineStr">
        <is>
          <t>712 - 745</t>
        </is>
      </c>
      <c r="D110" t="inlineStr">
        <is>
          <t>1</t>
        </is>
      </c>
      <c r="E110" t="inlineStr">
        <is>
          <t>outcome_booked</t>
        </is>
      </c>
      <c r="F110" t="inlineStr">
        <is>
          <t>Outcome, share of booked dollars</t>
        </is>
      </c>
      <c r="G110" t="n">
        <v>361</v>
      </c>
      <c r="H110" t="n">
        <v>11568157.98</v>
      </c>
      <c r="I110" t="b">
        <v>0</v>
      </c>
      <c r="J110" t="b">
        <v>0</v>
      </c>
      <c r="K110" t="n">
        <v>0.5304760299390099</v>
      </c>
      <c r="L110" t="n">
        <v>0.03908700039087001</v>
      </c>
      <c r="M110" t="n">
        <v>0.6919066973184953</v>
      </c>
      <c r="N110" t="n">
        <v>0.500495405004954</v>
      </c>
      <c r="O110" t="n">
        <v>-415174.4202010413</v>
      </c>
      <c r="P110" t="n">
        <v>-208868.6728170119</v>
      </c>
      <c r="Q110">
        <f>'_live'!$C$21</f>
        <v/>
      </c>
      <c r="R110" t="inlineStr">
        <is>
          <t>shuffled: 212 of 10,000</t>
        </is>
      </c>
      <c r="S110" t="inlineStr">
        <is>
          <t>shuffled: 2,425 of 10,000</t>
        </is>
      </c>
      <c r="T110" t="n">
        <v>0.07643787556582465</v>
      </c>
      <c r="U110" t="n">
        <v>0.05860394316788298</v>
      </c>
      <c r="V110">
        <f>AND(judged_band,NOT($J110))</f>
        <v/>
      </c>
      <c r="W110">
        <f>IF($K110="","",IF($I110,"too few losses to test",IF(AND($K110&gt;better_at,$K110&lt;worse_at),"in line",IF($K110&gt;=worse_at,IF(AND(ISNUMBER($L110),$L110&lt;significance_bar),"worse","worse, not significant"),IF(AND(ISNUMBER($L110),$L110&lt;significance_bar),"better","better, not significant")))))</f>
        <v/>
      </c>
      <c r="X110">
        <f>IF($M110="","",IF($I110,"too few losses to test",IF(AND($M110&gt;better_at,$M110&lt;worse_at),"in line",IF($M110&gt;=worse_at,IF(AND(ISNUMBER($N110),$N110&lt;significance_bar),"worse","worse, not significant"),IF(AND(ISNUMBER($N110),$N110&lt;significance_bar),"better","better, not significant")))))</f>
        <v/>
      </c>
      <c r="Y110">
        <f>IF($V110,$X110,$W110)</f>
        <v/>
      </c>
      <c r="Z110">
        <f>IF($V110,IF($P110="","",$P110),IF($O110="","",$O110))</f>
        <v/>
      </c>
      <c r="AA110">
        <f>IF(OR($Q110="",$Z110=""),"",IF(AND($Z110&gt;0,$Z110&gt;=$Q110),"yes","below the line"))</f>
        <v/>
      </c>
      <c r="AB110">
        <f>IF($V110,IF($M110="","",$M110),IF($K110="","",$K110))</f>
        <v/>
      </c>
      <c r="AC110">
        <f>IF($V110,IF($N110="","",$N110),IF($L110="","",$L110))</f>
        <v/>
      </c>
      <c r="AD110">
        <f>$Y110</f>
        <v/>
      </c>
      <c r="AE110">
        <f>IF($V110,IF($S110="","",$S110),IF($R110="","",$R110))</f>
        <v/>
      </c>
      <c r="AF110">
        <f>IF($V110,IF($U110="","",$U110),IF($T110="","",$T110))</f>
        <v/>
      </c>
      <c r="AG110">
        <f>IF($V110,IF($O110="","",$O110),IF($P110="","",$P110))</f>
        <v/>
      </c>
      <c r="AH110" t="n">
        <v>0.04054846076713071</v>
      </c>
      <c r="AI110">
        <f>IF($Y110="worse","Yes",IF($Y110="worse, not significant","Not sure",IF(OR($Y110="too few losses to test",$Y110="too few loans to test"),"Too few losses",IF($Y110="","","No"))))</f>
        <v/>
      </c>
      <c r="AJ110">
        <f>IF($AA110="yes","Yes",IF($AA110="","","No"))</f>
        <v/>
      </c>
    </row>
    <row r="111">
      <c r="A111" t="inlineStr">
        <is>
          <t>grids</t>
        </is>
      </c>
      <c r="B111" t="inlineStr">
        <is>
          <t>FICO x ASSET_CLASS</t>
        </is>
      </c>
      <c r="C111" t="inlineStr">
        <is>
          <t>712 - 745</t>
        </is>
      </c>
      <c r="D111" t="inlineStr">
        <is>
          <t>1</t>
        </is>
      </c>
      <c r="E111" t="inlineStr">
        <is>
          <t>gco_rate</t>
        </is>
      </c>
      <c r="F111" t="inlineStr">
        <is>
          <t>GCO per booked dollar</t>
        </is>
      </c>
      <c r="G111" t="n">
        <v>360</v>
      </c>
      <c r="H111" t="n">
        <v>11528473.55</v>
      </c>
      <c r="I111" t="b">
        <v>0</v>
      </c>
      <c r="J111" t="b">
        <v>0</v>
      </c>
      <c r="K111" t="n">
        <v>0.5806074892749743</v>
      </c>
      <c r="L111" t="n">
        <v>0.07506941613530954</v>
      </c>
      <c r="M111" t="n">
        <v>0.7714685081564954</v>
      </c>
      <c r="N111" t="n">
        <v>0.6805986068059861</v>
      </c>
      <c r="O111" t="n">
        <v>-205000.9223167807</v>
      </c>
      <c r="P111" t="n">
        <v>-84070.88705541979</v>
      </c>
      <c r="Q111">
        <f>'_live'!$C$22</f>
        <v/>
      </c>
      <c r="R111" t="inlineStr">
        <is>
          <t>shuffled: 468 of 10,000</t>
        </is>
      </c>
      <c r="S111" t="inlineStr">
        <is>
          <t>shuffled: 4,083 of 10,000</t>
        </is>
      </c>
      <c r="T111" t="n">
        <v>0.04239975398276217</v>
      </c>
      <c r="U111" t="n">
        <v>0.03191007078776877</v>
      </c>
      <c r="V111">
        <f>AND(judged_band,NOT($J111))</f>
        <v/>
      </c>
      <c r="W111">
        <f>IF($K111="","",IF($I111,"too few losses to test",IF(AND($K111&gt;better_at,$K111&lt;worse_at),"in line",IF($K111&gt;=worse_at,IF(AND(ISNUMBER($L111),$L111&lt;significance_bar),"worse","worse, not significant"),IF(AND(ISNUMBER($L111),$L111&lt;significance_bar),"better","better, not significant")))))</f>
        <v/>
      </c>
      <c r="X111">
        <f>IF($M111="","",IF($I111,"too few losses to test",IF(AND($M111&gt;better_at,$M111&lt;worse_at),"in line",IF($M111&gt;=worse_at,IF(AND(ISNUMBER($N111),$N111&lt;significance_bar),"worse","worse, not significant"),IF(AND(ISNUMBER($N111),$N111&lt;significance_bar),"better","better, not significant")))))</f>
        <v/>
      </c>
      <c r="Y111">
        <f>IF($V111,$X111,$W111)</f>
        <v/>
      </c>
      <c r="Z111">
        <f>IF($V111,IF($P111="","",$P111),IF($O111="","",$O111))</f>
        <v/>
      </c>
      <c r="AA111">
        <f>IF(OR($Q111="",$Z111=""),"",IF(AND($Z111&gt;0,$Z111&gt;=$Q111),"yes","below the line"))</f>
        <v/>
      </c>
      <c r="AB111">
        <f>IF($V111,IF($M111="","",$M111),IF($K111="","",$K111))</f>
        <v/>
      </c>
      <c r="AC111">
        <f>IF($V111,IF($N111="","",$N111),IF($L111="","",$L111))</f>
        <v/>
      </c>
      <c r="AD111">
        <f>$Y111</f>
        <v/>
      </c>
      <c r="AE111">
        <f>IF($V111,IF($S111="","",$S111),IF($R111="","",$R111))</f>
        <v/>
      </c>
      <c r="AF111">
        <f>IF($V111,IF($U111="","",$U111),IF($T111="","",$T111))</f>
        <v/>
      </c>
      <c r="AG111">
        <f>IF($V111,IF($O111="","",$O111),IF($P111="","",$P111))</f>
        <v/>
      </c>
      <c r="AH111" t="n">
        <v>0.02461761470580813</v>
      </c>
      <c r="AI111">
        <f>IF($Y111="worse","Yes",IF($Y111="worse, not significant","Not sure",IF(OR($Y111="too few losses to test",$Y111="too few loans to test"),"Too few losses",IF($Y111="","","No"))))</f>
        <v/>
      </c>
      <c r="AJ111">
        <f>IF($AA111="yes","Yes",IF($AA111="","","No"))</f>
        <v/>
      </c>
    </row>
    <row r="112">
      <c r="A112" t="inlineStr">
        <is>
          <t>grids</t>
        </is>
      </c>
      <c r="B112" t="inlineStr">
        <is>
          <t>FICO x ASSET_CLASS</t>
        </is>
      </c>
      <c r="C112" t="inlineStr">
        <is>
          <t>712 - 745</t>
        </is>
      </c>
      <c r="D112" t="inlineStr">
        <is>
          <t>1</t>
        </is>
      </c>
      <c r="E112" t="inlineStr">
        <is>
          <t>ranr_rate</t>
        </is>
      </c>
      <c r="F112" t="inlineStr">
        <is>
          <t>Profit after losses: RANR per booked dollar</t>
        </is>
      </c>
      <c r="G112" t="n">
        <v>361</v>
      </c>
      <c r="H112" t="n">
        <v>11568157.98</v>
      </c>
      <c r="I112" t="b">
        <v>0</v>
      </c>
      <c r="J112" t="b">
        <v>0</v>
      </c>
      <c r="K112" t="n">
        <v>-0.02788565445322108</v>
      </c>
      <c r="L112" t="n">
        <v>0.01874812518748125</v>
      </c>
      <c r="M112" t="n">
        <v>0.006960505397382868</v>
      </c>
      <c r="N112" t="n">
        <v>0.8013598640135986</v>
      </c>
      <c r="O112" t="n">
        <v>322585.656090552</v>
      </c>
      <c r="P112" t="n">
        <v>-80520.22605756763</v>
      </c>
      <c r="Q112">
        <f>'_live'!$C$23</f>
        <v/>
      </c>
      <c r="R112" t="inlineStr">
        <is>
          <t>shuffled: 104 of 10,000</t>
        </is>
      </c>
      <c r="S112" t="inlineStr">
        <is>
          <t>shuffled: 4,834 of 10,000</t>
        </is>
      </c>
      <c r="T112" t="n">
        <v>0.1292400500300354</v>
      </c>
      <c r="U112" t="n">
        <v>0.09439389017943141</v>
      </c>
      <c r="V112">
        <f>AND(judged_band,NOT($J112))</f>
        <v/>
      </c>
      <c r="W112">
        <f>IF($K112="","",IF(profit_kind="test",IF(OR(NOT(AND(ISNUMBER($L112),$L112&lt;significance_bar)),$K112=0),"in line",IF($K112&lt;0,"worse","better")),IF(OR($K112=0,IF(profit_kind="points",ABS($K112),ABS($K112*$H112))&lt;profit_line*(1-1E-9)),"in line",IF(AND(ISNUMBER($L112),$L112&lt;significance_bar),IF($K112&lt;0,"worse","better"),IF($K112&lt;0,"worse, not significant","better, not significant")))))</f>
        <v/>
      </c>
      <c r="X112">
        <f>IF($M112="","",IF(profit_kind="test",IF(OR(NOT(AND(ISNUMBER($N112),$N112&lt;significance_bar)),$M112=0),"in line",IF($M112&lt;0,"worse","better")),IF(OR($M112=0,IF(profit_kind="points",ABS($M112),ABS($M112*$H112))&lt;profit_line*(1-1E-9)),"in line",IF(AND(ISNUMBER($N112),$N112&lt;significance_bar),IF($M112&lt;0,"worse","better"),IF($M112&lt;0,"worse, not significant","better, not significant")))))</f>
        <v/>
      </c>
      <c r="Y112">
        <f>IF($V112,$X112,$W112)</f>
        <v/>
      </c>
      <c r="Z112">
        <f>IF($V112,IF($P112="","",$P112),IF($O112="","",$O112))</f>
        <v/>
      </c>
      <c r="AA112">
        <f>IF(OR($Q112="",$Z112=""),"",IF(AND($Z112&gt;0,$Z112&gt;=$Q112),"yes","below the line"))</f>
        <v/>
      </c>
      <c r="AB112">
        <f>IF($V112,IF($M112="","",$M112),IF($K112="","",$K112))</f>
        <v/>
      </c>
      <c r="AC112">
        <f>IF($V112,IF($N112="","",$N112),IF($L112="","",$L112))</f>
        <v/>
      </c>
      <c r="AD112">
        <f>IF($Y112="","",IF($Y112="in line",IF(profit_kind="test",IF(ROUND($AB112*100,2)=0,"0.00",TEXT($AB112*100,"+0.00;-0.00"))&amp;" points against "&amp;IF($V112,"its band","the book")&amp;", "&amp;IF($AC112="","not tested","not significant"),IF(profit_kind="points","within "&amp;TEXT(profit_line*100,"0.00")&amp;" points of "&amp;IF($V112,"its band","the book")&amp;" ("&amp;IF(ROUND($AB112*100,2)=0,"0.00",TEXT($AB112*100,"+0.00;-0.00"))&amp;")","within $"&amp;TEXT(profit_line,"#,##0")&amp;" of "&amp;IF($V112,"its band","the book")&amp;" ("&amp;IF(ROUND($AB112*100,2)=0,"0.00",TEXT($AB112*100,"+0.00;-0.00"))&amp;" points)")),IF(LEFT($Y112,5)="worse","short of ","ahead of ")&amp;IF($V112,"its band","the book")&amp;" by "&amp;TEXT(ABS($AB112)*100,"0.00")&amp;" points"&amp;IF($Z112="",""," ($"&amp;TEXT(ABS($Z112),"#,##0")&amp;")")&amp;IF(RIGHT($Y112,15)="not significant"," (not significant)","")))</f>
        <v/>
      </c>
      <c r="AE112">
        <f>IF($V112,IF($S112="","",$S112),IF($R112="","",$R112))</f>
        <v/>
      </c>
      <c r="AF112">
        <f>IF($V112,IF($U112="","",$U112),IF($T112="","",$T112))</f>
        <v/>
      </c>
      <c r="AG112">
        <f>IF($V112,IF($O112="","",$O112),IF($P112="","",$P112))</f>
        <v/>
      </c>
      <c r="AH112" t="n">
        <v>0.1013543955768143</v>
      </c>
      <c r="AI112">
        <f>IF($Y112="worse","Yes",IF($Y112="worse, not significant","Not sure",IF(OR($Y112="too few losses to test",$Y112="too few loans to test"),"Too few losses",IF($Y112="","","No"))))</f>
        <v/>
      </c>
      <c r="AJ112">
        <f>IF($AA112="yes","Yes",IF($AA112="","","No"))</f>
        <v/>
      </c>
    </row>
    <row r="113">
      <c r="A113" t="inlineStr">
        <is>
          <t>grids</t>
        </is>
      </c>
      <c r="B113" t="inlineStr">
        <is>
          <t>FICO x ASSET_CLASS</t>
        </is>
      </c>
      <c r="C113" t="inlineStr">
        <is>
          <t>712 - 745</t>
        </is>
      </c>
      <c r="D113" t="inlineStr">
        <is>
          <t>1</t>
        </is>
      </c>
      <c r="E113" t="inlineStr">
        <is>
          <t>contribution_rate</t>
        </is>
      </c>
      <c r="F113" t="inlineStr">
        <is>
          <t>Contribution before losses per booked dollar</t>
        </is>
      </c>
      <c r="G113" t="n">
        <v>360</v>
      </c>
      <c r="H113" t="n">
        <v>11528473.55</v>
      </c>
      <c r="I113" t="b">
        <v>0</v>
      </c>
      <c r="J113" t="b">
        <v>0</v>
      </c>
      <c r="K113" t="n">
        <v>-0.04582347683737523</v>
      </c>
      <c r="L113" t="n">
        <v>0.0001562343765623438</v>
      </c>
      <c r="M113" t="n">
        <v>-0.0004876337917780471</v>
      </c>
      <c r="N113" t="n">
        <v>0.9216078392160784</v>
      </c>
      <c r="O113" t="n">
        <v>528274.7406887177</v>
      </c>
      <c r="P113" t="n">
        <v>5621.673270599218</v>
      </c>
      <c r="Q113">
        <f>'_live'!$C$24</f>
        <v/>
      </c>
      <c r="R113" t="inlineStr">
        <is>
          <t>shuffled: 0 of 10,000</t>
        </is>
      </c>
      <c r="S113" t="inlineStr">
        <is>
          <t>shuffled: 9,188 of 10,000</t>
        </is>
      </c>
      <c r="T113" t="n">
        <v>0.1716398040127974</v>
      </c>
      <c r="U113" t="n">
        <v>0.1263039609672002</v>
      </c>
      <c r="V113">
        <f>AND(judged_band,NOT($J113))</f>
        <v/>
      </c>
      <c r="W113">
        <f>IF($K113="","",IF(profit_kind="test",IF(OR(NOT(AND(ISNUMBER($L113),$L113&lt;significance_bar)),$K113=0),"in line",IF($K113&lt;0,"worse","better")),IF(OR($K113=0,IF(profit_kind="points",ABS($K113),ABS($K113*$H113))&lt;profit_line*(1-1E-9)),"in line",IF(AND(ISNUMBER($L113),$L113&lt;significance_bar),IF($K113&lt;0,"worse","better"),IF($K113&lt;0,"worse, not significant","better, not significant")))))</f>
        <v/>
      </c>
      <c r="X113">
        <f>IF($M113="","",IF(profit_kind="test",IF(OR(NOT(AND(ISNUMBER($N113),$N113&lt;significance_bar)),$M113=0),"in line",IF($M113&lt;0,"worse","better")),IF(OR($M113=0,IF(profit_kind="points",ABS($M113),ABS($M113*$H113))&lt;profit_line*(1-1E-9)),"in line",IF(AND(ISNUMBER($N113),$N113&lt;significance_bar),IF($M113&lt;0,"worse","better"),IF($M113&lt;0,"worse, not significant","better, not significant")))))</f>
        <v/>
      </c>
      <c r="Y113">
        <f>IF($V113,$X113,$W113)</f>
        <v/>
      </c>
      <c r="Z113">
        <f>IF($V113,IF($P113="","",$P113),IF($O113="","",$O113))</f>
        <v/>
      </c>
      <c r="AA113">
        <f>IF(OR($Q113="",$Z113=""),"",IF(AND($Z113&gt;0,$Z113&gt;=$Q113),"yes","below the line"))</f>
        <v/>
      </c>
      <c r="AB113">
        <f>IF($V113,IF($M113="","",$M113),IF($K113="","",$K113))</f>
        <v/>
      </c>
      <c r="AC113">
        <f>IF($V113,IF($N113="","",$N113),IF($L113="","",$L113))</f>
        <v/>
      </c>
      <c r="AD113">
        <f>IF($Y113="","",IF($Y113="in line",IF(profit_kind="test",IF(ROUND($AB113*100,2)=0,"0.00",TEXT($AB113*100,"+0.00;-0.00"))&amp;" points against "&amp;IF($V113,"its band","the book")&amp;", "&amp;IF($AC113="","not tested","not significant"),IF(profit_kind="points","within "&amp;TEXT(profit_line*100,"0.00")&amp;" points of "&amp;IF($V113,"its band","the book")&amp;" ("&amp;IF(ROUND($AB113*100,2)=0,"0.00",TEXT($AB113*100,"+0.00;-0.00"))&amp;")","within $"&amp;TEXT(profit_line,"#,##0")&amp;" of "&amp;IF($V113,"its band","the book")&amp;" ("&amp;IF(ROUND($AB113*100,2)=0,"0.00",TEXT($AB113*100,"+0.00;-0.00"))&amp;" points)")),IF(LEFT($Y113,5)="worse","short of ","ahead of ")&amp;IF($V113,"its band","the book")&amp;" by "&amp;TEXT(ABS($AB113)*100,"0.00")&amp;" points"&amp;IF($Z113="",""," ($"&amp;TEXT(ABS($Z113),"#,##0")&amp;")")&amp;IF(RIGHT($Y113,15)="not significant"," (not significant)","")))</f>
        <v/>
      </c>
      <c r="AE113">
        <f>IF($V113,IF($S113="","",$S113),IF($R113="","",$R113))</f>
        <v/>
      </c>
      <c r="AF113">
        <f>IF($V113,IF($U113="","",$U113),IF($T113="","",$T113))</f>
        <v/>
      </c>
      <c r="AG113">
        <f>IF($V113,IF($O113="","",$O113),IF($P113="","",$P113))</f>
        <v/>
      </c>
      <c r="AH113" t="n">
        <v>0.1258163271754221</v>
      </c>
      <c r="AI113">
        <f>IF($Y113="worse","Yes",IF($Y113="worse, not significant","Not sure",IF(OR($Y113="too few losses to test",$Y113="too few loans to test"),"Too few losses",IF($Y113="","","No"))))</f>
        <v/>
      </c>
      <c r="AJ113">
        <f>IF($AA113="yes","Yes",IF($AA113="","","No"))</f>
        <v/>
      </c>
    </row>
    <row r="114">
      <c r="A114" t="inlineStr">
        <is>
          <t>grids</t>
        </is>
      </c>
      <c r="B114" t="inlineStr">
        <is>
          <t>FICO x ASSET_CLASS</t>
        </is>
      </c>
      <c r="C114" t="inlineStr">
        <is>
          <t>712 - 745</t>
        </is>
      </c>
      <c r="D114" t="inlineStr">
        <is>
          <t>2</t>
        </is>
      </c>
      <c r="E114" t="inlineStr">
        <is>
          <t>outcome_loans</t>
        </is>
      </c>
      <c r="F114" t="inlineStr">
        <is>
          <t>Outcome, share of loans</t>
        </is>
      </c>
      <c r="G114" t="n">
        <v>431</v>
      </c>
      <c r="H114" t="n">
        <v>431</v>
      </c>
      <c r="I114" t="b">
        <v>0</v>
      </c>
      <c r="J114" t="b">
        <v>0</v>
      </c>
      <c r="K114" t="n">
        <v>0.5862826288206563</v>
      </c>
      <c r="L114" t="n">
        <v>0.02222453428577919</v>
      </c>
      <c r="M114" t="n">
        <v>0.8172594106035945</v>
      </c>
      <c r="N114" t="n">
        <v>0.7367430686845797</v>
      </c>
      <c r="O114" t="n">
        <v>-14.1132399577167</v>
      </c>
      <c r="P114" t="n">
        <v>-4.472033898305085</v>
      </c>
      <c r="Q114">
        <f>'_live'!$C$20</f>
        <v/>
      </c>
      <c r="R114" t="inlineStr">
        <is>
          <t>z test</t>
        </is>
      </c>
      <c r="S114" t="inlineStr">
        <is>
          <t>z test</t>
        </is>
      </c>
      <c r="T114" t="n">
        <v>0.07914904862579281</v>
      </c>
      <c r="U114" t="n">
        <v>0.05677966101694915</v>
      </c>
      <c r="V114">
        <f>AND(judged_band,NOT($J114))</f>
        <v/>
      </c>
      <c r="W114">
        <f>IF($K114="","",IF($I114,"too few losses to test",IF(AND($K114&gt;better_at,$K114&lt;worse_at),"in line",IF($K114&gt;=worse_at,IF(AND(ISNUMBER($L114),$L114&lt;significance_bar),"worse","worse, not significant"),IF(AND(ISNUMBER($L114),$L114&lt;significance_bar),"better","better, not significant")))))</f>
        <v/>
      </c>
      <c r="X114">
        <f>IF($M114="","",IF($I114,"too few losses to test",IF(AND($M114&gt;better_at,$M114&lt;worse_at),"in line",IF($M114&gt;=worse_at,IF(AND(ISNUMBER($N114),$N114&lt;significance_bar),"worse","worse, not significant"),IF(AND(ISNUMBER($N114),$N114&lt;significance_bar),"better","better, not significant")))))</f>
        <v/>
      </c>
      <c r="Y114">
        <f>IF($V114,$X114,$W114)</f>
        <v/>
      </c>
      <c r="Z114">
        <f>IF($V114,IF($P114="","",$P114),IF($O114="","",$O114))</f>
        <v/>
      </c>
      <c r="AA114">
        <f>IF(OR($Q114="",$Z114=""),"",IF(AND($Z114&gt;0,$Z114&gt;=$Q114),"yes","below the line"))</f>
        <v/>
      </c>
      <c r="AB114">
        <f>IF($V114,IF($M114="","",$M114),IF($K114="","",$K114))</f>
        <v/>
      </c>
      <c r="AC114">
        <f>IF($V114,IF($N114="","",$N114),IF($L114="","",$L114))</f>
        <v/>
      </c>
      <c r="AD114">
        <f>$Y114</f>
        <v/>
      </c>
      <c r="AE114">
        <f>IF($V114,IF($S114="","",$S114),IF($R114="","",$R114))</f>
        <v/>
      </c>
      <c r="AF114">
        <f>IF($V114,IF($U114="","",$U114),IF($T114="","",$T114))</f>
        <v/>
      </c>
      <c r="AG114">
        <f>IF($V114,IF($O114="","",$O114),IF($P114="","",$P114))</f>
        <v/>
      </c>
      <c r="AH114" t="n">
        <v>0.04640371229698376</v>
      </c>
      <c r="AI114">
        <f>IF($Y114="worse","Yes",IF($Y114="worse, not significant","Not sure",IF(OR($Y114="too few losses to test",$Y114="too few loans to test"),"Too few losses",IF($Y114="","","No"))))</f>
        <v/>
      </c>
      <c r="AJ114">
        <f>IF($AA114="yes","Yes",IF($AA114="","","No"))</f>
        <v/>
      </c>
    </row>
    <row r="115">
      <c r="A115" t="inlineStr">
        <is>
          <t>grids</t>
        </is>
      </c>
      <c r="B115" t="inlineStr">
        <is>
          <t>FICO x ASSET_CLASS</t>
        </is>
      </c>
      <c r="C115" t="inlineStr">
        <is>
          <t>712 - 745</t>
        </is>
      </c>
      <c r="D115" t="inlineStr">
        <is>
          <t>2</t>
        </is>
      </c>
      <c r="E115" t="inlineStr">
        <is>
          <t>outcome_booked</t>
        </is>
      </c>
      <c r="F115" t="inlineStr">
        <is>
          <t>Outcome, share of booked dollars</t>
        </is>
      </c>
      <c r="G115" t="n">
        <v>430</v>
      </c>
      <c r="H115" t="n">
        <v>14091585.41</v>
      </c>
      <c r="I115" t="b">
        <v>0</v>
      </c>
      <c r="J115" t="b">
        <v>0</v>
      </c>
      <c r="K115" t="n">
        <v>0.5941565200469664</v>
      </c>
      <c r="L115" t="n">
        <v>0.04749525047495251</v>
      </c>
      <c r="M115" t="n">
        <v>0.7844395065388725</v>
      </c>
      <c r="N115" t="n">
        <v>0.6381028563810286</v>
      </c>
      <c r="O115" t="n">
        <v>-437644.5588164036</v>
      </c>
      <c r="P115" t="n">
        <v>-176065.2057764858</v>
      </c>
      <c r="Q115">
        <f>'_live'!$C$21</f>
        <v/>
      </c>
      <c r="R115" t="inlineStr">
        <is>
          <t>shuffled: 284 of 10,000</t>
        </is>
      </c>
      <c r="S115" t="inlineStr">
        <is>
          <t>shuffled: 3,828 of 10,000</t>
        </is>
      </c>
      <c r="T115" t="n">
        <v>0.07652495850829913</v>
      </c>
      <c r="U115" t="n">
        <v>0.05796215344207217</v>
      </c>
      <c r="V115">
        <f>AND(judged_band,NOT($J115))</f>
        <v/>
      </c>
      <c r="W115">
        <f>IF($K115="","",IF($I115,"too few losses to test",IF(AND($K115&gt;better_at,$K115&lt;worse_at),"in line",IF($K115&gt;=worse_at,IF(AND(ISNUMBER($L115),$L115&lt;significance_bar),"worse","worse, not significant"),IF(AND(ISNUMBER($L115),$L115&lt;significance_bar),"better","better, not significant")))))</f>
        <v/>
      </c>
      <c r="X115">
        <f>IF($M115="","",IF($I115,"too few losses to test",IF(AND($M115&gt;better_at,$M115&lt;worse_at),"in line",IF($M115&gt;=worse_at,IF(AND(ISNUMBER($N115),$N115&lt;significance_bar),"worse","worse, not significant"),IF(AND(ISNUMBER($N115),$N115&lt;significance_bar),"better","better, not significant")))))</f>
        <v/>
      </c>
      <c r="Y115">
        <f>IF($V115,$X115,$W115)</f>
        <v/>
      </c>
      <c r="Z115">
        <f>IF($V115,IF($P115="","",$P115),IF($O115="","",$O115))</f>
        <v/>
      </c>
      <c r="AA115">
        <f>IF(OR($Q115="",$Z115=""),"",IF(AND($Z115&gt;0,$Z115&gt;=$Q115),"yes","below the line"))</f>
        <v/>
      </c>
      <c r="AB115">
        <f>IF($V115,IF($M115="","",$M115),IF($K115="","",$K115))</f>
        <v/>
      </c>
      <c r="AC115">
        <f>IF($V115,IF($N115="","",$N115),IF($L115="","",$L115))</f>
        <v/>
      </c>
      <c r="AD115">
        <f>$Y115</f>
        <v/>
      </c>
      <c r="AE115">
        <f>IF($V115,IF($S115="","",$S115),IF($R115="","",$R115))</f>
        <v/>
      </c>
      <c r="AF115">
        <f>IF($V115,IF($U115="","",$U115),IF($T115="","",$T115))</f>
        <v/>
      </c>
      <c r="AG115">
        <f>IF($V115,IF($O115="","",$O115),IF($P115="","",$P115))</f>
        <v/>
      </c>
      <c r="AH115" t="n">
        <v>0.0454678030440295</v>
      </c>
      <c r="AI115">
        <f>IF($Y115="worse","Yes",IF($Y115="worse, not significant","Not sure",IF(OR($Y115="too few losses to test",$Y115="too few loans to test"),"Too few losses",IF($Y115="","","No"))))</f>
        <v/>
      </c>
      <c r="AJ115">
        <f>IF($AA115="yes","Yes",IF($AA115="","","No"))</f>
        <v/>
      </c>
    </row>
    <row r="116">
      <c r="A116" t="inlineStr">
        <is>
          <t>grids</t>
        </is>
      </c>
      <c r="B116" t="inlineStr">
        <is>
          <t>FICO x ASSET_CLASS</t>
        </is>
      </c>
      <c r="C116" t="inlineStr">
        <is>
          <t>712 - 745</t>
        </is>
      </c>
      <c r="D116" t="inlineStr">
        <is>
          <t>2</t>
        </is>
      </c>
      <c r="E116" t="inlineStr">
        <is>
          <t>gco_rate</t>
        </is>
      </c>
      <c r="F116" t="inlineStr">
        <is>
          <t>GCO per booked dollar</t>
        </is>
      </c>
      <c r="G116" t="n">
        <v>430</v>
      </c>
      <c r="H116" t="n">
        <v>14091585.41</v>
      </c>
      <c r="I116" t="b">
        <v>0</v>
      </c>
      <c r="J116" t="b">
        <v>0</v>
      </c>
      <c r="K116" t="n">
        <v>0.6198116316944039</v>
      </c>
      <c r="L116" t="n">
        <v>0.07506941613530954</v>
      </c>
      <c r="M116" t="n">
        <v>0.8291261313311146</v>
      </c>
      <c r="N116" t="n">
        <v>0.7759224077592241</v>
      </c>
      <c r="O116" t="n">
        <v>-227624.5886846193</v>
      </c>
      <c r="P116" t="n">
        <v>-76477.75307026459</v>
      </c>
      <c r="Q116">
        <f>'_live'!$C$22</f>
        <v/>
      </c>
      <c r="R116" t="inlineStr">
        <is>
          <t>shuffled: 487 of 10,000</t>
        </is>
      </c>
      <c r="S116" t="inlineStr">
        <is>
          <t>shuffled: 5,057 of 10,000</t>
        </is>
      </c>
      <c r="T116" t="n">
        <v>0.04248743283773768</v>
      </c>
      <c r="U116" t="n">
        <v>0.03176139802925585</v>
      </c>
      <c r="V116">
        <f>AND(judged_band,NOT($J116))</f>
        <v/>
      </c>
      <c r="W116">
        <f>IF($K116="","",IF($I116,"too few losses to test",IF(AND($K116&gt;better_at,$K116&lt;worse_at),"in line",IF($K116&gt;=worse_at,IF(AND(ISNUMBER($L116),$L116&lt;significance_bar),"worse","worse, not significant"),IF(AND(ISNUMBER($L116),$L116&lt;significance_bar),"better","better, not significant")))))</f>
        <v/>
      </c>
      <c r="X116">
        <f>IF($M116="","",IF($I116,"too few losses to test",IF(AND($M116&gt;better_at,$M116&lt;worse_at),"in line",IF($M116&gt;=worse_at,IF(AND(ISNUMBER($N116),$N116&lt;significance_bar),"worse","worse, not significant"),IF(AND(ISNUMBER($N116),$N116&lt;significance_bar),"better","better, not significant")))))</f>
        <v/>
      </c>
      <c r="Y116">
        <f>IF($V116,$X116,$W116)</f>
        <v/>
      </c>
      <c r="Z116">
        <f>IF($V116,IF($P116="","",$P116),IF($O116="","",$O116))</f>
        <v/>
      </c>
      <c r="AA116">
        <f>IF(OR($Q116="",$Z116=""),"",IF(AND($Z116&gt;0,$Z116&gt;=$Q116),"yes","below the line"))</f>
        <v/>
      </c>
      <c r="AB116">
        <f>IF($V116,IF($M116="","",$M116),IF($K116="","",$K116))</f>
        <v/>
      </c>
      <c r="AC116">
        <f>IF($V116,IF($N116="","",$N116),IF($L116="","",$L116))</f>
        <v/>
      </c>
      <c r="AD116">
        <f>$Y116</f>
        <v/>
      </c>
      <c r="AE116">
        <f>IF($V116,IF($S116="","",$S116),IF($R116="","",$R116))</f>
        <v/>
      </c>
      <c r="AF116">
        <f>IF($V116,IF($U116="","",$U116),IF($T116="","",$T116))</f>
        <v/>
      </c>
      <c r="AG116">
        <f>IF($V116,IF($O116="","",$O116),IF($P116="","",$P116))</f>
        <v/>
      </c>
      <c r="AH116" t="n">
        <v>0.02633420507366459</v>
      </c>
      <c r="AI116">
        <f>IF($Y116="worse","Yes",IF($Y116="worse, not significant","Not sure",IF(OR($Y116="too few losses to test",$Y116="too few loans to test"),"Too few losses",IF($Y116="","","No"))))</f>
        <v/>
      </c>
      <c r="AJ116">
        <f>IF($AA116="yes","Yes",IF($AA116="","","No"))</f>
        <v/>
      </c>
    </row>
    <row r="117">
      <c r="A117" t="inlineStr">
        <is>
          <t>grids</t>
        </is>
      </c>
      <c r="B117" t="inlineStr">
        <is>
          <t>FICO x ASSET_CLASS</t>
        </is>
      </c>
      <c r="C117" t="inlineStr">
        <is>
          <t>712 - 745</t>
        </is>
      </c>
      <c r="D117" t="inlineStr">
        <is>
          <t>2</t>
        </is>
      </c>
      <c r="E117" t="inlineStr">
        <is>
          <t>ranr_rate</t>
        </is>
      </c>
      <c r="F117" t="inlineStr">
        <is>
          <t>Profit after losses: RANR per booked dollar</t>
        </is>
      </c>
      <c r="G117" t="n">
        <v>430</v>
      </c>
      <c r="H117" t="n">
        <v>14091585.41</v>
      </c>
      <c r="I117" t="b">
        <v>0</v>
      </c>
      <c r="J117" t="b">
        <v>0</v>
      </c>
      <c r="K117" t="n">
        <v>-0.03570698016568327</v>
      </c>
      <c r="L117" t="n">
        <v>0.0006817500068175001</v>
      </c>
      <c r="M117" t="n">
        <v>-0.00239737957461171</v>
      </c>
      <c r="N117" t="n">
        <v>0.9525847415258474</v>
      </c>
      <c r="O117" t="n">
        <v>503167.960737902</v>
      </c>
      <c r="P117" t="n">
        <v>33782.8790358305</v>
      </c>
      <c r="Q117">
        <f>'_live'!$C$23</f>
        <v/>
      </c>
      <c r="R117" t="inlineStr">
        <is>
          <t>shuffled: 2 of 10,000</t>
        </is>
      </c>
      <c r="S117" t="inlineStr">
        <is>
          <t>shuffled: 7,938 of 10,000</t>
        </is>
      </c>
      <c r="T117" t="n">
        <v>0.1299397958045589</v>
      </c>
      <c r="U117" t="n">
        <v>0.09663019521348733</v>
      </c>
      <c r="V117">
        <f>AND(judged_band,NOT($J117))</f>
        <v/>
      </c>
      <c r="W117">
        <f>IF($K117="","",IF(profit_kind="test",IF(OR(NOT(AND(ISNUMBER($L117),$L117&lt;significance_bar)),$K117=0),"in line",IF($K117&lt;0,"worse","better")),IF(OR($K117=0,IF(profit_kind="points",ABS($K117),ABS($K117*$H117))&lt;profit_line*(1-1E-9)),"in line",IF(AND(ISNUMBER($L117),$L117&lt;significance_bar),IF($K117&lt;0,"worse","better"),IF($K117&lt;0,"worse, not significant","better, not significant")))))</f>
        <v/>
      </c>
      <c r="X117">
        <f>IF($M117="","",IF(profit_kind="test",IF(OR(NOT(AND(ISNUMBER($N117),$N117&lt;significance_bar)),$M117=0),"in line",IF($M117&lt;0,"worse","better")),IF(OR($M117=0,IF(profit_kind="points",ABS($M117),ABS($M117*$H117))&lt;profit_line*(1-1E-9)),"in line",IF(AND(ISNUMBER($N117),$N117&lt;significance_bar),IF($M117&lt;0,"worse","better"),IF($M117&lt;0,"worse, not significant","better, not significant")))))</f>
        <v/>
      </c>
      <c r="Y117">
        <f>IF($V117,$X117,$W117)</f>
        <v/>
      </c>
      <c r="Z117">
        <f>IF($V117,IF($P117="","",$P117),IF($O117="","",$O117))</f>
        <v/>
      </c>
      <c r="AA117">
        <f>IF(OR($Q117="",$Z117=""),"",IF(AND($Z117&gt;0,$Z117&gt;=$Q117),"yes","below the line"))</f>
        <v/>
      </c>
      <c r="AB117">
        <f>IF($V117,IF($M117="","",$M117),IF($K117="","",$K117))</f>
        <v/>
      </c>
      <c r="AC117">
        <f>IF($V117,IF($N117="","",$N117),IF($L117="","",$L117))</f>
        <v/>
      </c>
      <c r="AD117">
        <f>IF($Y117="","",IF($Y117="in line",IF(profit_kind="test",IF(ROUND($AB117*100,2)=0,"0.00",TEXT($AB117*100,"+0.00;-0.00"))&amp;" points against "&amp;IF($V117,"its band","the book")&amp;", "&amp;IF($AC117="","not tested","not significant"),IF(profit_kind="points","within "&amp;TEXT(profit_line*100,"0.00")&amp;" points of "&amp;IF($V117,"its band","the book")&amp;" ("&amp;IF(ROUND($AB117*100,2)=0,"0.00",TEXT($AB117*100,"+0.00;-0.00"))&amp;")","within $"&amp;TEXT(profit_line,"#,##0")&amp;" of "&amp;IF($V117,"its band","the book")&amp;" ("&amp;IF(ROUND($AB117*100,2)=0,"0.00",TEXT($AB117*100,"+0.00;-0.00"))&amp;" points)")),IF(LEFT($Y117,5)="worse","short of ","ahead of ")&amp;IF($V117,"its band","the book")&amp;" by "&amp;TEXT(ABS($AB117)*100,"0.00")&amp;" points"&amp;IF($Z117="",""," ($"&amp;TEXT(ABS($Z117),"#,##0")&amp;")")&amp;IF(RIGHT($Y117,15)="not significant"," (not significant)","")))</f>
        <v/>
      </c>
      <c r="AE117">
        <f>IF($V117,IF($S117="","",$S117),IF($R117="","",$R117))</f>
        <v/>
      </c>
      <c r="AF117">
        <f>IF($V117,IF($U117="","",$U117),IF($T117="","",$T117))</f>
        <v/>
      </c>
      <c r="AG117">
        <f>IF($V117,IF($O117="","",$O117),IF($P117="","",$P117))</f>
        <v/>
      </c>
      <c r="AH117" t="n">
        <v>0.09423281563887562</v>
      </c>
      <c r="AI117">
        <f>IF($Y117="worse","Yes",IF($Y117="worse, not significant","Not sure",IF(OR($Y117="too few losses to test",$Y117="too few loans to test"),"Too few losses",IF($Y117="","","No"))))</f>
        <v/>
      </c>
      <c r="AJ117">
        <f>IF($AA117="yes","Yes",IF($AA117="","","No"))</f>
        <v/>
      </c>
    </row>
    <row r="118">
      <c r="A118" t="inlineStr">
        <is>
          <t>grids</t>
        </is>
      </c>
      <c r="B118" t="inlineStr">
        <is>
          <t>FICO x ASSET_CLASS</t>
        </is>
      </c>
      <c r="C118" t="inlineStr">
        <is>
          <t>712 - 745</t>
        </is>
      </c>
      <c r="D118" t="inlineStr">
        <is>
          <t>2</t>
        </is>
      </c>
      <c r="E118" t="inlineStr">
        <is>
          <t>contribution_rate</t>
        </is>
      </c>
      <c r="F118" t="inlineStr">
        <is>
          <t>Contribution before losses per booked dollar</t>
        </is>
      </c>
      <c r="G118" t="n">
        <v>430</v>
      </c>
      <c r="H118" t="n">
        <v>14091585.41</v>
      </c>
      <c r="I118" t="b">
        <v>0</v>
      </c>
      <c r="J118" t="b">
        <v>0</v>
      </c>
      <c r="K118" t="n">
        <v>-0.05185750070292219</v>
      </c>
      <c r="L118" t="n">
        <v>0.0001562343765623438</v>
      </c>
      <c r="M118" t="n">
        <v>-0.007770970564137752</v>
      </c>
      <c r="N118" t="n">
        <v>0.5723427657234277</v>
      </c>
      <c r="O118" t="n">
        <v>730754.4003043633</v>
      </c>
      <c r="P118" t="n">
        <v>109505.2954231431</v>
      </c>
      <c r="Q118">
        <f>'_live'!$C$24</f>
        <v/>
      </c>
      <c r="R118" t="inlineStr">
        <is>
          <t>shuffled: 0 of 10,000</t>
        </is>
      </c>
      <c r="S118" t="inlineStr">
        <is>
          <t>shuffled: 822 of 10,000</t>
        </is>
      </c>
      <c r="T118" t="n">
        <v>0.1724245214154624</v>
      </c>
      <c r="U118" t="n">
        <v>0.128337991276678</v>
      </c>
      <c r="V118">
        <f>AND(judged_band,NOT($J118))</f>
        <v/>
      </c>
      <c r="W118">
        <f>IF($K118="","",IF(profit_kind="test",IF(OR(NOT(AND(ISNUMBER($L118),$L118&lt;significance_bar)),$K118=0),"in line",IF($K118&lt;0,"worse","better")),IF(OR($K118=0,IF(profit_kind="points",ABS($K118),ABS($K118*$H118))&lt;profit_line*(1-1E-9)),"in line",IF(AND(ISNUMBER($L118),$L118&lt;significance_bar),IF($K118&lt;0,"worse","better"),IF($K118&lt;0,"worse, not significant","better, not significant")))))</f>
        <v/>
      </c>
      <c r="X118">
        <f>IF($M118="","",IF(profit_kind="test",IF(OR(NOT(AND(ISNUMBER($N118),$N118&lt;significance_bar)),$M118=0),"in line",IF($M118&lt;0,"worse","better")),IF(OR($M118=0,IF(profit_kind="points",ABS($M118),ABS($M118*$H118))&lt;profit_line*(1-1E-9)),"in line",IF(AND(ISNUMBER($N118),$N118&lt;significance_bar),IF($M118&lt;0,"worse","better"),IF($M118&lt;0,"worse, not significant","better, not significant")))))</f>
        <v/>
      </c>
      <c r="Y118">
        <f>IF($V118,$X118,$W118)</f>
        <v/>
      </c>
      <c r="Z118">
        <f>IF($V118,IF($P118="","",$P118),IF($O118="","",$O118))</f>
        <v/>
      </c>
      <c r="AA118">
        <f>IF(OR($Q118="",$Z118=""),"",IF(AND($Z118&gt;0,$Z118&gt;=$Q118),"yes","below the line"))</f>
        <v/>
      </c>
      <c r="AB118">
        <f>IF($V118,IF($M118="","",$M118),IF($K118="","",$K118))</f>
        <v/>
      </c>
      <c r="AC118">
        <f>IF($V118,IF($N118="","",$N118),IF($L118="","",$L118))</f>
        <v/>
      </c>
      <c r="AD118">
        <f>IF($Y118="","",IF($Y118="in line",IF(profit_kind="test",IF(ROUND($AB118*100,2)=0,"0.00",TEXT($AB118*100,"+0.00;-0.00"))&amp;" points against "&amp;IF($V118,"its band","the book")&amp;", "&amp;IF($AC118="","not tested","not significant"),IF(profit_kind="points","within "&amp;TEXT(profit_line*100,"0.00")&amp;" points of "&amp;IF($V118,"its band","the book")&amp;" ("&amp;IF(ROUND($AB118*100,2)=0,"0.00",TEXT($AB118*100,"+0.00;-0.00"))&amp;")","within $"&amp;TEXT(profit_line,"#,##0")&amp;" of "&amp;IF($V118,"its band","the book")&amp;" ("&amp;IF(ROUND($AB118*100,2)=0,"0.00",TEXT($AB118*100,"+0.00;-0.00"))&amp;" points)")),IF(LEFT($Y118,5)="worse","short of ","ahead of ")&amp;IF($V118,"its band","the book")&amp;" by "&amp;TEXT(ABS($AB118)*100,"0.00")&amp;" points"&amp;IF($Z118="",""," ($"&amp;TEXT(ABS($Z118),"#,##0")&amp;")")&amp;IF(RIGHT($Y118,15)="not significant"," (not significant)","")))</f>
        <v/>
      </c>
      <c r="AE118">
        <f>IF($V118,IF($S118="","",$S118),IF($R118="","",$R118))</f>
        <v/>
      </c>
      <c r="AF118">
        <f>IF($V118,IF($U118="","",$U118),IF($T118="","",$T118))</f>
        <v/>
      </c>
      <c r="AG118">
        <f>IF($V118,IF($O118="","",$O118),IF($P118="","",$P118))</f>
        <v/>
      </c>
      <c r="AH118" t="n">
        <v>0.1205670207125402</v>
      </c>
      <c r="AI118">
        <f>IF($Y118="worse","Yes",IF($Y118="worse, not significant","Not sure",IF(OR($Y118="too few losses to test",$Y118="too few loans to test"),"Too few losses",IF($Y118="","","No"))))</f>
        <v/>
      </c>
      <c r="AJ118">
        <f>IF($AA118="yes","Yes",IF($AA118="","","No"))</f>
        <v/>
      </c>
    </row>
    <row r="119">
      <c r="A119" t="inlineStr">
        <is>
          <t>grids</t>
        </is>
      </c>
      <c r="B119" t="inlineStr">
        <is>
          <t>FICO x ASSET_CLASS</t>
        </is>
      </c>
      <c r="C119" t="inlineStr">
        <is>
          <t>496 - 653</t>
        </is>
      </c>
      <c r="D119" t="inlineStr">
        <is>
          <t>2</t>
        </is>
      </c>
      <c r="E119" t="inlineStr">
        <is>
          <t>outcome_loans</t>
        </is>
      </c>
      <c r="F119" t="inlineStr">
        <is>
          <t>Outcome, share of loans</t>
        </is>
      </c>
      <c r="G119" t="n">
        <v>393</v>
      </c>
      <c r="H119" t="n">
        <v>393</v>
      </c>
      <c r="I119" t="b">
        <v>0</v>
      </c>
      <c r="J119" t="b">
        <v>0</v>
      </c>
      <c r="K119" t="n">
        <v>1.480977984290297</v>
      </c>
      <c r="L119" t="n">
        <v>0.01549695454728839</v>
      </c>
      <c r="M119" t="n">
        <v>0.6847194321682067</v>
      </c>
      <c r="N119" t="n">
        <v>0.06739242584600484</v>
      </c>
      <c r="O119" t="n">
        <v>14.28990270838811</v>
      </c>
      <c r="P119" t="n">
        <v>-20.25989672977626</v>
      </c>
      <c r="Q119">
        <f>'_live'!$C$20</f>
        <v/>
      </c>
      <c r="R119" t="inlineStr">
        <is>
          <t>z test</t>
        </is>
      </c>
      <c r="S119" t="inlineStr">
        <is>
          <t>z test</t>
        </is>
      </c>
      <c r="T119" t="n">
        <v>0.07559821193794374</v>
      </c>
      <c r="U119" t="n">
        <v>0.1635111876075732</v>
      </c>
      <c r="V119">
        <f>AND(judged_band,NOT($J119))</f>
        <v/>
      </c>
      <c r="W119">
        <f>IF($K119="","",IF($I119,"too few losses to test",IF(AND($K119&gt;better_at,$K119&lt;worse_at),"in line",IF($K119&gt;=worse_at,IF(AND(ISNUMBER($L119),$L119&lt;significance_bar),"worse","worse, not significant"),IF(AND(ISNUMBER($L119),$L119&lt;significance_bar),"better","better, not significant")))))</f>
        <v/>
      </c>
      <c r="X119">
        <f>IF($M119="","",IF($I119,"too few losses to test",IF(AND($M119&gt;better_at,$M119&lt;worse_at),"in line",IF($M119&gt;=worse_at,IF(AND(ISNUMBER($N119),$N119&lt;significance_bar),"worse","worse, not significant"),IF(AND(ISNUMBER($N119),$N119&lt;significance_bar),"better","better, not significant")))))</f>
        <v/>
      </c>
      <c r="Y119">
        <f>IF($V119,$X119,$W119)</f>
        <v/>
      </c>
      <c r="Z119">
        <f>IF($V119,IF($P119="","",$P119),IF($O119="","",$O119))</f>
        <v/>
      </c>
      <c r="AA119">
        <f>IF(OR($Q119="",$Z119=""),"",IF(AND($Z119&gt;0,$Z119&gt;=$Q119),"yes","below the line"))</f>
        <v/>
      </c>
      <c r="AB119">
        <f>IF($V119,IF($M119="","",$M119),IF($K119="","",$K119))</f>
        <v/>
      </c>
      <c r="AC119">
        <f>IF($V119,IF($N119="","",$N119),IF($L119="","",$L119))</f>
        <v/>
      </c>
      <c r="AD119">
        <f>$Y119</f>
        <v/>
      </c>
      <c r="AE119">
        <f>IF($V119,IF($S119="","",$S119),IF($R119="","",$R119))</f>
        <v/>
      </c>
      <c r="AF119">
        <f>IF($V119,IF($U119="","",$U119),IF($T119="","",$T119))</f>
        <v/>
      </c>
      <c r="AG119">
        <f>IF($V119,IF($O119="","",$O119),IF($P119="","",$P119))</f>
        <v/>
      </c>
      <c r="AH119" t="n">
        <v>0.1119592875318066</v>
      </c>
      <c r="AI119">
        <f>IF($Y119="worse","Yes",IF($Y119="worse, not significant","Not sure",IF(OR($Y119="too few losses to test",$Y119="too few loans to test"),"Too few losses",IF($Y119="","","No"))))</f>
        <v/>
      </c>
      <c r="AJ119">
        <f>IF($AA119="yes","Yes",IF($AA119="","","No"))</f>
        <v/>
      </c>
    </row>
    <row r="120">
      <c r="A120" t="inlineStr">
        <is>
          <t>grids</t>
        </is>
      </c>
      <c r="B120" t="inlineStr">
        <is>
          <t>FICO x ASSET_CLASS</t>
        </is>
      </c>
      <c r="C120" t="inlineStr">
        <is>
          <t>496 - 653</t>
        </is>
      </c>
      <c r="D120" t="inlineStr">
        <is>
          <t>2</t>
        </is>
      </c>
      <c r="E120" t="inlineStr">
        <is>
          <t>outcome_booked</t>
        </is>
      </c>
      <c r="F120" t="inlineStr">
        <is>
          <t>Outcome, share of booked dollars</t>
        </is>
      </c>
      <c r="G120" t="n">
        <v>393</v>
      </c>
      <c r="H120" t="n">
        <v>13231660.04</v>
      </c>
      <c r="I120" t="b">
        <v>0</v>
      </c>
      <c r="J120" t="b">
        <v>0</v>
      </c>
      <c r="K120" t="n">
        <v>1.489090085980658</v>
      </c>
      <c r="L120" t="n">
        <v>0.03908700039087001</v>
      </c>
      <c r="M120" t="n">
        <v>0.6650342939790537</v>
      </c>
      <c r="N120" t="n">
        <v>0.08849115088491151</v>
      </c>
      <c r="O120" t="n">
        <v>472405.0576353187</v>
      </c>
      <c r="P120" t="n">
        <v>-724440.8907977853</v>
      </c>
      <c r="Q120">
        <f>'_live'!$C$21</f>
        <v/>
      </c>
      <c r="R120" t="inlineStr">
        <is>
          <t>shuffled: 185 of 10,000</t>
        </is>
      </c>
      <c r="S120" t="inlineStr">
        <is>
          <t>shuffled: 176 of 10,000</t>
        </is>
      </c>
      <c r="T120" t="n">
        <v>0.0729980644488113</v>
      </c>
      <c r="U120" t="n">
        <v>0.1634512611614668</v>
      </c>
      <c r="V120">
        <f>AND(judged_band,NOT($J120))</f>
        <v/>
      </c>
      <c r="W120">
        <f>IF($K120="","",IF($I120,"too few losses to test",IF(AND($K120&gt;better_at,$K120&lt;worse_at),"in line",IF($K120&gt;=worse_at,IF(AND(ISNUMBER($L120),$L120&lt;significance_bar),"worse","worse, not significant"),IF(AND(ISNUMBER($L120),$L120&lt;significance_bar),"better","better, not significant")))))</f>
        <v/>
      </c>
      <c r="X120">
        <f>IF($M120="","",IF($I120,"too few losses to test",IF(AND($M120&gt;better_at,$M120&lt;worse_at),"in line",IF($M120&gt;=worse_at,IF(AND(ISNUMBER($N120),$N120&lt;significance_bar),"worse","worse, not significant"),IF(AND(ISNUMBER($N120),$N120&lt;significance_bar),"better","better, not significant")))))</f>
        <v/>
      </c>
      <c r="Y120">
        <f>IF($V120,$X120,$W120)</f>
        <v/>
      </c>
      <c r="Z120">
        <f>IF($V120,IF($P120="","",$P120),IF($O120="","",$O120))</f>
        <v/>
      </c>
      <c r="AA120">
        <f>IF(OR($Q120="",$Z120=""),"",IF(AND($Z120&gt;0,$Z120&gt;=$Q120),"yes","below the line"))</f>
        <v/>
      </c>
      <c r="AB120">
        <f>IF($V120,IF($M120="","",$M120),IF($K120="","",$K120))</f>
        <v/>
      </c>
      <c r="AC120">
        <f>IF($V120,IF($N120="","",$N120),IF($L120="","",$L120))</f>
        <v/>
      </c>
      <c r="AD120">
        <f>$Y120</f>
        <v/>
      </c>
      <c r="AE120">
        <f>IF($V120,IF($S120="","",$S120),IF($R120="","",$R120))</f>
        <v/>
      </c>
      <c r="AF120">
        <f>IF($V120,IF($U120="","",$U120),IF($T120="","",$T120))</f>
        <v/>
      </c>
      <c r="AG120">
        <f>IF($V120,IF($O120="","",$O120),IF($P120="","",$P120))</f>
        <v/>
      </c>
      <c r="AH120" t="n">
        <v>0.108700694066502</v>
      </c>
      <c r="AI120">
        <f>IF($Y120="worse","Yes",IF($Y120="worse, not significant","Not sure",IF(OR($Y120="too few losses to test",$Y120="too few loans to test"),"Too few losses",IF($Y120="","","No"))))</f>
        <v/>
      </c>
      <c r="AJ120">
        <f>IF($AA120="yes","Yes",IF($AA120="","","No"))</f>
        <v/>
      </c>
    </row>
    <row r="121">
      <c r="A121" t="inlineStr">
        <is>
          <t>grids</t>
        </is>
      </c>
      <c r="B121" t="inlineStr">
        <is>
          <t>FICO x ASSET_CLASS</t>
        </is>
      </c>
      <c r="C121" t="inlineStr">
        <is>
          <t>496 - 653</t>
        </is>
      </c>
      <c r="D121" t="inlineStr">
        <is>
          <t>2</t>
        </is>
      </c>
      <c r="E121" t="inlineStr">
        <is>
          <t>gco_rate</t>
        </is>
      </c>
      <c r="F121" t="inlineStr">
        <is>
          <t>GCO per booked dollar</t>
        </is>
      </c>
      <c r="G121" t="n">
        <v>394</v>
      </c>
      <c r="H121" t="n">
        <v>13268648.05</v>
      </c>
      <c r="I121" t="b">
        <v>0</v>
      </c>
      <c r="J121" t="b">
        <v>0</v>
      </c>
      <c r="K121" t="n">
        <v>1.461783569219035</v>
      </c>
      <c r="L121" t="n">
        <v>0.06379362063793621</v>
      </c>
      <c r="M121" t="n">
        <v>0.6459743404111616</v>
      </c>
      <c r="N121" t="n">
        <v>0.0764923507649235</v>
      </c>
      <c r="O121" t="n">
        <v>249012.4587491207</v>
      </c>
      <c r="P121" t="n">
        <v>-432001.3955853276</v>
      </c>
      <c r="Q121">
        <f>'_live'!$C$22</f>
        <v/>
      </c>
      <c r="R121" t="inlineStr">
        <is>
          <t>shuffled: 318 of 10,000</t>
        </is>
      </c>
      <c r="S121" t="inlineStr">
        <is>
          <t>shuffled: 152 of 10,000</t>
        </is>
      </c>
      <c r="T121" t="n">
        <v>0.04064020834819558</v>
      </c>
      <c r="U121" t="n">
        <v>0.0919652455161268</v>
      </c>
      <c r="V121">
        <f>AND(judged_band,NOT($J121))</f>
        <v/>
      </c>
      <c r="W121">
        <f>IF($K121="","",IF($I121,"too few losses to test",IF(AND($K121&gt;better_at,$K121&lt;worse_at),"in line",IF($K121&gt;=worse_at,IF(AND(ISNUMBER($L121),$L121&lt;significance_bar),"worse","worse, not significant"),IF(AND(ISNUMBER($L121),$L121&lt;significance_bar),"better","better, not significant")))))</f>
        <v/>
      </c>
      <c r="X121">
        <f>IF($M121="","",IF($I121,"too few losses to test",IF(AND($M121&gt;better_at,$M121&lt;worse_at),"in line",IF($M121&gt;=worse_at,IF(AND(ISNUMBER($N121),$N121&lt;significance_bar),"worse","worse, not significant"),IF(AND(ISNUMBER($N121),$N121&lt;significance_bar),"better","better, not significant")))))</f>
        <v/>
      </c>
      <c r="Y121">
        <f>IF($V121,$X121,$W121)</f>
        <v/>
      </c>
      <c r="Z121">
        <f>IF($V121,IF($P121="","",$P121),IF($O121="","",$O121))</f>
        <v/>
      </c>
      <c r="AA121">
        <f>IF(OR($Q121="",$Z121=""),"",IF(AND($Z121&gt;0,$Z121&gt;=$Q121),"yes","below the line"))</f>
        <v/>
      </c>
      <c r="AB121">
        <f>IF($V121,IF($M121="","",$M121),IF($K121="","",$K121))</f>
        <v/>
      </c>
      <c r="AC121">
        <f>IF($V121,IF($N121="","",$N121),IF($L121="","",$L121))</f>
        <v/>
      </c>
      <c r="AD121">
        <f>$Y121</f>
        <v/>
      </c>
      <c r="AE121">
        <f>IF($V121,IF($S121="","",$S121),IF($R121="","",$R121))</f>
        <v/>
      </c>
      <c r="AF121">
        <f>IF($V121,IF($U121="","",$U121),IF($T121="","",$T121))</f>
        <v/>
      </c>
      <c r="AG121">
        <f>IF($V121,IF($O121="","",$O121),IF($P121="","",$P121))</f>
        <v/>
      </c>
      <c r="AH121" t="n">
        <v>0.05940718881303055</v>
      </c>
      <c r="AI121">
        <f>IF($Y121="worse","Yes",IF($Y121="worse, not significant","Not sure",IF(OR($Y121="too few losses to test",$Y121="too few loans to test"),"Too few losses",IF($Y121="","","No"))))</f>
        <v/>
      </c>
      <c r="AJ121">
        <f>IF($AA121="yes","Yes",IF($AA121="","","No"))</f>
        <v/>
      </c>
    </row>
    <row r="122">
      <c r="A122" t="inlineStr">
        <is>
          <t>grids</t>
        </is>
      </c>
      <c r="B122" t="inlineStr">
        <is>
          <t>FICO x ASSET_CLASS</t>
        </is>
      </c>
      <c r="C122" t="inlineStr">
        <is>
          <t>496 - 653</t>
        </is>
      </c>
      <c r="D122" t="inlineStr">
        <is>
          <t>2</t>
        </is>
      </c>
      <c r="E122" t="inlineStr">
        <is>
          <t>ranr_rate</t>
        </is>
      </c>
      <c r="F122" t="inlineStr">
        <is>
          <t>Profit after losses: RANR per booked dollar</t>
        </is>
      </c>
      <c r="G122" t="n">
        <v>394</v>
      </c>
      <c r="H122" t="n">
        <v>13268648.05</v>
      </c>
      <c r="I122" t="b">
        <v>0</v>
      </c>
      <c r="J122" t="b">
        <v>0</v>
      </c>
      <c r="K122" t="n">
        <v>0.08177400942602732</v>
      </c>
      <c r="L122" t="n">
        <v>0.00024997500249975</v>
      </c>
      <c r="M122" t="n">
        <v>0.02083559860994813</v>
      </c>
      <c r="N122" t="n">
        <v>0.4967503249675033</v>
      </c>
      <c r="O122" t="n">
        <v>-1085030.550711339</v>
      </c>
      <c r="P122" t="n">
        <v>-276460.2248664713</v>
      </c>
      <c r="Q122">
        <f>'_live'!$C$23</f>
        <v/>
      </c>
      <c r="R122" t="inlineStr">
        <is>
          <t>shuffled: 0 of 10,000</t>
        </is>
      </c>
      <c r="S122" t="inlineStr">
        <is>
          <t>shuffled: 1,862 of 10,000</t>
        </is>
      </c>
      <c r="T122" t="n">
        <v>0.1237856202907318</v>
      </c>
      <c r="U122" t="n">
        <v>0.184724031106811</v>
      </c>
      <c r="V122">
        <f>AND(judged_band,NOT($J122))</f>
        <v/>
      </c>
      <c r="W122">
        <f>IF($K122="","",IF(profit_kind="test",IF(OR(NOT(AND(ISNUMBER($L122),$L122&lt;significance_bar)),$K122=0),"in line",IF($K122&lt;0,"worse","better")),IF(OR($K122=0,IF(profit_kind="points",ABS($K122),ABS($K122*$H122))&lt;profit_line*(1-1E-9)),"in line",IF(AND(ISNUMBER($L122),$L122&lt;significance_bar),IF($K122&lt;0,"worse","better"),IF($K122&lt;0,"worse, not significant","better, not significant")))))</f>
        <v/>
      </c>
      <c r="X122">
        <f>IF($M122="","",IF(profit_kind="test",IF(OR(NOT(AND(ISNUMBER($N122),$N122&lt;significance_bar)),$M122=0),"in line",IF($M122&lt;0,"worse","better")),IF(OR($M122=0,IF(profit_kind="points",ABS($M122),ABS($M122*$H122))&lt;profit_line*(1-1E-9)),"in line",IF(AND(ISNUMBER($N122),$N122&lt;significance_bar),IF($M122&lt;0,"worse","better"),IF($M122&lt;0,"worse, not significant","better, not significant")))))</f>
        <v/>
      </c>
      <c r="Y122">
        <f>IF($V122,$X122,$W122)</f>
        <v/>
      </c>
      <c r="Z122">
        <f>IF($V122,IF($P122="","",$P122),IF($O122="","",$O122))</f>
        <v/>
      </c>
      <c r="AA122">
        <f>IF(OR($Q122="",$Z122=""),"",IF(AND($Z122&gt;0,$Z122&gt;=$Q122),"yes","below the line"))</f>
        <v/>
      </c>
      <c r="AB122">
        <f>IF($V122,IF($M122="","",$M122),IF($K122="","",$K122))</f>
        <v/>
      </c>
      <c r="AC122">
        <f>IF($V122,IF($N122="","",$N122),IF($L122="","",$L122))</f>
        <v/>
      </c>
      <c r="AD122">
        <f>IF($Y122="","",IF($Y122="in line",IF(profit_kind="test",IF(ROUND($AB122*100,2)=0,"0.00",TEXT($AB122*100,"+0.00;-0.00"))&amp;" points against "&amp;IF($V122,"its band","the book")&amp;", "&amp;IF($AC122="","not tested","not significant"),IF(profit_kind="points","within "&amp;TEXT(profit_line*100,"0.00")&amp;" points of "&amp;IF($V122,"its band","the book")&amp;" ("&amp;IF(ROUND($AB122*100,2)=0,"0.00",TEXT($AB122*100,"+0.00;-0.00"))&amp;")","within $"&amp;TEXT(profit_line,"#,##0")&amp;" of "&amp;IF($V122,"its band","the book")&amp;" ("&amp;IF(ROUND($AB122*100,2)=0,"0.00",TEXT($AB122*100,"+0.00;-0.00"))&amp;" points)")),IF(LEFT($Y122,5)="worse","short of ","ahead of ")&amp;IF($V122,"its band","the book")&amp;" by "&amp;TEXT(ABS($AB122)*100,"0.00")&amp;" points"&amp;IF($Z122="",""," ($"&amp;TEXT(ABS($Z122),"#,##0")&amp;")")&amp;IF(RIGHT($Y122,15)="not significant"," (not significant)","")))</f>
        <v/>
      </c>
      <c r="AE122">
        <f>IF($V122,IF($S122="","",$S122),IF($R122="","",$R122))</f>
        <v/>
      </c>
      <c r="AF122">
        <f>IF($V122,IF($U122="","",$U122),IF($T122="","",$T122))</f>
        <v/>
      </c>
      <c r="AG122">
        <f>IF($V122,IF($O122="","",$O122),IF($P122="","",$P122))</f>
        <v/>
      </c>
      <c r="AH122" t="n">
        <v>0.2055596297167591</v>
      </c>
      <c r="AI122">
        <f>IF($Y122="worse","Yes",IF($Y122="worse, not significant","Not sure",IF(OR($Y122="too few losses to test",$Y122="too few loans to test"),"Too few losses",IF($Y122="","","No"))))</f>
        <v/>
      </c>
      <c r="AJ122">
        <f>IF($AA122="yes","Yes",IF($AA122="","","No"))</f>
        <v/>
      </c>
    </row>
    <row r="123">
      <c r="A123" t="inlineStr">
        <is>
          <t>grids</t>
        </is>
      </c>
      <c r="B123" t="inlineStr">
        <is>
          <t>FICO x ASSET_CLASS</t>
        </is>
      </c>
      <c r="C123" t="inlineStr">
        <is>
          <t>496 - 653</t>
        </is>
      </c>
      <c r="D123" t="inlineStr">
        <is>
          <t>2</t>
        </is>
      </c>
      <c r="E123" t="inlineStr">
        <is>
          <t>contribution_rate</t>
        </is>
      </c>
      <c r="F123" t="inlineStr">
        <is>
          <t>Contribution before losses per booked dollar</t>
        </is>
      </c>
      <c r="G123" t="n">
        <v>394</v>
      </c>
      <c r="H123" t="n">
        <v>13268648.05</v>
      </c>
      <c r="I123" t="b">
        <v>0</v>
      </c>
      <c r="J123" t="b">
        <v>0</v>
      </c>
      <c r="K123" t="n">
        <v>0.1005446858289114</v>
      </c>
      <c r="L123" t="n">
        <v>0.0001562343765623438</v>
      </c>
      <c r="M123" t="n">
        <v>-0.01172245809314815</v>
      </c>
      <c r="N123" t="n">
        <v>0.7432399617181139</v>
      </c>
      <c r="O123" t="n">
        <v>-1334092.049561649</v>
      </c>
      <c r="P123" t="n">
        <v>155541.1707188566</v>
      </c>
      <c r="Q123">
        <f>'_live'!$C$24</f>
        <v/>
      </c>
      <c r="R123" t="inlineStr">
        <is>
          <t>shuffled: 0 of 10,000</t>
        </is>
      </c>
      <c r="S123" t="inlineStr">
        <is>
          <t>shuffled: 2,167 of 10,000</t>
        </is>
      </c>
      <c r="T123" t="n">
        <v>0.1644221327008781</v>
      </c>
      <c r="U123" t="n">
        <v>0.2766892766229377</v>
      </c>
      <c r="V123">
        <f>AND(judged_band,NOT($J123))</f>
        <v/>
      </c>
      <c r="W123">
        <f>IF($K123="","",IF(profit_kind="test",IF(OR(NOT(AND(ISNUMBER($L123),$L123&lt;significance_bar)),$K123=0),"in line",IF($K123&lt;0,"worse","better")),IF(OR($K123=0,IF(profit_kind="points",ABS($K123),ABS($K123*$H123))&lt;profit_line*(1-1E-9)),"in line",IF(AND(ISNUMBER($L123),$L123&lt;significance_bar),IF($K123&lt;0,"worse","better"),IF($K123&lt;0,"worse, not significant","better, not significant")))))</f>
        <v/>
      </c>
      <c r="X123">
        <f>IF($M123="","",IF(profit_kind="test",IF(OR(NOT(AND(ISNUMBER($N123),$N123&lt;significance_bar)),$M123=0),"in line",IF($M123&lt;0,"worse","better")),IF(OR($M123=0,IF(profit_kind="points",ABS($M123),ABS($M123*$H123))&lt;profit_line*(1-1E-9)),"in line",IF(AND(ISNUMBER($N123),$N123&lt;significance_bar),IF($M123&lt;0,"worse","better"),IF($M123&lt;0,"worse, not significant","better, not significant")))))</f>
        <v/>
      </c>
      <c r="Y123">
        <f>IF($V123,$X123,$W123)</f>
        <v/>
      </c>
      <c r="Z123">
        <f>IF($V123,IF($P123="","",$P123),IF($O123="","",$O123))</f>
        <v/>
      </c>
      <c r="AA123">
        <f>IF(OR($Q123="",$Z123=""),"",IF(AND($Z123&gt;0,$Z123&gt;=$Q123),"yes","below the line"))</f>
        <v/>
      </c>
      <c r="AB123">
        <f>IF($V123,IF($M123="","",$M123),IF($K123="","",$K123))</f>
        <v/>
      </c>
      <c r="AC123">
        <f>IF($V123,IF($N123="","",$N123),IF($L123="","",$L123))</f>
        <v/>
      </c>
      <c r="AD123">
        <f>IF($Y123="","",IF($Y123="in line",IF(profit_kind="test",IF(ROUND($AB123*100,2)=0,"0.00",TEXT($AB123*100,"+0.00;-0.00"))&amp;" points against "&amp;IF($V123,"its band","the book")&amp;", "&amp;IF($AC123="","not tested","not significant"),IF(profit_kind="points","within "&amp;TEXT(profit_line*100,"0.00")&amp;" points of "&amp;IF($V123,"its band","the book")&amp;" ("&amp;IF(ROUND($AB123*100,2)=0,"0.00",TEXT($AB123*100,"+0.00;-0.00"))&amp;")","within $"&amp;TEXT(profit_line,"#,##0")&amp;" of "&amp;IF($V123,"its band","the book")&amp;" ("&amp;IF(ROUND($AB123*100,2)=0,"0.00",TEXT($AB123*100,"+0.00;-0.00"))&amp;" points)")),IF(LEFT($Y123,5)="worse","short of ","ahead of ")&amp;IF($V123,"its band","the book")&amp;" by "&amp;TEXT(ABS($AB123)*100,"0.00")&amp;" points"&amp;IF($Z123="",""," ($"&amp;TEXT(ABS($Z123),"#,##0")&amp;")")&amp;IF(RIGHT($Y123,15)="not significant"," (not significant)","")))</f>
        <v/>
      </c>
      <c r="AE123">
        <f>IF($V123,IF($S123="","",$S123),IF($R123="","",$R123))</f>
        <v/>
      </c>
      <c r="AF123">
        <f>IF($V123,IF($U123="","",$U123),IF($T123="","",$T123))</f>
        <v/>
      </c>
      <c r="AG123">
        <f>IF($V123,IF($O123="","",$O123),IF($P123="","",$P123))</f>
        <v/>
      </c>
      <c r="AH123" t="n">
        <v>0.2649668185297895</v>
      </c>
      <c r="AI123">
        <f>IF($Y123="worse","Yes",IF($Y123="worse, not significant","Not sure",IF(OR($Y123="too few losses to test",$Y123="too few loans to test"),"Too few losses",IF($Y123="","","No"))))</f>
        <v/>
      </c>
      <c r="AJ123">
        <f>IF($AA123="yes","Yes",IF($AA123="","","No"))</f>
        <v/>
      </c>
    </row>
    <row r="124">
      <c r="A124" t="inlineStr">
        <is>
          <t>grids</t>
        </is>
      </c>
      <c r="B124" t="inlineStr">
        <is>
          <t>FICO x ASSET_CLASS</t>
        </is>
      </c>
      <c r="C124" t="inlineStr">
        <is>
          <t>712 - 745</t>
        </is>
      </c>
      <c r="D124" t="inlineStr">
        <is>
          <t>4</t>
        </is>
      </c>
      <c r="E124" t="inlineStr">
        <is>
          <t>outcome_loans</t>
        </is>
      </c>
      <c r="F124" t="inlineStr">
        <is>
          <t>Outcome, share of loans</t>
        </is>
      </c>
      <c r="G124" t="n">
        <v>427</v>
      </c>
      <c r="H124" t="n">
        <v>427</v>
      </c>
      <c r="I124" t="b">
        <v>0</v>
      </c>
      <c r="J124" t="b">
        <v>0</v>
      </c>
      <c r="K124" t="n">
        <v>1.062766674152257</v>
      </c>
      <c r="L124" t="n">
        <v>0.7982586377423296</v>
      </c>
      <c r="M124" t="n">
        <v>1.866330390920555</v>
      </c>
      <c r="N124" t="n">
        <v>0.02862885069673273</v>
      </c>
      <c r="O124" t="n">
        <v>2.067089276281038</v>
      </c>
      <c r="P124" t="n">
        <v>16.24662162162162</v>
      </c>
      <c r="Q124">
        <f>'_live'!$C$20</f>
        <v/>
      </c>
      <c r="R124" t="inlineStr">
        <is>
          <t>z test</t>
        </is>
      </c>
      <c r="S124" t="inlineStr">
        <is>
          <t>z test</t>
        </is>
      </c>
      <c r="T124" t="n">
        <v>0.07712625462229265</v>
      </c>
      <c r="U124" t="n">
        <v>0.04391891891891892</v>
      </c>
      <c r="V124">
        <f>AND(judged_band,NOT($J124))</f>
        <v/>
      </c>
      <c r="W124">
        <f>IF($K124="","",IF($I124,"too few losses to test",IF(AND($K124&gt;better_at,$K124&lt;worse_at),"in line",IF($K124&gt;=worse_at,IF(AND(ISNUMBER($L124),$L124&lt;significance_bar),"worse","worse, not significant"),IF(AND(ISNUMBER($L124),$L124&lt;significance_bar),"better","better, not significant")))))</f>
        <v/>
      </c>
      <c r="X124">
        <f>IF($M124="","",IF($I124,"too few losses to test",IF(AND($M124&gt;better_at,$M124&lt;worse_at),"in line",IF($M124&gt;=worse_at,IF(AND(ISNUMBER($N124),$N124&lt;significance_bar),"worse","worse, not significant"),IF(AND(ISNUMBER($N124),$N124&lt;significance_bar),"better","better, not significant")))))</f>
        <v/>
      </c>
      <c r="Y124">
        <f>IF($V124,$X124,$W124)</f>
        <v/>
      </c>
      <c r="Z124">
        <f>IF($V124,IF($P124="","",$P124),IF($O124="","",$O124))</f>
        <v/>
      </c>
      <c r="AA124">
        <f>IF(OR($Q124="",$Z124=""),"",IF(AND($Z124&gt;0,$Z124&gt;=$Q124),"yes","below the line"))</f>
        <v/>
      </c>
      <c r="AB124">
        <f>IF($V124,IF($M124="","",$M124),IF($K124="","",$K124))</f>
        <v/>
      </c>
      <c r="AC124">
        <f>IF($V124,IF($N124="","",$N124),IF($L124="","",$L124))</f>
        <v/>
      </c>
      <c r="AD124">
        <f>$Y124</f>
        <v/>
      </c>
      <c r="AE124">
        <f>IF($V124,IF($S124="","",$S124),IF($R124="","",$R124))</f>
        <v/>
      </c>
      <c r="AF124">
        <f>IF($V124,IF($U124="","",$U124),IF($T124="","",$T124))</f>
        <v/>
      </c>
      <c r="AG124">
        <f>IF($V124,IF($O124="","",$O124),IF($P124="","",$P124))</f>
        <v/>
      </c>
      <c r="AH124" t="n">
        <v>0.08196721311475409</v>
      </c>
      <c r="AI124">
        <f>IF($Y124="worse","Yes",IF($Y124="worse, not significant","Not sure",IF(OR($Y124="too few losses to test",$Y124="too few loans to test"),"Too few losses",IF($Y124="","","No"))))</f>
        <v/>
      </c>
      <c r="AJ124">
        <f>IF($AA124="yes","Yes",IF($AA124="","","No"))</f>
        <v/>
      </c>
    </row>
    <row r="125">
      <c r="A125" t="inlineStr">
        <is>
          <t>grids</t>
        </is>
      </c>
      <c r="B125" t="inlineStr">
        <is>
          <t>FICO x ASSET_CLASS</t>
        </is>
      </c>
      <c r="C125" t="inlineStr">
        <is>
          <t>712 - 745</t>
        </is>
      </c>
      <c r="D125" t="inlineStr">
        <is>
          <t>4</t>
        </is>
      </c>
      <c r="E125" t="inlineStr">
        <is>
          <t>outcome_booked</t>
        </is>
      </c>
      <c r="F125" t="inlineStr">
        <is>
          <t>Outcome, share of booked dollars</t>
        </is>
      </c>
      <c r="G125" t="n">
        <v>427</v>
      </c>
      <c r="H125" t="n">
        <v>13152386.19</v>
      </c>
      <c r="I125" t="b">
        <v>0</v>
      </c>
      <c r="J125" t="b">
        <v>0</v>
      </c>
      <c r="K125" t="n">
        <v>1.185998876285476</v>
      </c>
      <c r="L125" t="n">
        <v>0.4252074792520748</v>
      </c>
      <c r="M125" t="n">
        <v>2.04704720669849</v>
      </c>
      <c r="N125" t="n">
        <v>0.012998700129987</v>
      </c>
      <c r="O125" t="n">
        <v>181336.827867875</v>
      </c>
      <c r="P125" t="n">
        <v>591423.2261558567</v>
      </c>
      <c r="Q125">
        <f>'_live'!$C$21</f>
        <v/>
      </c>
      <c r="R125" t="inlineStr">
        <is>
          <t>shuffled: 3,401 of 10,000</t>
        </is>
      </c>
      <c r="S125" t="inlineStr">
        <is>
          <t>shuffled: 12 of 10,000</t>
        </is>
      </c>
      <c r="T125" t="n">
        <v>0.07412609834049626</v>
      </c>
      <c r="U125" t="n">
        <v>0.0429464787365815</v>
      </c>
      <c r="V125">
        <f>AND(judged_band,NOT($J125))</f>
        <v/>
      </c>
      <c r="W125">
        <f>IF($K125="","",IF($I125,"too few losses to test",IF(AND($K125&gt;better_at,$K125&lt;worse_at),"in line",IF($K125&gt;=worse_at,IF(AND(ISNUMBER($L125),$L125&lt;significance_bar),"worse","worse, not significant"),IF(AND(ISNUMBER($L125),$L125&lt;significance_bar),"better","better, not significant")))))</f>
        <v/>
      </c>
      <c r="X125">
        <f>IF($M125="","",IF($I125,"too few losses to test",IF(AND($M125&gt;better_at,$M125&lt;worse_at),"in line",IF($M125&gt;=worse_at,IF(AND(ISNUMBER($N125),$N125&lt;significance_bar),"worse","worse, not significant"),IF(AND(ISNUMBER($N125),$N125&lt;significance_bar),"better","better, not significant")))))</f>
        <v/>
      </c>
      <c r="Y125">
        <f>IF($V125,$X125,$W125)</f>
        <v/>
      </c>
      <c r="Z125">
        <f>IF($V125,IF($P125="","",$P125),IF($O125="","",$O125))</f>
        <v/>
      </c>
      <c r="AA125">
        <f>IF(OR($Q125="",$Z125=""),"",IF(AND($Z125&gt;0,$Z125&gt;=$Q125),"yes","below the line"))</f>
        <v/>
      </c>
      <c r="AB125">
        <f>IF($V125,IF($M125="","",$M125),IF($K125="","",$K125))</f>
        <v/>
      </c>
      <c r="AC125">
        <f>IF($V125,IF($N125="","",$N125),IF($L125="","",$L125))</f>
        <v/>
      </c>
      <c r="AD125">
        <f>$Y125</f>
        <v/>
      </c>
      <c r="AE125">
        <f>IF($V125,IF($S125="","",$S125),IF($R125="","",$R125))</f>
        <v/>
      </c>
      <c r="AF125">
        <f>IF($V125,IF($U125="","",$U125),IF($T125="","",$T125))</f>
        <v/>
      </c>
      <c r="AG125">
        <f>IF($V125,IF($O125="","",$O125),IF($P125="","",$P125))</f>
        <v/>
      </c>
      <c r="AH125" t="n">
        <v>0.08791346933525528</v>
      </c>
      <c r="AI125">
        <f>IF($Y125="worse","Yes",IF($Y125="worse, not significant","Not sure",IF(OR($Y125="too few losses to test",$Y125="too few loans to test"),"Too few losses",IF($Y125="","","No"))))</f>
        <v/>
      </c>
      <c r="AJ125">
        <f>IF($AA125="yes","Yes",IF($AA125="","","No"))</f>
        <v/>
      </c>
    </row>
    <row r="126">
      <c r="A126" t="inlineStr">
        <is>
          <t>grids</t>
        </is>
      </c>
      <c r="B126" t="inlineStr">
        <is>
          <t>FICO x ASSET_CLASS</t>
        </is>
      </c>
      <c r="C126" t="inlineStr">
        <is>
          <t>712 - 745</t>
        </is>
      </c>
      <c r="D126" t="inlineStr">
        <is>
          <t>4</t>
        </is>
      </c>
      <c r="E126" t="inlineStr">
        <is>
          <t>gco_rate</t>
        </is>
      </c>
      <c r="F126" t="inlineStr">
        <is>
          <t>GCO per booked dollar</t>
        </is>
      </c>
      <c r="G126" t="n">
        <v>427</v>
      </c>
      <c r="H126" t="n">
        <v>13152386.19</v>
      </c>
      <c r="I126" t="b">
        <v>0</v>
      </c>
      <c r="J126" t="b">
        <v>0</v>
      </c>
      <c r="K126" t="n">
        <v>1.11205090745506</v>
      </c>
      <c r="L126" t="n">
        <v>0.6039396060393961</v>
      </c>
      <c r="M126" t="n">
        <v>1.854678345569113</v>
      </c>
      <c r="N126" t="n">
        <v>0.069326400693264</v>
      </c>
      <c r="O126" t="n">
        <v>60966.99661039584</v>
      </c>
      <c r="P126" t="n">
        <v>278829.160497877</v>
      </c>
      <c r="Q126">
        <f>'_live'!$C$22</f>
        <v/>
      </c>
      <c r="R126" t="inlineStr">
        <is>
          <t>shuffled: 5,737 of 10,000</t>
        </is>
      </c>
      <c r="S126" t="inlineStr">
        <is>
          <t>shuffled: 81 of 10,000</t>
        </is>
      </c>
      <c r="T126" t="n">
        <v>0.04136898548518094</v>
      </c>
      <c r="U126" t="n">
        <v>0.02480452632619382</v>
      </c>
      <c r="V126">
        <f>AND(judged_band,NOT($J126))</f>
        <v/>
      </c>
      <c r="W126">
        <f>IF($K126="","",IF($I126,"too few losses to test",IF(AND($K126&gt;better_at,$K126&lt;worse_at),"in line",IF($K126&gt;=worse_at,IF(AND(ISNUMBER($L126),$L126&lt;significance_bar),"worse","worse, not significant"),IF(AND(ISNUMBER($L126),$L126&lt;significance_bar),"better","better, not significant")))))</f>
        <v/>
      </c>
      <c r="X126">
        <f>IF($M126="","",IF($I126,"too few losses to test",IF(AND($M126&gt;better_at,$M126&lt;worse_at),"in line",IF($M126&gt;=worse_at,IF(AND(ISNUMBER($N126),$N126&lt;significance_bar),"worse","worse, not significant"),IF(AND(ISNUMBER($N126),$N126&lt;significance_bar),"better","better, not significant")))))</f>
        <v/>
      </c>
      <c r="Y126">
        <f>IF($V126,$X126,$W126)</f>
        <v/>
      </c>
      <c r="Z126">
        <f>IF($V126,IF($P126="","",$P126),IF($O126="","",$O126))</f>
        <v/>
      </c>
      <c r="AA126">
        <f>IF(OR($Q126="",$Z126=""),"",IF(AND($Z126&gt;0,$Z126&gt;=$Q126),"yes","below the line"))</f>
        <v/>
      </c>
      <c r="AB126">
        <f>IF($V126,IF($M126="","",$M126),IF($K126="","",$K126))</f>
        <v/>
      </c>
      <c r="AC126">
        <f>IF($V126,IF($N126="","",$N126),IF($L126="","",$L126))</f>
        <v/>
      </c>
      <c r="AD126">
        <f>$Y126</f>
        <v/>
      </c>
      <c r="AE126">
        <f>IF($V126,IF($S126="","",$S126),IF($R126="","",$R126))</f>
        <v/>
      </c>
      <c r="AF126">
        <f>IF($V126,IF($U126="","",$U126),IF($T126="","",$T126))</f>
        <v/>
      </c>
      <c r="AG126">
        <f>IF($V126,IF($O126="","",$O126),IF($P126="","",$P126))</f>
        <v/>
      </c>
      <c r="AH126" t="n">
        <v>0.04600441784929067</v>
      </c>
      <c r="AI126">
        <f>IF($Y126="worse","Yes",IF($Y126="worse, not significant","Not sure",IF(OR($Y126="too few losses to test",$Y126="too few loans to test"),"Too few losses",IF($Y126="","","No"))))</f>
        <v/>
      </c>
      <c r="AJ126">
        <f>IF($AA126="yes","Yes",IF($AA126="","","No"))</f>
        <v/>
      </c>
    </row>
    <row r="127">
      <c r="A127" t="inlineStr">
        <is>
          <t>grids</t>
        </is>
      </c>
      <c r="B127" t="inlineStr">
        <is>
          <t>FICO x ASSET_CLASS</t>
        </is>
      </c>
      <c r="C127" t="inlineStr">
        <is>
          <t>712 - 745</t>
        </is>
      </c>
      <c r="D127" t="inlineStr">
        <is>
          <t>4</t>
        </is>
      </c>
      <c r="E127" t="inlineStr">
        <is>
          <t>ranr_rate</t>
        </is>
      </c>
      <c r="F127" t="inlineStr">
        <is>
          <t>Profit after losses: RANR per booked dollar</t>
        </is>
      </c>
      <c r="G127" t="n">
        <v>427</v>
      </c>
      <c r="H127" t="n">
        <v>13152386.19</v>
      </c>
      <c r="I127" t="b">
        <v>0</v>
      </c>
      <c r="J127" t="b">
        <v>0</v>
      </c>
      <c r="K127" t="n">
        <v>-0.04158946294235906</v>
      </c>
      <c r="L127" t="n">
        <v>0.00024997500249975</v>
      </c>
      <c r="M127" t="n">
        <v>-0.01003000679325738</v>
      </c>
      <c r="N127" t="n">
        <v>0.567943205679432</v>
      </c>
      <c r="O127" t="n">
        <v>547000.6780526</v>
      </c>
      <c r="P127" t="n">
        <v>131918.5228332446</v>
      </c>
      <c r="Q127">
        <f>'_live'!$C$23</f>
        <v/>
      </c>
      <c r="R127" t="inlineStr">
        <is>
          <t>shuffled: 0 of 10,000</t>
        </is>
      </c>
      <c r="S127" t="inlineStr">
        <is>
          <t>shuffled: 2,839 of 10,000</t>
        </is>
      </c>
      <c r="T127" t="n">
        <v>0.1301096449976276</v>
      </c>
      <c r="U127" t="n">
        <v>0.09855018884852594</v>
      </c>
      <c r="V127">
        <f>AND(judged_band,NOT($J127))</f>
        <v/>
      </c>
      <c r="W127">
        <f>IF($K127="","",IF(profit_kind="test",IF(OR(NOT(AND(ISNUMBER($L127),$L127&lt;significance_bar)),$K127=0),"in line",IF($K127&lt;0,"worse","better")),IF(OR($K127=0,IF(profit_kind="points",ABS($K127),ABS($K127*$H127))&lt;profit_line*(1-1E-9)),"in line",IF(AND(ISNUMBER($L127),$L127&lt;significance_bar),IF($K127&lt;0,"worse","better"),IF($K127&lt;0,"worse, not significant","better, not significant")))))</f>
        <v/>
      </c>
      <c r="X127">
        <f>IF($M127="","",IF(profit_kind="test",IF(OR(NOT(AND(ISNUMBER($N127),$N127&lt;significance_bar)),$M127=0),"in line",IF($M127&lt;0,"worse","better")),IF(OR($M127=0,IF(profit_kind="points",ABS($M127),ABS($M127*$H127))&lt;profit_line*(1-1E-9)),"in line",IF(AND(ISNUMBER($N127),$N127&lt;significance_bar),IF($M127&lt;0,"worse","better"),IF($M127&lt;0,"worse, not significant","better, not significant")))))</f>
        <v/>
      </c>
      <c r="Y127">
        <f>IF($V127,$X127,$W127)</f>
        <v/>
      </c>
      <c r="Z127">
        <f>IF($V127,IF($P127="","",$P127),IF($O127="","",$O127))</f>
        <v/>
      </c>
      <c r="AA127">
        <f>IF(OR($Q127="",$Z127=""),"",IF(AND($Z127&gt;0,$Z127&gt;=$Q127),"yes","below the line"))</f>
        <v/>
      </c>
      <c r="AB127">
        <f>IF($V127,IF($M127="","",$M127),IF($K127="","",$K127))</f>
        <v/>
      </c>
      <c r="AC127">
        <f>IF($V127,IF($N127="","",$N127),IF($L127="","",$L127))</f>
        <v/>
      </c>
      <c r="AD127">
        <f>IF($Y127="","",IF($Y127="in line",IF(profit_kind="test",IF(ROUND($AB127*100,2)=0,"0.00",TEXT($AB127*100,"+0.00;-0.00"))&amp;" points against "&amp;IF($V127,"its band","the book")&amp;", "&amp;IF($AC127="","not tested","not significant"),IF(profit_kind="points","within "&amp;TEXT(profit_line*100,"0.00")&amp;" points of "&amp;IF($V127,"its band","the book")&amp;" ("&amp;IF(ROUND($AB127*100,2)=0,"0.00",TEXT($AB127*100,"+0.00;-0.00"))&amp;")","within $"&amp;TEXT(profit_line,"#,##0")&amp;" of "&amp;IF($V127,"its band","the book")&amp;" ("&amp;IF(ROUND($AB127*100,2)=0,"0.00",TEXT($AB127*100,"+0.00;-0.00"))&amp;" points)")),IF(LEFT($Y127,5)="worse","short of ","ahead of ")&amp;IF($V127,"its band","the book")&amp;" by "&amp;TEXT(ABS($AB127)*100,"0.00")&amp;" points"&amp;IF($Z127="",""," ($"&amp;TEXT(ABS($Z127),"#,##0")&amp;")")&amp;IF(RIGHT($Y127,15)="not significant"," (not significant)","")))</f>
        <v/>
      </c>
      <c r="AE127">
        <f>IF($V127,IF($S127="","",$S127),IF($R127="","",$R127))</f>
        <v/>
      </c>
      <c r="AF127">
        <f>IF($V127,IF($U127="","",$U127),IF($T127="","",$T127))</f>
        <v/>
      </c>
      <c r="AG127">
        <f>IF($V127,IF($O127="","",$O127),IF($P127="","",$P127))</f>
        <v/>
      </c>
      <c r="AH127" t="n">
        <v>0.08852018205526856</v>
      </c>
      <c r="AI127">
        <f>IF($Y127="worse","Yes",IF($Y127="worse, not significant","Not sure",IF(OR($Y127="too few losses to test",$Y127="too few loans to test"),"Too few losses",IF($Y127="","","No"))))</f>
        <v/>
      </c>
      <c r="AJ127">
        <f>IF($AA127="yes","Yes",IF($AA127="","","No"))</f>
        <v/>
      </c>
    </row>
    <row r="128">
      <c r="A128" t="inlineStr">
        <is>
          <t>grids</t>
        </is>
      </c>
      <c r="B128" t="inlineStr">
        <is>
          <t>FICO x ASSET_CLASS</t>
        </is>
      </c>
      <c r="C128" t="inlineStr">
        <is>
          <t>712 - 745</t>
        </is>
      </c>
      <c r="D128" t="inlineStr">
        <is>
          <t>4</t>
        </is>
      </c>
      <c r="E128" t="inlineStr">
        <is>
          <t>contribution_rate</t>
        </is>
      </c>
      <c r="F128" t="inlineStr">
        <is>
          <t>Contribution before losses per booked dollar</t>
        </is>
      </c>
      <c r="G128" t="n">
        <v>427</v>
      </c>
      <c r="H128" t="n">
        <v>13152386.19</v>
      </c>
      <c r="I128" t="b">
        <v>0</v>
      </c>
      <c r="J128" t="b">
        <v>0</v>
      </c>
      <c r="K128" t="n">
        <v>-0.03695136126031404</v>
      </c>
      <c r="L128" t="n">
        <v>0.0001562343765623438</v>
      </c>
      <c r="M128" t="n">
        <v>0.01122014979193345</v>
      </c>
      <c r="N128" t="n">
        <v>0.3095690430956904</v>
      </c>
      <c r="O128" t="n">
        <v>485998.5735418552</v>
      </c>
      <c r="P128" t="n">
        <v>-147571.7431731569</v>
      </c>
      <c r="Q128">
        <f>'_live'!$C$24</f>
        <v/>
      </c>
      <c r="R128" t="inlineStr">
        <is>
          <t>shuffled: 0 of 10,000</t>
        </is>
      </c>
      <c r="S128" t="inlineStr">
        <is>
          <t>shuffled: 128 of 10,000</t>
        </is>
      </c>
      <c r="T128" t="n">
        <v>0.1714759611648733</v>
      </c>
      <c r="U128" t="n">
        <v>0.1233044501126258</v>
      </c>
      <c r="V128">
        <f>AND(judged_band,NOT($J128))</f>
        <v/>
      </c>
      <c r="W128">
        <f>IF($K128="","",IF(profit_kind="test",IF(OR(NOT(AND(ISNUMBER($L128),$L128&lt;significance_bar)),$K128=0),"in line",IF($K128&lt;0,"worse","better")),IF(OR($K128=0,IF(profit_kind="points",ABS($K128),ABS($K128*$H128))&lt;profit_line*(1-1E-9)),"in line",IF(AND(ISNUMBER($L128),$L128&lt;significance_bar),IF($K128&lt;0,"worse","better"),IF($K128&lt;0,"worse, not significant","better, not significant")))))</f>
        <v/>
      </c>
      <c r="X128">
        <f>IF($M128="","",IF(profit_kind="test",IF(OR(NOT(AND(ISNUMBER($N128),$N128&lt;significance_bar)),$M128=0),"in line",IF($M128&lt;0,"worse","better")),IF(OR($M128=0,IF(profit_kind="points",ABS($M128),ABS($M128*$H128))&lt;profit_line*(1-1E-9)),"in line",IF(AND(ISNUMBER($N128),$N128&lt;significance_bar),IF($M128&lt;0,"worse","better"),IF($M128&lt;0,"worse, not significant","better, not significant")))))</f>
        <v/>
      </c>
      <c r="Y128">
        <f>IF($V128,$X128,$W128)</f>
        <v/>
      </c>
      <c r="Z128">
        <f>IF($V128,IF($P128="","",$P128),IF($O128="","",$O128))</f>
        <v/>
      </c>
      <c r="AA128">
        <f>IF(OR($Q128="",$Z128=""),"",IF(AND($Z128&gt;0,$Z128&gt;=$Q128),"yes","below the line"))</f>
        <v/>
      </c>
      <c r="AB128">
        <f>IF($V128,IF($M128="","",$M128),IF($K128="","",$K128))</f>
        <v/>
      </c>
      <c r="AC128">
        <f>IF($V128,IF($N128="","",$N128),IF($L128="","",$L128))</f>
        <v/>
      </c>
      <c r="AD128">
        <f>IF($Y128="","",IF($Y128="in line",IF(profit_kind="test",IF(ROUND($AB128*100,2)=0,"0.00",TEXT($AB128*100,"+0.00;-0.00"))&amp;" points against "&amp;IF($V128,"its band","the book")&amp;", "&amp;IF($AC128="","not tested","not significant"),IF(profit_kind="points","within "&amp;TEXT(profit_line*100,"0.00")&amp;" points of "&amp;IF($V128,"its band","the book")&amp;" ("&amp;IF(ROUND($AB128*100,2)=0,"0.00",TEXT($AB128*100,"+0.00;-0.00"))&amp;")","within $"&amp;TEXT(profit_line,"#,##0")&amp;" of "&amp;IF($V128,"its band","the book")&amp;" ("&amp;IF(ROUND($AB128*100,2)=0,"0.00",TEXT($AB128*100,"+0.00;-0.00"))&amp;" points)")),IF(LEFT($Y128,5)="worse","short of ","ahead of ")&amp;IF($V128,"its band","the book")&amp;" by "&amp;TEXT(ABS($AB128)*100,"0.00")&amp;" points"&amp;IF($Z128="",""," ($"&amp;TEXT(ABS($Z128),"#,##0")&amp;")")&amp;IF(RIGHT($Y128,15)="not significant"," (not significant)","")))</f>
        <v/>
      </c>
      <c r="AE128">
        <f>IF($V128,IF($S128="","",$S128),IF($R128="","",$R128))</f>
        <v/>
      </c>
      <c r="AF128">
        <f>IF($V128,IF($U128="","",$U128),IF($T128="","",$T128))</f>
        <v/>
      </c>
      <c r="AG128">
        <f>IF($V128,IF($O128="","",$O128),IF($P128="","",$P128))</f>
        <v/>
      </c>
      <c r="AH128" t="n">
        <v>0.1345245999045592</v>
      </c>
      <c r="AI128">
        <f>IF($Y128="worse","Yes",IF($Y128="worse, not significant","Not sure",IF(OR($Y128="too few losses to test",$Y128="too few loans to test"),"Too few losses",IF($Y128="","","No"))))</f>
        <v/>
      </c>
      <c r="AJ128">
        <f>IF($AA128="yes","Yes",IF($AA128="","","No"))</f>
        <v/>
      </c>
    </row>
    <row r="129">
      <c r="A129" t="inlineStr">
        <is>
          <t>grids</t>
        </is>
      </c>
      <c r="B129" t="inlineStr">
        <is>
          <t>FICO x ASSET_CLASS</t>
        </is>
      </c>
      <c r="C129" t="inlineStr">
        <is>
          <t>746 - 921</t>
        </is>
      </c>
      <c r="D129" t="inlineStr">
        <is>
          <t>2</t>
        </is>
      </c>
      <c r="E129" t="inlineStr">
        <is>
          <t>outcome_loans</t>
        </is>
      </c>
      <c r="F129" t="inlineStr">
        <is>
          <t>Outcome, share of loans</t>
        </is>
      </c>
      <c r="G129" t="n">
        <v>399</v>
      </c>
      <c r="H129" t="n">
        <v>399</v>
      </c>
      <c r="I129" t="b">
        <v>0</v>
      </c>
      <c r="J129" t="b">
        <v>0</v>
      </c>
      <c r="K129" t="n">
        <v>0.5054094606333412</v>
      </c>
      <c r="L129" t="n">
        <v>0.01212387853784685</v>
      </c>
      <c r="M129" t="n">
        <v>1.021684646398605</v>
      </c>
      <c r="N129" t="n">
        <v>0.955146465774709</v>
      </c>
      <c r="O129" t="n">
        <v>-15.6575</v>
      </c>
      <c r="P129" t="n">
        <v>0.3395904436860064</v>
      </c>
      <c r="Q129">
        <f>'_live'!$C$20</f>
        <v/>
      </c>
      <c r="R129" t="inlineStr">
        <is>
          <t>z test</t>
        </is>
      </c>
      <c r="S129" t="inlineStr">
        <is>
          <t>z test</t>
        </is>
      </c>
      <c r="T129" t="n">
        <v>0.07934210526315789</v>
      </c>
      <c r="U129" t="n">
        <v>0.03924914675767918</v>
      </c>
      <c r="V129">
        <f>AND(judged_band,NOT($J129))</f>
        <v/>
      </c>
      <c r="W129">
        <f>IF($K129="","",IF($I129,"too few losses to test",IF(AND($K129&gt;better_at,$K129&lt;worse_at),"in line",IF($K129&gt;=worse_at,IF(AND(ISNUMBER($L129),$L129&lt;significance_bar),"worse","worse, not significant"),IF(AND(ISNUMBER($L129),$L129&lt;significance_bar),"better","better, not significant")))))</f>
        <v/>
      </c>
      <c r="X129">
        <f>IF($M129="","",IF($I129,"too few losses to test",IF(AND($M129&gt;better_at,$M129&lt;worse_at),"in line",IF($M129&gt;=worse_at,IF(AND(ISNUMBER($N129),$N129&lt;significance_bar),"worse","worse, not significant"),IF(AND(ISNUMBER($N129),$N129&lt;significance_bar),"better","better, not significant")))))</f>
        <v/>
      </c>
      <c r="Y129">
        <f>IF($V129,$X129,$W129)</f>
        <v/>
      </c>
      <c r="Z129">
        <f>IF($V129,IF($P129="","",$P129),IF($O129="","",$O129))</f>
        <v/>
      </c>
      <c r="AA129">
        <f>IF(OR($Q129="",$Z129=""),"",IF(AND($Z129&gt;0,$Z129&gt;=$Q129),"yes","below the line"))</f>
        <v/>
      </c>
      <c r="AB129">
        <f>IF($V129,IF($M129="","",$M129),IF($K129="","",$K129))</f>
        <v/>
      </c>
      <c r="AC129">
        <f>IF($V129,IF($N129="","",$N129),IF($L129="","",$L129))</f>
        <v/>
      </c>
      <c r="AD129">
        <f>$Y129</f>
        <v/>
      </c>
      <c r="AE129">
        <f>IF($V129,IF($S129="","",$S129),IF($R129="","",$R129))</f>
        <v/>
      </c>
      <c r="AF129">
        <f>IF($V129,IF($U129="","",$U129),IF($T129="","",$T129))</f>
        <v/>
      </c>
      <c r="AG129">
        <f>IF($V129,IF($O129="","",$O129),IF($P129="","",$P129))</f>
        <v/>
      </c>
      <c r="AH129" t="n">
        <v>0.04010025062656641</v>
      </c>
      <c r="AI129">
        <f>IF($Y129="worse","Yes",IF($Y129="worse, not significant","Not sure",IF(OR($Y129="too few losses to test",$Y129="too few loans to test"),"Too few losses",IF($Y129="","","No"))))</f>
        <v/>
      </c>
      <c r="AJ129">
        <f>IF($AA129="yes","Yes",IF($AA129="","","No"))</f>
        <v/>
      </c>
    </row>
    <row r="130">
      <c r="A130" t="inlineStr">
        <is>
          <t>grids</t>
        </is>
      </c>
      <c r="B130" t="inlineStr">
        <is>
          <t>FICO x ASSET_CLASS</t>
        </is>
      </c>
      <c r="C130" t="inlineStr">
        <is>
          <t>746 - 921</t>
        </is>
      </c>
      <c r="D130" t="inlineStr">
        <is>
          <t>2</t>
        </is>
      </c>
      <c r="E130" t="inlineStr">
        <is>
          <t>outcome_booked</t>
        </is>
      </c>
      <c r="F130" t="inlineStr">
        <is>
          <t>Outcome, share of booked dollars</t>
        </is>
      </c>
      <c r="G130" t="n">
        <v>399</v>
      </c>
      <c r="H130" t="n">
        <v>13059938.59</v>
      </c>
      <c r="I130" t="b">
        <v>0</v>
      </c>
      <c r="J130" t="b">
        <v>0</v>
      </c>
      <c r="K130" t="n">
        <v>0.6124015576011145</v>
      </c>
      <c r="L130" t="n">
        <v>0.07922284694607461</v>
      </c>
      <c r="M130" t="n">
        <v>1.400534289227499</v>
      </c>
      <c r="N130" t="n">
        <v>0.500495405004954</v>
      </c>
      <c r="O130" t="n">
        <v>-386364.2396908005</v>
      </c>
      <c r="P130" t="n">
        <v>174581.0663523657</v>
      </c>
      <c r="Q130">
        <f>'_live'!$C$21</f>
        <v/>
      </c>
      <c r="R130" t="inlineStr">
        <is>
          <t>shuffled: 514 of 10,000</t>
        </is>
      </c>
      <c r="S130" t="inlineStr">
        <is>
          <t>shuffled: 2,574 of 10,000</t>
        </is>
      </c>
      <c r="T130" t="n">
        <v>0.07632622181348253</v>
      </c>
      <c r="U130" t="n">
        <v>0.03337461816102109</v>
      </c>
      <c r="V130">
        <f>AND(judged_band,NOT($J130))</f>
        <v/>
      </c>
      <c r="W130">
        <f>IF($K130="","",IF($I130,"too few losses to test",IF(AND($K130&gt;better_at,$K130&lt;worse_at),"in line",IF($K130&gt;=worse_at,IF(AND(ISNUMBER($L130),$L130&lt;significance_bar),"worse","worse, not significant"),IF(AND(ISNUMBER($L130),$L130&lt;significance_bar),"better","better, not significant")))))</f>
        <v/>
      </c>
      <c r="X130">
        <f>IF($M130="","",IF($I130,"too few losses to test",IF(AND($M130&gt;better_at,$M130&lt;worse_at),"in line",IF($M130&gt;=worse_at,IF(AND(ISNUMBER($N130),$N130&lt;significance_bar),"worse","worse, not significant"),IF(AND(ISNUMBER($N130),$N130&lt;significance_bar),"better","better, not significant")))))</f>
        <v/>
      </c>
      <c r="Y130">
        <f>IF($V130,$X130,$W130)</f>
        <v/>
      </c>
      <c r="Z130">
        <f>IF($V130,IF($P130="","",$P130),IF($O130="","",$O130))</f>
        <v/>
      </c>
      <c r="AA130">
        <f>IF(OR($Q130="",$Z130=""),"",IF(AND($Z130&gt;0,$Z130&gt;=$Q130),"yes","below the line"))</f>
        <v/>
      </c>
      <c r="AB130">
        <f>IF($V130,IF($M130="","",$M130),IF($K130="","",$K130))</f>
        <v/>
      </c>
      <c r="AC130">
        <f>IF($V130,IF($N130="","",$N130),IF($L130="","",$L130))</f>
        <v/>
      </c>
      <c r="AD130">
        <f>$Y130</f>
        <v/>
      </c>
      <c r="AE130">
        <f>IF($V130,IF($S130="","",$S130),IF($R130="","",$R130))</f>
        <v/>
      </c>
      <c r="AF130">
        <f>IF($V130,IF($U130="","",$U130),IF($T130="","",$T130))</f>
        <v/>
      </c>
      <c r="AG130">
        <f>IF($V130,IF($O130="","",$O130),IF($P130="","",$P130))</f>
        <v/>
      </c>
      <c r="AH130" t="n">
        <v>0.04674229712438486</v>
      </c>
      <c r="AI130">
        <f>IF($Y130="worse","Yes",IF($Y130="worse, not significant","Not sure",IF(OR($Y130="too few losses to test",$Y130="too few loans to test"),"Too few losses",IF($Y130="","","No"))))</f>
        <v/>
      </c>
      <c r="AJ130">
        <f>IF($AA130="yes","Yes",IF($AA130="","","No"))</f>
        <v/>
      </c>
    </row>
    <row r="131">
      <c r="A131" t="inlineStr">
        <is>
          <t>grids</t>
        </is>
      </c>
      <c r="B131" t="inlineStr">
        <is>
          <t>FICO x ASSET_CLASS</t>
        </is>
      </c>
      <c r="C131" t="inlineStr">
        <is>
          <t>746 - 921</t>
        </is>
      </c>
      <c r="D131" t="inlineStr">
        <is>
          <t>2</t>
        </is>
      </c>
      <c r="E131" t="inlineStr">
        <is>
          <t>gco_rate</t>
        </is>
      </c>
      <c r="F131" t="inlineStr">
        <is>
          <t>GCO per booked dollar</t>
        </is>
      </c>
      <c r="G131" t="n">
        <v>399</v>
      </c>
      <c r="H131" t="n">
        <v>13059938.59</v>
      </c>
      <c r="I131" t="b">
        <v>0</v>
      </c>
      <c r="J131" t="b">
        <v>0</v>
      </c>
      <c r="K131" t="n">
        <v>0.5712806400920181</v>
      </c>
      <c r="L131" t="n">
        <v>0.066175200661752</v>
      </c>
      <c r="M131" t="n">
        <v>1.372255529935013</v>
      </c>
      <c r="N131" t="n">
        <v>0.5519448055194481</v>
      </c>
      <c r="O131" t="n">
        <v>-238116.8730705172</v>
      </c>
      <c r="P131" t="n">
        <v>86074.15151197961</v>
      </c>
      <c r="Q131">
        <f>'_live'!$C$22</f>
        <v/>
      </c>
      <c r="R131" t="inlineStr">
        <is>
          <t>shuffled: 363 of 10,000</t>
        </is>
      </c>
      <c r="S131" t="inlineStr">
        <is>
          <t>shuffled: 2,951 of 10,000</t>
        </is>
      </c>
      <c r="T131" t="n">
        <v>0.04252809607357557</v>
      </c>
      <c r="U131" t="n">
        <v>0.01770477685592397</v>
      </c>
      <c r="V131">
        <f>AND(judged_band,NOT($J131))</f>
        <v/>
      </c>
      <c r="W131">
        <f>IF($K131="","",IF($I131,"too few losses to test",IF(AND($K131&gt;better_at,$K131&lt;worse_at),"in line",IF($K131&gt;=worse_at,IF(AND(ISNUMBER($L131),$L131&lt;significance_bar),"worse","worse, not significant"),IF(AND(ISNUMBER($L131),$L131&lt;significance_bar),"better","better, not significant")))))</f>
        <v/>
      </c>
      <c r="X131">
        <f>IF($M131="","",IF($I131,"too few losses to test",IF(AND($M131&gt;better_at,$M131&lt;worse_at),"in line",IF($M131&gt;=worse_at,IF(AND(ISNUMBER($N131),$N131&lt;significance_bar),"worse","worse, not significant"),IF(AND(ISNUMBER($N131),$N131&lt;significance_bar),"better","better, not significant")))))</f>
        <v/>
      </c>
      <c r="Y131">
        <f>IF($V131,$X131,$W131)</f>
        <v/>
      </c>
      <c r="Z131">
        <f>IF($V131,IF($P131="","",$P131),IF($O131="","",$O131))</f>
        <v/>
      </c>
      <c r="AA131">
        <f>IF(OR($Q131="",$Z131=""),"",IF(AND($Z131&gt;0,$Z131&gt;=$Q131),"yes","below the line"))</f>
        <v/>
      </c>
      <c r="AB131">
        <f>IF($V131,IF($M131="","",$M131),IF($K131="","",$K131))</f>
        <v/>
      </c>
      <c r="AC131">
        <f>IF($V131,IF($N131="","",$N131),IF($L131="","",$L131))</f>
        <v/>
      </c>
      <c r="AD131">
        <f>$Y131</f>
        <v/>
      </c>
      <c r="AE131">
        <f>IF($V131,IF($S131="","",$S131),IF($R131="","",$R131))</f>
        <v/>
      </c>
      <c r="AF131">
        <f>IF($V131,IF($U131="","",$U131),IF($T131="","",$T131))</f>
        <v/>
      </c>
      <c r="AG131">
        <f>IF($V131,IF($O131="","",$O131),IF($P131="","",$P131))</f>
        <v/>
      </c>
      <c r="AH131" t="n">
        <v>0.02429547794680709</v>
      </c>
      <c r="AI131">
        <f>IF($Y131="worse","Yes",IF($Y131="worse, not significant","Not sure",IF(OR($Y131="too few losses to test",$Y131="too few loans to test"),"Too few losses",IF($Y131="","","No"))))</f>
        <v/>
      </c>
      <c r="AJ131">
        <f>IF($AA131="yes","Yes",IF($AA131="","","No"))</f>
        <v/>
      </c>
    </row>
    <row r="132">
      <c r="A132" t="inlineStr">
        <is>
          <t>grids</t>
        </is>
      </c>
      <c r="B132" t="inlineStr">
        <is>
          <t>FICO x ASSET_CLASS</t>
        </is>
      </c>
      <c r="C132" t="inlineStr">
        <is>
          <t>746 - 921</t>
        </is>
      </c>
      <c r="D132" t="inlineStr">
        <is>
          <t>2</t>
        </is>
      </c>
      <c r="E132" t="inlineStr">
        <is>
          <t>ranr_rate</t>
        </is>
      </c>
      <c r="F132" t="inlineStr">
        <is>
          <t>Profit after losses: RANR per booked dollar</t>
        </is>
      </c>
      <c r="G132" t="n">
        <v>399</v>
      </c>
      <c r="H132" t="n">
        <v>13059938.59</v>
      </c>
      <c r="I132" t="b">
        <v>0</v>
      </c>
      <c r="J132" t="b">
        <v>0</v>
      </c>
      <c r="K132" t="n">
        <v>-0.09333313299291891</v>
      </c>
      <c r="L132" t="n">
        <v>0.00024997500249975</v>
      </c>
      <c r="M132" t="n">
        <v>-0.009929937325664516</v>
      </c>
      <c r="N132" t="n">
        <v>0.4600682788863971</v>
      </c>
      <c r="O132" t="n">
        <v>1218924.985299824</v>
      </c>
      <c r="P132" t="n">
        <v>129684.3716757274</v>
      </c>
      <c r="Q132">
        <f>'_live'!$C$23</f>
        <v/>
      </c>
      <c r="R132" t="inlineStr">
        <is>
          <t>shuffled: 0 of 10,000</t>
        </is>
      </c>
      <c r="S132" t="inlineStr">
        <is>
          <t>shuffled: 1,341 of 10,000</t>
        </is>
      </c>
      <c r="T132" t="n">
        <v>0.1327133120386153</v>
      </c>
      <c r="U132" t="n">
        <v>0.04931011637136094</v>
      </c>
      <c r="V132">
        <f>AND(judged_band,NOT($J132))</f>
        <v/>
      </c>
      <c r="W132">
        <f>IF($K132="","",IF(profit_kind="test",IF(OR(NOT(AND(ISNUMBER($L132),$L132&lt;significance_bar)),$K132=0),"in line",IF($K132&lt;0,"worse","better")),IF(OR($K132=0,IF(profit_kind="points",ABS($K132),ABS($K132*$H132))&lt;profit_line*(1-1E-9)),"in line",IF(AND(ISNUMBER($L132),$L132&lt;significance_bar),IF($K132&lt;0,"worse","better"),IF($K132&lt;0,"worse, not significant","better, not significant")))))</f>
        <v/>
      </c>
      <c r="X132">
        <f>IF($M132="","",IF(profit_kind="test",IF(OR(NOT(AND(ISNUMBER($N132),$N132&lt;significance_bar)),$M132=0),"in line",IF($M132&lt;0,"worse","better")),IF(OR($M132=0,IF(profit_kind="points",ABS($M132),ABS($M132*$H132))&lt;profit_line*(1-1E-9)),"in line",IF(AND(ISNUMBER($N132),$N132&lt;significance_bar),IF($M132&lt;0,"worse","better"),IF($M132&lt;0,"worse, not significant","better, not significant")))))</f>
        <v/>
      </c>
      <c r="Y132">
        <f>IF($V132,$X132,$W132)</f>
        <v/>
      </c>
      <c r="Z132">
        <f>IF($V132,IF($P132="","",$P132),IF($O132="","",$O132))</f>
        <v/>
      </c>
      <c r="AA132">
        <f>IF(OR($Q132="",$Z132=""),"",IF(AND($Z132&gt;0,$Z132&gt;=$Q132),"yes","below the line"))</f>
        <v/>
      </c>
      <c r="AB132">
        <f>IF($V132,IF($M132="","",$M132),IF($K132="","",$K132))</f>
        <v/>
      </c>
      <c r="AC132">
        <f>IF($V132,IF($N132="","",$N132),IF($L132="","",$L132))</f>
        <v/>
      </c>
      <c r="AD132">
        <f>IF($Y132="","",IF($Y132="in line",IF(profit_kind="test",IF(ROUND($AB132*100,2)=0,"0.00",TEXT($AB132*100,"+0.00;-0.00"))&amp;" points against "&amp;IF($V132,"its band","the book")&amp;", "&amp;IF($AC132="","not tested","not significant"),IF(profit_kind="points","within "&amp;TEXT(profit_line*100,"0.00")&amp;" points of "&amp;IF($V132,"its band","the book")&amp;" ("&amp;IF(ROUND($AB132*100,2)=0,"0.00",TEXT($AB132*100,"+0.00;-0.00"))&amp;")","within $"&amp;TEXT(profit_line,"#,##0")&amp;" of "&amp;IF($V132,"its band","the book")&amp;" ("&amp;IF(ROUND($AB132*100,2)=0,"0.00",TEXT($AB132*100,"+0.00;-0.00"))&amp;" points)")),IF(LEFT($Y132,5)="worse","short of ","ahead of ")&amp;IF($V132,"its band","the book")&amp;" by "&amp;TEXT(ABS($AB132)*100,"0.00")&amp;" points"&amp;IF($Z132="",""," ($"&amp;TEXT(ABS($Z132),"#,##0")&amp;")")&amp;IF(RIGHT($Y132,15)="not significant"," (not significant)","")))</f>
        <v/>
      </c>
      <c r="AE132">
        <f>IF($V132,IF($S132="","",$S132),IF($R132="","",$R132))</f>
        <v/>
      </c>
      <c r="AF132">
        <f>IF($V132,IF($U132="","",$U132),IF($T132="","",$T132))</f>
        <v/>
      </c>
      <c r="AG132">
        <f>IF($V132,IF($O132="","",$O132),IF($P132="","",$P132))</f>
        <v/>
      </c>
      <c r="AH132" t="n">
        <v>0.03938017904569642</v>
      </c>
      <c r="AI132">
        <f>IF($Y132="worse","Yes",IF($Y132="worse, not significant","Not sure",IF(OR($Y132="too few losses to test",$Y132="too few loans to test"),"Too few losses",IF($Y132="","","No"))))</f>
        <v/>
      </c>
      <c r="AJ132">
        <f>IF($AA132="yes","Yes",IF($AA132="","","No"))</f>
        <v/>
      </c>
    </row>
    <row r="133">
      <c r="A133" t="inlineStr">
        <is>
          <t>grids</t>
        </is>
      </c>
      <c r="B133" t="inlineStr">
        <is>
          <t>FICO x ASSET_CLASS</t>
        </is>
      </c>
      <c r="C133" t="inlineStr">
        <is>
          <t>746 - 921</t>
        </is>
      </c>
      <c r="D133" t="inlineStr">
        <is>
          <t>2</t>
        </is>
      </c>
      <c r="E133" t="inlineStr">
        <is>
          <t>contribution_rate</t>
        </is>
      </c>
      <c r="F133" t="inlineStr">
        <is>
          <t>Contribution before losses per booked dollar</t>
        </is>
      </c>
      <c r="G133" t="n">
        <v>399</v>
      </c>
      <c r="H133" t="n">
        <v>13059938.59</v>
      </c>
      <c r="I133" t="b">
        <v>0</v>
      </c>
      <c r="J133" t="b">
        <v>0</v>
      </c>
      <c r="K133" t="n">
        <v>-0.111563504597654</v>
      </c>
      <c r="L133" t="n">
        <v>0.0001562343765623438</v>
      </c>
      <c r="M133" t="n">
        <v>-0.003339236234781412</v>
      </c>
      <c r="N133" t="n">
        <v>0.5723427657234277</v>
      </c>
      <c r="O133" t="n">
        <v>1457012.518930545</v>
      </c>
      <c r="P133" t="n">
        <v>43610.22016374813</v>
      </c>
      <c r="Q133">
        <f>'_live'!$C$24</f>
        <v/>
      </c>
      <c r="R133" t="inlineStr">
        <is>
          <t>shuffled: 0 of 10,000</t>
        </is>
      </c>
      <c r="S133" t="inlineStr">
        <is>
          <t>shuffled: 953 of 10,000</t>
        </is>
      </c>
      <c r="T133" t="n">
        <v>0.1752391615901575</v>
      </c>
      <c r="U133" t="n">
        <v>0.06701489322728491</v>
      </c>
      <c r="V133">
        <f>AND(judged_band,NOT($J133))</f>
        <v/>
      </c>
      <c r="W133">
        <f>IF($K133="","",IF(profit_kind="test",IF(OR(NOT(AND(ISNUMBER($L133),$L133&lt;significance_bar)),$K133=0),"in line",IF($K133&lt;0,"worse","better")),IF(OR($K133=0,IF(profit_kind="points",ABS($K133),ABS($K133*$H133))&lt;profit_line*(1-1E-9)),"in line",IF(AND(ISNUMBER($L133),$L133&lt;significance_bar),IF($K133&lt;0,"worse","better"),IF($K133&lt;0,"worse, not significant","better, not significant")))))</f>
        <v/>
      </c>
      <c r="X133">
        <f>IF($M133="","",IF(profit_kind="test",IF(OR(NOT(AND(ISNUMBER($N133),$N133&lt;significance_bar)),$M133=0),"in line",IF($M133&lt;0,"worse","better")),IF(OR($M133=0,IF(profit_kind="points",ABS($M133),ABS($M133*$H133))&lt;profit_line*(1-1E-9)),"in line",IF(AND(ISNUMBER($N133),$N133&lt;significance_bar),IF($M133&lt;0,"worse","better"),IF($M133&lt;0,"worse, not significant","better, not significant")))))</f>
        <v/>
      </c>
      <c r="Y133">
        <f>IF($V133,$X133,$W133)</f>
        <v/>
      </c>
      <c r="Z133">
        <f>IF($V133,IF($P133="","",$P133),IF($O133="","",$O133))</f>
        <v/>
      </c>
      <c r="AA133">
        <f>IF(OR($Q133="",$Z133=""),"",IF(AND($Z133&gt;0,$Z133&gt;=$Q133),"yes","below the line"))</f>
        <v/>
      </c>
      <c r="AB133">
        <f>IF($V133,IF($M133="","",$M133),IF($K133="","",$K133))</f>
        <v/>
      </c>
      <c r="AC133">
        <f>IF($V133,IF($N133="","",$N133),IF($L133="","",$L133))</f>
        <v/>
      </c>
      <c r="AD133">
        <f>IF($Y133="","",IF($Y133="in line",IF(profit_kind="test",IF(ROUND($AB133*100,2)=0,"0.00",TEXT($AB133*100,"+0.00;-0.00"))&amp;" points against "&amp;IF($V133,"its band","the book")&amp;", "&amp;IF($AC133="","not tested","not significant"),IF(profit_kind="points","within "&amp;TEXT(profit_line*100,"0.00")&amp;" points of "&amp;IF($V133,"its band","the book")&amp;" ("&amp;IF(ROUND($AB133*100,2)=0,"0.00",TEXT($AB133*100,"+0.00;-0.00"))&amp;")","within $"&amp;TEXT(profit_line,"#,##0")&amp;" of "&amp;IF($V133,"its band","the book")&amp;" ("&amp;IF(ROUND($AB133*100,2)=0,"0.00",TEXT($AB133*100,"+0.00;-0.00"))&amp;" points)")),IF(LEFT($Y133,5)="worse","short of ","ahead of ")&amp;IF($V133,"its band","the book")&amp;" by "&amp;TEXT(ABS($AB133)*100,"0.00")&amp;" points"&amp;IF($Z133="",""," ($"&amp;TEXT(ABS($Z133),"#,##0")&amp;")")&amp;IF(RIGHT($Y133,15)="not significant"," (not significant)","")))</f>
        <v/>
      </c>
      <c r="AE133">
        <f>IF($V133,IF($S133="","",$S133),IF($R133="","",$R133))</f>
        <v/>
      </c>
      <c r="AF133">
        <f>IF($V133,IF($U133="","",$U133),IF($T133="","",$T133))</f>
        <v/>
      </c>
      <c r="AG133">
        <f>IF($V133,IF($O133="","",$O133),IF($P133="","",$P133))</f>
        <v/>
      </c>
      <c r="AH133" t="n">
        <v>0.06367565699250349</v>
      </c>
      <c r="AI133">
        <f>IF($Y133="worse","Yes",IF($Y133="worse, not significant","Not sure",IF(OR($Y133="too few losses to test",$Y133="too few loans to test"),"Too few losses",IF($Y133="","","No"))))</f>
        <v/>
      </c>
      <c r="AJ133">
        <f>IF($AA133="yes","Yes",IF($AA133="","","No"))</f>
        <v/>
      </c>
    </row>
    <row r="134">
      <c r="A134" t="inlineStr">
        <is>
          <t>grids</t>
        </is>
      </c>
      <c r="B134" t="inlineStr">
        <is>
          <t>FICO x ASSET_CLASS</t>
        </is>
      </c>
      <c r="C134" t="inlineStr">
        <is>
          <t>496 - 653</t>
        </is>
      </c>
      <c r="D134" t="inlineStr">
        <is>
          <t>1</t>
        </is>
      </c>
      <c r="E134" t="inlineStr">
        <is>
          <t>outcome_loans</t>
        </is>
      </c>
      <c r="F134" t="inlineStr">
        <is>
          <t>Outcome, share of loans</t>
        </is>
      </c>
      <c r="G134" t="n">
        <v>420</v>
      </c>
      <c r="H134" t="n">
        <v>420</v>
      </c>
      <c r="I134" t="b">
        <v>0</v>
      </c>
      <c r="J134" t="b">
        <v>0</v>
      </c>
      <c r="K134" t="n">
        <v>1.830210981189629</v>
      </c>
      <c r="L134" t="n">
        <v>2.870054162929406e-05</v>
      </c>
      <c r="M134" t="n">
        <v>0.8702582728006456</v>
      </c>
      <c r="N134" t="n">
        <v>0.7150750826069978</v>
      </c>
      <c r="O134" t="n">
        <v>25.85604961076659</v>
      </c>
      <c r="P134" t="n">
        <v>-8.497797356828201</v>
      </c>
      <c r="Q134">
        <f>'_live'!$C$20</f>
        <v/>
      </c>
      <c r="R134" t="inlineStr">
        <is>
          <t>z test</t>
        </is>
      </c>
      <c r="S134" t="inlineStr">
        <is>
          <t>z test</t>
        </is>
      </c>
      <c r="T134" t="n">
        <v>0.07415226283150811</v>
      </c>
      <c r="U134" t="n">
        <v>0.1559471365638767</v>
      </c>
      <c r="V134">
        <f>AND(judged_band,NOT($J134))</f>
        <v/>
      </c>
      <c r="W134">
        <f>IF($K134="","",IF($I134,"too few losses to test",IF(AND($K134&gt;better_at,$K134&lt;worse_at),"in line",IF($K134&gt;=worse_at,IF(AND(ISNUMBER($L134),$L134&lt;significance_bar),"worse","worse, not significant"),IF(AND(ISNUMBER($L134),$L134&lt;significance_bar),"better","better, not significant")))))</f>
        <v/>
      </c>
      <c r="X134">
        <f>IF($M134="","",IF($I134,"too few losses to test",IF(AND($M134&gt;better_at,$M134&lt;worse_at),"in line",IF($M134&gt;=worse_at,IF(AND(ISNUMBER($N134),$N134&lt;significance_bar),"worse","worse, not significant"),IF(AND(ISNUMBER($N134),$N134&lt;significance_bar),"better","better, not significant")))))</f>
        <v/>
      </c>
      <c r="Y134">
        <f>IF($V134,$X134,$W134)</f>
        <v/>
      </c>
      <c r="Z134">
        <f>IF($V134,IF($P134="","",$P134),IF($O134="","",$O134))</f>
        <v/>
      </c>
      <c r="AA134">
        <f>IF(OR($Q134="",$Z134=""),"",IF(AND($Z134&gt;0,$Z134&gt;=$Q134),"yes","below the line"))</f>
        <v/>
      </c>
      <c r="AB134">
        <f>IF($V134,IF($M134="","",$M134),IF($K134="","",$K134))</f>
        <v/>
      </c>
      <c r="AC134">
        <f>IF($V134,IF($N134="","",$N134),IF($L134="","",$L134))</f>
        <v/>
      </c>
      <c r="AD134">
        <f>$Y134</f>
        <v/>
      </c>
      <c r="AE134">
        <f>IF($V134,IF($S134="","",$S134),IF($R134="","",$R134))</f>
        <v/>
      </c>
      <c r="AF134">
        <f>IF($V134,IF($U134="","",$U134),IF($T134="","",$T134))</f>
        <v/>
      </c>
      <c r="AG134">
        <f>IF($V134,IF($O134="","",$O134),IF($P134="","",$P134))</f>
        <v/>
      </c>
      <c r="AH134" t="n">
        <v>0.1357142857142857</v>
      </c>
      <c r="AI134">
        <f>IF($Y134="worse","Yes",IF($Y134="worse, not significant","Not sure",IF(OR($Y134="too few losses to test",$Y134="too few loans to test"),"Too few losses",IF($Y134="","","No"))))</f>
        <v/>
      </c>
      <c r="AJ134">
        <f>IF($AA134="yes","Yes",IF($AA134="","","No"))</f>
        <v/>
      </c>
    </row>
    <row r="135">
      <c r="A135" t="inlineStr">
        <is>
          <t>grids</t>
        </is>
      </c>
      <c r="B135" t="inlineStr">
        <is>
          <t>FICO x ASSET_CLASS</t>
        </is>
      </c>
      <c r="C135" t="inlineStr">
        <is>
          <t>496 - 653</t>
        </is>
      </c>
      <c r="D135" t="inlineStr">
        <is>
          <t>1</t>
        </is>
      </c>
      <c r="E135" t="inlineStr">
        <is>
          <t>outcome_booked</t>
        </is>
      </c>
      <c r="F135" t="inlineStr">
        <is>
          <t>Outcome, share of booked dollars</t>
        </is>
      </c>
      <c r="G135" t="n">
        <v>420</v>
      </c>
      <c r="H135" t="n">
        <v>13469152.5</v>
      </c>
      <c r="I135" t="b">
        <v>0</v>
      </c>
      <c r="J135" t="b">
        <v>0</v>
      </c>
      <c r="K135" t="n">
        <v>1.7746686777699</v>
      </c>
      <c r="L135" t="n">
        <v>0.00333300003333</v>
      </c>
      <c r="M135" t="n">
        <v>0.8132096170035026</v>
      </c>
      <c r="N135" t="n">
        <v>0.500495405004954</v>
      </c>
      <c r="O135" t="n">
        <v>750428.7689112213</v>
      </c>
      <c r="P135" t="n">
        <v>-394877.8464256458</v>
      </c>
      <c r="Q135">
        <f>'_live'!$C$21</f>
        <v/>
      </c>
      <c r="R135" t="inlineStr">
        <is>
          <t>shuffled: 4 of 10,000</t>
        </is>
      </c>
      <c r="S135" t="inlineStr">
        <is>
          <t>shuffled: 1,926 of 10,000</t>
        </is>
      </c>
      <c r="T135" t="n">
        <v>0.07192058454225528</v>
      </c>
      <c r="U135" t="n">
        <v>0.1569524093238714</v>
      </c>
      <c r="V135">
        <f>AND(judged_band,NOT($J135))</f>
        <v/>
      </c>
      <c r="W135">
        <f>IF($K135="","",IF($I135,"too few losses to test",IF(AND($K135&gt;better_at,$K135&lt;worse_at),"in line",IF($K135&gt;=worse_at,IF(AND(ISNUMBER($L135),$L135&lt;significance_bar),"worse","worse, not significant"),IF(AND(ISNUMBER($L135),$L135&lt;significance_bar),"better","better, not significant")))))</f>
        <v/>
      </c>
      <c r="X135">
        <f>IF($M135="","",IF($I135,"too few losses to test",IF(AND($M135&gt;better_at,$M135&lt;worse_at),"in line",IF($M135&gt;=worse_at,IF(AND(ISNUMBER($N135),$N135&lt;significance_bar),"worse","worse, not significant"),IF(AND(ISNUMBER($N135),$N135&lt;significance_bar),"better","better, not significant")))))</f>
        <v/>
      </c>
      <c r="Y135">
        <f>IF($V135,$X135,$W135)</f>
        <v/>
      </c>
      <c r="Z135">
        <f>IF($V135,IF($P135="","",$P135),IF($O135="","",$O135))</f>
        <v/>
      </c>
      <c r="AA135">
        <f>IF(OR($Q135="",$Z135=""),"",IF(AND($Z135&gt;0,$Z135&gt;=$Q135),"yes","below the line"))</f>
        <v/>
      </c>
      <c r="AB135">
        <f>IF($V135,IF($M135="","",$M135),IF($K135="","",$K135))</f>
        <v/>
      </c>
      <c r="AC135">
        <f>IF($V135,IF($N135="","",$N135),IF($L135="","",$L135))</f>
        <v/>
      </c>
      <c r="AD135">
        <f>$Y135</f>
        <v/>
      </c>
      <c r="AE135">
        <f>IF($V135,IF($S135="","",$S135),IF($R135="","",$R135))</f>
        <v/>
      </c>
      <c r="AF135">
        <f>IF($V135,IF($U135="","",$U135),IF($T135="","",$T135))</f>
        <v/>
      </c>
      <c r="AG135">
        <f>IF($V135,IF($O135="","",$O135),IF($P135="","",$P135))</f>
        <v/>
      </c>
      <c r="AH135" t="n">
        <v>0.1276352086740425</v>
      </c>
      <c r="AI135">
        <f>IF($Y135="worse","Yes",IF($Y135="worse, not significant","Not sure",IF(OR($Y135="too few losses to test",$Y135="too few loans to test"),"Too few losses",IF($Y135="","","No"))))</f>
        <v/>
      </c>
      <c r="AJ135">
        <f>IF($AA135="yes","Yes",IF($AA135="","","No"))</f>
        <v/>
      </c>
    </row>
    <row r="136">
      <c r="A136" t="inlineStr">
        <is>
          <t>grids</t>
        </is>
      </c>
      <c r="B136" t="inlineStr">
        <is>
          <t>FICO x ASSET_CLASS</t>
        </is>
      </c>
      <c r="C136" t="inlineStr">
        <is>
          <t>496 - 653</t>
        </is>
      </c>
      <c r="D136" t="inlineStr">
        <is>
          <t>1</t>
        </is>
      </c>
      <c r="E136" t="inlineStr">
        <is>
          <t>gco_rate</t>
        </is>
      </c>
      <c r="F136" t="inlineStr">
        <is>
          <t>GCO per booked dollar</t>
        </is>
      </c>
      <c r="G136" t="n">
        <v>420</v>
      </c>
      <c r="H136" t="n">
        <v>13469152.5</v>
      </c>
      <c r="I136" t="b">
        <v>0</v>
      </c>
      <c r="J136" t="b">
        <v>0</v>
      </c>
      <c r="K136" t="n">
        <v>1.845922624296106</v>
      </c>
      <c r="L136" t="n">
        <v>0.003999600039996</v>
      </c>
      <c r="M136" t="n">
        <v>0.8451400690093763</v>
      </c>
      <c r="N136" t="n">
        <v>0.5519448055194481</v>
      </c>
      <c r="O136" t="n">
        <v>453997.2952207187</v>
      </c>
      <c r="P136" t="n">
        <v>-181529.1970404262</v>
      </c>
      <c r="Q136">
        <f>'_live'!$C$22</f>
        <v/>
      </c>
      <c r="R136" t="inlineStr">
        <is>
          <t>shuffled: 5 of 10,000</t>
        </is>
      </c>
      <c r="S136" t="inlineStr">
        <is>
          <t>shuffled: 3,035 of 10,000</t>
        </is>
      </c>
      <c r="T136" t="n">
        <v>0.03984578204005645</v>
      </c>
      <c r="U136" t="n">
        <v>0.08702963360467013</v>
      </c>
      <c r="V136">
        <f>AND(judged_band,NOT($J136))</f>
        <v/>
      </c>
      <c r="W136">
        <f>IF($K136="","",IF($I136,"too few losses to test",IF(AND($K136&gt;better_at,$K136&lt;worse_at),"in line",IF($K136&gt;=worse_at,IF(AND(ISNUMBER($L136),$L136&lt;significance_bar),"worse","worse, not significant"),IF(AND(ISNUMBER($L136),$L136&lt;significance_bar),"better","better, not significant")))))</f>
        <v/>
      </c>
      <c r="X136">
        <f>IF($M136="","",IF($I136,"too few losses to test",IF(AND($M136&gt;better_at,$M136&lt;worse_at),"in line",IF($M136&gt;=worse_at,IF(AND(ISNUMBER($N136),$N136&lt;significance_bar),"worse","worse, not significant"),IF(AND(ISNUMBER($N136),$N136&lt;significance_bar),"better","better, not significant")))))</f>
        <v/>
      </c>
      <c r="Y136">
        <f>IF($V136,$X136,$W136)</f>
        <v/>
      </c>
      <c r="Z136">
        <f>IF($V136,IF($P136="","",$P136),IF($O136="","",$O136))</f>
        <v/>
      </c>
      <c r="AA136">
        <f>IF(OR($Q136="",$Z136=""),"",IF(AND($Z136&gt;0,$Z136&gt;=$Q136),"yes","below the line"))</f>
        <v/>
      </c>
      <c r="AB136">
        <f>IF($V136,IF($M136="","",$M136),IF($K136="","",$K136))</f>
        <v/>
      </c>
      <c r="AC136">
        <f>IF($V136,IF($N136="","",$N136),IF($L136="","",$L136))</f>
        <v/>
      </c>
      <c r="AD136">
        <f>$Y136</f>
        <v/>
      </c>
      <c r="AE136">
        <f>IF($V136,IF($S136="","",$S136),IF($R136="","",$R136))</f>
        <v/>
      </c>
      <c r="AF136">
        <f>IF($V136,IF($U136="","",$U136),IF($T136="","",$T136))</f>
        <v/>
      </c>
      <c r="AG136">
        <f>IF($V136,IF($O136="","",$O136),IF($P136="","",$P136))</f>
        <v/>
      </c>
      <c r="AH136" t="n">
        <v>0.07355223055051165</v>
      </c>
      <c r="AI136">
        <f>IF($Y136="worse","Yes",IF($Y136="worse, not significant","Not sure",IF(OR($Y136="too few losses to test",$Y136="too few loans to test"),"Too few losses",IF($Y136="","","No"))))</f>
        <v/>
      </c>
      <c r="AJ136">
        <f>IF($AA136="yes","Yes",IF($AA136="","","No"))</f>
        <v/>
      </c>
    </row>
    <row r="137">
      <c r="A137" t="inlineStr">
        <is>
          <t>grids</t>
        </is>
      </c>
      <c r="B137" t="inlineStr">
        <is>
          <t>FICO x ASSET_CLASS</t>
        </is>
      </c>
      <c r="C137" t="inlineStr">
        <is>
          <t>496 - 653</t>
        </is>
      </c>
      <c r="D137" t="inlineStr">
        <is>
          <t>1</t>
        </is>
      </c>
      <c r="E137" t="inlineStr">
        <is>
          <t>ranr_rate</t>
        </is>
      </c>
      <c r="F137" t="inlineStr">
        <is>
          <t>Profit after losses: RANR per booked dollar</t>
        </is>
      </c>
      <c r="G137" t="n">
        <v>420</v>
      </c>
      <c r="H137" t="n">
        <v>13469152.5</v>
      </c>
      <c r="I137" t="b">
        <v>0</v>
      </c>
      <c r="J137" t="b">
        <v>0</v>
      </c>
      <c r="K137" t="n">
        <v>0.08414597215197447</v>
      </c>
      <c r="L137" t="n">
        <v>0.00024997500249975</v>
      </c>
      <c r="M137" t="n">
        <v>0.02392162031155928</v>
      </c>
      <c r="N137" t="n">
        <v>0.4600682788863971</v>
      </c>
      <c r="O137" t="n">
        <v>-1133374.931175697</v>
      </c>
      <c r="P137" t="n">
        <v>-322203.9520234894</v>
      </c>
      <c r="Q137">
        <f>'_live'!$C$23</f>
        <v/>
      </c>
      <c r="R137" t="inlineStr">
        <is>
          <t>shuffled: 0 of 10,000</t>
        </is>
      </c>
      <c r="S137" t="inlineStr">
        <is>
          <t>shuffled: 1,286 of 10,000</t>
        </is>
      </c>
      <c r="T137" t="n">
        <v>0.1235982886691869</v>
      </c>
      <c r="U137" t="n">
        <v>0.1838226405096021</v>
      </c>
      <c r="V137">
        <f>AND(judged_band,NOT($J137))</f>
        <v/>
      </c>
      <c r="W137">
        <f>IF($K137="","",IF(profit_kind="test",IF(OR(NOT(AND(ISNUMBER($L137),$L137&lt;significance_bar)),$K137=0),"in line",IF($K137&lt;0,"worse","better")),IF(OR($K137=0,IF(profit_kind="points",ABS($K137),ABS($K137*$H137))&lt;profit_line*(1-1E-9)),"in line",IF(AND(ISNUMBER($L137),$L137&lt;significance_bar),IF($K137&lt;0,"worse","better"),IF($K137&lt;0,"worse, not significant","better, not significant")))))</f>
        <v/>
      </c>
      <c r="X137">
        <f>IF($M137="","",IF(profit_kind="test",IF(OR(NOT(AND(ISNUMBER($N137),$N137&lt;significance_bar)),$M137=0),"in line",IF($M137&lt;0,"worse","better")),IF(OR($M137=0,IF(profit_kind="points",ABS($M137),ABS($M137*$H137))&lt;profit_line*(1-1E-9)),"in line",IF(AND(ISNUMBER($N137),$N137&lt;significance_bar),IF($M137&lt;0,"worse","better"),IF($M137&lt;0,"worse, not significant","better, not significant")))))</f>
        <v/>
      </c>
      <c r="Y137">
        <f>IF($V137,$X137,$W137)</f>
        <v/>
      </c>
      <c r="Z137">
        <f>IF($V137,IF($P137="","",$P137),IF($O137="","",$O137))</f>
        <v/>
      </c>
      <c r="AA137">
        <f>IF(OR($Q137="",$Z137=""),"",IF(AND($Z137&gt;0,$Z137&gt;=$Q137),"yes","below the line"))</f>
        <v/>
      </c>
      <c r="AB137">
        <f>IF($V137,IF($M137="","",$M137),IF($K137="","",$K137))</f>
        <v/>
      </c>
      <c r="AC137">
        <f>IF($V137,IF($N137="","",$N137),IF($L137="","",$L137))</f>
        <v/>
      </c>
      <c r="AD137">
        <f>IF($Y137="","",IF($Y137="in line",IF(profit_kind="test",IF(ROUND($AB137*100,2)=0,"0.00",TEXT($AB137*100,"+0.00;-0.00"))&amp;" points against "&amp;IF($V137,"its band","the book")&amp;", "&amp;IF($AC137="","not tested","not significant"),IF(profit_kind="points","within "&amp;TEXT(profit_line*100,"0.00")&amp;" points of "&amp;IF($V137,"its band","the book")&amp;" ("&amp;IF(ROUND($AB137*100,2)=0,"0.00",TEXT($AB137*100,"+0.00;-0.00"))&amp;")","within $"&amp;TEXT(profit_line,"#,##0")&amp;" of "&amp;IF($V137,"its band","the book")&amp;" ("&amp;IF(ROUND($AB137*100,2)=0,"0.00",TEXT($AB137*100,"+0.00;-0.00"))&amp;" points)")),IF(LEFT($Y137,5)="worse","short of ","ahead of ")&amp;IF($V137,"its band","the book")&amp;" by "&amp;TEXT(ABS($AB137)*100,"0.00")&amp;" points"&amp;IF($Z137="",""," ($"&amp;TEXT(ABS($Z137),"#,##0")&amp;")")&amp;IF(RIGHT($Y137,15)="not significant"," (not significant)","")))</f>
        <v/>
      </c>
      <c r="AE137">
        <f>IF($V137,IF($S137="","",$S137),IF($R137="","",$R137))</f>
        <v/>
      </c>
      <c r="AF137">
        <f>IF($V137,IF($U137="","",$U137),IF($T137="","",$T137))</f>
        <v/>
      </c>
      <c r="AG137">
        <f>IF($V137,IF($O137="","",$O137),IF($P137="","",$P137))</f>
        <v/>
      </c>
      <c r="AH137" t="n">
        <v>0.2077442608211614</v>
      </c>
      <c r="AI137">
        <f>IF($Y137="worse","Yes",IF($Y137="worse, not significant","Not sure",IF(OR($Y137="too few losses to test",$Y137="too few loans to test"),"Too few losses",IF($Y137="","","No"))))</f>
        <v/>
      </c>
      <c r="AJ137">
        <f>IF($AA137="yes","Yes",IF($AA137="","","No"))</f>
        <v/>
      </c>
    </row>
    <row r="138">
      <c r="A138" t="inlineStr">
        <is>
          <t>grids</t>
        </is>
      </c>
      <c r="B138" t="inlineStr">
        <is>
          <t>FICO x ASSET_CLASS</t>
        </is>
      </c>
      <c r="C138" t="inlineStr">
        <is>
          <t>496 - 653</t>
        </is>
      </c>
      <c r="D138" t="inlineStr">
        <is>
          <t>1</t>
        </is>
      </c>
      <c r="E138" t="inlineStr">
        <is>
          <t>contribution_rate</t>
        </is>
      </c>
      <c r="F138" t="inlineStr">
        <is>
          <t>Contribution before losses per booked dollar</t>
        </is>
      </c>
      <c r="G138" t="n">
        <v>420</v>
      </c>
      <c r="H138" t="n">
        <v>13469152.5</v>
      </c>
      <c r="I138" t="b">
        <v>0</v>
      </c>
      <c r="J138" t="b">
        <v>0</v>
      </c>
      <c r="K138" t="n">
        <v>0.1178561500287326</v>
      </c>
      <c r="L138" t="n">
        <v>0.0001562343765623438</v>
      </c>
      <c r="M138" t="n">
        <v>0.01044421725740091</v>
      </c>
      <c r="N138" t="n">
        <v>0.7856214378562143</v>
      </c>
      <c r="O138" t="n">
        <v>-1587422.457799878</v>
      </c>
      <c r="P138" t="n">
        <v>-140674.7549830652</v>
      </c>
      <c r="Q138">
        <f>'_live'!$C$24</f>
        <v/>
      </c>
      <c r="R138" t="inlineStr">
        <is>
          <t>shuffled: 0 of 10,000</t>
        </is>
      </c>
      <c r="S138" t="inlineStr">
        <is>
          <t>shuffled: 2,618 of 10,000</t>
        </is>
      </c>
      <c r="T138" t="n">
        <v>0.1634403413429405</v>
      </c>
      <c r="U138" t="n">
        <v>0.2708522741142722</v>
      </c>
      <c r="V138">
        <f>AND(judged_band,NOT($J138))</f>
        <v/>
      </c>
      <c r="W138">
        <f>IF($K138="","",IF(profit_kind="test",IF(OR(NOT(AND(ISNUMBER($L138),$L138&lt;significance_bar)),$K138=0),"in line",IF($K138&lt;0,"worse","better")),IF(OR($K138=0,IF(profit_kind="points",ABS($K138),ABS($K138*$H138))&lt;profit_line*(1-1E-9)),"in line",IF(AND(ISNUMBER($L138),$L138&lt;significance_bar),IF($K138&lt;0,"worse","better"),IF($K138&lt;0,"worse, not significant","better, not significant")))))</f>
        <v/>
      </c>
      <c r="X138">
        <f>IF($M138="","",IF(profit_kind="test",IF(OR(NOT(AND(ISNUMBER($N138),$N138&lt;significance_bar)),$M138=0),"in line",IF($M138&lt;0,"worse","better")),IF(OR($M138=0,IF(profit_kind="points",ABS($M138),ABS($M138*$H138))&lt;profit_line*(1-1E-9)),"in line",IF(AND(ISNUMBER($N138),$N138&lt;significance_bar),IF($M138&lt;0,"worse","better"),IF($M138&lt;0,"worse, not significant","better, not significant")))))</f>
        <v/>
      </c>
      <c r="Y138">
        <f>IF($V138,$X138,$W138)</f>
        <v/>
      </c>
      <c r="Z138">
        <f>IF($V138,IF($P138="","",$P138),IF($O138="","",$O138))</f>
        <v/>
      </c>
      <c r="AA138">
        <f>IF(OR($Q138="",$Z138=""),"",IF(AND($Z138&gt;0,$Z138&gt;=$Q138),"yes","below the line"))</f>
        <v/>
      </c>
      <c r="AB138">
        <f>IF($V138,IF($M138="","",$M138),IF($K138="","",$K138))</f>
        <v/>
      </c>
      <c r="AC138">
        <f>IF($V138,IF($N138="","",$N138),IF($L138="","",$L138))</f>
        <v/>
      </c>
      <c r="AD138">
        <f>IF($Y138="","",IF($Y138="in line",IF(profit_kind="test",IF(ROUND($AB138*100,2)=0,"0.00",TEXT($AB138*100,"+0.00;-0.00"))&amp;" points against "&amp;IF($V138,"its band","the book")&amp;", "&amp;IF($AC138="","not tested","not significant"),IF(profit_kind="points","within "&amp;TEXT(profit_line*100,"0.00")&amp;" points of "&amp;IF($V138,"its band","the book")&amp;" ("&amp;IF(ROUND($AB138*100,2)=0,"0.00",TEXT($AB138*100,"+0.00;-0.00"))&amp;")","within $"&amp;TEXT(profit_line,"#,##0")&amp;" of "&amp;IF($V138,"its band","the book")&amp;" ("&amp;IF(ROUND($AB138*100,2)=0,"0.00",TEXT($AB138*100,"+0.00;-0.00"))&amp;" points)")),IF(LEFT($Y138,5)="worse","short of ","ahead of ")&amp;IF($V138,"its band","the book")&amp;" by "&amp;TEXT(ABS($AB138)*100,"0.00")&amp;" points"&amp;IF($Z138="",""," ($"&amp;TEXT(ABS($Z138),"#,##0")&amp;")")&amp;IF(RIGHT($Y138,15)="not significant"," (not significant)","")))</f>
        <v/>
      </c>
      <c r="AE138">
        <f>IF($V138,IF($S138="","",$S138),IF($R138="","",$R138))</f>
        <v/>
      </c>
      <c r="AF138">
        <f>IF($V138,IF($U138="","",$U138),IF($T138="","",$T138))</f>
        <v/>
      </c>
      <c r="AG138">
        <f>IF($V138,IF($O138="","",$O138),IF($P138="","",$P138))</f>
        <v/>
      </c>
      <c r="AH138" t="n">
        <v>0.2812964913716731</v>
      </c>
      <c r="AI138">
        <f>IF($Y138="worse","Yes",IF($Y138="worse, not significant","Not sure",IF(OR($Y138="too few losses to test",$Y138="too few loans to test"),"Too few losses",IF($Y138="","","No"))))</f>
        <v/>
      </c>
      <c r="AJ138">
        <f>IF($AA138="yes","Yes",IF($AA138="","","No"))</f>
        <v/>
      </c>
    </row>
    <row r="139">
      <c r="A139" t="inlineStr">
        <is>
          <t>grids</t>
        </is>
      </c>
      <c r="B139" t="inlineStr">
        <is>
          <t>FICO x ASSET_CLASS</t>
        </is>
      </c>
      <c r="C139" t="inlineStr">
        <is>
          <t>686 - 711</t>
        </is>
      </c>
      <c r="D139" t="inlineStr">
        <is>
          <t>1</t>
        </is>
      </c>
      <c r="E139" t="inlineStr">
        <is>
          <t>outcome_loans</t>
        </is>
      </c>
      <c r="F139" t="inlineStr">
        <is>
          <t>Outcome, share of loans</t>
        </is>
      </c>
      <c r="G139" t="n">
        <v>372</v>
      </c>
      <c r="H139" t="n">
        <v>372</v>
      </c>
      <c r="I139" t="b">
        <v>0</v>
      </c>
      <c r="J139" t="b">
        <v>0</v>
      </c>
      <c r="K139" t="n">
        <v>0.6845638788662107</v>
      </c>
      <c r="L139" t="n">
        <v>0.115411339383416</v>
      </c>
      <c r="M139" t="n">
        <v>0.8418222976796832</v>
      </c>
      <c r="N139" t="n">
        <v>0.7367430686845797</v>
      </c>
      <c r="O139" t="n">
        <v>-9.215681132817622</v>
      </c>
      <c r="P139" t="n">
        <v>-3.757983193277308</v>
      </c>
      <c r="Q139">
        <f>'_live'!$C$20</f>
        <v/>
      </c>
      <c r="R139" t="inlineStr">
        <is>
          <t>z test</t>
        </is>
      </c>
      <c r="S139" t="inlineStr">
        <is>
          <t>z test</t>
        </is>
      </c>
      <c r="T139" t="n">
        <v>0.07853677723875704</v>
      </c>
      <c r="U139" t="n">
        <v>0.06386554621848739</v>
      </c>
      <c r="V139">
        <f>AND(judged_band,NOT($J139))</f>
        <v/>
      </c>
      <c r="W139">
        <f>IF($K139="","",IF($I139,"too few losses to test",IF(AND($K139&gt;better_at,$K139&lt;worse_at),"in line",IF($K139&gt;=worse_at,IF(AND(ISNUMBER($L139),$L139&lt;significance_bar),"worse","worse, not significant"),IF(AND(ISNUMBER($L139),$L139&lt;significance_bar),"better","better, not significant")))))</f>
        <v/>
      </c>
      <c r="X139">
        <f>IF($M139="","",IF($I139,"too few losses to test",IF(AND($M139&gt;better_at,$M139&lt;worse_at),"in line",IF($M139&gt;=worse_at,IF(AND(ISNUMBER($N139),$N139&lt;significance_bar),"worse","worse, not significant"),IF(AND(ISNUMBER($N139),$N139&lt;significance_bar),"better","better, not significant")))))</f>
        <v/>
      </c>
      <c r="Y139">
        <f>IF($V139,$X139,$W139)</f>
        <v/>
      </c>
      <c r="Z139">
        <f>IF($V139,IF($P139="","",$P139),IF($O139="","",$O139))</f>
        <v/>
      </c>
      <c r="AA139">
        <f>IF(OR($Q139="",$Z139=""),"",IF(AND($Z139&gt;0,$Z139&gt;=$Q139),"yes","below the line"))</f>
        <v/>
      </c>
      <c r="AB139">
        <f>IF($V139,IF($M139="","",$M139),IF($K139="","",$K139))</f>
        <v/>
      </c>
      <c r="AC139">
        <f>IF($V139,IF($N139="","",$N139),IF($L139="","",$L139))</f>
        <v/>
      </c>
      <c r="AD139">
        <f>$Y139</f>
        <v/>
      </c>
      <c r="AE139">
        <f>IF($V139,IF($S139="","",$S139),IF($R139="","",$R139))</f>
        <v/>
      </c>
      <c r="AF139">
        <f>IF($V139,IF($U139="","",$U139),IF($T139="","",$T139))</f>
        <v/>
      </c>
      <c r="AG139">
        <f>IF($V139,IF($O139="","",$O139),IF($P139="","",$P139))</f>
        <v/>
      </c>
      <c r="AH139" t="n">
        <v>0.05376344086021505</v>
      </c>
      <c r="AI139">
        <f>IF($Y139="worse","Yes",IF($Y139="worse, not significant","Not sure",IF(OR($Y139="too few losses to test",$Y139="too few loans to test"),"Too few losses",IF($Y139="","","No"))))</f>
        <v/>
      </c>
      <c r="AJ139">
        <f>IF($AA139="yes","Yes",IF($AA139="","","No"))</f>
        <v/>
      </c>
    </row>
    <row r="140">
      <c r="A140" t="inlineStr">
        <is>
          <t>grids</t>
        </is>
      </c>
      <c r="B140" t="inlineStr">
        <is>
          <t>FICO x ASSET_CLASS</t>
        </is>
      </c>
      <c r="C140" t="inlineStr">
        <is>
          <t>686 - 711</t>
        </is>
      </c>
      <c r="D140" t="inlineStr">
        <is>
          <t>1</t>
        </is>
      </c>
      <c r="E140" t="inlineStr">
        <is>
          <t>outcome_booked</t>
        </is>
      </c>
      <c r="F140" t="inlineStr">
        <is>
          <t>Outcome, share of booked dollars</t>
        </is>
      </c>
      <c r="G140" t="n">
        <v>372</v>
      </c>
      <c r="H140" t="n">
        <v>11800012.44000001</v>
      </c>
      <c r="I140" t="b">
        <v>0</v>
      </c>
      <c r="J140" t="b">
        <v>0</v>
      </c>
      <c r="K140" t="n">
        <v>0.8006861808732353</v>
      </c>
      <c r="L140" t="n">
        <v>0.4252074792520748</v>
      </c>
      <c r="M140" t="n">
        <v>1.084039607321751</v>
      </c>
      <c r="N140" t="n">
        <v>0.7885211478852114</v>
      </c>
      <c r="O140" t="n">
        <v>-177609.3045080219</v>
      </c>
      <c r="P140" t="n">
        <v>55313.29117648012</v>
      </c>
      <c r="Q140">
        <f>'_live'!$C$21</f>
        <v/>
      </c>
      <c r="R140" t="inlineStr">
        <is>
          <t>shuffled: 3,313 of 10,000</t>
        </is>
      </c>
      <c r="S140" t="inlineStr">
        <is>
          <t>shuffled: 7,541 of 10,000</t>
        </is>
      </c>
      <c r="T140" t="n">
        <v>0.07551719280289344</v>
      </c>
      <c r="U140" t="n">
        <v>0.05577801058856505</v>
      </c>
      <c r="V140">
        <f>AND(judged_band,NOT($J140))</f>
        <v/>
      </c>
      <c r="W140">
        <f>IF($K140="","",IF($I140,"too few losses to test",IF(AND($K140&gt;better_at,$K140&lt;worse_at),"in line",IF($K140&gt;=worse_at,IF(AND(ISNUMBER($L140),$L140&lt;significance_bar),"worse","worse, not significant"),IF(AND(ISNUMBER($L140),$L140&lt;significance_bar),"better","better, not significant")))))</f>
        <v/>
      </c>
      <c r="X140">
        <f>IF($M140="","",IF($I140,"too few losses to test",IF(AND($M140&gt;better_at,$M140&lt;worse_at),"in line",IF($M140&gt;=worse_at,IF(AND(ISNUMBER($N140),$N140&lt;significance_bar),"worse","worse, not significant"),IF(AND(ISNUMBER($N140),$N140&lt;significance_bar),"better","better, not significant")))))</f>
        <v/>
      </c>
      <c r="Y140">
        <f>IF($V140,$X140,$W140)</f>
        <v/>
      </c>
      <c r="Z140">
        <f>IF($V140,IF($P140="","",$P140),IF($O140="","",$O140))</f>
        <v/>
      </c>
      <c r="AA140">
        <f>IF(OR($Q140="",$Z140=""),"",IF(AND($Z140&gt;0,$Z140&gt;=$Q140),"yes","below the line"))</f>
        <v/>
      </c>
      <c r="AB140">
        <f>IF($V140,IF($M140="","",$M140),IF($K140="","",$K140))</f>
        <v/>
      </c>
      <c r="AC140">
        <f>IF($V140,IF($N140="","",$N140),IF($L140="","",$L140))</f>
        <v/>
      </c>
      <c r="AD140">
        <f>$Y140</f>
        <v/>
      </c>
      <c r="AE140">
        <f>IF($V140,IF($S140="","",$S140),IF($R140="","",$R140))</f>
        <v/>
      </c>
      <c r="AF140">
        <f>IF($V140,IF($U140="","",$U140),IF($T140="","",$T140))</f>
        <v/>
      </c>
      <c r="AG140">
        <f>IF($V140,IF($O140="","",$O140),IF($P140="","",$P140))</f>
        <v/>
      </c>
      <c r="AH140" t="n">
        <v>0.06046557269561652</v>
      </c>
      <c r="AI140">
        <f>IF($Y140="worse","Yes",IF($Y140="worse, not significant","Not sure",IF(OR($Y140="too few losses to test",$Y140="too few loans to test"),"Too few losses",IF($Y140="","","No"))))</f>
        <v/>
      </c>
      <c r="AJ140">
        <f>IF($AA140="yes","Yes",IF($AA140="","","No"))</f>
        <v/>
      </c>
    </row>
    <row r="141">
      <c r="A141" t="inlineStr">
        <is>
          <t>grids</t>
        </is>
      </c>
      <c r="B141" t="inlineStr">
        <is>
          <t>FICO x ASSET_CLASS</t>
        </is>
      </c>
      <c r="C141" t="inlineStr">
        <is>
          <t>686 - 711</t>
        </is>
      </c>
      <c r="D141" t="inlineStr">
        <is>
          <t>1</t>
        </is>
      </c>
      <c r="E141" t="inlineStr">
        <is>
          <t>gco_rate</t>
        </is>
      </c>
      <c r="F141" t="inlineStr">
        <is>
          <t>GCO per booked dollar</t>
        </is>
      </c>
      <c r="G141" t="n">
        <v>372</v>
      </c>
      <c r="H141" t="n">
        <v>11800012.44000001</v>
      </c>
      <c r="I141" t="b">
        <v>0</v>
      </c>
      <c r="J141" t="b">
        <v>0</v>
      </c>
      <c r="K141" t="n">
        <v>0.8345231535447545</v>
      </c>
      <c r="L141" t="n">
        <v>0.478729904787299</v>
      </c>
      <c r="M141" t="n">
        <v>1.148158152115248</v>
      </c>
      <c r="N141" t="n">
        <v>0.7759224077592241</v>
      </c>
      <c r="O141" t="n">
        <v>-81859.10886329331</v>
      </c>
      <c r="P141" t="n">
        <v>53271.14189074957</v>
      </c>
      <c r="Q141">
        <f>'_live'!$C$22</f>
        <v/>
      </c>
      <c r="R141" t="inlineStr">
        <is>
          <t>shuffled: 4,308 of 10,000</t>
        </is>
      </c>
      <c r="S141" t="inlineStr">
        <is>
          <t>shuffled: 6,027 of 10,000</t>
        </is>
      </c>
      <c r="T141" t="n">
        <v>0.04192251333451077</v>
      </c>
      <c r="U141" t="n">
        <v>0.03047080924172739</v>
      </c>
      <c r="V141">
        <f>AND(judged_band,NOT($J141))</f>
        <v/>
      </c>
      <c r="W141">
        <f>IF($K141="","",IF($I141,"too few losses to test",IF(AND($K141&gt;better_at,$K141&lt;worse_at),"in line",IF($K141&gt;=worse_at,IF(AND(ISNUMBER($L141),$L141&lt;significance_bar),"worse","worse, not significant"),IF(AND(ISNUMBER($L141),$L141&lt;significance_bar),"better","better, not significant")))))</f>
        <v/>
      </c>
      <c r="X141">
        <f>IF($M141="","",IF($I141,"too few losses to test",IF(AND($M141&gt;better_at,$M141&lt;worse_at),"in line",IF($M141&gt;=worse_at,IF(AND(ISNUMBER($N141),$N141&lt;significance_bar),"worse","worse, not significant"),IF(AND(ISNUMBER($N141),$N141&lt;significance_bar),"better","better, not significant")))))</f>
        <v/>
      </c>
      <c r="Y141">
        <f>IF($V141,$X141,$W141)</f>
        <v/>
      </c>
      <c r="Z141">
        <f>IF($V141,IF($P141="","",$P141),IF($O141="","",$O141))</f>
        <v/>
      </c>
      <c r="AA141">
        <f>IF(OR($Q141="",$Z141=""),"",IF(AND($Z141&gt;0,$Z141&gt;=$Q141),"yes","below the line"))</f>
        <v/>
      </c>
      <c r="AB141">
        <f>IF($V141,IF($M141="","",$M141),IF($K141="","",$K141))</f>
        <v/>
      </c>
      <c r="AC141">
        <f>IF($V141,IF($N141="","",$N141),IF($L141="","",$L141))</f>
        <v/>
      </c>
      <c r="AD141">
        <f>$Y141</f>
        <v/>
      </c>
      <c r="AE141">
        <f>IF($V141,IF($S141="","",$S141),IF($R141="","",$R141))</f>
        <v/>
      </c>
      <c r="AF141">
        <f>IF($V141,IF($U141="","",$U141),IF($T141="","",$T141))</f>
        <v/>
      </c>
      <c r="AG141">
        <f>IF($V141,IF($O141="","",$O141),IF($P141="","",$P141))</f>
        <v/>
      </c>
      <c r="AH141" t="n">
        <v>0.03498530803243795</v>
      </c>
      <c r="AI141">
        <f>IF($Y141="worse","Yes",IF($Y141="worse, not significant","Not sure",IF(OR($Y141="too few losses to test",$Y141="too few loans to test"),"Too few losses",IF($Y141="","","No"))))</f>
        <v/>
      </c>
      <c r="AJ141">
        <f>IF($AA141="yes","Yes",IF($AA141="","","No"))</f>
        <v/>
      </c>
    </row>
    <row r="142">
      <c r="A142" t="inlineStr">
        <is>
          <t>grids</t>
        </is>
      </c>
      <c r="B142" t="inlineStr">
        <is>
          <t>FICO x ASSET_CLASS</t>
        </is>
      </c>
      <c r="C142" t="inlineStr">
        <is>
          <t>686 - 711</t>
        </is>
      </c>
      <c r="D142" t="inlineStr">
        <is>
          <t>1</t>
        </is>
      </c>
      <c r="E142" t="inlineStr">
        <is>
          <t>ranr_rate</t>
        </is>
      </c>
      <c r="F142" t="inlineStr">
        <is>
          <t>Profit after losses: RANR per booked dollar</t>
        </is>
      </c>
      <c r="G142" t="n">
        <v>372</v>
      </c>
      <c r="H142" t="n">
        <v>11800012.44000001</v>
      </c>
      <c r="I142" t="b">
        <v>0</v>
      </c>
      <c r="J142" t="b">
        <v>0</v>
      </c>
      <c r="K142" t="n">
        <v>0.01203494951113621</v>
      </c>
      <c r="L142" t="n">
        <v>0.3086596102294532</v>
      </c>
      <c r="M142" t="n">
        <v>-0.003178874124782405</v>
      </c>
      <c r="N142" t="n">
        <v>0.9525847415258474</v>
      </c>
      <c r="O142" t="n">
        <v>-142012.5539461793</v>
      </c>
      <c r="P142" t="n">
        <v>37510.75421762653</v>
      </c>
      <c r="Q142">
        <f>'_live'!$C$23</f>
        <v/>
      </c>
      <c r="R142" t="inlineStr">
        <is>
          <t>shuffled: 2,592 of 10,000</t>
        </is>
      </c>
      <c r="S142" t="inlineStr">
        <is>
          <t>shuffled: 7,654 of 10,000</t>
        </is>
      </c>
      <c r="T142" t="n">
        <v>0.1274397593816284</v>
      </c>
      <c r="U142" t="n">
        <v>0.142653583017547</v>
      </c>
      <c r="V142">
        <f>AND(judged_band,NOT($J142))</f>
        <v/>
      </c>
      <c r="W142">
        <f>IF($K142="","",IF(profit_kind="test",IF(OR(NOT(AND(ISNUMBER($L142),$L142&lt;significance_bar)),$K142=0),"in line",IF($K142&lt;0,"worse","better")),IF(OR($K142=0,IF(profit_kind="points",ABS($K142),ABS($K142*$H142))&lt;profit_line*(1-1E-9)),"in line",IF(AND(ISNUMBER($L142),$L142&lt;significance_bar),IF($K142&lt;0,"worse","better"),IF($K142&lt;0,"worse, not significant","better, not significant")))))</f>
        <v/>
      </c>
      <c r="X142">
        <f>IF($M142="","",IF(profit_kind="test",IF(OR(NOT(AND(ISNUMBER($N142),$N142&lt;significance_bar)),$M142=0),"in line",IF($M142&lt;0,"worse","better")),IF(OR($M142=0,IF(profit_kind="points",ABS($M142),ABS($M142*$H142))&lt;profit_line*(1-1E-9)),"in line",IF(AND(ISNUMBER($N142),$N142&lt;significance_bar),IF($M142&lt;0,"worse","better"),IF($M142&lt;0,"worse, not significant","better, not significant")))))</f>
        <v/>
      </c>
      <c r="Y142">
        <f>IF($V142,$X142,$W142)</f>
        <v/>
      </c>
      <c r="Z142">
        <f>IF($V142,IF($P142="","",$P142),IF($O142="","",$O142))</f>
        <v/>
      </c>
      <c r="AA142">
        <f>IF(OR($Q142="",$Z142=""),"",IF(AND($Z142&gt;0,$Z142&gt;=$Q142),"yes","below the line"))</f>
        <v/>
      </c>
      <c r="AB142">
        <f>IF($V142,IF($M142="","",$M142),IF($K142="","",$K142))</f>
        <v/>
      </c>
      <c r="AC142">
        <f>IF($V142,IF($N142="","",$N142),IF($L142="","",$L142))</f>
        <v/>
      </c>
      <c r="AD142">
        <f>IF($Y142="","",IF($Y142="in line",IF(profit_kind="test",IF(ROUND($AB142*100,2)=0,"0.00",TEXT($AB142*100,"+0.00;-0.00"))&amp;" points against "&amp;IF($V142,"its band","the book")&amp;", "&amp;IF($AC142="","not tested","not significant"),IF(profit_kind="points","within "&amp;TEXT(profit_line*100,"0.00")&amp;" points of "&amp;IF($V142,"its band","the book")&amp;" ("&amp;IF(ROUND($AB142*100,2)=0,"0.00",TEXT($AB142*100,"+0.00;-0.00"))&amp;")","within $"&amp;TEXT(profit_line,"#,##0")&amp;" of "&amp;IF($V142,"its band","the book")&amp;" ("&amp;IF(ROUND($AB142*100,2)=0,"0.00",TEXT($AB142*100,"+0.00;-0.00"))&amp;" points)")),IF(LEFT($Y142,5)="worse","short of ","ahead of ")&amp;IF($V142,"its band","the book")&amp;" by "&amp;TEXT(ABS($AB142)*100,"0.00")&amp;" points"&amp;IF($Z142="",""," ($"&amp;TEXT(ABS($Z142),"#,##0")&amp;")")&amp;IF(RIGHT($Y142,15)="not significant"," (not significant)","")))</f>
        <v/>
      </c>
      <c r="AE142">
        <f>IF($V142,IF($S142="","",$S142),IF($R142="","",$R142))</f>
        <v/>
      </c>
      <c r="AF142">
        <f>IF($V142,IF($U142="","",$U142),IF($T142="","",$T142))</f>
        <v/>
      </c>
      <c r="AG142">
        <f>IF($V142,IF($O142="","",$O142),IF($P142="","",$P142))</f>
        <v/>
      </c>
      <c r="AH142" t="n">
        <v>0.1394747088927646</v>
      </c>
      <c r="AI142">
        <f>IF($Y142="worse","Yes",IF($Y142="worse, not significant","Not sure",IF(OR($Y142="too few losses to test",$Y142="too few loans to test"),"Too few losses",IF($Y142="","","No"))))</f>
        <v/>
      </c>
      <c r="AJ142">
        <f>IF($AA142="yes","Yes",IF($AA142="","","No"))</f>
        <v/>
      </c>
    </row>
    <row r="143">
      <c r="A143" t="inlineStr">
        <is>
          <t>grids</t>
        </is>
      </c>
      <c r="B143" t="inlineStr">
        <is>
          <t>FICO x ASSET_CLASS</t>
        </is>
      </c>
      <c r="C143" t="inlineStr">
        <is>
          <t>686 - 711</t>
        </is>
      </c>
      <c r="D143" t="inlineStr">
        <is>
          <t>1</t>
        </is>
      </c>
      <c r="E143" t="inlineStr">
        <is>
          <t>contribution_rate</t>
        </is>
      </c>
      <c r="F143" t="inlineStr">
        <is>
          <t>Contribution before losses per booked dollar</t>
        </is>
      </c>
      <c r="G143" t="n">
        <v>372</v>
      </c>
      <c r="H143" t="n">
        <v>11800012.44000001</v>
      </c>
      <c r="I143" t="b">
        <v>0</v>
      </c>
      <c r="J143" t="b">
        <v>0</v>
      </c>
      <c r="K143" t="n">
        <v>0.00510082916885074</v>
      </c>
      <c r="L143" t="n">
        <v>0.6090640935906408</v>
      </c>
      <c r="M143" t="n">
        <v>0.001335624665928209</v>
      </c>
      <c r="N143" t="n">
        <v>0.9216078392160784</v>
      </c>
      <c r="O143" t="n">
        <v>-60189.84764675354</v>
      </c>
      <c r="P143" t="n">
        <v>-15760.38767312374</v>
      </c>
      <c r="Q143">
        <f>'_live'!$C$24</f>
        <v/>
      </c>
      <c r="R143" t="inlineStr">
        <is>
          <t>shuffled: 4,734 of 10,000</t>
        </is>
      </c>
      <c r="S143" t="inlineStr">
        <is>
          <t>shuffled: 8,263 of 10,000</t>
        </is>
      </c>
      <c r="T143" t="n">
        <v>0.1693591877563518</v>
      </c>
      <c r="U143" t="n">
        <v>0.1731243922592743</v>
      </c>
      <c r="V143">
        <f>AND(judged_band,NOT($J143))</f>
        <v/>
      </c>
      <c r="W143">
        <f>IF($K143="","",IF(profit_kind="test",IF(OR(NOT(AND(ISNUMBER($L143),$L143&lt;significance_bar)),$K143=0),"in line",IF($K143&lt;0,"worse","better")),IF(OR($K143=0,IF(profit_kind="points",ABS($K143),ABS($K143*$H143))&lt;profit_line*(1-1E-9)),"in line",IF(AND(ISNUMBER($L143),$L143&lt;significance_bar),IF($K143&lt;0,"worse","better"),IF($K143&lt;0,"worse, not significant","better, not significant")))))</f>
        <v/>
      </c>
      <c r="X143">
        <f>IF($M143="","",IF(profit_kind="test",IF(OR(NOT(AND(ISNUMBER($N143),$N143&lt;significance_bar)),$M143=0),"in line",IF($M143&lt;0,"worse","better")),IF(OR($M143=0,IF(profit_kind="points",ABS($M143),ABS($M143*$H143))&lt;profit_line*(1-1E-9)),"in line",IF(AND(ISNUMBER($N143),$N143&lt;significance_bar),IF($M143&lt;0,"worse","better"),IF($M143&lt;0,"worse, not significant","better, not significant")))))</f>
        <v/>
      </c>
      <c r="Y143">
        <f>IF($V143,$X143,$W143)</f>
        <v/>
      </c>
      <c r="Z143">
        <f>IF($V143,IF($P143="","",$P143),IF($O143="","",$O143))</f>
        <v/>
      </c>
      <c r="AA143">
        <f>IF(OR($Q143="",$Z143=""),"",IF(AND($Z143&gt;0,$Z143&gt;=$Q143),"yes","below the line"))</f>
        <v/>
      </c>
      <c r="AB143">
        <f>IF($V143,IF($M143="","",$M143),IF($K143="","",$K143))</f>
        <v/>
      </c>
      <c r="AC143">
        <f>IF($V143,IF($N143="","",$N143),IF($L143="","",$L143))</f>
        <v/>
      </c>
      <c r="AD143">
        <f>IF($Y143="","",IF($Y143="in line",IF(profit_kind="test",IF(ROUND($AB143*100,2)=0,"0.00",TEXT($AB143*100,"+0.00;-0.00"))&amp;" points against "&amp;IF($V143,"its band","the book")&amp;", "&amp;IF($AC143="","not tested","not significant"),IF(profit_kind="points","within "&amp;TEXT(profit_line*100,"0.00")&amp;" points of "&amp;IF($V143,"its band","the book")&amp;" ("&amp;IF(ROUND($AB143*100,2)=0,"0.00",TEXT($AB143*100,"+0.00;-0.00"))&amp;")","within $"&amp;TEXT(profit_line,"#,##0")&amp;" of "&amp;IF($V143,"its band","the book")&amp;" ("&amp;IF(ROUND($AB143*100,2)=0,"0.00",TEXT($AB143*100,"+0.00;-0.00"))&amp;" points)")),IF(LEFT($Y143,5)="worse","short of ","ahead of ")&amp;IF($V143,"its band","the book")&amp;" by "&amp;TEXT(ABS($AB143)*100,"0.00")&amp;" points"&amp;IF($Z143="",""," ($"&amp;TEXT(ABS($Z143),"#,##0")&amp;")")&amp;IF(RIGHT($Y143,15)="not significant"," (not significant)","")))</f>
        <v/>
      </c>
      <c r="AE143">
        <f>IF($V143,IF($S143="","",$S143),IF($R143="","",$R143))</f>
        <v/>
      </c>
      <c r="AF143">
        <f>IF($V143,IF($U143="","",$U143),IF($T143="","",$T143))</f>
        <v/>
      </c>
      <c r="AG143">
        <f>IF($V143,IF($O143="","",$O143),IF($P143="","",$P143))</f>
        <v/>
      </c>
      <c r="AH143" t="n">
        <v>0.1744600169252025</v>
      </c>
      <c r="AI143">
        <f>IF($Y143="worse","Yes",IF($Y143="worse, not significant","Not sure",IF(OR($Y143="too few losses to test",$Y143="too few loans to test"),"Too few losses",IF($Y143="","","No"))))</f>
        <v/>
      </c>
      <c r="AJ143">
        <f>IF($AA143="yes","Yes",IF($AA143="","","No"))</f>
        <v/>
      </c>
    </row>
    <row r="144">
      <c r="A144" t="inlineStr">
        <is>
          <t>grids</t>
        </is>
      </c>
      <c r="B144" t="inlineStr">
        <is>
          <t>FICO x ASSET_CLASS</t>
        </is>
      </c>
      <c r="C144" t="inlineStr">
        <is>
          <t>746 - 921</t>
        </is>
      </c>
      <c r="D144" t="inlineStr">
        <is>
          <t>1</t>
        </is>
      </c>
      <c r="E144" t="inlineStr">
        <is>
          <t>outcome_loans</t>
        </is>
      </c>
      <c r="F144" t="inlineStr">
        <is>
          <t>Outcome, share of loans</t>
        </is>
      </c>
      <c r="G144" t="n">
        <v>414</v>
      </c>
      <c r="H144" t="n">
        <v>414</v>
      </c>
      <c r="I144" t="b">
        <v>0</v>
      </c>
      <c r="J144" t="b">
        <v>0</v>
      </c>
      <c r="K144" t="n">
        <v>0.4549980804299837</v>
      </c>
      <c r="L144" t="n">
        <v>0.006451781568588539</v>
      </c>
      <c r="M144" t="n">
        <v>0.8919210607462227</v>
      </c>
      <c r="N144" t="n">
        <v>0.925021290843974</v>
      </c>
      <c r="O144" t="n">
        <v>-17.96717205009888</v>
      </c>
      <c r="P144" t="n">
        <v>-1.817631806395852</v>
      </c>
      <c r="Q144">
        <f>'_live'!$C$20</f>
        <v/>
      </c>
      <c r="R144" t="inlineStr">
        <is>
          <t>z test</t>
        </is>
      </c>
      <c r="S144" t="inlineStr">
        <is>
          <t>z test</t>
        </is>
      </c>
      <c r="T144" t="n">
        <v>0.07963085036255768</v>
      </c>
      <c r="U144" t="n">
        <v>0.04062229904926534</v>
      </c>
      <c r="V144">
        <f>AND(judged_band,NOT($J144))</f>
        <v/>
      </c>
      <c r="W144">
        <f>IF($K144="","",IF($I144,"too few losses to test",IF(AND($K144&gt;better_at,$K144&lt;worse_at),"in line",IF($K144&gt;=worse_at,IF(AND(ISNUMBER($L144),$L144&lt;significance_bar),"worse","worse, not significant"),IF(AND(ISNUMBER($L144),$L144&lt;significance_bar),"better","better, not significant")))))</f>
        <v/>
      </c>
      <c r="X144">
        <f>IF($M144="","",IF($I144,"too few losses to test",IF(AND($M144&gt;better_at,$M144&lt;worse_at),"in line",IF($M144&gt;=worse_at,IF(AND(ISNUMBER($N144),$N144&lt;significance_bar),"worse","worse, not significant"),IF(AND(ISNUMBER($N144),$N144&lt;significance_bar),"better","better, not significant")))))</f>
        <v/>
      </c>
      <c r="Y144">
        <f>IF($V144,$X144,$W144)</f>
        <v/>
      </c>
      <c r="Z144">
        <f>IF($V144,IF($P144="","",$P144),IF($O144="","",$O144))</f>
        <v/>
      </c>
      <c r="AA144">
        <f>IF(OR($Q144="",$Z144=""),"",IF(AND($Z144&gt;0,$Z144&gt;=$Q144),"yes","below the line"))</f>
        <v/>
      </c>
      <c r="AB144">
        <f>IF($V144,IF($M144="","",$M144),IF($K144="","",$K144))</f>
        <v/>
      </c>
      <c r="AC144">
        <f>IF($V144,IF($N144="","",$N144),IF($L144="","",$L144))</f>
        <v/>
      </c>
      <c r="AD144">
        <f>$Y144</f>
        <v/>
      </c>
      <c r="AE144">
        <f>IF($V144,IF($S144="","",$S144),IF($R144="","",$R144))</f>
        <v/>
      </c>
      <c r="AF144">
        <f>IF($V144,IF($U144="","",$U144),IF($T144="","",$T144))</f>
        <v/>
      </c>
      <c r="AG144">
        <f>IF($V144,IF($O144="","",$O144),IF($P144="","",$P144))</f>
        <v/>
      </c>
      <c r="AH144" t="n">
        <v>0.03623188405797102</v>
      </c>
      <c r="AI144">
        <f>IF($Y144="worse","Yes",IF($Y144="worse, not significant","Not sure",IF(OR($Y144="too few losses to test",$Y144="too few loans to test"),"Too few losses",IF($Y144="","","No"))))</f>
        <v/>
      </c>
      <c r="AJ144">
        <f>IF($AA144="yes","Yes",IF($AA144="","","No"))</f>
        <v/>
      </c>
    </row>
    <row r="145">
      <c r="A145" t="inlineStr">
        <is>
          <t>grids</t>
        </is>
      </c>
      <c r="B145" t="inlineStr">
        <is>
          <t>FICO x ASSET_CLASS</t>
        </is>
      </c>
      <c r="C145" t="inlineStr">
        <is>
          <t>746 - 921</t>
        </is>
      </c>
      <c r="D145" t="inlineStr">
        <is>
          <t>1</t>
        </is>
      </c>
      <c r="E145" t="inlineStr">
        <is>
          <t>outcome_booked</t>
        </is>
      </c>
      <c r="F145" t="inlineStr">
        <is>
          <t>Outcome, share of booked dollars</t>
        </is>
      </c>
      <c r="G145" t="n">
        <v>414</v>
      </c>
      <c r="H145" t="n">
        <v>13339013.86</v>
      </c>
      <c r="I145" t="b">
        <v>0</v>
      </c>
      <c r="J145" t="b">
        <v>0</v>
      </c>
      <c r="K145" t="n">
        <v>0.4372518412511364</v>
      </c>
      <c r="L145" t="n">
        <v>0.015998400159984</v>
      </c>
      <c r="M145" t="n">
        <v>0.8879293490733464</v>
      </c>
      <c r="N145" t="n">
        <v>0.7885211478852114</v>
      </c>
      <c r="O145" t="n">
        <v>-578533.6881082176</v>
      </c>
      <c r="P145" t="n">
        <v>-56736.12889610685</v>
      </c>
      <c r="Q145">
        <f>'_live'!$C$21</f>
        <v/>
      </c>
      <c r="R145" t="inlineStr">
        <is>
          <t>shuffled: 37 of 10,000</t>
        </is>
      </c>
      <c r="S145" t="inlineStr">
        <is>
          <t>shuffled: 7,194 of 10,000</t>
        </is>
      </c>
      <c r="T145" t="n">
        <v>0.07707097382896168</v>
      </c>
      <c r="U145" t="n">
        <v>0.03795282276557337</v>
      </c>
      <c r="V145">
        <f>AND(judged_band,NOT($J145))</f>
        <v/>
      </c>
      <c r="W145">
        <f>IF($K145="","",IF($I145,"too few losses to test",IF(AND($K145&gt;better_at,$K145&lt;worse_at),"in line",IF($K145&gt;=worse_at,IF(AND(ISNUMBER($L145),$L145&lt;significance_bar),"worse","worse, not significant"),IF(AND(ISNUMBER($L145),$L145&lt;significance_bar),"better","better, not significant")))))</f>
        <v/>
      </c>
      <c r="X145">
        <f>IF($M145="","",IF($I145,"too few losses to test",IF(AND($M145&gt;better_at,$M145&lt;worse_at),"in line",IF($M145&gt;=worse_at,IF(AND(ISNUMBER($N145),$N145&lt;significance_bar),"worse","worse, not significant"),IF(AND(ISNUMBER($N145),$N145&lt;significance_bar),"better","better, not significant")))))</f>
        <v/>
      </c>
      <c r="Y145">
        <f>IF($V145,$X145,$W145)</f>
        <v/>
      </c>
      <c r="Z145">
        <f>IF($V145,IF($P145="","",$P145),IF($O145="","",$O145))</f>
        <v/>
      </c>
      <c r="AA145">
        <f>IF(OR($Q145="",$Z145=""),"",IF(AND($Z145&gt;0,$Z145&gt;=$Q145),"yes","below the line"))</f>
        <v/>
      </c>
      <c r="AB145">
        <f>IF($V145,IF($M145="","",$M145),IF($K145="","",$K145))</f>
        <v/>
      </c>
      <c r="AC145">
        <f>IF($V145,IF($N145="","",$N145),IF($L145="","",$L145))</f>
        <v/>
      </c>
      <c r="AD145">
        <f>$Y145</f>
        <v/>
      </c>
      <c r="AE145">
        <f>IF($V145,IF($S145="","",$S145),IF($R145="","",$R145))</f>
        <v/>
      </c>
      <c r="AF145">
        <f>IF($V145,IF($U145="","",$U145),IF($T145="","",$T145))</f>
        <v/>
      </c>
      <c r="AG145">
        <f>IF($V145,IF($O145="","",$O145),IF($P145="","",$P145))</f>
        <v/>
      </c>
      <c r="AH145" t="n">
        <v>0.03369942521373164</v>
      </c>
      <c r="AI145">
        <f>IF($Y145="worse","Yes",IF($Y145="worse, not significant","Not sure",IF(OR($Y145="too few losses to test",$Y145="too few loans to test"),"Too few losses",IF($Y145="","","No"))))</f>
        <v/>
      </c>
      <c r="AJ145">
        <f>IF($AA145="yes","Yes",IF($AA145="","","No"))</f>
        <v/>
      </c>
    </row>
    <row r="146">
      <c r="A146" t="inlineStr">
        <is>
          <t>grids</t>
        </is>
      </c>
      <c r="B146" t="inlineStr">
        <is>
          <t>FICO x ASSET_CLASS</t>
        </is>
      </c>
      <c r="C146" t="inlineStr">
        <is>
          <t>746 - 921</t>
        </is>
      </c>
      <c r="D146" t="inlineStr">
        <is>
          <t>1</t>
        </is>
      </c>
      <c r="E146" t="inlineStr">
        <is>
          <t>gco_rate</t>
        </is>
      </c>
      <c r="F146" t="inlineStr">
        <is>
          <t>GCO per booked dollar</t>
        </is>
      </c>
      <c r="G146" t="n">
        <v>414</v>
      </c>
      <c r="H146" t="n">
        <v>13339013.86</v>
      </c>
      <c r="I146" t="b">
        <v>0</v>
      </c>
      <c r="J146" t="b">
        <v>0</v>
      </c>
      <c r="K146" t="n">
        <v>0.4307147445840852</v>
      </c>
      <c r="L146" t="n">
        <v>0.014665200146652</v>
      </c>
      <c r="M146" t="n">
        <v>0.9349815094307363</v>
      </c>
      <c r="N146" t="n">
        <v>0.8403159684031596</v>
      </c>
      <c r="O146" t="n">
        <v>-325517.9554308769</v>
      </c>
      <c r="P146" t="n">
        <v>-17126.49978067243</v>
      </c>
      <c r="Q146">
        <f>'_live'!$C$22</f>
        <v/>
      </c>
      <c r="R146" t="inlineStr">
        <is>
          <t>shuffled: 43 of 10,000</t>
        </is>
      </c>
      <c r="S146" t="inlineStr">
        <is>
          <t>shuffled: 8,403 of 10,000</t>
        </is>
      </c>
      <c r="T146" t="n">
        <v>0.04286682219782</v>
      </c>
      <c r="U146" t="n">
        <v>0.01974731284825821</v>
      </c>
      <c r="V146">
        <f>AND(judged_band,NOT($J146))</f>
        <v/>
      </c>
      <c r="W146">
        <f>IF($K146="","",IF($I146,"too few losses to test",IF(AND($K146&gt;better_at,$K146&lt;worse_at),"in line",IF($K146&gt;=worse_at,IF(AND(ISNUMBER($L146),$L146&lt;significance_bar),"worse","worse, not significant"),IF(AND(ISNUMBER($L146),$L146&lt;significance_bar),"better","better, not significant")))))</f>
        <v/>
      </c>
      <c r="X146">
        <f>IF($M146="","",IF($I146,"too few losses to test",IF(AND($M146&gt;better_at,$M146&lt;worse_at),"in line",IF($M146&gt;=worse_at,IF(AND(ISNUMBER($N146),$N146&lt;significance_bar),"worse","worse, not significant"),IF(AND(ISNUMBER($N146),$N146&lt;significance_bar),"better","better, not significant")))))</f>
        <v/>
      </c>
      <c r="Y146">
        <f>IF($V146,$X146,$W146)</f>
        <v/>
      </c>
      <c r="Z146">
        <f>IF($V146,IF($P146="","",$P146),IF($O146="","",$O146))</f>
        <v/>
      </c>
      <c r="AA146">
        <f>IF(OR($Q146="",$Z146=""),"",IF(AND($Z146&gt;0,$Z146&gt;=$Q146),"yes","below the line"))</f>
        <v/>
      </c>
      <c r="AB146">
        <f>IF($V146,IF($M146="","",$M146),IF($K146="","",$K146))</f>
        <v/>
      </c>
      <c r="AC146">
        <f>IF($V146,IF($N146="","",$N146),IF($L146="","",$L146))</f>
        <v/>
      </c>
      <c r="AD146">
        <f>$Y146</f>
        <v/>
      </c>
      <c r="AE146">
        <f>IF($V146,IF($S146="","",$S146),IF($R146="","",$R146))</f>
        <v/>
      </c>
      <c r="AF146">
        <f>IF($V146,IF($U146="","",$U146),IF($T146="","",$T146))</f>
        <v/>
      </c>
      <c r="AG146">
        <f>IF($V146,IF($O146="","",$O146),IF($P146="","",$P146))</f>
        <v/>
      </c>
      <c r="AH146" t="n">
        <v>0.01846337237406543</v>
      </c>
      <c r="AI146">
        <f>IF($Y146="worse","Yes",IF($Y146="worse, not significant","Not sure",IF(OR($Y146="too few losses to test",$Y146="too few loans to test"),"Too few losses",IF($Y146="","","No"))))</f>
        <v/>
      </c>
      <c r="AJ146">
        <f>IF($AA146="yes","Yes",IF($AA146="","","No"))</f>
        <v/>
      </c>
    </row>
    <row r="147">
      <c r="A147" t="inlineStr">
        <is>
          <t>grids</t>
        </is>
      </c>
      <c r="B147" t="inlineStr">
        <is>
          <t>FICO x ASSET_CLASS</t>
        </is>
      </c>
      <c r="C147" t="inlineStr">
        <is>
          <t>746 - 921</t>
        </is>
      </c>
      <c r="D147" t="inlineStr">
        <is>
          <t>1</t>
        </is>
      </c>
      <c r="E147" t="inlineStr">
        <is>
          <t>ranr_rate</t>
        </is>
      </c>
      <c r="F147" t="inlineStr">
        <is>
          <t>Profit after losses: RANR per booked dollar</t>
        </is>
      </c>
      <c r="G147" t="n">
        <v>414</v>
      </c>
      <c r="H147" t="n">
        <v>13339013.86</v>
      </c>
      <c r="I147" t="b">
        <v>0</v>
      </c>
      <c r="J147" t="b">
        <v>0</v>
      </c>
      <c r="K147" t="n">
        <v>-0.08335923990146298</v>
      </c>
      <c r="L147" t="n">
        <v>0.00024997500249975</v>
      </c>
      <c r="M147" t="n">
        <v>0.002983788659078383</v>
      </c>
      <c r="N147" t="n">
        <v>0.9525847415258474</v>
      </c>
      <c r="O147" t="n">
        <v>1111930.05640468</v>
      </c>
      <c r="P147" t="n">
        <v>-39800.79827875737</v>
      </c>
      <c r="Q147">
        <f>'_live'!$C$23</f>
        <v/>
      </c>
      <c r="R147" t="inlineStr">
        <is>
          <t>shuffled: 0 of 10,000</t>
        </is>
      </c>
      <c r="S147" t="inlineStr">
        <is>
          <t>shuffled: 6,524 of 10,000</t>
        </is>
      </c>
      <c r="T147" t="n">
        <v>0.1322987130028126</v>
      </c>
      <c r="U147" t="n">
        <v>0.04595568444227126</v>
      </c>
      <c r="V147">
        <f>AND(judged_band,NOT($J147))</f>
        <v/>
      </c>
      <c r="W147">
        <f>IF($K147="","",IF(profit_kind="test",IF(OR(NOT(AND(ISNUMBER($L147),$L147&lt;significance_bar)),$K147=0),"in line",IF($K147&lt;0,"worse","better")),IF(OR($K147=0,IF(profit_kind="points",ABS($K147),ABS($K147*$H147))&lt;profit_line*(1-1E-9)),"in line",IF(AND(ISNUMBER($L147),$L147&lt;significance_bar),IF($K147&lt;0,"worse","better"),IF($K147&lt;0,"worse, not significant","better, not significant")))))</f>
        <v/>
      </c>
      <c r="X147">
        <f>IF($M147="","",IF(profit_kind="test",IF(OR(NOT(AND(ISNUMBER($N147),$N147&lt;significance_bar)),$M147=0),"in line",IF($M147&lt;0,"worse","better")),IF(OR($M147=0,IF(profit_kind="points",ABS($M147),ABS($M147*$H147))&lt;profit_line*(1-1E-9)),"in line",IF(AND(ISNUMBER($N147),$N147&lt;significance_bar),IF($M147&lt;0,"worse","better"),IF($M147&lt;0,"worse, not significant","better, not significant")))))</f>
        <v/>
      </c>
      <c r="Y147">
        <f>IF($V147,$X147,$W147)</f>
        <v/>
      </c>
      <c r="Z147">
        <f>IF($V147,IF($P147="","",$P147),IF($O147="","",$O147))</f>
        <v/>
      </c>
      <c r="AA147">
        <f>IF(OR($Q147="",$Z147=""),"",IF(AND($Z147&gt;0,$Z147&gt;=$Q147),"yes","below the line"))</f>
        <v/>
      </c>
      <c r="AB147">
        <f>IF($V147,IF($M147="","",$M147),IF($K147="","",$K147))</f>
        <v/>
      </c>
      <c r="AC147">
        <f>IF($V147,IF($N147="","",$N147),IF($L147="","",$L147))</f>
        <v/>
      </c>
      <c r="AD147">
        <f>IF($Y147="","",IF($Y147="in line",IF(profit_kind="test",IF(ROUND($AB147*100,2)=0,"0.00",TEXT($AB147*100,"+0.00;-0.00"))&amp;" points against "&amp;IF($V147,"its band","the book")&amp;", "&amp;IF($AC147="","not tested","not significant"),IF(profit_kind="points","within "&amp;TEXT(profit_line*100,"0.00")&amp;" points of "&amp;IF($V147,"its band","the book")&amp;" ("&amp;IF(ROUND($AB147*100,2)=0,"0.00",TEXT($AB147*100,"+0.00;-0.00"))&amp;")","within $"&amp;TEXT(profit_line,"#,##0")&amp;" of "&amp;IF($V147,"its band","the book")&amp;" ("&amp;IF(ROUND($AB147*100,2)=0,"0.00",TEXT($AB147*100,"+0.00;-0.00"))&amp;" points)")),IF(LEFT($Y147,5)="worse","short of ","ahead of ")&amp;IF($V147,"its band","the book")&amp;" by "&amp;TEXT(ABS($AB147)*100,"0.00")&amp;" points"&amp;IF($Z147="",""," ($"&amp;TEXT(ABS($Z147),"#,##0")&amp;")")&amp;IF(RIGHT($Y147,15)="not significant"," (not significant)","")))</f>
        <v/>
      </c>
      <c r="AE147">
        <f>IF($V147,IF($S147="","",$S147),IF($R147="","",$R147))</f>
        <v/>
      </c>
      <c r="AF147">
        <f>IF($V147,IF($U147="","",$U147),IF($T147="","",$T147))</f>
        <v/>
      </c>
      <c r="AG147">
        <f>IF($V147,IF($O147="","",$O147),IF($P147="","",$P147))</f>
        <v/>
      </c>
      <c r="AH147" t="n">
        <v>0.04893947310134965</v>
      </c>
      <c r="AI147">
        <f>IF($Y147="worse","Yes",IF($Y147="worse, not significant","Not sure",IF(OR($Y147="too few losses to test",$Y147="too few loans to test"),"Too few losses",IF($Y147="","","No"))))</f>
        <v/>
      </c>
      <c r="AJ147">
        <f>IF($AA147="yes","Yes",IF($AA147="","","No"))</f>
        <v/>
      </c>
    </row>
    <row r="148">
      <c r="A148" t="inlineStr">
        <is>
          <t>grids</t>
        </is>
      </c>
      <c r="B148" t="inlineStr">
        <is>
          <t>FICO x ASSET_CLASS</t>
        </is>
      </c>
      <c r="C148" t="inlineStr">
        <is>
          <t>746 - 921</t>
        </is>
      </c>
      <c r="D148" t="inlineStr">
        <is>
          <t>1</t>
        </is>
      </c>
      <c r="E148" t="inlineStr">
        <is>
          <t>contribution_rate</t>
        </is>
      </c>
      <c r="F148" t="inlineStr">
        <is>
          <t>Contribution before losses per booked dollar</t>
        </is>
      </c>
      <c r="G148" t="n">
        <v>414</v>
      </c>
      <c r="H148" t="n">
        <v>13339013.86</v>
      </c>
      <c r="I148" t="b">
        <v>0</v>
      </c>
      <c r="J148" t="b">
        <v>0</v>
      </c>
      <c r="K148" t="n">
        <v>-0.1077603734001976</v>
      </c>
      <c r="L148" t="n">
        <v>0.0001562343765623438</v>
      </c>
      <c r="M148" t="n">
        <v>0.001699848184885638</v>
      </c>
      <c r="N148" t="n">
        <v>0.9216078392160784</v>
      </c>
      <c r="O148" t="n">
        <v>1437417.114344012</v>
      </c>
      <c r="P148" t="n">
        <v>-22674.29849808535</v>
      </c>
      <c r="Q148">
        <f>'_live'!$C$24</f>
        <v/>
      </c>
      <c r="R148" t="inlineStr">
        <is>
          <t>shuffled: 0 of 10,000</t>
        </is>
      </c>
      <c r="S148" t="inlineStr">
        <is>
          <t>shuffled: 3,859 of 10,000</t>
        </is>
      </c>
      <c r="T148" t="n">
        <v>0.1751632188756128</v>
      </c>
      <c r="U148" t="n">
        <v>0.06570299729052947</v>
      </c>
      <c r="V148">
        <f>AND(judged_band,NOT($J148))</f>
        <v/>
      </c>
      <c r="W148">
        <f>IF($K148="","",IF(profit_kind="test",IF(OR(NOT(AND(ISNUMBER($L148),$L148&lt;significance_bar)),$K148=0),"in line",IF($K148&lt;0,"worse","better")),IF(OR($K148=0,IF(profit_kind="points",ABS($K148),ABS($K148*$H148))&lt;profit_line*(1-1E-9)),"in line",IF(AND(ISNUMBER($L148),$L148&lt;significance_bar),IF($K148&lt;0,"worse","better"),IF($K148&lt;0,"worse, not significant","better, not significant")))))</f>
        <v/>
      </c>
      <c r="X148">
        <f>IF($M148="","",IF(profit_kind="test",IF(OR(NOT(AND(ISNUMBER($N148),$N148&lt;significance_bar)),$M148=0),"in line",IF($M148&lt;0,"worse","better")),IF(OR($M148=0,IF(profit_kind="points",ABS($M148),ABS($M148*$H148))&lt;profit_line*(1-1E-9)),"in line",IF(AND(ISNUMBER($N148),$N148&lt;significance_bar),IF($M148&lt;0,"worse","better"),IF($M148&lt;0,"worse, not significant","better, not significant")))))</f>
        <v/>
      </c>
      <c r="Y148">
        <f>IF($V148,$X148,$W148)</f>
        <v/>
      </c>
      <c r="Z148">
        <f>IF($V148,IF($P148="","",$P148),IF($O148="","",$O148))</f>
        <v/>
      </c>
      <c r="AA148">
        <f>IF(OR($Q148="",$Z148=""),"",IF(AND($Z148&gt;0,$Z148&gt;=$Q148),"yes","below the line"))</f>
        <v/>
      </c>
      <c r="AB148">
        <f>IF($V148,IF($M148="","",$M148),IF($K148="","",$K148))</f>
        <v/>
      </c>
      <c r="AC148">
        <f>IF($V148,IF($N148="","",$N148),IF($L148="","",$L148))</f>
        <v/>
      </c>
      <c r="AD148">
        <f>IF($Y148="","",IF($Y148="in line",IF(profit_kind="test",IF(ROUND($AB148*100,2)=0,"0.00",TEXT($AB148*100,"+0.00;-0.00"))&amp;" points against "&amp;IF($V148,"its band","the book")&amp;", "&amp;IF($AC148="","not tested","not significant"),IF(profit_kind="points","within "&amp;TEXT(profit_line*100,"0.00")&amp;" points of "&amp;IF($V148,"its band","the book")&amp;" ("&amp;IF(ROUND($AB148*100,2)=0,"0.00",TEXT($AB148*100,"+0.00;-0.00"))&amp;")","within $"&amp;TEXT(profit_line,"#,##0")&amp;" of "&amp;IF($V148,"its band","the book")&amp;" ("&amp;IF(ROUND($AB148*100,2)=0,"0.00",TEXT($AB148*100,"+0.00;-0.00"))&amp;" points)")),IF(LEFT($Y148,5)="worse","short of ","ahead of ")&amp;IF($V148,"its band","the book")&amp;" by "&amp;TEXT(ABS($AB148)*100,"0.00")&amp;" points"&amp;IF($Z148="",""," ($"&amp;TEXT(ABS($Z148),"#,##0")&amp;")")&amp;IF(RIGHT($Y148,15)="not significant"," (not significant)","")))</f>
        <v/>
      </c>
      <c r="AE148">
        <f>IF($V148,IF($S148="","",$S148),IF($R148="","",$R148))</f>
        <v/>
      </c>
      <c r="AF148">
        <f>IF($V148,IF($U148="","",$U148),IF($T148="","",$T148))</f>
        <v/>
      </c>
      <c r="AG148">
        <f>IF($V148,IF($O148="","",$O148),IF($P148="","",$P148))</f>
        <v/>
      </c>
      <c r="AH148" t="n">
        <v>0.06740284547541511</v>
      </c>
      <c r="AI148">
        <f>IF($Y148="worse","Yes",IF($Y148="worse, not significant","Not sure",IF(OR($Y148="too few losses to test",$Y148="too few loans to test"),"Too few losses",IF($Y148="","","No"))))</f>
        <v/>
      </c>
      <c r="AJ148">
        <f>IF($AA148="yes","Yes",IF($AA148="","","No"))</f>
        <v/>
      </c>
    </row>
    <row r="149">
      <c r="A149" t="inlineStr">
        <is>
          <t>grids</t>
        </is>
      </c>
      <c r="B149" t="inlineStr">
        <is>
          <t>FICO x ASSET_CLASS</t>
        </is>
      </c>
      <c r="C149" t="inlineStr">
        <is>
          <t>496 - 653</t>
        </is>
      </c>
      <c r="D149" t="inlineStr">
        <is>
          <t>4</t>
        </is>
      </c>
      <c r="E149" t="inlineStr">
        <is>
          <t>outcome_loans</t>
        </is>
      </c>
      <c r="F149" t="inlineStr">
        <is>
          <t>Outcome, share of loans</t>
        </is>
      </c>
      <c r="G149" t="n">
        <v>392</v>
      </c>
      <c r="H149" t="n">
        <v>392</v>
      </c>
      <c r="I149" t="b">
        <v>0</v>
      </c>
      <c r="J149" t="b">
        <v>0</v>
      </c>
      <c r="K149" t="n">
        <v>2.880239294233463</v>
      </c>
      <c r="L149" t="n">
        <v>1.232208155285898e-20</v>
      </c>
      <c r="M149" t="n">
        <v>1.541213888152664</v>
      </c>
      <c r="N149" t="n">
        <v>0.01198245901031119</v>
      </c>
      <c r="O149" t="n">
        <v>52.22453003812278</v>
      </c>
      <c r="P149" t="n">
        <v>28.09286328460877</v>
      </c>
      <c r="Q149">
        <f>'_live'!$C$20</f>
        <v/>
      </c>
      <c r="R149" t="inlineStr">
        <is>
          <t>z test</t>
        </is>
      </c>
      <c r="S149" t="inlineStr">
        <is>
          <t>z test</t>
        </is>
      </c>
      <c r="T149" t="n">
        <v>0.07085579071907454</v>
      </c>
      <c r="U149" t="n">
        <v>0.1324161650902838</v>
      </c>
      <c r="V149">
        <f>AND(judged_band,NOT($J149))</f>
        <v/>
      </c>
      <c r="W149">
        <f>IF($K149="","",IF($I149,"too few losses to test",IF(AND($K149&gt;better_at,$K149&lt;worse_at),"in line",IF($K149&gt;=worse_at,IF(AND(ISNUMBER($L149),$L149&lt;significance_bar),"worse","worse, not significant"),IF(AND(ISNUMBER($L149),$L149&lt;significance_bar),"better","better, not significant")))))</f>
        <v/>
      </c>
      <c r="X149">
        <f>IF($M149="","",IF($I149,"too few losses to test",IF(AND($M149&gt;better_at,$M149&lt;worse_at),"in line",IF($M149&gt;=worse_at,IF(AND(ISNUMBER($N149),$N149&lt;significance_bar),"worse","worse, not significant"),IF(AND(ISNUMBER($N149),$N149&lt;significance_bar),"better","better, not significant")))))</f>
        <v/>
      </c>
      <c r="Y149">
        <f>IF($V149,$X149,$W149)</f>
        <v/>
      </c>
      <c r="Z149">
        <f>IF($V149,IF($P149="","",$P149),IF($O149="","",$O149))</f>
        <v/>
      </c>
      <c r="AA149">
        <f>IF(OR($Q149="",$Z149=""),"",IF(AND($Z149&gt;0,$Z149&gt;=$Q149),"yes","below the line"))</f>
        <v/>
      </c>
      <c r="AB149">
        <f>IF($V149,IF($M149="","",$M149),IF($K149="","",$K149))</f>
        <v/>
      </c>
      <c r="AC149">
        <f>IF($V149,IF($N149="","",$N149),IF($L149="","",$L149))</f>
        <v/>
      </c>
      <c r="AD149">
        <f>$Y149</f>
        <v/>
      </c>
      <c r="AE149">
        <f>IF($V149,IF($S149="","",$S149),IF($R149="","",$R149))</f>
        <v/>
      </c>
      <c r="AF149">
        <f>IF($V149,IF($U149="","",$U149),IF($T149="","",$T149))</f>
        <v/>
      </c>
      <c r="AG149">
        <f>IF($V149,IF($O149="","",$O149),IF($P149="","",$P149))</f>
        <v/>
      </c>
      <c r="AH149" t="n">
        <v>0.2040816326530612</v>
      </c>
      <c r="AI149">
        <f>IF($Y149="worse","Yes",IF($Y149="worse, not significant","Not sure",IF(OR($Y149="too few losses to test",$Y149="too few loans to test"),"Too few losses",IF($Y149="","","No"))))</f>
        <v/>
      </c>
      <c r="AJ149">
        <f>IF($AA149="yes","Yes",IF($AA149="","","No"))</f>
        <v/>
      </c>
    </row>
    <row r="150">
      <c r="A150" t="inlineStr">
        <is>
          <t>grids</t>
        </is>
      </c>
      <c r="B150" t="inlineStr">
        <is>
          <t>FICO x ASSET_CLASS</t>
        </is>
      </c>
      <c r="C150" t="inlineStr">
        <is>
          <t>496 - 653</t>
        </is>
      </c>
      <c r="D150" t="inlineStr">
        <is>
          <t>4</t>
        </is>
      </c>
      <c r="E150" t="inlineStr">
        <is>
          <t>outcome_booked</t>
        </is>
      </c>
      <c r="F150" t="inlineStr">
        <is>
          <t>Outcome, share of booked dollars</t>
        </is>
      </c>
      <c r="G150" t="n">
        <v>392</v>
      </c>
      <c r="H150" t="n">
        <v>12285908.59000001</v>
      </c>
      <c r="I150" t="b">
        <v>0</v>
      </c>
      <c r="J150" t="b">
        <v>0</v>
      </c>
      <c r="K150" t="n">
        <v>3.329255194931123</v>
      </c>
      <c r="L150" t="n">
        <v>0.0009999000099990001</v>
      </c>
      <c r="M150" t="n">
        <v>1.791775105196673</v>
      </c>
      <c r="N150" t="n">
        <v>0.001999800019998</v>
      </c>
      <c r="O150" t="n">
        <v>1927598.380760559</v>
      </c>
      <c r="P150" t="n">
        <v>1217488.620081618</v>
      </c>
      <c r="Q150">
        <f>'_live'!$C$21</f>
        <v/>
      </c>
      <c r="R150" t="inlineStr">
        <is>
          <t>shuffled: 0 of 10,000</t>
        </is>
      </c>
      <c r="S150" t="inlineStr">
        <is>
          <t>shuffled: 0 of 10,000</t>
        </is>
      </c>
      <c r="T150" t="n">
        <v>0.06735846788840877</v>
      </c>
      <c r="U150" t="n">
        <v>0.1251571854579769</v>
      </c>
      <c r="V150">
        <f>AND(judged_band,NOT($J150))</f>
        <v/>
      </c>
      <c r="W150">
        <f>IF($K150="","",IF($I150,"too few losses to test",IF(AND($K150&gt;better_at,$K150&lt;worse_at),"in line",IF($K150&gt;=worse_at,IF(AND(ISNUMBER($L150),$L150&lt;significance_bar),"worse","worse, not significant"),IF(AND(ISNUMBER($L150),$L150&lt;significance_bar),"better","better, not significant")))))</f>
        <v/>
      </c>
      <c r="X150">
        <f>IF($M150="","",IF($I150,"too few losses to test",IF(AND($M150&gt;better_at,$M150&lt;worse_at),"in line",IF($M150&gt;=worse_at,IF(AND(ISNUMBER($N150),$N150&lt;significance_bar),"worse","worse, not significant"),IF(AND(ISNUMBER($N150),$N150&lt;significance_bar),"better","better, not significant")))))</f>
        <v/>
      </c>
      <c r="Y150">
        <f>IF($V150,$X150,$W150)</f>
        <v/>
      </c>
      <c r="Z150">
        <f>IF($V150,IF($P150="","",$P150),IF($O150="","",$O150))</f>
        <v/>
      </c>
      <c r="AA150">
        <f>IF(OR($Q150="",$Z150=""),"",IF(AND($Z150&gt;0,$Z150&gt;=$Q150),"yes","below the line"))</f>
        <v/>
      </c>
      <c r="AB150">
        <f>IF($V150,IF($M150="","",$M150),IF($K150="","",$K150))</f>
        <v/>
      </c>
      <c r="AC150">
        <f>IF($V150,IF($N150="","",$N150),IF($L150="","",$L150))</f>
        <v/>
      </c>
      <c r="AD150">
        <f>$Y150</f>
        <v/>
      </c>
      <c r="AE150">
        <f>IF($V150,IF($S150="","",$S150),IF($R150="","",$R150))</f>
        <v/>
      </c>
      <c r="AF150">
        <f>IF($V150,IF($U150="","",$U150),IF($T150="","",$T150))</f>
        <v/>
      </c>
      <c r="AG150">
        <f>IF($V150,IF($O150="","",$O150),IF($P150="","",$P150))</f>
        <v/>
      </c>
      <c r="AH150" t="n">
        <v>0.2242535291400861</v>
      </c>
      <c r="AI150">
        <f>IF($Y150="worse","Yes",IF($Y150="worse, not significant","Not sure",IF(OR($Y150="too few losses to test",$Y150="too few loans to test"),"Too few losses",IF($Y150="","","No"))))</f>
        <v/>
      </c>
      <c r="AJ150">
        <f>IF($AA150="yes","Yes",IF($AA150="","","No"))</f>
        <v/>
      </c>
    </row>
    <row r="151">
      <c r="A151" t="inlineStr">
        <is>
          <t>grids</t>
        </is>
      </c>
      <c r="B151" t="inlineStr">
        <is>
          <t>FICO x ASSET_CLASS</t>
        </is>
      </c>
      <c r="C151" t="inlineStr">
        <is>
          <t>496 - 653</t>
        </is>
      </c>
      <c r="D151" t="inlineStr">
        <is>
          <t>4</t>
        </is>
      </c>
      <c r="E151" t="inlineStr">
        <is>
          <t>gco_rate</t>
        </is>
      </c>
      <c r="F151" t="inlineStr">
        <is>
          <t>GCO per booked dollar</t>
        </is>
      </c>
      <c r="G151" t="n">
        <v>392</v>
      </c>
      <c r="H151" t="n">
        <v>12285908.59000001</v>
      </c>
      <c r="I151" t="b">
        <v>0</v>
      </c>
      <c r="J151" t="b">
        <v>0</v>
      </c>
      <c r="K151" t="n">
        <v>3.282003381033544</v>
      </c>
      <c r="L151" t="n">
        <v>0.0009999000099990001</v>
      </c>
      <c r="M151" t="n">
        <v>1.7404429065153</v>
      </c>
      <c r="N151" t="n">
        <v>0.001999800019998</v>
      </c>
      <c r="O151" t="n">
        <v>1052143.260884658</v>
      </c>
      <c r="P151" t="n">
        <v>643768.0426797289</v>
      </c>
      <c r="Q151">
        <f>'_live'!$C$22</f>
        <v/>
      </c>
      <c r="R151" t="inlineStr">
        <is>
          <t>shuffled: 0 of 10,000</t>
        </is>
      </c>
      <c r="S151" t="inlineStr">
        <is>
          <t>shuffled: 0 of 10,000</t>
        </is>
      </c>
      <c r="T151" t="n">
        <v>0.03752764524803792</v>
      </c>
      <c r="U151" t="n">
        <v>0.07076696289503084</v>
      </c>
      <c r="V151">
        <f>AND(judged_band,NOT($J151))</f>
        <v/>
      </c>
      <c r="W151">
        <f>IF($K151="","",IF($I151,"too few losses to test",IF(AND($K151&gt;better_at,$K151&lt;worse_at),"in line",IF($K151&gt;=worse_at,IF(AND(ISNUMBER($L151),$L151&lt;significance_bar),"worse","worse, not significant"),IF(AND(ISNUMBER($L151),$L151&lt;significance_bar),"better","better, not significant")))))</f>
        <v/>
      </c>
      <c r="X151">
        <f>IF($M151="","",IF($I151,"too few losses to test",IF(AND($M151&gt;better_at,$M151&lt;worse_at),"in line",IF($M151&gt;=worse_at,IF(AND(ISNUMBER($N151),$N151&lt;significance_bar),"worse","worse, not significant"),IF(AND(ISNUMBER($N151),$N151&lt;significance_bar),"better","better, not significant")))))</f>
        <v/>
      </c>
      <c r="Y151">
        <f>IF($V151,$X151,$W151)</f>
        <v/>
      </c>
      <c r="Z151">
        <f>IF($V151,IF($P151="","",$P151),IF($O151="","",$O151))</f>
        <v/>
      </c>
      <c r="AA151">
        <f>IF(OR($Q151="",$Z151=""),"",IF(AND($Z151&gt;0,$Z151&gt;=$Q151),"yes","below the line"))</f>
        <v/>
      </c>
      <c r="AB151">
        <f>IF($V151,IF($M151="","",$M151),IF($K151="","",$K151))</f>
        <v/>
      </c>
      <c r="AC151">
        <f>IF($V151,IF($N151="","",$N151),IF($L151="","",$L151))</f>
        <v/>
      </c>
      <c r="AD151">
        <f>$Y151</f>
        <v/>
      </c>
      <c r="AE151">
        <f>IF($V151,IF($S151="","",$S151),IF($R151="","",$R151))</f>
        <v/>
      </c>
      <c r="AF151">
        <f>IF($V151,IF($U151="","",$U151),IF($T151="","",$T151))</f>
        <v/>
      </c>
      <c r="AG151">
        <f>IF($V151,IF($O151="","",$O151),IF($P151="","",$P151))</f>
        <v/>
      </c>
      <c r="AH151" t="n">
        <v>0.1231658585862879</v>
      </c>
      <c r="AI151">
        <f>IF($Y151="worse","Yes",IF($Y151="worse, not significant","Not sure",IF(OR($Y151="too few losses to test",$Y151="too few loans to test"),"Too few losses",IF($Y151="","","No"))))</f>
        <v/>
      </c>
      <c r="AJ151">
        <f>IF($AA151="yes","Yes",IF($AA151="","","No"))</f>
        <v/>
      </c>
    </row>
    <row r="152">
      <c r="A152" t="inlineStr">
        <is>
          <t>grids</t>
        </is>
      </c>
      <c r="B152" t="inlineStr">
        <is>
          <t>FICO x ASSET_CLASS</t>
        </is>
      </c>
      <c r="C152" t="inlineStr">
        <is>
          <t>496 - 653</t>
        </is>
      </c>
      <c r="D152" t="inlineStr">
        <is>
          <t>4</t>
        </is>
      </c>
      <c r="E152" t="inlineStr">
        <is>
          <t>ranr_rate</t>
        </is>
      </c>
      <c r="F152" t="inlineStr">
        <is>
          <t>Profit after losses: RANR per booked dollar</t>
        </is>
      </c>
      <c r="G152" t="n">
        <v>392</v>
      </c>
      <c r="H152" t="n">
        <v>12285908.59000001</v>
      </c>
      <c r="I152" t="b">
        <v>0</v>
      </c>
      <c r="J152" t="b">
        <v>0</v>
      </c>
      <c r="K152" t="n">
        <v>0.02603516596237668</v>
      </c>
      <c r="L152" t="n">
        <v>0.01984176582341766</v>
      </c>
      <c r="M152" t="n">
        <v>-0.04932817268520837</v>
      </c>
      <c r="N152" t="n">
        <v>0.047995200479952</v>
      </c>
      <c r="O152" t="n">
        <v>-319865.6691392392</v>
      </c>
      <c r="P152" t="n">
        <v>606041.4205222053</v>
      </c>
      <c r="Q152">
        <f>'_live'!$C$23</f>
        <v/>
      </c>
      <c r="R152" t="inlineStr">
        <is>
          <t>shuffled: 125 of 10,000</t>
        </is>
      </c>
      <c r="S152" t="inlineStr">
        <is>
          <t>shuffled: 19 of 10,000</t>
        </is>
      </c>
      <c r="T152" t="n">
        <v>0.1267505890551934</v>
      </c>
      <c r="U152" t="n">
        <v>0.2021139277027784</v>
      </c>
      <c r="V152">
        <f>AND(judged_band,NOT($J152))</f>
        <v/>
      </c>
      <c r="W152">
        <f>IF($K152="","",IF(profit_kind="test",IF(OR(NOT(AND(ISNUMBER($L152),$L152&lt;significance_bar)),$K152=0),"in line",IF($K152&lt;0,"worse","better")),IF(OR($K152=0,IF(profit_kind="points",ABS($K152),ABS($K152*$H152))&lt;profit_line*(1-1E-9)),"in line",IF(AND(ISNUMBER($L152),$L152&lt;significance_bar),IF($K152&lt;0,"worse","better"),IF($K152&lt;0,"worse, not significant","better, not significant")))))</f>
        <v/>
      </c>
      <c r="X152">
        <f>IF($M152="","",IF(profit_kind="test",IF(OR(NOT(AND(ISNUMBER($N152),$N152&lt;significance_bar)),$M152=0),"in line",IF($M152&lt;0,"worse","better")),IF(OR($M152=0,IF(profit_kind="points",ABS($M152),ABS($M152*$H152))&lt;profit_line*(1-1E-9)),"in line",IF(AND(ISNUMBER($N152),$N152&lt;significance_bar),IF($M152&lt;0,"worse","better"),IF($M152&lt;0,"worse, not significant","better, not significant")))))</f>
        <v/>
      </c>
      <c r="Y152">
        <f>IF($V152,$X152,$W152)</f>
        <v/>
      </c>
      <c r="Z152">
        <f>IF($V152,IF($P152="","",$P152),IF($O152="","",$O152))</f>
        <v/>
      </c>
      <c r="AA152">
        <f>IF(OR($Q152="",$Z152=""),"",IF(AND($Z152&gt;0,$Z152&gt;=$Q152),"yes","below the line"))</f>
        <v/>
      </c>
      <c r="AB152">
        <f>IF($V152,IF($M152="","",$M152),IF($K152="","",$K152))</f>
        <v/>
      </c>
      <c r="AC152">
        <f>IF($V152,IF($N152="","",$N152),IF($L152="","",$L152))</f>
        <v/>
      </c>
      <c r="AD152">
        <f>IF($Y152="","",IF($Y152="in line",IF(profit_kind="test",IF(ROUND($AB152*100,2)=0,"0.00",TEXT($AB152*100,"+0.00;-0.00"))&amp;" points against "&amp;IF($V152,"its band","the book")&amp;", "&amp;IF($AC152="","not tested","not significant"),IF(profit_kind="points","within "&amp;TEXT(profit_line*100,"0.00")&amp;" points of "&amp;IF($V152,"its band","the book")&amp;" ("&amp;IF(ROUND($AB152*100,2)=0,"0.00",TEXT($AB152*100,"+0.00;-0.00"))&amp;")","within $"&amp;TEXT(profit_line,"#,##0")&amp;" of "&amp;IF($V152,"its band","the book")&amp;" ("&amp;IF(ROUND($AB152*100,2)=0,"0.00",TEXT($AB152*100,"+0.00;-0.00"))&amp;" points)")),IF(LEFT($Y152,5)="worse","short of ","ahead of ")&amp;IF($V152,"its band","the book")&amp;" by "&amp;TEXT(ABS($AB152)*100,"0.00")&amp;" points"&amp;IF($Z152="",""," ($"&amp;TEXT(ABS($Z152),"#,##0")&amp;")")&amp;IF(RIGHT($Y152,15)="not significant"," (not significant)","")))</f>
        <v/>
      </c>
      <c r="AE152">
        <f>IF($V152,IF($S152="","",$S152),IF($R152="","",$R152))</f>
        <v/>
      </c>
      <c r="AF152">
        <f>IF($V152,IF($U152="","",$U152),IF($T152="","",$T152))</f>
        <v/>
      </c>
      <c r="AG152">
        <f>IF($V152,IF($O152="","",$O152),IF($P152="","",$P152))</f>
        <v/>
      </c>
      <c r="AH152" t="n">
        <v>0.1527857550175701</v>
      </c>
      <c r="AI152">
        <f>IF($Y152="worse","Yes",IF($Y152="worse, not significant","Not sure",IF(OR($Y152="too few losses to test",$Y152="too few loans to test"),"Too few losses",IF($Y152="","","No"))))</f>
        <v/>
      </c>
      <c r="AJ152">
        <f>IF($AA152="yes","Yes",IF($AA152="","","No"))</f>
        <v/>
      </c>
    </row>
    <row r="153">
      <c r="A153" t="inlineStr">
        <is>
          <t>grids</t>
        </is>
      </c>
      <c r="B153" t="inlineStr">
        <is>
          <t>FICO x ASSET_CLASS</t>
        </is>
      </c>
      <c r="C153" t="inlineStr">
        <is>
          <t>496 - 653</t>
        </is>
      </c>
      <c r="D153" t="inlineStr">
        <is>
          <t>4</t>
        </is>
      </c>
      <c r="E153" t="inlineStr">
        <is>
          <t>contribution_rate</t>
        </is>
      </c>
      <c r="F153" t="inlineStr">
        <is>
          <t>Contribution before losses per booked dollar</t>
        </is>
      </c>
      <c r="G153" t="n">
        <v>392</v>
      </c>
      <c r="H153" t="n">
        <v>12285908.59000001</v>
      </c>
      <c r="I153" t="b">
        <v>0</v>
      </c>
      <c r="J153" t="b">
        <v>0</v>
      </c>
      <c r="K153" t="n">
        <v>0.1116765816526444</v>
      </c>
      <c r="L153" t="n">
        <v>0.0001562343765623438</v>
      </c>
      <c r="M153" t="n">
        <v>0.003070723006048548</v>
      </c>
      <c r="N153" t="n">
        <v>0.9216078392160784</v>
      </c>
      <c r="O153" t="n">
        <v>-1372048.27382806</v>
      </c>
      <c r="P153" t="n">
        <v>-37726.62215752201</v>
      </c>
      <c r="Q153">
        <f>'_live'!$C$24</f>
        <v/>
      </c>
      <c r="R153" t="inlineStr">
        <is>
          <t>shuffled: 0 of 10,000</t>
        </is>
      </c>
      <c r="S153" t="inlineStr">
        <is>
          <t>shuffled: 7,494 of 10,000</t>
        </is>
      </c>
      <c r="T153" t="n">
        <v>0.1642750319512134</v>
      </c>
      <c r="U153" t="n">
        <v>0.2728808905978092</v>
      </c>
      <c r="V153">
        <f>AND(judged_band,NOT($J153))</f>
        <v/>
      </c>
      <c r="W153">
        <f>IF($K153="","",IF(profit_kind="test",IF(OR(NOT(AND(ISNUMBER($L153),$L153&lt;significance_bar)),$K153=0),"in line",IF($K153&lt;0,"worse","better")),IF(OR($K153=0,IF(profit_kind="points",ABS($K153),ABS($K153*$H153))&lt;profit_line*(1-1E-9)),"in line",IF(AND(ISNUMBER($L153),$L153&lt;significance_bar),IF($K153&lt;0,"worse","better"),IF($K153&lt;0,"worse, not significant","better, not significant")))))</f>
        <v/>
      </c>
      <c r="X153">
        <f>IF($M153="","",IF(profit_kind="test",IF(OR(NOT(AND(ISNUMBER($N153),$N153&lt;significance_bar)),$M153=0),"in line",IF($M153&lt;0,"worse","better")),IF(OR($M153=0,IF(profit_kind="points",ABS($M153),ABS($M153*$H153))&lt;profit_line*(1-1E-9)),"in line",IF(AND(ISNUMBER($N153),$N153&lt;significance_bar),IF($M153&lt;0,"worse","better"),IF($M153&lt;0,"worse, not significant","better, not significant")))))</f>
        <v/>
      </c>
      <c r="Y153">
        <f>IF($V153,$X153,$W153)</f>
        <v/>
      </c>
      <c r="Z153">
        <f>IF($V153,IF($P153="","",$P153),IF($O153="","",$O153))</f>
        <v/>
      </c>
      <c r="AA153">
        <f>IF(OR($Q153="",$Z153=""),"",IF(AND($Z153&gt;0,$Z153&gt;=$Q153),"yes","below the line"))</f>
        <v/>
      </c>
      <c r="AB153">
        <f>IF($V153,IF($M153="","",$M153),IF($K153="","",$K153))</f>
        <v/>
      </c>
      <c r="AC153">
        <f>IF($V153,IF($N153="","",$N153),IF($L153="","",$L153))</f>
        <v/>
      </c>
      <c r="AD153">
        <f>IF($Y153="","",IF($Y153="in line",IF(profit_kind="test",IF(ROUND($AB153*100,2)=0,"0.00",TEXT($AB153*100,"+0.00;-0.00"))&amp;" points against "&amp;IF($V153,"its band","the book")&amp;", "&amp;IF($AC153="","not tested","not significant"),IF(profit_kind="points","within "&amp;TEXT(profit_line*100,"0.00")&amp;" points of "&amp;IF($V153,"its band","the book")&amp;" ("&amp;IF(ROUND($AB153*100,2)=0,"0.00",TEXT($AB153*100,"+0.00;-0.00"))&amp;")","within $"&amp;TEXT(profit_line,"#,##0")&amp;" of "&amp;IF($V153,"its band","the book")&amp;" ("&amp;IF(ROUND($AB153*100,2)=0,"0.00",TEXT($AB153*100,"+0.00;-0.00"))&amp;" points)")),IF(LEFT($Y153,5)="worse","short of ","ahead of ")&amp;IF($V153,"its band","the book")&amp;" by "&amp;TEXT(ABS($AB153)*100,"0.00")&amp;" points"&amp;IF($Z153="",""," ($"&amp;TEXT(ABS($Z153),"#,##0")&amp;")")&amp;IF(RIGHT($Y153,15)="not significant"," (not significant)","")))</f>
        <v/>
      </c>
      <c r="AE153">
        <f>IF($V153,IF($S153="","",$S153),IF($R153="","",$R153))</f>
        <v/>
      </c>
      <c r="AF153">
        <f>IF($V153,IF($U153="","",$U153),IF($T153="","",$T153))</f>
        <v/>
      </c>
      <c r="AG153">
        <f>IF($V153,IF($O153="","",$O153),IF($P153="","",$P153))</f>
        <v/>
      </c>
      <c r="AH153" t="n">
        <v>0.2759516136038578</v>
      </c>
      <c r="AI153">
        <f>IF($Y153="worse","Yes",IF($Y153="worse, not significant","Not sure",IF(OR($Y153="too few losses to test",$Y153="too few loans to test"),"Too few losses",IF($Y153="","","No"))))</f>
        <v/>
      </c>
      <c r="AJ153">
        <f>IF($AA153="yes","Yes",IF($AA153="","","No"))</f>
        <v/>
      </c>
    </row>
    <row r="154">
      <c r="A154" t="inlineStr">
        <is>
          <t>grids</t>
        </is>
      </c>
      <c r="B154" t="inlineStr">
        <is>
          <t>FICO x ASSET_CLASS</t>
        </is>
      </c>
      <c r="C154" t="inlineStr">
        <is>
          <t>686 - 711</t>
        </is>
      </c>
      <c r="D154" t="inlineStr">
        <is>
          <t>4</t>
        </is>
      </c>
      <c r="E154" t="inlineStr">
        <is>
          <t>outcome_loans</t>
        </is>
      </c>
      <c r="F154" t="inlineStr">
        <is>
          <t>Outcome, share of loans</t>
        </is>
      </c>
      <c r="G154" t="n">
        <v>407</v>
      </c>
      <c r="H154" t="n">
        <v>407</v>
      </c>
      <c r="I154" t="b">
        <v>0</v>
      </c>
      <c r="J154" t="b">
        <v>0</v>
      </c>
      <c r="K154" t="n">
        <v>1.050456599944655</v>
      </c>
      <c r="L154" t="n">
        <v>0.8152823360643332</v>
      </c>
      <c r="M154" t="n">
        <v>1.486486486486487</v>
      </c>
      <c r="N154" t="n">
        <v>0.1579294815553713</v>
      </c>
      <c r="O154" t="n">
        <v>1.585089567966278</v>
      </c>
      <c r="P154" t="n">
        <v>10.8</v>
      </c>
      <c r="Q154">
        <f>'_live'!$C$20</f>
        <v/>
      </c>
      <c r="R154" t="inlineStr">
        <is>
          <t>z test</t>
        </is>
      </c>
      <c r="S154" t="inlineStr">
        <is>
          <t>z test</t>
        </is>
      </c>
      <c r="T154" t="n">
        <v>0.07718651211801897</v>
      </c>
      <c r="U154" t="n">
        <v>0.05454545454545454</v>
      </c>
      <c r="V154">
        <f>AND(judged_band,NOT($J154))</f>
        <v/>
      </c>
      <c r="W154">
        <f>IF($K154="","",IF($I154,"too few losses to test",IF(AND($K154&gt;better_at,$K154&lt;worse_at),"in line",IF($K154&gt;=worse_at,IF(AND(ISNUMBER($L154),$L154&lt;significance_bar),"worse","worse, not significant"),IF(AND(ISNUMBER($L154),$L154&lt;significance_bar),"better","better, not significant")))))</f>
        <v/>
      </c>
      <c r="X154">
        <f>IF($M154="","",IF($I154,"too few losses to test",IF(AND($M154&gt;better_at,$M154&lt;worse_at),"in line",IF($M154&gt;=worse_at,IF(AND(ISNUMBER($N154),$N154&lt;significance_bar),"worse","worse, not significant"),IF(AND(ISNUMBER($N154),$N154&lt;significance_bar),"better","better, not significant")))))</f>
        <v/>
      </c>
      <c r="Y154">
        <f>IF($V154,$X154,$W154)</f>
        <v/>
      </c>
      <c r="Z154">
        <f>IF($V154,IF($P154="","",$P154),IF($O154="","",$O154))</f>
        <v/>
      </c>
      <c r="AA154">
        <f>IF(OR($Q154="",$Z154=""),"",IF(AND($Z154&gt;0,$Z154&gt;=$Q154),"yes","below the line"))</f>
        <v/>
      </c>
      <c r="AB154">
        <f>IF($V154,IF($M154="","",$M154),IF($K154="","",$K154))</f>
        <v/>
      </c>
      <c r="AC154">
        <f>IF($V154,IF($N154="","",$N154),IF($L154="","",$L154))</f>
        <v/>
      </c>
      <c r="AD154">
        <f>$Y154</f>
        <v/>
      </c>
      <c r="AE154">
        <f>IF($V154,IF($S154="","",$S154),IF($R154="","",$R154))</f>
        <v/>
      </c>
      <c r="AF154">
        <f>IF($V154,IF($U154="","",$U154),IF($T154="","",$T154))</f>
        <v/>
      </c>
      <c r="AG154">
        <f>IF($V154,IF($O154="","",$O154),IF($P154="","",$P154))</f>
        <v/>
      </c>
      <c r="AH154" t="n">
        <v>0.08108108108108109</v>
      </c>
      <c r="AI154">
        <f>IF($Y154="worse","Yes",IF($Y154="worse, not significant","Not sure",IF(OR($Y154="too few losses to test",$Y154="too few loans to test"),"Too few losses",IF($Y154="","","No"))))</f>
        <v/>
      </c>
      <c r="AJ154">
        <f>IF($AA154="yes","Yes",IF($AA154="","","No"))</f>
        <v/>
      </c>
    </row>
    <row r="155">
      <c r="A155" t="inlineStr">
        <is>
          <t>grids</t>
        </is>
      </c>
      <c r="B155" t="inlineStr">
        <is>
          <t>FICO x ASSET_CLASS</t>
        </is>
      </c>
      <c r="C155" t="inlineStr">
        <is>
          <t>686 - 711</t>
        </is>
      </c>
      <c r="D155" t="inlineStr">
        <is>
          <t>4</t>
        </is>
      </c>
      <c r="E155" t="inlineStr">
        <is>
          <t>outcome_booked</t>
        </is>
      </c>
      <c r="F155" t="inlineStr">
        <is>
          <t>Outcome, share of booked dollars</t>
        </is>
      </c>
      <c r="G155" t="n">
        <v>407</v>
      </c>
      <c r="H155" t="n">
        <v>13476497.31999999</v>
      </c>
      <c r="I155" t="b">
        <v>0</v>
      </c>
      <c r="J155" t="b">
        <v>0</v>
      </c>
      <c r="K155" t="n">
        <v>0.857081583010819</v>
      </c>
      <c r="L155" t="n">
        <v>0.4835305943089901</v>
      </c>
      <c r="M155" t="n">
        <v>1.194871410271308</v>
      </c>
      <c r="N155" t="n">
        <v>0.7232133929464197</v>
      </c>
      <c r="O155" t="n">
        <v>-145207.2480064231</v>
      </c>
      <c r="P155" t="n">
        <v>142019.9053349041</v>
      </c>
      <c r="Q155">
        <f>'_live'!$C$21</f>
        <v/>
      </c>
      <c r="R155" t="inlineStr">
        <is>
          <t>shuffled: 4,593 of 10,000</t>
        </is>
      </c>
      <c r="S155" t="inlineStr">
        <is>
          <t>shuffled: 4,712 of 10,000</t>
        </is>
      </c>
      <c r="T155" t="n">
        <v>0.07539161874789166</v>
      </c>
      <c r="U155" t="n">
        <v>0.05407842834528879</v>
      </c>
      <c r="V155">
        <f>AND(judged_band,NOT($J155))</f>
        <v/>
      </c>
      <c r="W155">
        <f>IF($K155="","",IF($I155,"too few losses to test",IF(AND($K155&gt;better_at,$K155&lt;worse_at),"in line",IF($K155&gt;=worse_at,IF(AND(ISNUMBER($L155),$L155&lt;significance_bar),"worse","worse, not significant"),IF(AND(ISNUMBER($L155),$L155&lt;significance_bar),"better","better, not significant")))))</f>
        <v/>
      </c>
      <c r="X155">
        <f>IF($M155="","",IF($I155,"too few losses to test",IF(AND($M155&gt;better_at,$M155&lt;worse_at),"in line",IF($M155&gt;=worse_at,IF(AND(ISNUMBER($N155),$N155&lt;significance_bar),"worse","worse, not significant"),IF(AND(ISNUMBER($N155),$N155&lt;significance_bar),"better","better, not significant")))))</f>
        <v/>
      </c>
      <c r="Y155">
        <f>IF($V155,$X155,$W155)</f>
        <v/>
      </c>
      <c r="Z155">
        <f>IF($V155,IF($P155="","",$P155),IF($O155="","",$O155))</f>
        <v/>
      </c>
      <c r="AA155">
        <f>IF(OR($Q155="",$Z155=""),"",IF(AND($Z155&gt;0,$Z155&gt;=$Q155),"yes","below the line"))</f>
        <v/>
      </c>
      <c r="AB155">
        <f>IF($V155,IF($M155="","",$M155),IF($K155="","",$K155))</f>
        <v/>
      </c>
      <c r="AC155">
        <f>IF($V155,IF($N155="","",$N155),IF($L155="","",$L155))</f>
        <v/>
      </c>
      <c r="AD155">
        <f>$Y155</f>
        <v/>
      </c>
      <c r="AE155">
        <f>IF($V155,IF($S155="","",$S155),IF($R155="","",$R155))</f>
        <v/>
      </c>
      <c r="AF155">
        <f>IF($V155,IF($U155="","",$U155),IF($T155="","",$T155))</f>
        <v/>
      </c>
      <c r="AG155">
        <f>IF($V155,IF($O155="","",$O155),IF($P155="","",$P155))</f>
        <v/>
      </c>
      <c r="AH155" t="n">
        <v>0.06461676794219112</v>
      </c>
      <c r="AI155">
        <f>IF($Y155="worse","Yes",IF($Y155="worse, not significant","Not sure",IF(OR($Y155="too few losses to test",$Y155="too few loans to test"),"Too few losses",IF($Y155="","","No"))))</f>
        <v/>
      </c>
      <c r="AJ155">
        <f>IF($AA155="yes","Yes",IF($AA155="","","No"))</f>
        <v/>
      </c>
    </row>
    <row r="156">
      <c r="A156" t="inlineStr">
        <is>
          <t>grids</t>
        </is>
      </c>
      <c r="B156" t="inlineStr">
        <is>
          <t>FICO x ASSET_CLASS</t>
        </is>
      </c>
      <c r="C156" t="inlineStr">
        <is>
          <t>686 - 711</t>
        </is>
      </c>
      <c r="D156" t="inlineStr">
        <is>
          <t>4</t>
        </is>
      </c>
      <c r="E156" t="inlineStr">
        <is>
          <t>gco_rate</t>
        </is>
      </c>
      <c r="F156" t="inlineStr">
        <is>
          <t>GCO per booked dollar</t>
        </is>
      </c>
      <c r="G156" t="n">
        <v>407</v>
      </c>
      <c r="H156" t="n">
        <v>13476497.31999999</v>
      </c>
      <c r="I156" t="b">
        <v>0</v>
      </c>
      <c r="J156" t="b">
        <v>0</v>
      </c>
      <c r="K156" t="n">
        <v>0.9106011065886029</v>
      </c>
      <c r="L156" t="n">
        <v>0.6561343865613438</v>
      </c>
      <c r="M156" t="n">
        <v>1.305148031995351</v>
      </c>
      <c r="N156" t="n">
        <v>0.5519448055194481</v>
      </c>
      <c r="O156" t="n">
        <v>-50360.49827215681</v>
      </c>
      <c r="P156" t="n">
        <v>119932.4897640952</v>
      </c>
      <c r="Q156">
        <f>'_live'!$C$22</f>
        <v/>
      </c>
      <c r="R156" t="inlineStr">
        <is>
          <t>shuffled: 6,561 of 10,000</t>
        </is>
      </c>
      <c r="S156" t="inlineStr">
        <is>
          <t>shuffled: 2,850 of 10,000</t>
        </is>
      </c>
      <c r="T156" t="n">
        <v>0.04180043930525985</v>
      </c>
      <c r="U156" t="n">
        <v>0.02916414487410034</v>
      </c>
      <c r="V156">
        <f>AND(judged_band,NOT($J156))</f>
        <v/>
      </c>
      <c r="W156">
        <f>IF($K156="","",IF($I156,"too few losses to test",IF(AND($K156&gt;better_at,$K156&lt;worse_at),"in line",IF($K156&gt;=worse_at,IF(AND(ISNUMBER($L156),$L156&lt;significance_bar),"worse","worse, not significant"),IF(AND(ISNUMBER($L156),$L156&lt;significance_bar),"better","better, not significant")))))</f>
        <v/>
      </c>
      <c r="X156">
        <f>IF($M156="","",IF($I156,"too few losses to test",IF(AND($M156&gt;better_at,$M156&lt;worse_at),"in line",IF($M156&gt;=worse_at,IF(AND(ISNUMBER($N156),$N156&lt;significance_bar),"worse","worse, not significant"),IF(AND(ISNUMBER($N156),$N156&lt;significance_bar),"better","better, not significant")))))</f>
        <v/>
      </c>
      <c r="Y156">
        <f>IF($V156,$X156,$W156)</f>
        <v/>
      </c>
      <c r="Z156">
        <f>IF($V156,IF($P156="","",$P156),IF($O156="","",$O156))</f>
        <v/>
      </c>
      <c r="AA156">
        <f>IF(OR($Q156="",$Z156=""),"",IF(AND($Z156&gt;0,$Z156&gt;=$Q156),"yes","below the line"))</f>
        <v/>
      </c>
      <c r="AB156">
        <f>IF($V156,IF($M156="","",$M156),IF($K156="","",$K156))</f>
        <v/>
      </c>
      <c r="AC156">
        <f>IF($V156,IF($N156="","",$N156),IF($L156="","",$L156))</f>
        <v/>
      </c>
      <c r="AD156">
        <f>$Y156</f>
        <v/>
      </c>
      <c r="AE156">
        <f>IF($V156,IF($S156="","",$S156),IF($R156="","",$R156))</f>
        <v/>
      </c>
      <c r="AF156">
        <f>IF($V156,IF($U156="","",$U156),IF($T156="","",$T156))</f>
        <v/>
      </c>
      <c r="AG156">
        <f>IF($V156,IF($O156="","",$O156),IF($P156="","",$P156))</f>
        <v/>
      </c>
      <c r="AH156" t="n">
        <v>0.03806352628725936</v>
      </c>
      <c r="AI156">
        <f>IF($Y156="worse","Yes",IF($Y156="worse, not significant","Not sure",IF(OR($Y156="too few losses to test",$Y156="too few loans to test"),"Too few losses",IF($Y156="","","No"))))</f>
        <v/>
      </c>
      <c r="AJ156">
        <f>IF($AA156="yes","Yes",IF($AA156="","","No"))</f>
        <v/>
      </c>
    </row>
    <row r="157">
      <c r="A157" t="inlineStr">
        <is>
          <t>grids</t>
        </is>
      </c>
      <c r="B157" t="inlineStr">
        <is>
          <t>FICO x ASSET_CLASS</t>
        </is>
      </c>
      <c r="C157" t="inlineStr">
        <is>
          <t>686 - 711</t>
        </is>
      </c>
      <c r="D157" t="inlineStr">
        <is>
          <t>4</t>
        </is>
      </c>
      <c r="E157" t="inlineStr">
        <is>
          <t>ranr_rate</t>
        </is>
      </c>
      <c r="F157" t="inlineStr">
        <is>
          <t>Profit after losses: RANR per booked dollar</t>
        </is>
      </c>
      <c r="G157" t="n">
        <v>407</v>
      </c>
      <c r="H157" t="n">
        <v>13476497.31999999</v>
      </c>
      <c r="I157" t="b">
        <v>0</v>
      </c>
      <c r="J157" t="b">
        <v>0</v>
      </c>
      <c r="K157" t="n">
        <v>0.01532678620371744</v>
      </c>
      <c r="L157" t="n">
        <v>0.1935917519359175</v>
      </c>
      <c r="M157" t="n">
        <v>0.000812875747486369</v>
      </c>
      <c r="N157" t="n">
        <v>0.959004099590041</v>
      </c>
      <c r="O157" t="n">
        <v>-206551.393198611</v>
      </c>
      <c r="P157" t="n">
        <v>-10954.71783249313</v>
      </c>
      <c r="Q157">
        <f>'_live'!$C$23</f>
        <v/>
      </c>
      <c r="R157" t="inlineStr">
        <is>
          <t>shuffled: 1,393 of 10,000</t>
        </is>
      </c>
      <c r="S157" t="inlineStr">
        <is>
          <t>shuffled: 9,363 of 10,000</t>
        </is>
      </c>
      <c r="T157" t="n">
        <v>0.1271896751878989</v>
      </c>
      <c r="U157" t="n">
        <v>0.14170358564413</v>
      </c>
      <c r="V157">
        <f>AND(judged_band,NOT($J157))</f>
        <v/>
      </c>
      <c r="W157">
        <f>IF($K157="","",IF(profit_kind="test",IF(OR(NOT(AND(ISNUMBER($L157),$L157&lt;significance_bar)),$K157=0),"in line",IF($K157&lt;0,"worse","better")),IF(OR($K157=0,IF(profit_kind="points",ABS($K157),ABS($K157*$H157))&lt;profit_line*(1-1E-9)),"in line",IF(AND(ISNUMBER($L157),$L157&lt;significance_bar),IF($K157&lt;0,"worse","better"),IF($K157&lt;0,"worse, not significant","better, not significant")))))</f>
        <v/>
      </c>
      <c r="X157">
        <f>IF($M157="","",IF(profit_kind="test",IF(OR(NOT(AND(ISNUMBER($N157),$N157&lt;significance_bar)),$M157=0),"in line",IF($M157&lt;0,"worse","better")),IF(OR($M157=0,IF(profit_kind="points",ABS($M157),ABS($M157*$H157))&lt;profit_line*(1-1E-9)),"in line",IF(AND(ISNUMBER($N157),$N157&lt;significance_bar),IF($M157&lt;0,"worse","better"),IF($M157&lt;0,"worse, not significant","better, not significant")))))</f>
        <v/>
      </c>
      <c r="Y157">
        <f>IF($V157,$X157,$W157)</f>
        <v/>
      </c>
      <c r="Z157">
        <f>IF($V157,IF($P157="","",$P157),IF($O157="","",$O157))</f>
        <v/>
      </c>
      <c r="AA157">
        <f>IF(OR($Q157="",$Z157=""),"",IF(AND($Z157&gt;0,$Z157&gt;=$Q157),"yes","below the line"))</f>
        <v/>
      </c>
      <c r="AB157">
        <f>IF($V157,IF($M157="","",$M157),IF($K157="","",$K157))</f>
        <v/>
      </c>
      <c r="AC157">
        <f>IF($V157,IF($N157="","",$N157),IF($L157="","",$L157))</f>
        <v/>
      </c>
      <c r="AD157">
        <f>IF($Y157="","",IF($Y157="in line",IF(profit_kind="test",IF(ROUND($AB157*100,2)=0,"0.00",TEXT($AB157*100,"+0.00;-0.00"))&amp;" points against "&amp;IF($V157,"its band","the book")&amp;", "&amp;IF($AC157="","not tested","not significant"),IF(profit_kind="points","within "&amp;TEXT(profit_line*100,"0.00")&amp;" points of "&amp;IF($V157,"its band","the book")&amp;" ("&amp;IF(ROUND($AB157*100,2)=0,"0.00",TEXT($AB157*100,"+0.00;-0.00"))&amp;")","within $"&amp;TEXT(profit_line,"#,##0")&amp;" of "&amp;IF($V157,"its band","the book")&amp;" ("&amp;IF(ROUND($AB157*100,2)=0,"0.00",TEXT($AB157*100,"+0.00;-0.00"))&amp;" points)")),IF(LEFT($Y157,5)="worse","short of ","ahead of ")&amp;IF($V157,"its band","the book")&amp;" by "&amp;TEXT(ABS($AB157)*100,"0.00")&amp;" points"&amp;IF($Z157="",""," ($"&amp;TEXT(ABS($Z157),"#,##0")&amp;")")&amp;IF(RIGHT($Y157,15)="not significant"," (not significant)","")))</f>
        <v/>
      </c>
      <c r="AE157">
        <f>IF($V157,IF($S157="","",$S157),IF($R157="","",$R157))</f>
        <v/>
      </c>
      <c r="AF157">
        <f>IF($V157,IF($U157="","",$U157),IF($T157="","",$T157))</f>
        <v/>
      </c>
      <c r="AG157">
        <f>IF($V157,IF($O157="","",$O157),IF($P157="","",$P157))</f>
        <v/>
      </c>
      <c r="AH157" t="n">
        <v>0.1425164613916163</v>
      </c>
      <c r="AI157">
        <f>IF($Y157="worse","Yes",IF($Y157="worse, not significant","Not sure",IF(OR($Y157="too few losses to test",$Y157="too few loans to test"),"Too few losses",IF($Y157="","","No"))))</f>
        <v/>
      </c>
      <c r="AJ157">
        <f>IF($AA157="yes","Yes",IF($AA157="","","No"))</f>
        <v/>
      </c>
    </row>
    <row r="158">
      <c r="A158" t="inlineStr">
        <is>
          <t>grids</t>
        </is>
      </c>
      <c r="B158" t="inlineStr">
        <is>
          <t>FICO x ASSET_CLASS</t>
        </is>
      </c>
      <c r="C158" t="inlineStr">
        <is>
          <t>686 - 711</t>
        </is>
      </c>
      <c r="D158" t="inlineStr">
        <is>
          <t>4</t>
        </is>
      </c>
      <c r="E158" t="inlineStr">
        <is>
          <t>contribution_rate</t>
        </is>
      </c>
      <c r="F158" t="inlineStr">
        <is>
          <t>Contribution before losses per booked dollar</t>
        </is>
      </c>
      <c r="G158" t="n">
        <v>407</v>
      </c>
      <c r="H158" t="n">
        <v>13476497.31999999</v>
      </c>
      <c r="I158" t="b">
        <v>0</v>
      </c>
      <c r="J158" t="b">
        <v>0</v>
      </c>
      <c r="K158" t="n">
        <v>0.01159301987601888</v>
      </c>
      <c r="L158" t="n">
        <v>0.13057517777634</v>
      </c>
      <c r="M158" t="n">
        <v>0.009712257160645471</v>
      </c>
      <c r="N158" t="n">
        <v>0.5723427657234277</v>
      </c>
      <c r="O158" t="n">
        <v>-156233.3012898751</v>
      </c>
      <c r="P158" t="n">
        <v>-130887.2075965893</v>
      </c>
      <c r="Q158">
        <f>'_live'!$C$24</f>
        <v/>
      </c>
      <c r="R158" t="inlineStr">
        <is>
          <t>shuffled: 887 of 10,000</t>
        </is>
      </c>
      <c r="S158" t="inlineStr">
        <is>
          <t>shuffled: 953 of 10,000</t>
        </is>
      </c>
      <c r="T158" t="n">
        <v>0.1689869678028568</v>
      </c>
      <c r="U158" t="n">
        <v>0.1708677305182302</v>
      </c>
      <c r="V158">
        <f>AND(judged_band,NOT($J158))</f>
        <v/>
      </c>
      <c r="W158">
        <f>IF($K158="","",IF(profit_kind="test",IF(OR(NOT(AND(ISNUMBER($L158),$L158&lt;significance_bar)),$K158=0),"in line",IF($K158&lt;0,"worse","better")),IF(OR($K158=0,IF(profit_kind="points",ABS($K158),ABS($K158*$H158))&lt;profit_line*(1-1E-9)),"in line",IF(AND(ISNUMBER($L158),$L158&lt;significance_bar),IF($K158&lt;0,"worse","better"),IF($K158&lt;0,"worse, not significant","better, not significant")))))</f>
        <v/>
      </c>
      <c r="X158">
        <f>IF($M158="","",IF(profit_kind="test",IF(OR(NOT(AND(ISNUMBER($N158),$N158&lt;significance_bar)),$M158=0),"in line",IF($M158&lt;0,"worse","better")),IF(OR($M158=0,IF(profit_kind="points",ABS($M158),ABS($M158*$H158))&lt;profit_line*(1-1E-9)),"in line",IF(AND(ISNUMBER($N158),$N158&lt;significance_bar),IF($M158&lt;0,"worse","better"),IF($M158&lt;0,"worse, not significant","better, not significant")))))</f>
        <v/>
      </c>
      <c r="Y158">
        <f>IF($V158,$X158,$W158)</f>
        <v/>
      </c>
      <c r="Z158">
        <f>IF($V158,IF($P158="","",$P158),IF($O158="","",$O158))</f>
        <v/>
      </c>
      <c r="AA158">
        <f>IF(OR($Q158="",$Z158=""),"",IF(AND($Z158&gt;0,$Z158&gt;=$Q158),"yes","below the line"))</f>
        <v/>
      </c>
      <c r="AB158">
        <f>IF($V158,IF($M158="","",$M158),IF($K158="","",$K158))</f>
        <v/>
      </c>
      <c r="AC158">
        <f>IF($V158,IF($N158="","",$N158),IF($L158="","",$L158))</f>
        <v/>
      </c>
      <c r="AD158">
        <f>IF($Y158="","",IF($Y158="in line",IF(profit_kind="test",IF(ROUND($AB158*100,2)=0,"0.00",TEXT($AB158*100,"+0.00;-0.00"))&amp;" points against "&amp;IF($V158,"its band","the book")&amp;", "&amp;IF($AC158="","not tested","not significant"),IF(profit_kind="points","within "&amp;TEXT(profit_line*100,"0.00")&amp;" points of "&amp;IF($V158,"its band","the book")&amp;" ("&amp;IF(ROUND($AB158*100,2)=0,"0.00",TEXT($AB158*100,"+0.00;-0.00"))&amp;")","within $"&amp;TEXT(profit_line,"#,##0")&amp;" of "&amp;IF($V158,"its band","the book")&amp;" ("&amp;IF(ROUND($AB158*100,2)=0,"0.00",TEXT($AB158*100,"+0.00;-0.00"))&amp;" points)")),IF(LEFT($Y158,5)="worse","short of ","ahead of ")&amp;IF($V158,"its band","the book")&amp;" by "&amp;TEXT(ABS($AB158)*100,"0.00")&amp;" points"&amp;IF($Z158="",""," ($"&amp;TEXT(ABS($Z158),"#,##0")&amp;")")&amp;IF(RIGHT($Y158,15)="not significant"," (not significant)","")))</f>
        <v/>
      </c>
      <c r="AE158">
        <f>IF($V158,IF($S158="","",$S158),IF($R158="","",$R158))</f>
        <v/>
      </c>
      <c r="AF158">
        <f>IF($V158,IF($U158="","",$U158),IF($T158="","",$T158))</f>
        <v/>
      </c>
      <c r="AG158">
        <f>IF($V158,IF($O158="","",$O158),IF($P158="","",$P158))</f>
        <v/>
      </c>
      <c r="AH158" t="n">
        <v>0.1805799876788757</v>
      </c>
      <c r="AI158">
        <f>IF($Y158="worse","Yes",IF($Y158="worse, not significant","Not sure",IF(OR($Y158="too few losses to test",$Y158="too few loans to test"),"Too few losses",IF($Y158="","","No"))))</f>
        <v/>
      </c>
      <c r="AJ158">
        <f>IF($AA158="yes","Yes",IF($AA158="","","No"))</f>
        <v/>
      </c>
    </row>
    <row r="159">
      <c r="A159" t="inlineStr">
        <is>
          <t>grids</t>
        </is>
      </c>
      <c r="B159" t="inlineStr">
        <is>
          <t>FICO x ASSET_CLASS</t>
        </is>
      </c>
      <c r="C159" t="inlineStr">
        <is>
          <t>654 - 685</t>
        </is>
      </c>
      <c r="D159" t="inlineStr">
        <is>
          <t>2</t>
        </is>
      </c>
      <c r="E159" t="inlineStr">
        <is>
          <t>outcome_loans</t>
        </is>
      </c>
      <c r="F159" t="inlineStr">
        <is>
          <t>Outcome, share of loans</t>
        </is>
      </c>
      <c r="G159" t="n">
        <v>355</v>
      </c>
      <c r="H159" t="n">
        <v>355</v>
      </c>
      <c r="I159" t="b">
        <v>0</v>
      </c>
      <c r="J159" t="b">
        <v>0</v>
      </c>
      <c r="K159" t="n">
        <v>0.7561543172075933</v>
      </c>
      <c r="L159" t="n">
        <v>0.2513618927468013</v>
      </c>
      <c r="M159" t="n">
        <v>0.6425636387130119</v>
      </c>
      <c r="N159" t="n">
        <v>0.1579294815553713</v>
      </c>
      <c r="O159" t="n">
        <v>-6.772108843537417</v>
      </c>
      <c r="P159" t="n">
        <v>-11.68158783783784</v>
      </c>
      <c r="Q159">
        <f>'_live'!$C$20</f>
        <v/>
      </c>
      <c r="R159" t="inlineStr">
        <is>
          <t>z test</t>
        </is>
      </c>
      <c r="S159" t="inlineStr">
        <is>
          <t>z test</t>
        </is>
      </c>
      <c r="T159" t="n">
        <v>0.07823129251700681</v>
      </c>
      <c r="U159" t="n">
        <v>0.09206081081081081</v>
      </c>
      <c r="V159">
        <f>AND(judged_band,NOT($J159))</f>
        <v/>
      </c>
      <c r="W159">
        <f>IF($K159="","",IF($I159,"too few losses to test",IF(AND($K159&gt;better_at,$K159&lt;worse_at),"in line",IF($K159&gt;=worse_at,IF(AND(ISNUMBER($L159),$L159&lt;significance_bar),"worse","worse, not significant"),IF(AND(ISNUMBER($L159),$L159&lt;significance_bar),"better","better, not significant")))))</f>
        <v/>
      </c>
      <c r="X159">
        <f>IF($M159="","",IF($I159,"too few losses to test",IF(AND($M159&gt;better_at,$M159&lt;worse_at),"in line",IF($M159&gt;=worse_at,IF(AND(ISNUMBER($N159),$N159&lt;significance_bar),"worse","worse, not significant"),IF(AND(ISNUMBER($N159),$N159&lt;significance_bar),"better","better, not significant")))))</f>
        <v/>
      </c>
      <c r="Y159">
        <f>IF($V159,$X159,$W159)</f>
        <v/>
      </c>
      <c r="Z159">
        <f>IF($V159,IF($P159="","",$P159),IF($O159="","",$O159))</f>
        <v/>
      </c>
      <c r="AA159">
        <f>IF(OR($Q159="",$Z159=""),"",IF(AND($Z159&gt;0,$Z159&gt;=$Q159),"yes","below the line"))</f>
        <v/>
      </c>
      <c r="AB159">
        <f>IF($V159,IF($M159="","",$M159),IF($K159="","",$K159))</f>
        <v/>
      </c>
      <c r="AC159">
        <f>IF($V159,IF($N159="","",$N159),IF($L159="","",$L159))</f>
        <v/>
      </c>
      <c r="AD159">
        <f>$Y159</f>
        <v/>
      </c>
      <c r="AE159">
        <f>IF($V159,IF($S159="","",$S159),IF($R159="","",$R159))</f>
        <v/>
      </c>
      <c r="AF159">
        <f>IF($V159,IF($U159="","",$U159),IF($T159="","",$T159))</f>
        <v/>
      </c>
      <c r="AG159">
        <f>IF($V159,IF($O159="","",$O159),IF($P159="","",$P159))</f>
        <v/>
      </c>
      <c r="AH159" t="n">
        <v>0.05915492957746479</v>
      </c>
      <c r="AI159">
        <f>IF($Y159="worse","Yes",IF($Y159="worse, not significant","Not sure",IF(OR($Y159="too few losses to test",$Y159="too few loans to test"),"Too few losses",IF($Y159="","","No"))))</f>
        <v/>
      </c>
      <c r="AJ159">
        <f>IF($AA159="yes","Yes",IF($AA159="","","No"))</f>
        <v/>
      </c>
    </row>
    <row r="160">
      <c r="A160" t="inlineStr">
        <is>
          <t>grids</t>
        </is>
      </c>
      <c r="B160" t="inlineStr">
        <is>
          <t>FICO x ASSET_CLASS</t>
        </is>
      </c>
      <c r="C160" t="inlineStr">
        <is>
          <t>654 - 685</t>
        </is>
      </c>
      <c r="D160" t="inlineStr">
        <is>
          <t>2</t>
        </is>
      </c>
      <c r="E160" t="inlineStr">
        <is>
          <t>outcome_booked</t>
        </is>
      </c>
      <c r="F160" t="inlineStr">
        <is>
          <t>Outcome, share of booked dollars</t>
        </is>
      </c>
      <c r="G160" t="n">
        <v>355</v>
      </c>
      <c r="H160" t="n">
        <v>11168462.05</v>
      </c>
      <c r="I160" t="b">
        <v>0</v>
      </c>
      <c r="J160" t="b">
        <v>0</v>
      </c>
      <c r="K160" t="n">
        <v>0.7343068026330004</v>
      </c>
      <c r="L160" t="n">
        <v>0.2828288599711458</v>
      </c>
      <c r="M160" t="n">
        <v>0.6392392239448949</v>
      </c>
      <c r="N160" t="n">
        <v>0.2939706029397061</v>
      </c>
      <c r="O160" t="n">
        <v>-224629.2729913873</v>
      </c>
      <c r="P160" t="n">
        <v>-350363.910370684</v>
      </c>
      <c r="Q160">
        <f>'_live'!$C$21</f>
        <v/>
      </c>
      <c r="R160" t="inlineStr">
        <is>
          <t>shuffled: 1,979 of 10,000</t>
        </is>
      </c>
      <c r="S160" t="inlineStr">
        <is>
          <t>shuffled: 751 of 10,000</t>
        </is>
      </c>
      <c r="T160" t="n">
        <v>0.07569941852391279</v>
      </c>
      <c r="U160" t="n">
        <v>0.08695742672740547</v>
      </c>
      <c r="V160">
        <f>AND(judged_band,NOT($J160))</f>
        <v/>
      </c>
      <c r="W160">
        <f>IF($K160="","",IF($I160,"too few losses to test",IF(AND($K160&gt;better_at,$K160&lt;worse_at),"in line",IF($K160&gt;=worse_at,IF(AND(ISNUMBER($L160),$L160&lt;significance_bar),"worse","worse, not significant"),IF(AND(ISNUMBER($L160),$L160&lt;significance_bar),"better","better, not significant")))))</f>
        <v/>
      </c>
      <c r="X160">
        <f>IF($M160="","",IF($I160,"too few losses to test",IF(AND($M160&gt;better_at,$M160&lt;worse_at),"in line",IF($M160&gt;=worse_at,IF(AND(ISNUMBER($N160),$N160&lt;significance_bar),"worse","worse, not significant"),IF(AND(ISNUMBER($N160),$N160&lt;significance_bar),"better","better, not significant")))))</f>
        <v/>
      </c>
      <c r="Y160">
        <f>IF($V160,$X160,$W160)</f>
        <v/>
      </c>
      <c r="Z160">
        <f>IF($V160,IF($P160="","",$P160),IF($O160="","",$O160))</f>
        <v/>
      </c>
      <c r="AA160">
        <f>IF(OR($Q160="",$Z160=""),"",IF(AND($Z160&gt;0,$Z160&gt;=$Q160),"yes","below the line"))</f>
        <v/>
      </c>
      <c r="AB160">
        <f>IF($V160,IF($M160="","",$M160),IF($K160="","",$K160))</f>
        <v/>
      </c>
      <c r="AC160">
        <f>IF($V160,IF($N160="","",$N160),IF($L160="","",$L160))</f>
        <v/>
      </c>
      <c r="AD160">
        <f>$Y160</f>
        <v/>
      </c>
      <c r="AE160">
        <f>IF($V160,IF($S160="","",$S160),IF($R160="","",$R160))</f>
        <v/>
      </c>
      <c r="AF160">
        <f>IF($V160,IF($U160="","",$U160),IF($T160="","",$T160))</f>
        <v/>
      </c>
      <c r="AG160">
        <f>IF($V160,IF($O160="","",$O160),IF($P160="","",$P160))</f>
        <v/>
      </c>
      <c r="AH160" t="n">
        <v>0.05558659797747173</v>
      </c>
      <c r="AI160">
        <f>IF($Y160="worse","Yes",IF($Y160="worse, not significant","Not sure",IF(OR($Y160="too few losses to test",$Y160="too few loans to test"),"Too few losses",IF($Y160="","","No"))))</f>
        <v/>
      </c>
      <c r="AJ160">
        <f>IF($AA160="yes","Yes",IF($AA160="","","No"))</f>
        <v/>
      </c>
    </row>
    <row r="161">
      <c r="A161" t="inlineStr">
        <is>
          <t>grids</t>
        </is>
      </c>
      <c r="B161" t="inlineStr">
        <is>
          <t>FICO x ASSET_CLASS</t>
        </is>
      </c>
      <c r="C161" t="inlineStr">
        <is>
          <t>654 - 685</t>
        </is>
      </c>
      <c r="D161" t="inlineStr">
        <is>
          <t>2</t>
        </is>
      </c>
      <c r="E161" t="inlineStr">
        <is>
          <t>gco_rate</t>
        </is>
      </c>
      <c r="F161" t="inlineStr">
        <is>
          <t>GCO per booked dollar</t>
        </is>
      </c>
      <c r="G161" t="n">
        <v>355</v>
      </c>
      <c r="H161" t="n">
        <v>11168462.05</v>
      </c>
      <c r="I161" t="b">
        <v>0</v>
      </c>
      <c r="J161" t="b">
        <v>0</v>
      </c>
      <c r="K161" t="n">
        <v>0.7663221379764581</v>
      </c>
      <c r="L161" t="n">
        <v>0.3703629637036296</v>
      </c>
      <c r="M161" t="n">
        <v>0.6570695463311553</v>
      </c>
      <c r="N161" t="n">
        <v>0.303969603039696</v>
      </c>
      <c r="O161" t="n">
        <v>-109691.8245652111</v>
      </c>
      <c r="P161" t="n">
        <v>-187742.5778173128</v>
      </c>
      <c r="Q161">
        <f>'_live'!$C$22</f>
        <v/>
      </c>
      <c r="R161" t="inlineStr">
        <is>
          <t>shuffled: 2,777 of 10,000</t>
        </is>
      </c>
      <c r="S161" t="inlineStr">
        <is>
          <t>shuffled: 1,063 of 10,000</t>
        </is>
      </c>
      <c r="T161" t="n">
        <v>0.04203038005266006</v>
      </c>
      <c r="U161" t="n">
        <v>0.0490188761323062</v>
      </c>
      <c r="V161">
        <f>AND(judged_band,NOT($J161))</f>
        <v/>
      </c>
      <c r="W161">
        <f>IF($K161="","",IF($I161,"too few losses to test",IF(AND($K161&gt;better_at,$K161&lt;worse_at),"in line",IF($K161&gt;=worse_at,IF(AND(ISNUMBER($L161),$L161&lt;significance_bar),"worse","worse, not significant"),IF(AND(ISNUMBER($L161),$L161&lt;significance_bar),"better","better, not significant")))))</f>
        <v/>
      </c>
      <c r="X161">
        <f>IF($M161="","",IF($I161,"too few losses to test",IF(AND($M161&gt;better_at,$M161&lt;worse_at),"in line",IF($M161&gt;=worse_at,IF(AND(ISNUMBER($N161),$N161&lt;significance_bar),"worse","worse, not significant"),IF(AND(ISNUMBER($N161),$N161&lt;significance_bar),"better","better, not significant")))))</f>
        <v/>
      </c>
      <c r="Y161">
        <f>IF($V161,$X161,$W161)</f>
        <v/>
      </c>
      <c r="Z161">
        <f>IF($V161,IF($P161="","",$P161),IF($O161="","",$O161))</f>
        <v/>
      </c>
      <c r="AA161">
        <f>IF(OR($Q161="",$Z161=""),"",IF(AND($Z161&gt;0,$Z161&gt;=$Q161),"yes","below the line"))</f>
        <v/>
      </c>
      <c r="AB161">
        <f>IF($V161,IF($M161="","",$M161),IF($K161="","",$K161))</f>
        <v/>
      </c>
      <c r="AC161">
        <f>IF($V161,IF($N161="","",$N161),IF($L161="","",$L161))</f>
        <v/>
      </c>
      <c r="AD161">
        <f>$Y161</f>
        <v/>
      </c>
      <c r="AE161">
        <f>IF($V161,IF($S161="","",$S161),IF($R161="","",$R161))</f>
        <v/>
      </c>
      <c r="AF161">
        <f>IF($V161,IF($U161="","",$U161),IF($T161="","",$T161))</f>
        <v/>
      </c>
      <c r="AG161">
        <f>IF($V161,IF($O161="","",$O161),IF($P161="","",$P161))</f>
        <v/>
      </c>
      <c r="AH161" t="n">
        <v>0.03220881070191754</v>
      </c>
      <c r="AI161">
        <f>IF($Y161="worse","Yes",IF($Y161="worse, not significant","Not sure",IF(OR($Y161="too few losses to test",$Y161="too few loans to test"),"Too few losses",IF($Y161="","","No"))))</f>
        <v/>
      </c>
      <c r="AJ161">
        <f>IF($AA161="yes","Yes",IF($AA161="","","No"))</f>
        <v/>
      </c>
    </row>
    <row r="162">
      <c r="A162" t="inlineStr">
        <is>
          <t>grids</t>
        </is>
      </c>
      <c r="B162" t="inlineStr">
        <is>
          <t>FICO x ASSET_CLASS</t>
        </is>
      </c>
      <c r="C162" t="inlineStr">
        <is>
          <t>654 - 685</t>
        </is>
      </c>
      <c r="D162" t="inlineStr">
        <is>
          <t>2</t>
        </is>
      </c>
      <c r="E162" t="inlineStr">
        <is>
          <t>ranr_rate</t>
        </is>
      </c>
      <c r="F162" t="inlineStr">
        <is>
          <t>Profit after losses: RANR per booked dollar</t>
        </is>
      </c>
      <c r="G162" t="n">
        <v>355</v>
      </c>
      <c r="H162" t="n">
        <v>11168462.05</v>
      </c>
      <c r="I162" t="b">
        <v>0</v>
      </c>
      <c r="J162" t="b">
        <v>0</v>
      </c>
      <c r="K162" t="n">
        <v>0.05229598153407949</v>
      </c>
      <c r="L162" t="n">
        <v>0.00024997500249975</v>
      </c>
      <c r="M162" t="n">
        <v>0.01931966419890491</v>
      </c>
      <c r="N162" t="n">
        <v>0.4600682788863971</v>
      </c>
      <c r="O162" t="n">
        <v>-584065.6851308676</v>
      </c>
      <c r="P162" t="n">
        <v>-215770.9364242132</v>
      </c>
      <c r="Q162">
        <f>'_live'!$C$23</f>
        <v/>
      </c>
      <c r="R162" t="inlineStr">
        <is>
          <t>shuffled: 0 of 10,000</t>
        </is>
      </c>
      <c r="S162" t="inlineStr">
        <is>
          <t>shuffled: 1,303 of 10,000</t>
        </is>
      </c>
      <c r="T162" t="n">
        <v>0.12572682958341</v>
      </c>
      <c r="U162" t="n">
        <v>0.1587031469185846</v>
      </c>
      <c r="V162">
        <f>AND(judged_band,NOT($J162))</f>
        <v/>
      </c>
      <c r="W162">
        <f>IF($K162="","",IF(profit_kind="test",IF(OR(NOT(AND(ISNUMBER($L162),$L162&lt;significance_bar)),$K162=0),"in line",IF($K162&lt;0,"worse","better")),IF(OR($K162=0,IF(profit_kind="points",ABS($K162),ABS($K162*$H162))&lt;profit_line*(1-1E-9)),"in line",IF(AND(ISNUMBER($L162),$L162&lt;significance_bar),IF($K162&lt;0,"worse","better"),IF($K162&lt;0,"worse, not significant","better, not significant")))))</f>
        <v/>
      </c>
      <c r="X162">
        <f>IF($M162="","",IF(profit_kind="test",IF(OR(NOT(AND(ISNUMBER($N162),$N162&lt;significance_bar)),$M162=0),"in line",IF($M162&lt;0,"worse","better")),IF(OR($M162=0,IF(profit_kind="points",ABS($M162),ABS($M162*$H162))&lt;profit_line*(1-1E-9)),"in line",IF(AND(ISNUMBER($N162),$N162&lt;significance_bar),IF($M162&lt;0,"worse","better"),IF($M162&lt;0,"worse, not significant","better, not significant")))))</f>
        <v/>
      </c>
      <c r="Y162">
        <f>IF($V162,$X162,$W162)</f>
        <v/>
      </c>
      <c r="Z162">
        <f>IF($V162,IF($P162="","",$P162),IF($O162="","",$O162))</f>
        <v/>
      </c>
      <c r="AA162">
        <f>IF(OR($Q162="",$Z162=""),"",IF(AND($Z162&gt;0,$Z162&gt;=$Q162),"yes","below the line"))</f>
        <v/>
      </c>
      <c r="AB162">
        <f>IF($V162,IF($M162="","",$M162),IF($K162="","",$K162))</f>
        <v/>
      </c>
      <c r="AC162">
        <f>IF($V162,IF($N162="","",$N162),IF($L162="","",$L162))</f>
        <v/>
      </c>
      <c r="AD162">
        <f>IF($Y162="","",IF($Y162="in line",IF(profit_kind="test",IF(ROUND($AB162*100,2)=0,"0.00",TEXT($AB162*100,"+0.00;-0.00"))&amp;" points against "&amp;IF($V162,"its band","the book")&amp;", "&amp;IF($AC162="","not tested","not significant"),IF(profit_kind="points","within "&amp;TEXT(profit_line*100,"0.00")&amp;" points of "&amp;IF($V162,"its band","the book")&amp;" ("&amp;IF(ROUND($AB162*100,2)=0,"0.00",TEXT($AB162*100,"+0.00;-0.00"))&amp;")","within $"&amp;TEXT(profit_line,"#,##0")&amp;" of "&amp;IF($V162,"its band","the book")&amp;" ("&amp;IF(ROUND($AB162*100,2)=0,"0.00",TEXT($AB162*100,"+0.00;-0.00"))&amp;" points)")),IF(LEFT($Y162,5)="worse","short of ","ahead of ")&amp;IF($V162,"its band","the book")&amp;" by "&amp;TEXT(ABS($AB162)*100,"0.00")&amp;" points"&amp;IF($Z162="",""," ($"&amp;TEXT(ABS($Z162),"#,##0")&amp;")")&amp;IF(RIGHT($Y162,15)="not significant"," (not significant)","")))</f>
        <v/>
      </c>
      <c r="AE162">
        <f>IF($V162,IF($S162="","",$S162),IF($R162="","",$R162))</f>
        <v/>
      </c>
      <c r="AF162">
        <f>IF($V162,IF($U162="","",$U162),IF($T162="","",$T162))</f>
        <v/>
      </c>
      <c r="AG162">
        <f>IF($V162,IF($O162="","",$O162),IF($P162="","",$P162))</f>
        <v/>
      </c>
      <c r="AH162" t="n">
        <v>0.1780228111174895</v>
      </c>
      <c r="AI162">
        <f>IF($Y162="worse","Yes",IF($Y162="worse, not significant","Not sure",IF(OR($Y162="too few losses to test",$Y162="too few loans to test"),"Too few losses",IF($Y162="","","No"))))</f>
        <v/>
      </c>
      <c r="AJ162">
        <f>IF($AA162="yes","Yes",IF($AA162="","","No"))</f>
        <v/>
      </c>
    </row>
    <row r="163">
      <c r="A163" t="inlineStr">
        <is>
          <t>grids</t>
        </is>
      </c>
      <c r="B163" t="inlineStr">
        <is>
          <t>FICO x ASSET_CLASS</t>
        </is>
      </c>
      <c r="C163" t="inlineStr">
        <is>
          <t>654 - 685</t>
        </is>
      </c>
      <c r="D163" t="inlineStr">
        <is>
          <t>2</t>
        </is>
      </c>
      <c r="E163" t="inlineStr">
        <is>
          <t>contribution_rate</t>
        </is>
      </c>
      <c r="F163" t="inlineStr">
        <is>
          <t>Contribution before losses per booked dollar</t>
        </is>
      </c>
      <c r="G163" t="n">
        <v>355</v>
      </c>
      <c r="H163" t="n">
        <v>11168462.05</v>
      </c>
      <c r="I163" t="b">
        <v>0</v>
      </c>
      <c r="J163" t="b">
        <v>0</v>
      </c>
      <c r="K163" t="n">
        <v>0.04247776461559855</v>
      </c>
      <c r="L163" t="n">
        <v>0.0001562343765623438</v>
      </c>
      <c r="M163" t="n">
        <v>0.002509598768516197</v>
      </c>
      <c r="N163" t="n">
        <v>0.9216078392160784</v>
      </c>
      <c r="O163" t="n">
        <v>-474411.3020781453</v>
      </c>
      <c r="P163" t="n">
        <v>-28028.35860690009</v>
      </c>
      <c r="Q163">
        <f>'_live'!$C$24</f>
        <v/>
      </c>
      <c r="R163" t="inlineStr">
        <is>
          <t>shuffled: 0 of 10,000</t>
        </is>
      </c>
      <c r="S163" t="inlineStr">
        <is>
          <t>shuffled: 7,311 of 10,000</t>
        </is>
      </c>
      <c r="T163" t="n">
        <v>0.1677538572038085</v>
      </c>
      <c r="U163" t="n">
        <v>0.2077220230508909</v>
      </c>
      <c r="V163">
        <f>AND(judged_band,NOT($J163))</f>
        <v/>
      </c>
      <c r="W163">
        <f>IF($K163="","",IF(profit_kind="test",IF(OR(NOT(AND(ISNUMBER($L163),$L163&lt;significance_bar)),$K163=0),"in line",IF($K163&lt;0,"worse","better")),IF(OR($K163=0,IF(profit_kind="points",ABS($K163),ABS($K163*$H163))&lt;profit_line*(1-1E-9)),"in line",IF(AND(ISNUMBER($L163),$L163&lt;significance_bar),IF($K163&lt;0,"worse","better"),IF($K163&lt;0,"worse, not significant","better, not significant")))))</f>
        <v/>
      </c>
      <c r="X163">
        <f>IF($M163="","",IF(profit_kind="test",IF(OR(NOT(AND(ISNUMBER($N163),$N163&lt;significance_bar)),$M163=0),"in line",IF($M163&lt;0,"worse","better")),IF(OR($M163=0,IF(profit_kind="points",ABS($M163),ABS($M163*$H163))&lt;profit_line*(1-1E-9)),"in line",IF(AND(ISNUMBER($N163),$N163&lt;significance_bar),IF($M163&lt;0,"worse","better"),IF($M163&lt;0,"worse, not significant","better, not significant")))))</f>
        <v/>
      </c>
      <c r="Y163">
        <f>IF($V163,$X163,$W163)</f>
        <v/>
      </c>
      <c r="Z163">
        <f>IF($V163,IF($P163="","",$P163),IF($O163="","",$O163))</f>
        <v/>
      </c>
      <c r="AA163">
        <f>IF(OR($Q163="",$Z163=""),"",IF(AND($Z163&gt;0,$Z163&gt;=$Q163),"yes","below the line"))</f>
        <v/>
      </c>
      <c r="AB163">
        <f>IF($V163,IF($M163="","",$M163),IF($K163="","",$K163))</f>
        <v/>
      </c>
      <c r="AC163">
        <f>IF($V163,IF($N163="","",$N163),IF($L163="","",$L163))</f>
        <v/>
      </c>
      <c r="AD163">
        <f>IF($Y163="","",IF($Y163="in line",IF(profit_kind="test",IF(ROUND($AB163*100,2)=0,"0.00",TEXT($AB163*100,"+0.00;-0.00"))&amp;" points against "&amp;IF($V163,"its band","the book")&amp;", "&amp;IF($AC163="","not tested","not significant"),IF(profit_kind="points","within "&amp;TEXT(profit_line*100,"0.00")&amp;" points of "&amp;IF($V163,"its band","the book")&amp;" ("&amp;IF(ROUND($AB163*100,2)=0,"0.00",TEXT($AB163*100,"+0.00;-0.00"))&amp;")","within $"&amp;TEXT(profit_line,"#,##0")&amp;" of "&amp;IF($V163,"its band","the book")&amp;" ("&amp;IF(ROUND($AB163*100,2)=0,"0.00",TEXT($AB163*100,"+0.00;-0.00"))&amp;" points)")),IF(LEFT($Y163,5)="worse","short of ","ahead of ")&amp;IF($V163,"its band","the book")&amp;" by "&amp;TEXT(ABS($AB163)*100,"0.00")&amp;" points"&amp;IF($Z163="",""," ($"&amp;TEXT(ABS($Z163),"#,##0")&amp;")")&amp;IF(RIGHT($Y163,15)="not significant"," (not significant)","")))</f>
        <v/>
      </c>
      <c r="AE163">
        <f>IF($V163,IF($S163="","",$S163),IF($R163="","",$R163))</f>
        <v/>
      </c>
      <c r="AF163">
        <f>IF($V163,IF($U163="","",$U163),IF($T163="","",$T163))</f>
        <v/>
      </c>
      <c r="AG163">
        <f>IF($V163,IF($O163="","",$O163),IF($P163="","",$P163))</f>
        <v/>
      </c>
      <c r="AH163" t="n">
        <v>0.210231621819407</v>
      </c>
      <c r="AI163">
        <f>IF($Y163="worse","Yes",IF($Y163="worse, not significant","Not sure",IF(OR($Y163="too few losses to test",$Y163="too few loans to test"),"Too few losses",IF($Y163="","","No"))))</f>
        <v/>
      </c>
      <c r="AJ163">
        <f>IF($AA163="yes","Yes",IF($AA163="","","No"))</f>
        <v/>
      </c>
    </row>
    <row r="164">
      <c r="A164" t="inlineStr">
        <is>
          <t>grids</t>
        </is>
      </c>
      <c r="B164" t="inlineStr">
        <is>
          <t>FICO x ASSET_CLASS</t>
        </is>
      </c>
      <c r="C164" t="inlineStr">
        <is>
          <t>746 - 921</t>
        </is>
      </c>
      <c r="D164" t="inlineStr">
        <is>
          <t>4</t>
        </is>
      </c>
      <c r="E164" t="inlineStr">
        <is>
          <t>outcome_loans</t>
        </is>
      </c>
      <c r="F164" t="inlineStr">
        <is>
          <t>Outcome, share of loans</t>
        </is>
      </c>
      <c r="G164" t="n">
        <v>373</v>
      </c>
      <c r="H164" t="n">
        <v>373</v>
      </c>
      <c r="I164" t="b">
        <v>0</v>
      </c>
      <c r="J164" t="b">
        <v>0</v>
      </c>
      <c r="K164" t="n">
        <v>0.5077410649290698</v>
      </c>
      <c r="L164" t="n">
        <v>0.01317998964577979</v>
      </c>
      <c r="M164" t="n">
        <v>1.025041355313445</v>
      </c>
      <c r="N164" t="n">
        <v>0.955146465774709</v>
      </c>
      <c r="O164" t="n">
        <v>-14.54261736165749</v>
      </c>
      <c r="P164" t="n">
        <v>0.3664440734557584</v>
      </c>
      <c r="Q164">
        <f>'_live'!$C$20</f>
        <v/>
      </c>
      <c r="R164" t="inlineStr">
        <is>
          <t>z test</t>
        </is>
      </c>
      <c r="S164" t="inlineStr">
        <is>
          <t>z test</t>
        </is>
      </c>
      <c r="T164" t="n">
        <v>0.07920272751114608</v>
      </c>
      <c r="U164" t="n">
        <v>0.03923205342237062</v>
      </c>
      <c r="V164">
        <f>AND(judged_band,NOT($J164))</f>
        <v/>
      </c>
      <c r="W164">
        <f>IF($K164="","",IF($I164,"too few losses to test",IF(AND($K164&gt;better_at,$K164&lt;worse_at),"in line",IF($K164&gt;=worse_at,IF(AND(ISNUMBER($L164),$L164&lt;significance_bar),"worse","worse, not significant"),IF(AND(ISNUMBER($L164),$L164&lt;significance_bar),"better","better, not significant")))))</f>
        <v/>
      </c>
      <c r="X164">
        <f>IF($M164="","",IF($I164,"too few losses to test",IF(AND($M164&gt;better_at,$M164&lt;worse_at),"in line",IF($M164&gt;=worse_at,IF(AND(ISNUMBER($N164),$N164&lt;significance_bar),"worse","worse, not significant"),IF(AND(ISNUMBER($N164),$N164&lt;significance_bar),"better","better, not significant")))))</f>
        <v/>
      </c>
      <c r="Y164">
        <f>IF($V164,$X164,$W164)</f>
        <v/>
      </c>
      <c r="Z164">
        <f>IF($V164,IF($P164="","",$P164),IF($O164="","",$O164))</f>
        <v/>
      </c>
      <c r="AA164">
        <f>IF(OR($Q164="",$Z164=""),"",IF(AND($Z164&gt;0,$Z164&gt;=$Q164),"yes","below the line"))</f>
        <v/>
      </c>
      <c r="AB164">
        <f>IF($V164,IF($M164="","",$M164),IF($K164="","",$K164))</f>
        <v/>
      </c>
      <c r="AC164">
        <f>IF($V164,IF($N164="","",$N164),IF($L164="","",$L164))</f>
        <v/>
      </c>
      <c r="AD164">
        <f>$Y164</f>
        <v/>
      </c>
      <c r="AE164">
        <f>IF($V164,IF($S164="","",$S164),IF($R164="","",$R164))</f>
        <v/>
      </c>
      <c r="AF164">
        <f>IF($V164,IF($U164="","",$U164),IF($T164="","",$T164))</f>
        <v/>
      </c>
      <c r="AG164">
        <f>IF($V164,IF($O164="","",$O164),IF($P164="","",$P164))</f>
        <v/>
      </c>
      <c r="AH164" t="n">
        <v>0.04021447721179625</v>
      </c>
      <c r="AI164">
        <f>IF($Y164="worse","Yes",IF($Y164="worse, not significant","Not sure",IF(OR($Y164="too few losses to test",$Y164="too few loans to test"),"Too few losses",IF($Y164="","","No"))))</f>
        <v/>
      </c>
      <c r="AJ164">
        <f>IF($AA164="yes","Yes",IF($AA164="","","No"))</f>
        <v/>
      </c>
    </row>
    <row r="165">
      <c r="A165" t="inlineStr">
        <is>
          <t>grids</t>
        </is>
      </c>
      <c r="B165" t="inlineStr">
        <is>
          <t>FICO x ASSET_CLASS</t>
        </is>
      </c>
      <c r="C165" t="inlineStr">
        <is>
          <t>746 - 921</t>
        </is>
      </c>
      <c r="D165" t="inlineStr">
        <is>
          <t>4</t>
        </is>
      </c>
      <c r="E165" t="inlineStr">
        <is>
          <t>outcome_booked</t>
        </is>
      </c>
      <c r="F165" t="inlineStr">
        <is>
          <t>Outcome, share of booked dollars</t>
        </is>
      </c>
      <c r="G165" t="n">
        <v>373</v>
      </c>
      <c r="H165" t="n">
        <v>11582092.55</v>
      </c>
      <c r="I165" t="b">
        <v>0</v>
      </c>
      <c r="J165" t="b">
        <v>0</v>
      </c>
      <c r="K165" t="n">
        <v>0.4297027543128009</v>
      </c>
      <c r="L165" t="n">
        <v>0.015998400159984</v>
      </c>
      <c r="M165" t="n">
        <v>0.8690946877055101</v>
      </c>
      <c r="N165" t="n">
        <v>0.7885211478852114</v>
      </c>
      <c r="O165" t="n">
        <v>-507247.0962829373</v>
      </c>
      <c r="P165" t="n">
        <v>-57567.39913480985</v>
      </c>
      <c r="Q165">
        <f>'_live'!$C$21</f>
        <v/>
      </c>
      <c r="R165" t="inlineStr">
        <is>
          <t>shuffled: 43 of 10,000</t>
        </is>
      </c>
      <c r="S165" t="inlineStr">
        <is>
          <t>shuffled: 6,731 of 10,000</t>
        </is>
      </c>
      <c r="T165" t="n">
        <v>0.07679470289528445</v>
      </c>
      <c r="U165" t="n">
        <v>0.03796927517513318</v>
      </c>
      <c r="V165">
        <f>AND(judged_band,NOT($J165))</f>
        <v/>
      </c>
      <c r="W165">
        <f>IF($K165="","",IF($I165,"too few losses to test",IF(AND($K165&gt;better_at,$K165&lt;worse_at),"in line",IF($K165&gt;=worse_at,IF(AND(ISNUMBER($L165),$L165&lt;significance_bar),"worse","worse, not significant"),IF(AND(ISNUMBER($L165),$L165&lt;significance_bar),"better","better, not significant")))))</f>
        <v/>
      </c>
      <c r="X165">
        <f>IF($M165="","",IF($I165,"too few losses to test",IF(AND($M165&gt;better_at,$M165&lt;worse_at),"in line",IF($M165&gt;=worse_at,IF(AND(ISNUMBER($N165),$N165&lt;significance_bar),"worse","worse, not significant"),IF(AND(ISNUMBER($N165),$N165&lt;significance_bar),"better","better, not significant")))))</f>
        <v/>
      </c>
      <c r="Y165">
        <f>IF($V165,$X165,$W165)</f>
        <v/>
      </c>
      <c r="Z165">
        <f>IF($V165,IF($P165="","",$P165),IF($O165="","",$O165))</f>
        <v/>
      </c>
      <c r="AA165">
        <f>IF(OR($Q165="",$Z165=""),"",IF(AND($Z165&gt;0,$Z165&gt;=$Q165),"yes","below the line"))</f>
        <v/>
      </c>
      <c r="AB165">
        <f>IF($V165,IF($M165="","",$M165),IF($K165="","",$K165))</f>
        <v/>
      </c>
      <c r="AC165">
        <f>IF($V165,IF($N165="","",$N165),IF($L165="","",$L165))</f>
        <v/>
      </c>
      <c r="AD165">
        <f>$Y165</f>
        <v/>
      </c>
      <c r="AE165">
        <f>IF($V165,IF($S165="","",$S165),IF($R165="","",$R165))</f>
        <v/>
      </c>
      <c r="AF165">
        <f>IF($V165,IF($U165="","",$U165),IF($T165="","",$T165))</f>
        <v/>
      </c>
      <c r="AG165">
        <f>IF($V165,IF($O165="","",$O165),IF($P165="","",$P165))</f>
        <v/>
      </c>
      <c r="AH165" t="n">
        <v>0.03299889535073695</v>
      </c>
      <c r="AI165">
        <f>IF($Y165="worse","Yes",IF($Y165="worse, not significant","Not sure",IF(OR($Y165="too few losses to test",$Y165="too few loans to test"),"Too few losses",IF($Y165="","","No"))))</f>
        <v/>
      </c>
      <c r="AJ165">
        <f>IF($AA165="yes","Yes",IF($AA165="","","No"))</f>
        <v/>
      </c>
    </row>
    <row r="166">
      <c r="A166" t="inlineStr">
        <is>
          <t>grids</t>
        </is>
      </c>
      <c r="B166" t="inlineStr">
        <is>
          <t>FICO x ASSET_CLASS</t>
        </is>
      </c>
      <c r="C166" t="inlineStr">
        <is>
          <t>746 - 921</t>
        </is>
      </c>
      <c r="D166" t="inlineStr">
        <is>
          <t>4</t>
        </is>
      </c>
      <c r="E166" t="inlineStr">
        <is>
          <t>gco_rate</t>
        </is>
      </c>
      <c r="F166" t="inlineStr">
        <is>
          <t>GCO per booked dollar</t>
        </is>
      </c>
      <c r="G166" t="n">
        <v>373</v>
      </c>
      <c r="H166" t="n">
        <v>11582092.55</v>
      </c>
      <c r="I166" t="b">
        <v>0</v>
      </c>
      <c r="J166" t="b">
        <v>0</v>
      </c>
      <c r="K166" t="n">
        <v>0.4161647257408173</v>
      </c>
      <c r="L166" t="n">
        <v>0.018998100189981</v>
      </c>
      <c r="M166" t="n">
        <v>0.8938373725528002</v>
      </c>
      <c r="N166" t="n">
        <v>0.8100242607318215</v>
      </c>
      <c r="O166" t="n">
        <v>-288907.484102961</v>
      </c>
      <c r="P166" t="n">
        <v>-24459.46071346218</v>
      </c>
      <c r="Q166">
        <f>'_live'!$C$22</f>
        <v/>
      </c>
      <c r="R166" t="inlineStr">
        <is>
          <t>shuffled: 75 of 10,000</t>
        </is>
      </c>
      <c r="S166" t="inlineStr">
        <is>
          <t>shuffled: 7,376 of 10,000</t>
        </is>
      </c>
      <c r="T166" t="n">
        <v>0.04272493696339536</v>
      </c>
      <c r="U166" t="n">
        <v>0.01989244600825282</v>
      </c>
      <c r="V166">
        <f>AND(judged_band,NOT($J166))</f>
        <v/>
      </c>
      <c r="W166">
        <f>IF($K166="","",IF($I166,"too few losses to test",IF(AND($K166&gt;better_at,$K166&lt;worse_at),"in line",IF($K166&gt;=worse_at,IF(AND(ISNUMBER($L166),$L166&lt;significance_bar),"worse","worse, not significant"),IF(AND(ISNUMBER($L166),$L166&lt;significance_bar),"better","better, not significant")))))</f>
        <v/>
      </c>
      <c r="X166">
        <f>IF($M166="","",IF($I166,"too few losses to test",IF(AND($M166&gt;better_at,$M166&lt;worse_at),"in line",IF($M166&gt;=worse_at,IF(AND(ISNUMBER($N166),$N166&lt;significance_bar),"worse","worse, not significant"),IF(AND(ISNUMBER($N166),$N166&lt;significance_bar),"better","better, not significant")))))</f>
        <v/>
      </c>
      <c r="Y166">
        <f>IF($V166,$X166,$W166)</f>
        <v/>
      </c>
      <c r="Z166">
        <f>IF($V166,IF($P166="","",$P166),IF($O166="","",$O166))</f>
        <v/>
      </c>
      <c r="AA166">
        <f>IF(OR($Q166="",$Z166=""),"",IF(AND($Z166&gt;0,$Z166&gt;=$Q166),"yes","below the line"))</f>
        <v/>
      </c>
      <c r="AB166">
        <f>IF($V166,IF($M166="","",$M166),IF($K166="","",$K166))</f>
        <v/>
      </c>
      <c r="AC166">
        <f>IF($V166,IF($N166="","",$N166),IF($L166="","",$L166))</f>
        <v/>
      </c>
      <c r="AD166">
        <f>$Y166</f>
        <v/>
      </c>
      <c r="AE166">
        <f>IF($V166,IF($S166="","",$S166),IF($R166="","",$R166))</f>
        <v/>
      </c>
      <c r="AF166">
        <f>IF($V166,IF($U166="","",$U166),IF($T166="","",$T166))</f>
        <v/>
      </c>
      <c r="AG166">
        <f>IF($V166,IF($O166="","",$O166),IF($P166="","",$P166))</f>
        <v/>
      </c>
      <c r="AH166" t="n">
        <v>0.01778061167366514</v>
      </c>
      <c r="AI166">
        <f>IF($Y166="worse","Yes",IF($Y166="worse, not significant","Not sure",IF(OR($Y166="too few losses to test",$Y166="too few loans to test"),"Too few losses",IF($Y166="","","No"))))</f>
        <v/>
      </c>
      <c r="AJ166">
        <f>IF($AA166="yes","Yes",IF($AA166="","","No"))</f>
        <v/>
      </c>
    </row>
    <row r="167">
      <c r="A167" t="inlineStr">
        <is>
          <t>grids</t>
        </is>
      </c>
      <c r="B167" t="inlineStr">
        <is>
          <t>FICO x ASSET_CLASS</t>
        </is>
      </c>
      <c r="C167" t="inlineStr">
        <is>
          <t>746 - 921</t>
        </is>
      </c>
      <c r="D167" t="inlineStr">
        <is>
          <t>4</t>
        </is>
      </c>
      <c r="E167" t="inlineStr">
        <is>
          <t>ranr_rate</t>
        </is>
      </c>
      <c r="F167" t="inlineStr">
        <is>
          <t>Profit after losses: RANR per booked dollar</t>
        </is>
      </c>
      <c r="G167" t="n">
        <v>373</v>
      </c>
      <c r="H167" t="n">
        <v>11582092.55</v>
      </c>
      <c r="I167" t="b">
        <v>0</v>
      </c>
      <c r="J167" t="b">
        <v>0</v>
      </c>
      <c r="K167" t="n">
        <v>-0.08406631320646024</v>
      </c>
      <c r="L167" t="n">
        <v>0.00024997500249975</v>
      </c>
      <c r="M167" t="n">
        <v>0.001236699234470624</v>
      </c>
      <c r="N167" t="n">
        <v>0.959004099590041</v>
      </c>
      <c r="O167" t="n">
        <v>973663.8198945097</v>
      </c>
      <c r="P167" t="n">
        <v>-14323.56499015295</v>
      </c>
      <c r="Q167">
        <f>'_live'!$C$23</f>
        <v/>
      </c>
      <c r="R167" t="inlineStr">
        <is>
          <t>shuffled: 0 of 10,000</t>
        </is>
      </c>
      <c r="S167" t="inlineStr">
        <is>
          <t>shuffled: 8,600 of 10,000</t>
        </is>
      </c>
      <c r="T167" t="n">
        <v>0.1317629394952909</v>
      </c>
      <c r="U167" t="n">
        <v>0.04645992705436005</v>
      </c>
      <c r="V167">
        <f>AND(judged_band,NOT($J167))</f>
        <v/>
      </c>
      <c r="W167">
        <f>IF($K167="","",IF(profit_kind="test",IF(OR(NOT(AND(ISNUMBER($L167),$L167&lt;significance_bar)),$K167=0),"in line",IF($K167&lt;0,"worse","better")),IF(OR($K167=0,IF(profit_kind="points",ABS($K167),ABS($K167*$H167))&lt;profit_line*(1-1E-9)),"in line",IF(AND(ISNUMBER($L167),$L167&lt;significance_bar),IF($K167&lt;0,"worse","better"),IF($K167&lt;0,"worse, not significant","better, not significant")))))</f>
        <v/>
      </c>
      <c r="X167">
        <f>IF($M167="","",IF(profit_kind="test",IF(OR(NOT(AND(ISNUMBER($N167),$N167&lt;significance_bar)),$M167=0),"in line",IF($M167&lt;0,"worse","better")),IF(OR($M167=0,IF(profit_kind="points",ABS($M167),ABS($M167*$H167))&lt;profit_line*(1-1E-9)),"in line",IF(AND(ISNUMBER($N167),$N167&lt;significance_bar),IF($M167&lt;0,"worse","better"),IF($M167&lt;0,"worse, not significant","better, not significant")))))</f>
        <v/>
      </c>
      <c r="Y167">
        <f>IF($V167,$X167,$W167)</f>
        <v/>
      </c>
      <c r="Z167">
        <f>IF($V167,IF($P167="","",$P167),IF($O167="","",$O167))</f>
        <v/>
      </c>
      <c r="AA167">
        <f>IF(OR($Q167="",$Z167=""),"",IF(AND($Z167&gt;0,$Z167&gt;=$Q167),"yes","below the line"))</f>
        <v/>
      </c>
      <c r="AB167">
        <f>IF($V167,IF($M167="","",$M167),IF($K167="","",$K167))</f>
        <v/>
      </c>
      <c r="AC167">
        <f>IF($V167,IF($N167="","",$N167),IF($L167="","",$L167))</f>
        <v/>
      </c>
      <c r="AD167">
        <f>IF($Y167="","",IF($Y167="in line",IF(profit_kind="test",IF(ROUND($AB167*100,2)=0,"0.00",TEXT($AB167*100,"+0.00;-0.00"))&amp;" points against "&amp;IF($V167,"its band","the book")&amp;", "&amp;IF($AC167="","not tested","not significant"),IF(profit_kind="points","within "&amp;TEXT(profit_line*100,"0.00")&amp;" points of "&amp;IF($V167,"its band","the book")&amp;" ("&amp;IF(ROUND($AB167*100,2)=0,"0.00",TEXT($AB167*100,"+0.00;-0.00"))&amp;")","within $"&amp;TEXT(profit_line,"#,##0")&amp;" of "&amp;IF($V167,"its band","the book")&amp;" ("&amp;IF(ROUND($AB167*100,2)=0,"0.00",TEXT($AB167*100,"+0.00;-0.00"))&amp;" points)")),IF(LEFT($Y167,5)="worse","short of ","ahead of ")&amp;IF($V167,"its band","the book")&amp;" by "&amp;TEXT(ABS($AB167)*100,"0.00")&amp;" points"&amp;IF($Z167="",""," ($"&amp;TEXT(ABS($Z167),"#,##0")&amp;")")&amp;IF(RIGHT($Y167,15)="not significant"," (not significant)","")))</f>
        <v/>
      </c>
      <c r="AE167">
        <f>IF($V167,IF($S167="","",$S167),IF($R167="","",$R167))</f>
        <v/>
      </c>
      <c r="AF167">
        <f>IF($V167,IF($U167="","",$U167),IF($T167="","",$T167))</f>
        <v/>
      </c>
      <c r="AG167">
        <f>IF($V167,IF($O167="","",$O167),IF($P167="","",$P167))</f>
        <v/>
      </c>
      <c r="AH167" t="n">
        <v>0.04769662628883067</v>
      </c>
      <c r="AI167">
        <f>IF($Y167="worse","Yes",IF($Y167="worse, not significant","Not sure",IF(OR($Y167="too few losses to test",$Y167="too few loans to test"),"Too few losses",IF($Y167="","","No"))))</f>
        <v/>
      </c>
      <c r="AJ167">
        <f>IF($AA167="yes","Yes",IF($AA167="","","No"))</f>
        <v/>
      </c>
    </row>
    <row r="168">
      <c r="A168" t="inlineStr">
        <is>
          <t>grids</t>
        </is>
      </c>
      <c r="B168" t="inlineStr">
        <is>
          <t>FICO x ASSET_CLASS</t>
        </is>
      </c>
      <c r="C168" t="inlineStr">
        <is>
          <t>746 - 921</t>
        </is>
      </c>
      <c r="D168" t="inlineStr">
        <is>
          <t>4</t>
        </is>
      </c>
      <c r="E168" t="inlineStr">
        <is>
          <t>contribution_rate</t>
        </is>
      </c>
      <c r="F168" t="inlineStr">
        <is>
          <t>Contribution before losses per booked dollar</t>
        </is>
      </c>
      <c r="G168" t="n">
        <v>373</v>
      </c>
      <c r="H168" t="n">
        <v>11582092.55</v>
      </c>
      <c r="I168" t="b">
        <v>0</v>
      </c>
      <c r="J168" t="b">
        <v>0</v>
      </c>
      <c r="K168" t="n">
        <v>-0.1090082524105789</v>
      </c>
      <c r="L168" t="n">
        <v>0.0001562343765623438</v>
      </c>
      <c r="M168" t="n">
        <v>-0.0008751351001170526</v>
      </c>
      <c r="N168" t="n">
        <v>0.9216078392160784</v>
      </c>
      <c r="O168" t="n">
        <v>1262543.668133085</v>
      </c>
      <c r="P168" t="n">
        <v>10135.89572330925</v>
      </c>
      <c r="Q168">
        <f>'_live'!$C$24</f>
        <v/>
      </c>
      <c r="R168" t="inlineStr">
        <is>
          <t>shuffled: 0 of 10,000</t>
        </is>
      </c>
      <c r="S168" t="inlineStr">
        <is>
          <t>shuffled: 6,638 of 10,000</t>
        </is>
      </c>
      <c r="T168" t="n">
        <v>0.1744854903730747</v>
      </c>
      <c r="U168" t="n">
        <v>0.06635237306261287</v>
      </c>
      <c r="V168">
        <f>AND(judged_band,NOT($J168))</f>
        <v/>
      </c>
      <c r="W168">
        <f>IF($K168="","",IF(profit_kind="test",IF(OR(NOT(AND(ISNUMBER($L168),$L168&lt;significance_bar)),$K168=0),"in line",IF($K168&lt;0,"worse","better")),IF(OR($K168=0,IF(profit_kind="points",ABS($K168),ABS($K168*$H168))&lt;profit_line*(1-1E-9)),"in line",IF(AND(ISNUMBER($L168),$L168&lt;significance_bar),IF($K168&lt;0,"worse","better"),IF($K168&lt;0,"worse, not significant","better, not significant")))))</f>
        <v/>
      </c>
      <c r="X168">
        <f>IF($M168="","",IF(profit_kind="test",IF(OR(NOT(AND(ISNUMBER($N168),$N168&lt;significance_bar)),$M168=0),"in line",IF($M168&lt;0,"worse","better")),IF(OR($M168=0,IF(profit_kind="points",ABS($M168),ABS($M168*$H168))&lt;profit_line*(1-1E-9)),"in line",IF(AND(ISNUMBER($N168),$N168&lt;significance_bar),IF($M168&lt;0,"worse","better"),IF($M168&lt;0,"worse, not significant","better, not significant")))))</f>
        <v/>
      </c>
      <c r="Y168">
        <f>IF($V168,$X168,$W168)</f>
        <v/>
      </c>
      <c r="Z168">
        <f>IF($V168,IF($P168="","",$P168),IF($O168="","",$O168))</f>
        <v/>
      </c>
      <c r="AA168">
        <f>IF(OR($Q168="",$Z168=""),"",IF(AND($Z168&gt;0,$Z168&gt;=$Q168),"yes","below the line"))</f>
        <v/>
      </c>
      <c r="AB168">
        <f>IF($V168,IF($M168="","",$M168),IF($K168="","",$K168))</f>
        <v/>
      </c>
      <c r="AC168">
        <f>IF($V168,IF($N168="","",$N168),IF($L168="","",$L168))</f>
        <v/>
      </c>
      <c r="AD168">
        <f>IF($Y168="","",IF($Y168="in line",IF(profit_kind="test",IF(ROUND($AB168*100,2)=0,"0.00",TEXT($AB168*100,"+0.00;-0.00"))&amp;" points against "&amp;IF($V168,"its band","the book")&amp;", "&amp;IF($AC168="","not tested","not significant"),IF(profit_kind="points","within "&amp;TEXT(profit_line*100,"0.00")&amp;" points of "&amp;IF($V168,"its band","the book")&amp;" ("&amp;IF(ROUND($AB168*100,2)=0,"0.00",TEXT($AB168*100,"+0.00;-0.00"))&amp;")","within $"&amp;TEXT(profit_line,"#,##0")&amp;" of "&amp;IF($V168,"its band","the book")&amp;" ("&amp;IF(ROUND($AB168*100,2)=0,"0.00",TEXT($AB168*100,"+0.00;-0.00"))&amp;" points)")),IF(LEFT($Y168,5)="worse","short of ","ahead of ")&amp;IF($V168,"its band","the book")&amp;" by "&amp;TEXT(ABS($AB168)*100,"0.00")&amp;" points"&amp;IF($Z168="",""," ($"&amp;TEXT(ABS($Z168),"#,##0")&amp;")")&amp;IF(RIGHT($Y168,15)="not significant"," (not significant)","")))</f>
        <v/>
      </c>
      <c r="AE168">
        <f>IF($V168,IF($S168="","",$S168),IF($R168="","",$R168))</f>
        <v/>
      </c>
      <c r="AF168">
        <f>IF($V168,IF($U168="","",$U168),IF($T168="","",$T168))</f>
        <v/>
      </c>
      <c r="AG168">
        <f>IF($V168,IF($O168="","",$O168),IF($P168="","",$P168))</f>
        <v/>
      </c>
      <c r="AH168" t="n">
        <v>0.06547723796249581</v>
      </c>
      <c r="AI168">
        <f>IF($Y168="worse","Yes",IF($Y168="worse, not significant","Not sure",IF(OR($Y168="too few losses to test",$Y168="too few loans to test"),"Too few losses",IF($Y168="","","No"))))</f>
        <v/>
      </c>
      <c r="AJ168">
        <f>IF($AA168="yes","Yes",IF($AA168="","","No"))</f>
        <v/>
      </c>
    </row>
    <row r="169">
      <c r="A169" t="inlineStr">
        <is>
          <t>grids</t>
        </is>
      </c>
      <c r="B169" t="inlineStr">
        <is>
          <t>FICO x ASSET_CLASS</t>
        </is>
      </c>
      <c r="C169" t="inlineStr">
        <is>
          <t>654 - 685</t>
        </is>
      </c>
      <c r="D169" t="inlineStr">
        <is>
          <t>1</t>
        </is>
      </c>
      <c r="E169" t="inlineStr">
        <is>
          <t>outcome_loans</t>
        </is>
      </c>
      <c r="F169" t="inlineStr">
        <is>
          <t>Outcome, share of loans</t>
        </is>
      </c>
      <c r="G169" t="n">
        <v>397</v>
      </c>
      <c r="H169" t="n">
        <v>397</v>
      </c>
      <c r="I169" t="b">
        <v>0</v>
      </c>
      <c r="J169" t="b">
        <v>0</v>
      </c>
      <c r="K169" t="n">
        <v>0.9753114402158806</v>
      </c>
      <c r="L169" t="n">
        <v>0.8894066608809501</v>
      </c>
      <c r="M169" t="n">
        <v>0.8629722921914358</v>
      </c>
      <c r="N169" t="n">
        <v>0.7367430686845797</v>
      </c>
      <c r="O169" t="n">
        <v>-0.7594054196264182</v>
      </c>
      <c r="P169" t="n">
        <v>-4.763572679509629</v>
      </c>
      <c r="Q169">
        <f>'_live'!$C$20</f>
        <v/>
      </c>
      <c r="R169" t="inlineStr">
        <is>
          <t>z test</t>
        </is>
      </c>
      <c r="S169" t="inlineStr">
        <is>
          <t>z test</t>
        </is>
      </c>
      <c r="T169" t="n">
        <v>0.07747961062878191</v>
      </c>
      <c r="U169" t="n">
        <v>0.08756567425569177</v>
      </c>
      <c r="V169">
        <f>AND(judged_band,NOT($J169))</f>
        <v/>
      </c>
      <c r="W169">
        <f>IF($K169="","",IF($I169,"too few losses to test",IF(AND($K169&gt;better_at,$K169&lt;worse_at),"in line",IF($K169&gt;=worse_at,IF(AND(ISNUMBER($L169),$L169&lt;significance_bar),"worse","worse, not significant"),IF(AND(ISNUMBER($L169),$L169&lt;significance_bar),"better","better, not significant")))))</f>
        <v/>
      </c>
      <c r="X169">
        <f>IF($M169="","",IF($I169,"too few losses to test",IF(AND($M169&gt;better_at,$M169&lt;worse_at),"in line",IF($M169&gt;=worse_at,IF(AND(ISNUMBER($N169),$N169&lt;significance_bar),"worse","worse, not significant"),IF(AND(ISNUMBER($N169),$N169&lt;significance_bar),"better","better, not significant")))))</f>
        <v/>
      </c>
      <c r="Y169">
        <f>IF($V169,$X169,$W169)</f>
        <v/>
      </c>
      <c r="Z169">
        <f>IF($V169,IF($P169="","",$P169),IF($O169="","",$O169))</f>
        <v/>
      </c>
      <c r="AA169">
        <f>IF(OR($Q169="",$Z169=""),"",IF(AND($Z169&gt;0,$Z169&gt;=$Q169),"yes","below the line"))</f>
        <v/>
      </c>
      <c r="AB169">
        <f>IF($V169,IF($M169="","",$M169),IF($K169="","",$K169))</f>
        <v/>
      </c>
      <c r="AC169">
        <f>IF($V169,IF($N169="","",$N169),IF($L169="","",$L169))</f>
        <v/>
      </c>
      <c r="AD169">
        <f>$Y169</f>
        <v/>
      </c>
      <c r="AE169">
        <f>IF($V169,IF($S169="","",$S169),IF($R169="","",$R169))</f>
        <v/>
      </c>
      <c r="AF169">
        <f>IF($V169,IF($U169="","",$U169),IF($T169="","",$T169))</f>
        <v/>
      </c>
      <c r="AG169">
        <f>IF($V169,IF($O169="","",$O169),IF($P169="","",$P169))</f>
        <v/>
      </c>
      <c r="AH169" t="n">
        <v>0.07556675062972293</v>
      </c>
      <c r="AI169">
        <f>IF($Y169="worse","Yes",IF($Y169="worse, not significant","Not sure",IF(OR($Y169="too few losses to test",$Y169="too few loans to test"),"Too few losses",IF($Y169="","","No"))))</f>
        <v/>
      </c>
      <c r="AJ169">
        <f>IF($AA169="yes","Yes",IF($AA169="","","No"))</f>
        <v/>
      </c>
    </row>
    <row r="170">
      <c r="A170" t="inlineStr">
        <is>
          <t>grids</t>
        </is>
      </c>
      <c r="B170" t="inlineStr">
        <is>
          <t>FICO x ASSET_CLASS</t>
        </is>
      </c>
      <c r="C170" t="inlineStr">
        <is>
          <t>654 - 685</t>
        </is>
      </c>
      <c r="D170" t="inlineStr">
        <is>
          <t>1</t>
        </is>
      </c>
      <c r="E170" t="inlineStr">
        <is>
          <t>outcome_booked</t>
        </is>
      </c>
      <c r="F170" t="inlineStr">
        <is>
          <t>Outcome, share of booked dollars</t>
        </is>
      </c>
      <c r="G170" t="n">
        <v>397</v>
      </c>
      <c r="H170" t="n">
        <v>12630808.76999999</v>
      </c>
      <c r="I170" t="b">
        <v>0</v>
      </c>
      <c r="J170" t="b">
        <v>0</v>
      </c>
      <c r="K170" t="n">
        <v>0.8418537483389176</v>
      </c>
      <c r="L170" t="n">
        <v>0.4835305943089901</v>
      </c>
      <c r="M170" t="n">
        <v>0.7426239781355174</v>
      </c>
      <c r="N170" t="n">
        <v>0.500495405004954</v>
      </c>
      <c r="O170" t="n">
        <v>-150637.9349458193</v>
      </c>
      <c r="P170" t="n">
        <v>-277914.5065561817</v>
      </c>
      <c r="Q170">
        <f>'_live'!$C$21</f>
        <v/>
      </c>
      <c r="R170" t="inlineStr">
        <is>
          <t>shuffled: 4,276 of 10,000</t>
        </is>
      </c>
      <c r="S170" t="inlineStr">
        <is>
          <t>shuffled: 2,043 of 10,000</t>
        </is>
      </c>
      <c r="T170" t="n">
        <v>0.07541266535585592</v>
      </c>
      <c r="U170" t="n">
        <v>0.08548934167389684</v>
      </c>
      <c r="V170">
        <f>AND(judged_band,NOT($J170))</f>
        <v/>
      </c>
      <c r="W170">
        <f>IF($K170="","",IF($I170,"too few losses to test",IF(AND($K170&gt;better_at,$K170&lt;worse_at),"in line",IF($K170&gt;=worse_at,IF(AND(ISNUMBER($L170),$L170&lt;significance_bar),"worse","worse, not significant"),IF(AND(ISNUMBER($L170),$L170&lt;significance_bar),"better","better, not significant")))))</f>
        <v/>
      </c>
      <c r="X170">
        <f>IF($M170="","",IF($I170,"too few losses to test",IF(AND($M170&gt;better_at,$M170&lt;worse_at),"in line",IF($M170&gt;=worse_at,IF(AND(ISNUMBER($N170),$N170&lt;significance_bar),"worse","worse, not significant"),IF(AND(ISNUMBER($N170),$N170&lt;significance_bar),"better","better, not significant")))))</f>
        <v/>
      </c>
      <c r="Y170">
        <f>IF($V170,$X170,$W170)</f>
        <v/>
      </c>
      <c r="Z170">
        <f>IF($V170,IF($P170="","",$P170),IF($O170="","",$O170))</f>
        <v/>
      </c>
      <c r="AA170">
        <f>IF(OR($Q170="",$Z170=""),"",IF(AND($Z170&gt;0,$Z170&gt;=$Q170),"yes","below the line"))</f>
        <v/>
      </c>
      <c r="AB170">
        <f>IF($V170,IF($M170="","",$M170),IF($K170="","",$K170))</f>
        <v/>
      </c>
      <c r="AC170">
        <f>IF($V170,IF($N170="","",$N170),IF($L170="","",$L170))</f>
        <v/>
      </c>
      <c r="AD170">
        <f>$Y170</f>
        <v/>
      </c>
      <c r="AE170">
        <f>IF($V170,IF($S170="","",$S170),IF($R170="","",$R170))</f>
        <v/>
      </c>
      <c r="AF170">
        <f>IF($V170,IF($U170="","",$U170),IF($T170="","",$T170))</f>
        <v/>
      </c>
      <c r="AG170">
        <f>IF($V170,IF($O170="","",$O170),IF($P170="","",$P170))</f>
        <v/>
      </c>
      <c r="AH170" t="n">
        <v>0.06348643500205574</v>
      </c>
      <c r="AI170">
        <f>IF($Y170="worse","Yes",IF($Y170="worse, not significant","Not sure",IF(OR($Y170="too few losses to test",$Y170="too few loans to test"),"Too few losses",IF($Y170="","","No"))))</f>
        <v/>
      </c>
      <c r="AJ170">
        <f>IF($AA170="yes","Yes",IF($AA170="","","No"))</f>
        <v/>
      </c>
    </row>
    <row r="171">
      <c r="A171" t="inlineStr">
        <is>
          <t>grids</t>
        </is>
      </c>
      <c r="B171" t="inlineStr">
        <is>
          <t>FICO x ASSET_CLASS</t>
        </is>
      </c>
      <c r="C171" t="inlineStr">
        <is>
          <t>654 - 685</t>
        </is>
      </c>
      <c r="D171" t="inlineStr">
        <is>
          <t>1</t>
        </is>
      </c>
      <c r="E171" t="inlineStr">
        <is>
          <t>gco_rate</t>
        </is>
      </c>
      <c r="F171" t="inlineStr">
        <is>
          <t>GCO per booked dollar</t>
        </is>
      </c>
      <c r="G171" t="n">
        <v>397</v>
      </c>
      <c r="H171" t="n">
        <v>12630808.76999999</v>
      </c>
      <c r="I171" t="b">
        <v>0</v>
      </c>
      <c r="J171" t="b">
        <v>0</v>
      </c>
      <c r="K171" t="n">
        <v>0.7756374928833367</v>
      </c>
      <c r="L171" t="n">
        <v>0.3703629637036296</v>
      </c>
      <c r="M171" t="n">
        <v>0.6585879176080297</v>
      </c>
      <c r="N171" t="n">
        <v>0.303969603039696</v>
      </c>
      <c r="O171" t="n">
        <v>-119213.6262726079</v>
      </c>
      <c r="P171" t="n">
        <v>-213648.3464004278</v>
      </c>
      <c r="Q171">
        <f>'_live'!$C$22</f>
        <v/>
      </c>
      <c r="R171" t="inlineStr">
        <is>
          <t>shuffled: 2,684 of 10,000</t>
        </is>
      </c>
      <c r="S171" t="inlineStr">
        <is>
          <t>shuffled: 968 of 10,000</t>
        </is>
      </c>
      <c r="T171" t="n">
        <v>0.04206728214701712</v>
      </c>
      <c r="U171" t="n">
        <v>0.04954382001940706</v>
      </c>
      <c r="V171">
        <f>AND(judged_band,NOT($J171))</f>
        <v/>
      </c>
      <c r="W171">
        <f>IF($K171="","",IF($I171,"too few losses to test",IF(AND($K171&gt;better_at,$K171&lt;worse_at),"in line",IF($K171&gt;=worse_at,IF(AND(ISNUMBER($L171),$L171&lt;significance_bar),"worse","worse, not significant"),IF(AND(ISNUMBER($L171),$L171&lt;significance_bar),"better","better, not significant")))))</f>
        <v/>
      </c>
      <c r="X171">
        <f>IF($M171="","",IF($I171,"too few losses to test",IF(AND($M171&gt;better_at,$M171&lt;worse_at),"in line",IF($M171&gt;=worse_at,IF(AND(ISNUMBER($N171),$N171&lt;significance_bar),"worse","worse, not significant"),IF(AND(ISNUMBER($N171),$N171&lt;significance_bar),"better","better, not significant")))))</f>
        <v/>
      </c>
      <c r="Y171">
        <f>IF($V171,$X171,$W171)</f>
        <v/>
      </c>
      <c r="Z171">
        <f>IF($V171,IF($P171="","",$P171),IF($O171="","",$O171))</f>
        <v/>
      </c>
      <c r="AA171">
        <f>IF(OR($Q171="",$Z171=""),"",IF(AND($Z171&gt;0,$Z171&gt;=$Q171),"yes","below the line"))</f>
        <v/>
      </c>
      <c r="AB171">
        <f>IF($V171,IF($M171="","",$M171),IF($K171="","",$K171))</f>
        <v/>
      </c>
      <c r="AC171">
        <f>IF($V171,IF($N171="","",$N171),IF($L171="","",$L171))</f>
        <v/>
      </c>
      <c r="AD171">
        <f>$Y171</f>
        <v/>
      </c>
      <c r="AE171">
        <f>IF($V171,IF($S171="","",$S171),IF($R171="","",$R171))</f>
        <v/>
      </c>
      <c r="AF171">
        <f>IF($V171,IF($U171="","",$U171),IF($T171="","",$T171))</f>
        <v/>
      </c>
      <c r="AG171">
        <f>IF($V171,IF($O171="","",$O171),IF($P171="","",$P171))</f>
        <v/>
      </c>
      <c r="AH171" t="n">
        <v>0.03262896125692831</v>
      </c>
      <c r="AI171">
        <f>IF($Y171="worse","Yes",IF($Y171="worse, not significant","Not sure",IF(OR($Y171="too few losses to test",$Y171="too few loans to test"),"Too few losses",IF($Y171="","","No"))))</f>
        <v/>
      </c>
      <c r="AJ171">
        <f>IF($AA171="yes","Yes",IF($AA171="","","No"))</f>
        <v/>
      </c>
    </row>
    <row r="172">
      <c r="A172" t="inlineStr">
        <is>
          <t>grids</t>
        </is>
      </c>
      <c r="B172" t="inlineStr">
        <is>
          <t>FICO x ASSET_CLASS</t>
        </is>
      </c>
      <c r="C172" t="inlineStr">
        <is>
          <t>654 - 685</t>
        </is>
      </c>
      <c r="D172" t="inlineStr">
        <is>
          <t>1</t>
        </is>
      </c>
      <c r="E172" t="inlineStr">
        <is>
          <t>ranr_rate</t>
        </is>
      </c>
      <c r="F172" t="inlineStr">
        <is>
          <t>Profit after losses: RANR per booked dollar</t>
        </is>
      </c>
      <c r="G172" t="n">
        <v>397</v>
      </c>
      <c r="H172" t="n">
        <v>12630808.76999999</v>
      </c>
      <c r="I172" t="b">
        <v>0</v>
      </c>
      <c r="J172" t="b">
        <v>0</v>
      </c>
      <c r="K172" t="n">
        <v>0.05245323908971677</v>
      </c>
      <c r="L172" t="n">
        <v>0.00024997500249975</v>
      </c>
      <c r="M172" t="n">
        <v>0.01989181742863705</v>
      </c>
      <c r="N172" t="n">
        <v>0.4600682788863971</v>
      </c>
      <c r="O172" t="n">
        <v>-662526.832309301</v>
      </c>
      <c r="P172" t="n">
        <v>-251249.7420288676</v>
      </c>
      <c r="Q172">
        <f>'_live'!$C$23</f>
        <v/>
      </c>
      <c r="R172" t="inlineStr">
        <is>
          <t>shuffled: 0 of 10,000</t>
        </is>
      </c>
      <c r="S172" t="inlineStr">
        <is>
          <t>shuffled: 1,034 of 10,000</t>
        </is>
      </c>
      <c r="T172" t="n">
        <v>0.1254227972680091</v>
      </c>
      <c r="U172" t="n">
        <v>0.1579842189290888</v>
      </c>
      <c r="V172">
        <f>AND(judged_band,NOT($J172))</f>
        <v/>
      </c>
      <c r="W172">
        <f>IF($K172="","",IF(profit_kind="test",IF(OR(NOT(AND(ISNUMBER($L172),$L172&lt;significance_bar)),$K172=0),"in line",IF($K172&lt;0,"worse","better")),IF(OR($K172=0,IF(profit_kind="points",ABS($K172),ABS($K172*$H172))&lt;profit_line*(1-1E-9)),"in line",IF(AND(ISNUMBER($L172),$L172&lt;significance_bar),IF($K172&lt;0,"worse","better"),IF($K172&lt;0,"worse, not significant","better, not significant")))))</f>
        <v/>
      </c>
      <c r="X172">
        <f>IF($M172="","",IF(profit_kind="test",IF(OR(NOT(AND(ISNUMBER($N172),$N172&lt;significance_bar)),$M172=0),"in line",IF($M172&lt;0,"worse","better")),IF(OR($M172=0,IF(profit_kind="points",ABS($M172),ABS($M172*$H172))&lt;profit_line*(1-1E-9)),"in line",IF(AND(ISNUMBER($N172),$N172&lt;significance_bar),IF($M172&lt;0,"worse","better"),IF($M172&lt;0,"worse, not significant","better, not significant")))))</f>
        <v/>
      </c>
      <c r="Y172">
        <f>IF($V172,$X172,$W172)</f>
        <v/>
      </c>
      <c r="Z172">
        <f>IF($V172,IF($P172="","",$P172),IF($O172="","",$O172))</f>
        <v/>
      </c>
      <c r="AA172">
        <f>IF(OR($Q172="",$Z172=""),"",IF(AND($Z172&gt;0,$Z172&gt;=$Q172),"yes","below the line"))</f>
        <v/>
      </c>
      <c r="AB172">
        <f>IF($V172,IF($M172="","",$M172),IF($K172="","",$K172))</f>
        <v/>
      </c>
      <c r="AC172">
        <f>IF($V172,IF($N172="","",$N172),IF($L172="","",$L172))</f>
        <v/>
      </c>
      <c r="AD172">
        <f>IF($Y172="","",IF($Y172="in line",IF(profit_kind="test",IF(ROUND($AB172*100,2)=0,"0.00",TEXT($AB172*100,"+0.00;-0.00"))&amp;" points against "&amp;IF($V172,"its band","the book")&amp;", "&amp;IF($AC172="","not tested","not significant"),IF(profit_kind="points","within "&amp;TEXT(profit_line*100,"0.00")&amp;" points of "&amp;IF($V172,"its band","the book")&amp;" ("&amp;IF(ROUND($AB172*100,2)=0,"0.00",TEXT($AB172*100,"+0.00;-0.00"))&amp;")","within $"&amp;TEXT(profit_line,"#,##0")&amp;" of "&amp;IF($V172,"its band","the book")&amp;" ("&amp;IF(ROUND($AB172*100,2)=0,"0.00",TEXT($AB172*100,"+0.00;-0.00"))&amp;" points)")),IF(LEFT($Y172,5)="worse","short of ","ahead of ")&amp;IF($V172,"its band","the book")&amp;" by "&amp;TEXT(ABS($AB172)*100,"0.00")&amp;" points"&amp;IF($Z172="",""," ($"&amp;TEXT(ABS($Z172),"#,##0")&amp;")")&amp;IF(RIGHT($Y172,15)="not significant"," (not significant)","")))</f>
        <v/>
      </c>
      <c r="AE172">
        <f>IF($V172,IF($S172="","",$S172),IF($R172="","",$R172))</f>
        <v/>
      </c>
      <c r="AF172">
        <f>IF($V172,IF($U172="","",$U172),IF($T172="","",$T172))</f>
        <v/>
      </c>
      <c r="AG172">
        <f>IF($V172,IF($O172="","",$O172),IF($P172="","",$P172))</f>
        <v/>
      </c>
      <c r="AH172" t="n">
        <v>0.1778760363577258</v>
      </c>
      <c r="AI172">
        <f>IF($Y172="worse","Yes",IF($Y172="worse, not significant","Not sure",IF(OR($Y172="too few losses to test",$Y172="too few loans to test"),"Too few losses",IF($Y172="","","No"))))</f>
        <v/>
      </c>
      <c r="AJ172">
        <f>IF($AA172="yes","Yes",IF($AA172="","","No"))</f>
        <v/>
      </c>
    </row>
    <row r="173">
      <c r="A173" t="inlineStr">
        <is>
          <t>grids</t>
        </is>
      </c>
      <c r="B173" t="inlineStr">
        <is>
          <t>FICO x ASSET_CLASS</t>
        </is>
      </c>
      <c r="C173" t="inlineStr">
        <is>
          <t>654 - 685</t>
        </is>
      </c>
      <c r="D173" t="inlineStr">
        <is>
          <t>1</t>
        </is>
      </c>
      <c r="E173" t="inlineStr">
        <is>
          <t>contribution_rate</t>
        </is>
      </c>
      <c r="F173" t="inlineStr">
        <is>
          <t>Contribution before losses per booked dollar</t>
        </is>
      </c>
      <c r="G173" t="n">
        <v>397</v>
      </c>
      <c r="H173" t="n">
        <v>12630808.76999999</v>
      </c>
      <c r="I173" t="b">
        <v>0</v>
      </c>
      <c r="J173" t="b">
        <v>0</v>
      </c>
      <c r="K173" t="n">
        <v>0.04301833977577302</v>
      </c>
      <c r="L173" t="n">
        <v>0.0001562343765623438</v>
      </c>
      <c r="M173" t="n">
        <v>0.002976958666158214</v>
      </c>
      <c r="N173" t="n">
        <v>0.9216078392160784</v>
      </c>
      <c r="O173" t="n">
        <v>-543356.4233106733</v>
      </c>
      <c r="P173" t="n">
        <v>-37601.3956284388</v>
      </c>
      <c r="Q173">
        <f>'_live'!$C$24</f>
        <v/>
      </c>
      <c r="R173" t="inlineStr">
        <is>
          <t>shuffled: 0 of 10,000</t>
        </is>
      </c>
      <c r="S173" t="inlineStr">
        <is>
          <t>shuffled: 6,642 of 10,000</t>
        </is>
      </c>
      <c r="T173" t="n">
        <v>0.1674866578388811</v>
      </c>
      <c r="U173" t="n">
        <v>0.2075280389484959</v>
      </c>
      <c r="V173">
        <f>AND(judged_band,NOT($J173))</f>
        <v/>
      </c>
      <c r="W173">
        <f>IF($K173="","",IF(profit_kind="test",IF(OR(NOT(AND(ISNUMBER($L173),$L173&lt;significance_bar)),$K173=0),"in line",IF($K173&lt;0,"worse","better")),IF(OR($K173=0,IF(profit_kind="points",ABS($K173),ABS($K173*$H173))&lt;profit_line*(1-1E-9)),"in line",IF(AND(ISNUMBER($L173),$L173&lt;significance_bar),IF($K173&lt;0,"worse","better"),IF($K173&lt;0,"worse, not significant","better, not significant")))))</f>
        <v/>
      </c>
      <c r="X173">
        <f>IF($M173="","",IF(profit_kind="test",IF(OR(NOT(AND(ISNUMBER($N173),$N173&lt;significance_bar)),$M173=0),"in line",IF($M173&lt;0,"worse","better")),IF(OR($M173=0,IF(profit_kind="points",ABS($M173),ABS($M173*$H173))&lt;profit_line*(1-1E-9)),"in line",IF(AND(ISNUMBER($N173),$N173&lt;significance_bar),IF($M173&lt;0,"worse","better"),IF($M173&lt;0,"worse, not significant","better, not significant")))))</f>
        <v/>
      </c>
      <c r="Y173">
        <f>IF($V173,$X173,$W173)</f>
        <v/>
      </c>
      <c r="Z173">
        <f>IF($V173,IF($P173="","",$P173),IF($O173="","",$O173))</f>
        <v/>
      </c>
      <c r="AA173">
        <f>IF(OR($Q173="",$Z173=""),"",IF(AND($Z173&gt;0,$Z173&gt;=$Q173),"yes","below the line"))</f>
        <v/>
      </c>
      <c r="AB173">
        <f>IF($V173,IF($M173="","",$M173),IF($K173="","",$K173))</f>
        <v/>
      </c>
      <c r="AC173">
        <f>IF($V173,IF($N173="","",$N173),IF($L173="","",$L173))</f>
        <v/>
      </c>
      <c r="AD173">
        <f>IF($Y173="","",IF($Y173="in line",IF(profit_kind="test",IF(ROUND($AB173*100,2)=0,"0.00",TEXT($AB173*100,"+0.00;-0.00"))&amp;" points against "&amp;IF($V173,"its band","the book")&amp;", "&amp;IF($AC173="","not tested","not significant"),IF(profit_kind="points","within "&amp;TEXT(profit_line*100,"0.00")&amp;" points of "&amp;IF($V173,"its band","the book")&amp;" ("&amp;IF(ROUND($AB173*100,2)=0,"0.00",TEXT($AB173*100,"+0.00;-0.00"))&amp;")","within $"&amp;TEXT(profit_line,"#,##0")&amp;" of "&amp;IF($V173,"its band","the book")&amp;" ("&amp;IF(ROUND($AB173*100,2)=0,"0.00",TEXT($AB173*100,"+0.00;-0.00"))&amp;" points)")),IF(LEFT($Y173,5)="worse","short of ","ahead of ")&amp;IF($V173,"its band","the book")&amp;" by "&amp;TEXT(ABS($AB173)*100,"0.00")&amp;" points"&amp;IF($Z173="",""," ($"&amp;TEXT(ABS($Z173),"#,##0")&amp;")")&amp;IF(RIGHT($Y173,15)="not significant"," (not significant)","")))</f>
        <v/>
      </c>
      <c r="AE173">
        <f>IF($V173,IF($S173="","",$S173),IF($R173="","",$R173))</f>
        <v/>
      </c>
      <c r="AF173">
        <f>IF($V173,IF($U173="","",$U173),IF($T173="","",$T173))</f>
        <v/>
      </c>
      <c r="AG173">
        <f>IF($V173,IF($O173="","",$O173),IF($P173="","",$P173))</f>
        <v/>
      </c>
      <c r="AH173" t="n">
        <v>0.2105049976146541</v>
      </c>
      <c r="AI173">
        <f>IF($Y173="worse","Yes",IF($Y173="worse, not significant","Not sure",IF(OR($Y173="too few losses to test",$Y173="too few loans to test"),"Too few losses",IF($Y173="","","No"))))</f>
        <v/>
      </c>
      <c r="AJ173">
        <f>IF($AA173="yes","Yes",IF($AA173="","","No"))</f>
        <v/>
      </c>
    </row>
    <row r="174">
      <c r="A174" t="inlineStr">
        <is>
          <t>grids</t>
        </is>
      </c>
      <c r="B174" t="inlineStr">
        <is>
          <t>FICO x ASSET_CLASS</t>
        </is>
      </c>
      <c r="C174" t="inlineStr">
        <is>
          <t>496 - 653</t>
        </is>
      </c>
      <c r="D174" t="inlineStr">
        <is>
          <t>3</t>
        </is>
      </c>
      <c r="E174" t="inlineStr">
        <is>
          <t>outcome_loans</t>
        </is>
      </c>
      <c r="F174" t="inlineStr">
        <is>
          <t>Outcome, share of loans</t>
        </is>
      </c>
      <c r="G174" t="n">
        <v>350</v>
      </c>
      <c r="H174" t="n">
        <v>350</v>
      </c>
      <c r="I174" t="b">
        <v>0</v>
      </c>
      <c r="J174" t="b">
        <v>0</v>
      </c>
      <c r="K174" t="n">
        <v>2.046426047450783</v>
      </c>
      <c r="L174" t="n">
        <v>1.148378307874054e-06</v>
      </c>
      <c r="M174" t="n">
        <v>1.008129439621152</v>
      </c>
      <c r="N174" t="n">
        <v>0.955146465774709</v>
      </c>
      <c r="O174" t="n">
        <v>27.10118969799974</v>
      </c>
      <c r="P174" t="n">
        <v>0.4273858921161846</v>
      </c>
      <c r="Q174">
        <f>'_live'!$C$20</f>
        <v/>
      </c>
      <c r="R174" t="inlineStr">
        <is>
          <t>z test</t>
        </is>
      </c>
      <c r="S174" t="inlineStr">
        <is>
          <t>z test</t>
        </is>
      </c>
      <c r="T174" t="n">
        <v>0.07399660086285789</v>
      </c>
      <c r="U174" t="n">
        <v>0.150207468879668</v>
      </c>
      <c r="V174">
        <f>AND(judged_band,NOT($J174))</f>
        <v/>
      </c>
      <c r="W174">
        <f>IF($K174="","",IF($I174,"too few losses to test",IF(AND($K174&gt;better_at,$K174&lt;worse_at),"in line",IF($K174&gt;=worse_at,IF(AND(ISNUMBER($L174),$L174&lt;significance_bar),"worse","worse, not significant"),IF(AND(ISNUMBER($L174),$L174&lt;significance_bar),"better","better, not significant")))))</f>
        <v/>
      </c>
      <c r="X174">
        <f>IF($M174="","",IF($I174,"too few losses to test",IF(AND($M174&gt;better_at,$M174&lt;worse_at),"in line",IF($M174&gt;=worse_at,IF(AND(ISNUMBER($N174),$N174&lt;significance_bar),"worse","worse, not significant"),IF(AND(ISNUMBER($N174),$N174&lt;significance_bar),"better","better, not significant")))))</f>
        <v/>
      </c>
      <c r="Y174">
        <f>IF($V174,$X174,$W174)</f>
        <v/>
      </c>
      <c r="Z174">
        <f>IF($V174,IF($P174="","",$P174),IF($O174="","",$O174))</f>
        <v/>
      </c>
      <c r="AA174">
        <f>IF(OR($Q174="",$Z174=""),"",IF(AND($Z174&gt;0,$Z174&gt;=$Q174),"yes","below the line"))</f>
        <v/>
      </c>
      <c r="AB174">
        <f>IF($V174,IF($M174="","",$M174),IF($K174="","",$K174))</f>
        <v/>
      </c>
      <c r="AC174">
        <f>IF($V174,IF($N174="","",$N174),IF($L174="","",$L174))</f>
        <v/>
      </c>
      <c r="AD174">
        <f>$Y174</f>
        <v/>
      </c>
      <c r="AE174">
        <f>IF($V174,IF($S174="","",$S174),IF($R174="","",$R174))</f>
        <v/>
      </c>
      <c r="AF174">
        <f>IF($V174,IF($U174="","",$U174),IF($T174="","",$T174))</f>
        <v/>
      </c>
      <c r="AG174">
        <f>IF($V174,IF($O174="","",$O174),IF($P174="","",$P174))</f>
        <v/>
      </c>
      <c r="AH174" t="n">
        <v>0.1514285714285714</v>
      </c>
      <c r="AI174">
        <f>IF($Y174="worse","Yes",IF($Y174="worse, not significant","Not sure",IF(OR($Y174="too few losses to test",$Y174="too few loans to test"),"Too few losses",IF($Y174="","","No"))))</f>
        <v/>
      </c>
      <c r="AJ174">
        <f>IF($AA174="yes","Yes",IF($AA174="","","No"))</f>
        <v/>
      </c>
    </row>
    <row r="175">
      <c r="A175" t="inlineStr">
        <is>
          <t>grids</t>
        </is>
      </c>
      <c r="B175" t="inlineStr">
        <is>
          <t>FICO x ASSET_CLASS</t>
        </is>
      </c>
      <c r="C175" t="inlineStr">
        <is>
          <t>496 - 653</t>
        </is>
      </c>
      <c r="D175" t="inlineStr">
        <is>
          <t>3</t>
        </is>
      </c>
      <c r="E175" t="inlineStr">
        <is>
          <t>outcome_booked</t>
        </is>
      </c>
      <c r="F175" t="inlineStr">
        <is>
          <t>Outcome, share of booked dollars</t>
        </is>
      </c>
      <c r="G175" t="n">
        <v>350</v>
      </c>
      <c r="H175" t="n">
        <v>11724243.3</v>
      </c>
      <c r="I175" t="b">
        <v>0</v>
      </c>
      <c r="J175" t="b">
        <v>0</v>
      </c>
      <c r="K175" t="n">
        <v>1.965310654585129</v>
      </c>
      <c r="L175" t="n">
        <v>0.0009999000099990001</v>
      </c>
      <c r="M175" t="n">
        <v>0.9289596398675806</v>
      </c>
      <c r="N175" t="n">
        <v>0.7885211478852114</v>
      </c>
      <c r="O175" t="n">
        <v>811294.2494123229</v>
      </c>
      <c r="P175" t="n">
        <v>-126313.8042334891</v>
      </c>
      <c r="Q175">
        <f>'_live'!$C$21</f>
        <v/>
      </c>
      <c r="R175" t="inlineStr">
        <is>
          <t>shuffled: 0 of 10,000</t>
        </is>
      </c>
      <c r="S175" t="inlineStr">
        <is>
          <t>shuffled: 6,478 of 10,000</t>
        </is>
      </c>
      <c r="T175" t="n">
        <v>0.07168470058853835</v>
      </c>
      <c r="U175" t="n">
        <v>0.1516564334888452</v>
      </c>
      <c r="V175">
        <f>AND(judged_band,NOT($J175))</f>
        <v/>
      </c>
      <c r="W175">
        <f>IF($K175="","",IF($I175,"too few losses to test",IF(AND($K175&gt;better_at,$K175&lt;worse_at),"in line",IF($K175&gt;=worse_at,IF(AND(ISNUMBER($L175),$L175&lt;significance_bar),"worse","worse, not significant"),IF(AND(ISNUMBER($L175),$L175&lt;significance_bar),"better","better, not significant")))))</f>
        <v/>
      </c>
      <c r="X175">
        <f>IF($M175="","",IF($I175,"too few losses to test",IF(AND($M175&gt;better_at,$M175&lt;worse_at),"in line",IF($M175&gt;=worse_at,IF(AND(ISNUMBER($N175),$N175&lt;significance_bar),"worse","worse, not significant"),IF(AND(ISNUMBER($N175),$N175&lt;significance_bar),"better","better, not significant")))))</f>
        <v/>
      </c>
      <c r="Y175">
        <f>IF($V175,$X175,$W175)</f>
        <v/>
      </c>
      <c r="Z175">
        <f>IF($V175,IF($P175="","",$P175),IF($O175="","",$O175))</f>
        <v/>
      </c>
      <c r="AA175">
        <f>IF(OR($Q175="",$Z175=""),"",IF(AND($Z175&gt;0,$Z175&gt;=$Q175),"yes","below the line"))</f>
        <v/>
      </c>
      <c r="AB175">
        <f>IF($V175,IF($M175="","",$M175),IF($K175="","",$K175))</f>
        <v/>
      </c>
      <c r="AC175">
        <f>IF($V175,IF($N175="","",$N175),IF($L175="","",$L175))</f>
        <v/>
      </c>
      <c r="AD175">
        <f>$Y175</f>
        <v/>
      </c>
      <c r="AE175">
        <f>IF($V175,IF($S175="","",$S175),IF($R175="","",$R175))</f>
        <v/>
      </c>
      <c r="AF175">
        <f>IF($V175,IF($U175="","",$U175),IF($T175="","",$T175))</f>
        <v/>
      </c>
      <c r="AG175">
        <f>IF($V175,IF($O175="","",$O175),IF($P175="","",$P175))</f>
        <v/>
      </c>
      <c r="AH175" t="n">
        <v>0.1408827058373993</v>
      </c>
      <c r="AI175">
        <f>IF($Y175="worse","Yes",IF($Y175="worse, not significant","Not sure",IF(OR($Y175="too few losses to test",$Y175="too few loans to test"),"Too few losses",IF($Y175="","","No"))))</f>
        <v/>
      </c>
      <c r="AJ175">
        <f>IF($AA175="yes","Yes",IF($AA175="","","No"))</f>
        <v/>
      </c>
    </row>
    <row r="176">
      <c r="A176" t="inlineStr">
        <is>
          <t>grids</t>
        </is>
      </c>
      <c r="B176" t="inlineStr">
        <is>
          <t>FICO x ASSET_CLASS</t>
        </is>
      </c>
      <c r="C176" t="inlineStr">
        <is>
          <t>496 - 653</t>
        </is>
      </c>
      <c r="D176" t="inlineStr">
        <is>
          <t>3</t>
        </is>
      </c>
      <c r="E176" t="inlineStr">
        <is>
          <t>gco_rate</t>
        </is>
      </c>
      <c r="F176" t="inlineStr">
        <is>
          <t>GCO per booked dollar</t>
        </is>
      </c>
      <c r="G176" t="n">
        <v>350</v>
      </c>
      <c r="H176" t="n">
        <v>11724243.3</v>
      </c>
      <c r="I176" t="b">
        <v>0</v>
      </c>
      <c r="J176" t="b">
        <v>0</v>
      </c>
      <c r="K176" t="n">
        <v>2.022846774425795</v>
      </c>
      <c r="L176" t="n">
        <v>0.0009999000099990001</v>
      </c>
      <c r="M176" t="n">
        <v>0.9533049072608608</v>
      </c>
      <c r="N176" t="n">
        <v>0.8100242607318215</v>
      </c>
      <c r="O176" t="n">
        <v>476776.1149284337</v>
      </c>
      <c r="P176" t="n">
        <v>-46185.57038041181</v>
      </c>
      <c r="Q176">
        <f>'_live'!$C$22</f>
        <v/>
      </c>
      <c r="R176" t="inlineStr">
        <is>
          <t>shuffled: 0 of 10,000</t>
        </is>
      </c>
      <c r="S176" t="inlineStr">
        <is>
          <t>shuffled: 7,695 of 10,000</t>
        </is>
      </c>
      <c r="T176" t="n">
        <v>0.03975750188257918</v>
      </c>
      <c r="U176" t="n">
        <v>0.08436265651194834</v>
      </c>
      <c r="V176">
        <f>AND(judged_band,NOT($J176))</f>
        <v/>
      </c>
      <c r="W176">
        <f>IF($K176="","",IF($I176,"too few losses to test",IF(AND($K176&gt;better_at,$K176&lt;worse_at),"in line",IF($K176&gt;=worse_at,IF(AND(ISNUMBER($L176),$L176&lt;significance_bar),"worse","worse, not significant"),IF(AND(ISNUMBER($L176),$L176&lt;significance_bar),"better","better, not significant")))))</f>
        <v/>
      </c>
      <c r="X176">
        <f>IF($M176="","",IF($I176,"too few losses to test",IF(AND($M176&gt;better_at,$M176&lt;worse_at),"in line",IF($M176&gt;=worse_at,IF(AND(ISNUMBER($N176),$N176&lt;significance_bar),"worse","worse, not significant"),IF(AND(ISNUMBER($N176),$N176&lt;significance_bar),"better","better, not significant")))))</f>
        <v/>
      </c>
      <c r="Y176">
        <f>IF($V176,$X176,$W176)</f>
        <v/>
      </c>
      <c r="Z176">
        <f>IF($V176,IF($P176="","",$P176),IF($O176="","",$O176))</f>
        <v/>
      </c>
      <c r="AA176">
        <f>IF(OR($Q176="",$Z176=""),"",IF(AND($Z176&gt;0,$Z176&gt;=$Q176),"yes","below the line"))</f>
        <v/>
      </c>
      <c r="AB176">
        <f>IF($V176,IF($M176="","",$M176),IF($K176="","",$K176))</f>
        <v/>
      </c>
      <c r="AC176">
        <f>IF($V176,IF($N176="","",$N176),IF($L176="","",$L176))</f>
        <v/>
      </c>
      <c r="AD176">
        <f>$Y176</f>
        <v/>
      </c>
      <c r="AE176">
        <f>IF($V176,IF($S176="","",$S176),IF($R176="","",$R176))</f>
        <v/>
      </c>
      <c r="AF176">
        <f>IF($V176,IF($U176="","",$U176),IF($T176="","",$T176))</f>
        <v/>
      </c>
      <c r="AG176">
        <f>IF($V176,IF($O176="","",$O176),IF($P176="","",$P176))</f>
        <v/>
      </c>
      <c r="AH176" t="n">
        <v>0.08042333444240277</v>
      </c>
      <c r="AI176">
        <f>IF($Y176="worse","Yes",IF($Y176="worse, not significant","Not sure",IF(OR($Y176="too few losses to test",$Y176="too few loans to test"),"Too few losses",IF($Y176="","","No"))))</f>
        <v/>
      </c>
      <c r="AJ176">
        <f>IF($AA176="yes","Yes",IF($AA176="","","No"))</f>
        <v/>
      </c>
    </row>
    <row r="177">
      <c r="A177" t="inlineStr">
        <is>
          <t>grids</t>
        </is>
      </c>
      <c r="B177" t="inlineStr">
        <is>
          <t>FICO x ASSET_CLASS</t>
        </is>
      </c>
      <c r="C177" t="inlineStr">
        <is>
          <t>496 - 653</t>
        </is>
      </c>
      <c r="D177" t="inlineStr">
        <is>
          <t>3</t>
        </is>
      </c>
      <c r="E177" t="inlineStr">
        <is>
          <t>ranr_rate</t>
        </is>
      </c>
      <c r="F177" t="inlineStr">
        <is>
          <t>Profit after losses: RANR per booked dollar</t>
        </is>
      </c>
      <c r="G177" t="n">
        <v>350</v>
      </c>
      <c r="H177" t="n">
        <v>11724243.3</v>
      </c>
      <c r="I177" t="b">
        <v>0</v>
      </c>
      <c r="J177" t="b">
        <v>0</v>
      </c>
      <c r="K177" t="n">
        <v>0.06679032633230365</v>
      </c>
      <c r="L177" t="n">
        <v>0.00024997500249975</v>
      </c>
      <c r="M177" t="n">
        <v>0.002047278850597828</v>
      </c>
      <c r="N177" t="n">
        <v>0.959004099590041</v>
      </c>
      <c r="O177" t="n">
        <v>-783066.0360063249</v>
      </c>
      <c r="P177" t="n">
        <v>-24002.79534735344</v>
      </c>
      <c r="Q177">
        <f>'_live'!$C$23</f>
        <v/>
      </c>
      <c r="R177" t="inlineStr">
        <is>
          <t>shuffled: 0 of 10,000</t>
        </is>
      </c>
      <c r="S177" t="inlineStr">
        <is>
          <t>shuffled: 8,999 of 10,000</t>
        </is>
      </c>
      <c r="T177" t="n">
        <v>0.1249557149665834</v>
      </c>
      <c r="U177" t="n">
        <v>0.1896987624482893</v>
      </c>
      <c r="V177">
        <f>AND(judged_band,NOT($J177))</f>
        <v/>
      </c>
      <c r="W177">
        <f>IF($K177="","",IF(profit_kind="test",IF(OR(NOT(AND(ISNUMBER($L177),$L177&lt;significance_bar)),$K177=0),"in line",IF($K177&lt;0,"worse","better")),IF(OR($K177=0,IF(profit_kind="points",ABS($K177),ABS($K177*$H177))&lt;profit_line*(1-1E-9)),"in line",IF(AND(ISNUMBER($L177),$L177&lt;significance_bar),IF($K177&lt;0,"worse","better"),IF($K177&lt;0,"worse, not significant","better, not significant")))))</f>
        <v/>
      </c>
      <c r="X177">
        <f>IF($M177="","",IF(profit_kind="test",IF(OR(NOT(AND(ISNUMBER($N177),$N177&lt;significance_bar)),$M177=0),"in line",IF($M177&lt;0,"worse","better")),IF(OR($M177=0,IF(profit_kind="points",ABS($M177),ABS($M177*$H177))&lt;profit_line*(1-1E-9)),"in line",IF(AND(ISNUMBER($N177),$N177&lt;significance_bar),IF($M177&lt;0,"worse","better"),IF($M177&lt;0,"worse, not significant","better, not significant")))))</f>
        <v/>
      </c>
      <c r="Y177">
        <f>IF($V177,$X177,$W177)</f>
        <v/>
      </c>
      <c r="Z177">
        <f>IF($V177,IF($P177="","",$P177),IF($O177="","",$O177))</f>
        <v/>
      </c>
      <c r="AA177">
        <f>IF(OR($Q177="",$Z177=""),"",IF(AND($Z177&gt;0,$Z177&gt;=$Q177),"yes","below the line"))</f>
        <v/>
      </c>
      <c r="AB177">
        <f>IF($V177,IF($M177="","",$M177),IF($K177="","",$K177))</f>
        <v/>
      </c>
      <c r="AC177">
        <f>IF($V177,IF($N177="","",$N177),IF($L177="","",$L177))</f>
        <v/>
      </c>
      <c r="AD177">
        <f>IF($Y177="","",IF($Y177="in line",IF(profit_kind="test",IF(ROUND($AB177*100,2)=0,"0.00",TEXT($AB177*100,"+0.00;-0.00"))&amp;" points against "&amp;IF($V177,"its band","the book")&amp;", "&amp;IF($AC177="","not tested","not significant"),IF(profit_kind="points","within "&amp;TEXT(profit_line*100,"0.00")&amp;" points of "&amp;IF($V177,"its band","the book")&amp;" ("&amp;IF(ROUND($AB177*100,2)=0,"0.00",TEXT($AB177*100,"+0.00;-0.00"))&amp;")","within $"&amp;TEXT(profit_line,"#,##0")&amp;" of "&amp;IF($V177,"its band","the book")&amp;" ("&amp;IF(ROUND($AB177*100,2)=0,"0.00",TEXT($AB177*100,"+0.00;-0.00"))&amp;" points)")),IF(LEFT($Y177,5)="worse","short of ","ahead of ")&amp;IF($V177,"its band","the book")&amp;" by "&amp;TEXT(ABS($AB177)*100,"0.00")&amp;" points"&amp;IF($Z177="",""," ($"&amp;TEXT(ABS($Z177),"#,##0")&amp;")")&amp;IF(RIGHT($Y177,15)="not significant"," (not significant)","")))</f>
        <v/>
      </c>
      <c r="AE177">
        <f>IF($V177,IF($S177="","",$S177),IF($R177="","",$R177))</f>
        <v/>
      </c>
      <c r="AF177">
        <f>IF($V177,IF($U177="","",$U177),IF($T177="","",$T177))</f>
        <v/>
      </c>
      <c r="AG177">
        <f>IF($V177,IF($O177="","",$O177),IF($P177="","",$P177))</f>
        <v/>
      </c>
      <c r="AH177" t="n">
        <v>0.1917460412988871</v>
      </c>
      <c r="AI177">
        <f>IF($Y177="worse","Yes",IF($Y177="worse, not significant","Not sure",IF(OR($Y177="too few losses to test",$Y177="too few loans to test"),"Too few losses",IF($Y177="","","No"))))</f>
        <v/>
      </c>
      <c r="AJ177">
        <f>IF($AA177="yes","Yes",IF($AA177="","","No"))</f>
        <v/>
      </c>
    </row>
    <row r="178">
      <c r="A178" t="inlineStr">
        <is>
          <t>grids</t>
        </is>
      </c>
      <c r="B178" t="inlineStr">
        <is>
          <t>FICO x ASSET_CLASS</t>
        </is>
      </c>
      <c r="C178" t="inlineStr">
        <is>
          <t>496 - 653</t>
        </is>
      </c>
      <c r="D178" t="inlineStr">
        <is>
          <t>3</t>
        </is>
      </c>
      <c r="E178" t="inlineStr">
        <is>
          <t>contribution_rate</t>
        </is>
      </c>
      <c r="F178" t="inlineStr">
        <is>
          <t>Contribution before losses per booked dollar</t>
        </is>
      </c>
      <c r="G178" t="n">
        <v>350</v>
      </c>
      <c r="H178" t="n">
        <v>11724243.3</v>
      </c>
      <c r="I178" t="b">
        <v>0</v>
      </c>
      <c r="J178" t="b">
        <v>0</v>
      </c>
      <c r="K178" t="n">
        <v>0.1074596431305903</v>
      </c>
      <c r="L178" t="n">
        <v>0.0001562343765623438</v>
      </c>
      <c r="M178" t="n">
        <v>-0.001892043218947925</v>
      </c>
      <c r="N178" t="n">
        <v>0.9216078392160784</v>
      </c>
      <c r="O178" t="n">
        <v>-1259883.000994215</v>
      </c>
      <c r="P178" t="n">
        <v>22182.77503306093</v>
      </c>
      <c r="Q178">
        <f>'_live'!$C$24</f>
        <v/>
      </c>
      <c r="R178" t="inlineStr">
        <is>
          <t>shuffled: 0 of 10,000</t>
        </is>
      </c>
      <c r="S178" t="inlineStr">
        <is>
          <t>shuffled: 8,491 of 10,000</t>
        </is>
      </c>
      <c r="T178" t="n">
        <v>0.1647097326106993</v>
      </c>
      <c r="U178" t="n">
        <v>0.2740614189602376</v>
      </c>
      <c r="V178">
        <f>AND(judged_band,NOT($J178))</f>
        <v/>
      </c>
      <c r="W178">
        <f>IF($K178="","",IF(profit_kind="test",IF(OR(NOT(AND(ISNUMBER($L178),$L178&lt;significance_bar)),$K178=0),"in line",IF($K178&lt;0,"worse","better")),IF(OR($K178=0,IF(profit_kind="points",ABS($K178),ABS($K178*$H178))&lt;profit_line*(1-1E-9)),"in line",IF(AND(ISNUMBER($L178),$L178&lt;significance_bar),IF($K178&lt;0,"worse","better"),IF($K178&lt;0,"worse, not significant","better, not significant")))))</f>
        <v/>
      </c>
      <c r="X178">
        <f>IF($M178="","",IF(profit_kind="test",IF(OR(NOT(AND(ISNUMBER($N178),$N178&lt;significance_bar)),$M178=0),"in line",IF($M178&lt;0,"worse","better")),IF(OR($M178=0,IF(profit_kind="points",ABS($M178),ABS($M178*$H178))&lt;profit_line*(1-1E-9)),"in line",IF(AND(ISNUMBER($N178),$N178&lt;significance_bar),IF($M178&lt;0,"worse","better"),IF($M178&lt;0,"worse, not significant","better, not significant")))))</f>
        <v/>
      </c>
      <c r="Y178">
        <f>IF($V178,$X178,$W178)</f>
        <v/>
      </c>
      <c r="Z178">
        <f>IF($V178,IF($P178="","",$P178),IF($O178="","",$O178))</f>
        <v/>
      </c>
      <c r="AA178">
        <f>IF(OR($Q178="",$Z178=""),"",IF(AND($Z178&gt;0,$Z178&gt;=$Q178),"yes","below the line"))</f>
        <v/>
      </c>
      <c r="AB178">
        <f>IF($V178,IF($M178="","",$M178),IF($K178="","",$K178))</f>
        <v/>
      </c>
      <c r="AC178">
        <f>IF($V178,IF($N178="","",$N178),IF($L178="","",$L178))</f>
        <v/>
      </c>
      <c r="AD178">
        <f>IF($Y178="","",IF($Y178="in line",IF(profit_kind="test",IF(ROUND($AB178*100,2)=0,"0.00",TEXT($AB178*100,"+0.00;-0.00"))&amp;" points against "&amp;IF($V178,"its band","the book")&amp;", "&amp;IF($AC178="","not tested","not significant"),IF(profit_kind="points","within "&amp;TEXT(profit_line*100,"0.00")&amp;" points of "&amp;IF($V178,"its band","the book")&amp;" ("&amp;IF(ROUND($AB178*100,2)=0,"0.00",TEXT($AB178*100,"+0.00;-0.00"))&amp;")","within $"&amp;TEXT(profit_line,"#,##0")&amp;" of "&amp;IF($V178,"its band","the book")&amp;" ("&amp;IF(ROUND($AB178*100,2)=0,"0.00",TEXT($AB178*100,"+0.00;-0.00"))&amp;" points)")),IF(LEFT($Y178,5)="worse","short of ","ahead of ")&amp;IF($V178,"its band","the book")&amp;" by "&amp;TEXT(ABS($AB178)*100,"0.00")&amp;" points"&amp;IF($Z178="",""," ($"&amp;TEXT(ABS($Z178),"#,##0")&amp;")")&amp;IF(RIGHT($Y178,15)="not significant"," (not significant)","")))</f>
        <v/>
      </c>
      <c r="AE178">
        <f>IF($V178,IF($S178="","",$S178),IF($R178="","",$R178))</f>
        <v/>
      </c>
      <c r="AF178">
        <f>IF($V178,IF($U178="","",$U178),IF($T178="","",$T178))</f>
        <v/>
      </c>
      <c r="AG178">
        <f>IF($V178,IF($O178="","",$O178),IF($P178="","",$P178))</f>
        <v/>
      </c>
      <c r="AH178" t="n">
        <v>0.2721693757412896</v>
      </c>
      <c r="AI178">
        <f>IF($Y178="worse","Yes",IF($Y178="worse, not significant","Not sure",IF(OR($Y178="too few losses to test",$Y178="too few loans to test"),"Too few losses",IF($Y178="","","No"))))</f>
        <v/>
      </c>
      <c r="AJ178">
        <f>IF($AA178="yes","Yes",IF($AA178="","","No"))</f>
        <v/>
      </c>
    </row>
    <row r="179">
      <c r="A179" t="inlineStr">
        <is>
          <t>grids</t>
        </is>
      </c>
      <c r="B179" t="inlineStr">
        <is>
          <t>FICO x ASSET_CLASS</t>
        </is>
      </c>
      <c r="C179" t="inlineStr">
        <is>
          <t>654 - 685</t>
        </is>
      </c>
      <c r="D179" t="inlineStr">
        <is>
          <t>3</t>
        </is>
      </c>
      <c r="E179" t="inlineStr">
        <is>
          <t>outcome_loans</t>
        </is>
      </c>
      <c r="F179" t="inlineStr">
        <is>
          <t>Outcome, share of loans</t>
        </is>
      </c>
      <c r="G179" t="n">
        <v>377</v>
      </c>
      <c r="H179" t="n">
        <v>377</v>
      </c>
      <c r="I179" t="b">
        <v>0</v>
      </c>
      <c r="J179" t="b">
        <v>0</v>
      </c>
      <c r="K179" t="n">
        <v>1.065888955051517</v>
      </c>
      <c r="L179" t="n">
        <v>0.7982586377423296</v>
      </c>
      <c r="M179" t="n">
        <v>0.9651421375559307</v>
      </c>
      <c r="N179" t="n">
        <v>0.955146465774709</v>
      </c>
      <c r="O179" t="n">
        <v>1.916294935712411</v>
      </c>
      <c r="P179" t="n">
        <v>-1.119621342512907</v>
      </c>
      <c r="Q179">
        <f>'_live'!$C$20</f>
        <v/>
      </c>
      <c r="R179" t="inlineStr">
        <is>
          <t>z test</t>
        </is>
      </c>
      <c r="S179" t="inlineStr">
        <is>
          <t>z test</t>
        </is>
      </c>
      <c r="T179" t="n">
        <v>0.07714510627131986</v>
      </c>
      <c r="U179" t="n">
        <v>0.08519793459552495</v>
      </c>
      <c r="V179">
        <f>AND(judged_band,NOT($J179))</f>
        <v/>
      </c>
      <c r="W179">
        <f>IF($K179="","",IF($I179,"too few losses to test",IF(AND($K179&gt;better_at,$K179&lt;worse_at),"in line",IF($K179&gt;=worse_at,IF(AND(ISNUMBER($L179),$L179&lt;significance_bar),"worse","worse, not significant"),IF(AND(ISNUMBER($L179),$L179&lt;significance_bar),"better","better, not significant")))))</f>
        <v/>
      </c>
      <c r="X179">
        <f>IF($M179="","",IF($I179,"too few losses to test",IF(AND($M179&gt;better_at,$M179&lt;worse_at),"in line",IF($M179&gt;=worse_at,IF(AND(ISNUMBER($N179),$N179&lt;significance_bar),"worse","worse, not significant"),IF(AND(ISNUMBER($N179),$N179&lt;significance_bar),"better","better, not significant")))))</f>
        <v/>
      </c>
      <c r="Y179">
        <f>IF($V179,$X179,$W179)</f>
        <v/>
      </c>
      <c r="Z179">
        <f>IF($V179,IF($P179="","",$P179),IF($O179="","",$O179))</f>
        <v/>
      </c>
      <c r="AA179">
        <f>IF(OR($Q179="",$Z179=""),"",IF(AND($Z179&gt;0,$Z179&gt;=$Q179),"yes","below the line"))</f>
        <v/>
      </c>
      <c r="AB179">
        <f>IF($V179,IF($M179="","",$M179),IF($K179="","",$K179))</f>
        <v/>
      </c>
      <c r="AC179">
        <f>IF($V179,IF($N179="","",$N179),IF($L179="","",$L179))</f>
        <v/>
      </c>
      <c r="AD179">
        <f>$Y179</f>
        <v/>
      </c>
      <c r="AE179">
        <f>IF($V179,IF($S179="","",$S179),IF($R179="","",$R179))</f>
        <v/>
      </c>
      <c r="AF179">
        <f>IF($V179,IF($U179="","",$U179),IF($T179="","",$T179))</f>
        <v/>
      </c>
      <c r="AG179">
        <f>IF($V179,IF($O179="","",$O179),IF($P179="","",$P179))</f>
        <v/>
      </c>
      <c r="AH179" t="n">
        <v>0.08222811671087533</v>
      </c>
      <c r="AI179">
        <f>IF($Y179="worse","Yes",IF($Y179="worse, not significant","Not sure",IF(OR($Y179="too few losses to test",$Y179="too few loans to test"),"Too few losses",IF($Y179="","","No"))))</f>
        <v/>
      </c>
      <c r="AJ179">
        <f>IF($AA179="yes","Yes",IF($AA179="","","No"))</f>
        <v/>
      </c>
    </row>
    <row r="180">
      <c r="A180" t="inlineStr">
        <is>
          <t>grids</t>
        </is>
      </c>
      <c r="B180" t="inlineStr">
        <is>
          <t>FICO x ASSET_CLASS</t>
        </is>
      </c>
      <c r="C180" t="inlineStr">
        <is>
          <t>654 - 685</t>
        </is>
      </c>
      <c r="D180" t="inlineStr">
        <is>
          <t>3</t>
        </is>
      </c>
      <c r="E180" t="inlineStr">
        <is>
          <t>outcome_booked</t>
        </is>
      </c>
      <c r="F180" t="inlineStr">
        <is>
          <t>Outcome, share of booked dollars</t>
        </is>
      </c>
      <c r="G180" t="n">
        <v>377</v>
      </c>
      <c r="H180" t="n">
        <v>11987321.02</v>
      </c>
      <c r="I180" t="b">
        <v>0</v>
      </c>
      <c r="J180" t="b">
        <v>0</v>
      </c>
      <c r="K180" t="n">
        <v>1.121173877110201</v>
      </c>
      <c r="L180" t="n">
        <v>0.5604439556044396</v>
      </c>
      <c r="M180" t="n">
        <v>1.059885234816398</v>
      </c>
      <c r="N180" t="n">
        <v>0.7885211478852114</v>
      </c>
      <c r="O180" t="n">
        <v>108084.2409831452</v>
      </c>
      <c r="P180" t="n">
        <v>56505.04930858547</v>
      </c>
      <c r="Q180">
        <f>'_live'!$C$21</f>
        <v/>
      </c>
      <c r="R180" t="inlineStr">
        <is>
          <t>shuffled: 5,604 of 10,000</t>
        </is>
      </c>
      <c r="S180" t="inlineStr">
        <is>
          <t>shuffled: 7,885 of 10,000</t>
        </is>
      </c>
      <c r="T180" t="n">
        <v>0.07440998848105056</v>
      </c>
      <c r="U180" t="n">
        <v>0.07871280072646415</v>
      </c>
      <c r="V180">
        <f>AND(judged_band,NOT($J180))</f>
        <v/>
      </c>
      <c r="W180">
        <f>IF($K180="","",IF($I180,"too few losses to test",IF(AND($K180&gt;better_at,$K180&lt;worse_at),"in line",IF($K180&gt;=worse_at,IF(AND(ISNUMBER($L180),$L180&lt;significance_bar),"worse","worse, not significant"),IF(AND(ISNUMBER($L180),$L180&lt;significance_bar),"better","better, not significant")))))</f>
        <v/>
      </c>
      <c r="X180">
        <f>IF($M180="","",IF($I180,"too few losses to test",IF(AND($M180&gt;better_at,$M180&lt;worse_at),"in line",IF($M180&gt;=worse_at,IF(AND(ISNUMBER($N180),$N180&lt;significance_bar),"worse","worse, not significant"),IF(AND(ISNUMBER($N180),$N180&lt;significance_bar),"better","better, not significant")))))</f>
        <v/>
      </c>
      <c r="Y180">
        <f>IF($V180,$X180,$W180)</f>
        <v/>
      </c>
      <c r="Z180">
        <f>IF($V180,IF($P180="","",$P180),IF($O180="","",$O180))</f>
        <v/>
      </c>
      <c r="AA180">
        <f>IF(OR($Q180="",$Z180=""),"",IF(AND($Z180&gt;0,$Z180&gt;=$Q180),"yes","below the line"))</f>
        <v/>
      </c>
      <c r="AB180">
        <f>IF($V180,IF($M180="","",$M180),IF($K180="","",$K180))</f>
        <v/>
      </c>
      <c r="AC180">
        <f>IF($V180,IF($N180="","",$N180),IF($L180="","",$L180))</f>
        <v/>
      </c>
      <c r="AD180">
        <f>$Y180</f>
        <v/>
      </c>
      <c r="AE180">
        <f>IF($V180,IF($S180="","",$S180),IF($R180="","",$R180))</f>
        <v/>
      </c>
      <c r="AF180">
        <f>IF($V180,IF($U180="","",$U180),IF($T180="","",$T180))</f>
        <v/>
      </c>
      <c r="AG180">
        <f>IF($V180,IF($O180="","",$O180),IF($P180="","",$P180))</f>
        <v/>
      </c>
      <c r="AH180" t="n">
        <v>0.08342653528102482</v>
      </c>
      <c r="AI180">
        <f>IF($Y180="worse","Yes",IF($Y180="worse, not significant","Not sure",IF(OR($Y180="too few losses to test",$Y180="too few loans to test"),"Too few losses",IF($Y180="","","No"))))</f>
        <v/>
      </c>
      <c r="AJ180">
        <f>IF($AA180="yes","Yes",IF($AA180="","","No"))</f>
        <v/>
      </c>
    </row>
    <row r="181">
      <c r="A181" t="inlineStr">
        <is>
          <t>grids</t>
        </is>
      </c>
      <c r="B181" t="inlineStr">
        <is>
          <t>FICO x ASSET_CLASS</t>
        </is>
      </c>
      <c r="C181" t="inlineStr">
        <is>
          <t>654 - 685</t>
        </is>
      </c>
      <c r="D181" t="inlineStr">
        <is>
          <t>3</t>
        </is>
      </c>
      <c r="E181" t="inlineStr">
        <is>
          <t>gco_rate</t>
        </is>
      </c>
      <c r="F181" t="inlineStr">
        <is>
          <t>GCO per booked dollar</t>
        </is>
      </c>
      <c r="G181" t="n">
        <v>377</v>
      </c>
      <c r="H181" t="n">
        <v>11987321.02</v>
      </c>
      <c r="I181" t="b">
        <v>0</v>
      </c>
      <c r="J181" t="b">
        <v>0</v>
      </c>
      <c r="K181" t="n">
        <v>1.189205904949511</v>
      </c>
      <c r="L181" t="n">
        <v>0.45171953392896</v>
      </c>
      <c r="M181" t="n">
        <v>1.115059073035587</v>
      </c>
      <c r="N181" t="n">
        <v>0.7759224077592241</v>
      </c>
      <c r="O181" t="n">
        <v>93541.50458787632</v>
      </c>
      <c r="P181" t="n">
        <v>60666.60850861727</v>
      </c>
      <c r="Q181">
        <f>'_live'!$C$22</f>
        <v/>
      </c>
      <c r="R181" t="inlineStr">
        <is>
          <t>shuffled: 3,839 of 10,000</t>
        </is>
      </c>
      <c r="S181" t="inlineStr">
        <is>
          <t>shuffled: 6,333 of 10,000</t>
        </is>
      </c>
      <c r="T181" t="n">
        <v>0.04124274177585376</v>
      </c>
      <c r="U181" t="n">
        <v>0.04398521409509921</v>
      </c>
      <c r="V181">
        <f>AND(judged_band,NOT($J181))</f>
        <v/>
      </c>
      <c r="W181">
        <f>IF($K181="","",IF($I181,"too few losses to test",IF(AND($K181&gt;better_at,$K181&lt;worse_at),"in line",IF($K181&gt;=worse_at,IF(AND(ISNUMBER($L181),$L181&lt;significance_bar),"worse","worse, not significant"),IF(AND(ISNUMBER($L181),$L181&lt;significance_bar),"better","better, not significant")))))</f>
        <v/>
      </c>
      <c r="X181">
        <f>IF($M181="","",IF($I181,"too few losses to test",IF(AND($M181&gt;better_at,$M181&lt;worse_at),"in line",IF($M181&gt;=worse_at,IF(AND(ISNUMBER($N181),$N181&lt;significance_bar),"worse","worse, not significant"),IF(AND(ISNUMBER($N181),$N181&lt;significance_bar),"better","better, not significant")))))</f>
        <v/>
      </c>
      <c r="Y181">
        <f>IF($V181,$X181,$W181)</f>
        <v/>
      </c>
      <c r="Z181">
        <f>IF($V181,IF($P181="","",$P181),IF($O181="","",$O181))</f>
        <v/>
      </c>
      <c r="AA181">
        <f>IF(OR($Q181="",$Z181=""),"",IF(AND($Z181&gt;0,$Z181&gt;=$Q181),"yes","below the line"))</f>
        <v/>
      </c>
      <c r="AB181">
        <f>IF($V181,IF($M181="","",$M181),IF($K181="","",$K181))</f>
        <v/>
      </c>
      <c r="AC181">
        <f>IF($V181,IF($N181="","",$N181),IF($L181="","",$L181))</f>
        <v/>
      </c>
      <c r="AD181">
        <f>$Y181</f>
        <v/>
      </c>
      <c r="AE181">
        <f>IF($V181,IF($S181="","",$S181),IF($R181="","",$R181))</f>
        <v/>
      </c>
      <c r="AF181">
        <f>IF($V181,IF($U181="","",$U181),IF($T181="","",$T181))</f>
        <v/>
      </c>
      <c r="AG181">
        <f>IF($V181,IF($O181="","",$O181),IF($P181="","",$P181))</f>
        <v/>
      </c>
      <c r="AH181" t="n">
        <v>0.04904611205615317</v>
      </c>
      <c r="AI181">
        <f>IF($Y181="worse","Yes",IF($Y181="worse, not significant","Not sure",IF(OR($Y181="too few losses to test",$Y181="too few loans to test"),"Too few losses",IF($Y181="","","No"))))</f>
        <v/>
      </c>
      <c r="AJ181">
        <f>IF($AA181="yes","Yes",IF($AA181="","","No"))</f>
        <v/>
      </c>
    </row>
    <row r="182">
      <c r="A182" t="inlineStr">
        <is>
          <t>grids</t>
        </is>
      </c>
      <c r="B182" t="inlineStr">
        <is>
          <t>FICO x ASSET_CLASS</t>
        </is>
      </c>
      <c r="C182" t="inlineStr">
        <is>
          <t>654 - 685</t>
        </is>
      </c>
      <c r="D182" t="inlineStr">
        <is>
          <t>3</t>
        </is>
      </c>
      <c r="E182" t="inlineStr">
        <is>
          <t>ranr_rate</t>
        </is>
      </c>
      <c r="F182" t="inlineStr">
        <is>
          <t>Profit after losses: RANR per booked dollar</t>
        </is>
      </c>
      <c r="G182" t="n">
        <v>377</v>
      </c>
      <c r="H182" t="n">
        <v>11987321.02</v>
      </c>
      <c r="I182" t="b">
        <v>0</v>
      </c>
      <c r="J182" t="b">
        <v>0</v>
      </c>
      <c r="K182" t="n">
        <v>0.03328657805796809</v>
      </c>
      <c r="L182" t="n">
        <v>0.006041062560410625</v>
      </c>
      <c r="M182" t="n">
        <v>-0.004418184235396694</v>
      </c>
      <c r="N182" t="n">
        <v>0.9525847415258474</v>
      </c>
      <c r="O182" t="n">
        <v>-399016.8968381514</v>
      </c>
      <c r="P182" t="n">
        <v>52962.19275520346</v>
      </c>
      <c r="Q182">
        <f>'_live'!$C$23</f>
        <v/>
      </c>
      <c r="R182" t="inlineStr">
        <is>
          <t>shuffled: 28 of 10,000</t>
        </is>
      </c>
      <c r="S182" t="inlineStr">
        <is>
          <t>shuffled: 7,235 of 10,000</t>
        </is>
      </c>
      <c r="T182" t="n">
        <v>0.1264438827184965</v>
      </c>
      <c r="U182" t="n">
        <v>0.1641486450118613</v>
      </c>
      <c r="V182">
        <f>AND(judged_band,NOT($J182))</f>
        <v/>
      </c>
      <c r="W182">
        <f>IF($K182="","",IF(profit_kind="test",IF(OR(NOT(AND(ISNUMBER($L182),$L182&lt;significance_bar)),$K182=0),"in line",IF($K182&lt;0,"worse","better")),IF(OR($K182=0,IF(profit_kind="points",ABS($K182),ABS($K182*$H182))&lt;profit_line*(1-1E-9)),"in line",IF(AND(ISNUMBER($L182),$L182&lt;significance_bar),IF($K182&lt;0,"worse","better"),IF($K182&lt;0,"worse, not significant","better, not significant")))))</f>
        <v/>
      </c>
      <c r="X182">
        <f>IF($M182="","",IF(profit_kind="test",IF(OR(NOT(AND(ISNUMBER($N182),$N182&lt;significance_bar)),$M182=0),"in line",IF($M182&lt;0,"worse","better")),IF(OR($M182=0,IF(profit_kind="points",ABS($M182),ABS($M182*$H182))&lt;profit_line*(1-1E-9)),"in line",IF(AND(ISNUMBER($N182),$N182&lt;significance_bar),IF($M182&lt;0,"worse","better"),IF($M182&lt;0,"worse, not significant","better, not significant")))))</f>
        <v/>
      </c>
      <c r="Y182">
        <f>IF($V182,$X182,$W182)</f>
        <v/>
      </c>
      <c r="Z182">
        <f>IF($V182,IF($P182="","",$P182),IF($O182="","",$O182))</f>
        <v/>
      </c>
      <c r="AA182">
        <f>IF(OR($Q182="",$Z182=""),"",IF(AND($Z182&gt;0,$Z182&gt;=$Q182),"yes","below the line"))</f>
        <v/>
      </c>
      <c r="AB182">
        <f>IF($V182,IF($M182="","",$M182),IF($K182="","",$K182))</f>
        <v/>
      </c>
      <c r="AC182">
        <f>IF($V182,IF($N182="","",$N182),IF($L182="","",$L182))</f>
        <v/>
      </c>
      <c r="AD182">
        <f>IF($Y182="","",IF($Y182="in line",IF(profit_kind="test",IF(ROUND($AB182*100,2)=0,"0.00",TEXT($AB182*100,"+0.00;-0.00"))&amp;" points against "&amp;IF($V182,"its band","the book")&amp;", "&amp;IF($AC182="","not tested","not significant"),IF(profit_kind="points","within "&amp;TEXT(profit_line*100,"0.00")&amp;" points of "&amp;IF($V182,"its band","the book")&amp;" ("&amp;IF(ROUND($AB182*100,2)=0,"0.00",TEXT($AB182*100,"+0.00;-0.00"))&amp;")","within $"&amp;TEXT(profit_line,"#,##0")&amp;" of "&amp;IF($V182,"its band","the book")&amp;" ("&amp;IF(ROUND($AB182*100,2)=0,"0.00",TEXT($AB182*100,"+0.00;-0.00"))&amp;" points)")),IF(LEFT($Y182,5)="worse","short of ","ahead of ")&amp;IF($V182,"its band","the book")&amp;" by "&amp;TEXT(ABS($AB182)*100,"0.00")&amp;" points"&amp;IF($Z182="",""," ($"&amp;TEXT(ABS($Z182),"#,##0")&amp;")")&amp;IF(RIGHT($Y182,15)="not significant"," (not significant)","")))</f>
        <v/>
      </c>
      <c r="AE182">
        <f>IF($V182,IF($S182="","",$S182),IF($R182="","",$R182))</f>
        <v/>
      </c>
      <c r="AF182">
        <f>IF($V182,IF($U182="","",$U182),IF($T182="","",$T182))</f>
        <v/>
      </c>
      <c r="AG182">
        <f>IF($V182,IF($O182="","",$O182),IF($P182="","",$P182))</f>
        <v/>
      </c>
      <c r="AH182" t="n">
        <v>0.1597304607764646</v>
      </c>
      <c r="AI182">
        <f>IF($Y182="worse","Yes",IF($Y182="worse, not significant","Not sure",IF(OR($Y182="too few losses to test",$Y182="too few loans to test"),"Too few losses",IF($Y182="","","No"))))</f>
        <v/>
      </c>
      <c r="AJ182">
        <f>IF($AA182="yes","Yes",IF($AA182="","","No"))</f>
        <v/>
      </c>
    </row>
    <row r="183">
      <c r="A183" t="inlineStr">
        <is>
          <t>grids</t>
        </is>
      </c>
      <c r="B183" t="inlineStr">
        <is>
          <t>FICO x ASSET_CLASS</t>
        </is>
      </c>
      <c r="C183" t="inlineStr">
        <is>
          <t>654 - 685</t>
        </is>
      </c>
      <c r="D183" t="inlineStr">
        <is>
          <t>3</t>
        </is>
      </c>
      <c r="E183" t="inlineStr">
        <is>
          <t>contribution_rate</t>
        </is>
      </c>
      <c r="F183" t="inlineStr">
        <is>
          <t>Contribution before losses per booked dollar</t>
        </is>
      </c>
      <c r="G183" t="n">
        <v>377</v>
      </c>
      <c r="H183" t="n">
        <v>11987321.02</v>
      </c>
      <c r="I183" t="b">
        <v>0</v>
      </c>
      <c r="J183" t="b">
        <v>0</v>
      </c>
      <c r="K183" t="n">
        <v>0.04109319627319061</v>
      </c>
      <c r="L183" t="n">
        <v>0.0001562343765623438</v>
      </c>
      <c r="M183" t="n">
        <v>0.000642713725657329</v>
      </c>
      <c r="N183" t="n">
        <v>0.9216078392160784</v>
      </c>
      <c r="O183" t="n">
        <v>-492597.335464603</v>
      </c>
      <c r="P183" t="n">
        <v>-7704.415753414389</v>
      </c>
      <c r="Q183">
        <f>'_live'!$C$24</f>
        <v/>
      </c>
      <c r="R183" t="inlineStr">
        <is>
          <t>shuffled: 0 of 10,000</t>
        </is>
      </c>
      <c r="S183" t="inlineStr">
        <is>
          <t>shuffled: 9,216 of 10,000</t>
        </is>
      </c>
      <c r="T183" t="n">
        <v>0.1676833765594273</v>
      </c>
      <c r="U183" t="n">
        <v>0.2081338591069606</v>
      </c>
      <c r="V183">
        <f>AND(judged_band,NOT($J183))</f>
        <v/>
      </c>
      <c r="W183">
        <f>IF($K183="","",IF(profit_kind="test",IF(OR(NOT(AND(ISNUMBER($L183),$L183&lt;significance_bar)),$K183=0),"in line",IF($K183&lt;0,"worse","better")),IF(OR($K183=0,IF(profit_kind="points",ABS($K183),ABS($K183*$H183))&lt;profit_line*(1-1E-9)),"in line",IF(AND(ISNUMBER($L183),$L183&lt;significance_bar),IF($K183&lt;0,"worse","better"),IF($K183&lt;0,"worse, not significant","better, not significant")))))</f>
        <v/>
      </c>
      <c r="X183">
        <f>IF($M183="","",IF(profit_kind="test",IF(OR(NOT(AND(ISNUMBER($N183),$N183&lt;significance_bar)),$M183=0),"in line",IF($M183&lt;0,"worse","better")),IF(OR($M183=0,IF(profit_kind="points",ABS($M183),ABS($M183*$H183))&lt;profit_line*(1-1E-9)),"in line",IF(AND(ISNUMBER($N183),$N183&lt;significance_bar),IF($M183&lt;0,"worse","better"),IF($M183&lt;0,"worse, not significant","better, not significant")))))</f>
        <v/>
      </c>
      <c r="Y183">
        <f>IF($V183,$X183,$W183)</f>
        <v/>
      </c>
      <c r="Z183">
        <f>IF($V183,IF($P183="","",$P183),IF($O183="","",$O183))</f>
        <v/>
      </c>
      <c r="AA183">
        <f>IF(OR($Q183="",$Z183=""),"",IF(AND($Z183&gt;0,$Z183&gt;=$Q183),"yes","below the line"))</f>
        <v/>
      </c>
      <c r="AB183">
        <f>IF($V183,IF($M183="","",$M183),IF($K183="","",$K183))</f>
        <v/>
      </c>
      <c r="AC183">
        <f>IF($V183,IF($N183="","",$N183),IF($L183="","",$L183))</f>
        <v/>
      </c>
      <c r="AD183">
        <f>IF($Y183="","",IF($Y183="in line",IF(profit_kind="test",IF(ROUND($AB183*100,2)=0,"0.00",TEXT($AB183*100,"+0.00;-0.00"))&amp;" points against "&amp;IF($V183,"its band","the book")&amp;", "&amp;IF($AC183="","not tested","not significant"),IF(profit_kind="points","within "&amp;TEXT(profit_line*100,"0.00")&amp;" points of "&amp;IF($V183,"its band","the book")&amp;" ("&amp;IF(ROUND($AB183*100,2)=0,"0.00",TEXT($AB183*100,"+0.00;-0.00"))&amp;")","within $"&amp;TEXT(profit_line,"#,##0")&amp;" of "&amp;IF($V183,"its band","the book")&amp;" ("&amp;IF(ROUND($AB183*100,2)=0,"0.00",TEXT($AB183*100,"+0.00;-0.00"))&amp;" points)")),IF(LEFT($Y183,5)="worse","short of ","ahead of ")&amp;IF($V183,"its band","the book")&amp;" by "&amp;TEXT(ABS($AB183)*100,"0.00")&amp;" points"&amp;IF($Z183="",""," ($"&amp;TEXT(ABS($Z183),"#,##0")&amp;")")&amp;IF(RIGHT($Y183,15)="not significant"," (not significant)","")))</f>
        <v/>
      </c>
      <c r="AE183">
        <f>IF($V183,IF($S183="","",$S183),IF($R183="","",$R183))</f>
        <v/>
      </c>
      <c r="AF183">
        <f>IF($V183,IF($U183="","",$U183),IF($T183="","",$T183))</f>
        <v/>
      </c>
      <c r="AG183">
        <f>IF($V183,IF($O183="","",$O183),IF($P183="","",$P183))</f>
        <v/>
      </c>
      <c r="AH183" t="n">
        <v>0.2087765728326179</v>
      </c>
      <c r="AI183">
        <f>IF($Y183="worse","Yes",IF($Y183="worse, not significant","Not sure",IF(OR($Y183="too few losses to test",$Y183="too few loans to test"),"Too few losses",IF($Y183="","","No"))))</f>
        <v/>
      </c>
      <c r="AJ183">
        <f>IF($AA183="yes","Yes",IF($AA183="","","No"))</f>
        <v/>
      </c>
    </row>
    <row r="184">
      <c r="A184" t="inlineStr">
        <is>
          <t>grids</t>
        </is>
      </c>
      <c r="B184" t="inlineStr">
        <is>
          <t>FICO x ASSET_CLASS</t>
        </is>
      </c>
      <c r="C184" t="inlineStr">
        <is>
          <t>746 - 921</t>
        </is>
      </c>
      <c r="D184" t="inlineStr">
        <is>
          <t>3</t>
        </is>
      </c>
      <c r="E184" t="inlineStr">
        <is>
          <t>outcome_loans</t>
        </is>
      </c>
      <c r="F184" t="inlineStr">
        <is>
          <t>Outcome, share of loans</t>
        </is>
      </c>
      <c r="G184" t="n">
        <v>385</v>
      </c>
      <c r="H184" t="n">
        <v>385</v>
      </c>
      <c r="I184" t="b">
        <v>0</v>
      </c>
      <c r="J184" t="b">
        <v>0</v>
      </c>
      <c r="K184" t="n">
        <v>0.5247528590812173</v>
      </c>
      <c r="L184" t="n">
        <v>0.01401325896591061</v>
      </c>
      <c r="M184" t="n">
        <v>1.071485036702428</v>
      </c>
      <c r="N184" t="n">
        <v>0.955146465774709</v>
      </c>
      <c r="O184" t="n">
        <v>-14.49054373522459</v>
      </c>
      <c r="P184" t="n">
        <v>1.067453625632378</v>
      </c>
      <c r="Q184">
        <f>'_live'!$C$20</f>
        <v/>
      </c>
      <c r="R184" t="inlineStr">
        <is>
          <t>z test</t>
        </is>
      </c>
      <c r="S184" t="inlineStr">
        <is>
          <t>z test</t>
        </is>
      </c>
      <c r="T184" t="n">
        <v>0.07919621749408984</v>
      </c>
      <c r="U184" t="n">
        <v>0.0387858347386172</v>
      </c>
      <c r="V184">
        <f>AND(judged_band,NOT($J184))</f>
        <v/>
      </c>
      <c r="W184">
        <f>IF($K184="","",IF($I184,"too few losses to test",IF(AND($K184&gt;better_at,$K184&lt;worse_at),"in line",IF($K184&gt;=worse_at,IF(AND(ISNUMBER($L184),$L184&lt;significance_bar),"worse","worse, not significant"),IF(AND(ISNUMBER($L184),$L184&lt;significance_bar),"better","better, not significant")))))</f>
        <v/>
      </c>
      <c r="X184">
        <f>IF($M184="","",IF($I184,"too few losses to test",IF(AND($M184&gt;better_at,$M184&lt;worse_at),"in line",IF($M184&gt;=worse_at,IF(AND(ISNUMBER($N184),$N184&lt;significance_bar),"worse","worse, not significant"),IF(AND(ISNUMBER($N184),$N184&lt;significance_bar),"better","better, not significant")))))</f>
        <v/>
      </c>
      <c r="Y184">
        <f>IF($V184,$X184,$W184)</f>
        <v/>
      </c>
      <c r="Z184">
        <f>IF($V184,IF($P184="","",$P184),IF($O184="","",$O184))</f>
        <v/>
      </c>
      <c r="AA184">
        <f>IF(OR($Q184="",$Z184=""),"",IF(AND($Z184&gt;0,$Z184&gt;=$Q184),"yes","below the line"))</f>
        <v/>
      </c>
      <c r="AB184">
        <f>IF($V184,IF($M184="","",$M184),IF($K184="","",$K184))</f>
        <v/>
      </c>
      <c r="AC184">
        <f>IF($V184,IF($N184="","",$N184),IF($L184="","",$L184))</f>
        <v/>
      </c>
      <c r="AD184">
        <f>$Y184</f>
        <v/>
      </c>
      <c r="AE184">
        <f>IF($V184,IF($S184="","",$S184),IF($R184="","",$R184))</f>
        <v/>
      </c>
      <c r="AF184">
        <f>IF($V184,IF($U184="","",$U184),IF($T184="","",$T184))</f>
        <v/>
      </c>
      <c r="AG184">
        <f>IF($V184,IF($O184="","",$O184),IF($P184="","",$P184))</f>
        <v/>
      </c>
      <c r="AH184" t="n">
        <v>0.04155844155844156</v>
      </c>
      <c r="AI184">
        <f>IF($Y184="worse","Yes",IF($Y184="worse, not significant","Not sure",IF(OR($Y184="too few losses to test",$Y184="too few loans to test"),"Too few losses",IF($Y184="","","No"))))</f>
        <v/>
      </c>
      <c r="AJ184">
        <f>IF($AA184="yes","Yes",IF($AA184="","","No"))</f>
        <v/>
      </c>
    </row>
    <row r="185">
      <c r="A185" t="inlineStr">
        <is>
          <t>grids</t>
        </is>
      </c>
      <c r="B185" t="inlineStr">
        <is>
          <t>FICO x ASSET_CLASS</t>
        </is>
      </c>
      <c r="C185" t="inlineStr">
        <is>
          <t>746 - 921</t>
        </is>
      </c>
      <c r="D185" t="inlineStr">
        <is>
          <t>3</t>
        </is>
      </c>
      <c r="E185" t="inlineStr">
        <is>
          <t>outcome_booked</t>
        </is>
      </c>
      <c r="F185" t="inlineStr">
        <is>
          <t>Outcome, share of booked dollars</t>
        </is>
      </c>
      <c r="G185" t="n">
        <v>385</v>
      </c>
      <c r="H185" t="n">
        <v>12544699.31</v>
      </c>
      <c r="I185" t="b">
        <v>0</v>
      </c>
      <c r="J185" t="b">
        <v>0</v>
      </c>
      <c r="K185" t="n">
        <v>0.4337539885200412</v>
      </c>
      <c r="L185" t="n">
        <v>0.015998400159984</v>
      </c>
      <c r="M185" t="n">
        <v>0.8789983459261625</v>
      </c>
      <c r="N185" t="n">
        <v>0.7885211478852114</v>
      </c>
      <c r="O185" t="n">
        <v>-546585.3624565139</v>
      </c>
      <c r="P185" t="n">
        <v>-57636.76164458384</v>
      </c>
      <c r="Q185">
        <f>'_live'!$C$21</f>
        <v/>
      </c>
      <c r="R185" t="inlineStr">
        <is>
          <t>shuffled: 47 of 10,000</t>
        </is>
      </c>
      <c r="S185" t="inlineStr">
        <is>
          <t>shuffled: 6,962 of 10,000</t>
        </is>
      </c>
      <c r="T185" t="n">
        <v>0.07694715820625869</v>
      </c>
      <c r="U185" t="n">
        <v>0.03797064799033306</v>
      </c>
      <c r="V185">
        <f>AND(judged_band,NOT($J185))</f>
        <v/>
      </c>
      <c r="W185">
        <f>IF($K185="","",IF($I185,"too few losses to test",IF(AND($K185&gt;better_at,$K185&lt;worse_at),"in line",IF($K185&gt;=worse_at,IF(AND(ISNUMBER($L185),$L185&lt;significance_bar),"worse","worse, not significant"),IF(AND(ISNUMBER($L185),$L185&lt;significance_bar),"better","better, not significant")))))</f>
        <v/>
      </c>
      <c r="X185">
        <f>IF($M185="","",IF($I185,"too few losses to test",IF(AND($M185&gt;better_at,$M185&lt;worse_at),"in line",IF($M185&gt;=worse_at,IF(AND(ISNUMBER($N185),$N185&lt;significance_bar),"worse","worse, not significant"),IF(AND(ISNUMBER($N185),$N185&lt;significance_bar),"better","better, not significant")))))</f>
        <v/>
      </c>
      <c r="Y185">
        <f>IF($V185,$X185,$W185)</f>
        <v/>
      </c>
      <c r="Z185">
        <f>IF($V185,IF($P185="","",$P185),IF($O185="","",$O185))</f>
        <v/>
      </c>
      <c r="AA185">
        <f>IF(OR($Q185="",$Z185=""),"",IF(AND($Z185&gt;0,$Z185&gt;=$Q185),"yes","below the line"))</f>
        <v/>
      </c>
      <c r="AB185">
        <f>IF($V185,IF($M185="","",$M185),IF($K185="","",$K185))</f>
        <v/>
      </c>
      <c r="AC185">
        <f>IF($V185,IF($N185="","",$N185),IF($L185="","",$L185))</f>
        <v/>
      </c>
      <c r="AD185">
        <f>$Y185</f>
        <v/>
      </c>
      <c r="AE185">
        <f>IF($V185,IF($S185="","",$S185),IF($R185="","",$R185))</f>
        <v/>
      </c>
      <c r="AF185">
        <f>IF($V185,IF($U185="","",$U185),IF($T185="","",$T185))</f>
        <v/>
      </c>
      <c r="AG185">
        <f>IF($V185,IF($O185="","",$O185),IF($P185="","",$P185))</f>
        <v/>
      </c>
      <c r="AH185" t="n">
        <v>0.03337613677724733</v>
      </c>
      <c r="AI185">
        <f>IF($Y185="worse","Yes",IF($Y185="worse, not significant","Not sure",IF(OR($Y185="too few losses to test",$Y185="too few loans to test"),"Too few losses",IF($Y185="","","No"))))</f>
        <v/>
      </c>
      <c r="AJ185">
        <f>IF($AA185="yes","Yes",IF($AA185="","","No"))</f>
        <v/>
      </c>
    </row>
    <row r="186">
      <c r="A186" t="inlineStr">
        <is>
          <t>grids</t>
        </is>
      </c>
      <c r="B186" t="inlineStr">
        <is>
          <t>FICO x ASSET_CLASS</t>
        </is>
      </c>
      <c r="C186" t="inlineStr">
        <is>
          <t>746 - 921</t>
        </is>
      </c>
      <c r="D186" t="inlineStr">
        <is>
          <t>3</t>
        </is>
      </c>
      <c r="E186" t="inlineStr">
        <is>
          <t>gco_rate</t>
        </is>
      </c>
      <c r="F186" t="inlineStr">
        <is>
          <t>GCO per booked dollar</t>
        </is>
      </c>
      <c r="G186" t="n">
        <v>385</v>
      </c>
      <c r="H186" t="n">
        <v>12544699.31</v>
      </c>
      <c r="I186" t="b">
        <v>0</v>
      </c>
      <c r="J186" t="b">
        <v>0</v>
      </c>
      <c r="K186" t="n">
        <v>0.3925256243203233</v>
      </c>
      <c r="L186" t="n">
        <v>0.014665200146652</v>
      </c>
      <c r="M186" t="n">
        <v>0.8305856601183079</v>
      </c>
      <c r="N186" t="n">
        <v>0.7759224077592241</v>
      </c>
      <c r="O186" t="n">
        <v>-326705.2584888536</v>
      </c>
      <c r="P186" t="n">
        <v>-43058.79911685799</v>
      </c>
      <c r="Q186">
        <f>'_live'!$C$22</f>
        <v/>
      </c>
      <c r="R186" t="inlineStr">
        <is>
          <t>shuffled: 34 of 10,000</t>
        </is>
      </c>
      <c r="S186" t="inlineStr">
        <is>
          <t>shuffled: 5,864 of 10,000</t>
        </is>
      </c>
      <c r="T186" t="n">
        <v>0.04287142363469322</v>
      </c>
      <c r="U186" t="n">
        <v>0.02026056207774167</v>
      </c>
      <c r="V186">
        <f>AND(judged_band,NOT($J186))</f>
        <v/>
      </c>
      <c r="W186">
        <f>IF($K186="","",IF($I186,"too few losses to test",IF(AND($K186&gt;better_at,$K186&lt;worse_at),"in line",IF($K186&gt;=worse_at,IF(AND(ISNUMBER($L186),$L186&lt;significance_bar),"worse","worse, not significant"),IF(AND(ISNUMBER($L186),$L186&lt;significance_bar),"better","better, not significant")))))</f>
        <v/>
      </c>
      <c r="X186">
        <f>IF($M186="","",IF($I186,"too few losses to test",IF(AND($M186&gt;better_at,$M186&lt;worse_at),"in line",IF($M186&gt;=worse_at,IF(AND(ISNUMBER($N186),$N186&lt;significance_bar),"worse","worse, not significant"),IF(AND(ISNUMBER($N186),$N186&lt;significance_bar),"better","better, not significant")))))</f>
        <v/>
      </c>
      <c r="Y186">
        <f>IF($V186,$X186,$W186)</f>
        <v/>
      </c>
      <c r="Z186">
        <f>IF($V186,IF($P186="","",$P186),IF($O186="","",$O186))</f>
        <v/>
      </c>
      <c r="AA186">
        <f>IF(OR($Q186="",$Z186=""),"",IF(AND($Z186&gt;0,$Z186&gt;=$Q186),"yes","below the line"))</f>
        <v/>
      </c>
      <c r="AB186">
        <f>IF($V186,IF($M186="","",$M186),IF($K186="","",$K186))</f>
        <v/>
      </c>
      <c r="AC186">
        <f>IF($V186,IF($N186="","",$N186),IF($L186="","",$L186))</f>
        <v/>
      </c>
      <c r="AD186">
        <f>$Y186</f>
        <v/>
      </c>
      <c r="AE186">
        <f>IF($V186,IF($S186="","",$S186),IF($R186="","",$R186))</f>
        <v/>
      </c>
      <c r="AF186">
        <f>IF($V186,IF($U186="","",$U186),IF($T186="","",$T186))</f>
        <v/>
      </c>
      <c r="AG186">
        <f>IF($V186,IF($O186="","",$O186),IF($P186="","",$P186))</f>
        <v/>
      </c>
      <c r="AH186" t="n">
        <v>0.01682813232770902</v>
      </c>
      <c r="AI186">
        <f>IF($Y186="worse","Yes",IF($Y186="worse, not significant","Not sure",IF(OR($Y186="too few losses to test",$Y186="too few loans to test"),"Too few losses",IF($Y186="","","No"))))</f>
        <v/>
      </c>
      <c r="AJ186">
        <f>IF($AA186="yes","Yes",IF($AA186="","","No"))</f>
        <v/>
      </c>
    </row>
    <row r="187">
      <c r="A187" t="inlineStr">
        <is>
          <t>grids</t>
        </is>
      </c>
      <c r="B187" t="inlineStr">
        <is>
          <t>FICO x ASSET_CLASS</t>
        </is>
      </c>
      <c r="C187" t="inlineStr">
        <is>
          <t>746 - 921</t>
        </is>
      </c>
      <c r="D187" t="inlineStr">
        <is>
          <t>3</t>
        </is>
      </c>
      <c r="E187" t="inlineStr">
        <is>
          <t>ranr_rate</t>
        </is>
      </c>
      <c r="F187" t="inlineStr">
        <is>
          <t>Profit after losses: RANR per booked dollar</t>
        </is>
      </c>
      <c r="G187" t="n">
        <v>385</v>
      </c>
      <c r="H187" t="n">
        <v>12544699.31</v>
      </c>
      <c r="I187" t="b">
        <v>0</v>
      </c>
      <c r="J187" t="b">
        <v>0</v>
      </c>
      <c r="K187" t="n">
        <v>-0.08071993460472791</v>
      </c>
      <c r="L187" t="n">
        <v>0.00024997500249975</v>
      </c>
      <c r="M187" t="n">
        <v>0.005920436801926936</v>
      </c>
      <c r="N187" t="n">
        <v>0.692423065385769</v>
      </c>
      <c r="O187" t="n">
        <v>1012607.307939175</v>
      </c>
      <c r="P187" t="n">
        <v>-74270.0994640314</v>
      </c>
      <c r="Q187">
        <f>'_live'!$C$23</f>
        <v/>
      </c>
      <c r="R187" t="inlineStr">
        <is>
          <t>shuffled: 0 of 10,000</t>
        </is>
      </c>
      <c r="S187" t="inlineStr">
        <is>
          <t>shuffled: 3,750 of 10,000</t>
        </is>
      </c>
      <c r="T187" t="n">
        <v>0.1319138432134469</v>
      </c>
      <c r="U187" t="n">
        <v>0.04527347180679205</v>
      </c>
      <c r="V187">
        <f>AND(judged_band,NOT($J187))</f>
        <v/>
      </c>
      <c r="W187">
        <f>IF($K187="","",IF(profit_kind="test",IF(OR(NOT(AND(ISNUMBER($L187),$L187&lt;significance_bar)),$K187=0),"in line",IF($K187&lt;0,"worse","better")),IF(OR($K187=0,IF(profit_kind="points",ABS($K187),ABS($K187*$H187))&lt;profit_line*(1-1E-9)),"in line",IF(AND(ISNUMBER($L187),$L187&lt;significance_bar),IF($K187&lt;0,"worse","better"),IF($K187&lt;0,"worse, not significant","better, not significant")))))</f>
        <v/>
      </c>
      <c r="X187">
        <f>IF($M187="","",IF(profit_kind="test",IF(OR(NOT(AND(ISNUMBER($N187),$N187&lt;significance_bar)),$M187=0),"in line",IF($M187&lt;0,"worse","better")),IF(OR($M187=0,IF(profit_kind="points",ABS($M187),ABS($M187*$H187))&lt;profit_line*(1-1E-9)),"in line",IF(AND(ISNUMBER($N187),$N187&lt;significance_bar),IF($M187&lt;0,"worse","better"),IF($M187&lt;0,"worse, not significant","better, not significant")))))</f>
        <v/>
      </c>
      <c r="Y187">
        <f>IF($V187,$X187,$W187)</f>
        <v/>
      </c>
      <c r="Z187">
        <f>IF($V187,IF($P187="","",$P187),IF($O187="","",$O187))</f>
        <v/>
      </c>
      <c r="AA187">
        <f>IF(OR($Q187="",$Z187=""),"",IF(AND($Z187&gt;0,$Z187&gt;=$Q187),"yes","below the line"))</f>
        <v/>
      </c>
      <c r="AB187">
        <f>IF($V187,IF($M187="","",$M187),IF($K187="","",$K187))</f>
        <v/>
      </c>
      <c r="AC187">
        <f>IF($V187,IF($N187="","",$N187),IF($L187="","",$L187))</f>
        <v/>
      </c>
      <c r="AD187">
        <f>IF($Y187="","",IF($Y187="in line",IF(profit_kind="test",IF(ROUND($AB187*100,2)=0,"0.00",TEXT($AB187*100,"+0.00;-0.00"))&amp;" points against "&amp;IF($V187,"its band","the book")&amp;", "&amp;IF($AC187="","not tested","not significant"),IF(profit_kind="points","within "&amp;TEXT(profit_line*100,"0.00")&amp;" points of "&amp;IF($V187,"its band","the book")&amp;" ("&amp;IF(ROUND($AB187*100,2)=0,"0.00",TEXT($AB187*100,"+0.00;-0.00"))&amp;")","within $"&amp;TEXT(profit_line,"#,##0")&amp;" of "&amp;IF($V187,"its band","the book")&amp;" ("&amp;IF(ROUND($AB187*100,2)=0,"0.00",TEXT($AB187*100,"+0.00;-0.00"))&amp;" points)")),IF(LEFT($Y187,5)="worse","short of ","ahead of ")&amp;IF($V187,"its band","the book")&amp;" by "&amp;TEXT(ABS($AB187)*100,"0.00")&amp;" points"&amp;IF($Z187="",""," ($"&amp;TEXT(ABS($Z187),"#,##0")&amp;")")&amp;IF(RIGHT($Y187,15)="not significant"," (not significant)","")))</f>
        <v/>
      </c>
      <c r="AE187">
        <f>IF($V187,IF($S187="","",$S187),IF($R187="","",$R187))</f>
        <v/>
      </c>
      <c r="AF187">
        <f>IF($V187,IF($U187="","",$U187),IF($T187="","",$T187))</f>
        <v/>
      </c>
      <c r="AG187">
        <f>IF($V187,IF($O187="","",$O187),IF($P187="","",$P187))</f>
        <v/>
      </c>
      <c r="AH187" t="n">
        <v>0.05119390860871899</v>
      </c>
      <c r="AI187">
        <f>IF($Y187="worse","Yes",IF($Y187="worse, not significant","Not sure",IF(OR($Y187="too few losses to test",$Y187="too few loans to test"),"Too few losses",IF($Y187="","","No"))))</f>
        <v/>
      </c>
      <c r="AJ187">
        <f>IF($AA187="yes","Yes",IF($AA187="","","No"))</f>
        <v/>
      </c>
    </row>
    <row r="188">
      <c r="A188" t="inlineStr">
        <is>
          <t>grids</t>
        </is>
      </c>
      <c r="B188" t="inlineStr">
        <is>
          <t>FICO x ASSET_CLASS</t>
        </is>
      </c>
      <c r="C188" t="inlineStr">
        <is>
          <t>746 - 921</t>
        </is>
      </c>
      <c r="D188" t="inlineStr">
        <is>
          <t>3</t>
        </is>
      </c>
      <c r="E188" t="inlineStr">
        <is>
          <t>contribution_rate</t>
        </is>
      </c>
      <c r="F188" t="inlineStr">
        <is>
          <t>Contribution before losses per booked dollar</t>
        </is>
      </c>
      <c r="G188" t="n">
        <v>385</v>
      </c>
      <c r="H188" t="n">
        <v>12544699.31</v>
      </c>
      <c r="I188" t="b">
        <v>0</v>
      </c>
      <c r="J188" t="b">
        <v>0</v>
      </c>
      <c r="K188" t="n">
        <v>-0.1067608548644124</v>
      </c>
      <c r="L188" t="n">
        <v>0.0001562343765623438</v>
      </c>
      <c r="M188" t="n">
        <v>0.002488007051894281</v>
      </c>
      <c r="N188" t="n">
        <v>0.7432399617181139</v>
      </c>
      <c r="O188" t="n">
        <v>1339282.822352604</v>
      </c>
      <c r="P188" t="n">
        <v>-31211.30034717335</v>
      </c>
      <c r="Q188">
        <f>'_live'!$C$24</f>
        <v/>
      </c>
      <c r="R188" t="inlineStr">
        <is>
          <t>shuffled: 0 of 10,000</t>
        </is>
      </c>
      <c r="S188" t="inlineStr">
        <is>
          <t>shuffled: 2,130 of 10,000</t>
        </is>
      </c>
      <c r="T188" t="n">
        <v>0.1747828958008404</v>
      </c>
      <c r="U188" t="n">
        <v>0.06553403388453372</v>
      </c>
      <c r="V188">
        <f>AND(judged_band,NOT($J188))</f>
        <v/>
      </c>
      <c r="W188">
        <f>IF($K188="","",IF(profit_kind="test",IF(OR(NOT(AND(ISNUMBER($L188),$L188&lt;significance_bar)),$K188=0),"in line",IF($K188&lt;0,"worse","better")),IF(OR($K188=0,IF(profit_kind="points",ABS($K188),ABS($K188*$H188))&lt;profit_line*(1-1E-9)),"in line",IF(AND(ISNUMBER($L188),$L188&lt;significance_bar),IF($K188&lt;0,"worse","better"),IF($K188&lt;0,"worse, not significant","better, not significant")))))</f>
        <v/>
      </c>
      <c r="X188">
        <f>IF($M188="","",IF(profit_kind="test",IF(OR(NOT(AND(ISNUMBER($N188),$N188&lt;significance_bar)),$M188=0),"in line",IF($M188&lt;0,"worse","better")),IF(OR($M188=0,IF(profit_kind="points",ABS($M188),ABS($M188*$H188))&lt;profit_line*(1-1E-9)),"in line",IF(AND(ISNUMBER($N188),$N188&lt;significance_bar),IF($M188&lt;0,"worse","better"),IF($M188&lt;0,"worse, not significant","better, not significant")))))</f>
        <v/>
      </c>
      <c r="Y188">
        <f>IF($V188,$X188,$W188)</f>
        <v/>
      </c>
      <c r="Z188">
        <f>IF($V188,IF($P188="","",$P188),IF($O188="","",$O188))</f>
        <v/>
      </c>
      <c r="AA188">
        <f>IF(OR($Q188="",$Z188=""),"",IF(AND($Z188&gt;0,$Z188&gt;=$Q188),"yes","below the line"))</f>
        <v/>
      </c>
      <c r="AB188">
        <f>IF($V188,IF($M188="","",$M188),IF($K188="","",$K188))</f>
        <v/>
      </c>
      <c r="AC188">
        <f>IF($V188,IF($N188="","",$N188),IF($L188="","",$L188))</f>
        <v/>
      </c>
      <c r="AD188">
        <f>IF($Y188="","",IF($Y188="in line",IF(profit_kind="test",IF(ROUND($AB188*100,2)=0,"0.00",TEXT($AB188*100,"+0.00;-0.00"))&amp;" points against "&amp;IF($V188,"its band","the book")&amp;", "&amp;IF($AC188="","not tested","not significant"),IF(profit_kind="points","within "&amp;TEXT(profit_line*100,"0.00")&amp;" points of "&amp;IF($V188,"its band","the book")&amp;" ("&amp;IF(ROUND($AB188*100,2)=0,"0.00",TEXT($AB188*100,"+0.00;-0.00"))&amp;")","within $"&amp;TEXT(profit_line,"#,##0")&amp;" of "&amp;IF($V188,"its band","the book")&amp;" ("&amp;IF(ROUND($AB188*100,2)=0,"0.00",TEXT($AB188*100,"+0.00;-0.00"))&amp;" points)")),IF(LEFT($Y188,5)="worse","short of ","ahead of ")&amp;IF($V188,"its band","the book")&amp;" by "&amp;TEXT(ABS($AB188)*100,"0.00")&amp;" points"&amp;IF($Z188="",""," ($"&amp;TEXT(ABS($Z188),"#,##0")&amp;")")&amp;IF(RIGHT($Y188,15)="not significant"," (not significant)","")))</f>
        <v/>
      </c>
      <c r="AE188">
        <f>IF($V188,IF($S188="","",$S188),IF($R188="","",$R188))</f>
        <v/>
      </c>
      <c r="AF188">
        <f>IF($V188,IF($U188="","",$U188),IF($T188="","",$T188))</f>
        <v/>
      </c>
      <c r="AG188">
        <f>IF($V188,IF($O188="","",$O188),IF($P188="","",$P188))</f>
        <v/>
      </c>
      <c r="AH188" t="n">
        <v>0.068022040936428</v>
      </c>
      <c r="AI188">
        <f>IF($Y188="worse","Yes",IF($Y188="worse, not significant","Not sure",IF(OR($Y188="too few losses to test",$Y188="too few loans to test"),"Too few losses",IF($Y188="","","No"))))</f>
        <v/>
      </c>
      <c r="AJ188">
        <f>IF($AA188="yes","Yes",IF($AA188="","","No"))</f>
        <v/>
      </c>
    </row>
    <row r="189">
      <c r="A189" t="inlineStr">
        <is>
          <t>grids</t>
        </is>
      </c>
      <c r="B189" t="inlineStr">
        <is>
          <t>FICO x ASSET_CLASS</t>
        </is>
      </c>
      <c r="C189" t="inlineStr">
        <is>
          <t>654 - 685</t>
        </is>
      </c>
      <c r="D189" t="inlineStr">
        <is>
          <t>4</t>
        </is>
      </c>
      <c r="E189" t="inlineStr">
        <is>
          <t>outcome_loans</t>
        </is>
      </c>
      <c r="F189" t="inlineStr">
        <is>
          <t>Outcome, share of loans</t>
        </is>
      </c>
      <c r="G189" t="n">
        <v>410</v>
      </c>
      <c r="H189" t="n">
        <v>410</v>
      </c>
      <c r="I189" t="b">
        <v>0</v>
      </c>
      <c r="J189" t="b">
        <v>0</v>
      </c>
      <c r="K189" t="n">
        <v>1.555986502071676</v>
      </c>
      <c r="L189" t="n">
        <v>0.008066693628399802</v>
      </c>
      <c r="M189" t="n">
        <v>1.611897679952409</v>
      </c>
      <c r="N189" t="n">
        <v>0.03718827300026361</v>
      </c>
      <c r="O189" t="n">
        <v>17.15140334694953</v>
      </c>
      <c r="P189" t="n">
        <v>18.22143489813995</v>
      </c>
      <c r="Q189">
        <f>'_live'!$C$20</f>
        <v/>
      </c>
      <c r="R189" t="inlineStr">
        <is>
          <t>z test</t>
        </is>
      </c>
      <c r="S189" t="inlineStr">
        <is>
          <t>z test</t>
        </is>
      </c>
      <c r="T189" t="n">
        <v>0.07524047964158651</v>
      </c>
      <c r="U189" t="n">
        <v>0.07263064658990256</v>
      </c>
      <c r="V189">
        <f>AND(judged_band,NOT($J189))</f>
        <v/>
      </c>
      <c r="W189">
        <f>IF($K189="","",IF($I189,"too few losses to test",IF(AND($K189&gt;better_at,$K189&lt;worse_at),"in line",IF($K189&gt;=worse_at,IF(AND(ISNUMBER($L189),$L189&lt;significance_bar),"worse","worse, not significant"),IF(AND(ISNUMBER($L189),$L189&lt;significance_bar),"better","better, not significant")))))</f>
        <v/>
      </c>
      <c r="X189">
        <f>IF($M189="","",IF($I189,"too few losses to test",IF(AND($M189&gt;better_at,$M189&lt;worse_at),"in line",IF($M189&gt;=worse_at,IF(AND(ISNUMBER($N189),$N189&lt;significance_bar),"worse","worse, not significant"),IF(AND(ISNUMBER($N189),$N189&lt;significance_bar),"better","better, not significant")))))</f>
        <v/>
      </c>
      <c r="Y189">
        <f>IF($V189,$X189,$W189)</f>
        <v/>
      </c>
      <c r="Z189">
        <f>IF($V189,IF($P189="","",$P189),IF($O189="","",$O189))</f>
        <v/>
      </c>
      <c r="AA189">
        <f>IF(OR($Q189="",$Z189=""),"",IF(AND($Z189&gt;0,$Z189&gt;=$Q189),"yes","below the line"))</f>
        <v/>
      </c>
      <c r="AB189">
        <f>IF($V189,IF($M189="","",$M189),IF($K189="","",$K189))</f>
        <v/>
      </c>
      <c r="AC189">
        <f>IF($V189,IF($N189="","",$N189),IF($L189="","",$L189))</f>
        <v/>
      </c>
      <c r="AD189">
        <f>$Y189</f>
        <v/>
      </c>
      <c r="AE189">
        <f>IF($V189,IF($S189="","",$S189),IF($R189="","",$R189))</f>
        <v/>
      </c>
      <c r="AF189">
        <f>IF($V189,IF($U189="","",$U189),IF($T189="","",$T189))</f>
        <v/>
      </c>
      <c r="AG189">
        <f>IF($V189,IF($O189="","",$O189),IF($P189="","",$P189))</f>
        <v/>
      </c>
      <c r="AH189" t="n">
        <v>0.1170731707317073</v>
      </c>
      <c r="AI189">
        <f>IF($Y189="worse","Yes",IF($Y189="worse, not significant","Not sure",IF(OR($Y189="too few losses to test",$Y189="too few loans to test"),"Too few losses",IF($Y189="","","No"))))</f>
        <v/>
      </c>
      <c r="AJ189">
        <f>IF($AA189="yes","Yes",IF($AA189="","","No"))</f>
        <v/>
      </c>
    </row>
    <row r="190">
      <c r="A190" t="inlineStr">
        <is>
          <t>grids</t>
        </is>
      </c>
      <c r="B190" t="inlineStr">
        <is>
          <t>FICO x ASSET_CLASS</t>
        </is>
      </c>
      <c r="C190" t="inlineStr">
        <is>
          <t>654 - 685</t>
        </is>
      </c>
      <c r="D190" t="inlineStr">
        <is>
          <t>4</t>
        </is>
      </c>
      <c r="E190" t="inlineStr">
        <is>
          <t>outcome_booked</t>
        </is>
      </c>
      <c r="F190" t="inlineStr">
        <is>
          <t>Outcome, share of booked dollars</t>
        </is>
      </c>
      <c r="G190" t="n">
        <v>410</v>
      </c>
      <c r="H190" t="n">
        <v>13563003.84</v>
      </c>
      <c r="I190" t="b">
        <v>0</v>
      </c>
      <c r="J190" t="b">
        <v>0</v>
      </c>
      <c r="K190" t="n">
        <v>1.538211429423218</v>
      </c>
      <c r="L190" t="n">
        <v>0.02285485737140571</v>
      </c>
      <c r="M190" t="n">
        <v>1.653404103717667</v>
      </c>
      <c r="N190" t="n">
        <v>0.06466020064660201</v>
      </c>
      <c r="O190" t="n">
        <v>531205.1529244456</v>
      </c>
      <c r="P190" t="n">
        <v>599968.2157629698</v>
      </c>
      <c r="Q190">
        <f>'_live'!$C$21</f>
        <v/>
      </c>
      <c r="R190" t="inlineStr">
        <is>
          <t>shuffled: 79 of 10,000</t>
        </is>
      </c>
      <c r="S190" t="inlineStr">
        <is>
          <t>shuffled: 96 of 10,000</t>
        </is>
      </c>
      <c r="T190" t="n">
        <v>0.07277018488815491</v>
      </c>
      <c r="U190" t="n">
        <v>0.06770028564977762</v>
      </c>
      <c r="V190">
        <f>AND(judged_band,NOT($J190))</f>
        <v/>
      </c>
      <c r="W190">
        <f>IF($K190="","",IF($I190,"too few losses to test",IF(AND($K190&gt;better_at,$K190&lt;worse_at),"in line",IF($K190&gt;=worse_at,IF(AND(ISNUMBER($L190),$L190&lt;significance_bar),"worse","worse, not significant"),IF(AND(ISNUMBER($L190),$L190&lt;significance_bar),"better","better, not significant")))))</f>
        <v/>
      </c>
      <c r="X190">
        <f>IF($M190="","",IF($I190,"too few losses to test",IF(AND($M190&gt;better_at,$M190&lt;worse_at),"in line",IF($M190&gt;=worse_at,IF(AND(ISNUMBER($N190),$N190&lt;significance_bar),"worse","worse, not significant"),IF(AND(ISNUMBER($N190),$N190&lt;significance_bar),"better","better, not significant")))))</f>
        <v/>
      </c>
      <c r="Y190">
        <f>IF($V190,$X190,$W190)</f>
        <v/>
      </c>
      <c r="Z190">
        <f>IF($V190,IF($P190="","",$P190),IF($O190="","",$O190))</f>
        <v/>
      </c>
      <c r="AA190">
        <f>IF(OR($Q190="",$Z190=""),"",IF(AND($Z190&gt;0,$Z190&gt;=$Q190),"yes","below the line"))</f>
        <v/>
      </c>
      <c r="AB190">
        <f>IF($V190,IF($M190="","",$M190),IF($K190="","",$K190))</f>
        <v/>
      </c>
      <c r="AC190">
        <f>IF($V190,IF($N190="","",$N190),IF($L190="","",$L190))</f>
        <v/>
      </c>
      <c r="AD190">
        <f>$Y190</f>
        <v/>
      </c>
      <c r="AE190">
        <f>IF($V190,IF($S190="","",$S190),IF($R190="","",$R190))</f>
        <v/>
      </c>
      <c r="AF190">
        <f>IF($V190,IF($U190="","",$U190),IF($T190="","",$T190))</f>
        <v/>
      </c>
      <c r="AG190">
        <f>IF($V190,IF($O190="","",$O190),IF($P190="","",$P190))</f>
        <v/>
      </c>
      <c r="AH190" t="n">
        <v>0.1119359301162006</v>
      </c>
      <c r="AI190">
        <f>IF($Y190="worse","Yes",IF($Y190="worse, not significant","Not sure",IF(OR($Y190="too few losses to test",$Y190="too few loans to test"),"Too few losses",IF($Y190="","","No"))))</f>
        <v/>
      </c>
      <c r="AJ190">
        <f>IF($AA190="yes","Yes",IF($AA190="","","No"))</f>
        <v/>
      </c>
    </row>
    <row r="191">
      <c r="A191" t="inlineStr">
        <is>
          <t>grids</t>
        </is>
      </c>
      <c r="B191" t="inlineStr">
        <is>
          <t>FICO x ASSET_CLASS</t>
        </is>
      </c>
      <c r="C191" t="inlineStr">
        <is>
          <t>654 - 685</t>
        </is>
      </c>
      <c r="D191" t="inlineStr">
        <is>
          <t>4</t>
        </is>
      </c>
      <c r="E191" t="inlineStr">
        <is>
          <t>gco_rate</t>
        </is>
      </c>
      <c r="F191" t="inlineStr">
        <is>
          <t>GCO per booked dollar</t>
        </is>
      </c>
      <c r="G191" t="n">
        <v>410</v>
      </c>
      <c r="H191" t="n">
        <v>13563003.84</v>
      </c>
      <c r="I191" t="b">
        <v>0</v>
      </c>
      <c r="J191" t="b">
        <v>0</v>
      </c>
      <c r="K191" t="n">
        <v>1.59258134719182</v>
      </c>
      <c r="L191" t="n">
        <v>0.01656977159426914</v>
      </c>
      <c r="M191" t="n">
        <v>1.691137770960734</v>
      </c>
      <c r="N191" t="n">
        <v>0.069326400693264</v>
      </c>
      <c r="O191" t="n">
        <v>324288.0800424686</v>
      </c>
      <c r="P191" t="n">
        <v>356180.6087607871</v>
      </c>
      <c r="Q191">
        <f>'_live'!$C$22</f>
        <v/>
      </c>
      <c r="R191" t="inlineStr">
        <is>
          <t>shuffled: 57 of 10,000</t>
        </is>
      </c>
      <c r="S191" t="inlineStr">
        <is>
          <t>shuffled: 103 of 10,000</t>
        </is>
      </c>
      <c r="T191" t="n">
        <v>0.04034847489636419</v>
      </c>
      <c r="U191" t="n">
        <v>0.03799703939619416</v>
      </c>
      <c r="V191">
        <f>AND(judged_band,NOT($J191))</f>
        <v/>
      </c>
      <c r="W191">
        <f>IF($K191="","",IF($I191,"too few losses to test",IF(AND($K191&gt;better_at,$K191&lt;worse_at),"in line",IF($K191&gt;=worse_at,IF(AND(ISNUMBER($L191),$L191&lt;significance_bar),"worse","worse, not significant"),IF(AND(ISNUMBER($L191),$L191&lt;significance_bar),"better","better, not significant")))))</f>
        <v/>
      </c>
      <c r="X191">
        <f>IF($M191="","",IF($I191,"too few losses to test",IF(AND($M191&gt;better_at,$M191&lt;worse_at),"in line",IF($M191&gt;=worse_at,IF(AND(ISNUMBER($N191),$N191&lt;significance_bar),"worse","worse, not significant"),IF(AND(ISNUMBER($N191),$N191&lt;significance_bar),"better","better, not significant")))))</f>
        <v/>
      </c>
      <c r="Y191">
        <f>IF($V191,$X191,$W191)</f>
        <v/>
      </c>
      <c r="Z191">
        <f>IF($V191,IF($P191="","",$P191),IF($O191="","",$O191))</f>
        <v/>
      </c>
      <c r="AA191">
        <f>IF(OR($Q191="",$Z191=""),"",IF(AND($Z191&gt;0,$Z191&gt;=$Q191),"yes","below the line"))</f>
        <v/>
      </c>
      <c r="AB191">
        <f>IF($V191,IF($M191="","",$M191),IF($K191="","",$K191))</f>
        <v/>
      </c>
      <c r="AC191">
        <f>IF($V191,IF($N191="","",$N191),IF($L191="","",$L191))</f>
        <v/>
      </c>
      <c r="AD191">
        <f>$Y191</f>
        <v/>
      </c>
      <c r="AE191">
        <f>IF($V191,IF($S191="","",$S191),IF($R191="","",$R191))</f>
        <v/>
      </c>
      <c r="AF191">
        <f>IF($V191,IF($U191="","",$U191),IF($T191="","",$T191))</f>
        <v/>
      </c>
      <c r="AG191">
        <f>IF($V191,IF($O191="","",$O191),IF($P191="","",$P191))</f>
        <v/>
      </c>
      <c r="AH191" t="n">
        <v>0.06425822850758699</v>
      </c>
      <c r="AI191">
        <f>IF($Y191="worse","Yes",IF($Y191="worse, not significant","Not sure",IF(OR($Y191="too few losses to test",$Y191="too few loans to test"),"Too few losses",IF($Y191="","","No"))))</f>
        <v/>
      </c>
      <c r="AJ191">
        <f>IF($AA191="yes","Yes",IF($AA191="","","No"))</f>
        <v/>
      </c>
    </row>
    <row r="192">
      <c r="A192" t="inlineStr">
        <is>
          <t>grids</t>
        </is>
      </c>
      <c r="B192" t="inlineStr">
        <is>
          <t>FICO x ASSET_CLASS</t>
        </is>
      </c>
      <c r="C192" t="inlineStr">
        <is>
          <t>654 - 685</t>
        </is>
      </c>
      <c r="D192" t="inlineStr">
        <is>
          <t>4</t>
        </is>
      </c>
      <c r="E192" t="inlineStr">
        <is>
          <t>ranr_rate</t>
        </is>
      </c>
      <c r="F192" t="inlineStr">
        <is>
          <t>Profit after losses: RANR per booked dollar</t>
        </is>
      </c>
      <c r="G192" t="n">
        <v>410</v>
      </c>
      <c r="H192" t="n">
        <v>13563003.84</v>
      </c>
      <c r="I192" t="b">
        <v>0</v>
      </c>
      <c r="J192" t="b">
        <v>0</v>
      </c>
      <c r="K192" t="n">
        <v>0.01261288980521949</v>
      </c>
      <c r="L192" t="n">
        <v>0.2889184765733953</v>
      </c>
      <c r="M192" t="n">
        <v>-0.03190361830554431</v>
      </c>
      <c r="N192" t="n">
        <v>0.1271872812718728</v>
      </c>
      <c r="O192" t="n">
        <v>-171068.672861689</v>
      </c>
      <c r="P192" t="n">
        <v>432708.8975879916</v>
      </c>
      <c r="Q192">
        <f>'_live'!$C$23</f>
        <v/>
      </c>
      <c r="R192" t="inlineStr">
        <is>
          <t>shuffled: 2,195 of 10,000</t>
        </is>
      </c>
      <c r="S192" t="inlineStr">
        <is>
          <t>shuffled: 105 of 10,000</t>
        </is>
      </c>
      <c r="T192" t="n">
        <v>0.1273271686354039</v>
      </c>
      <c r="U192" t="n">
        <v>0.1718436767461677</v>
      </c>
      <c r="V192">
        <f>AND(judged_band,NOT($J192))</f>
        <v/>
      </c>
      <c r="W192">
        <f>IF($K192="","",IF(profit_kind="test",IF(OR(NOT(AND(ISNUMBER($L192),$L192&lt;significance_bar)),$K192=0),"in line",IF($K192&lt;0,"worse","better")),IF(OR($K192=0,IF(profit_kind="points",ABS($K192),ABS($K192*$H192))&lt;profit_line*(1-1E-9)),"in line",IF(AND(ISNUMBER($L192),$L192&lt;significance_bar),IF($K192&lt;0,"worse","better"),IF($K192&lt;0,"worse, not significant","better, not significant")))))</f>
        <v/>
      </c>
      <c r="X192">
        <f>IF($M192="","",IF(profit_kind="test",IF(OR(NOT(AND(ISNUMBER($N192),$N192&lt;significance_bar)),$M192=0),"in line",IF($M192&lt;0,"worse","better")),IF(OR($M192=0,IF(profit_kind="points",ABS($M192),ABS($M192*$H192))&lt;profit_line*(1-1E-9)),"in line",IF(AND(ISNUMBER($N192),$N192&lt;significance_bar),IF($M192&lt;0,"worse","better"),IF($M192&lt;0,"worse, not significant","better, not significant")))))</f>
        <v/>
      </c>
      <c r="Y192">
        <f>IF($V192,$X192,$W192)</f>
        <v/>
      </c>
      <c r="Z192">
        <f>IF($V192,IF($P192="","",$P192),IF($O192="","",$O192))</f>
        <v/>
      </c>
      <c r="AA192">
        <f>IF(OR($Q192="",$Z192=""),"",IF(AND($Z192&gt;0,$Z192&gt;=$Q192),"yes","below the line"))</f>
        <v/>
      </c>
      <c r="AB192">
        <f>IF($V192,IF($M192="","",$M192),IF($K192="","",$K192))</f>
        <v/>
      </c>
      <c r="AC192">
        <f>IF($V192,IF($N192="","",$N192),IF($L192="","",$L192))</f>
        <v/>
      </c>
      <c r="AD192">
        <f>IF($Y192="","",IF($Y192="in line",IF(profit_kind="test",IF(ROUND($AB192*100,2)=0,"0.00",TEXT($AB192*100,"+0.00;-0.00"))&amp;" points against "&amp;IF($V192,"its band","the book")&amp;", "&amp;IF($AC192="","not tested","not significant"),IF(profit_kind="points","within "&amp;TEXT(profit_line*100,"0.00")&amp;" points of "&amp;IF($V192,"its band","the book")&amp;" ("&amp;IF(ROUND($AB192*100,2)=0,"0.00",TEXT($AB192*100,"+0.00;-0.00"))&amp;")","within $"&amp;TEXT(profit_line,"#,##0")&amp;" of "&amp;IF($V192,"its band","the book")&amp;" ("&amp;IF(ROUND($AB192*100,2)=0,"0.00",TEXT($AB192*100,"+0.00;-0.00"))&amp;" points)")),IF(LEFT($Y192,5)="worse","short of ","ahead of ")&amp;IF($V192,"its band","the book")&amp;" by "&amp;TEXT(ABS($AB192)*100,"0.00")&amp;" points"&amp;IF($Z192="",""," ($"&amp;TEXT(ABS($Z192),"#,##0")&amp;")")&amp;IF(RIGHT($Y192,15)="not significant"," (not significant)","")))</f>
        <v/>
      </c>
      <c r="AE192">
        <f>IF($V192,IF($S192="","",$S192),IF($R192="","",$R192))</f>
        <v/>
      </c>
      <c r="AF192">
        <f>IF($V192,IF($U192="","",$U192),IF($T192="","",$T192))</f>
        <v/>
      </c>
      <c r="AG192">
        <f>IF($V192,IF($O192="","",$O192),IF($P192="","",$P192))</f>
        <v/>
      </c>
      <c r="AH192" t="n">
        <v>0.1399400584406234</v>
      </c>
      <c r="AI192">
        <f>IF($Y192="worse","Yes",IF($Y192="worse, not significant","Not sure",IF(OR($Y192="too few losses to test",$Y192="too few loans to test"),"Too few losses",IF($Y192="","","No"))))</f>
        <v/>
      </c>
      <c r="AJ192">
        <f>IF($AA192="yes","Yes",IF($AA192="","","No"))</f>
        <v/>
      </c>
    </row>
    <row r="193">
      <c r="A193" t="inlineStr">
        <is>
          <t>grids</t>
        </is>
      </c>
      <c r="B193" t="inlineStr">
        <is>
          <t>FICO x ASSET_CLASS</t>
        </is>
      </c>
      <c r="C193" t="inlineStr">
        <is>
          <t>654 - 685</t>
        </is>
      </c>
      <c r="D193" t="inlineStr">
        <is>
          <t>4</t>
        </is>
      </c>
      <c r="E193" t="inlineStr">
        <is>
          <t>contribution_rate</t>
        </is>
      </c>
      <c r="F193" t="inlineStr">
        <is>
          <t>Contribution before losses per booked dollar</t>
        </is>
      </c>
      <c r="G193" t="n">
        <v>410</v>
      </c>
      <c r="H193" t="n">
        <v>13563003.84</v>
      </c>
      <c r="I193" t="b">
        <v>0</v>
      </c>
      <c r="J193" t="b">
        <v>0</v>
      </c>
      <c r="K193" t="n">
        <v>0.03652576890074838</v>
      </c>
      <c r="L193" t="n">
        <v>0.0001562343765623438</v>
      </c>
      <c r="M193" t="n">
        <v>-0.005642429194151394</v>
      </c>
      <c r="N193" t="n">
        <v>0.9216078392160784</v>
      </c>
      <c r="O193" t="n">
        <v>-495399.1438598027</v>
      </c>
      <c r="P193" t="n">
        <v>76528.28882720368</v>
      </c>
      <c r="Q193">
        <f>'_live'!$C$24</f>
        <v/>
      </c>
      <c r="R193" t="inlineStr">
        <is>
          <t>shuffled: 0 of 10,000</t>
        </is>
      </c>
      <c r="S193" t="inlineStr">
        <is>
          <t>shuffled: 4,075 of 10,000</t>
        </is>
      </c>
      <c r="T193" t="n">
        <v>0.1676725180474621</v>
      </c>
      <c r="U193" t="n">
        <v>0.2098407161423619</v>
      </c>
      <c r="V193">
        <f>AND(judged_band,NOT($J193))</f>
        <v/>
      </c>
      <c r="W193">
        <f>IF($K193="","",IF(profit_kind="test",IF(OR(NOT(AND(ISNUMBER($L193),$L193&lt;significance_bar)),$K193=0),"in line",IF($K193&lt;0,"worse","better")),IF(OR($K193=0,IF(profit_kind="points",ABS($K193),ABS($K193*$H193))&lt;profit_line*(1-1E-9)),"in line",IF(AND(ISNUMBER($L193),$L193&lt;significance_bar),IF($K193&lt;0,"worse","better"),IF($K193&lt;0,"worse, not significant","better, not significant")))))</f>
        <v/>
      </c>
      <c r="X193">
        <f>IF($M193="","",IF(profit_kind="test",IF(OR(NOT(AND(ISNUMBER($N193),$N193&lt;significance_bar)),$M193=0),"in line",IF($M193&lt;0,"worse","better")),IF(OR($M193=0,IF(profit_kind="points",ABS($M193),ABS($M193*$H193))&lt;profit_line*(1-1E-9)),"in line",IF(AND(ISNUMBER($N193),$N193&lt;significance_bar),IF($M193&lt;0,"worse","better"),IF($M193&lt;0,"worse, not significant","better, not significant")))))</f>
        <v/>
      </c>
      <c r="Y193">
        <f>IF($V193,$X193,$W193)</f>
        <v/>
      </c>
      <c r="Z193">
        <f>IF($V193,IF($P193="","",$P193),IF($O193="","",$O193))</f>
        <v/>
      </c>
      <c r="AA193">
        <f>IF(OR($Q193="",$Z193=""),"",IF(AND($Z193&gt;0,$Z193&gt;=$Q193),"yes","below the line"))</f>
        <v/>
      </c>
      <c r="AB193">
        <f>IF($V193,IF($M193="","",$M193),IF($K193="","",$K193))</f>
        <v/>
      </c>
      <c r="AC193">
        <f>IF($V193,IF($N193="","",$N193),IF($L193="","",$L193))</f>
        <v/>
      </c>
      <c r="AD193">
        <f>IF($Y193="","",IF($Y193="in line",IF(profit_kind="test",IF(ROUND($AB193*100,2)=0,"0.00",TEXT($AB193*100,"+0.00;-0.00"))&amp;" points against "&amp;IF($V193,"its band","the book")&amp;", "&amp;IF($AC193="","not tested","not significant"),IF(profit_kind="points","within "&amp;TEXT(profit_line*100,"0.00")&amp;" points of "&amp;IF($V193,"its band","the book")&amp;" ("&amp;IF(ROUND($AB193*100,2)=0,"0.00",TEXT($AB193*100,"+0.00;-0.00"))&amp;")","within $"&amp;TEXT(profit_line,"#,##0")&amp;" of "&amp;IF($V193,"its band","the book")&amp;" ("&amp;IF(ROUND($AB193*100,2)=0,"0.00",TEXT($AB193*100,"+0.00;-0.00"))&amp;" points)")),IF(LEFT($Y193,5)="worse","short of ","ahead of ")&amp;IF($V193,"its band","the book")&amp;" by "&amp;TEXT(ABS($AB193)*100,"0.00")&amp;" points"&amp;IF($Z193="",""," ($"&amp;TEXT(ABS($Z193),"#,##0")&amp;")")&amp;IF(RIGHT($Y193,15)="not significant"," (not significant)","")))</f>
        <v/>
      </c>
      <c r="AE193">
        <f>IF($V193,IF($S193="","",$S193),IF($R193="","",$R193))</f>
        <v/>
      </c>
      <c r="AF193">
        <f>IF($V193,IF($U193="","",$U193),IF($T193="","",$T193))</f>
        <v/>
      </c>
      <c r="AG193">
        <f>IF($V193,IF($O193="","",$O193),IF($P193="","",$P193))</f>
        <v/>
      </c>
      <c r="AH193" t="n">
        <v>0.2041982869482105</v>
      </c>
      <c r="AI193">
        <f>IF($Y193="worse","Yes",IF($Y193="worse, not significant","Not sure",IF(OR($Y193="too few losses to test",$Y193="too few loans to test"),"Too few losses",IF($Y193="","","No"))))</f>
        <v/>
      </c>
      <c r="AJ193">
        <f>IF($AA193="yes","Yes",IF($AA193="","","No"))</f>
        <v/>
      </c>
    </row>
    <row r="194">
      <c r="A194" t="inlineStr">
        <is>
          <t>grids</t>
        </is>
      </c>
      <c r="B194" t="inlineStr">
        <is>
          <t>FICO x ASSET_CLASS</t>
        </is>
      </c>
      <c r="C194" t="inlineStr">
        <is>
          <t>686 - 711</t>
        </is>
      </c>
      <c r="D194" t="inlineStr">
        <is>
          <t>2</t>
        </is>
      </c>
      <c r="E194" t="inlineStr">
        <is>
          <t>outcome_loans</t>
        </is>
      </c>
      <c r="F194" t="inlineStr">
        <is>
          <t>Outcome, share of loans</t>
        </is>
      </c>
      <c r="G194" t="n">
        <v>395</v>
      </c>
      <c r="H194" t="n">
        <v>395</v>
      </c>
      <c r="I194" t="b">
        <v>0</v>
      </c>
      <c r="J194" t="b">
        <v>0</v>
      </c>
      <c r="K194" t="n">
        <v>0.5107962298213574</v>
      </c>
      <c r="L194" t="n">
        <v>0.0122557845693401</v>
      </c>
      <c r="M194" t="n">
        <v>0.590886075949367</v>
      </c>
      <c r="N194" t="n">
        <v>0.1579294815553713</v>
      </c>
      <c r="O194" t="n">
        <v>-15.32364544976328</v>
      </c>
      <c r="P194" t="n">
        <v>-11.07797772065124</v>
      </c>
      <c r="Q194">
        <f>'_live'!$C$20</f>
        <v/>
      </c>
      <c r="R194" t="inlineStr">
        <is>
          <t>z test</t>
        </is>
      </c>
      <c r="S194" t="inlineStr">
        <is>
          <t>z test</t>
        </is>
      </c>
      <c r="T194" t="n">
        <v>0.07930036822724881</v>
      </c>
      <c r="U194" t="n">
        <v>0.06855184233076264</v>
      </c>
      <c r="V194">
        <f>AND(judged_band,NOT($J194))</f>
        <v/>
      </c>
      <c r="W194">
        <f>IF($K194="","",IF($I194,"too few losses to test",IF(AND($K194&gt;better_at,$K194&lt;worse_at),"in line",IF($K194&gt;=worse_at,IF(AND(ISNUMBER($L194),$L194&lt;significance_bar),"worse","worse, not significant"),IF(AND(ISNUMBER($L194),$L194&lt;significance_bar),"better","better, not significant")))))</f>
        <v/>
      </c>
      <c r="X194">
        <f>IF($M194="","",IF($I194,"too few losses to test",IF(AND($M194&gt;better_at,$M194&lt;worse_at),"in line",IF($M194&gt;=worse_at,IF(AND(ISNUMBER($N194),$N194&lt;significance_bar),"worse","worse, not significant"),IF(AND(ISNUMBER($N194),$N194&lt;significance_bar),"better","better, not significant")))))</f>
        <v/>
      </c>
      <c r="Y194">
        <f>IF($V194,$X194,$W194)</f>
        <v/>
      </c>
      <c r="Z194">
        <f>IF($V194,IF($P194="","",$P194),IF($O194="","",$O194))</f>
        <v/>
      </c>
      <c r="AA194">
        <f>IF(OR($Q194="",$Z194=""),"",IF(AND($Z194&gt;0,$Z194&gt;=$Q194),"yes","below the line"))</f>
        <v/>
      </c>
      <c r="AB194">
        <f>IF($V194,IF($M194="","",$M194),IF($K194="","",$K194))</f>
        <v/>
      </c>
      <c r="AC194">
        <f>IF($V194,IF($N194="","",$N194),IF($L194="","",$L194))</f>
        <v/>
      </c>
      <c r="AD194">
        <f>$Y194</f>
        <v/>
      </c>
      <c r="AE194">
        <f>IF($V194,IF($S194="","",$S194),IF($R194="","",$R194))</f>
        <v/>
      </c>
      <c r="AF194">
        <f>IF($V194,IF($U194="","",$U194),IF($T194="","",$T194))</f>
        <v/>
      </c>
      <c r="AG194">
        <f>IF($V194,IF($O194="","",$O194),IF($P194="","",$P194))</f>
        <v/>
      </c>
      <c r="AH194" t="n">
        <v>0.04050632911392405</v>
      </c>
      <c r="AI194">
        <f>IF($Y194="worse","Yes",IF($Y194="worse, not significant","Not sure",IF(OR($Y194="too few losses to test",$Y194="too few loans to test"),"Too few losses",IF($Y194="","","No"))))</f>
        <v/>
      </c>
      <c r="AJ194">
        <f>IF($AA194="yes","Yes",IF($AA194="","","No"))</f>
        <v/>
      </c>
    </row>
    <row r="195">
      <c r="A195" t="inlineStr">
        <is>
          <t>grids</t>
        </is>
      </c>
      <c r="B195" t="inlineStr">
        <is>
          <t>FICO x ASSET_CLASS</t>
        </is>
      </c>
      <c r="C195" t="inlineStr">
        <is>
          <t>686 - 711</t>
        </is>
      </c>
      <c r="D195" t="inlineStr">
        <is>
          <t>2</t>
        </is>
      </c>
      <c r="E195" t="inlineStr">
        <is>
          <t>outcome_booked</t>
        </is>
      </c>
      <c r="F195" t="inlineStr">
        <is>
          <t>Outcome, share of booked dollars</t>
        </is>
      </c>
      <c r="G195" t="n">
        <v>395</v>
      </c>
      <c r="H195" t="n">
        <v>12948870.12</v>
      </c>
      <c r="I195" t="b">
        <v>0</v>
      </c>
      <c r="J195" t="b">
        <v>0</v>
      </c>
      <c r="K195" t="n">
        <v>0.4974302679432662</v>
      </c>
      <c r="L195" t="n">
        <v>0.02324767523247676</v>
      </c>
      <c r="M195" t="n">
        <v>0.6040497133408764</v>
      </c>
      <c r="N195" t="n">
        <v>0.2939706029397061</v>
      </c>
      <c r="O195" t="n">
        <v>-499563.8953142854</v>
      </c>
      <c r="P195" t="n">
        <v>-324111.8437400922</v>
      </c>
      <c r="Q195">
        <f>'_live'!$C$21</f>
        <v/>
      </c>
      <c r="R195" t="inlineStr">
        <is>
          <t>shuffled: 92 of 10,000</t>
        </is>
      </c>
      <c r="S195" t="inlineStr">
        <is>
          <t>shuffled: 881 of 10,000</t>
        </is>
      </c>
      <c r="T195" t="n">
        <v>0.07676492667719226</v>
      </c>
      <c r="U195" t="n">
        <v>0.06321532351118311</v>
      </c>
      <c r="V195">
        <f>AND(judged_band,NOT($J195))</f>
        <v/>
      </c>
      <c r="W195">
        <f>IF($K195="","",IF($I195,"too few losses to test",IF(AND($K195&gt;better_at,$K195&lt;worse_at),"in line",IF($K195&gt;=worse_at,IF(AND(ISNUMBER($L195),$L195&lt;significance_bar),"worse","worse, not significant"),IF(AND(ISNUMBER($L195),$L195&lt;significance_bar),"better","better, not significant")))))</f>
        <v/>
      </c>
      <c r="X195">
        <f>IF($M195="","",IF($I195,"too few losses to test",IF(AND($M195&gt;better_at,$M195&lt;worse_at),"in line",IF($M195&gt;=worse_at,IF(AND(ISNUMBER($N195),$N195&lt;significance_bar),"worse","worse, not significant"),IF(AND(ISNUMBER($N195),$N195&lt;significance_bar),"better","better, not significant")))))</f>
        <v/>
      </c>
      <c r="Y195">
        <f>IF($V195,$X195,$W195)</f>
        <v/>
      </c>
      <c r="Z195">
        <f>IF($V195,IF($P195="","",$P195),IF($O195="","",$O195))</f>
        <v/>
      </c>
      <c r="AA195">
        <f>IF(OR($Q195="",$Z195=""),"",IF(AND($Z195&gt;0,$Z195&gt;=$Q195),"yes","below the line"))</f>
        <v/>
      </c>
      <c r="AB195">
        <f>IF($V195,IF($M195="","",$M195),IF($K195="","",$K195))</f>
        <v/>
      </c>
      <c r="AC195">
        <f>IF($V195,IF($N195="","",$N195),IF($L195="","",$L195))</f>
        <v/>
      </c>
      <c r="AD195">
        <f>$Y195</f>
        <v/>
      </c>
      <c r="AE195">
        <f>IF($V195,IF($S195="","",$S195),IF($R195="","",$R195))</f>
        <v/>
      </c>
      <c r="AF195">
        <f>IF($V195,IF($U195="","",$U195),IF($T195="","",$T195))</f>
        <v/>
      </c>
      <c r="AG195">
        <f>IF($V195,IF($O195="","",$O195),IF($P195="","",$P195))</f>
        <v/>
      </c>
      <c r="AH195" t="n">
        <v>0.03818519804568093</v>
      </c>
      <c r="AI195">
        <f>IF($Y195="worse","Yes",IF($Y195="worse, not significant","Not sure",IF(OR($Y195="too few losses to test",$Y195="too few loans to test"),"Too few losses",IF($Y195="","","No"))))</f>
        <v/>
      </c>
      <c r="AJ195">
        <f>IF($AA195="yes","Yes",IF($AA195="","","No"))</f>
        <v/>
      </c>
    </row>
    <row r="196">
      <c r="A196" t="inlineStr">
        <is>
          <t>grids</t>
        </is>
      </c>
      <c r="B196" t="inlineStr">
        <is>
          <t>FICO x ASSET_CLASS</t>
        </is>
      </c>
      <c r="C196" t="inlineStr">
        <is>
          <t>686 - 711</t>
        </is>
      </c>
      <c r="D196" t="inlineStr">
        <is>
          <t>2</t>
        </is>
      </c>
      <c r="E196" t="inlineStr">
        <is>
          <t>gco_rate</t>
        </is>
      </c>
      <c r="F196" t="inlineStr">
        <is>
          <t>GCO per booked dollar</t>
        </is>
      </c>
      <c r="G196" t="n">
        <v>395</v>
      </c>
      <c r="H196" t="n">
        <v>12948870.12</v>
      </c>
      <c r="I196" t="b">
        <v>0</v>
      </c>
      <c r="J196" t="b">
        <v>0</v>
      </c>
      <c r="K196" t="n">
        <v>0.4369289719695875</v>
      </c>
      <c r="L196" t="n">
        <v>0.014665200146652</v>
      </c>
      <c r="M196" t="n">
        <v>0.5215023580325703</v>
      </c>
      <c r="N196" t="n">
        <v>0.1731826817318268</v>
      </c>
      <c r="O196" t="n">
        <v>-312170.5702601096</v>
      </c>
      <c r="P196" t="n">
        <v>-222260.9386766321</v>
      </c>
      <c r="Q196">
        <f>'_live'!$C$22</f>
        <v/>
      </c>
      <c r="R196" t="inlineStr">
        <is>
          <t>shuffled: 42 of 10,000</t>
        </is>
      </c>
      <c r="S196" t="inlineStr">
        <is>
          <t>shuffled: 432 of 10,000</t>
        </is>
      </c>
      <c r="T196" t="n">
        <v>0.04281509391339155</v>
      </c>
      <c r="U196" t="n">
        <v>0.03587165940904751</v>
      </c>
      <c r="V196">
        <f>AND(judged_band,NOT($J196))</f>
        <v/>
      </c>
      <c r="W196">
        <f>IF($K196="","",IF($I196,"too few losses to test",IF(AND($K196&gt;better_at,$K196&lt;worse_at),"in line",IF($K196&gt;=worse_at,IF(AND(ISNUMBER($L196),$L196&lt;significance_bar),"worse","worse, not significant"),IF(AND(ISNUMBER($L196),$L196&lt;significance_bar),"better","better, not significant")))))</f>
        <v/>
      </c>
      <c r="X196">
        <f>IF($M196="","",IF($I196,"too few losses to test",IF(AND($M196&gt;better_at,$M196&lt;worse_at),"in line",IF($M196&gt;=worse_at,IF(AND(ISNUMBER($N196),$N196&lt;significance_bar),"worse","worse, not significant"),IF(AND(ISNUMBER($N196),$N196&lt;significance_bar),"better","better, not significant")))))</f>
        <v/>
      </c>
      <c r="Y196">
        <f>IF($V196,$X196,$W196)</f>
        <v/>
      </c>
      <c r="Z196">
        <f>IF($V196,IF($P196="","",$P196),IF($O196="","",$O196))</f>
        <v/>
      </c>
      <c r="AA196">
        <f>IF(OR($Q196="",$Z196=""),"",IF(AND($Z196&gt;0,$Z196&gt;=$Q196),"yes","below the line"))</f>
        <v/>
      </c>
      <c r="AB196">
        <f>IF($V196,IF($M196="","",$M196),IF($K196="","",$K196))</f>
        <v/>
      </c>
      <c r="AC196">
        <f>IF($V196,IF($N196="","",$N196),IF($L196="","",$L196))</f>
        <v/>
      </c>
      <c r="AD196">
        <f>$Y196</f>
        <v/>
      </c>
      <c r="AE196">
        <f>IF($V196,IF($S196="","",$S196),IF($R196="","",$R196))</f>
        <v/>
      </c>
      <c r="AF196">
        <f>IF($V196,IF($U196="","",$U196),IF($T196="","",$T196))</f>
        <v/>
      </c>
      <c r="AG196">
        <f>IF($V196,IF($O196="","",$O196),IF($P196="","",$P196))</f>
        <v/>
      </c>
      <c r="AH196" t="n">
        <v>0.01870715496835951</v>
      </c>
      <c r="AI196">
        <f>IF($Y196="worse","Yes",IF($Y196="worse, not significant","Not sure",IF(OR($Y196="too few losses to test",$Y196="too few loans to test"),"Too few losses",IF($Y196="","","No"))))</f>
        <v/>
      </c>
      <c r="AJ196">
        <f>IF($AA196="yes","Yes",IF($AA196="","","No"))</f>
        <v/>
      </c>
    </row>
    <row r="197">
      <c r="A197" t="inlineStr">
        <is>
          <t>grids</t>
        </is>
      </c>
      <c r="B197" t="inlineStr">
        <is>
          <t>FICO x ASSET_CLASS</t>
        </is>
      </c>
      <c r="C197" t="inlineStr">
        <is>
          <t>686 - 711</t>
        </is>
      </c>
      <c r="D197" t="inlineStr">
        <is>
          <t>2</t>
        </is>
      </c>
      <c r="E197" t="inlineStr">
        <is>
          <t>ranr_rate</t>
        </is>
      </c>
      <c r="F197" t="inlineStr">
        <is>
          <t>Profit after losses: RANR per booked dollar</t>
        </is>
      </c>
      <c r="G197" t="n">
        <v>395</v>
      </c>
      <c r="H197" t="n">
        <v>12948870.12</v>
      </c>
      <c r="I197" t="b">
        <v>0</v>
      </c>
      <c r="J197" t="b">
        <v>0</v>
      </c>
      <c r="K197" t="n">
        <v>0.02631820897811973</v>
      </c>
      <c r="L197" t="n">
        <v>0.01984176582341766</v>
      </c>
      <c r="M197" t="n">
        <v>0.01483470975900519</v>
      </c>
      <c r="N197" t="n">
        <v>0.4616538346165383</v>
      </c>
      <c r="O197" t="n">
        <v>-340791.0698486902</v>
      </c>
      <c r="P197" t="n">
        <v>-192092.7299372545</v>
      </c>
      <c r="Q197">
        <f>'_live'!$C$23</f>
        <v/>
      </c>
      <c r="R197" t="inlineStr">
        <is>
          <t>shuffled: 126 of 10,000</t>
        </is>
      </c>
      <c r="S197" t="inlineStr">
        <is>
          <t>shuffled: 1,538 of 10,000</t>
        </is>
      </c>
      <c r="T197" t="n">
        <v>0.1266695043622317</v>
      </c>
      <c r="U197" t="n">
        <v>0.1381530035813462</v>
      </c>
      <c r="V197">
        <f>AND(judged_band,NOT($J197))</f>
        <v/>
      </c>
      <c r="W197">
        <f>IF($K197="","",IF(profit_kind="test",IF(OR(NOT(AND(ISNUMBER($L197),$L197&lt;significance_bar)),$K197=0),"in line",IF($K197&lt;0,"worse","better")),IF(OR($K197=0,IF(profit_kind="points",ABS($K197),ABS($K197*$H197))&lt;profit_line*(1-1E-9)),"in line",IF(AND(ISNUMBER($L197),$L197&lt;significance_bar),IF($K197&lt;0,"worse","better"),IF($K197&lt;0,"worse, not significant","better, not significant")))))</f>
        <v/>
      </c>
      <c r="X197">
        <f>IF($M197="","",IF(profit_kind="test",IF(OR(NOT(AND(ISNUMBER($N197),$N197&lt;significance_bar)),$M197=0),"in line",IF($M197&lt;0,"worse","better")),IF(OR($M197=0,IF(profit_kind="points",ABS($M197),ABS($M197*$H197))&lt;profit_line*(1-1E-9)),"in line",IF(AND(ISNUMBER($N197),$N197&lt;significance_bar),IF($M197&lt;0,"worse","better"),IF($M197&lt;0,"worse, not significant","better, not significant")))))</f>
        <v/>
      </c>
      <c r="Y197">
        <f>IF($V197,$X197,$W197)</f>
        <v/>
      </c>
      <c r="Z197">
        <f>IF($V197,IF($P197="","",$P197),IF($O197="","",$O197))</f>
        <v/>
      </c>
      <c r="AA197">
        <f>IF(OR($Q197="",$Z197=""),"",IF(AND($Z197&gt;0,$Z197&gt;=$Q197),"yes","below the line"))</f>
        <v/>
      </c>
      <c r="AB197">
        <f>IF($V197,IF($M197="","",$M197),IF($K197="","",$K197))</f>
        <v/>
      </c>
      <c r="AC197">
        <f>IF($V197,IF($N197="","",$N197),IF($L197="","",$L197))</f>
        <v/>
      </c>
      <c r="AD197">
        <f>IF($Y197="","",IF($Y197="in line",IF(profit_kind="test",IF(ROUND($AB197*100,2)=0,"0.00",TEXT($AB197*100,"+0.00;-0.00"))&amp;" points against "&amp;IF($V197,"its band","the book")&amp;", "&amp;IF($AC197="","not tested","not significant"),IF(profit_kind="points","within "&amp;TEXT(profit_line*100,"0.00")&amp;" points of "&amp;IF($V197,"its band","the book")&amp;" ("&amp;IF(ROUND($AB197*100,2)=0,"0.00",TEXT($AB197*100,"+0.00;-0.00"))&amp;")","within $"&amp;TEXT(profit_line,"#,##0")&amp;" of "&amp;IF($V197,"its band","the book")&amp;" ("&amp;IF(ROUND($AB197*100,2)=0,"0.00",TEXT($AB197*100,"+0.00;-0.00"))&amp;" points)")),IF(LEFT($Y197,5)="worse","short of ","ahead of ")&amp;IF($V197,"its band","the book")&amp;" by "&amp;TEXT(ABS($AB197)*100,"0.00")&amp;" points"&amp;IF($Z197="",""," ($"&amp;TEXT(ABS($Z197),"#,##0")&amp;")")&amp;IF(RIGHT($Y197,15)="not significant"," (not significant)","")))</f>
        <v/>
      </c>
      <c r="AE197">
        <f>IF($V197,IF($S197="","",$S197),IF($R197="","",$R197))</f>
        <v/>
      </c>
      <c r="AF197">
        <f>IF($V197,IF($U197="","",$U197),IF($T197="","",$T197))</f>
        <v/>
      </c>
      <c r="AG197">
        <f>IF($V197,IF($O197="","",$O197),IF($P197="","",$P197))</f>
        <v/>
      </c>
      <c r="AH197" t="n">
        <v>0.1529877133403514</v>
      </c>
      <c r="AI197">
        <f>IF($Y197="worse","Yes",IF($Y197="worse, not significant","Not sure",IF(OR($Y197="too few losses to test",$Y197="too few loans to test"),"Too few losses",IF($Y197="","","No"))))</f>
        <v/>
      </c>
      <c r="AJ197">
        <f>IF($AA197="yes","Yes",IF($AA197="","","No"))</f>
        <v/>
      </c>
    </row>
    <row r="198">
      <c r="A198" t="inlineStr">
        <is>
          <t>grids</t>
        </is>
      </c>
      <c r="B198" t="inlineStr">
        <is>
          <t>FICO x ASSET_CLASS</t>
        </is>
      </c>
      <c r="C198" t="inlineStr">
        <is>
          <t>686 - 711</t>
        </is>
      </c>
      <c r="D198" t="inlineStr">
        <is>
          <t>2</t>
        </is>
      </c>
      <c r="E198" t="inlineStr">
        <is>
          <t>contribution_rate</t>
        </is>
      </c>
      <c r="F198" t="inlineStr">
        <is>
          <t>Contribution before losses per booked dollar</t>
        </is>
      </c>
      <c r="G198" t="n">
        <v>395</v>
      </c>
      <c r="H198" t="n">
        <v>12948870.12</v>
      </c>
      <c r="I198" t="b">
        <v>0</v>
      </c>
      <c r="J198" t="b">
        <v>0</v>
      </c>
      <c r="K198" t="n">
        <v>0.002213494177329994</v>
      </c>
      <c r="L198" t="n">
        <v>0.8103537472339724</v>
      </c>
      <c r="M198" t="n">
        <v>-0.002329794681682845</v>
      </c>
      <c r="N198" t="n">
        <v>0.9216078392160784</v>
      </c>
      <c r="O198" t="n">
        <v>-28662.24861362251</v>
      </c>
      <c r="P198" t="n">
        <v>30168.20873937802</v>
      </c>
      <c r="Q198">
        <f>'_live'!$C$24</f>
        <v/>
      </c>
      <c r="R198" t="inlineStr">
        <is>
          <t>shuffled: 7,455 of 10,000</t>
        </is>
      </c>
      <c r="S198" t="inlineStr">
        <is>
          <t>shuffled: 6,885 of 10,000</t>
        </is>
      </c>
      <c r="T198" t="n">
        <v>0.1694813741313808</v>
      </c>
      <c r="U198" t="n">
        <v>0.1740246629903937</v>
      </c>
      <c r="V198">
        <f>AND(judged_band,NOT($J198))</f>
        <v/>
      </c>
      <c r="W198">
        <f>IF($K198="","",IF(profit_kind="test",IF(OR(NOT(AND(ISNUMBER($L198),$L198&lt;significance_bar)),$K198=0),"in line",IF($K198&lt;0,"worse","better")),IF(OR($K198=0,IF(profit_kind="points",ABS($K198),ABS($K198*$H198))&lt;profit_line*(1-1E-9)),"in line",IF(AND(ISNUMBER($L198),$L198&lt;significance_bar),IF($K198&lt;0,"worse","better"),IF($K198&lt;0,"worse, not significant","better, not significant")))))</f>
        <v/>
      </c>
      <c r="X198">
        <f>IF($M198="","",IF(profit_kind="test",IF(OR(NOT(AND(ISNUMBER($N198),$N198&lt;significance_bar)),$M198=0),"in line",IF($M198&lt;0,"worse","better")),IF(OR($M198=0,IF(profit_kind="points",ABS($M198),ABS($M198*$H198))&lt;profit_line*(1-1E-9)),"in line",IF(AND(ISNUMBER($N198),$N198&lt;significance_bar),IF($M198&lt;0,"worse","better"),IF($M198&lt;0,"worse, not significant","better, not significant")))))</f>
        <v/>
      </c>
      <c r="Y198">
        <f>IF($V198,$X198,$W198)</f>
        <v/>
      </c>
      <c r="Z198">
        <f>IF($V198,IF($P198="","",$P198),IF($O198="","",$O198))</f>
        <v/>
      </c>
      <c r="AA198">
        <f>IF(OR($Q198="",$Z198=""),"",IF(AND($Z198&gt;0,$Z198&gt;=$Q198),"yes","below the line"))</f>
        <v/>
      </c>
      <c r="AB198">
        <f>IF($V198,IF($M198="","",$M198),IF($K198="","",$K198))</f>
        <v/>
      </c>
      <c r="AC198">
        <f>IF($V198,IF($N198="","",$N198),IF($L198="","",$L198))</f>
        <v/>
      </c>
      <c r="AD198">
        <f>IF($Y198="","",IF($Y198="in line",IF(profit_kind="test",IF(ROUND($AB198*100,2)=0,"0.00",TEXT($AB198*100,"+0.00;-0.00"))&amp;" points against "&amp;IF($V198,"its band","the book")&amp;", "&amp;IF($AC198="","not tested","not significant"),IF(profit_kind="points","within "&amp;TEXT(profit_line*100,"0.00")&amp;" points of "&amp;IF($V198,"its band","the book")&amp;" ("&amp;IF(ROUND($AB198*100,2)=0,"0.00",TEXT($AB198*100,"+0.00;-0.00"))&amp;")","within $"&amp;TEXT(profit_line,"#,##0")&amp;" of "&amp;IF($V198,"its band","the book")&amp;" ("&amp;IF(ROUND($AB198*100,2)=0,"0.00",TEXT($AB198*100,"+0.00;-0.00"))&amp;" points)")),IF(LEFT($Y198,5)="worse","short of ","ahead of ")&amp;IF($V198,"its band","the book")&amp;" by "&amp;TEXT(ABS($AB198)*100,"0.00")&amp;" points"&amp;IF($Z198="",""," ($"&amp;TEXT(ABS($Z198),"#,##0")&amp;")")&amp;IF(RIGHT($Y198,15)="not significant"," (not significant)","")))</f>
        <v/>
      </c>
      <c r="AE198">
        <f>IF($V198,IF($S198="","",$S198),IF($R198="","",$R198))</f>
        <v/>
      </c>
      <c r="AF198">
        <f>IF($V198,IF($U198="","",$U198),IF($T198="","",$T198))</f>
        <v/>
      </c>
      <c r="AG198">
        <f>IF($V198,IF($O198="","",$O198),IF($P198="","",$P198))</f>
        <v/>
      </c>
      <c r="AH198" t="n">
        <v>0.1716948683087108</v>
      </c>
      <c r="AI198">
        <f>IF($Y198="worse","Yes",IF($Y198="worse, not significant","Not sure",IF(OR($Y198="too few losses to test",$Y198="too few loans to test"),"Too few losses",IF($Y198="","","No"))))</f>
        <v/>
      </c>
      <c r="AJ198">
        <f>IF($AA198="yes","Yes",IF($AA198="","","No"))</f>
        <v/>
      </c>
    </row>
    <row r="199">
      <c r="A199" t="inlineStr">
        <is>
          <t>grids</t>
        </is>
      </c>
      <c r="B199" t="inlineStr">
        <is>
          <t>FICO x ASSET_CLASS</t>
        </is>
      </c>
      <c r="C199" t="inlineStr">
        <is>
          <t>(marked missing)</t>
        </is>
      </c>
      <c r="D199" t="inlineStr">
        <is>
          <t>3</t>
        </is>
      </c>
      <c r="E199" t="inlineStr">
        <is>
          <t>outcome_loans</t>
        </is>
      </c>
      <c r="F199" t="inlineStr">
        <is>
          <t>Outcome, share of loans</t>
        </is>
      </c>
      <c r="G199" t="n">
        <v>43</v>
      </c>
      <c r="H199" t="n">
        <v>43</v>
      </c>
      <c r="I199" t="b">
        <v>1</v>
      </c>
      <c r="J199" t="b">
        <v>0</v>
      </c>
      <c r="K199" t="n">
        <v>0.5997512344050356</v>
      </c>
      <c r="M199" t="n">
        <v>0.6802325581395348</v>
      </c>
      <c r="O199" t="n">
        <v>-1.334715937657114</v>
      </c>
      <c r="P199" t="n">
        <v>-0.9401709401709404</v>
      </c>
      <c r="Q199">
        <f>'_live'!$C$20</f>
        <v/>
      </c>
      <c r="T199" t="n">
        <v>0.07755153343388638</v>
      </c>
      <c r="U199" t="n">
        <v>0.06837606837606838</v>
      </c>
      <c r="V199">
        <f>AND(judged_band,NOT($J199))</f>
        <v/>
      </c>
      <c r="W199">
        <f>IF($K199="","",IF($I199,"too few losses to test",IF(AND($K199&gt;better_at,$K199&lt;worse_at),"in line",IF($K199&gt;=worse_at,IF(AND(ISNUMBER($L199),$L199&lt;significance_bar),"worse","worse, not significant"),IF(AND(ISNUMBER($L199),$L199&lt;significance_bar),"better","better, not significant")))))</f>
        <v/>
      </c>
      <c r="X199">
        <f>IF($M199="","",IF($I199,"too few losses to test",IF(AND($M199&gt;better_at,$M199&lt;worse_at),"in line",IF($M199&gt;=worse_at,IF(AND(ISNUMBER($N199),$N199&lt;significance_bar),"worse","worse, not significant"),IF(AND(ISNUMBER($N199),$N199&lt;significance_bar),"better","better, not significant")))))</f>
        <v/>
      </c>
      <c r="Y199">
        <f>IF($V199,$X199,$W199)</f>
        <v/>
      </c>
      <c r="Z199">
        <f>IF($V199,IF($P199="","",$P199),IF($O199="","",$O199))</f>
        <v/>
      </c>
      <c r="AA199">
        <f>IF(OR($Q199="",$Z199=""),"",IF(AND($Z199&gt;0,$Z199&gt;=$Q199),"yes","below the line"))</f>
        <v/>
      </c>
      <c r="AB199">
        <f>IF($V199,IF($M199="","",$M199),IF($K199="","",$K199))</f>
        <v/>
      </c>
      <c r="AC199">
        <f>IF($V199,IF($N199="","",$N199),IF($L199="","",$L199))</f>
        <v/>
      </c>
      <c r="AD199">
        <f>$Y199</f>
        <v/>
      </c>
      <c r="AE199">
        <f>IF($V199,IF($S199="","",$S199),IF($R199="","",$R199))</f>
        <v/>
      </c>
      <c r="AF199">
        <f>IF($V199,IF($U199="","",$U199),IF($T199="","",$T199))</f>
        <v/>
      </c>
      <c r="AG199">
        <f>IF($V199,IF($O199="","",$O199),IF($P199="","",$P199))</f>
        <v/>
      </c>
      <c r="AH199" t="n">
        <v>0.04651162790697674</v>
      </c>
      <c r="AI199">
        <f>IF($Y199="worse","Yes",IF($Y199="worse, not significant","Not sure",IF(OR($Y199="too few losses to test",$Y199="too few loans to test"),"Too few losses",IF($Y199="","","No"))))</f>
        <v/>
      </c>
      <c r="AJ199">
        <f>IF($AA199="yes","Yes",IF($AA199="","","No"))</f>
        <v/>
      </c>
    </row>
    <row r="200">
      <c r="A200" t="inlineStr">
        <is>
          <t>grids</t>
        </is>
      </c>
      <c r="B200" t="inlineStr">
        <is>
          <t>FICO x ASSET_CLASS</t>
        </is>
      </c>
      <c r="C200" t="inlineStr">
        <is>
          <t>(marked missing)</t>
        </is>
      </c>
      <c r="D200" t="inlineStr">
        <is>
          <t>3</t>
        </is>
      </c>
      <c r="E200" t="inlineStr">
        <is>
          <t>outcome_booked</t>
        </is>
      </c>
      <c r="F200" t="inlineStr">
        <is>
          <t>Outcome, share of booked dollars</t>
        </is>
      </c>
      <c r="G200" t="n">
        <v>43</v>
      </c>
      <c r="H200" t="n">
        <v>1473137.14</v>
      </c>
      <c r="I200" t="b">
        <v>1</v>
      </c>
      <c r="J200" t="b">
        <v>0</v>
      </c>
      <c r="K200" t="n">
        <v>0.4922694196128897</v>
      </c>
      <c r="M200" t="n">
        <v>0.7039736101455055</v>
      </c>
      <c r="O200" t="n">
        <v>-56131.46772160019</v>
      </c>
      <c r="P200" t="n">
        <v>-22884.95085786183</v>
      </c>
      <c r="Q200">
        <f>'_live'!$C$21</f>
        <v/>
      </c>
      <c r="T200" t="n">
        <v>0.07504640587745971</v>
      </c>
      <c r="U200" t="n">
        <v>0.05247789140518297</v>
      </c>
      <c r="V200">
        <f>AND(judged_band,NOT($J200))</f>
        <v/>
      </c>
      <c r="W200">
        <f>IF($K200="","",IF($I200,"too few losses to test",IF(AND($K200&gt;better_at,$K200&lt;worse_at),"in line",IF($K200&gt;=worse_at,IF(AND(ISNUMBER($L200),$L200&lt;significance_bar),"worse","worse, not significant"),IF(AND(ISNUMBER($L200),$L200&lt;significance_bar),"better","better, not significant")))))</f>
        <v/>
      </c>
      <c r="X200">
        <f>IF($M200="","",IF($I200,"too few losses to test",IF(AND($M200&gt;better_at,$M200&lt;worse_at),"in line",IF($M200&gt;=worse_at,IF(AND(ISNUMBER($N200),$N200&lt;significance_bar),"worse","worse, not significant"),IF(AND(ISNUMBER($N200),$N200&lt;significance_bar),"better","better, not significant")))))</f>
        <v/>
      </c>
      <c r="Y200">
        <f>IF($V200,$X200,$W200)</f>
        <v/>
      </c>
      <c r="Z200">
        <f>IF($V200,IF($P200="","",$P200),IF($O200="","",$O200))</f>
        <v/>
      </c>
      <c r="AA200">
        <f>IF(OR($Q200="",$Z200=""),"",IF(AND($Z200&gt;0,$Z200&gt;=$Q200),"yes","below the line"))</f>
        <v/>
      </c>
      <c r="AB200">
        <f>IF($V200,IF($M200="","",$M200),IF($K200="","",$K200))</f>
        <v/>
      </c>
      <c r="AC200">
        <f>IF($V200,IF($N200="","",$N200),IF($L200="","",$L200))</f>
        <v/>
      </c>
      <c r="AD200">
        <f>$Y200</f>
        <v/>
      </c>
      <c r="AE200">
        <f>IF($V200,IF($S200="","",$S200),IF($R200="","",$R200))</f>
        <v/>
      </c>
      <c r="AF200">
        <f>IF($V200,IF($U200="","",$U200),IF($T200="","",$T200))</f>
        <v/>
      </c>
      <c r="AG200">
        <f>IF($V200,IF($O200="","",$O200),IF($P200="","",$P200))</f>
        <v/>
      </c>
      <c r="AH200" t="n">
        <v>0.03694305066533045</v>
      </c>
      <c r="AI200">
        <f>IF($Y200="worse","Yes",IF($Y200="worse, not significant","Not sure",IF(OR($Y200="too few losses to test",$Y200="too few loans to test"),"Too few losses",IF($Y200="","","No"))))</f>
        <v/>
      </c>
      <c r="AJ200">
        <f>IF($AA200="yes","Yes",IF($AA200="","","No"))</f>
        <v/>
      </c>
    </row>
    <row r="201">
      <c r="A201" t="inlineStr">
        <is>
          <t>grids</t>
        </is>
      </c>
      <c r="B201" t="inlineStr">
        <is>
          <t>FICO x ASSET_CLASS</t>
        </is>
      </c>
      <c r="C201" t="inlineStr">
        <is>
          <t>(marked missing)</t>
        </is>
      </c>
      <c r="D201" t="inlineStr">
        <is>
          <t>3</t>
        </is>
      </c>
      <c r="E201" t="inlineStr">
        <is>
          <t>gco_rate</t>
        </is>
      </c>
      <c r="F201" t="inlineStr">
        <is>
          <t>GCO per booked dollar</t>
        </is>
      </c>
      <c r="G201" t="n">
        <v>43</v>
      </c>
      <c r="H201" t="n">
        <v>1473137.14</v>
      </c>
      <c r="I201" t="b">
        <v>1</v>
      </c>
      <c r="J201" t="b">
        <v>0</v>
      </c>
      <c r="K201" t="n">
        <v>0.5896421802534043</v>
      </c>
      <c r="M201" t="n">
        <v>0.9505291192288022</v>
      </c>
      <c r="O201" t="n">
        <v>-25210.00045162663</v>
      </c>
      <c r="P201" t="n">
        <v>-1885.310558373167</v>
      </c>
      <c r="Q201">
        <f>'_live'!$C$22</f>
        <v/>
      </c>
      <c r="T201" t="n">
        <v>0.0417029676216205</v>
      </c>
      <c r="U201" t="n">
        <v>0.02586962172331978</v>
      </c>
      <c r="V201">
        <f>AND(judged_band,NOT($J201))</f>
        <v/>
      </c>
      <c r="W201">
        <f>IF($K201="","",IF($I201,"too few losses to test",IF(AND($K201&gt;better_at,$K201&lt;worse_at),"in line",IF($K201&gt;=worse_at,IF(AND(ISNUMBER($L201),$L201&lt;significance_bar),"worse","worse, not significant"),IF(AND(ISNUMBER($L201),$L201&lt;significance_bar),"better","better, not significant")))))</f>
        <v/>
      </c>
      <c r="X201">
        <f>IF($M201="","",IF($I201,"too few losses to test",IF(AND($M201&gt;better_at,$M201&lt;worse_at),"in line",IF($M201&gt;=worse_at,IF(AND(ISNUMBER($N201),$N201&lt;significance_bar),"worse","worse, not significant"),IF(AND(ISNUMBER($N201),$N201&lt;significance_bar),"better","better, not significant")))))</f>
        <v/>
      </c>
      <c r="Y201">
        <f>IF($V201,$X201,$W201)</f>
        <v/>
      </c>
      <c r="Z201">
        <f>IF($V201,IF($P201="","",$P201),IF($O201="","",$O201))</f>
        <v/>
      </c>
      <c r="AA201">
        <f>IF(OR($Q201="",$Z201=""),"",IF(AND($Z201&gt;0,$Z201&gt;=$Q201),"yes","below the line"))</f>
        <v/>
      </c>
      <c r="AB201">
        <f>IF($V201,IF($M201="","",$M201),IF($K201="","",$K201))</f>
        <v/>
      </c>
      <c r="AC201">
        <f>IF($V201,IF($N201="","",$N201),IF($L201="","",$L201))</f>
        <v/>
      </c>
      <c r="AD201">
        <f>$Y201</f>
        <v/>
      </c>
      <c r="AE201">
        <f>IF($V201,IF($S201="","",$S201),IF($R201="","",$R201))</f>
        <v/>
      </c>
      <c r="AF201">
        <f>IF($V201,IF($U201="","",$U201),IF($T201="","",$T201))</f>
        <v/>
      </c>
      <c r="AG201">
        <f>IF($V201,IF($O201="","",$O201),IF($P201="","",$P201))</f>
        <v/>
      </c>
      <c r="AH201" t="n">
        <v>0.02458982875144944</v>
      </c>
      <c r="AI201">
        <f>IF($Y201="worse","Yes",IF($Y201="worse, not significant","Not sure",IF(OR($Y201="too few losses to test",$Y201="too few loans to test"),"Too few losses",IF($Y201="","","No"))))</f>
        <v/>
      </c>
      <c r="AJ201">
        <f>IF($AA201="yes","Yes",IF($AA201="","","No"))</f>
        <v/>
      </c>
    </row>
    <row r="202">
      <c r="A202" t="inlineStr">
        <is>
          <t>grids</t>
        </is>
      </c>
      <c r="B202" t="inlineStr">
        <is>
          <t>FICO x ASSET_CLASS</t>
        </is>
      </c>
      <c r="C202" t="inlineStr">
        <is>
          <t>(marked missing)</t>
        </is>
      </c>
      <c r="D202" t="inlineStr">
        <is>
          <t>3</t>
        </is>
      </c>
      <c r="E202" t="inlineStr">
        <is>
          <t>ranr_rate</t>
        </is>
      </c>
      <c r="F202" t="inlineStr">
        <is>
          <t>Profit after losses: RANR per booked dollar</t>
        </is>
      </c>
      <c r="G202" t="n">
        <v>43</v>
      </c>
      <c r="H202" t="n">
        <v>1473137.14</v>
      </c>
      <c r="I202" t="b">
        <v>0</v>
      </c>
      <c r="J202" t="b">
        <v>0</v>
      </c>
      <c r="K202" t="n">
        <v>0.02618259106537835</v>
      </c>
      <c r="L202" t="n">
        <v>0.4448418794484189</v>
      </c>
      <c r="M202" t="n">
        <v>-0.00159407582017404</v>
      </c>
      <c r="N202" t="n">
        <v>0.959004099590041</v>
      </c>
      <c r="O202" t="n">
        <v>-38570.54731984102</v>
      </c>
      <c r="P202" t="n">
        <v>2348.29229467432</v>
      </c>
      <c r="Q202">
        <f>'_live'!$C$23</f>
        <v/>
      </c>
      <c r="R202" t="inlineStr">
        <is>
          <t>shuffled: 3,914 of 10,000</t>
        </is>
      </c>
      <c r="S202" t="inlineStr">
        <is>
          <t>shuffled: 9,590 of 10,000</t>
        </is>
      </c>
      <c r="T202" t="n">
        <v>0.1278405910532939</v>
      </c>
      <c r="U202" t="n">
        <v>0.1556172579388463</v>
      </c>
      <c r="V202">
        <f>AND(judged_band,NOT($J202))</f>
        <v/>
      </c>
      <c r="W202">
        <f>IF($K202="","",IF(profit_kind="test",IF(OR(NOT(AND(ISNUMBER($L202),$L202&lt;significance_bar)),$K202=0),"in line",IF($K202&lt;0,"worse","better")),IF(OR($K202=0,IF(profit_kind="points",ABS($K202),ABS($K202*$H202))&lt;profit_line*(1-1E-9)),"in line",IF(AND(ISNUMBER($L202),$L202&lt;significance_bar),IF($K202&lt;0,"worse","better"),IF($K202&lt;0,"worse, not significant","better, not significant")))))</f>
        <v/>
      </c>
      <c r="X202">
        <f>IF($M202="","",IF(profit_kind="test",IF(OR(NOT(AND(ISNUMBER($N202),$N202&lt;significance_bar)),$M202=0),"in line",IF($M202&lt;0,"worse","better")),IF(OR($M202=0,IF(profit_kind="points",ABS($M202),ABS($M202*$H202))&lt;profit_line*(1-1E-9)),"in line",IF(AND(ISNUMBER($N202),$N202&lt;significance_bar),IF($M202&lt;0,"worse","better"),IF($M202&lt;0,"worse, not significant","better, not significant")))))</f>
        <v/>
      </c>
      <c r="Y202">
        <f>IF($V202,$X202,$W202)</f>
        <v/>
      </c>
      <c r="Z202">
        <f>IF($V202,IF($P202="","",$P202),IF($O202="","",$O202))</f>
        <v/>
      </c>
      <c r="AA202">
        <f>IF(OR($Q202="",$Z202=""),"",IF(AND($Z202&gt;0,$Z202&gt;=$Q202),"yes","below the line"))</f>
        <v/>
      </c>
      <c r="AB202">
        <f>IF($V202,IF($M202="","",$M202),IF($K202="","",$K202))</f>
        <v/>
      </c>
      <c r="AC202">
        <f>IF($V202,IF($N202="","",$N202),IF($L202="","",$L202))</f>
        <v/>
      </c>
      <c r="AD202">
        <f>IF($Y202="","",IF($Y202="in line",IF(profit_kind="test",IF(ROUND($AB202*100,2)=0,"0.00",TEXT($AB202*100,"+0.00;-0.00"))&amp;" points against "&amp;IF($V202,"its band","the book")&amp;", "&amp;IF($AC202="","not tested","not significant"),IF(profit_kind="points","within "&amp;TEXT(profit_line*100,"0.00")&amp;" points of "&amp;IF($V202,"its band","the book")&amp;" ("&amp;IF(ROUND($AB202*100,2)=0,"0.00",TEXT($AB202*100,"+0.00;-0.00"))&amp;")","within $"&amp;TEXT(profit_line,"#,##0")&amp;" of "&amp;IF($V202,"its band","the book")&amp;" ("&amp;IF(ROUND($AB202*100,2)=0,"0.00",TEXT($AB202*100,"+0.00;-0.00"))&amp;" points)")),IF(LEFT($Y202,5)="worse","short of ","ahead of ")&amp;IF($V202,"its band","the book")&amp;" by "&amp;TEXT(ABS($AB202)*100,"0.00")&amp;" points"&amp;IF($Z202="",""," ($"&amp;TEXT(ABS($Z202),"#,##0")&amp;")")&amp;IF(RIGHT($Y202,15)="not significant"," (not significant)","")))</f>
        <v/>
      </c>
      <c r="AE202">
        <f>IF($V202,IF($S202="","",$S202),IF($R202="","",$R202))</f>
        <v/>
      </c>
      <c r="AF202">
        <f>IF($V202,IF($U202="","",$U202),IF($T202="","",$T202))</f>
        <v/>
      </c>
      <c r="AG202">
        <f>IF($V202,IF($O202="","",$O202),IF($P202="","",$P202))</f>
        <v/>
      </c>
      <c r="AH202" t="n">
        <v>0.1540231821186723</v>
      </c>
      <c r="AI202">
        <f>IF($Y202="worse","Yes",IF($Y202="worse, not significant","Not sure",IF(OR($Y202="too few losses to test",$Y202="too few loans to test"),"Too few losses",IF($Y202="","","No"))))</f>
        <v/>
      </c>
      <c r="AJ202">
        <f>IF($AA202="yes","Yes",IF($AA202="","","No"))</f>
        <v/>
      </c>
    </row>
    <row r="203">
      <c r="A203" t="inlineStr">
        <is>
          <t>grids</t>
        </is>
      </c>
      <c r="B203" t="inlineStr">
        <is>
          <t>FICO x ASSET_CLASS</t>
        </is>
      </c>
      <c r="C203" t="inlineStr">
        <is>
          <t>(marked missing)</t>
        </is>
      </c>
      <c r="D203" t="inlineStr">
        <is>
          <t>3</t>
        </is>
      </c>
      <c r="E203" t="inlineStr">
        <is>
          <t>contribution_rate</t>
        </is>
      </c>
      <c r="F203" t="inlineStr">
        <is>
          <t>Contribution before losses per booked dollar</t>
        </is>
      </c>
      <c r="G203" t="n">
        <v>43</v>
      </c>
      <c r="H203" t="n">
        <v>1473137.14</v>
      </c>
      <c r="I203" t="b">
        <v>0</v>
      </c>
      <c r="J203" t="b">
        <v>0</v>
      </c>
      <c r="K203" t="n">
        <v>0.009072350977936378</v>
      </c>
      <c r="L203" t="n">
        <v>0.7509476325094763</v>
      </c>
      <c r="M203" t="n">
        <v>-0.002873868792044376</v>
      </c>
      <c r="N203" t="n">
        <v>0.9216078392160784</v>
      </c>
      <c r="O203" t="n">
        <v>-13364.81717271337</v>
      </c>
      <c r="P203" t="n">
        <v>4233.602853047545</v>
      </c>
      <c r="Q203">
        <f>'_live'!$C$24</f>
        <v/>
      </c>
      <c r="R203" t="inlineStr">
        <is>
          <t>shuffled: 6,608 of 10,000</t>
        </is>
      </c>
      <c r="S203" t="inlineStr">
        <is>
          <t>shuffled: 9,074 of 10,000</t>
        </is>
      </c>
      <c r="T203" t="n">
        <v>0.1695406598921853</v>
      </c>
      <c r="U203" t="n">
        <v>0.1814868796621661</v>
      </c>
      <c r="V203">
        <f>AND(judged_band,NOT($J203))</f>
        <v/>
      </c>
      <c r="W203">
        <f>IF($K203="","",IF(profit_kind="test",IF(OR(NOT(AND(ISNUMBER($L203),$L203&lt;significance_bar)),$K203=0),"in line",IF($K203&lt;0,"worse","better")),IF(OR($K203=0,IF(profit_kind="points",ABS($K203),ABS($K203*$H203))&lt;profit_line*(1-1E-9)),"in line",IF(AND(ISNUMBER($L203),$L203&lt;significance_bar),IF($K203&lt;0,"worse","better"),IF($K203&lt;0,"worse, not significant","better, not significant")))))</f>
        <v/>
      </c>
      <c r="X203">
        <f>IF($M203="","",IF(profit_kind="test",IF(OR(NOT(AND(ISNUMBER($N203),$N203&lt;significance_bar)),$M203=0),"in line",IF($M203&lt;0,"worse","better")),IF(OR($M203=0,IF(profit_kind="points",ABS($M203),ABS($M203*$H203))&lt;profit_line*(1-1E-9)),"in line",IF(AND(ISNUMBER($N203),$N203&lt;significance_bar),IF($M203&lt;0,"worse","better"),IF($M203&lt;0,"worse, not significant","better, not significant")))))</f>
        <v/>
      </c>
      <c r="Y203">
        <f>IF($V203,$X203,$W203)</f>
        <v/>
      </c>
      <c r="Z203">
        <f>IF($V203,IF($P203="","",$P203),IF($O203="","",$O203))</f>
        <v/>
      </c>
      <c r="AA203">
        <f>IF(OR($Q203="",$Z203=""),"",IF(AND($Z203&gt;0,$Z203&gt;=$Q203),"yes","below the line"))</f>
        <v/>
      </c>
      <c r="AB203">
        <f>IF($V203,IF($M203="","",$M203),IF($K203="","",$K203))</f>
        <v/>
      </c>
      <c r="AC203">
        <f>IF($V203,IF($N203="","",$N203),IF($L203="","",$L203))</f>
        <v/>
      </c>
      <c r="AD203">
        <f>IF($Y203="","",IF($Y203="in line",IF(profit_kind="test",IF(ROUND($AB203*100,2)=0,"0.00",TEXT($AB203*100,"+0.00;-0.00"))&amp;" points against "&amp;IF($V203,"its band","the book")&amp;", "&amp;IF($AC203="","not tested","not significant"),IF(profit_kind="points","within "&amp;TEXT(profit_line*100,"0.00")&amp;" points of "&amp;IF($V203,"its band","the book")&amp;" ("&amp;IF(ROUND($AB203*100,2)=0,"0.00",TEXT($AB203*100,"+0.00;-0.00"))&amp;")","within $"&amp;TEXT(profit_line,"#,##0")&amp;" of "&amp;IF($V203,"its band","the book")&amp;" ("&amp;IF(ROUND($AB203*100,2)=0,"0.00",TEXT($AB203*100,"+0.00;-0.00"))&amp;" points)")),IF(LEFT($Y203,5)="worse","short of ","ahead of ")&amp;IF($V203,"its band","the book")&amp;" by "&amp;TEXT(ABS($AB203)*100,"0.00")&amp;" points"&amp;IF($Z203="",""," ($"&amp;TEXT(ABS($Z203),"#,##0")&amp;")")&amp;IF(RIGHT($Y203,15)="not significant"," (not significant)","")))</f>
        <v/>
      </c>
      <c r="AE203">
        <f>IF($V203,IF($S203="","",$S203),IF($R203="","",$R203))</f>
        <v/>
      </c>
      <c r="AF203">
        <f>IF($V203,IF($U203="","",$U203),IF($T203="","",$T203))</f>
        <v/>
      </c>
      <c r="AG203">
        <f>IF($V203,IF($O203="","",$O203),IF($P203="","",$P203))</f>
        <v/>
      </c>
      <c r="AH203" t="n">
        <v>0.1786130108701217</v>
      </c>
      <c r="AI203">
        <f>IF($Y203="worse","Yes",IF($Y203="worse, not significant","Not sure",IF(OR($Y203="too few losses to test",$Y203="too few loans to test"),"Too few losses",IF($Y203="","","No"))))</f>
        <v/>
      </c>
      <c r="AJ203">
        <f>IF($AA203="yes","Yes",IF($AA203="","","No"))</f>
        <v/>
      </c>
    </row>
    <row r="204">
      <c r="A204" t="inlineStr">
        <is>
          <t>grids</t>
        </is>
      </c>
      <c r="B204" t="inlineStr">
        <is>
          <t>FICO x ASSET_CLASS</t>
        </is>
      </c>
      <c r="C204" t="inlineStr">
        <is>
          <t>712 - 745</t>
        </is>
      </c>
      <c r="D204" t="inlineStr">
        <is>
          <t>3</t>
        </is>
      </c>
      <c r="E204" t="inlineStr">
        <is>
          <t>outcome_loans</t>
        </is>
      </c>
      <c r="F204" t="inlineStr">
        <is>
          <t>Outcome, share of loans</t>
        </is>
      </c>
      <c r="G204" t="n">
        <v>392</v>
      </c>
      <c r="H204" t="n">
        <v>392</v>
      </c>
      <c r="I204" t="b">
        <v>0</v>
      </c>
      <c r="J204" t="b">
        <v>0</v>
      </c>
      <c r="K204" t="n">
        <v>0.6145110544217687</v>
      </c>
      <c r="L204" t="n">
        <v>0.04310071409189944</v>
      </c>
      <c r="M204" t="n">
        <v>0.8688850540216086</v>
      </c>
      <c r="N204" t="n">
        <v>0.8247352345084311</v>
      </c>
      <c r="O204" t="n">
        <v>-11.91889049559616</v>
      </c>
      <c r="P204" t="n">
        <v>-2.867104183757178</v>
      </c>
      <c r="Q204">
        <f>'_live'!$C$20</f>
        <v/>
      </c>
      <c r="R204" t="inlineStr">
        <is>
          <t>z test</t>
        </is>
      </c>
      <c r="S204" t="inlineStr">
        <is>
          <t>z test</t>
        </is>
      </c>
      <c r="T204" t="n">
        <v>0.07887472065203102</v>
      </c>
      <c r="U204" t="n">
        <v>0.05578342904019688</v>
      </c>
      <c r="V204">
        <f>AND(judged_band,NOT($J204))</f>
        <v/>
      </c>
      <c r="W204">
        <f>IF($K204="","",IF($I204,"too few losses to test",IF(AND($K204&gt;better_at,$K204&lt;worse_at),"in line",IF($K204&gt;=worse_at,IF(AND(ISNUMBER($L204),$L204&lt;significance_bar),"worse","worse, not significant"),IF(AND(ISNUMBER($L204),$L204&lt;significance_bar),"better","better, not significant")))))</f>
        <v/>
      </c>
      <c r="X204">
        <f>IF($M204="","",IF($I204,"too few losses to test",IF(AND($M204&gt;better_at,$M204&lt;worse_at),"in line",IF($M204&gt;=worse_at,IF(AND(ISNUMBER($N204),$N204&lt;significance_bar),"worse","worse, not significant"),IF(AND(ISNUMBER($N204),$N204&lt;significance_bar),"better","better, not significant")))))</f>
        <v/>
      </c>
      <c r="Y204">
        <f>IF($V204,$X204,$W204)</f>
        <v/>
      </c>
      <c r="Z204">
        <f>IF($V204,IF($P204="","",$P204),IF($O204="","",$O204))</f>
        <v/>
      </c>
      <c r="AA204">
        <f>IF(OR($Q204="",$Z204=""),"",IF(AND($Z204&gt;0,$Z204&gt;=$Q204),"yes","below the line"))</f>
        <v/>
      </c>
      <c r="AB204">
        <f>IF($V204,IF($M204="","",$M204),IF($K204="","",$K204))</f>
        <v/>
      </c>
      <c r="AC204">
        <f>IF($V204,IF($N204="","",$N204),IF($L204="","",$L204))</f>
        <v/>
      </c>
      <c r="AD204">
        <f>$Y204</f>
        <v/>
      </c>
      <c r="AE204">
        <f>IF($V204,IF($S204="","",$S204),IF($R204="","",$R204))</f>
        <v/>
      </c>
      <c r="AF204">
        <f>IF($V204,IF($U204="","",$U204),IF($T204="","",$T204))</f>
        <v/>
      </c>
      <c r="AG204">
        <f>IF($V204,IF($O204="","",$O204),IF($P204="","",$P204))</f>
        <v/>
      </c>
      <c r="AH204" t="n">
        <v>0.04846938775510204</v>
      </c>
      <c r="AI204">
        <f>IF($Y204="worse","Yes",IF($Y204="worse, not significant","Not sure",IF(OR($Y204="too few losses to test",$Y204="too few loans to test"),"Too few losses",IF($Y204="","","No"))))</f>
        <v/>
      </c>
      <c r="AJ204">
        <f>IF($AA204="yes","Yes",IF($AA204="","","No"))</f>
        <v/>
      </c>
    </row>
    <row r="205">
      <c r="A205" t="inlineStr">
        <is>
          <t>grids</t>
        </is>
      </c>
      <c r="B205" t="inlineStr">
        <is>
          <t>FICO x ASSET_CLASS</t>
        </is>
      </c>
      <c r="C205" t="inlineStr">
        <is>
          <t>712 - 745</t>
        </is>
      </c>
      <c r="D205" t="inlineStr">
        <is>
          <t>3</t>
        </is>
      </c>
      <c r="E205" t="inlineStr">
        <is>
          <t>outcome_booked</t>
        </is>
      </c>
      <c r="F205" t="inlineStr">
        <is>
          <t>Outcome, share of booked dollars</t>
        </is>
      </c>
      <c r="G205" t="n">
        <v>392</v>
      </c>
      <c r="H205" t="n">
        <v>12300354.33999999</v>
      </c>
      <c r="I205" t="b">
        <v>0</v>
      </c>
      <c r="J205" t="b">
        <v>0</v>
      </c>
      <c r="K205" t="n">
        <v>0.5534293958190679</v>
      </c>
      <c r="L205" t="n">
        <v>0.03908700039087001</v>
      </c>
      <c r="M205" t="n">
        <v>0.7247250369920415</v>
      </c>
      <c r="N205" t="n">
        <v>0.500495405004954</v>
      </c>
      <c r="O205" t="n">
        <v>-419973.6328243187</v>
      </c>
      <c r="P205" t="n">
        <v>-197691.3031305909</v>
      </c>
      <c r="Q205">
        <f>'_live'!$C$21</f>
        <v/>
      </c>
      <c r="R205" t="inlineStr">
        <is>
          <t>shuffled: 214 of 10,000</t>
        </is>
      </c>
      <c r="S205" t="inlineStr">
        <is>
          <t>shuffled: 2,752 of 10,000</t>
        </is>
      </c>
      <c r="T205" t="n">
        <v>0.07645647489731743</v>
      </c>
      <c r="U205" t="n">
        <v>0.05838526137374604</v>
      </c>
      <c r="V205">
        <f>AND(judged_band,NOT($J205))</f>
        <v/>
      </c>
      <c r="W205">
        <f>IF($K205="","",IF($I205,"too few losses to test",IF(AND($K205&gt;better_at,$K205&lt;worse_at),"in line",IF($K205&gt;=worse_at,IF(AND(ISNUMBER($L205),$L205&lt;significance_bar),"worse","worse, not significant"),IF(AND(ISNUMBER($L205),$L205&lt;significance_bar),"better","better, not significant")))))</f>
        <v/>
      </c>
      <c r="X205">
        <f>IF($M205="","",IF($I205,"too few losses to test",IF(AND($M205&gt;better_at,$M205&lt;worse_at),"in line",IF($M205&gt;=worse_at,IF(AND(ISNUMBER($N205),$N205&lt;significance_bar),"worse","worse, not significant"),IF(AND(ISNUMBER($N205),$N205&lt;significance_bar),"better","better, not significant")))))</f>
        <v/>
      </c>
      <c r="Y205">
        <f>IF($V205,$X205,$W205)</f>
        <v/>
      </c>
      <c r="Z205">
        <f>IF($V205,IF($P205="","",$P205),IF($O205="","",$O205))</f>
        <v/>
      </c>
      <c r="AA205">
        <f>IF(OR($Q205="",$Z205=""),"",IF(AND($Z205&gt;0,$Z205&gt;=$Q205),"yes","below the line"))</f>
        <v/>
      </c>
      <c r="AB205">
        <f>IF($V205,IF($M205="","",$M205),IF($K205="","",$K205))</f>
        <v/>
      </c>
      <c r="AC205">
        <f>IF($V205,IF($N205="","",$N205),IF($L205="","",$L205))</f>
        <v/>
      </c>
      <c r="AD205">
        <f>$Y205</f>
        <v/>
      </c>
      <c r="AE205">
        <f>IF($V205,IF($S205="","",$S205),IF($R205="","",$R205))</f>
        <v/>
      </c>
      <c r="AF205">
        <f>IF($V205,IF($U205="","",$U205),IF($T205="","",$T205))</f>
        <v/>
      </c>
      <c r="AG205">
        <f>IF($V205,IF($O205="","",$O205),IF($P205="","",$P205))</f>
        <v/>
      </c>
      <c r="AH205" t="n">
        <v>0.04231326070887811</v>
      </c>
      <c r="AI205">
        <f>IF($Y205="worse","Yes",IF($Y205="worse, not significant","Not sure",IF(OR($Y205="too few losses to test",$Y205="too few loans to test"),"Too few losses",IF($Y205="","","No"))))</f>
        <v/>
      </c>
      <c r="AJ205">
        <f>IF($AA205="yes","Yes",IF($AA205="","","No"))</f>
        <v/>
      </c>
    </row>
    <row r="206">
      <c r="A206" t="inlineStr">
        <is>
          <t>grids</t>
        </is>
      </c>
      <c r="B206" t="inlineStr">
        <is>
          <t>FICO x ASSET_CLASS</t>
        </is>
      </c>
      <c r="C206" t="inlineStr">
        <is>
          <t>712 - 745</t>
        </is>
      </c>
      <c r="D206" t="inlineStr">
        <is>
          <t>3</t>
        </is>
      </c>
      <c r="E206" t="inlineStr">
        <is>
          <t>gco_rate</t>
        </is>
      </c>
      <c r="F206" t="inlineStr">
        <is>
          <t>GCO per booked dollar</t>
        </is>
      </c>
      <c r="G206" t="n">
        <v>392</v>
      </c>
      <c r="H206" t="n">
        <v>12300354.33999999</v>
      </c>
      <c r="I206" t="b">
        <v>0</v>
      </c>
      <c r="J206" t="b">
        <v>0</v>
      </c>
      <c r="K206" t="n">
        <v>0.5462000793379984</v>
      </c>
      <c r="L206" t="n">
        <v>0.04866180048661801</v>
      </c>
      <c r="M206" t="n">
        <v>0.7147660377971981</v>
      </c>
      <c r="N206" t="n">
        <v>0.5519448055194481</v>
      </c>
      <c r="O206" t="n">
        <v>-237371.4462582704</v>
      </c>
      <c r="P206" t="n">
        <v>-114012.6775764684</v>
      </c>
      <c r="Q206">
        <f>'_live'!$C$22</f>
        <v/>
      </c>
      <c r="R206" t="inlineStr">
        <is>
          <t>shuffled: 218 of 10,000</t>
        </is>
      </c>
      <c r="S206" t="inlineStr">
        <is>
          <t>shuffled: 2,746 of 10,000</t>
        </is>
      </c>
      <c r="T206" t="n">
        <v>0.04252520714442044</v>
      </c>
      <c r="U206" t="n">
        <v>0.03249632787216672</v>
      </c>
      <c r="V206">
        <f>AND(judged_band,NOT($J206))</f>
        <v/>
      </c>
      <c r="W206">
        <f>IF($K206="","",IF($I206,"too few losses to test",IF(AND($K206&gt;better_at,$K206&lt;worse_at),"in line",IF($K206&gt;=worse_at,IF(AND(ISNUMBER($L206),$L206&lt;significance_bar),"worse","worse, not significant"),IF(AND(ISNUMBER($L206),$L206&lt;significance_bar),"better","better, not significant")))))</f>
        <v/>
      </c>
      <c r="X206">
        <f>IF($M206="","",IF($I206,"too few losses to test",IF(AND($M206&gt;better_at,$M206&lt;worse_at),"in line",IF($M206&gt;=worse_at,IF(AND(ISNUMBER($N206),$N206&lt;significance_bar),"worse","worse, not significant"),IF(AND(ISNUMBER($N206),$N206&lt;significance_bar),"better","better, not significant")))))</f>
        <v/>
      </c>
      <c r="Y206">
        <f>IF($V206,$X206,$W206)</f>
        <v/>
      </c>
      <c r="Z206">
        <f>IF($V206,IF($P206="","",$P206),IF($O206="","",$O206))</f>
        <v/>
      </c>
      <c r="AA206">
        <f>IF(OR($Q206="",$Z206=""),"",IF(AND($Z206&gt;0,$Z206&gt;=$Q206),"yes","below the line"))</f>
        <v/>
      </c>
      <c r="AB206">
        <f>IF($V206,IF($M206="","",$M206),IF($K206="","",$K206))</f>
        <v/>
      </c>
      <c r="AC206">
        <f>IF($V206,IF($N206="","",$N206),IF($L206="","",$L206))</f>
        <v/>
      </c>
      <c r="AD206">
        <f>$Y206</f>
        <v/>
      </c>
      <c r="AE206">
        <f>IF($V206,IF($S206="","",$S206),IF($R206="","",$R206))</f>
        <v/>
      </c>
      <c r="AF206">
        <f>IF($V206,IF($U206="","",$U206),IF($T206="","",$T206))</f>
        <v/>
      </c>
      <c r="AG206">
        <f>IF($V206,IF($O206="","",$O206),IF($P206="","",$P206))</f>
        <v/>
      </c>
      <c r="AH206" t="n">
        <v>0.02322727151614726</v>
      </c>
      <c r="AI206">
        <f>IF($Y206="worse","Yes",IF($Y206="worse, not significant","Not sure",IF(OR($Y206="too few losses to test",$Y206="too few loans to test"),"Too few losses",IF($Y206="","","No"))))</f>
        <v/>
      </c>
      <c r="AJ206">
        <f>IF($AA206="yes","Yes",IF($AA206="","","No"))</f>
        <v/>
      </c>
    </row>
    <row r="207">
      <c r="A207" t="inlineStr">
        <is>
          <t>grids</t>
        </is>
      </c>
      <c r="B207" t="inlineStr">
        <is>
          <t>FICO x ASSET_CLASS</t>
        </is>
      </c>
      <c r="C207" t="inlineStr">
        <is>
          <t>712 - 745</t>
        </is>
      </c>
      <c r="D207" t="inlineStr">
        <is>
          <t>3</t>
        </is>
      </c>
      <c r="E207" t="inlineStr">
        <is>
          <t>ranr_rate</t>
        </is>
      </c>
      <c r="F207" t="inlineStr">
        <is>
          <t>Profit after losses: RANR per booked dollar</t>
        </is>
      </c>
      <c r="G207" t="n">
        <v>392</v>
      </c>
      <c r="H207" t="n">
        <v>12300354.33999999</v>
      </c>
      <c r="I207" t="b">
        <v>0</v>
      </c>
      <c r="J207" t="b">
        <v>0</v>
      </c>
      <c r="K207" t="n">
        <v>-0.0284889271358406</v>
      </c>
      <c r="L207" t="n">
        <v>0.01403705783267827</v>
      </c>
      <c r="M207" t="n">
        <v>0.006439412478931664</v>
      </c>
      <c r="N207" t="n">
        <v>0.8013598640135986</v>
      </c>
      <c r="O207" t="n">
        <v>350423.8985372803</v>
      </c>
      <c r="P207" t="n">
        <v>-79207.05523227714</v>
      </c>
      <c r="Q207">
        <f>'_live'!$C$23</f>
        <v/>
      </c>
      <c r="R207" t="inlineStr">
        <is>
          <t>shuffled: 72 of 10,000</t>
        </is>
      </c>
      <c r="S207" t="inlineStr">
        <is>
          <t>shuffled: 5,008 of 10,000</t>
        </is>
      </c>
      <c r="T207" t="n">
        <v>0.129347921576809</v>
      </c>
      <c r="U207" t="n">
        <v>0.09441958196203673</v>
      </c>
      <c r="V207">
        <f>AND(judged_band,NOT($J207))</f>
        <v/>
      </c>
      <c r="W207">
        <f>IF($K207="","",IF(profit_kind="test",IF(OR(NOT(AND(ISNUMBER($L207),$L207&lt;significance_bar)),$K207=0),"in line",IF($K207&lt;0,"worse","better")),IF(OR($K207=0,IF(profit_kind="points",ABS($K207),ABS($K207*$H207))&lt;profit_line*(1-1E-9)),"in line",IF(AND(ISNUMBER($L207),$L207&lt;significance_bar),IF($K207&lt;0,"worse","better"),IF($K207&lt;0,"worse, not significant","better, not significant")))))</f>
        <v/>
      </c>
      <c r="X207">
        <f>IF($M207="","",IF(profit_kind="test",IF(OR(NOT(AND(ISNUMBER($N207),$N207&lt;significance_bar)),$M207=0),"in line",IF($M207&lt;0,"worse","better")),IF(OR($M207=0,IF(profit_kind="points",ABS($M207),ABS($M207*$H207))&lt;profit_line*(1-1E-9)),"in line",IF(AND(ISNUMBER($N207),$N207&lt;significance_bar),IF($M207&lt;0,"worse","better"),IF($M207&lt;0,"worse, not significant","better, not significant")))))</f>
        <v/>
      </c>
      <c r="Y207">
        <f>IF($V207,$X207,$W207)</f>
        <v/>
      </c>
      <c r="Z207">
        <f>IF($V207,IF($P207="","",$P207),IF($O207="","",$O207))</f>
        <v/>
      </c>
      <c r="AA207">
        <f>IF(OR($Q207="",$Z207=""),"",IF(AND($Z207&gt;0,$Z207&gt;=$Q207),"yes","below the line"))</f>
        <v/>
      </c>
      <c r="AB207">
        <f>IF($V207,IF($M207="","",$M207),IF($K207="","",$K207))</f>
        <v/>
      </c>
      <c r="AC207">
        <f>IF($V207,IF($N207="","",$N207),IF($L207="","",$L207))</f>
        <v/>
      </c>
      <c r="AD207">
        <f>IF($Y207="","",IF($Y207="in line",IF(profit_kind="test",IF(ROUND($AB207*100,2)=0,"0.00",TEXT($AB207*100,"+0.00;-0.00"))&amp;" points against "&amp;IF($V207,"its band","the book")&amp;", "&amp;IF($AC207="","not tested","not significant"),IF(profit_kind="points","within "&amp;TEXT(profit_line*100,"0.00")&amp;" points of "&amp;IF($V207,"its band","the book")&amp;" ("&amp;IF(ROUND($AB207*100,2)=0,"0.00",TEXT($AB207*100,"+0.00;-0.00"))&amp;")","within $"&amp;TEXT(profit_line,"#,##0")&amp;" of "&amp;IF($V207,"its band","the book")&amp;" ("&amp;IF(ROUND($AB207*100,2)=0,"0.00",TEXT($AB207*100,"+0.00;-0.00"))&amp;" points)")),IF(LEFT($Y207,5)="worse","short of ","ahead of ")&amp;IF($V207,"its band","the book")&amp;" by "&amp;TEXT(ABS($AB207)*100,"0.00")&amp;" points"&amp;IF($Z207="",""," ($"&amp;TEXT(ABS($Z207),"#,##0")&amp;")")&amp;IF(RIGHT($Y207,15)="not significant"," (not significant)","")))</f>
        <v/>
      </c>
      <c r="AE207">
        <f>IF($V207,IF($S207="","",$S207),IF($R207="","",$R207))</f>
        <v/>
      </c>
      <c r="AF207">
        <f>IF($V207,IF($U207="","",$U207),IF($T207="","",$T207))</f>
        <v/>
      </c>
      <c r="AG207">
        <f>IF($V207,IF($O207="","",$O207),IF($P207="","",$P207))</f>
        <v/>
      </c>
      <c r="AH207" t="n">
        <v>0.1008589944409684</v>
      </c>
      <c r="AI207">
        <f>IF($Y207="worse","Yes",IF($Y207="worse, not significant","Not sure",IF(OR($Y207="too few losses to test",$Y207="too few loans to test"),"Too few losses",IF($Y207="","","No"))))</f>
        <v/>
      </c>
      <c r="AJ207">
        <f>IF($AA207="yes","Yes",IF($AA207="","","No"))</f>
        <v/>
      </c>
    </row>
    <row r="208">
      <c r="A208" t="inlineStr">
        <is>
          <t>grids</t>
        </is>
      </c>
      <c r="B208" t="inlineStr">
        <is>
          <t>FICO x ASSET_CLASS</t>
        </is>
      </c>
      <c r="C208" t="inlineStr">
        <is>
          <t>712 - 745</t>
        </is>
      </c>
      <c r="D208" t="inlineStr">
        <is>
          <t>3</t>
        </is>
      </c>
      <c r="E208" t="inlineStr">
        <is>
          <t>contribution_rate</t>
        </is>
      </c>
      <c r="F208" t="inlineStr">
        <is>
          <t>Contribution before losses per booked dollar</t>
        </is>
      </c>
      <c r="G208" t="n">
        <v>392</v>
      </c>
      <c r="H208" t="n">
        <v>12300354.33999999</v>
      </c>
      <c r="I208" t="b">
        <v>0</v>
      </c>
      <c r="J208" t="b">
        <v>0</v>
      </c>
      <c r="K208" t="n">
        <v>-0.04778407968555887</v>
      </c>
      <c r="L208" t="n">
        <v>0.0001562343765623438</v>
      </c>
      <c r="M208" t="n">
        <v>-0.002776255634458547</v>
      </c>
      <c r="N208" t="n">
        <v>0.9216078392160784</v>
      </c>
      <c r="O208" t="n">
        <v>587761.1119431693</v>
      </c>
      <c r="P208" t="n">
        <v>34148.92804226163</v>
      </c>
      <c r="Q208">
        <f>'_live'!$C$24</f>
        <v/>
      </c>
      <c r="R208" t="inlineStr">
        <is>
          <t>shuffled: 0 of 10,000</t>
        </is>
      </c>
      <c r="S208" t="inlineStr">
        <is>
          <t>shuffled: 5,463 of 10,000</t>
        </is>
      </c>
      <c r="T208" t="n">
        <v>0.1718703456426745</v>
      </c>
      <c r="U208" t="n">
        <v>0.1268625215915742</v>
      </c>
      <c r="V208">
        <f>AND(judged_band,NOT($J208))</f>
        <v/>
      </c>
      <c r="W208">
        <f>IF($K208="","",IF(profit_kind="test",IF(OR(NOT(AND(ISNUMBER($L208),$L208&lt;significance_bar)),$K208=0),"in line",IF($K208&lt;0,"worse","better")),IF(OR($K208=0,IF(profit_kind="points",ABS($K208),ABS($K208*$H208))&lt;profit_line*(1-1E-9)),"in line",IF(AND(ISNUMBER($L208),$L208&lt;significance_bar),IF($K208&lt;0,"worse","better"),IF($K208&lt;0,"worse, not significant","better, not significant")))))</f>
        <v/>
      </c>
      <c r="X208">
        <f>IF($M208="","",IF(profit_kind="test",IF(OR(NOT(AND(ISNUMBER($N208),$N208&lt;significance_bar)),$M208=0),"in line",IF($M208&lt;0,"worse","better")),IF(OR($M208=0,IF(profit_kind="points",ABS($M208),ABS($M208*$H208))&lt;profit_line*(1-1E-9)),"in line",IF(AND(ISNUMBER($N208),$N208&lt;significance_bar),IF($M208&lt;0,"worse","better"),IF($M208&lt;0,"worse, not significant","better, not significant")))))</f>
        <v/>
      </c>
      <c r="Y208">
        <f>IF($V208,$X208,$W208)</f>
        <v/>
      </c>
      <c r="Z208">
        <f>IF($V208,IF($P208="","",$P208),IF($O208="","",$O208))</f>
        <v/>
      </c>
      <c r="AA208">
        <f>IF(OR($Q208="",$Z208=""),"",IF(AND($Z208&gt;0,$Z208&gt;=$Q208),"yes","below the line"))</f>
        <v/>
      </c>
      <c r="AB208">
        <f>IF($V208,IF($M208="","",$M208),IF($K208="","",$K208))</f>
        <v/>
      </c>
      <c r="AC208">
        <f>IF($V208,IF($N208="","",$N208),IF($L208="","",$L208))</f>
        <v/>
      </c>
      <c r="AD208">
        <f>IF($Y208="","",IF($Y208="in line",IF(profit_kind="test",IF(ROUND($AB208*100,2)=0,"0.00",TEXT($AB208*100,"+0.00;-0.00"))&amp;" points against "&amp;IF($V208,"its band","the book")&amp;", "&amp;IF($AC208="","not tested","not significant"),IF(profit_kind="points","within "&amp;TEXT(profit_line*100,"0.00")&amp;" points of "&amp;IF($V208,"its band","the book")&amp;" ("&amp;IF(ROUND($AB208*100,2)=0,"0.00",TEXT($AB208*100,"+0.00;-0.00"))&amp;")","within $"&amp;TEXT(profit_line,"#,##0")&amp;" of "&amp;IF($V208,"its band","the book")&amp;" ("&amp;IF(ROUND($AB208*100,2)=0,"0.00",TEXT($AB208*100,"+0.00;-0.00"))&amp;" points)")),IF(LEFT($Y208,5)="worse","short of ","ahead of ")&amp;IF($V208,"its band","the book")&amp;" by "&amp;TEXT(ABS($AB208)*100,"0.00")&amp;" points"&amp;IF($Z208="",""," ($"&amp;TEXT(ABS($Z208),"#,##0")&amp;")")&amp;IF(RIGHT($Y208,15)="not significant"," (not significant)","")))</f>
        <v/>
      </c>
      <c r="AE208">
        <f>IF($V208,IF($S208="","",$S208),IF($R208="","",$R208))</f>
        <v/>
      </c>
      <c r="AF208">
        <f>IF($V208,IF($U208="","",$U208),IF($T208="","",$T208))</f>
        <v/>
      </c>
      <c r="AG208">
        <f>IF($V208,IF($O208="","",$O208),IF($P208="","",$P208))</f>
        <v/>
      </c>
      <c r="AH208" t="n">
        <v>0.1240862659571156</v>
      </c>
      <c r="AI208">
        <f>IF($Y208="worse","Yes",IF($Y208="worse, not significant","Not sure",IF(OR($Y208="too few losses to test",$Y208="too few loans to test"),"Too few losses",IF($Y208="","","No"))))</f>
        <v/>
      </c>
      <c r="AJ208">
        <f>IF($AA208="yes","Yes",IF($AA208="","","No"))</f>
        <v/>
      </c>
    </row>
    <row r="209">
      <c r="A209" t="inlineStr">
        <is>
          <t>grids</t>
        </is>
      </c>
      <c r="B209" t="inlineStr">
        <is>
          <t>FICO x ASSET_CLASS</t>
        </is>
      </c>
      <c r="C209" t="inlineStr">
        <is>
          <t>686 - 711</t>
        </is>
      </c>
      <c r="D209" t="inlineStr">
        <is>
          <t>3</t>
        </is>
      </c>
      <c r="E209" t="inlineStr">
        <is>
          <t>outcome_loans</t>
        </is>
      </c>
      <c r="F209" t="inlineStr">
        <is>
          <t>Outcome, share of loans</t>
        </is>
      </c>
      <c r="G209" t="n">
        <v>388</v>
      </c>
      <c r="H209" t="n">
        <v>388</v>
      </c>
      <c r="I209" t="b">
        <v>0</v>
      </c>
      <c r="J209" t="b">
        <v>0</v>
      </c>
      <c r="K209" t="n">
        <v>0.8946477082752857</v>
      </c>
      <c r="L209" t="n">
        <v>0.6946107787813754</v>
      </c>
      <c r="M209" t="n">
        <v>1.183998207082026</v>
      </c>
      <c r="N209" t="n">
        <v>0.7367430686845797</v>
      </c>
      <c r="O209" t="n">
        <v>-3.179477072657992</v>
      </c>
      <c r="P209" t="n">
        <v>4.195911413969338</v>
      </c>
      <c r="Q209">
        <f>'_live'!$C$20</f>
        <v/>
      </c>
      <c r="R209" t="inlineStr">
        <is>
          <t>z test</t>
        </is>
      </c>
      <c r="S209" t="inlineStr">
        <is>
          <t>z test</t>
        </is>
      </c>
      <c r="T209" t="n">
        <v>0.07778215740375771</v>
      </c>
      <c r="U209" t="n">
        <v>0.05877342419080068</v>
      </c>
      <c r="V209">
        <f>AND(judged_band,NOT($J209))</f>
        <v/>
      </c>
      <c r="W209">
        <f>IF($K209="","",IF($I209,"too few losses to test",IF(AND($K209&gt;better_at,$K209&lt;worse_at),"in line",IF($K209&gt;=worse_at,IF(AND(ISNUMBER($L209),$L209&lt;significance_bar),"worse","worse, not significant"),IF(AND(ISNUMBER($L209),$L209&lt;significance_bar),"better","better, not significant")))))</f>
        <v/>
      </c>
      <c r="X209">
        <f>IF($M209="","",IF($I209,"too few losses to test",IF(AND($M209&gt;better_at,$M209&lt;worse_at),"in line",IF($M209&gt;=worse_at,IF(AND(ISNUMBER($N209),$N209&lt;significance_bar),"worse","worse, not significant"),IF(AND(ISNUMBER($N209),$N209&lt;significance_bar),"better","better, not significant")))))</f>
        <v/>
      </c>
      <c r="Y209">
        <f>IF($V209,$X209,$W209)</f>
        <v/>
      </c>
      <c r="Z209">
        <f>IF($V209,IF($P209="","",$P209),IF($O209="","",$O209))</f>
        <v/>
      </c>
      <c r="AA209">
        <f>IF(OR($Q209="",$Z209=""),"",IF(AND($Z209&gt;0,$Z209&gt;=$Q209),"yes","below the line"))</f>
        <v/>
      </c>
      <c r="AB209">
        <f>IF($V209,IF($M209="","",$M209),IF($K209="","",$K209))</f>
        <v/>
      </c>
      <c r="AC209">
        <f>IF($V209,IF($N209="","",$N209),IF($L209="","",$L209))</f>
        <v/>
      </c>
      <c r="AD209">
        <f>$Y209</f>
        <v/>
      </c>
      <c r="AE209">
        <f>IF($V209,IF($S209="","",$S209),IF($R209="","",$R209))</f>
        <v/>
      </c>
      <c r="AF209">
        <f>IF($V209,IF($U209="","",$U209),IF($T209="","",$T209))</f>
        <v/>
      </c>
      <c r="AG209">
        <f>IF($V209,IF($O209="","",$O209),IF($P209="","",$P209))</f>
        <v/>
      </c>
      <c r="AH209" t="n">
        <v>0.06958762886597938</v>
      </c>
      <c r="AI209">
        <f>IF($Y209="worse","Yes",IF($Y209="worse, not significant","Not sure",IF(OR($Y209="too few losses to test",$Y209="too few loans to test"),"Too few losses",IF($Y209="","","No"))))</f>
        <v/>
      </c>
      <c r="AJ209">
        <f>IF($AA209="yes","Yes",IF($AA209="","","No"))</f>
        <v/>
      </c>
    </row>
    <row r="210">
      <c r="A210" t="inlineStr">
        <is>
          <t>grids</t>
        </is>
      </c>
      <c r="B210" t="inlineStr">
        <is>
          <t>FICO x ASSET_CLASS</t>
        </is>
      </c>
      <c r="C210" t="inlineStr">
        <is>
          <t>686 - 711</t>
        </is>
      </c>
      <c r="D210" t="inlineStr">
        <is>
          <t>3</t>
        </is>
      </c>
      <c r="E210" t="inlineStr">
        <is>
          <t>outcome_booked</t>
        </is>
      </c>
      <c r="F210" t="inlineStr">
        <is>
          <t>Outcome, share of booked dollars</t>
        </is>
      </c>
      <c r="G210" t="n">
        <v>388</v>
      </c>
      <c r="H210" t="n">
        <v>12791047.54</v>
      </c>
      <c r="I210" t="b">
        <v>0</v>
      </c>
      <c r="J210" t="b">
        <v>0</v>
      </c>
      <c r="K210" t="n">
        <v>0.8526940233555058</v>
      </c>
      <c r="L210" t="n">
        <v>0.4835305943089901</v>
      </c>
      <c r="M210" t="n">
        <v>1.181934324020646</v>
      </c>
      <c r="N210" t="n">
        <v>0.7232133929464197</v>
      </c>
      <c r="O210" t="n">
        <v>-142029.5139727998</v>
      </c>
      <c r="P210" t="n">
        <v>126553.0885135385</v>
      </c>
      <c r="Q210">
        <f>'_live'!$C$21</f>
        <v/>
      </c>
      <c r="R210" t="inlineStr">
        <is>
          <t>shuffled: 4,581 of 10,000</t>
        </is>
      </c>
      <c r="S210" t="inlineStr">
        <is>
          <t>shuffled: 5,062 of 10,000</t>
        </is>
      </c>
      <c r="T210" t="n">
        <v>0.0753793034509197</v>
      </c>
      <c r="U210" t="n">
        <v>0.05438160160934417</v>
      </c>
      <c r="V210">
        <f>AND(judged_band,NOT($J210))</f>
        <v/>
      </c>
      <c r="W210">
        <f>IF($K210="","",IF($I210,"too few losses to test",IF(AND($K210&gt;better_at,$K210&lt;worse_at),"in line",IF($K210&gt;=worse_at,IF(AND(ISNUMBER($L210),$L210&lt;significance_bar),"worse","worse, not significant"),IF(AND(ISNUMBER($L210),$L210&lt;significance_bar),"better","better, not significant")))))</f>
        <v/>
      </c>
      <c r="X210">
        <f>IF($M210="","",IF($I210,"too few losses to test",IF(AND($M210&gt;better_at,$M210&lt;worse_at),"in line",IF($M210&gt;=worse_at,IF(AND(ISNUMBER($N210),$N210&lt;significance_bar),"worse","worse, not significant"),IF(AND(ISNUMBER($N210),$N210&lt;significance_bar),"better","better, not significant")))))</f>
        <v/>
      </c>
      <c r="Y210">
        <f>IF($V210,$X210,$W210)</f>
        <v/>
      </c>
      <c r="Z210">
        <f>IF($V210,IF($P210="","",$P210),IF($O210="","",$O210))</f>
        <v/>
      </c>
      <c r="AA210">
        <f>IF(OR($Q210="",$Z210=""),"",IF(AND($Z210&gt;0,$Z210&gt;=$Q210),"yes","below the line"))</f>
        <v/>
      </c>
      <c r="AB210">
        <f>IF($V210,IF($M210="","",$M210),IF($K210="","",$K210))</f>
        <v/>
      </c>
      <c r="AC210">
        <f>IF($V210,IF($N210="","",$N210),IF($L210="","",$L210))</f>
        <v/>
      </c>
      <c r="AD210">
        <f>$Y210</f>
        <v/>
      </c>
      <c r="AE210">
        <f>IF($V210,IF($S210="","",$S210),IF($R210="","",$R210))</f>
        <v/>
      </c>
      <c r="AF210">
        <f>IF($V210,IF($U210="","",$U210),IF($T210="","",$T210))</f>
        <v/>
      </c>
      <c r="AG210">
        <f>IF($V210,IF($O210="","",$O210),IF($P210="","",$P210))</f>
        <v/>
      </c>
      <c r="AH210" t="n">
        <v>0.06427548153730028</v>
      </c>
      <c r="AI210">
        <f>IF($Y210="worse","Yes",IF($Y210="worse, not significant","Not sure",IF(OR($Y210="too few losses to test",$Y210="too few loans to test"),"Too few losses",IF($Y210="","","No"))))</f>
        <v/>
      </c>
      <c r="AJ210">
        <f>IF($AA210="yes","Yes",IF($AA210="","","No"))</f>
        <v/>
      </c>
    </row>
    <row r="211">
      <c r="A211" t="inlineStr">
        <is>
          <t>grids</t>
        </is>
      </c>
      <c r="B211" t="inlineStr">
        <is>
          <t>FICO x ASSET_CLASS</t>
        </is>
      </c>
      <c r="C211" t="inlineStr">
        <is>
          <t>686 - 711</t>
        </is>
      </c>
      <c r="D211" t="inlineStr">
        <is>
          <t>3</t>
        </is>
      </c>
      <c r="E211" t="inlineStr">
        <is>
          <t>gco_rate</t>
        </is>
      </c>
      <c r="F211" t="inlineStr">
        <is>
          <t>GCO per booked dollar</t>
        </is>
      </c>
      <c r="G211" t="n">
        <v>388</v>
      </c>
      <c r="H211" t="n">
        <v>12791047.54</v>
      </c>
      <c r="I211" t="b">
        <v>0</v>
      </c>
      <c r="J211" t="b">
        <v>0</v>
      </c>
      <c r="K211" t="n">
        <v>0.8189203776734926</v>
      </c>
      <c r="L211" t="n">
        <v>0.45171953392896</v>
      </c>
      <c r="M211" t="n">
        <v>1.125136212823914</v>
      </c>
      <c r="N211" t="n">
        <v>0.7759224077592241</v>
      </c>
      <c r="O211" t="n">
        <v>-97238.90083368402</v>
      </c>
      <c r="P211" t="n">
        <v>48909.1419152501</v>
      </c>
      <c r="Q211">
        <f>'_live'!$C$22</f>
        <v/>
      </c>
      <c r="R211" t="inlineStr">
        <is>
          <t>shuffled: 3,803 of 10,000</t>
        </is>
      </c>
      <c r="S211" t="inlineStr">
        <is>
          <t>shuffled: 6,595 of 10,000</t>
        </is>
      </c>
      <c r="T211" t="n">
        <v>0.04198211828659063</v>
      </c>
      <c r="U211" t="n">
        <v>0.03055631111232269</v>
      </c>
      <c r="V211">
        <f>AND(judged_band,NOT($J211))</f>
        <v/>
      </c>
      <c r="W211">
        <f>IF($K211="","",IF($I211,"too few losses to test",IF(AND($K211&gt;better_at,$K211&lt;worse_at),"in line",IF($K211&gt;=worse_at,IF(AND(ISNUMBER($L211),$L211&lt;significance_bar),"worse","worse, not significant"),IF(AND(ISNUMBER($L211),$L211&lt;significance_bar),"better","better, not significant")))))</f>
        <v/>
      </c>
      <c r="X211">
        <f>IF($M211="","",IF($I211,"too few losses to test",IF(AND($M211&gt;better_at,$M211&lt;worse_at),"in line",IF($M211&gt;=worse_at,IF(AND(ISNUMBER($N211),$N211&lt;significance_bar),"worse","worse, not significant"),IF(AND(ISNUMBER($N211),$N211&lt;significance_bar),"better","better, not significant")))))</f>
        <v/>
      </c>
      <c r="Y211">
        <f>IF($V211,$X211,$W211)</f>
        <v/>
      </c>
      <c r="Z211">
        <f>IF($V211,IF($P211="","",$P211),IF($O211="","",$O211))</f>
        <v/>
      </c>
      <c r="AA211">
        <f>IF(OR($Q211="",$Z211=""),"",IF(AND($Z211&gt;0,$Z211&gt;=$Q211),"yes","below the line"))</f>
        <v/>
      </c>
      <c r="AB211">
        <f>IF($V211,IF($M211="","",$M211),IF($K211="","",$K211))</f>
        <v/>
      </c>
      <c r="AC211">
        <f>IF($V211,IF($N211="","",$N211),IF($L211="","",$L211))</f>
        <v/>
      </c>
      <c r="AD211">
        <f>$Y211</f>
        <v/>
      </c>
      <c r="AE211">
        <f>IF($V211,IF($S211="","",$S211),IF($R211="","",$R211))</f>
        <v/>
      </c>
      <c r="AF211">
        <f>IF($V211,IF($U211="","",$U211),IF($T211="","",$T211))</f>
        <v/>
      </c>
      <c r="AG211">
        <f>IF($V211,IF($O211="","",$O211),IF($P211="","",$P211))</f>
        <v/>
      </c>
      <c r="AH211" t="n">
        <v>0.03438001216278803</v>
      </c>
      <c r="AI211">
        <f>IF($Y211="worse","Yes",IF($Y211="worse, not significant","Not sure",IF(OR($Y211="too few losses to test",$Y211="too few loans to test"),"Too few losses",IF($Y211="","","No"))))</f>
        <v/>
      </c>
      <c r="AJ211">
        <f>IF($AA211="yes","Yes",IF($AA211="","","No"))</f>
        <v/>
      </c>
    </row>
    <row r="212">
      <c r="A212" t="inlineStr">
        <is>
          <t>grids</t>
        </is>
      </c>
      <c r="B212" t="inlineStr">
        <is>
          <t>FICO x ASSET_CLASS</t>
        </is>
      </c>
      <c r="C212" t="inlineStr">
        <is>
          <t>686 - 711</t>
        </is>
      </c>
      <c r="D212" t="inlineStr">
        <is>
          <t>3</t>
        </is>
      </c>
      <c r="E212" t="inlineStr">
        <is>
          <t>ranr_rate</t>
        </is>
      </c>
      <c r="F212" t="inlineStr">
        <is>
          <t>Profit after losses: RANR per booked dollar</t>
        </is>
      </c>
      <c r="G212" t="n">
        <v>388</v>
      </c>
      <c r="H212" t="n">
        <v>12791047.54</v>
      </c>
      <c r="I212" t="b">
        <v>0</v>
      </c>
      <c r="J212" t="b">
        <v>0</v>
      </c>
      <c r="K212" t="n">
        <v>0.004573024858384206</v>
      </c>
      <c r="L212" t="n">
        <v>0.6980551944805519</v>
      </c>
      <c r="M212" t="n">
        <v>-0.01278821355740056</v>
      </c>
      <c r="N212" t="n">
        <v>0.5401859814018598</v>
      </c>
      <c r="O212" t="n">
        <v>-58493.77836519387</v>
      </c>
      <c r="P212" t="n">
        <v>163574.6475643832</v>
      </c>
      <c r="Q212">
        <f>'_live'!$C$23</f>
        <v/>
      </c>
      <c r="R212" t="inlineStr">
        <is>
          <t>shuffled: 6,701 of 10,000</t>
        </is>
      </c>
      <c r="S212" t="inlineStr">
        <is>
          <t>shuffled: 2,250 of 10,000</t>
        </is>
      </c>
      <c r="T212" t="n">
        <v>0.1277633897086435</v>
      </c>
      <c r="U212" t="n">
        <v>0.1451246281244283</v>
      </c>
      <c r="V212">
        <f>AND(judged_band,NOT($J212))</f>
        <v/>
      </c>
      <c r="W212">
        <f>IF($K212="","",IF(profit_kind="test",IF(OR(NOT(AND(ISNUMBER($L212),$L212&lt;significance_bar)),$K212=0),"in line",IF($K212&lt;0,"worse","better")),IF(OR($K212=0,IF(profit_kind="points",ABS($K212),ABS($K212*$H212))&lt;profit_line*(1-1E-9)),"in line",IF(AND(ISNUMBER($L212),$L212&lt;significance_bar),IF($K212&lt;0,"worse","better"),IF($K212&lt;0,"worse, not significant","better, not significant")))))</f>
        <v/>
      </c>
      <c r="X212">
        <f>IF($M212="","",IF(profit_kind="test",IF(OR(NOT(AND(ISNUMBER($N212),$N212&lt;significance_bar)),$M212=0),"in line",IF($M212&lt;0,"worse","better")),IF(OR($M212=0,IF(profit_kind="points",ABS($M212),ABS($M212*$H212))&lt;profit_line*(1-1E-9)),"in line",IF(AND(ISNUMBER($N212),$N212&lt;significance_bar),IF($M212&lt;0,"worse","better"),IF($M212&lt;0,"worse, not significant","better, not significant")))))</f>
        <v/>
      </c>
      <c r="Y212">
        <f>IF($V212,$X212,$W212)</f>
        <v/>
      </c>
      <c r="Z212">
        <f>IF($V212,IF($P212="","",$P212),IF($O212="","",$O212))</f>
        <v/>
      </c>
      <c r="AA212">
        <f>IF(OR($Q212="",$Z212=""),"",IF(AND($Z212&gt;0,$Z212&gt;=$Q212),"yes","below the line"))</f>
        <v/>
      </c>
      <c r="AB212">
        <f>IF($V212,IF($M212="","",$M212),IF($K212="","",$K212))</f>
        <v/>
      </c>
      <c r="AC212">
        <f>IF($V212,IF($N212="","",$N212),IF($L212="","",$L212))</f>
        <v/>
      </c>
      <c r="AD212">
        <f>IF($Y212="","",IF($Y212="in line",IF(profit_kind="test",IF(ROUND($AB212*100,2)=0,"0.00",TEXT($AB212*100,"+0.00;-0.00"))&amp;" points against "&amp;IF($V212,"its band","the book")&amp;", "&amp;IF($AC212="","not tested","not significant"),IF(profit_kind="points","within "&amp;TEXT(profit_line*100,"0.00")&amp;" points of "&amp;IF($V212,"its band","the book")&amp;" ("&amp;IF(ROUND($AB212*100,2)=0,"0.00",TEXT($AB212*100,"+0.00;-0.00"))&amp;")","within $"&amp;TEXT(profit_line,"#,##0")&amp;" of "&amp;IF($V212,"its band","the book")&amp;" ("&amp;IF(ROUND($AB212*100,2)=0,"0.00",TEXT($AB212*100,"+0.00;-0.00"))&amp;" points)")),IF(LEFT($Y212,5)="worse","short of ","ahead of ")&amp;IF($V212,"its band","the book")&amp;" by "&amp;TEXT(ABS($AB212)*100,"0.00")&amp;" points"&amp;IF($Z212="",""," ($"&amp;TEXT(ABS($Z212),"#,##0")&amp;")")&amp;IF(RIGHT($Y212,15)="not significant"," (not significant)","")))</f>
        <v/>
      </c>
      <c r="AE212">
        <f>IF($V212,IF($S212="","",$S212),IF($R212="","",$R212))</f>
        <v/>
      </c>
      <c r="AF212">
        <f>IF($V212,IF($U212="","",$U212),IF($T212="","",$T212))</f>
        <v/>
      </c>
      <c r="AG212">
        <f>IF($V212,IF($O212="","",$O212),IF($P212="","",$P212))</f>
        <v/>
      </c>
      <c r="AH212" t="n">
        <v>0.1323364145670277</v>
      </c>
      <c r="AI212">
        <f>IF($Y212="worse","Yes",IF($Y212="worse, not significant","Not sure",IF(OR($Y212="too few losses to test",$Y212="too few loans to test"),"Too few losses",IF($Y212="","","No"))))</f>
        <v/>
      </c>
      <c r="AJ212">
        <f>IF($AA212="yes","Yes",IF($AA212="","","No"))</f>
        <v/>
      </c>
    </row>
    <row r="213">
      <c r="A213" t="inlineStr">
        <is>
          <t>grids</t>
        </is>
      </c>
      <c r="B213" t="inlineStr">
        <is>
          <t>FICO x ASSET_CLASS</t>
        </is>
      </c>
      <c r="C213" t="inlineStr">
        <is>
          <t>686 - 711</t>
        </is>
      </c>
      <c r="D213" t="inlineStr">
        <is>
          <t>3</t>
        </is>
      </c>
      <c r="E213" t="inlineStr">
        <is>
          <t>contribution_rate</t>
        </is>
      </c>
      <c r="F213" t="inlineStr">
        <is>
          <t>Contribution before losses per booked dollar</t>
        </is>
      </c>
      <c r="G213" t="n">
        <v>388</v>
      </c>
      <c r="H213" t="n">
        <v>12791047.54</v>
      </c>
      <c r="I213" t="b">
        <v>0</v>
      </c>
      <c r="J213" t="b">
        <v>0</v>
      </c>
      <c r="K213" t="n">
        <v>-0.003026036208880395</v>
      </c>
      <c r="L213" t="n">
        <v>0.7509476325094763</v>
      </c>
      <c r="M213" t="n">
        <v>-0.008964512506935335</v>
      </c>
      <c r="N213" t="n">
        <v>0.6196180381961804</v>
      </c>
      <c r="O213" t="n">
        <v>38706.17300555063</v>
      </c>
      <c r="P213" t="n">
        <v>114665.5056491345</v>
      </c>
      <c r="Q213">
        <f>'_live'!$C$24</f>
        <v/>
      </c>
      <c r="R213" t="inlineStr">
        <is>
          <t>shuffled: 6,602 of 10,000</t>
        </is>
      </c>
      <c r="S213" t="inlineStr">
        <is>
          <t>shuffled: 1,290 of 10,000</t>
        </is>
      </c>
      <c r="T213" t="n">
        <v>0.169742462938696</v>
      </c>
      <c r="U213" t="n">
        <v>0.175680939236751</v>
      </c>
      <c r="V213">
        <f>AND(judged_band,NOT($J213))</f>
        <v/>
      </c>
      <c r="W213">
        <f>IF($K213="","",IF(profit_kind="test",IF(OR(NOT(AND(ISNUMBER($L213),$L213&lt;significance_bar)),$K213=0),"in line",IF($K213&lt;0,"worse","better")),IF(OR($K213=0,IF(profit_kind="points",ABS($K213),ABS($K213*$H213))&lt;profit_line*(1-1E-9)),"in line",IF(AND(ISNUMBER($L213),$L213&lt;significance_bar),IF($K213&lt;0,"worse","better"),IF($K213&lt;0,"worse, not significant","better, not significant")))))</f>
        <v/>
      </c>
      <c r="X213">
        <f>IF($M213="","",IF(profit_kind="test",IF(OR(NOT(AND(ISNUMBER($N213),$N213&lt;significance_bar)),$M213=0),"in line",IF($M213&lt;0,"worse","better")),IF(OR($M213=0,IF(profit_kind="points",ABS($M213),ABS($M213*$H213))&lt;profit_line*(1-1E-9)),"in line",IF(AND(ISNUMBER($N213),$N213&lt;significance_bar),IF($M213&lt;0,"worse","better"),IF($M213&lt;0,"worse, not significant","better, not significant")))))</f>
        <v/>
      </c>
      <c r="Y213">
        <f>IF($V213,$X213,$W213)</f>
        <v/>
      </c>
      <c r="Z213">
        <f>IF($V213,IF($P213="","",$P213),IF($O213="","",$O213))</f>
        <v/>
      </c>
      <c r="AA213">
        <f>IF(OR($Q213="",$Z213=""),"",IF(AND($Z213&gt;0,$Z213&gt;=$Q213),"yes","below the line"))</f>
        <v/>
      </c>
      <c r="AB213">
        <f>IF($V213,IF($M213="","",$M213),IF($K213="","",$K213))</f>
        <v/>
      </c>
      <c r="AC213">
        <f>IF($V213,IF($N213="","",$N213),IF($L213="","",$L213))</f>
        <v/>
      </c>
      <c r="AD213">
        <f>IF($Y213="","",IF($Y213="in line",IF(profit_kind="test",IF(ROUND($AB213*100,2)=0,"0.00",TEXT($AB213*100,"+0.00;-0.00"))&amp;" points against "&amp;IF($V213,"its band","the book")&amp;", "&amp;IF($AC213="","not tested","not significant"),IF(profit_kind="points","within "&amp;TEXT(profit_line*100,"0.00")&amp;" points of "&amp;IF($V213,"its band","the book")&amp;" ("&amp;IF(ROUND($AB213*100,2)=0,"0.00",TEXT($AB213*100,"+0.00;-0.00"))&amp;")","within $"&amp;TEXT(profit_line,"#,##0")&amp;" of "&amp;IF($V213,"its band","the book")&amp;" ("&amp;IF(ROUND($AB213*100,2)=0,"0.00",TEXT($AB213*100,"+0.00;-0.00"))&amp;" points)")),IF(LEFT($Y213,5)="worse","short of ","ahead of ")&amp;IF($V213,"its band","the book")&amp;" by "&amp;TEXT(ABS($AB213)*100,"0.00")&amp;" points"&amp;IF($Z213="",""," ($"&amp;TEXT(ABS($Z213),"#,##0")&amp;")")&amp;IF(RIGHT($Y213,15)="not significant"," (not significant)","")))</f>
        <v/>
      </c>
      <c r="AE213">
        <f>IF($V213,IF($S213="","",$S213),IF($R213="","",$R213))</f>
        <v/>
      </c>
      <c r="AF213">
        <f>IF($V213,IF($U213="","",$U213),IF($T213="","",$T213))</f>
        <v/>
      </c>
      <c r="AG213">
        <f>IF($V213,IF($O213="","",$O213),IF($P213="","",$P213))</f>
        <v/>
      </c>
      <c r="AH213" t="n">
        <v>0.1667164267298157</v>
      </c>
      <c r="AI213">
        <f>IF($Y213="worse","Yes",IF($Y213="worse, not significant","Not sure",IF(OR($Y213="too few losses to test",$Y213="too few loans to test"),"Too few losses",IF($Y213="","","No"))))</f>
        <v/>
      </c>
      <c r="AJ213">
        <f>IF($AA213="yes","Yes",IF($AA213="","","No"))</f>
        <v/>
      </c>
    </row>
    <row r="214">
      <c r="A214" t="inlineStr">
        <is>
          <t>grids</t>
        </is>
      </c>
      <c r="B214" t="inlineStr">
        <is>
          <t>FICO x ASSET_CLASS</t>
        </is>
      </c>
      <c r="C214" t="inlineStr">
        <is>
          <t>(marked missing)</t>
        </is>
      </c>
      <c r="D214" t="inlineStr">
        <is>
          <t>4</t>
        </is>
      </c>
      <c r="E214" t="inlineStr">
        <is>
          <t>outcome_loans</t>
        </is>
      </c>
      <c r="F214" t="inlineStr">
        <is>
          <t>Outcome, share of loans</t>
        </is>
      </c>
      <c r="G214" t="n">
        <v>39</v>
      </c>
      <c r="H214" t="n">
        <v>39</v>
      </c>
      <c r="I214" t="b">
        <v>1</v>
      </c>
      <c r="J214" t="b">
        <v>0</v>
      </c>
      <c r="K214" t="n">
        <v>0.6615966421476956</v>
      </c>
      <c r="M214" t="n">
        <v>0.7756410256410255</v>
      </c>
      <c r="O214" t="n">
        <v>-1.022989949748744</v>
      </c>
      <c r="P214" t="n">
        <v>-0.5785123966942152</v>
      </c>
      <c r="Q214">
        <f>'_live'!$C$20</f>
        <v/>
      </c>
      <c r="T214" t="n">
        <v>0.07751256281407035</v>
      </c>
      <c r="U214" t="n">
        <v>0.06611570247933884</v>
      </c>
      <c r="V214">
        <f>AND(judged_band,NOT($J214))</f>
        <v/>
      </c>
      <c r="W214">
        <f>IF($K214="","",IF($I214,"too few losses to test",IF(AND($K214&gt;better_at,$K214&lt;worse_at),"in line",IF($K214&gt;=worse_at,IF(AND(ISNUMBER($L214),$L214&lt;significance_bar),"worse","worse, not significant"),IF(AND(ISNUMBER($L214),$L214&lt;significance_bar),"better","better, not significant")))))</f>
        <v/>
      </c>
      <c r="X214">
        <f>IF($M214="","",IF($I214,"too few losses to test",IF(AND($M214&gt;better_at,$M214&lt;worse_at),"in line",IF($M214&gt;=worse_at,IF(AND(ISNUMBER($N214),$N214&lt;significance_bar),"worse","worse, not significant"),IF(AND(ISNUMBER($N214),$N214&lt;significance_bar),"better","better, not significant")))))</f>
        <v/>
      </c>
      <c r="Y214">
        <f>IF($V214,$X214,$W214)</f>
        <v/>
      </c>
      <c r="Z214">
        <f>IF($V214,IF($P214="","",$P214),IF($O214="","",$O214))</f>
        <v/>
      </c>
      <c r="AA214">
        <f>IF(OR($Q214="",$Z214=""),"",IF(AND($Z214&gt;0,$Z214&gt;=$Q214),"yes","below the line"))</f>
        <v/>
      </c>
      <c r="AB214">
        <f>IF($V214,IF($M214="","",$M214),IF($K214="","",$K214))</f>
        <v/>
      </c>
      <c r="AC214">
        <f>IF($V214,IF($N214="","",$N214),IF($L214="","",$L214))</f>
        <v/>
      </c>
      <c r="AD214">
        <f>$Y214</f>
        <v/>
      </c>
      <c r="AE214">
        <f>IF($V214,IF($S214="","",$S214),IF($R214="","",$R214))</f>
        <v/>
      </c>
      <c r="AF214">
        <f>IF($V214,IF($U214="","",$U214),IF($T214="","",$T214))</f>
        <v/>
      </c>
      <c r="AG214">
        <f>IF($V214,IF($O214="","",$O214),IF($P214="","",$P214))</f>
        <v/>
      </c>
      <c r="AH214" t="n">
        <v>0.05128205128205128</v>
      </c>
      <c r="AI214">
        <f>IF($Y214="worse","Yes",IF($Y214="worse, not significant","Not sure",IF(OR($Y214="too few losses to test",$Y214="too few loans to test"),"Too few losses",IF($Y214="","","No"))))</f>
        <v/>
      </c>
      <c r="AJ214">
        <f>IF($AA214="yes","Yes",IF($AA214="","","No"))</f>
        <v/>
      </c>
    </row>
    <row r="215">
      <c r="A215" t="inlineStr">
        <is>
          <t>grids</t>
        </is>
      </c>
      <c r="B215" t="inlineStr">
        <is>
          <t>FICO x ASSET_CLASS</t>
        </is>
      </c>
      <c r="C215" t="inlineStr">
        <is>
          <t>(marked missing)</t>
        </is>
      </c>
      <c r="D215" t="inlineStr">
        <is>
          <t>4</t>
        </is>
      </c>
      <c r="E215" t="inlineStr">
        <is>
          <t>outcome_booked</t>
        </is>
      </c>
      <c r="F215" t="inlineStr">
        <is>
          <t>Outcome, share of booked dollars</t>
        </is>
      </c>
      <c r="G215" t="n">
        <v>39</v>
      </c>
      <c r="H215" t="n">
        <v>1213027.95</v>
      </c>
      <c r="I215" t="b">
        <v>1</v>
      </c>
      <c r="J215" t="b">
        <v>0</v>
      </c>
      <c r="K215" t="n">
        <v>0.6574063185108084</v>
      </c>
      <c r="M215" t="n">
        <v>1.030447925431155</v>
      </c>
      <c r="O215" t="n">
        <v>-31147.22481393857</v>
      </c>
      <c r="P215" t="n">
        <v>1766.060351312648</v>
      </c>
      <c r="Q215">
        <f>'_live'!$C$21</f>
        <v/>
      </c>
      <c r="T215" t="n">
        <v>0.07494957953272105</v>
      </c>
      <c r="U215" t="n">
        <v>0.04781641647143197</v>
      </c>
      <c r="V215">
        <f>AND(judged_band,NOT($J215))</f>
        <v/>
      </c>
      <c r="W215">
        <f>IF($K215="","",IF($I215,"too few losses to test",IF(AND($K215&gt;better_at,$K215&lt;worse_at),"in line",IF($K215&gt;=worse_at,IF(AND(ISNUMBER($L215),$L215&lt;significance_bar),"worse","worse, not significant"),IF(AND(ISNUMBER($L215),$L215&lt;significance_bar),"better","better, not significant")))))</f>
        <v/>
      </c>
      <c r="X215">
        <f>IF($M215="","",IF($I215,"too few losses to test",IF(AND($M215&gt;better_at,$M215&lt;worse_at),"in line",IF($M215&gt;=worse_at,IF(AND(ISNUMBER($N215),$N215&lt;significance_bar),"worse","worse, not significant"),IF(AND(ISNUMBER($N215),$N215&lt;significance_bar),"better","better, not significant")))))</f>
        <v/>
      </c>
      <c r="Y215">
        <f>IF($V215,$X215,$W215)</f>
        <v/>
      </c>
      <c r="Z215">
        <f>IF($V215,IF($P215="","",$P215),IF($O215="","",$O215))</f>
        <v/>
      </c>
      <c r="AA215">
        <f>IF(OR($Q215="",$Z215=""),"",IF(AND($Z215&gt;0,$Z215&gt;=$Q215),"yes","below the line"))</f>
        <v/>
      </c>
      <c r="AB215">
        <f>IF($V215,IF($M215="","",$M215),IF($K215="","",$K215))</f>
        <v/>
      </c>
      <c r="AC215">
        <f>IF($V215,IF($N215="","",$N215),IF($L215="","",$L215))</f>
        <v/>
      </c>
      <c r="AD215">
        <f>$Y215</f>
        <v/>
      </c>
      <c r="AE215">
        <f>IF($V215,IF($S215="","",$S215),IF($R215="","",$R215))</f>
        <v/>
      </c>
      <c r="AF215">
        <f>IF($V215,IF($U215="","",$U215),IF($T215="","",$T215))</f>
        <v/>
      </c>
      <c r="AG215">
        <f>IF($V215,IF($O215="","",$O215),IF($P215="","",$P215))</f>
        <v/>
      </c>
      <c r="AH215" t="n">
        <v>0.04927232715453918</v>
      </c>
      <c r="AI215">
        <f>IF($Y215="worse","Yes",IF($Y215="worse, not significant","Not sure",IF(OR($Y215="too few losses to test",$Y215="too few loans to test"),"Too few losses",IF($Y215="","","No"))))</f>
        <v/>
      </c>
      <c r="AJ215">
        <f>IF($AA215="yes","Yes",IF($AA215="","","No"))</f>
        <v/>
      </c>
    </row>
    <row r="216">
      <c r="A216" t="inlineStr">
        <is>
          <t>grids</t>
        </is>
      </c>
      <c r="B216" t="inlineStr">
        <is>
          <t>FICO x ASSET_CLASS</t>
        </is>
      </c>
      <c r="C216" t="inlineStr">
        <is>
          <t>(marked missing)</t>
        </is>
      </c>
      <c r="D216" t="inlineStr">
        <is>
          <t>4</t>
        </is>
      </c>
      <c r="E216" t="inlineStr">
        <is>
          <t>gco_rate</t>
        </is>
      </c>
      <c r="F216" t="inlineStr">
        <is>
          <t>GCO per booked dollar</t>
        </is>
      </c>
      <c r="G216" t="n">
        <v>39</v>
      </c>
      <c r="H216" t="n">
        <v>1213027.95</v>
      </c>
      <c r="I216" t="b">
        <v>1</v>
      </c>
      <c r="J216" t="b">
        <v>0</v>
      </c>
      <c r="K216" t="n">
        <v>0.5142517649285721</v>
      </c>
      <c r="M216" t="n">
        <v>0.8024406338294061</v>
      </c>
      <c r="O216" t="n">
        <v>-24571.02139639813</v>
      </c>
      <c r="P216" t="n">
        <v>-6404.312002711478</v>
      </c>
      <c r="Q216">
        <f>'_live'!$C$22</f>
        <v/>
      </c>
      <c r="T216" t="n">
        <v>0.04170049123468105</v>
      </c>
      <c r="U216" t="n">
        <v>0.02672415916114009</v>
      </c>
      <c r="V216">
        <f>AND(judged_band,NOT($J216))</f>
        <v/>
      </c>
      <c r="W216">
        <f>IF($K216="","",IF($I216,"too few losses to test",IF(AND($K216&gt;better_at,$K216&lt;worse_at),"in line",IF($K216&gt;=worse_at,IF(AND(ISNUMBER($L216),$L216&lt;significance_bar),"worse","worse, not significant"),IF(AND(ISNUMBER($L216),$L216&lt;significance_bar),"better","better, not significant")))))</f>
        <v/>
      </c>
      <c r="X216">
        <f>IF($M216="","",IF($I216,"too few losses to test",IF(AND($M216&gt;better_at,$M216&lt;worse_at),"in line",IF($M216&gt;=worse_at,IF(AND(ISNUMBER($N216),$N216&lt;significance_bar),"worse","worse, not significant"),IF(AND(ISNUMBER($N216),$N216&lt;significance_bar),"better","better, not significant")))))</f>
        <v/>
      </c>
      <c r="Y216">
        <f>IF($V216,$X216,$W216)</f>
        <v/>
      </c>
      <c r="Z216">
        <f>IF($V216,IF($P216="","",$P216),IF($O216="","",$O216))</f>
        <v/>
      </c>
      <c r="AA216">
        <f>IF(OR($Q216="",$Z216=""),"",IF(AND($Z216&gt;0,$Z216&gt;=$Q216),"yes","below the line"))</f>
        <v/>
      </c>
      <c r="AB216">
        <f>IF($V216,IF($M216="","",$M216),IF($K216="","",$K216))</f>
        <v/>
      </c>
      <c r="AC216">
        <f>IF($V216,IF($N216="","",$N216),IF($L216="","",$L216))</f>
        <v/>
      </c>
      <c r="AD216">
        <f>$Y216</f>
        <v/>
      </c>
      <c r="AE216">
        <f>IF($V216,IF($S216="","",$S216),IF($R216="","",$R216))</f>
        <v/>
      </c>
      <c r="AF216">
        <f>IF($V216,IF($U216="","",$U216),IF($T216="","",$T216))</f>
        <v/>
      </c>
      <c r="AG216">
        <f>IF($V216,IF($O216="","",$O216),IF($P216="","",$P216))</f>
        <v/>
      </c>
      <c r="AH216" t="n">
        <v>0.02144455121582318</v>
      </c>
      <c r="AI216">
        <f>IF($Y216="worse","Yes",IF($Y216="worse, not significant","Not sure",IF(OR($Y216="too few losses to test",$Y216="too few loans to test"),"Too few losses",IF($Y216="","","No"))))</f>
        <v/>
      </c>
      <c r="AJ216">
        <f>IF($AA216="yes","Yes",IF($AA216="","","No"))</f>
        <v/>
      </c>
    </row>
    <row r="217">
      <c r="A217" t="inlineStr">
        <is>
          <t>grids</t>
        </is>
      </c>
      <c r="B217" t="inlineStr">
        <is>
          <t>FICO x ASSET_CLASS</t>
        </is>
      </c>
      <c r="C217" t="inlineStr">
        <is>
          <t>(marked missing)</t>
        </is>
      </c>
      <c r="D217" t="inlineStr">
        <is>
          <t>4</t>
        </is>
      </c>
      <c r="E217" t="inlineStr">
        <is>
          <t>ranr_rate</t>
        </is>
      </c>
      <c r="F217" t="inlineStr">
        <is>
          <t>Profit after losses: RANR per booked dollar</t>
        </is>
      </c>
      <c r="G217" t="n">
        <v>39</v>
      </c>
      <c r="H217" t="n">
        <v>1213027.95</v>
      </c>
      <c r="I217" t="b">
        <v>0</v>
      </c>
      <c r="J217" t="b">
        <v>0</v>
      </c>
      <c r="K217" t="n">
        <v>0.03680248283217558</v>
      </c>
      <c r="L217" t="n">
        <v>0.3086596102294532</v>
      </c>
      <c r="M217" t="n">
        <v>0.01225814524698032</v>
      </c>
      <c r="N217" t="n">
        <v>0.9525847415258474</v>
      </c>
      <c r="O217" t="n">
        <v>-44642.44030482415</v>
      </c>
      <c r="P217" t="n">
        <v>-14869.47279974679</v>
      </c>
      <c r="Q217">
        <f>'_live'!$C$23</f>
        <v/>
      </c>
      <c r="R217" t="inlineStr">
        <is>
          <t>shuffled: 2,541 of 10,000</t>
        </is>
      </c>
      <c r="S217" t="inlineStr">
        <is>
          <t>shuffled: 6,968 of 10,000</t>
        </is>
      </c>
      <c r="T217" t="n">
        <v>0.1278170628262736</v>
      </c>
      <c r="U217" t="n">
        <v>0.1523614004114688</v>
      </c>
      <c r="V217">
        <f>AND(judged_band,NOT($J217))</f>
        <v/>
      </c>
      <c r="W217">
        <f>IF($K217="","",IF(profit_kind="test",IF(OR(NOT(AND(ISNUMBER($L217),$L217&lt;significance_bar)),$K217=0),"in line",IF($K217&lt;0,"worse","better")),IF(OR($K217=0,IF(profit_kind="points",ABS($K217),ABS($K217*$H217))&lt;profit_line*(1-1E-9)),"in line",IF(AND(ISNUMBER($L217),$L217&lt;significance_bar),IF($K217&lt;0,"worse","better"),IF($K217&lt;0,"worse, not significant","better, not significant")))))</f>
        <v/>
      </c>
      <c r="X217">
        <f>IF($M217="","",IF(profit_kind="test",IF(OR(NOT(AND(ISNUMBER($N217),$N217&lt;significance_bar)),$M217=0),"in line",IF($M217&lt;0,"worse","better")),IF(OR($M217=0,IF(profit_kind="points",ABS($M217),ABS($M217*$H217))&lt;profit_line*(1-1E-9)),"in line",IF(AND(ISNUMBER($N217),$N217&lt;significance_bar),IF($M217&lt;0,"worse","better"),IF($M217&lt;0,"worse, not significant","better, not significant")))))</f>
        <v/>
      </c>
      <c r="Y217">
        <f>IF($V217,$X217,$W217)</f>
        <v/>
      </c>
      <c r="Z217">
        <f>IF($V217,IF($P217="","",$P217),IF($O217="","",$O217))</f>
        <v/>
      </c>
      <c r="AA217">
        <f>IF(OR($Q217="",$Z217=""),"",IF(AND($Z217&gt;0,$Z217&gt;=$Q217),"yes","below the line"))</f>
        <v/>
      </c>
      <c r="AB217">
        <f>IF($V217,IF($M217="","",$M217),IF($K217="","",$K217))</f>
        <v/>
      </c>
      <c r="AC217">
        <f>IF($V217,IF($N217="","",$N217),IF($L217="","",$L217))</f>
        <v/>
      </c>
      <c r="AD217">
        <f>IF($Y217="","",IF($Y217="in line",IF(profit_kind="test",IF(ROUND($AB217*100,2)=0,"0.00",TEXT($AB217*100,"+0.00;-0.00"))&amp;" points against "&amp;IF($V217,"its band","the book")&amp;", "&amp;IF($AC217="","not tested","not significant"),IF(profit_kind="points","within "&amp;TEXT(profit_line*100,"0.00")&amp;" points of "&amp;IF($V217,"its band","the book")&amp;" ("&amp;IF(ROUND($AB217*100,2)=0,"0.00",TEXT($AB217*100,"+0.00;-0.00"))&amp;")","within $"&amp;TEXT(profit_line,"#,##0")&amp;" of "&amp;IF($V217,"its band","the book")&amp;" ("&amp;IF(ROUND($AB217*100,2)=0,"0.00",TEXT($AB217*100,"+0.00;-0.00"))&amp;" points)")),IF(LEFT($Y217,5)="worse","short of ","ahead of ")&amp;IF($V217,"its band","the book")&amp;" by "&amp;TEXT(ABS($AB217)*100,"0.00")&amp;" points"&amp;IF($Z217="",""," ($"&amp;TEXT(ABS($Z217),"#,##0")&amp;")")&amp;IF(RIGHT($Y217,15)="not significant"," (not significant)","")))</f>
        <v/>
      </c>
      <c r="AE217">
        <f>IF($V217,IF($S217="","",$S217),IF($R217="","",$R217))</f>
        <v/>
      </c>
      <c r="AF217">
        <f>IF($V217,IF($U217="","",$U217),IF($T217="","",$T217))</f>
        <v/>
      </c>
      <c r="AG217">
        <f>IF($V217,IF($O217="","",$O217),IF($P217="","",$P217))</f>
        <v/>
      </c>
      <c r="AH217" t="n">
        <v>0.1646195456584492</v>
      </c>
      <c r="AI217">
        <f>IF($Y217="worse","Yes",IF($Y217="worse, not significant","Not sure",IF(OR($Y217="too few losses to test",$Y217="too few loans to test"),"Too few losses",IF($Y217="","","No"))))</f>
        <v/>
      </c>
      <c r="AJ217">
        <f>IF($AA217="yes","Yes",IF($AA217="","","No"))</f>
        <v/>
      </c>
    </row>
    <row r="218">
      <c r="A218" t="inlineStr">
        <is>
          <t>grids</t>
        </is>
      </c>
      <c r="B218" t="inlineStr">
        <is>
          <t>FICO x ASSET_CLASS</t>
        </is>
      </c>
      <c r="C218" t="inlineStr">
        <is>
          <t>(marked missing)</t>
        </is>
      </c>
      <c r="D218" t="inlineStr">
        <is>
          <t>4</t>
        </is>
      </c>
      <c r="E218" t="inlineStr">
        <is>
          <t>contribution_rate</t>
        </is>
      </c>
      <c r="F218" t="inlineStr">
        <is>
          <t>Contribution before losses per booked dollar</t>
        </is>
      </c>
      <c r="G218" t="n">
        <v>39</v>
      </c>
      <c r="H218" t="n">
        <v>1213027.95</v>
      </c>
      <c r="I218" t="b">
        <v>0</v>
      </c>
      <c r="J218" t="b">
        <v>0</v>
      </c>
      <c r="K218" t="n">
        <v>0.01654944229578684</v>
      </c>
      <c r="L218" t="n">
        <v>0.6090640935906408</v>
      </c>
      <c r="M218" t="n">
        <v>0.006978537301663396</v>
      </c>
      <c r="N218" t="n">
        <v>0.9216078392160784</v>
      </c>
      <c r="O218" t="n">
        <v>-20074.93606170159</v>
      </c>
      <c r="P218" t="n">
        <v>-8465.160797035263</v>
      </c>
      <c r="Q218">
        <f>'_live'!$C$24</f>
        <v/>
      </c>
      <c r="R218" t="inlineStr">
        <is>
          <t>shuffled: 4,406 of 10,000</t>
        </is>
      </c>
      <c r="S218" t="inlineStr">
        <is>
          <t>shuffled: 7,865 of 10,000</t>
        </is>
      </c>
      <c r="T218" t="n">
        <v>0.1695146545784855</v>
      </c>
      <c r="U218" t="n">
        <v>0.1790855595726089</v>
      </c>
      <c r="V218">
        <f>AND(judged_band,NOT($J218))</f>
        <v/>
      </c>
      <c r="W218">
        <f>IF($K218="","",IF(profit_kind="test",IF(OR(NOT(AND(ISNUMBER($L218),$L218&lt;significance_bar)),$K218=0),"in line",IF($K218&lt;0,"worse","better")),IF(OR($K218=0,IF(profit_kind="points",ABS($K218),ABS($K218*$H218))&lt;profit_line*(1-1E-9)),"in line",IF(AND(ISNUMBER($L218),$L218&lt;significance_bar),IF($K218&lt;0,"worse","better"),IF($K218&lt;0,"worse, not significant","better, not significant")))))</f>
        <v/>
      </c>
      <c r="X218">
        <f>IF($M218="","",IF(profit_kind="test",IF(OR(NOT(AND(ISNUMBER($N218),$N218&lt;significance_bar)),$M218=0),"in line",IF($M218&lt;0,"worse","better")),IF(OR($M218=0,IF(profit_kind="points",ABS($M218),ABS($M218*$H218))&lt;profit_line*(1-1E-9)),"in line",IF(AND(ISNUMBER($N218),$N218&lt;significance_bar),IF($M218&lt;0,"worse","better"),IF($M218&lt;0,"worse, not significant","better, not significant")))))</f>
        <v/>
      </c>
      <c r="Y218">
        <f>IF($V218,$X218,$W218)</f>
        <v/>
      </c>
      <c r="Z218">
        <f>IF($V218,IF($P218="","",$P218),IF($O218="","",$O218))</f>
        <v/>
      </c>
      <c r="AA218">
        <f>IF(OR($Q218="",$Z218=""),"",IF(AND($Z218&gt;0,$Z218&gt;=$Q218),"yes","below the line"))</f>
        <v/>
      </c>
      <c r="AB218">
        <f>IF($V218,IF($M218="","",$M218),IF($K218="","",$K218))</f>
        <v/>
      </c>
      <c r="AC218">
        <f>IF($V218,IF($N218="","",$N218),IF($L218="","",$L218))</f>
        <v/>
      </c>
      <c r="AD218">
        <f>IF($Y218="","",IF($Y218="in line",IF(profit_kind="test",IF(ROUND($AB218*100,2)=0,"0.00",TEXT($AB218*100,"+0.00;-0.00"))&amp;" points against "&amp;IF($V218,"its band","the book")&amp;", "&amp;IF($AC218="","not tested","not significant"),IF(profit_kind="points","within "&amp;TEXT(profit_line*100,"0.00")&amp;" points of "&amp;IF($V218,"its band","the book")&amp;" ("&amp;IF(ROUND($AB218*100,2)=0,"0.00",TEXT($AB218*100,"+0.00;-0.00"))&amp;")","within $"&amp;TEXT(profit_line,"#,##0")&amp;" of "&amp;IF($V218,"its band","the book")&amp;" ("&amp;IF(ROUND($AB218*100,2)=0,"0.00",TEXT($AB218*100,"+0.00;-0.00"))&amp;" points)")),IF(LEFT($Y218,5)="worse","short of ","ahead of ")&amp;IF($V218,"its band","the book")&amp;" by "&amp;TEXT(ABS($AB218)*100,"0.00")&amp;" points"&amp;IF($Z218="",""," ($"&amp;TEXT(ABS($Z218),"#,##0")&amp;")")&amp;IF(RIGHT($Y218,15)="not significant"," (not significant)","")))</f>
        <v/>
      </c>
      <c r="AE218">
        <f>IF($V218,IF($S218="","",$S218),IF($R218="","",$R218))</f>
        <v/>
      </c>
      <c r="AF218">
        <f>IF($V218,IF($U218="","",$U218),IF($T218="","",$T218))</f>
        <v/>
      </c>
      <c r="AG218">
        <f>IF($V218,IF($O218="","",$O218),IF($P218="","",$P218))</f>
        <v/>
      </c>
      <c r="AH218" t="n">
        <v>0.1860640968742723</v>
      </c>
      <c r="AI218">
        <f>IF($Y218="worse","Yes",IF($Y218="worse, not significant","Not sure",IF(OR($Y218="too few losses to test",$Y218="too few loans to test"),"Too few losses",IF($Y218="","","No"))))</f>
        <v/>
      </c>
      <c r="AJ218">
        <f>IF($AA218="yes","Yes",IF($AA218="","","No"))</f>
        <v/>
      </c>
    </row>
    <row r="219">
      <c r="A219" t="inlineStr">
        <is>
          <t>grids</t>
        </is>
      </c>
      <c r="B219" t="inlineStr">
        <is>
          <t>FICO x ASSET_CLASS</t>
        </is>
      </c>
      <c r="C219" t="inlineStr">
        <is>
          <t>(marked missing)</t>
        </is>
      </c>
      <c r="D219" t="inlineStr">
        <is>
          <t>2</t>
        </is>
      </c>
      <c r="E219" t="inlineStr">
        <is>
          <t>outcome_loans</t>
        </is>
      </c>
      <c r="F219" t="inlineStr">
        <is>
          <t>Outcome, share of loans</t>
        </is>
      </c>
      <c r="G219" t="n">
        <v>36</v>
      </c>
      <c r="H219" t="n">
        <v>36</v>
      </c>
      <c r="I219" t="b">
        <v>1</v>
      </c>
      <c r="J219" t="b">
        <v>0</v>
      </c>
      <c r="K219" t="n">
        <v>1.801257690915671</v>
      </c>
      <c r="M219" t="n">
        <v>3.444444444444445</v>
      </c>
      <c r="O219" t="n">
        <v>2.224161748084893</v>
      </c>
      <c r="P219" t="n">
        <v>3.548387096774194</v>
      </c>
      <c r="Q219">
        <f>'_live'!$C$20</f>
        <v/>
      </c>
      <c r="T219" t="n">
        <v>0.07710661810875298</v>
      </c>
      <c r="U219" t="n">
        <v>0.04032258064516129</v>
      </c>
      <c r="V219">
        <f>AND(judged_band,NOT($J219))</f>
        <v/>
      </c>
      <c r="W219">
        <f>IF($K219="","",IF($I219,"too few losses to test",IF(AND($K219&gt;better_at,$K219&lt;worse_at),"in line",IF($K219&gt;=worse_at,IF(AND(ISNUMBER($L219),$L219&lt;significance_bar),"worse","worse, not significant"),IF(AND(ISNUMBER($L219),$L219&lt;significance_bar),"better","better, not significant")))))</f>
        <v/>
      </c>
      <c r="X219">
        <f>IF($M219="","",IF($I219,"too few losses to test",IF(AND($M219&gt;better_at,$M219&lt;worse_at),"in line",IF($M219&gt;=worse_at,IF(AND(ISNUMBER($N219),$N219&lt;significance_bar),"worse","worse, not significant"),IF(AND(ISNUMBER($N219),$N219&lt;significance_bar),"better","better, not significant")))))</f>
        <v/>
      </c>
      <c r="Y219">
        <f>IF($V219,$X219,$W219)</f>
        <v/>
      </c>
      <c r="Z219">
        <f>IF($V219,IF($P219="","",$P219),IF($O219="","",$O219))</f>
        <v/>
      </c>
      <c r="AA219">
        <f>IF(OR($Q219="",$Z219=""),"",IF(AND($Z219&gt;0,$Z219&gt;=$Q219),"yes","below the line"))</f>
        <v/>
      </c>
      <c r="AB219">
        <f>IF($V219,IF($M219="","",$M219),IF($K219="","",$K219))</f>
        <v/>
      </c>
      <c r="AC219">
        <f>IF($V219,IF($N219="","",$N219),IF($L219="","",$L219))</f>
        <v/>
      </c>
      <c r="AD219">
        <f>$Y219</f>
        <v/>
      </c>
      <c r="AE219">
        <f>IF($V219,IF($S219="","",$S219),IF($R219="","",$R219))</f>
        <v/>
      </c>
      <c r="AF219">
        <f>IF($V219,IF($U219="","",$U219),IF($T219="","",$T219))</f>
        <v/>
      </c>
      <c r="AG219">
        <f>IF($V219,IF($O219="","",$O219),IF($P219="","",$P219))</f>
        <v/>
      </c>
      <c r="AH219" t="n">
        <v>0.1388888888888889</v>
      </c>
      <c r="AI219">
        <f>IF($Y219="worse","Yes",IF($Y219="worse, not significant","Not sure",IF(OR($Y219="too few losses to test",$Y219="too few loans to test"),"Too few losses",IF($Y219="","","No"))))</f>
        <v/>
      </c>
      <c r="AJ219">
        <f>IF($AA219="yes","Yes",IF($AA219="","","No"))</f>
        <v/>
      </c>
    </row>
    <row r="220">
      <c r="A220" t="inlineStr">
        <is>
          <t>grids</t>
        </is>
      </c>
      <c r="B220" t="inlineStr">
        <is>
          <t>FICO x ASSET_CLASS</t>
        </is>
      </c>
      <c r="C220" t="inlineStr">
        <is>
          <t>(marked missing)</t>
        </is>
      </c>
      <c r="D220" t="inlineStr">
        <is>
          <t>2</t>
        </is>
      </c>
      <c r="E220" t="inlineStr">
        <is>
          <t>outcome_booked</t>
        </is>
      </c>
      <c r="F220" t="inlineStr">
        <is>
          <t>Outcome, share of booked dollars</t>
        </is>
      </c>
      <c r="G220" t="n">
        <v>36</v>
      </c>
      <c r="H220" t="n">
        <v>1086599.84</v>
      </c>
      <c r="I220" t="b">
        <v>1</v>
      </c>
      <c r="J220" t="b">
        <v>0</v>
      </c>
      <c r="K220" t="n">
        <v>1.552153014996473</v>
      </c>
      <c r="M220" t="n">
        <v>3.782418691557639</v>
      </c>
      <c r="O220" t="n">
        <v>44790.88288681601</v>
      </c>
      <c r="P220" t="n">
        <v>92622.73248074728</v>
      </c>
      <c r="Q220">
        <f>'_live'!$C$21</f>
        <v/>
      </c>
      <c r="T220" t="n">
        <v>0.07465528166577311</v>
      </c>
      <c r="U220" t="n">
        <v>0.03063553508277041</v>
      </c>
      <c r="V220">
        <f>AND(judged_band,NOT($J220))</f>
        <v/>
      </c>
      <c r="W220">
        <f>IF($K220="","",IF($I220,"too few losses to test",IF(AND($K220&gt;better_at,$K220&lt;worse_at),"in line",IF($K220&gt;=worse_at,IF(AND(ISNUMBER($L220),$L220&lt;significance_bar),"worse","worse, not significant"),IF(AND(ISNUMBER($L220),$L220&lt;significance_bar),"better","better, not significant")))))</f>
        <v/>
      </c>
      <c r="X220">
        <f>IF($M220="","",IF($I220,"too few losses to test",IF(AND($M220&gt;better_at,$M220&lt;worse_at),"in line",IF($M220&gt;=worse_at,IF(AND(ISNUMBER($N220),$N220&lt;significance_bar),"worse","worse, not significant"),IF(AND(ISNUMBER($N220),$N220&lt;significance_bar),"better","better, not significant")))))</f>
        <v/>
      </c>
      <c r="Y220">
        <f>IF($V220,$X220,$W220)</f>
        <v/>
      </c>
      <c r="Z220">
        <f>IF($V220,IF($P220="","",$P220),IF($O220="","",$O220))</f>
        <v/>
      </c>
      <c r="AA220">
        <f>IF(OR($Q220="",$Z220=""),"",IF(AND($Z220&gt;0,$Z220&gt;=$Q220),"yes","below the line"))</f>
        <v/>
      </c>
      <c r="AB220">
        <f>IF($V220,IF($M220="","",$M220),IF($K220="","",$K220))</f>
        <v/>
      </c>
      <c r="AC220">
        <f>IF($V220,IF($N220="","",$N220),IF($L220="","",$L220))</f>
        <v/>
      </c>
      <c r="AD220">
        <f>$Y220</f>
        <v/>
      </c>
      <c r="AE220">
        <f>IF($V220,IF($S220="","",$S220),IF($R220="","",$R220))</f>
        <v/>
      </c>
      <c r="AF220">
        <f>IF($V220,IF($U220="","",$U220),IF($T220="","",$T220))</f>
        <v/>
      </c>
      <c r="AG220">
        <f>IF($V220,IF($O220="","",$O220),IF($P220="","",$P220))</f>
        <v/>
      </c>
      <c r="AH220" t="n">
        <v>0.1158764205229406</v>
      </c>
      <c r="AI220">
        <f>IF($Y220="worse","Yes",IF($Y220="worse, not significant","Not sure",IF(OR($Y220="too few losses to test",$Y220="too few loans to test"),"Too few losses",IF($Y220="","","No"))))</f>
        <v/>
      </c>
      <c r="AJ220">
        <f>IF($AA220="yes","Yes",IF($AA220="","","No"))</f>
        <v/>
      </c>
    </row>
    <row r="221">
      <c r="A221" t="inlineStr">
        <is>
          <t>grids</t>
        </is>
      </c>
      <c r="B221" t="inlineStr">
        <is>
          <t>FICO x ASSET_CLASS</t>
        </is>
      </c>
      <c r="C221" t="inlineStr">
        <is>
          <t>(marked missing)</t>
        </is>
      </c>
      <c r="D221" t="inlineStr">
        <is>
          <t>2</t>
        </is>
      </c>
      <c r="E221" t="inlineStr">
        <is>
          <t>gco_rate</t>
        </is>
      </c>
      <c r="F221" t="inlineStr">
        <is>
          <t>GCO per booked dollar</t>
        </is>
      </c>
      <c r="G221" t="n">
        <v>36</v>
      </c>
      <c r="H221" t="n">
        <v>1086599.84</v>
      </c>
      <c r="I221" t="b">
        <v>1</v>
      </c>
      <c r="J221" t="b">
        <v>0</v>
      </c>
      <c r="K221" t="n">
        <v>1.472281219667844</v>
      </c>
      <c r="M221" t="n">
        <v>3.750189864972537</v>
      </c>
      <c r="O221" t="n">
        <v>21308.63938926913</v>
      </c>
      <c r="P221" t="n">
        <v>48714.16215510578</v>
      </c>
      <c r="Q221">
        <f>'_live'!$C$22</f>
        <v/>
      </c>
      <c r="T221" t="n">
        <v>0.04152268291400713</v>
      </c>
      <c r="U221" t="n">
        <v>0.01630132565167157</v>
      </c>
      <c r="V221">
        <f>AND(judged_band,NOT($J221))</f>
        <v/>
      </c>
      <c r="W221">
        <f>IF($K221="","",IF($I221,"too few losses to test",IF(AND($K221&gt;better_at,$K221&lt;worse_at),"in line",IF($K221&gt;=worse_at,IF(AND(ISNUMBER($L221),$L221&lt;significance_bar),"worse","worse, not significant"),IF(AND(ISNUMBER($L221),$L221&lt;significance_bar),"better","better, not significant")))))</f>
        <v/>
      </c>
      <c r="X221">
        <f>IF($M221="","",IF($I221,"too few losses to test",IF(AND($M221&gt;better_at,$M221&lt;worse_at),"in line",IF($M221&gt;=worse_at,IF(AND(ISNUMBER($N221),$N221&lt;significance_bar),"worse","worse, not significant"),IF(AND(ISNUMBER($N221),$N221&lt;significance_bar),"better","better, not significant")))))</f>
        <v/>
      </c>
      <c r="Y221">
        <f>IF($V221,$X221,$W221)</f>
        <v/>
      </c>
      <c r="Z221">
        <f>IF($V221,IF($P221="","",$P221),IF($O221="","",$O221))</f>
        <v/>
      </c>
      <c r="AA221">
        <f>IF(OR($Q221="",$Z221=""),"",IF(AND($Z221&gt;0,$Z221&gt;=$Q221),"yes","below the line"))</f>
        <v/>
      </c>
      <c r="AB221">
        <f>IF($V221,IF($M221="","",$M221),IF($K221="","",$K221))</f>
        <v/>
      </c>
      <c r="AC221">
        <f>IF($V221,IF($N221="","",$N221),IF($L221="","",$L221))</f>
        <v/>
      </c>
      <c r="AD221">
        <f>$Y221</f>
        <v/>
      </c>
      <c r="AE221">
        <f>IF($V221,IF($S221="","",$S221),IF($R221="","",$R221))</f>
        <v/>
      </c>
      <c r="AF221">
        <f>IF($V221,IF($U221="","",$U221),IF($T221="","",$T221))</f>
        <v/>
      </c>
      <c r="AG221">
        <f>IF($V221,IF($O221="","",$O221),IF($P221="","",$P221))</f>
        <v/>
      </c>
      <c r="AH221" t="n">
        <v>0.06113306624451557</v>
      </c>
      <c r="AI221">
        <f>IF($Y221="worse","Yes",IF($Y221="worse, not significant","Not sure",IF(OR($Y221="too few losses to test",$Y221="too few loans to test"),"Too few losses",IF($Y221="","","No"))))</f>
        <v/>
      </c>
      <c r="AJ221">
        <f>IF($AA221="yes","Yes",IF($AA221="","","No"))</f>
        <v/>
      </c>
    </row>
    <row r="222">
      <c r="A222" t="inlineStr">
        <is>
          <t>grids</t>
        </is>
      </c>
      <c r="B222" t="inlineStr">
        <is>
          <t>FICO x ASSET_CLASS</t>
        </is>
      </c>
      <c r="C222" t="inlineStr">
        <is>
          <t>(marked missing)</t>
        </is>
      </c>
      <c r="D222" t="inlineStr">
        <is>
          <t>2</t>
        </is>
      </c>
      <c r="E222" t="inlineStr">
        <is>
          <t>ranr_rate</t>
        </is>
      </c>
      <c r="F222" t="inlineStr">
        <is>
          <t>Profit after losses: RANR per booked dollar</t>
        </is>
      </c>
      <c r="G222" t="n">
        <v>36</v>
      </c>
      <c r="H222" t="n">
        <v>1086599.84</v>
      </c>
      <c r="I222" t="b">
        <v>0</v>
      </c>
      <c r="J222" t="b">
        <v>0</v>
      </c>
      <c r="K222" t="n">
        <v>-0.01601870776672377</v>
      </c>
      <c r="L222" t="n">
        <v>0.6876486264417037</v>
      </c>
      <c r="M222" t="n">
        <v>-0.05428953282419784</v>
      </c>
      <c r="N222" t="n">
        <v>0.4600682788863971</v>
      </c>
      <c r="O222" t="n">
        <v>17405.92529632882</v>
      </c>
      <c r="P222" t="n">
        <v>58990.99768044811</v>
      </c>
      <c r="Q222">
        <f>'_live'!$C$23</f>
        <v/>
      </c>
      <c r="R222" t="inlineStr">
        <is>
          <t>shuffled: 6,326 of 10,000</t>
        </is>
      </c>
      <c r="S222" t="inlineStr">
        <is>
          <t>shuffled: 877 of 10,000</t>
        </is>
      </c>
      <c r="T222" t="n">
        <v>0.1280574965815648</v>
      </c>
      <c r="U222" t="n">
        <v>0.1663283216390388</v>
      </c>
      <c r="V222">
        <f>AND(judged_band,NOT($J222))</f>
        <v/>
      </c>
      <c r="W222">
        <f>IF($K222="","",IF(profit_kind="test",IF(OR(NOT(AND(ISNUMBER($L222),$L222&lt;significance_bar)),$K222=0),"in line",IF($K222&lt;0,"worse","better")),IF(OR($K222=0,IF(profit_kind="points",ABS($K222),ABS($K222*$H222))&lt;profit_line*(1-1E-9)),"in line",IF(AND(ISNUMBER($L222),$L222&lt;significance_bar),IF($K222&lt;0,"worse","better"),IF($K222&lt;0,"worse, not significant","better, not significant")))))</f>
        <v/>
      </c>
      <c r="X222">
        <f>IF($M222="","",IF(profit_kind="test",IF(OR(NOT(AND(ISNUMBER($N222),$N222&lt;significance_bar)),$M222=0),"in line",IF($M222&lt;0,"worse","better")),IF(OR($M222=0,IF(profit_kind="points",ABS($M222),ABS($M222*$H222))&lt;profit_line*(1-1E-9)),"in line",IF(AND(ISNUMBER($N222),$N222&lt;significance_bar),IF($M222&lt;0,"worse","better"),IF($M222&lt;0,"worse, not significant","better, not significant")))))</f>
        <v/>
      </c>
      <c r="Y222">
        <f>IF($V222,$X222,$W222)</f>
        <v/>
      </c>
      <c r="Z222">
        <f>IF($V222,IF($P222="","",$P222),IF($O222="","",$O222))</f>
        <v/>
      </c>
      <c r="AA222">
        <f>IF(OR($Q222="",$Z222=""),"",IF(AND($Z222&gt;0,$Z222&gt;=$Q222),"yes","below the line"))</f>
        <v/>
      </c>
      <c r="AB222">
        <f>IF($V222,IF($M222="","",$M222),IF($K222="","",$K222))</f>
        <v/>
      </c>
      <c r="AC222">
        <f>IF($V222,IF($N222="","",$N222),IF($L222="","",$L222))</f>
        <v/>
      </c>
      <c r="AD222">
        <f>IF($Y222="","",IF($Y222="in line",IF(profit_kind="test",IF(ROUND($AB222*100,2)=0,"0.00",TEXT($AB222*100,"+0.00;-0.00"))&amp;" points against "&amp;IF($V222,"its band","the book")&amp;", "&amp;IF($AC222="","not tested","not significant"),IF(profit_kind="points","within "&amp;TEXT(profit_line*100,"0.00")&amp;" points of "&amp;IF($V222,"its band","the book")&amp;" ("&amp;IF(ROUND($AB222*100,2)=0,"0.00",TEXT($AB222*100,"+0.00;-0.00"))&amp;")","within $"&amp;TEXT(profit_line,"#,##0")&amp;" of "&amp;IF($V222,"its band","the book")&amp;" ("&amp;IF(ROUND($AB222*100,2)=0,"0.00",TEXT($AB222*100,"+0.00;-0.00"))&amp;" points)")),IF(LEFT($Y222,5)="worse","short of ","ahead of ")&amp;IF($V222,"its band","the book")&amp;" by "&amp;TEXT(ABS($AB222)*100,"0.00")&amp;" points"&amp;IF($Z222="",""," ($"&amp;TEXT(ABS($Z222),"#,##0")&amp;")")&amp;IF(RIGHT($Y222,15)="not significant"," (not significant)","")))</f>
        <v/>
      </c>
      <c r="AE222">
        <f>IF($V222,IF($S222="","",$S222),IF($R222="","",$R222))</f>
        <v/>
      </c>
      <c r="AF222">
        <f>IF($V222,IF($U222="","",$U222),IF($T222="","",$T222))</f>
        <v/>
      </c>
      <c r="AG222">
        <f>IF($V222,IF($O222="","",$O222),IF($P222="","",$P222))</f>
        <v/>
      </c>
      <c r="AH222" t="n">
        <v>0.112038788814841</v>
      </c>
      <c r="AI222">
        <f>IF($Y222="worse","Yes",IF($Y222="worse, not significant","Not sure",IF(OR($Y222="too few losses to test",$Y222="too few loans to test"),"Too few losses",IF($Y222="","","No"))))</f>
        <v/>
      </c>
      <c r="AJ222">
        <f>IF($AA222="yes","Yes",IF($AA222="","","No"))</f>
        <v/>
      </c>
    </row>
    <row r="223">
      <c r="A223" t="inlineStr">
        <is>
          <t>grids</t>
        </is>
      </c>
      <c r="B223" t="inlineStr">
        <is>
          <t>FICO x ASSET_CLASS</t>
        </is>
      </c>
      <c r="C223" t="inlineStr">
        <is>
          <t>(marked missing)</t>
        </is>
      </c>
      <c r="D223" t="inlineStr">
        <is>
          <t>2</t>
        </is>
      </c>
      <c r="E223" t="inlineStr">
        <is>
          <t>contribution_rate</t>
        </is>
      </c>
      <c r="F223" t="inlineStr">
        <is>
          <t>Contribution before losses per booked dollar</t>
        </is>
      </c>
      <c r="G223" t="n">
        <v>36</v>
      </c>
      <c r="H223" t="n">
        <v>1086599.84</v>
      </c>
      <c r="I223" t="b">
        <v>0</v>
      </c>
      <c r="J223" t="b">
        <v>0</v>
      </c>
      <c r="K223" t="n">
        <v>0.003594536484841537</v>
      </c>
      <c r="L223" t="n">
        <v>0.8764123587641237</v>
      </c>
      <c r="M223" t="n">
        <v>-0.009457792231353818</v>
      </c>
      <c r="N223" t="n">
        <v>0.9216078392160784</v>
      </c>
      <c r="O223" t="n">
        <v>-3905.822769302991</v>
      </c>
      <c r="P223" t="n">
        <v>10276.83552534229</v>
      </c>
      <c r="Q223">
        <f>'_live'!$C$24</f>
        <v/>
      </c>
      <c r="R223" t="inlineStr">
        <is>
          <t>shuffled: 8,764 of 10,000</t>
        </is>
      </c>
      <c r="S223" t="inlineStr">
        <is>
          <t>shuffled: 7,119 of 10,000</t>
        </is>
      </c>
      <c r="T223" t="n">
        <v>0.169577318574515</v>
      </c>
      <c r="U223" t="n">
        <v>0.1826296472907104</v>
      </c>
      <c r="V223">
        <f>AND(judged_band,NOT($J223))</f>
        <v/>
      </c>
      <c r="W223">
        <f>IF($K223="","",IF(profit_kind="test",IF(OR(NOT(AND(ISNUMBER($L223),$L223&lt;significance_bar)),$K223=0),"in line",IF($K223&lt;0,"worse","better")),IF(OR($K223=0,IF(profit_kind="points",ABS($K223),ABS($K223*$H223))&lt;profit_line*(1-1E-9)),"in line",IF(AND(ISNUMBER($L223),$L223&lt;significance_bar),IF($K223&lt;0,"worse","better"),IF($K223&lt;0,"worse, not significant","better, not significant")))))</f>
        <v/>
      </c>
      <c r="X223">
        <f>IF($M223="","",IF(profit_kind="test",IF(OR(NOT(AND(ISNUMBER($N223),$N223&lt;significance_bar)),$M223=0),"in line",IF($M223&lt;0,"worse","better")),IF(OR($M223=0,IF(profit_kind="points",ABS($M223),ABS($M223*$H223))&lt;profit_line*(1-1E-9)),"in line",IF(AND(ISNUMBER($N223),$N223&lt;significance_bar),IF($M223&lt;0,"worse","better"),IF($M223&lt;0,"worse, not significant","better, not significant")))))</f>
        <v/>
      </c>
      <c r="Y223">
        <f>IF($V223,$X223,$W223)</f>
        <v/>
      </c>
      <c r="Z223">
        <f>IF($V223,IF($P223="","",$P223),IF($O223="","",$O223))</f>
        <v/>
      </c>
      <c r="AA223">
        <f>IF(OR($Q223="",$Z223=""),"",IF(AND($Z223&gt;0,$Z223&gt;=$Q223),"yes","below the line"))</f>
        <v/>
      </c>
      <c r="AB223">
        <f>IF($V223,IF($M223="","",$M223),IF($K223="","",$K223))</f>
        <v/>
      </c>
      <c r="AC223">
        <f>IF($V223,IF($N223="","",$N223),IF($L223="","",$L223))</f>
        <v/>
      </c>
      <c r="AD223">
        <f>IF($Y223="","",IF($Y223="in line",IF(profit_kind="test",IF(ROUND($AB223*100,2)=0,"0.00",TEXT($AB223*100,"+0.00;-0.00"))&amp;" points against "&amp;IF($V223,"its band","the book")&amp;", "&amp;IF($AC223="","not tested","not significant"),IF(profit_kind="points","within "&amp;TEXT(profit_line*100,"0.00")&amp;" points of "&amp;IF($V223,"its band","the book")&amp;" ("&amp;IF(ROUND($AB223*100,2)=0,"0.00",TEXT($AB223*100,"+0.00;-0.00"))&amp;")","within $"&amp;TEXT(profit_line,"#,##0")&amp;" of "&amp;IF($V223,"its band","the book")&amp;" ("&amp;IF(ROUND($AB223*100,2)=0,"0.00",TEXT($AB223*100,"+0.00;-0.00"))&amp;" points)")),IF(LEFT($Y223,5)="worse","short of ","ahead of ")&amp;IF($V223,"its band","the book")&amp;" by "&amp;TEXT(ABS($AB223)*100,"0.00")&amp;" points"&amp;IF($Z223="",""," ($"&amp;TEXT(ABS($Z223),"#,##0")&amp;")")&amp;IF(RIGHT($Y223,15)="not significant"," (not significant)","")))</f>
        <v/>
      </c>
      <c r="AE223">
        <f>IF($V223,IF($S223="","",$S223),IF($R223="","",$R223))</f>
        <v/>
      </c>
      <c r="AF223">
        <f>IF($V223,IF($U223="","",$U223),IF($T223="","",$T223))</f>
        <v/>
      </c>
      <c r="AG223">
        <f>IF($V223,IF($O223="","",$O223),IF($P223="","",$P223))</f>
        <v/>
      </c>
      <c r="AH223" t="n">
        <v>0.1731718550593566</v>
      </c>
      <c r="AI223">
        <f>IF($Y223="worse","Yes",IF($Y223="worse, not significant","Not sure",IF(OR($Y223="too few losses to test",$Y223="too few loans to test"),"Too few losses",IF($Y223="","","No"))))</f>
        <v/>
      </c>
      <c r="AJ223">
        <f>IF($AA223="yes","Yes",IF($AA223="","","No"))</f>
        <v/>
      </c>
    </row>
    <row r="224">
      <c r="A224" t="inlineStr">
        <is>
          <t>grids</t>
        </is>
      </c>
      <c r="B224" t="inlineStr">
        <is>
          <t>ORIG_BAL x CHANNEL</t>
        </is>
      </c>
      <c r="C224" t="inlineStr">
        <is>
          <t>5,005 - 15,448</t>
        </is>
      </c>
      <c r="D224" t="inlineStr">
        <is>
          <t>Online</t>
        </is>
      </c>
      <c r="E224" t="inlineStr">
        <is>
          <t>outcome_loans</t>
        </is>
      </c>
      <c r="F224" t="inlineStr">
        <is>
          <t>Outcome, share of loans</t>
        </is>
      </c>
      <c r="G224" t="n">
        <v>544</v>
      </c>
      <c r="H224" t="n">
        <v>544</v>
      </c>
      <c r="I224" t="b">
        <v>0</v>
      </c>
      <c r="J224" t="b">
        <v>0</v>
      </c>
      <c r="K224" t="n">
        <v>1.074358859397417</v>
      </c>
      <c r="L224" t="n">
        <v>0.7868457855618615</v>
      </c>
      <c r="M224" t="n">
        <v>1.119909502262443</v>
      </c>
      <c r="N224" t="n">
        <v>0.8666810512748745</v>
      </c>
      <c r="O224" t="n">
        <v>3.114553990610325</v>
      </c>
      <c r="P224" t="n">
        <v>4.818181818181813</v>
      </c>
      <c r="Q224">
        <f>'_live'!$C$20</f>
        <v/>
      </c>
      <c r="R224" t="inlineStr">
        <is>
          <t>z test</t>
        </is>
      </c>
      <c r="S224" t="inlineStr">
        <is>
          <t>z test</t>
        </is>
      </c>
      <c r="T224" t="n">
        <v>0.07699530516431925</v>
      </c>
      <c r="U224" t="n">
        <v>0.07386363636363637</v>
      </c>
      <c r="V224">
        <f>AND(judged_band,NOT($J224))</f>
        <v/>
      </c>
      <c r="W224">
        <f>IF($K224="","",IF($I224,"too few losses to test",IF(AND($K224&gt;better_at,$K224&lt;worse_at),"in line",IF($K224&gt;=worse_at,IF(AND(ISNUMBER($L224),$L224&lt;significance_bar),"worse","worse, not significant"),IF(AND(ISNUMBER($L224),$L224&lt;significance_bar),"better","better, not significant")))))</f>
        <v/>
      </c>
      <c r="X224">
        <f>IF($M224="","",IF($I224,"too few losses to test",IF(AND($M224&gt;better_at,$M224&lt;worse_at),"in line",IF($M224&gt;=worse_at,IF(AND(ISNUMBER($N224),$N224&lt;significance_bar),"worse","worse, not significant"),IF(AND(ISNUMBER($N224),$N224&lt;significance_bar),"better","better, not significant")))))</f>
        <v/>
      </c>
      <c r="Y224">
        <f>IF($V224,$X224,$W224)</f>
        <v/>
      </c>
      <c r="Z224">
        <f>IF($V224,IF($P224="","",$P224),IF($O224="","",$O224))</f>
        <v/>
      </c>
      <c r="AA224">
        <f>IF(OR($Q224="",$Z224=""),"",IF(AND($Z224&gt;0,$Z224&gt;=$Q224),"yes","below the line"))</f>
        <v/>
      </c>
      <c r="AB224">
        <f>IF($V224,IF($M224="","",$M224),IF($K224="","",$K224))</f>
        <v/>
      </c>
      <c r="AC224">
        <f>IF($V224,IF($N224="","",$N224),IF($L224="","",$L224))</f>
        <v/>
      </c>
      <c r="AD224">
        <f>$Y224</f>
        <v/>
      </c>
      <c r="AE224">
        <f>IF($V224,IF($S224="","",$S224),IF($R224="","",$R224))</f>
        <v/>
      </c>
      <c r="AF224">
        <f>IF($V224,IF($U224="","",$U224),IF($T224="","",$T224))</f>
        <v/>
      </c>
      <c r="AG224">
        <f>IF($V224,IF($O224="","",$O224),IF($P224="","",$P224))</f>
        <v/>
      </c>
      <c r="AH224" t="n">
        <v>0.08272058823529412</v>
      </c>
      <c r="AI224">
        <f>IF($Y224="worse","Yes",IF($Y224="worse, not significant","Not sure",IF(OR($Y224="too few losses to test",$Y224="too few loans to test"),"Too few losses",IF($Y224="","","No"))))</f>
        <v/>
      </c>
      <c r="AJ224">
        <f>IF($AA224="yes","Yes",IF($AA224="","","No"))</f>
        <v/>
      </c>
    </row>
    <row r="225">
      <c r="A225" t="inlineStr">
        <is>
          <t>grids</t>
        </is>
      </c>
      <c r="B225" t="inlineStr">
        <is>
          <t>ORIG_BAL x CHANNEL</t>
        </is>
      </c>
      <c r="C225" t="inlineStr">
        <is>
          <t>5,005 - 15,448</t>
        </is>
      </c>
      <c r="D225" t="inlineStr">
        <is>
          <t>Online</t>
        </is>
      </c>
      <c r="E225" t="inlineStr">
        <is>
          <t>outcome_booked</t>
        </is>
      </c>
      <c r="F225" t="inlineStr">
        <is>
          <t>Outcome, share of booked dollars</t>
        </is>
      </c>
      <c r="G225" t="n">
        <v>544</v>
      </c>
      <c r="H225" t="n">
        <v>5511902.469999999</v>
      </c>
      <c r="I225" t="b">
        <v>0</v>
      </c>
      <c r="J225" t="b">
        <v>0</v>
      </c>
      <c r="K225" t="n">
        <v>1.063128421991721</v>
      </c>
      <c r="L225" t="n">
        <v>0.8248021351710982</v>
      </c>
      <c r="M225" t="n">
        <v>1.079652489325491</v>
      </c>
      <c r="N225" t="n">
        <v>0.9292820717928207</v>
      </c>
      <c r="O225" t="n">
        <v>26002.21716430277</v>
      </c>
      <c r="P225" t="n">
        <v>32306.24922465929</v>
      </c>
      <c r="Q225">
        <f>'_live'!$C$21</f>
        <v/>
      </c>
      <c r="R225" t="inlineStr">
        <is>
          <t>shuffled: 7,148 of 10,000</t>
        </is>
      </c>
      <c r="S225" t="inlineStr">
        <is>
          <t>shuffled: 6,937 of 10,000</t>
        </is>
      </c>
      <c r="T225" t="n">
        <v>0.07472809707311409</v>
      </c>
      <c r="U225" t="n">
        <v>0.07358438451748237</v>
      </c>
      <c r="V225">
        <f>AND(judged_band,NOT($J225))</f>
        <v/>
      </c>
      <c r="W225">
        <f>IF($K225="","",IF($I225,"too few losses to test",IF(AND($K225&gt;better_at,$K225&lt;worse_at),"in line",IF($K225&gt;=worse_at,IF(AND(ISNUMBER($L225),$L225&lt;significance_bar),"worse","worse, not significant"),IF(AND(ISNUMBER($L225),$L225&lt;significance_bar),"better","better, not significant")))))</f>
        <v/>
      </c>
      <c r="X225">
        <f>IF($M225="","",IF($I225,"too few losses to test",IF(AND($M225&gt;better_at,$M225&lt;worse_at),"in line",IF($M225&gt;=worse_at,IF(AND(ISNUMBER($N225),$N225&lt;significance_bar),"worse","worse, not significant"),IF(AND(ISNUMBER($N225),$N225&lt;significance_bar),"better","better, not significant")))))</f>
        <v/>
      </c>
      <c r="Y225">
        <f>IF($V225,$X225,$W225)</f>
        <v/>
      </c>
      <c r="Z225">
        <f>IF($V225,IF($P225="","",$P225),IF($O225="","",$O225))</f>
        <v/>
      </c>
      <c r="AA225">
        <f>IF(OR($Q225="",$Z225=""),"",IF(AND($Z225&gt;0,$Z225&gt;=$Q225),"yes","below the line"))</f>
        <v/>
      </c>
      <c r="AB225">
        <f>IF($V225,IF($M225="","",$M225),IF($K225="","",$K225))</f>
        <v/>
      </c>
      <c r="AC225">
        <f>IF($V225,IF($N225="","",$N225),IF($L225="","",$L225))</f>
        <v/>
      </c>
      <c r="AD225">
        <f>$Y225</f>
        <v/>
      </c>
      <c r="AE225">
        <f>IF($V225,IF($S225="","",$S225),IF($R225="","",$R225))</f>
        <v/>
      </c>
      <c r="AF225">
        <f>IF($V225,IF($U225="","",$U225),IF($T225="","",$T225))</f>
        <v/>
      </c>
      <c r="AG225">
        <f>IF($V225,IF($O225="","",$O225),IF($P225="","",$P225))</f>
        <v/>
      </c>
      <c r="AH225" t="n">
        <v>0.07944556391978397</v>
      </c>
      <c r="AI225">
        <f>IF($Y225="worse","Yes",IF($Y225="worse, not significant","Not sure",IF(OR($Y225="too few losses to test",$Y225="too few loans to test"),"Too few losses",IF($Y225="","","No"))))</f>
        <v/>
      </c>
      <c r="AJ225">
        <f>IF($AA225="yes","Yes",IF($AA225="","","No"))</f>
        <v/>
      </c>
    </row>
    <row r="226">
      <c r="A226" t="inlineStr">
        <is>
          <t>grids</t>
        </is>
      </c>
      <c r="B226" t="inlineStr">
        <is>
          <t>ORIG_BAL x CHANNEL</t>
        </is>
      </c>
      <c r="C226" t="inlineStr">
        <is>
          <t>5,005 - 15,448</t>
        </is>
      </c>
      <c r="D226" t="inlineStr">
        <is>
          <t>Online</t>
        </is>
      </c>
      <c r="E226" t="inlineStr">
        <is>
          <t>gco_rate</t>
        </is>
      </c>
      <c r="F226" t="inlineStr">
        <is>
          <t>GCO per booked dollar</t>
        </is>
      </c>
      <c r="G226" t="n">
        <v>544</v>
      </c>
      <c r="H226" t="n">
        <v>5511902.469999999</v>
      </c>
      <c r="I226" t="b">
        <v>0</v>
      </c>
      <c r="J226" t="b">
        <v>0</v>
      </c>
      <c r="K226" t="n">
        <v>1.036701310805852</v>
      </c>
      <c r="L226" t="n">
        <v>0.882111788821118</v>
      </c>
      <c r="M226" t="n">
        <v>1.063556469663649</v>
      </c>
      <c r="N226" t="n">
        <v>0.8321167883211679</v>
      </c>
      <c r="O226" t="n">
        <v>8409.904097590916</v>
      </c>
      <c r="P226" t="n">
        <v>14195.88025539485</v>
      </c>
      <c r="Q226">
        <f>'_live'!$C$22</f>
        <v/>
      </c>
      <c r="R226" t="inlineStr">
        <is>
          <t>shuffled: 8,424 of 10,000</t>
        </is>
      </c>
      <c r="S226" t="inlineStr">
        <is>
          <t>shuffled: 7,612 of 10,000</t>
        </is>
      </c>
      <c r="T226" t="n">
        <v>0.04157267243925112</v>
      </c>
      <c r="U226" t="n">
        <v>0.04052294846657641</v>
      </c>
      <c r="V226">
        <f>AND(judged_band,NOT($J226))</f>
        <v/>
      </c>
      <c r="W226">
        <f>IF($K226="","",IF($I226,"too few losses to test",IF(AND($K226&gt;better_at,$K226&lt;worse_at),"in line",IF($K226&gt;=worse_at,IF(AND(ISNUMBER($L226),$L226&lt;significance_bar),"worse","worse, not significant"),IF(AND(ISNUMBER($L226),$L226&lt;significance_bar),"better","better, not significant")))))</f>
        <v/>
      </c>
      <c r="X226">
        <f>IF($M226="","",IF($I226,"too few losses to test",IF(AND($M226&gt;better_at,$M226&lt;worse_at),"in line",IF($M226&gt;=worse_at,IF(AND(ISNUMBER($N226),$N226&lt;significance_bar),"worse","worse, not significant"),IF(AND(ISNUMBER($N226),$N226&lt;significance_bar),"better","better, not significant")))))</f>
        <v/>
      </c>
      <c r="Y226">
        <f>IF($V226,$X226,$W226)</f>
        <v/>
      </c>
      <c r="Z226">
        <f>IF($V226,IF($P226="","",$P226),IF($O226="","",$O226))</f>
        <v/>
      </c>
      <c r="AA226">
        <f>IF(OR($Q226="",$Z226=""),"",IF(AND($Z226&gt;0,$Z226&gt;=$Q226),"yes","below the line"))</f>
        <v/>
      </c>
      <c r="AB226">
        <f>IF($V226,IF($M226="","",$M226),IF($K226="","",$K226))</f>
        <v/>
      </c>
      <c r="AC226">
        <f>IF($V226,IF($N226="","",$N226),IF($L226="","",$L226))</f>
        <v/>
      </c>
      <c r="AD226">
        <f>$Y226</f>
        <v/>
      </c>
      <c r="AE226">
        <f>IF($V226,IF($S226="","",$S226),IF($R226="","",$R226))</f>
        <v/>
      </c>
      <c r="AF226">
        <f>IF($V226,IF($U226="","",$U226),IF($T226="","",$T226))</f>
        <v/>
      </c>
      <c r="AG226">
        <f>IF($V226,IF($O226="","",$O226),IF($P226="","",$P226))</f>
        <v/>
      </c>
      <c r="AH226" t="n">
        <v>0.04309844401147397</v>
      </c>
      <c r="AI226">
        <f>IF($Y226="worse","Yes",IF($Y226="worse, not significant","Not sure",IF(OR($Y226="too few losses to test",$Y226="too few loans to test"),"Too few losses",IF($Y226="","","No"))))</f>
        <v/>
      </c>
      <c r="AJ226">
        <f>IF($AA226="yes","Yes",IF($AA226="","","No"))</f>
        <v/>
      </c>
    </row>
    <row r="227">
      <c r="A227" t="inlineStr">
        <is>
          <t>grids</t>
        </is>
      </c>
      <c r="B227" t="inlineStr">
        <is>
          <t>ORIG_BAL x CHANNEL</t>
        </is>
      </c>
      <c r="C227" t="inlineStr">
        <is>
          <t>5,005 - 15,448</t>
        </is>
      </c>
      <c r="D227" t="inlineStr">
        <is>
          <t>Online</t>
        </is>
      </c>
      <c r="E227" t="inlineStr">
        <is>
          <t>ranr_rate</t>
        </is>
      </c>
      <c r="F227" t="inlineStr">
        <is>
          <t>Profit after losses: RANR per booked dollar</t>
        </is>
      </c>
      <c r="G227" t="n">
        <v>544</v>
      </c>
      <c r="H227" t="n">
        <v>5511902.469999999</v>
      </c>
      <c r="I227" t="b">
        <v>0</v>
      </c>
      <c r="J227" t="b">
        <v>0</v>
      </c>
      <c r="K227" t="n">
        <v>0.02799088384130158</v>
      </c>
      <c r="L227" t="n">
        <v>0.008999100089991</v>
      </c>
      <c r="M227" t="n">
        <v>0.0131776326666897</v>
      </c>
      <c r="N227" t="n">
        <v>0.3209679032096791</v>
      </c>
      <c r="O227" t="n">
        <v>-154283.0217823533</v>
      </c>
      <c r="P227" t="n">
        <v>-72633.82604427962</v>
      </c>
      <c r="Q227">
        <f>'_live'!$C$23</f>
        <v/>
      </c>
      <c r="R227" t="inlineStr">
        <is>
          <t>shuffled: 11 of 10,000</t>
        </is>
      </c>
      <c r="S227" t="inlineStr">
        <is>
          <t>shuffled: 1,925 of 10,000</t>
        </is>
      </c>
      <c r="T227" t="n">
        <v>0.1273922120428315</v>
      </c>
      <c r="U227" t="n">
        <v>0.1422054632174434</v>
      </c>
      <c r="V227">
        <f>AND(judged_band,NOT($J227))</f>
        <v/>
      </c>
      <c r="W227">
        <f>IF($K227="","",IF(profit_kind="test",IF(OR(NOT(AND(ISNUMBER($L227),$L227&lt;significance_bar)),$K227=0),"in line",IF($K227&lt;0,"worse","better")),IF(OR($K227=0,IF(profit_kind="points",ABS($K227),ABS($K227*$H227))&lt;profit_line*(1-1E-9)),"in line",IF(AND(ISNUMBER($L227),$L227&lt;significance_bar),IF($K227&lt;0,"worse","better"),IF($K227&lt;0,"worse, not significant","better, not significant")))))</f>
        <v/>
      </c>
      <c r="X227">
        <f>IF($M227="","",IF(profit_kind="test",IF(OR(NOT(AND(ISNUMBER($N227),$N227&lt;significance_bar)),$M227=0),"in line",IF($M227&lt;0,"worse","better")),IF(OR($M227=0,IF(profit_kind="points",ABS($M227),ABS($M227*$H227))&lt;profit_line*(1-1E-9)),"in line",IF(AND(ISNUMBER($N227),$N227&lt;significance_bar),IF($M227&lt;0,"worse","better"),IF($M227&lt;0,"worse, not significant","better, not significant")))))</f>
        <v/>
      </c>
      <c r="Y227">
        <f>IF($V227,$X227,$W227)</f>
        <v/>
      </c>
      <c r="Z227">
        <f>IF($V227,IF($P227="","",$P227),IF($O227="","",$O227))</f>
        <v/>
      </c>
      <c r="AA227">
        <f>IF(OR($Q227="",$Z227=""),"",IF(AND($Z227&gt;0,$Z227&gt;=$Q227),"yes","below the line"))</f>
        <v/>
      </c>
      <c r="AB227">
        <f>IF($V227,IF($M227="","",$M227),IF($K227="","",$K227))</f>
        <v/>
      </c>
      <c r="AC227">
        <f>IF($V227,IF($N227="","",$N227),IF($L227="","",$L227))</f>
        <v/>
      </c>
      <c r="AD227">
        <f>IF($Y227="","",IF($Y227="in line",IF(profit_kind="test",IF(ROUND($AB227*100,2)=0,"0.00",TEXT($AB227*100,"+0.00;-0.00"))&amp;" points against "&amp;IF($V227,"its band","the book")&amp;", "&amp;IF($AC227="","not tested","not significant"),IF(profit_kind="points","within "&amp;TEXT(profit_line*100,"0.00")&amp;" points of "&amp;IF($V227,"its band","the book")&amp;" ("&amp;IF(ROUND($AB227*100,2)=0,"0.00",TEXT($AB227*100,"+0.00;-0.00"))&amp;")","within $"&amp;TEXT(profit_line,"#,##0")&amp;" of "&amp;IF($V227,"its band","the book")&amp;" ("&amp;IF(ROUND($AB227*100,2)=0,"0.00",TEXT($AB227*100,"+0.00;-0.00"))&amp;" points)")),IF(LEFT($Y227,5)="worse","short of ","ahead of ")&amp;IF($V227,"its band","the book")&amp;" by "&amp;TEXT(ABS($AB227)*100,"0.00")&amp;" points"&amp;IF($Z227="",""," ($"&amp;TEXT(ABS($Z227),"#,##0")&amp;")")&amp;IF(RIGHT($Y227,15)="not significant"," (not significant)","")))</f>
        <v/>
      </c>
      <c r="AE227">
        <f>IF($V227,IF($S227="","",$S227),IF($R227="","",$R227))</f>
        <v/>
      </c>
      <c r="AF227">
        <f>IF($V227,IF($U227="","",$U227),IF($T227="","",$T227))</f>
        <v/>
      </c>
      <c r="AG227">
        <f>IF($V227,IF($O227="","",$O227),IF($P227="","",$P227))</f>
        <v/>
      </c>
      <c r="AH227" t="n">
        <v>0.1553830958841331</v>
      </c>
      <c r="AI227">
        <f>IF($Y227="worse","Yes",IF($Y227="worse, not significant","Not sure",IF(OR($Y227="too few losses to test",$Y227="too few loans to test"),"Too few losses",IF($Y227="","","No"))))</f>
        <v/>
      </c>
      <c r="AJ227">
        <f>IF($AA227="yes","Yes",IF($AA227="","","No"))</f>
        <v/>
      </c>
    </row>
    <row r="228">
      <c r="A228" t="inlineStr">
        <is>
          <t>grids</t>
        </is>
      </c>
      <c r="B228" t="inlineStr">
        <is>
          <t>ORIG_BAL x CHANNEL</t>
        </is>
      </c>
      <c r="C228" t="inlineStr">
        <is>
          <t>5,005 - 15,448</t>
        </is>
      </c>
      <c r="D228" t="inlineStr">
        <is>
          <t>Online</t>
        </is>
      </c>
      <c r="E228" t="inlineStr">
        <is>
          <t>contribution_rate</t>
        </is>
      </c>
      <c r="F228" t="inlineStr">
        <is>
          <t>Contribution before losses per booked dollar</t>
        </is>
      </c>
      <c r="G228" t="n">
        <v>544</v>
      </c>
      <c r="H228" t="n">
        <v>5511902.469999999</v>
      </c>
      <c r="I228" t="b">
        <v>0</v>
      </c>
      <c r="J228" t="b">
        <v>0</v>
      </c>
      <c r="K228" t="n">
        <v>0.02951967102476458</v>
      </c>
      <c r="L228" t="n">
        <v>0.0014998500149985</v>
      </c>
      <c r="M228" t="n">
        <v>0.01575312821158734</v>
      </c>
      <c r="N228" t="n">
        <v>0.03621066464782093</v>
      </c>
      <c r="O228" t="n">
        <v>-162709.5476349873</v>
      </c>
      <c r="P228" t="n">
        <v>-86829.70629967493</v>
      </c>
      <c r="Q228">
        <f>'_live'!$C$24</f>
        <v/>
      </c>
      <c r="R228" t="inlineStr">
        <is>
          <t>shuffled: 0 of 10,000</t>
        </is>
      </c>
      <c r="S228" t="inlineStr">
        <is>
          <t>shuffled: 168 of 10,000</t>
        </is>
      </c>
      <c r="T228" t="n">
        <v>0.1689618688708426</v>
      </c>
      <c r="U228" t="n">
        <v>0.1827284116840198</v>
      </c>
      <c r="V228">
        <f>AND(judged_band,NOT($J228))</f>
        <v/>
      </c>
      <c r="W228">
        <f>IF($K228="","",IF(profit_kind="test",IF(OR(NOT(AND(ISNUMBER($L228),$L228&lt;significance_bar)),$K228=0),"in line",IF($K228&lt;0,"worse","better")),IF(OR($K228=0,IF(profit_kind="points",ABS($K228),ABS($K228*$H228))&lt;profit_line*(1-1E-9)),"in line",IF(AND(ISNUMBER($L228),$L228&lt;significance_bar),IF($K228&lt;0,"worse","better"),IF($K228&lt;0,"worse, not significant","better, not significant")))))</f>
        <v/>
      </c>
      <c r="X228">
        <f>IF($M228="","",IF(profit_kind="test",IF(OR(NOT(AND(ISNUMBER($N228),$N228&lt;significance_bar)),$M228=0),"in line",IF($M228&lt;0,"worse","better")),IF(OR($M228=0,IF(profit_kind="points",ABS($M228),ABS($M228*$H228))&lt;profit_line*(1-1E-9)),"in line",IF(AND(ISNUMBER($N228),$N228&lt;significance_bar),IF($M228&lt;0,"worse","better"),IF($M228&lt;0,"worse, not significant","better, not significant")))))</f>
        <v/>
      </c>
      <c r="Y228">
        <f>IF($V228,$X228,$W228)</f>
        <v/>
      </c>
      <c r="Z228">
        <f>IF($V228,IF($P228="","",$P228),IF($O228="","",$O228))</f>
        <v/>
      </c>
      <c r="AA228">
        <f>IF(OR($Q228="",$Z228=""),"",IF(AND($Z228&gt;0,$Z228&gt;=$Q228),"yes","below the line"))</f>
        <v/>
      </c>
      <c r="AB228">
        <f>IF($V228,IF($M228="","",$M228),IF($K228="","",$K228))</f>
        <v/>
      </c>
      <c r="AC228">
        <f>IF($V228,IF($N228="","",$N228),IF($L228="","",$L228))</f>
        <v/>
      </c>
      <c r="AD228">
        <f>IF($Y228="","",IF($Y228="in line",IF(profit_kind="test",IF(ROUND($AB228*100,2)=0,"0.00",TEXT($AB228*100,"+0.00;-0.00"))&amp;" points against "&amp;IF($V228,"its band","the book")&amp;", "&amp;IF($AC228="","not tested","not significant"),IF(profit_kind="points","within "&amp;TEXT(profit_line*100,"0.00")&amp;" points of "&amp;IF($V228,"its band","the book")&amp;" ("&amp;IF(ROUND($AB228*100,2)=0,"0.00",TEXT($AB228*100,"+0.00;-0.00"))&amp;")","within $"&amp;TEXT(profit_line,"#,##0")&amp;" of "&amp;IF($V228,"its band","the book")&amp;" ("&amp;IF(ROUND($AB228*100,2)=0,"0.00",TEXT($AB228*100,"+0.00;-0.00"))&amp;" points)")),IF(LEFT($Y228,5)="worse","short of ","ahead of ")&amp;IF($V228,"its band","the book")&amp;" by "&amp;TEXT(ABS($AB228)*100,"0.00")&amp;" points"&amp;IF($Z228="",""," ($"&amp;TEXT(ABS($Z228),"#,##0")&amp;")")&amp;IF(RIGHT($Y228,15)="not significant"," (not significant)","")))</f>
        <v/>
      </c>
      <c r="AE228">
        <f>IF($V228,IF($S228="","",$S228),IF($R228="","",$R228))</f>
        <v/>
      </c>
      <c r="AF228">
        <f>IF($V228,IF($U228="","",$U228),IF($T228="","",$T228))</f>
        <v/>
      </c>
      <c r="AG228">
        <f>IF($V228,IF($O228="","",$O228),IF($P228="","",$P228))</f>
        <v/>
      </c>
      <c r="AH228" t="n">
        <v>0.1984815398956072</v>
      </c>
      <c r="AI228">
        <f>IF($Y228="worse","Yes",IF($Y228="worse, not significant","Not sure",IF(OR($Y228="too few losses to test",$Y228="too few loans to test"),"Too few losses",IF($Y228="","","No"))))</f>
        <v/>
      </c>
      <c r="AJ228">
        <f>IF($AA228="yes","Yes",IF($AA228="","","No"))</f>
        <v/>
      </c>
    </row>
    <row r="229">
      <c r="A229" t="inlineStr">
        <is>
          <t>grids</t>
        </is>
      </c>
      <c r="B229" t="inlineStr">
        <is>
          <t>ORIG_BAL x CHANNEL</t>
        </is>
      </c>
      <c r="C229" t="inlineStr">
        <is>
          <t>26,324 - 37,950</t>
        </is>
      </c>
      <c r="D229" t="inlineStr">
        <is>
          <t>Broker</t>
        </is>
      </c>
      <c r="E229" t="inlineStr">
        <is>
          <t>outcome_loans</t>
        </is>
      </c>
      <c r="F229" t="inlineStr">
        <is>
          <t>Outcome, share of loans</t>
        </is>
      </c>
      <c r="G229" t="n">
        <v>553</v>
      </c>
      <c r="H229" t="n">
        <v>553</v>
      </c>
      <c r="I229" t="b">
        <v>0</v>
      </c>
      <c r="J229" t="b">
        <v>0</v>
      </c>
      <c r="K229" t="n">
        <v>0.9551111583874057</v>
      </c>
      <c r="L229" t="n">
        <v>0.8704829872411327</v>
      </c>
      <c r="M229" t="n">
        <v>1.122860811908693</v>
      </c>
      <c r="N229" t="n">
        <v>0.8666810512748745</v>
      </c>
      <c r="O229" t="n">
        <v>-1.926940639269404</v>
      </c>
      <c r="P229" t="n">
        <v>4.48612440191387</v>
      </c>
      <c r="Q229">
        <f>'_live'!$C$20</f>
        <v/>
      </c>
      <c r="R229" t="inlineStr">
        <is>
          <t>z test</t>
        </is>
      </c>
      <c r="S229" t="inlineStr">
        <is>
          <t>z test</t>
        </is>
      </c>
      <c r="T229" t="n">
        <v>0.0776255707762557</v>
      </c>
      <c r="U229" t="n">
        <v>0.0660287081339713</v>
      </c>
      <c r="V229">
        <f>AND(judged_band,NOT($J229))</f>
        <v/>
      </c>
      <c r="W229">
        <f>IF($K229="","",IF($I229,"too few losses to test",IF(AND($K229&gt;better_at,$K229&lt;worse_at),"in line",IF($K229&gt;=worse_at,IF(AND(ISNUMBER($L229),$L229&lt;significance_bar),"worse","worse, not significant"),IF(AND(ISNUMBER($L229),$L229&lt;significance_bar),"better","better, not significant")))))</f>
        <v/>
      </c>
      <c r="X229">
        <f>IF($M229="","",IF($I229,"too few losses to test",IF(AND($M229&gt;better_at,$M229&lt;worse_at),"in line",IF($M229&gt;=worse_at,IF(AND(ISNUMBER($N229),$N229&lt;significance_bar),"worse","worse, not significant"),IF(AND(ISNUMBER($N229),$N229&lt;significance_bar),"better","better, not significant")))))</f>
        <v/>
      </c>
      <c r="Y229">
        <f>IF($V229,$X229,$W229)</f>
        <v/>
      </c>
      <c r="Z229">
        <f>IF($V229,IF($P229="","",$P229),IF($O229="","",$O229))</f>
        <v/>
      </c>
      <c r="AA229">
        <f>IF(OR($Q229="",$Z229=""),"",IF(AND($Z229&gt;0,$Z229&gt;=$Q229),"yes","below the line"))</f>
        <v/>
      </c>
      <c r="AB229">
        <f>IF($V229,IF($M229="","",$M229),IF($K229="","",$K229))</f>
        <v/>
      </c>
      <c r="AC229">
        <f>IF($V229,IF($N229="","",$N229),IF($L229="","",$L229))</f>
        <v/>
      </c>
      <c r="AD229">
        <f>$Y229</f>
        <v/>
      </c>
      <c r="AE229">
        <f>IF($V229,IF($S229="","",$S229),IF($R229="","",$R229))</f>
        <v/>
      </c>
      <c r="AF229">
        <f>IF($V229,IF($U229="","",$U229),IF($T229="","",$T229))</f>
        <v/>
      </c>
      <c r="AG229">
        <f>IF($V229,IF($O229="","",$O229),IF($P229="","",$P229))</f>
        <v/>
      </c>
      <c r="AH229" t="n">
        <v>0.07414104882459313</v>
      </c>
      <c r="AI229">
        <f>IF($Y229="worse","Yes",IF($Y229="worse, not significant","Not sure",IF(OR($Y229="too few losses to test",$Y229="too few loans to test"),"Too few losses",IF($Y229="","","No"))))</f>
        <v/>
      </c>
      <c r="AJ229">
        <f>IF($AA229="yes","Yes",IF($AA229="","","No"))</f>
        <v/>
      </c>
    </row>
    <row r="230">
      <c r="A230" t="inlineStr">
        <is>
          <t>grids</t>
        </is>
      </c>
      <c r="B230" t="inlineStr">
        <is>
          <t>ORIG_BAL x CHANNEL</t>
        </is>
      </c>
      <c r="C230" t="inlineStr">
        <is>
          <t>26,324 - 37,950</t>
        </is>
      </c>
      <c r="D230" t="inlineStr">
        <is>
          <t>Broker</t>
        </is>
      </c>
      <c r="E230" t="inlineStr">
        <is>
          <t>outcome_booked</t>
        </is>
      </c>
      <c r="F230" t="inlineStr">
        <is>
          <t>Outcome, share of booked dollars</t>
        </is>
      </c>
      <c r="G230" t="n">
        <v>553</v>
      </c>
      <c r="H230" t="n">
        <v>17868104.62000001</v>
      </c>
      <c r="I230" t="b">
        <v>0</v>
      </c>
      <c r="J230" t="b">
        <v>0</v>
      </c>
      <c r="K230" t="n">
        <v>0.9875884263258062</v>
      </c>
      <c r="L230" t="n">
        <v>0.9406059394060594</v>
      </c>
      <c r="M230" t="n">
        <v>1.135231912861252</v>
      </c>
      <c r="N230" t="n">
        <v>0.9292820717928207</v>
      </c>
      <c r="O230" t="n">
        <v>-16609.17037781002</v>
      </c>
      <c r="P230" t="n">
        <v>157431.5177210986</v>
      </c>
      <c r="Q230">
        <f>'_live'!$C$21</f>
        <v/>
      </c>
      <c r="R230" t="inlineStr">
        <is>
          <t>shuffled: 9,406 of 10,000</t>
        </is>
      </c>
      <c r="S230" t="inlineStr">
        <is>
          <t>shuffled: 5,091 of 10,000</t>
        </is>
      </c>
      <c r="T230" t="n">
        <v>0.0748932373543383</v>
      </c>
      <c r="U230" t="n">
        <v>0.06515293798850055</v>
      </c>
      <c r="V230">
        <f>AND(judged_band,NOT($J230))</f>
        <v/>
      </c>
      <c r="W230">
        <f>IF($K230="","",IF($I230,"too few losses to test",IF(AND($K230&gt;better_at,$K230&lt;worse_at),"in line",IF($K230&gt;=worse_at,IF(AND(ISNUMBER($L230),$L230&lt;significance_bar),"worse","worse, not significant"),IF(AND(ISNUMBER($L230),$L230&lt;significance_bar),"better","better, not significant")))))</f>
        <v/>
      </c>
      <c r="X230">
        <f>IF($M230="","",IF($I230,"too few losses to test",IF(AND($M230&gt;better_at,$M230&lt;worse_at),"in line",IF($M230&gt;=worse_at,IF(AND(ISNUMBER($N230),$N230&lt;significance_bar),"worse","worse, not significant"),IF(AND(ISNUMBER($N230),$N230&lt;significance_bar),"better","better, not significant")))))</f>
        <v/>
      </c>
      <c r="Y230">
        <f>IF($V230,$X230,$W230)</f>
        <v/>
      </c>
      <c r="Z230">
        <f>IF($V230,IF($P230="","",$P230),IF($O230="","",$O230))</f>
        <v/>
      </c>
      <c r="AA230">
        <f>IF(OR($Q230="",$Z230=""),"",IF(AND($Z230&gt;0,$Z230&gt;=$Q230),"yes","below the line"))</f>
        <v/>
      </c>
      <c r="AB230">
        <f>IF($V230,IF($M230="","",$M230),IF($K230="","",$K230))</f>
        <v/>
      </c>
      <c r="AC230">
        <f>IF($V230,IF($N230="","",$N230),IF($L230="","",$L230))</f>
        <v/>
      </c>
      <c r="AD230">
        <f>$Y230</f>
        <v/>
      </c>
      <c r="AE230">
        <f>IF($V230,IF($S230="","",$S230),IF($R230="","",$R230))</f>
        <v/>
      </c>
      <c r="AF230">
        <f>IF($V230,IF($U230="","",$U230),IF($T230="","",$T230))</f>
        <v/>
      </c>
      <c r="AG230">
        <f>IF($V230,IF($O230="","",$O230),IF($P230="","",$P230))</f>
        <v/>
      </c>
      <c r="AH230" t="n">
        <v>0.07396369442121604</v>
      </c>
      <c r="AI230">
        <f>IF($Y230="worse","Yes",IF($Y230="worse, not significant","Not sure",IF(OR($Y230="too few losses to test",$Y230="too few loans to test"),"Too few losses",IF($Y230="","","No"))))</f>
        <v/>
      </c>
      <c r="AJ230">
        <f>IF($AA230="yes","Yes",IF($AA230="","","No"))</f>
        <v/>
      </c>
    </row>
    <row r="231">
      <c r="A231" t="inlineStr">
        <is>
          <t>grids</t>
        </is>
      </c>
      <c r="B231" t="inlineStr">
        <is>
          <t>ORIG_BAL x CHANNEL</t>
        </is>
      </c>
      <c r="C231" t="inlineStr">
        <is>
          <t>26,324 - 37,950</t>
        </is>
      </c>
      <c r="D231" t="inlineStr">
        <is>
          <t>Broker</t>
        </is>
      </c>
      <c r="E231" t="inlineStr">
        <is>
          <t>gco_rate</t>
        </is>
      </c>
      <c r="F231" t="inlineStr">
        <is>
          <t>GCO per booked dollar</t>
        </is>
      </c>
      <c r="G231" t="n">
        <v>553</v>
      </c>
      <c r="H231" t="n">
        <v>17868104.62000001</v>
      </c>
      <c r="I231" t="b">
        <v>0</v>
      </c>
      <c r="J231" t="b">
        <v>0</v>
      </c>
      <c r="K231" t="n">
        <v>0.9738071778531984</v>
      </c>
      <c r="L231" t="n">
        <v>0.882111788821118</v>
      </c>
      <c r="M231" t="n">
        <v>1.134519496040276</v>
      </c>
      <c r="N231" t="n">
        <v>0.8321167883211679</v>
      </c>
      <c r="O231" t="n">
        <v>-19507.31609138392</v>
      </c>
      <c r="P231" t="n">
        <v>85992.67656812351</v>
      </c>
      <c r="Q231">
        <f>'_live'!$C$22</f>
        <v/>
      </c>
      <c r="R231" t="inlineStr">
        <is>
          <t>shuffled: 8,821 of 10,000</t>
        </is>
      </c>
      <c r="S231" t="inlineStr">
        <is>
          <t>shuffled: 5,171 of 10,000</t>
        </is>
      </c>
      <c r="T231" t="n">
        <v>0.04168086665766253</v>
      </c>
      <c r="U231" t="n">
        <v>0.03577649152089397</v>
      </c>
      <c r="V231">
        <f>AND(judged_band,NOT($J231))</f>
        <v/>
      </c>
      <c r="W231">
        <f>IF($K231="","",IF($I231,"too few losses to test",IF(AND($K231&gt;better_at,$K231&lt;worse_at),"in line",IF($K231&gt;=worse_at,IF(AND(ISNUMBER($L231),$L231&lt;significance_bar),"worse","worse, not significant"),IF(AND(ISNUMBER($L231),$L231&lt;significance_bar),"better","better, not significant")))))</f>
        <v/>
      </c>
      <c r="X231">
        <f>IF($M231="","",IF($I231,"too few losses to test",IF(AND($M231&gt;better_at,$M231&lt;worse_at),"in line",IF($M231&gt;=worse_at,IF(AND(ISNUMBER($N231),$N231&lt;significance_bar),"worse","worse, not significant"),IF(AND(ISNUMBER($N231),$N231&lt;significance_bar),"better","better, not significant")))))</f>
        <v/>
      </c>
      <c r="Y231">
        <f>IF($V231,$X231,$W231)</f>
        <v/>
      </c>
      <c r="Z231">
        <f>IF($V231,IF($P231="","",$P231),IF($O231="","",$O231))</f>
        <v/>
      </c>
      <c r="AA231">
        <f>IF(OR($Q231="",$Z231=""),"",IF(AND($Z231&gt;0,$Z231&gt;=$Q231),"yes","below the line"))</f>
        <v/>
      </c>
      <c r="AB231">
        <f>IF($V231,IF($M231="","",$M231),IF($K231="","",$K231))</f>
        <v/>
      </c>
      <c r="AC231">
        <f>IF($V231,IF($N231="","",$N231),IF($L231="","",$L231))</f>
        <v/>
      </c>
      <c r="AD231">
        <f>$Y231</f>
        <v/>
      </c>
      <c r="AE231">
        <f>IF($V231,IF($S231="","",$S231),IF($R231="","",$R231))</f>
        <v/>
      </c>
      <c r="AF231">
        <f>IF($V231,IF($U231="","",$U231),IF($T231="","",$T231))</f>
        <v/>
      </c>
      <c r="AG231">
        <f>IF($V231,IF($O231="","",$O231),IF($P231="","",$P231))</f>
        <v/>
      </c>
      <c r="AH231" t="n">
        <v>0.04058912713037382</v>
      </c>
      <c r="AI231">
        <f>IF($Y231="worse","Yes",IF($Y231="worse, not significant","Not sure",IF(OR($Y231="too few losses to test",$Y231="too few loans to test"),"Too few losses",IF($Y231="","","No"))))</f>
        <v/>
      </c>
      <c r="AJ231">
        <f>IF($AA231="yes","Yes",IF($AA231="","","No"))</f>
        <v/>
      </c>
    </row>
    <row r="232">
      <c r="A232" t="inlineStr">
        <is>
          <t>grids</t>
        </is>
      </c>
      <c r="B232" t="inlineStr">
        <is>
          <t>ORIG_BAL x CHANNEL</t>
        </is>
      </c>
      <c r="C232" t="inlineStr">
        <is>
          <t>26,324 - 37,950</t>
        </is>
      </c>
      <c r="D232" t="inlineStr">
        <is>
          <t>Broker</t>
        </is>
      </c>
      <c r="E232" t="inlineStr">
        <is>
          <t>ranr_rate</t>
        </is>
      </c>
      <c r="F232" t="inlineStr">
        <is>
          <t>Profit after losses: RANR per booked dollar</t>
        </is>
      </c>
      <c r="G232" t="n">
        <v>553</v>
      </c>
      <c r="H232" t="n">
        <v>17868104.62000001</v>
      </c>
      <c r="I232" t="b">
        <v>0</v>
      </c>
      <c r="J232" t="b">
        <v>0</v>
      </c>
      <c r="K232" t="n">
        <v>-0.009926100631210397</v>
      </c>
      <c r="L232" t="n">
        <v>0.3355914408559144</v>
      </c>
      <c r="M232" t="n">
        <v>-0.01924232918911543</v>
      </c>
      <c r="N232" t="n">
        <v>0.08420586512777294</v>
      </c>
      <c r="O232" t="n">
        <v>177360.6045471155</v>
      </c>
      <c r="P232" t="n">
        <v>343823.9510835945</v>
      </c>
      <c r="Q232">
        <f>'_live'!$C$23</f>
        <v/>
      </c>
      <c r="R232" t="inlineStr">
        <is>
          <t>shuffled: 2,684 of 10,000</t>
        </is>
      </c>
      <c r="S232" t="inlineStr">
        <is>
          <t>shuffled: 392 of 10,000</t>
        </is>
      </c>
      <c r="T232" t="n">
        <v>0.1286773115248926</v>
      </c>
      <c r="U232" t="n">
        <v>0.1379935400827976</v>
      </c>
      <c r="V232">
        <f>AND(judged_band,NOT($J232))</f>
        <v/>
      </c>
      <c r="W232">
        <f>IF($K232="","",IF(profit_kind="test",IF(OR(NOT(AND(ISNUMBER($L232),$L232&lt;significance_bar)),$K232=0),"in line",IF($K232&lt;0,"worse","better")),IF(OR($K232=0,IF(profit_kind="points",ABS($K232),ABS($K232*$H232))&lt;profit_line*(1-1E-9)),"in line",IF(AND(ISNUMBER($L232),$L232&lt;significance_bar),IF($K232&lt;0,"worse","better"),IF($K232&lt;0,"worse, not significant","better, not significant")))))</f>
        <v/>
      </c>
      <c r="X232">
        <f>IF($M232="","",IF(profit_kind="test",IF(OR(NOT(AND(ISNUMBER($N232),$N232&lt;significance_bar)),$M232=0),"in line",IF($M232&lt;0,"worse","better")),IF(OR($M232=0,IF(profit_kind="points",ABS($M232),ABS($M232*$H232))&lt;profit_line*(1-1E-9)),"in line",IF(AND(ISNUMBER($N232),$N232&lt;significance_bar),IF($M232&lt;0,"worse","better"),IF($M232&lt;0,"worse, not significant","better, not significant")))))</f>
        <v/>
      </c>
      <c r="Y232">
        <f>IF($V232,$X232,$W232)</f>
        <v/>
      </c>
      <c r="Z232">
        <f>IF($V232,IF($P232="","",$P232),IF($O232="","",$O232))</f>
        <v/>
      </c>
      <c r="AA232">
        <f>IF(OR($Q232="",$Z232=""),"",IF(AND($Z232&gt;0,$Z232&gt;=$Q232),"yes","below the line"))</f>
        <v/>
      </c>
      <c r="AB232">
        <f>IF($V232,IF($M232="","",$M232),IF($K232="","",$K232))</f>
        <v/>
      </c>
      <c r="AC232">
        <f>IF($V232,IF($N232="","",$N232),IF($L232="","",$L232))</f>
        <v/>
      </c>
      <c r="AD232">
        <f>IF($Y232="","",IF($Y232="in line",IF(profit_kind="test",IF(ROUND($AB232*100,2)=0,"0.00",TEXT($AB232*100,"+0.00;-0.00"))&amp;" points against "&amp;IF($V232,"its band","the book")&amp;", "&amp;IF($AC232="","not tested","not significant"),IF(profit_kind="points","within "&amp;TEXT(profit_line*100,"0.00")&amp;" points of "&amp;IF($V232,"its band","the book")&amp;" ("&amp;IF(ROUND($AB232*100,2)=0,"0.00",TEXT($AB232*100,"+0.00;-0.00"))&amp;")","within $"&amp;TEXT(profit_line,"#,##0")&amp;" of "&amp;IF($V232,"its band","the book")&amp;" ("&amp;IF(ROUND($AB232*100,2)=0,"0.00",TEXT($AB232*100,"+0.00;-0.00"))&amp;" points)")),IF(LEFT($Y232,5)="worse","short of ","ahead of ")&amp;IF($V232,"its band","the book")&amp;" by "&amp;TEXT(ABS($AB232)*100,"0.00")&amp;" points"&amp;IF($Z232="",""," ($"&amp;TEXT(ABS($Z232),"#,##0")&amp;")")&amp;IF(RIGHT($Y232,15)="not significant"," (not significant)","")))</f>
        <v/>
      </c>
      <c r="AE232">
        <f>IF($V232,IF($S232="","",$S232),IF($R232="","",$R232))</f>
        <v/>
      </c>
      <c r="AF232">
        <f>IF($V232,IF($U232="","",$U232),IF($T232="","",$T232))</f>
        <v/>
      </c>
      <c r="AG232">
        <f>IF($V232,IF($O232="","",$O232),IF($P232="","",$P232))</f>
        <v/>
      </c>
      <c r="AH232" t="n">
        <v>0.1187512108936822</v>
      </c>
      <c r="AI232">
        <f>IF($Y232="worse","Yes",IF($Y232="worse, not significant","Not sure",IF(OR($Y232="too few losses to test",$Y232="too few loans to test"),"Too few losses",IF($Y232="","","No"))))</f>
        <v/>
      </c>
      <c r="AJ232">
        <f>IF($AA232="yes","Yes",IF($AA232="","","No"))</f>
        <v/>
      </c>
    </row>
    <row r="233">
      <c r="A233" t="inlineStr">
        <is>
          <t>grids</t>
        </is>
      </c>
      <c r="B233" t="inlineStr">
        <is>
          <t>ORIG_BAL x CHANNEL</t>
        </is>
      </c>
      <c r="C233" t="inlineStr">
        <is>
          <t>26,324 - 37,950</t>
        </is>
      </c>
      <c r="D233" t="inlineStr">
        <is>
          <t>Broker</t>
        </is>
      </c>
      <c r="E233" t="inlineStr">
        <is>
          <t>contribution_rate</t>
        </is>
      </c>
      <c r="F233" t="inlineStr">
        <is>
          <t>Contribution before losses per booked dollar</t>
        </is>
      </c>
      <c r="G233" t="n">
        <v>553</v>
      </c>
      <c r="H233" t="n">
        <v>17868104.62000001</v>
      </c>
      <c r="I233" t="b">
        <v>0</v>
      </c>
      <c r="J233" t="b">
        <v>0</v>
      </c>
      <c r="K233" t="n">
        <v>-0.01101488174621298</v>
      </c>
      <c r="L233" t="n">
        <v>0.09884011598840116</v>
      </c>
      <c r="M233" t="n">
        <v>-0.01442969357963556</v>
      </c>
      <c r="N233" t="n">
        <v>0.042329100423291</v>
      </c>
      <c r="O233" t="n">
        <v>196815.059418262</v>
      </c>
      <c r="P233" t="n">
        <v>257831.2745154705</v>
      </c>
      <c r="Q233">
        <f>'_live'!$C$24</f>
        <v/>
      </c>
      <c r="R233" t="inlineStr">
        <is>
          <t>shuffled: 640 of 10,000</t>
        </is>
      </c>
      <c r="S233" t="inlineStr">
        <is>
          <t>shuffled: 253 of 10,000</t>
        </is>
      </c>
      <c r="T233" t="n">
        <v>0.170355219770269</v>
      </c>
      <c r="U233" t="n">
        <v>0.1737700316036916</v>
      </c>
      <c r="V233">
        <f>AND(judged_band,NOT($J233))</f>
        <v/>
      </c>
      <c r="W233">
        <f>IF($K233="","",IF(profit_kind="test",IF(OR(NOT(AND(ISNUMBER($L233),$L233&lt;significance_bar)),$K233=0),"in line",IF($K233&lt;0,"worse","better")),IF(OR($K233=0,IF(profit_kind="points",ABS($K233),ABS($K233*$H233))&lt;profit_line*(1-1E-9)),"in line",IF(AND(ISNUMBER($L233),$L233&lt;significance_bar),IF($K233&lt;0,"worse","better"),IF($K233&lt;0,"worse, not significant","better, not significant")))))</f>
        <v/>
      </c>
      <c r="X233">
        <f>IF($M233="","",IF(profit_kind="test",IF(OR(NOT(AND(ISNUMBER($N233),$N233&lt;significance_bar)),$M233=0),"in line",IF($M233&lt;0,"worse","better")),IF(OR($M233=0,IF(profit_kind="points",ABS($M233),ABS($M233*$H233))&lt;profit_line*(1-1E-9)),"in line",IF(AND(ISNUMBER($N233),$N233&lt;significance_bar),IF($M233&lt;0,"worse","better"),IF($M233&lt;0,"worse, not significant","better, not significant")))))</f>
        <v/>
      </c>
      <c r="Y233">
        <f>IF($V233,$X233,$W233)</f>
        <v/>
      </c>
      <c r="Z233">
        <f>IF($V233,IF($P233="","",$P233),IF($O233="","",$O233))</f>
        <v/>
      </c>
      <c r="AA233">
        <f>IF(OR($Q233="",$Z233=""),"",IF(AND($Z233&gt;0,$Z233&gt;=$Q233),"yes","below the line"))</f>
        <v/>
      </c>
      <c r="AB233">
        <f>IF($V233,IF($M233="","",$M233),IF($K233="","",$K233))</f>
        <v/>
      </c>
      <c r="AC233">
        <f>IF($V233,IF($N233="","",$N233),IF($L233="","",$L233))</f>
        <v/>
      </c>
      <c r="AD233">
        <f>IF($Y233="","",IF($Y233="in line",IF(profit_kind="test",IF(ROUND($AB233*100,2)=0,"0.00",TEXT($AB233*100,"+0.00;-0.00"))&amp;" points against "&amp;IF($V233,"its band","the book")&amp;", "&amp;IF($AC233="","not tested","not significant"),IF(profit_kind="points","within "&amp;TEXT(profit_line*100,"0.00")&amp;" points of "&amp;IF($V233,"its band","the book")&amp;" ("&amp;IF(ROUND($AB233*100,2)=0,"0.00",TEXT($AB233*100,"+0.00;-0.00"))&amp;")","within $"&amp;TEXT(profit_line,"#,##0")&amp;" of "&amp;IF($V233,"its band","the book")&amp;" ("&amp;IF(ROUND($AB233*100,2)=0,"0.00",TEXT($AB233*100,"+0.00;-0.00"))&amp;" points)")),IF(LEFT($Y233,5)="worse","short of ","ahead of ")&amp;IF($V233,"its band","the book")&amp;" by "&amp;TEXT(ABS($AB233)*100,"0.00")&amp;" points"&amp;IF($Z233="",""," ($"&amp;TEXT(ABS($Z233),"#,##0")&amp;")")&amp;IF(RIGHT($Y233,15)="not significant"," (not significant)","")))</f>
        <v/>
      </c>
      <c r="AE233">
        <f>IF($V233,IF($S233="","",$S233),IF($R233="","",$R233))</f>
        <v/>
      </c>
      <c r="AF233">
        <f>IF($V233,IF($U233="","",$U233),IF($T233="","",$T233))</f>
        <v/>
      </c>
      <c r="AG233">
        <f>IF($V233,IF($O233="","",$O233),IF($P233="","",$P233))</f>
        <v/>
      </c>
      <c r="AH233" t="n">
        <v>0.159340338024056</v>
      </c>
      <c r="AI233">
        <f>IF($Y233="worse","Yes",IF($Y233="worse, not significant","Not sure",IF(OR($Y233="too few losses to test",$Y233="too few loans to test"),"Too few losses",IF($Y233="","","No"))))</f>
        <v/>
      </c>
      <c r="AJ233">
        <f>IF($AA233="yes","Yes",IF($AA233="","","No"))</f>
        <v/>
      </c>
    </row>
    <row r="234">
      <c r="A234" t="inlineStr">
        <is>
          <t>grids</t>
        </is>
      </c>
      <c r="B234" t="inlineStr">
        <is>
          <t>ORIG_BAL x CHANNEL</t>
        </is>
      </c>
      <c r="C234" t="inlineStr">
        <is>
          <t>37,951 - 49,151</t>
        </is>
      </c>
      <c r="D234" t="inlineStr">
        <is>
          <t>Branch</t>
        </is>
      </c>
      <c r="E234" t="inlineStr">
        <is>
          <t>outcome_loans</t>
        </is>
      </c>
      <c r="F234" t="inlineStr">
        <is>
          <t>Outcome, share of loans</t>
        </is>
      </c>
      <c r="G234" t="n">
        <v>526</v>
      </c>
      <c r="H234" t="n">
        <v>526</v>
      </c>
      <c r="I234" t="b">
        <v>0</v>
      </c>
      <c r="J234" t="b">
        <v>0</v>
      </c>
      <c r="K234" t="n">
        <v>1.034148045152915</v>
      </c>
      <c r="L234" t="n">
        <v>0.8704829872411327</v>
      </c>
      <c r="M234" t="n">
        <v>0.9321375433956025</v>
      </c>
      <c r="N234" t="n">
        <v>0.8666810512748745</v>
      </c>
      <c r="O234" t="n">
        <v>1.386859360363978</v>
      </c>
      <c r="P234" t="n">
        <v>-3.057728119180638</v>
      </c>
      <c r="Q234">
        <f>'_live'!$C$20</f>
        <v/>
      </c>
      <c r="R234" t="inlineStr">
        <is>
          <t>z test</t>
        </is>
      </c>
      <c r="S234" t="inlineStr">
        <is>
          <t>z test</t>
        </is>
      </c>
      <c r="T234" t="n">
        <v>0.07721129399170347</v>
      </c>
      <c r="U234" t="n">
        <v>0.0856610800744879</v>
      </c>
      <c r="V234">
        <f>AND(judged_band,NOT($J234))</f>
        <v/>
      </c>
      <c r="W234">
        <f>IF($K234="","",IF($I234,"too few losses to test",IF(AND($K234&gt;better_at,$K234&lt;worse_at),"in line",IF($K234&gt;=worse_at,IF(AND(ISNUMBER($L234),$L234&lt;significance_bar),"worse","worse, not significant"),IF(AND(ISNUMBER($L234),$L234&lt;significance_bar),"better","better, not significant")))))</f>
        <v/>
      </c>
      <c r="X234">
        <f>IF($M234="","",IF($I234,"too few losses to test",IF(AND($M234&gt;better_at,$M234&lt;worse_at),"in line",IF($M234&gt;=worse_at,IF(AND(ISNUMBER($N234),$N234&lt;significance_bar),"worse","worse, not significant"),IF(AND(ISNUMBER($N234),$N234&lt;significance_bar),"better","better, not significant")))))</f>
        <v/>
      </c>
      <c r="Y234">
        <f>IF($V234,$X234,$W234)</f>
        <v/>
      </c>
      <c r="Z234">
        <f>IF($V234,IF($P234="","",$P234),IF($O234="","",$O234))</f>
        <v/>
      </c>
      <c r="AA234">
        <f>IF(OR($Q234="",$Z234=""),"",IF(AND($Z234&gt;0,$Z234&gt;=$Q234),"yes","below the line"))</f>
        <v/>
      </c>
      <c r="AB234">
        <f>IF($V234,IF($M234="","",$M234),IF($K234="","",$K234))</f>
        <v/>
      </c>
      <c r="AC234">
        <f>IF($V234,IF($N234="","",$N234),IF($L234="","",$L234))</f>
        <v/>
      </c>
      <c r="AD234">
        <f>$Y234</f>
        <v/>
      </c>
      <c r="AE234">
        <f>IF($V234,IF($S234="","",$S234),IF($R234="","",$R234))</f>
        <v/>
      </c>
      <c r="AF234">
        <f>IF($V234,IF($U234="","",$U234),IF($T234="","",$T234))</f>
        <v/>
      </c>
      <c r="AG234">
        <f>IF($V234,IF($O234="","",$O234),IF($P234="","",$P234))</f>
        <v/>
      </c>
      <c r="AH234" t="n">
        <v>0.07984790874524715</v>
      </c>
      <c r="AI234">
        <f>IF($Y234="worse","Yes",IF($Y234="worse, not significant","Not sure",IF(OR($Y234="too few losses to test",$Y234="too few loans to test"),"Too few losses",IF($Y234="","","No"))))</f>
        <v/>
      </c>
      <c r="AJ234">
        <f>IF($AA234="yes","Yes",IF($AA234="","","No"))</f>
        <v/>
      </c>
    </row>
    <row r="235">
      <c r="A235" t="inlineStr">
        <is>
          <t>grids</t>
        </is>
      </c>
      <c r="B235" t="inlineStr">
        <is>
          <t>ORIG_BAL x CHANNEL</t>
        </is>
      </c>
      <c r="C235" t="inlineStr">
        <is>
          <t>37,951 - 49,151</t>
        </is>
      </c>
      <c r="D235" t="inlineStr">
        <is>
          <t>Branch</t>
        </is>
      </c>
      <c r="E235" t="inlineStr">
        <is>
          <t>outcome_booked</t>
        </is>
      </c>
      <c r="F235" t="inlineStr">
        <is>
          <t>Outcome, share of booked dollars</t>
        </is>
      </c>
      <c r="G235" t="n">
        <v>526</v>
      </c>
      <c r="H235" t="n">
        <v>22956050.96</v>
      </c>
      <c r="I235" t="b">
        <v>0</v>
      </c>
      <c r="J235" t="b">
        <v>0</v>
      </c>
      <c r="K235" t="n">
        <v>1.049333882037981</v>
      </c>
      <c r="L235" t="n">
        <v>0.8334880797634522</v>
      </c>
      <c r="M235" t="n">
        <v>0.9143371209400876</v>
      </c>
      <c r="N235" t="n">
        <v>0.9292820717928207</v>
      </c>
      <c r="O235" t="n">
        <v>84374.20302968402</v>
      </c>
      <c r="P235" t="n">
        <v>-168137.4293976873</v>
      </c>
      <c r="Q235">
        <f>'_live'!$C$21</f>
        <v/>
      </c>
      <c r="R235" t="inlineStr">
        <is>
          <t>shuffled: 7,779 of 10,000</t>
        </is>
      </c>
      <c r="S235" t="inlineStr">
        <is>
          <t>shuffled: 6,179 of 10,000</t>
        </is>
      </c>
      <c r="T235" t="n">
        <v>0.07450187664901038</v>
      </c>
      <c r="U235" t="n">
        <v>0.08550166197216386</v>
      </c>
      <c r="V235">
        <f>AND(judged_band,NOT($J235))</f>
        <v/>
      </c>
      <c r="W235">
        <f>IF($K235="","",IF($I235,"too few losses to test",IF(AND($K235&gt;better_at,$K235&lt;worse_at),"in line",IF($K235&gt;=worse_at,IF(AND(ISNUMBER($L235),$L235&lt;significance_bar),"worse","worse, not significant"),IF(AND(ISNUMBER($L235),$L235&lt;significance_bar),"better","better, not significant")))))</f>
        <v/>
      </c>
      <c r="X235">
        <f>IF($M235="","",IF($I235,"too few losses to test",IF(AND($M235&gt;better_at,$M235&lt;worse_at),"in line",IF($M235&gt;=worse_at,IF(AND(ISNUMBER($N235),$N235&lt;significance_bar),"worse","worse, not significant"),IF(AND(ISNUMBER($N235),$N235&lt;significance_bar),"better","better, not significant")))))</f>
        <v/>
      </c>
      <c r="Y235">
        <f>IF($V235,$X235,$W235)</f>
        <v/>
      </c>
      <c r="Z235">
        <f>IF($V235,IF($P235="","",$P235),IF($O235="","",$O235))</f>
        <v/>
      </c>
      <c r="AA235">
        <f>IF(OR($Q235="",$Z235=""),"",IF(AND($Z235&gt;0,$Z235&gt;=$Q235),"yes","below the line"))</f>
        <v/>
      </c>
      <c r="AB235">
        <f>IF($V235,IF($M235="","",$M235),IF($K235="","",$K235))</f>
        <v/>
      </c>
      <c r="AC235">
        <f>IF($V235,IF($N235="","",$N235),IF($L235="","",$L235))</f>
        <v/>
      </c>
      <c r="AD235">
        <f>$Y235</f>
        <v/>
      </c>
      <c r="AE235">
        <f>IF($V235,IF($S235="","",$S235),IF($R235="","",$R235))</f>
        <v/>
      </c>
      <c r="AF235">
        <f>IF($V235,IF($U235="","",$U235),IF($T235="","",$T235))</f>
        <v/>
      </c>
      <c r="AG235">
        <f>IF($V235,IF($O235="","",$O235),IF($P235="","",$P235))</f>
        <v/>
      </c>
      <c r="AH235" t="n">
        <v>0.07817734344322087</v>
      </c>
      <c r="AI235">
        <f>IF($Y235="worse","Yes",IF($Y235="worse, not significant","Not sure",IF(OR($Y235="too few losses to test",$Y235="too few loans to test"),"Too few losses",IF($Y235="","","No"))))</f>
        <v/>
      </c>
      <c r="AJ235">
        <f>IF($AA235="yes","Yes",IF($AA235="","","No"))</f>
        <v/>
      </c>
    </row>
    <row r="236">
      <c r="A236" t="inlineStr">
        <is>
          <t>grids</t>
        </is>
      </c>
      <c r="B236" t="inlineStr">
        <is>
          <t>ORIG_BAL x CHANNEL</t>
        </is>
      </c>
      <c r="C236" t="inlineStr">
        <is>
          <t>37,951 - 49,151</t>
        </is>
      </c>
      <c r="D236" t="inlineStr">
        <is>
          <t>Branch</t>
        </is>
      </c>
      <c r="E236" t="inlineStr">
        <is>
          <t>gco_rate</t>
        </is>
      </c>
      <c r="F236" t="inlineStr">
        <is>
          <t>GCO per booked dollar</t>
        </is>
      </c>
      <c r="G236" t="n">
        <v>525</v>
      </c>
      <c r="H236" t="n">
        <v>22916366.53</v>
      </c>
      <c r="I236" t="b">
        <v>0</v>
      </c>
      <c r="J236" t="b">
        <v>0</v>
      </c>
      <c r="K236" t="n">
        <v>1.049711732249055</v>
      </c>
      <c r="L236" t="n">
        <v>0.882111788821118</v>
      </c>
      <c r="M236" t="n">
        <v>0.8988230917155171</v>
      </c>
      <c r="N236" t="n">
        <v>0.8321167883211679</v>
      </c>
      <c r="O236" t="n">
        <v>47188.88732345437</v>
      </c>
      <c r="P236" t="n">
        <v>-112165.184355048</v>
      </c>
      <c r="Q236">
        <f>'_live'!$C$22</f>
        <v/>
      </c>
      <c r="R236" t="inlineStr">
        <is>
          <t>shuffled: 7,808 of 10,000</t>
        </is>
      </c>
      <c r="S236" t="inlineStr">
        <is>
          <t>shuffled: 5,663 of 10,000</t>
        </is>
      </c>
      <c r="T236" t="n">
        <v>0.04142238305683731</v>
      </c>
      <c r="U236" t="n">
        <v>0.04837610634756451</v>
      </c>
      <c r="V236">
        <f>AND(judged_band,NOT($J236))</f>
        <v/>
      </c>
      <c r="W236">
        <f>IF($K236="","",IF($I236,"too few losses to test",IF(AND($K236&gt;better_at,$K236&lt;worse_at),"in line",IF($K236&gt;=worse_at,IF(AND(ISNUMBER($L236),$L236&lt;significance_bar),"worse","worse, not significant"),IF(AND(ISNUMBER($L236),$L236&lt;significance_bar),"better","better, not significant")))))</f>
        <v/>
      </c>
      <c r="X236">
        <f>IF($M236="","",IF($I236,"too few losses to test",IF(AND($M236&gt;better_at,$M236&lt;worse_at),"in line",IF($M236&gt;=worse_at,IF(AND(ISNUMBER($N236),$N236&lt;significance_bar),"worse","worse, not significant"),IF(AND(ISNUMBER($N236),$N236&lt;significance_bar),"better","better, not significant")))))</f>
        <v/>
      </c>
      <c r="Y236">
        <f>IF($V236,$X236,$W236)</f>
        <v/>
      </c>
      <c r="Z236">
        <f>IF($V236,IF($P236="","",$P236),IF($O236="","",$O236))</f>
        <v/>
      </c>
      <c r="AA236">
        <f>IF(OR($Q236="",$Z236=""),"",IF(AND($Z236&gt;0,$Z236&gt;=$Q236),"yes","below the line"))</f>
        <v/>
      </c>
      <c r="AB236">
        <f>IF($V236,IF($M236="","",$M236),IF($K236="","",$K236))</f>
        <v/>
      </c>
      <c r="AC236">
        <f>IF($V236,IF($N236="","",$N236),IF($L236="","",$L236))</f>
        <v/>
      </c>
      <c r="AD236">
        <f>$Y236</f>
        <v/>
      </c>
      <c r="AE236">
        <f>IF($V236,IF($S236="","",$S236),IF($R236="","",$R236))</f>
        <v/>
      </c>
      <c r="AF236">
        <f>IF($V236,IF($U236="","",$U236),IF($T236="","",$T236))</f>
        <v/>
      </c>
      <c r="AG236">
        <f>IF($V236,IF($O236="","",$O236),IF($P236="","",$P236))</f>
        <v/>
      </c>
      <c r="AH236" t="n">
        <v>0.04348156147247659</v>
      </c>
      <c r="AI236">
        <f>IF($Y236="worse","Yes",IF($Y236="worse, not significant","Not sure",IF(OR($Y236="too few losses to test",$Y236="too few loans to test"),"Too few losses",IF($Y236="","","No"))))</f>
        <v/>
      </c>
      <c r="AJ236">
        <f>IF($AA236="yes","Yes",IF($AA236="","","No"))</f>
        <v/>
      </c>
    </row>
    <row r="237">
      <c r="A237" t="inlineStr">
        <is>
          <t>grids</t>
        </is>
      </c>
      <c r="B237" t="inlineStr">
        <is>
          <t>ORIG_BAL x CHANNEL</t>
        </is>
      </c>
      <c r="C237" t="inlineStr">
        <is>
          <t>37,951 - 49,151</t>
        </is>
      </c>
      <c r="D237" t="inlineStr">
        <is>
          <t>Branch</t>
        </is>
      </c>
      <c r="E237" t="inlineStr">
        <is>
          <t>ranr_rate</t>
        </is>
      </c>
      <c r="F237" t="inlineStr">
        <is>
          <t>Profit after losses: RANR per booked dollar</t>
        </is>
      </c>
      <c r="G237" t="n">
        <v>526</v>
      </c>
      <c r="H237" t="n">
        <v>22956050.96</v>
      </c>
      <c r="I237" t="b">
        <v>0</v>
      </c>
      <c r="J237" t="b">
        <v>0</v>
      </c>
      <c r="K237" t="n">
        <v>-0.01976682223093654</v>
      </c>
      <c r="L237" t="n">
        <v>0.08774122587741225</v>
      </c>
      <c r="M237" t="n">
        <v>-0.01855991050895561</v>
      </c>
      <c r="N237" t="n">
        <v>0.1396735326467353</v>
      </c>
      <c r="O237" t="n">
        <v>453768.1784506398</v>
      </c>
      <c r="P237" t="n">
        <v>426062.2514566244</v>
      </c>
      <c r="Q237">
        <f>'_live'!$C$23</f>
        <v/>
      </c>
      <c r="R237" t="inlineStr">
        <is>
          <t>shuffled: 300 of 10,000</t>
        </is>
      </c>
      <c r="S237" t="inlineStr">
        <is>
          <t>shuffled: 744 of 10,000</t>
        </is>
      </c>
      <c r="T237" t="n">
        <v>0.1297483745632285</v>
      </c>
      <c r="U237" t="n">
        <v>0.1285414628412476</v>
      </c>
      <c r="V237">
        <f>AND(judged_band,NOT($J237))</f>
        <v/>
      </c>
      <c r="W237">
        <f>IF($K237="","",IF(profit_kind="test",IF(OR(NOT(AND(ISNUMBER($L237),$L237&lt;significance_bar)),$K237=0),"in line",IF($K237&lt;0,"worse","better")),IF(OR($K237=0,IF(profit_kind="points",ABS($K237),ABS($K237*$H237))&lt;profit_line*(1-1E-9)),"in line",IF(AND(ISNUMBER($L237),$L237&lt;significance_bar),IF($K237&lt;0,"worse","better"),IF($K237&lt;0,"worse, not significant","better, not significant")))))</f>
        <v/>
      </c>
      <c r="X237">
        <f>IF($M237="","",IF(profit_kind="test",IF(OR(NOT(AND(ISNUMBER($N237),$N237&lt;significance_bar)),$M237=0),"in line",IF($M237&lt;0,"worse","better")),IF(OR($M237=0,IF(profit_kind="points",ABS($M237),ABS($M237*$H237))&lt;profit_line*(1-1E-9)),"in line",IF(AND(ISNUMBER($N237),$N237&lt;significance_bar),IF($M237&lt;0,"worse","better"),IF($M237&lt;0,"worse, not significant","better, not significant")))))</f>
        <v/>
      </c>
      <c r="Y237">
        <f>IF($V237,$X237,$W237)</f>
        <v/>
      </c>
      <c r="Z237">
        <f>IF($V237,IF($P237="","",$P237),IF($O237="","",$O237))</f>
        <v/>
      </c>
      <c r="AA237">
        <f>IF(OR($Q237="",$Z237=""),"",IF(AND($Z237&gt;0,$Z237&gt;=$Q237),"yes","below the line"))</f>
        <v/>
      </c>
      <c r="AB237">
        <f>IF($V237,IF($M237="","",$M237),IF($K237="","",$K237))</f>
        <v/>
      </c>
      <c r="AC237">
        <f>IF($V237,IF($N237="","",$N237),IF($L237="","",$L237))</f>
        <v/>
      </c>
      <c r="AD237">
        <f>IF($Y237="","",IF($Y237="in line",IF(profit_kind="test",IF(ROUND($AB237*100,2)=0,"0.00",TEXT($AB237*100,"+0.00;-0.00"))&amp;" points against "&amp;IF($V237,"its band","the book")&amp;", "&amp;IF($AC237="","not tested","not significant"),IF(profit_kind="points","within "&amp;TEXT(profit_line*100,"0.00")&amp;" points of "&amp;IF($V237,"its band","the book")&amp;" ("&amp;IF(ROUND($AB237*100,2)=0,"0.00",TEXT($AB237*100,"+0.00;-0.00"))&amp;")","within $"&amp;TEXT(profit_line,"#,##0")&amp;" of "&amp;IF($V237,"its band","the book")&amp;" ("&amp;IF(ROUND($AB237*100,2)=0,"0.00",TEXT($AB237*100,"+0.00;-0.00"))&amp;" points)")),IF(LEFT($Y237,5)="worse","short of ","ahead of ")&amp;IF($V237,"its band","the book")&amp;" by "&amp;TEXT(ABS($AB237)*100,"0.00")&amp;" points"&amp;IF($Z237="",""," ($"&amp;TEXT(ABS($Z237),"#,##0")&amp;")")&amp;IF(RIGHT($Y237,15)="not significant"," (not significant)","")))</f>
        <v/>
      </c>
      <c r="AE237">
        <f>IF($V237,IF($S237="","",$S237),IF($R237="","",$R237))</f>
        <v/>
      </c>
      <c r="AF237">
        <f>IF($V237,IF($U237="","",$U237),IF($T237="","",$T237))</f>
        <v/>
      </c>
      <c r="AG237">
        <f>IF($V237,IF($O237="","",$O237),IF($P237="","",$P237))</f>
        <v/>
      </c>
      <c r="AH237" t="n">
        <v>0.109981552332292</v>
      </c>
      <c r="AI237">
        <f>IF($Y237="worse","Yes",IF($Y237="worse, not significant","Not sure",IF(OR($Y237="too few losses to test",$Y237="too few loans to test"),"Too few losses",IF($Y237="","","No"))))</f>
        <v/>
      </c>
      <c r="AJ237">
        <f>IF($AA237="yes","Yes",IF($AA237="","","No"))</f>
        <v/>
      </c>
    </row>
    <row r="238">
      <c r="A238" t="inlineStr">
        <is>
          <t>grids</t>
        </is>
      </c>
      <c r="B238" t="inlineStr">
        <is>
          <t>ORIG_BAL x CHANNEL</t>
        </is>
      </c>
      <c r="C238" t="inlineStr">
        <is>
          <t>37,951 - 49,151</t>
        </is>
      </c>
      <c r="D238" t="inlineStr">
        <is>
          <t>Branch</t>
        </is>
      </c>
      <c r="E238" t="inlineStr">
        <is>
          <t>contribution_rate</t>
        </is>
      </c>
      <c r="F238" t="inlineStr">
        <is>
          <t>Contribution before losses per booked dollar</t>
        </is>
      </c>
      <c r="G238" t="n">
        <v>525</v>
      </c>
      <c r="H238" t="n">
        <v>22916366.53</v>
      </c>
      <c r="I238" t="b">
        <v>0</v>
      </c>
      <c r="J238" t="b">
        <v>0</v>
      </c>
      <c r="K238" t="n">
        <v>-0.01777102318144891</v>
      </c>
      <c r="L238" t="n">
        <v>0.006749325067493251</v>
      </c>
      <c r="M238" t="n">
        <v>-0.02351783475019537</v>
      </c>
      <c r="N238" t="n">
        <v>0.002624737526247375</v>
      </c>
      <c r="O238" t="n">
        <v>407247.2808392099</v>
      </c>
      <c r="P238" t="n">
        <v>538943.3211274482</v>
      </c>
      <c r="Q238">
        <f>'_live'!$C$24</f>
        <v/>
      </c>
      <c r="R238" t="inlineStr">
        <is>
          <t>shuffled: 26 of 10,000</t>
        </is>
      </c>
      <c r="S238" t="inlineStr">
        <is>
          <t>shuffled: 6 of 10,000</t>
        </is>
      </c>
      <c r="T238" t="n">
        <v>0.1711707576200656</v>
      </c>
      <c r="U238" t="n">
        <v>0.1769175691888121</v>
      </c>
      <c r="V238">
        <f>AND(judged_band,NOT($J238))</f>
        <v/>
      </c>
      <c r="W238">
        <f>IF($K238="","",IF(profit_kind="test",IF(OR(NOT(AND(ISNUMBER($L238),$L238&lt;significance_bar)),$K238=0),"in line",IF($K238&lt;0,"worse","better")),IF(OR($K238=0,IF(profit_kind="points",ABS($K238),ABS($K238*$H238))&lt;profit_line*(1-1E-9)),"in line",IF(AND(ISNUMBER($L238),$L238&lt;significance_bar),IF($K238&lt;0,"worse","better"),IF($K238&lt;0,"worse, not significant","better, not significant")))))</f>
        <v/>
      </c>
      <c r="X238">
        <f>IF($M238="","",IF(profit_kind="test",IF(OR(NOT(AND(ISNUMBER($N238),$N238&lt;significance_bar)),$M238=0),"in line",IF($M238&lt;0,"worse","better")),IF(OR($M238=0,IF(profit_kind="points",ABS($M238),ABS($M238*$H238))&lt;profit_line*(1-1E-9)),"in line",IF(AND(ISNUMBER($N238),$N238&lt;significance_bar),IF($M238&lt;0,"worse","better"),IF($M238&lt;0,"worse, not significant","better, not significant")))))</f>
        <v/>
      </c>
      <c r="Y238">
        <f>IF($V238,$X238,$W238)</f>
        <v/>
      </c>
      <c r="Z238">
        <f>IF($V238,IF($P238="","",$P238),IF($O238="","",$O238))</f>
        <v/>
      </c>
      <c r="AA238">
        <f>IF(OR($Q238="",$Z238=""),"",IF(AND($Z238&gt;0,$Z238&gt;=$Q238),"yes","below the line"))</f>
        <v/>
      </c>
      <c r="AB238">
        <f>IF($V238,IF($M238="","",$M238),IF($K238="","",$K238))</f>
        <v/>
      </c>
      <c r="AC238">
        <f>IF($V238,IF($N238="","",$N238),IF($L238="","",$L238))</f>
        <v/>
      </c>
      <c r="AD238">
        <f>IF($Y238="","",IF($Y238="in line",IF(profit_kind="test",IF(ROUND($AB238*100,2)=0,"0.00",TEXT($AB238*100,"+0.00;-0.00"))&amp;" points against "&amp;IF($V238,"its band","the book")&amp;", "&amp;IF($AC238="","not tested","not significant"),IF(profit_kind="points","within "&amp;TEXT(profit_line*100,"0.00")&amp;" points of "&amp;IF($V238,"its band","the book")&amp;" ("&amp;IF(ROUND($AB238*100,2)=0,"0.00",TEXT($AB238*100,"+0.00;-0.00"))&amp;")","within $"&amp;TEXT(profit_line,"#,##0")&amp;" of "&amp;IF($V238,"its band","the book")&amp;" ("&amp;IF(ROUND($AB238*100,2)=0,"0.00",TEXT($AB238*100,"+0.00;-0.00"))&amp;" points)")),IF(LEFT($Y238,5)="worse","short of ","ahead of ")&amp;IF($V238,"its band","the book")&amp;" by "&amp;TEXT(ABS($AB238)*100,"0.00")&amp;" points"&amp;IF($Z238="",""," ($"&amp;TEXT(ABS($Z238),"#,##0")&amp;")")&amp;IF(RIGHT($Y238,15)="not significant"," (not significant)","")))</f>
        <v/>
      </c>
      <c r="AE238">
        <f>IF($V238,IF($S238="","",$S238),IF($R238="","",$R238))</f>
        <v/>
      </c>
      <c r="AF238">
        <f>IF($V238,IF($U238="","",$U238),IF($T238="","",$T238))</f>
        <v/>
      </c>
      <c r="AG238">
        <f>IF($V238,IF($O238="","",$O238),IF($P238="","",$P238))</f>
        <v/>
      </c>
      <c r="AH238" t="n">
        <v>0.1533997344386167</v>
      </c>
      <c r="AI238">
        <f>IF($Y238="worse","Yes",IF($Y238="worse, not significant","Not sure",IF(OR($Y238="too few losses to test",$Y238="too few loans to test"),"Too few losses",IF($Y238="","","No"))))</f>
        <v/>
      </c>
      <c r="AJ238">
        <f>IF($AA238="yes","Yes",IF($AA238="","","No"))</f>
        <v/>
      </c>
    </row>
    <row r="239">
      <c r="A239" t="inlineStr">
        <is>
          <t>grids</t>
        </is>
      </c>
      <c r="B239" t="inlineStr">
        <is>
          <t>ORIG_BAL x CHANNEL</t>
        </is>
      </c>
      <c r="C239" t="inlineStr">
        <is>
          <t>(blank)</t>
        </is>
      </c>
      <c r="D239" t="inlineStr">
        <is>
          <t>Branch</t>
        </is>
      </c>
      <c r="E239" t="inlineStr">
        <is>
          <t>outcome_loans</t>
        </is>
      </c>
      <c r="F239" t="inlineStr">
        <is>
          <t>Outcome, share of loans</t>
        </is>
      </c>
      <c r="G239" t="n">
        <v>1</v>
      </c>
      <c r="H239" t="n">
        <v>1</v>
      </c>
      <c r="I239" t="b">
        <v>1</v>
      </c>
      <c r="J239" t="b">
        <v>1</v>
      </c>
      <c r="K239" t="n">
        <v>0</v>
      </c>
      <c r="O239" t="n">
        <v>-0.07739434858714679</v>
      </c>
      <c r="Q239">
        <f>'_live'!$C$20</f>
        <v/>
      </c>
      <c r="T239" t="n">
        <v>0.07739434858714679</v>
      </c>
      <c r="V239">
        <f>AND(judged_band,NOT($J239))</f>
        <v/>
      </c>
      <c r="W239">
        <f>IF($K239="","",IF($I239,"too few losses to test",IF(AND($K239&gt;better_at,$K239&lt;worse_at),"in line",IF($K239&gt;=worse_at,IF(AND(ISNUMBER($L239),$L239&lt;significance_bar),"worse","worse, not significant"),IF(AND(ISNUMBER($L239),$L239&lt;significance_bar),"better","better, not significant")))))</f>
        <v/>
      </c>
      <c r="X239">
        <f>IF($M239="","",IF($I239,"too few losses to test",IF(AND($M239&gt;better_at,$M239&lt;worse_at),"in line",IF($M239&gt;=worse_at,IF(AND(ISNUMBER($N239),$N239&lt;significance_bar),"worse","worse, not significant"),IF(AND(ISNUMBER($N239),$N239&lt;significance_bar),"better","better, not significant")))))</f>
        <v/>
      </c>
      <c r="Y239">
        <f>IF($V239,$X239,$W239)</f>
        <v/>
      </c>
      <c r="Z239">
        <f>IF($V239,IF($P239="","",$P239),IF($O239="","",$O239))</f>
        <v/>
      </c>
      <c r="AA239">
        <f>IF(OR($Q239="",$Z239=""),"",IF(AND($Z239&gt;0,$Z239&gt;=$Q239),"yes","below the line"))</f>
        <v/>
      </c>
      <c r="AB239">
        <f>IF($V239,IF($M239="","",$M239),IF($K239="","",$K239))</f>
        <v/>
      </c>
      <c r="AC239">
        <f>IF($V239,IF($N239="","",$N239),IF($L239="","",$L239))</f>
        <v/>
      </c>
      <c r="AD239">
        <f>$Y239</f>
        <v/>
      </c>
      <c r="AE239">
        <f>IF($V239,IF($S239="","",$S239),IF($R239="","",$R239))</f>
        <v/>
      </c>
      <c r="AF239">
        <f>IF($V239,IF($U239="","",$U239),IF($T239="","",$T239))</f>
        <v/>
      </c>
      <c r="AG239">
        <f>IF($V239,IF($O239="","",$O239),IF($P239="","",$P239))</f>
        <v/>
      </c>
      <c r="AH239" t="n">
        <v>0</v>
      </c>
      <c r="AI239">
        <f>IF($Y239="worse","Yes",IF($Y239="worse, not significant","Not sure",IF(OR($Y239="too few losses to test",$Y239="too few loans to test"),"Too few losses",IF($Y239="","","No"))))</f>
        <v/>
      </c>
      <c r="AJ239">
        <f>IF($AA239="yes","Yes",IF($AA239="","","No"))</f>
        <v/>
      </c>
    </row>
    <row r="240">
      <c r="A240" t="inlineStr">
        <is>
          <t>grids</t>
        </is>
      </c>
      <c r="B240" t="inlineStr">
        <is>
          <t>ORIG_BAL x CHANNEL</t>
        </is>
      </c>
      <c r="C240" t="inlineStr">
        <is>
          <t>(blank)</t>
        </is>
      </c>
      <c r="D240" t="inlineStr">
        <is>
          <t>Branch</t>
        </is>
      </c>
      <c r="E240" t="inlineStr">
        <is>
          <t>outcome_booked</t>
        </is>
      </c>
      <c r="F240" t="inlineStr">
        <is>
          <t>Outcome, share of booked dollars</t>
        </is>
      </c>
      <c r="G240" t="n">
        <v>0</v>
      </c>
      <c r="H240" t="n">
        <v>0</v>
      </c>
      <c r="I240" t="b">
        <v>1</v>
      </c>
      <c r="J240" t="b">
        <v>1</v>
      </c>
      <c r="O240" t="n">
        <v>0</v>
      </c>
      <c r="Q240">
        <f>'_live'!$C$21</f>
        <v/>
      </c>
      <c r="R240" t="inlineStr"/>
      <c r="S240" t="inlineStr"/>
      <c r="T240" t="n">
        <v>0.07482886857347235</v>
      </c>
      <c r="V240">
        <f>AND(judged_band,NOT($J240))</f>
        <v/>
      </c>
      <c r="W240">
        <f>IF($K240="","",IF($I240,"too few losses to test",IF(AND($K240&gt;better_at,$K240&lt;worse_at),"in line",IF($K240&gt;=worse_at,IF(AND(ISNUMBER($L240),$L240&lt;significance_bar),"worse","worse, not significant"),IF(AND(ISNUMBER($L240),$L240&lt;significance_bar),"better","better, not significant")))))</f>
        <v/>
      </c>
      <c r="X240">
        <f>IF($M240="","",IF($I240,"too few losses to test",IF(AND($M240&gt;better_at,$M240&lt;worse_at),"in line",IF($M240&gt;=worse_at,IF(AND(ISNUMBER($N240),$N240&lt;significance_bar),"worse","worse, not significant"),IF(AND(ISNUMBER($N240),$N240&lt;significance_bar),"better","better, not significant")))))</f>
        <v/>
      </c>
      <c r="Y240">
        <f>IF($V240,$X240,$W240)</f>
        <v/>
      </c>
      <c r="Z240">
        <f>IF($V240,IF($P240="","",$P240),IF($O240="","",$O240))</f>
        <v/>
      </c>
      <c r="AA240">
        <f>IF(OR($Q240="",$Z240=""),"",IF(AND($Z240&gt;0,$Z240&gt;=$Q240),"yes","below the line"))</f>
        <v/>
      </c>
      <c r="AB240">
        <f>IF($V240,IF($M240="","",$M240),IF($K240="","",$K240))</f>
        <v/>
      </c>
      <c r="AC240">
        <f>IF($V240,IF($N240="","",$N240),IF($L240="","",$L240))</f>
        <v/>
      </c>
      <c r="AD240">
        <f>$Y240</f>
        <v/>
      </c>
      <c r="AE240">
        <f>IF($V240,IF($S240="","",$S240),IF($R240="","",$R240))</f>
        <v/>
      </c>
      <c r="AF240">
        <f>IF($V240,IF($U240="","",$U240),IF($T240="","",$T240))</f>
        <v/>
      </c>
      <c r="AG240">
        <f>IF($V240,IF($O240="","",$O240),IF($P240="","",$P240))</f>
        <v/>
      </c>
      <c r="AI240">
        <f>IF($Y240="worse","Yes",IF($Y240="worse, not significant","Not sure",IF(OR($Y240="too few losses to test",$Y240="too few loans to test"),"Too few losses",IF($Y240="","","No"))))</f>
        <v/>
      </c>
      <c r="AJ240">
        <f>IF($AA240="yes","Yes",IF($AA240="","","No"))</f>
        <v/>
      </c>
    </row>
    <row r="241">
      <c r="A241" t="inlineStr">
        <is>
          <t>grids</t>
        </is>
      </c>
      <c r="B241" t="inlineStr">
        <is>
          <t>ORIG_BAL x CHANNEL</t>
        </is>
      </c>
      <c r="C241" t="inlineStr">
        <is>
          <t>(blank)</t>
        </is>
      </c>
      <c r="D241" t="inlineStr">
        <is>
          <t>Branch</t>
        </is>
      </c>
      <c r="E241" t="inlineStr">
        <is>
          <t>gco_rate</t>
        </is>
      </c>
      <c r="F241" t="inlineStr">
        <is>
          <t>GCO per booked dollar</t>
        </is>
      </c>
      <c r="G241" t="n">
        <v>0</v>
      </c>
      <c r="H241" t="n">
        <v>0</v>
      </c>
      <c r="I241" t="b">
        <v>1</v>
      </c>
      <c r="J241" t="b">
        <v>1</v>
      </c>
      <c r="O241" t="n">
        <v>0</v>
      </c>
      <c r="Q241">
        <f>'_live'!$C$22</f>
        <v/>
      </c>
      <c r="R241" t="inlineStr"/>
      <c r="S241" t="inlineStr"/>
      <c r="T241" t="n">
        <v>0.04160526533333565</v>
      </c>
      <c r="V241">
        <f>AND(judged_band,NOT($J241))</f>
        <v/>
      </c>
      <c r="W241">
        <f>IF($K241="","",IF($I241,"too few losses to test",IF(AND($K241&gt;better_at,$K241&lt;worse_at),"in line",IF($K241&gt;=worse_at,IF(AND(ISNUMBER($L241),$L241&lt;significance_bar),"worse","worse, not significant"),IF(AND(ISNUMBER($L241),$L241&lt;significance_bar),"better","better, not significant")))))</f>
        <v/>
      </c>
      <c r="X241">
        <f>IF($M241="","",IF($I241,"too few losses to test",IF(AND($M241&gt;better_at,$M241&lt;worse_at),"in line",IF($M241&gt;=worse_at,IF(AND(ISNUMBER($N241),$N241&lt;significance_bar),"worse","worse, not significant"),IF(AND(ISNUMBER($N241),$N241&lt;significance_bar),"better","better, not significant")))))</f>
        <v/>
      </c>
      <c r="Y241">
        <f>IF($V241,$X241,$W241)</f>
        <v/>
      </c>
      <c r="Z241">
        <f>IF($V241,IF($P241="","",$P241),IF($O241="","",$O241))</f>
        <v/>
      </c>
      <c r="AA241">
        <f>IF(OR($Q241="",$Z241=""),"",IF(AND($Z241&gt;0,$Z241&gt;=$Q241),"yes","below the line"))</f>
        <v/>
      </c>
      <c r="AB241">
        <f>IF($V241,IF($M241="","",$M241),IF($K241="","",$K241))</f>
        <v/>
      </c>
      <c r="AC241">
        <f>IF($V241,IF($N241="","",$N241),IF($L241="","",$L241))</f>
        <v/>
      </c>
      <c r="AD241">
        <f>$Y241</f>
        <v/>
      </c>
      <c r="AE241">
        <f>IF($V241,IF($S241="","",$S241),IF($R241="","",$R241))</f>
        <v/>
      </c>
      <c r="AF241">
        <f>IF($V241,IF($U241="","",$U241),IF($T241="","",$T241))</f>
        <v/>
      </c>
      <c r="AG241">
        <f>IF($V241,IF($O241="","",$O241),IF($P241="","",$P241))</f>
        <v/>
      </c>
      <c r="AI241">
        <f>IF($Y241="worse","Yes",IF($Y241="worse, not significant","Not sure",IF(OR($Y241="too few losses to test",$Y241="too few loans to test"),"Too few losses",IF($Y241="","","No"))))</f>
        <v/>
      </c>
      <c r="AJ241">
        <f>IF($AA241="yes","Yes",IF($AA241="","","No"))</f>
        <v/>
      </c>
    </row>
    <row r="242">
      <c r="A242" t="inlineStr">
        <is>
          <t>grids</t>
        </is>
      </c>
      <c r="B242" t="inlineStr">
        <is>
          <t>ORIG_BAL x CHANNEL</t>
        </is>
      </c>
      <c r="C242" t="inlineStr">
        <is>
          <t>(blank)</t>
        </is>
      </c>
      <c r="D242" t="inlineStr">
        <is>
          <t>Branch</t>
        </is>
      </c>
      <c r="E242" t="inlineStr">
        <is>
          <t>ranr_rate</t>
        </is>
      </c>
      <c r="F242" t="inlineStr">
        <is>
          <t>Profit after losses: RANR per booked dollar</t>
        </is>
      </c>
      <c r="G242" t="n">
        <v>0</v>
      </c>
      <c r="H242" t="n">
        <v>0</v>
      </c>
      <c r="I242" t="b">
        <v>0</v>
      </c>
      <c r="J242" t="b">
        <v>1</v>
      </c>
      <c r="O242" t="n">
        <v>0</v>
      </c>
      <c r="Q242">
        <f>'_live'!$C$23</f>
        <v/>
      </c>
      <c r="R242" t="inlineStr"/>
      <c r="S242" t="inlineStr"/>
      <c r="T242" t="n">
        <v>0.1279900496481481</v>
      </c>
      <c r="V242">
        <f>AND(judged_band,NOT($J242))</f>
        <v/>
      </c>
      <c r="W242">
        <f>IF($K242="","",IF(profit_kind="test",IF(OR(NOT(AND(ISNUMBER($L242),$L242&lt;significance_bar)),$K242=0),"in line",IF($K242&lt;0,"worse","better")),IF(OR($K242=0,IF(profit_kind="points",ABS($K242),ABS($K242*$H242))&lt;profit_line*(1-1E-9)),"in line",IF(AND(ISNUMBER($L242),$L242&lt;significance_bar),IF($K242&lt;0,"worse","better"),IF($K242&lt;0,"worse, not significant","better, not significant")))))</f>
        <v/>
      </c>
      <c r="X242">
        <f>IF($M242="","",IF(profit_kind="test",IF(OR(NOT(AND(ISNUMBER($N242),$N242&lt;significance_bar)),$M242=0),"in line",IF($M242&lt;0,"worse","better")),IF(OR($M242=0,IF(profit_kind="points",ABS($M242),ABS($M242*$H242))&lt;profit_line*(1-1E-9)),"in line",IF(AND(ISNUMBER($N242),$N242&lt;significance_bar),IF($M242&lt;0,"worse","better"),IF($M242&lt;0,"worse, not significant","better, not significant")))))</f>
        <v/>
      </c>
      <c r="Y242">
        <f>IF($V242,$X242,$W242)</f>
        <v/>
      </c>
      <c r="Z242">
        <f>IF($V242,IF($P242="","",$P242),IF($O242="","",$O242))</f>
        <v/>
      </c>
      <c r="AA242">
        <f>IF(OR($Q242="",$Z242=""),"",IF(AND($Z242&gt;0,$Z242&gt;=$Q242),"yes","below the line"))</f>
        <v/>
      </c>
      <c r="AB242">
        <f>IF($V242,IF($M242="","",$M242),IF($K242="","",$K242))</f>
        <v/>
      </c>
      <c r="AC242">
        <f>IF($V242,IF($N242="","",$N242),IF($L242="","",$L242))</f>
        <v/>
      </c>
      <c r="AD242">
        <f>IF($Y242="","",IF($Y242="in line",IF(profit_kind="test",IF(ROUND($AB242*100,2)=0,"0.00",TEXT($AB242*100,"+0.00;-0.00"))&amp;" points against "&amp;IF($V242,"its band","the book")&amp;", "&amp;IF($AC242="","not tested","not significant"),IF(profit_kind="points","within "&amp;TEXT(profit_line*100,"0.00")&amp;" points of "&amp;IF($V242,"its band","the book")&amp;" ("&amp;IF(ROUND($AB242*100,2)=0,"0.00",TEXT($AB242*100,"+0.00;-0.00"))&amp;")","within $"&amp;TEXT(profit_line,"#,##0")&amp;" of "&amp;IF($V242,"its band","the book")&amp;" ("&amp;IF(ROUND($AB242*100,2)=0,"0.00",TEXT($AB242*100,"+0.00;-0.00"))&amp;" points)")),IF(LEFT($Y242,5)="worse","short of ","ahead of ")&amp;IF($V242,"its band","the book")&amp;" by "&amp;TEXT(ABS($AB242)*100,"0.00")&amp;" points"&amp;IF($Z242="",""," ($"&amp;TEXT(ABS($Z242),"#,##0")&amp;")")&amp;IF(RIGHT($Y242,15)="not significant"," (not significant)","")))</f>
        <v/>
      </c>
      <c r="AE242">
        <f>IF($V242,IF($S242="","",$S242),IF($R242="","",$R242))</f>
        <v/>
      </c>
      <c r="AF242">
        <f>IF($V242,IF($U242="","",$U242),IF($T242="","",$T242))</f>
        <v/>
      </c>
      <c r="AG242">
        <f>IF($V242,IF($O242="","",$O242),IF($P242="","",$P242))</f>
        <v/>
      </c>
      <c r="AI242">
        <f>IF($Y242="worse","Yes",IF($Y242="worse, not significant","Not sure",IF(OR($Y242="too few losses to test",$Y242="too few loans to test"),"Too few losses",IF($Y242="","","No"))))</f>
        <v/>
      </c>
      <c r="AJ242">
        <f>IF($AA242="yes","Yes",IF($AA242="","","No"))</f>
        <v/>
      </c>
    </row>
    <row r="243">
      <c r="A243" t="inlineStr">
        <is>
          <t>grids</t>
        </is>
      </c>
      <c r="B243" t="inlineStr">
        <is>
          <t>ORIG_BAL x CHANNEL</t>
        </is>
      </c>
      <c r="C243" t="inlineStr">
        <is>
          <t>(blank)</t>
        </is>
      </c>
      <c r="D243" t="inlineStr">
        <is>
          <t>Branch</t>
        </is>
      </c>
      <c r="E243" t="inlineStr">
        <is>
          <t>contribution_rate</t>
        </is>
      </c>
      <c r="F243" t="inlineStr">
        <is>
          <t>Contribution before losses per booked dollar</t>
        </is>
      </c>
      <c r="G243" t="n">
        <v>0</v>
      </c>
      <c r="H243" t="n">
        <v>0</v>
      </c>
      <c r="I243" t="b">
        <v>0</v>
      </c>
      <c r="J243" t="b">
        <v>1</v>
      </c>
      <c r="O243" t="n">
        <v>0</v>
      </c>
      <c r="Q243">
        <f>'_live'!$C$24</f>
        <v/>
      </c>
      <c r="R243" t="inlineStr"/>
      <c r="S243" t="inlineStr"/>
      <c r="T243" t="n">
        <v>0.1695924557349815</v>
      </c>
      <c r="V243">
        <f>AND(judged_band,NOT($J243))</f>
        <v/>
      </c>
      <c r="W243">
        <f>IF($K243="","",IF(profit_kind="test",IF(OR(NOT(AND(ISNUMBER($L243),$L243&lt;significance_bar)),$K243=0),"in line",IF($K243&lt;0,"worse","better")),IF(OR($K243=0,IF(profit_kind="points",ABS($K243),ABS($K243*$H243))&lt;profit_line*(1-1E-9)),"in line",IF(AND(ISNUMBER($L243),$L243&lt;significance_bar),IF($K243&lt;0,"worse","better"),IF($K243&lt;0,"worse, not significant","better, not significant")))))</f>
        <v/>
      </c>
      <c r="X243">
        <f>IF($M243="","",IF(profit_kind="test",IF(OR(NOT(AND(ISNUMBER($N243),$N243&lt;significance_bar)),$M243=0),"in line",IF($M243&lt;0,"worse","better")),IF(OR($M243=0,IF(profit_kind="points",ABS($M243),ABS($M243*$H243))&lt;profit_line*(1-1E-9)),"in line",IF(AND(ISNUMBER($N243),$N243&lt;significance_bar),IF($M243&lt;0,"worse","better"),IF($M243&lt;0,"worse, not significant","better, not significant")))))</f>
        <v/>
      </c>
      <c r="Y243">
        <f>IF($V243,$X243,$W243)</f>
        <v/>
      </c>
      <c r="Z243">
        <f>IF($V243,IF($P243="","",$P243),IF($O243="","",$O243))</f>
        <v/>
      </c>
      <c r="AA243">
        <f>IF(OR($Q243="",$Z243=""),"",IF(AND($Z243&gt;0,$Z243&gt;=$Q243),"yes","below the line"))</f>
        <v/>
      </c>
      <c r="AB243">
        <f>IF($V243,IF($M243="","",$M243),IF($K243="","",$K243))</f>
        <v/>
      </c>
      <c r="AC243">
        <f>IF($V243,IF($N243="","",$N243),IF($L243="","",$L243))</f>
        <v/>
      </c>
      <c r="AD243">
        <f>IF($Y243="","",IF($Y243="in line",IF(profit_kind="test",IF(ROUND($AB243*100,2)=0,"0.00",TEXT($AB243*100,"+0.00;-0.00"))&amp;" points against "&amp;IF($V243,"its band","the book")&amp;", "&amp;IF($AC243="","not tested","not significant"),IF(profit_kind="points","within "&amp;TEXT(profit_line*100,"0.00")&amp;" points of "&amp;IF($V243,"its band","the book")&amp;" ("&amp;IF(ROUND($AB243*100,2)=0,"0.00",TEXT($AB243*100,"+0.00;-0.00"))&amp;")","within $"&amp;TEXT(profit_line,"#,##0")&amp;" of "&amp;IF($V243,"its band","the book")&amp;" ("&amp;IF(ROUND($AB243*100,2)=0,"0.00",TEXT($AB243*100,"+0.00;-0.00"))&amp;" points)")),IF(LEFT($Y243,5)="worse","short of ","ahead of ")&amp;IF($V243,"its band","the book")&amp;" by "&amp;TEXT(ABS($AB243)*100,"0.00")&amp;" points"&amp;IF($Z243="",""," ($"&amp;TEXT(ABS($Z243),"#,##0")&amp;")")&amp;IF(RIGHT($Y243,15)="not significant"," (not significant)","")))</f>
        <v/>
      </c>
      <c r="AE243">
        <f>IF($V243,IF($S243="","",$S243),IF($R243="","",$R243))</f>
        <v/>
      </c>
      <c r="AF243">
        <f>IF($V243,IF($U243="","",$U243),IF($T243="","",$T243))</f>
        <v/>
      </c>
      <c r="AG243">
        <f>IF($V243,IF($O243="","",$O243),IF($P243="","",$P243))</f>
        <v/>
      </c>
      <c r="AI243">
        <f>IF($Y243="worse","Yes",IF($Y243="worse, not significant","Not sure",IF(OR($Y243="too few losses to test",$Y243="too few loans to test"),"Too few losses",IF($Y243="","","No"))))</f>
        <v/>
      </c>
      <c r="AJ243">
        <f>IF($AA243="yes","Yes",IF($AA243="","","No"))</f>
        <v/>
      </c>
    </row>
    <row r="244">
      <c r="A244" t="inlineStr">
        <is>
          <t>grids</t>
        </is>
      </c>
      <c r="B244" t="inlineStr">
        <is>
          <t>ORIG_BAL x CHANNEL</t>
        </is>
      </c>
      <c r="C244" t="inlineStr">
        <is>
          <t>26,324 - 37,950</t>
        </is>
      </c>
      <c r="D244" t="inlineStr">
        <is>
          <t>Branch</t>
        </is>
      </c>
      <c r="E244" t="inlineStr">
        <is>
          <t>outcome_loans</t>
        </is>
      </c>
      <c r="F244" t="inlineStr">
        <is>
          <t>Outcome, share of loans</t>
        </is>
      </c>
      <c r="G244" t="n">
        <v>517</v>
      </c>
      <c r="H244" t="n">
        <v>517</v>
      </c>
      <c r="I244" t="b">
        <v>0</v>
      </c>
      <c r="J244" t="b">
        <v>0</v>
      </c>
      <c r="K244" t="n">
        <v>0.8149734950257788</v>
      </c>
      <c r="L244" t="n">
        <v>0.5308481568395822</v>
      </c>
      <c r="M244" t="n">
        <v>0.8961038961038961</v>
      </c>
      <c r="N244" t="n">
        <v>0.8666810512748745</v>
      </c>
      <c r="O244" t="n">
        <v>-7.492114407912325</v>
      </c>
      <c r="P244" t="n">
        <v>-3.826086956521735</v>
      </c>
      <c r="Q244">
        <f>'_live'!$C$20</f>
        <v/>
      </c>
      <c r="R244" t="inlineStr">
        <is>
          <t>z test</t>
        </is>
      </c>
      <c r="S244" t="inlineStr">
        <is>
          <t>z test</t>
        </is>
      </c>
      <c r="T244" t="n">
        <v>0.07832130446404705</v>
      </c>
      <c r="U244" t="n">
        <v>0.07123034227567067</v>
      </c>
      <c r="V244">
        <f>AND(judged_band,NOT($J244))</f>
        <v/>
      </c>
      <c r="W244">
        <f>IF($K244="","",IF($I244,"too few losses to test",IF(AND($K244&gt;better_at,$K244&lt;worse_at),"in line",IF($K244&gt;=worse_at,IF(AND(ISNUMBER($L244),$L244&lt;significance_bar),"worse","worse, not significant"),IF(AND(ISNUMBER($L244),$L244&lt;significance_bar),"better","better, not significant")))))</f>
        <v/>
      </c>
      <c r="X244">
        <f>IF($M244="","",IF($I244,"too few losses to test",IF(AND($M244&gt;better_at,$M244&lt;worse_at),"in line",IF($M244&gt;=worse_at,IF(AND(ISNUMBER($N244),$N244&lt;significance_bar),"worse","worse, not significant"),IF(AND(ISNUMBER($N244),$N244&lt;significance_bar),"better","better, not significant")))))</f>
        <v/>
      </c>
      <c r="Y244">
        <f>IF($V244,$X244,$W244)</f>
        <v/>
      </c>
      <c r="Z244">
        <f>IF($V244,IF($P244="","",$P244),IF($O244="","",$O244))</f>
        <v/>
      </c>
      <c r="AA244">
        <f>IF(OR($Q244="",$Z244=""),"",IF(AND($Z244&gt;0,$Z244&gt;=$Q244),"yes","below the line"))</f>
        <v/>
      </c>
      <c r="AB244">
        <f>IF($V244,IF($M244="","",$M244),IF($K244="","",$K244))</f>
        <v/>
      </c>
      <c r="AC244">
        <f>IF($V244,IF($N244="","",$N244),IF($L244="","",$L244))</f>
        <v/>
      </c>
      <c r="AD244">
        <f>$Y244</f>
        <v/>
      </c>
      <c r="AE244">
        <f>IF($V244,IF($S244="","",$S244),IF($R244="","",$R244))</f>
        <v/>
      </c>
      <c r="AF244">
        <f>IF($V244,IF($U244="","",$U244),IF($T244="","",$T244))</f>
        <v/>
      </c>
      <c r="AG244">
        <f>IF($V244,IF($O244="","",$O244),IF($P244="","",$P244))</f>
        <v/>
      </c>
      <c r="AH244" t="n">
        <v>0.06382978723404255</v>
      </c>
      <c r="AI244">
        <f>IF($Y244="worse","Yes",IF($Y244="worse, not significant","Not sure",IF(OR($Y244="too few losses to test",$Y244="too few loans to test"),"Too few losses",IF($Y244="","","No"))))</f>
        <v/>
      </c>
      <c r="AJ244">
        <f>IF($AA244="yes","Yes",IF($AA244="","","No"))</f>
        <v/>
      </c>
    </row>
    <row r="245">
      <c r="A245" t="inlineStr">
        <is>
          <t>grids</t>
        </is>
      </c>
      <c r="B245" t="inlineStr">
        <is>
          <t>ORIG_BAL x CHANNEL</t>
        </is>
      </c>
      <c r="C245" t="inlineStr">
        <is>
          <t>26,324 - 37,950</t>
        </is>
      </c>
      <c r="D245" t="inlineStr">
        <is>
          <t>Branch</t>
        </is>
      </c>
      <c r="E245" t="inlineStr">
        <is>
          <t>outcome_booked</t>
        </is>
      </c>
      <c r="F245" t="inlineStr">
        <is>
          <t>Outcome, share of booked dollars</t>
        </is>
      </c>
      <c r="G245" t="n">
        <v>517</v>
      </c>
      <c r="H245" t="n">
        <v>16550382.02000001</v>
      </c>
      <c r="I245" t="b">
        <v>0</v>
      </c>
      <c r="J245" t="b">
        <v>0</v>
      </c>
      <c r="K245" t="n">
        <v>0.8245123843761997</v>
      </c>
      <c r="L245" t="n">
        <v>0.7730655505877984</v>
      </c>
      <c r="M245" t="n">
        <v>0.8789872479826164</v>
      </c>
      <c r="N245" t="n">
        <v>0.9292820717928207</v>
      </c>
      <c r="O245" t="n">
        <v>-219806.1239142891</v>
      </c>
      <c r="P245" t="n">
        <v>-142180.1804293406</v>
      </c>
      <c r="Q245">
        <f>'_live'!$C$21</f>
        <v/>
      </c>
      <c r="R245" t="inlineStr">
        <is>
          <t>shuffled: 3,116 of 10,000</t>
        </is>
      </c>
      <c r="S245" t="inlineStr">
        <is>
          <t>shuffled: 5,247 of 10,000</t>
        </is>
      </c>
      <c r="T245" t="n">
        <v>0.07568072642677817</v>
      </c>
      <c r="U245" t="n">
        <v>0.07099044535706371</v>
      </c>
      <c r="V245">
        <f>AND(judged_band,NOT($J245))</f>
        <v/>
      </c>
      <c r="W245">
        <f>IF($K245="","",IF($I245,"too few losses to test",IF(AND($K245&gt;better_at,$K245&lt;worse_at),"in line",IF($K245&gt;=worse_at,IF(AND(ISNUMBER($L245),$L245&lt;significance_bar),"worse","worse, not significant"),IF(AND(ISNUMBER($L245),$L245&lt;significance_bar),"better","better, not significant")))))</f>
        <v/>
      </c>
      <c r="X245">
        <f>IF($M245="","",IF($I245,"too few losses to test",IF(AND($M245&gt;better_at,$M245&lt;worse_at),"in line",IF($M245&gt;=worse_at,IF(AND(ISNUMBER($N245),$N245&lt;significance_bar),"worse","worse, not significant"),IF(AND(ISNUMBER($N245),$N245&lt;significance_bar),"better","better, not significant")))))</f>
        <v/>
      </c>
      <c r="Y245">
        <f>IF($V245,$X245,$W245)</f>
        <v/>
      </c>
      <c r="Z245">
        <f>IF($V245,IF($P245="","",$P245),IF($O245="","",$O245))</f>
        <v/>
      </c>
      <c r="AA245">
        <f>IF(OR($Q245="",$Z245=""),"",IF(AND($Z245&gt;0,$Z245&gt;=$Q245),"yes","below the line"))</f>
        <v/>
      </c>
      <c r="AB245">
        <f>IF($V245,IF($M245="","",$M245),IF($K245="","",$K245))</f>
        <v/>
      </c>
      <c r="AC245">
        <f>IF($V245,IF($N245="","",$N245),IF($L245="","",$L245))</f>
        <v/>
      </c>
      <c r="AD245">
        <f>$Y245</f>
        <v/>
      </c>
      <c r="AE245">
        <f>IF($V245,IF($S245="","",$S245),IF($R245="","",$R245))</f>
        <v/>
      </c>
      <c r="AF245">
        <f>IF($V245,IF($U245="","",$U245),IF($T245="","",$T245))</f>
        <v/>
      </c>
      <c r="AG245">
        <f>IF($V245,IF($O245="","",$O245),IF($P245="","",$P245))</f>
        <v/>
      </c>
      <c r="AH245" t="n">
        <v>0.06239969619746574</v>
      </c>
      <c r="AI245">
        <f>IF($Y245="worse","Yes",IF($Y245="worse, not significant","Not sure",IF(OR($Y245="too few losses to test",$Y245="too few loans to test"),"Too few losses",IF($Y245="","","No"))))</f>
        <v/>
      </c>
      <c r="AJ245">
        <f>IF($AA245="yes","Yes",IF($AA245="","","No"))</f>
        <v/>
      </c>
    </row>
    <row r="246">
      <c r="A246" t="inlineStr">
        <is>
          <t>grids</t>
        </is>
      </c>
      <c r="B246" t="inlineStr">
        <is>
          <t>ORIG_BAL x CHANNEL</t>
        </is>
      </c>
      <c r="C246" t="inlineStr">
        <is>
          <t>26,324 - 37,950</t>
        </is>
      </c>
      <c r="D246" t="inlineStr">
        <is>
          <t>Branch</t>
        </is>
      </c>
      <c r="E246" t="inlineStr">
        <is>
          <t>gco_rate</t>
        </is>
      </c>
      <c r="F246" t="inlineStr">
        <is>
          <t>GCO per booked dollar</t>
        </is>
      </c>
      <c r="G246" t="n">
        <v>518</v>
      </c>
      <c r="H246" t="n">
        <v>16587370.03000001</v>
      </c>
      <c r="I246" t="b">
        <v>0</v>
      </c>
      <c r="J246" t="b">
        <v>0</v>
      </c>
      <c r="K246" t="n">
        <v>0.8368534688383037</v>
      </c>
      <c r="L246" t="n">
        <v>0.76004899510049</v>
      </c>
      <c r="M246" t="n">
        <v>0.9132072498730854</v>
      </c>
      <c r="N246" t="n">
        <v>0.8321167883211679</v>
      </c>
      <c r="O246" t="n">
        <v>-113784.3545860848</v>
      </c>
      <c r="P246" t="n">
        <v>-55471.28492756072</v>
      </c>
      <c r="Q246">
        <f>'_live'!$C$22</f>
        <v/>
      </c>
      <c r="R246" t="inlineStr">
        <is>
          <t>shuffled: 3,644 of 10,000</t>
        </is>
      </c>
      <c r="S246" t="inlineStr">
        <is>
          <t>shuffled: 6,621 of 10,000</t>
        </is>
      </c>
      <c r="T246" t="n">
        <v>0.04204624080397901</v>
      </c>
      <c r="U246" t="n">
        <v>0.0385307305360427</v>
      </c>
      <c r="V246">
        <f>AND(judged_band,NOT($J246))</f>
        <v/>
      </c>
      <c r="W246">
        <f>IF($K246="","",IF($I246,"too few losses to test",IF(AND($K246&gt;better_at,$K246&lt;worse_at),"in line",IF($K246&gt;=worse_at,IF(AND(ISNUMBER($L246),$L246&lt;significance_bar),"worse","worse, not significant"),IF(AND(ISNUMBER($L246),$L246&lt;significance_bar),"better","better, not significant")))))</f>
        <v/>
      </c>
      <c r="X246">
        <f>IF($M246="","",IF($I246,"too few losses to test",IF(AND($M246&gt;better_at,$M246&lt;worse_at),"in line",IF($M246&gt;=worse_at,IF(AND(ISNUMBER($N246),$N246&lt;significance_bar),"worse","worse, not significant"),IF(AND(ISNUMBER($N246),$N246&lt;significance_bar),"better","better, not significant")))))</f>
        <v/>
      </c>
      <c r="Y246">
        <f>IF($V246,$X246,$W246)</f>
        <v/>
      </c>
      <c r="Z246">
        <f>IF($V246,IF($P246="","",$P246),IF($O246="","",$O246))</f>
        <v/>
      </c>
      <c r="AA246">
        <f>IF(OR($Q246="",$Z246=""),"",IF(AND($Z246&gt;0,$Z246&gt;=$Q246),"yes","below the line"))</f>
        <v/>
      </c>
      <c r="AB246">
        <f>IF($V246,IF($M246="","",$M246),IF($K246="","",$K246))</f>
        <v/>
      </c>
      <c r="AC246">
        <f>IF($V246,IF($N246="","",$N246),IF($L246="","",$L246))</f>
        <v/>
      </c>
      <c r="AD246">
        <f>$Y246</f>
        <v/>
      </c>
      <c r="AE246">
        <f>IF($V246,IF($S246="","",$S246),IF($R246="","",$R246))</f>
        <v/>
      </c>
      <c r="AF246">
        <f>IF($V246,IF($U246="","",$U246),IF($T246="","",$T246))</f>
        <v/>
      </c>
      <c r="AG246">
        <f>IF($V246,IF($O246="","",$O246),IF($P246="","",$P246))</f>
        <v/>
      </c>
      <c r="AH246" t="n">
        <v>0.03518654246842046</v>
      </c>
      <c r="AI246">
        <f>IF($Y246="worse","Yes",IF($Y246="worse, not significant","Not sure",IF(OR($Y246="too few losses to test",$Y246="too few loans to test"),"Too few losses",IF($Y246="","","No"))))</f>
        <v/>
      </c>
      <c r="AJ246">
        <f>IF($AA246="yes","Yes",IF($AA246="","","No"))</f>
        <v/>
      </c>
    </row>
    <row r="247">
      <c r="A247" t="inlineStr">
        <is>
          <t>grids</t>
        </is>
      </c>
      <c r="B247" t="inlineStr">
        <is>
          <t>ORIG_BAL x CHANNEL</t>
        </is>
      </c>
      <c r="C247" t="inlineStr">
        <is>
          <t>26,324 - 37,950</t>
        </is>
      </c>
      <c r="D247" t="inlineStr">
        <is>
          <t>Branch</t>
        </is>
      </c>
      <c r="E247" t="inlineStr">
        <is>
          <t>ranr_rate</t>
        </is>
      </c>
      <c r="F247" t="inlineStr">
        <is>
          <t>Profit after losses: RANR per booked dollar</t>
        </is>
      </c>
      <c r="G247" t="n">
        <v>518</v>
      </c>
      <c r="H247" t="n">
        <v>16587370.03000001</v>
      </c>
      <c r="I247" t="b">
        <v>0</v>
      </c>
      <c r="J247" t="b">
        <v>0</v>
      </c>
      <c r="K247" t="n">
        <v>-0.003128987139753681</v>
      </c>
      <c r="L247" t="n">
        <v>0.7382261773822617</v>
      </c>
      <c r="M247" t="n">
        <v>-0.00921239544424915</v>
      </c>
      <c r="N247" t="n">
        <v>0.4272072792720727</v>
      </c>
      <c r="O247" t="n">
        <v>51901.66750620538</v>
      </c>
      <c r="P247" t="n">
        <v>152809.4120964468</v>
      </c>
      <c r="Q247">
        <f>'_live'!$C$23</f>
        <v/>
      </c>
      <c r="R247" t="inlineStr">
        <is>
          <t>shuffled: 7,382 of 10,000</t>
        </is>
      </c>
      <c r="S247" t="inlineStr">
        <is>
          <t>shuffled: 3,326 of 10,000</t>
        </is>
      </c>
      <c r="T247" t="n">
        <v>0.1281911655470681</v>
      </c>
      <c r="U247" t="n">
        <v>0.1342745738515635</v>
      </c>
      <c r="V247">
        <f>AND(judged_band,NOT($J247))</f>
        <v/>
      </c>
      <c r="W247">
        <f>IF($K247="","",IF(profit_kind="test",IF(OR(NOT(AND(ISNUMBER($L247),$L247&lt;significance_bar)),$K247=0),"in line",IF($K247&lt;0,"worse","better")),IF(OR($K247=0,IF(profit_kind="points",ABS($K247),ABS($K247*$H247))&lt;profit_line*(1-1E-9)),"in line",IF(AND(ISNUMBER($L247),$L247&lt;significance_bar),IF($K247&lt;0,"worse","better"),IF($K247&lt;0,"worse, not significant","better, not significant")))))</f>
        <v/>
      </c>
      <c r="X247">
        <f>IF($M247="","",IF(profit_kind="test",IF(OR(NOT(AND(ISNUMBER($N247),$N247&lt;significance_bar)),$M247=0),"in line",IF($M247&lt;0,"worse","better")),IF(OR($M247=0,IF(profit_kind="points",ABS($M247),ABS($M247*$H247))&lt;profit_line*(1-1E-9)),"in line",IF(AND(ISNUMBER($N247),$N247&lt;significance_bar),IF($M247&lt;0,"worse","better"),IF($M247&lt;0,"worse, not significant","better, not significant")))))</f>
        <v/>
      </c>
      <c r="Y247">
        <f>IF($V247,$X247,$W247)</f>
        <v/>
      </c>
      <c r="Z247">
        <f>IF($V247,IF($P247="","",$P247),IF($O247="","",$O247))</f>
        <v/>
      </c>
      <c r="AA247">
        <f>IF(OR($Q247="",$Z247=""),"",IF(AND($Z247&gt;0,$Z247&gt;=$Q247),"yes","below the line"))</f>
        <v/>
      </c>
      <c r="AB247">
        <f>IF($V247,IF($M247="","",$M247),IF($K247="","",$K247))</f>
        <v/>
      </c>
      <c r="AC247">
        <f>IF($V247,IF($N247="","",$N247),IF($L247="","",$L247))</f>
        <v/>
      </c>
      <c r="AD247">
        <f>IF($Y247="","",IF($Y247="in line",IF(profit_kind="test",IF(ROUND($AB247*100,2)=0,"0.00",TEXT($AB247*100,"+0.00;-0.00"))&amp;" points against "&amp;IF($V247,"its band","the book")&amp;", "&amp;IF($AC247="","not tested","not significant"),IF(profit_kind="points","within "&amp;TEXT(profit_line*100,"0.00")&amp;" points of "&amp;IF($V247,"its band","the book")&amp;" ("&amp;IF(ROUND($AB247*100,2)=0,"0.00",TEXT($AB247*100,"+0.00;-0.00"))&amp;")","within $"&amp;TEXT(profit_line,"#,##0")&amp;" of "&amp;IF($V247,"its band","the book")&amp;" ("&amp;IF(ROUND($AB247*100,2)=0,"0.00",TEXT($AB247*100,"+0.00;-0.00"))&amp;" points)")),IF(LEFT($Y247,5)="worse","short of ","ahead of ")&amp;IF($V247,"its band","the book")&amp;" by "&amp;TEXT(ABS($AB247)*100,"0.00")&amp;" points"&amp;IF($Z247="",""," ($"&amp;TEXT(ABS($Z247),"#,##0")&amp;")")&amp;IF(RIGHT($Y247,15)="not significant"," (not significant)","")))</f>
        <v/>
      </c>
      <c r="AE247">
        <f>IF($V247,IF($S247="","",$S247),IF($R247="","",$R247))</f>
        <v/>
      </c>
      <c r="AF247">
        <f>IF($V247,IF($U247="","",$U247),IF($T247="","",$T247))</f>
        <v/>
      </c>
      <c r="AG247">
        <f>IF($V247,IF($O247="","",$O247),IF($P247="","",$P247))</f>
        <v/>
      </c>
      <c r="AH247" t="n">
        <v>0.1250621784073144</v>
      </c>
      <c r="AI247">
        <f>IF($Y247="worse","Yes",IF($Y247="worse, not significant","Not sure",IF(OR($Y247="too few losses to test",$Y247="too few loans to test"),"Too few losses",IF($Y247="","","No"))))</f>
        <v/>
      </c>
      <c r="AJ247">
        <f>IF($AA247="yes","Yes",IF($AA247="","","No"))</f>
        <v/>
      </c>
    </row>
    <row r="248">
      <c r="A248" t="inlineStr">
        <is>
          <t>grids</t>
        </is>
      </c>
      <c r="B248" t="inlineStr">
        <is>
          <t>ORIG_BAL x CHANNEL</t>
        </is>
      </c>
      <c r="C248" t="inlineStr">
        <is>
          <t>26,324 - 37,950</t>
        </is>
      </c>
      <c r="D248" t="inlineStr">
        <is>
          <t>Branch</t>
        </is>
      </c>
      <c r="E248" t="inlineStr">
        <is>
          <t>contribution_rate</t>
        </is>
      </c>
      <c r="F248" t="inlineStr">
        <is>
          <t>Contribution before losses per booked dollar</t>
        </is>
      </c>
      <c r="G248" t="n">
        <v>518</v>
      </c>
      <c r="H248" t="n">
        <v>16587370.03000001</v>
      </c>
      <c r="I248" t="b">
        <v>0</v>
      </c>
      <c r="J248" t="b">
        <v>0</v>
      </c>
      <c r="K248" t="n">
        <v>-0.009985662850817228</v>
      </c>
      <c r="L248" t="n">
        <v>0.1370317513703175</v>
      </c>
      <c r="M248" t="n">
        <v>-0.01255658351187142</v>
      </c>
      <c r="N248" t="n">
        <v>0.07589241075892411</v>
      </c>
      <c r="O248" t="n">
        <v>165635.8847013302</v>
      </c>
      <c r="P248" t="n">
        <v>208280.6970240083</v>
      </c>
      <c r="Q248">
        <f>'_live'!$C$24</f>
        <v/>
      </c>
      <c r="R248" t="inlineStr">
        <is>
          <t>shuffled: 1,004 of 10,000</t>
        </is>
      </c>
      <c r="S248" t="inlineStr">
        <is>
          <t>shuffled: 505 of 10,000</t>
        </is>
      </c>
      <c r="T248" t="n">
        <v>0.1702343837265521</v>
      </c>
      <c r="U248" t="n">
        <v>0.1728053043876062</v>
      </c>
      <c r="V248">
        <f>AND(judged_band,NOT($J248))</f>
        <v/>
      </c>
      <c r="W248">
        <f>IF($K248="","",IF(profit_kind="test",IF(OR(NOT(AND(ISNUMBER($L248),$L248&lt;significance_bar)),$K248=0),"in line",IF($K248&lt;0,"worse","better")),IF(OR($K248=0,IF(profit_kind="points",ABS($K248),ABS($K248*$H248))&lt;profit_line*(1-1E-9)),"in line",IF(AND(ISNUMBER($L248),$L248&lt;significance_bar),IF($K248&lt;0,"worse","better"),IF($K248&lt;0,"worse, not significant","better, not significant")))))</f>
        <v/>
      </c>
      <c r="X248">
        <f>IF($M248="","",IF(profit_kind="test",IF(OR(NOT(AND(ISNUMBER($N248),$N248&lt;significance_bar)),$M248=0),"in line",IF($M248&lt;0,"worse","better")),IF(OR($M248=0,IF(profit_kind="points",ABS($M248),ABS($M248*$H248))&lt;profit_line*(1-1E-9)),"in line",IF(AND(ISNUMBER($N248),$N248&lt;significance_bar),IF($M248&lt;0,"worse","better"),IF($M248&lt;0,"worse, not significant","better, not significant")))))</f>
        <v/>
      </c>
      <c r="Y248">
        <f>IF($V248,$X248,$W248)</f>
        <v/>
      </c>
      <c r="Z248">
        <f>IF($V248,IF($P248="","",$P248),IF($O248="","",$O248))</f>
        <v/>
      </c>
      <c r="AA248">
        <f>IF(OR($Q248="",$Z248=""),"",IF(AND($Z248&gt;0,$Z248&gt;=$Q248),"yes","below the line"))</f>
        <v/>
      </c>
      <c r="AB248">
        <f>IF($V248,IF($M248="","",$M248),IF($K248="","",$K248))</f>
        <v/>
      </c>
      <c r="AC248">
        <f>IF($V248,IF($N248="","",$N248),IF($L248="","",$L248))</f>
        <v/>
      </c>
      <c r="AD248">
        <f>IF($Y248="","",IF($Y248="in line",IF(profit_kind="test",IF(ROUND($AB248*100,2)=0,"0.00",TEXT($AB248*100,"+0.00;-0.00"))&amp;" points against "&amp;IF($V248,"its band","the book")&amp;", "&amp;IF($AC248="","not tested","not significant"),IF(profit_kind="points","within "&amp;TEXT(profit_line*100,"0.00")&amp;" points of "&amp;IF($V248,"its band","the book")&amp;" ("&amp;IF(ROUND($AB248*100,2)=0,"0.00",TEXT($AB248*100,"+0.00;-0.00"))&amp;")","within $"&amp;TEXT(profit_line,"#,##0")&amp;" of "&amp;IF($V248,"its band","the book")&amp;" ("&amp;IF(ROUND($AB248*100,2)=0,"0.00",TEXT($AB248*100,"+0.00;-0.00"))&amp;" points)")),IF(LEFT($Y248,5)="worse","short of ","ahead of ")&amp;IF($V248,"its band","the book")&amp;" by "&amp;TEXT(ABS($AB248)*100,"0.00")&amp;" points"&amp;IF($Z248="",""," ($"&amp;TEXT(ABS($Z248),"#,##0")&amp;")")&amp;IF(RIGHT($Y248,15)="not significant"," (not significant)","")))</f>
        <v/>
      </c>
      <c r="AE248">
        <f>IF($V248,IF($S248="","",$S248),IF($R248="","",$R248))</f>
        <v/>
      </c>
      <c r="AF248">
        <f>IF($V248,IF($U248="","",$U248),IF($T248="","",$T248))</f>
        <v/>
      </c>
      <c r="AG248">
        <f>IF($V248,IF($O248="","",$O248),IF($P248="","",$P248))</f>
        <v/>
      </c>
      <c r="AH248" t="n">
        <v>0.1602487208757348</v>
      </c>
      <c r="AI248">
        <f>IF($Y248="worse","Yes",IF($Y248="worse, not significant","Not sure",IF(OR($Y248="too few losses to test",$Y248="too few loans to test"),"Too few losses",IF($Y248="","","No"))))</f>
        <v/>
      </c>
      <c r="AJ248">
        <f>IF($AA248="yes","Yes",IF($AA248="","","No"))</f>
        <v/>
      </c>
    </row>
    <row r="249">
      <c r="A249" t="inlineStr">
        <is>
          <t>grids</t>
        </is>
      </c>
      <c r="B249" t="inlineStr">
        <is>
          <t>ORIG_BAL x CHANNEL</t>
        </is>
      </c>
      <c r="C249" t="inlineStr">
        <is>
          <t>15,449 - 26,323</t>
        </is>
      </c>
      <c r="D249" t="inlineStr">
        <is>
          <t>Broker</t>
        </is>
      </c>
      <c r="E249" t="inlineStr">
        <is>
          <t>outcome_loans</t>
        </is>
      </c>
      <c r="F249" t="inlineStr">
        <is>
          <t>Outcome, share of loans</t>
        </is>
      </c>
      <c r="G249" t="n">
        <v>537</v>
      </c>
      <c r="H249" t="n">
        <v>537</v>
      </c>
      <c r="I249" t="b">
        <v>0</v>
      </c>
      <c r="J249" t="b">
        <v>0</v>
      </c>
      <c r="K249" t="n">
        <v>1.574514689924038</v>
      </c>
      <c r="L249" t="n">
        <v>0.005041696719189801</v>
      </c>
      <c r="M249" t="n">
        <v>1.450110432636092</v>
      </c>
      <c r="N249" t="n">
        <v>0.1101102245814047</v>
      </c>
      <c r="O249" t="n">
        <v>22.98767086571964</v>
      </c>
      <c r="P249" t="n">
        <v>19.55503292568203</v>
      </c>
      <c r="Q249">
        <f>'_live'!$C$20</f>
        <v/>
      </c>
      <c r="R249" t="inlineStr">
        <is>
          <t>z test</t>
        </is>
      </c>
      <c r="S249" t="inlineStr">
        <is>
          <t>z test</t>
        </is>
      </c>
      <c r="T249" t="n">
        <v>0.07451085499865988</v>
      </c>
      <c r="U249" t="n">
        <v>0.08090310442144873</v>
      </c>
      <c r="V249">
        <f>AND(judged_band,NOT($J249))</f>
        <v/>
      </c>
      <c r="W249">
        <f>IF($K249="","",IF($I249,"too few losses to test",IF(AND($K249&gt;better_at,$K249&lt;worse_at),"in line",IF($K249&gt;=worse_at,IF(AND(ISNUMBER($L249),$L249&lt;significance_bar),"worse","worse, not significant"),IF(AND(ISNUMBER($L249),$L249&lt;significance_bar),"better","better, not significant")))))</f>
        <v/>
      </c>
      <c r="X249">
        <f>IF($M249="","",IF($I249,"too few losses to test",IF(AND($M249&gt;better_at,$M249&lt;worse_at),"in line",IF($M249&gt;=worse_at,IF(AND(ISNUMBER($N249),$N249&lt;significance_bar),"worse","worse, not significant"),IF(AND(ISNUMBER($N249),$N249&lt;significance_bar),"better","better, not significant")))))</f>
        <v/>
      </c>
      <c r="Y249">
        <f>IF($V249,$X249,$W249)</f>
        <v/>
      </c>
      <c r="Z249">
        <f>IF($V249,IF($P249="","",$P249),IF($O249="","",$O249))</f>
        <v/>
      </c>
      <c r="AA249">
        <f>IF(OR($Q249="",$Z249=""),"",IF(AND($Z249&gt;0,$Z249&gt;=$Q249),"yes","below the line"))</f>
        <v/>
      </c>
      <c r="AB249">
        <f>IF($V249,IF($M249="","",$M249),IF($K249="","",$K249))</f>
        <v/>
      </c>
      <c r="AC249">
        <f>IF($V249,IF($N249="","",$N249),IF($L249="","",$L249))</f>
        <v/>
      </c>
      <c r="AD249">
        <f>$Y249</f>
        <v/>
      </c>
      <c r="AE249">
        <f>IF($V249,IF($S249="","",$S249),IF($R249="","",$R249))</f>
        <v/>
      </c>
      <c r="AF249">
        <f>IF($V249,IF($U249="","",$U249),IF($T249="","",$T249))</f>
        <v/>
      </c>
      <c r="AG249">
        <f>IF($V249,IF($O249="","",$O249),IF($P249="","",$P249))</f>
        <v/>
      </c>
      <c r="AH249" t="n">
        <v>0.1173184357541899</v>
      </c>
      <c r="AI249">
        <f>IF($Y249="worse","Yes",IF($Y249="worse, not significant","Not sure",IF(OR($Y249="too few losses to test",$Y249="too few loans to test"),"Too few losses",IF($Y249="","","No"))))</f>
        <v/>
      </c>
      <c r="AJ249">
        <f>IF($AA249="yes","Yes",IF($AA249="","","No"))</f>
        <v/>
      </c>
    </row>
    <row r="250">
      <c r="A250" t="inlineStr">
        <is>
          <t>grids</t>
        </is>
      </c>
      <c r="B250" t="inlineStr">
        <is>
          <t>ORIG_BAL x CHANNEL</t>
        </is>
      </c>
      <c r="C250" t="inlineStr">
        <is>
          <t>15,449 - 26,323</t>
        </is>
      </c>
      <c r="D250" t="inlineStr">
        <is>
          <t>Broker</t>
        </is>
      </c>
      <c r="E250" t="inlineStr">
        <is>
          <t>outcome_booked</t>
        </is>
      </c>
      <c r="F250" t="inlineStr">
        <is>
          <t>Outcome, share of booked dollars</t>
        </is>
      </c>
      <c r="G250" t="n">
        <v>537</v>
      </c>
      <c r="H250" t="n">
        <v>11248028.79</v>
      </c>
      <c r="I250" t="b">
        <v>0</v>
      </c>
      <c r="J250" t="b">
        <v>0</v>
      </c>
      <c r="K250" t="n">
        <v>1.599625905761721</v>
      </c>
      <c r="L250" t="n">
        <v>0.0104989501049895</v>
      </c>
      <c r="M250" t="n">
        <v>1.419585157819046</v>
      </c>
      <c r="N250" t="n">
        <v>0.1064893510648935</v>
      </c>
      <c r="O250" t="n">
        <v>491835.547464761</v>
      </c>
      <c r="P250" t="n">
        <v>387807.8741502409</v>
      </c>
      <c r="Q250">
        <f>'_live'!$C$21</f>
        <v/>
      </c>
      <c r="R250" t="inlineStr">
        <is>
          <t>shuffled: 6 of 10,000</t>
        </is>
      </c>
      <c r="S250" t="inlineStr">
        <is>
          <t>shuffled: 283 of 10,000</t>
        </is>
      </c>
      <c r="T250" t="n">
        <v>0.07292276165442126</v>
      </c>
      <c r="U250" t="n">
        <v>0.08217128646323089</v>
      </c>
      <c r="V250">
        <f>AND(judged_band,NOT($J250))</f>
        <v/>
      </c>
      <c r="W250">
        <f>IF($K250="","",IF($I250,"too few losses to test",IF(AND($K250&gt;better_at,$K250&lt;worse_at),"in line",IF($K250&gt;=worse_at,IF(AND(ISNUMBER($L250),$L250&lt;significance_bar),"worse","worse, not significant"),IF(AND(ISNUMBER($L250),$L250&lt;significance_bar),"better","better, not significant")))))</f>
        <v/>
      </c>
      <c r="X250">
        <f>IF($M250="","",IF($I250,"too few losses to test",IF(AND($M250&gt;better_at,$M250&lt;worse_at),"in line",IF($M250&gt;=worse_at,IF(AND(ISNUMBER($N250),$N250&lt;significance_bar),"worse","worse, not significant"),IF(AND(ISNUMBER($N250),$N250&lt;significance_bar),"better","better, not significant")))))</f>
        <v/>
      </c>
      <c r="Y250">
        <f>IF($V250,$X250,$W250)</f>
        <v/>
      </c>
      <c r="Z250">
        <f>IF($V250,IF($P250="","",$P250),IF($O250="","",$O250))</f>
        <v/>
      </c>
      <c r="AA250">
        <f>IF(OR($Q250="",$Z250=""),"",IF(AND($Z250&gt;0,$Z250&gt;=$Q250),"yes","below the line"))</f>
        <v/>
      </c>
      <c r="AB250">
        <f>IF($V250,IF($M250="","",$M250),IF($K250="","",$K250))</f>
        <v/>
      </c>
      <c r="AC250">
        <f>IF($V250,IF($N250="","",$N250),IF($L250="","",$L250))</f>
        <v/>
      </c>
      <c r="AD250">
        <f>$Y250</f>
        <v/>
      </c>
      <c r="AE250">
        <f>IF($V250,IF($S250="","",$S250),IF($R250="","",$R250))</f>
        <v/>
      </c>
      <c r="AF250">
        <f>IF($V250,IF($U250="","",$U250),IF($T250="","",$T250))</f>
        <v/>
      </c>
      <c r="AG250">
        <f>IF($V250,IF($O250="","",$O250),IF($P250="","",$P250))</f>
        <v/>
      </c>
      <c r="AH250" t="n">
        <v>0.1166491386620997</v>
      </c>
      <c r="AI250">
        <f>IF($Y250="worse","Yes",IF($Y250="worse, not significant","Not sure",IF(OR($Y250="too few losses to test",$Y250="too few loans to test"),"Too few losses",IF($Y250="","","No"))))</f>
        <v/>
      </c>
      <c r="AJ250">
        <f>IF($AA250="yes","Yes",IF($AA250="","","No"))</f>
        <v/>
      </c>
    </row>
    <row r="251">
      <c r="A251" t="inlineStr">
        <is>
          <t>grids</t>
        </is>
      </c>
      <c r="B251" t="inlineStr">
        <is>
          <t>ORIG_BAL x CHANNEL</t>
        </is>
      </c>
      <c r="C251" t="inlineStr">
        <is>
          <t>15,449 - 26,323</t>
        </is>
      </c>
      <c r="D251" t="inlineStr">
        <is>
          <t>Broker</t>
        </is>
      </c>
      <c r="E251" t="inlineStr">
        <is>
          <t>gco_rate</t>
        </is>
      </c>
      <c r="F251" t="inlineStr">
        <is>
          <t>GCO per booked dollar</t>
        </is>
      </c>
      <c r="G251" t="n">
        <v>537</v>
      </c>
      <c r="H251" t="n">
        <v>11248028.79</v>
      </c>
      <c r="I251" t="b">
        <v>0</v>
      </c>
      <c r="J251" t="b">
        <v>0</v>
      </c>
      <c r="K251" t="n">
        <v>1.682641632218555</v>
      </c>
      <c r="L251" t="n">
        <v>0.0044995500449955</v>
      </c>
      <c r="M251" t="n">
        <v>1.489673691497575</v>
      </c>
      <c r="N251" t="n">
        <v>0.07499250074992501</v>
      </c>
      <c r="O251" t="n">
        <v>310228.9970620676</v>
      </c>
      <c r="P251" t="n">
        <v>251360.4073028175</v>
      </c>
      <c r="Q251">
        <f>'_live'!$C$22</f>
        <v/>
      </c>
      <c r="R251" t="inlineStr">
        <is>
          <t>shuffled: 2 of 10,000</t>
        </is>
      </c>
      <c r="S251" t="inlineStr">
        <is>
          <t>shuffled: 149 of 10,000</t>
        </is>
      </c>
      <c r="T251" t="n">
        <v>0.04040296139195182</v>
      </c>
      <c r="U251" t="n">
        <v>0.04563664196463908</v>
      </c>
      <c r="V251">
        <f>AND(judged_band,NOT($J251))</f>
        <v/>
      </c>
      <c r="W251">
        <f>IF($K251="","",IF($I251,"too few losses to test",IF(AND($K251&gt;better_at,$K251&lt;worse_at),"in line",IF($K251&gt;=worse_at,IF(AND(ISNUMBER($L251),$L251&lt;significance_bar),"worse","worse, not significant"),IF(AND(ISNUMBER($L251),$L251&lt;significance_bar),"better","better, not significant")))))</f>
        <v/>
      </c>
      <c r="X251">
        <f>IF($M251="","",IF($I251,"too few losses to test",IF(AND($M251&gt;better_at,$M251&lt;worse_at),"in line",IF($M251&gt;=worse_at,IF(AND(ISNUMBER($N251),$N251&lt;significance_bar),"worse","worse, not significant"),IF(AND(ISNUMBER($N251),$N251&lt;significance_bar),"better","better, not significant")))))</f>
        <v/>
      </c>
      <c r="Y251">
        <f>IF($V251,$X251,$W251)</f>
        <v/>
      </c>
      <c r="Z251">
        <f>IF($V251,IF($P251="","",$P251),IF($O251="","",$O251))</f>
        <v/>
      </c>
      <c r="AA251">
        <f>IF(OR($Q251="",$Z251=""),"",IF(AND($Z251&gt;0,$Z251&gt;=$Q251),"yes","below the line"))</f>
        <v/>
      </c>
      <c r="AB251">
        <f>IF($V251,IF($M251="","",$M251),IF($K251="","",$K251))</f>
        <v/>
      </c>
      <c r="AC251">
        <f>IF($V251,IF($N251="","",$N251),IF($L251="","",$L251))</f>
        <v/>
      </c>
      <c r="AD251">
        <f>$Y251</f>
        <v/>
      </c>
      <c r="AE251">
        <f>IF($V251,IF($S251="","",$S251),IF($R251="","",$R251))</f>
        <v/>
      </c>
      <c r="AF251">
        <f>IF($V251,IF($U251="","",$U251),IF($T251="","",$T251))</f>
        <v/>
      </c>
      <c r="AG251">
        <f>IF($V251,IF($O251="","",$O251),IF($P251="","",$P251))</f>
        <v/>
      </c>
      <c r="AH251" t="n">
        <v>0.06798370490301706</v>
      </c>
      <c r="AI251">
        <f>IF($Y251="worse","Yes",IF($Y251="worse, not significant","Not sure",IF(OR($Y251="too few losses to test",$Y251="too few loans to test"),"Too few losses",IF($Y251="","","No"))))</f>
        <v/>
      </c>
      <c r="AJ251">
        <f>IF($AA251="yes","Yes",IF($AA251="","","No"))</f>
        <v/>
      </c>
    </row>
    <row r="252">
      <c r="A252" t="inlineStr">
        <is>
          <t>grids</t>
        </is>
      </c>
      <c r="B252" t="inlineStr">
        <is>
          <t>ORIG_BAL x CHANNEL</t>
        </is>
      </c>
      <c r="C252" t="inlineStr">
        <is>
          <t>15,449 - 26,323</t>
        </is>
      </c>
      <c r="D252" t="inlineStr">
        <is>
          <t>Broker</t>
        </is>
      </c>
      <c r="E252" t="inlineStr">
        <is>
          <t>ranr_rate</t>
        </is>
      </c>
      <c r="F252" t="inlineStr">
        <is>
          <t>Profit after losses: RANR per booked dollar</t>
        </is>
      </c>
      <c r="G252" t="n">
        <v>537</v>
      </c>
      <c r="H252" t="n">
        <v>11248028.79</v>
      </c>
      <c r="I252" t="b">
        <v>0</v>
      </c>
      <c r="J252" t="b">
        <v>0</v>
      </c>
      <c r="K252" t="n">
        <v>-0.03503478307791899</v>
      </c>
      <c r="L252" t="n">
        <v>0.0014998500149985</v>
      </c>
      <c r="M252" t="n">
        <v>-0.03705150293094048</v>
      </c>
      <c r="N252" t="n">
        <v>0.00374962503749625</v>
      </c>
      <c r="O252" t="n">
        <v>394072.2487118379</v>
      </c>
      <c r="P252" t="n">
        <v>416756.3716799882</v>
      </c>
      <c r="Q252">
        <f>'_live'!$C$23</f>
        <v/>
      </c>
      <c r="R252" t="inlineStr">
        <is>
          <t>shuffled: 0 of 10,000</t>
        </is>
      </c>
      <c r="S252" t="inlineStr">
        <is>
          <t>shuffled: 4 of 10,000</t>
        </is>
      </c>
      <c r="T252" t="n">
        <v>0.129517056358089</v>
      </c>
      <c r="U252" t="n">
        <v>0.1315337762111105</v>
      </c>
      <c r="V252">
        <f>AND(judged_band,NOT($J252))</f>
        <v/>
      </c>
      <c r="W252">
        <f>IF($K252="","",IF(profit_kind="test",IF(OR(NOT(AND(ISNUMBER($L252),$L252&lt;significance_bar)),$K252=0),"in line",IF($K252&lt;0,"worse","better")),IF(OR($K252=0,IF(profit_kind="points",ABS($K252),ABS($K252*$H252))&lt;profit_line*(1-1E-9)),"in line",IF(AND(ISNUMBER($L252),$L252&lt;significance_bar),IF($K252&lt;0,"worse","better"),IF($K252&lt;0,"worse, not significant","better, not significant")))))</f>
        <v/>
      </c>
      <c r="X252">
        <f>IF($M252="","",IF(profit_kind="test",IF(OR(NOT(AND(ISNUMBER($N252),$N252&lt;significance_bar)),$M252=0),"in line",IF($M252&lt;0,"worse","better")),IF(OR($M252=0,IF(profit_kind="points",ABS($M252),ABS($M252*$H252))&lt;profit_line*(1-1E-9)),"in line",IF(AND(ISNUMBER($N252),$N252&lt;significance_bar),IF($M252&lt;0,"worse","better"),IF($M252&lt;0,"worse, not significant","better, not significant")))))</f>
        <v/>
      </c>
      <c r="Y252">
        <f>IF($V252,$X252,$W252)</f>
        <v/>
      </c>
      <c r="Z252">
        <f>IF($V252,IF($P252="","",$P252),IF($O252="","",$O252))</f>
        <v/>
      </c>
      <c r="AA252">
        <f>IF(OR($Q252="",$Z252=""),"",IF(AND($Z252&gt;0,$Z252&gt;=$Q252),"yes","below the line"))</f>
        <v/>
      </c>
      <c r="AB252">
        <f>IF($V252,IF($M252="","",$M252),IF($K252="","",$K252))</f>
        <v/>
      </c>
      <c r="AC252">
        <f>IF($V252,IF($N252="","",$N252),IF($L252="","",$L252))</f>
        <v/>
      </c>
      <c r="AD252">
        <f>IF($Y252="","",IF($Y252="in line",IF(profit_kind="test",IF(ROUND($AB252*100,2)=0,"0.00",TEXT($AB252*100,"+0.00;-0.00"))&amp;" points against "&amp;IF($V252,"its band","the book")&amp;", "&amp;IF($AC252="","not tested","not significant"),IF(profit_kind="points","within "&amp;TEXT(profit_line*100,"0.00")&amp;" points of "&amp;IF($V252,"its band","the book")&amp;" ("&amp;IF(ROUND($AB252*100,2)=0,"0.00",TEXT($AB252*100,"+0.00;-0.00"))&amp;")","within $"&amp;TEXT(profit_line,"#,##0")&amp;" of "&amp;IF($V252,"its band","the book")&amp;" ("&amp;IF(ROUND($AB252*100,2)=0,"0.00",TEXT($AB252*100,"+0.00;-0.00"))&amp;" points)")),IF(LEFT($Y252,5)="worse","short of ","ahead of ")&amp;IF($V252,"its band","the book")&amp;" by "&amp;TEXT(ABS($AB252)*100,"0.00")&amp;" points"&amp;IF($Z252="",""," ($"&amp;TEXT(ABS($Z252),"#,##0")&amp;")")&amp;IF(RIGHT($Y252,15)="not significant"," (not significant)","")))</f>
        <v/>
      </c>
      <c r="AE252">
        <f>IF($V252,IF($S252="","",$S252),IF($R252="","",$R252))</f>
        <v/>
      </c>
      <c r="AF252">
        <f>IF($V252,IF($U252="","",$U252),IF($T252="","",$T252))</f>
        <v/>
      </c>
      <c r="AG252">
        <f>IF($V252,IF($O252="","",$O252),IF($P252="","",$P252))</f>
        <v/>
      </c>
      <c r="AH252" t="n">
        <v>0.09448227328017</v>
      </c>
      <c r="AI252">
        <f>IF($Y252="worse","Yes",IF($Y252="worse, not significant","Not sure",IF(OR($Y252="too few losses to test",$Y252="too few loans to test"),"Too few losses",IF($Y252="","","No"))))</f>
        <v/>
      </c>
      <c r="AJ252">
        <f>IF($AA252="yes","Yes",IF($AA252="","","No"))</f>
        <v/>
      </c>
    </row>
    <row r="253">
      <c r="A253" t="inlineStr">
        <is>
          <t>grids</t>
        </is>
      </c>
      <c r="B253" t="inlineStr">
        <is>
          <t>ORIG_BAL x CHANNEL</t>
        </is>
      </c>
      <c r="C253" t="inlineStr">
        <is>
          <t>15,449 - 26,323</t>
        </is>
      </c>
      <c r="D253" t="inlineStr">
        <is>
          <t>Broker</t>
        </is>
      </c>
      <c r="E253" t="inlineStr">
        <is>
          <t>contribution_rate</t>
        </is>
      </c>
      <c r="F253" t="inlineStr">
        <is>
          <t>Contribution before losses per booked dollar</t>
        </is>
      </c>
      <c r="G253" t="n">
        <v>537</v>
      </c>
      <c r="H253" t="n">
        <v>11248028.79</v>
      </c>
      <c r="I253" t="b">
        <v>0</v>
      </c>
      <c r="J253" t="b">
        <v>0</v>
      </c>
      <c r="K253" t="n">
        <v>-0.007451295554242093</v>
      </c>
      <c r="L253" t="n">
        <v>0.2557821140962827</v>
      </c>
      <c r="M253" t="n">
        <v>-0.01470443999256266</v>
      </c>
      <c r="N253" t="n">
        <v>0.042329100423291</v>
      </c>
      <c r="O253" t="n">
        <v>83812.38691691402</v>
      </c>
      <c r="P253" t="n">
        <v>165395.9643771723</v>
      </c>
      <c r="Q253">
        <f>'_live'!$C$24</f>
        <v/>
      </c>
      <c r="R253" t="inlineStr">
        <is>
          <t>shuffled: 2,216 of 10,000</t>
        </is>
      </c>
      <c r="S253" t="inlineStr">
        <is>
          <t>shuffled: 235 of 10,000</t>
        </is>
      </c>
      <c r="T253" t="n">
        <v>0.169917273737429</v>
      </c>
      <c r="U253" t="n">
        <v>0.1771704181757495</v>
      </c>
      <c r="V253">
        <f>AND(judged_band,NOT($J253))</f>
        <v/>
      </c>
      <c r="W253">
        <f>IF($K253="","",IF(profit_kind="test",IF(OR(NOT(AND(ISNUMBER($L253),$L253&lt;significance_bar)),$K253=0),"in line",IF($K253&lt;0,"worse","better")),IF(OR($K253=0,IF(profit_kind="points",ABS($K253),ABS($K253*$H253))&lt;profit_line*(1-1E-9)),"in line",IF(AND(ISNUMBER($L253),$L253&lt;significance_bar),IF($K253&lt;0,"worse","better"),IF($K253&lt;0,"worse, not significant","better, not significant")))))</f>
        <v/>
      </c>
      <c r="X253">
        <f>IF($M253="","",IF(profit_kind="test",IF(OR(NOT(AND(ISNUMBER($N253),$N253&lt;significance_bar)),$M253=0),"in line",IF($M253&lt;0,"worse","better")),IF(OR($M253=0,IF(profit_kind="points",ABS($M253),ABS($M253*$H253))&lt;profit_line*(1-1E-9)),"in line",IF(AND(ISNUMBER($N253),$N253&lt;significance_bar),IF($M253&lt;0,"worse","better"),IF($M253&lt;0,"worse, not significant","better, not significant")))))</f>
        <v/>
      </c>
      <c r="Y253">
        <f>IF($V253,$X253,$W253)</f>
        <v/>
      </c>
      <c r="Z253">
        <f>IF($V253,IF($P253="","",$P253),IF($O253="","",$O253))</f>
        <v/>
      </c>
      <c r="AA253">
        <f>IF(OR($Q253="",$Z253=""),"",IF(AND($Z253&gt;0,$Z253&gt;=$Q253),"yes","below the line"))</f>
        <v/>
      </c>
      <c r="AB253">
        <f>IF($V253,IF($M253="","",$M253),IF($K253="","",$K253))</f>
        <v/>
      </c>
      <c r="AC253">
        <f>IF($V253,IF($N253="","",$N253),IF($L253="","",$L253))</f>
        <v/>
      </c>
      <c r="AD253">
        <f>IF($Y253="","",IF($Y253="in line",IF(profit_kind="test",IF(ROUND($AB253*100,2)=0,"0.00",TEXT($AB253*100,"+0.00;-0.00"))&amp;" points against "&amp;IF($V253,"its band","the book")&amp;", "&amp;IF($AC253="","not tested","not significant"),IF(profit_kind="points","within "&amp;TEXT(profit_line*100,"0.00")&amp;" points of "&amp;IF($V253,"its band","the book")&amp;" ("&amp;IF(ROUND($AB253*100,2)=0,"0.00",TEXT($AB253*100,"+0.00;-0.00"))&amp;")","within $"&amp;TEXT(profit_line,"#,##0")&amp;" of "&amp;IF($V253,"its band","the book")&amp;" ("&amp;IF(ROUND($AB253*100,2)=0,"0.00",TEXT($AB253*100,"+0.00;-0.00"))&amp;" points)")),IF(LEFT($Y253,5)="worse","short of ","ahead of ")&amp;IF($V253,"its band","the book")&amp;" by "&amp;TEXT(ABS($AB253)*100,"0.00")&amp;" points"&amp;IF($Z253="",""," ($"&amp;TEXT(ABS($Z253),"#,##0")&amp;")")&amp;IF(RIGHT($Y253,15)="not significant"," (not significant)","")))</f>
        <v/>
      </c>
      <c r="AE253">
        <f>IF($V253,IF($S253="","",$S253),IF($R253="","",$R253))</f>
        <v/>
      </c>
      <c r="AF253">
        <f>IF($V253,IF($U253="","",$U253),IF($T253="","",$T253))</f>
        <v/>
      </c>
      <c r="AG253">
        <f>IF($V253,IF($O253="","",$O253),IF($P253="","",$P253))</f>
        <v/>
      </c>
      <c r="AH253" t="n">
        <v>0.1624659781831869</v>
      </c>
      <c r="AI253">
        <f>IF($Y253="worse","Yes",IF($Y253="worse, not significant","Not sure",IF(OR($Y253="too few losses to test",$Y253="too few loans to test"),"Too few losses",IF($Y253="","","No"))))</f>
        <v/>
      </c>
      <c r="AJ253">
        <f>IF($AA253="yes","Yes",IF($AA253="","","No"))</f>
        <v/>
      </c>
    </row>
    <row r="254">
      <c r="A254" t="inlineStr">
        <is>
          <t>grids</t>
        </is>
      </c>
      <c r="B254" t="inlineStr">
        <is>
          <t>ORIG_BAL x CHANNEL</t>
        </is>
      </c>
      <c r="C254" t="inlineStr">
        <is>
          <t>15,449 - 26,323</t>
        </is>
      </c>
      <c r="D254" t="inlineStr">
        <is>
          <t>Online</t>
        </is>
      </c>
      <c r="E254" t="inlineStr">
        <is>
          <t>outcome_loans</t>
        </is>
      </c>
      <c r="F254" t="inlineStr">
        <is>
          <t>Outcome, share of loans</t>
        </is>
      </c>
      <c r="G254" t="n">
        <v>538</v>
      </c>
      <c r="H254" t="n">
        <v>538</v>
      </c>
      <c r="I254" t="b">
        <v>0</v>
      </c>
      <c r="J254" t="b">
        <v>0</v>
      </c>
      <c r="K254" t="n">
        <v>1.192163960086089</v>
      </c>
      <c r="L254" t="n">
        <v>0.5308481568395822</v>
      </c>
      <c r="M254" t="n">
        <v>0.9672490706319703</v>
      </c>
      <c r="N254" t="n">
        <v>0.9421531292180777</v>
      </c>
      <c r="O254" t="n">
        <v>7.898271009248091</v>
      </c>
      <c r="P254" t="n">
        <v>-1.65913370998117</v>
      </c>
      <c r="Q254">
        <f>'_live'!$C$20</f>
        <v/>
      </c>
      <c r="R254" t="inlineStr">
        <is>
          <t>z test</t>
        </is>
      </c>
      <c r="S254" t="inlineStr">
        <is>
          <t>z test</t>
        </is>
      </c>
      <c r="T254" t="n">
        <v>0.07639726578206675</v>
      </c>
      <c r="U254" t="n">
        <v>0.09416195856873823</v>
      </c>
      <c r="V254">
        <f>AND(judged_band,NOT($J254))</f>
        <v/>
      </c>
      <c r="W254">
        <f>IF($K254="","",IF($I254,"too few losses to test",IF(AND($K254&gt;better_at,$K254&lt;worse_at),"in line",IF($K254&gt;=worse_at,IF(AND(ISNUMBER($L254),$L254&lt;significance_bar),"worse","worse, not significant"),IF(AND(ISNUMBER($L254),$L254&lt;significance_bar),"better","better, not significant")))))</f>
        <v/>
      </c>
      <c r="X254">
        <f>IF($M254="","",IF($I254,"too few losses to test",IF(AND($M254&gt;better_at,$M254&lt;worse_at),"in line",IF($M254&gt;=worse_at,IF(AND(ISNUMBER($N254),$N254&lt;significance_bar),"worse","worse, not significant"),IF(AND(ISNUMBER($N254),$N254&lt;significance_bar),"better","better, not significant")))))</f>
        <v/>
      </c>
      <c r="Y254">
        <f>IF($V254,$X254,$W254)</f>
        <v/>
      </c>
      <c r="Z254">
        <f>IF($V254,IF($P254="","",$P254),IF($O254="","",$O254))</f>
        <v/>
      </c>
      <c r="AA254">
        <f>IF(OR($Q254="",$Z254=""),"",IF(AND($Z254&gt;0,$Z254&gt;=$Q254),"yes","below the line"))</f>
        <v/>
      </c>
      <c r="AB254">
        <f>IF($V254,IF($M254="","",$M254),IF($K254="","",$K254))</f>
        <v/>
      </c>
      <c r="AC254">
        <f>IF($V254,IF($N254="","",$N254),IF($L254="","",$L254))</f>
        <v/>
      </c>
      <c r="AD254">
        <f>$Y254</f>
        <v/>
      </c>
      <c r="AE254">
        <f>IF($V254,IF($S254="","",$S254),IF($R254="","",$R254))</f>
        <v/>
      </c>
      <c r="AF254">
        <f>IF($V254,IF($U254="","",$U254),IF($T254="","",$T254))</f>
        <v/>
      </c>
      <c r="AG254">
        <f>IF($V254,IF($O254="","",$O254),IF($P254="","",$P254))</f>
        <v/>
      </c>
      <c r="AH254" t="n">
        <v>0.09107806691449814</v>
      </c>
      <c r="AI254">
        <f>IF($Y254="worse","Yes",IF($Y254="worse, not significant","Not sure",IF(OR($Y254="too few losses to test",$Y254="too few loans to test"),"Too few losses",IF($Y254="","","No"))))</f>
        <v/>
      </c>
      <c r="AJ254">
        <f>IF($AA254="yes","Yes",IF($AA254="","","No"))</f>
        <v/>
      </c>
    </row>
    <row r="255">
      <c r="A255" t="inlineStr">
        <is>
          <t>grids</t>
        </is>
      </c>
      <c r="B255" t="inlineStr">
        <is>
          <t>ORIG_BAL x CHANNEL</t>
        </is>
      </c>
      <c r="C255" t="inlineStr">
        <is>
          <t>15,449 - 26,323</t>
        </is>
      </c>
      <c r="D255" t="inlineStr">
        <is>
          <t>Online</t>
        </is>
      </c>
      <c r="E255" t="inlineStr">
        <is>
          <t>outcome_booked</t>
        </is>
      </c>
      <c r="F255" t="inlineStr">
        <is>
          <t>Outcome, share of booked dollars</t>
        </is>
      </c>
      <c r="G255" t="n">
        <v>538</v>
      </c>
      <c r="H255" t="n">
        <v>11158749.76</v>
      </c>
      <c r="I255" t="b">
        <v>0</v>
      </c>
      <c r="J255" t="b">
        <v>0</v>
      </c>
      <c r="K255" t="n">
        <v>1.288032448806276</v>
      </c>
      <c r="L255" t="n">
        <v>0.4944505549445055</v>
      </c>
      <c r="M255" t="n">
        <v>1.022866651792092</v>
      </c>
      <c r="N255" t="n">
        <v>0.9564757809933292</v>
      </c>
      <c r="O255" t="n">
        <v>237547.1943015577</v>
      </c>
      <c r="P255" t="n">
        <v>23747.55222877511</v>
      </c>
      <c r="Q255">
        <f>'_live'!$C$21</f>
        <v/>
      </c>
      <c r="R255" t="inlineStr">
        <is>
          <t>shuffled: 988 of 10,000</t>
        </is>
      </c>
      <c r="S255" t="inlineStr">
        <is>
          <t>shuffled: 8,927 of 10,000</t>
        </is>
      </c>
      <c r="T255" t="n">
        <v>0.07390825526483016</v>
      </c>
      <c r="U255" t="n">
        <v>0.09306807573496702</v>
      </c>
      <c r="V255">
        <f>AND(judged_band,NOT($J255))</f>
        <v/>
      </c>
      <c r="W255">
        <f>IF($K255="","",IF($I255,"too few losses to test",IF(AND($K255&gt;better_at,$K255&lt;worse_at),"in line",IF($K255&gt;=worse_at,IF(AND(ISNUMBER($L255),$L255&lt;significance_bar),"worse","worse, not significant"),IF(AND(ISNUMBER($L255),$L255&lt;significance_bar),"better","better, not significant")))))</f>
        <v/>
      </c>
      <c r="X255">
        <f>IF($M255="","",IF($I255,"too few losses to test",IF(AND($M255&gt;better_at,$M255&lt;worse_at),"in line",IF($M255&gt;=worse_at,IF(AND(ISNUMBER($N255),$N255&lt;significance_bar),"worse","worse, not significant"),IF(AND(ISNUMBER($N255),$N255&lt;significance_bar),"better","better, not significant")))))</f>
        <v/>
      </c>
      <c r="Y255">
        <f>IF($V255,$X255,$W255)</f>
        <v/>
      </c>
      <c r="Z255">
        <f>IF($V255,IF($P255="","",$P255),IF($O255="","",$O255))</f>
        <v/>
      </c>
      <c r="AA255">
        <f>IF(OR($Q255="",$Z255=""),"",IF(AND($Z255&gt;0,$Z255&gt;=$Q255),"yes","below the line"))</f>
        <v/>
      </c>
      <c r="AB255">
        <f>IF($V255,IF($M255="","",$M255),IF($K255="","",$K255))</f>
        <v/>
      </c>
      <c r="AC255">
        <f>IF($V255,IF($N255="","",$N255),IF($L255="","",$L255))</f>
        <v/>
      </c>
      <c r="AD255">
        <f>$Y255</f>
        <v/>
      </c>
      <c r="AE255">
        <f>IF($V255,IF($S255="","",$S255),IF($R255="","",$R255))</f>
        <v/>
      </c>
      <c r="AF255">
        <f>IF($V255,IF($U255="","",$U255),IF($T255="","",$T255))</f>
        <v/>
      </c>
      <c r="AG255">
        <f>IF($V255,IF($O255="","",$O255),IF($P255="","",$P255))</f>
        <v/>
      </c>
      <c r="AH255" t="n">
        <v>0.09519623101575854</v>
      </c>
      <c r="AI255">
        <f>IF($Y255="worse","Yes",IF($Y255="worse, not significant","Not sure",IF(OR($Y255="too few losses to test",$Y255="too few loans to test"),"Too few losses",IF($Y255="","","No"))))</f>
        <v/>
      </c>
      <c r="AJ255">
        <f>IF($AA255="yes","Yes",IF($AA255="","","No"))</f>
        <v/>
      </c>
    </row>
    <row r="256">
      <c r="A256" t="inlineStr">
        <is>
          <t>grids</t>
        </is>
      </c>
      <c r="B256" t="inlineStr">
        <is>
          <t>ORIG_BAL x CHANNEL</t>
        </is>
      </c>
      <c r="C256" t="inlineStr">
        <is>
          <t>15,449 - 26,323</t>
        </is>
      </c>
      <c r="D256" t="inlineStr">
        <is>
          <t>Online</t>
        </is>
      </c>
      <c r="E256" t="inlineStr">
        <is>
          <t>gco_rate</t>
        </is>
      </c>
      <c r="F256" t="inlineStr">
        <is>
          <t>GCO per booked dollar</t>
        </is>
      </c>
      <c r="G256" t="n">
        <v>538</v>
      </c>
      <c r="H256" t="n">
        <v>11158749.76</v>
      </c>
      <c r="I256" t="b">
        <v>0</v>
      </c>
      <c r="J256" t="b">
        <v>0</v>
      </c>
      <c r="K256" t="n">
        <v>1.231125872791085</v>
      </c>
      <c r="L256" t="n">
        <v>0.672932706729327</v>
      </c>
      <c r="M256" t="n">
        <v>0.9324780292725052</v>
      </c>
      <c r="N256" t="n">
        <v>0.8321167883211679</v>
      </c>
      <c r="O256" t="n">
        <v>106241.2188155755</v>
      </c>
      <c r="P256" t="n">
        <v>-40978.2530446368</v>
      </c>
      <c r="Q256">
        <f>'_live'!$C$22</f>
        <v/>
      </c>
      <c r="R256" t="inlineStr">
        <is>
          <t>shuffled: 2,019 of 10,000</t>
        </is>
      </c>
      <c r="S256" t="inlineStr">
        <is>
          <t>shuffled: 6,927 of 10,000</t>
        </is>
      </c>
      <c r="T256" t="n">
        <v>0.04119352356409726</v>
      </c>
      <c r="U256" t="n">
        <v>0.05438671052738411</v>
      </c>
      <c r="V256">
        <f>AND(judged_band,NOT($J256))</f>
        <v/>
      </c>
      <c r="W256">
        <f>IF($K256="","",IF($I256,"too few losses to test",IF(AND($K256&gt;better_at,$K256&lt;worse_at),"in line",IF($K256&gt;=worse_at,IF(AND(ISNUMBER($L256),$L256&lt;significance_bar),"worse","worse, not significant"),IF(AND(ISNUMBER($L256),$L256&lt;significance_bar),"better","better, not significant")))))</f>
        <v/>
      </c>
      <c r="X256">
        <f>IF($M256="","",IF($I256,"too few losses to test",IF(AND($M256&gt;better_at,$M256&lt;worse_at),"in line",IF($M256&gt;=worse_at,IF(AND(ISNUMBER($N256),$N256&lt;significance_bar),"worse","worse, not significant"),IF(AND(ISNUMBER($N256),$N256&lt;significance_bar),"better","better, not significant")))))</f>
        <v/>
      </c>
      <c r="Y256">
        <f>IF($V256,$X256,$W256)</f>
        <v/>
      </c>
      <c r="Z256">
        <f>IF($V256,IF($P256="","",$P256),IF($O256="","",$O256))</f>
        <v/>
      </c>
      <c r="AA256">
        <f>IF(OR($Q256="",$Z256=""),"",IF(AND($Z256&gt;0,$Z256&gt;=$Q256),"yes","below the line"))</f>
        <v/>
      </c>
      <c r="AB256">
        <f>IF($V256,IF($M256="","",$M256),IF($K256="","",$K256))</f>
        <v/>
      </c>
      <c r="AC256">
        <f>IF($V256,IF($N256="","",$N256),IF($L256="","",$L256))</f>
        <v/>
      </c>
      <c r="AD256">
        <f>$Y256</f>
        <v/>
      </c>
      <c r="AE256">
        <f>IF($V256,IF($S256="","",$S256),IF($R256="","",$R256))</f>
        <v/>
      </c>
      <c r="AF256">
        <f>IF($V256,IF($U256="","",$U256),IF($T256="","",$T256))</f>
        <v/>
      </c>
      <c r="AG256">
        <f>IF($V256,IF($O256="","",$O256),IF($P256="","",$P256))</f>
        <v/>
      </c>
      <c r="AH256" t="n">
        <v>0.05071441265118935</v>
      </c>
      <c r="AI256">
        <f>IF($Y256="worse","Yes",IF($Y256="worse, not significant","Not sure",IF(OR($Y256="too few losses to test",$Y256="too few loans to test"),"Too few losses",IF($Y256="","","No"))))</f>
        <v/>
      </c>
      <c r="AJ256">
        <f>IF($AA256="yes","Yes",IF($AA256="","","No"))</f>
        <v/>
      </c>
    </row>
    <row r="257">
      <c r="A257" t="inlineStr">
        <is>
          <t>grids</t>
        </is>
      </c>
      <c r="B257" t="inlineStr">
        <is>
          <t>ORIG_BAL x CHANNEL</t>
        </is>
      </c>
      <c r="C257" t="inlineStr">
        <is>
          <t>15,449 - 26,323</t>
        </is>
      </c>
      <c r="D257" t="inlineStr">
        <is>
          <t>Online</t>
        </is>
      </c>
      <c r="E257" t="inlineStr">
        <is>
          <t>ranr_rate</t>
        </is>
      </c>
      <c r="F257" t="inlineStr">
        <is>
          <t>Profit after losses: RANR per booked dollar</t>
        </is>
      </c>
      <c r="G257" t="n">
        <v>538</v>
      </c>
      <c r="H257" t="n">
        <v>11158749.76</v>
      </c>
      <c r="I257" t="b">
        <v>0</v>
      </c>
      <c r="J257" t="b">
        <v>0</v>
      </c>
      <c r="K257" t="n">
        <v>0.01091277769938467</v>
      </c>
      <c r="L257" t="n">
        <v>0.3175591531755915</v>
      </c>
      <c r="M257" t="n">
        <v>0.02908574961352622</v>
      </c>
      <c r="N257" t="n">
        <v>0.0224977502249775</v>
      </c>
      <c r="O257" t="n">
        <v>-121772.955533942</v>
      </c>
      <c r="P257" t="n">
        <v>-324560.6015193558</v>
      </c>
      <c r="Q257">
        <f>'_live'!$C$23</f>
        <v/>
      </c>
      <c r="R257" t="inlineStr">
        <is>
          <t>shuffled: 2,328 of 10,000</t>
        </is>
      </c>
      <c r="S257" t="inlineStr">
        <is>
          <t>shuffled: 74 of 10,000</t>
        </is>
      </c>
      <c r="T257" t="n">
        <v>0.1275181866311569</v>
      </c>
      <c r="U257" t="n">
        <v>0.1093452147170154</v>
      </c>
      <c r="V257">
        <f>AND(judged_band,NOT($J257))</f>
        <v/>
      </c>
      <c r="W257">
        <f>IF($K257="","",IF(profit_kind="test",IF(OR(NOT(AND(ISNUMBER($L257),$L257&lt;significance_bar)),$K257=0),"in line",IF($K257&lt;0,"worse","better")),IF(OR($K257=0,IF(profit_kind="points",ABS($K257),ABS($K257*$H257))&lt;profit_line*(1-1E-9)),"in line",IF(AND(ISNUMBER($L257),$L257&lt;significance_bar),IF($K257&lt;0,"worse","better"),IF($K257&lt;0,"worse, not significant","better, not significant")))))</f>
        <v/>
      </c>
      <c r="X257">
        <f>IF($M257="","",IF(profit_kind="test",IF(OR(NOT(AND(ISNUMBER($N257),$N257&lt;significance_bar)),$M257=0),"in line",IF($M257&lt;0,"worse","better")),IF(OR($M257=0,IF(profit_kind="points",ABS($M257),ABS($M257*$H257))&lt;profit_line*(1-1E-9)),"in line",IF(AND(ISNUMBER($N257),$N257&lt;significance_bar),IF($M257&lt;0,"worse","better"),IF($M257&lt;0,"worse, not significant","better, not significant")))))</f>
        <v/>
      </c>
      <c r="Y257">
        <f>IF($V257,$X257,$W257)</f>
        <v/>
      </c>
      <c r="Z257">
        <f>IF($V257,IF($P257="","",$P257),IF($O257="","",$O257))</f>
        <v/>
      </c>
      <c r="AA257">
        <f>IF(OR($Q257="",$Z257=""),"",IF(AND($Z257&gt;0,$Z257&gt;=$Q257),"yes","below the line"))</f>
        <v/>
      </c>
      <c r="AB257">
        <f>IF($V257,IF($M257="","",$M257),IF($K257="","",$K257))</f>
        <v/>
      </c>
      <c r="AC257">
        <f>IF($V257,IF($N257="","",$N257),IF($L257="","",$L257))</f>
        <v/>
      </c>
      <c r="AD257">
        <f>IF($Y257="","",IF($Y257="in line",IF(profit_kind="test",IF(ROUND($AB257*100,2)=0,"0.00",TEXT($AB257*100,"+0.00;-0.00"))&amp;" points against "&amp;IF($V257,"its band","the book")&amp;", "&amp;IF($AC257="","not tested","not significant"),IF(profit_kind="points","within "&amp;TEXT(profit_line*100,"0.00")&amp;" points of "&amp;IF($V257,"its band","the book")&amp;" ("&amp;IF(ROUND($AB257*100,2)=0,"0.00",TEXT($AB257*100,"+0.00;-0.00"))&amp;")","within $"&amp;TEXT(profit_line,"#,##0")&amp;" of "&amp;IF($V257,"its band","the book")&amp;" ("&amp;IF(ROUND($AB257*100,2)=0,"0.00",TEXT($AB257*100,"+0.00;-0.00"))&amp;" points)")),IF(LEFT($Y257,5)="worse","short of ","ahead of ")&amp;IF($V257,"its band","the book")&amp;" by "&amp;TEXT(ABS($AB257)*100,"0.00")&amp;" points"&amp;IF($Z257="",""," ($"&amp;TEXT(ABS($Z257),"#,##0")&amp;")")&amp;IF(RIGHT($Y257,15)="not significant"," (not significant)","")))</f>
        <v/>
      </c>
      <c r="AE257">
        <f>IF($V257,IF($S257="","",$S257),IF($R257="","",$R257))</f>
        <v/>
      </c>
      <c r="AF257">
        <f>IF($V257,IF($U257="","",$U257),IF($T257="","",$T257))</f>
        <v/>
      </c>
      <c r="AG257">
        <f>IF($V257,IF($O257="","",$O257),IF($P257="","",$P257))</f>
        <v/>
      </c>
      <c r="AH257" t="n">
        <v>0.1384309643305416</v>
      </c>
      <c r="AI257">
        <f>IF($Y257="worse","Yes",IF($Y257="worse, not significant","Not sure",IF(OR($Y257="too few losses to test",$Y257="too few loans to test"),"Too few losses",IF($Y257="","","No"))))</f>
        <v/>
      </c>
      <c r="AJ257">
        <f>IF($AA257="yes","Yes",IF($AA257="","","No"))</f>
        <v/>
      </c>
    </row>
    <row r="258">
      <c r="A258" t="inlineStr">
        <is>
          <t>grids</t>
        </is>
      </c>
      <c r="B258" t="inlineStr">
        <is>
          <t>ORIG_BAL x CHANNEL</t>
        </is>
      </c>
      <c r="C258" t="inlineStr">
        <is>
          <t>15,449 - 26,323</t>
        </is>
      </c>
      <c r="D258" t="inlineStr">
        <is>
          <t>Online</t>
        </is>
      </c>
      <c r="E258" t="inlineStr">
        <is>
          <t>contribution_rate</t>
        </is>
      </c>
      <c r="F258" t="inlineStr">
        <is>
          <t>Contribution before losses per booked dollar</t>
        </is>
      </c>
      <c r="G258" t="n">
        <v>538</v>
      </c>
      <c r="H258" t="n">
        <v>11158749.76</v>
      </c>
      <c r="I258" t="b">
        <v>0</v>
      </c>
      <c r="J258" t="b">
        <v>0</v>
      </c>
      <c r="K258" t="n">
        <v>0.02043673112565406</v>
      </c>
      <c r="L258" t="n">
        <v>0.00374962503749625</v>
      </c>
      <c r="M258" t="n">
        <v>0.02541345173733167</v>
      </c>
      <c r="N258" t="n">
        <v>0.0007499250074992502</v>
      </c>
      <c r="O258" t="n">
        <v>-228048.3685435764</v>
      </c>
      <c r="P258" t="n">
        <v>-283582.3484747212</v>
      </c>
      <c r="Q258">
        <f>'_live'!$C$24</f>
        <v/>
      </c>
      <c r="R258" t="inlineStr">
        <is>
          <t>shuffled: 4 of 10,000</t>
        </is>
      </c>
      <c r="S258" t="inlineStr">
        <is>
          <t>shuffled: 0 of 10,000</t>
        </is>
      </c>
      <c r="T258" t="n">
        <v>0.168708645856077</v>
      </c>
      <c r="U258" t="n">
        <v>0.1637319252443994</v>
      </c>
      <c r="V258">
        <f>AND(judged_band,NOT($J258))</f>
        <v/>
      </c>
      <c r="W258">
        <f>IF($K258="","",IF(profit_kind="test",IF(OR(NOT(AND(ISNUMBER($L258),$L258&lt;significance_bar)),$K258=0),"in line",IF($K258&lt;0,"worse","better")),IF(OR($K258=0,IF(profit_kind="points",ABS($K258),ABS($K258*$H258))&lt;profit_line*(1-1E-9)),"in line",IF(AND(ISNUMBER($L258),$L258&lt;significance_bar),IF($K258&lt;0,"worse","better"),IF($K258&lt;0,"worse, not significant","better, not significant")))))</f>
        <v/>
      </c>
      <c r="X258">
        <f>IF($M258="","",IF(profit_kind="test",IF(OR(NOT(AND(ISNUMBER($N258),$N258&lt;significance_bar)),$M258=0),"in line",IF($M258&lt;0,"worse","better")),IF(OR($M258=0,IF(profit_kind="points",ABS($M258),ABS($M258*$H258))&lt;profit_line*(1-1E-9)),"in line",IF(AND(ISNUMBER($N258),$N258&lt;significance_bar),IF($M258&lt;0,"worse","better"),IF($M258&lt;0,"worse, not significant","better, not significant")))))</f>
        <v/>
      </c>
      <c r="Y258">
        <f>IF($V258,$X258,$W258)</f>
        <v/>
      </c>
      <c r="Z258">
        <f>IF($V258,IF($P258="","",$P258),IF($O258="","",$O258))</f>
        <v/>
      </c>
      <c r="AA258">
        <f>IF(OR($Q258="",$Z258=""),"",IF(AND($Z258&gt;0,$Z258&gt;=$Q258),"yes","below the line"))</f>
        <v/>
      </c>
      <c r="AB258">
        <f>IF($V258,IF($M258="","",$M258),IF($K258="","",$K258))</f>
        <v/>
      </c>
      <c r="AC258">
        <f>IF($V258,IF($N258="","",$N258),IF($L258="","",$L258))</f>
        <v/>
      </c>
      <c r="AD258">
        <f>IF($Y258="","",IF($Y258="in line",IF(profit_kind="test",IF(ROUND($AB258*100,2)=0,"0.00",TEXT($AB258*100,"+0.00;-0.00"))&amp;" points against "&amp;IF($V258,"its band","the book")&amp;", "&amp;IF($AC258="","not tested","not significant"),IF(profit_kind="points","within "&amp;TEXT(profit_line*100,"0.00")&amp;" points of "&amp;IF($V258,"its band","the book")&amp;" ("&amp;IF(ROUND($AB258*100,2)=0,"0.00",TEXT($AB258*100,"+0.00;-0.00"))&amp;")","within $"&amp;TEXT(profit_line,"#,##0")&amp;" of "&amp;IF($V258,"its band","the book")&amp;" ("&amp;IF(ROUND($AB258*100,2)=0,"0.00",TEXT($AB258*100,"+0.00;-0.00"))&amp;" points)")),IF(LEFT($Y258,5)="worse","short of ","ahead of ")&amp;IF($V258,"its band","the book")&amp;" by "&amp;TEXT(ABS($AB258)*100,"0.00")&amp;" points"&amp;IF($Z258="",""," ($"&amp;TEXT(ABS($Z258),"#,##0")&amp;")")&amp;IF(RIGHT($Y258,15)="not significant"," (not significant)","")))</f>
        <v/>
      </c>
      <c r="AE258">
        <f>IF($V258,IF($S258="","",$S258),IF($R258="","",$R258))</f>
        <v/>
      </c>
      <c r="AF258">
        <f>IF($V258,IF($U258="","",$U258),IF($T258="","",$T258))</f>
        <v/>
      </c>
      <c r="AG258">
        <f>IF($V258,IF($O258="","",$O258),IF($P258="","",$P258))</f>
        <v/>
      </c>
      <c r="AH258" t="n">
        <v>0.189145376981731</v>
      </c>
      <c r="AI258">
        <f>IF($Y258="worse","Yes",IF($Y258="worse, not significant","Not sure",IF(OR($Y258="too few losses to test",$Y258="too few loans to test"),"Too few losses",IF($Y258="","","No"))))</f>
        <v/>
      </c>
      <c r="AJ258">
        <f>IF($AA258="yes","Yes",IF($AA258="","","No"))</f>
        <v/>
      </c>
    </row>
    <row r="259">
      <c r="A259" t="inlineStr">
        <is>
          <t>grids</t>
        </is>
      </c>
      <c r="B259" t="inlineStr">
        <is>
          <t>ORIG_BAL x CHANNEL</t>
        </is>
      </c>
      <c r="C259" t="inlineStr">
        <is>
          <t>37,951 - 49,151</t>
        </is>
      </c>
      <c r="D259" t="inlineStr">
        <is>
          <t>Broker</t>
        </is>
      </c>
      <c r="E259" t="inlineStr">
        <is>
          <t>outcome_loans</t>
        </is>
      </c>
      <c r="F259" t="inlineStr">
        <is>
          <t>Outcome, share of loans</t>
        </is>
      </c>
      <c r="G259" t="n">
        <v>531</v>
      </c>
      <c r="H259" t="n">
        <v>531</v>
      </c>
      <c r="I259" t="b">
        <v>0</v>
      </c>
      <c r="J259" t="b">
        <v>0</v>
      </c>
      <c r="K259" t="n">
        <v>1.209013116595632</v>
      </c>
      <c r="L259" t="n">
        <v>0.5308481568395822</v>
      </c>
      <c r="M259" t="n">
        <v>1.160540600420959</v>
      </c>
      <c r="N259" t="n">
        <v>0.8666810512748745</v>
      </c>
      <c r="O259" t="n">
        <v>8.471076593465455</v>
      </c>
      <c r="P259" t="n">
        <v>6.778297474275021</v>
      </c>
      <c r="Q259">
        <f>'_live'!$C$20</f>
        <v/>
      </c>
      <c r="R259" t="inlineStr">
        <is>
          <t>z test</t>
        </is>
      </c>
      <c r="S259" t="inlineStr">
        <is>
          <t>z test</t>
        </is>
      </c>
      <c r="T259" t="n">
        <v>0.07632565613283342</v>
      </c>
      <c r="U259" t="n">
        <v>0.07951356407857811</v>
      </c>
      <c r="V259">
        <f>AND(judged_band,NOT($J259))</f>
        <v/>
      </c>
      <c r="W259">
        <f>IF($K259="","",IF($I259,"too few losses to test",IF(AND($K259&gt;better_at,$K259&lt;worse_at),"in line",IF($K259&gt;=worse_at,IF(AND(ISNUMBER($L259),$L259&lt;significance_bar),"worse","worse, not significant"),IF(AND(ISNUMBER($L259),$L259&lt;significance_bar),"better","better, not significant")))))</f>
        <v/>
      </c>
      <c r="X259">
        <f>IF($M259="","",IF($I259,"too few losses to test",IF(AND($M259&gt;better_at,$M259&lt;worse_at),"in line",IF($M259&gt;=worse_at,IF(AND(ISNUMBER($N259),$N259&lt;significance_bar),"worse","worse, not significant"),IF(AND(ISNUMBER($N259),$N259&lt;significance_bar),"better","better, not significant")))))</f>
        <v/>
      </c>
      <c r="Y259">
        <f>IF($V259,$X259,$W259)</f>
        <v/>
      </c>
      <c r="Z259">
        <f>IF($V259,IF($P259="","",$P259),IF($O259="","",$O259))</f>
        <v/>
      </c>
      <c r="AA259">
        <f>IF(OR($Q259="",$Z259=""),"",IF(AND($Z259&gt;0,$Z259&gt;=$Q259),"yes","below the line"))</f>
        <v/>
      </c>
      <c r="AB259">
        <f>IF($V259,IF($M259="","",$M259),IF($K259="","",$K259))</f>
        <v/>
      </c>
      <c r="AC259">
        <f>IF($V259,IF($N259="","",$N259),IF($L259="","",$L259))</f>
        <v/>
      </c>
      <c r="AD259">
        <f>$Y259</f>
        <v/>
      </c>
      <c r="AE259">
        <f>IF($V259,IF($S259="","",$S259),IF($R259="","",$R259))</f>
        <v/>
      </c>
      <c r="AF259">
        <f>IF($V259,IF($U259="","",$U259),IF($T259="","",$T259))</f>
        <v/>
      </c>
      <c r="AG259">
        <f>IF($V259,IF($O259="","",$O259),IF($P259="","",$P259))</f>
        <v/>
      </c>
      <c r="AH259" t="n">
        <v>0.09227871939736347</v>
      </c>
      <c r="AI259">
        <f>IF($Y259="worse","Yes",IF($Y259="worse, not significant","Not sure",IF(OR($Y259="too few losses to test",$Y259="too few loans to test"),"Too few losses",IF($Y259="","","No"))))</f>
        <v/>
      </c>
      <c r="AJ259">
        <f>IF($AA259="yes","Yes",IF($AA259="","","No"))</f>
        <v/>
      </c>
    </row>
    <row r="260">
      <c r="A260" t="inlineStr">
        <is>
          <t>grids</t>
        </is>
      </c>
      <c r="B260" t="inlineStr">
        <is>
          <t>ORIG_BAL x CHANNEL</t>
        </is>
      </c>
      <c r="C260" t="inlineStr">
        <is>
          <t>37,951 - 49,151</t>
        </is>
      </c>
      <c r="D260" t="inlineStr">
        <is>
          <t>Broker</t>
        </is>
      </c>
      <c r="E260" t="inlineStr">
        <is>
          <t>outcome_booked</t>
        </is>
      </c>
      <c r="F260" t="inlineStr">
        <is>
          <t>Outcome, share of booked dollars</t>
        </is>
      </c>
      <c r="G260" t="n">
        <v>531</v>
      </c>
      <c r="H260" t="n">
        <v>23078023.54000001</v>
      </c>
      <c r="I260" t="b">
        <v>0</v>
      </c>
      <c r="J260" t="b">
        <v>0</v>
      </c>
      <c r="K260" t="n">
        <v>1.245037574830089</v>
      </c>
      <c r="L260" t="n">
        <v>0.6213128687131287</v>
      </c>
      <c r="M260" t="n">
        <v>1.152685706683168</v>
      </c>
      <c r="N260" t="n">
        <v>0.9292820717928207</v>
      </c>
      <c r="O260" t="n">
        <v>414081.0292638247</v>
      </c>
      <c r="P260" t="n">
        <v>278690.7681875566</v>
      </c>
      <c r="Q260">
        <f>'_live'!$C$21</f>
        <v/>
      </c>
      <c r="R260" t="inlineStr">
        <is>
          <t>shuffled: 1,656 of 10,000</t>
        </is>
      </c>
      <c r="S260" t="inlineStr">
        <is>
          <t>shuffled: 4,124 of 10,000</t>
        </is>
      </c>
      <c r="T260" t="n">
        <v>0.07322409901381761</v>
      </c>
      <c r="U260" t="n">
        <v>0.07909073056662813</v>
      </c>
      <c r="V260">
        <f>AND(judged_band,NOT($J260))</f>
        <v/>
      </c>
      <c r="W260">
        <f>IF($K260="","",IF($I260,"too few losses to test",IF(AND($K260&gt;better_at,$K260&lt;worse_at),"in line",IF($K260&gt;=worse_at,IF(AND(ISNUMBER($L260),$L260&lt;significance_bar),"worse","worse, not significant"),IF(AND(ISNUMBER($L260),$L260&lt;significance_bar),"better","better, not significant")))))</f>
        <v/>
      </c>
      <c r="X260">
        <f>IF($M260="","",IF($I260,"too few losses to test",IF(AND($M260&gt;better_at,$M260&lt;worse_at),"in line",IF($M260&gt;=worse_at,IF(AND(ISNUMBER($N260),$N260&lt;significance_bar),"worse","worse, not significant"),IF(AND(ISNUMBER($N260),$N260&lt;significance_bar),"better","better, not significant")))))</f>
        <v/>
      </c>
      <c r="Y260">
        <f>IF($V260,$X260,$W260)</f>
        <v/>
      </c>
      <c r="Z260">
        <f>IF($V260,IF($P260="","",$P260),IF($O260="","",$O260))</f>
        <v/>
      </c>
      <c r="AA260">
        <f>IF(OR($Q260="",$Z260=""),"",IF(AND($Z260&gt;0,$Z260&gt;=$Q260),"yes","below the line"))</f>
        <v/>
      </c>
      <c r="AB260">
        <f>IF($V260,IF($M260="","",$M260),IF($K260="","",$K260))</f>
        <v/>
      </c>
      <c r="AC260">
        <f>IF($V260,IF($N260="","",$N260),IF($L260="","",$L260))</f>
        <v/>
      </c>
      <c r="AD260">
        <f>$Y260</f>
        <v/>
      </c>
      <c r="AE260">
        <f>IF($V260,IF($S260="","",$S260),IF($R260="","",$R260))</f>
        <v/>
      </c>
      <c r="AF260">
        <f>IF($V260,IF($U260="","",$U260),IF($T260="","",$T260))</f>
        <v/>
      </c>
      <c r="AG260">
        <f>IF($V260,IF($O260="","",$O260),IF($P260="","",$P260))</f>
        <v/>
      </c>
      <c r="AH260" t="n">
        <v>0.0911667546552818</v>
      </c>
      <c r="AI260">
        <f>IF($Y260="worse","Yes",IF($Y260="worse, not significant","Not sure",IF(OR($Y260="too few losses to test",$Y260="too few loans to test"),"Too few losses",IF($Y260="","","No"))))</f>
        <v/>
      </c>
      <c r="AJ260">
        <f>IF($AA260="yes","Yes",IF($AA260="","","No"))</f>
        <v/>
      </c>
    </row>
    <row r="261">
      <c r="A261" t="inlineStr">
        <is>
          <t>grids</t>
        </is>
      </c>
      <c r="B261" t="inlineStr">
        <is>
          <t>ORIG_BAL x CHANNEL</t>
        </is>
      </c>
      <c r="C261" t="inlineStr">
        <is>
          <t>37,951 - 49,151</t>
        </is>
      </c>
      <c r="D261" t="inlineStr">
        <is>
          <t>Broker</t>
        </is>
      </c>
      <c r="E261" t="inlineStr">
        <is>
          <t>gco_rate</t>
        </is>
      </c>
      <c r="F261" t="inlineStr">
        <is>
          <t>GCO per booked dollar</t>
        </is>
      </c>
      <c r="G261" t="n">
        <v>531</v>
      </c>
      <c r="H261" t="n">
        <v>23078023.54000001</v>
      </c>
      <c r="I261" t="b">
        <v>0</v>
      </c>
      <c r="J261" t="b">
        <v>0</v>
      </c>
      <c r="K261" t="n">
        <v>1.262332485255735</v>
      </c>
      <c r="L261" t="n">
        <v>0.672932706729327</v>
      </c>
      <c r="M261" t="n">
        <v>1.152857633819869</v>
      </c>
      <c r="N261" t="n">
        <v>0.8321167883211679</v>
      </c>
      <c r="O261" t="n">
        <v>246108.6381289304</v>
      </c>
      <c r="P261" t="n">
        <v>157021.815757559</v>
      </c>
      <c r="Q261">
        <f>'_live'!$C$22</f>
        <v/>
      </c>
      <c r="R261" t="inlineStr">
        <is>
          <t>shuffled: 1,541 of 10,000</t>
        </is>
      </c>
      <c r="S261" t="inlineStr">
        <is>
          <t>shuffled: 4,225 of 10,000</t>
        </is>
      </c>
      <c r="T261" t="n">
        <v>0.04065146221230819</v>
      </c>
      <c r="U261" t="n">
        <v>0.04451170709926575</v>
      </c>
      <c r="V261">
        <f>AND(judged_band,NOT($J261))</f>
        <v/>
      </c>
      <c r="W261">
        <f>IF($K261="","",IF($I261,"too few losses to test",IF(AND($K261&gt;better_at,$K261&lt;worse_at),"in line",IF($K261&gt;=worse_at,IF(AND(ISNUMBER($L261),$L261&lt;significance_bar),"worse","worse, not significant"),IF(AND(ISNUMBER($L261),$L261&lt;significance_bar),"better","better, not significant")))))</f>
        <v/>
      </c>
      <c r="X261">
        <f>IF($M261="","",IF($I261,"too few losses to test",IF(AND($M261&gt;better_at,$M261&lt;worse_at),"in line",IF($M261&gt;=worse_at,IF(AND(ISNUMBER($N261),$N261&lt;significance_bar),"worse","worse, not significant"),IF(AND(ISNUMBER($N261),$N261&lt;significance_bar),"better","better, not significant")))))</f>
        <v/>
      </c>
      <c r="Y261">
        <f>IF($V261,$X261,$W261)</f>
        <v/>
      </c>
      <c r="Z261">
        <f>IF($V261,IF($P261="","",$P261),IF($O261="","",$O261))</f>
        <v/>
      </c>
      <c r="AA261">
        <f>IF(OR($Q261="",$Z261=""),"",IF(AND($Z261&gt;0,$Z261&gt;=$Q261),"yes","below the line"))</f>
        <v/>
      </c>
      <c r="AB261">
        <f>IF($V261,IF($M261="","",$M261),IF($K261="","",$K261))</f>
        <v/>
      </c>
      <c r="AC261">
        <f>IF($V261,IF($N261="","",$N261),IF($L261="","",$L261))</f>
        <v/>
      </c>
      <c r="AD261">
        <f>$Y261</f>
        <v/>
      </c>
      <c r="AE261">
        <f>IF($V261,IF($S261="","",$S261),IF($R261="","",$R261))</f>
        <v/>
      </c>
      <c r="AF261">
        <f>IF($V261,IF($U261="","",$U261),IF($T261="","",$T261))</f>
        <v/>
      </c>
      <c r="AG261">
        <f>IF($V261,IF($O261="","",$O261),IF($P261="","",$P261))</f>
        <v/>
      </c>
      <c r="AH261" t="n">
        <v>0.05131566132374259</v>
      </c>
      <c r="AI261">
        <f>IF($Y261="worse","Yes",IF($Y261="worse, not significant","Not sure",IF(OR($Y261="too few losses to test",$Y261="too few loans to test"),"Too few losses",IF($Y261="","","No"))))</f>
        <v/>
      </c>
      <c r="AJ261">
        <f>IF($AA261="yes","Yes",IF($AA261="","","No"))</f>
        <v/>
      </c>
    </row>
    <row r="262">
      <c r="A262" t="inlineStr">
        <is>
          <t>grids</t>
        </is>
      </c>
      <c r="B262" t="inlineStr">
        <is>
          <t>ORIG_BAL x CHANNEL</t>
        </is>
      </c>
      <c r="C262" t="inlineStr">
        <is>
          <t>37,951 - 49,151</t>
        </is>
      </c>
      <c r="D262" t="inlineStr">
        <is>
          <t>Broker</t>
        </is>
      </c>
      <c r="E262" t="inlineStr">
        <is>
          <t>ranr_rate</t>
        </is>
      </c>
      <c r="F262" t="inlineStr">
        <is>
          <t>Profit after losses: RANR per booked dollar</t>
        </is>
      </c>
      <c r="G262" t="n">
        <v>531</v>
      </c>
      <c r="H262" t="n">
        <v>23078023.54000001</v>
      </c>
      <c r="I262" t="b">
        <v>0</v>
      </c>
      <c r="J262" t="b">
        <v>0</v>
      </c>
      <c r="K262" t="n">
        <v>-0.0139062729810326</v>
      </c>
      <c r="L262" t="n">
        <v>0.1973802619738026</v>
      </c>
      <c r="M262" t="n">
        <v>-0.01061635051543532</v>
      </c>
      <c r="N262" t="n">
        <v>0.4272072792720727</v>
      </c>
      <c r="O262" t="n">
        <v>320929.2952099368</v>
      </c>
      <c r="P262" t="n">
        <v>245004.3871041075</v>
      </c>
      <c r="Q262">
        <f>'_live'!$C$23</f>
        <v/>
      </c>
      <c r="R262" t="inlineStr">
        <is>
          <t>shuffled: 1,315 of 10,000</t>
        </is>
      </c>
      <c r="S262" t="inlineStr">
        <is>
          <t>shuffled: 3,069 of 10,000</t>
        </is>
      </c>
      <c r="T262" t="n">
        <v>0.1292336317293632</v>
      </c>
      <c r="U262" t="n">
        <v>0.1259437092637659</v>
      </c>
      <c r="V262">
        <f>AND(judged_band,NOT($J262))</f>
        <v/>
      </c>
      <c r="W262">
        <f>IF($K262="","",IF(profit_kind="test",IF(OR(NOT(AND(ISNUMBER($L262),$L262&lt;significance_bar)),$K262=0),"in line",IF($K262&lt;0,"worse","better")),IF(OR($K262=0,IF(profit_kind="points",ABS($K262),ABS($K262*$H262))&lt;profit_line*(1-1E-9)),"in line",IF(AND(ISNUMBER($L262),$L262&lt;significance_bar),IF($K262&lt;0,"worse","better"),IF($K262&lt;0,"worse, not significant","better, not significant")))))</f>
        <v/>
      </c>
      <c r="X262">
        <f>IF($M262="","",IF(profit_kind="test",IF(OR(NOT(AND(ISNUMBER($N262),$N262&lt;significance_bar)),$M262=0),"in line",IF($M262&lt;0,"worse","better")),IF(OR($M262=0,IF(profit_kind="points",ABS($M262),ABS($M262*$H262))&lt;profit_line*(1-1E-9)),"in line",IF(AND(ISNUMBER($N262),$N262&lt;significance_bar),IF($M262&lt;0,"worse","better"),IF($M262&lt;0,"worse, not significant","better, not significant")))))</f>
        <v/>
      </c>
      <c r="Y262">
        <f>IF($V262,$X262,$W262)</f>
        <v/>
      </c>
      <c r="Z262">
        <f>IF($V262,IF($P262="","",$P262),IF($O262="","",$O262))</f>
        <v/>
      </c>
      <c r="AA262">
        <f>IF(OR($Q262="",$Z262=""),"",IF(AND($Z262&gt;0,$Z262&gt;=$Q262),"yes","below the line"))</f>
        <v/>
      </c>
      <c r="AB262">
        <f>IF($V262,IF($M262="","",$M262),IF($K262="","",$K262))</f>
        <v/>
      </c>
      <c r="AC262">
        <f>IF($V262,IF($N262="","",$N262),IF($L262="","",$L262))</f>
        <v/>
      </c>
      <c r="AD262">
        <f>IF($Y262="","",IF($Y262="in line",IF(profit_kind="test",IF(ROUND($AB262*100,2)=0,"0.00",TEXT($AB262*100,"+0.00;-0.00"))&amp;" points against "&amp;IF($V262,"its band","the book")&amp;", "&amp;IF($AC262="","not tested","not significant"),IF(profit_kind="points","within "&amp;TEXT(profit_line*100,"0.00")&amp;" points of "&amp;IF($V262,"its band","the book")&amp;" ("&amp;IF(ROUND($AB262*100,2)=0,"0.00",TEXT($AB262*100,"+0.00;-0.00"))&amp;")","within $"&amp;TEXT(profit_line,"#,##0")&amp;" of "&amp;IF($V262,"its band","the book")&amp;" ("&amp;IF(ROUND($AB262*100,2)=0,"0.00",TEXT($AB262*100,"+0.00;-0.00"))&amp;" points)")),IF(LEFT($Y262,5)="worse","short of ","ahead of ")&amp;IF($V262,"its band","the book")&amp;" by "&amp;TEXT(ABS($AB262)*100,"0.00")&amp;" points"&amp;IF($Z262="",""," ($"&amp;TEXT(ABS($Z262),"#,##0")&amp;")")&amp;IF(RIGHT($Y262,15)="not significant"," (not significant)","")))</f>
        <v/>
      </c>
      <c r="AE262">
        <f>IF($V262,IF($S262="","",$S262),IF($R262="","",$R262))</f>
        <v/>
      </c>
      <c r="AF262">
        <f>IF($V262,IF($U262="","",$U262),IF($T262="","",$T262))</f>
        <v/>
      </c>
      <c r="AG262">
        <f>IF($V262,IF($O262="","",$O262),IF($P262="","",$P262))</f>
        <v/>
      </c>
      <c r="AH262" t="n">
        <v>0.1153273587483306</v>
      </c>
      <c r="AI262">
        <f>IF($Y262="worse","Yes",IF($Y262="worse, not significant","Not sure",IF(OR($Y262="too few losses to test",$Y262="too few loans to test"),"Too few losses",IF($Y262="","","No"))))</f>
        <v/>
      </c>
      <c r="AJ262">
        <f>IF($AA262="yes","Yes",IF($AA262="","","No"))</f>
        <v/>
      </c>
    </row>
    <row r="263">
      <c r="A263" t="inlineStr">
        <is>
          <t>grids</t>
        </is>
      </c>
      <c r="B263" t="inlineStr">
        <is>
          <t>ORIG_BAL x CHANNEL</t>
        </is>
      </c>
      <c r="C263" t="inlineStr">
        <is>
          <t>37,951 - 49,151</t>
        </is>
      </c>
      <c r="D263" t="inlineStr">
        <is>
          <t>Broker</t>
        </is>
      </c>
      <c r="E263" t="inlineStr">
        <is>
          <t>contribution_rate</t>
        </is>
      </c>
      <c r="F263" t="inlineStr">
        <is>
          <t>Contribution before losses per booked dollar</t>
        </is>
      </c>
      <c r="G263" t="n">
        <v>531</v>
      </c>
      <c r="H263" t="n">
        <v>23078023.54000001</v>
      </c>
      <c r="I263" t="b">
        <v>0</v>
      </c>
      <c r="J263" t="b">
        <v>0</v>
      </c>
      <c r="K263" t="n">
        <v>-0.003239143821394425</v>
      </c>
      <c r="L263" t="n">
        <v>0.5867413258674132</v>
      </c>
      <c r="M263" t="n">
        <v>-0.003794814216715681</v>
      </c>
      <c r="N263" t="n">
        <v>0.5945833988029768</v>
      </c>
      <c r="O263" t="n">
        <v>74753.03735958599</v>
      </c>
      <c r="P263" t="n">
        <v>87576.81182329077</v>
      </c>
      <c r="Q263">
        <f>'_live'!$C$24</f>
        <v/>
      </c>
      <c r="R263" t="inlineStr">
        <is>
          <t>shuffled: 5,867 of 10,000</t>
        </is>
      </c>
      <c r="S263" t="inlineStr">
        <is>
          <t>shuffled: 5,549 of 10,000</t>
        </is>
      </c>
      <c r="T263" t="n">
        <v>0.1698821638934676</v>
      </c>
      <c r="U263" t="n">
        <v>0.1704378342887889</v>
      </c>
      <c r="V263">
        <f>AND(judged_band,NOT($J263))</f>
        <v/>
      </c>
      <c r="W263">
        <f>IF($K263="","",IF(profit_kind="test",IF(OR(NOT(AND(ISNUMBER($L263),$L263&lt;significance_bar)),$K263=0),"in line",IF($K263&lt;0,"worse","better")),IF(OR($K263=0,IF(profit_kind="points",ABS($K263),ABS($K263*$H263))&lt;profit_line*(1-1E-9)),"in line",IF(AND(ISNUMBER($L263),$L263&lt;significance_bar),IF($K263&lt;0,"worse","better"),IF($K263&lt;0,"worse, not significant","better, not significant")))))</f>
        <v/>
      </c>
      <c r="X263">
        <f>IF($M263="","",IF(profit_kind="test",IF(OR(NOT(AND(ISNUMBER($N263),$N263&lt;significance_bar)),$M263=0),"in line",IF($M263&lt;0,"worse","better")),IF(OR($M263=0,IF(profit_kind="points",ABS($M263),ABS($M263*$H263))&lt;profit_line*(1-1E-9)),"in line",IF(AND(ISNUMBER($N263),$N263&lt;significance_bar),IF($M263&lt;0,"worse","better"),IF($M263&lt;0,"worse, not significant","better, not significant")))))</f>
        <v/>
      </c>
      <c r="Y263">
        <f>IF($V263,$X263,$W263)</f>
        <v/>
      </c>
      <c r="Z263">
        <f>IF($V263,IF($P263="","",$P263),IF($O263="","",$O263))</f>
        <v/>
      </c>
      <c r="AA263">
        <f>IF(OR($Q263="",$Z263=""),"",IF(AND($Z263&gt;0,$Z263&gt;=$Q263),"yes","below the line"))</f>
        <v/>
      </c>
      <c r="AB263">
        <f>IF($V263,IF($M263="","",$M263),IF($K263="","",$K263))</f>
        <v/>
      </c>
      <c r="AC263">
        <f>IF($V263,IF($N263="","",$N263),IF($L263="","",$L263))</f>
        <v/>
      </c>
      <c r="AD263">
        <f>IF($Y263="","",IF($Y263="in line",IF(profit_kind="test",IF(ROUND($AB263*100,2)=0,"0.00",TEXT($AB263*100,"+0.00;-0.00"))&amp;" points against "&amp;IF($V263,"its band","the book")&amp;", "&amp;IF($AC263="","not tested","not significant"),IF(profit_kind="points","within "&amp;TEXT(profit_line*100,"0.00")&amp;" points of "&amp;IF($V263,"its band","the book")&amp;" ("&amp;IF(ROUND($AB263*100,2)=0,"0.00",TEXT($AB263*100,"+0.00;-0.00"))&amp;")","within $"&amp;TEXT(profit_line,"#,##0")&amp;" of "&amp;IF($V263,"its band","the book")&amp;" ("&amp;IF(ROUND($AB263*100,2)=0,"0.00",TEXT($AB263*100,"+0.00;-0.00"))&amp;" points)")),IF(LEFT($Y263,5)="worse","short of ","ahead of ")&amp;IF($V263,"its band","the book")&amp;" by "&amp;TEXT(ABS($AB263)*100,"0.00")&amp;" points"&amp;IF($Z263="",""," ($"&amp;TEXT(ABS($Z263),"#,##0")&amp;")")&amp;IF(RIGHT($Y263,15)="not significant"," (not significant)","")))</f>
        <v/>
      </c>
      <c r="AE263">
        <f>IF($V263,IF($S263="","",$S263),IF($R263="","",$R263))</f>
        <v/>
      </c>
      <c r="AF263">
        <f>IF($V263,IF($U263="","",$U263),IF($T263="","",$T263))</f>
        <v/>
      </c>
      <c r="AG263">
        <f>IF($V263,IF($O263="","",$O263),IF($P263="","",$P263))</f>
        <v/>
      </c>
      <c r="AH263" t="n">
        <v>0.1666430200720732</v>
      </c>
      <c r="AI263">
        <f>IF($Y263="worse","Yes",IF($Y263="worse, not significant","Not sure",IF(OR($Y263="too few losses to test",$Y263="too few loans to test"),"Too few losses",IF($Y263="","","No"))))</f>
        <v/>
      </c>
      <c r="AJ263">
        <f>IF($AA263="yes","Yes",IF($AA263="","","No"))</f>
        <v/>
      </c>
    </row>
    <row r="264">
      <c r="A264" t="inlineStr">
        <is>
          <t>grids</t>
        </is>
      </c>
      <c r="B264" t="inlineStr">
        <is>
          <t>ORIG_BAL x CHANNEL</t>
        </is>
      </c>
      <c r="C264" t="inlineStr">
        <is>
          <t>5,005 - 15,448</t>
        </is>
      </c>
      <c r="D264" t="inlineStr">
        <is>
          <t>Broker</t>
        </is>
      </c>
      <c r="E264" t="inlineStr">
        <is>
          <t>outcome_loans</t>
        </is>
      </c>
      <c r="F264" t="inlineStr">
        <is>
          <t>Outcome, share of loans</t>
        </is>
      </c>
      <c r="G264" t="n">
        <v>514</v>
      </c>
      <c r="H264" t="n">
        <v>514</v>
      </c>
      <c r="I264" t="b">
        <v>0</v>
      </c>
      <c r="J264" t="b">
        <v>0</v>
      </c>
      <c r="K264" t="n">
        <v>1.08711292153048</v>
      </c>
      <c r="L264" t="n">
        <v>0.7868457855618615</v>
      </c>
      <c r="M264" t="n">
        <v>1.135651750972762</v>
      </c>
      <c r="N264" t="n">
        <v>0.8666810512748745</v>
      </c>
      <c r="O264" t="n">
        <v>3.445691382765531</v>
      </c>
      <c r="P264" t="n">
        <v>5.13627992633517</v>
      </c>
      <c r="Q264">
        <f>'_live'!$C$20</f>
        <v/>
      </c>
      <c r="R264" t="inlineStr">
        <is>
          <t>z test</t>
        </is>
      </c>
      <c r="S264" t="inlineStr">
        <is>
          <t>z test</t>
        </is>
      </c>
      <c r="T264" t="n">
        <v>0.07695390781563126</v>
      </c>
      <c r="U264" t="n">
        <v>0.07366482504604052</v>
      </c>
      <c r="V264">
        <f>AND(judged_band,NOT($J264))</f>
        <v/>
      </c>
      <c r="W264">
        <f>IF($K264="","",IF($I264,"too few losses to test",IF(AND($K264&gt;better_at,$K264&lt;worse_at),"in line",IF($K264&gt;=worse_at,IF(AND(ISNUMBER($L264),$L264&lt;significance_bar),"worse","worse, not significant"),IF(AND(ISNUMBER($L264),$L264&lt;significance_bar),"better","better, not significant")))))</f>
        <v/>
      </c>
      <c r="X264">
        <f>IF($M264="","",IF($I264,"too few losses to test",IF(AND($M264&gt;better_at,$M264&lt;worse_at),"in line",IF($M264&gt;=worse_at,IF(AND(ISNUMBER($N264),$N264&lt;significance_bar),"worse","worse, not significant"),IF(AND(ISNUMBER($N264),$N264&lt;significance_bar),"better","better, not significant")))))</f>
        <v/>
      </c>
      <c r="Y264">
        <f>IF($V264,$X264,$W264)</f>
        <v/>
      </c>
      <c r="Z264">
        <f>IF($V264,IF($P264="","",$P264),IF($O264="","",$O264))</f>
        <v/>
      </c>
      <c r="AA264">
        <f>IF(OR($Q264="",$Z264=""),"",IF(AND($Z264&gt;0,$Z264&gt;=$Q264),"yes","below the line"))</f>
        <v/>
      </c>
      <c r="AB264">
        <f>IF($V264,IF($M264="","",$M264),IF($K264="","",$K264))</f>
        <v/>
      </c>
      <c r="AC264">
        <f>IF($V264,IF($N264="","",$N264),IF($L264="","",$L264))</f>
        <v/>
      </c>
      <c r="AD264">
        <f>$Y264</f>
        <v/>
      </c>
      <c r="AE264">
        <f>IF($V264,IF($S264="","",$S264),IF($R264="","",$R264))</f>
        <v/>
      </c>
      <c r="AF264">
        <f>IF($V264,IF($U264="","",$U264),IF($T264="","",$T264))</f>
        <v/>
      </c>
      <c r="AG264">
        <f>IF($V264,IF($O264="","",$O264),IF($P264="","",$P264))</f>
        <v/>
      </c>
      <c r="AH264" t="n">
        <v>0.08365758754863813</v>
      </c>
      <c r="AI264">
        <f>IF($Y264="worse","Yes",IF($Y264="worse, not significant","Not sure",IF(OR($Y264="too few losses to test",$Y264="too few loans to test"),"Too few losses",IF($Y264="","","No"))))</f>
        <v/>
      </c>
      <c r="AJ264">
        <f>IF($AA264="yes","Yes",IF($AA264="","","No"))</f>
        <v/>
      </c>
    </row>
    <row r="265">
      <c r="A265" t="inlineStr">
        <is>
          <t>grids</t>
        </is>
      </c>
      <c r="B265" t="inlineStr">
        <is>
          <t>ORIG_BAL x CHANNEL</t>
        </is>
      </c>
      <c r="C265" t="inlineStr">
        <is>
          <t>5,005 - 15,448</t>
        </is>
      </c>
      <c r="D265" t="inlineStr">
        <is>
          <t>Broker</t>
        </is>
      </c>
      <c r="E265" t="inlineStr">
        <is>
          <t>outcome_booked</t>
        </is>
      </c>
      <c r="F265" t="inlineStr">
        <is>
          <t>Outcome, share of booked dollars</t>
        </is>
      </c>
      <c r="G265" t="n">
        <v>514</v>
      </c>
      <c r="H265" t="n">
        <v>5250097.430000003</v>
      </c>
      <c r="I265" t="b">
        <v>0</v>
      </c>
      <c r="J265" t="b">
        <v>0</v>
      </c>
      <c r="K265" t="n">
        <v>1.075048296638732</v>
      </c>
      <c r="L265" t="n">
        <v>0.8248021351710982</v>
      </c>
      <c r="M265" t="n">
        <v>1.095721126639401</v>
      </c>
      <c r="N265" t="n">
        <v>0.9292820717928207</v>
      </c>
      <c r="O265" t="n">
        <v>29438.43542646634</v>
      </c>
      <c r="P265" t="n">
        <v>36839.15218367026</v>
      </c>
      <c r="Q265">
        <f>'_live'!$C$21</f>
        <v/>
      </c>
      <c r="R265" t="inlineStr">
        <is>
          <t>shuffled: 6,738 of 10,000</t>
        </is>
      </c>
      <c r="S265" t="inlineStr">
        <is>
          <t>shuffled: 6,325 of 10,000</t>
        </is>
      </c>
      <c r="T265" t="n">
        <v>0.0747147800214316</v>
      </c>
      <c r="U265" t="n">
        <v>0.07330514584685136</v>
      </c>
      <c r="V265">
        <f>AND(judged_band,NOT($J265))</f>
        <v/>
      </c>
      <c r="W265">
        <f>IF($K265="","",IF($I265,"too few losses to test",IF(AND($K265&gt;better_at,$K265&lt;worse_at),"in line",IF($K265&gt;=worse_at,IF(AND(ISNUMBER($L265),$L265&lt;significance_bar),"worse","worse, not significant"),IF(AND(ISNUMBER($L265),$L265&lt;significance_bar),"better","better, not significant")))))</f>
        <v/>
      </c>
      <c r="X265">
        <f>IF($M265="","",IF($I265,"too few losses to test",IF(AND($M265&gt;better_at,$M265&lt;worse_at),"in line",IF($M265&gt;=worse_at,IF(AND(ISNUMBER($N265),$N265&lt;significance_bar),"worse","worse, not significant"),IF(AND(ISNUMBER($N265),$N265&lt;significance_bar),"better","better, not significant")))))</f>
        <v/>
      </c>
      <c r="Y265">
        <f>IF($V265,$X265,$W265)</f>
        <v/>
      </c>
      <c r="Z265">
        <f>IF($V265,IF($P265="","",$P265),IF($O265="","",$O265))</f>
        <v/>
      </c>
      <c r="AA265">
        <f>IF(OR($Q265="",$Z265=""),"",IF(AND($Z265&gt;0,$Z265&gt;=$Q265),"yes","below the line"))</f>
        <v/>
      </c>
      <c r="AB265">
        <f>IF($V265,IF($M265="","",$M265),IF($K265="","",$K265))</f>
        <v/>
      </c>
      <c r="AC265">
        <f>IF($V265,IF($N265="","",$N265),IF($L265="","",$L265))</f>
        <v/>
      </c>
      <c r="AD265">
        <f>$Y265</f>
        <v/>
      </c>
      <c r="AE265">
        <f>IF($V265,IF($S265="","",$S265),IF($R265="","",$R265))</f>
        <v/>
      </c>
      <c r="AF265">
        <f>IF($V265,IF($U265="","",$U265),IF($T265="","",$T265))</f>
        <v/>
      </c>
      <c r="AG265">
        <f>IF($V265,IF($O265="","",$O265),IF($P265="","",$P265))</f>
        <v/>
      </c>
      <c r="AH265" t="n">
        <v>0.08032199699577761</v>
      </c>
      <c r="AI265">
        <f>IF($Y265="worse","Yes",IF($Y265="worse, not significant","Not sure",IF(OR($Y265="too few losses to test",$Y265="too few loans to test"),"Too few losses",IF($Y265="","","No"))))</f>
        <v/>
      </c>
      <c r="AJ265">
        <f>IF($AA265="yes","Yes",IF($AA265="","","No"))</f>
        <v/>
      </c>
    </row>
    <row r="266">
      <c r="A266" t="inlineStr">
        <is>
          <t>grids</t>
        </is>
      </c>
      <c r="B266" t="inlineStr">
        <is>
          <t>ORIG_BAL x CHANNEL</t>
        </is>
      </c>
      <c r="C266" t="inlineStr">
        <is>
          <t>5,005 - 15,448</t>
        </is>
      </c>
      <c r="D266" t="inlineStr">
        <is>
          <t>Broker</t>
        </is>
      </c>
      <c r="E266" t="inlineStr">
        <is>
          <t>gco_rate</t>
        </is>
      </c>
      <c r="F266" t="inlineStr">
        <is>
          <t>GCO per booked dollar</t>
        </is>
      </c>
      <c r="G266" t="n">
        <v>514</v>
      </c>
      <c r="H266" t="n">
        <v>5250097.430000003</v>
      </c>
      <c r="I266" t="b">
        <v>0</v>
      </c>
      <c r="J266" t="b">
        <v>0</v>
      </c>
      <c r="K266" t="n">
        <v>1.103549008058634</v>
      </c>
      <c r="L266" t="n">
        <v>0.7795129577951296</v>
      </c>
      <c r="M266" t="n">
        <v>1.166274358991177</v>
      </c>
      <c r="N266" t="n">
        <v>0.8321167883211679</v>
      </c>
      <c r="O266" t="n">
        <v>22570.83088950298</v>
      </c>
      <c r="P266" t="n">
        <v>34293.97155419906</v>
      </c>
      <c r="Q266">
        <f>'_live'!$C$22</f>
        <v/>
      </c>
      <c r="R266" t="inlineStr">
        <is>
          <t>shuffled: 5,716 of 10,000</t>
        </is>
      </c>
      <c r="S266" t="inlineStr">
        <is>
          <t>shuffled: 4,423 of 10,000</t>
        </is>
      </c>
      <c r="T266" t="n">
        <v>0.04151779124420875</v>
      </c>
      <c r="U266" t="n">
        <v>0.03928485350905207</v>
      </c>
      <c r="V266">
        <f>AND(judged_band,NOT($J266))</f>
        <v/>
      </c>
      <c r="W266">
        <f>IF($K266="","",IF($I266,"too few losses to test",IF(AND($K266&gt;better_at,$K266&lt;worse_at),"in line",IF($K266&gt;=worse_at,IF(AND(ISNUMBER($L266),$L266&lt;significance_bar),"worse","worse, not significant"),IF(AND(ISNUMBER($L266),$L266&lt;significance_bar),"better","better, not significant")))))</f>
        <v/>
      </c>
      <c r="X266">
        <f>IF($M266="","",IF($I266,"too few losses to test",IF(AND($M266&gt;better_at,$M266&lt;worse_at),"in line",IF($M266&gt;=worse_at,IF(AND(ISNUMBER($N266),$N266&lt;significance_bar),"worse","worse, not significant"),IF(AND(ISNUMBER($N266),$N266&lt;significance_bar),"better","better, not significant")))))</f>
        <v/>
      </c>
      <c r="Y266">
        <f>IF($V266,$X266,$W266)</f>
        <v/>
      </c>
      <c r="Z266">
        <f>IF($V266,IF($P266="","",$P266),IF($O266="","",$O266))</f>
        <v/>
      </c>
      <c r="AA266">
        <f>IF(OR($Q266="",$Z266=""),"",IF(AND($Z266&gt;0,$Z266&gt;=$Q266),"yes","below the line"))</f>
        <v/>
      </c>
      <c r="AB266">
        <f>IF($V266,IF($M266="","",$M266),IF($K266="","",$K266))</f>
        <v/>
      </c>
      <c r="AC266">
        <f>IF($V266,IF($N266="","",$N266),IF($L266="","",$L266))</f>
        <v/>
      </c>
      <c r="AD266">
        <f>$Y266</f>
        <v/>
      </c>
      <c r="AE266">
        <f>IF($V266,IF($S266="","",$S266),IF($R266="","",$R266))</f>
        <v/>
      </c>
      <c r="AF266">
        <f>IF($V266,IF($U266="","",$U266),IF($T266="","",$T266))</f>
        <v/>
      </c>
      <c r="AG266">
        <f>IF($V266,IF($O266="","",$O266),IF($P266="","",$P266))</f>
        <v/>
      </c>
      <c r="AH266" t="n">
        <v>0.04581691734433199</v>
      </c>
      <c r="AI266">
        <f>IF($Y266="worse","Yes",IF($Y266="worse, not significant","Not sure",IF(OR($Y266="too few losses to test",$Y266="too few loans to test"),"Too few losses",IF($Y266="","","No"))))</f>
        <v/>
      </c>
      <c r="AJ266">
        <f>IF($AA266="yes","Yes",IF($AA266="","","No"))</f>
        <v/>
      </c>
    </row>
    <row r="267">
      <c r="A267" t="inlineStr">
        <is>
          <t>grids</t>
        </is>
      </c>
      <c r="B267" t="inlineStr">
        <is>
          <t>ORIG_BAL x CHANNEL</t>
        </is>
      </c>
      <c r="C267" t="inlineStr">
        <is>
          <t>5,005 - 15,448</t>
        </is>
      </c>
      <c r="D267" t="inlineStr">
        <is>
          <t>Broker</t>
        </is>
      </c>
      <c r="E267" t="inlineStr">
        <is>
          <t>ranr_rate</t>
        </is>
      </c>
      <c r="F267" t="inlineStr">
        <is>
          <t>Profit after losses: RANR per booked dollar</t>
        </is>
      </c>
      <c r="G267" t="n">
        <v>514</v>
      </c>
      <c r="H267" t="n">
        <v>5250097.430000003</v>
      </c>
      <c r="I267" t="b">
        <v>0</v>
      </c>
      <c r="J267" t="b">
        <v>0</v>
      </c>
      <c r="K267" t="n">
        <v>0.01486141813141609</v>
      </c>
      <c r="L267" t="n">
        <v>0.1973802619738026</v>
      </c>
      <c r="M267" t="n">
        <v>-0.006105361195254094</v>
      </c>
      <c r="N267" t="n">
        <v>0.5494450554944506</v>
      </c>
      <c r="O267" t="n">
        <v>-78023.89313790307</v>
      </c>
      <c r="P267" t="n">
        <v>32053.74112042517</v>
      </c>
      <c r="Q267">
        <f>'_live'!$C$23</f>
        <v/>
      </c>
      <c r="R267" t="inlineStr">
        <is>
          <t>shuffled: 1,128 of 10,000</t>
        </is>
      </c>
      <c r="S267" t="inlineStr">
        <is>
          <t>shuffled: 5,494 of 10,000</t>
        </is>
      </c>
      <c r="T267" t="n">
        <v>0.1276877116663522</v>
      </c>
      <c r="U267" t="n">
        <v>0.1486544909930224</v>
      </c>
      <c r="V267">
        <f>AND(judged_band,NOT($J267))</f>
        <v/>
      </c>
      <c r="W267">
        <f>IF($K267="","",IF(profit_kind="test",IF(OR(NOT(AND(ISNUMBER($L267),$L267&lt;significance_bar)),$K267=0),"in line",IF($K267&lt;0,"worse","better")),IF(OR($K267=0,IF(profit_kind="points",ABS($K267),ABS($K267*$H267))&lt;profit_line*(1-1E-9)),"in line",IF(AND(ISNUMBER($L267),$L267&lt;significance_bar),IF($K267&lt;0,"worse","better"),IF($K267&lt;0,"worse, not significant","better, not significant")))))</f>
        <v/>
      </c>
      <c r="X267">
        <f>IF($M267="","",IF(profit_kind="test",IF(OR(NOT(AND(ISNUMBER($N267),$N267&lt;significance_bar)),$M267=0),"in line",IF($M267&lt;0,"worse","better")),IF(OR($M267=0,IF(profit_kind="points",ABS($M267),ABS($M267*$H267))&lt;profit_line*(1-1E-9)),"in line",IF(AND(ISNUMBER($N267),$N267&lt;significance_bar),IF($M267&lt;0,"worse","better"),IF($M267&lt;0,"worse, not significant","better, not significant")))))</f>
        <v/>
      </c>
      <c r="Y267">
        <f>IF($V267,$X267,$W267)</f>
        <v/>
      </c>
      <c r="Z267">
        <f>IF($V267,IF($P267="","",$P267),IF($O267="","",$O267))</f>
        <v/>
      </c>
      <c r="AA267">
        <f>IF(OR($Q267="",$Z267=""),"",IF(AND($Z267&gt;0,$Z267&gt;=$Q267),"yes","below the line"))</f>
        <v/>
      </c>
      <c r="AB267">
        <f>IF($V267,IF($M267="","",$M267),IF($K267="","",$K267))</f>
        <v/>
      </c>
      <c r="AC267">
        <f>IF($V267,IF($N267="","",$N267),IF($L267="","",$L267))</f>
        <v/>
      </c>
      <c r="AD267">
        <f>IF($Y267="","",IF($Y267="in line",IF(profit_kind="test",IF(ROUND($AB267*100,2)=0,"0.00",TEXT($AB267*100,"+0.00;-0.00"))&amp;" points against "&amp;IF($V267,"its band","the book")&amp;", "&amp;IF($AC267="","not tested","not significant"),IF(profit_kind="points","within "&amp;TEXT(profit_line*100,"0.00")&amp;" points of "&amp;IF($V267,"its band","the book")&amp;" ("&amp;IF(ROUND($AB267*100,2)=0,"0.00",TEXT($AB267*100,"+0.00;-0.00"))&amp;")","within $"&amp;TEXT(profit_line,"#,##0")&amp;" of "&amp;IF($V267,"its band","the book")&amp;" ("&amp;IF(ROUND($AB267*100,2)=0,"0.00",TEXT($AB267*100,"+0.00;-0.00"))&amp;" points)")),IF(LEFT($Y267,5)="worse","short of ","ahead of ")&amp;IF($V267,"its band","the book")&amp;" by "&amp;TEXT(ABS($AB267)*100,"0.00")&amp;" points"&amp;IF($Z267="",""," ($"&amp;TEXT(ABS($Z267),"#,##0")&amp;")")&amp;IF(RIGHT($Y267,15)="not significant"," (not significant)","")))</f>
        <v/>
      </c>
      <c r="AE267">
        <f>IF($V267,IF($S267="","",$S267),IF($R267="","",$R267))</f>
        <v/>
      </c>
      <c r="AF267">
        <f>IF($V267,IF($U267="","",$U267),IF($T267="","",$T267))</f>
        <v/>
      </c>
      <c r="AG267">
        <f>IF($V267,IF($O267="","",$O267),IF($P267="","",$P267))</f>
        <v/>
      </c>
      <c r="AH267" t="n">
        <v>0.1425491297977683</v>
      </c>
      <c r="AI267">
        <f>IF($Y267="worse","Yes",IF($Y267="worse, not significant","Not sure",IF(OR($Y267="too few losses to test",$Y267="too few loans to test"),"Too few losses",IF($Y267="","","No"))))</f>
        <v/>
      </c>
      <c r="AJ267">
        <f>IF($AA267="yes","Yes",IF($AA267="","","No"))</f>
        <v/>
      </c>
    </row>
    <row r="268">
      <c r="A268" t="inlineStr">
        <is>
          <t>grids</t>
        </is>
      </c>
      <c r="B268" t="inlineStr">
        <is>
          <t>ORIG_BAL x CHANNEL</t>
        </is>
      </c>
      <c r="C268" t="inlineStr">
        <is>
          <t>5,005 - 15,448</t>
        </is>
      </c>
      <c r="D268" t="inlineStr">
        <is>
          <t>Broker</t>
        </is>
      </c>
      <c r="E268" t="inlineStr">
        <is>
          <t>contribution_rate</t>
        </is>
      </c>
      <c r="F268" t="inlineStr">
        <is>
          <t>Contribution before losses per booked dollar</t>
        </is>
      </c>
      <c r="G268" t="n">
        <v>514</v>
      </c>
      <c r="H268" t="n">
        <v>5250097.430000003</v>
      </c>
      <c r="I268" t="b">
        <v>0</v>
      </c>
      <c r="J268" t="b">
        <v>0</v>
      </c>
      <c r="K268" t="n">
        <v>0.01916351032817207</v>
      </c>
      <c r="L268" t="n">
        <v>0.005999400059994</v>
      </c>
      <c r="M268" t="n">
        <v>0.0004267026400261165</v>
      </c>
      <c r="N268" t="n">
        <v>0.9487051294870513</v>
      </c>
      <c r="O268" t="n">
        <v>-100610.2963237147</v>
      </c>
      <c r="P268" t="n">
        <v>-2240.230433775228</v>
      </c>
      <c r="Q268">
        <f>'_live'!$C$24</f>
        <v/>
      </c>
      <c r="R268" t="inlineStr">
        <is>
          <t>shuffled: 18 of 10,000</t>
        </is>
      </c>
      <c r="S268" t="inlineStr">
        <is>
          <t>shuffled: 9,487 of 10,000</t>
        </is>
      </c>
      <c r="T268" t="n">
        <v>0.1692025368139285</v>
      </c>
      <c r="U268" t="n">
        <v>0.1879393445020744</v>
      </c>
      <c r="V268">
        <f>AND(judged_band,NOT($J268))</f>
        <v/>
      </c>
      <c r="W268">
        <f>IF($K268="","",IF(profit_kind="test",IF(OR(NOT(AND(ISNUMBER($L268),$L268&lt;significance_bar)),$K268=0),"in line",IF($K268&lt;0,"worse","better")),IF(OR($K268=0,IF(profit_kind="points",ABS($K268),ABS($K268*$H268))&lt;profit_line*(1-1E-9)),"in line",IF(AND(ISNUMBER($L268),$L268&lt;significance_bar),IF($K268&lt;0,"worse","better"),IF($K268&lt;0,"worse, not significant","better, not significant")))))</f>
        <v/>
      </c>
      <c r="X268">
        <f>IF($M268="","",IF(profit_kind="test",IF(OR(NOT(AND(ISNUMBER($N268),$N268&lt;significance_bar)),$M268=0),"in line",IF($M268&lt;0,"worse","better")),IF(OR($M268=0,IF(profit_kind="points",ABS($M268),ABS($M268*$H268))&lt;profit_line*(1-1E-9)),"in line",IF(AND(ISNUMBER($N268),$N268&lt;significance_bar),IF($M268&lt;0,"worse","better"),IF($M268&lt;0,"worse, not significant","better, not significant")))))</f>
        <v/>
      </c>
      <c r="Y268">
        <f>IF($V268,$X268,$W268)</f>
        <v/>
      </c>
      <c r="Z268">
        <f>IF($V268,IF($P268="","",$P268),IF($O268="","",$O268))</f>
        <v/>
      </c>
      <c r="AA268">
        <f>IF(OR($Q268="",$Z268=""),"",IF(AND($Z268&gt;0,$Z268&gt;=$Q268),"yes","below the line"))</f>
        <v/>
      </c>
      <c r="AB268">
        <f>IF($V268,IF($M268="","",$M268),IF($K268="","",$K268))</f>
        <v/>
      </c>
      <c r="AC268">
        <f>IF($V268,IF($N268="","",$N268),IF($L268="","",$L268))</f>
        <v/>
      </c>
      <c r="AD268">
        <f>IF($Y268="","",IF($Y268="in line",IF(profit_kind="test",IF(ROUND($AB268*100,2)=0,"0.00",TEXT($AB268*100,"+0.00;-0.00"))&amp;" points against "&amp;IF($V268,"its band","the book")&amp;", "&amp;IF($AC268="","not tested","not significant"),IF(profit_kind="points","within "&amp;TEXT(profit_line*100,"0.00")&amp;" points of "&amp;IF($V268,"its band","the book")&amp;" ("&amp;IF(ROUND($AB268*100,2)=0,"0.00",TEXT($AB268*100,"+0.00;-0.00"))&amp;")","within $"&amp;TEXT(profit_line,"#,##0")&amp;" of "&amp;IF($V268,"its band","the book")&amp;" ("&amp;IF(ROUND($AB268*100,2)=0,"0.00",TEXT($AB268*100,"+0.00;-0.00"))&amp;" points)")),IF(LEFT($Y268,5)="worse","short of ","ahead of ")&amp;IF($V268,"its band","the book")&amp;" by "&amp;TEXT(ABS($AB268)*100,"0.00")&amp;" points"&amp;IF($Z268="",""," ($"&amp;TEXT(ABS($Z268),"#,##0")&amp;")")&amp;IF(RIGHT($Y268,15)="not significant"," (not significant)","")))</f>
        <v/>
      </c>
      <c r="AE268">
        <f>IF($V268,IF($S268="","",$S268),IF($R268="","",$R268))</f>
        <v/>
      </c>
      <c r="AF268">
        <f>IF($V268,IF($U268="","",$U268),IF($T268="","",$T268))</f>
        <v/>
      </c>
      <c r="AG268">
        <f>IF($V268,IF($O268="","",$O268),IF($P268="","",$P268))</f>
        <v/>
      </c>
      <c r="AH268" t="n">
        <v>0.1883660471421006</v>
      </c>
      <c r="AI268">
        <f>IF($Y268="worse","Yes",IF($Y268="worse, not significant","Not sure",IF(OR($Y268="too few losses to test",$Y268="too few loans to test"),"Too few losses",IF($Y268="","","No"))))</f>
        <v/>
      </c>
      <c r="AJ268">
        <f>IF($AA268="yes","Yes",IF($AA268="","","No"))</f>
        <v/>
      </c>
    </row>
    <row r="269">
      <c r="A269" t="inlineStr">
        <is>
          <t>grids</t>
        </is>
      </c>
      <c r="B269" t="inlineStr">
        <is>
          <t>ORIG_BAL x CHANNEL</t>
        </is>
      </c>
      <c r="C269" t="inlineStr">
        <is>
          <t>5,005 - 15,448</t>
        </is>
      </c>
      <c r="D269" t="inlineStr">
        <is>
          <t>Branch</t>
        </is>
      </c>
      <c r="E269" t="inlineStr">
        <is>
          <t>outcome_loans</t>
        </is>
      </c>
      <c r="F269" t="inlineStr">
        <is>
          <t>Outcome, share of loans</t>
        </is>
      </c>
      <c r="G269" t="n">
        <v>542</v>
      </c>
      <c r="H269" t="n">
        <v>542</v>
      </c>
      <c r="I269" t="b">
        <v>0</v>
      </c>
      <c r="J269" t="b">
        <v>0</v>
      </c>
      <c r="K269" t="n">
        <v>0.8245558054895618</v>
      </c>
      <c r="L269" t="n">
        <v>0.5308481568395822</v>
      </c>
      <c r="M269" t="n">
        <v>0.7763753773901375</v>
      </c>
      <c r="N269" t="n">
        <v>0.5586722124733015</v>
      </c>
      <c r="O269" t="n">
        <v>-7.447096687676009</v>
      </c>
      <c r="P269" t="n">
        <v>-10.0812854442344</v>
      </c>
      <c r="Q269">
        <f>'_live'!$C$20</f>
        <v/>
      </c>
      <c r="R269" t="inlineStr">
        <is>
          <t>z test</t>
        </is>
      </c>
      <c r="S269" t="inlineStr">
        <is>
          <t>z test</t>
        </is>
      </c>
      <c r="T269" t="n">
        <v>0.07831567654552769</v>
      </c>
      <c r="U269" t="n">
        <v>0.08317580340264651</v>
      </c>
      <c r="V269">
        <f>AND(judged_band,NOT($J269))</f>
        <v/>
      </c>
      <c r="W269">
        <f>IF($K269="","",IF($I269,"too few losses to test",IF(AND($K269&gt;better_at,$K269&lt;worse_at),"in line",IF($K269&gt;=worse_at,IF(AND(ISNUMBER($L269),$L269&lt;significance_bar),"worse","worse, not significant"),IF(AND(ISNUMBER($L269),$L269&lt;significance_bar),"better","better, not significant")))))</f>
        <v/>
      </c>
      <c r="X269">
        <f>IF($M269="","",IF($I269,"too few losses to test",IF(AND($M269&gt;better_at,$M269&lt;worse_at),"in line",IF($M269&gt;=worse_at,IF(AND(ISNUMBER($N269),$N269&lt;significance_bar),"worse","worse, not significant"),IF(AND(ISNUMBER($N269),$N269&lt;significance_bar),"better","better, not significant")))))</f>
        <v/>
      </c>
      <c r="Y269">
        <f>IF($V269,$X269,$W269)</f>
        <v/>
      </c>
      <c r="Z269">
        <f>IF($V269,IF($P269="","",$P269),IF($O269="","",$O269))</f>
        <v/>
      </c>
      <c r="AA269">
        <f>IF(OR($Q269="",$Z269=""),"",IF(AND($Z269&gt;0,$Z269&gt;=$Q269),"yes","below the line"))</f>
        <v/>
      </c>
      <c r="AB269">
        <f>IF($V269,IF($M269="","",$M269),IF($K269="","",$K269))</f>
        <v/>
      </c>
      <c r="AC269">
        <f>IF($V269,IF($N269="","",$N269),IF($L269="","",$L269))</f>
        <v/>
      </c>
      <c r="AD269">
        <f>$Y269</f>
        <v/>
      </c>
      <c r="AE269">
        <f>IF($V269,IF($S269="","",$S269),IF($R269="","",$R269))</f>
        <v/>
      </c>
      <c r="AF269">
        <f>IF($V269,IF($U269="","",$U269),IF($T269="","",$T269))</f>
        <v/>
      </c>
      <c r="AG269">
        <f>IF($V269,IF($O269="","",$O269),IF($P269="","",$P269))</f>
        <v/>
      </c>
      <c r="AH269" t="n">
        <v>0.06457564575645756</v>
      </c>
      <c r="AI269">
        <f>IF($Y269="worse","Yes",IF($Y269="worse, not significant","Not sure",IF(OR($Y269="too few losses to test",$Y269="too few loans to test"),"Too few losses",IF($Y269="","","No"))))</f>
        <v/>
      </c>
      <c r="AJ269">
        <f>IF($AA269="yes","Yes",IF($AA269="","","No"))</f>
        <v/>
      </c>
    </row>
    <row r="270">
      <c r="A270" t="inlineStr">
        <is>
          <t>grids</t>
        </is>
      </c>
      <c r="B270" t="inlineStr">
        <is>
          <t>ORIG_BAL x CHANNEL</t>
        </is>
      </c>
      <c r="C270" t="inlineStr">
        <is>
          <t>5,005 - 15,448</t>
        </is>
      </c>
      <c r="D270" t="inlineStr">
        <is>
          <t>Branch</t>
        </is>
      </c>
      <c r="E270" t="inlineStr">
        <is>
          <t>outcome_booked</t>
        </is>
      </c>
      <c r="F270" t="inlineStr">
        <is>
          <t>Outcome, share of booked dollars</t>
        </is>
      </c>
      <c r="G270" t="n">
        <v>542</v>
      </c>
      <c r="H270" t="n">
        <v>5471077.519999998</v>
      </c>
      <c r="I270" t="b">
        <v>0</v>
      </c>
      <c r="J270" t="b">
        <v>0</v>
      </c>
      <c r="K270" t="n">
        <v>0.8949678775805999</v>
      </c>
      <c r="L270" t="n">
        <v>0.8248021351710982</v>
      </c>
      <c r="M270" t="n">
        <v>0.8403190984673156</v>
      </c>
      <c r="N270" t="n">
        <v>0.9292820717928207</v>
      </c>
      <c r="O270" t="n">
        <v>-43095.55178251752</v>
      </c>
      <c r="P270" t="n">
        <v>-69779.28156249918</v>
      </c>
      <c r="Q270">
        <f>'_live'!$C$21</f>
        <v/>
      </c>
      <c r="R270" t="inlineStr">
        <is>
          <t>shuffled: 5,486 of 10,000</t>
        </is>
      </c>
      <c r="S270" t="inlineStr">
        <is>
          <t>shuffled: 3,873 of 10,000</t>
        </is>
      </c>
      <c r="T270" t="n">
        <v>0.07499588523149231</v>
      </c>
      <c r="U270" t="n">
        <v>0.07987312005085595</v>
      </c>
      <c r="V270">
        <f>AND(judged_band,NOT($J270))</f>
        <v/>
      </c>
      <c r="W270">
        <f>IF($K270="","",IF($I270,"too few losses to test",IF(AND($K270&gt;better_at,$K270&lt;worse_at),"in line",IF($K270&gt;=worse_at,IF(AND(ISNUMBER($L270),$L270&lt;significance_bar),"worse","worse, not significant"),IF(AND(ISNUMBER($L270),$L270&lt;significance_bar),"better","better, not significant")))))</f>
        <v/>
      </c>
      <c r="X270">
        <f>IF($M270="","",IF($I270,"too few losses to test",IF(AND($M270&gt;better_at,$M270&lt;worse_at),"in line",IF($M270&gt;=worse_at,IF(AND(ISNUMBER($N270),$N270&lt;significance_bar),"worse","worse, not significant"),IF(AND(ISNUMBER($N270),$N270&lt;significance_bar),"better","better, not significant")))))</f>
        <v/>
      </c>
      <c r="Y270">
        <f>IF($V270,$X270,$W270)</f>
        <v/>
      </c>
      <c r="Z270">
        <f>IF($V270,IF($P270="","",$P270),IF($O270="","",$O270))</f>
        <v/>
      </c>
      <c r="AA270">
        <f>IF(OR($Q270="",$Z270=""),"",IF(AND($Z270&gt;0,$Z270&gt;=$Q270),"yes","below the line"))</f>
        <v/>
      </c>
      <c r="AB270">
        <f>IF($V270,IF($M270="","",$M270),IF($K270="","",$K270))</f>
        <v/>
      </c>
      <c r="AC270">
        <f>IF($V270,IF($N270="","",$N270),IF($L270="","",$L270))</f>
        <v/>
      </c>
      <c r="AD270">
        <f>$Y270</f>
        <v/>
      </c>
      <c r="AE270">
        <f>IF($V270,IF($S270="","",$S270),IF($R270="","",$R270))</f>
        <v/>
      </c>
      <c r="AF270">
        <f>IF($V270,IF($U270="","",$U270),IF($T270="","",$T270))</f>
        <v/>
      </c>
      <c r="AG270">
        <f>IF($V270,IF($O270="","",$O270),IF($P270="","",$P270))</f>
        <v/>
      </c>
      <c r="AH270" t="n">
        <v>0.06711890823290693</v>
      </c>
      <c r="AI270">
        <f>IF($Y270="worse","Yes",IF($Y270="worse, not significant","Not sure",IF(OR($Y270="too few losses to test",$Y270="too few loans to test"),"Too few losses",IF($Y270="","","No"))))</f>
        <v/>
      </c>
      <c r="AJ270">
        <f>IF($AA270="yes","Yes",IF($AA270="","","No"))</f>
        <v/>
      </c>
    </row>
    <row r="271">
      <c r="A271" t="inlineStr">
        <is>
          <t>grids</t>
        </is>
      </c>
      <c r="B271" t="inlineStr">
        <is>
          <t>ORIG_BAL x CHANNEL</t>
        </is>
      </c>
      <c r="C271" t="inlineStr">
        <is>
          <t>5,005 - 15,448</t>
        </is>
      </c>
      <c r="D271" t="inlineStr">
        <is>
          <t>Branch</t>
        </is>
      </c>
      <c r="E271" t="inlineStr">
        <is>
          <t>gco_rate</t>
        </is>
      </c>
      <c r="F271" t="inlineStr">
        <is>
          <t>GCO per booked dollar</t>
        </is>
      </c>
      <c r="G271" t="n">
        <v>542</v>
      </c>
      <c r="H271" t="n">
        <v>5471077.519999998</v>
      </c>
      <c r="I271" t="b">
        <v>0</v>
      </c>
      <c r="J271" t="b">
        <v>0</v>
      </c>
      <c r="K271" t="n">
        <v>0.8491580852603298</v>
      </c>
      <c r="L271" t="n">
        <v>0.76004899510049</v>
      </c>
      <c r="M271" t="n">
        <v>0.7978190990987081</v>
      </c>
      <c r="N271" t="n">
        <v>0.8321167883211679</v>
      </c>
      <c r="O271" t="n">
        <v>-34445.65562188957</v>
      </c>
      <c r="P271" t="n">
        <v>-49140.17134907583</v>
      </c>
      <c r="Q271">
        <f>'_live'!$C$22</f>
        <v/>
      </c>
      <c r="R271" t="inlineStr">
        <is>
          <t>shuffled: 4,053 of 10,000</t>
        </is>
      </c>
      <c r="S271" t="inlineStr">
        <is>
          <t>shuffled: 2,859 of 10,000</t>
        </is>
      </c>
      <c r="T271" t="n">
        <v>0.0417387607444995</v>
      </c>
      <c r="U271" t="n">
        <v>0.04442461479673494</v>
      </c>
      <c r="V271">
        <f>AND(judged_band,NOT($J271))</f>
        <v/>
      </c>
      <c r="W271">
        <f>IF($K271="","",IF($I271,"too few losses to test",IF(AND($K271&gt;better_at,$K271&lt;worse_at),"in line",IF($K271&gt;=worse_at,IF(AND(ISNUMBER($L271),$L271&lt;significance_bar),"worse","worse, not significant"),IF(AND(ISNUMBER($L271),$L271&lt;significance_bar),"better","better, not significant")))))</f>
        <v/>
      </c>
      <c r="X271">
        <f>IF($M271="","",IF($I271,"too few losses to test",IF(AND($M271&gt;better_at,$M271&lt;worse_at),"in line",IF($M271&gt;=worse_at,IF(AND(ISNUMBER($N271),$N271&lt;significance_bar),"worse","worse, not significant"),IF(AND(ISNUMBER($N271),$N271&lt;significance_bar),"better","better, not significant")))))</f>
        <v/>
      </c>
      <c r="Y271">
        <f>IF($V271,$X271,$W271)</f>
        <v/>
      </c>
      <c r="Z271">
        <f>IF($V271,IF($P271="","",$P271),IF($O271="","",$O271))</f>
        <v/>
      </c>
      <c r="AA271">
        <f>IF(OR($Q271="",$Z271=""),"",IF(AND($Z271&gt;0,$Z271&gt;=$Q271),"yes","below the line"))</f>
        <v/>
      </c>
      <c r="AB271">
        <f>IF($V271,IF($M271="","",$M271),IF($K271="","",$K271))</f>
        <v/>
      </c>
      <c r="AC271">
        <f>IF($V271,IF($N271="","",$N271),IF($L271="","",$L271))</f>
        <v/>
      </c>
      <c r="AD271">
        <f>$Y271</f>
        <v/>
      </c>
      <c r="AE271">
        <f>IF($V271,IF($S271="","",$S271),IF($R271="","",$R271))</f>
        <v/>
      </c>
      <c r="AF271">
        <f>IF($V271,IF($U271="","",$U271),IF($T271="","",$T271))</f>
        <v/>
      </c>
      <c r="AG271">
        <f>IF($V271,IF($O271="","",$O271),IF($P271="","",$P271))</f>
        <v/>
      </c>
      <c r="AH271" t="n">
        <v>0.03544280615493821</v>
      </c>
      <c r="AI271">
        <f>IF($Y271="worse","Yes",IF($Y271="worse, not significant","Not sure",IF(OR($Y271="too few losses to test",$Y271="too few loans to test"),"Too few losses",IF($Y271="","","No"))))</f>
        <v/>
      </c>
      <c r="AJ271">
        <f>IF($AA271="yes","Yes",IF($AA271="","","No"))</f>
        <v/>
      </c>
    </row>
    <row r="272">
      <c r="A272" t="inlineStr">
        <is>
          <t>grids</t>
        </is>
      </c>
      <c r="B272" t="inlineStr">
        <is>
          <t>ORIG_BAL x CHANNEL</t>
        </is>
      </c>
      <c r="C272" t="inlineStr">
        <is>
          <t>5,005 - 15,448</t>
        </is>
      </c>
      <c r="D272" t="inlineStr">
        <is>
          <t>Branch</t>
        </is>
      </c>
      <c r="E272" t="inlineStr">
        <is>
          <t>ranr_rate</t>
        </is>
      </c>
      <c r="F272" t="inlineStr">
        <is>
          <t>Profit after losses: RANR per booked dollar</t>
        </is>
      </c>
      <c r="G272" t="n">
        <v>542</v>
      </c>
      <c r="H272" t="n">
        <v>5471077.519999998</v>
      </c>
      <c r="I272" t="b">
        <v>0</v>
      </c>
      <c r="J272" t="b">
        <v>0</v>
      </c>
      <c r="K272" t="n">
        <v>0.01418638061122002</v>
      </c>
      <c r="L272" t="n">
        <v>0.1973802619738026</v>
      </c>
      <c r="M272" t="n">
        <v>-0.007246539980828914</v>
      </c>
      <c r="N272" t="n">
        <v>0.5021283585927122</v>
      </c>
      <c r="O272" t="n">
        <v>-77614.78805220965</v>
      </c>
      <c r="P272" t="n">
        <v>39646.3819868943</v>
      </c>
      <c r="Q272">
        <f>'_live'!$C$23</f>
        <v/>
      </c>
      <c r="R272" t="inlineStr">
        <is>
          <t>shuffled: 1,202 of 10,000</t>
        </is>
      </c>
      <c r="S272" t="inlineStr">
        <is>
          <t>shuffled: 4,686 of 10,000</t>
        </is>
      </c>
      <c r="T272" t="n">
        <v>0.1276892969244184</v>
      </c>
      <c r="U272" t="n">
        <v>0.1491222175164673</v>
      </c>
      <c r="V272">
        <f>AND(judged_band,NOT($J272))</f>
        <v/>
      </c>
      <c r="W272">
        <f>IF($K272="","",IF(profit_kind="test",IF(OR(NOT(AND(ISNUMBER($L272),$L272&lt;significance_bar)),$K272=0),"in line",IF($K272&lt;0,"worse","better")),IF(OR($K272=0,IF(profit_kind="points",ABS($K272),ABS($K272*$H272))&lt;profit_line*(1-1E-9)),"in line",IF(AND(ISNUMBER($L272),$L272&lt;significance_bar),IF($K272&lt;0,"worse","better"),IF($K272&lt;0,"worse, not significant","better, not significant")))))</f>
        <v/>
      </c>
      <c r="X272">
        <f>IF($M272="","",IF(profit_kind="test",IF(OR(NOT(AND(ISNUMBER($N272),$N272&lt;significance_bar)),$M272=0),"in line",IF($M272&lt;0,"worse","better")),IF(OR($M272=0,IF(profit_kind="points",ABS($M272),ABS($M272*$H272))&lt;profit_line*(1-1E-9)),"in line",IF(AND(ISNUMBER($N272),$N272&lt;significance_bar),IF($M272&lt;0,"worse","better"),IF($M272&lt;0,"worse, not significant","better, not significant")))))</f>
        <v/>
      </c>
      <c r="Y272">
        <f>IF($V272,$X272,$W272)</f>
        <v/>
      </c>
      <c r="Z272">
        <f>IF($V272,IF($P272="","",$P272),IF($O272="","",$O272))</f>
        <v/>
      </c>
      <c r="AA272">
        <f>IF(OR($Q272="",$Z272=""),"",IF(AND($Z272&gt;0,$Z272&gt;=$Q272),"yes","below the line"))</f>
        <v/>
      </c>
      <c r="AB272">
        <f>IF($V272,IF($M272="","",$M272),IF($K272="","",$K272))</f>
        <v/>
      </c>
      <c r="AC272">
        <f>IF($V272,IF($N272="","",$N272),IF($L272="","",$L272))</f>
        <v/>
      </c>
      <c r="AD272">
        <f>IF($Y272="","",IF($Y272="in line",IF(profit_kind="test",IF(ROUND($AB272*100,2)=0,"0.00",TEXT($AB272*100,"+0.00;-0.00"))&amp;" points against "&amp;IF($V272,"its band","the book")&amp;", "&amp;IF($AC272="","not tested","not significant"),IF(profit_kind="points","within "&amp;TEXT(profit_line*100,"0.00")&amp;" points of "&amp;IF($V272,"its band","the book")&amp;" ("&amp;IF(ROUND($AB272*100,2)=0,"0.00",TEXT($AB272*100,"+0.00;-0.00"))&amp;")","within $"&amp;TEXT(profit_line,"#,##0")&amp;" of "&amp;IF($V272,"its band","the book")&amp;" ("&amp;IF(ROUND($AB272*100,2)=0,"0.00",TEXT($AB272*100,"+0.00;-0.00"))&amp;" points)")),IF(LEFT($Y272,5)="worse","short of ","ahead of ")&amp;IF($V272,"its band","the book")&amp;" by "&amp;TEXT(ABS($AB272)*100,"0.00")&amp;" points"&amp;IF($Z272="",""," ($"&amp;TEXT(ABS($Z272),"#,##0")&amp;")")&amp;IF(RIGHT($Y272,15)="not significant"," (not significant)","")))</f>
        <v/>
      </c>
      <c r="AE272">
        <f>IF($V272,IF($S272="","",$S272),IF($R272="","",$R272))</f>
        <v/>
      </c>
      <c r="AF272">
        <f>IF($V272,IF($U272="","",$U272),IF($T272="","",$T272))</f>
        <v/>
      </c>
      <c r="AG272">
        <f>IF($V272,IF($O272="","",$O272),IF($P272="","",$P272))</f>
        <v/>
      </c>
      <c r="AH272" t="n">
        <v>0.1418756775356384</v>
      </c>
      <c r="AI272">
        <f>IF($Y272="worse","Yes",IF($Y272="worse, not significant","Not sure",IF(OR($Y272="too few losses to test",$Y272="too few loans to test"),"Too few losses",IF($Y272="","","No"))))</f>
        <v/>
      </c>
      <c r="AJ272">
        <f>IF($AA272="yes","Yes",IF($AA272="","","No"))</f>
        <v/>
      </c>
    </row>
    <row r="273">
      <c r="A273" t="inlineStr">
        <is>
          <t>grids</t>
        </is>
      </c>
      <c r="B273" t="inlineStr">
        <is>
          <t>ORIG_BAL x CHANNEL</t>
        </is>
      </c>
      <c r="C273" t="inlineStr">
        <is>
          <t>5,005 - 15,448</t>
        </is>
      </c>
      <c r="D273" t="inlineStr">
        <is>
          <t>Branch</t>
        </is>
      </c>
      <c r="E273" t="inlineStr">
        <is>
          <t>contribution_rate</t>
        </is>
      </c>
      <c r="F273" t="inlineStr">
        <is>
          <t>Contribution before losses per booked dollar</t>
        </is>
      </c>
      <c r="G273" t="n">
        <v>542</v>
      </c>
      <c r="H273" t="n">
        <v>5471077.519999998</v>
      </c>
      <c r="I273" t="b">
        <v>0</v>
      </c>
      <c r="J273" t="b">
        <v>0</v>
      </c>
      <c r="K273" t="n">
        <v>0.007893394464441178</v>
      </c>
      <c r="L273" t="n">
        <v>0.2229777022297771</v>
      </c>
      <c r="M273" t="n">
        <v>-0.01622834862262595</v>
      </c>
      <c r="N273" t="n">
        <v>0.03621066464782093</v>
      </c>
      <c r="O273" t="n">
        <v>-43185.3730108965</v>
      </c>
      <c r="P273" t="n">
        <v>88786.5533359719</v>
      </c>
      <c r="Q273">
        <f>'_live'!$C$24</f>
        <v/>
      </c>
      <c r="R273" t="inlineStr">
        <is>
          <t>shuffled: 1,783 of 10,000</t>
        </is>
      </c>
      <c r="S273" t="inlineStr">
        <is>
          <t>shuffled: 146 of 10,000</t>
        </is>
      </c>
      <c r="T273" t="n">
        <v>0.1694250892261353</v>
      </c>
      <c r="U273" t="n">
        <v>0.1935468323132024</v>
      </c>
      <c r="V273">
        <f>AND(judged_band,NOT($J273))</f>
        <v/>
      </c>
      <c r="W273">
        <f>IF($K273="","",IF(profit_kind="test",IF(OR(NOT(AND(ISNUMBER($L273),$L273&lt;significance_bar)),$K273=0),"in line",IF($K273&lt;0,"worse","better")),IF(OR($K273=0,IF(profit_kind="points",ABS($K273),ABS($K273*$H273))&lt;profit_line*(1-1E-9)),"in line",IF(AND(ISNUMBER($L273),$L273&lt;significance_bar),IF($K273&lt;0,"worse","better"),IF($K273&lt;0,"worse, not significant","better, not significant")))))</f>
        <v/>
      </c>
      <c r="X273">
        <f>IF($M273="","",IF(profit_kind="test",IF(OR(NOT(AND(ISNUMBER($N273),$N273&lt;significance_bar)),$M273=0),"in line",IF($M273&lt;0,"worse","better")),IF(OR($M273=0,IF(profit_kind="points",ABS($M273),ABS($M273*$H273))&lt;profit_line*(1-1E-9)),"in line",IF(AND(ISNUMBER($N273),$N273&lt;significance_bar),IF($M273&lt;0,"worse","better"),IF($M273&lt;0,"worse, not significant","better, not significant")))))</f>
        <v/>
      </c>
      <c r="Y273">
        <f>IF($V273,$X273,$W273)</f>
        <v/>
      </c>
      <c r="Z273">
        <f>IF($V273,IF($P273="","",$P273),IF($O273="","",$O273))</f>
        <v/>
      </c>
      <c r="AA273">
        <f>IF(OR($Q273="",$Z273=""),"",IF(AND($Z273&gt;0,$Z273&gt;=$Q273),"yes","below the line"))</f>
        <v/>
      </c>
      <c r="AB273">
        <f>IF($V273,IF($M273="","",$M273),IF($K273="","",$K273))</f>
        <v/>
      </c>
      <c r="AC273">
        <f>IF($V273,IF($N273="","",$N273),IF($L273="","",$L273))</f>
        <v/>
      </c>
      <c r="AD273">
        <f>IF($Y273="","",IF($Y273="in line",IF(profit_kind="test",IF(ROUND($AB273*100,2)=0,"0.00",TEXT($AB273*100,"+0.00;-0.00"))&amp;" points against "&amp;IF($V273,"its band","the book")&amp;", "&amp;IF($AC273="","not tested","not significant"),IF(profit_kind="points","within "&amp;TEXT(profit_line*100,"0.00")&amp;" points of "&amp;IF($V273,"its band","the book")&amp;" ("&amp;IF(ROUND($AB273*100,2)=0,"0.00",TEXT($AB273*100,"+0.00;-0.00"))&amp;")","within $"&amp;TEXT(profit_line,"#,##0")&amp;" of "&amp;IF($V273,"its band","the book")&amp;" ("&amp;IF(ROUND($AB273*100,2)=0,"0.00",TEXT($AB273*100,"+0.00;-0.00"))&amp;" points)")),IF(LEFT($Y273,5)="worse","short of ","ahead of ")&amp;IF($V273,"its band","the book")&amp;" by "&amp;TEXT(ABS($AB273)*100,"0.00")&amp;" points"&amp;IF($Z273="",""," ($"&amp;TEXT(ABS($Z273),"#,##0")&amp;")")&amp;IF(RIGHT($Y273,15)="not significant"," (not significant)","")))</f>
        <v/>
      </c>
      <c r="AE273">
        <f>IF($V273,IF($S273="","",$S273),IF($R273="","",$R273))</f>
        <v/>
      </c>
      <c r="AF273">
        <f>IF($V273,IF($U273="","",$U273),IF($T273="","",$T273))</f>
        <v/>
      </c>
      <c r="AG273">
        <f>IF($V273,IF($O273="","",$O273),IF($P273="","",$P273))</f>
        <v/>
      </c>
      <c r="AH273" t="n">
        <v>0.1773184836905765</v>
      </c>
      <c r="AI273">
        <f>IF($Y273="worse","Yes",IF($Y273="worse, not significant","Not sure",IF(OR($Y273="too few losses to test",$Y273="too few loans to test"),"Too few losses",IF($Y273="","","No"))))</f>
        <v/>
      </c>
      <c r="AJ273">
        <f>IF($AA273="yes","Yes",IF($AA273="","","No"))</f>
        <v/>
      </c>
    </row>
    <row r="274">
      <c r="A274" t="inlineStr">
        <is>
          <t>grids</t>
        </is>
      </c>
      <c r="B274" t="inlineStr">
        <is>
          <t>ORIG_BAL x CHANNEL</t>
        </is>
      </c>
      <c r="C274" t="inlineStr">
        <is>
          <t>49,152 - 59,984</t>
        </is>
      </c>
      <c r="D274" t="inlineStr">
        <is>
          <t>Online</t>
        </is>
      </c>
      <c r="E274" t="inlineStr">
        <is>
          <t>outcome_loans</t>
        </is>
      </c>
      <c r="F274" t="inlineStr">
        <is>
          <t>Outcome, share of loans</t>
        </is>
      </c>
      <c r="G274" t="n">
        <v>565</v>
      </c>
      <c r="H274" t="n">
        <v>565</v>
      </c>
      <c r="I274" t="b">
        <v>0</v>
      </c>
      <c r="J274" t="b">
        <v>0</v>
      </c>
      <c r="K274" t="n">
        <v>0.8124713489882968</v>
      </c>
      <c r="L274" t="n">
        <v>0.5308481568395822</v>
      </c>
      <c r="M274" t="n">
        <v>0.9842821291771233</v>
      </c>
      <c r="N274" t="n">
        <v>0.9421531292180777</v>
      </c>
      <c r="O274" t="n">
        <v>-8.309254775356472</v>
      </c>
      <c r="P274" t="n">
        <v>-0.5748792270531382</v>
      </c>
      <c r="Q274">
        <f>'_live'!$C$20</f>
        <v/>
      </c>
      <c r="R274" t="inlineStr">
        <is>
          <t>z test</t>
        </is>
      </c>
      <c r="S274" t="inlineStr">
        <is>
          <t>z test</t>
        </is>
      </c>
      <c r="T274" t="n">
        <v>0.07842345977939198</v>
      </c>
      <c r="U274" t="n">
        <v>0.06473429951690821</v>
      </c>
      <c r="V274">
        <f>AND(judged_band,NOT($J274))</f>
        <v/>
      </c>
      <c r="W274">
        <f>IF($K274="","",IF($I274,"too few losses to test",IF(AND($K274&gt;better_at,$K274&lt;worse_at),"in line",IF($K274&gt;=worse_at,IF(AND(ISNUMBER($L274),$L274&lt;significance_bar),"worse","worse, not significant"),IF(AND(ISNUMBER($L274),$L274&lt;significance_bar),"better","better, not significant")))))</f>
        <v/>
      </c>
      <c r="X274">
        <f>IF($M274="","",IF($I274,"too few losses to test",IF(AND($M274&gt;better_at,$M274&lt;worse_at),"in line",IF($M274&gt;=worse_at,IF(AND(ISNUMBER($N274),$N274&lt;significance_bar),"worse","worse, not significant"),IF(AND(ISNUMBER($N274),$N274&lt;significance_bar),"better","better, not significant")))))</f>
        <v/>
      </c>
      <c r="Y274">
        <f>IF($V274,$X274,$W274)</f>
        <v/>
      </c>
      <c r="Z274">
        <f>IF($V274,IF($P274="","",$P274),IF($O274="","",$O274))</f>
        <v/>
      </c>
      <c r="AA274">
        <f>IF(OR($Q274="",$Z274=""),"",IF(AND($Z274&gt;0,$Z274&gt;=$Q274),"yes","below the line"))</f>
        <v/>
      </c>
      <c r="AB274">
        <f>IF($V274,IF($M274="","",$M274),IF($K274="","",$K274))</f>
        <v/>
      </c>
      <c r="AC274">
        <f>IF($V274,IF($N274="","",$N274),IF($L274="","",$L274))</f>
        <v/>
      </c>
      <c r="AD274">
        <f>$Y274</f>
        <v/>
      </c>
      <c r="AE274">
        <f>IF($V274,IF($S274="","",$S274),IF($R274="","",$R274))</f>
        <v/>
      </c>
      <c r="AF274">
        <f>IF($V274,IF($U274="","",$U274),IF($T274="","",$T274))</f>
        <v/>
      </c>
      <c r="AG274">
        <f>IF($V274,IF($O274="","",$O274),IF($P274="","",$P274))</f>
        <v/>
      </c>
      <c r="AH274" t="n">
        <v>0.06371681415929203</v>
      </c>
      <c r="AI274">
        <f>IF($Y274="worse","Yes",IF($Y274="worse, not significant","Not sure",IF(OR($Y274="too few losses to test",$Y274="too few loans to test"),"Too few losses",IF($Y274="","","No"))))</f>
        <v/>
      </c>
      <c r="AJ274">
        <f>IF($AA274="yes","Yes",IF($AA274="","","No"))</f>
        <v/>
      </c>
    </row>
    <row r="275">
      <c r="A275" t="inlineStr">
        <is>
          <t>grids</t>
        </is>
      </c>
      <c r="B275" t="inlineStr">
        <is>
          <t>ORIG_BAL x CHANNEL</t>
        </is>
      </c>
      <c r="C275" t="inlineStr">
        <is>
          <t>49,152 - 59,984</t>
        </is>
      </c>
      <c r="D275" t="inlineStr">
        <is>
          <t>Online</t>
        </is>
      </c>
      <c r="E275" t="inlineStr">
        <is>
          <t>outcome_booked</t>
        </is>
      </c>
      <c r="F275" t="inlineStr">
        <is>
          <t>Outcome, share of booked dollars</t>
        </is>
      </c>
      <c r="G275" t="n">
        <v>565</v>
      </c>
      <c r="H275" t="n">
        <v>30795102.91000002</v>
      </c>
      <c r="I275" t="b">
        <v>0</v>
      </c>
      <c r="J275" t="b">
        <v>0</v>
      </c>
      <c r="K275" t="n">
        <v>0.8318991602213208</v>
      </c>
      <c r="L275" t="n">
        <v>0.7730655505877984</v>
      </c>
      <c r="M275" t="n">
        <v>0.9713896390792535</v>
      </c>
      <c r="N275" t="n">
        <v>0.9564757809933292</v>
      </c>
      <c r="O275" t="n">
        <v>-395295.8161942451</v>
      </c>
      <c r="P275" t="n">
        <v>-57617.2983026586</v>
      </c>
      <c r="Q275">
        <f>'_live'!$C$21</f>
        <v/>
      </c>
      <c r="R275" t="inlineStr">
        <is>
          <t>shuffled: 3,030 of 10,000</t>
        </is>
      </c>
      <c r="S275" t="inlineStr">
        <is>
          <t>shuffled: 8,784 of 10,000</t>
        </is>
      </c>
      <c r="T275" t="n">
        <v>0.0763608361065303</v>
      </c>
      <c r="U275" t="n">
        <v>0.06539550441471988</v>
      </c>
      <c r="V275">
        <f>AND(judged_band,NOT($J275))</f>
        <v/>
      </c>
      <c r="W275">
        <f>IF($K275="","",IF($I275,"too few losses to test",IF(AND($K275&gt;better_at,$K275&lt;worse_at),"in line",IF($K275&gt;=worse_at,IF(AND(ISNUMBER($L275),$L275&lt;significance_bar),"worse","worse, not significant"),IF(AND(ISNUMBER($L275),$L275&lt;significance_bar),"better","better, not significant")))))</f>
        <v/>
      </c>
      <c r="X275">
        <f>IF($M275="","",IF($I275,"too few losses to test",IF(AND($M275&gt;better_at,$M275&lt;worse_at),"in line",IF($M275&gt;=worse_at,IF(AND(ISNUMBER($N275),$N275&lt;significance_bar),"worse","worse, not significant"),IF(AND(ISNUMBER($N275),$N275&lt;significance_bar),"better","better, not significant")))))</f>
        <v/>
      </c>
      <c r="Y275">
        <f>IF($V275,$X275,$W275)</f>
        <v/>
      </c>
      <c r="Z275">
        <f>IF($V275,IF($P275="","",$P275),IF($O275="","",$O275))</f>
        <v/>
      </c>
      <c r="AA275">
        <f>IF(OR($Q275="",$Z275=""),"",IF(AND($Z275&gt;0,$Z275&gt;=$Q275),"yes","below the line"))</f>
        <v/>
      </c>
      <c r="AB275">
        <f>IF($V275,IF($M275="","",$M275),IF($K275="","",$K275))</f>
        <v/>
      </c>
      <c r="AC275">
        <f>IF($V275,IF($N275="","",$N275),IF($L275="","",$L275))</f>
        <v/>
      </c>
      <c r="AD275">
        <f>$Y275</f>
        <v/>
      </c>
      <c r="AE275">
        <f>IF($V275,IF($S275="","",$S275),IF($R275="","",$R275))</f>
        <v/>
      </c>
      <c r="AF275">
        <f>IF($V275,IF($U275="","",$U275),IF($T275="","",$T275))</f>
        <v/>
      </c>
      <c r="AG275">
        <f>IF($V275,IF($O275="","",$O275),IF($P275="","",$P275))</f>
        <v/>
      </c>
      <c r="AH275" t="n">
        <v>0.06352451543082047</v>
      </c>
      <c r="AI275">
        <f>IF($Y275="worse","Yes",IF($Y275="worse, not significant","Not sure",IF(OR($Y275="too few losses to test",$Y275="too few loans to test"),"Too few losses",IF($Y275="","","No"))))</f>
        <v/>
      </c>
      <c r="AJ275">
        <f>IF($AA275="yes","Yes",IF($AA275="","","No"))</f>
        <v/>
      </c>
    </row>
    <row r="276">
      <c r="A276" t="inlineStr">
        <is>
          <t>grids</t>
        </is>
      </c>
      <c r="B276" t="inlineStr">
        <is>
          <t>ORIG_BAL x CHANNEL</t>
        </is>
      </c>
      <c r="C276" t="inlineStr">
        <is>
          <t>49,152 - 59,984</t>
        </is>
      </c>
      <c r="D276" t="inlineStr">
        <is>
          <t>Online</t>
        </is>
      </c>
      <c r="E276" t="inlineStr">
        <is>
          <t>gco_rate</t>
        </is>
      </c>
      <c r="F276" t="inlineStr">
        <is>
          <t>GCO per booked dollar</t>
        </is>
      </c>
      <c r="G276" t="n">
        <v>565</v>
      </c>
      <c r="H276" t="n">
        <v>30795102.91000002</v>
      </c>
      <c r="I276" t="b">
        <v>0</v>
      </c>
      <c r="J276" t="b">
        <v>0</v>
      </c>
      <c r="K276" t="n">
        <v>0.8122487226382015</v>
      </c>
      <c r="L276" t="n">
        <v>0.672932706729327</v>
      </c>
      <c r="M276" t="n">
        <v>0.9578708565973761</v>
      </c>
      <c r="N276" t="n">
        <v>0.8321167883211679</v>
      </c>
      <c r="O276" t="n">
        <v>-246067.9576953962</v>
      </c>
      <c r="P276" t="n">
        <v>-46820.58872652915</v>
      </c>
      <c r="Q276">
        <f>'_live'!$C$22</f>
        <v/>
      </c>
      <c r="R276" t="inlineStr">
        <is>
          <t>shuffled: 2,691 of 10,000</t>
        </is>
      </c>
      <c r="S276" t="inlineStr">
        <is>
          <t>shuffled: 8,321 of 10,000</t>
        </is>
      </c>
      <c r="T276" t="n">
        <v>0.04255891079583977</v>
      </c>
      <c r="U276" t="n">
        <v>0.0360888116521163</v>
      </c>
      <c r="V276">
        <f>AND(judged_band,NOT($J276))</f>
        <v/>
      </c>
      <c r="W276">
        <f>IF($K276="","",IF($I276,"too few losses to test",IF(AND($K276&gt;better_at,$K276&lt;worse_at),"in line",IF($K276&gt;=worse_at,IF(AND(ISNUMBER($L276),$L276&lt;significance_bar),"worse","worse, not significant"),IF(AND(ISNUMBER($L276),$L276&lt;significance_bar),"better","better, not significant")))))</f>
        <v/>
      </c>
      <c r="X276">
        <f>IF($M276="","",IF($I276,"too few losses to test",IF(AND($M276&gt;better_at,$M276&lt;worse_at),"in line",IF($M276&gt;=worse_at,IF(AND(ISNUMBER($N276),$N276&lt;significance_bar),"worse","worse, not significant"),IF(AND(ISNUMBER($N276),$N276&lt;significance_bar),"better","better, not significant")))))</f>
        <v/>
      </c>
      <c r="Y276">
        <f>IF($V276,$X276,$W276)</f>
        <v/>
      </c>
      <c r="Z276">
        <f>IF($V276,IF($P276="","",$P276),IF($O276="","",$O276))</f>
        <v/>
      </c>
      <c r="AA276">
        <f>IF(OR($Q276="",$Z276=""),"",IF(AND($Z276&gt;0,$Z276&gt;=$Q276),"yes","below the line"))</f>
        <v/>
      </c>
      <c r="AB276">
        <f>IF($V276,IF($M276="","",$M276),IF($K276="","",$K276))</f>
        <v/>
      </c>
      <c r="AC276">
        <f>IF($V276,IF($N276="","",$N276),IF($L276="","",$L276))</f>
        <v/>
      </c>
      <c r="AD276">
        <f>$Y276</f>
        <v/>
      </c>
      <c r="AE276">
        <f>IF($V276,IF($S276="","",$S276),IF($R276="","",$R276))</f>
        <v/>
      </c>
      <c r="AF276">
        <f>IF($V276,IF($U276="","",$U276),IF($T276="","",$T276))</f>
        <v/>
      </c>
      <c r="AG276">
        <f>IF($V276,IF($O276="","",$O276),IF($P276="","",$P276))</f>
        <v/>
      </c>
      <c r="AH276" t="n">
        <v>0.03456842093079401</v>
      </c>
      <c r="AI276">
        <f>IF($Y276="worse","Yes",IF($Y276="worse, not significant","Not sure",IF(OR($Y276="too few losses to test",$Y276="too few loans to test"),"Too few losses",IF($Y276="","","No"))))</f>
        <v/>
      </c>
      <c r="AJ276">
        <f>IF($AA276="yes","Yes",IF($AA276="","","No"))</f>
        <v/>
      </c>
    </row>
    <row r="277">
      <c r="A277" t="inlineStr">
        <is>
          <t>grids</t>
        </is>
      </c>
      <c r="B277" t="inlineStr">
        <is>
          <t>ORIG_BAL x CHANNEL</t>
        </is>
      </c>
      <c r="C277" t="inlineStr">
        <is>
          <t>49,152 - 59,984</t>
        </is>
      </c>
      <c r="D277" t="inlineStr">
        <is>
          <t>Online</t>
        </is>
      </c>
      <c r="E277" t="inlineStr">
        <is>
          <t>ranr_rate</t>
        </is>
      </c>
      <c r="F277" t="inlineStr">
        <is>
          <t>Profit after losses: RANR per booked dollar</t>
        </is>
      </c>
      <c r="G277" t="n">
        <v>565</v>
      </c>
      <c r="H277" t="n">
        <v>30795102.91000002</v>
      </c>
      <c r="I277" t="b">
        <v>0</v>
      </c>
      <c r="J277" t="b">
        <v>0</v>
      </c>
      <c r="K277" t="n">
        <v>0.01863126369089907</v>
      </c>
      <c r="L277" t="n">
        <v>0.08774122587741225</v>
      </c>
      <c r="M277" t="n">
        <v>0.0215815265827201</v>
      </c>
      <c r="N277" t="n">
        <v>0.0444955504449555</v>
      </c>
      <c r="O277" t="n">
        <v>-573751.6827045837</v>
      </c>
      <c r="P277" t="n">
        <v>-664605.3320697667</v>
      </c>
      <c r="Q277">
        <f>'_live'!$C$23</f>
        <v/>
      </c>
      <c r="R277" t="inlineStr">
        <is>
          <t>shuffled: 350 of 10,000</t>
        </is>
      </c>
      <c r="S277" t="inlineStr">
        <is>
          <t>shuffled: 177 of 10,000</t>
        </is>
      </c>
      <c r="T277" t="n">
        <v>0.1257667957341927</v>
      </c>
      <c r="U277" t="n">
        <v>0.1228165328423717</v>
      </c>
      <c r="V277">
        <f>AND(judged_band,NOT($J277))</f>
        <v/>
      </c>
      <c r="W277">
        <f>IF($K277="","",IF(profit_kind="test",IF(OR(NOT(AND(ISNUMBER($L277),$L277&lt;significance_bar)),$K277=0),"in line",IF($K277&lt;0,"worse","better")),IF(OR($K277=0,IF(profit_kind="points",ABS($K277),ABS($K277*$H277))&lt;profit_line*(1-1E-9)),"in line",IF(AND(ISNUMBER($L277),$L277&lt;significance_bar),IF($K277&lt;0,"worse","better"),IF($K277&lt;0,"worse, not significant","better, not significant")))))</f>
        <v/>
      </c>
      <c r="X277">
        <f>IF($M277="","",IF(profit_kind="test",IF(OR(NOT(AND(ISNUMBER($N277),$N277&lt;significance_bar)),$M277=0),"in line",IF($M277&lt;0,"worse","better")),IF(OR($M277=0,IF(profit_kind="points",ABS($M277),ABS($M277*$H277))&lt;profit_line*(1-1E-9)),"in line",IF(AND(ISNUMBER($N277),$N277&lt;significance_bar),IF($M277&lt;0,"worse","better"),IF($M277&lt;0,"worse, not significant","better, not significant")))))</f>
        <v/>
      </c>
      <c r="Y277">
        <f>IF($V277,$X277,$W277)</f>
        <v/>
      </c>
      <c r="Z277">
        <f>IF($V277,IF($P277="","",$P277),IF($O277="","",$O277))</f>
        <v/>
      </c>
      <c r="AA277">
        <f>IF(OR($Q277="",$Z277=""),"",IF(AND($Z277&gt;0,$Z277&gt;=$Q277),"yes","below the line"))</f>
        <v/>
      </c>
      <c r="AB277">
        <f>IF($V277,IF($M277="","",$M277),IF($K277="","",$K277))</f>
        <v/>
      </c>
      <c r="AC277">
        <f>IF($V277,IF($N277="","",$N277),IF($L277="","",$L277))</f>
        <v/>
      </c>
      <c r="AD277">
        <f>IF($Y277="","",IF($Y277="in line",IF(profit_kind="test",IF(ROUND($AB277*100,2)=0,"0.00",TEXT($AB277*100,"+0.00;-0.00"))&amp;" points against "&amp;IF($V277,"its band","the book")&amp;", "&amp;IF($AC277="","not tested","not significant"),IF(profit_kind="points","within "&amp;TEXT(profit_line*100,"0.00")&amp;" points of "&amp;IF($V277,"its band","the book")&amp;" ("&amp;IF(ROUND($AB277*100,2)=0,"0.00",TEXT($AB277*100,"+0.00;-0.00"))&amp;")","within $"&amp;TEXT(profit_line,"#,##0")&amp;" of "&amp;IF($V277,"its band","the book")&amp;" ("&amp;IF(ROUND($AB277*100,2)=0,"0.00",TEXT($AB277*100,"+0.00;-0.00"))&amp;" points)")),IF(LEFT($Y277,5)="worse","short of ","ahead of ")&amp;IF($V277,"its band","the book")&amp;" by "&amp;TEXT(ABS($AB277)*100,"0.00")&amp;" points"&amp;IF($Z277="",""," ($"&amp;TEXT(ABS($Z277),"#,##0")&amp;")")&amp;IF(RIGHT($Y277,15)="not significant"," (not significant)","")))</f>
        <v/>
      </c>
      <c r="AE277">
        <f>IF($V277,IF($S277="","",$S277),IF($R277="","",$R277))</f>
        <v/>
      </c>
      <c r="AF277">
        <f>IF($V277,IF($U277="","",$U277),IF($T277="","",$T277))</f>
        <v/>
      </c>
      <c r="AG277">
        <f>IF($V277,IF($O277="","",$O277),IF($P277="","",$P277))</f>
        <v/>
      </c>
      <c r="AH277" t="n">
        <v>0.1443980594250918</v>
      </c>
      <c r="AI277">
        <f>IF($Y277="worse","Yes",IF($Y277="worse, not significant","Not sure",IF(OR($Y277="too few losses to test",$Y277="too few loans to test"),"Too few losses",IF($Y277="","","No"))))</f>
        <v/>
      </c>
      <c r="AJ277">
        <f>IF($AA277="yes","Yes",IF($AA277="","","No"))</f>
        <v/>
      </c>
    </row>
    <row r="278">
      <c r="A278" t="inlineStr">
        <is>
          <t>grids</t>
        </is>
      </c>
      <c r="B278" t="inlineStr">
        <is>
          <t>ORIG_BAL x CHANNEL</t>
        </is>
      </c>
      <c r="C278" t="inlineStr">
        <is>
          <t>49,152 - 59,984</t>
        </is>
      </c>
      <c r="D278" t="inlineStr">
        <is>
          <t>Online</t>
        </is>
      </c>
      <c r="E278" t="inlineStr">
        <is>
          <t>contribution_rate</t>
        </is>
      </c>
      <c r="F278" t="inlineStr">
        <is>
          <t>Contribution before losses per booked dollar</t>
        </is>
      </c>
      <c r="G278" t="n">
        <v>565</v>
      </c>
      <c r="H278" t="n">
        <v>30795102.91000002</v>
      </c>
      <c r="I278" t="b">
        <v>0</v>
      </c>
      <c r="J278" t="b">
        <v>0</v>
      </c>
      <c r="K278" t="n">
        <v>0.01064440883487072</v>
      </c>
      <c r="L278" t="n">
        <v>0.09884011598840116</v>
      </c>
      <c r="M278" t="n">
        <v>0.02006113586139779</v>
      </c>
      <c r="N278" t="n">
        <v>0.004799520047995201</v>
      </c>
      <c r="O278" t="n">
        <v>-327795.6654859576</v>
      </c>
      <c r="P278" t="n">
        <v>-617784.7433432369</v>
      </c>
      <c r="Q278">
        <f>'_live'!$C$24</f>
        <v/>
      </c>
      <c r="R278" t="inlineStr">
        <is>
          <t>shuffled: 658 of 10,000</t>
        </is>
      </c>
      <c r="S278" t="inlineStr">
        <is>
          <t>shuffled: 15 of 10,000</t>
        </is>
      </c>
      <c r="T278" t="n">
        <v>0.168322071521015</v>
      </c>
      <c r="U278" t="n">
        <v>0.158905344494488</v>
      </c>
      <c r="V278">
        <f>AND(judged_band,NOT($J278))</f>
        <v/>
      </c>
      <c r="W278">
        <f>IF($K278="","",IF(profit_kind="test",IF(OR(NOT(AND(ISNUMBER($L278),$L278&lt;significance_bar)),$K278=0),"in line",IF($K278&lt;0,"worse","better")),IF(OR($K278=0,IF(profit_kind="points",ABS($K278),ABS($K278*$H278))&lt;profit_line*(1-1E-9)),"in line",IF(AND(ISNUMBER($L278),$L278&lt;significance_bar),IF($K278&lt;0,"worse","better"),IF($K278&lt;0,"worse, not significant","better, not significant")))))</f>
        <v/>
      </c>
      <c r="X278">
        <f>IF($M278="","",IF(profit_kind="test",IF(OR(NOT(AND(ISNUMBER($N278),$N278&lt;significance_bar)),$M278=0),"in line",IF($M278&lt;0,"worse","better")),IF(OR($M278=0,IF(profit_kind="points",ABS($M278),ABS($M278*$H278))&lt;profit_line*(1-1E-9)),"in line",IF(AND(ISNUMBER($N278),$N278&lt;significance_bar),IF($M278&lt;0,"worse","better"),IF($M278&lt;0,"worse, not significant","better, not significant")))))</f>
        <v/>
      </c>
      <c r="Y278">
        <f>IF($V278,$X278,$W278)</f>
        <v/>
      </c>
      <c r="Z278">
        <f>IF($V278,IF($P278="","",$P278),IF($O278="","",$O278))</f>
        <v/>
      </c>
      <c r="AA278">
        <f>IF(OR($Q278="",$Z278=""),"",IF(AND($Z278&gt;0,$Z278&gt;=$Q278),"yes","below the line"))</f>
        <v/>
      </c>
      <c r="AB278">
        <f>IF($V278,IF($M278="","",$M278),IF($K278="","",$K278))</f>
        <v/>
      </c>
      <c r="AC278">
        <f>IF($V278,IF($N278="","",$N278),IF($L278="","",$L278))</f>
        <v/>
      </c>
      <c r="AD278">
        <f>IF($Y278="","",IF($Y278="in line",IF(profit_kind="test",IF(ROUND($AB278*100,2)=0,"0.00",TEXT($AB278*100,"+0.00;-0.00"))&amp;" points against "&amp;IF($V278,"its band","the book")&amp;", "&amp;IF($AC278="","not tested","not significant"),IF(profit_kind="points","within "&amp;TEXT(profit_line*100,"0.00")&amp;" points of "&amp;IF($V278,"its band","the book")&amp;" ("&amp;IF(ROUND($AB278*100,2)=0,"0.00",TEXT($AB278*100,"+0.00;-0.00"))&amp;")","within $"&amp;TEXT(profit_line,"#,##0")&amp;" of "&amp;IF($V278,"its band","the book")&amp;" ("&amp;IF(ROUND($AB278*100,2)=0,"0.00",TEXT($AB278*100,"+0.00;-0.00"))&amp;" points)")),IF(LEFT($Y278,5)="worse","short of ","ahead of ")&amp;IF($V278,"its band","the book")&amp;" by "&amp;TEXT(ABS($AB278)*100,"0.00")&amp;" points"&amp;IF($Z278="",""," ($"&amp;TEXT(ABS($Z278),"#,##0")&amp;")")&amp;IF(RIGHT($Y278,15)="not significant"," (not significant)","")))</f>
        <v/>
      </c>
      <c r="AE278">
        <f>IF($V278,IF($S278="","",$S278),IF($R278="","",$R278))</f>
        <v/>
      </c>
      <c r="AF278">
        <f>IF($V278,IF($U278="","",$U278),IF($T278="","",$T278))</f>
        <v/>
      </c>
      <c r="AG278">
        <f>IF($V278,IF($O278="","",$O278),IF($P278="","",$P278))</f>
        <v/>
      </c>
      <c r="AH278" t="n">
        <v>0.1789664803558857</v>
      </c>
      <c r="AI278">
        <f>IF($Y278="worse","Yes",IF($Y278="worse, not significant","Not sure",IF(OR($Y278="too few losses to test",$Y278="too few loans to test"),"Too few losses",IF($Y278="","","No"))))</f>
        <v/>
      </c>
      <c r="AJ278">
        <f>IF($AA278="yes","Yes",IF($AA278="","","No"))</f>
        <v/>
      </c>
    </row>
    <row r="279">
      <c r="A279" t="inlineStr">
        <is>
          <t>grids</t>
        </is>
      </c>
      <c r="B279" t="inlineStr">
        <is>
          <t>ORIG_BAL x CHANNEL</t>
        </is>
      </c>
      <c r="C279" t="inlineStr">
        <is>
          <t>26,324 - 37,950</t>
        </is>
      </c>
      <c r="D279" t="inlineStr">
        <is>
          <t>Online</t>
        </is>
      </c>
      <c r="E279" t="inlineStr">
        <is>
          <t>outcome_loans</t>
        </is>
      </c>
      <c r="F279" t="inlineStr">
        <is>
          <t>Outcome, share of loans</t>
        </is>
      </c>
      <c r="G279" t="n">
        <v>528</v>
      </c>
      <c r="H279" t="n">
        <v>528</v>
      </c>
      <c r="I279" t="b">
        <v>0</v>
      </c>
      <c r="J279" t="b">
        <v>0</v>
      </c>
      <c r="K279" t="n">
        <v>0.8737330422579135</v>
      </c>
      <c r="L279" t="n">
        <v>0.7740828447077041</v>
      </c>
      <c r="M279" t="n">
        <v>0.9858722358722358</v>
      </c>
      <c r="N279" t="n">
        <v>0.9421531292180777</v>
      </c>
      <c r="O279" t="n">
        <v>-5.20251639673404</v>
      </c>
      <c r="P279" t="n">
        <v>-0.515887850467287</v>
      </c>
      <c r="Q279">
        <f>'_live'!$C$20</f>
        <v/>
      </c>
      <c r="R279" t="inlineStr">
        <is>
          <t>z test</t>
        </is>
      </c>
      <c r="S279" t="inlineStr">
        <is>
          <t>z test</t>
        </is>
      </c>
      <c r="T279" t="n">
        <v>0.07803506893320841</v>
      </c>
      <c r="U279" t="n">
        <v>0.06915887850467289</v>
      </c>
      <c r="V279">
        <f>AND(judged_band,NOT($J279))</f>
        <v/>
      </c>
      <c r="W279">
        <f>IF($K279="","",IF($I279,"too few losses to test",IF(AND($K279&gt;better_at,$K279&lt;worse_at),"in line",IF($K279&gt;=worse_at,IF(AND(ISNUMBER($L279),$L279&lt;significance_bar),"worse","worse, not significant"),IF(AND(ISNUMBER($L279),$L279&lt;significance_bar),"better","better, not significant")))))</f>
        <v/>
      </c>
      <c r="X279">
        <f>IF($M279="","",IF($I279,"too few losses to test",IF(AND($M279&gt;better_at,$M279&lt;worse_at),"in line",IF($M279&gt;=worse_at,IF(AND(ISNUMBER($N279),$N279&lt;significance_bar),"worse","worse, not significant"),IF(AND(ISNUMBER($N279),$N279&lt;significance_bar),"better","better, not significant")))))</f>
        <v/>
      </c>
      <c r="Y279">
        <f>IF($V279,$X279,$W279)</f>
        <v/>
      </c>
      <c r="Z279">
        <f>IF($V279,IF($P279="","",$P279),IF($O279="","",$O279))</f>
        <v/>
      </c>
      <c r="AA279">
        <f>IF(OR($Q279="",$Z279=""),"",IF(AND($Z279&gt;0,$Z279&gt;=$Q279),"yes","below the line"))</f>
        <v/>
      </c>
      <c r="AB279">
        <f>IF($V279,IF($M279="","",$M279),IF($K279="","",$K279))</f>
        <v/>
      </c>
      <c r="AC279">
        <f>IF($V279,IF($N279="","",$N279),IF($L279="","",$L279))</f>
        <v/>
      </c>
      <c r="AD279">
        <f>$Y279</f>
        <v/>
      </c>
      <c r="AE279">
        <f>IF($V279,IF($S279="","",$S279),IF($R279="","",$R279))</f>
        <v/>
      </c>
      <c r="AF279">
        <f>IF($V279,IF($U279="","",$U279),IF($T279="","",$T279))</f>
        <v/>
      </c>
      <c r="AG279">
        <f>IF($V279,IF($O279="","",$O279),IF($P279="","",$P279))</f>
        <v/>
      </c>
      <c r="AH279" t="n">
        <v>0.06818181818181818</v>
      </c>
      <c r="AI279">
        <f>IF($Y279="worse","Yes",IF($Y279="worse, not significant","Not sure",IF(OR($Y279="too few losses to test",$Y279="too few loans to test"),"Too few losses",IF($Y279="","","No"))))</f>
        <v/>
      </c>
      <c r="AJ279">
        <f>IF($AA279="yes","Yes",IF($AA279="","","No"))</f>
        <v/>
      </c>
    </row>
    <row r="280">
      <c r="A280" t="inlineStr">
        <is>
          <t>grids</t>
        </is>
      </c>
      <c r="B280" t="inlineStr">
        <is>
          <t>ORIG_BAL x CHANNEL</t>
        </is>
      </c>
      <c r="C280" t="inlineStr">
        <is>
          <t>26,324 - 37,950</t>
        </is>
      </c>
      <c r="D280" t="inlineStr">
        <is>
          <t>Online</t>
        </is>
      </c>
      <c r="E280" t="inlineStr">
        <is>
          <t>outcome_booked</t>
        </is>
      </c>
      <c r="F280" t="inlineStr">
        <is>
          <t>Outcome, share of booked dollars</t>
        </is>
      </c>
      <c r="G280" t="n">
        <v>528</v>
      </c>
      <c r="H280" t="n">
        <v>16906793.00999999</v>
      </c>
      <c r="I280" t="b">
        <v>0</v>
      </c>
      <c r="J280" t="b">
        <v>0</v>
      </c>
      <c r="K280" t="n">
        <v>0.900818391644995</v>
      </c>
      <c r="L280" t="n">
        <v>0.8248021351710982</v>
      </c>
      <c r="M280" t="n">
        <v>0.9918874669102062</v>
      </c>
      <c r="N280" t="n">
        <v>0.9655034496550345</v>
      </c>
      <c r="O280" t="n">
        <v>-126297.0123051393</v>
      </c>
      <c r="P280" t="n">
        <v>-9381.953005824937</v>
      </c>
      <c r="Q280">
        <f>'_live'!$C$21</f>
        <v/>
      </c>
      <c r="R280" t="inlineStr">
        <is>
          <t>shuffled: 5,729 of 10,000</t>
        </is>
      </c>
      <c r="S280" t="inlineStr">
        <is>
          <t>shuffled: 9,655 of 10,000</t>
        </is>
      </c>
      <c r="T280" t="n">
        <v>0.07531833219652929</v>
      </c>
      <c r="U280" t="n">
        <v>0.06840306096619238</v>
      </c>
      <c r="V280">
        <f>AND(judged_band,NOT($J280))</f>
        <v/>
      </c>
      <c r="W280">
        <f>IF($K280="","",IF($I280,"too few losses to test",IF(AND($K280&gt;better_at,$K280&lt;worse_at),"in line",IF($K280&gt;=worse_at,IF(AND(ISNUMBER($L280),$L280&lt;significance_bar),"worse","worse, not significant"),IF(AND(ISNUMBER($L280),$L280&lt;significance_bar),"better","better, not significant")))))</f>
        <v/>
      </c>
      <c r="X280">
        <f>IF($M280="","",IF($I280,"too few losses to test",IF(AND($M280&gt;better_at,$M280&lt;worse_at),"in line",IF($M280&gt;=worse_at,IF(AND(ISNUMBER($N280),$N280&lt;significance_bar),"worse","worse, not significant"),IF(AND(ISNUMBER($N280),$N280&lt;significance_bar),"better","better, not significant")))))</f>
        <v/>
      </c>
      <c r="Y280">
        <f>IF($V280,$X280,$W280)</f>
        <v/>
      </c>
      <c r="Z280">
        <f>IF($V280,IF($P280="","",$P280),IF($O280="","",$O280))</f>
        <v/>
      </c>
      <c r="AA280">
        <f>IF(OR($Q280="",$Z280=""),"",IF(AND($Z280&gt;0,$Z280&gt;=$Q280),"yes","below the line"))</f>
        <v/>
      </c>
      <c r="AB280">
        <f>IF($V280,IF($M280="","",$M280),IF($K280="","",$K280))</f>
        <v/>
      </c>
      <c r="AC280">
        <f>IF($V280,IF($N280="","",$N280),IF($L280="","",$L280))</f>
        <v/>
      </c>
      <c r="AD280">
        <f>$Y280</f>
        <v/>
      </c>
      <c r="AE280">
        <f>IF($V280,IF($S280="","",$S280),IF($R280="","",$R280))</f>
        <v/>
      </c>
      <c r="AF280">
        <f>IF($V280,IF($U280="","",$U280),IF($T280="","",$T280))</f>
        <v/>
      </c>
      <c r="AG280">
        <f>IF($V280,IF($O280="","",$O280),IF($P280="","",$P280))</f>
        <v/>
      </c>
      <c r="AH280" t="n">
        <v>0.06784813887066096</v>
      </c>
      <c r="AI280">
        <f>IF($Y280="worse","Yes",IF($Y280="worse, not significant","Not sure",IF(OR($Y280="too few losses to test",$Y280="too few loans to test"),"Too few losses",IF($Y280="","","No"))))</f>
        <v/>
      </c>
      <c r="AJ280">
        <f>IF($AA280="yes","Yes",IF($AA280="","","No"))</f>
        <v/>
      </c>
    </row>
    <row r="281">
      <c r="A281" t="inlineStr">
        <is>
          <t>grids</t>
        </is>
      </c>
      <c r="B281" t="inlineStr">
        <is>
          <t>ORIG_BAL x CHANNEL</t>
        </is>
      </c>
      <c r="C281" t="inlineStr">
        <is>
          <t>26,324 - 37,950</t>
        </is>
      </c>
      <c r="D281" t="inlineStr">
        <is>
          <t>Online</t>
        </is>
      </c>
      <c r="E281" t="inlineStr">
        <is>
          <t>gco_rate</t>
        </is>
      </c>
      <c r="F281" t="inlineStr">
        <is>
          <t>GCO per booked dollar</t>
        </is>
      </c>
      <c r="G281" t="n">
        <v>528</v>
      </c>
      <c r="H281" t="n">
        <v>16906793.00999999</v>
      </c>
      <c r="I281" t="b">
        <v>0</v>
      </c>
      <c r="J281" t="b">
        <v>0</v>
      </c>
      <c r="K281" t="n">
        <v>0.8661512575543423</v>
      </c>
      <c r="L281" t="n">
        <v>0.7605906076059061</v>
      </c>
      <c r="M281" t="n">
        <v>0.9570143539520817</v>
      </c>
      <c r="N281" t="n">
        <v>0.8321167883211679</v>
      </c>
      <c r="O281" t="n">
        <v>-94983.78206909308</v>
      </c>
      <c r="P281" t="n">
        <v>-27607.93412718887</v>
      </c>
      <c r="Q281">
        <f>'_live'!$C$22</f>
        <v/>
      </c>
      <c r="R281" t="inlineStr">
        <is>
          <t>shuffled: 4,563 of 10,000</t>
        </is>
      </c>
      <c r="S281" t="inlineStr">
        <is>
          <t>shuffled: 8,301 of 10,000</t>
        </is>
      </c>
      <c r="T281" t="n">
        <v>0.04197337849048957</v>
      </c>
      <c r="U281" t="n">
        <v>0.03798824376375264</v>
      </c>
      <c r="V281">
        <f>AND(judged_band,NOT($J281))</f>
        <v/>
      </c>
      <c r="W281">
        <f>IF($K281="","",IF($I281,"too few losses to test",IF(AND($K281&gt;better_at,$K281&lt;worse_at),"in line",IF($K281&gt;=worse_at,IF(AND(ISNUMBER($L281),$L281&lt;significance_bar),"worse","worse, not significant"),IF(AND(ISNUMBER($L281),$L281&lt;significance_bar),"better","better, not significant")))))</f>
        <v/>
      </c>
      <c r="X281">
        <f>IF($M281="","",IF($I281,"too few losses to test",IF(AND($M281&gt;better_at,$M281&lt;worse_at),"in line",IF($M281&gt;=worse_at,IF(AND(ISNUMBER($N281),$N281&lt;significance_bar),"worse","worse, not significant"),IF(AND(ISNUMBER($N281),$N281&lt;significance_bar),"better","better, not significant")))))</f>
        <v/>
      </c>
      <c r="Y281">
        <f>IF($V281,$X281,$W281)</f>
        <v/>
      </c>
      <c r="Z281">
        <f>IF($V281,IF($P281="","",$P281),IF($O281="","",$O281))</f>
        <v/>
      </c>
      <c r="AA281">
        <f>IF(OR($Q281="",$Z281=""),"",IF(AND($Z281&gt;0,$Z281&gt;=$Q281),"yes","below the line"))</f>
        <v/>
      </c>
      <c r="AB281">
        <f>IF($V281,IF($M281="","",$M281),IF($K281="","",$K281))</f>
        <v/>
      </c>
      <c r="AC281">
        <f>IF($V281,IF($N281="","",$N281),IF($L281="","",$L281))</f>
        <v/>
      </c>
      <c r="AD281">
        <f>$Y281</f>
        <v/>
      </c>
      <c r="AE281">
        <f>IF($V281,IF($S281="","",$S281),IF($R281="","",$R281))</f>
        <v/>
      </c>
      <c r="AF281">
        <f>IF($V281,IF($U281="","",$U281),IF($T281="","",$T281))</f>
        <v/>
      </c>
      <c r="AG281">
        <f>IF($V281,IF($O281="","",$O281),IF($P281="","",$P281))</f>
        <v/>
      </c>
      <c r="AH281" t="n">
        <v>0.03635529456334192</v>
      </c>
      <c r="AI281">
        <f>IF($Y281="worse","Yes",IF($Y281="worse, not significant","Not sure",IF(OR($Y281="too few losses to test",$Y281="too few loans to test"),"Too few losses",IF($Y281="","","No"))))</f>
        <v/>
      </c>
      <c r="AJ281">
        <f>IF($AA281="yes","Yes",IF($AA281="","","No"))</f>
        <v/>
      </c>
    </row>
    <row r="282">
      <c r="A282" t="inlineStr">
        <is>
          <t>grids</t>
        </is>
      </c>
      <c r="B282" t="inlineStr">
        <is>
          <t>ORIG_BAL x CHANNEL</t>
        </is>
      </c>
      <c r="C282" t="inlineStr">
        <is>
          <t>26,324 - 37,950</t>
        </is>
      </c>
      <c r="D282" t="inlineStr">
        <is>
          <t>Online</t>
        </is>
      </c>
      <c r="E282" t="inlineStr">
        <is>
          <t>ranr_rate</t>
        </is>
      </c>
      <c r="F282" t="inlineStr">
        <is>
          <t>Profit after losses: RANR per booked dollar</t>
        </is>
      </c>
      <c r="G282" t="n">
        <v>528</v>
      </c>
      <c r="H282" t="n">
        <v>16906793.00999999</v>
      </c>
      <c r="I282" t="b">
        <v>0</v>
      </c>
      <c r="J282" t="b">
        <v>0</v>
      </c>
      <c r="K282" t="n">
        <v>0.02428127240150355</v>
      </c>
      <c r="L282" t="n">
        <v>0.0414958504149585</v>
      </c>
      <c r="M282" t="n">
        <v>0.02889118422710675</v>
      </c>
      <c r="N282" t="n">
        <v>0.014998500149985</v>
      </c>
      <c r="O282" t="n">
        <v>-410518.4465116458</v>
      </c>
      <c r="P282" t="n">
        <v>-488457.2715414704</v>
      </c>
      <c r="Q282">
        <f>'_live'!$C$23</f>
        <v/>
      </c>
      <c r="R282" t="inlineStr">
        <is>
          <t>shuffled: 82 of 10,000</t>
        </is>
      </c>
      <c r="S282" t="inlineStr">
        <is>
          <t>shuffled: 29 of 10,000</t>
        </is>
      </c>
      <c r="T282" t="n">
        <v>0.1263993148922069</v>
      </c>
      <c r="U282" t="n">
        <v>0.1217894030666037</v>
      </c>
      <c r="V282">
        <f>AND(judged_band,NOT($J282))</f>
        <v/>
      </c>
      <c r="W282">
        <f>IF($K282="","",IF(profit_kind="test",IF(OR(NOT(AND(ISNUMBER($L282),$L282&lt;significance_bar)),$K282=0),"in line",IF($K282&lt;0,"worse","better")),IF(OR($K282=0,IF(profit_kind="points",ABS($K282),ABS($K282*$H282))&lt;profit_line*(1-1E-9)),"in line",IF(AND(ISNUMBER($L282),$L282&lt;significance_bar),IF($K282&lt;0,"worse","better"),IF($K282&lt;0,"worse, not significant","better, not significant")))))</f>
        <v/>
      </c>
      <c r="X282">
        <f>IF($M282="","",IF(profit_kind="test",IF(OR(NOT(AND(ISNUMBER($N282),$N282&lt;significance_bar)),$M282=0),"in line",IF($M282&lt;0,"worse","better")),IF(OR($M282=0,IF(profit_kind="points",ABS($M282),ABS($M282*$H282))&lt;profit_line*(1-1E-9)),"in line",IF(AND(ISNUMBER($N282),$N282&lt;significance_bar),IF($M282&lt;0,"worse","better"),IF($M282&lt;0,"worse, not significant","better, not significant")))))</f>
        <v/>
      </c>
      <c r="Y282">
        <f>IF($V282,$X282,$W282)</f>
        <v/>
      </c>
      <c r="Z282">
        <f>IF($V282,IF($P282="","",$P282),IF($O282="","",$O282))</f>
        <v/>
      </c>
      <c r="AA282">
        <f>IF(OR($Q282="",$Z282=""),"",IF(AND($Z282&gt;0,$Z282&gt;=$Q282),"yes","below the line"))</f>
        <v/>
      </c>
      <c r="AB282">
        <f>IF($V282,IF($M282="","",$M282),IF($K282="","",$K282))</f>
        <v/>
      </c>
      <c r="AC282">
        <f>IF($V282,IF($N282="","",$N282),IF($L282="","",$L282))</f>
        <v/>
      </c>
      <c r="AD282">
        <f>IF($Y282="","",IF($Y282="in line",IF(profit_kind="test",IF(ROUND($AB282*100,2)=0,"0.00",TEXT($AB282*100,"+0.00;-0.00"))&amp;" points against "&amp;IF($V282,"its band","the book")&amp;", "&amp;IF($AC282="","not tested","not significant"),IF(profit_kind="points","within "&amp;TEXT(profit_line*100,"0.00")&amp;" points of "&amp;IF($V282,"its band","the book")&amp;" ("&amp;IF(ROUND($AB282*100,2)=0,"0.00",TEXT($AB282*100,"+0.00;-0.00"))&amp;")","within $"&amp;TEXT(profit_line,"#,##0")&amp;" of "&amp;IF($V282,"its band","the book")&amp;" ("&amp;IF(ROUND($AB282*100,2)=0,"0.00",TEXT($AB282*100,"+0.00;-0.00"))&amp;" points)")),IF(LEFT($Y282,5)="worse","short of ","ahead of ")&amp;IF($V282,"its band","the book")&amp;" by "&amp;TEXT(ABS($AB282)*100,"0.00")&amp;" points"&amp;IF($Z282="",""," ($"&amp;TEXT(ABS($Z282),"#,##0")&amp;")")&amp;IF(RIGHT($Y282,15)="not significant"," (not significant)","")))</f>
        <v/>
      </c>
      <c r="AE282">
        <f>IF($V282,IF($S282="","",$S282),IF($R282="","",$R282))</f>
        <v/>
      </c>
      <c r="AF282">
        <f>IF($V282,IF($U282="","",$U282),IF($T282="","",$T282))</f>
        <v/>
      </c>
      <c r="AG282">
        <f>IF($V282,IF($O282="","",$O282),IF($P282="","",$P282))</f>
        <v/>
      </c>
      <c r="AH282" t="n">
        <v>0.1506805872937105</v>
      </c>
      <c r="AI282">
        <f>IF($Y282="worse","Yes",IF($Y282="worse, not significant","Not sure",IF(OR($Y282="too few losses to test",$Y282="too few loans to test"),"Too few losses",IF($Y282="","","No"))))</f>
        <v/>
      </c>
      <c r="AJ282">
        <f>IF($AA282="yes","Yes",IF($AA282="","","No"))</f>
        <v/>
      </c>
    </row>
    <row r="283">
      <c r="A283" t="inlineStr">
        <is>
          <t>grids</t>
        </is>
      </c>
      <c r="B283" t="inlineStr">
        <is>
          <t>ORIG_BAL x CHANNEL</t>
        </is>
      </c>
      <c r="C283" t="inlineStr">
        <is>
          <t>26,324 - 37,950</t>
        </is>
      </c>
      <c r="D283" t="inlineStr">
        <is>
          <t>Online</t>
        </is>
      </c>
      <c r="E283" t="inlineStr">
        <is>
          <t>contribution_rate</t>
        </is>
      </c>
      <c r="F283" t="inlineStr">
        <is>
          <t>Contribution before losses per booked dollar</t>
        </is>
      </c>
      <c r="G283" t="n">
        <v>528</v>
      </c>
      <c r="H283" t="n">
        <v>16906793.00999999</v>
      </c>
      <c r="I283" t="b">
        <v>0</v>
      </c>
      <c r="J283" t="b">
        <v>0</v>
      </c>
      <c r="K283" t="n">
        <v>0.01866651001009503</v>
      </c>
      <c r="L283" t="n">
        <v>0.005999400059994</v>
      </c>
      <c r="M283" t="n">
        <v>0.02725823502669614</v>
      </c>
      <c r="N283" t="n">
        <v>0.0007499250074992502</v>
      </c>
      <c r="O283" t="n">
        <v>-315590.8209597697</v>
      </c>
      <c r="P283" t="n">
        <v>-460849.3374142833</v>
      </c>
      <c r="Q283">
        <f>'_live'!$C$24</f>
        <v/>
      </c>
      <c r="R283" t="inlineStr">
        <is>
          <t>shuffled: 19 of 10,000</t>
        </is>
      </c>
      <c r="S283" t="inlineStr">
        <is>
          <t>shuffled: 0 of 10,000</t>
        </is>
      </c>
      <c r="T283" t="n">
        <v>0.1683693718469574</v>
      </c>
      <c r="U283" t="n">
        <v>0.1597776468303563</v>
      </c>
      <c r="V283">
        <f>AND(judged_band,NOT($J283))</f>
        <v/>
      </c>
      <c r="W283">
        <f>IF($K283="","",IF(profit_kind="test",IF(OR(NOT(AND(ISNUMBER($L283),$L283&lt;significance_bar)),$K283=0),"in line",IF($K283&lt;0,"worse","better")),IF(OR($K283=0,IF(profit_kind="points",ABS($K283),ABS($K283*$H283))&lt;profit_line*(1-1E-9)),"in line",IF(AND(ISNUMBER($L283),$L283&lt;significance_bar),IF($K283&lt;0,"worse","better"),IF($K283&lt;0,"worse, not significant","better, not significant")))))</f>
        <v/>
      </c>
      <c r="X283">
        <f>IF($M283="","",IF(profit_kind="test",IF(OR(NOT(AND(ISNUMBER($N283),$N283&lt;significance_bar)),$M283=0),"in line",IF($M283&lt;0,"worse","better")),IF(OR($M283=0,IF(profit_kind="points",ABS($M283),ABS($M283*$H283))&lt;profit_line*(1-1E-9)),"in line",IF(AND(ISNUMBER($N283),$N283&lt;significance_bar),IF($M283&lt;0,"worse","better"),IF($M283&lt;0,"worse, not significant","better, not significant")))))</f>
        <v/>
      </c>
      <c r="Y283">
        <f>IF($V283,$X283,$W283)</f>
        <v/>
      </c>
      <c r="Z283">
        <f>IF($V283,IF($P283="","",$P283),IF($O283="","",$O283))</f>
        <v/>
      </c>
      <c r="AA283">
        <f>IF(OR($Q283="",$Z283=""),"",IF(AND($Z283&gt;0,$Z283&gt;=$Q283),"yes","below the line"))</f>
        <v/>
      </c>
      <c r="AB283">
        <f>IF($V283,IF($M283="","",$M283),IF($K283="","",$K283))</f>
        <v/>
      </c>
      <c r="AC283">
        <f>IF($V283,IF($N283="","",$N283),IF($L283="","",$L283))</f>
        <v/>
      </c>
      <c r="AD283">
        <f>IF($Y283="","",IF($Y283="in line",IF(profit_kind="test",IF(ROUND($AB283*100,2)=0,"0.00",TEXT($AB283*100,"+0.00;-0.00"))&amp;" points against "&amp;IF($V283,"its band","the book")&amp;", "&amp;IF($AC283="","not tested","not significant"),IF(profit_kind="points","within "&amp;TEXT(profit_line*100,"0.00")&amp;" points of "&amp;IF($V283,"its band","the book")&amp;" ("&amp;IF(ROUND($AB283*100,2)=0,"0.00",TEXT($AB283*100,"+0.00;-0.00"))&amp;")","within $"&amp;TEXT(profit_line,"#,##0")&amp;" of "&amp;IF($V283,"its band","the book")&amp;" ("&amp;IF(ROUND($AB283*100,2)=0,"0.00",TEXT($AB283*100,"+0.00;-0.00"))&amp;" points)")),IF(LEFT($Y283,5)="worse","short of ","ahead of ")&amp;IF($V283,"its band","the book")&amp;" by "&amp;TEXT(ABS($AB283)*100,"0.00")&amp;" points"&amp;IF($Z283="",""," ($"&amp;TEXT(ABS($Z283),"#,##0")&amp;")")&amp;IF(RIGHT($Y283,15)="not significant"," (not significant)","")))</f>
        <v/>
      </c>
      <c r="AE283">
        <f>IF($V283,IF($S283="","",$S283),IF($R283="","",$R283))</f>
        <v/>
      </c>
      <c r="AF283">
        <f>IF($V283,IF($U283="","",$U283),IF($T283="","",$T283))</f>
        <v/>
      </c>
      <c r="AG283">
        <f>IF($V283,IF($O283="","",$O283),IF($P283="","",$P283))</f>
        <v/>
      </c>
      <c r="AH283" t="n">
        <v>0.1870358818570524</v>
      </c>
      <c r="AI283">
        <f>IF($Y283="worse","Yes",IF($Y283="worse, not significant","Not sure",IF(OR($Y283="too few losses to test",$Y283="too few loans to test"),"Too few losses",IF($Y283="","","No"))))</f>
        <v/>
      </c>
      <c r="AJ283">
        <f>IF($AA283="yes","Yes",IF($AA283="","","No"))</f>
        <v/>
      </c>
    </row>
    <row r="284">
      <c r="A284" t="inlineStr">
        <is>
          <t>grids</t>
        </is>
      </c>
      <c r="B284" t="inlineStr">
        <is>
          <t>ORIG_BAL x CHANNEL</t>
        </is>
      </c>
      <c r="C284" t="inlineStr">
        <is>
          <t>49,152 - 59,984</t>
        </is>
      </c>
      <c r="D284" t="inlineStr">
        <is>
          <t>Branch</t>
        </is>
      </c>
      <c r="E284" t="inlineStr">
        <is>
          <t>outcome_loans</t>
        </is>
      </c>
      <c r="F284" t="inlineStr">
        <is>
          <t>Outcome, share of loans</t>
        </is>
      </c>
      <c r="G284" t="n">
        <v>515</v>
      </c>
      <c r="H284" t="n">
        <v>515</v>
      </c>
      <c r="I284" t="b">
        <v>0</v>
      </c>
      <c r="J284" t="b">
        <v>0</v>
      </c>
      <c r="K284" t="n">
        <v>0.5608001563823549</v>
      </c>
      <c r="L284" t="n">
        <v>0.03046017028895739</v>
      </c>
      <c r="M284" t="n">
        <v>0.6057038834951456</v>
      </c>
      <c r="N284" t="n">
        <v>0.1101102245814047</v>
      </c>
      <c r="O284" t="n">
        <v>-18.01282736504542</v>
      </c>
      <c r="P284" t="n">
        <v>-14.97235023041475</v>
      </c>
      <c r="Q284">
        <f>'_live'!$C$20</f>
        <v/>
      </c>
      <c r="R284" t="inlineStr">
        <is>
          <t>z test</t>
        </is>
      </c>
      <c r="S284" t="inlineStr">
        <is>
          <t>z test</t>
        </is>
      </c>
      <c r="T284" t="n">
        <v>0.07963655799037947</v>
      </c>
      <c r="U284" t="n">
        <v>0.07373271889400922</v>
      </c>
      <c r="V284">
        <f>AND(judged_band,NOT($J284))</f>
        <v/>
      </c>
      <c r="W284">
        <f>IF($K284="","",IF($I284,"too few losses to test",IF(AND($K284&gt;better_at,$K284&lt;worse_at),"in line",IF($K284&gt;=worse_at,IF(AND(ISNUMBER($L284),$L284&lt;significance_bar),"worse","worse, not significant"),IF(AND(ISNUMBER($L284),$L284&lt;significance_bar),"better","better, not significant")))))</f>
        <v/>
      </c>
      <c r="X284">
        <f>IF($M284="","",IF($I284,"too few losses to test",IF(AND($M284&gt;better_at,$M284&lt;worse_at),"in line",IF($M284&gt;=worse_at,IF(AND(ISNUMBER($N284),$N284&lt;significance_bar),"worse","worse, not significant"),IF(AND(ISNUMBER($N284),$N284&lt;significance_bar),"better","better, not significant")))))</f>
        <v/>
      </c>
      <c r="Y284">
        <f>IF($V284,$X284,$W284)</f>
        <v/>
      </c>
      <c r="Z284">
        <f>IF($V284,IF($P284="","",$P284),IF($O284="","",$O284))</f>
        <v/>
      </c>
      <c r="AA284">
        <f>IF(OR($Q284="",$Z284=""),"",IF(AND($Z284&gt;0,$Z284&gt;=$Q284),"yes","below the line"))</f>
        <v/>
      </c>
      <c r="AB284">
        <f>IF($V284,IF($M284="","",$M284),IF($K284="","",$K284))</f>
        <v/>
      </c>
      <c r="AC284">
        <f>IF($V284,IF($N284="","",$N284),IF($L284="","",$L284))</f>
        <v/>
      </c>
      <c r="AD284">
        <f>$Y284</f>
        <v/>
      </c>
      <c r="AE284">
        <f>IF($V284,IF($S284="","",$S284),IF($R284="","",$R284))</f>
        <v/>
      </c>
      <c r="AF284">
        <f>IF($V284,IF($U284="","",$U284),IF($T284="","",$T284))</f>
        <v/>
      </c>
      <c r="AG284">
        <f>IF($V284,IF($O284="","",$O284),IF($P284="","",$P284))</f>
        <v/>
      </c>
      <c r="AH284" t="n">
        <v>0.04466019417475728</v>
      </c>
      <c r="AI284">
        <f>IF($Y284="worse","Yes",IF($Y284="worse, not significant","Not sure",IF(OR($Y284="too few losses to test",$Y284="too few loans to test"),"Too few losses",IF($Y284="","","No"))))</f>
        <v/>
      </c>
      <c r="AJ284">
        <f>IF($AA284="yes","Yes",IF($AA284="","","No"))</f>
        <v/>
      </c>
    </row>
    <row r="285">
      <c r="A285" t="inlineStr">
        <is>
          <t>grids</t>
        </is>
      </c>
      <c r="B285" t="inlineStr">
        <is>
          <t>ORIG_BAL x CHANNEL</t>
        </is>
      </c>
      <c r="C285" t="inlineStr">
        <is>
          <t>49,152 - 59,984</t>
        </is>
      </c>
      <c r="D285" t="inlineStr">
        <is>
          <t>Branch</t>
        </is>
      </c>
      <c r="E285" t="inlineStr">
        <is>
          <t>outcome_booked</t>
        </is>
      </c>
      <c r="F285" t="inlineStr">
        <is>
          <t>Outcome, share of booked dollars</t>
        </is>
      </c>
      <c r="G285" t="n">
        <v>515</v>
      </c>
      <c r="H285" t="n">
        <v>28072399.43999999</v>
      </c>
      <c r="I285" t="b">
        <v>0</v>
      </c>
      <c r="J285" t="b">
        <v>0</v>
      </c>
      <c r="K285" t="n">
        <v>0.5747000290335377</v>
      </c>
      <c r="L285" t="n">
        <v>0.08624137586241376</v>
      </c>
      <c r="M285" t="n">
        <v>0.6090248351916299</v>
      </c>
      <c r="N285" t="n">
        <v>0.1064893510648935</v>
      </c>
      <c r="O285" t="n">
        <v>-936739.330766541</v>
      </c>
      <c r="P285" t="n">
        <v>-812603.6893433747</v>
      </c>
      <c r="Q285">
        <f>'_live'!$C$21</f>
        <v/>
      </c>
      <c r="R285" t="inlineStr">
        <is>
          <t>shuffled: 114 of 10,000</t>
        </is>
      </c>
      <c r="S285" t="inlineStr">
        <is>
          <t>shuffled: 280 of 10,000</t>
        </is>
      </c>
      <c r="T285" t="n">
        <v>0.07845919852608586</v>
      </c>
      <c r="U285" t="n">
        <v>0.07403721665423037</v>
      </c>
      <c r="V285">
        <f>AND(judged_band,NOT($J285))</f>
        <v/>
      </c>
      <c r="W285">
        <f>IF($K285="","",IF($I285,"too few losses to test",IF(AND($K285&gt;better_at,$K285&lt;worse_at),"in line",IF($K285&gt;=worse_at,IF(AND(ISNUMBER($L285),$L285&lt;significance_bar),"worse","worse, not significant"),IF(AND(ISNUMBER($L285),$L285&lt;significance_bar),"better","better, not significant")))))</f>
        <v/>
      </c>
      <c r="X285">
        <f>IF($M285="","",IF($I285,"too few losses to test",IF(AND($M285&gt;better_at,$M285&lt;worse_at),"in line",IF($M285&gt;=worse_at,IF(AND(ISNUMBER($N285),$N285&lt;significance_bar),"worse","worse, not significant"),IF(AND(ISNUMBER($N285),$N285&lt;significance_bar),"better","better, not significant")))))</f>
        <v/>
      </c>
      <c r="Y285">
        <f>IF($V285,$X285,$W285)</f>
        <v/>
      </c>
      <c r="Z285">
        <f>IF($V285,IF($P285="","",$P285),IF($O285="","",$O285))</f>
        <v/>
      </c>
      <c r="AA285">
        <f>IF(OR($Q285="",$Z285=""),"",IF(AND($Z285&gt;0,$Z285&gt;=$Q285),"yes","below the line"))</f>
        <v/>
      </c>
      <c r="AB285">
        <f>IF($V285,IF($M285="","",$M285),IF($K285="","",$K285))</f>
        <v/>
      </c>
      <c r="AC285">
        <f>IF($V285,IF($N285="","",$N285),IF($L285="","",$L285))</f>
        <v/>
      </c>
      <c r="AD285">
        <f>$Y285</f>
        <v/>
      </c>
      <c r="AE285">
        <f>IF($V285,IF($S285="","",$S285),IF($R285="","",$R285))</f>
        <v/>
      </c>
      <c r="AF285">
        <f>IF($V285,IF($U285="","",$U285),IF($T285="","",$T285))</f>
        <v/>
      </c>
      <c r="AG285">
        <f>IF($V285,IF($O285="","",$O285),IF($P285="","",$P285))</f>
        <v/>
      </c>
      <c r="AH285" t="n">
        <v>0.04509050367088964</v>
      </c>
      <c r="AI285">
        <f>IF($Y285="worse","Yes",IF($Y285="worse, not significant","Not sure",IF(OR($Y285="too few losses to test",$Y285="too few loans to test"),"Too few losses",IF($Y285="","","No"))))</f>
        <v/>
      </c>
      <c r="AJ285">
        <f>IF($AA285="yes","Yes",IF($AA285="","","No"))</f>
        <v/>
      </c>
    </row>
    <row r="286">
      <c r="A286" t="inlineStr">
        <is>
          <t>grids</t>
        </is>
      </c>
      <c r="B286" t="inlineStr">
        <is>
          <t>ORIG_BAL x CHANNEL</t>
        </is>
      </c>
      <c r="C286" t="inlineStr">
        <is>
          <t>49,152 - 59,984</t>
        </is>
      </c>
      <c r="D286" t="inlineStr">
        <is>
          <t>Branch</t>
        </is>
      </c>
      <c r="E286" t="inlineStr">
        <is>
          <t>gco_rate</t>
        </is>
      </c>
      <c r="F286" t="inlineStr">
        <is>
          <t>GCO per booked dollar</t>
        </is>
      </c>
      <c r="G286" t="n">
        <v>515</v>
      </c>
      <c r="H286" t="n">
        <v>28072399.43999999</v>
      </c>
      <c r="I286" t="b">
        <v>0</v>
      </c>
      <c r="J286" t="b">
        <v>0</v>
      </c>
      <c r="K286" t="n">
        <v>0.5201314509771917</v>
      </c>
      <c r="L286" t="n">
        <v>0.0464953504649535</v>
      </c>
      <c r="M286" t="n">
        <v>0.5491745728203553</v>
      </c>
      <c r="N286" t="n">
        <v>0.07499250074992501</v>
      </c>
      <c r="O286" t="n">
        <v>-591339.5062451428</v>
      </c>
      <c r="P286" t="n">
        <v>-526169.5418941367</v>
      </c>
      <c r="Q286">
        <f>'_live'!$C$22</f>
        <v/>
      </c>
      <c r="R286" t="inlineStr">
        <is>
          <t>shuffled: 61 of 10,000</t>
        </is>
      </c>
      <c r="S286" t="inlineStr">
        <is>
          <t>shuffled: 128 of 10,000</t>
        </is>
      </c>
      <c r="T286" t="n">
        <v>0.0438970234403712</v>
      </c>
      <c r="U286" t="n">
        <v>0.04157552739261454</v>
      </c>
      <c r="V286">
        <f>AND(judged_band,NOT($J286))</f>
        <v/>
      </c>
      <c r="W286">
        <f>IF($K286="","",IF($I286,"too few losses to test",IF(AND($K286&gt;better_at,$K286&lt;worse_at),"in line",IF($K286&gt;=worse_at,IF(AND(ISNUMBER($L286),$L286&lt;significance_bar),"worse","worse, not significant"),IF(AND(ISNUMBER($L286),$L286&lt;significance_bar),"better","better, not significant")))))</f>
        <v/>
      </c>
      <c r="X286">
        <f>IF($M286="","",IF($I286,"too few losses to test",IF(AND($M286&gt;better_at,$M286&lt;worse_at),"in line",IF($M286&gt;=worse_at,IF(AND(ISNUMBER($N286),$N286&lt;significance_bar),"worse","worse, not significant"),IF(AND(ISNUMBER($N286),$N286&lt;significance_bar),"better","better, not significant")))))</f>
        <v/>
      </c>
      <c r="Y286">
        <f>IF($V286,$X286,$W286)</f>
        <v/>
      </c>
      <c r="Z286">
        <f>IF($V286,IF($P286="","",$P286),IF($O286="","",$O286))</f>
        <v/>
      </c>
      <c r="AA286">
        <f>IF(OR($Q286="",$Z286=""),"",IF(AND($Z286&gt;0,$Z286&gt;=$Q286),"yes","below the line"))</f>
        <v/>
      </c>
      <c r="AB286">
        <f>IF($V286,IF($M286="","",$M286),IF($K286="","",$K286))</f>
        <v/>
      </c>
      <c r="AC286">
        <f>IF($V286,IF($N286="","",$N286),IF($L286="","",$L286))</f>
        <v/>
      </c>
      <c r="AD286">
        <f>$Y286</f>
        <v/>
      </c>
      <c r="AE286">
        <f>IF($V286,IF($S286="","",$S286),IF($R286="","",$R286))</f>
        <v/>
      </c>
      <c r="AF286">
        <f>IF($V286,IF($U286="","",$U286),IF($T286="","",$T286))</f>
        <v/>
      </c>
      <c r="AG286">
        <f>IF($V286,IF($O286="","",$O286),IF($P286="","",$P286))</f>
        <v/>
      </c>
      <c r="AH286" t="n">
        <v>0.02283222249562007</v>
      </c>
      <c r="AI286">
        <f>IF($Y286="worse","Yes",IF($Y286="worse, not significant","Not sure",IF(OR($Y286="too few losses to test",$Y286="too few loans to test"),"Too few losses",IF($Y286="","","No"))))</f>
        <v/>
      </c>
      <c r="AJ286">
        <f>IF($AA286="yes","Yes",IF($AA286="","","No"))</f>
        <v/>
      </c>
    </row>
    <row r="287">
      <c r="A287" t="inlineStr">
        <is>
          <t>grids</t>
        </is>
      </c>
      <c r="B287" t="inlineStr">
        <is>
          <t>ORIG_BAL x CHANNEL</t>
        </is>
      </c>
      <c r="C287" t="inlineStr">
        <is>
          <t>49,152 - 59,984</t>
        </is>
      </c>
      <c r="D287" t="inlineStr">
        <is>
          <t>Branch</t>
        </is>
      </c>
      <c r="E287" t="inlineStr">
        <is>
          <t>ranr_rate</t>
        </is>
      </c>
      <c r="F287" t="inlineStr">
        <is>
          <t>Profit after losses: RANR per booked dollar</t>
        </is>
      </c>
      <c r="G287" t="n">
        <v>515</v>
      </c>
      <c r="H287" t="n">
        <v>28072399.43999999</v>
      </c>
      <c r="I287" t="b">
        <v>0</v>
      </c>
      <c r="J287" t="b">
        <v>0</v>
      </c>
      <c r="K287" t="n">
        <v>0.009391886129105853</v>
      </c>
      <c r="L287" t="n">
        <v>0.3501572919631114</v>
      </c>
      <c r="M287" t="n">
        <v>0.008747253105495068</v>
      </c>
      <c r="N287" t="n">
        <v>0.4272072792720727</v>
      </c>
      <c r="O287" t="n">
        <v>-263652.7789112548</v>
      </c>
      <c r="P287" t="n">
        <v>-245556.3831802378</v>
      </c>
      <c r="Q287">
        <f>'_live'!$C$23</f>
        <v/>
      </c>
      <c r="R287" t="inlineStr">
        <is>
          <t>shuffled: 3,034 of 10,000</t>
        </is>
      </c>
      <c r="S287" t="inlineStr">
        <is>
          <t>shuffled: 3,417 of 10,000</t>
        </is>
      </c>
      <c r="T287" t="n">
        <v>0.1269684106877592</v>
      </c>
      <c r="U287" t="n">
        <v>0.12761304371137</v>
      </c>
      <c r="V287">
        <f>AND(judged_band,NOT($J287))</f>
        <v/>
      </c>
      <c r="W287">
        <f>IF($K287="","",IF(profit_kind="test",IF(OR(NOT(AND(ISNUMBER($L287),$L287&lt;significance_bar)),$K287=0),"in line",IF($K287&lt;0,"worse","better")),IF(OR($K287=0,IF(profit_kind="points",ABS($K287),ABS($K287*$H287))&lt;profit_line*(1-1E-9)),"in line",IF(AND(ISNUMBER($L287),$L287&lt;significance_bar),IF($K287&lt;0,"worse","better"),IF($K287&lt;0,"worse, not significant","better, not significant")))))</f>
        <v/>
      </c>
      <c r="X287">
        <f>IF($M287="","",IF(profit_kind="test",IF(OR(NOT(AND(ISNUMBER($N287),$N287&lt;significance_bar)),$M287=0),"in line",IF($M287&lt;0,"worse","better")),IF(OR($M287=0,IF(profit_kind="points",ABS($M287),ABS($M287*$H287))&lt;profit_line*(1-1E-9)),"in line",IF(AND(ISNUMBER($N287),$N287&lt;significance_bar),IF($M287&lt;0,"worse","better"),IF($M287&lt;0,"worse, not significant","better, not significant")))))</f>
        <v/>
      </c>
      <c r="Y287">
        <f>IF($V287,$X287,$W287)</f>
        <v/>
      </c>
      <c r="Z287">
        <f>IF($V287,IF($P287="","",$P287),IF($O287="","",$O287))</f>
        <v/>
      </c>
      <c r="AA287">
        <f>IF(OR($Q287="",$Z287=""),"",IF(AND($Z287&gt;0,$Z287&gt;=$Q287),"yes","below the line"))</f>
        <v/>
      </c>
      <c r="AB287">
        <f>IF($V287,IF($M287="","",$M287),IF($K287="","",$K287))</f>
        <v/>
      </c>
      <c r="AC287">
        <f>IF($V287,IF($N287="","",$N287),IF($L287="","",$L287))</f>
        <v/>
      </c>
      <c r="AD287">
        <f>IF($Y287="","",IF($Y287="in line",IF(profit_kind="test",IF(ROUND($AB287*100,2)=0,"0.00",TEXT($AB287*100,"+0.00;-0.00"))&amp;" points against "&amp;IF($V287,"its band","the book")&amp;", "&amp;IF($AC287="","not tested","not significant"),IF(profit_kind="points","within "&amp;TEXT(profit_line*100,"0.00")&amp;" points of "&amp;IF($V287,"its band","the book")&amp;" ("&amp;IF(ROUND($AB287*100,2)=0,"0.00",TEXT($AB287*100,"+0.00;-0.00"))&amp;")","within $"&amp;TEXT(profit_line,"#,##0")&amp;" of "&amp;IF($V287,"its band","the book")&amp;" ("&amp;IF(ROUND($AB287*100,2)=0,"0.00",TEXT($AB287*100,"+0.00;-0.00"))&amp;" points)")),IF(LEFT($Y287,5)="worse","short of ","ahead of ")&amp;IF($V287,"its band","the book")&amp;" by "&amp;TEXT(ABS($AB287)*100,"0.00")&amp;" points"&amp;IF($Z287="",""," ($"&amp;TEXT(ABS($Z287),"#,##0")&amp;")")&amp;IF(RIGHT($Y287,15)="not significant"," (not significant)","")))</f>
        <v/>
      </c>
      <c r="AE287">
        <f>IF($V287,IF($S287="","",$S287),IF($R287="","",$R287))</f>
        <v/>
      </c>
      <c r="AF287">
        <f>IF($V287,IF($U287="","",$U287),IF($T287="","",$T287))</f>
        <v/>
      </c>
      <c r="AG287">
        <f>IF($V287,IF($O287="","",$O287),IF($P287="","",$P287))</f>
        <v/>
      </c>
      <c r="AH287" t="n">
        <v>0.1363602968168651</v>
      </c>
      <c r="AI287">
        <f>IF($Y287="worse","Yes",IF($Y287="worse, not significant","Not sure",IF(OR($Y287="too few losses to test",$Y287="too few loans to test"),"Too few losses",IF($Y287="","","No"))))</f>
        <v/>
      </c>
      <c r="AJ287">
        <f>IF($AA287="yes","Yes",IF($AA287="","","No"))</f>
        <v/>
      </c>
    </row>
    <row r="288">
      <c r="A288" t="inlineStr">
        <is>
          <t>grids</t>
        </is>
      </c>
      <c r="B288" t="inlineStr">
        <is>
          <t>ORIG_BAL x CHANNEL</t>
        </is>
      </c>
      <c r="C288" t="inlineStr">
        <is>
          <t>49,152 - 59,984</t>
        </is>
      </c>
      <c r="D288" t="inlineStr">
        <is>
          <t>Branch</t>
        </is>
      </c>
      <c r="E288" t="inlineStr">
        <is>
          <t>contribution_rate</t>
        </is>
      </c>
      <c r="F288" t="inlineStr">
        <is>
          <t>Contribution before losses per booked dollar</t>
        </is>
      </c>
      <c r="G288" t="n">
        <v>515</v>
      </c>
      <c r="H288" t="n">
        <v>28072399.43999999</v>
      </c>
      <c r="I288" t="b">
        <v>0</v>
      </c>
      <c r="J288" t="b">
        <v>0</v>
      </c>
      <c r="K288" t="n">
        <v>-0.01166953021264241</v>
      </c>
      <c r="L288" t="n">
        <v>0.09884011598840116</v>
      </c>
      <c r="M288" t="n">
        <v>-0.009996051791499372</v>
      </c>
      <c r="N288" t="n">
        <v>0.1367170975210171</v>
      </c>
      <c r="O288" t="n">
        <v>327591.7134064464</v>
      </c>
      <c r="P288" t="n">
        <v>280613.1587138977</v>
      </c>
      <c r="Q288">
        <f>'_live'!$C$24</f>
        <v/>
      </c>
      <c r="R288" t="inlineStr">
        <is>
          <t>shuffled: 544 of 10,000</t>
        </is>
      </c>
      <c r="S288" t="inlineStr">
        <is>
          <t>shuffled: 1,184 of 10,000</t>
        </is>
      </c>
      <c r="T288" t="n">
        <v>0.1708620495251276</v>
      </c>
      <c r="U288" t="n">
        <v>0.1691885711039846</v>
      </c>
      <c r="V288">
        <f>AND(judged_band,NOT($J288))</f>
        <v/>
      </c>
      <c r="W288">
        <f>IF($K288="","",IF(profit_kind="test",IF(OR(NOT(AND(ISNUMBER($L288),$L288&lt;significance_bar)),$K288=0),"in line",IF($K288&lt;0,"worse","better")),IF(OR($K288=0,IF(profit_kind="points",ABS($K288),ABS($K288*$H288))&lt;profit_line*(1-1E-9)),"in line",IF(AND(ISNUMBER($L288),$L288&lt;significance_bar),IF($K288&lt;0,"worse","better"),IF($K288&lt;0,"worse, not significant","better, not significant")))))</f>
        <v/>
      </c>
      <c r="X288">
        <f>IF($M288="","",IF(profit_kind="test",IF(OR(NOT(AND(ISNUMBER($N288),$N288&lt;significance_bar)),$M288=0),"in line",IF($M288&lt;0,"worse","better")),IF(OR($M288=0,IF(profit_kind="points",ABS($M288),ABS($M288*$H288))&lt;profit_line*(1-1E-9)),"in line",IF(AND(ISNUMBER($N288),$N288&lt;significance_bar),IF($M288&lt;0,"worse","better"),IF($M288&lt;0,"worse, not significant","better, not significant")))))</f>
        <v/>
      </c>
      <c r="Y288">
        <f>IF($V288,$X288,$W288)</f>
        <v/>
      </c>
      <c r="Z288">
        <f>IF($V288,IF($P288="","",$P288),IF($O288="","",$O288))</f>
        <v/>
      </c>
      <c r="AA288">
        <f>IF(OR($Q288="",$Z288=""),"",IF(AND($Z288&gt;0,$Z288&gt;=$Q288),"yes","below the line"))</f>
        <v/>
      </c>
      <c r="AB288">
        <f>IF($V288,IF($M288="","",$M288),IF($K288="","",$K288))</f>
        <v/>
      </c>
      <c r="AC288">
        <f>IF($V288,IF($N288="","",$N288),IF($L288="","",$L288))</f>
        <v/>
      </c>
      <c r="AD288">
        <f>IF($Y288="","",IF($Y288="in line",IF(profit_kind="test",IF(ROUND($AB288*100,2)=0,"0.00",TEXT($AB288*100,"+0.00;-0.00"))&amp;" points against "&amp;IF($V288,"its band","the book")&amp;", "&amp;IF($AC288="","not tested","not significant"),IF(profit_kind="points","within "&amp;TEXT(profit_line*100,"0.00")&amp;" points of "&amp;IF($V288,"its band","the book")&amp;" ("&amp;IF(ROUND($AB288*100,2)=0,"0.00",TEXT($AB288*100,"+0.00;-0.00"))&amp;")","within $"&amp;TEXT(profit_line,"#,##0")&amp;" of "&amp;IF($V288,"its band","the book")&amp;" ("&amp;IF(ROUND($AB288*100,2)=0,"0.00",TEXT($AB288*100,"+0.00;-0.00"))&amp;" points)")),IF(LEFT($Y288,5)="worse","short of ","ahead of ")&amp;IF($V288,"its band","the book")&amp;" by "&amp;TEXT(ABS($AB288)*100,"0.00")&amp;" points"&amp;IF($Z288="",""," ($"&amp;TEXT(ABS($Z288),"#,##0")&amp;")")&amp;IF(RIGHT($Y288,15)="not significant"," (not significant)","")))</f>
        <v/>
      </c>
      <c r="AE288">
        <f>IF($V288,IF($S288="","",$S288),IF($R288="","",$R288))</f>
        <v/>
      </c>
      <c r="AF288">
        <f>IF($V288,IF($U288="","",$U288),IF($T288="","",$T288))</f>
        <v/>
      </c>
      <c r="AG288">
        <f>IF($V288,IF($O288="","",$O288),IF($P288="","",$P288))</f>
        <v/>
      </c>
      <c r="AH288" t="n">
        <v>0.1591925193124852</v>
      </c>
      <c r="AI288">
        <f>IF($Y288="worse","Yes",IF($Y288="worse, not significant","Not sure",IF(OR($Y288="too few losses to test",$Y288="too few loans to test"),"Too few losses",IF($Y288="","","No"))))</f>
        <v/>
      </c>
      <c r="AJ288">
        <f>IF($AA288="yes","Yes",IF($AA288="","","No"))</f>
        <v/>
      </c>
    </row>
    <row r="289">
      <c r="A289" t="inlineStr">
        <is>
          <t>grids</t>
        </is>
      </c>
      <c r="B289" t="inlineStr">
        <is>
          <t>ORIG_BAL x CHANNEL</t>
        </is>
      </c>
      <c r="C289" t="inlineStr">
        <is>
          <t>37,951 - 49,151</t>
        </is>
      </c>
      <c r="D289" t="inlineStr">
        <is>
          <t>Online</t>
        </is>
      </c>
      <c r="E289" t="inlineStr">
        <is>
          <t>outcome_loans</t>
        </is>
      </c>
      <c r="F289" t="inlineStr">
        <is>
          <t>Outcome, share of loans</t>
        </is>
      </c>
      <c r="G289" t="n">
        <v>543</v>
      </c>
      <c r="H289" t="n">
        <v>543</v>
      </c>
      <c r="I289" t="b">
        <v>0</v>
      </c>
      <c r="J289" t="b">
        <v>0</v>
      </c>
      <c r="K289" t="n">
        <v>1.025066502967055</v>
      </c>
      <c r="L289" t="n">
        <v>0.8704829872411327</v>
      </c>
      <c r="M289" t="n">
        <v>0.9198186711998868</v>
      </c>
      <c r="N289" t="n">
        <v>0.8666810512748745</v>
      </c>
      <c r="O289" t="n">
        <v>1.05150214592274</v>
      </c>
      <c r="P289" t="n">
        <v>-3.748344370860927</v>
      </c>
      <c r="Q289">
        <f>'_live'!$C$20</f>
        <v/>
      </c>
      <c r="R289" t="inlineStr">
        <is>
          <t>z test</t>
        </is>
      </c>
      <c r="S289" t="inlineStr">
        <is>
          <t>z test</t>
        </is>
      </c>
      <c r="T289" t="n">
        <v>0.07725321888412018</v>
      </c>
      <c r="U289" t="n">
        <v>0.08609271523178808</v>
      </c>
      <c r="V289">
        <f>AND(judged_band,NOT($J289))</f>
        <v/>
      </c>
      <c r="W289">
        <f>IF($K289="","",IF($I289,"too few losses to test",IF(AND($K289&gt;better_at,$K289&lt;worse_at),"in line",IF($K289&gt;=worse_at,IF(AND(ISNUMBER($L289),$L289&lt;significance_bar),"worse","worse, not significant"),IF(AND(ISNUMBER($L289),$L289&lt;significance_bar),"better","better, not significant")))))</f>
        <v/>
      </c>
      <c r="X289">
        <f>IF($M289="","",IF($I289,"too few losses to test",IF(AND($M289&gt;better_at,$M289&lt;worse_at),"in line",IF($M289&gt;=worse_at,IF(AND(ISNUMBER($N289),$N289&lt;significance_bar),"worse","worse, not significant"),IF(AND(ISNUMBER($N289),$N289&lt;significance_bar),"better","better, not significant")))))</f>
        <v/>
      </c>
      <c r="Y289">
        <f>IF($V289,$X289,$W289)</f>
        <v/>
      </c>
      <c r="Z289">
        <f>IF($V289,IF($P289="","",$P289),IF($O289="","",$O289))</f>
        <v/>
      </c>
      <c r="AA289">
        <f>IF(OR($Q289="",$Z289=""),"",IF(AND($Z289&gt;0,$Z289&gt;=$Q289),"yes","below the line"))</f>
        <v/>
      </c>
      <c r="AB289">
        <f>IF($V289,IF($M289="","",$M289),IF($K289="","",$K289))</f>
        <v/>
      </c>
      <c r="AC289">
        <f>IF($V289,IF($N289="","",$N289),IF($L289="","",$L289))</f>
        <v/>
      </c>
      <c r="AD289">
        <f>$Y289</f>
        <v/>
      </c>
      <c r="AE289">
        <f>IF($V289,IF($S289="","",$S289),IF($R289="","",$R289))</f>
        <v/>
      </c>
      <c r="AF289">
        <f>IF($V289,IF($U289="","",$U289),IF($T289="","",$T289))</f>
        <v/>
      </c>
      <c r="AG289">
        <f>IF($V289,IF($O289="","",$O289),IF($P289="","",$P289))</f>
        <v/>
      </c>
      <c r="AH289" t="n">
        <v>0.07918968692449356</v>
      </c>
      <c r="AI289">
        <f>IF($Y289="worse","Yes",IF($Y289="worse, not significant","Not sure",IF(OR($Y289="too few losses to test",$Y289="too few loans to test"),"Too few losses",IF($Y289="","","No"))))</f>
        <v/>
      </c>
      <c r="AJ289">
        <f>IF($AA289="yes","Yes",IF($AA289="","","No"))</f>
        <v/>
      </c>
    </row>
    <row r="290">
      <c r="A290" t="inlineStr">
        <is>
          <t>grids</t>
        </is>
      </c>
      <c r="B290" t="inlineStr">
        <is>
          <t>ORIG_BAL x CHANNEL</t>
        </is>
      </c>
      <c r="C290" t="inlineStr">
        <is>
          <t>37,951 - 49,151</t>
        </is>
      </c>
      <c r="D290" t="inlineStr">
        <is>
          <t>Online</t>
        </is>
      </c>
      <c r="E290" t="inlineStr">
        <is>
          <t>outcome_booked</t>
        </is>
      </c>
      <c r="F290" t="inlineStr">
        <is>
          <t>Outcome, share of booked dollars</t>
        </is>
      </c>
      <c r="G290" t="n">
        <v>543</v>
      </c>
      <c r="H290" t="n">
        <v>23663785.18999999</v>
      </c>
      <c r="I290" t="b">
        <v>0</v>
      </c>
      <c r="J290" t="b">
        <v>0</v>
      </c>
      <c r="K290" t="n">
        <v>1.076272113665034</v>
      </c>
      <c r="L290" t="n">
        <v>0.8248021351710982</v>
      </c>
      <c r="M290" t="n">
        <v>0.9443559022431686</v>
      </c>
      <c r="N290" t="n">
        <v>0.9292820717928207</v>
      </c>
      <c r="O290" t="n">
        <v>134119.5021625911</v>
      </c>
      <c r="P290" t="n">
        <v>-111514.5778408318</v>
      </c>
      <c r="Q290">
        <f>'_live'!$C$21</f>
        <v/>
      </c>
      <c r="R290" t="inlineStr">
        <is>
          <t>shuffled: 6,574 of 10,000</t>
        </is>
      </c>
      <c r="S290" t="inlineStr">
        <is>
          <t>shuffled: 7,434 of 10,000</t>
        </is>
      </c>
      <c r="T290" t="n">
        <v>0.07430908891872887</v>
      </c>
      <c r="U290" t="n">
        <v>0.08468925751944895</v>
      </c>
      <c r="V290">
        <f>AND(judged_band,NOT($J290))</f>
        <v/>
      </c>
      <c r="W290">
        <f>IF($K290="","",IF($I290,"too few losses to test",IF(AND($K290&gt;better_at,$K290&lt;worse_at),"in line",IF($K290&gt;=worse_at,IF(AND(ISNUMBER($L290),$L290&lt;significance_bar),"worse","worse, not significant"),IF(AND(ISNUMBER($L290),$L290&lt;significance_bar),"better","better, not significant")))))</f>
        <v/>
      </c>
      <c r="X290">
        <f>IF($M290="","",IF($I290,"too few losses to test",IF(AND($M290&gt;better_at,$M290&lt;worse_at),"in line",IF($M290&gt;=worse_at,IF(AND(ISNUMBER($N290),$N290&lt;significance_bar),"worse","worse, not significant"),IF(AND(ISNUMBER($N290),$N290&lt;significance_bar),"better","better, not significant")))))</f>
        <v/>
      </c>
      <c r="Y290">
        <f>IF($V290,$X290,$W290)</f>
        <v/>
      </c>
      <c r="Z290">
        <f>IF($V290,IF($P290="","",$P290),IF($O290="","",$O290))</f>
        <v/>
      </c>
      <c r="AA290">
        <f>IF(OR($Q290="",$Z290=""),"",IF(AND($Z290&gt;0,$Z290&gt;=$Q290),"yes","below the line"))</f>
        <v/>
      </c>
      <c r="AB290">
        <f>IF($V290,IF($M290="","",$M290),IF($K290="","",$K290))</f>
        <v/>
      </c>
      <c r="AC290">
        <f>IF($V290,IF($N290="","",$N290),IF($L290="","",$L290))</f>
        <v/>
      </c>
      <c r="AD290">
        <f>$Y290</f>
        <v/>
      </c>
      <c r="AE290">
        <f>IF($V290,IF($S290="","",$S290),IF($R290="","",$R290))</f>
        <v/>
      </c>
      <c r="AF290">
        <f>IF($V290,IF($U290="","",$U290),IF($T290="","",$T290))</f>
        <v/>
      </c>
      <c r="AG290">
        <f>IF($V290,IF($O290="","",$O290),IF($P290="","",$P290))</f>
        <v/>
      </c>
      <c r="AH290" t="n">
        <v>0.07997680019508326</v>
      </c>
      <c r="AI290">
        <f>IF($Y290="worse","Yes",IF($Y290="worse, not significant","Not sure",IF(OR($Y290="too few losses to test",$Y290="too few loans to test"),"Too few losses",IF($Y290="","","No"))))</f>
        <v/>
      </c>
      <c r="AJ290">
        <f>IF($AA290="yes","Yes",IF($AA290="","","No"))</f>
        <v/>
      </c>
    </row>
    <row r="291">
      <c r="A291" t="inlineStr">
        <is>
          <t>grids</t>
        </is>
      </c>
      <c r="B291" t="inlineStr">
        <is>
          <t>ORIG_BAL x CHANNEL</t>
        </is>
      </c>
      <c r="C291" t="inlineStr">
        <is>
          <t>37,951 - 49,151</t>
        </is>
      </c>
      <c r="D291" t="inlineStr">
        <is>
          <t>Online</t>
        </is>
      </c>
      <c r="E291" t="inlineStr">
        <is>
          <t>gco_rate</t>
        </is>
      </c>
      <c r="F291" t="inlineStr">
        <is>
          <t>GCO per booked dollar</t>
        </is>
      </c>
      <c r="G291" t="n">
        <v>543</v>
      </c>
      <c r="H291" t="n">
        <v>23663785.18999999</v>
      </c>
      <c r="I291" t="b">
        <v>0</v>
      </c>
      <c r="J291" t="b">
        <v>0</v>
      </c>
      <c r="K291" t="n">
        <v>1.104298216113855</v>
      </c>
      <c r="L291" t="n">
        <v>0.7795129577951296</v>
      </c>
      <c r="M291" t="n">
        <v>0.959861473156629</v>
      </c>
      <c r="N291" t="n">
        <v>0.8321167883211679</v>
      </c>
      <c r="O291" t="n">
        <v>101712.663965754</v>
      </c>
      <c r="P291" t="n">
        <v>-45033.67486547329</v>
      </c>
      <c r="Q291">
        <f>'_live'!$C$22</f>
        <v/>
      </c>
      <c r="R291" t="inlineStr">
        <is>
          <t>shuffled: 5,619 of 10,000</t>
        </is>
      </c>
      <c r="S291" t="inlineStr">
        <is>
          <t>shuffled: 8,231 of 10,000</t>
        </is>
      </c>
      <c r="T291" t="n">
        <v>0.04121107414575234</v>
      </c>
      <c r="U291" t="n">
        <v>0.04741237869838327</v>
      </c>
      <c r="V291">
        <f>AND(judged_band,NOT($J291))</f>
        <v/>
      </c>
      <c r="W291">
        <f>IF($K291="","",IF($I291,"too few losses to test",IF(AND($K291&gt;better_at,$K291&lt;worse_at),"in line",IF($K291&gt;=worse_at,IF(AND(ISNUMBER($L291),$L291&lt;significance_bar),"worse","worse, not significant"),IF(AND(ISNUMBER($L291),$L291&lt;significance_bar),"better","better, not significant")))))</f>
        <v/>
      </c>
      <c r="X291">
        <f>IF($M291="","",IF($I291,"too few losses to test",IF(AND($M291&gt;better_at,$M291&lt;worse_at),"in line",IF($M291&gt;=worse_at,IF(AND(ISNUMBER($N291),$N291&lt;significance_bar),"worse","worse, not significant"),IF(AND(ISNUMBER($N291),$N291&lt;significance_bar),"better","better, not significant")))))</f>
        <v/>
      </c>
      <c r="Y291">
        <f>IF($V291,$X291,$W291)</f>
        <v/>
      </c>
      <c r="Z291">
        <f>IF($V291,IF($P291="","",$P291),IF($O291="","",$O291))</f>
        <v/>
      </c>
      <c r="AA291">
        <f>IF(OR($Q291="",$Z291=""),"",IF(AND($Z291&gt;0,$Z291&gt;=$Q291),"yes","below the line"))</f>
        <v/>
      </c>
      <c r="AB291">
        <f>IF($V291,IF($M291="","",$M291),IF($K291="","",$K291))</f>
        <v/>
      </c>
      <c r="AC291">
        <f>IF($V291,IF($N291="","",$N291),IF($L291="","",$L291))</f>
        <v/>
      </c>
      <c r="AD291">
        <f>$Y291</f>
        <v/>
      </c>
      <c r="AE291">
        <f>IF($V291,IF($S291="","",$S291),IF($R291="","",$R291))</f>
        <v/>
      </c>
      <c r="AF291">
        <f>IF($V291,IF($U291="","",$U291),IF($T291="","",$T291))</f>
        <v/>
      </c>
      <c r="AG291">
        <f>IF($V291,IF($O291="","",$O291),IF($P291="","",$P291))</f>
        <v/>
      </c>
      <c r="AH291" t="n">
        <v>0.04550931566329014</v>
      </c>
      <c r="AI291">
        <f>IF($Y291="worse","Yes",IF($Y291="worse, not significant","Not sure",IF(OR($Y291="too few losses to test",$Y291="too few loans to test"),"Too few losses",IF($Y291="","","No"))))</f>
        <v/>
      </c>
      <c r="AJ291">
        <f>IF($AA291="yes","Yes",IF($AA291="","","No"))</f>
        <v/>
      </c>
    </row>
    <row r="292">
      <c r="A292" t="inlineStr">
        <is>
          <t>grids</t>
        </is>
      </c>
      <c r="B292" t="inlineStr">
        <is>
          <t>ORIG_BAL x CHANNEL</t>
        </is>
      </c>
      <c r="C292" t="inlineStr">
        <is>
          <t>37,951 - 49,151</t>
        </is>
      </c>
      <c r="D292" t="inlineStr">
        <is>
          <t>Online</t>
        </is>
      </c>
      <c r="E292" t="inlineStr">
        <is>
          <t>ranr_rate</t>
        </is>
      </c>
      <c r="F292" t="inlineStr">
        <is>
          <t>Profit after losses: RANR per booked dollar</t>
        </is>
      </c>
      <c r="G292" t="n">
        <v>543</v>
      </c>
      <c r="H292" t="n">
        <v>23663785.18999999</v>
      </c>
      <c r="I292" t="b">
        <v>0</v>
      </c>
      <c r="J292" t="b">
        <v>0</v>
      </c>
      <c r="K292" t="n">
        <v>0.01479506695526095</v>
      </c>
      <c r="L292" t="n">
        <v>0.1973802619738026</v>
      </c>
      <c r="M292" t="n">
        <v>0.02876693382340546</v>
      </c>
      <c r="N292" t="n">
        <v>0.02024797520247975</v>
      </c>
      <c r="O292" t="n">
        <v>-350107.2863009623</v>
      </c>
      <c r="P292" t="n">
        <v>-680734.5425720122</v>
      </c>
      <c r="Q292">
        <f>'_live'!$C$23</f>
        <v/>
      </c>
      <c r="R292" t="inlineStr">
        <is>
          <t>shuffled: 1,011 of 10,000</t>
        </is>
      </c>
      <c r="S292" t="inlineStr">
        <is>
          <t>shuffled: 53 of 10,000</t>
        </is>
      </c>
      <c r="T292" t="n">
        <v>0.1266334045732199</v>
      </c>
      <c r="U292" t="n">
        <v>0.1126615377050754</v>
      </c>
      <c r="V292">
        <f>AND(judged_band,NOT($J292))</f>
        <v/>
      </c>
      <c r="W292">
        <f>IF($K292="","",IF(profit_kind="test",IF(OR(NOT(AND(ISNUMBER($L292),$L292&lt;significance_bar)),$K292=0),"in line",IF($K292&lt;0,"worse","better")),IF(OR($K292=0,IF(profit_kind="points",ABS($K292),ABS($K292*$H292))&lt;profit_line*(1-1E-9)),"in line",IF(AND(ISNUMBER($L292),$L292&lt;significance_bar),IF($K292&lt;0,"worse","better"),IF($K292&lt;0,"worse, not significant","better, not significant")))))</f>
        <v/>
      </c>
      <c r="X292">
        <f>IF($M292="","",IF(profit_kind="test",IF(OR(NOT(AND(ISNUMBER($N292),$N292&lt;significance_bar)),$M292=0),"in line",IF($M292&lt;0,"worse","better")),IF(OR($M292=0,IF(profit_kind="points",ABS($M292),ABS($M292*$H292))&lt;profit_line*(1-1E-9)),"in line",IF(AND(ISNUMBER($N292),$N292&lt;significance_bar),IF($M292&lt;0,"worse","better"),IF($M292&lt;0,"worse, not significant","better, not significant")))))</f>
        <v/>
      </c>
      <c r="Y292">
        <f>IF($V292,$X292,$W292)</f>
        <v/>
      </c>
      <c r="Z292">
        <f>IF($V292,IF($P292="","",$P292),IF($O292="","",$O292))</f>
        <v/>
      </c>
      <c r="AA292">
        <f>IF(OR($Q292="",$Z292=""),"",IF(AND($Z292&gt;0,$Z292&gt;=$Q292),"yes","below the line"))</f>
        <v/>
      </c>
      <c r="AB292">
        <f>IF($V292,IF($M292="","",$M292),IF($K292="","",$K292))</f>
        <v/>
      </c>
      <c r="AC292">
        <f>IF($V292,IF($N292="","",$N292),IF($L292="","",$L292))</f>
        <v/>
      </c>
      <c r="AD292">
        <f>IF($Y292="","",IF($Y292="in line",IF(profit_kind="test",IF(ROUND($AB292*100,2)=0,"0.00",TEXT($AB292*100,"+0.00;-0.00"))&amp;" points against "&amp;IF($V292,"its band","the book")&amp;", "&amp;IF($AC292="","not tested","not significant"),IF(profit_kind="points","within "&amp;TEXT(profit_line*100,"0.00")&amp;" points of "&amp;IF($V292,"its band","the book")&amp;" ("&amp;IF(ROUND($AB292*100,2)=0,"0.00",TEXT($AB292*100,"+0.00;-0.00"))&amp;")","within $"&amp;TEXT(profit_line,"#,##0")&amp;" of "&amp;IF($V292,"its band","the book")&amp;" ("&amp;IF(ROUND($AB292*100,2)=0,"0.00",TEXT($AB292*100,"+0.00;-0.00"))&amp;" points)")),IF(LEFT($Y292,5)="worse","short of ","ahead of ")&amp;IF($V292,"its band","the book")&amp;" by "&amp;TEXT(ABS($AB292)*100,"0.00")&amp;" points"&amp;IF($Z292="",""," ($"&amp;TEXT(ABS($Z292),"#,##0")&amp;")")&amp;IF(RIGHT($Y292,15)="not significant"," (not significant)","")))</f>
        <v/>
      </c>
      <c r="AE292">
        <f>IF($V292,IF($S292="","",$S292),IF($R292="","",$R292))</f>
        <v/>
      </c>
      <c r="AF292">
        <f>IF($V292,IF($U292="","",$U292),IF($T292="","",$T292))</f>
        <v/>
      </c>
      <c r="AG292">
        <f>IF($V292,IF($O292="","",$O292),IF($P292="","",$P292))</f>
        <v/>
      </c>
      <c r="AH292" t="n">
        <v>0.1414284715284809</v>
      </c>
      <c r="AI292">
        <f>IF($Y292="worse","Yes",IF($Y292="worse, not significant","Not sure",IF(OR($Y292="too few losses to test",$Y292="too few loans to test"),"Too few losses",IF($Y292="","","No"))))</f>
        <v/>
      </c>
      <c r="AJ292">
        <f>IF($AA292="yes","Yes",IF($AA292="","","No"))</f>
        <v/>
      </c>
    </row>
    <row r="293">
      <c r="A293" t="inlineStr">
        <is>
          <t>grids</t>
        </is>
      </c>
      <c r="B293" t="inlineStr">
        <is>
          <t>ORIG_BAL x CHANNEL</t>
        </is>
      </c>
      <c r="C293" t="inlineStr">
        <is>
          <t>37,951 - 49,151</t>
        </is>
      </c>
      <c r="D293" t="inlineStr">
        <is>
          <t>Online</t>
        </is>
      </c>
      <c r="E293" t="inlineStr">
        <is>
          <t>contribution_rate</t>
        </is>
      </c>
      <c r="F293" t="inlineStr">
        <is>
          <t>Contribution before losses per booked dollar</t>
        </is>
      </c>
      <c r="G293" t="n">
        <v>543</v>
      </c>
      <c r="H293" t="n">
        <v>23663785.18999999</v>
      </c>
      <c r="I293" t="b">
        <v>0</v>
      </c>
      <c r="J293" t="b">
        <v>0</v>
      </c>
      <c r="K293" t="n">
        <v>0.01909668613414003</v>
      </c>
      <c r="L293" t="n">
        <v>0.005999400059994</v>
      </c>
      <c r="M293" t="n">
        <v>0.02689313677251598</v>
      </c>
      <c r="N293" t="n">
        <v>0.0009999000099990003</v>
      </c>
      <c r="O293" t="n">
        <v>-451899.8785191416</v>
      </c>
      <c r="P293" t="n">
        <v>-636393.4116701083</v>
      </c>
      <c r="Q293">
        <f>'_live'!$C$24</f>
        <v/>
      </c>
      <c r="R293" t="inlineStr">
        <is>
          <t>shuffled: 19 of 10,000</t>
        </is>
      </c>
      <c r="S293" t="inlineStr">
        <is>
          <t>shuffled: 1 of 10,000</t>
        </is>
      </c>
      <c r="T293" t="n">
        <v>0.1678411010576309</v>
      </c>
      <c r="U293" t="n">
        <v>0.1600446504192549</v>
      </c>
      <c r="V293">
        <f>AND(judged_band,NOT($J293))</f>
        <v/>
      </c>
      <c r="W293">
        <f>IF($K293="","",IF(profit_kind="test",IF(OR(NOT(AND(ISNUMBER($L293),$L293&lt;significance_bar)),$K293=0),"in line",IF($K293&lt;0,"worse","better")),IF(OR($K293=0,IF(profit_kind="points",ABS($K293),ABS($K293*$H293))&lt;profit_line*(1-1E-9)),"in line",IF(AND(ISNUMBER($L293),$L293&lt;significance_bar),IF($K293&lt;0,"worse","better"),IF($K293&lt;0,"worse, not significant","better, not significant")))))</f>
        <v/>
      </c>
      <c r="X293">
        <f>IF($M293="","",IF(profit_kind="test",IF(OR(NOT(AND(ISNUMBER($N293),$N293&lt;significance_bar)),$M293=0),"in line",IF($M293&lt;0,"worse","better")),IF(OR($M293=0,IF(profit_kind="points",ABS($M293),ABS($M293*$H293))&lt;profit_line*(1-1E-9)),"in line",IF(AND(ISNUMBER($N293),$N293&lt;significance_bar),IF($M293&lt;0,"worse","better"),IF($M293&lt;0,"worse, not significant","better, not significant")))))</f>
        <v/>
      </c>
      <c r="Y293">
        <f>IF($V293,$X293,$W293)</f>
        <v/>
      </c>
      <c r="Z293">
        <f>IF($V293,IF($P293="","",$P293),IF($O293="","",$O293))</f>
        <v/>
      </c>
      <c r="AA293">
        <f>IF(OR($Q293="",$Z293=""),"",IF(AND($Z293&gt;0,$Z293&gt;=$Q293),"yes","below the line"))</f>
        <v/>
      </c>
      <c r="AB293">
        <f>IF($V293,IF($M293="","",$M293),IF($K293="","",$K293))</f>
        <v/>
      </c>
      <c r="AC293">
        <f>IF($V293,IF($N293="","",$N293),IF($L293="","",$L293))</f>
        <v/>
      </c>
      <c r="AD293">
        <f>IF($Y293="","",IF($Y293="in line",IF(profit_kind="test",IF(ROUND($AB293*100,2)=0,"0.00",TEXT($AB293*100,"+0.00;-0.00"))&amp;" points against "&amp;IF($V293,"its band","the book")&amp;", "&amp;IF($AC293="","not tested","not significant"),IF(profit_kind="points","within "&amp;TEXT(profit_line*100,"0.00")&amp;" points of "&amp;IF($V293,"its band","the book")&amp;" ("&amp;IF(ROUND($AB293*100,2)=0,"0.00",TEXT($AB293*100,"+0.00;-0.00"))&amp;")","within $"&amp;TEXT(profit_line,"#,##0")&amp;" of "&amp;IF($V293,"its band","the book")&amp;" ("&amp;IF(ROUND($AB293*100,2)=0,"0.00",TEXT($AB293*100,"+0.00;-0.00"))&amp;" points)")),IF(LEFT($Y293,5)="worse","short of ","ahead of ")&amp;IF($V293,"its band","the book")&amp;" by "&amp;TEXT(ABS($AB293)*100,"0.00")&amp;" points"&amp;IF($Z293="",""," ($"&amp;TEXT(ABS($Z293),"#,##0")&amp;")")&amp;IF(RIGHT($Y293,15)="not significant"," (not significant)","")))</f>
        <v/>
      </c>
      <c r="AE293">
        <f>IF($V293,IF($S293="","",$S293),IF($R293="","",$R293))</f>
        <v/>
      </c>
      <c r="AF293">
        <f>IF($V293,IF($U293="","",$U293),IF($T293="","",$T293))</f>
        <v/>
      </c>
      <c r="AG293">
        <f>IF($V293,IF($O293="","",$O293),IF($P293="","",$P293))</f>
        <v/>
      </c>
      <c r="AH293" t="n">
        <v>0.1869377871917709</v>
      </c>
      <c r="AI293">
        <f>IF($Y293="worse","Yes",IF($Y293="worse, not significant","Not sure",IF(OR($Y293="too few losses to test",$Y293="too few loans to test"),"Too few losses",IF($Y293="","","No"))))</f>
        <v/>
      </c>
      <c r="AJ293">
        <f>IF($AA293="yes","Yes",IF($AA293="","","No"))</f>
        <v/>
      </c>
    </row>
    <row r="294">
      <c r="A294" t="inlineStr">
        <is>
          <t>grids</t>
        </is>
      </c>
      <c r="B294" t="inlineStr">
        <is>
          <t>ORIG_BAL x CHANNEL</t>
        </is>
      </c>
      <c r="C294" t="inlineStr">
        <is>
          <t>15,449 - 26,323</t>
        </is>
      </c>
      <c r="D294" t="inlineStr">
        <is>
          <t>Branch</t>
        </is>
      </c>
      <c r="E294" t="inlineStr">
        <is>
          <t>outcome_loans</t>
        </is>
      </c>
      <c r="F294" t="inlineStr">
        <is>
          <t>Outcome, share of loans</t>
        </is>
      </c>
      <c r="G294" t="n">
        <v>525</v>
      </c>
      <c r="H294" t="n">
        <v>525</v>
      </c>
      <c r="I294" t="b">
        <v>0</v>
      </c>
      <c r="J294" t="b">
        <v>0</v>
      </c>
      <c r="K294" t="n">
        <v>0.9050499099983635</v>
      </c>
      <c r="L294" t="n">
        <v>0.7868457855618615</v>
      </c>
      <c r="M294" t="n">
        <v>0.6764455782312925</v>
      </c>
      <c r="N294" t="n">
        <v>0.1101102245814047</v>
      </c>
      <c r="O294" t="n">
        <v>-3.881723307465883</v>
      </c>
      <c r="P294" t="n">
        <v>-17.69767441860466</v>
      </c>
      <c r="Q294">
        <f>'_live'!$C$20</f>
        <v/>
      </c>
      <c r="R294" t="inlineStr">
        <is>
          <t>z test</t>
        </is>
      </c>
      <c r="S294" t="inlineStr">
        <is>
          <t>z test</t>
        </is>
      </c>
      <c r="T294" t="n">
        <v>0.07786994915707787</v>
      </c>
      <c r="U294" t="n">
        <v>0.1041860465116279</v>
      </c>
      <c r="V294">
        <f>AND(judged_band,NOT($J294))</f>
        <v/>
      </c>
      <c r="W294">
        <f>IF($K294="","",IF($I294,"too few losses to test",IF(AND($K294&gt;better_at,$K294&lt;worse_at),"in line",IF($K294&gt;=worse_at,IF(AND(ISNUMBER($L294),$L294&lt;significance_bar),"worse","worse, not significant"),IF(AND(ISNUMBER($L294),$L294&lt;significance_bar),"better","better, not significant")))))</f>
        <v/>
      </c>
      <c r="X294">
        <f>IF($M294="","",IF($I294,"too few losses to test",IF(AND($M294&gt;better_at,$M294&lt;worse_at),"in line",IF($M294&gt;=worse_at,IF(AND(ISNUMBER($N294),$N294&lt;significance_bar),"worse","worse, not significant"),IF(AND(ISNUMBER($N294),$N294&lt;significance_bar),"better","better, not significant")))))</f>
        <v/>
      </c>
      <c r="Y294">
        <f>IF($V294,$X294,$W294)</f>
        <v/>
      </c>
      <c r="Z294">
        <f>IF($V294,IF($P294="","",$P294),IF($O294="","",$O294))</f>
        <v/>
      </c>
      <c r="AA294">
        <f>IF(OR($Q294="",$Z294=""),"",IF(AND($Z294&gt;0,$Z294&gt;=$Q294),"yes","below the line"))</f>
        <v/>
      </c>
      <c r="AB294">
        <f>IF($V294,IF($M294="","",$M294),IF($K294="","",$K294))</f>
        <v/>
      </c>
      <c r="AC294">
        <f>IF($V294,IF($N294="","",$N294),IF($L294="","",$L294))</f>
        <v/>
      </c>
      <c r="AD294">
        <f>$Y294</f>
        <v/>
      </c>
      <c r="AE294">
        <f>IF($V294,IF($S294="","",$S294),IF($R294="","",$R294))</f>
        <v/>
      </c>
      <c r="AF294">
        <f>IF($V294,IF($U294="","",$U294),IF($T294="","",$T294))</f>
        <v/>
      </c>
      <c r="AG294">
        <f>IF($V294,IF($O294="","",$O294),IF($P294="","",$P294))</f>
        <v/>
      </c>
      <c r="AH294" t="n">
        <v>0.07047619047619047</v>
      </c>
      <c r="AI294">
        <f>IF($Y294="worse","Yes",IF($Y294="worse, not significant","Not sure",IF(OR($Y294="too few losses to test",$Y294="too few loans to test"),"Too few losses",IF($Y294="","","No"))))</f>
        <v/>
      </c>
      <c r="AJ294">
        <f>IF($AA294="yes","Yes",IF($AA294="","","No"))</f>
        <v/>
      </c>
    </row>
    <row r="295">
      <c r="A295" t="inlineStr">
        <is>
          <t>grids</t>
        </is>
      </c>
      <c r="B295" t="inlineStr">
        <is>
          <t>ORIG_BAL x CHANNEL</t>
        </is>
      </c>
      <c r="C295" t="inlineStr">
        <is>
          <t>15,449 - 26,323</t>
        </is>
      </c>
      <c r="D295" t="inlineStr">
        <is>
          <t>Branch</t>
        </is>
      </c>
      <c r="E295" t="inlineStr">
        <is>
          <t>outcome_booked</t>
        </is>
      </c>
      <c r="F295" t="inlineStr">
        <is>
          <t>Outcome, share of booked dollars</t>
        </is>
      </c>
      <c r="G295" t="n">
        <v>525</v>
      </c>
      <c r="H295" t="n">
        <v>11003092.26999999</v>
      </c>
      <c r="I295" t="b">
        <v>0</v>
      </c>
      <c r="J295" t="b">
        <v>0</v>
      </c>
      <c r="K295" t="n">
        <v>0.9183900803568021</v>
      </c>
      <c r="L295" t="n">
        <v>0.8248021351710982</v>
      </c>
      <c r="M295" t="n">
        <v>0.650797960861509</v>
      </c>
      <c r="N295" t="n">
        <v>0.1064893510648935</v>
      </c>
      <c r="O295" t="n">
        <v>-67428.09417432884</v>
      </c>
      <c r="P295" t="n">
        <v>-407151.1879349959</v>
      </c>
      <c r="Q295">
        <f>'_live'!$C$21</f>
        <v/>
      </c>
      <c r="R295" t="inlineStr">
        <is>
          <t>shuffled: 6,381 of 10,000</t>
        </is>
      </c>
      <c r="S295" t="inlineStr">
        <is>
          <t>shuffled: 186 of 10,000</t>
        </is>
      </c>
      <c r="T295" t="n">
        <v>0.07509018591319416</v>
      </c>
      <c r="U295" t="n">
        <v>0.1059654240212053</v>
      </c>
      <c r="V295">
        <f>AND(judged_band,NOT($J295))</f>
        <v/>
      </c>
      <c r="W295">
        <f>IF($K295="","",IF($I295,"too few losses to test",IF(AND($K295&gt;better_at,$K295&lt;worse_at),"in line",IF($K295&gt;=worse_at,IF(AND(ISNUMBER($L295),$L295&lt;significance_bar),"worse","worse, not significant"),IF(AND(ISNUMBER($L295),$L295&lt;significance_bar),"better","better, not significant")))))</f>
        <v/>
      </c>
      <c r="X295">
        <f>IF($M295="","",IF($I295,"too few losses to test",IF(AND($M295&gt;better_at,$M295&lt;worse_at),"in line",IF($M295&gt;=worse_at,IF(AND(ISNUMBER($N295),$N295&lt;significance_bar),"worse","worse, not significant"),IF(AND(ISNUMBER($N295),$N295&lt;significance_bar),"better","better, not significant")))))</f>
        <v/>
      </c>
      <c r="Y295">
        <f>IF($V295,$X295,$W295)</f>
        <v/>
      </c>
      <c r="Z295">
        <f>IF($V295,IF($P295="","",$P295),IF($O295="","",$O295))</f>
        <v/>
      </c>
      <c r="AA295">
        <f>IF(OR($Q295="",$Z295=""),"",IF(AND($Z295&gt;0,$Z295&gt;=$Q295),"yes","below the line"))</f>
        <v/>
      </c>
      <c r="AB295">
        <f>IF($V295,IF($M295="","",$M295),IF($K295="","",$K295))</f>
        <v/>
      </c>
      <c r="AC295">
        <f>IF($V295,IF($N295="","",$N295),IF($L295="","",$L295))</f>
        <v/>
      </c>
      <c r="AD295">
        <f>$Y295</f>
        <v/>
      </c>
      <c r="AE295">
        <f>IF($V295,IF($S295="","",$S295),IF($R295="","",$R295))</f>
        <v/>
      </c>
      <c r="AF295">
        <f>IF($V295,IF($U295="","",$U295),IF($T295="","",$T295))</f>
        <v/>
      </c>
      <c r="AG295">
        <f>IF($V295,IF($O295="","",$O295),IF($P295="","",$P295))</f>
        <v/>
      </c>
      <c r="AH295" t="n">
        <v>0.0689620818748256</v>
      </c>
      <c r="AI295">
        <f>IF($Y295="worse","Yes",IF($Y295="worse, not significant","Not sure",IF(OR($Y295="too few losses to test",$Y295="too few loans to test"),"Too few losses",IF($Y295="","","No"))))</f>
        <v/>
      </c>
      <c r="AJ295">
        <f>IF($AA295="yes","Yes",IF($AA295="","","No"))</f>
        <v/>
      </c>
    </row>
    <row r="296">
      <c r="A296" t="inlineStr">
        <is>
          <t>grids</t>
        </is>
      </c>
      <c r="B296" t="inlineStr">
        <is>
          <t>ORIG_BAL x CHANNEL</t>
        </is>
      </c>
      <c r="C296" t="inlineStr">
        <is>
          <t>15,449 - 26,323</t>
        </is>
      </c>
      <c r="D296" t="inlineStr">
        <is>
          <t>Branch</t>
        </is>
      </c>
      <c r="E296" t="inlineStr">
        <is>
          <t>gco_rate</t>
        </is>
      </c>
      <c r="F296" t="inlineStr">
        <is>
          <t>GCO per booked dollar</t>
        </is>
      </c>
      <c r="G296" t="n">
        <v>525</v>
      </c>
      <c r="H296" t="n">
        <v>11003092.26999999</v>
      </c>
      <c r="I296" t="b">
        <v>0</v>
      </c>
      <c r="J296" t="b">
        <v>0</v>
      </c>
      <c r="K296" t="n">
        <v>0.9719593291001233</v>
      </c>
      <c r="L296" t="n">
        <v>0.882111788821118</v>
      </c>
      <c r="M296" t="n">
        <v>0.6817897670599881</v>
      </c>
      <c r="N296" t="n">
        <v>0.1631086891310869</v>
      </c>
      <c r="O296" t="n">
        <v>-12852.01024840545</v>
      </c>
      <c r="P296" t="n">
        <v>-207919.1151696353</v>
      </c>
      <c r="Q296">
        <f>'_live'!$C$22</f>
        <v/>
      </c>
      <c r="R296" t="inlineStr">
        <is>
          <t>shuffled: 8,789 of 10,000</t>
        </is>
      </c>
      <c r="S296" t="inlineStr">
        <is>
          <t>shuffled: 434 of 10,000</t>
        </is>
      </c>
      <c r="T296" t="n">
        <v>0.04165507377394789</v>
      </c>
      <c r="U296" t="n">
        <v>0.05938346322434646</v>
      </c>
      <c r="V296">
        <f>AND(judged_band,NOT($J296))</f>
        <v/>
      </c>
      <c r="W296">
        <f>IF($K296="","",IF($I296,"too few losses to test",IF(AND($K296&gt;better_at,$K296&lt;worse_at),"in line",IF($K296&gt;=worse_at,IF(AND(ISNUMBER($L296),$L296&lt;significance_bar),"worse","worse, not significant"),IF(AND(ISNUMBER($L296),$L296&lt;significance_bar),"better","better, not significant")))))</f>
        <v/>
      </c>
      <c r="X296">
        <f>IF($M296="","",IF($I296,"too few losses to test",IF(AND($M296&gt;better_at,$M296&lt;worse_at),"in line",IF($M296&gt;=worse_at,IF(AND(ISNUMBER($N296),$N296&lt;significance_bar),"worse","worse, not significant"),IF(AND(ISNUMBER($N296),$N296&lt;significance_bar),"better","better, not significant")))))</f>
        <v/>
      </c>
      <c r="Y296">
        <f>IF($V296,$X296,$W296)</f>
        <v/>
      </c>
      <c r="Z296">
        <f>IF($V296,IF($P296="","",$P296),IF($O296="","",$O296))</f>
        <v/>
      </c>
      <c r="AA296">
        <f>IF(OR($Q296="",$Z296=""),"",IF(AND($Z296&gt;0,$Z296&gt;=$Q296),"yes","below the line"))</f>
        <v/>
      </c>
      <c r="AB296">
        <f>IF($V296,IF($M296="","",$M296),IF($K296="","",$K296))</f>
        <v/>
      </c>
      <c r="AC296">
        <f>IF($V296,IF($N296="","",$N296),IF($L296="","",$L296))</f>
        <v/>
      </c>
      <c r="AD296">
        <f>$Y296</f>
        <v/>
      </c>
      <c r="AE296">
        <f>IF($V296,IF($S296="","",$S296),IF($R296="","",$R296))</f>
        <v/>
      </c>
      <c r="AF296">
        <f>IF($V296,IF($U296="","",$U296),IF($T296="","",$T296))</f>
        <v/>
      </c>
      <c r="AG296">
        <f>IF($V296,IF($O296="","",$O296),IF($P296="","",$P296))</f>
        <v/>
      </c>
      <c r="AH296" t="n">
        <v>0.04048703755894253</v>
      </c>
      <c r="AI296">
        <f>IF($Y296="worse","Yes",IF($Y296="worse, not significant","Not sure",IF(OR($Y296="too few losses to test",$Y296="too few loans to test"),"Too few losses",IF($Y296="","","No"))))</f>
        <v/>
      </c>
      <c r="AJ296">
        <f>IF($AA296="yes","Yes",IF($AA296="","","No"))</f>
        <v/>
      </c>
    </row>
    <row r="297">
      <c r="A297" t="inlineStr">
        <is>
          <t>grids</t>
        </is>
      </c>
      <c r="B297" t="inlineStr">
        <is>
          <t>ORIG_BAL x CHANNEL</t>
        </is>
      </c>
      <c r="C297" t="inlineStr">
        <is>
          <t>15,449 - 26,323</t>
        </is>
      </c>
      <c r="D297" t="inlineStr">
        <is>
          <t>Branch</t>
        </is>
      </c>
      <c r="E297" t="inlineStr">
        <is>
          <t>ranr_rate</t>
        </is>
      </c>
      <c r="F297" t="inlineStr">
        <is>
          <t>Profit after losses: RANR per booked dollar</t>
        </is>
      </c>
      <c r="G297" t="n">
        <v>525</v>
      </c>
      <c r="H297" t="n">
        <v>11003092.26999999</v>
      </c>
      <c r="I297" t="b">
        <v>0</v>
      </c>
      <c r="J297" t="b">
        <v>0</v>
      </c>
      <c r="K297" t="n">
        <v>-0.003604726349551945</v>
      </c>
      <c r="L297" t="n">
        <v>0.7382261773822617</v>
      </c>
      <c r="M297" t="n">
        <v>0.008169952822856638</v>
      </c>
      <c r="N297" t="n">
        <v>0.5021283585927122</v>
      </c>
      <c r="O297" t="n">
        <v>39663.13663222035</v>
      </c>
      <c r="P297" t="n">
        <v>-89894.7447514385</v>
      </c>
      <c r="Q297">
        <f>'_live'!$C$23</f>
        <v/>
      </c>
      <c r="R297" t="inlineStr">
        <is>
          <t>shuffled: 6,923 of 10,000</t>
        </is>
      </c>
      <c r="S297" t="inlineStr">
        <is>
          <t>shuffled: 4,568 of 10,000</t>
        </is>
      </c>
      <c r="T297" t="n">
        <v>0.1281437419621151</v>
      </c>
      <c r="U297" t="n">
        <v>0.1163690627897065</v>
      </c>
      <c r="V297">
        <f>AND(judged_band,NOT($J297))</f>
        <v/>
      </c>
      <c r="W297">
        <f>IF($K297="","",IF(profit_kind="test",IF(OR(NOT(AND(ISNUMBER($L297),$L297&lt;significance_bar)),$K297=0),"in line",IF($K297&lt;0,"worse","better")),IF(OR($K297=0,IF(profit_kind="points",ABS($K297),ABS($K297*$H297))&lt;profit_line*(1-1E-9)),"in line",IF(AND(ISNUMBER($L297),$L297&lt;significance_bar),IF($K297&lt;0,"worse","better"),IF($K297&lt;0,"worse, not significant","better, not significant")))))</f>
        <v/>
      </c>
      <c r="X297">
        <f>IF($M297="","",IF(profit_kind="test",IF(OR(NOT(AND(ISNUMBER($N297),$N297&lt;significance_bar)),$M297=0),"in line",IF($M297&lt;0,"worse","better")),IF(OR($M297=0,IF(profit_kind="points",ABS($M297),ABS($M297*$H297))&lt;profit_line*(1-1E-9)),"in line",IF(AND(ISNUMBER($N297),$N297&lt;significance_bar),IF($M297&lt;0,"worse","better"),IF($M297&lt;0,"worse, not significant","better, not significant")))))</f>
        <v/>
      </c>
      <c r="Y297">
        <f>IF($V297,$X297,$W297)</f>
        <v/>
      </c>
      <c r="Z297">
        <f>IF($V297,IF($P297="","",$P297),IF($O297="","",$O297))</f>
        <v/>
      </c>
      <c r="AA297">
        <f>IF(OR($Q297="",$Z297=""),"",IF(AND($Z297&gt;0,$Z297&gt;=$Q297),"yes","below the line"))</f>
        <v/>
      </c>
      <c r="AB297">
        <f>IF($V297,IF($M297="","",$M297),IF($K297="","",$K297))</f>
        <v/>
      </c>
      <c r="AC297">
        <f>IF($V297,IF($N297="","",$N297),IF($L297="","",$L297))</f>
        <v/>
      </c>
      <c r="AD297">
        <f>IF($Y297="","",IF($Y297="in line",IF(profit_kind="test",IF(ROUND($AB297*100,2)=0,"0.00",TEXT($AB297*100,"+0.00;-0.00"))&amp;" points against "&amp;IF($V297,"its band","the book")&amp;", "&amp;IF($AC297="","not tested","not significant"),IF(profit_kind="points","within "&amp;TEXT(profit_line*100,"0.00")&amp;" points of "&amp;IF($V297,"its band","the book")&amp;" ("&amp;IF(ROUND($AB297*100,2)=0,"0.00",TEXT($AB297*100,"+0.00;-0.00"))&amp;")","within $"&amp;TEXT(profit_line,"#,##0")&amp;" of "&amp;IF($V297,"its band","the book")&amp;" ("&amp;IF(ROUND($AB297*100,2)=0,"0.00",TEXT($AB297*100,"+0.00;-0.00"))&amp;" points)")),IF(LEFT($Y297,5)="worse","short of ","ahead of ")&amp;IF($V297,"its band","the book")&amp;" by "&amp;TEXT(ABS($AB297)*100,"0.00")&amp;" points"&amp;IF($Z297="",""," ($"&amp;TEXT(ABS($Z297),"#,##0")&amp;")")&amp;IF(RIGHT($Y297,15)="not significant"," (not significant)","")))</f>
        <v/>
      </c>
      <c r="AE297">
        <f>IF($V297,IF($S297="","",$S297),IF($R297="","",$R297))</f>
        <v/>
      </c>
      <c r="AF297">
        <f>IF($V297,IF($U297="","",$U297),IF($T297="","",$T297))</f>
        <v/>
      </c>
      <c r="AG297">
        <f>IF($V297,IF($O297="","",$O297),IF($P297="","",$P297))</f>
        <v/>
      </c>
      <c r="AH297" t="n">
        <v>0.1245390156125631</v>
      </c>
      <c r="AI297">
        <f>IF($Y297="worse","Yes",IF($Y297="worse, not significant","Not sure",IF(OR($Y297="too few losses to test",$Y297="too few loans to test"),"Too few losses",IF($Y297="","","No"))))</f>
        <v/>
      </c>
      <c r="AJ297">
        <f>IF($AA297="yes","Yes",IF($AA297="","","No"))</f>
        <v/>
      </c>
    </row>
    <row r="298">
      <c r="A298" t="inlineStr">
        <is>
          <t>grids</t>
        </is>
      </c>
      <c r="B298" t="inlineStr">
        <is>
          <t>ORIG_BAL x CHANNEL</t>
        </is>
      </c>
      <c r="C298" t="inlineStr">
        <is>
          <t>15,449 - 26,323</t>
        </is>
      </c>
      <c r="D298" t="inlineStr">
        <is>
          <t>Branch</t>
        </is>
      </c>
      <c r="E298" t="inlineStr">
        <is>
          <t>contribution_rate</t>
        </is>
      </c>
      <c r="F298" t="inlineStr">
        <is>
          <t>Contribution before losses per booked dollar</t>
        </is>
      </c>
      <c r="G298" t="n">
        <v>525</v>
      </c>
      <c r="H298" t="n">
        <v>11003092.26999999</v>
      </c>
      <c r="I298" t="b">
        <v>0</v>
      </c>
      <c r="J298" t="b">
        <v>0</v>
      </c>
      <c r="K298" t="n">
        <v>-0.004769800651148931</v>
      </c>
      <c r="L298" t="n">
        <v>0.4632393903466796</v>
      </c>
      <c r="M298" t="n">
        <v>-0.01072647284254727</v>
      </c>
      <c r="N298" t="n">
        <v>0.1323617638236176</v>
      </c>
      <c r="O298" t="n">
        <v>52482.55667409766</v>
      </c>
      <c r="P298" t="n">
        <v>118024.3704181965</v>
      </c>
      <c r="Q298">
        <f>'_live'!$C$24</f>
        <v/>
      </c>
      <c r="R298" t="inlineStr">
        <is>
          <t>shuffled: 4,323 of 10,000</t>
        </is>
      </c>
      <c r="S298" t="inlineStr">
        <is>
          <t>shuffled: 1,058 of 10,000</t>
        </is>
      </c>
      <c r="T298" t="n">
        <v>0.1697958538226546</v>
      </c>
      <c r="U298" t="n">
        <v>0.1757525260140529</v>
      </c>
      <c r="V298">
        <f>AND(judged_band,NOT($J298))</f>
        <v/>
      </c>
      <c r="W298">
        <f>IF($K298="","",IF(profit_kind="test",IF(OR(NOT(AND(ISNUMBER($L298),$L298&lt;significance_bar)),$K298=0),"in line",IF($K298&lt;0,"worse","better")),IF(OR($K298=0,IF(profit_kind="points",ABS($K298),ABS($K298*$H298))&lt;profit_line*(1-1E-9)),"in line",IF(AND(ISNUMBER($L298),$L298&lt;significance_bar),IF($K298&lt;0,"worse","better"),IF($K298&lt;0,"worse, not significant","better, not significant")))))</f>
        <v/>
      </c>
      <c r="X298">
        <f>IF($M298="","",IF(profit_kind="test",IF(OR(NOT(AND(ISNUMBER($N298),$N298&lt;significance_bar)),$M298=0),"in line",IF($M298&lt;0,"worse","better")),IF(OR($M298=0,IF(profit_kind="points",ABS($M298),ABS($M298*$H298))&lt;profit_line*(1-1E-9)),"in line",IF(AND(ISNUMBER($N298),$N298&lt;significance_bar),IF($M298&lt;0,"worse","better"),IF($M298&lt;0,"worse, not significant","better, not significant")))))</f>
        <v/>
      </c>
      <c r="Y298">
        <f>IF($V298,$X298,$W298)</f>
        <v/>
      </c>
      <c r="Z298">
        <f>IF($V298,IF($P298="","",$P298),IF($O298="","",$O298))</f>
        <v/>
      </c>
      <c r="AA298">
        <f>IF(OR($Q298="",$Z298=""),"",IF(AND($Z298&gt;0,$Z298&gt;=$Q298),"yes","below the line"))</f>
        <v/>
      </c>
      <c r="AB298">
        <f>IF($V298,IF($M298="","",$M298),IF($K298="","",$K298))</f>
        <v/>
      </c>
      <c r="AC298">
        <f>IF($V298,IF($N298="","",$N298),IF($L298="","",$L298))</f>
        <v/>
      </c>
      <c r="AD298">
        <f>IF($Y298="","",IF($Y298="in line",IF(profit_kind="test",IF(ROUND($AB298*100,2)=0,"0.00",TEXT($AB298*100,"+0.00;-0.00"))&amp;" points against "&amp;IF($V298,"its band","the book")&amp;", "&amp;IF($AC298="","not tested","not significant"),IF(profit_kind="points","within "&amp;TEXT(profit_line*100,"0.00")&amp;" points of "&amp;IF($V298,"its band","the book")&amp;" ("&amp;IF(ROUND($AB298*100,2)=0,"0.00",TEXT($AB298*100,"+0.00;-0.00"))&amp;")","within $"&amp;TEXT(profit_line,"#,##0")&amp;" of "&amp;IF($V298,"its band","the book")&amp;" ("&amp;IF(ROUND($AB298*100,2)=0,"0.00",TEXT($AB298*100,"+0.00;-0.00"))&amp;" points)")),IF(LEFT($Y298,5)="worse","short of ","ahead of ")&amp;IF($V298,"its band","the book")&amp;" by "&amp;TEXT(ABS($AB298)*100,"0.00")&amp;" points"&amp;IF($Z298="",""," ($"&amp;TEXT(ABS($Z298),"#,##0")&amp;")")&amp;IF(RIGHT($Y298,15)="not significant"," (not significant)","")))</f>
        <v/>
      </c>
      <c r="AE298">
        <f>IF($V298,IF($S298="","",$S298),IF($R298="","",$R298))</f>
        <v/>
      </c>
      <c r="AF298">
        <f>IF($V298,IF($U298="","",$U298),IF($T298="","",$T298))</f>
        <v/>
      </c>
      <c r="AG298">
        <f>IF($V298,IF($O298="","",$O298),IF($P298="","",$P298))</f>
        <v/>
      </c>
      <c r="AH298" t="n">
        <v>0.1650260531715056</v>
      </c>
      <c r="AI298">
        <f>IF($Y298="worse","Yes",IF($Y298="worse, not significant","Not sure",IF(OR($Y298="too few losses to test",$Y298="too few loans to test"),"Too few losses",IF($Y298="","","No"))))</f>
        <v/>
      </c>
      <c r="AJ298">
        <f>IF($AA298="yes","Yes",IF($AA298="","","No"))</f>
        <v/>
      </c>
    </row>
    <row r="299">
      <c r="A299" t="inlineStr">
        <is>
          <t>grids</t>
        </is>
      </c>
      <c r="B299" t="inlineStr">
        <is>
          <t>ORIG_BAL x CHANNEL</t>
        </is>
      </c>
      <c r="C299" t="inlineStr">
        <is>
          <t>49,152 - 59,984</t>
        </is>
      </c>
      <c r="D299" t="inlineStr">
        <is>
          <t>Broker</t>
        </is>
      </c>
      <c r="E299" t="inlineStr">
        <is>
          <t>outcome_loans</t>
        </is>
      </c>
      <c r="F299" t="inlineStr">
        <is>
          <t>Outcome, share of loans</t>
        </is>
      </c>
      <c r="G299" t="n">
        <v>520</v>
      </c>
      <c r="H299" t="n">
        <v>520</v>
      </c>
      <c r="I299" t="b">
        <v>0</v>
      </c>
      <c r="J299" t="b">
        <v>0</v>
      </c>
      <c r="K299" t="n">
        <v>1.100588628762542</v>
      </c>
      <c r="L299" t="n">
        <v>0.7868457855618615</v>
      </c>
      <c r="M299" t="n">
        <v>1.548891786179922</v>
      </c>
      <c r="N299" t="n">
        <v>0.1101102245814047</v>
      </c>
      <c r="O299" t="n">
        <v>4.02139323438962</v>
      </c>
      <c r="P299" t="n">
        <v>15.59259259259259</v>
      </c>
      <c r="Q299">
        <f>'_live'!$C$20</f>
        <v/>
      </c>
      <c r="R299" t="inlineStr">
        <is>
          <t>z test</t>
        </is>
      </c>
      <c r="S299" t="inlineStr">
        <is>
          <t>z test</t>
        </is>
      </c>
      <c r="T299" t="n">
        <v>0.07688193608771227</v>
      </c>
      <c r="U299" t="n">
        <v>0.05462962962962963</v>
      </c>
      <c r="V299">
        <f>AND(judged_band,NOT($J299))</f>
        <v/>
      </c>
      <c r="W299">
        <f>IF($K299="","",IF($I299,"too few losses to test",IF(AND($K299&gt;better_at,$K299&lt;worse_at),"in line",IF($K299&gt;=worse_at,IF(AND(ISNUMBER($L299),$L299&lt;significance_bar),"worse","worse, not significant"),IF(AND(ISNUMBER($L299),$L299&lt;significance_bar),"better","better, not significant")))))</f>
        <v/>
      </c>
      <c r="X299">
        <f>IF($M299="","",IF($I299,"too few losses to test",IF(AND($M299&gt;better_at,$M299&lt;worse_at),"in line",IF($M299&gt;=worse_at,IF(AND(ISNUMBER($N299),$N299&lt;significance_bar),"worse","worse, not significant"),IF(AND(ISNUMBER($N299),$N299&lt;significance_bar),"better","better, not significant")))))</f>
        <v/>
      </c>
      <c r="Y299">
        <f>IF($V299,$X299,$W299)</f>
        <v/>
      </c>
      <c r="Z299">
        <f>IF($V299,IF($P299="","",$P299),IF($O299="","",$O299))</f>
        <v/>
      </c>
      <c r="AA299">
        <f>IF(OR($Q299="",$Z299=""),"",IF(AND($Z299&gt;0,$Z299&gt;=$Q299),"yes","below the line"))</f>
        <v/>
      </c>
      <c r="AB299">
        <f>IF($V299,IF($M299="","",$M299),IF($K299="","",$K299))</f>
        <v/>
      </c>
      <c r="AC299">
        <f>IF($V299,IF($N299="","",$N299),IF($L299="","",$L299))</f>
        <v/>
      </c>
      <c r="AD299">
        <f>$Y299</f>
        <v/>
      </c>
      <c r="AE299">
        <f>IF($V299,IF($S299="","",$S299),IF($R299="","",$R299))</f>
        <v/>
      </c>
      <c r="AF299">
        <f>IF($V299,IF($U299="","",$U299),IF($T299="","",$T299))</f>
        <v/>
      </c>
      <c r="AG299">
        <f>IF($V299,IF($O299="","",$O299),IF($P299="","",$P299))</f>
        <v/>
      </c>
      <c r="AH299" t="n">
        <v>0.08461538461538462</v>
      </c>
      <c r="AI299">
        <f>IF($Y299="worse","Yes",IF($Y299="worse, not significant","Not sure",IF(OR($Y299="too few losses to test",$Y299="too few loans to test"),"Too few losses",IF($Y299="","","No"))))</f>
        <v/>
      </c>
      <c r="AJ299">
        <f>IF($AA299="yes","Yes",IF($AA299="","","No"))</f>
        <v/>
      </c>
    </row>
    <row r="300">
      <c r="A300" t="inlineStr">
        <is>
          <t>grids</t>
        </is>
      </c>
      <c r="B300" t="inlineStr">
        <is>
          <t>ORIG_BAL x CHANNEL</t>
        </is>
      </c>
      <c r="C300" t="inlineStr">
        <is>
          <t>49,152 - 59,984</t>
        </is>
      </c>
      <c r="D300" t="inlineStr">
        <is>
          <t>Broker</t>
        </is>
      </c>
      <c r="E300" t="inlineStr">
        <is>
          <t>outcome_booked</t>
        </is>
      </c>
      <c r="F300" t="inlineStr">
        <is>
          <t>Outcome, share of booked dollars</t>
        </is>
      </c>
      <c r="G300" t="n">
        <v>520</v>
      </c>
      <c r="H300" t="n">
        <v>28497868.09</v>
      </c>
      <c r="I300" t="b">
        <v>0</v>
      </c>
      <c r="J300" t="b">
        <v>0</v>
      </c>
      <c r="K300" t="n">
        <v>1.161604330318945</v>
      </c>
      <c r="L300" t="n">
        <v>0.7730655505877984</v>
      </c>
      <c r="M300" t="n">
        <v>1.560230441510857</v>
      </c>
      <c r="N300" t="n">
        <v>0.1064893510648935</v>
      </c>
      <c r="O300" t="n">
        <v>338572.4073708071</v>
      </c>
      <c r="P300" t="n">
        <v>873845.6858628218</v>
      </c>
      <c r="Q300">
        <f>'_live'!$C$21</f>
        <v/>
      </c>
      <c r="R300" t="inlineStr">
        <is>
          <t>shuffled: 3,607 of 10,000</t>
        </is>
      </c>
      <c r="S300" t="inlineStr">
        <is>
          <t>shuffled: 183 of 10,000</t>
        </is>
      </c>
      <c r="T300" t="n">
        <v>0.07351673241004159</v>
      </c>
      <c r="U300" t="n">
        <v>0.05473380883128294</v>
      </c>
      <c r="V300">
        <f>AND(judged_band,NOT($J300))</f>
        <v/>
      </c>
      <c r="W300">
        <f>IF($K300="","",IF($I300,"too few losses to test",IF(AND($K300&gt;better_at,$K300&lt;worse_at),"in line",IF($K300&gt;=worse_at,IF(AND(ISNUMBER($L300),$L300&lt;significance_bar),"worse","worse, not significant"),IF(AND(ISNUMBER($L300),$L300&lt;significance_bar),"better","better, not significant")))))</f>
        <v/>
      </c>
      <c r="X300">
        <f>IF($M300="","",IF($I300,"too few losses to test",IF(AND($M300&gt;better_at,$M300&lt;worse_at),"in line",IF($M300&gt;=worse_at,IF(AND(ISNUMBER($N300),$N300&lt;significance_bar),"worse","worse, not significant"),IF(AND(ISNUMBER($N300),$N300&lt;significance_bar),"better","better, not significant")))))</f>
        <v/>
      </c>
      <c r="Y300">
        <f>IF($V300,$X300,$W300)</f>
        <v/>
      </c>
      <c r="Z300">
        <f>IF($V300,IF($P300="","",$P300),IF($O300="","",$O300))</f>
        <v/>
      </c>
      <c r="AA300">
        <f>IF(OR($Q300="",$Z300=""),"",IF(AND($Z300&gt;0,$Z300&gt;=$Q300),"yes","below the line"))</f>
        <v/>
      </c>
      <c r="AB300">
        <f>IF($V300,IF($M300="","",$M300),IF($K300="","",$K300))</f>
        <v/>
      </c>
      <c r="AC300">
        <f>IF($V300,IF($N300="","",$N300),IF($L300="","",$L300))</f>
        <v/>
      </c>
      <c r="AD300">
        <f>$Y300</f>
        <v/>
      </c>
      <c r="AE300">
        <f>IF($V300,IF($S300="","",$S300),IF($R300="","",$R300))</f>
        <v/>
      </c>
      <c r="AF300">
        <f>IF($V300,IF($U300="","",$U300),IF($T300="","",$T300))</f>
        <v/>
      </c>
      <c r="AG300">
        <f>IF($V300,IF($O300="","",$O300),IF($P300="","",$P300))</f>
        <v/>
      </c>
      <c r="AH300" t="n">
        <v>0.08539735471840343</v>
      </c>
      <c r="AI300">
        <f>IF($Y300="worse","Yes",IF($Y300="worse, not significant","Not sure",IF(OR($Y300="too few losses to test",$Y300="too few loans to test"),"Too few losses",IF($Y300="","","No"))))</f>
        <v/>
      </c>
      <c r="AJ300">
        <f>IF($AA300="yes","Yes",IF($AA300="","","No"))</f>
        <v/>
      </c>
    </row>
    <row r="301">
      <c r="A301" t="inlineStr">
        <is>
          <t>grids</t>
        </is>
      </c>
      <c r="B301" t="inlineStr">
        <is>
          <t>ORIG_BAL x CHANNEL</t>
        </is>
      </c>
      <c r="C301" t="inlineStr">
        <is>
          <t>49,152 - 59,984</t>
        </is>
      </c>
      <c r="D301" t="inlineStr">
        <is>
          <t>Broker</t>
        </is>
      </c>
      <c r="E301" t="inlineStr">
        <is>
          <t>gco_rate</t>
        </is>
      </c>
      <c r="F301" t="inlineStr">
        <is>
          <t>GCO per booked dollar</t>
        </is>
      </c>
      <c r="G301" t="n">
        <v>520</v>
      </c>
      <c r="H301" t="n">
        <v>28497868.09</v>
      </c>
      <c r="I301" t="b">
        <v>0</v>
      </c>
      <c r="J301" t="b">
        <v>0</v>
      </c>
      <c r="K301" t="n">
        <v>1.208479868569236</v>
      </c>
      <c r="L301" t="n">
        <v>0.672932706729327</v>
      </c>
      <c r="M301" t="n">
        <v>1.696394485627583</v>
      </c>
      <c r="N301" t="n">
        <v>0.07499250074992501</v>
      </c>
      <c r="O301" t="n">
        <v>241623.0426782207</v>
      </c>
      <c r="P301" t="n">
        <v>574965.9365118993</v>
      </c>
      <c r="Q301">
        <f>'_live'!$C$22</f>
        <v/>
      </c>
      <c r="R301" t="inlineStr">
        <is>
          <t>shuffled: 2,566 of 10,000</t>
        </is>
      </c>
      <c r="S301" t="inlineStr">
        <is>
          <t>shuffled: 60 of 10,000</t>
        </is>
      </c>
      <c r="T301" t="n">
        <v>0.04066884630322462</v>
      </c>
      <c r="U301" t="n">
        <v>0.02897172942483435</v>
      </c>
      <c r="V301">
        <f>AND(judged_band,NOT($J301))</f>
        <v/>
      </c>
      <c r="W301">
        <f>IF($K301="","",IF($I301,"too few losses to test",IF(AND($K301&gt;better_at,$K301&lt;worse_at),"in line",IF($K301&gt;=worse_at,IF(AND(ISNUMBER($L301),$L301&lt;significance_bar),"worse","worse, not significant"),IF(AND(ISNUMBER($L301),$L301&lt;significance_bar),"better","better, not significant")))))</f>
        <v/>
      </c>
      <c r="X301">
        <f>IF($M301="","",IF($I301,"too few losses to test",IF(AND($M301&gt;better_at,$M301&lt;worse_at),"in line",IF($M301&gt;=worse_at,IF(AND(ISNUMBER($N301),$N301&lt;significance_bar),"worse","worse, not significant"),IF(AND(ISNUMBER($N301),$N301&lt;significance_bar),"better","better, not significant")))))</f>
        <v/>
      </c>
      <c r="Y301">
        <f>IF($V301,$X301,$W301)</f>
        <v/>
      </c>
      <c r="Z301">
        <f>IF($V301,IF($P301="","",$P301),IF($O301="","",$O301))</f>
        <v/>
      </c>
      <c r="AA301">
        <f>IF(OR($Q301="",$Z301=""),"",IF(AND($Z301&gt;0,$Z301&gt;=$Q301),"yes","below the line"))</f>
        <v/>
      </c>
      <c r="AB301">
        <f>IF($V301,IF($M301="","",$M301),IF($K301="","",$K301))</f>
        <v/>
      </c>
      <c r="AC301">
        <f>IF($V301,IF($N301="","",$N301),IF($L301="","",$L301))</f>
        <v/>
      </c>
      <c r="AD301">
        <f>$Y301</f>
        <v/>
      </c>
      <c r="AE301">
        <f>IF($V301,IF($S301="","",$S301),IF($R301="","",$R301))</f>
        <v/>
      </c>
      <c r="AF301">
        <f>IF($V301,IF($U301="","",$U301),IF($T301="","",$T301))</f>
        <v/>
      </c>
      <c r="AG301">
        <f>IF($V301,IF($O301="","",$O301),IF($P301="","",$P301))</f>
        <v/>
      </c>
      <c r="AH301" t="n">
        <v>0.04914748203538337</v>
      </c>
      <c r="AI301">
        <f>IF($Y301="worse","Yes",IF($Y301="worse, not significant","Not sure",IF(OR($Y301="too few losses to test",$Y301="too few loans to test"),"Too few losses",IF($Y301="","","No"))))</f>
        <v/>
      </c>
      <c r="AJ301">
        <f>IF($AA301="yes","Yes",IF($AA301="","","No"))</f>
        <v/>
      </c>
    </row>
    <row r="302">
      <c r="A302" t="inlineStr">
        <is>
          <t>grids</t>
        </is>
      </c>
      <c r="B302" t="inlineStr">
        <is>
          <t>ORIG_BAL x CHANNEL</t>
        </is>
      </c>
      <c r="C302" t="inlineStr">
        <is>
          <t>49,152 - 59,984</t>
        </is>
      </c>
      <c r="D302" t="inlineStr">
        <is>
          <t>Broker</t>
        </is>
      </c>
      <c r="E302" t="inlineStr">
        <is>
          <t>ranr_rate</t>
        </is>
      </c>
      <c r="F302" t="inlineStr">
        <is>
          <t>Profit after losses: RANR per booked dollar</t>
        </is>
      </c>
      <c r="G302" t="n">
        <v>520</v>
      </c>
      <c r="H302" t="n">
        <v>28497868.09</v>
      </c>
      <c r="I302" t="b">
        <v>0</v>
      </c>
      <c r="J302" t="b">
        <v>0</v>
      </c>
      <c r="K302" t="n">
        <v>-0.02081345334242593</v>
      </c>
      <c r="L302" t="n">
        <v>0.08774122587741225</v>
      </c>
      <c r="M302" t="n">
        <v>-0.03109008182877401</v>
      </c>
      <c r="N302" t="n">
        <v>0.00374962503749625</v>
      </c>
      <c r="O302" t="n">
        <v>593139.0478498237</v>
      </c>
      <c r="P302" t="n">
        <v>886001.0508637079</v>
      </c>
      <c r="Q302">
        <f>'_live'!$C$23</f>
        <v/>
      </c>
      <c r="R302" t="inlineStr">
        <is>
          <t>shuffled: 254 of 10,000</t>
        </is>
      </c>
      <c r="S302" t="inlineStr">
        <is>
          <t>shuffled: 3 of 10,000</t>
        </is>
      </c>
      <c r="T302" t="n">
        <v>0.1302884284580119</v>
      </c>
      <c r="U302" t="n">
        <v>0.1405650569443599</v>
      </c>
      <c r="V302">
        <f>AND(judged_band,NOT($J302))</f>
        <v/>
      </c>
      <c r="W302">
        <f>IF($K302="","",IF(profit_kind="test",IF(OR(NOT(AND(ISNUMBER($L302),$L302&lt;significance_bar)),$K302=0),"in line",IF($K302&lt;0,"worse","better")),IF(OR($K302=0,IF(profit_kind="points",ABS($K302),ABS($K302*$H302))&lt;profit_line*(1-1E-9)),"in line",IF(AND(ISNUMBER($L302),$L302&lt;significance_bar),IF($K302&lt;0,"worse","better"),IF($K302&lt;0,"worse, not significant","better, not significant")))))</f>
        <v/>
      </c>
      <c r="X302">
        <f>IF($M302="","",IF(profit_kind="test",IF(OR(NOT(AND(ISNUMBER($N302),$N302&lt;significance_bar)),$M302=0),"in line",IF($M302&lt;0,"worse","better")),IF(OR($M302=0,IF(profit_kind="points",ABS($M302),ABS($M302*$H302))&lt;profit_line*(1-1E-9)),"in line",IF(AND(ISNUMBER($N302),$N302&lt;significance_bar),IF($M302&lt;0,"worse","better"),IF($M302&lt;0,"worse, not significant","better, not significant")))))</f>
        <v/>
      </c>
      <c r="Y302">
        <f>IF($V302,$X302,$W302)</f>
        <v/>
      </c>
      <c r="Z302">
        <f>IF($V302,IF($P302="","",$P302),IF($O302="","",$O302))</f>
        <v/>
      </c>
      <c r="AA302">
        <f>IF(OR($Q302="",$Z302=""),"",IF(AND($Z302&gt;0,$Z302&gt;=$Q302),"yes","below the line"))</f>
        <v/>
      </c>
      <c r="AB302">
        <f>IF($V302,IF($M302="","",$M302),IF($K302="","",$K302))</f>
        <v/>
      </c>
      <c r="AC302">
        <f>IF($V302,IF($N302="","",$N302),IF($L302="","",$L302))</f>
        <v/>
      </c>
      <c r="AD302">
        <f>IF($Y302="","",IF($Y302="in line",IF(profit_kind="test",IF(ROUND($AB302*100,2)=0,"0.00",TEXT($AB302*100,"+0.00;-0.00"))&amp;" points against "&amp;IF($V302,"its band","the book")&amp;", "&amp;IF($AC302="","not tested","not significant"),IF(profit_kind="points","within "&amp;TEXT(profit_line*100,"0.00")&amp;" points of "&amp;IF($V302,"its band","the book")&amp;" ("&amp;IF(ROUND($AB302*100,2)=0,"0.00",TEXT($AB302*100,"+0.00;-0.00"))&amp;")","within $"&amp;TEXT(profit_line,"#,##0")&amp;" of "&amp;IF($V302,"its band","the book")&amp;" ("&amp;IF(ROUND($AB302*100,2)=0,"0.00",TEXT($AB302*100,"+0.00;-0.00"))&amp;" points)")),IF(LEFT($Y302,5)="worse","short of ","ahead of ")&amp;IF($V302,"its band","the book")&amp;" by "&amp;TEXT(ABS($AB302)*100,"0.00")&amp;" points"&amp;IF($Z302="",""," ($"&amp;TEXT(ABS($Z302),"#,##0")&amp;")")&amp;IF(RIGHT($Y302,15)="not significant"," (not significant)","")))</f>
        <v/>
      </c>
      <c r="AE302">
        <f>IF($V302,IF($S302="","",$S302),IF($R302="","",$R302))</f>
        <v/>
      </c>
      <c r="AF302">
        <f>IF($V302,IF($U302="","",$U302),IF($T302="","",$T302))</f>
        <v/>
      </c>
      <c r="AG302">
        <f>IF($V302,IF($O302="","",$O302),IF($P302="","",$P302))</f>
        <v/>
      </c>
      <c r="AH302" t="n">
        <v>0.1094749751155859</v>
      </c>
      <c r="AI302">
        <f>IF($Y302="worse","Yes",IF($Y302="worse, not significant","Not sure",IF(OR($Y302="too few losses to test",$Y302="too few loans to test"),"Too few losses",IF($Y302="","","No"))))</f>
        <v/>
      </c>
      <c r="AJ302">
        <f>IF($AA302="yes","Yes",IF($AA302="","","No"))</f>
        <v/>
      </c>
    </row>
    <row r="303">
      <c r="A303" t="inlineStr">
        <is>
          <t>grids</t>
        </is>
      </c>
      <c r="B303" t="inlineStr">
        <is>
          <t>ORIG_BAL x CHANNEL</t>
        </is>
      </c>
      <c r="C303" t="inlineStr">
        <is>
          <t>49,152 - 59,984</t>
        </is>
      </c>
      <c r="D303" t="inlineStr">
        <is>
          <t>Broker</t>
        </is>
      </c>
      <c r="E303" t="inlineStr">
        <is>
          <t>contribution_rate</t>
        </is>
      </c>
      <c r="F303" t="inlineStr">
        <is>
          <t>Contribution before losses per booked dollar</t>
        </is>
      </c>
      <c r="G303" t="n">
        <v>520</v>
      </c>
      <c r="H303" t="n">
        <v>28497868.09</v>
      </c>
      <c r="I303" t="b">
        <v>0</v>
      </c>
      <c r="J303" t="b">
        <v>0</v>
      </c>
      <c r="K303" t="n">
        <v>-0.01233200074334709</v>
      </c>
      <c r="L303" t="n">
        <v>0.09341922950562086</v>
      </c>
      <c r="M303" t="n">
        <v>-0.01091432921822508</v>
      </c>
      <c r="N303" t="n">
        <v>0.1157611511576115</v>
      </c>
      <c r="O303" t="n">
        <v>351435.7304696869</v>
      </c>
      <c r="P303" t="n">
        <v>311035.1143518109</v>
      </c>
      <c r="Q303">
        <f>'_live'!$C$24</f>
        <v/>
      </c>
      <c r="R303" t="inlineStr">
        <is>
          <t>shuffled: 435 of 10,000</t>
        </is>
      </c>
      <c r="S303" t="inlineStr">
        <is>
          <t>shuffled: 848 of 10,000</t>
        </is>
      </c>
      <c r="T303" t="n">
        <v>0.1709544578943163</v>
      </c>
      <c r="U303" t="n">
        <v>0.1695367863691943</v>
      </c>
      <c r="V303">
        <f>AND(judged_band,NOT($J303))</f>
        <v/>
      </c>
      <c r="W303">
        <f>IF($K303="","",IF(profit_kind="test",IF(OR(NOT(AND(ISNUMBER($L303),$L303&lt;significance_bar)),$K303=0),"in line",IF($K303&lt;0,"worse","better")),IF(OR($K303=0,IF(profit_kind="points",ABS($K303),ABS($K303*$H303))&lt;profit_line*(1-1E-9)),"in line",IF(AND(ISNUMBER($L303),$L303&lt;significance_bar),IF($K303&lt;0,"worse","better"),IF($K303&lt;0,"worse, not significant","better, not significant")))))</f>
        <v/>
      </c>
      <c r="X303">
        <f>IF($M303="","",IF(profit_kind="test",IF(OR(NOT(AND(ISNUMBER($N303),$N303&lt;significance_bar)),$M303=0),"in line",IF($M303&lt;0,"worse","better")),IF(OR($M303=0,IF(profit_kind="points",ABS($M303),ABS($M303*$H303))&lt;profit_line*(1-1E-9)),"in line",IF(AND(ISNUMBER($N303),$N303&lt;significance_bar),IF($M303&lt;0,"worse","better"),IF($M303&lt;0,"worse, not significant","better, not significant")))))</f>
        <v/>
      </c>
      <c r="Y303">
        <f>IF($V303,$X303,$W303)</f>
        <v/>
      </c>
      <c r="Z303">
        <f>IF($V303,IF($P303="","",$P303),IF($O303="","",$O303))</f>
        <v/>
      </c>
      <c r="AA303">
        <f>IF(OR($Q303="",$Z303=""),"",IF(AND($Z303&gt;0,$Z303&gt;=$Q303),"yes","below the line"))</f>
        <v/>
      </c>
      <c r="AB303">
        <f>IF($V303,IF($M303="","",$M303),IF($K303="","",$K303))</f>
        <v/>
      </c>
      <c r="AC303">
        <f>IF($V303,IF($N303="","",$N303),IF($L303="","",$L303))</f>
        <v/>
      </c>
      <c r="AD303">
        <f>IF($Y303="","",IF($Y303="in line",IF(profit_kind="test",IF(ROUND($AB303*100,2)=0,"0.00",TEXT($AB303*100,"+0.00;-0.00"))&amp;" points against "&amp;IF($V303,"its band","the book")&amp;", "&amp;IF($AC303="","not tested","not significant"),IF(profit_kind="points","within "&amp;TEXT(profit_line*100,"0.00")&amp;" points of "&amp;IF($V303,"its band","the book")&amp;" ("&amp;IF(ROUND($AB303*100,2)=0,"0.00",TEXT($AB303*100,"+0.00;-0.00"))&amp;")","within $"&amp;TEXT(profit_line,"#,##0")&amp;" of "&amp;IF($V303,"its band","the book")&amp;" ("&amp;IF(ROUND($AB303*100,2)=0,"0.00",TEXT($AB303*100,"+0.00;-0.00"))&amp;" points)")),IF(LEFT($Y303,5)="worse","short of ","ahead of ")&amp;IF($V303,"its band","the book")&amp;" by "&amp;TEXT(ABS($AB303)*100,"0.00")&amp;" points"&amp;IF($Z303="",""," ($"&amp;TEXT(ABS($Z303),"#,##0")&amp;")")&amp;IF(RIGHT($Y303,15)="not significant"," (not significant)","")))</f>
        <v/>
      </c>
      <c r="AE303">
        <f>IF($V303,IF($S303="","",$S303),IF($R303="","",$R303))</f>
        <v/>
      </c>
      <c r="AF303">
        <f>IF($V303,IF($U303="","",$U303),IF($T303="","",$T303))</f>
        <v/>
      </c>
      <c r="AG303">
        <f>IF($V303,IF($O303="","",$O303),IF($P303="","",$P303))</f>
        <v/>
      </c>
      <c r="AH303" t="n">
        <v>0.1586224571509692</v>
      </c>
      <c r="AI303">
        <f>IF($Y303="worse","Yes",IF($Y303="worse, not significant","Not sure",IF(OR($Y303="too few losses to test",$Y303="too few loans to test"),"Too few losses",IF($Y303="","","No"))))</f>
        <v/>
      </c>
      <c r="AJ303">
        <f>IF($AA303="yes","Yes",IF($AA303="","","No"))</f>
        <v/>
      </c>
    </row>
    <row r="304">
      <c r="A304" t="inlineStr">
        <is>
          <t>grids</t>
        </is>
      </c>
      <c r="B304" t="inlineStr">
        <is>
          <t>ORIG_BAL x ASSET_CLASS</t>
        </is>
      </c>
      <c r="C304" t="inlineStr">
        <is>
          <t>5,005 - 15,448</t>
        </is>
      </c>
      <c r="D304" t="inlineStr">
        <is>
          <t>1</t>
        </is>
      </c>
      <c r="E304" t="inlineStr">
        <is>
          <t>outcome_loans</t>
        </is>
      </c>
      <c r="F304" t="inlineStr">
        <is>
          <t>Outcome, share of loans</t>
        </is>
      </c>
      <c r="G304" t="n">
        <v>417</v>
      </c>
      <c r="H304" t="n">
        <v>417</v>
      </c>
      <c r="I304" t="b">
        <v>0</v>
      </c>
      <c r="J304" t="b">
        <v>0</v>
      </c>
      <c r="K304" t="n">
        <v>0.7971983290264921</v>
      </c>
      <c r="L304" t="n">
        <v>0.3252137135481511</v>
      </c>
      <c r="M304" t="n">
        <v>0.7604143489332246</v>
      </c>
      <c r="N304" t="n">
        <v>0.3552107074040262</v>
      </c>
      <c r="O304" t="n">
        <v>-6.614217884463201</v>
      </c>
      <c r="P304" t="n">
        <v>-8.191885038038883</v>
      </c>
      <c r="Q304">
        <f>'_live'!$C$20</f>
        <v/>
      </c>
      <c r="R304" t="inlineStr">
        <is>
          <t>z test</t>
        </is>
      </c>
      <c r="S304" t="inlineStr">
        <is>
          <t>z test</t>
        </is>
      </c>
      <c r="T304" t="n">
        <v>0.07821155367976787</v>
      </c>
      <c r="U304" t="n">
        <v>0.08199492814877431</v>
      </c>
      <c r="V304">
        <f>AND(judged_band,NOT($J304))</f>
        <v/>
      </c>
      <c r="W304">
        <f>IF($K304="","",IF($I304,"too few losses to test",IF(AND($K304&gt;better_at,$K304&lt;worse_at),"in line",IF($K304&gt;=worse_at,IF(AND(ISNUMBER($L304),$L304&lt;significance_bar),"worse","worse, not significant"),IF(AND(ISNUMBER($L304),$L304&lt;significance_bar),"better","better, not significant")))))</f>
        <v/>
      </c>
      <c r="X304">
        <f>IF($M304="","",IF($I304,"too few losses to test",IF(AND($M304&gt;better_at,$M304&lt;worse_at),"in line",IF($M304&gt;=worse_at,IF(AND(ISNUMBER($N304),$N304&lt;significance_bar),"worse","worse, not significant"),IF(AND(ISNUMBER($N304),$N304&lt;significance_bar),"better","better, not significant")))))</f>
        <v/>
      </c>
      <c r="Y304">
        <f>IF($V304,$X304,$W304)</f>
        <v/>
      </c>
      <c r="Z304">
        <f>IF($V304,IF($P304="","",$P304),IF($O304="","",$O304))</f>
        <v/>
      </c>
      <c r="AA304">
        <f>IF(OR($Q304="",$Z304=""),"",IF(AND($Z304&gt;0,$Z304&gt;=$Q304),"yes","below the line"))</f>
        <v/>
      </c>
      <c r="AB304">
        <f>IF($V304,IF($M304="","",$M304),IF($K304="","",$K304))</f>
        <v/>
      </c>
      <c r="AC304">
        <f>IF($V304,IF($N304="","",$N304),IF($L304="","",$L304))</f>
        <v/>
      </c>
      <c r="AD304">
        <f>$Y304</f>
        <v/>
      </c>
      <c r="AE304">
        <f>IF($V304,IF($S304="","",$S304),IF($R304="","",$R304))</f>
        <v/>
      </c>
      <c r="AF304">
        <f>IF($V304,IF($U304="","",$U304),IF($T304="","",$T304))</f>
        <v/>
      </c>
      <c r="AG304">
        <f>IF($V304,IF($O304="","",$O304),IF($P304="","",$P304))</f>
        <v/>
      </c>
      <c r="AH304" t="n">
        <v>0.06235011990407674</v>
      </c>
      <c r="AI304">
        <f>IF($Y304="worse","Yes",IF($Y304="worse, not significant","Not sure",IF(OR($Y304="too few losses to test",$Y304="too few loans to test"),"Too few losses",IF($Y304="","","No"))))</f>
        <v/>
      </c>
      <c r="AJ304">
        <f>IF($AA304="yes","Yes",IF($AA304="","","No"))</f>
        <v/>
      </c>
    </row>
    <row r="305">
      <c r="A305" t="inlineStr">
        <is>
          <t>grids</t>
        </is>
      </c>
      <c r="B305" t="inlineStr">
        <is>
          <t>ORIG_BAL x ASSET_CLASS</t>
        </is>
      </c>
      <c r="C305" t="inlineStr">
        <is>
          <t>5,005 - 15,448</t>
        </is>
      </c>
      <c r="D305" t="inlineStr">
        <is>
          <t>1</t>
        </is>
      </c>
      <c r="E305" t="inlineStr">
        <is>
          <t>outcome_booked</t>
        </is>
      </c>
      <c r="F305" t="inlineStr">
        <is>
          <t>Outcome, share of booked dollars</t>
        </is>
      </c>
      <c r="G305" t="n">
        <v>417</v>
      </c>
      <c r="H305" t="n">
        <v>4250568.4</v>
      </c>
      <c r="I305" t="b">
        <v>0</v>
      </c>
      <c r="J305" t="b">
        <v>0</v>
      </c>
      <c r="K305" t="n">
        <v>0.8206885120914275</v>
      </c>
      <c r="L305" t="n">
        <v>0.4854514548545146</v>
      </c>
      <c r="M305" t="n">
        <v>0.7648073422268861</v>
      </c>
      <c r="N305" t="n">
        <v>0.3952938039529381</v>
      </c>
      <c r="O305" t="n">
        <v>-57201.71155005076</v>
      </c>
      <c r="P305" t="n">
        <v>-80510.21286371187</v>
      </c>
      <c r="Q305">
        <f>'_live'!$C$21</f>
        <v/>
      </c>
      <c r="R305" t="inlineStr">
        <is>
          <t>shuffled: 3,557 of 10,000</t>
        </is>
      </c>
      <c r="S305" t="inlineStr">
        <is>
          <t>shuffled: 2,285 of 10,000</t>
        </is>
      </c>
      <c r="T305" t="n">
        <v>0.0750505536036194</v>
      </c>
      <c r="U305" t="n">
        <v>0.0805341734681206</v>
      </c>
      <c r="V305">
        <f>AND(judged_band,NOT($J305))</f>
        <v/>
      </c>
      <c r="W305">
        <f>IF($K305="","",IF($I305,"too few losses to test",IF(AND($K305&gt;better_at,$K305&lt;worse_at),"in line",IF($K305&gt;=worse_at,IF(AND(ISNUMBER($L305),$L305&lt;significance_bar),"worse","worse, not significant"),IF(AND(ISNUMBER($L305),$L305&lt;significance_bar),"better","better, not significant")))))</f>
        <v/>
      </c>
      <c r="X305">
        <f>IF($M305="","",IF($I305,"too few losses to test",IF(AND($M305&gt;better_at,$M305&lt;worse_at),"in line",IF($M305&gt;=worse_at,IF(AND(ISNUMBER($N305),$N305&lt;significance_bar),"worse","worse, not significant"),IF(AND(ISNUMBER($N305),$N305&lt;significance_bar),"better","better, not significant")))))</f>
        <v/>
      </c>
      <c r="Y305">
        <f>IF($V305,$X305,$W305)</f>
        <v/>
      </c>
      <c r="Z305">
        <f>IF($V305,IF($P305="","",$P305),IF($O305="","",$O305))</f>
        <v/>
      </c>
      <c r="AA305">
        <f>IF(OR($Q305="",$Z305=""),"",IF(AND($Z305&gt;0,$Z305&gt;=$Q305),"yes","below the line"))</f>
        <v/>
      </c>
      <c r="AB305">
        <f>IF($V305,IF($M305="","",$M305),IF($K305="","",$K305))</f>
        <v/>
      </c>
      <c r="AC305">
        <f>IF($V305,IF($N305="","",$N305),IF($L305="","",$L305))</f>
        <v/>
      </c>
      <c r="AD305">
        <f>$Y305</f>
        <v/>
      </c>
      <c r="AE305">
        <f>IF($V305,IF($S305="","",$S305),IF($R305="","",$R305))</f>
        <v/>
      </c>
      <c r="AF305">
        <f>IF($V305,IF($U305="","",$U305),IF($T305="","",$T305))</f>
        <v/>
      </c>
      <c r="AG305">
        <f>IF($V305,IF($O305="","",$O305),IF($P305="","",$P305))</f>
        <v/>
      </c>
      <c r="AH305" t="n">
        <v>0.06159312716859232</v>
      </c>
      <c r="AI305">
        <f>IF($Y305="worse","Yes",IF($Y305="worse, not significant","Not sure",IF(OR($Y305="too few losses to test",$Y305="too few loans to test"),"Too few losses",IF($Y305="","","No"))))</f>
        <v/>
      </c>
      <c r="AJ305">
        <f>IF($AA305="yes","Yes",IF($AA305="","","No"))</f>
        <v/>
      </c>
    </row>
    <row r="306">
      <c r="A306" t="inlineStr">
        <is>
          <t>grids</t>
        </is>
      </c>
      <c r="B306" t="inlineStr">
        <is>
          <t>ORIG_BAL x ASSET_CLASS</t>
        </is>
      </c>
      <c r="C306" t="inlineStr">
        <is>
          <t>5,005 - 15,448</t>
        </is>
      </c>
      <c r="D306" t="inlineStr">
        <is>
          <t>1</t>
        </is>
      </c>
      <c r="E306" t="inlineStr">
        <is>
          <t>gco_rate</t>
        </is>
      </c>
      <c r="F306" t="inlineStr">
        <is>
          <t>GCO per booked dollar</t>
        </is>
      </c>
      <c r="G306" t="n">
        <v>417</v>
      </c>
      <c r="H306" t="n">
        <v>4250568.4</v>
      </c>
      <c r="I306" t="b">
        <v>0</v>
      </c>
      <c r="J306" t="b">
        <v>0</v>
      </c>
      <c r="K306" t="n">
        <v>0.7863405575610608</v>
      </c>
      <c r="L306" t="n">
        <v>0.4422634659610962</v>
      </c>
      <c r="M306" t="n">
        <v>0.7388470693004106</v>
      </c>
      <c r="N306" t="n">
        <v>0.358327803583278</v>
      </c>
      <c r="O306" t="n">
        <v>-37918.28288026672</v>
      </c>
      <c r="P306" t="n">
        <v>-49326.19284476672</v>
      </c>
      <c r="Q306">
        <f>'_live'!$C$22</f>
        <v/>
      </c>
      <c r="R306" t="inlineStr">
        <is>
          <t>shuffled: 2,874 of 10,000</t>
        </is>
      </c>
      <c r="S306" t="inlineStr">
        <is>
          <t>shuffled: 1,970 of 10,000</t>
        </is>
      </c>
      <c r="T306" t="n">
        <v>0.04175221903975636</v>
      </c>
      <c r="U306" t="n">
        <v>0.04443607420710292</v>
      </c>
      <c r="V306">
        <f>AND(judged_band,NOT($J306))</f>
        <v/>
      </c>
      <c r="W306">
        <f>IF($K306="","",IF($I306,"too few losses to test",IF(AND($K306&gt;better_at,$K306&lt;worse_at),"in line",IF($K306&gt;=worse_at,IF(AND(ISNUMBER($L306),$L306&lt;significance_bar),"worse","worse, not significant"),IF(AND(ISNUMBER($L306),$L306&lt;significance_bar),"better","better, not significant")))))</f>
        <v/>
      </c>
      <c r="X306">
        <f>IF($M306="","",IF($I306,"too few losses to test",IF(AND($M306&gt;better_at,$M306&lt;worse_at),"in line",IF($M306&gt;=worse_at,IF(AND(ISNUMBER($N306),$N306&lt;significance_bar),"worse","worse, not significant"),IF(AND(ISNUMBER($N306),$N306&lt;significance_bar),"better","better, not significant")))))</f>
        <v/>
      </c>
      <c r="Y306">
        <f>IF($V306,$X306,$W306)</f>
        <v/>
      </c>
      <c r="Z306">
        <f>IF($V306,IF($P306="","",$P306),IF($O306="","",$O306))</f>
        <v/>
      </c>
      <c r="AA306">
        <f>IF(OR($Q306="",$Z306=""),"",IF(AND($Z306&gt;0,$Z306&gt;=$Q306),"yes","below the line"))</f>
        <v/>
      </c>
      <c r="AB306">
        <f>IF($V306,IF($M306="","",$M306),IF($K306="","",$K306))</f>
        <v/>
      </c>
      <c r="AC306">
        <f>IF($V306,IF($N306="","",$N306),IF($L306="","",$L306))</f>
        <v/>
      </c>
      <c r="AD306">
        <f>$Y306</f>
        <v/>
      </c>
      <c r="AE306">
        <f>IF($V306,IF($S306="","",$S306),IF($R306="","",$R306))</f>
        <v/>
      </c>
      <c r="AF306">
        <f>IF($V306,IF($U306="","",$U306),IF($T306="","",$T306))</f>
        <v/>
      </c>
      <c r="AG306">
        <f>IF($V306,IF($O306="","",$O306),IF($P306="","",$P306))</f>
        <v/>
      </c>
      <c r="AH306" t="n">
        <v>0.03283146319913356</v>
      </c>
      <c r="AI306">
        <f>IF($Y306="worse","Yes",IF($Y306="worse, not significant","Not sure",IF(OR($Y306="too few losses to test",$Y306="too few loans to test"),"Too few losses",IF($Y306="","","No"))))</f>
        <v/>
      </c>
      <c r="AJ306">
        <f>IF($AA306="yes","Yes",IF($AA306="","","No"))</f>
        <v/>
      </c>
    </row>
    <row r="307">
      <c r="A307" t="inlineStr">
        <is>
          <t>grids</t>
        </is>
      </c>
      <c r="B307" t="inlineStr">
        <is>
          <t>ORIG_BAL x ASSET_CLASS</t>
        </is>
      </c>
      <c r="C307" t="inlineStr">
        <is>
          <t>5,005 - 15,448</t>
        </is>
      </c>
      <c r="D307" t="inlineStr">
        <is>
          <t>1</t>
        </is>
      </c>
      <c r="E307" t="inlineStr">
        <is>
          <t>ranr_rate</t>
        </is>
      </c>
      <c r="F307" t="inlineStr">
        <is>
          <t>Profit after losses: RANR per booked dollar</t>
        </is>
      </c>
      <c r="G307" t="n">
        <v>417</v>
      </c>
      <c r="H307" t="n">
        <v>4250568.4</v>
      </c>
      <c r="I307" t="b">
        <v>0</v>
      </c>
      <c r="J307" t="b">
        <v>0</v>
      </c>
      <c r="K307" t="n">
        <v>0.03544298386846428</v>
      </c>
      <c r="L307" t="n">
        <v>0.005999400059994</v>
      </c>
      <c r="M307" t="n">
        <v>0.02190514263552837</v>
      </c>
      <c r="N307" t="n">
        <v>0.4399560043995601</v>
      </c>
      <c r="O307" t="n">
        <v>-150652.827233004</v>
      </c>
      <c r="P307" t="n">
        <v>-93109.30708406959</v>
      </c>
      <c r="Q307">
        <f>'_live'!$C$23</f>
        <v/>
      </c>
      <c r="R307" t="inlineStr">
        <is>
          <t>shuffled: 2 of 10,000</t>
        </is>
      </c>
      <c r="S307" t="inlineStr">
        <is>
          <t>shuffled: 439 of 10,000</t>
        </is>
      </c>
      <c r="T307" t="n">
        <v>0.127406278832496</v>
      </c>
      <c r="U307" t="n">
        <v>0.1409441200654319</v>
      </c>
      <c r="V307">
        <f>AND(judged_band,NOT($J307))</f>
        <v/>
      </c>
      <c r="W307">
        <f>IF($K307="","",IF(profit_kind="test",IF(OR(NOT(AND(ISNUMBER($L307),$L307&lt;significance_bar)),$K307=0),"in line",IF($K307&lt;0,"worse","better")),IF(OR($K307=0,IF(profit_kind="points",ABS($K307),ABS($K307*$H307))&lt;profit_line*(1-1E-9)),"in line",IF(AND(ISNUMBER($L307),$L307&lt;significance_bar),IF($K307&lt;0,"worse","better"),IF($K307&lt;0,"worse, not significant","better, not significant")))))</f>
        <v/>
      </c>
      <c r="X307">
        <f>IF($M307="","",IF(profit_kind="test",IF(OR(NOT(AND(ISNUMBER($N307),$N307&lt;significance_bar)),$M307=0),"in line",IF($M307&lt;0,"worse","better")),IF(OR($M307=0,IF(profit_kind="points",ABS($M307),ABS($M307*$H307))&lt;profit_line*(1-1E-9)),"in line",IF(AND(ISNUMBER($N307),$N307&lt;significance_bar),IF($M307&lt;0,"worse","better"),IF($M307&lt;0,"worse, not significant","better, not significant")))))</f>
        <v/>
      </c>
      <c r="Y307">
        <f>IF($V307,$X307,$W307)</f>
        <v/>
      </c>
      <c r="Z307">
        <f>IF($V307,IF($P307="","",$P307),IF($O307="","",$O307))</f>
        <v/>
      </c>
      <c r="AA307">
        <f>IF(OR($Q307="",$Z307=""),"",IF(AND($Z307&gt;0,$Z307&gt;=$Q307),"yes","below the line"))</f>
        <v/>
      </c>
      <c r="AB307">
        <f>IF($V307,IF($M307="","",$M307),IF($K307="","",$K307))</f>
        <v/>
      </c>
      <c r="AC307">
        <f>IF($V307,IF($N307="","",$N307),IF($L307="","",$L307))</f>
        <v/>
      </c>
      <c r="AD307">
        <f>IF($Y307="","",IF($Y307="in line",IF(profit_kind="test",IF(ROUND($AB307*100,2)=0,"0.00",TEXT($AB307*100,"+0.00;-0.00"))&amp;" points against "&amp;IF($V307,"its band","the book")&amp;", "&amp;IF($AC307="","not tested","not significant"),IF(profit_kind="points","within "&amp;TEXT(profit_line*100,"0.00")&amp;" points of "&amp;IF($V307,"its band","the book")&amp;" ("&amp;IF(ROUND($AB307*100,2)=0,"0.00",TEXT($AB307*100,"+0.00;-0.00"))&amp;")","within $"&amp;TEXT(profit_line,"#,##0")&amp;" of "&amp;IF($V307,"its band","the book")&amp;" ("&amp;IF(ROUND($AB307*100,2)=0,"0.00",TEXT($AB307*100,"+0.00;-0.00"))&amp;" points)")),IF(LEFT($Y307,5)="worse","short of ","ahead of ")&amp;IF($V307,"its band","the book")&amp;" by "&amp;TEXT(ABS($AB307)*100,"0.00")&amp;" points"&amp;IF($Z307="",""," ($"&amp;TEXT(ABS($Z307),"#,##0")&amp;")")&amp;IF(RIGHT($Y307,15)="not significant"," (not significant)","")))</f>
        <v/>
      </c>
      <c r="AE307">
        <f>IF($V307,IF($S307="","",$S307),IF($R307="","",$R307))</f>
        <v/>
      </c>
      <c r="AF307">
        <f>IF($V307,IF($U307="","",$U307),IF($T307="","",$T307))</f>
        <v/>
      </c>
      <c r="AG307">
        <f>IF($V307,IF($O307="","",$O307),IF($P307="","",$P307))</f>
        <v/>
      </c>
      <c r="AH307" t="n">
        <v>0.1628492627009603</v>
      </c>
      <c r="AI307">
        <f>IF($Y307="worse","Yes",IF($Y307="worse, not significant","Not sure",IF(OR($Y307="too few losses to test",$Y307="too few loans to test"),"Too few losses",IF($Y307="","","No"))))</f>
        <v/>
      </c>
      <c r="AJ307">
        <f>IF($AA307="yes","Yes",IF($AA307="","","No"))</f>
        <v/>
      </c>
    </row>
    <row r="308">
      <c r="A308" t="inlineStr">
        <is>
          <t>grids</t>
        </is>
      </c>
      <c r="B308" t="inlineStr">
        <is>
          <t>ORIG_BAL x ASSET_CLASS</t>
        </is>
      </c>
      <c r="C308" t="inlineStr">
        <is>
          <t>5,005 - 15,448</t>
        </is>
      </c>
      <c r="D308" t="inlineStr">
        <is>
          <t>1</t>
        </is>
      </c>
      <c r="E308" t="inlineStr">
        <is>
          <t>contribution_rate</t>
        </is>
      </c>
      <c r="F308" t="inlineStr">
        <is>
          <t>Contribution before losses per booked dollar</t>
        </is>
      </c>
      <c r="G308" t="n">
        <v>417</v>
      </c>
      <c r="H308" t="n">
        <v>4250568.4</v>
      </c>
      <c r="I308" t="b">
        <v>0</v>
      </c>
      <c r="J308" t="b">
        <v>0</v>
      </c>
      <c r="K308" t="n">
        <v>0.02652522645113617</v>
      </c>
      <c r="L308" t="n">
        <v>0.005999400059994</v>
      </c>
      <c r="M308" t="n">
        <v>0.0103005316275592</v>
      </c>
      <c r="N308" t="n">
        <v>0.4370991472281344</v>
      </c>
      <c r="O308" t="n">
        <v>-112747.2893560436</v>
      </c>
      <c r="P308" t="n">
        <v>-43783.11423930374</v>
      </c>
      <c r="Q308">
        <f>'_live'!$C$24</f>
        <v/>
      </c>
      <c r="R308" t="inlineStr">
        <is>
          <t>shuffled: 2 of 10,000</t>
        </is>
      </c>
      <c r="S308" t="inlineStr">
        <is>
          <t>shuffled: 1,482 of 10,000</t>
        </is>
      </c>
      <c r="T308" t="n">
        <v>0.1691554994489577</v>
      </c>
      <c r="U308" t="n">
        <v>0.1853801942725347</v>
      </c>
      <c r="V308">
        <f>AND(judged_band,NOT($J308))</f>
        <v/>
      </c>
      <c r="W308">
        <f>IF($K308="","",IF(profit_kind="test",IF(OR(NOT(AND(ISNUMBER($L308),$L308&lt;significance_bar)),$K308=0),"in line",IF($K308&lt;0,"worse","better")),IF(OR($K308=0,IF(profit_kind="points",ABS($K308),ABS($K308*$H308))&lt;profit_line*(1-1E-9)),"in line",IF(AND(ISNUMBER($L308),$L308&lt;significance_bar),IF($K308&lt;0,"worse","better"),IF($K308&lt;0,"worse, not significant","better, not significant")))))</f>
        <v/>
      </c>
      <c r="X308">
        <f>IF($M308="","",IF(profit_kind="test",IF(OR(NOT(AND(ISNUMBER($N308),$N308&lt;significance_bar)),$M308=0),"in line",IF($M308&lt;0,"worse","better")),IF(OR($M308=0,IF(profit_kind="points",ABS($M308),ABS($M308*$H308))&lt;profit_line*(1-1E-9)),"in line",IF(AND(ISNUMBER($N308),$N308&lt;significance_bar),IF($M308&lt;0,"worse","better"),IF($M308&lt;0,"worse, not significant","better, not significant")))))</f>
        <v/>
      </c>
      <c r="Y308">
        <f>IF($V308,$X308,$W308)</f>
        <v/>
      </c>
      <c r="Z308">
        <f>IF($V308,IF($P308="","",$P308),IF($O308="","",$O308))</f>
        <v/>
      </c>
      <c r="AA308">
        <f>IF(OR($Q308="",$Z308=""),"",IF(AND($Z308&gt;0,$Z308&gt;=$Q308),"yes","below the line"))</f>
        <v/>
      </c>
      <c r="AB308">
        <f>IF($V308,IF($M308="","",$M308),IF($K308="","",$K308))</f>
        <v/>
      </c>
      <c r="AC308">
        <f>IF($V308,IF($N308="","",$N308),IF($L308="","",$L308))</f>
        <v/>
      </c>
      <c r="AD308">
        <f>IF($Y308="","",IF($Y308="in line",IF(profit_kind="test",IF(ROUND($AB308*100,2)=0,"0.00",TEXT($AB308*100,"+0.00;-0.00"))&amp;" points against "&amp;IF($V308,"its band","the book")&amp;", "&amp;IF($AC308="","not tested","not significant"),IF(profit_kind="points","within "&amp;TEXT(profit_line*100,"0.00")&amp;" points of "&amp;IF($V308,"its band","the book")&amp;" ("&amp;IF(ROUND($AB308*100,2)=0,"0.00",TEXT($AB308*100,"+0.00;-0.00"))&amp;")","within $"&amp;TEXT(profit_line,"#,##0")&amp;" of "&amp;IF($V308,"its band","the book")&amp;" ("&amp;IF(ROUND($AB308*100,2)=0,"0.00",TEXT($AB308*100,"+0.00;-0.00"))&amp;" points)")),IF(LEFT($Y308,5)="worse","short of ","ahead of ")&amp;IF($V308,"its band","the book")&amp;" by "&amp;TEXT(ABS($AB308)*100,"0.00")&amp;" points"&amp;IF($Z308="",""," ($"&amp;TEXT(ABS($Z308),"#,##0")&amp;")")&amp;IF(RIGHT($Y308,15)="not significant"," (not significant)","")))</f>
        <v/>
      </c>
      <c r="AE308">
        <f>IF($V308,IF($S308="","",$S308),IF($R308="","",$R308))</f>
        <v/>
      </c>
      <c r="AF308">
        <f>IF($V308,IF($U308="","",$U308),IF($T308="","",$T308))</f>
        <v/>
      </c>
      <c r="AG308">
        <f>IF($V308,IF($O308="","",$O308),IF($P308="","",$P308))</f>
        <v/>
      </c>
      <c r="AH308" t="n">
        <v>0.1956807259000939</v>
      </c>
      <c r="AI308">
        <f>IF($Y308="worse","Yes",IF($Y308="worse, not significant","Not sure",IF(OR($Y308="too few losses to test",$Y308="too few loans to test"),"Too few losses",IF($Y308="","","No"))))</f>
        <v/>
      </c>
      <c r="AJ308">
        <f>IF($AA308="yes","Yes",IF($AA308="","","No"))</f>
        <v/>
      </c>
    </row>
    <row r="309">
      <c r="A309" t="inlineStr">
        <is>
          <t>grids</t>
        </is>
      </c>
      <c r="B309" t="inlineStr">
        <is>
          <t>ORIG_BAL x ASSET_CLASS</t>
        </is>
      </c>
      <c r="C309" t="inlineStr">
        <is>
          <t>26,324 - 37,950</t>
        </is>
      </c>
      <c r="D309" t="inlineStr">
        <is>
          <t>2</t>
        </is>
      </c>
      <c r="E309" t="inlineStr">
        <is>
          <t>outcome_loans</t>
        </is>
      </c>
      <c r="F309" t="inlineStr">
        <is>
          <t>Outcome, share of loans</t>
        </is>
      </c>
      <c r="G309" t="n">
        <v>431</v>
      </c>
      <c r="H309" t="n">
        <v>431</v>
      </c>
      <c r="I309" t="b">
        <v>0</v>
      </c>
      <c r="J309" t="b">
        <v>0</v>
      </c>
      <c r="K309" t="n">
        <v>0.67761877326025</v>
      </c>
      <c r="L309" t="n">
        <v>0.2288135694960627</v>
      </c>
      <c r="M309" t="n">
        <v>0.7158172653812305</v>
      </c>
      <c r="N309" t="n">
        <v>0.3058859180481321</v>
      </c>
      <c r="O309" t="n">
        <v>-10.94238900634249</v>
      </c>
      <c r="P309" t="n">
        <v>-9.131105398457585</v>
      </c>
      <c r="Q309">
        <f>'_live'!$C$20</f>
        <v/>
      </c>
      <c r="R309" t="inlineStr">
        <is>
          <t>z test</t>
        </is>
      </c>
      <c r="S309" t="inlineStr">
        <is>
          <t>z test</t>
        </is>
      </c>
      <c r="T309" t="n">
        <v>0.07875264270613108</v>
      </c>
      <c r="U309" t="n">
        <v>0.07455012853470437</v>
      </c>
      <c r="V309">
        <f>AND(judged_band,NOT($J309))</f>
        <v/>
      </c>
      <c r="W309">
        <f>IF($K309="","",IF($I309,"too few losses to test",IF(AND($K309&gt;better_at,$K309&lt;worse_at),"in line",IF($K309&gt;=worse_at,IF(AND(ISNUMBER($L309),$L309&lt;significance_bar),"worse","worse, not significant"),IF(AND(ISNUMBER($L309),$L309&lt;significance_bar),"better","better, not significant")))))</f>
        <v/>
      </c>
      <c r="X309">
        <f>IF($M309="","",IF($I309,"too few losses to test",IF(AND($M309&gt;better_at,$M309&lt;worse_at),"in line",IF($M309&gt;=worse_at,IF(AND(ISNUMBER($N309),$N309&lt;significance_bar),"worse","worse, not significant"),IF(AND(ISNUMBER($N309),$N309&lt;significance_bar),"better","better, not significant")))))</f>
        <v/>
      </c>
      <c r="Y309">
        <f>IF($V309,$X309,$W309)</f>
        <v/>
      </c>
      <c r="Z309">
        <f>IF($V309,IF($P309="","",$P309),IF($O309="","",$O309))</f>
        <v/>
      </c>
      <c r="AA309">
        <f>IF(OR($Q309="",$Z309=""),"",IF(AND($Z309&gt;0,$Z309&gt;=$Q309),"yes","below the line"))</f>
        <v/>
      </c>
      <c r="AB309">
        <f>IF($V309,IF($M309="","",$M309),IF($K309="","",$K309))</f>
        <v/>
      </c>
      <c r="AC309">
        <f>IF($V309,IF($N309="","",$N309),IF($L309="","",$L309))</f>
        <v/>
      </c>
      <c r="AD309">
        <f>$Y309</f>
        <v/>
      </c>
      <c r="AE309">
        <f>IF($V309,IF($S309="","",$S309),IF($R309="","",$R309))</f>
        <v/>
      </c>
      <c r="AF309">
        <f>IF($V309,IF($U309="","",$U309),IF($T309="","",$T309))</f>
        <v/>
      </c>
      <c r="AG309">
        <f>IF($V309,IF($O309="","",$O309),IF($P309="","",$P309))</f>
        <v/>
      </c>
      <c r="AH309" t="n">
        <v>0.05336426914153132</v>
      </c>
      <c r="AI309">
        <f>IF($Y309="worse","Yes",IF($Y309="worse, not significant","Not sure",IF(OR($Y309="too few losses to test",$Y309="too few loans to test"),"Too few losses",IF($Y309="","","No"))))</f>
        <v/>
      </c>
      <c r="AJ309">
        <f>IF($AA309="yes","Yes",IF($AA309="","","No"))</f>
        <v/>
      </c>
    </row>
    <row r="310">
      <c r="A310" t="inlineStr">
        <is>
          <t>grids</t>
        </is>
      </c>
      <c r="B310" t="inlineStr">
        <is>
          <t>ORIG_BAL x ASSET_CLASS</t>
        </is>
      </c>
      <c r="C310" t="inlineStr">
        <is>
          <t>26,324 - 37,950</t>
        </is>
      </c>
      <c r="D310" t="inlineStr">
        <is>
          <t>2</t>
        </is>
      </c>
      <c r="E310" t="inlineStr">
        <is>
          <t>outcome_booked</t>
        </is>
      </c>
      <c r="F310" t="inlineStr">
        <is>
          <t>Outcome, share of booked dollars</t>
        </is>
      </c>
      <c r="G310" t="n">
        <v>431</v>
      </c>
      <c r="H310" t="n">
        <v>13932842.52000001</v>
      </c>
      <c r="I310" t="b">
        <v>0</v>
      </c>
      <c r="J310" t="b">
        <v>0</v>
      </c>
      <c r="K310" t="n">
        <v>0.6964325839031623</v>
      </c>
      <c r="L310" t="n">
        <v>0.2672232776722328</v>
      </c>
      <c r="M310" t="n">
        <v>0.71695430053061</v>
      </c>
      <c r="N310" t="n">
        <v>0.2871712828717128</v>
      </c>
      <c r="O310" t="n">
        <v>-321767.2558980219</v>
      </c>
      <c r="P310" t="n">
        <v>-291427.7219644148</v>
      </c>
      <c r="Q310">
        <f>'_live'!$C$21</f>
        <v/>
      </c>
      <c r="R310" t="inlineStr">
        <is>
          <t>shuffled: 1,068 of 10,000</t>
        </is>
      </c>
      <c r="S310" t="inlineStr">
        <is>
          <t>shuffled: 1,435 of 10,000</t>
        </is>
      </c>
      <c r="T310" t="n">
        <v>0.07607587643199896</v>
      </c>
      <c r="U310" t="n">
        <v>0.07389832121381172</v>
      </c>
      <c r="V310">
        <f>AND(judged_band,NOT($J310))</f>
        <v/>
      </c>
      <c r="W310">
        <f>IF($K310="","",IF($I310,"too few losses to test",IF(AND($K310&gt;better_at,$K310&lt;worse_at),"in line",IF($K310&gt;=worse_at,IF(AND(ISNUMBER($L310),$L310&lt;significance_bar),"worse","worse, not significant"),IF(AND(ISNUMBER($L310),$L310&lt;significance_bar),"better","better, not significant")))))</f>
        <v/>
      </c>
      <c r="X310">
        <f>IF($M310="","",IF($I310,"too few losses to test",IF(AND($M310&gt;better_at,$M310&lt;worse_at),"in line",IF($M310&gt;=worse_at,IF(AND(ISNUMBER($N310),$N310&lt;significance_bar),"worse","worse, not significant"),IF(AND(ISNUMBER($N310),$N310&lt;significance_bar),"better","better, not significant")))))</f>
        <v/>
      </c>
      <c r="Y310">
        <f>IF($V310,$X310,$W310)</f>
        <v/>
      </c>
      <c r="Z310">
        <f>IF($V310,IF($P310="","",$P310),IF($O310="","",$O310))</f>
        <v/>
      </c>
      <c r="AA310">
        <f>IF(OR($Q310="",$Z310=""),"",IF(AND($Z310&gt;0,$Z310&gt;=$Q310),"yes","below the line"))</f>
        <v/>
      </c>
      <c r="AB310">
        <f>IF($V310,IF($M310="","",$M310),IF($K310="","",$K310))</f>
        <v/>
      </c>
      <c r="AC310">
        <f>IF($V310,IF($N310="","",$N310),IF($L310="","",$L310))</f>
        <v/>
      </c>
      <c r="AD310">
        <f>$Y310</f>
        <v/>
      </c>
      <c r="AE310">
        <f>IF($V310,IF($S310="","",$S310),IF($R310="","",$R310))</f>
        <v/>
      </c>
      <c r="AF310">
        <f>IF($V310,IF($U310="","",$U310),IF($T310="","",$T310))</f>
        <v/>
      </c>
      <c r="AG310">
        <f>IF($V310,IF($O310="","",$O310),IF($P310="","",$P310))</f>
        <v/>
      </c>
      <c r="AH310" t="n">
        <v>0.05298171919623473</v>
      </c>
      <c r="AI310">
        <f>IF($Y310="worse","Yes",IF($Y310="worse, not significant","Not sure",IF(OR($Y310="too few losses to test",$Y310="too few loans to test"),"Too few losses",IF($Y310="","","No"))))</f>
        <v/>
      </c>
      <c r="AJ310">
        <f>IF($AA310="yes","Yes",IF($AA310="","","No"))</f>
        <v/>
      </c>
    </row>
    <row r="311">
      <c r="A311" t="inlineStr">
        <is>
          <t>grids</t>
        </is>
      </c>
      <c r="B311" t="inlineStr">
        <is>
          <t>ORIG_BAL x ASSET_CLASS</t>
        </is>
      </c>
      <c r="C311" t="inlineStr">
        <is>
          <t>26,324 - 37,950</t>
        </is>
      </c>
      <c r="D311" t="inlineStr">
        <is>
          <t>2</t>
        </is>
      </c>
      <c r="E311" t="inlineStr">
        <is>
          <t>gco_rate</t>
        </is>
      </c>
      <c r="F311" t="inlineStr">
        <is>
          <t>GCO per booked dollar</t>
        </is>
      </c>
      <c r="G311" t="n">
        <v>432</v>
      </c>
      <c r="H311" t="n">
        <v>13969830.53000001</v>
      </c>
      <c r="I311" t="b">
        <v>0</v>
      </c>
      <c r="J311" t="b">
        <v>0</v>
      </c>
      <c r="K311" t="n">
        <v>0.6638962417867486</v>
      </c>
      <c r="L311" t="n">
        <v>0.3363663633636637</v>
      </c>
      <c r="M311" t="n">
        <v>0.6873293826115112</v>
      </c>
      <c r="N311" t="n">
        <v>0.244864402448644</v>
      </c>
      <c r="O311" t="n">
        <v>-198970.3593914259</v>
      </c>
      <c r="P311" t="n">
        <v>-178787.5969565554</v>
      </c>
      <c r="Q311">
        <f>'_live'!$C$22</f>
        <v/>
      </c>
      <c r="R311" t="inlineStr">
        <is>
          <t>shuffled: 840 of 10,000</t>
        </is>
      </c>
      <c r="S311" t="inlineStr">
        <is>
          <t>shuffled: 1,101 of 10,000</t>
        </is>
      </c>
      <c r="T311" t="n">
        <v>0.04237638231330966</v>
      </c>
      <c r="U311" t="n">
        <v>0.04093164306672193</v>
      </c>
      <c r="V311">
        <f>AND(judged_band,NOT($J311))</f>
        <v/>
      </c>
      <c r="W311">
        <f>IF($K311="","",IF($I311,"too few losses to test",IF(AND($K311&gt;better_at,$K311&lt;worse_at),"in line",IF($K311&gt;=worse_at,IF(AND(ISNUMBER($L311),$L311&lt;significance_bar),"worse","worse, not significant"),IF(AND(ISNUMBER($L311),$L311&lt;significance_bar),"better","better, not significant")))))</f>
        <v/>
      </c>
      <c r="X311">
        <f>IF($M311="","",IF($I311,"too few losses to test",IF(AND($M311&gt;better_at,$M311&lt;worse_at),"in line",IF($M311&gt;=worse_at,IF(AND(ISNUMBER($N311),$N311&lt;significance_bar),"worse","worse, not significant"),IF(AND(ISNUMBER($N311),$N311&lt;significance_bar),"better","better, not significant")))))</f>
        <v/>
      </c>
      <c r="Y311">
        <f>IF($V311,$X311,$W311)</f>
        <v/>
      </c>
      <c r="Z311">
        <f>IF($V311,IF($P311="","",$P311),IF($O311="","",$O311))</f>
        <v/>
      </c>
      <c r="AA311">
        <f>IF(OR($Q311="",$Z311=""),"",IF(AND($Z311&gt;0,$Z311&gt;=$Q311),"yes","below the line"))</f>
        <v/>
      </c>
      <c r="AB311">
        <f>IF($V311,IF($M311="","",$M311),IF($K311="","",$K311))</f>
        <v/>
      </c>
      <c r="AC311">
        <f>IF($V311,IF($N311="","",$N311),IF($L311="","",$L311))</f>
        <v/>
      </c>
      <c r="AD311">
        <f>$Y311</f>
        <v/>
      </c>
      <c r="AE311">
        <f>IF($V311,IF($S311="","",$S311),IF($R311="","",$R311))</f>
        <v/>
      </c>
      <c r="AF311">
        <f>IF($V311,IF($U311="","",$U311),IF($T311="","",$T311))</f>
        <v/>
      </c>
      <c r="AG311">
        <f>IF($V311,IF($O311="","",$O311),IF($P311="","",$P311))</f>
        <v/>
      </c>
      <c r="AH311" t="n">
        <v>0.02813352095832473</v>
      </c>
      <c r="AI311">
        <f>IF($Y311="worse","Yes",IF($Y311="worse, not significant","Not sure",IF(OR($Y311="too few losses to test",$Y311="too few loans to test"),"Too few losses",IF($Y311="","","No"))))</f>
        <v/>
      </c>
      <c r="AJ311">
        <f>IF($AA311="yes","Yes",IF($AA311="","","No"))</f>
        <v/>
      </c>
    </row>
    <row r="312">
      <c r="A312" t="inlineStr">
        <is>
          <t>grids</t>
        </is>
      </c>
      <c r="B312" t="inlineStr">
        <is>
          <t>ORIG_BAL x ASSET_CLASS</t>
        </is>
      </c>
      <c r="C312" t="inlineStr">
        <is>
          <t>26,324 - 37,950</t>
        </is>
      </c>
      <c r="D312" t="inlineStr">
        <is>
          <t>2</t>
        </is>
      </c>
      <c r="E312" t="inlineStr">
        <is>
          <t>ranr_rate</t>
        </is>
      </c>
      <c r="F312" t="inlineStr">
        <is>
          <t>Profit after losses: RANR per booked dollar</t>
        </is>
      </c>
      <c r="G312" t="n">
        <v>432</v>
      </c>
      <c r="H312" t="n">
        <v>13969830.53000001</v>
      </c>
      <c r="I312" t="b">
        <v>0</v>
      </c>
      <c r="J312" t="b">
        <v>0</v>
      </c>
      <c r="K312" t="n">
        <v>0.00461120754267913</v>
      </c>
      <c r="L312" t="n">
        <v>0.754748054606304</v>
      </c>
      <c r="M312" t="n">
        <v>0.001445299613368756</v>
      </c>
      <c r="N312" t="n">
        <v>0.8879112088791121</v>
      </c>
      <c r="O312" t="n">
        <v>-64417.78790988517</v>
      </c>
      <c r="P312" t="n">
        <v>-20190.5906638361</v>
      </c>
      <c r="Q312">
        <f>'_live'!$C$23</f>
        <v/>
      </c>
      <c r="R312" t="inlineStr">
        <is>
          <t>shuffled: 6,415 of 10,000</t>
        </is>
      </c>
      <c r="S312" t="inlineStr">
        <is>
          <t>shuffled: 8,879 of 10,000</t>
        </is>
      </c>
      <c r="T312" t="n">
        <v>0.1277404345212279</v>
      </c>
      <c r="U312" t="n">
        <v>0.1309063424505382</v>
      </c>
      <c r="V312">
        <f>AND(judged_band,NOT($J312))</f>
        <v/>
      </c>
      <c r="W312">
        <f>IF($K312="","",IF(profit_kind="test",IF(OR(NOT(AND(ISNUMBER($L312),$L312&lt;significance_bar)),$K312=0),"in line",IF($K312&lt;0,"worse","better")),IF(OR($K312=0,IF(profit_kind="points",ABS($K312),ABS($K312*$H312))&lt;profit_line*(1-1E-9)),"in line",IF(AND(ISNUMBER($L312),$L312&lt;significance_bar),IF($K312&lt;0,"worse","better"),IF($K312&lt;0,"worse, not significant","better, not significant")))))</f>
        <v/>
      </c>
      <c r="X312">
        <f>IF($M312="","",IF(profit_kind="test",IF(OR(NOT(AND(ISNUMBER($N312),$N312&lt;significance_bar)),$M312=0),"in line",IF($M312&lt;0,"worse","better")),IF(OR($M312=0,IF(profit_kind="points",ABS($M312),ABS($M312*$H312))&lt;profit_line*(1-1E-9)),"in line",IF(AND(ISNUMBER($N312),$N312&lt;significance_bar),IF($M312&lt;0,"worse","better"),IF($M312&lt;0,"worse, not significant","better, not significant")))))</f>
        <v/>
      </c>
      <c r="Y312">
        <f>IF($V312,$X312,$W312)</f>
        <v/>
      </c>
      <c r="Z312">
        <f>IF($V312,IF($P312="","",$P312),IF($O312="","",$O312))</f>
        <v/>
      </c>
      <c r="AA312">
        <f>IF(OR($Q312="",$Z312=""),"",IF(AND($Z312&gt;0,$Z312&gt;=$Q312),"yes","below the line"))</f>
        <v/>
      </c>
      <c r="AB312">
        <f>IF($V312,IF($M312="","",$M312),IF($K312="","",$K312))</f>
        <v/>
      </c>
      <c r="AC312">
        <f>IF($V312,IF($N312="","",$N312),IF($L312="","",$L312))</f>
        <v/>
      </c>
      <c r="AD312">
        <f>IF($Y312="","",IF($Y312="in line",IF(profit_kind="test",IF(ROUND($AB312*100,2)=0,"0.00",TEXT($AB312*100,"+0.00;-0.00"))&amp;" points against "&amp;IF($V312,"its band","the book")&amp;", "&amp;IF($AC312="","not tested","not significant"),IF(profit_kind="points","within "&amp;TEXT(profit_line*100,"0.00")&amp;" points of "&amp;IF($V312,"its band","the book")&amp;" ("&amp;IF(ROUND($AB312*100,2)=0,"0.00",TEXT($AB312*100,"+0.00;-0.00"))&amp;")","within $"&amp;TEXT(profit_line,"#,##0")&amp;" of "&amp;IF($V312,"its band","the book")&amp;" ("&amp;IF(ROUND($AB312*100,2)=0,"0.00",TEXT($AB312*100,"+0.00;-0.00"))&amp;" points)")),IF(LEFT($Y312,5)="worse","short of ","ahead of ")&amp;IF($V312,"its band","the book")&amp;" by "&amp;TEXT(ABS($AB312)*100,"0.00")&amp;" points"&amp;IF($Z312="",""," ($"&amp;TEXT(ABS($Z312),"#,##0")&amp;")")&amp;IF(RIGHT($Y312,15)="not significant"," (not significant)","")))</f>
        <v/>
      </c>
      <c r="AE312">
        <f>IF($V312,IF($S312="","",$S312),IF($R312="","",$R312))</f>
        <v/>
      </c>
      <c r="AF312">
        <f>IF($V312,IF($U312="","",$U312),IF($T312="","",$T312))</f>
        <v/>
      </c>
      <c r="AG312">
        <f>IF($V312,IF($O312="","",$O312),IF($P312="","",$P312))</f>
        <v/>
      </c>
      <c r="AH312" t="n">
        <v>0.132351642063907</v>
      </c>
      <c r="AI312">
        <f>IF($Y312="worse","Yes",IF($Y312="worse, not significant","Not sure",IF(OR($Y312="too few losses to test",$Y312="too few loans to test"),"Too few losses",IF($Y312="","","No"))))</f>
        <v/>
      </c>
      <c r="AJ312">
        <f>IF($AA312="yes","Yes",IF($AA312="","","No"))</f>
        <v/>
      </c>
    </row>
    <row r="313">
      <c r="A313" t="inlineStr">
        <is>
          <t>grids</t>
        </is>
      </c>
      <c r="B313" t="inlineStr">
        <is>
          <t>ORIG_BAL x ASSET_CLASS</t>
        </is>
      </c>
      <c r="C313" t="inlineStr">
        <is>
          <t>26,324 - 37,950</t>
        </is>
      </c>
      <c r="D313" t="inlineStr">
        <is>
          <t>2</t>
        </is>
      </c>
      <c r="E313" t="inlineStr">
        <is>
          <t>contribution_rate</t>
        </is>
      </c>
      <c r="F313" t="inlineStr">
        <is>
          <t>Contribution before losses per booked dollar</t>
        </is>
      </c>
      <c r="G313" t="n">
        <v>432</v>
      </c>
      <c r="H313" t="n">
        <v>13969830.53000001</v>
      </c>
      <c r="I313" t="b">
        <v>0</v>
      </c>
      <c r="J313" t="b">
        <v>0</v>
      </c>
      <c r="K313" t="n">
        <v>-0.009628590315859165</v>
      </c>
      <c r="L313" t="n">
        <v>0.4171011470281543</v>
      </c>
      <c r="M313" t="n">
        <v>-0.01135282249502836</v>
      </c>
      <c r="N313" t="n">
        <v>0.4263573642635736</v>
      </c>
      <c r="O313" t="n">
        <v>134509.7749553518</v>
      </c>
      <c r="P313" t="n">
        <v>158597.006292718</v>
      </c>
      <c r="Q313">
        <f>'_live'!$C$24</f>
        <v/>
      </c>
      <c r="R313" t="inlineStr">
        <is>
          <t>shuffled: 1,459 of 10,000</t>
        </is>
      </c>
      <c r="S313" t="inlineStr">
        <is>
          <t>shuffled: 964 of 10,000</t>
        </is>
      </c>
      <c r="T313" t="n">
        <v>0.1701137533380908</v>
      </c>
      <c r="U313" t="n">
        <v>0.17183798551726</v>
      </c>
      <c r="V313">
        <f>AND(judged_band,NOT($J313))</f>
        <v/>
      </c>
      <c r="W313">
        <f>IF($K313="","",IF(profit_kind="test",IF(OR(NOT(AND(ISNUMBER($L313),$L313&lt;significance_bar)),$K313=0),"in line",IF($K313&lt;0,"worse","better")),IF(OR($K313=0,IF(profit_kind="points",ABS($K313),ABS($K313*$H313))&lt;profit_line*(1-1E-9)),"in line",IF(AND(ISNUMBER($L313),$L313&lt;significance_bar),IF($K313&lt;0,"worse","better"),IF($K313&lt;0,"worse, not significant","better, not significant")))))</f>
        <v/>
      </c>
      <c r="X313">
        <f>IF($M313="","",IF(profit_kind="test",IF(OR(NOT(AND(ISNUMBER($N313),$N313&lt;significance_bar)),$M313=0),"in line",IF($M313&lt;0,"worse","better")),IF(OR($M313=0,IF(profit_kind="points",ABS($M313),ABS($M313*$H313))&lt;profit_line*(1-1E-9)),"in line",IF(AND(ISNUMBER($N313),$N313&lt;significance_bar),IF($M313&lt;0,"worse","better"),IF($M313&lt;0,"worse, not significant","better, not significant")))))</f>
        <v/>
      </c>
      <c r="Y313">
        <f>IF($V313,$X313,$W313)</f>
        <v/>
      </c>
      <c r="Z313">
        <f>IF($V313,IF($P313="","",$P313),IF($O313="","",$O313))</f>
        <v/>
      </c>
      <c r="AA313">
        <f>IF(OR($Q313="",$Z313=""),"",IF(AND($Z313&gt;0,$Z313&gt;=$Q313),"yes","below the line"))</f>
        <v/>
      </c>
      <c r="AB313">
        <f>IF($V313,IF($M313="","",$M313),IF($K313="","",$K313))</f>
        <v/>
      </c>
      <c r="AC313">
        <f>IF($V313,IF($N313="","",$N313),IF($L313="","",$L313))</f>
        <v/>
      </c>
      <c r="AD313">
        <f>IF($Y313="","",IF($Y313="in line",IF(profit_kind="test",IF(ROUND($AB313*100,2)=0,"0.00",TEXT($AB313*100,"+0.00;-0.00"))&amp;" points against "&amp;IF($V313,"its band","the book")&amp;", "&amp;IF($AC313="","not tested","not significant"),IF(profit_kind="points","within "&amp;TEXT(profit_line*100,"0.00")&amp;" points of "&amp;IF($V313,"its band","the book")&amp;" ("&amp;IF(ROUND($AB313*100,2)=0,"0.00",TEXT($AB313*100,"+0.00;-0.00"))&amp;")","within $"&amp;TEXT(profit_line,"#,##0")&amp;" of "&amp;IF($V313,"its band","the book")&amp;" ("&amp;IF(ROUND($AB313*100,2)=0,"0.00",TEXT($AB313*100,"+0.00;-0.00"))&amp;" points)")),IF(LEFT($Y313,5)="worse","short of ","ahead of ")&amp;IF($V313,"its band","the book")&amp;" by "&amp;TEXT(ABS($AB313)*100,"0.00")&amp;" points"&amp;IF($Z313="",""," ($"&amp;TEXT(ABS($Z313),"#,##0")&amp;")")&amp;IF(RIGHT($Y313,15)="not significant"," (not significant)","")))</f>
        <v/>
      </c>
      <c r="AE313">
        <f>IF($V313,IF($S313="","",$S313),IF($R313="","",$R313))</f>
        <v/>
      </c>
      <c r="AF313">
        <f>IF($V313,IF($U313="","",$U313),IF($T313="","",$T313))</f>
        <v/>
      </c>
      <c r="AG313">
        <f>IF($V313,IF($O313="","",$O313),IF($P313="","",$P313))</f>
        <v/>
      </c>
      <c r="AH313" t="n">
        <v>0.1604851630222316</v>
      </c>
      <c r="AI313">
        <f>IF($Y313="worse","Yes",IF($Y313="worse, not significant","Not sure",IF(OR($Y313="too few losses to test",$Y313="too few loans to test"),"Too few losses",IF($Y313="","","No"))))</f>
        <v/>
      </c>
      <c r="AJ313">
        <f>IF($AA313="yes","Yes",IF($AA313="","","No"))</f>
        <v/>
      </c>
    </row>
    <row r="314">
      <c r="A314" t="inlineStr">
        <is>
          <t>grids</t>
        </is>
      </c>
      <c r="B314" t="inlineStr">
        <is>
          <t>ORIG_BAL x ASSET_CLASS</t>
        </is>
      </c>
      <c r="C314" t="inlineStr">
        <is>
          <t>37,951 - 49,151</t>
        </is>
      </c>
      <c r="D314" t="inlineStr">
        <is>
          <t>1</t>
        </is>
      </c>
      <c r="E314" t="inlineStr">
        <is>
          <t>outcome_loans</t>
        </is>
      </c>
      <c r="F314" t="inlineStr">
        <is>
          <t>Outcome, share of loans</t>
        </is>
      </c>
      <c r="G314" t="n">
        <v>384</v>
      </c>
      <c r="H314" t="n">
        <v>384</v>
      </c>
      <c r="I314" t="b">
        <v>0</v>
      </c>
      <c r="J314" t="b">
        <v>0</v>
      </c>
      <c r="K314" t="n">
        <v>0.6621278519755147</v>
      </c>
      <c r="L314" t="n">
        <v>0.2288135694960627</v>
      </c>
      <c r="M314" t="n">
        <v>0.5555555555555556</v>
      </c>
      <c r="N314" t="n">
        <v>0.06788169120359849</v>
      </c>
      <c r="O314" t="n">
        <v>-10.20564674983585</v>
      </c>
      <c r="P314" t="n">
        <v>-16</v>
      </c>
      <c r="Q314">
        <f>'_live'!$C$20</f>
        <v/>
      </c>
      <c r="R314" t="inlineStr">
        <is>
          <t>z test</t>
        </is>
      </c>
      <c r="S314" t="inlineStr">
        <is>
          <t>z test</t>
        </is>
      </c>
      <c r="T314" t="n">
        <v>0.07866053841103086</v>
      </c>
      <c r="U314" t="n">
        <v>0.09375</v>
      </c>
      <c r="V314">
        <f>AND(judged_band,NOT($J314))</f>
        <v/>
      </c>
      <c r="W314">
        <f>IF($K314="","",IF($I314,"too few losses to test",IF(AND($K314&gt;better_at,$K314&lt;worse_at),"in line",IF($K314&gt;=worse_at,IF(AND(ISNUMBER($L314),$L314&lt;significance_bar),"worse","worse, not significant"),IF(AND(ISNUMBER($L314),$L314&lt;significance_bar),"better","better, not significant")))))</f>
        <v/>
      </c>
      <c r="X314">
        <f>IF($M314="","",IF($I314,"too few losses to test",IF(AND($M314&gt;better_at,$M314&lt;worse_at),"in line",IF($M314&gt;=worse_at,IF(AND(ISNUMBER($N314),$N314&lt;significance_bar),"worse","worse, not significant"),IF(AND(ISNUMBER($N314),$N314&lt;significance_bar),"better","better, not significant")))))</f>
        <v/>
      </c>
      <c r="Y314">
        <f>IF($V314,$X314,$W314)</f>
        <v/>
      </c>
      <c r="Z314">
        <f>IF($V314,IF($P314="","",$P314),IF($O314="","",$O314))</f>
        <v/>
      </c>
      <c r="AA314">
        <f>IF(OR($Q314="",$Z314=""),"",IF(AND($Z314&gt;0,$Z314&gt;=$Q314),"yes","below the line"))</f>
        <v/>
      </c>
      <c r="AB314">
        <f>IF($V314,IF($M314="","",$M314),IF($K314="","",$K314))</f>
        <v/>
      </c>
      <c r="AC314">
        <f>IF($V314,IF($N314="","",$N314),IF($L314="","",$L314))</f>
        <v/>
      </c>
      <c r="AD314">
        <f>$Y314</f>
        <v/>
      </c>
      <c r="AE314">
        <f>IF($V314,IF($S314="","",$S314),IF($R314="","",$R314))</f>
        <v/>
      </c>
      <c r="AF314">
        <f>IF($V314,IF($U314="","",$U314),IF($T314="","",$T314))</f>
        <v/>
      </c>
      <c r="AG314">
        <f>IF($V314,IF($O314="","",$O314),IF($P314="","",$P314))</f>
        <v/>
      </c>
      <c r="AH314" t="n">
        <v>0.05208333333333334</v>
      </c>
      <c r="AI314">
        <f>IF($Y314="worse","Yes",IF($Y314="worse, not significant","Not sure",IF(OR($Y314="too few losses to test",$Y314="too few loans to test"),"Too few losses",IF($Y314="","","No"))))</f>
        <v/>
      </c>
      <c r="AJ314">
        <f>IF($AA314="yes","Yes",IF($AA314="","","No"))</f>
        <v/>
      </c>
    </row>
    <row r="315">
      <c r="A315" t="inlineStr">
        <is>
          <t>grids</t>
        </is>
      </c>
      <c r="B315" t="inlineStr">
        <is>
          <t>ORIG_BAL x ASSET_CLASS</t>
        </is>
      </c>
      <c r="C315" t="inlineStr">
        <is>
          <t>37,951 - 49,151</t>
        </is>
      </c>
      <c r="D315" t="inlineStr">
        <is>
          <t>1</t>
        </is>
      </c>
      <c r="E315" t="inlineStr">
        <is>
          <t>outcome_booked</t>
        </is>
      </c>
      <c r="F315" t="inlineStr">
        <is>
          <t>Outcome, share of booked dollars</t>
        </is>
      </c>
      <c r="G315" t="n">
        <v>384</v>
      </c>
      <c r="H315" t="n">
        <v>16710070.10000001</v>
      </c>
      <c r="I315" t="b">
        <v>0</v>
      </c>
      <c r="J315" t="b">
        <v>0</v>
      </c>
      <c r="K315" t="n">
        <v>0.6742271460828333</v>
      </c>
      <c r="L315" t="n">
        <v>0.2672232776722328</v>
      </c>
      <c r="M315" t="n">
        <v>0.5539507937480281</v>
      </c>
      <c r="N315" t="n">
        <v>0.05332800053328</v>
      </c>
      <c r="O315" t="n">
        <v>-416123.9183251279</v>
      </c>
      <c r="P315" t="n">
        <v>-693466.6867806533</v>
      </c>
      <c r="Q315">
        <f>'_live'!$C$21</f>
        <v/>
      </c>
      <c r="R315" t="inlineStr">
        <is>
          <t>shuffled: 1,026 of 10,000</t>
        </is>
      </c>
      <c r="S315" t="inlineStr">
        <is>
          <t>shuffled: 79 of 10,000</t>
        </is>
      </c>
      <c r="T315" t="n">
        <v>0.07644155534243552</v>
      </c>
      <c r="U315" t="n">
        <v>0.09303889854900442</v>
      </c>
      <c r="V315">
        <f>AND(judged_band,NOT($J315))</f>
        <v/>
      </c>
      <c r="W315">
        <f>IF($K315="","",IF($I315,"too few losses to test",IF(AND($K315&gt;better_at,$K315&lt;worse_at),"in line",IF($K315&gt;=worse_at,IF(AND(ISNUMBER($L315),$L315&lt;significance_bar),"worse","worse, not significant"),IF(AND(ISNUMBER($L315),$L315&lt;significance_bar),"better","better, not significant")))))</f>
        <v/>
      </c>
      <c r="X315">
        <f>IF($M315="","",IF($I315,"too few losses to test",IF(AND($M315&gt;better_at,$M315&lt;worse_at),"in line",IF($M315&gt;=worse_at,IF(AND(ISNUMBER($N315),$N315&lt;significance_bar),"worse","worse, not significant"),IF(AND(ISNUMBER($N315),$N315&lt;significance_bar),"better","better, not significant")))))</f>
        <v/>
      </c>
      <c r="Y315">
        <f>IF($V315,$X315,$W315)</f>
        <v/>
      </c>
      <c r="Z315">
        <f>IF($V315,IF($P315="","",$P315),IF($O315="","",$O315))</f>
        <v/>
      </c>
      <c r="AA315">
        <f>IF(OR($Q315="",$Z315=""),"",IF(AND($Z315&gt;0,$Z315&gt;=$Q315),"yes","below the line"))</f>
        <v/>
      </c>
      <c r="AB315">
        <f>IF($V315,IF($M315="","",$M315),IF($K315="","",$K315))</f>
        <v/>
      </c>
      <c r="AC315">
        <f>IF($V315,IF($N315="","",$N315),IF($L315="","",$L315))</f>
        <v/>
      </c>
      <c r="AD315">
        <f>$Y315</f>
        <v/>
      </c>
      <c r="AE315">
        <f>IF($V315,IF($S315="","",$S315),IF($R315="","",$R315))</f>
        <v/>
      </c>
      <c r="AF315">
        <f>IF($V315,IF($U315="","",$U315),IF($T315="","",$T315))</f>
        <v/>
      </c>
      <c r="AG315">
        <f>IF($V315,IF($O315="","",$O315),IF($P315="","",$P315))</f>
        <v/>
      </c>
      <c r="AH315" t="n">
        <v>0.05153897170066326</v>
      </c>
      <c r="AI315">
        <f>IF($Y315="worse","Yes",IF($Y315="worse, not significant","Not sure",IF(OR($Y315="too few losses to test",$Y315="too few loans to test"),"Too few losses",IF($Y315="","","No"))))</f>
        <v/>
      </c>
      <c r="AJ315">
        <f>IF($AA315="yes","Yes",IF($AA315="","","No"))</f>
        <v/>
      </c>
    </row>
    <row r="316">
      <c r="A316" t="inlineStr">
        <is>
          <t>grids</t>
        </is>
      </c>
      <c r="B316" t="inlineStr">
        <is>
          <t>ORIG_BAL x ASSET_CLASS</t>
        </is>
      </c>
      <c r="C316" t="inlineStr">
        <is>
          <t>37,951 - 49,151</t>
        </is>
      </c>
      <c r="D316" t="inlineStr">
        <is>
          <t>1</t>
        </is>
      </c>
      <c r="E316" t="inlineStr">
        <is>
          <t>gco_rate</t>
        </is>
      </c>
      <c r="F316" t="inlineStr">
        <is>
          <t>GCO per booked dollar</t>
        </is>
      </c>
      <c r="G316" t="n">
        <v>383</v>
      </c>
      <c r="H316" t="n">
        <v>16670385.67000001</v>
      </c>
      <c r="I316" t="b">
        <v>0</v>
      </c>
      <c r="J316" t="b">
        <v>0</v>
      </c>
      <c r="K316" t="n">
        <v>0.7033498387295103</v>
      </c>
      <c r="L316" t="n">
        <v>0.3444100034441001</v>
      </c>
      <c r="M316" t="n">
        <v>0.5727282750834974</v>
      </c>
      <c r="N316" t="n">
        <v>0.09399060093990601</v>
      </c>
      <c r="O316" t="n">
        <v>-209769.738672688</v>
      </c>
      <c r="P316" t="n">
        <v>-371043.7923914144</v>
      </c>
      <c r="Q316">
        <f>'_live'!$C$22</f>
        <v/>
      </c>
      <c r="R316" t="inlineStr">
        <is>
          <t>shuffled: 1,549 of 10,000</t>
        </is>
      </c>
      <c r="S316" t="inlineStr">
        <is>
          <t>shuffled: 156 of 10,000</t>
        </is>
      </c>
      <c r="T316" t="n">
        <v>0.04241823570676199</v>
      </c>
      <c r="U316" t="n">
        <v>0.05209252020810708</v>
      </c>
      <c r="V316">
        <f>AND(judged_band,NOT($J316))</f>
        <v/>
      </c>
      <c r="W316">
        <f>IF($K316="","",IF($I316,"too few losses to test",IF(AND($K316&gt;better_at,$K316&lt;worse_at),"in line",IF($K316&gt;=worse_at,IF(AND(ISNUMBER($L316),$L316&lt;significance_bar),"worse","worse, not significant"),IF(AND(ISNUMBER($L316),$L316&lt;significance_bar),"better","better, not significant")))))</f>
        <v/>
      </c>
      <c r="X316">
        <f>IF($M316="","",IF($I316,"too few losses to test",IF(AND($M316&gt;better_at,$M316&lt;worse_at),"in line",IF($M316&gt;=worse_at,IF(AND(ISNUMBER($N316),$N316&lt;significance_bar),"worse","worse, not significant"),IF(AND(ISNUMBER($N316),$N316&lt;significance_bar),"better","better, not significant")))))</f>
        <v/>
      </c>
      <c r="Y316">
        <f>IF($V316,$X316,$W316)</f>
        <v/>
      </c>
      <c r="Z316">
        <f>IF($V316,IF($P316="","",$P316),IF($O316="","",$O316))</f>
        <v/>
      </c>
      <c r="AA316">
        <f>IF(OR($Q316="",$Z316=""),"",IF(AND($Z316&gt;0,$Z316&gt;=$Q316),"yes","below the line"))</f>
        <v/>
      </c>
      <c r="AB316">
        <f>IF($V316,IF($M316="","",$M316),IF($K316="","",$K316))</f>
        <v/>
      </c>
      <c r="AC316">
        <f>IF($V316,IF($N316="","",$N316),IF($L316="","",$L316))</f>
        <v/>
      </c>
      <c r="AD316">
        <f>$Y316</f>
        <v/>
      </c>
      <c r="AE316">
        <f>IF($V316,IF($S316="","",$S316),IF($R316="","",$R316))</f>
        <v/>
      </c>
      <c r="AF316">
        <f>IF($V316,IF($U316="","",$U316),IF($T316="","",$T316))</f>
        <v/>
      </c>
      <c r="AG316">
        <f>IF($V316,IF($O316="","",$O316),IF($P316="","",$P316))</f>
        <v/>
      </c>
      <c r="AH316" t="n">
        <v>0.0298348592435414</v>
      </c>
      <c r="AI316">
        <f>IF($Y316="worse","Yes",IF($Y316="worse, not significant","Not sure",IF(OR($Y316="too few losses to test",$Y316="too few loans to test"),"Too few losses",IF($Y316="","","No"))))</f>
        <v/>
      </c>
      <c r="AJ316">
        <f>IF($AA316="yes","Yes",IF($AA316="","","No"))</f>
        <v/>
      </c>
    </row>
    <row r="317">
      <c r="A317" t="inlineStr">
        <is>
          <t>grids</t>
        </is>
      </c>
      <c r="B317" t="inlineStr">
        <is>
          <t>ORIG_BAL x ASSET_CLASS</t>
        </is>
      </c>
      <c r="C317" t="inlineStr">
        <is>
          <t>37,951 - 49,151</t>
        </is>
      </c>
      <c r="D317" t="inlineStr">
        <is>
          <t>1</t>
        </is>
      </c>
      <c r="E317" t="inlineStr">
        <is>
          <t>ranr_rate</t>
        </is>
      </c>
      <c r="F317" t="inlineStr">
        <is>
          <t>Profit after losses: RANR per booked dollar</t>
        </is>
      </c>
      <c r="G317" t="n">
        <v>384</v>
      </c>
      <c r="H317" t="n">
        <v>16710070.10000001</v>
      </c>
      <c r="I317" t="b">
        <v>0</v>
      </c>
      <c r="J317" t="b">
        <v>0</v>
      </c>
      <c r="K317" t="n">
        <v>0.007422607112382712</v>
      </c>
      <c r="L317" t="n">
        <v>0.6965970069659699</v>
      </c>
      <c r="M317" t="n">
        <v>0.01644665189610967</v>
      </c>
      <c r="N317" t="n">
        <v>0.6385515294624384</v>
      </c>
      <c r="O317" t="n">
        <v>-124032.2851726739</v>
      </c>
      <c r="P317" t="n">
        <v>-274824.7060942906</v>
      </c>
      <c r="Q317">
        <f>'_live'!$C$23</f>
        <v/>
      </c>
      <c r="R317" t="inlineStr">
        <is>
          <t>shuffled: 4,848 of 10,000</t>
        </is>
      </c>
      <c r="S317" t="inlineStr">
        <is>
          <t>shuffled: 1,511 of 10,000</t>
        </is>
      </c>
      <c r="T317" t="n">
        <v>0.1275094318621277</v>
      </c>
      <c r="U317" t="n">
        <v>0.1184853870784007</v>
      </c>
      <c r="V317">
        <f>AND(judged_band,NOT($J317))</f>
        <v/>
      </c>
      <c r="W317">
        <f>IF($K317="","",IF(profit_kind="test",IF(OR(NOT(AND(ISNUMBER($L317),$L317&lt;significance_bar)),$K317=0),"in line",IF($K317&lt;0,"worse","better")),IF(OR($K317=0,IF(profit_kind="points",ABS($K317),ABS($K317*$H317))&lt;profit_line*(1-1E-9)),"in line",IF(AND(ISNUMBER($L317),$L317&lt;significance_bar),IF($K317&lt;0,"worse","better"),IF($K317&lt;0,"worse, not significant","better, not significant")))))</f>
        <v/>
      </c>
      <c r="X317">
        <f>IF($M317="","",IF(profit_kind="test",IF(OR(NOT(AND(ISNUMBER($N317),$N317&lt;significance_bar)),$M317=0),"in line",IF($M317&lt;0,"worse","better")),IF(OR($M317=0,IF(profit_kind="points",ABS($M317),ABS($M317*$H317))&lt;profit_line*(1-1E-9)),"in line",IF(AND(ISNUMBER($N317),$N317&lt;significance_bar),IF($M317&lt;0,"worse","better"),IF($M317&lt;0,"worse, not significant","better, not significant")))))</f>
        <v/>
      </c>
      <c r="Y317">
        <f>IF($V317,$X317,$W317)</f>
        <v/>
      </c>
      <c r="Z317">
        <f>IF($V317,IF($P317="","",$P317),IF($O317="","",$O317))</f>
        <v/>
      </c>
      <c r="AA317">
        <f>IF(OR($Q317="",$Z317=""),"",IF(AND($Z317&gt;0,$Z317&gt;=$Q317),"yes","below the line"))</f>
        <v/>
      </c>
      <c r="AB317">
        <f>IF($V317,IF($M317="","",$M317),IF($K317="","",$K317))</f>
        <v/>
      </c>
      <c r="AC317">
        <f>IF($V317,IF($N317="","",$N317),IF($L317="","",$L317))</f>
        <v/>
      </c>
      <c r="AD317">
        <f>IF($Y317="","",IF($Y317="in line",IF(profit_kind="test",IF(ROUND($AB317*100,2)=0,"0.00",TEXT($AB317*100,"+0.00;-0.00"))&amp;" points against "&amp;IF($V317,"its band","the book")&amp;", "&amp;IF($AC317="","not tested","not significant"),IF(profit_kind="points","within "&amp;TEXT(profit_line*100,"0.00")&amp;" points of "&amp;IF($V317,"its band","the book")&amp;" ("&amp;IF(ROUND($AB317*100,2)=0,"0.00",TEXT($AB317*100,"+0.00;-0.00"))&amp;")","within $"&amp;TEXT(profit_line,"#,##0")&amp;" of "&amp;IF($V317,"its band","the book")&amp;" ("&amp;IF(ROUND($AB317*100,2)=0,"0.00",TEXT($AB317*100,"+0.00;-0.00"))&amp;" points)")),IF(LEFT($Y317,5)="worse","short of ","ahead of ")&amp;IF($V317,"its band","the book")&amp;" by "&amp;TEXT(ABS($AB317)*100,"0.00")&amp;" points"&amp;IF($Z317="",""," ($"&amp;TEXT(ABS($Z317),"#,##0")&amp;")")&amp;IF(RIGHT($Y317,15)="not significant"," (not significant)","")))</f>
        <v/>
      </c>
      <c r="AE317">
        <f>IF($V317,IF($S317="","",$S317),IF($R317="","",$R317))</f>
        <v/>
      </c>
      <c r="AF317">
        <f>IF($V317,IF($U317="","",$U317),IF($T317="","",$T317))</f>
        <v/>
      </c>
      <c r="AG317">
        <f>IF($V317,IF($O317="","",$O317),IF($P317="","",$P317))</f>
        <v/>
      </c>
      <c r="AH317" t="n">
        <v>0.1349320389745104</v>
      </c>
      <c r="AI317">
        <f>IF($Y317="worse","Yes",IF($Y317="worse, not significant","Not sure",IF(OR($Y317="too few losses to test",$Y317="too few loans to test"),"Too few losses",IF($Y317="","","No"))))</f>
        <v/>
      </c>
      <c r="AJ317">
        <f>IF($AA317="yes","Yes",IF($AA317="","","No"))</f>
        <v/>
      </c>
    </row>
    <row r="318">
      <c r="A318" t="inlineStr">
        <is>
          <t>grids</t>
        </is>
      </c>
      <c r="B318" t="inlineStr">
        <is>
          <t>ORIG_BAL x ASSET_CLASS</t>
        </is>
      </c>
      <c r="C318" t="inlineStr">
        <is>
          <t>37,951 - 49,151</t>
        </is>
      </c>
      <c r="D318" t="inlineStr">
        <is>
          <t>1</t>
        </is>
      </c>
      <c r="E318" t="inlineStr">
        <is>
          <t>contribution_rate</t>
        </is>
      </c>
      <c r="F318" t="inlineStr">
        <is>
          <t>Contribution before losses per booked dollar</t>
        </is>
      </c>
      <c r="G318" t="n">
        <v>383</v>
      </c>
      <c r="H318" t="n">
        <v>16670385.67000001</v>
      </c>
      <c r="I318" t="b">
        <v>0</v>
      </c>
      <c r="J318" t="b">
        <v>0</v>
      </c>
      <c r="K318" t="n">
        <v>-0.005188499899710985</v>
      </c>
      <c r="L318" t="n">
        <v>0.8306442083064421</v>
      </c>
      <c r="M318" t="n">
        <v>-0.005838739617329419</v>
      </c>
      <c r="N318" t="n">
        <v>0.7841034078410342</v>
      </c>
      <c r="O318" t="n">
        <v>86494.2943769386</v>
      </c>
      <c r="P318" t="n">
        <v>97334.04124758951</v>
      </c>
      <c r="Q318">
        <f>'_live'!$C$24</f>
        <v/>
      </c>
      <c r="R318" t="inlineStr">
        <is>
          <t>shuffled: 4,568 of 10,000</t>
        </is>
      </c>
      <c r="S318" t="inlineStr">
        <is>
          <t>shuffled: 4,118 of 10,000</t>
        </is>
      </c>
      <c r="T318" t="n">
        <v>0.1699276675688895</v>
      </c>
      <c r="U318" t="n">
        <v>0.1705779072865079</v>
      </c>
      <c r="V318">
        <f>AND(judged_band,NOT($J318))</f>
        <v/>
      </c>
      <c r="W318">
        <f>IF($K318="","",IF(profit_kind="test",IF(OR(NOT(AND(ISNUMBER($L318),$L318&lt;significance_bar)),$K318=0),"in line",IF($K318&lt;0,"worse","better")),IF(OR($K318=0,IF(profit_kind="points",ABS($K318),ABS($K318*$H318))&lt;profit_line*(1-1E-9)),"in line",IF(AND(ISNUMBER($L318),$L318&lt;significance_bar),IF($K318&lt;0,"worse","better"),IF($K318&lt;0,"worse, not significant","better, not significant")))))</f>
        <v/>
      </c>
      <c r="X318">
        <f>IF($M318="","",IF(profit_kind="test",IF(OR(NOT(AND(ISNUMBER($N318),$N318&lt;significance_bar)),$M318=0),"in line",IF($M318&lt;0,"worse","better")),IF(OR($M318=0,IF(profit_kind="points",ABS($M318),ABS($M318*$H318))&lt;profit_line*(1-1E-9)),"in line",IF(AND(ISNUMBER($N318),$N318&lt;significance_bar),IF($M318&lt;0,"worse","better"),IF($M318&lt;0,"worse, not significant","better, not significant")))))</f>
        <v/>
      </c>
      <c r="Y318">
        <f>IF($V318,$X318,$W318)</f>
        <v/>
      </c>
      <c r="Z318">
        <f>IF($V318,IF($P318="","",$P318),IF($O318="","",$O318))</f>
        <v/>
      </c>
      <c r="AA318">
        <f>IF(OR($Q318="",$Z318=""),"",IF(AND($Z318&gt;0,$Z318&gt;=$Q318),"yes","below the line"))</f>
        <v/>
      </c>
      <c r="AB318">
        <f>IF($V318,IF($M318="","",$M318),IF($K318="","",$K318))</f>
        <v/>
      </c>
      <c r="AC318">
        <f>IF($V318,IF($N318="","",$N318),IF($L318="","",$L318))</f>
        <v/>
      </c>
      <c r="AD318">
        <f>IF($Y318="","",IF($Y318="in line",IF(profit_kind="test",IF(ROUND($AB318*100,2)=0,"0.00",TEXT($AB318*100,"+0.00;-0.00"))&amp;" points against "&amp;IF($V318,"its band","the book")&amp;", "&amp;IF($AC318="","not tested","not significant"),IF(profit_kind="points","within "&amp;TEXT(profit_line*100,"0.00")&amp;" points of "&amp;IF($V318,"its band","the book")&amp;" ("&amp;IF(ROUND($AB318*100,2)=0,"0.00",TEXT($AB318*100,"+0.00;-0.00"))&amp;")","within $"&amp;TEXT(profit_line,"#,##0")&amp;" of "&amp;IF($V318,"its band","the book")&amp;" ("&amp;IF(ROUND($AB318*100,2)=0,"0.00",TEXT($AB318*100,"+0.00;-0.00"))&amp;" points)")),IF(LEFT($Y318,5)="worse","short of ","ahead of ")&amp;IF($V318,"its band","the book")&amp;" by "&amp;TEXT(ABS($AB318)*100,"0.00")&amp;" points"&amp;IF($Z318="",""," ($"&amp;TEXT(ABS($Z318),"#,##0")&amp;")")&amp;IF(RIGHT($Y318,15)="not significant"," (not significant)","")))</f>
        <v/>
      </c>
      <c r="AE318">
        <f>IF($V318,IF($S318="","",$S318),IF($R318="","",$R318))</f>
        <v/>
      </c>
      <c r="AF318">
        <f>IF($V318,IF($U318="","",$U318),IF($T318="","",$T318))</f>
        <v/>
      </c>
      <c r="AG318">
        <f>IF($V318,IF($O318="","",$O318),IF($P318="","",$P318))</f>
        <v/>
      </c>
      <c r="AH318" t="n">
        <v>0.1647391676691785</v>
      </c>
      <c r="AI318">
        <f>IF($Y318="worse","Yes",IF($Y318="worse, not significant","Not sure",IF(OR($Y318="too few losses to test",$Y318="too few loans to test"),"Too few losses",IF($Y318="","","No"))))</f>
        <v/>
      </c>
      <c r="AJ318">
        <f>IF($AA318="yes","Yes",IF($AA318="","","No"))</f>
        <v/>
      </c>
    </row>
    <row r="319">
      <c r="A319" t="inlineStr">
        <is>
          <t>grids</t>
        </is>
      </c>
      <c r="B319" t="inlineStr">
        <is>
          <t>ORIG_BAL x ASSET_CLASS</t>
        </is>
      </c>
      <c r="C319" t="inlineStr">
        <is>
          <t>(blank)</t>
        </is>
      </c>
      <c r="D319" t="inlineStr">
        <is>
          <t>2</t>
        </is>
      </c>
      <c r="E319" t="inlineStr">
        <is>
          <t>outcome_loans</t>
        </is>
      </c>
      <c r="F319" t="inlineStr">
        <is>
          <t>Outcome, share of loans</t>
        </is>
      </c>
      <c r="G319" t="n">
        <v>1</v>
      </c>
      <c r="H319" t="n">
        <v>1</v>
      </c>
      <c r="I319" t="b">
        <v>1</v>
      </c>
      <c r="J319" t="b">
        <v>1</v>
      </c>
      <c r="K319" t="n">
        <v>0</v>
      </c>
      <c r="O319" t="n">
        <v>-0.07739434858714679</v>
      </c>
      <c r="Q319">
        <f>'_live'!$C$20</f>
        <v/>
      </c>
      <c r="T319" t="n">
        <v>0.07739434858714679</v>
      </c>
      <c r="V319">
        <f>AND(judged_band,NOT($J319))</f>
        <v/>
      </c>
      <c r="W319">
        <f>IF($K319="","",IF($I319,"too few losses to test",IF(AND($K319&gt;better_at,$K319&lt;worse_at),"in line",IF($K319&gt;=worse_at,IF(AND(ISNUMBER($L319),$L319&lt;significance_bar),"worse","worse, not significant"),IF(AND(ISNUMBER($L319),$L319&lt;significance_bar),"better","better, not significant")))))</f>
        <v/>
      </c>
      <c r="X319">
        <f>IF($M319="","",IF($I319,"too few losses to test",IF(AND($M319&gt;better_at,$M319&lt;worse_at),"in line",IF($M319&gt;=worse_at,IF(AND(ISNUMBER($N319),$N319&lt;significance_bar),"worse","worse, not significant"),IF(AND(ISNUMBER($N319),$N319&lt;significance_bar),"better","better, not significant")))))</f>
        <v/>
      </c>
      <c r="Y319">
        <f>IF($V319,$X319,$W319)</f>
        <v/>
      </c>
      <c r="Z319">
        <f>IF($V319,IF($P319="","",$P319),IF($O319="","",$O319))</f>
        <v/>
      </c>
      <c r="AA319">
        <f>IF(OR($Q319="",$Z319=""),"",IF(AND($Z319&gt;0,$Z319&gt;=$Q319),"yes","below the line"))</f>
        <v/>
      </c>
      <c r="AB319">
        <f>IF($V319,IF($M319="","",$M319),IF($K319="","",$K319))</f>
        <v/>
      </c>
      <c r="AC319">
        <f>IF($V319,IF($N319="","",$N319),IF($L319="","",$L319))</f>
        <v/>
      </c>
      <c r="AD319">
        <f>$Y319</f>
        <v/>
      </c>
      <c r="AE319">
        <f>IF($V319,IF($S319="","",$S319),IF($R319="","",$R319))</f>
        <v/>
      </c>
      <c r="AF319">
        <f>IF($V319,IF($U319="","",$U319),IF($T319="","",$T319))</f>
        <v/>
      </c>
      <c r="AG319">
        <f>IF($V319,IF($O319="","",$O319),IF($P319="","",$P319))</f>
        <v/>
      </c>
      <c r="AH319" t="n">
        <v>0</v>
      </c>
      <c r="AI319">
        <f>IF($Y319="worse","Yes",IF($Y319="worse, not significant","Not sure",IF(OR($Y319="too few losses to test",$Y319="too few loans to test"),"Too few losses",IF($Y319="","","No"))))</f>
        <v/>
      </c>
      <c r="AJ319">
        <f>IF($AA319="yes","Yes",IF($AA319="","","No"))</f>
        <v/>
      </c>
    </row>
    <row r="320">
      <c r="A320" t="inlineStr">
        <is>
          <t>grids</t>
        </is>
      </c>
      <c r="B320" t="inlineStr">
        <is>
          <t>ORIG_BAL x ASSET_CLASS</t>
        </is>
      </c>
      <c r="C320" t="inlineStr">
        <is>
          <t>(blank)</t>
        </is>
      </c>
      <c r="D320" t="inlineStr">
        <is>
          <t>2</t>
        </is>
      </c>
      <c r="E320" t="inlineStr">
        <is>
          <t>outcome_booked</t>
        </is>
      </c>
      <c r="F320" t="inlineStr">
        <is>
          <t>Outcome, share of booked dollars</t>
        </is>
      </c>
      <c r="G320" t="n">
        <v>0</v>
      </c>
      <c r="H320" t="n">
        <v>0</v>
      </c>
      <c r="I320" t="b">
        <v>1</v>
      </c>
      <c r="J320" t="b">
        <v>1</v>
      </c>
      <c r="O320" t="n">
        <v>0</v>
      </c>
      <c r="Q320">
        <f>'_live'!$C$21</f>
        <v/>
      </c>
      <c r="R320" t="inlineStr"/>
      <c r="S320" t="inlineStr"/>
      <c r="T320" t="n">
        <v>0.07482886857347235</v>
      </c>
      <c r="V320">
        <f>AND(judged_band,NOT($J320))</f>
        <v/>
      </c>
      <c r="W320">
        <f>IF($K320="","",IF($I320,"too few losses to test",IF(AND($K320&gt;better_at,$K320&lt;worse_at),"in line",IF($K320&gt;=worse_at,IF(AND(ISNUMBER($L320),$L320&lt;significance_bar),"worse","worse, not significant"),IF(AND(ISNUMBER($L320),$L320&lt;significance_bar),"better","better, not significant")))))</f>
        <v/>
      </c>
      <c r="X320">
        <f>IF($M320="","",IF($I320,"too few losses to test",IF(AND($M320&gt;better_at,$M320&lt;worse_at),"in line",IF($M320&gt;=worse_at,IF(AND(ISNUMBER($N320),$N320&lt;significance_bar),"worse","worse, not significant"),IF(AND(ISNUMBER($N320),$N320&lt;significance_bar),"better","better, not significant")))))</f>
        <v/>
      </c>
      <c r="Y320">
        <f>IF($V320,$X320,$W320)</f>
        <v/>
      </c>
      <c r="Z320">
        <f>IF($V320,IF($P320="","",$P320),IF($O320="","",$O320))</f>
        <v/>
      </c>
      <c r="AA320">
        <f>IF(OR($Q320="",$Z320=""),"",IF(AND($Z320&gt;0,$Z320&gt;=$Q320),"yes","below the line"))</f>
        <v/>
      </c>
      <c r="AB320">
        <f>IF($V320,IF($M320="","",$M320),IF($K320="","",$K320))</f>
        <v/>
      </c>
      <c r="AC320">
        <f>IF($V320,IF($N320="","",$N320),IF($L320="","",$L320))</f>
        <v/>
      </c>
      <c r="AD320">
        <f>$Y320</f>
        <v/>
      </c>
      <c r="AE320">
        <f>IF($V320,IF($S320="","",$S320),IF($R320="","",$R320))</f>
        <v/>
      </c>
      <c r="AF320">
        <f>IF($V320,IF($U320="","",$U320),IF($T320="","",$T320))</f>
        <v/>
      </c>
      <c r="AG320">
        <f>IF($V320,IF($O320="","",$O320),IF($P320="","",$P320))</f>
        <v/>
      </c>
      <c r="AI320">
        <f>IF($Y320="worse","Yes",IF($Y320="worse, not significant","Not sure",IF(OR($Y320="too few losses to test",$Y320="too few loans to test"),"Too few losses",IF($Y320="","","No"))))</f>
        <v/>
      </c>
      <c r="AJ320">
        <f>IF($AA320="yes","Yes",IF($AA320="","","No"))</f>
        <v/>
      </c>
    </row>
    <row r="321">
      <c r="A321" t="inlineStr">
        <is>
          <t>grids</t>
        </is>
      </c>
      <c r="B321" t="inlineStr">
        <is>
          <t>ORIG_BAL x ASSET_CLASS</t>
        </is>
      </c>
      <c r="C321" t="inlineStr">
        <is>
          <t>(blank)</t>
        </is>
      </c>
      <c r="D321" t="inlineStr">
        <is>
          <t>2</t>
        </is>
      </c>
      <c r="E321" t="inlineStr">
        <is>
          <t>gco_rate</t>
        </is>
      </c>
      <c r="F321" t="inlineStr">
        <is>
          <t>GCO per booked dollar</t>
        </is>
      </c>
      <c r="G321" t="n">
        <v>0</v>
      </c>
      <c r="H321" t="n">
        <v>0</v>
      </c>
      <c r="I321" t="b">
        <v>1</v>
      </c>
      <c r="J321" t="b">
        <v>1</v>
      </c>
      <c r="O321" t="n">
        <v>0</v>
      </c>
      <c r="Q321">
        <f>'_live'!$C$22</f>
        <v/>
      </c>
      <c r="R321" t="inlineStr"/>
      <c r="S321" t="inlineStr"/>
      <c r="T321" t="n">
        <v>0.04160526533333565</v>
      </c>
      <c r="V321">
        <f>AND(judged_band,NOT($J321))</f>
        <v/>
      </c>
      <c r="W321">
        <f>IF($K321="","",IF($I321,"too few losses to test",IF(AND($K321&gt;better_at,$K321&lt;worse_at),"in line",IF($K321&gt;=worse_at,IF(AND(ISNUMBER($L321),$L321&lt;significance_bar),"worse","worse, not significant"),IF(AND(ISNUMBER($L321),$L321&lt;significance_bar),"better","better, not significant")))))</f>
        <v/>
      </c>
      <c r="X321">
        <f>IF($M321="","",IF($I321,"too few losses to test",IF(AND($M321&gt;better_at,$M321&lt;worse_at),"in line",IF($M321&gt;=worse_at,IF(AND(ISNUMBER($N321),$N321&lt;significance_bar),"worse","worse, not significant"),IF(AND(ISNUMBER($N321),$N321&lt;significance_bar),"better","better, not significant")))))</f>
        <v/>
      </c>
      <c r="Y321">
        <f>IF($V321,$X321,$W321)</f>
        <v/>
      </c>
      <c r="Z321">
        <f>IF($V321,IF($P321="","",$P321),IF($O321="","",$O321))</f>
        <v/>
      </c>
      <c r="AA321">
        <f>IF(OR($Q321="",$Z321=""),"",IF(AND($Z321&gt;0,$Z321&gt;=$Q321),"yes","below the line"))</f>
        <v/>
      </c>
      <c r="AB321">
        <f>IF($V321,IF($M321="","",$M321),IF($K321="","",$K321))</f>
        <v/>
      </c>
      <c r="AC321">
        <f>IF($V321,IF($N321="","",$N321),IF($L321="","",$L321))</f>
        <v/>
      </c>
      <c r="AD321">
        <f>$Y321</f>
        <v/>
      </c>
      <c r="AE321">
        <f>IF($V321,IF($S321="","",$S321),IF($R321="","",$R321))</f>
        <v/>
      </c>
      <c r="AF321">
        <f>IF($V321,IF($U321="","",$U321),IF($T321="","",$T321))</f>
        <v/>
      </c>
      <c r="AG321">
        <f>IF($V321,IF($O321="","",$O321),IF($P321="","",$P321))</f>
        <v/>
      </c>
      <c r="AI321">
        <f>IF($Y321="worse","Yes",IF($Y321="worse, not significant","Not sure",IF(OR($Y321="too few losses to test",$Y321="too few loans to test"),"Too few losses",IF($Y321="","","No"))))</f>
        <v/>
      </c>
      <c r="AJ321">
        <f>IF($AA321="yes","Yes",IF($AA321="","","No"))</f>
        <v/>
      </c>
    </row>
    <row r="322">
      <c r="A322" t="inlineStr">
        <is>
          <t>grids</t>
        </is>
      </c>
      <c r="B322" t="inlineStr">
        <is>
          <t>ORIG_BAL x ASSET_CLASS</t>
        </is>
      </c>
      <c r="C322" t="inlineStr">
        <is>
          <t>(blank)</t>
        </is>
      </c>
      <c r="D322" t="inlineStr">
        <is>
          <t>2</t>
        </is>
      </c>
      <c r="E322" t="inlineStr">
        <is>
          <t>ranr_rate</t>
        </is>
      </c>
      <c r="F322" t="inlineStr">
        <is>
          <t>Profit after losses: RANR per booked dollar</t>
        </is>
      </c>
      <c r="G322" t="n">
        <v>0</v>
      </c>
      <c r="H322" t="n">
        <v>0</v>
      </c>
      <c r="I322" t="b">
        <v>0</v>
      </c>
      <c r="J322" t="b">
        <v>1</v>
      </c>
      <c r="O322" t="n">
        <v>0</v>
      </c>
      <c r="Q322">
        <f>'_live'!$C$23</f>
        <v/>
      </c>
      <c r="R322" t="inlineStr"/>
      <c r="S322" t="inlineStr"/>
      <c r="T322" t="n">
        <v>0.1279900496481481</v>
      </c>
      <c r="V322">
        <f>AND(judged_band,NOT($J322))</f>
        <v/>
      </c>
      <c r="W322">
        <f>IF($K322="","",IF(profit_kind="test",IF(OR(NOT(AND(ISNUMBER($L322),$L322&lt;significance_bar)),$K322=0),"in line",IF($K322&lt;0,"worse","better")),IF(OR($K322=0,IF(profit_kind="points",ABS($K322),ABS($K322*$H322))&lt;profit_line*(1-1E-9)),"in line",IF(AND(ISNUMBER($L322),$L322&lt;significance_bar),IF($K322&lt;0,"worse","better"),IF($K322&lt;0,"worse, not significant","better, not significant")))))</f>
        <v/>
      </c>
      <c r="X322">
        <f>IF($M322="","",IF(profit_kind="test",IF(OR(NOT(AND(ISNUMBER($N322),$N322&lt;significance_bar)),$M322=0),"in line",IF($M322&lt;0,"worse","better")),IF(OR($M322=0,IF(profit_kind="points",ABS($M322),ABS($M322*$H322))&lt;profit_line*(1-1E-9)),"in line",IF(AND(ISNUMBER($N322),$N322&lt;significance_bar),IF($M322&lt;0,"worse","better"),IF($M322&lt;0,"worse, not significant","better, not significant")))))</f>
        <v/>
      </c>
      <c r="Y322">
        <f>IF($V322,$X322,$W322)</f>
        <v/>
      </c>
      <c r="Z322">
        <f>IF($V322,IF($P322="","",$P322),IF($O322="","",$O322))</f>
        <v/>
      </c>
      <c r="AA322">
        <f>IF(OR($Q322="",$Z322=""),"",IF(AND($Z322&gt;0,$Z322&gt;=$Q322),"yes","below the line"))</f>
        <v/>
      </c>
      <c r="AB322">
        <f>IF($V322,IF($M322="","",$M322),IF($K322="","",$K322))</f>
        <v/>
      </c>
      <c r="AC322">
        <f>IF($V322,IF($N322="","",$N322),IF($L322="","",$L322))</f>
        <v/>
      </c>
      <c r="AD322">
        <f>IF($Y322="","",IF($Y322="in line",IF(profit_kind="test",IF(ROUND($AB322*100,2)=0,"0.00",TEXT($AB322*100,"+0.00;-0.00"))&amp;" points against "&amp;IF($V322,"its band","the book")&amp;", "&amp;IF($AC322="","not tested","not significant"),IF(profit_kind="points","within "&amp;TEXT(profit_line*100,"0.00")&amp;" points of "&amp;IF($V322,"its band","the book")&amp;" ("&amp;IF(ROUND($AB322*100,2)=0,"0.00",TEXT($AB322*100,"+0.00;-0.00"))&amp;")","within $"&amp;TEXT(profit_line,"#,##0")&amp;" of "&amp;IF($V322,"its band","the book")&amp;" ("&amp;IF(ROUND($AB322*100,2)=0,"0.00",TEXT($AB322*100,"+0.00;-0.00"))&amp;" points)")),IF(LEFT($Y322,5)="worse","short of ","ahead of ")&amp;IF($V322,"its band","the book")&amp;" by "&amp;TEXT(ABS($AB322)*100,"0.00")&amp;" points"&amp;IF($Z322="",""," ($"&amp;TEXT(ABS($Z322),"#,##0")&amp;")")&amp;IF(RIGHT($Y322,15)="not significant"," (not significant)","")))</f>
        <v/>
      </c>
      <c r="AE322">
        <f>IF($V322,IF($S322="","",$S322),IF($R322="","",$R322))</f>
        <v/>
      </c>
      <c r="AF322">
        <f>IF($V322,IF($U322="","",$U322),IF($T322="","",$T322))</f>
        <v/>
      </c>
      <c r="AG322">
        <f>IF($V322,IF($O322="","",$O322),IF($P322="","",$P322))</f>
        <v/>
      </c>
      <c r="AI322">
        <f>IF($Y322="worse","Yes",IF($Y322="worse, not significant","Not sure",IF(OR($Y322="too few losses to test",$Y322="too few loans to test"),"Too few losses",IF($Y322="","","No"))))</f>
        <v/>
      </c>
      <c r="AJ322">
        <f>IF($AA322="yes","Yes",IF($AA322="","","No"))</f>
        <v/>
      </c>
    </row>
    <row r="323">
      <c r="A323" t="inlineStr">
        <is>
          <t>grids</t>
        </is>
      </c>
      <c r="B323" t="inlineStr">
        <is>
          <t>ORIG_BAL x ASSET_CLASS</t>
        </is>
      </c>
      <c r="C323" t="inlineStr">
        <is>
          <t>(blank)</t>
        </is>
      </c>
      <c r="D323" t="inlineStr">
        <is>
          <t>2</t>
        </is>
      </c>
      <c r="E323" t="inlineStr">
        <is>
          <t>contribution_rate</t>
        </is>
      </c>
      <c r="F323" t="inlineStr">
        <is>
          <t>Contribution before losses per booked dollar</t>
        </is>
      </c>
      <c r="G323" t="n">
        <v>0</v>
      </c>
      <c r="H323" t="n">
        <v>0</v>
      </c>
      <c r="I323" t="b">
        <v>0</v>
      </c>
      <c r="J323" t="b">
        <v>1</v>
      </c>
      <c r="O323" t="n">
        <v>0</v>
      </c>
      <c r="Q323">
        <f>'_live'!$C$24</f>
        <v/>
      </c>
      <c r="R323" t="inlineStr"/>
      <c r="S323" t="inlineStr"/>
      <c r="T323" t="n">
        <v>0.1695924557349815</v>
      </c>
      <c r="V323">
        <f>AND(judged_band,NOT($J323))</f>
        <v/>
      </c>
      <c r="W323">
        <f>IF($K323="","",IF(profit_kind="test",IF(OR(NOT(AND(ISNUMBER($L323),$L323&lt;significance_bar)),$K323=0),"in line",IF($K323&lt;0,"worse","better")),IF(OR($K323=0,IF(profit_kind="points",ABS($K323),ABS($K323*$H323))&lt;profit_line*(1-1E-9)),"in line",IF(AND(ISNUMBER($L323),$L323&lt;significance_bar),IF($K323&lt;0,"worse","better"),IF($K323&lt;0,"worse, not significant","better, not significant")))))</f>
        <v/>
      </c>
      <c r="X323">
        <f>IF($M323="","",IF(profit_kind="test",IF(OR(NOT(AND(ISNUMBER($N323),$N323&lt;significance_bar)),$M323=0),"in line",IF($M323&lt;0,"worse","better")),IF(OR($M323=0,IF(profit_kind="points",ABS($M323),ABS($M323*$H323))&lt;profit_line*(1-1E-9)),"in line",IF(AND(ISNUMBER($N323),$N323&lt;significance_bar),IF($M323&lt;0,"worse","better"),IF($M323&lt;0,"worse, not significant","better, not significant")))))</f>
        <v/>
      </c>
      <c r="Y323">
        <f>IF($V323,$X323,$W323)</f>
        <v/>
      </c>
      <c r="Z323">
        <f>IF($V323,IF($P323="","",$P323),IF($O323="","",$O323))</f>
        <v/>
      </c>
      <c r="AA323">
        <f>IF(OR($Q323="",$Z323=""),"",IF(AND($Z323&gt;0,$Z323&gt;=$Q323),"yes","below the line"))</f>
        <v/>
      </c>
      <c r="AB323">
        <f>IF($V323,IF($M323="","",$M323),IF($K323="","",$K323))</f>
        <v/>
      </c>
      <c r="AC323">
        <f>IF($V323,IF($N323="","",$N323),IF($L323="","",$L323))</f>
        <v/>
      </c>
      <c r="AD323">
        <f>IF($Y323="","",IF($Y323="in line",IF(profit_kind="test",IF(ROUND($AB323*100,2)=0,"0.00",TEXT($AB323*100,"+0.00;-0.00"))&amp;" points against "&amp;IF($V323,"its band","the book")&amp;", "&amp;IF($AC323="","not tested","not significant"),IF(profit_kind="points","within "&amp;TEXT(profit_line*100,"0.00")&amp;" points of "&amp;IF($V323,"its band","the book")&amp;" ("&amp;IF(ROUND($AB323*100,2)=0,"0.00",TEXT($AB323*100,"+0.00;-0.00"))&amp;")","within $"&amp;TEXT(profit_line,"#,##0")&amp;" of "&amp;IF($V323,"its band","the book")&amp;" ("&amp;IF(ROUND($AB323*100,2)=0,"0.00",TEXT($AB323*100,"+0.00;-0.00"))&amp;" points)")),IF(LEFT($Y323,5)="worse","short of ","ahead of ")&amp;IF($V323,"its band","the book")&amp;" by "&amp;TEXT(ABS($AB323)*100,"0.00")&amp;" points"&amp;IF($Z323="",""," ($"&amp;TEXT(ABS($Z323),"#,##0")&amp;")")&amp;IF(RIGHT($Y323,15)="not significant"," (not significant)","")))</f>
        <v/>
      </c>
      <c r="AE323">
        <f>IF($V323,IF($S323="","",$S323),IF($R323="","",$R323))</f>
        <v/>
      </c>
      <c r="AF323">
        <f>IF($V323,IF($U323="","",$U323),IF($T323="","",$T323))</f>
        <v/>
      </c>
      <c r="AG323">
        <f>IF($V323,IF($O323="","",$O323),IF($P323="","",$P323))</f>
        <v/>
      </c>
      <c r="AI323">
        <f>IF($Y323="worse","Yes",IF($Y323="worse, not significant","Not sure",IF(OR($Y323="too few losses to test",$Y323="too few loans to test"),"Too few losses",IF($Y323="","","No"))))</f>
        <v/>
      </c>
      <c r="AJ323">
        <f>IF($AA323="yes","Yes",IF($AA323="","","No"))</f>
        <v/>
      </c>
    </row>
    <row r="324">
      <c r="A324" t="inlineStr">
        <is>
          <t>grids</t>
        </is>
      </c>
      <c r="B324" t="inlineStr">
        <is>
          <t>ORIG_BAL x ASSET_CLASS</t>
        </is>
      </c>
      <c r="C324" t="inlineStr">
        <is>
          <t>26,324 - 37,950</t>
        </is>
      </c>
      <c r="D324" t="inlineStr">
        <is>
          <t>4</t>
        </is>
      </c>
      <c r="E324" t="inlineStr">
        <is>
          <t>outcome_loans</t>
        </is>
      </c>
      <c r="F324" t="inlineStr">
        <is>
          <t>Outcome, share of loans</t>
        </is>
      </c>
      <c r="G324" t="n">
        <v>412</v>
      </c>
      <c r="H324" t="n">
        <v>412</v>
      </c>
      <c r="I324" t="b">
        <v>0</v>
      </c>
      <c r="J324" t="b">
        <v>0</v>
      </c>
      <c r="K324" t="n">
        <v>1.306257768670004</v>
      </c>
      <c r="L324" t="n">
        <v>0.2386421820254684</v>
      </c>
      <c r="M324" t="n">
        <v>1.710496693400872</v>
      </c>
      <c r="N324" t="n">
        <v>0.04303515238631587</v>
      </c>
      <c r="O324" t="n">
        <v>9.612626861737184</v>
      </c>
      <c r="P324" t="n">
        <v>17.03035413153457</v>
      </c>
      <c r="Q324">
        <f>'_live'!$C$20</f>
        <v/>
      </c>
      <c r="R324" t="inlineStr">
        <is>
          <t>z test</t>
        </is>
      </c>
      <c r="S324" t="inlineStr">
        <is>
          <t>z test</t>
        </is>
      </c>
      <c r="T324" t="n">
        <v>0.07618294451034664</v>
      </c>
      <c r="U324" t="n">
        <v>0.0581787521079258</v>
      </c>
      <c r="V324">
        <f>AND(judged_band,NOT($J324))</f>
        <v/>
      </c>
      <c r="W324">
        <f>IF($K324="","",IF($I324,"too few losses to test",IF(AND($K324&gt;better_at,$K324&lt;worse_at),"in line",IF($K324&gt;=worse_at,IF(AND(ISNUMBER($L324),$L324&lt;significance_bar),"worse","worse, not significant"),IF(AND(ISNUMBER($L324),$L324&lt;significance_bar),"better","better, not significant")))))</f>
        <v/>
      </c>
      <c r="X324">
        <f>IF($M324="","",IF($I324,"too few losses to test",IF(AND($M324&gt;better_at,$M324&lt;worse_at),"in line",IF($M324&gt;=worse_at,IF(AND(ISNUMBER($N324),$N324&lt;significance_bar),"worse","worse, not significant"),IF(AND(ISNUMBER($N324),$N324&lt;significance_bar),"better","better, not significant")))))</f>
        <v/>
      </c>
      <c r="Y324">
        <f>IF($V324,$X324,$W324)</f>
        <v/>
      </c>
      <c r="Z324">
        <f>IF($V324,IF($P324="","",$P324),IF($O324="","",$O324))</f>
        <v/>
      </c>
      <c r="AA324">
        <f>IF(OR($Q324="",$Z324=""),"",IF(AND($Z324&gt;0,$Z324&gt;=$Q324),"yes","below the line"))</f>
        <v/>
      </c>
      <c r="AB324">
        <f>IF($V324,IF($M324="","",$M324),IF($K324="","",$K324))</f>
        <v/>
      </c>
      <c r="AC324">
        <f>IF($V324,IF($N324="","",$N324),IF($L324="","",$L324))</f>
        <v/>
      </c>
      <c r="AD324">
        <f>$Y324</f>
        <v/>
      </c>
      <c r="AE324">
        <f>IF($V324,IF($S324="","",$S324),IF($R324="","",$R324))</f>
        <v/>
      </c>
      <c r="AF324">
        <f>IF($V324,IF($U324="","",$U324),IF($T324="","",$T324))</f>
        <v/>
      </c>
      <c r="AG324">
        <f>IF($V324,IF($O324="","",$O324),IF($P324="","",$P324))</f>
        <v/>
      </c>
      <c r="AH324" t="n">
        <v>0.09951456310679611</v>
      </c>
      <c r="AI324">
        <f>IF($Y324="worse","Yes",IF($Y324="worse, not significant","Not sure",IF(OR($Y324="too few losses to test",$Y324="too few loans to test"),"Too few losses",IF($Y324="","","No"))))</f>
        <v/>
      </c>
      <c r="AJ324">
        <f>IF($AA324="yes","Yes",IF($AA324="","","No"))</f>
        <v/>
      </c>
    </row>
    <row r="325">
      <c r="A325" t="inlineStr">
        <is>
          <t>grids</t>
        </is>
      </c>
      <c r="B325" t="inlineStr">
        <is>
          <t>ORIG_BAL x ASSET_CLASS</t>
        </is>
      </c>
      <c r="C325" t="inlineStr">
        <is>
          <t>26,324 - 37,950</t>
        </is>
      </c>
      <c r="D325" t="inlineStr">
        <is>
          <t>4</t>
        </is>
      </c>
      <c r="E325" t="inlineStr">
        <is>
          <t>outcome_booked</t>
        </is>
      </c>
      <c r="F325" t="inlineStr">
        <is>
          <t>Outcome, share of booked dollars</t>
        </is>
      </c>
      <c r="G325" t="n">
        <v>412</v>
      </c>
      <c r="H325" t="n">
        <v>13211664.86</v>
      </c>
      <c r="I325" t="b">
        <v>0</v>
      </c>
      <c r="J325" t="b">
        <v>0</v>
      </c>
      <c r="K325" t="n">
        <v>1.339649527222382</v>
      </c>
      <c r="L325" t="n">
        <v>0.2672232776722328</v>
      </c>
      <c r="M325" t="n">
        <v>1.707245307730205</v>
      </c>
      <c r="N325" t="n">
        <v>0.03999600039996</v>
      </c>
      <c r="O325" t="n">
        <v>330042.5985707579</v>
      </c>
      <c r="P325" t="n">
        <v>539267.5970261487</v>
      </c>
      <c r="Q325">
        <f>'_live'!$C$21</f>
        <v/>
      </c>
      <c r="R325" t="inlineStr">
        <is>
          <t>shuffled: 873 of 10,000</t>
        </is>
      </c>
      <c r="S325" t="inlineStr">
        <is>
          <t>shuffled: 39 of 10,000</t>
        </is>
      </c>
      <c r="T325" t="n">
        <v>0.0735497896537804</v>
      </c>
      <c r="U325" t="n">
        <v>0.05771340561948308</v>
      </c>
      <c r="V325">
        <f>AND(judged_band,NOT($J325))</f>
        <v/>
      </c>
      <c r="W325">
        <f>IF($K325="","",IF($I325,"too few losses to test",IF(AND($K325&gt;better_at,$K325&lt;worse_at),"in line",IF($K325&gt;=worse_at,IF(AND(ISNUMBER($L325),$L325&lt;significance_bar),"worse","worse, not significant"),IF(AND(ISNUMBER($L325),$L325&lt;significance_bar),"better","better, not significant")))))</f>
        <v/>
      </c>
      <c r="X325">
        <f>IF($M325="","",IF($I325,"too few losses to test",IF(AND($M325&gt;better_at,$M325&lt;worse_at),"in line",IF($M325&gt;=worse_at,IF(AND(ISNUMBER($N325),$N325&lt;significance_bar),"worse","worse, not significant"),IF(AND(ISNUMBER($N325),$N325&lt;significance_bar),"better","better, not significant")))))</f>
        <v/>
      </c>
      <c r="Y325">
        <f>IF($V325,$X325,$W325)</f>
        <v/>
      </c>
      <c r="Z325">
        <f>IF($V325,IF($P325="","",$P325),IF($O325="","",$O325))</f>
        <v/>
      </c>
      <c r="AA325">
        <f>IF(OR($Q325="",$Z325=""),"",IF(AND($Z325&gt;0,$Z325&gt;=$Q325),"yes","below the line"))</f>
        <v/>
      </c>
      <c r="AB325">
        <f>IF($V325,IF($M325="","",$M325),IF($K325="","",$K325))</f>
        <v/>
      </c>
      <c r="AC325">
        <f>IF($V325,IF($N325="","",$N325),IF($L325="","",$L325))</f>
        <v/>
      </c>
      <c r="AD325">
        <f>$Y325</f>
        <v/>
      </c>
      <c r="AE325">
        <f>IF($V325,IF($S325="","",$S325),IF($R325="","",$R325))</f>
        <v/>
      </c>
      <c r="AF325">
        <f>IF($V325,IF($U325="","",$U325),IF($T325="","",$T325))</f>
        <v/>
      </c>
      <c r="AG325">
        <f>IF($V325,IF($O325="","",$O325),IF($P325="","",$P325))</f>
        <v/>
      </c>
      <c r="AH325" t="n">
        <v>0.09853094093699255</v>
      </c>
      <c r="AI325">
        <f>IF($Y325="worse","Yes",IF($Y325="worse, not significant","Not sure",IF(OR($Y325="too few losses to test",$Y325="too few loans to test"),"Too few losses",IF($Y325="","","No"))))</f>
        <v/>
      </c>
      <c r="AJ325">
        <f>IF($AA325="yes","Yes",IF($AA325="","","No"))</f>
        <v/>
      </c>
    </row>
    <row r="326">
      <c r="A326" t="inlineStr">
        <is>
          <t>grids</t>
        </is>
      </c>
      <c r="B326" t="inlineStr">
        <is>
          <t>ORIG_BAL x ASSET_CLASS</t>
        </is>
      </c>
      <c r="C326" t="inlineStr">
        <is>
          <t>26,324 - 37,950</t>
        </is>
      </c>
      <c r="D326" t="inlineStr">
        <is>
          <t>4</t>
        </is>
      </c>
      <c r="E326" t="inlineStr">
        <is>
          <t>gco_rate</t>
        </is>
      </c>
      <c r="F326" t="inlineStr">
        <is>
          <t>GCO per booked dollar</t>
        </is>
      </c>
      <c r="G326" t="n">
        <v>412</v>
      </c>
      <c r="H326" t="n">
        <v>13211664.86</v>
      </c>
      <c r="I326" t="b">
        <v>0</v>
      </c>
      <c r="J326" t="b">
        <v>0</v>
      </c>
      <c r="K326" t="n">
        <v>1.31580700079404</v>
      </c>
      <c r="L326" t="n">
        <v>0.3444100034441001</v>
      </c>
      <c r="M326" t="n">
        <v>1.696076466137317</v>
      </c>
      <c r="N326" t="n">
        <v>0.068993100689931</v>
      </c>
      <c r="O326" t="n">
        <v>170828.8470872997</v>
      </c>
      <c r="P326" t="n">
        <v>292107.812252465</v>
      </c>
      <c r="Q326">
        <f>'_live'!$C$22</f>
        <v/>
      </c>
      <c r="R326" t="inlineStr">
        <is>
          <t>shuffled: 1,261 of 10,000</t>
        </is>
      </c>
      <c r="S326" t="inlineStr">
        <is>
          <t>shuffled: 68 of 10,000</t>
        </is>
      </c>
      <c r="T326" t="n">
        <v>0.04094321182415313</v>
      </c>
      <c r="U326" t="n">
        <v>0.03176352353730043</v>
      </c>
      <c r="V326">
        <f>AND(judged_band,NOT($J326))</f>
        <v/>
      </c>
      <c r="W326">
        <f>IF($K326="","",IF($I326,"too few losses to test",IF(AND($K326&gt;better_at,$K326&lt;worse_at),"in line",IF($K326&gt;=worse_at,IF(AND(ISNUMBER($L326),$L326&lt;significance_bar),"worse","worse, not significant"),IF(AND(ISNUMBER($L326),$L326&lt;significance_bar),"better","better, not significant")))))</f>
        <v/>
      </c>
      <c r="X326">
        <f>IF($M326="","",IF($I326,"too few losses to test",IF(AND($M326&gt;better_at,$M326&lt;worse_at),"in line",IF($M326&gt;=worse_at,IF(AND(ISNUMBER($N326),$N326&lt;significance_bar),"worse","worse, not significant"),IF(AND(ISNUMBER($N326),$N326&lt;significance_bar),"better","better, not significant")))))</f>
        <v/>
      </c>
      <c r="Y326">
        <f>IF($V326,$X326,$W326)</f>
        <v/>
      </c>
      <c r="Z326">
        <f>IF($V326,IF($P326="","",$P326),IF($O326="","",$O326))</f>
        <v/>
      </c>
      <c r="AA326">
        <f>IF(OR($Q326="",$Z326=""),"",IF(AND($Z326&gt;0,$Z326&gt;=$Q326),"yes","below the line"))</f>
        <v/>
      </c>
      <c r="AB326">
        <f>IF($V326,IF($M326="","",$M326),IF($K326="","",$K326))</f>
        <v/>
      </c>
      <c r="AC326">
        <f>IF($V326,IF($N326="","",$N326),IF($L326="","",$L326))</f>
        <v/>
      </c>
      <c r="AD326">
        <f>$Y326</f>
        <v/>
      </c>
      <c r="AE326">
        <f>IF($V326,IF($S326="","",$S326),IF($R326="","",$R326))</f>
        <v/>
      </c>
      <c r="AF326">
        <f>IF($V326,IF($U326="","",$U326),IF($T326="","",$T326))</f>
        <v/>
      </c>
      <c r="AG326">
        <f>IF($V326,IF($O326="","",$O326),IF($P326="","",$P326))</f>
        <v/>
      </c>
      <c r="AH326" t="n">
        <v>0.05387336475321401</v>
      </c>
      <c r="AI326">
        <f>IF($Y326="worse","Yes",IF($Y326="worse, not significant","Not sure",IF(OR($Y326="too few losses to test",$Y326="too few loans to test"),"Too few losses",IF($Y326="","","No"))))</f>
        <v/>
      </c>
      <c r="AJ326">
        <f>IF($AA326="yes","Yes",IF($AA326="","","No"))</f>
        <v/>
      </c>
    </row>
    <row r="327">
      <c r="A327" t="inlineStr">
        <is>
          <t>grids</t>
        </is>
      </c>
      <c r="B327" t="inlineStr">
        <is>
          <t>ORIG_BAL x ASSET_CLASS</t>
        </is>
      </c>
      <c r="C327" t="inlineStr">
        <is>
          <t>26,324 - 37,950</t>
        </is>
      </c>
      <c r="D327" t="inlineStr">
        <is>
          <t>4</t>
        </is>
      </c>
      <c r="E327" t="inlineStr">
        <is>
          <t>ranr_rate</t>
        </is>
      </c>
      <c r="F327" t="inlineStr">
        <is>
          <t>Profit after losses: RANR per booked dollar</t>
        </is>
      </c>
      <c r="G327" t="n">
        <v>412</v>
      </c>
      <c r="H327" t="n">
        <v>13211664.86</v>
      </c>
      <c r="I327" t="b">
        <v>0</v>
      </c>
      <c r="J327" t="b">
        <v>0</v>
      </c>
      <c r="K327" t="n">
        <v>-0.005011175222295217</v>
      </c>
      <c r="L327" t="n">
        <v>0.754748054606304</v>
      </c>
      <c r="M327" t="n">
        <v>-0.01085662091921916</v>
      </c>
      <c r="N327" t="n">
        <v>0.6385515294624384</v>
      </c>
      <c r="O327" t="n">
        <v>66205.96759170038</v>
      </c>
      <c r="P327" t="n">
        <v>143434.0370967886</v>
      </c>
      <c r="Q327">
        <f>'_live'!$C$23</f>
        <v/>
      </c>
      <c r="R327" t="inlineStr">
        <is>
          <t>shuffled: 6,189 of 10,000</t>
        </is>
      </c>
      <c r="S327" t="inlineStr">
        <is>
          <t>shuffled: 2,906 of 10,000</t>
        </is>
      </c>
      <c r="T327" t="n">
        <v>0.1282465938658166</v>
      </c>
      <c r="U327" t="n">
        <v>0.1340920395627405</v>
      </c>
      <c r="V327">
        <f>AND(judged_band,NOT($J327))</f>
        <v/>
      </c>
      <c r="W327">
        <f>IF($K327="","",IF(profit_kind="test",IF(OR(NOT(AND(ISNUMBER($L327),$L327&lt;significance_bar)),$K327=0),"in line",IF($K327&lt;0,"worse","better")),IF(OR($K327=0,IF(profit_kind="points",ABS($K327),ABS($K327*$H327))&lt;profit_line*(1-1E-9)),"in line",IF(AND(ISNUMBER($L327),$L327&lt;significance_bar),IF($K327&lt;0,"worse","better"),IF($K327&lt;0,"worse, not significant","better, not significant")))))</f>
        <v/>
      </c>
      <c r="X327">
        <f>IF($M327="","",IF(profit_kind="test",IF(OR(NOT(AND(ISNUMBER($N327),$N327&lt;significance_bar)),$M327=0),"in line",IF($M327&lt;0,"worse","better")),IF(OR($M327=0,IF(profit_kind="points",ABS($M327),ABS($M327*$H327))&lt;profit_line*(1-1E-9)),"in line",IF(AND(ISNUMBER($N327),$N327&lt;significance_bar),IF($M327&lt;0,"worse","better"),IF($M327&lt;0,"worse, not significant","better, not significant")))))</f>
        <v/>
      </c>
      <c r="Y327">
        <f>IF($V327,$X327,$W327)</f>
        <v/>
      </c>
      <c r="Z327">
        <f>IF($V327,IF($P327="","",$P327),IF($O327="","",$O327))</f>
        <v/>
      </c>
      <c r="AA327">
        <f>IF(OR($Q327="",$Z327=""),"",IF(AND($Z327&gt;0,$Z327&gt;=$Q327),"yes","below the line"))</f>
        <v/>
      </c>
      <c r="AB327">
        <f>IF($V327,IF($M327="","",$M327),IF($K327="","",$K327))</f>
        <v/>
      </c>
      <c r="AC327">
        <f>IF($V327,IF($N327="","",$N327),IF($L327="","",$L327))</f>
        <v/>
      </c>
      <c r="AD327">
        <f>IF($Y327="","",IF($Y327="in line",IF(profit_kind="test",IF(ROUND($AB327*100,2)=0,"0.00",TEXT($AB327*100,"+0.00;-0.00"))&amp;" points against "&amp;IF($V327,"its band","the book")&amp;", "&amp;IF($AC327="","not tested","not significant"),IF(profit_kind="points","within "&amp;TEXT(profit_line*100,"0.00")&amp;" points of "&amp;IF($V327,"its band","the book")&amp;" ("&amp;IF(ROUND($AB327*100,2)=0,"0.00",TEXT($AB327*100,"+0.00;-0.00"))&amp;")","within $"&amp;TEXT(profit_line,"#,##0")&amp;" of "&amp;IF($V327,"its band","the book")&amp;" ("&amp;IF(ROUND($AB327*100,2)=0,"0.00",TEXT($AB327*100,"+0.00;-0.00"))&amp;" points)")),IF(LEFT($Y327,5)="worse","short of ","ahead of ")&amp;IF($V327,"its band","the book")&amp;" by "&amp;TEXT(ABS($AB327)*100,"0.00")&amp;" points"&amp;IF($Z327="",""," ($"&amp;TEXT(ABS($Z327),"#,##0")&amp;")")&amp;IF(RIGHT($Y327,15)="not significant"," (not significant)","")))</f>
        <v/>
      </c>
      <c r="AE327">
        <f>IF($V327,IF($S327="","",$S327),IF($R327="","",$R327))</f>
        <v/>
      </c>
      <c r="AF327">
        <f>IF($V327,IF($U327="","",$U327),IF($T327="","",$T327))</f>
        <v/>
      </c>
      <c r="AG327">
        <f>IF($V327,IF($O327="","",$O327),IF($P327="","",$P327))</f>
        <v/>
      </c>
      <c r="AH327" t="n">
        <v>0.1232354186435214</v>
      </c>
      <c r="AI327">
        <f>IF($Y327="worse","Yes",IF($Y327="worse, not significant","Not sure",IF(OR($Y327="too few losses to test",$Y327="too few loans to test"),"Too few losses",IF($Y327="","","No"))))</f>
        <v/>
      </c>
      <c r="AJ327">
        <f>IF($AA327="yes","Yes",IF($AA327="","","No"))</f>
        <v/>
      </c>
    </row>
    <row r="328">
      <c r="A328" t="inlineStr">
        <is>
          <t>grids</t>
        </is>
      </c>
      <c r="B328" t="inlineStr">
        <is>
          <t>ORIG_BAL x ASSET_CLASS</t>
        </is>
      </c>
      <c r="C328" t="inlineStr">
        <is>
          <t>26,324 - 37,950</t>
        </is>
      </c>
      <c r="D328" t="inlineStr">
        <is>
          <t>4</t>
        </is>
      </c>
      <c r="E328" t="inlineStr">
        <is>
          <t>contribution_rate</t>
        </is>
      </c>
      <c r="F328" t="inlineStr">
        <is>
          <t>Contribution before losses per booked dollar</t>
        </is>
      </c>
      <c r="G328" t="n">
        <v>412</v>
      </c>
      <c r="H328" t="n">
        <v>13211664.86</v>
      </c>
      <c r="I328" t="b">
        <v>0</v>
      </c>
      <c r="J328" t="b">
        <v>0</v>
      </c>
      <c r="K328" t="n">
        <v>0.007921949668416584</v>
      </c>
      <c r="L328" t="n">
        <v>0.5969403059694031</v>
      </c>
      <c r="M328" t="n">
        <v>0.01125322029669437</v>
      </c>
      <c r="N328" t="n">
        <v>0.4263573642635736</v>
      </c>
      <c r="O328" t="n">
        <v>-104662.1440569079</v>
      </c>
      <c r="P328" t="n">
        <v>-148673.7751556756</v>
      </c>
      <c r="Q328">
        <f>'_live'!$C$24</f>
        <v/>
      </c>
      <c r="R328" t="inlineStr">
        <is>
          <t>shuffled: 2,387 of 10,000</t>
        </is>
      </c>
      <c r="S328" t="inlineStr">
        <is>
          <t>shuffled: 1,065 of 10,000</t>
        </is>
      </c>
      <c r="T328" t="n">
        <v>0.1691868337283187</v>
      </c>
      <c r="U328" t="n">
        <v>0.1658555631000409</v>
      </c>
      <c r="V328">
        <f>AND(judged_band,NOT($J328))</f>
        <v/>
      </c>
      <c r="W328">
        <f>IF($K328="","",IF(profit_kind="test",IF(OR(NOT(AND(ISNUMBER($L328),$L328&lt;significance_bar)),$K328=0),"in line",IF($K328&lt;0,"worse","better")),IF(OR($K328=0,IF(profit_kind="points",ABS($K328),ABS($K328*$H328))&lt;profit_line*(1-1E-9)),"in line",IF(AND(ISNUMBER($L328),$L328&lt;significance_bar),IF($K328&lt;0,"worse","better"),IF($K328&lt;0,"worse, not significant","better, not significant")))))</f>
        <v/>
      </c>
      <c r="X328">
        <f>IF($M328="","",IF(profit_kind="test",IF(OR(NOT(AND(ISNUMBER($N328),$N328&lt;significance_bar)),$M328=0),"in line",IF($M328&lt;0,"worse","better")),IF(OR($M328=0,IF(profit_kind="points",ABS($M328),ABS($M328*$H328))&lt;profit_line*(1-1E-9)),"in line",IF(AND(ISNUMBER($N328),$N328&lt;significance_bar),IF($M328&lt;0,"worse","better"),IF($M328&lt;0,"worse, not significant","better, not significant")))))</f>
        <v/>
      </c>
      <c r="Y328">
        <f>IF($V328,$X328,$W328)</f>
        <v/>
      </c>
      <c r="Z328">
        <f>IF($V328,IF($P328="","",$P328),IF($O328="","",$O328))</f>
        <v/>
      </c>
      <c r="AA328">
        <f>IF(OR($Q328="",$Z328=""),"",IF(AND($Z328&gt;0,$Z328&gt;=$Q328),"yes","below the line"))</f>
        <v/>
      </c>
      <c r="AB328">
        <f>IF($V328,IF($M328="","",$M328),IF($K328="","",$K328))</f>
        <v/>
      </c>
      <c r="AC328">
        <f>IF($V328,IF($N328="","",$N328),IF($L328="","",$L328))</f>
        <v/>
      </c>
      <c r="AD328">
        <f>IF($Y328="","",IF($Y328="in line",IF(profit_kind="test",IF(ROUND($AB328*100,2)=0,"0.00",TEXT($AB328*100,"+0.00;-0.00"))&amp;" points against "&amp;IF($V328,"its band","the book")&amp;", "&amp;IF($AC328="","not tested","not significant"),IF(profit_kind="points","within "&amp;TEXT(profit_line*100,"0.00")&amp;" points of "&amp;IF($V328,"its band","the book")&amp;" ("&amp;IF(ROUND($AB328*100,2)=0,"0.00",TEXT($AB328*100,"+0.00;-0.00"))&amp;")","within $"&amp;TEXT(profit_line,"#,##0")&amp;" of "&amp;IF($V328,"its band","the book")&amp;" ("&amp;IF(ROUND($AB328*100,2)=0,"0.00",TEXT($AB328*100,"+0.00;-0.00"))&amp;" points)")),IF(LEFT($Y328,5)="worse","short of ","ahead of ")&amp;IF($V328,"its band","the book")&amp;" by "&amp;TEXT(ABS($AB328)*100,"0.00")&amp;" points"&amp;IF($Z328="",""," ($"&amp;TEXT(ABS($Z328),"#,##0")&amp;")")&amp;IF(RIGHT($Y328,15)="not significant"," (not significant)","")))</f>
        <v/>
      </c>
      <c r="AE328">
        <f>IF($V328,IF($S328="","",$S328),IF($R328="","",$R328))</f>
        <v/>
      </c>
      <c r="AF328">
        <f>IF($V328,IF($U328="","",$U328),IF($T328="","",$T328))</f>
        <v/>
      </c>
      <c r="AG328">
        <f>IF($V328,IF($O328="","",$O328),IF($P328="","",$P328))</f>
        <v/>
      </c>
      <c r="AH328" t="n">
        <v>0.1771087833967352</v>
      </c>
      <c r="AI328">
        <f>IF($Y328="worse","Yes",IF($Y328="worse, not significant","Not sure",IF(OR($Y328="too few losses to test",$Y328="too few loans to test"),"Too few losses",IF($Y328="","","No"))))</f>
        <v/>
      </c>
      <c r="AJ328">
        <f>IF($AA328="yes","Yes",IF($AA328="","","No"))</f>
        <v/>
      </c>
    </row>
    <row r="329">
      <c r="A329" t="inlineStr">
        <is>
          <t>grids</t>
        </is>
      </c>
      <c r="B329" t="inlineStr">
        <is>
          <t>ORIG_BAL x ASSET_CLASS</t>
        </is>
      </c>
      <c r="C329" t="inlineStr">
        <is>
          <t>37,951 - 49,151</t>
        </is>
      </c>
      <c r="D329" t="inlineStr">
        <is>
          <t>2</t>
        </is>
      </c>
      <c r="E329" t="inlineStr">
        <is>
          <t>outcome_loans</t>
        </is>
      </c>
      <c r="F329" t="inlineStr">
        <is>
          <t>Outcome, share of loans</t>
        </is>
      </c>
      <c r="G329" t="n">
        <v>420</v>
      </c>
      <c r="H329" t="n">
        <v>420</v>
      </c>
      <c r="I329" t="b">
        <v>0</v>
      </c>
      <c r="J329" t="b">
        <v>0</v>
      </c>
      <c r="K329" t="n">
        <v>0.7911908777001526</v>
      </c>
      <c r="L329" t="n">
        <v>0.3252137135481511</v>
      </c>
      <c r="M329" t="n">
        <v>0.6763668430335097</v>
      </c>
      <c r="N329" t="n">
        <v>0.1994898774055994</v>
      </c>
      <c r="O329" t="n">
        <v>-6.86185512600607</v>
      </c>
      <c r="P329" t="n">
        <v>-12.4406779661017</v>
      </c>
      <c r="Q329">
        <f>'_live'!$C$20</f>
        <v/>
      </c>
      <c r="R329" t="inlineStr">
        <is>
          <t>z test</t>
        </is>
      </c>
      <c r="S329" t="inlineStr">
        <is>
          <t>z test</t>
        </is>
      </c>
      <c r="T329" t="n">
        <v>0.07824251220477635</v>
      </c>
      <c r="U329" t="n">
        <v>0.09152542372881356</v>
      </c>
      <c r="V329">
        <f>AND(judged_band,NOT($J329))</f>
        <v/>
      </c>
      <c r="W329">
        <f>IF($K329="","",IF($I329,"too few losses to test",IF(AND($K329&gt;better_at,$K329&lt;worse_at),"in line",IF($K329&gt;=worse_at,IF(AND(ISNUMBER($L329),$L329&lt;significance_bar),"worse","worse, not significant"),IF(AND(ISNUMBER($L329),$L329&lt;significance_bar),"better","better, not significant")))))</f>
        <v/>
      </c>
      <c r="X329">
        <f>IF($M329="","",IF($I329,"too few losses to test",IF(AND($M329&gt;better_at,$M329&lt;worse_at),"in line",IF($M329&gt;=worse_at,IF(AND(ISNUMBER($N329),$N329&lt;significance_bar),"worse","worse, not significant"),IF(AND(ISNUMBER($N329),$N329&lt;significance_bar),"better","better, not significant")))))</f>
        <v/>
      </c>
      <c r="Y329">
        <f>IF($V329,$X329,$W329)</f>
        <v/>
      </c>
      <c r="Z329">
        <f>IF($V329,IF($P329="","",$P329),IF($O329="","",$O329))</f>
        <v/>
      </c>
      <c r="AA329">
        <f>IF(OR($Q329="",$Z329=""),"",IF(AND($Z329&gt;0,$Z329&gt;=$Q329),"yes","below the line"))</f>
        <v/>
      </c>
      <c r="AB329">
        <f>IF($V329,IF($M329="","",$M329),IF($K329="","",$K329))</f>
        <v/>
      </c>
      <c r="AC329">
        <f>IF($V329,IF($N329="","",$N329),IF($L329="","",$L329))</f>
        <v/>
      </c>
      <c r="AD329">
        <f>$Y329</f>
        <v/>
      </c>
      <c r="AE329">
        <f>IF($V329,IF($S329="","",$S329),IF($R329="","",$R329))</f>
        <v/>
      </c>
      <c r="AF329">
        <f>IF($V329,IF($U329="","",$U329),IF($T329="","",$T329))</f>
        <v/>
      </c>
      <c r="AG329">
        <f>IF($V329,IF($O329="","",$O329),IF($P329="","",$P329))</f>
        <v/>
      </c>
      <c r="AH329" t="n">
        <v>0.06190476190476191</v>
      </c>
      <c r="AI329">
        <f>IF($Y329="worse","Yes",IF($Y329="worse, not significant","Not sure",IF(OR($Y329="too few losses to test",$Y329="too few loans to test"),"Too few losses",IF($Y329="","","No"))))</f>
        <v/>
      </c>
      <c r="AJ329">
        <f>IF($AA329="yes","Yes",IF($AA329="","","No"))</f>
        <v/>
      </c>
    </row>
    <row r="330">
      <c r="A330" t="inlineStr">
        <is>
          <t>grids</t>
        </is>
      </c>
      <c r="B330" t="inlineStr">
        <is>
          <t>ORIG_BAL x ASSET_CLASS</t>
        </is>
      </c>
      <c r="C330" t="inlineStr">
        <is>
          <t>37,951 - 49,151</t>
        </is>
      </c>
      <c r="D330" t="inlineStr">
        <is>
          <t>2</t>
        </is>
      </c>
      <c r="E330" t="inlineStr">
        <is>
          <t>outcome_booked</t>
        </is>
      </c>
      <c r="F330" t="inlineStr">
        <is>
          <t>Outcome, share of booked dollars</t>
        </is>
      </c>
      <c r="G330" t="n">
        <v>420</v>
      </c>
      <c r="H330" t="n">
        <v>18298742.53</v>
      </c>
      <c r="I330" t="b">
        <v>0</v>
      </c>
      <c r="J330" t="b">
        <v>0</v>
      </c>
      <c r="K330" t="n">
        <v>0.8156901720702991</v>
      </c>
      <c r="L330" t="n">
        <v>0.4854514548545146</v>
      </c>
      <c r="M330" t="n">
        <v>0.6822277092854625</v>
      </c>
      <c r="N330" t="n">
        <v>0.175982401759824</v>
      </c>
      <c r="O330" t="n">
        <v>-255713.0268523579</v>
      </c>
      <c r="P330" t="n">
        <v>-527128.2103199631</v>
      </c>
      <c r="Q330">
        <f>'_live'!$C$21</f>
        <v/>
      </c>
      <c r="R330" t="inlineStr">
        <is>
          <t>shuffled: 3,380 of 10,000</t>
        </is>
      </c>
      <c r="S330" t="inlineStr">
        <is>
          <t>shuffled: 615 of 10,000</t>
        </is>
      </c>
      <c r="T330" t="n">
        <v>0.07581988350170848</v>
      </c>
      <c r="U330" t="n">
        <v>0.09065233349233662</v>
      </c>
      <c r="V330">
        <f>AND(judged_band,NOT($J330))</f>
        <v/>
      </c>
      <c r="W330">
        <f>IF($K330="","",IF($I330,"too few losses to test",IF(AND($K330&gt;better_at,$K330&lt;worse_at),"in line",IF($K330&gt;=worse_at,IF(AND(ISNUMBER($L330),$L330&lt;significance_bar),"worse","worse, not significant"),IF(AND(ISNUMBER($L330),$L330&lt;significance_bar),"better","better, not significant")))))</f>
        <v/>
      </c>
      <c r="X330">
        <f>IF($M330="","",IF($I330,"too few losses to test",IF(AND($M330&gt;better_at,$M330&lt;worse_at),"in line",IF($M330&gt;=worse_at,IF(AND(ISNUMBER($N330),$N330&lt;significance_bar),"worse","worse, not significant"),IF(AND(ISNUMBER($N330),$N330&lt;significance_bar),"better","better, not significant")))))</f>
        <v/>
      </c>
      <c r="Y330">
        <f>IF($V330,$X330,$W330)</f>
        <v/>
      </c>
      <c r="Z330">
        <f>IF($V330,IF($P330="","",$P330),IF($O330="","",$O330))</f>
        <v/>
      </c>
      <c r="AA330">
        <f>IF(OR($Q330="",$Z330=""),"",IF(AND($Z330&gt;0,$Z330&gt;=$Q330),"yes","below the line"))</f>
        <v/>
      </c>
      <c r="AB330">
        <f>IF($V330,IF($M330="","",$M330),IF($K330="","",$K330))</f>
        <v/>
      </c>
      <c r="AC330">
        <f>IF($V330,IF($N330="","",$N330),IF($L330="","",$L330))</f>
        <v/>
      </c>
      <c r="AD330">
        <f>$Y330</f>
        <v/>
      </c>
      <c r="AE330">
        <f>IF($V330,IF($S330="","",$S330),IF($R330="","",$R330))</f>
        <v/>
      </c>
      <c r="AF330">
        <f>IF($V330,IF($U330="","",$U330),IF($T330="","",$T330))</f>
        <v/>
      </c>
      <c r="AG330">
        <f>IF($V330,IF($O330="","",$O330),IF($P330="","",$P330))</f>
        <v/>
      </c>
      <c r="AH330" t="n">
        <v>0.06184553381985863</v>
      </c>
      <c r="AI330">
        <f>IF($Y330="worse","Yes",IF($Y330="worse, not significant","Not sure",IF(OR($Y330="too few losses to test",$Y330="too few loans to test"),"Too few losses",IF($Y330="","","No"))))</f>
        <v/>
      </c>
      <c r="AJ330">
        <f>IF($AA330="yes","Yes",IF($AA330="","","No"))</f>
        <v/>
      </c>
    </row>
    <row r="331">
      <c r="A331" t="inlineStr">
        <is>
          <t>grids</t>
        </is>
      </c>
      <c r="B331" t="inlineStr">
        <is>
          <t>ORIG_BAL x ASSET_CLASS</t>
        </is>
      </c>
      <c r="C331" t="inlineStr">
        <is>
          <t>37,951 - 49,151</t>
        </is>
      </c>
      <c r="D331" t="inlineStr">
        <is>
          <t>2</t>
        </is>
      </c>
      <c r="E331" t="inlineStr">
        <is>
          <t>gco_rate</t>
        </is>
      </c>
      <c r="F331" t="inlineStr">
        <is>
          <t>GCO per booked dollar</t>
        </is>
      </c>
      <c r="G331" t="n">
        <v>420</v>
      </c>
      <c r="H331" t="n">
        <v>18298742.53</v>
      </c>
      <c r="I331" t="b">
        <v>0</v>
      </c>
      <c r="J331" t="b">
        <v>0</v>
      </c>
      <c r="K331" t="n">
        <v>0.8258123488426267</v>
      </c>
      <c r="L331" t="n">
        <v>0.5060605050606051</v>
      </c>
      <c r="M331" t="n">
        <v>0.681667389442232</v>
      </c>
      <c r="N331" t="n">
        <v>0.239642702396427</v>
      </c>
      <c r="O331" t="n">
        <v>-134271.8993132168</v>
      </c>
      <c r="P331" t="n">
        <v>-297274.5667043726</v>
      </c>
      <c r="Q331">
        <f>'_live'!$C$22</f>
        <v/>
      </c>
      <c r="R331" t="inlineStr">
        <is>
          <t>shuffled: 3,844 of 10,000</t>
        </is>
      </c>
      <c r="S331" t="inlineStr">
        <is>
          <t>shuffled: 718 of 10,000</t>
        </is>
      </c>
      <c r="T331" t="n">
        <v>0.04212564104060416</v>
      </c>
      <c r="U331" t="n">
        <v>0.05103350272147759</v>
      </c>
      <c r="V331">
        <f>AND(judged_band,NOT($J331))</f>
        <v/>
      </c>
      <c r="W331">
        <f>IF($K331="","",IF($I331,"too few losses to test",IF(AND($K331&gt;better_at,$K331&lt;worse_at),"in line",IF($K331&gt;=worse_at,IF(AND(ISNUMBER($L331),$L331&lt;significance_bar),"worse","worse, not significant"),IF(AND(ISNUMBER($L331),$L331&lt;significance_bar),"better","better, not significant")))))</f>
        <v/>
      </c>
      <c r="X331">
        <f>IF($M331="","",IF($I331,"too few losses to test",IF(AND($M331&gt;better_at,$M331&lt;worse_at),"in line",IF($M331&gt;=worse_at,IF(AND(ISNUMBER($N331),$N331&lt;significance_bar),"worse","worse, not significant"),IF(AND(ISNUMBER($N331),$N331&lt;significance_bar),"better","better, not significant")))))</f>
        <v/>
      </c>
      <c r="Y331">
        <f>IF($V331,$X331,$W331)</f>
        <v/>
      </c>
      <c r="Z331">
        <f>IF($V331,IF($P331="","",$P331),IF($O331="","",$O331))</f>
        <v/>
      </c>
      <c r="AA331">
        <f>IF(OR($Q331="",$Z331=""),"",IF(AND($Z331&gt;0,$Z331&gt;=$Q331),"yes","below the line"))</f>
        <v/>
      </c>
      <c r="AB331">
        <f>IF($V331,IF($M331="","",$M331),IF($K331="","",$K331))</f>
        <v/>
      </c>
      <c r="AC331">
        <f>IF($V331,IF($N331="","",$N331),IF($L331="","",$L331))</f>
        <v/>
      </c>
      <c r="AD331">
        <f>$Y331</f>
        <v/>
      </c>
      <c r="AE331">
        <f>IF($V331,IF($S331="","",$S331),IF($R331="","",$R331))</f>
        <v/>
      </c>
      <c r="AF331">
        <f>IF($V331,IF($U331="","",$U331),IF($T331="","",$T331))</f>
        <v/>
      </c>
      <c r="AG331">
        <f>IF($V331,IF($O331="","",$O331),IF($P331="","",$P331))</f>
        <v/>
      </c>
      <c r="AH331" t="n">
        <v>0.03478787457424267</v>
      </c>
      <c r="AI331">
        <f>IF($Y331="worse","Yes",IF($Y331="worse, not significant","Not sure",IF(OR($Y331="too few losses to test",$Y331="too few loans to test"),"Too few losses",IF($Y331="","","No"))))</f>
        <v/>
      </c>
      <c r="AJ331">
        <f>IF($AA331="yes","Yes",IF($AA331="","","No"))</f>
        <v/>
      </c>
    </row>
    <row r="332">
      <c r="A332" t="inlineStr">
        <is>
          <t>grids</t>
        </is>
      </c>
      <c r="B332" t="inlineStr">
        <is>
          <t>ORIG_BAL x ASSET_CLASS</t>
        </is>
      </c>
      <c r="C332" t="inlineStr">
        <is>
          <t>37,951 - 49,151</t>
        </is>
      </c>
      <c r="D332" t="inlineStr">
        <is>
          <t>2</t>
        </is>
      </c>
      <c r="E332" t="inlineStr">
        <is>
          <t>ranr_rate</t>
        </is>
      </c>
      <c r="F332" t="inlineStr">
        <is>
          <t>Profit after losses: RANR per booked dollar</t>
        </is>
      </c>
      <c r="G332" t="n">
        <v>420</v>
      </c>
      <c r="H332" t="n">
        <v>18298742.53</v>
      </c>
      <c r="I332" t="b">
        <v>0</v>
      </c>
      <c r="J332" t="b">
        <v>0</v>
      </c>
      <c r="K332" t="n">
        <v>0.009084988393027182</v>
      </c>
      <c r="L332" t="n">
        <v>0.6965970069659699</v>
      </c>
      <c r="M332" t="n">
        <v>0.01898740494669311</v>
      </c>
      <c r="N332" t="n">
        <v>0.58994100589941</v>
      </c>
      <c r="O332" t="n">
        <v>-166243.8634920432</v>
      </c>
      <c r="P332" t="n">
        <v>-347445.6344323857</v>
      </c>
      <c r="Q332">
        <f>'_live'!$C$23</f>
        <v/>
      </c>
      <c r="R332" t="inlineStr">
        <is>
          <t>shuffled: 3,803 of 10,000</t>
        </is>
      </c>
      <c r="S332" t="inlineStr">
        <is>
          <t>shuffled: 884 of 10,000</t>
        </is>
      </c>
      <c r="T332" t="n">
        <v>0.127345864487004</v>
      </c>
      <c r="U332" t="n">
        <v>0.1174434479333381</v>
      </c>
      <c r="V332">
        <f>AND(judged_band,NOT($J332))</f>
        <v/>
      </c>
      <c r="W332">
        <f>IF($K332="","",IF(profit_kind="test",IF(OR(NOT(AND(ISNUMBER($L332),$L332&lt;significance_bar)),$K332=0),"in line",IF($K332&lt;0,"worse","better")),IF(OR($K332=0,IF(profit_kind="points",ABS($K332),ABS($K332*$H332))&lt;profit_line*(1-1E-9)),"in line",IF(AND(ISNUMBER($L332),$L332&lt;significance_bar),IF($K332&lt;0,"worse","better"),IF($K332&lt;0,"worse, not significant","better, not significant")))))</f>
        <v/>
      </c>
      <c r="X332">
        <f>IF($M332="","",IF(profit_kind="test",IF(OR(NOT(AND(ISNUMBER($N332),$N332&lt;significance_bar)),$M332=0),"in line",IF($M332&lt;0,"worse","better")),IF(OR($M332=0,IF(profit_kind="points",ABS($M332),ABS($M332*$H332))&lt;profit_line*(1-1E-9)),"in line",IF(AND(ISNUMBER($N332),$N332&lt;significance_bar),IF($M332&lt;0,"worse","better"),IF($M332&lt;0,"worse, not significant","better, not significant")))))</f>
        <v/>
      </c>
      <c r="Y332">
        <f>IF($V332,$X332,$W332)</f>
        <v/>
      </c>
      <c r="Z332">
        <f>IF($V332,IF($P332="","",$P332),IF($O332="","",$O332))</f>
        <v/>
      </c>
      <c r="AA332">
        <f>IF(OR($Q332="",$Z332=""),"",IF(AND($Z332&gt;0,$Z332&gt;=$Q332),"yes","below the line"))</f>
        <v/>
      </c>
      <c r="AB332">
        <f>IF($V332,IF($M332="","",$M332),IF($K332="","",$K332))</f>
        <v/>
      </c>
      <c r="AC332">
        <f>IF($V332,IF($N332="","",$N332),IF($L332="","",$L332))</f>
        <v/>
      </c>
      <c r="AD332">
        <f>IF($Y332="","",IF($Y332="in line",IF(profit_kind="test",IF(ROUND($AB332*100,2)=0,"0.00",TEXT($AB332*100,"+0.00;-0.00"))&amp;" points against "&amp;IF($V332,"its band","the book")&amp;", "&amp;IF($AC332="","not tested","not significant"),IF(profit_kind="points","within "&amp;TEXT(profit_line*100,"0.00")&amp;" points of "&amp;IF($V332,"its band","the book")&amp;" ("&amp;IF(ROUND($AB332*100,2)=0,"0.00",TEXT($AB332*100,"+0.00;-0.00"))&amp;")","within $"&amp;TEXT(profit_line,"#,##0")&amp;" of "&amp;IF($V332,"its band","the book")&amp;" ("&amp;IF(ROUND($AB332*100,2)=0,"0.00",TEXT($AB332*100,"+0.00;-0.00"))&amp;" points)")),IF(LEFT($Y332,5)="worse","short of ","ahead of ")&amp;IF($V332,"its band","the book")&amp;" by "&amp;TEXT(ABS($AB332)*100,"0.00")&amp;" points"&amp;IF($Z332="",""," ($"&amp;TEXT(ABS($Z332),"#,##0")&amp;")")&amp;IF(RIGHT($Y332,15)="not significant"," (not significant)","")))</f>
        <v/>
      </c>
      <c r="AE332">
        <f>IF($V332,IF($S332="","",$S332),IF($R332="","",$R332))</f>
        <v/>
      </c>
      <c r="AF332">
        <f>IF($V332,IF($U332="","",$U332),IF($T332="","",$T332))</f>
        <v/>
      </c>
      <c r="AG332">
        <f>IF($V332,IF($O332="","",$O332),IF($P332="","",$P332))</f>
        <v/>
      </c>
      <c r="AH332" t="n">
        <v>0.1364308528800312</v>
      </c>
      <c r="AI332">
        <f>IF($Y332="worse","Yes",IF($Y332="worse, not significant","Not sure",IF(OR($Y332="too few losses to test",$Y332="too few loans to test"),"Too few losses",IF($Y332="","","No"))))</f>
        <v/>
      </c>
      <c r="AJ332">
        <f>IF($AA332="yes","Yes",IF($AA332="","","No"))</f>
        <v/>
      </c>
    </row>
    <row r="333">
      <c r="A333" t="inlineStr">
        <is>
          <t>grids</t>
        </is>
      </c>
      <c r="B333" t="inlineStr">
        <is>
          <t>ORIG_BAL x ASSET_CLASS</t>
        </is>
      </c>
      <c r="C333" t="inlineStr">
        <is>
          <t>37,951 - 49,151</t>
        </is>
      </c>
      <c r="D333" t="inlineStr">
        <is>
          <t>2</t>
        </is>
      </c>
      <c r="E333" t="inlineStr">
        <is>
          <t>contribution_rate</t>
        </is>
      </c>
      <c r="F333" t="inlineStr">
        <is>
          <t>Contribution before losses per booked dollar</t>
        </is>
      </c>
      <c r="G333" t="n">
        <v>420</v>
      </c>
      <c r="H333" t="n">
        <v>18298742.53</v>
      </c>
      <c r="I333" t="b">
        <v>0</v>
      </c>
      <c r="J333" t="b">
        <v>0</v>
      </c>
      <c r="K333" t="n">
        <v>0.001750406058373621</v>
      </c>
      <c r="L333" t="n">
        <v>0.9446055394460554</v>
      </c>
      <c r="M333" t="n">
        <v>0.002764290749672826</v>
      </c>
      <c r="N333" t="n">
        <v>0.83638694954034</v>
      </c>
      <c r="O333" t="n">
        <v>-32030.22978513082</v>
      </c>
      <c r="P333" t="n">
        <v>-50583.04470632365</v>
      </c>
      <c r="Q333">
        <f>'_live'!$C$24</f>
        <v/>
      </c>
      <c r="R333" t="inlineStr">
        <is>
          <t>shuffled: 7,964 of 10,000</t>
        </is>
      </c>
      <c r="S333" t="inlineStr">
        <is>
          <t>shuffled: 6,895 of 10,000</t>
        </is>
      </c>
      <c r="T333" t="n">
        <v>0.1694683213959004</v>
      </c>
      <c r="U333" t="n">
        <v>0.1684544367046012</v>
      </c>
      <c r="V333">
        <f>AND(judged_band,NOT($J333))</f>
        <v/>
      </c>
      <c r="W333">
        <f>IF($K333="","",IF(profit_kind="test",IF(OR(NOT(AND(ISNUMBER($L333),$L333&lt;significance_bar)),$K333=0),"in line",IF($K333&lt;0,"worse","better")),IF(OR($K333=0,IF(profit_kind="points",ABS($K333),ABS($K333*$H333))&lt;profit_line*(1-1E-9)),"in line",IF(AND(ISNUMBER($L333),$L333&lt;significance_bar),IF($K333&lt;0,"worse","better"),IF($K333&lt;0,"worse, not significant","better, not significant")))))</f>
        <v/>
      </c>
      <c r="X333">
        <f>IF($M333="","",IF(profit_kind="test",IF(OR(NOT(AND(ISNUMBER($N333),$N333&lt;significance_bar)),$M333=0),"in line",IF($M333&lt;0,"worse","better")),IF(OR($M333=0,IF(profit_kind="points",ABS($M333),ABS($M333*$H333))&lt;profit_line*(1-1E-9)),"in line",IF(AND(ISNUMBER($N333),$N333&lt;significance_bar),IF($M333&lt;0,"worse","better"),IF($M333&lt;0,"worse, not significant","better, not significant")))))</f>
        <v/>
      </c>
      <c r="Y333">
        <f>IF($V333,$X333,$W333)</f>
        <v/>
      </c>
      <c r="Z333">
        <f>IF($V333,IF($P333="","",$P333),IF($O333="","",$O333))</f>
        <v/>
      </c>
      <c r="AA333">
        <f>IF(OR($Q333="",$Z333=""),"",IF(AND($Z333&gt;0,$Z333&gt;=$Q333),"yes","below the line"))</f>
        <v/>
      </c>
      <c r="AB333">
        <f>IF($V333,IF($M333="","",$M333),IF($K333="","",$K333))</f>
        <v/>
      </c>
      <c r="AC333">
        <f>IF($V333,IF($N333="","",$N333),IF($L333="","",$L333))</f>
        <v/>
      </c>
      <c r="AD333">
        <f>IF($Y333="","",IF($Y333="in line",IF(profit_kind="test",IF(ROUND($AB333*100,2)=0,"0.00",TEXT($AB333*100,"+0.00;-0.00"))&amp;" points against "&amp;IF($V333,"its band","the book")&amp;", "&amp;IF($AC333="","not tested","not significant"),IF(profit_kind="points","within "&amp;TEXT(profit_line*100,"0.00")&amp;" points of "&amp;IF($V333,"its band","the book")&amp;" ("&amp;IF(ROUND($AB333*100,2)=0,"0.00",TEXT($AB333*100,"+0.00;-0.00"))&amp;")","within $"&amp;TEXT(profit_line,"#,##0")&amp;" of "&amp;IF($V333,"its band","the book")&amp;" ("&amp;IF(ROUND($AB333*100,2)=0,"0.00",TEXT($AB333*100,"+0.00;-0.00"))&amp;" points)")),IF(LEFT($Y333,5)="worse","short of ","ahead of ")&amp;IF($V333,"its band","the book")&amp;" by "&amp;TEXT(ABS($AB333)*100,"0.00")&amp;" points"&amp;IF($Z333="",""," ($"&amp;TEXT(ABS($Z333),"#,##0")&amp;")")&amp;IF(RIGHT($Y333,15)="not significant"," (not significant)","")))</f>
        <v/>
      </c>
      <c r="AE333">
        <f>IF($V333,IF($S333="","",$S333),IF($R333="","",$R333))</f>
        <v/>
      </c>
      <c r="AF333">
        <f>IF($V333,IF($U333="","",$U333),IF($T333="","",$T333))</f>
        <v/>
      </c>
      <c r="AG333">
        <f>IF($V333,IF($O333="","",$O333),IF($P333="","",$P333))</f>
        <v/>
      </c>
      <c r="AH333" t="n">
        <v>0.171218727454274</v>
      </c>
      <c r="AI333">
        <f>IF($Y333="worse","Yes",IF($Y333="worse, not significant","Not sure",IF(OR($Y333="too few losses to test",$Y333="too few loans to test"),"Too few losses",IF($Y333="","","No"))))</f>
        <v/>
      </c>
      <c r="AJ333">
        <f>IF($AA333="yes","Yes",IF($AA333="","","No"))</f>
        <v/>
      </c>
    </row>
    <row r="334">
      <c r="A334" t="inlineStr">
        <is>
          <t>grids</t>
        </is>
      </c>
      <c r="B334" t="inlineStr">
        <is>
          <t>ORIG_BAL x ASSET_CLASS</t>
        </is>
      </c>
      <c r="C334" t="inlineStr">
        <is>
          <t>15,449 - 26,323</t>
        </is>
      </c>
      <c r="D334" t="inlineStr">
        <is>
          <t>1</t>
        </is>
      </c>
      <c r="E334" t="inlineStr">
        <is>
          <t>outcome_loans</t>
        </is>
      </c>
      <c r="F334" t="inlineStr">
        <is>
          <t>Outcome, share of loans</t>
        </is>
      </c>
      <c r="G334" t="n">
        <v>404</v>
      </c>
      <c r="H334" t="n">
        <v>404</v>
      </c>
      <c r="I334" t="b">
        <v>0</v>
      </c>
      <c r="J334" t="b">
        <v>0</v>
      </c>
      <c r="K334" t="n">
        <v>1.229571752355959</v>
      </c>
      <c r="L334" t="n">
        <v>0.3252137135481511</v>
      </c>
      <c r="M334" t="n">
        <v>1.013468914459013</v>
      </c>
      <c r="N334" t="n">
        <v>0.9404132658496065</v>
      </c>
      <c r="O334" t="n">
        <v>7.094930875576036</v>
      </c>
      <c r="P334" t="n">
        <v>0.5050167224080298</v>
      </c>
      <c r="Q334">
        <f>'_live'!$C$20</f>
        <v/>
      </c>
      <c r="R334" t="inlineStr">
        <is>
          <t>z test</t>
        </is>
      </c>
      <c r="S334" t="inlineStr">
        <is>
          <t>z test</t>
        </is>
      </c>
      <c r="T334" t="n">
        <v>0.07649769585253456</v>
      </c>
      <c r="U334" t="n">
        <v>0.09280936454849498</v>
      </c>
      <c r="V334">
        <f>AND(judged_band,NOT($J334))</f>
        <v/>
      </c>
      <c r="W334">
        <f>IF($K334="","",IF($I334,"too few losses to test",IF(AND($K334&gt;better_at,$K334&lt;worse_at),"in line",IF($K334&gt;=worse_at,IF(AND(ISNUMBER($L334),$L334&lt;significance_bar),"worse","worse, not significant"),IF(AND(ISNUMBER($L334),$L334&lt;significance_bar),"better","better, not significant")))))</f>
        <v/>
      </c>
      <c r="X334">
        <f>IF($M334="","",IF($I334,"too few losses to test",IF(AND($M334&gt;better_at,$M334&lt;worse_at),"in line",IF($M334&gt;=worse_at,IF(AND(ISNUMBER($N334),$N334&lt;significance_bar),"worse","worse, not significant"),IF(AND(ISNUMBER($N334),$N334&lt;significance_bar),"better","better, not significant")))))</f>
        <v/>
      </c>
      <c r="Y334">
        <f>IF($V334,$X334,$W334)</f>
        <v/>
      </c>
      <c r="Z334">
        <f>IF($V334,IF($P334="","",$P334),IF($O334="","",$O334))</f>
        <v/>
      </c>
      <c r="AA334">
        <f>IF(OR($Q334="",$Z334=""),"",IF(AND($Z334&gt;0,$Z334&gt;=$Q334),"yes","below the line"))</f>
        <v/>
      </c>
      <c r="AB334">
        <f>IF($V334,IF($M334="","",$M334),IF($K334="","",$K334))</f>
        <v/>
      </c>
      <c r="AC334">
        <f>IF($V334,IF($N334="","",$N334),IF($L334="","",$L334))</f>
        <v/>
      </c>
      <c r="AD334">
        <f>$Y334</f>
        <v/>
      </c>
      <c r="AE334">
        <f>IF($V334,IF($S334="","",$S334),IF($R334="","",$R334))</f>
        <v/>
      </c>
      <c r="AF334">
        <f>IF($V334,IF($U334="","",$U334),IF($T334="","",$T334))</f>
        <v/>
      </c>
      <c r="AG334">
        <f>IF($V334,IF($O334="","",$O334),IF($P334="","",$P334))</f>
        <v/>
      </c>
      <c r="AH334" t="n">
        <v>0.09405940594059406</v>
      </c>
      <c r="AI334">
        <f>IF($Y334="worse","Yes",IF($Y334="worse, not significant","Not sure",IF(OR($Y334="too few losses to test",$Y334="too few loans to test"),"Too few losses",IF($Y334="","","No"))))</f>
        <v/>
      </c>
      <c r="AJ334">
        <f>IF($AA334="yes","Yes",IF($AA334="","","No"))</f>
        <v/>
      </c>
    </row>
    <row r="335">
      <c r="A335" t="inlineStr">
        <is>
          <t>grids</t>
        </is>
      </c>
      <c r="B335" t="inlineStr">
        <is>
          <t>ORIG_BAL x ASSET_CLASS</t>
        </is>
      </c>
      <c r="C335" t="inlineStr">
        <is>
          <t>15,449 - 26,323</t>
        </is>
      </c>
      <c r="D335" t="inlineStr">
        <is>
          <t>1</t>
        </is>
      </c>
      <c r="E335" t="inlineStr">
        <is>
          <t>outcome_booked</t>
        </is>
      </c>
      <c r="F335" t="inlineStr">
        <is>
          <t>Outcome, share of booked dollars</t>
        </is>
      </c>
      <c r="G335" t="n">
        <v>404</v>
      </c>
      <c r="H335" t="n">
        <v>8396724.670000002</v>
      </c>
      <c r="I335" t="b">
        <v>0</v>
      </c>
      <c r="J335" t="b">
        <v>0</v>
      </c>
      <c r="K335" t="n">
        <v>1.281288239170365</v>
      </c>
      <c r="L335" t="n">
        <v>0.311968803119688</v>
      </c>
      <c r="M335" t="n">
        <v>1.017579450518085</v>
      </c>
      <c r="N335" t="n">
        <v>0.9233076692330767</v>
      </c>
      <c r="O335" t="n">
        <v>175135.1909504763</v>
      </c>
      <c r="P335" t="n">
        <v>13781.79081443907</v>
      </c>
      <c r="Q335">
        <f>'_live'!$C$21</f>
        <v/>
      </c>
      <c r="R335" t="inlineStr">
        <is>
          <t>shuffled: 1,565 of 10,000</t>
        </is>
      </c>
      <c r="S335" t="inlineStr">
        <is>
          <t>shuffled: 9,233 of 10,000</t>
        </is>
      </c>
      <c r="T335" t="n">
        <v>0.07415013276236475</v>
      </c>
      <c r="U335" t="n">
        <v>0.09336636367112899</v>
      </c>
      <c r="V335">
        <f>AND(judged_band,NOT($J335))</f>
        <v/>
      </c>
      <c r="W335">
        <f>IF($K335="","",IF($I335,"too few losses to test",IF(AND($K335&gt;better_at,$K335&lt;worse_at),"in line",IF($K335&gt;=worse_at,IF(AND(ISNUMBER($L335),$L335&lt;significance_bar),"worse","worse, not significant"),IF(AND(ISNUMBER($L335),$L335&lt;significance_bar),"better","better, not significant")))))</f>
        <v/>
      </c>
      <c r="X335">
        <f>IF($M335="","",IF($I335,"too few losses to test",IF(AND($M335&gt;better_at,$M335&lt;worse_at),"in line",IF($M335&gt;=worse_at,IF(AND(ISNUMBER($N335),$N335&lt;significance_bar),"worse","worse, not significant"),IF(AND(ISNUMBER($N335),$N335&lt;significance_bar),"better","better, not significant")))))</f>
        <v/>
      </c>
      <c r="Y335">
        <f>IF($V335,$X335,$W335)</f>
        <v/>
      </c>
      <c r="Z335">
        <f>IF($V335,IF($P335="","",$P335),IF($O335="","",$O335))</f>
        <v/>
      </c>
      <c r="AA335">
        <f>IF(OR($Q335="",$Z335=""),"",IF(AND($Z335&gt;0,$Z335&gt;=$Q335),"yes","below the line"))</f>
        <v/>
      </c>
      <c r="AB335">
        <f>IF($V335,IF($M335="","",$M335),IF($K335="","",$K335))</f>
        <v/>
      </c>
      <c r="AC335">
        <f>IF($V335,IF($N335="","",$N335),IF($L335="","",$L335))</f>
        <v/>
      </c>
      <c r="AD335">
        <f>$Y335</f>
        <v/>
      </c>
      <c r="AE335">
        <f>IF($V335,IF($S335="","",$S335),IF($R335="","",$R335))</f>
        <v/>
      </c>
      <c r="AF335">
        <f>IF($V335,IF($U335="","",$U335),IF($T335="","",$T335))</f>
        <v/>
      </c>
      <c r="AG335">
        <f>IF($V335,IF($O335="","",$O335),IF($P335="","",$P335))</f>
        <v/>
      </c>
      <c r="AH335" t="n">
        <v>0.09500769304133913</v>
      </c>
      <c r="AI335">
        <f>IF($Y335="worse","Yes",IF($Y335="worse, not significant","Not sure",IF(OR($Y335="too few losses to test",$Y335="too few loans to test"),"Too few losses",IF($Y335="","","No"))))</f>
        <v/>
      </c>
      <c r="AJ335">
        <f>IF($AA335="yes","Yes",IF($AA335="","","No"))</f>
        <v/>
      </c>
    </row>
    <row r="336">
      <c r="A336" t="inlineStr">
        <is>
          <t>grids</t>
        </is>
      </c>
      <c r="B336" t="inlineStr">
        <is>
          <t>ORIG_BAL x ASSET_CLASS</t>
        </is>
      </c>
      <c r="C336" t="inlineStr">
        <is>
          <t>15,449 - 26,323</t>
        </is>
      </c>
      <c r="D336" t="inlineStr">
        <is>
          <t>1</t>
        </is>
      </c>
      <c r="E336" t="inlineStr">
        <is>
          <t>gco_rate</t>
        </is>
      </c>
      <c r="F336" t="inlineStr">
        <is>
          <t>GCO per booked dollar</t>
        </is>
      </c>
      <c r="G336" t="n">
        <v>404</v>
      </c>
      <c r="H336" t="n">
        <v>8396724.670000002</v>
      </c>
      <c r="I336" t="b">
        <v>0</v>
      </c>
      <c r="J336" t="b">
        <v>0</v>
      </c>
      <c r="K336" t="n">
        <v>1.331172291546142</v>
      </c>
      <c r="L336" t="n">
        <v>0.3444100034441001</v>
      </c>
      <c r="M336" t="n">
        <v>1.041460341846746</v>
      </c>
      <c r="N336" t="n">
        <v>0.8755966508612298</v>
      </c>
      <c r="O336" t="n">
        <v>114460.8253753452</v>
      </c>
      <c r="P336" t="n">
        <v>18315.85897318023</v>
      </c>
      <c r="Q336">
        <f>'_live'!$C$22</f>
        <v/>
      </c>
      <c r="R336" t="inlineStr">
        <is>
          <t>shuffled: 1,061 of 10,000</t>
        </is>
      </c>
      <c r="S336" t="inlineStr">
        <is>
          <t>shuffled: 8,318 of 10,000</t>
        </is>
      </c>
      <c r="T336" t="n">
        <v>0.04116166817515224</v>
      </c>
      <c r="U336" t="n">
        <v>0.05261196221011968</v>
      </c>
      <c r="V336">
        <f>AND(judged_band,NOT($J336))</f>
        <v/>
      </c>
      <c r="W336">
        <f>IF($K336="","",IF($I336,"too few losses to test",IF(AND($K336&gt;better_at,$K336&lt;worse_at),"in line",IF($K336&gt;=worse_at,IF(AND(ISNUMBER($L336),$L336&lt;significance_bar),"worse","worse, not significant"),IF(AND(ISNUMBER($L336),$L336&lt;significance_bar),"better","better, not significant")))))</f>
        <v/>
      </c>
      <c r="X336">
        <f>IF($M336="","",IF($I336,"too few losses to test",IF(AND($M336&gt;better_at,$M336&lt;worse_at),"in line",IF($M336&gt;=worse_at,IF(AND(ISNUMBER($N336),$N336&lt;significance_bar),"worse","worse, not significant"),IF(AND(ISNUMBER($N336),$N336&lt;significance_bar),"better","better, not significant")))))</f>
        <v/>
      </c>
      <c r="Y336">
        <f>IF($V336,$X336,$W336)</f>
        <v/>
      </c>
      <c r="Z336">
        <f>IF($V336,IF($P336="","",$P336),IF($O336="","",$O336))</f>
        <v/>
      </c>
      <c r="AA336">
        <f>IF(OR($Q336="",$Z336=""),"",IF(AND($Z336&gt;0,$Z336&gt;=$Q336),"yes","below the line"))</f>
        <v/>
      </c>
      <c r="AB336">
        <f>IF($V336,IF($M336="","",$M336),IF($K336="","",$K336))</f>
        <v/>
      </c>
      <c r="AC336">
        <f>IF($V336,IF($N336="","",$N336),IF($L336="","",$L336))</f>
        <v/>
      </c>
      <c r="AD336">
        <f>$Y336</f>
        <v/>
      </c>
      <c r="AE336">
        <f>IF($V336,IF($S336="","",$S336),IF($R336="","",$R336))</f>
        <v/>
      </c>
      <c r="AF336">
        <f>IF($V336,IF($U336="","",$U336),IF($T336="","",$T336))</f>
        <v/>
      </c>
      <c r="AG336">
        <f>IF($V336,IF($O336="","",$O336),IF($P336="","",$P336))</f>
        <v/>
      </c>
      <c r="AH336" t="n">
        <v>0.05479327214857932</v>
      </c>
      <c r="AI336">
        <f>IF($Y336="worse","Yes",IF($Y336="worse, not significant","Not sure",IF(OR($Y336="too few losses to test",$Y336="too few loans to test"),"Too few losses",IF($Y336="","","No"))))</f>
        <v/>
      </c>
      <c r="AJ336">
        <f>IF($AA336="yes","Yes",IF($AA336="","","No"))</f>
        <v/>
      </c>
    </row>
    <row r="337">
      <c r="A337" t="inlineStr">
        <is>
          <t>grids</t>
        </is>
      </c>
      <c r="B337" t="inlineStr">
        <is>
          <t>ORIG_BAL x ASSET_CLASS</t>
        </is>
      </c>
      <c r="C337" t="inlineStr">
        <is>
          <t>15,449 - 26,323</t>
        </is>
      </c>
      <c r="D337" t="inlineStr">
        <is>
          <t>1</t>
        </is>
      </c>
      <c r="E337" t="inlineStr">
        <is>
          <t>ranr_rate</t>
        </is>
      </c>
      <c r="F337" t="inlineStr">
        <is>
          <t>Profit after losses: RANR per booked dollar</t>
        </is>
      </c>
      <c r="G337" t="n">
        <v>404</v>
      </c>
      <c r="H337" t="n">
        <v>8396724.670000002</v>
      </c>
      <c r="I337" t="b">
        <v>0</v>
      </c>
      <c r="J337" t="b">
        <v>0</v>
      </c>
      <c r="K337" t="n">
        <v>-0.0009567583349737174</v>
      </c>
      <c r="L337" t="n">
        <v>0.9959004099590041</v>
      </c>
      <c r="M337" t="n">
        <v>0.01069180965211743</v>
      </c>
      <c r="N337" t="n">
        <v>0.6385515294624384</v>
      </c>
      <c r="O337" t="n">
        <v>8033.636314501986</v>
      </c>
      <c r="P337" t="n">
        <v>-89776.18187287846</v>
      </c>
      <c r="Q337">
        <f>'_live'!$C$23</f>
        <v/>
      </c>
      <c r="R337" t="inlineStr">
        <is>
          <t>shuffled: 9,307 of 10,000</t>
        </is>
      </c>
      <c r="S337" t="inlineStr">
        <is>
          <t>shuffled: 3,628 of 10,000</t>
        </is>
      </c>
      <c r="T337" t="n">
        <v>0.1280211795148098</v>
      </c>
      <c r="U337" t="n">
        <v>0.1163726115277186</v>
      </c>
      <c r="V337">
        <f>AND(judged_band,NOT($J337))</f>
        <v/>
      </c>
      <c r="W337">
        <f>IF($K337="","",IF(profit_kind="test",IF(OR(NOT(AND(ISNUMBER($L337),$L337&lt;significance_bar)),$K337=0),"in line",IF($K337&lt;0,"worse","better")),IF(OR($K337=0,IF(profit_kind="points",ABS($K337),ABS($K337*$H337))&lt;profit_line*(1-1E-9)),"in line",IF(AND(ISNUMBER($L337),$L337&lt;significance_bar),IF($K337&lt;0,"worse","better"),IF($K337&lt;0,"worse, not significant","better, not significant")))))</f>
        <v/>
      </c>
      <c r="X337">
        <f>IF($M337="","",IF(profit_kind="test",IF(OR(NOT(AND(ISNUMBER($N337),$N337&lt;significance_bar)),$M337=0),"in line",IF($M337&lt;0,"worse","better")),IF(OR($M337=0,IF(profit_kind="points",ABS($M337),ABS($M337*$H337))&lt;profit_line*(1-1E-9)),"in line",IF(AND(ISNUMBER($N337),$N337&lt;significance_bar),IF($M337&lt;0,"worse","better"),IF($M337&lt;0,"worse, not significant","better, not significant")))))</f>
        <v/>
      </c>
      <c r="Y337">
        <f>IF($V337,$X337,$W337)</f>
        <v/>
      </c>
      <c r="Z337">
        <f>IF($V337,IF($P337="","",$P337),IF($O337="","",$O337))</f>
        <v/>
      </c>
      <c r="AA337">
        <f>IF(OR($Q337="",$Z337=""),"",IF(AND($Z337&gt;0,$Z337&gt;=$Q337),"yes","below the line"))</f>
        <v/>
      </c>
      <c r="AB337">
        <f>IF($V337,IF($M337="","",$M337),IF($K337="","",$K337))</f>
        <v/>
      </c>
      <c r="AC337">
        <f>IF($V337,IF($N337="","",$N337),IF($L337="","",$L337))</f>
        <v/>
      </c>
      <c r="AD337">
        <f>IF($Y337="","",IF($Y337="in line",IF(profit_kind="test",IF(ROUND($AB337*100,2)=0,"0.00",TEXT($AB337*100,"+0.00;-0.00"))&amp;" points against "&amp;IF($V337,"its band","the book")&amp;", "&amp;IF($AC337="","not tested","not significant"),IF(profit_kind="points","within "&amp;TEXT(profit_line*100,"0.00")&amp;" points of "&amp;IF($V337,"its band","the book")&amp;" ("&amp;IF(ROUND($AB337*100,2)=0,"0.00",TEXT($AB337*100,"+0.00;-0.00"))&amp;")","within $"&amp;TEXT(profit_line,"#,##0")&amp;" of "&amp;IF($V337,"its band","the book")&amp;" ("&amp;IF(ROUND($AB337*100,2)=0,"0.00",TEXT($AB337*100,"+0.00;-0.00"))&amp;" points)")),IF(LEFT($Y337,5)="worse","short of ","ahead of ")&amp;IF($V337,"its band","the book")&amp;" by "&amp;TEXT(ABS($AB337)*100,"0.00")&amp;" points"&amp;IF($Z337="",""," ($"&amp;TEXT(ABS($Z337),"#,##0")&amp;")")&amp;IF(RIGHT($Y337,15)="not significant"," (not significant)","")))</f>
        <v/>
      </c>
      <c r="AE337">
        <f>IF($V337,IF($S337="","",$S337),IF($R337="","",$R337))</f>
        <v/>
      </c>
      <c r="AF337">
        <f>IF($V337,IF($U337="","",$U337),IF($T337="","",$T337))</f>
        <v/>
      </c>
      <c r="AG337">
        <f>IF($V337,IF($O337="","",$O337),IF($P337="","",$P337))</f>
        <v/>
      </c>
      <c r="AH337" t="n">
        <v>0.127064421179836</v>
      </c>
      <c r="AI337">
        <f>IF($Y337="worse","Yes",IF($Y337="worse, not significant","Not sure",IF(OR($Y337="too few losses to test",$Y337="too few loans to test"),"Too few losses",IF($Y337="","","No"))))</f>
        <v/>
      </c>
      <c r="AJ337">
        <f>IF($AA337="yes","Yes",IF($AA337="","","No"))</f>
        <v/>
      </c>
    </row>
    <row r="338">
      <c r="A338" t="inlineStr">
        <is>
          <t>grids</t>
        </is>
      </c>
      <c r="B338" t="inlineStr">
        <is>
          <t>ORIG_BAL x ASSET_CLASS</t>
        </is>
      </c>
      <c r="C338" t="inlineStr">
        <is>
          <t>15,449 - 26,323</t>
        </is>
      </c>
      <c r="D338" t="inlineStr">
        <is>
          <t>1</t>
        </is>
      </c>
      <c r="E338" t="inlineStr">
        <is>
          <t>contribution_rate</t>
        </is>
      </c>
      <c r="F338" t="inlineStr">
        <is>
          <t>Contribution before losses per booked dollar</t>
        </is>
      </c>
      <c r="G338" t="n">
        <v>404</v>
      </c>
      <c r="H338" t="n">
        <v>8396724.670000002</v>
      </c>
      <c r="I338" t="b">
        <v>0</v>
      </c>
      <c r="J338" t="b">
        <v>0</v>
      </c>
      <c r="K338" t="n">
        <v>0.01267779611096534</v>
      </c>
      <c r="L338" t="n">
        <v>0.3254674532546745</v>
      </c>
      <c r="M338" t="n">
        <v>0.0128731195905771</v>
      </c>
      <c r="N338" t="n">
        <v>0.4263573642635736</v>
      </c>
      <c r="O338" t="n">
        <v>-106451.9633661727</v>
      </c>
      <c r="P338" t="n">
        <v>-108092.0408460591</v>
      </c>
      <c r="Q338">
        <f>'_live'!$C$24</f>
        <v/>
      </c>
      <c r="R338" t="inlineStr">
        <is>
          <t>shuffled: 650 of 10,000</t>
        </is>
      </c>
      <c r="S338" t="inlineStr">
        <is>
          <t>shuffled: 722 of 10,000</t>
        </is>
      </c>
      <c r="T338" t="n">
        <v>0.1691798972174501</v>
      </c>
      <c r="U338" t="n">
        <v>0.1689845737378383</v>
      </c>
      <c r="V338">
        <f>AND(judged_band,NOT($J338))</f>
        <v/>
      </c>
      <c r="W338">
        <f>IF($K338="","",IF(profit_kind="test",IF(OR(NOT(AND(ISNUMBER($L338),$L338&lt;significance_bar)),$K338=0),"in line",IF($K338&lt;0,"worse","better")),IF(OR($K338=0,IF(profit_kind="points",ABS($K338),ABS($K338*$H338))&lt;profit_line*(1-1E-9)),"in line",IF(AND(ISNUMBER($L338),$L338&lt;significance_bar),IF($K338&lt;0,"worse","better"),IF($K338&lt;0,"worse, not significant","better, not significant")))))</f>
        <v/>
      </c>
      <c r="X338">
        <f>IF($M338="","",IF(profit_kind="test",IF(OR(NOT(AND(ISNUMBER($N338),$N338&lt;significance_bar)),$M338=0),"in line",IF($M338&lt;0,"worse","better")),IF(OR($M338=0,IF(profit_kind="points",ABS($M338),ABS($M338*$H338))&lt;profit_line*(1-1E-9)),"in line",IF(AND(ISNUMBER($N338),$N338&lt;significance_bar),IF($M338&lt;0,"worse","better"),IF($M338&lt;0,"worse, not significant","better, not significant")))))</f>
        <v/>
      </c>
      <c r="Y338">
        <f>IF($V338,$X338,$W338)</f>
        <v/>
      </c>
      <c r="Z338">
        <f>IF($V338,IF($P338="","",$P338),IF($O338="","",$O338))</f>
        <v/>
      </c>
      <c r="AA338">
        <f>IF(OR($Q338="",$Z338=""),"",IF(AND($Z338&gt;0,$Z338&gt;=$Q338),"yes","below the line"))</f>
        <v/>
      </c>
      <c r="AB338">
        <f>IF($V338,IF($M338="","",$M338),IF($K338="","",$K338))</f>
        <v/>
      </c>
      <c r="AC338">
        <f>IF($V338,IF($N338="","",$N338),IF($L338="","",$L338))</f>
        <v/>
      </c>
      <c r="AD338">
        <f>IF($Y338="","",IF($Y338="in line",IF(profit_kind="test",IF(ROUND($AB338*100,2)=0,"0.00",TEXT($AB338*100,"+0.00;-0.00"))&amp;" points against "&amp;IF($V338,"its band","the book")&amp;", "&amp;IF($AC338="","not tested","not significant"),IF(profit_kind="points","within "&amp;TEXT(profit_line*100,"0.00")&amp;" points of "&amp;IF($V338,"its band","the book")&amp;" ("&amp;IF(ROUND($AB338*100,2)=0,"0.00",TEXT($AB338*100,"+0.00;-0.00"))&amp;")","within $"&amp;TEXT(profit_line,"#,##0")&amp;" of "&amp;IF($V338,"its band","the book")&amp;" ("&amp;IF(ROUND($AB338*100,2)=0,"0.00",TEXT($AB338*100,"+0.00;-0.00"))&amp;" points)")),IF(LEFT($Y338,5)="worse","short of ","ahead of ")&amp;IF($V338,"its band","the book")&amp;" by "&amp;TEXT(ABS($AB338)*100,"0.00")&amp;" points"&amp;IF($Z338="",""," ($"&amp;TEXT(ABS($Z338),"#,##0")&amp;")")&amp;IF(RIGHT($Y338,15)="not significant"," (not significant)","")))</f>
        <v/>
      </c>
      <c r="AE338">
        <f>IF($V338,IF($S338="","",$S338),IF($R338="","",$R338))</f>
        <v/>
      </c>
      <c r="AF338">
        <f>IF($V338,IF($U338="","",$U338),IF($T338="","",$T338))</f>
        <v/>
      </c>
      <c r="AG338">
        <f>IF($V338,IF($O338="","",$O338),IF($P338="","",$P338))</f>
        <v/>
      </c>
      <c r="AH338" t="n">
        <v>0.1818576933284154</v>
      </c>
      <c r="AI338">
        <f>IF($Y338="worse","Yes",IF($Y338="worse, not significant","Not sure",IF(OR($Y338="too few losses to test",$Y338="too few loans to test"),"Too few losses",IF($Y338="","","No"))))</f>
        <v/>
      </c>
      <c r="AJ338">
        <f>IF($AA338="yes","Yes",IF($AA338="","","No"))</f>
        <v/>
      </c>
    </row>
    <row r="339">
      <c r="A339" t="inlineStr">
        <is>
          <t>grids</t>
        </is>
      </c>
      <c r="B339" t="inlineStr">
        <is>
          <t>ORIG_BAL x ASSET_CLASS</t>
        </is>
      </c>
      <c r="C339" t="inlineStr">
        <is>
          <t>26,324 - 37,950</t>
        </is>
      </c>
      <c r="D339" t="inlineStr">
        <is>
          <t>1</t>
        </is>
      </c>
      <c r="E339" t="inlineStr">
        <is>
          <t>outcome_loans</t>
        </is>
      </c>
      <c r="F339" t="inlineStr">
        <is>
          <t>Outcome, share of loans</t>
        </is>
      </c>
      <c r="G339" t="n">
        <v>388</v>
      </c>
      <c r="H339" t="n">
        <v>388</v>
      </c>
      <c r="I339" t="b">
        <v>0</v>
      </c>
      <c r="J339" t="b">
        <v>0</v>
      </c>
      <c r="K339" t="n">
        <v>0.860059804245406</v>
      </c>
      <c r="L339" t="n">
        <v>0.4811316062286992</v>
      </c>
      <c r="M339" t="n">
        <v>0.9652675503190967</v>
      </c>
      <c r="N339" t="n">
        <v>0.938248200981769</v>
      </c>
      <c r="O339" t="n">
        <v>-4.230455919064514</v>
      </c>
      <c r="P339" t="n">
        <v>-0.9355371900826448</v>
      </c>
      <c r="Q339">
        <f>'_live'!$C$20</f>
        <v/>
      </c>
      <c r="R339" t="inlineStr">
        <is>
          <t>z test</t>
        </is>
      </c>
      <c r="S339" t="inlineStr">
        <is>
          <t>z test</t>
        </is>
      </c>
      <c r="T339" t="n">
        <v>0.07791354618315596</v>
      </c>
      <c r="U339" t="n">
        <v>0.06942148760330578</v>
      </c>
      <c r="V339">
        <f>AND(judged_band,NOT($J339))</f>
        <v/>
      </c>
      <c r="W339">
        <f>IF($K339="","",IF($I339,"too few losses to test",IF(AND($K339&gt;better_at,$K339&lt;worse_at),"in line",IF($K339&gt;=worse_at,IF(AND(ISNUMBER($L339),$L339&lt;significance_bar),"worse","worse, not significant"),IF(AND(ISNUMBER($L339),$L339&lt;significance_bar),"better","better, not significant")))))</f>
        <v/>
      </c>
      <c r="X339">
        <f>IF($M339="","",IF($I339,"too few losses to test",IF(AND($M339&gt;better_at,$M339&lt;worse_at),"in line",IF($M339&gt;=worse_at,IF(AND(ISNUMBER($N339),$N339&lt;significance_bar),"worse","worse, not significant"),IF(AND(ISNUMBER($N339),$N339&lt;significance_bar),"better","better, not significant")))))</f>
        <v/>
      </c>
      <c r="Y339">
        <f>IF($V339,$X339,$W339)</f>
        <v/>
      </c>
      <c r="Z339">
        <f>IF($V339,IF($P339="","",$P339),IF($O339="","",$O339))</f>
        <v/>
      </c>
      <c r="AA339">
        <f>IF(OR($Q339="",$Z339=""),"",IF(AND($Z339&gt;0,$Z339&gt;=$Q339),"yes","below the line"))</f>
        <v/>
      </c>
      <c r="AB339">
        <f>IF($V339,IF($M339="","",$M339),IF($K339="","",$K339))</f>
        <v/>
      </c>
      <c r="AC339">
        <f>IF($V339,IF($N339="","",$N339),IF($L339="","",$L339))</f>
        <v/>
      </c>
      <c r="AD339">
        <f>$Y339</f>
        <v/>
      </c>
      <c r="AE339">
        <f>IF($V339,IF($S339="","",$S339),IF($R339="","",$R339))</f>
        <v/>
      </c>
      <c r="AF339">
        <f>IF($V339,IF($U339="","",$U339),IF($T339="","",$T339))</f>
        <v/>
      </c>
      <c r="AG339">
        <f>IF($V339,IF($O339="","",$O339),IF($P339="","",$P339))</f>
        <v/>
      </c>
      <c r="AH339" t="n">
        <v>0.06701030927835051</v>
      </c>
      <c r="AI339">
        <f>IF($Y339="worse","Yes",IF($Y339="worse, not significant","Not sure",IF(OR($Y339="too few losses to test",$Y339="too few loans to test"),"Too few losses",IF($Y339="","","No"))))</f>
        <v/>
      </c>
      <c r="AJ339">
        <f>IF($AA339="yes","Yes",IF($AA339="","","No"))</f>
        <v/>
      </c>
    </row>
    <row r="340">
      <c r="A340" t="inlineStr">
        <is>
          <t>grids</t>
        </is>
      </c>
      <c r="B340" t="inlineStr">
        <is>
          <t>ORIG_BAL x ASSET_CLASS</t>
        </is>
      </c>
      <c r="C340" t="inlineStr">
        <is>
          <t>26,324 - 37,950</t>
        </is>
      </c>
      <c r="D340" t="inlineStr">
        <is>
          <t>1</t>
        </is>
      </c>
      <c r="E340" t="inlineStr">
        <is>
          <t>outcome_booked</t>
        </is>
      </c>
      <c r="F340" t="inlineStr">
        <is>
          <t>Outcome, share of booked dollars</t>
        </is>
      </c>
      <c r="G340" t="n">
        <v>388</v>
      </c>
      <c r="H340" t="n">
        <v>12442793.77</v>
      </c>
      <c r="I340" t="b">
        <v>0</v>
      </c>
      <c r="J340" t="b">
        <v>0</v>
      </c>
      <c r="K340" t="n">
        <v>0.8782257049658554</v>
      </c>
      <c r="L340" t="n">
        <v>0.5697325004341671</v>
      </c>
      <c r="M340" t="n">
        <v>0.9594698355545536</v>
      </c>
      <c r="N340" t="n">
        <v>0.9233076692330767</v>
      </c>
      <c r="O340" t="n">
        <v>-114051.3649783414</v>
      </c>
      <c r="P340" t="n">
        <v>-34745.45856860059</v>
      </c>
      <c r="Q340">
        <f>'_live'!$C$21</f>
        <v/>
      </c>
      <c r="R340" t="inlineStr">
        <is>
          <t>shuffled: 5,412 of 10,000</t>
        </is>
      </c>
      <c r="S340" t="inlineStr">
        <is>
          <t>shuffled: 8,446 of 10,000</t>
        </is>
      </c>
      <c r="T340" t="n">
        <v>0.07527087423376475</v>
      </c>
      <c r="U340" t="n">
        <v>0.06889723276098313</v>
      </c>
      <c r="V340">
        <f>AND(judged_band,NOT($J340))</f>
        <v/>
      </c>
      <c r="W340">
        <f>IF($K340="","",IF($I340,"too few losses to test",IF(AND($K340&gt;better_at,$K340&lt;worse_at),"in line",IF($K340&gt;=worse_at,IF(AND(ISNUMBER($L340),$L340&lt;significance_bar),"worse","worse, not significant"),IF(AND(ISNUMBER($L340),$L340&lt;significance_bar),"better","better, not significant")))))</f>
        <v/>
      </c>
      <c r="X340">
        <f>IF($M340="","",IF($I340,"too few losses to test",IF(AND($M340&gt;better_at,$M340&lt;worse_at),"in line",IF($M340&gt;=worse_at,IF(AND(ISNUMBER($N340),$N340&lt;significance_bar),"worse","worse, not significant"),IF(AND(ISNUMBER($N340),$N340&lt;significance_bar),"better","better, not significant")))))</f>
        <v/>
      </c>
      <c r="Y340">
        <f>IF($V340,$X340,$W340)</f>
        <v/>
      </c>
      <c r="Z340">
        <f>IF($V340,IF($P340="","",$P340),IF($O340="","",$O340))</f>
        <v/>
      </c>
      <c r="AA340">
        <f>IF(OR($Q340="",$Z340=""),"",IF(AND($Z340&gt;0,$Z340&gt;=$Q340),"yes","below the line"))</f>
        <v/>
      </c>
      <c r="AB340">
        <f>IF($V340,IF($M340="","",$M340),IF($K340="","",$K340))</f>
        <v/>
      </c>
      <c r="AC340">
        <f>IF($V340,IF($N340="","",$N340),IF($L340="","",$L340))</f>
        <v/>
      </c>
      <c r="AD340">
        <f>$Y340</f>
        <v/>
      </c>
      <c r="AE340">
        <f>IF($V340,IF($S340="","",$S340),IF($R340="","",$R340))</f>
        <v/>
      </c>
      <c r="AF340">
        <f>IF($V340,IF($U340="","",$U340),IF($T340="","",$T340))</f>
        <v/>
      </c>
      <c r="AG340">
        <f>IF($V340,IF($O340="","",$O340),IF($P340="","",$P340))</f>
        <v/>
      </c>
      <c r="AH340" t="n">
        <v>0.06610481658734428</v>
      </c>
      <c r="AI340">
        <f>IF($Y340="worse","Yes",IF($Y340="worse, not significant","Not sure",IF(OR($Y340="too few losses to test",$Y340="too few loans to test"),"Too few losses",IF($Y340="","","No"))))</f>
        <v/>
      </c>
      <c r="AJ340">
        <f>IF($AA340="yes","Yes",IF($AA340="","","No"))</f>
        <v/>
      </c>
    </row>
    <row r="341">
      <c r="A341" t="inlineStr">
        <is>
          <t>grids</t>
        </is>
      </c>
      <c r="B341" t="inlineStr">
        <is>
          <t>ORIG_BAL x ASSET_CLASS</t>
        </is>
      </c>
      <c r="C341" t="inlineStr">
        <is>
          <t>26,324 - 37,950</t>
        </is>
      </c>
      <c r="D341" t="inlineStr">
        <is>
          <t>1</t>
        </is>
      </c>
      <c r="E341" t="inlineStr">
        <is>
          <t>gco_rate</t>
        </is>
      </c>
      <c r="F341" t="inlineStr">
        <is>
          <t>GCO per booked dollar</t>
        </is>
      </c>
      <c r="G341" t="n">
        <v>388</v>
      </c>
      <c r="H341" t="n">
        <v>12442793.77</v>
      </c>
      <c r="I341" t="b">
        <v>0</v>
      </c>
      <c r="J341" t="b">
        <v>0</v>
      </c>
      <c r="K341" t="n">
        <v>0.8620669297286556</v>
      </c>
      <c r="L341" t="n">
        <v>0.5295259947689441</v>
      </c>
      <c r="M341" t="n">
        <v>0.9531752233587916</v>
      </c>
      <c r="N341" t="n">
        <v>0.8755966508612298</v>
      </c>
      <c r="O341" t="n">
        <v>-71884.1187085383</v>
      </c>
      <c r="P341" t="n">
        <v>-22070.31359790458</v>
      </c>
      <c r="Q341">
        <f>'_live'!$C$22</f>
        <v/>
      </c>
      <c r="R341" t="inlineStr">
        <is>
          <t>shuffled: 5,030 of 10,000</t>
        </is>
      </c>
      <c r="S341" t="inlineStr">
        <is>
          <t>shuffled: 8,257 of 10,000</t>
        </is>
      </c>
      <c r="T341" t="n">
        <v>0.04188385489158022</v>
      </c>
      <c r="U341" t="n">
        <v>0.03788042880967114</v>
      </c>
      <c r="V341">
        <f>AND(judged_band,NOT($J341))</f>
        <v/>
      </c>
      <c r="W341">
        <f>IF($K341="","",IF($I341,"too few losses to test",IF(AND($K341&gt;better_at,$K341&lt;worse_at),"in line",IF($K341&gt;=worse_at,IF(AND(ISNUMBER($L341),$L341&lt;significance_bar),"worse","worse, not significant"),IF(AND(ISNUMBER($L341),$L341&lt;significance_bar),"better","better, not significant")))))</f>
        <v/>
      </c>
      <c r="X341">
        <f>IF($M341="","",IF($I341,"too few losses to test",IF(AND($M341&gt;better_at,$M341&lt;worse_at),"in line",IF($M341&gt;=worse_at,IF(AND(ISNUMBER($N341),$N341&lt;significance_bar),"worse","worse, not significant"),IF(AND(ISNUMBER($N341),$N341&lt;significance_bar),"better","better, not significant")))))</f>
        <v/>
      </c>
      <c r="Y341">
        <f>IF($V341,$X341,$W341)</f>
        <v/>
      </c>
      <c r="Z341">
        <f>IF($V341,IF($P341="","",$P341),IF($O341="","",$O341))</f>
        <v/>
      </c>
      <c r="AA341">
        <f>IF(OR($Q341="",$Z341=""),"",IF(AND($Z341&gt;0,$Z341&gt;=$Q341),"yes","below the line"))</f>
        <v/>
      </c>
      <c r="AB341">
        <f>IF($V341,IF($M341="","",$M341),IF($K341="","",$K341))</f>
        <v/>
      </c>
      <c r="AC341">
        <f>IF($V341,IF($N341="","",$N341),IF($L341="","",$L341))</f>
        <v/>
      </c>
      <c r="AD341">
        <f>$Y341</f>
        <v/>
      </c>
      <c r="AE341">
        <f>IF($V341,IF($S341="","",$S341),IF($R341="","",$R341))</f>
        <v/>
      </c>
      <c r="AF341">
        <f>IF($V341,IF($U341="","",$U341),IF($T341="","",$T341))</f>
        <v/>
      </c>
      <c r="AG341">
        <f>IF($V341,IF($O341="","",$O341),IF($P341="","",$P341))</f>
        <v/>
      </c>
      <c r="AH341" t="n">
        <v>0.03610668619158509</v>
      </c>
      <c r="AI341">
        <f>IF($Y341="worse","Yes",IF($Y341="worse, not significant","Not sure",IF(OR($Y341="too few losses to test",$Y341="too few loans to test"),"Too few losses",IF($Y341="","","No"))))</f>
        <v/>
      </c>
      <c r="AJ341">
        <f>IF($AA341="yes","Yes",IF($AA341="","","No"))</f>
        <v/>
      </c>
    </row>
    <row r="342">
      <c r="A342" t="inlineStr">
        <is>
          <t>grids</t>
        </is>
      </c>
      <c r="B342" t="inlineStr">
        <is>
          <t>ORIG_BAL x ASSET_CLASS</t>
        </is>
      </c>
      <c r="C342" t="inlineStr">
        <is>
          <t>26,324 - 37,950</t>
        </is>
      </c>
      <c r="D342" t="inlineStr">
        <is>
          <t>1</t>
        </is>
      </c>
      <c r="E342" t="inlineStr">
        <is>
          <t>ranr_rate</t>
        </is>
      </c>
      <c r="F342" t="inlineStr">
        <is>
          <t>Profit after losses: RANR per booked dollar</t>
        </is>
      </c>
      <c r="G342" t="n">
        <v>388</v>
      </c>
      <c r="H342" t="n">
        <v>12442793.77</v>
      </c>
      <c r="I342" t="b">
        <v>0</v>
      </c>
      <c r="J342" t="b">
        <v>0</v>
      </c>
      <c r="K342" t="n">
        <v>0.007396384234743786</v>
      </c>
      <c r="L342" t="n">
        <v>0.6965970069659699</v>
      </c>
      <c r="M342" t="n">
        <v>0.004922995354871451</v>
      </c>
      <c r="N342" t="n">
        <v>0.7569769338855588</v>
      </c>
      <c r="O342" t="n">
        <v>-92031.68367659627</v>
      </c>
      <c r="P342" t="n">
        <v>-61255.81593133346</v>
      </c>
      <c r="Q342">
        <f>'_live'!$C$23</f>
        <v/>
      </c>
      <c r="R342" t="inlineStr">
        <is>
          <t>shuffled: 4,710 of 10,000</t>
        </is>
      </c>
      <c r="S342" t="inlineStr">
        <is>
          <t>shuffled: 6,367 of 10,000</t>
        </is>
      </c>
      <c r="T342" t="n">
        <v>0.1276334323046008</v>
      </c>
      <c r="U342" t="n">
        <v>0.1301068211844731</v>
      </c>
      <c r="V342">
        <f>AND(judged_band,NOT($J342))</f>
        <v/>
      </c>
      <c r="W342">
        <f>IF($K342="","",IF(profit_kind="test",IF(OR(NOT(AND(ISNUMBER($L342),$L342&lt;significance_bar)),$K342=0),"in line",IF($K342&lt;0,"worse","better")),IF(OR($K342=0,IF(profit_kind="points",ABS($K342),ABS($K342*$H342))&lt;profit_line*(1-1E-9)),"in line",IF(AND(ISNUMBER($L342),$L342&lt;significance_bar),IF($K342&lt;0,"worse","better"),IF($K342&lt;0,"worse, not significant","better, not significant")))))</f>
        <v/>
      </c>
      <c r="X342">
        <f>IF($M342="","",IF(profit_kind="test",IF(OR(NOT(AND(ISNUMBER($N342),$N342&lt;significance_bar)),$M342=0),"in line",IF($M342&lt;0,"worse","better")),IF(OR($M342=0,IF(profit_kind="points",ABS($M342),ABS($M342*$H342))&lt;profit_line*(1-1E-9)),"in line",IF(AND(ISNUMBER($N342),$N342&lt;significance_bar),IF($M342&lt;0,"worse","better"),IF($M342&lt;0,"worse, not significant","better, not significant")))))</f>
        <v/>
      </c>
      <c r="Y342">
        <f>IF($V342,$X342,$W342)</f>
        <v/>
      </c>
      <c r="Z342">
        <f>IF($V342,IF($P342="","",$P342),IF($O342="","",$O342))</f>
        <v/>
      </c>
      <c r="AA342">
        <f>IF(OR($Q342="",$Z342=""),"",IF(AND($Z342&gt;0,$Z342&gt;=$Q342),"yes","below the line"))</f>
        <v/>
      </c>
      <c r="AB342">
        <f>IF($V342,IF($M342="","",$M342),IF($K342="","",$K342))</f>
        <v/>
      </c>
      <c r="AC342">
        <f>IF($V342,IF($N342="","",$N342),IF($L342="","",$L342))</f>
        <v/>
      </c>
      <c r="AD342">
        <f>IF($Y342="","",IF($Y342="in line",IF(profit_kind="test",IF(ROUND($AB342*100,2)=0,"0.00",TEXT($AB342*100,"+0.00;-0.00"))&amp;" points against "&amp;IF($V342,"its band","the book")&amp;", "&amp;IF($AC342="","not tested","not significant"),IF(profit_kind="points","within "&amp;TEXT(profit_line*100,"0.00")&amp;" points of "&amp;IF($V342,"its band","the book")&amp;" ("&amp;IF(ROUND($AB342*100,2)=0,"0.00",TEXT($AB342*100,"+0.00;-0.00"))&amp;")","within $"&amp;TEXT(profit_line,"#,##0")&amp;" of "&amp;IF($V342,"its band","the book")&amp;" ("&amp;IF(ROUND($AB342*100,2)=0,"0.00",TEXT($AB342*100,"+0.00;-0.00"))&amp;" points)")),IF(LEFT($Y342,5)="worse","short of ","ahead of ")&amp;IF($V342,"its band","the book")&amp;" by "&amp;TEXT(ABS($AB342)*100,"0.00")&amp;" points"&amp;IF($Z342="",""," ($"&amp;TEXT(ABS($Z342),"#,##0")&amp;")")&amp;IF(RIGHT($Y342,15)="not significant"," (not significant)","")))</f>
        <v/>
      </c>
      <c r="AE342">
        <f>IF($V342,IF($S342="","",$S342),IF($R342="","",$R342))</f>
        <v/>
      </c>
      <c r="AF342">
        <f>IF($V342,IF($U342="","",$U342),IF($T342="","",$T342))</f>
        <v/>
      </c>
      <c r="AG342">
        <f>IF($V342,IF($O342="","",$O342),IF($P342="","",$P342))</f>
        <v/>
      </c>
      <c r="AH342" t="n">
        <v>0.1350298165393446</v>
      </c>
      <c r="AI342">
        <f>IF($Y342="worse","Yes",IF($Y342="worse, not significant","Not sure",IF(OR($Y342="too few losses to test",$Y342="too few loans to test"),"Too few losses",IF($Y342="","","No"))))</f>
        <v/>
      </c>
      <c r="AJ342">
        <f>IF($AA342="yes","Yes",IF($AA342="","","No"))</f>
        <v/>
      </c>
    </row>
    <row r="343">
      <c r="A343" t="inlineStr">
        <is>
          <t>grids</t>
        </is>
      </c>
      <c r="B343" t="inlineStr">
        <is>
          <t>ORIG_BAL x ASSET_CLASS</t>
        </is>
      </c>
      <c r="C343" t="inlineStr">
        <is>
          <t>26,324 - 37,950</t>
        </is>
      </c>
      <c r="D343" t="inlineStr">
        <is>
          <t>1</t>
        </is>
      </c>
      <c r="E343" t="inlineStr">
        <is>
          <t>contribution_rate</t>
        </is>
      </c>
      <c r="F343" t="inlineStr">
        <is>
          <t>Contribution before losses per booked dollar</t>
        </is>
      </c>
      <c r="G343" t="n">
        <v>388</v>
      </c>
      <c r="H343" t="n">
        <v>12442793.77</v>
      </c>
      <c r="I343" t="b">
        <v>0</v>
      </c>
      <c r="J343" t="b">
        <v>0</v>
      </c>
      <c r="K343" t="n">
        <v>0.001622277273156253</v>
      </c>
      <c r="L343" t="n">
        <v>0.9446055394460554</v>
      </c>
      <c r="M343" t="n">
        <v>0.003149252736785429</v>
      </c>
      <c r="N343" t="n">
        <v>0.83638694954034</v>
      </c>
      <c r="O343" t="n">
        <v>-20185.66154764127</v>
      </c>
      <c r="P343" t="n">
        <v>-39185.50233342918</v>
      </c>
      <c r="Q343">
        <f>'_live'!$C$24</f>
        <v/>
      </c>
      <c r="R343" t="inlineStr">
        <is>
          <t>shuffled: 8,134 of 10,000</t>
        </is>
      </c>
      <c r="S343" t="inlineStr">
        <is>
          <t>shuffled: 6,533 of 10,000</t>
        </is>
      </c>
      <c r="T343" t="n">
        <v>0.1695142254577733</v>
      </c>
      <c r="U343" t="n">
        <v>0.1679872499941442</v>
      </c>
      <c r="V343">
        <f>AND(judged_band,NOT($J343))</f>
        <v/>
      </c>
      <c r="W343">
        <f>IF($K343="","",IF(profit_kind="test",IF(OR(NOT(AND(ISNUMBER($L343),$L343&lt;significance_bar)),$K343=0),"in line",IF($K343&lt;0,"worse","better")),IF(OR($K343=0,IF(profit_kind="points",ABS($K343),ABS($K343*$H343))&lt;profit_line*(1-1E-9)),"in line",IF(AND(ISNUMBER($L343),$L343&lt;significance_bar),IF($K343&lt;0,"worse","better"),IF($K343&lt;0,"worse, not significant","better, not significant")))))</f>
        <v/>
      </c>
      <c r="X343">
        <f>IF($M343="","",IF(profit_kind="test",IF(OR(NOT(AND(ISNUMBER($N343),$N343&lt;significance_bar)),$M343=0),"in line",IF($M343&lt;0,"worse","better")),IF(OR($M343=0,IF(profit_kind="points",ABS($M343),ABS($M343*$H343))&lt;profit_line*(1-1E-9)),"in line",IF(AND(ISNUMBER($N343),$N343&lt;significance_bar),IF($M343&lt;0,"worse","better"),IF($M343&lt;0,"worse, not significant","better, not significant")))))</f>
        <v/>
      </c>
      <c r="Y343">
        <f>IF($V343,$X343,$W343)</f>
        <v/>
      </c>
      <c r="Z343">
        <f>IF($V343,IF($P343="","",$P343),IF($O343="","",$O343))</f>
        <v/>
      </c>
      <c r="AA343">
        <f>IF(OR($Q343="",$Z343=""),"",IF(AND($Z343&gt;0,$Z343&gt;=$Q343),"yes","below the line"))</f>
        <v/>
      </c>
      <c r="AB343">
        <f>IF($V343,IF($M343="","",$M343),IF($K343="","",$K343))</f>
        <v/>
      </c>
      <c r="AC343">
        <f>IF($V343,IF($N343="","",$N343),IF($L343="","",$L343))</f>
        <v/>
      </c>
      <c r="AD343">
        <f>IF($Y343="","",IF($Y343="in line",IF(profit_kind="test",IF(ROUND($AB343*100,2)=0,"0.00",TEXT($AB343*100,"+0.00;-0.00"))&amp;" points against "&amp;IF($V343,"its band","the book")&amp;", "&amp;IF($AC343="","not tested","not significant"),IF(profit_kind="points","within "&amp;TEXT(profit_line*100,"0.00")&amp;" points of "&amp;IF($V343,"its band","the book")&amp;" ("&amp;IF(ROUND($AB343*100,2)=0,"0.00",TEXT($AB343*100,"+0.00;-0.00"))&amp;")","within $"&amp;TEXT(profit_line,"#,##0")&amp;" of "&amp;IF($V343,"its band","the book")&amp;" ("&amp;IF(ROUND($AB343*100,2)=0,"0.00",TEXT($AB343*100,"+0.00;-0.00"))&amp;" points)")),IF(LEFT($Y343,5)="worse","short of ","ahead of ")&amp;IF($V343,"its band","the book")&amp;" by "&amp;TEXT(ABS($AB343)*100,"0.00")&amp;" points"&amp;IF($Z343="",""," ($"&amp;TEXT(ABS($Z343),"#,##0")&amp;")")&amp;IF(RIGHT($Y343,15)="not significant"," (not significant)","")))</f>
        <v/>
      </c>
      <c r="AE343">
        <f>IF($V343,IF($S343="","",$S343),IF($R343="","",$R343))</f>
        <v/>
      </c>
      <c r="AF343">
        <f>IF($V343,IF($U343="","",$U343),IF($T343="","",$T343))</f>
        <v/>
      </c>
      <c r="AG343">
        <f>IF($V343,IF($O343="","",$O343),IF($P343="","",$P343))</f>
        <v/>
      </c>
      <c r="AH343" t="n">
        <v>0.1711365027309296</v>
      </c>
      <c r="AI343">
        <f>IF($Y343="worse","Yes",IF($Y343="worse, not significant","Not sure",IF(OR($Y343="too few losses to test",$Y343="too few loans to test"),"Too few losses",IF($Y343="","","No"))))</f>
        <v/>
      </c>
      <c r="AJ343">
        <f>IF($AA343="yes","Yes",IF($AA343="","","No"))</f>
        <v/>
      </c>
    </row>
    <row r="344">
      <c r="A344" t="inlineStr">
        <is>
          <t>grids</t>
        </is>
      </c>
      <c r="B344" t="inlineStr">
        <is>
          <t>ORIG_BAL x ASSET_CLASS</t>
        </is>
      </c>
      <c r="C344" t="inlineStr">
        <is>
          <t>15,449 - 26,323</t>
        </is>
      </c>
      <c r="D344" t="inlineStr">
        <is>
          <t>4</t>
        </is>
      </c>
      <c r="E344" t="inlineStr">
        <is>
          <t>outcome_loans</t>
        </is>
      </c>
      <c r="F344" t="inlineStr">
        <is>
          <t>Outcome, share of loans</t>
        </is>
      </c>
      <c r="G344" t="n">
        <v>413</v>
      </c>
      <c r="H344" t="n">
        <v>413</v>
      </c>
      <c r="I344" t="b">
        <v>0</v>
      </c>
      <c r="J344" t="b">
        <v>0</v>
      </c>
      <c r="K344" t="n">
        <v>1.509261924516162</v>
      </c>
      <c r="L344" t="n">
        <v>0.0445321950227988</v>
      </c>
      <c r="M344" t="n">
        <v>1.324336514266724</v>
      </c>
      <c r="N344" t="n">
        <v>0.2330154927846619</v>
      </c>
      <c r="O344" t="n">
        <v>15.85895069865542</v>
      </c>
      <c r="P344" t="n">
        <v>11.51053074978938</v>
      </c>
      <c r="Q344">
        <f>'_live'!$C$20</f>
        <v/>
      </c>
      <c r="R344" t="inlineStr">
        <is>
          <t>z test</t>
        </is>
      </c>
      <c r="S344" t="inlineStr">
        <is>
          <t>z test</t>
        </is>
      </c>
      <c r="T344" t="n">
        <v>0.07540205641972053</v>
      </c>
      <c r="U344" t="n">
        <v>0.08593091828138164</v>
      </c>
      <c r="V344">
        <f>AND(judged_band,NOT($J344))</f>
        <v/>
      </c>
      <c r="W344">
        <f>IF($K344="","",IF($I344,"too few losses to test",IF(AND($K344&gt;better_at,$K344&lt;worse_at),"in line",IF($K344&gt;=worse_at,IF(AND(ISNUMBER($L344),$L344&lt;significance_bar),"worse","worse, not significant"),IF(AND(ISNUMBER($L344),$L344&lt;significance_bar),"better","better, not significant")))))</f>
        <v/>
      </c>
      <c r="X344">
        <f>IF($M344="","",IF($I344,"too few losses to test",IF(AND($M344&gt;better_at,$M344&lt;worse_at),"in line",IF($M344&gt;=worse_at,IF(AND(ISNUMBER($N344),$N344&lt;significance_bar),"worse","worse, not significant"),IF(AND(ISNUMBER($N344),$N344&lt;significance_bar),"better","better, not significant")))))</f>
        <v/>
      </c>
      <c r="Y344">
        <f>IF($V344,$X344,$W344)</f>
        <v/>
      </c>
      <c r="Z344">
        <f>IF($V344,IF($P344="","",$P344),IF($O344="","",$O344))</f>
        <v/>
      </c>
      <c r="AA344">
        <f>IF(OR($Q344="",$Z344=""),"",IF(AND($Z344&gt;0,$Z344&gt;=$Q344),"yes","below the line"))</f>
        <v/>
      </c>
      <c r="AB344">
        <f>IF($V344,IF($M344="","",$M344),IF($K344="","",$K344))</f>
        <v/>
      </c>
      <c r="AC344">
        <f>IF($V344,IF($N344="","",$N344),IF($L344="","",$L344))</f>
        <v/>
      </c>
      <c r="AD344">
        <f>$Y344</f>
        <v/>
      </c>
      <c r="AE344">
        <f>IF($V344,IF($S344="","",$S344),IF($R344="","",$R344))</f>
        <v/>
      </c>
      <c r="AF344">
        <f>IF($V344,IF($U344="","",$U344),IF($T344="","",$T344))</f>
        <v/>
      </c>
      <c r="AG344">
        <f>IF($V344,IF($O344="","",$O344),IF($P344="","",$P344))</f>
        <v/>
      </c>
      <c r="AH344" t="n">
        <v>0.1138014527845036</v>
      </c>
      <c r="AI344">
        <f>IF($Y344="worse","Yes",IF($Y344="worse, not significant","Not sure",IF(OR($Y344="too few losses to test",$Y344="too few loans to test"),"Too few losses",IF($Y344="","","No"))))</f>
        <v/>
      </c>
      <c r="AJ344">
        <f>IF($AA344="yes","Yes",IF($AA344="","","No"))</f>
        <v/>
      </c>
    </row>
    <row r="345">
      <c r="A345" t="inlineStr">
        <is>
          <t>grids</t>
        </is>
      </c>
      <c r="B345" t="inlineStr">
        <is>
          <t>ORIG_BAL x ASSET_CLASS</t>
        </is>
      </c>
      <c r="C345" t="inlineStr">
        <is>
          <t>15,449 - 26,323</t>
        </is>
      </c>
      <c r="D345" t="inlineStr">
        <is>
          <t>4</t>
        </is>
      </c>
      <c r="E345" t="inlineStr">
        <is>
          <t>outcome_booked</t>
        </is>
      </c>
      <c r="F345" t="inlineStr">
        <is>
          <t>Outcome, share of booked dollars</t>
        </is>
      </c>
      <c r="G345" t="n">
        <v>413</v>
      </c>
      <c r="H345" t="n">
        <v>8693157.310000002</v>
      </c>
      <c r="I345" t="b">
        <v>0</v>
      </c>
      <c r="J345" t="b">
        <v>0</v>
      </c>
      <c r="K345" t="n">
        <v>1.523875926771991</v>
      </c>
      <c r="L345" t="n">
        <v>0.08199180081991801</v>
      </c>
      <c r="M345" t="n">
        <v>1.282768045363396</v>
      </c>
      <c r="N345" t="n">
        <v>0.2871712828717128</v>
      </c>
      <c r="O345" t="n">
        <v>334870.5226338329</v>
      </c>
      <c r="P345" t="n">
        <v>214723.8488697922</v>
      </c>
      <c r="Q345">
        <f>'_live'!$C$21</f>
        <v/>
      </c>
      <c r="R345" t="inlineStr">
        <is>
          <t>shuffled: 81 of 10,000</t>
        </is>
      </c>
      <c r="S345" t="inlineStr">
        <is>
          <t>shuffled: 1,430 of 10,000</t>
        </is>
      </c>
      <c r="T345" t="n">
        <v>0.07353107905120457</v>
      </c>
      <c r="U345" t="n">
        <v>0.08735191186022694</v>
      </c>
      <c r="V345">
        <f>AND(judged_band,NOT($J345))</f>
        <v/>
      </c>
      <c r="W345">
        <f>IF($K345="","",IF($I345,"too few losses to test",IF(AND($K345&gt;better_at,$K345&lt;worse_at),"in line",IF($K345&gt;=worse_at,IF(AND(ISNUMBER($L345),$L345&lt;significance_bar),"worse","worse, not significant"),IF(AND(ISNUMBER($L345),$L345&lt;significance_bar),"better","better, not significant")))))</f>
        <v/>
      </c>
      <c r="X345">
        <f>IF($M345="","",IF($I345,"too few losses to test",IF(AND($M345&gt;better_at,$M345&lt;worse_at),"in line",IF($M345&gt;=worse_at,IF(AND(ISNUMBER($N345),$N345&lt;significance_bar),"worse","worse, not significant"),IF(AND(ISNUMBER($N345),$N345&lt;significance_bar),"better","better, not significant")))))</f>
        <v/>
      </c>
      <c r="Y345">
        <f>IF($V345,$X345,$W345)</f>
        <v/>
      </c>
      <c r="Z345">
        <f>IF($V345,IF($P345="","",$P345),IF($O345="","",$O345))</f>
        <v/>
      </c>
      <c r="AA345">
        <f>IF(OR($Q345="",$Z345=""),"",IF(AND($Z345&gt;0,$Z345&gt;=$Q345),"yes","below the line"))</f>
        <v/>
      </c>
      <c r="AB345">
        <f>IF($V345,IF($M345="","",$M345),IF($K345="","",$K345))</f>
        <v/>
      </c>
      <c r="AC345">
        <f>IF($V345,IF($N345="","",$N345),IF($L345="","",$L345))</f>
        <v/>
      </c>
      <c r="AD345">
        <f>$Y345</f>
        <v/>
      </c>
      <c r="AE345">
        <f>IF($V345,IF($S345="","",$S345),IF($R345="","",$R345))</f>
        <v/>
      </c>
      <c r="AF345">
        <f>IF($V345,IF($U345="","",$U345),IF($T345="","",$T345))</f>
        <v/>
      </c>
      <c r="AG345">
        <f>IF($V345,IF($O345="","",$O345),IF($P345="","",$P345))</f>
        <v/>
      </c>
      <c r="AH345" t="n">
        <v>0.1120522412356989</v>
      </c>
      <c r="AI345">
        <f>IF($Y345="worse","Yes",IF($Y345="worse, not significant","Not sure",IF(OR($Y345="too few losses to test",$Y345="too few loans to test"),"Too few losses",IF($Y345="","","No"))))</f>
        <v/>
      </c>
      <c r="AJ345">
        <f>IF($AA345="yes","Yes",IF($AA345="","","No"))</f>
        <v/>
      </c>
    </row>
    <row r="346">
      <c r="A346" t="inlineStr">
        <is>
          <t>grids</t>
        </is>
      </c>
      <c r="B346" t="inlineStr">
        <is>
          <t>ORIG_BAL x ASSET_CLASS</t>
        </is>
      </c>
      <c r="C346" t="inlineStr">
        <is>
          <t>15,449 - 26,323</t>
        </is>
      </c>
      <c r="D346" t="inlineStr">
        <is>
          <t>4</t>
        </is>
      </c>
      <c r="E346" t="inlineStr">
        <is>
          <t>gco_rate</t>
        </is>
      </c>
      <c r="F346" t="inlineStr">
        <is>
          <t>GCO per booked dollar</t>
        </is>
      </c>
      <c r="G346" t="n">
        <v>413</v>
      </c>
      <c r="H346" t="n">
        <v>8693157.310000002</v>
      </c>
      <c r="I346" t="b">
        <v>0</v>
      </c>
      <c r="J346" t="b">
        <v>0</v>
      </c>
      <c r="K346" t="n">
        <v>1.535120813968712</v>
      </c>
      <c r="L346" t="n">
        <v>0.107989201079892</v>
      </c>
      <c r="M346" t="n">
        <v>1.260013977986451</v>
      </c>
      <c r="N346" t="n">
        <v>0.358327803583278</v>
      </c>
      <c r="O346" t="n">
        <v>190115.5815005647</v>
      </c>
      <c r="P346" t="n">
        <v>112545.9215164682</v>
      </c>
      <c r="Q346">
        <f>'_live'!$C$22</f>
        <v/>
      </c>
      <c r="R346" t="inlineStr">
        <is>
          <t>shuffled: 107 of 10,000</t>
        </is>
      </c>
      <c r="S346" t="inlineStr">
        <is>
          <t>shuffled: 1,938 of 10,000</t>
        </is>
      </c>
      <c r="T346" t="n">
        <v>0.04086846537227051</v>
      </c>
      <c r="U346" t="n">
        <v>0.04979153638294529</v>
      </c>
      <c r="V346">
        <f>AND(judged_band,NOT($J346))</f>
        <v/>
      </c>
      <c r="W346">
        <f>IF($K346="","",IF($I346,"too few losses to test",IF(AND($K346&gt;better_at,$K346&lt;worse_at),"in line",IF($K346&gt;=worse_at,IF(AND(ISNUMBER($L346),$L346&lt;significance_bar),"worse","worse, not significant"),IF(AND(ISNUMBER($L346),$L346&lt;significance_bar),"better","better, not significant")))))</f>
        <v/>
      </c>
      <c r="X346">
        <f>IF($M346="","",IF($I346,"too few losses to test",IF(AND($M346&gt;better_at,$M346&lt;worse_at),"in line",IF($M346&gt;=worse_at,IF(AND(ISNUMBER($N346),$N346&lt;significance_bar),"worse","worse, not significant"),IF(AND(ISNUMBER($N346),$N346&lt;significance_bar),"better","better, not significant")))))</f>
        <v/>
      </c>
      <c r="Y346">
        <f>IF($V346,$X346,$W346)</f>
        <v/>
      </c>
      <c r="Z346">
        <f>IF($V346,IF($P346="","",$P346),IF($O346="","",$O346))</f>
        <v/>
      </c>
      <c r="AA346">
        <f>IF(OR($Q346="",$Z346=""),"",IF(AND($Z346&gt;0,$Z346&gt;=$Q346),"yes","below the line"))</f>
        <v/>
      </c>
      <c r="AB346">
        <f>IF($V346,IF($M346="","",$M346),IF($K346="","",$K346))</f>
        <v/>
      </c>
      <c r="AC346">
        <f>IF($V346,IF($N346="","",$N346),IF($L346="","",$L346))</f>
        <v/>
      </c>
      <c r="AD346">
        <f>$Y346</f>
        <v/>
      </c>
      <c r="AE346">
        <f>IF($V346,IF($S346="","",$S346),IF($R346="","",$R346))</f>
        <v/>
      </c>
      <c r="AF346">
        <f>IF($V346,IF($U346="","",$U346),IF($T346="","",$T346))</f>
        <v/>
      </c>
      <c r="AG346">
        <f>IF($V346,IF($O346="","",$O346),IF($P346="","",$P346))</f>
        <v/>
      </c>
      <c r="AH346" t="n">
        <v>0.06273803182793203</v>
      </c>
      <c r="AI346">
        <f>IF($Y346="worse","Yes",IF($Y346="worse, not significant","Not sure",IF(OR($Y346="too few losses to test",$Y346="too few loans to test"),"Too few losses",IF($Y346="","","No"))))</f>
        <v/>
      </c>
      <c r="AJ346">
        <f>IF($AA346="yes","Yes",IF($AA346="","","No"))</f>
        <v/>
      </c>
    </row>
    <row r="347">
      <c r="A347" t="inlineStr">
        <is>
          <t>grids</t>
        </is>
      </c>
      <c r="B347" t="inlineStr">
        <is>
          <t>ORIG_BAL x ASSET_CLASS</t>
        </is>
      </c>
      <c r="C347" t="inlineStr">
        <is>
          <t>15,449 - 26,323</t>
        </is>
      </c>
      <c r="D347" t="inlineStr">
        <is>
          <t>4</t>
        </is>
      </c>
      <c r="E347" t="inlineStr">
        <is>
          <t>ranr_rate</t>
        </is>
      </c>
      <c r="F347" t="inlineStr">
        <is>
          <t>Profit after losses: RANR per booked dollar</t>
        </is>
      </c>
      <c r="G347" t="n">
        <v>413</v>
      </c>
      <c r="H347" t="n">
        <v>8693157.310000002</v>
      </c>
      <c r="I347" t="b">
        <v>0</v>
      </c>
      <c r="J347" t="b">
        <v>0</v>
      </c>
      <c r="K347" t="n">
        <v>-0.01770985643558616</v>
      </c>
      <c r="L347" t="n">
        <v>0.4674532546745325</v>
      </c>
      <c r="M347" t="n">
        <v>-0.0110610148692824</v>
      </c>
      <c r="N347" t="n">
        <v>0.6385515294624384</v>
      </c>
      <c r="O347" t="n">
        <v>153954.5679320665</v>
      </c>
      <c r="P347" t="n">
        <v>96155.142266921</v>
      </c>
      <c r="Q347">
        <f>'_live'!$C$23</f>
        <v/>
      </c>
      <c r="R347" t="inlineStr">
        <is>
          <t>shuffled: 855 of 10,000</t>
        </is>
      </c>
      <c r="S347" t="inlineStr">
        <is>
          <t>shuffled: 3,481 of 10,000</t>
        </is>
      </c>
      <c r="T347" t="n">
        <v>0.1285866145141766</v>
      </c>
      <c r="U347" t="n">
        <v>0.1219377729478728</v>
      </c>
      <c r="V347">
        <f>AND(judged_band,NOT($J347))</f>
        <v/>
      </c>
      <c r="W347">
        <f>IF($K347="","",IF(profit_kind="test",IF(OR(NOT(AND(ISNUMBER($L347),$L347&lt;significance_bar)),$K347=0),"in line",IF($K347&lt;0,"worse","better")),IF(OR($K347=0,IF(profit_kind="points",ABS($K347),ABS($K347*$H347))&lt;profit_line*(1-1E-9)),"in line",IF(AND(ISNUMBER($L347),$L347&lt;significance_bar),IF($K347&lt;0,"worse","better"),IF($K347&lt;0,"worse, not significant","better, not significant")))))</f>
        <v/>
      </c>
      <c r="X347">
        <f>IF($M347="","",IF(profit_kind="test",IF(OR(NOT(AND(ISNUMBER($N347),$N347&lt;significance_bar)),$M347=0),"in line",IF($M347&lt;0,"worse","better")),IF(OR($M347=0,IF(profit_kind="points",ABS($M347),ABS($M347*$H347))&lt;profit_line*(1-1E-9)),"in line",IF(AND(ISNUMBER($N347),$N347&lt;significance_bar),IF($M347&lt;0,"worse","better"),IF($M347&lt;0,"worse, not significant","better, not significant")))))</f>
        <v/>
      </c>
      <c r="Y347">
        <f>IF($V347,$X347,$W347)</f>
        <v/>
      </c>
      <c r="Z347">
        <f>IF($V347,IF($P347="","",$P347),IF($O347="","",$O347))</f>
        <v/>
      </c>
      <c r="AA347">
        <f>IF(OR($Q347="",$Z347=""),"",IF(AND($Z347&gt;0,$Z347&gt;=$Q347),"yes","below the line"))</f>
        <v/>
      </c>
      <c r="AB347">
        <f>IF($V347,IF($M347="","",$M347),IF($K347="","",$K347))</f>
        <v/>
      </c>
      <c r="AC347">
        <f>IF($V347,IF($N347="","",$N347),IF($L347="","",$L347))</f>
        <v/>
      </c>
      <c r="AD347">
        <f>IF($Y347="","",IF($Y347="in line",IF(profit_kind="test",IF(ROUND($AB347*100,2)=0,"0.00",TEXT($AB347*100,"+0.00;-0.00"))&amp;" points against "&amp;IF($V347,"its band","the book")&amp;", "&amp;IF($AC347="","not tested","not significant"),IF(profit_kind="points","within "&amp;TEXT(profit_line*100,"0.00")&amp;" points of "&amp;IF($V347,"its band","the book")&amp;" ("&amp;IF(ROUND($AB347*100,2)=0,"0.00",TEXT($AB347*100,"+0.00;-0.00"))&amp;")","within $"&amp;TEXT(profit_line,"#,##0")&amp;" of "&amp;IF($V347,"its band","the book")&amp;" ("&amp;IF(ROUND($AB347*100,2)=0,"0.00",TEXT($AB347*100,"+0.00;-0.00"))&amp;" points)")),IF(LEFT($Y347,5)="worse","short of ","ahead of ")&amp;IF($V347,"its band","the book")&amp;" by "&amp;TEXT(ABS($AB347)*100,"0.00")&amp;" points"&amp;IF($Z347="",""," ($"&amp;TEXT(ABS($Z347),"#,##0")&amp;")")&amp;IF(RIGHT($Y347,15)="not significant"," (not significant)","")))</f>
        <v/>
      </c>
      <c r="AE347">
        <f>IF($V347,IF($S347="","",$S347),IF($R347="","",$R347))</f>
        <v/>
      </c>
      <c r="AF347">
        <f>IF($V347,IF($U347="","",$U347),IF($T347="","",$T347))</f>
        <v/>
      </c>
      <c r="AG347">
        <f>IF($V347,IF($O347="","",$O347),IF($P347="","",$P347))</f>
        <v/>
      </c>
      <c r="AH347" t="n">
        <v>0.1108767580785904</v>
      </c>
      <c r="AI347">
        <f>IF($Y347="worse","Yes",IF($Y347="worse, not significant","Not sure",IF(OR($Y347="too few losses to test",$Y347="too few loans to test"),"Too few losses",IF($Y347="","","No"))))</f>
        <v/>
      </c>
      <c r="AJ347">
        <f>IF($AA347="yes","Yes",IF($AA347="","","No"))</f>
        <v/>
      </c>
    </row>
    <row r="348">
      <c r="A348" t="inlineStr">
        <is>
          <t>grids</t>
        </is>
      </c>
      <c r="B348" t="inlineStr">
        <is>
          <t>ORIG_BAL x ASSET_CLASS</t>
        </is>
      </c>
      <c r="C348" t="inlineStr">
        <is>
          <t>15,449 - 26,323</t>
        </is>
      </c>
      <c r="D348" t="inlineStr">
        <is>
          <t>4</t>
        </is>
      </c>
      <c r="E348" t="inlineStr">
        <is>
          <t>contribution_rate</t>
        </is>
      </c>
      <c r="F348" t="inlineStr">
        <is>
          <t>Contribution before losses per booked dollar</t>
        </is>
      </c>
      <c r="G348" t="n">
        <v>413</v>
      </c>
      <c r="H348" t="n">
        <v>8693157.310000002</v>
      </c>
      <c r="I348" t="b">
        <v>0</v>
      </c>
      <c r="J348" t="b">
        <v>0</v>
      </c>
      <c r="K348" t="n">
        <v>0.004162574005343034</v>
      </c>
      <c r="L348" t="n">
        <v>0.8649904240345196</v>
      </c>
      <c r="M348" t="n">
        <v>0.001885480575704229</v>
      </c>
      <c r="N348" t="n">
        <v>0.8774678087746781</v>
      </c>
      <c r="O348" t="n">
        <v>-36185.91064296383</v>
      </c>
      <c r="P348" t="n">
        <v>-16390.77924954635</v>
      </c>
      <c r="Q348">
        <f>'_live'!$C$24</f>
        <v/>
      </c>
      <c r="R348" t="inlineStr">
        <is>
          <t>shuffled: 5,419 of 10,000</t>
        </is>
      </c>
      <c r="S348" t="inlineStr">
        <is>
          <t>shuffled: 7,897 of 10,000</t>
        </is>
      </c>
      <c r="T348" t="n">
        <v>0.1694522159011793</v>
      </c>
      <c r="U348" t="n">
        <v>0.1717293093308181</v>
      </c>
      <c r="V348">
        <f>AND(judged_band,NOT($J348))</f>
        <v/>
      </c>
      <c r="W348">
        <f>IF($K348="","",IF(profit_kind="test",IF(OR(NOT(AND(ISNUMBER($L348),$L348&lt;significance_bar)),$K348=0),"in line",IF($K348&lt;0,"worse","better")),IF(OR($K348=0,IF(profit_kind="points",ABS($K348),ABS($K348*$H348))&lt;profit_line*(1-1E-9)),"in line",IF(AND(ISNUMBER($L348),$L348&lt;significance_bar),IF($K348&lt;0,"worse","better"),IF($K348&lt;0,"worse, not significant","better, not significant")))))</f>
        <v/>
      </c>
      <c r="X348">
        <f>IF($M348="","",IF(profit_kind="test",IF(OR(NOT(AND(ISNUMBER($N348),$N348&lt;significance_bar)),$M348=0),"in line",IF($M348&lt;0,"worse","better")),IF(OR($M348=0,IF(profit_kind="points",ABS($M348),ABS($M348*$H348))&lt;profit_line*(1-1E-9)),"in line",IF(AND(ISNUMBER($N348),$N348&lt;significance_bar),IF($M348&lt;0,"worse","better"),IF($M348&lt;0,"worse, not significant","better, not significant")))))</f>
        <v/>
      </c>
      <c r="Y348">
        <f>IF($V348,$X348,$W348)</f>
        <v/>
      </c>
      <c r="Z348">
        <f>IF($V348,IF($P348="","",$P348),IF($O348="","",$O348))</f>
        <v/>
      </c>
      <c r="AA348">
        <f>IF(OR($Q348="",$Z348=""),"",IF(AND($Z348&gt;0,$Z348&gt;=$Q348),"yes","below the line"))</f>
        <v/>
      </c>
      <c r="AB348">
        <f>IF($V348,IF($M348="","",$M348),IF($K348="","",$K348))</f>
        <v/>
      </c>
      <c r="AC348">
        <f>IF($V348,IF($N348="","",$N348),IF($L348="","",$L348))</f>
        <v/>
      </c>
      <c r="AD348">
        <f>IF($Y348="","",IF($Y348="in line",IF(profit_kind="test",IF(ROUND($AB348*100,2)=0,"0.00",TEXT($AB348*100,"+0.00;-0.00"))&amp;" points against "&amp;IF($V348,"its band","the book")&amp;", "&amp;IF($AC348="","not tested","not significant"),IF(profit_kind="points","within "&amp;TEXT(profit_line*100,"0.00")&amp;" points of "&amp;IF($V348,"its band","the book")&amp;" ("&amp;IF(ROUND($AB348*100,2)=0,"0.00",TEXT($AB348*100,"+0.00;-0.00"))&amp;")","within $"&amp;TEXT(profit_line,"#,##0")&amp;" of "&amp;IF($V348,"its band","the book")&amp;" ("&amp;IF(ROUND($AB348*100,2)=0,"0.00",TEXT($AB348*100,"+0.00;-0.00"))&amp;" points)")),IF(LEFT($Y348,5)="worse","short of ","ahead of ")&amp;IF($V348,"its band","the book")&amp;" by "&amp;TEXT(ABS($AB348)*100,"0.00")&amp;" points"&amp;IF($Z348="",""," ($"&amp;TEXT(ABS($Z348),"#,##0")&amp;")")&amp;IF(RIGHT($Y348,15)="not significant"," (not significant)","")))</f>
        <v/>
      </c>
      <c r="AE348">
        <f>IF($V348,IF($S348="","",$S348),IF($R348="","",$R348))</f>
        <v/>
      </c>
      <c r="AF348">
        <f>IF($V348,IF($U348="","",$U348),IF($T348="","",$T348))</f>
        <v/>
      </c>
      <c r="AG348">
        <f>IF($V348,IF($O348="","",$O348),IF($P348="","",$P348))</f>
        <v/>
      </c>
      <c r="AH348" t="n">
        <v>0.1736147899065223</v>
      </c>
      <c r="AI348">
        <f>IF($Y348="worse","Yes",IF($Y348="worse, not significant","Not sure",IF(OR($Y348="too few losses to test",$Y348="too few loans to test"),"Too few losses",IF($Y348="","","No"))))</f>
        <v/>
      </c>
      <c r="AJ348">
        <f>IF($AA348="yes","Yes",IF($AA348="","","No"))</f>
        <v/>
      </c>
    </row>
    <row r="349">
      <c r="A349" t="inlineStr">
        <is>
          <t>grids</t>
        </is>
      </c>
      <c r="B349" t="inlineStr">
        <is>
          <t>ORIG_BAL x ASSET_CLASS</t>
        </is>
      </c>
      <c r="C349" t="inlineStr">
        <is>
          <t>5,005 - 15,448</t>
        </is>
      </c>
      <c r="D349" t="inlineStr">
        <is>
          <t>4</t>
        </is>
      </c>
      <c r="E349" t="inlineStr">
        <is>
          <t>outcome_loans</t>
        </is>
      </c>
      <c r="F349" t="inlineStr">
        <is>
          <t>Outcome, share of loans</t>
        </is>
      </c>
      <c r="G349" t="n">
        <v>425</v>
      </c>
      <c r="H349" t="n">
        <v>425</v>
      </c>
      <c r="I349" t="b">
        <v>0</v>
      </c>
      <c r="J349" t="b">
        <v>0</v>
      </c>
      <c r="K349" t="n">
        <v>1.264131894972522</v>
      </c>
      <c r="L349" t="n">
        <v>0.2887256120108982</v>
      </c>
      <c r="M349" t="n">
        <v>1.382352941176471</v>
      </c>
      <c r="N349" t="n">
        <v>0.2194188155313026</v>
      </c>
      <c r="O349" t="n">
        <v>8.566675468708745</v>
      </c>
      <c r="P349" t="n">
        <v>11.3404255319149</v>
      </c>
      <c r="Q349">
        <f>'_live'!$C$20</f>
        <v/>
      </c>
      <c r="R349" t="inlineStr">
        <is>
          <t>z test</t>
        </is>
      </c>
      <c r="S349" t="inlineStr">
        <is>
          <t>z test</t>
        </is>
      </c>
      <c r="T349" t="n">
        <v>0.07631370477950884</v>
      </c>
      <c r="U349" t="n">
        <v>0.06978723404255319</v>
      </c>
      <c r="V349">
        <f>AND(judged_band,NOT($J349))</f>
        <v/>
      </c>
      <c r="W349">
        <f>IF($K349="","",IF($I349,"too few losses to test",IF(AND($K349&gt;better_at,$K349&lt;worse_at),"in line",IF($K349&gt;=worse_at,IF(AND(ISNUMBER($L349),$L349&lt;significance_bar),"worse","worse, not significant"),IF(AND(ISNUMBER($L349),$L349&lt;significance_bar),"better","better, not significant")))))</f>
        <v/>
      </c>
      <c r="X349">
        <f>IF($M349="","",IF($I349,"too few losses to test",IF(AND($M349&gt;better_at,$M349&lt;worse_at),"in line",IF($M349&gt;=worse_at,IF(AND(ISNUMBER($N349),$N349&lt;significance_bar),"worse","worse, not significant"),IF(AND(ISNUMBER($N349),$N349&lt;significance_bar),"better","better, not significant")))))</f>
        <v/>
      </c>
      <c r="Y349">
        <f>IF($V349,$X349,$W349)</f>
        <v/>
      </c>
      <c r="Z349">
        <f>IF($V349,IF($P349="","",$P349),IF($O349="","",$O349))</f>
        <v/>
      </c>
      <c r="AA349">
        <f>IF(OR($Q349="",$Z349=""),"",IF(AND($Z349&gt;0,$Z349&gt;=$Q349),"yes","below the line"))</f>
        <v/>
      </c>
      <c r="AB349">
        <f>IF($V349,IF($M349="","",$M349),IF($K349="","",$K349))</f>
        <v/>
      </c>
      <c r="AC349">
        <f>IF($V349,IF($N349="","",$N349),IF($L349="","",$L349))</f>
        <v/>
      </c>
      <c r="AD349">
        <f>$Y349</f>
        <v/>
      </c>
      <c r="AE349">
        <f>IF($V349,IF($S349="","",$S349),IF($R349="","",$R349))</f>
        <v/>
      </c>
      <c r="AF349">
        <f>IF($V349,IF($U349="","",$U349),IF($T349="","",$T349))</f>
        <v/>
      </c>
      <c r="AG349">
        <f>IF($V349,IF($O349="","",$O349),IF($P349="","",$P349))</f>
        <v/>
      </c>
      <c r="AH349" t="n">
        <v>0.09647058823529411</v>
      </c>
      <c r="AI349">
        <f>IF($Y349="worse","Yes",IF($Y349="worse, not significant","Not sure",IF(OR($Y349="too few losses to test",$Y349="too few loans to test"),"Too few losses",IF($Y349="","","No"))))</f>
        <v/>
      </c>
      <c r="AJ349">
        <f>IF($AA349="yes","Yes",IF($AA349="","","No"))</f>
        <v/>
      </c>
    </row>
    <row r="350">
      <c r="A350" t="inlineStr">
        <is>
          <t>grids</t>
        </is>
      </c>
      <c r="B350" t="inlineStr">
        <is>
          <t>ORIG_BAL x ASSET_CLASS</t>
        </is>
      </c>
      <c r="C350" t="inlineStr">
        <is>
          <t>5,005 - 15,448</t>
        </is>
      </c>
      <c r="D350" t="inlineStr">
        <is>
          <t>4</t>
        </is>
      </c>
      <c r="E350" t="inlineStr">
        <is>
          <t>outcome_booked</t>
        </is>
      </c>
      <c r="F350" t="inlineStr">
        <is>
          <t>Outcome, share of booked dollars</t>
        </is>
      </c>
      <c r="G350" t="n">
        <v>425</v>
      </c>
      <c r="H350" t="n">
        <v>4271237.970000001</v>
      </c>
      <c r="I350" t="b">
        <v>0</v>
      </c>
      <c r="J350" t="b">
        <v>0</v>
      </c>
      <c r="K350" t="n">
        <v>1.344659656358248</v>
      </c>
      <c r="L350" t="n">
        <v>0.2672232776722328</v>
      </c>
      <c r="M350" t="n">
        <v>1.496936474351225</v>
      </c>
      <c r="N350" t="n">
        <v>0.1331866813318668</v>
      </c>
      <c r="O350" t="n">
        <v>109532.4238664531</v>
      </c>
      <c r="P350" t="n">
        <v>141860.7091787534</v>
      </c>
      <c r="Q350">
        <f>'_live'!$C$21</f>
        <v/>
      </c>
      <c r="R350" t="inlineStr">
        <is>
          <t>shuffled: 719 of 10,000</t>
        </is>
      </c>
      <c r="S350" t="inlineStr">
        <is>
          <t>shuffled: 332 of 10,000</t>
        </is>
      </c>
      <c r="T350" t="n">
        <v>0.0744043760534248</v>
      </c>
      <c r="U350" t="n">
        <v>0.06683554342471967</v>
      </c>
      <c r="V350">
        <f>AND(judged_band,NOT($J350))</f>
        <v/>
      </c>
      <c r="W350">
        <f>IF($K350="","",IF($I350,"too few losses to test",IF(AND($K350&gt;better_at,$K350&lt;worse_at),"in line",IF($K350&gt;=worse_at,IF(AND(ISNUMBER($L350),$L350&lt;significance_bar),"worse","worse, not significant"),IF(AND(ISNUMBER($L350),$L350&lt;significance_bar),"better","better, not significant")))))</f>
        <v/>
      </c>
      <c r="X350">
        <f>IF($M350="","",IF($I350,"too few losses to test",IF(AND($M350&gt;better_at,$M350&lt;worse_at),"in line",IF($M350&gt;=worse_at,IF(AND(ISNUMBER($N350),$N350&lt;significance_bar),"worse","worse, not significant"),IF(AND(ISNUMBER($N350),$N350&lt;significance_bar),"better","better, not significant")))))</f>
        <v/>
      </c>
      <c r="Y350">
        <f>IF($V350,$X350,$W350)</f>
        <v/>
      </c>
      <c r="Z350">
        <f>IF($V350,IF($P350="","",$P350),IF($O350="","",$O350))</f>
        <v/>
      </c>
      <c r="AA350">
        <f>IF(OR($Q350="",$Z350=""),"",IF(AND($Z350&gt;0,$Z350&gt;=$Q350),"yes","below the line"))</f>
        <v/>
      </c>
      <c r="AB350">
        <f>IF($V350,IF($M350="","",$M350),IF($K350="","",$K350))</f>
        <v/>
      </c>
      <c r="AC350">
        <f>IF($V350,IF($N350="","",$N350),IF($L350="","",$L350))</f>
        <v/>
      </c>
      <c r="AD350">
        <f>$Y350</f>
        <v/>
      </c>
      <c r="AE350">
        <f>IF($V350,IF($S350="","",$S350),IF($R350="","",$R350))</f>
        <v/>
      </c>
      <c r="AF350">
        <f>IF($V350,IF($U350="","",$U350),IF($T350="","",$T350))</f>
        <v/>
      </c>
      <c r="AG350">
        <f>IF($V350,IF($O350="","",$O350),IF($P350="","",$P350))</f>
        <v/>
      </c>
      <c r="AH350" t="n">
        <v>0.100048562735548</v>
      </c>
      <c r="AI350">
        <f>IF($Y350="worse","Yes",IF($Y350="worse, not significant","Not sure",IF(OR($Y350="too few losses to test",$Y350="too few loans to test"),"Too few losses",IF($Y350="","","No"))))</f>
        <v/>
      </c>
      <c r="AJ350">
        <f>IF($AA350="yes","Yes",IF($AA350="","","No"))</f>
        <v/>
      </c>
    </row>
    <row r="351">
      <c r="A351" t="inlineStr">
        <is>
          <t>grids</t>
        </is>
      </c>
      <c r="B351" t="inlineStr">
        <is>
          <t>ORIG_BAL x ASSET_CLASS</t>
        </is>
      </c>
      <c r="C351" t="inlineStr">
        <is>
          <t>5,005 - 15,448</t>
        </is>
      </c>
      <c r="D351" t="inlineStr">
        <is>
          <t>4</t>
        </is>
      </c>
      <c r="E351" t="inlineStr">
        <is>
          <t>gco_rate</t>
        </is>
      </c>
      <c r="F351" t="inlineStr">
        <is>
          <t>GCO per booked dollar</t>
        </is>
      </c>
      <c r="G351" t="n">
        <v>425</v>
      </c>
      <c r="H351" t="n">
        <v>4271237.970000001</v>
      </c>
      <c r="I351" t="b">
        <v>0</v>
      </c>
      <c r="J351" t="b">
        <v>0</v>
      </c>
      <c r="K351" t="n">
        <v>1.258848414181811</v>
      </c>
      <c r="L351" t="n">
        <v>0.390960903909609</v>
      </c>
      <c r="M351" t="n">
        <v>1.388568780382755</v>
      </c>
      <c r="N351" t="n">
        <v>0.244864402448644</v>
      </c>
      <c r="O351" t="n">
        <v>45802.65795285944</v>
      </c>
      <c r="P351" t="n">
        <v>62333.15612067794</v>
      </c>
      <c r="Q351">
        <f>'_live'!$C$22</f>
        <v/>
      </c>
      <c r="R351" t="inlineStr">
        <is>
          <t>shuffled: 1,954 of 10,000</t>
        </is>
      </c>
      <c r="S351" t="inlineStr">
        <is>
          <t>shuffled: 974 of 10,000</t>
        </is>
      </c>
      <c r="T351" t="n">
        <v>0.0414277554399856</v>
      </c>
      <c r="U351" t="n">
        <v>0.03755756644936411</v>
      </c>
      <c r="V351">
        <f>AND(judged_band,NOT($J351))</f>
        <v/>
      </c>
      <c r="W351">
        <f>IF($K351="","",IF($I351,"too few losses to test",IF(AND($K351&gt;better_at,$K351&lt;worse_at),"in line",IF($K351&gt;=worse_at,IF(AND(ISNUMBER($L351),$L351&lt;significance_bar),"worse","worse, not significant"),IF(AND(ISNUMBER($L351),$L351&lt;significance_bar),"better","better, not significant")))))</f>
        <v/>
      </c>
      <c r="X351">
        <f>IF($M351="","",IF($I351,"too few losses to test",IF(AND($M351&gt;better_at,$M351&lt;worse_at),"in line",IF($M351&gt;=worse_at,IF(AND(ISNUMBER($N351),$N351&lt;significance_bar),"worse","worse, not significant"),IF(AND(ISNUMBER($N351),$N351&lt;significance_bar),"better","better, not significant")))))</f>
        <v/>
      </c>
      <c r="Y351">
        <f>IF($V351,$X351,$W351)</f>
        <v/>
      </c>
      <c r="Z351">
        <f>IF($V351,IF($P351="","",$P351),IF($O351="","",$O351))</f>
        <v/>
      </c>
      <c r="AA351">
        <f>IF(OR($Q351="",$Z351=""),"",IF(AND($Z351&gt;0,$Z351&gt;=$Q351),"yes","below the line"))</f>
        <v/>
      </c>
      <c r="AB351">
        <f>IF($V351,IF($M351="","",$M351),IF($K351="","",$K351))</f>
        <v/>
      </c>
      <c r="AC351">
        <f>IF($V351,IF($N351="","",$N351),IF($L351="","",$L351))</f>
        <v/>
      </c>
      <c r="AD351">
        <f>$Y351</f>
        <v/>
      </c>
      <c r="AE351">
        <f>IF($V351,IF($S351="","",$S351),IF($R351="","",$R351))</f>
        <v/>
      </c>
      <c r="AF351">
        <f>IF($V351,IF($U351="","",$U351),IF($T351="","",$T351))</f>
        <v/>
      </c>
      <c r="AG351">
        <f>IF($V351,IF($O351="","",$O351),IF($P351="","",$P351))</f>
        <v/>
      </c>
      <c r="AH351" t="n">
        <v>0.05215126423873779</v>
      </c>
      <c r="AI351">
        <f>IF($Y351="worse","Yes",IF($Y351="worse, not significant","Not sure",IF(OR($Y351="too few losses to test",$Y351="too few loans to test"),"Too few losses",IF($Y351="","","No"))))</f>
        <v/>
      </c>
      <c r="AJ351">
        <f>IF($AA351="yes","Yes",IF($AA351="","","No"))</f>
        <v/>
      </c>
    </row>
    <row r="352">
      <c r="A352" t="inlineStr">
        <is>
          <t>grids</t>
        </is>
      </c>
      <c r="B352" t="inlineStr">
        <is>
          <t>ORIG_BAL x ASSET_CLASS</t>
        </is>
      </c>
      <c r="C352" t="inlineStr">
        <is>
          <t>5,005 - 15,448</t>
        </is>
      </c>
      <c r="D352" t="inlineStr">
        <is>
          <t>4</t>
        </is>
      </c>
      <c r="E352" t="inlineStr">
        <is>
          <t>ranr_rate</t>
        </is>
      </c>
      <c r="F352" t="inlineStr">
        <is>
          <t>Profit after losses: RANR per booked dollar</t>
        </is>
      </c>
      <c r="G352" t="n">
        <v>425</v>
      </c>
      <c r="H352" t="n">
        <v>4271237.970000001</v>
      </c>
      <c r="I352" t="b">
        <v>0</v>
      </c>
      <c r="J352" t="b">
        <v>0</v>
      </c>
      <c r="K352" t="n">
        <v>0.01155087813529279</v>
      </c>
      <c r="L352" t="n">
        <v>0.6556844315568443</v>
      </c>
      <c r="M352" t="n">
        <v>-0.009947534813859044</v>
      </c>
      <c r="N352" t="n">
        <v>0.6385515294624384</v>
      </c>
      <c r="O352" t="n">
        <v>-49336.54927830538</v>
      </c>
      <c r="P352" t="n">
        <v>42488.28840485169</v>
      </c>
      <c r="Q352">
        <f>'_live'!$C$23</f>
        <v/>
      </c>
      <c r="R352" t="inlineStr">
        <is>
          <t>shuffled: 2,622 of 10,000</t>
        </is>
      </c>
      <c r="S352" t="inlineStr">
        <is>
          <t>shuffled: 3,553 of 10,000</t>
        </is>
      </c>
      <c r="T352" t="n">
        <v>0.1277988734309961</v>
      </c>
      <c r="U352" t="n">
        <v>0.1492972863801479</v>
      </c>
      <c r="V352">
        <f>AND(judged_band,NOT($J352))</f>
        <v/>
      </c>
      <c r="W352">
        <f>IF($K352="","",IF(profit_kind="test",IF(OR(NOT(AND(ISNUMBER($L352),$L352&lt;significance_bar)),$K352=0),"in line",IF($K352&lt;0,"worse","better")),IF(OR($K352=0,IF(profit_kind="points",ABS($K352),ABS($K352*$H352))&lt;profit_line*(1-1E-9)),"in line",IF(AND(ISNUMBER($L352),$L352&lt;significance_bar),IF($K352&lt;0,"worse","better"),IF($K352&lt;0,"worse, not significant","better, not significant")))))</f>
        <v/>
      </c>
      <c r="X352">
        <f>IF($M352="","",IF(profit_kind="test",IF(OR(NOT(AND(ISNUMBER($N352),$N352&lt;significance_bar)),$M352=0),"in line",IF($M352&lt;0,"worse","better")),IF(OR($M352=0,IF(profit_kind="points",ABS($M352),ABS($M352*$H352))&lt;profit_line*(1-1E-9)),"in line",IF(AND(ISNUMBER($N352),$N352&lt;significance_bar),IF($M352&lt;0,"worse","better"),IF($M352&lt;0,"worse, not significant","better, not significant")))))</f>
        <v/>
      </c>
      <c r="Y352">
        <f>IF($V352,$X352,$W352)</f>
        <v/>
      </c>
      <c r="Z352">
        <f>IF($V352,IF($P352="","",$P352),IF($O352="","",$O352))</f>
        <v/>
      </c>
      <c r="AA352">
        <f>IF(OR($Q352="",$Z352=""),"",IF(AND($Z352&gt;0,$Z352&gt;=$Q352),"yes","below the line"))</f>
        <v/>
      </c>
      <c r="AB352">
        <f>IF($V352,IF($M352="","",$M352),IF($K352="","",$K352))</f>
        <v/>
      </c>
      <c r="AC352">
        <f>IF($V352,IF($N352="","",$N352),IF($L352="","",$L352))</f>
        <v/>
      </c>
      <c r="AD352">
        <f>IF($Y352="","",IF($Y352="in line",IF(profit_kind="test",IF(ROUND($AB352*100,2)=0,"0.00",TEXT($AB352*100,"+0.00;-0.00"))&amp;" points against "&amp;IF($V352,"its band","the book")&amp;", "&amp;IF($AC352="","not tested","not significant"),IF(profit_kind="points","within "&amp;TEXT(profit_line*100,"0.00")&amp;" points of "&amp;IF($V352,"its band","the book")&amp;" ("&amp;IF(ROUND($AB352*100,2)=0,"0.00",TEXT($AB352*100,"+0.00;-0.00"))&amp;")","within $"&amp;TEXT(profit_line,"#,##0")&amp;" of "&amp;IF($V352,"its band","the book")&amp;" ("&amp;IF(ROUND($AB352*100,2)=0,"0.00",TEXT($AB352*100,"+0.00;-0.00"))&amp;" points)")),IF(LEFT($Y352,5)="worse","short of ","ahead of ")&amp;IF($V352,"its band","the book")&amp;" by "&amp;TEXT(ABS($AB352)*100,"0.00")&amp;" points"&amp;IF($Z352="",""," ($"&amp;TEXT(ABS($Z352),"#,##0")&amp;")")&amp;IF(RIGHT($Y352,15)="not significant"," (not significant)","")))</f>
        <v/>
      </c>
      <c r="AE352">
        <f>IF($V352,IF($S352="","",$S352),IF($R352="","",$R352))</f>
        <v/>
      </c>
      <c r="AF352">
        <f>IF($V352,IF($U352="","",$U352),IF($T352="","",$T352))</f>
        <v/>
      </c>
      <c r="AG352">
        <f>IF($V352,IF($O352="","",$O352),IF($P352="","",$P352))</f>
        <v/>
      </c>
      <c r="AH352" t="n">
        <v>0.1393497515662889</v>
      </c>
      <c r="AI352">
        <f>IF($Y352="worse","Yes",IF($Y352="worse, not significant","Not sure",IF(OR($Y352="too few losses to test",$Y352="too few loans to test"),"Too few losses",IF($Y352="","","No"))))</f>
        <v/>
      </c>
      <c r="AJ352">
        <f>IF($AA352="yes","Yes",IF($AA352="","","No"))</f>
        <v/>
      </c>
    </row>
    <row r="353">
      <c r="A353" t="inlineStr">
        <is>
          <t>grids</t>
        </is>
      </c>
      <c r="B353" t="inlineStr">
        <is>
          <t>ORIG_BAL x ASSET_CLASS</t>
        </is>
      </c>
      <c r="C353" t="inlineStr">
        <is>
          <t>5,005 - 15,448</t>
        </is>
      </c>
      <c r="D353" t="inlineStr">
        <is>
          <t>4</t>
        </is>
      </c>
      <c r="E353" t="inlineStr">
        <is>
          <t>contribution_rate</t>
        </is>
      </c>
      <c r="F353" t="inlineStr">
        <is>
          <t>Contribution before losses per booked dollar</t>
        </is>
      </c>
      <c r="G353" t="n">
        <v>425</v>
      </c>
      <c r="H353" t="n">
        <v>4271237.970000001</v>
      </c>
      <c r="I353" t="b">
        <v>0</v>
      </c>
      <c r="J353" t="b">
        <v>0</v>
      </c>
      <c r="K353" t="n">
        <v>0.022277324204801</v>
      </c>
      <c r="L353" t="n">
        <v>0.008999100089991</v>
      </c>
      <c r="M353" t="n">
        <v>0.004646162975514678</v>
      </c>
      <c r="N353" t="n">
        <v>0.83638694954034</v>
      </c>
      <c r="O353" t="n">
        <v>-95151.753013546</v>
      </c>
      <c r="P353" t="n">
        <v>-19844.86771582637</v>
      </c>
      <c r="Q353">
        <f>'_live'!$C$24</f>
        <v/>
      </c>
      <c r="R353" t="inlineStr">
        <is>
          <t>shuffled: 8 of 10,000</t>
        </is>
      </c>
      <c r="S353" t="inlineStr">
        <is>
          <t>shuffled: 5,172 of 10,000</t>
        </is>
      </c>
      <c r="T353" t="n">
        <v>0.1692236916002257</v>
      </c>
      <c r="U353" t="n">
        <v>0.186854852829512</v>
      </c>
      <c r="V353">
        <f>AND(judged_band,NOT($J353))</f>
        <v/>
      </c>
      <c r="W353">
        <f>IF($K353="","",IF(profit_kind="test",IF(OR(NOT(AND(ISNUMBER($L353),$L353&lt;significance_bar)),$K353=0),"in line",IF($K353&lt;0,"worse","better")),IF(OR($K353=0,IF(profit_kind="points",ABS($K353),ABS($K353*$H353))&lt;profit_line*(1-1E-9)),"in line",IF(AND(ISNUMBER($L353),$L353&lt;significance_bar),IF($K353&lt;0,"worse","better"),IF($K353&lt;0,"worse, not significant","better, not significant")))))</f>
        <v/>
      </c>
      <c r="X353">
        <f>IF($M353="","",IF(profit_kind="test",IF(OR(NOT(AND(ISNUMBER($N353),$N353&lt;significance_bar)),$M353=0),"in line",IF($M353&lt;0,"worse","better")),IF(OR($M353=0,IF(profit_kind="points",ABS($M353),ABS($M353*$H353))&lt;profit_line*(1-1E-9)),"in line",IF(AND(ISNUMBER($N353),$N353&lt;significance_bar),IF($M353&lt;0,"worse","better"),IF($M353&lt;0,"worse, not significant","better, not significant")))))</f>
        <v/>
      </c>
      <c r="Y353">
        <f>IF($V353,$X353,$W353)</f>
        <v/>
      </c>
      <c r="Z353">
        <f>IF($V353,IF($P353="","",$P353),IF($O353="","",$O353))</f>
        <v/>
      </c>
      <c r="AA353">
        <f>IF(OR($Q353="",$Z353=""),"",IF(AND($Z353&gt;0,$Z353&gt;=$Q353),"yes","below the line"))</f>
        <v/>
      </c>
      <c r="AB353">
        <f>IF($V353,IF($M353="","",$M353),IF($K353="","",$K353))</f>
        <v/>
      </c>
      <c r="AC353">
        <f>IF($V353,IF($N353="","",$N353),IF($L353="","",$L353))</f>
        <v/>
      </c>
      <c r="AD353">
        <f>IF($Y353="","",IF($Y353="in line",IF(profit_kind="test",IF(ROUND($AB353*100,2)=0,"0.00",TEXT($AB353*100,"+0.00;-0.00"))&amp;" points against "&amp;IF($V353,"its band","the book")&amp;", "&amp;IF($AC353="","not tested","not significant"),IF(profit_kind="points","within "&amp;TEXT(profit_line*100,"0.00")&amp;" points of "&amp;IF($V353,"its band","the book")&amp;" ("&amp;IF(ROUND($AB353*100,2)=0,"0.00",TEXT($AB353*100,"+0.00;-0.00"))&amp;")","within $"&amp;TEXT(profit_line,"#,##0")&amp;" of "&amp;IF($V353,"its band","the book")&amp;" ("&amp;IF(ROUND($AB353*100,2)=0,"0.00",TEXT($AB353*100,"+0.00;-0.00"))&amp;" points)")),IF(LEFT($Y353,5)="worse","short of ","ahead of ")&amp;IF($V353,"its band","the book")&amp;" by "&amp;TEXT(ABS($AB353)*100,"0.00")&amp;" points"&amp;IF($Z353="",""," ($"&amp;TEXT(ABS($Z353),"#,##0")&amp;")")&amp;IF(RIGHT($Y353,15)="not significant"," (not significant)","")))</f>
        <v/>
      </c>
      <c r="AE353">
        <f>IF($V353,IF($S353="","",$S353),IF($R353="","",$R353))</f>
        <v/>
      </c>
      <c r="AF353">
        <f>IF($V353,IF($U353="","",$U353),IF($T353="","",$T353))</f>
        <v/>
      </c>
      <c r="AG353">
        <f>IF($V353,IF($O353="","",$O353),IF($P353="","",$P353))</f>
        <v/>
      </c>
      <c r="AH353" t="n">
        <v>0.1915010158050267</v>
      </c>
      <c r="AI353">
        <f>IF($Y353="worse","Yes",IF($Y353="worse, not significant","Not sure",IF(OR($Y353="too few losses to test",$Y353="too few loans to test"),"Too few losses",IF($Y353="","","No"))))</f>
        <v/>
      </c>
      <c r="AJ353">
        <f>IF($AA353="yes","Yes",IF($AA353="","","No"))</f>
        <v/>
      </c>
    </row>
    <row r="354">
      <c r="A354" t="inlineStr">
        <is>
          <t>grids</t>
        </is>
      </c>
      <c r="B354" t="inlineStr">
        <is>
          <t>ORIG_BAL x ASSET_CLASS</t>
        </is>
      </c>
      <c r="C354" t="inlineStr">
        <is>
          <t>5,005 - 15,448</t>
        </is>
      </c>
      <c r="D354" t="inlineStr">
        <is>
          <t>2</t>
        </is>
      </c>
      <c r="E354" t="inlineStr">
        <is>
          <t>outcome_loans</t>
        </is>
      </c>
      <c r="F354" t="inlineStr">
        <is>
          <t>Outcome, share of loans</t>
        </is>
      </c>
      <c r="G354" t="n">
        <v>404</v>
      </c>
      <c r="H354" t="n">
        <v>404</v>
      </c>
      <c r="I354" t="b">
        <v>0</v>
      </c>
      <c r="J354" t="b">
        <v>0</v>
      </c>
      <c r="K354" t="n">
        <v>0.8574098541610918</v>
      </c>
      <c r="L354" t="n">
        <v>0.4811316062286992</v>
      </c>
      <c r="M354" t="n">
        <v>0.8326113861386139</v>
      </c>
      <c r="N354" t="n">
        <v>0.5439599686613713</v>
      </c>
      <c r="O354" t="n">
        <v>-4.490190915075708</v>
      </c>
      <c r="P354" t="n">
        <v>-5.42809364548495</v>
      </c>
      <c r="Q354">
        <f>'_live'!$C$20</f>
        <v/>
      </c>
      <c r="R354" t="inlineStr">
        <is>
          <t>z test</t>
        </is>
      </c>
      <c r="S354" t="inlineStr">
        <is>
          <t>z test</t>
        </is>
      </c>
      <c r="T354" t="n">
        <v>0.07794601711652403</v>
      </c>
      <c r="U354" t="n">
        <v>0.0802675585284281</v>
      </c>
      <c r="V354">
        <f>AND(judged_band,NOT($J354))</f>
        <v/>
      </c>
      <c r="W354">
        <f>IF($K354="","",IF($I354,"too few losses to test",IF(AND($K354&gt;better_at,$K354&lt;worse_at),"in line",IF($K354&gt;=worse_at,IF(AND(ISNUMBER($L354),$L354&lt;significance_bar),"worse","worse, not significant"),IF(AND(ISNUMBER($L354),$L354&lt;significance_bar),"better","better, not significant")))))</f>
        <v/>
      </c>
      <c r="X354">
        <f>IF($M354="","",IF($I354,"too few losses to test",IF(AND($M354&gt;better_at,$M354&lt;worse_at),"in line",IF($M354&gt;=worse_at,IF(AND(ISNUMBER($N354),$N354&lt;significance_bar),"worse","worse, not significant"),IF(AND(ISNUMBER($N354),$N354&lt;significance_bar),"better","better, not significant")))))</f>
        <v/>
      </c>
      <c r="Y354">
        <f>IF($V354,$X354,$W354)</f>
        <v/>
      </c>
      <c r="Z354">
        <f>IF($V354,IF($P354="","",$P354),IF($O354="","",$O354))</f>
        <v/>
      </c>
      <c r="AA354">
        <f>IF(OR($Q354="",$Z354=""),"",IF(AND($Z354&gt;0,$Z354&gt;=$Q354),"yes","below the line"))</f>
        <v/>
      </c>
      <c r="AB354">
        <f>IF($V354,IF($M354="","",$M354),IF($K354="","",$K354))</f>
        <v/>
      </c>
      <c r="AC354">
        <f>IF($V354,IF($N354="","",$N354),IF($L354="","",$L354))</f>
        <v/>
      </c>
      <c r="AD354">
        <f>$Y354</f>
        <v/>
      </c>
      <c r="AE354">
        <f>IF($V354,IF($S354="","",$S354),IF($R354="","",$R354))</f>
        <v/>
      </c>
      <c r="AF354">
        <f>IF($V354,IF($U354="","",$U354),IF($T354="","",$T354))</f>
        <v/>
      </c>
      <c r="AG354">
        <f>IF($V354,IF($O354="","",$O354),IF($P354="","",$P354))</f>
        <v/>
      </c>
      <c r="AH354" t="n">
        <v>0.06683168316831684</v>
      </c>
      <c r="AI354">
        <f>IF($Y354="worse","Yes",IF($Y354="worse, not significant","Not sure",IF(OR($Y354="too few losses to test",$Y354="too few loans to test"),"Too few losses",IF($Y354="","","No"))))</f>
        <v/>
      </c>
      <c r="AJ354">
        <f>IF($AA354="yes","Yes",IF($AA354="","","No"))</f>
        <v/>
      </c>
    </row>
    <row r="355">
      <c r="A355" t="inlineStr">
        <is>
          <t>grids</t>
        </is>
      </c>
      <c r="B355" t="inlineStr">
        <is>
          <t>ORIG_BAL x ASSET_CLASS</t>
        </is>
      </c>
      <c r="C355" t="inlineStr">
        <is>
          <t>5,005 - 15,448</t>
        </is>
      </c>
      <c r="D355" t="inlineStr">
        <is>
          <t>2</t>
        </is>
      </c>
      <c r="E355" t="inlineStr">
        <is>
          <t>outcome_booked</t>
        </is>
      </c>
      <c r="F355" t="inlineStr">
        <is>
          <t>Outcome, share of booked dollars</t>
        </is>
      </c>
      <c r="G355" t="n">
        <v>404</v>
      </c>
      <c r="H355" t="n">
        <v>4165898.810000001</v>
      </c>
      <c r="I355" t="b">
        <v>0</v>
      </c>
      <c r="J355" t="b">
        <v>0</v>
      </c>
      <c r="K355" t="n">
        <v>0.844476368869024</v>
      </c>
      <c r="L355" t="n">
        <v>0.49550600495506</v>
      </c>
      <c r="M355" t="n">
        <v>0.7939162699597196</v>
      </c>
      <c r="N355" t="n">
        <v>0.4479552044795521</v>
      </c>
      <c r="O355" t="n">
        <v>-48603.34190503345</v>
      </c>
      <c r="P355" t="n">
        <v>-68505.62763861776</v>
      </c>
      <c r="Q355">
        <f>'_live'!$C$21</f>
        <v/>
      </c>
      <c r="R355" t="inlineStr">
        <is>
          <t>shuffled: 4,279 of 10,000</t>
        </is>
      </c>
      <c r="S355" t="inlineStr">
        <is>
          <t>shuffled: 3,044 of 10,000</t>
        </is>
      </c>
      <c r="T355" t="n">
        <v>0.07501723065256917</v>
      </c>
      <c r="U355" t="n">
        <v>0.07979465963999681</v>
      </c>
      <c r="V355">
        <f>AND(judged_band,NOT($J355))</f>
        <v/>
      </c>
      <c r="W355">
        <f>IF($K355="","",IF($I355,"too few losses to test",IF(AND($K355&gt;better_at,$K355&lt;worse_at),"in line",IF($K355&gt;=worse_at,IF(AND(ISNUMBER($L355),$L355&lt;significance_bar),"worse","worse, not significant"),IF(AND(ISNUMBER($L355),$L355&lt;significance_bar),"better","better, not significant")))))</f>
        <v/>
      </c>
      <c r="X355">
        <f>IF($M355="","",IF($I355,"too few losses to test",IF(AND($M355&gt;better_at,$M355&lt;worse_at),"in line",IF($M355&gt;=worse_at,IF(AND(ISNUMBER($N355),$N355&lt;significance_bar),"worse","worse, not significant"),IF(AND(ISNUMBER($N355),$N355&lt;significance_bar),"better","better, not significant")))))</f>
        <v/>
      </c>
      <c r="Y355">
        <f>IF($V355,$X355,$W355)</f>
        <v/>
      </c>
      <c r="Z355">
        <f>IF($V355,IF($P355="","",$P355),IF($O355="","",$O355))</f>
        <v/>
      </c>
      <c r="AA355">
        <f>IF(OR($Q355="",$Z355=""),"",IF(AND($Z355&gt;0,$Z355&gt;=$Q355),"yes","below the line"))</f>
        <v/>
      </c>
      <c r="AB355">
        <f>IF($V355,IF($M355="","",$M355),IF($K355="","",$K355))</f>
        <v/>
      </c>
      <c r="AC355">
        <f>IF($V355,IF($N355="","",$N355),IF($L355="","",$L355))</f>
        <v/>
      </c>
      <c r="AD355">
        <f>$Y355</f>
        <v/>
      </c>
      <c r="AE355">
        <f>IF($V355,IF($S355="","",$S355),IF($R355="","",$R355))</f>
        <v/>
      </c>
      <c r="AF355">
        <f>IF($V355,IF($U355="","",$U355),IF($T355="","",$T355))</f>
        <v/>
      </c>
      <c r="AG355">
        <f>IF($V355,IF($O355="","",$O355),IF($P355="","",$P355))</f>
        <v/>
      </c>
      <c r="AH355" t="n">
        <v>0.06335027854409166</v>
      </c>
      <c r="AI355">
        <f>IF($Y355="worse","Yes",IF($Y355="worse, not significant","Not sure",IF(OR($Y355="too few losses to test",$Y355="too few loans to test"),"Too few losses",IF($Y355="","","No"))))</f>
        <v/>
      </c>
      <c r="AJ355">
        <f>IF($AA355="yes","Yes",IF($AA355="","","No"))</f>
        <v/>
      </c>
    </row>
    <row r="356">
      <c r="A356" t="inlineStr">
        <is>
          <t>grids</t>
        </is>
      </c>
      <c r="B356" t="inlineStr">
        <is>
          <t>ORIG_BAL x ASSET_CLASS</t>
        </is>
      </c>
      <c r="C356" t="inlineStr">
        <is>
          <t>5,005 - 15,448</t>
        </is>
      </c>
      <c r="D356" t="inlineStr">
        <is>
          <t>2</t>
        </is>
      </c>
      <c r="E356" t="inlineStr">
        <is>
          <t>gco_rate</t>
        </is>
      </c>
      <c r="F356" t="inlineStr">
        <is>
          <t>GCO per booked dollar</t>
        </is>
      </c>
      <c r="G356" t="n">
        <v>404</v>
      </c>
      <c r="H356" t="n">
        <v>4165898.810000001</v>
      </c>
      <c r="I356" t="b">
        <v>0</v>
      </c>
      <c r="J356" t="b">
        <v>0</v>
      </c>
      <c r="K356" t="n">
        <v>0.8459425913537969</v>
      </c>
      <c r="L356" t="n">
        <v>0.5060605050606051</v>
      </c>
      <c r="M356" t="n">
        <v>0.8109609142062252</v>
      </c>
      <c r="N356" t="n">
        <v>0.5263759338351879</v>
      </c>
      <c r="O356" t="n">
        <v>-26768.3224446403</v>
      </c>
      <c r="P356" t="n">
        <v>-34263.45418607813</v>
      </c>
      <c r="Q356">
        <f>'_live'!$C$22</f>
        <v/>
      </c>
      <c r="R356" t="inlineStr">
        <is>
          <t>shuffled: 4,514 of 10,000</t>
        </is>
      </c>
      <c r="S356" t="inlineStr">
        <is>
          <t>shuffled: 3,684 of 10,000</t>
        </is>
      </c>
      <c r="T356" t="n">
        <v>0.04170900695608597</v>
      </c>
      <c r="U356" t="n">
        <v>0.04350817013389677</v>
      </c>
      <c r="V356">
        <f>AND(judged_band,NOT($J356))</f>
        <v/>
      </c>
      <c r="W356">
        <f>IF($K356="","",IF($I356,"too few losses to test",IF(AND($K356&gt;better_at,$K356&lt;worse_at),"in line",IF($K356&gt;=worse_at,IF(AND(ISNUMBER($L356),$L356&lt;significance_bar),"worse","worse, not significant"),IF(AND(ISNUMBER($L356),$L356&lt;significance_bar),"better","better, not significant")))))</f>
        <v/>
      </c>
      <c r="X356">
        <f>IF($M356="","",IF($I356,"too few losses to test",IF(AND($M356&gt;better_at,$M356&lt;worse_at),"in line",IF($M356&gt;=worse_at,IF(AND(ISNUMBER($N356),$N356&lt;significance_bar),"worse","worse, not significant"),IF(AND(ISNUMBER($N356),$N356&lt;significance_bar),"better","better, not significant")))))</f>
        <v/>
      </c>
      <c r="Y356">
        <f>IF($V356,$X356,$W356)</f>
        <v/>
      </c>
      <c r="Z356">
        <f>IF($V356,IF($P356="","",$P356),IF($O356="","",$O356))</f>
        <v/>
      </c>
      <c r="AA356">
        <f>IF(OR($Q356="",$Z356=""),"",IF(AND($Z356&gt;0,$Z356&gt;=$Q356),"yes","below the line"))</f>
        <v/>
      </c>
      <c r="AB356">
        <f>IF($V356,IF($M356="","",$M356),IF($K356="","",$K356))</f>
        <v/>
      </c>
      <c r="AC356">
        <f>IF($V356,IF($N356="","",$N356),IF($L356="","",$L356))</f>
        <v/>
      </c>
      <c r="AD356">
        <f>$Y356</f>
        <v/>
      </c>
      <c r="AE356">
        <f>IF($V356,IF($S356="","",$S356),IF($R356="","",$R356))</f>
        <v/>
      </c>
      <c r="AF356">
        <f>IF($V356,IF($U356="","",$U356),IF($T356="","",$T356))</f>
        <v/>
      </c>
      <c r="AG356">
        <f>IF($V356,IF($O356="","",$O356),IF($P356="","",$P356))</f>
        <v/>
      </c>
      <c r="AH356" t="n">
        <v>0.03528342542722491</v>
      </c>
      <c r="AI356">
        <f>IF($Y356="worse","Yes",IF($Y356="worse, not significant","Not sure",IF(OR($Y356="too few losses to test",$Y356="too few loans to test"),"Too few losses",IF($Y356="","","No"))))</f>
        <v/>
      </c>
      <c r="AJ356">
        <f>IF($AA356="yes","Yes",IF($AA356="","","No"))</f>
        <v/>
      </c>
    </row>
    <row r="357">
      <c r="A357" t="inlineStr">
        <is>
          <t>grids</t>
        </is>
      </c>
      <c r="B357" t="inlineStr">
        <is>
          <t>ORIG_BAL x ASSET_CLASS</t>
        </is>
      </c>
      <c r="C357" t="inlineStr">
        <is>
          <t>5,005 - 15,448</t>
        </is>
      </c>
      <c r="D357" t="inlineStr">
        <is>
          <t>2</t>
        </is>
      </c>
      <c r="E357" t="inlineStr">
        <is>
          <t>ranr_rate</t>
        </is>
      </c>
      <c r="F357" t="inlineStr">
        <is>
          <t>Profit after losses: RANR per booked dollar</t>
        </is>
      </c>
      <c r="G357" t="n">
        <v>404</v>
      </c>
      <c r="H357" t="n">
        <v>4165898.810000001</v>
      </c>
      <c r="I357" t="b">
        <v>0</v>
      </c>
      <c r="J357" t="b">
        <v>0</v>
      </c>
      <c r="K357" t="n">
        <v>0.01282369325378749</v>
      </c>
      <c r="L357" t="n">
        <v>0.623937606239376</v>
      </c>
      <c r="M357" t="n">
        <v>-0.008169772588459329</v>
      </c>
      <c r="N357" t="n">
        <v>0.6523633350950619</v>
      </c>
      <c r="O357" t="n">
        <v>-53422.20846575836</v>
      </c>
      <c r="P357" t="n">
        <v>34034.44590423326</v>
      </c>
      <c r="Q357">
        <f>'_live'!$C$23</f>
        <v/>
      </c>
      <c r="R357" t="inlineStr">
        <is>
          <t>shuffled: 2,183 of 10,000</t>
        </is>
      </c>
      <c r="S357" t="inlineStr">
        <is>
          <t>shuffled: 4,566 of 10,000</t>
        </is>
      </c>
      <c r="T357" t="n">
        <v>0.1277830417427355</v>
      </c>
      <c r="U357" t="n">
        <v>0.1487765075849823</v>
      </c>
      <c r="V357">
        <f>AND(judged_band,NOT($J357))</f>
        <v/>
      </c>
      <c r="W357">
        <f>IF($K357="","",IF(profit_kind="test",IF(OR(NOT(AND(ISNUMBER($L357),$L357&lt;significance_bar)),$K357=0),"in line",IF($K357&lt;0,"worse","better")),IF(OR($K357=0,IF(profit_kind="points",ABS($K357),ABS($K357*$H357))&lt;profit_line*(1-1E-9)),"in line",IF(AND(ISNUMBER($L357),$L357&lt;significance_bar),IF($K357&lt;0,"worse","better"),IF($K357&lt;0,"worse, not significant","better, not significant")))))</f>
        <v/>
      </c>
      <c r="X357">
        <f>IF($M357="","",IF(profit_kind="test",IF(OR(NOT(AND(ISNUMBER($N357),$N357&lt;significance_bar)),$M357=0),"in line",IF($M357&lt;0,"worse","better")),IF(OR($M357=0,IF(profit_kind="points",ABS($M357),ABS($M357*$H357))&lt;profit_line*(1-1E-9)),"in line",IF(AND(ISNUMBER($N357),$N357&lt;significance_bar),IF($M357&lt;0,"worse","better"),IF($M357&lt;0,"worse, not significant","better, not significant")))))</f>
        <v/>
      </c>
      <c r="Y357">
        <f>IF($V357,$X357,$W357)</f>
        <v/>
      </c>
      <c r="Z357">
        <f>IF($V357,IF($P357="","",$P357),IF($O357="","",$O357))</f>
        <v/>
      </c>
      <c r="AA357">
        <f>IF(OR($Q357="",$Z357=""),"",IF(AND($Z357&gt;0,$Z357&gt;=$Q357),"yes","below the line"))</f>
        <v/>
      </c>
      <c r="AB357">
        <f>IF($V357,IF($M357="","",$M357),IF($K357="","",$K357))</f>
        <v/>
      </c>
      <c r="AC357">
        <f>IF($V357,IF($N357="","",$N357),IF($L357="","",$L357))</f>
        <v/>
      </c>
      <c r="AD357">
        <f>IF($Y357="","",IF($Y357="in line",IF(profit_kind="test",IF(ROUND($AB357*100,2)=0,"0.00",TEXT($AB357*100,"+0.00;-0.00"))&amp;" points against "&amp;IF($V357,"its band","the book")&amp;", "&amp;IF($AC357="","not tested","not significant"),IF(profit_kind="points","within "&amp;TEXT(profit_line*100,"0.00")&amp;" points of "&amp;IF($V357,"its band","the book")&amp;" ("&amp;IF(ROUND($AB357*100,2)=0,"0.00",TEXT($AB357*100,"+0.00;-0.00"))&amp;")","within $"&amp;TEXT(profit_line,"#,##0")&amp;" of "&amp;IF($V357,"its band","the book")&amp;" ("&amp;IF(ROUND($AB357*100,2)=0,"0.00",TEXT($AB357*100,"+0.00;-0.00"))&amp;" points)")),IF(LEFT($Y357,5)="worse","short of ","ahead of ")&amp;IF($V357,"its band","the book")&amp;" by "&amp;TEXT(ABS($AB357)*100,"0.00")&amp;" points"&amp;IF($Z357="",""," ($"&amp;TEXT(ABS($Z357),"#,##0")&amp;")")&amp;IF(RIGHT($Y357,15)="not significant"," (not significant)","")))</f>
        <v/>
      </c>
      <c r="AE357">
        <f>IF($V357,IF($S357="","",$S357),IF($R357="","",$R357))</f>
        <v/>
      </c>
      <c r="AF357">
        <f>IF($V357,IF($U357="","",$U357),IF($T357="","",$T357))</f>
        <v/>
      </c>
      <c r="AG357">
        <f>IF($V357,IF($O357="","",$O357),IF($P357="","",$P357))</f>
        <v/>
      </c>
      <c r="AH357" t="n">
        <v>0.140606734996523</v>
      </c>
      <c r="AI357">
        <f>IF($Y357="worse","Yes",IF($Y357="worse, not significant","Not sure",IF(OR($Y357="too few losses to test",$Y357="too few loans to test"),"Too few losses",IF($Y357="","","No"))))</f>
        <v/>
      </c>
      <c r="AJ357">
        <f>IF($AA357="yes","Yes",IF($AA357="","","No"))</f>
        <v/>
      </c>
    </row>
    <row r="358">
      <c r="A358" t="inlineStr">
        <is>
          <t>grids</t>
        </is>
      </c>
      <c r="B358" t="inlineStr">
        <is>
          <t>ORIG_BAL x ASSET_CLASS</t>
        </is>
      </c>
      <c r="C358" t="inlineStr">
        <is>
          <t>5,005 - 15,448</t>
        </is>
      </c>
      <c r="D358" t="inlineStr">
        <is>
          <t>2</t>
        </is>
      </c>
      <c r="E358" t="inlineStr">
        <is>
          <t>contribution_rate</t>
        </is>
      </c>
      <c r="F358" t="inlineStr">
        <is>
          <t>Contribution before losses per booked dollar</t>
        </is>
      </c>
      <c r="G358" t="n">
        <v>404</v>
      </c>
      <c r="H358" t="n">
        <v>4165898.810000001</v>
      </c>
      <c r="I358" t="b">
        <v>0</v>
      </c>
      <c r="J358" t="b">
        <v>0</v>
      </c>
      <c r="K358" t="n">
        <v>0.006401050251722357</v>
      </c>
      <c r="L358" t="n">
        <v>0.6923307669233076</v>
      </c>
      <c r="M358" t="n">
        <v>-0.01639451729513119</v>
      </c>
      <c r="N358" t="n">
        <v>0.4263573642635736</v>
      </c>
      <c r="O358" t="n">
        <v>-26666.12762640032</v>
      </c>
      <c r="P358" t="n">
        <v>68297.90009031154</v>
      </c>
      <c r="Q358">
        <f>'_live'!$C$24</f>
        <v/>
      </c>
      <c r="R358" t="inlineStr">
        <is>
          <t>shuffled: 3,461 of 10,000</t>
        </is>
      </c>
      <c r="S358" t="inlineStr">
        <is>
          <t>shuffled: 222 of 10,000</t>
        </is>
      </c>
      <c r="T358" t="n">
        <v>0.1694891101720254</v>
      </c>
      <c r="U358" t="n">
        <v>0.192284677718879</v>
      </c>
      <c r="V358">
        <f>AND(judged_band,NOT($J358))</f>
        <v/>
      </c>
      <c r="W358">
        <f>IF($K358="","",IF(profit_kind="test",IF(OR(NOT(AND(ISNUMBER($L358),$L358&lt;significance_bar)),$K358=0),"in line",IF($K358&lt;0,"worse","better")),IF(OR($K358=0,IF(profit_kind="points",ABS($K358),ABS($K358*$H358))&lt;profit_line*(1-1E-9)),"in line",IF(AND(ISNUMBER($L358),$L358&lt;significance_bar),IF($K358&lt;0,"worse","better"),IF($K358&lt;0,"worse, not significant","better, not significant")))))</f>
        <v/>
      </c>
      <c r="X358">
        <f>IF($M358="","",IF(profit_kind="test",IF(OR(NOT(AND(ISNUMBER($N358),$N358&lt;significance_bar)),$M358=0),"in line",IF($M358&lt;0,"worse","better")),IF(OR($M358=0,IF(profit_kind="points",ABS($M358),ABS($M358*$H358))&lt;profit_line*(1-1E-9)),"in line",IF(AND(ISNUMBER($N358),$N358&lt;significance_bar),IF($M358&lt;0,"worse","better"),IF($M358&lt;0,"worse, not significant","better, not significant")))))</f>
        <v/>
      </c>
      <c r="Y358">
        <f>IF($V358,$X358,$W358)</f>
        <v/>
      </c>
      <c r="Z358">
        <f>IF($V358,IF($P358="","",$P358),IF($O358="","",$O358))</f>
        <v/>
      </c>
      <c r="AA358">
        <f>IF(OR($Q358="",$Z358=""),"",IF(AND($Z358&gt;0,$Z358&gt;=$Q358),"yes","below the line"))</f>
        <v/>
      </c>
      <c r="AB358">
        <f>IF($V358,IF($M358="","",$M358),IF($K358="","",$K358))</f>
        <v/>
      </c>
      <c r="AC358">
        <f>IF($V358,IF($N358="","",$N358),IF($L358="","",$L358))</f>
        <v/>
      </c>
      <c r="AD358">
        <f>IF($Y358="","",IF($Y358="in line",IF(profit_kind="test",IF(ROUND($AB358*100,2)=0,"0.00",TEXT($AB358*100,"+0.00;-0.00"))&amp;" points against "&amp;IF($V358,"its band","the book")&amp;", "&amp;IF($AC358="","not tested","not significant"),IF(profit_kind="points","within "&amp;TEXT(profit_line*100,"0.00")&amp;" points of "&amp;IF($V358,"its band","the book")&amp;" ("&amp;IF(ROUND($AB358*100,2)=0,"0.00",TEXT($AB358*100,"+0.00;-0.00"))&amp;")","within $"&amp;TEXT(profit_line,"#,##0")&amp;" of "&amp;IF($V358,"its band","the book")&amp;" ("&amp;IF(ROUND($AB358*100,2)=0,"0.00",TEXT($AB358*100,"+0.00;-0.00"))&amp;" points)")),IF(LEFT($Y358,5)="worse","short of ","ahead of ")&amp;IF($V358,"its band","the book")&amp;" by "&amp;TEXT(ABS($AB358)*100,"0.00")&amp;" points"&amp;IF($Z358="",""," ($"&amp;TEXT(ABS($Z358),"#,##0")&amp;")")&amp;IF(RIGHT($Y358,15)="not significant"," (not significant)","")))</f>
        <v/>
      </c>
      <c r="AE358">
        <f>IF($V358,IF($S358="","",$S358),IF($R358="","",$R358))</f>
        <v/>
      </c>
      <c r="AF358">
        <f>IF($V358,IF($U358="","",$U358),IF($T358="","",$T358))</f>
        <v/>
      </c>
      <c r="AG358">
        <f>IF($V358,IF($O358="","",$O358),IF($P358="","",$P358))</f>
        <v/>
      </c>
      <c r="AH358" t="n">
        <v>0.1758901604237478</v>
      </c>
      <c r="AI358">
        <f>IF($Y358="worse","Yes",IF($Y358="worse, not significant","Not sure",IF(OR($Y358="too few losses to test",$Y358="too few loans to test"),"Too few losses",IF($Y358="","","No"))))</f>
        <v/>
      </c>
      <c r="AJ358">
        <f>IF($AA358="yes","Yes",IF($AA358="","","No"))</f>
        <v/>
      </c>
    </row>
    <row r="359">
      <c r="A359" t="inlineStr">
        <is>
          <t>grids</t>
        </is>
      </c>
      <c r="B359" t="inlineStr">
        <is>
          <t>ORIG_BAL x ASSET_CLASS</t>
        </is>
      </c>
      <c r="C359" t="inlineStr">
        <is>
          <t>49,152 - 59,984</t>
        </is>
      </c>
      <c r="D359" t="inlineStr">
        <is>
          <t>1</t>
        </is>
      </c>
      <c r="E359" t="inlineStr">
        <is>
          <t>outcome_loans</t>
        </is>
      </c>
      <c r="F359" t="inlineStr">
        <is>
          <t>Outcome, share of loans</t>
        </is>
      </c>
      <c r="G359" t="n">
        <v>413</v>
      </c>
      <c r="H359" t="n">
        <v>413</v>
      </c>
      <c r="I359" t="b">
        <v>0</v>
      </c>
      <c r="J359" t="b">
        <v>0</v>
      </c>
      <c r="K359" t="n">
        <v>0.8053440257401731</v>
      </c>
      <c r="L359" t="n">
        <v>0.3252137135481511</v>
      </c>
      <c r="M359" t="n">
        <v>0.970472626646961</v>
      </c>
      <c r="N359" t="n">
        <v>0.938248200981769</v>
      </c>
      <c r="O359" t="n">
        <v>-6.284339572897437</v>
      </c>
      <c r="P359" t="n">
        <v>-0.7910699241786006</v>
      </c>
      <c r="Q359">
        <f>'_live'!$C$20</f>
        <v/>
      </c>
      <c r="R359" t="inlineStr">
        <is>
          <t>z test</t>
        </is>
      </c>
      <c r="S359" t="inlineStr">
        <is>
          <t>z test</t>
        </is>
      </c>
      <c r="T359" t="n">
        <v>0.07817031373582915</v>
      </c>
      <c r="U359" t="n">
        <v>0.06486941870261162</v>
      </c>
      <c r="V359">
        <f>AND(judged_band,NOT($J359))</f>
        <v/>
      </c>
      <c r="W359">
        <f>IF($K359="","",IF($I359,"too few losses to test",IF(AND($K359&gt;better_at,$K359&lt;worse_at),"in line",IF($K359&gt;=worse_at,IF(AND(ISNUMBER($L359),$L359&lt;significance_bar),"worse","worse, not significant"),IF(AND(ISNUMBER($L359),$L359&lt;significance_bar),"better","better, not significant")))))</f>
        <v/>
      </c>
      <c r="X359">
        <f>IF($M359="","",IF($I359,"too few losses to test",IF(AND($M359&gt;better_at,$M359&lt;worse_at),"in line",IF($M359&gt;=worse_at,IF(AND(ISNUMBER($N359),$N359&lt;significance_bar),"worse","worse, not significant"),IF(AND(ISNUMBER($N359),$N359&lt;significance_bar),"better","better, not significant")))))</f>
        <v/>
      </c>
      <c r="Y359">
        <f>IF($V359,$X359,$W359)</f>
        <v/>
      </c>
      <c r="Z359">
        <f>IF($V359,IF($P359="","",$P359),IF($O359="","",$O359))</f>
        <v/>
      </c>
      <c r="AA359">
        <f>IF(OR($Q359="",$Z359=""),"",IF(AND($Z359&gt;0,$Z359&gt;=$Q359),"yes","below the line"))</f>
        <v/>
      </c>
      <c r="AB359">
        <f>IF($V359,IF($M359="","",$M359),IF($K359="","",$K359))</f>
        <v/>
      </c>
      <c r="AC359">
        <f>IF($V359,IF($N359="","",$N359),IF($L359="","",$L359))</f>
        <v/>
      </c>
      <c r="AD359">
        <f>$Y359</f>
        <v/>
      </c>
      <c r="AE359">
        <f>IF($V359,IF($S359="","",$S359),IF($R359="","",$R359))</f>
        <v/>
      </c>
      <c r="AF359">
        <f>IF($V359,IF($U359="","",$U359),IF($T359="","",$T359))</f>
        <v/>
      </c>
      <c r="AG359">
        <f>IF($V359,IF($O359="","",$O359),IF($P359="","",$P359))</f>
        <v/>
      </c>
      <c r="AH359" t="n">
        <v>0.06295399515738499</v>
      </c>
      <c r="AI359">
        <f>IF($Y359="worse","Yes",IF($Y359="worse, not significant","Not sure",IF(OR($Y359="too few losses to test",$Y359="too few loans to test"),"Too few losses",IF($Y359="","","No"))))</f>
        <v/>
      </c>
      <c r="AJ359">
        <f>IF($AA359="yes","Yes",IF($AA359="","","No"))</f>
        <v/>
      </c>
    </row>
    <row r="360">
      <c r="A360" t="inlineStr">
        <is>
          <t>grids</t>
        </is>
      </c>
      <c r="B360" t="inlineStr">
        <is>
          <t>ORIG_BAL x ASSET_CLASS</t>
        </is>
      </c>
      <c r="C360" t="inlineStr">
        <is>
          <t>49,152 - 59,984</t>
        </is>
      </c>
      <c r="D360" t="inlineStr">
        <is>
          <t>1</t>
        </is>
      </c>
      <c r="E360" t="inlineStr">
        <is>
          <t>outcome_booked</t>
        </is>
      </c>
      <c r="F360" t="inlineStr">
        <is>
          <t>Outcome, share of booked dollars</t>
        </is>
      </c>
      <c r="G360" t="n">
        <v>413</v>
      </c>
      <c r="H360" t="n">
        <v>22522466.46999999</v>
      </c>
      <c r="I360" t="b">
        <v>0</v>
      </c>
      <c r="J360" t="b">
        <v>0</v>
      </c>
      <c r="K360" t="n">
        <v>0.8327977401533405</v>
      </c>
      <c r="L360" t="n">
        <v>0.4854514548545146</v>
      </c>
      <c r="M360" t="n">
        <v>0.9691172409974351</v>
      </c>
      <c r="N360" t="n">
        <v>0.9233076692330767</v>
      </c>
      <c r="O360" t="n">
        <v>-285964.5724352894</v>
      </c>
      <c r="P360" t="n">
        <v>-45388.87308109016</v>
      </c>
      <c r="Q360">
        <f>'_live'!$C$21</f>
        <v/>
      </c>
      <c r="R360" t="inlineStr">
        <is>
          <t>shuffled: 3,883 of 10,000</t>
        </is>
      </c>
      <c r="S360" t="inlineStr">
        <is>
          <t>shuffled: 8,789 of 10,000</t>
        </is>
      </c>
      <c r="T360" t="n">
        <v>0.07593712325927553</v>
      </c>
      <c r="U360" t="n">
        <v>0.06525553562434011</v>
      </c>
      <c r="V360">
        <f>AND(judged_band,NOT($J360))</f>
        <v/>
      </c>
      <c r="W360">
        <f>IF($K360="","",IF($I360,"too few losses to test",IF(AND($K360&gt;better_at,$K360&lt;worse_at),"in line",IF($K360&gt;=worse_at,IF(AND(ISNUMBER($L360),$L360&lt;significance_bar),"worse","worse, not significant"),IF(AND(ISNUMBER($L360),$L360&lt;significance_bar),"better","better, not significant")))))</f>
        <v/>
      </c>
      <c r="X360">
        <f>IF($M360="","",IF($I360,"too few losses to test",IF(AND($M360&gt;better_at,$M360&lt;worse_at),"in line",IF($M360&gt;=worse_at,IF(AND(ISNUMBER($N360),$N360&lt;significance_bar),"worse","worse, not significant"),IF(AND(ISNUMBER($N360),$N360&lt;significance_bar),"better","better, not significant")))))</f>
        <v/>
      </c>
      <c r="Y360">
        <f>IF($V360,$X360,$W360)</f>
        <v/>
      </c>
      <c r="Z360">
        <f>IF($V360,IF($P360="","",$P360),IF($O360="","",$O360))</f>
        <v/>
      </c>
      <c r="AA360">
        <f>IF(OR($Q360="",$Z360=""),"",IF(AND($Z360&gt;0,$Z360&gt;=$Q360),"yes","below the line"))</f>
        <v/>
      </c>
      <c r="AB360">
        <f>IF($V360,IF($M360="","",$M360),IF($K360="","",$K360))</f>
        <v/>
      </c>
      <c r="AC360">
        <f>IF($V360,IF($N360="","",$N360),IF($L360="","",$L360))</f>
        <v/>
      </c>
      <c r="AD360">
        <f>$Y360</f>
        <v/>
      </c>
      <c r="AE360">
        <f>IF($V360,IF($S360="","",$S360),IF($R360="","",$R360))</f>
        <v/>
      </c>
      <c r="AF360">
        <f>IF($V360,IF($U360="","",$U360),IF($T360="","",$T360))</f>
        <v/>
      </c>
      <c r="AG360">
        <f>IF($V360,IF($O360="","",$O360),IF($P360="","",$P360))</f>
        <v/>
      </c>
      <c r="AH360" t="n">
        <v>0.06324026464407033</v>
      </c>
      <c r="AI360">
        <f>IF($Y360="worse","Yes",IF($Y360="worse, not significant","Not sure",IF(OR($Y360="too few losses to test",$Y360="too few loans to test"),"Too few losses",IF($Y360="","","No"))))</f>
        <v/>
      </c>
      <c r="AJ360">
        <f>IF($AA360="yes","Yes",IF($AA360="","","No"))</f>
        <v/>
      </c>
    </row>
    <row r="361">
      <c r="A361" t="inlineStr">
        <is>
          <t>grids</t>
        </is>
      </c>
      <c r="B361" t="inlineStr">
        <is>
          <t>ORIG_BAL x ASSET_CLASS</t>
        </is>
      </c>
      <c r="C361" t="inlineStr">
        <is>
          <t>49,152 - 59,984</t>
        </is>
      </c>
      <c r="D361" t="inlineStr">
        <is>
          <t>1</t>
        </is>
      </c>
      <c r="E361" t="inlineStr">
        <is>
          <t>gco_rate</t>
        </is>
      </c>
      <c r="F361" t="inlineStr">
        <is>
          <t>GCO per booked dollar</t>
        </is>
      </c>
      <c r="G361" t="n">
        <v>413</v>
      </c>
      <c r="H361" t="n">
        <v>22522466.46999999</v>
      </c>
      <c r="I361" t="b">
        <v>0</v>
      </c>
      <c r="J361" t="b">
        <v>0</v>
      </c>
      <c r="K361" t="n">
        <v>0.8484745715249863</v>
      </c>
      <c r="L361" t="n">
        <v>0.5060605050606051</v>
      </c>
      <c r="M361" t="n">
        <v>1.008403556060723</v>
      </c>
      <c r="N361" t="n">
        <v>0.9701029897010299</v>
      </c>
      <c r="O361" t="n">
        <v>-143890.5036219762</v>
      </c>
      <c r="P361" t="n">
        <v>6714.507699939189</v>
      </c>
      <c r="Q361">
        <f>'_live'!$C$22</f>
        <v/>
      </c>
      <c r="R361" t="inlineStr">
        <is>
          <t>shuffled: 4,554 of 10,000</t>
        </is>
      </c>
      <c r="S361" t="inlineStr">
        <is>
          <t>shuffled: 9,701 of 10,000</t>
        </is>
      </c>
      <c r="T361" t="n">
        <v>0.04216291829701974</v>
      </c>
      <c r="U361" t="n">
        <v>0.03547603915247659</v>
      </c>
      <c r="V361">
        <f>AND(judged_band,NOT($J361))</f>
        <v/>
      </c>
      <c r="W361">
        <f>IF($K361="","",IF($I361,"too few losses to test",IF(AND($K361&gt;better_at,$K361&lt;worse_at),"in line",IF($K361&gt;=worse_at,IF(AND(ISNUMBER($L361),$L361&lt;significance_bar),"worse","worse, not significant"),IF(AND(ISNUMBER($L361),$L361&lt;significance_bar),"better","better, not significant")))))</f>
        <v/>
      </c>
      <c r="X361">
        <f>IF($M361="","",IF($I361,"too few losses to test",IF(AND($M361&gt;better_at,$M361&lt;worse_at),"in line",IF($M361&gt;=worse_at,IF(AND(ISNUMBER($N361),$N361&lt;significance_bar),"worse","worse, not significant"),IF(AND(ISNUMBER($N361),$N361&lt;significance_bar),"better","better, not significant")))))</f>
        <v/>
      </c>
      <c r="Y361">
        <f>IF($V361,$X361,$W361)</f>
        <v/>
      </c>
      <c r="Z361">
        <f>IF($V361,IF($P361="","",$P361),IF($O361="","",$O361))</f>
        <v/>
      </c>
      <c r="AA361">
        <f>IF(OR($Q361="",$Z361=""),"",IF(AND($Z361&gt;0,$Z361&gt;=$Q361),"yes","below the line"))</f>
        <v/>
      </c>
      <c r="AB361">
        <f>IF($V361,IF($M361="","",$M361),IF($K361="","",$K361))</f>
        <v/>
      </c>
      <c r="AC361">
        <f>IF($V361,IF($N361="","",$N361),IF($L361="","",$L361))</f>
        <v/>
      </c>
      <c r="AD361">
        <f>$Y361</f>
        <v/>
      </c>
      <c r="AE361">
        <f>IF($V361,IF($S361="","",$S361),IF($R361="","",$R361))</f>
        <v/>
      </c>
      <c r="AF361">
        <f>IF($V361,IF($U361="","",$U361),IF($T361="","",$T361))</f>
        <v/>
      </c>
      <c r="AG361">
        <f>IF($V361,IF($O361="","",$O361),IF($P361="","",$P361))</f>
        <v/>
      </c>
      <c r="AH361" t="n">
        <v>0.03577416403630683</v>
      </c>
      <c r="AI361">
        <f>IF($Y361="worse","Yes",IF($Y361="worse, not significant","Not sure",IF(OR($Y361="too few losses to test",$Y361="too few loans to test"),"Too few losses",IF($Y361="","","No"))))</f>
        <v/>
      </c>
      <c r="AJ361">
        <f>IF($AA361="yes","Yes",IF($AA361="","","No"))</f>
        <v/>
      </c>
    </row>
    <row r="362">
      <c r="A362" t="inlineStr">
        <is>
          <t>grids</t>
        </is>
      </c>
      <c r="B362" t="inlineStr">
        <is>
          <t>ORIG_BAL x ASSET_CLASS</t>
        </is>
      </c>
      <c r="C362" t="inlineStr">
        <is>
          <t>49,152 - 59,984</t>
        </is>
      </c>
      <c r="D362" t="inlineStr">
        <is>
          <t>1</t>
        </is>
      </c>
      <c r="E362" t="inlineStr">
        <is>
          <t>ranr_rate</t>
        </is>
      </c>
      <c r="F362" t="inlineStr">
        <is>
          <t>Profit after losses: RANR per booked dollar</t>
        </is>
      </c>
      <c r="G362" t="n">
        <v>413</v>
      </c>
      <c r="H362" t="n">
        <v>22522466.46999999</v>
      </c>
      <c r="I362" t="b">
        <v>0</v>
      </c>
      <c r="J362" t="b">
        <v>0</v>
      </c>
      <c r="K362" t="n">
        <v>0.01029169716552472</v>
      </c>
      <c r="L362" t="n">
        <v>0.6965970069659699</v>
      </c>
      <c r="M362" t="n">
        <v>0.009377250365397799</v>
      </c>
      <c r="N362" t="n">
        <v>0.6385515294624384</v>
      </c>
      <c r="O362" t="n">
        <v>-231794.4043299244</v>
      </c>
      <c r="P362" t="n">
        <v>-211198.8069354668</v>
      </c>
      <c r="Q362">
        <f>'_live'!$C$23</f>
        <v/>
      </c>
      <c r="R362" t="inlineStr">
        <is>
          <t>shuffled: 3,243 of 10,000</t>
        </is>
      </c>
      <c r="S362" t="inlineStr">
        <is>
          <t>shuffled: 3,425 of 10,000</t>
        </is>
      </c>
      <c r="T362" t="n">
        <v>0.1270918600093304</v>
      </c>
      <c r="U362" t="n">
        <v>0.1280063068094573</v>
      </c>
      <c r="V362">
        <f>AND(judged_band,NOT($J362))</f>
        <v/>
      </c>
      <c r="W362">
        <f>IF($K362="","",IF(profit_kind="test",IF(OR(NOT(AND(ISNUMBER($L362),$L362&lt;significance_bar)),$K362=0),"in line",IF($K362&lt;0,"worse","better")),IF(OR($K362=0,IF(profit_kind="points",ABS($K362),ABS($K362*$H362))&lt;profit_line*(1-1E-9)),"in line",IF(AND(ISNUMBER($L362),$L362&lt;significance_bar),IF($K362&lt;0,"worse","better"),IF($K362&lt;0,"worse, not significant","better, not significant")))))</f>
        <v/>
      </c>
      <c r="X362">
        <f>IF($M362="","",IF(profit_kind="test",IF(OR(NOT(AND(ISNUMBER($N362),$N362&lt;significance_bar)),$M362=0),"in line",IF($M362&lt;0,"worse","better")),IF(OR($M362=0,IF(profit_kind="points",ABS($M362),ABS($M362*$H362))&lt;profit_line*(1-1E-9)),"in line",IF(AND(ISNUMBER($N362),$N362&lt;significance_bar),IF($M362&lt;0,"worse","better"),IF($M362&lt;0,"worse, not significant","better, not significant")))))</f>
        <v/>
      </c>
      <c r="Y362">
        <f>IF($V362,$X362,$W362)</f>
        <v/>
      </c>
      <c r="Z362">
        <f>IF($V362,IF($P362="","",$P362),IF($O362="","",$O362))</f>
        <v/>
      </c>
      <c r="AA362">
        <f>IF(OR($Q362="",$Z362=""),"",IF(AND($Z362&gt;0,$Z362&gt;=$Q362),"yes","below the line"))</f>
        <v/>
      </c>
      <c r="AB362">
        <f>IF($V362,IF($M362="","",$M362),IF($K362="","",$K362))</f>
        <v/>
      </c>
      <c r="AC362">
        <f>IF($V362,IF($N362="","",$N362),IF($L362="","",$L362))</f>
        <v/>
      </c>
      <c r="AD362">
        <f>IF($Y362="","",IF($Y362="in line",IF(profit_kind="test",IF(ROUND($AB362*100,2)=0,"0.00",TEXT($AB362*100,"+0.00;-0.00"))&amp;" points against "&amp;IF($V362,"its band","the book")&amp;", "&amp;IF($AC362="","not tested","not significant"),IF(profit_kind="points","within "&amp;TEXT(profit_line*100,"0.00")&amp;" points of "&amp;IF($V362,"its band","the book")&amp;" ("&amp;IF(ROUND($AB362*100,2)=0,"0.00",TEXT($AB362*100,"+0.00;-0.00"))&amp;")","within $"&amp;TEXT(profit_line,"#,##0")&amp;" of "&amp;IF($V362,"its band","the book")&amp;" ("&amp;IF(ROUND($AB362*100,2)=0,"0.00",TEXT($AB362*100,"+0.00;-0.00"))&amp;" points)")),IF(LEFT($Y362,5)="worse","short of ","ahead of ")&amp;IF($V362,"its band","the book")&amp;" by "&amp;TEXT(ABS($AB362)*100,"0.00")&amp;" points"&amp;IF($Z362="",""," ($"&amp;TEXT(ABS($Z362),"#,##0")&amp;")")&amp;IF(RIGHT($Y362,15)="not significant"," (not significant)","")))</f>
        <v/>
      </c>
      <c r="AE362">
        <f>IF($V362,IF($S362="","",$S362),IF($R362="","",$R362))</f>
        <v/>
      </c>
      <c r="AF362">
        <f>IF($V362,IF($U362="","",$U362),IF($T362="","",$T362))</f>
        <v/>
      </c>
      <c r="AG362">
        <f>IF($V362,IF($O362="","",$O362),IF($P362="","",$P362))</f>
        <v/>
      </c>
      <c r="AH362" t="n">
        <v>0.1373835571748551</v>
      </c>
      <c r="AI362">
        <f>IF($Y362="worse","Yes",IF($Y362="worse, not significant","Not sure",IF(OR($Y362="too few losses to test",$Y362="too few loans to test"),"Too few losses",IF($Y362="","","No"))))</f>
        <v/>
      </c>
      <c r="AJ362">
        <f>IF($AA362="yes","Yes",IF($AA362="","","No"))</f>
        <v/>
      </c>
    </row>
    <row r="363">
      <c r="A363" t="inlineStr">
        <is>
          <t>grids</t>
        </is>
      </c>
      <c r="B363" t="inlineStr">
        <is>
          <t>ORIG_BAL x ASSET_CLASS</t>
        </is>
      </c>
      <c r="C363" t="inlineStr">
        <is>
          <t>49,152 - 59,984</t>
        </is>
      </c>
      <c r="D363" t="inlineStr">
        <is>
          <t>1</t>
        </is>
      </c>
      <c r="E363" t="inlineStr">
        <is>
          <t>contribution_rate</t>
        </is>
      </c>
      <c r="F363" t="inlineStr">
        <is>
          <t>Contribution before losses per booked dollar</t>
        </is>
      </c>
      <c r="G363" t="n">
        <v>413</v>
      </c>
      <c r="H363" t="n">
        <v>22522466.46999999</v>
      </c>
      <c r="I363" t="b">
        <v>0</v>
      </c>
      <c r="J363" t="b">
        <v>0</v>
      </c>
      <c r="K363" t="n">
        <v>0.003906226944321245</v>
      </c>
      <c r="L363" t="n">
        <v>0.8649904240345196</v>
      </c>
      <c r="M363" t="n">
        <v>0.009675375249228096</v>
      </c>
      <c r="N363" t="n">
        <v>0.4370991472281344</v>
      </c>
      <c r="O363" t="n">
        <v>-87977.86537768552</v>
      </c>
      <c r="P363" t="n">
        <v>-217913.3146354072</v>
      </c>
      <c r="Q363">
        <f>'_live'!$C$24</f>
        <v/>
      </c>
      <c r="R363" t="inlineStr">
        <is>
          <t>shuffled: 5,622 of 10,000</t>
        </is>
      </c>
      <c r="S363" t="inlineStr">
        <is>
          <t>shuffled: 1,529 of 10,000</t>
        </is>
      </c>
      <c r="T363" t="n">
        <v>0.1692514942668407</v>
      </c>
      <c r="U363" t="n">
        <v>0.1634823459619339</v>
      </c>
      <c r="V363">
        <f>AND(judged_band,NOT($J363))</f>
        <v/>
      </c>
      <c r="W363">
        <f>IF($K363="","",IF(profit_kind="test",IF(OR(NOT(AND(ISNUMBER($L363),$L363&lt;significance_bar)),$K363=0),"in line",IF($K363&lt;0,"worse","better")),IF(OR($K363=0,IF(profit_kind="points",ABS($K363),ABS($K363*$H363))&lt;profit_line*(1-1E-9)),"in line",IF(AND(ISNUMBER($L363),$L363&lt;significance_bar),IF($K363&lt;0,"worse","better"),IF($K363&lt;0,"worse, not significant","better, not significant")))))</f>
        <v/>
      </c>
      <c r="X363">
        <f>IF($M363="","",IF(profit_kind="test",IF(OR(NOT(AND(ISNUMBER($N363),$N363&lt;significance_bar)),$M363=0),"in line",IF($M363&lt;0,"worse","better")),IF(OR($M363=0,IF(profit_kind="points",ABS($M363),ABS($M363*$H363))&lt;profit_line*(1-1E-9)),"in line",IF(AND(ISNUMBER($N363),$N363&lt;significance_bar),IF($M363&lt;0,"worse","better"),IF($M363&lt;0,"worse, not significant","better, not significant")))))</f>
        <v/>
      </c>
      <c r="Y363">
        <f>IF($V363,$X363,$W363)</f>
        <v/>
      </c>
      <c r="Z363">
        <f>IF($V363,IF($P363="","",$P363),IF($O363="","",$O363))</f>
        <v/>
      </c>
      <c r="AA363">
        <f>IF(OR($Q363="",$Z363=""),"",IF(AND($Z363&gt;0,$Z363&gt;=$Q363),"yes","below the line"))</f>
        <v/>
      </c>
      <c r="AB363">
        <f>IF($V363,IF($M363="","",$M363),IF($K363="","",$K363))</f>
        <v/>
      </c>
      <c r="AC363">
        <f>IF($V363,IF($N363="","",$N363),IF($L363="","",$L363))</f>
        <v/>
      </c>
      <c r="AD363">
        <f>IF($Y363="","",IF($Y363="in line",IF(profit_kind="test",IF(ROUND($AB363*100,2)=0,"0.00",TEXT($AB363*100,"+0.00;-0.00"))&amp;" points against "&amp;IF($V363,"its band","the book")&amp;", "&amp;IF($AC363="","not tested","not significant"),IF(profit_kind="points","within "&amp;TEXT(profit_line*100,"0.00")&amp;" points of "&amp;IF($V363,"its band","the book")&amp;" ("&amp;IF(ROUND($AB363*100,2)=0,"0.00",TEXT($AB363*100,"+0.00;-0.00"))&amp;")","within $"&amp;TEXT(profit_line,"#,##0")&amp;" of "&amp;IF($V363,"its band","the book")&amp;" ("&amp;IF(ROUND($AB363*100,2)=0,"0.00",TEXT($AB363*100,"+0.00;-0.00"))&amp;" points)")),IF(LEFT($Y363,5)="worse","short of ","ahead of ")&amp;IF($V363,"its band","the book")&amp;" by "&amp;TEXT(ABS($AB363)*100,"0.00")&amp;" points"&amp;IF($Z363="",""," ($"&amp;TEXT(ABS($Z363),"#,##0")&amp;")")&amp;IF(RIGHT($Y363,15)="not significant"," (not significant)","")))</f>
        <v/>
      </c>
      <c r="AE363">
        <f>IF($V363,IF($S363="","",$S363),IF($R363="","",$R363))</f>
        <v/>
      </c>
      <c r="AF363">
        <f>IF($V363,IF($U363="","",$U363),IF($T363="","",$T363))</f>
        <v/>
      </c>
      <c r="AG363">
        <f>IF($V363,IF($O363="","",$O363),IF($P363="","",$P363))</f>
        <v/>
      </c>
      <c r="AH363" t="n">
        <v>0.173157721211162</v>
      </c>
      <c r="AI363">
        <f>IF($Y363="worse","Yes",IF($Y363="worse, not significant","Not sure",IF(OR($Y363="too few losses to test",$Y363="too few loans to test"),"Too few losses",IF($Y363="","","No"))))</f>
        <v/>
      </c>
      <c r="AJ363">
        <f>IF($AA363="yes","Yes",IF($AA363="","","No"))</f>
        <v/>
      </c>
    </row>
    <row r="364">
      <c r="A364" t="inlineStr">
        <is>
          <t>grids</t>
        </is>
      </c>
      <c r="B364" t="inlineStr">
        <is>
          <t>ORIG_BAL x ASSET_CLASS</t>
        </is>
      </c>
      <c r="C364" t="inlineStr">
        <is>
          <t>37,951 - 49,151</t>
        </is>
      </c>
      <c r="D364" t="inlineStr">
        <is>
          <t>4</t>
        </is>
      </c>
      <c r="E364" t="inlineStr">
        <is>
          <t>outcome_loans</t>
        </is>
      </c>
      <c r="F364" t="inlineStr">
        <is>
          <t>Outcome, share of loans</t>
        </is>
      </c>
      <c r="G364" t="n">
        <v>414</v>
      </c>
      <c r="H364" t="n">
        <v>414</v>
      </c>
      <c r="I364" t="b">
        <v>0</v>
      </c>
      <c r="J364" t="b">
        <v>0</v>
      </c>
      <c r="K364" t="n">
        <v>1.645042355582772</v>
      </c>
      <c r="L364" t="n">
        <v>0.006824278023129808</v>
      </c>
      <c r="M364" t="n">
        <v>1.760258425004366</v>
      </c>
      <c r="N364" t="n">
        <v>0.01532907800868714</v>
      </c>
      <c r="O364" t="n">
        <v>19.9977587343441</v>
      </c>
      <c r="P364" t="n">
        <v>22.02698145025295</v>
      </c>
      <c r="Q364">
        <f>'_live'!$C$20</f>
        <v/>
      </c>
      <c r="R364" t="inlineStr">
        <is>
          <t>z test</t>
        </is>
      </c>
      <c r="S364" t="inlineStr">
        <is>
          <t>z test</t>
        </is>
      </c>
      <c r="T364" t="n">
        <v>0.07488464073829927</v>
      </c>
      <c r="U364" t="n">
        <v>0.0699831365935919</v>
      </c>
      <c r="V364">
        <f>AND(judged_band,NOT($J364))</f>
        <v/>
      </c>
      <c r="W364">
        <f>IF($K364="","",IF($I364,"too few losses to test",IF(AND($K364&gt;better_at,$K364&lt;worse_at),"in line",IF($K364&gt;=worse_at,IF(AND(ISNUMBER($L364),$L364&lt;significance_bar),"worse","worse, not significant"),IF(AND(ISNUMBER($L364),$L364&lt;significance_bar),"better","better, not significant")))))</f>
        <v/>
      </c>
      <c r="X364">
        <f>IF($M364="","",IF($I364,"too few losses to test",IF(AND($M364&gt;better_at,$M364&lt;worse_at),"in line",IF($M364&gt;=worse_at,IF(AND(ISNUMBER($N364),$N364&lt;significance_bar),"worse","worse, not significant"),IF(AND(ISNUMBER($N364),$N364&lt;significance_bar),"better","better, not significant")))))</f>
        <v/>
      </c>
      <c r="Y364">
        <f>IF($V364,$X364,$W364)</f>
        <v/>
      </c>
      <c r="Z364">
        <f>IF($V364,IF($P364="","",$P364),IF($O364="","",$O364))</f>
        <v/>
      </c>
      <c r="AA364">
        <f>IF(OR($Q364="",$Z364=""),"",IF(AND($Z364&gt;0,$Z364&gt;=$Q364),"yes","below the line"))</f>
        <v/>
      </c>
      <c r="AB364">
        <f>IF($V364,IF($M364="","",$M364),IF($K364="","",$K364))</f>
        <v/>
      </c>
      <c r="AC364">
        <f>IF($V364,IF($N364="","",$N364),IF($L364="","",$L364))</f>
        <v/>
      </c>
      <c r="AD364">
        <f>$Y364</f>
        <v/>
      </c>
      <c r="AE364">
        <f>IF($V364,IF($S364="","",$S364),IF($R364="","",$R364))</f>
        <v/>
      </c>
      <c r="AF364">
        <f>IF($V364,IF($U364="","",$U364),IF($T364="","",$T364))</f>
        <v/>
      </c>
      <c r="AG364">
        <f>IF($V364,IF($O364="","",$O364),IF($P364="","",$P364))</f>
        <v/>
      </c>
      <c r="AH364" t="n">
        <v>0.1231884057971015</v>
      </c>
      <c r="AI364">
        <f>IF($Y364="worse","Yes",IF($Y364="worse, not significant","Not sure",IF(OR($Y364="too few losses to test",$Y364="too few loans to test"),"Too few losses",IF($Y364="","","No"))))</f>
        <v/>
      </c>
      <c r="AJ364">
        <f>IF($AA364="yes","Yes",IF($AA364="","","No"))</f>
        <v/>
      </c>
    </row>
    <row r="365">
      <c r="A365" t="inlineStr">
        <is>
          <t>grids</t>
        </is>
      </c>
      <c r="B365" t="inlineStr">
        <is>
          <t>ORIG_BAL x ASSET_CLASS</t>
        </is>
      </c>
      <c r="C365" t="inlineStr">
        <is>
          <t>37,951 - 49,151</t>
        </is>
      </c>
      <c r="D365" t="inlineStr">
        <is>
          <t>4</t>
        </is>
      </c>
      <c r="E365" t="inlineStr">
        <is>
          <t>outcome_booked</t>
        </is>
      </c>
      <c r="F365" t="inlineStr">
        <is>
          <t>Outcome, share of booked dollars</t>
        </is>
      </c>
      <c r="G365" t="n">
        <v>414</v>
      </c>
      <c r="H365" t="n">
        <v>18065304.83999999</v>
      </c>
      <c r="I365" t="b">
        <v>0</v>
      </c>
      <c r="J365" t="b">
        <v>0</v>
      </c>
      <c r="K365" t="n">
        <v>1.718530903666895</v>
      </c>
      <c r="L365" t="n">
        <v>0.007999200079992001</v>
      </c>
      <c r="M365" t="n">
        <v>1.766188562147983</v>
      </c>
      <c r="N365" t="n">
        <v>0.017998200179982</v>
      </c>
      <c r="O365" t="n">
        <v>924792.2030495747</v>
      </c>
      <c r="P365" t="n">
        <v>959521.3679753861</v>
      </c>
      <c r="Q365">
        <f>'_live'!$C$21</f>
        <v/>
      </c>
      <c r="R365" t="inlineStr">
        <is>
          <t>shuffled: 3 of 10,000</t>
        </is>
      </c>
      <c r="S365" t="inlineStr">
        <is>
          <t>shuffled: 8 of 10,000</t>
        </is>
      </c>
      <c r="T365" t="n">
        <v>0.07124483967193472</v>
      </c>
      <c r="U365" t="n">
        <v>0.06932241626234384</v>
      </c>
      <c r="V365">
        <f>AND(judged_band,NOT($J365))</f>
        <v/>
      </c>
      <c r="W365">
        <f>IF($K365="","",IF($I365,"too few losses to test",IF(AND($K365&gt;better_at,$K365&lt;worse_at),"in line",IF($K365&gt;=worse_at,IF(AND(ISNUMBER($L365),$L365&lt;significance_bar),"worse","worse, not significant"),IF(AND(ISNUMBER($L365),$L365&lt;significance_bar),"better","better, not significant")))))</f>
        <v/>
      </c>
      <c r="X365">
        <f>IF($M365="","",IF($I365,"too few losses to test",IF(AND($M365&gt;better_at,$M365&lt;worse_at),"in line",IF($M365&gt;=worse_at,IF(AND(ISNUMBER($N365),$N365&lt;significance_bar),"worse","worse, not significant"),IF(AND(ISNUMBER($N365),$N365&lt;significance_bar),"better","better, not significant")))))</f>
        <v/>
      </c>
      <c r="Y365">
        <f>IF($V365,$X365,$W365)</f>
        <v/>
      </c>
      <c r="Z365">
        <f>IF($V365,IF($P365="","",$P365),IF($O365="","",$O365))</f>
        <v/>
      </c>
      <c r="AA365">
        <f>IF(OR($Q365="",$Z365=""),"",IF(AND($Z365&gt;0,$Z365&gt;=$Q365),"yes","below the line"))</f>
        <v/>
      </c>
      <c r="AB365">
        <f>IF($V365,IF($M365="","",$M365),IF($K365="","",$K365))</f>
        <v/>
      </c>
      <c r="AC365">
        <f>IF($V365,IF($N365="","",$N365),IF($L365="","",$L365))</f>
        <v/>
      </c>
      <c r="AD365">
        <f>$Y365</f>
        <v/>
      </c>
      <c r="AE365">
        <f>IF($V365,IF($S365="","",$S365),IF($R365="","",$R365))</f>
        <v/>
      </c>
      <c r="AF365">
        <f>IF($V365,IF($U365="","",$U365),IF($T365="","",$T365))</f>
        <v/>
      </c>
      <c r="AG365">
        <f>IF($V365,IF($O365="","",$O365),IF($P365="","",$P365))</f>
        <v/>
      </c>
      <c r="AH365" t="n">
        <v>0.122436458703013</v>
      </c>
      <c r="AI365">
        <f>IF($Y365="worse","Yes",IF($Y365="worse, not significant","Not sure",IF(OR($Y365="too few losses to test",$Y365="too few loans to test"),"Too few losses",IF($Y365="","","No"))))</f>
        <v/>
      </c>
      <c r="AJ365">
        <f>IF($AA365="yes","Yes",IF($AA365="","","No"))</f>
        <v/>
      </c>
    </row>
    <row r="366">
      <c r="A366" t="inlineStr">
        <is>
          <t>grids</t>
        </is>
      </c>
      <c r="B366" t="inlineStr">
        <is>
          <t>ORIG_BAL x ASSET_CLASS</t>
        </is>
      </c>
      <c r="C366" t="inlineStr">
        <is>
          <t>37,951 - 49,151</t>
        </is>
      </c>
      <c r="D366" t="inlineStr">
        <is>
          <t>4</t>
        </is>
      </c>
      <c r="E366" t="inlineStr">
        <is>
          <t>gco_rate</t>
        </is>
      </c>
      <c r="F366" t="inlineStr">
        <is>
          <t>GCO per booked dollar</t>
        </is>
      </c>
      <c r="G366" t="n">
        <v>414</v>
      </c>
      <c r="H366" t="n">
        <v>18065304.83999999</v>
      </c>
      <c r="I366" t="b">
        <v>0</v>
      </c>
      <c r="J366" t="b">
        <v>0</v>
      </c>
      <c r="K366" t="n">
        <v>1.72957618973792</v>
      </c>
      <c r="L366" t="n">
        <v>0.011998800119988</v>
      </c>
      <c r="M366" t="n">
        <v>1.747881588717982</v>
      </c>
      <c r="N366" t="n">
        <v>0.035996400359964</v>
      </c>
      <c r="O366" t="n">
        <v>521709.3483412544</v>
      </c>
      <c r="P366" t="n">
        <v>529198.371232827</v>
      </c>
      <c r="Q366">
        <f>'_live'!$C$22</f>
        <v/>
      </c>
      <c r="R366" t="inlineStr">
        <is>
          <t>shuffled: 5 of 10,000</t>
        </is>
      </c>
      <c r="S366" t="inlineStr">
        <is>
          <t>shuffled: 17 of 10,000</t>
        </is>
      </c>
      <c r="T366" t="n">
        <v>0.03958336147616016</v>
      </c>
      <c r="U366" t="n">
        <v>0.03916880866579239</v>
      </c>
      <c r="V366">
        <f>AND(judged_band,NOT($J366))</f>
        <v/>
      </c>
      <c r="W366">
        <f>IF($K366="","",IF($I366,"too few losses to test",IF(AND($K366&gt;better_at,$K366&lt;worse_at),"in line",IF($K366&gt;=worse_at,IF(AND(ISNUMBER($L366),$L366&lt;significance_bar),"worse","worse, not significant"),IF(AND(ISNUMBER($L366),$L366&lt;significance_bar),"better","better, not significant")))))</f>
        <v/>
      </c>
      <c r="X366">
        <f>IF($M366="","",IF($I366,"too few losses to test",IF(AND($M366&gt;better_at,$M366&lt;worse_at),"in line",IF($M366&gt;=worse_at,IF(AND(ISNUMBER($N366),$N366&lt;significance_bar),"worse","worse, not significant"),IF(AND(ISNUMBER($N366),$N366&lt;significance_bar),"better","better, not significant")))))</f>
        <v/>
      </c>
      <c r="Y366">
        <f>IF($V366,$X366,$W366)</f>
        <v/>
      </c>
      <c r="Z366">
        <f>IF($V366,IF($P366="","",$P366),IF($O366="","",$O366))</f>
        <v/>
      </c>
      <c r="AA366">
        <f>IF(OR($Q366="",$Z366=""),"",IF(AND($Z366&gt;0,$Z366&gt;=$Q366),"yes","below the line"))</f>
        <v/>
      </c>
      <c r="AB366">
        <f>IF($V366,IF($M366="","",$M366),IF($K366="","",$K366))</f>
        <v/>
      </c>
      <c r="AC366">
        <f>IF($V366,IF($N366="","",$N366),IF($L366="","",$L366))</f>
        <v/>
      </c>
      <c r="AD366">
        <f>$Y366</f>
        <v/>
      </c>
      <c r="AE366">
        <f>IF($V366,IF($S366="","",$S366),IF($R366="","",$R366))</f>
        <v/>
      </c>
      <c r="AF366">
        <f>IF($V366,IF($U366="","",$U366),IF($T366="","",$T366))</f>
        <v/>
      </c>
      <c r="AG366">
        <f>IF($V366,IF($O366="","",$O366),IF($P366="","",$P366))</f>
        <v/>
      </c>
      <c r="AH366" t="n">
        <v>0.06846243951895585</v>
      </c>
      <c r="AI366">
        <f>IF($Y366="worse","Yes",IF($Y366="worse, not significant","Not sure",IF(OR($Y366="too few losses to test",$Y366="too few loans to test"),"Too few losses",IF($Y366="","","No"))))</f>
        <v/>
      </c>
      <c r="AJ366">
        <f>IF($AA366="yes","Yes",IF($AA366="","","No"))</f>
        <v/>
      </c>
    </row>
    <row r="367">
      <c r="A367" t="inlineStr">
        <is>
          <t>grids</t>
        </is>
      </c>
      <c r="B367" t="inlineStr">
        <is>
          <t>ORIG_BAL x ASSET_CLASS</t>
        </is>
      </c>
      <c r="C367" t="inlineStr">
        <is>
          <t>37,951 - 49,151</t>
        </is>
      </c>
      <c r="D367" t="inlineStr">
        <is>
          <t>4</t>
        </is>
      </c>
      <c r="E367" t="inlineStr">
        <is>
          <t>ranr_rate</t>
        </is>
      </c>
      <c r="F367" t="inlineStr">
        <is>
          <t>Profit after losses: RANR per booked dollar</t>
        </is>
      </c>
      <c r="G367" t="n">
        <v>414</v>
      </c>
      <c r="H367" t="n">
        <v>18065304.83999999</v>
      </c>
      <c r="I367" t="b">
        <v>0</v>
      </c>
      <c r="J367" t="b">
        <v>0</v>
      </c>
      <c r="K367" t="n">
        <v>-0.02667548904614163</v>
      </c>
      <c r="L367" t="n">
        <v>0.09799020097990202</v>
      </c>
      <c r="M367" t="n">
        <v>-0.02598060757818861</v>
      </c>
      <c r="N367" t="n">
        <v>0.34996500349965</v>
      </c>
      <c r="O367" t="n">
        <v>481900.8413746289</v>
      </c>
      <c r="P367" t="n">
        <v>469347.5958283914</v>
      </c>
      <c r="Q367">
        <f>'_live'!$C$23</f>
        <v/>
      </c>
      <c r="R367" t="inlineStr">
        <is>
          <t>shuffled: 97 of 10,000</t>
        </is>
      </c>
      <c r="S367" t="inlineStr">
        <is>
          <t>shuffled: 174 of 10,000</t>
        </is>
      </c>
      <c r="T367" t="n">
        <v>0.1298573869719781</v>
      </c>
      <c r="U367" t="n">
        <v>0.1291625055040251</v>
      </c>
      <c r="V367">
        <f>AND(judged_band,NOT($J367))</f>
        <v/>
      </c>
      <c r="W367">
        <f>IF($K367="","",IF(profit_kind="test",IF(OR(NOT(AND(ISNUMBER($L367),$L367&lt;significance_bar)),$K367=0),"in line",IF($K367&lt;0,"worse","better")),IF(OR($K367=0,IF(profit_kind="points",ABS($K367),ABS($K367*$H367))&lt;profit_line*(1-1E-9)),"in line",IF(AND(ISNUMBER($L367),$L367&lt;significance_bar),IF($K367&lt;0,"worse","better"),IF($K367&lt;0,"worse, not significant","better, not significant")))))</f>
        <v/>
      </c>
      <c r="X367">
        <f>IF($M367="","",IF(profit_kind="test",IF(OR(NOT(AND(ISNUMBER($N367),$N367&lt;significance_bar)),$M367=0),"in line",IF($M367&lt;0,"worse","better")),IF(OR($M367=0,IF(profit_kind="points",ABS($M367),ABS($M367*$H367))&lt;profit_line*(1-1E-9)),"in line",IF(AND(ISNUMBER($N367),$N367&lt;significance_bar),IF($M367&lt;0,"worse","better"),IF($M367&lt;0,"worse, not significant","better, not significant")))))</f>
        <v/>
      </c>
      <c r="Y367">
        <f>IF($V367,$X367,$W367)</f>
        <v/>
      </c>
      <c r="Z367">
        <f>IF($V367,IF($P367="","",$P367),IF($O367="","",$O367))</f>
        <v/>
      </c>
      <c r="AA367">
        <f>IF(OR($Q367="",$Z367=""),"",IF(AND($Z367&gt;0,$Z367&gt;=$Q367),"yes","below the line"))</f>
        <v/>
      </c>
      <c r="AB367">
        <f>IF($V367,IF($M367="","",$M367),IF($K367="","",$K367))</f>
        <v/>
      </c>
      <c r="AC367">
        <f>IF($V367,IF($N367="","",$N367),IF($L367="","",$L367))</f>
        <v/>
      </c>
      <c r="AD367">
        <f>IF($Y367="","",IF($Y367="in line",IF(profit_kind="test",IF(ROUND($AB367*100,2)=0,"0.00",TEXT($AB367*100,"+0.00;-0.00"))&amp;" points against "&amp;IF($V367,"its band","the book")&amp;", "&amp;IF($AC367="","not tested","not significant"),IF(profit_kind="points","within "&amp;TEXT(profit_line*100,"0.00")&amp;" points of "&amp;IF($V367,"its band","the book")&amp;" ("&amp;IF(ROUND($AB367*100,2)=0,"0.00",TEXT($AB367*100,"+0.00;-0.00"))&amp;")","within $"&amp;TEXT(profit_line,"#,##0")&amp;" of "&amp;IF($V367,"its band","the book")&amp;" ("&amp;IF(ROUND($AB367*100,2)=0,"0.00",TEXT($AB367*100,"+0.00;-0.00"))&amp;" points)")),IF(LEFT($Y367,5)="worse","short of ","ahead of ")&amp;IF($V367,"its band","the book")&amp;" by "&amp;TEXT(ABS($AB367)*100,"0.00")&amp;" points"&amp;IF($Z367="",""," ($"&amp;TEXT(ABS($Z367),"#,##0")&amp;")")&amp;IF(RIGHT($Y367,15)="not significant"," (not significant)","")))</f>
        <v/>
      </c>
      <c r="AE367">
        <f>IF($V367,IF($S367="","",$S367),IF($R367="","",$R367))</f>
        <v/>
      </c>
      <c r="AF367">
        <f>IF($V367,IF($U367="","",$U367),IF($T367="","",$T367))</f>
        <v/>
      </c>
      <c r="AG367">
        <f>IF($V367,IF($O367="","",$O367),IF($P367="","",$P367))</f>
        <v/>
      </c>
      <c r="AH367" t="n">
        <v>0.1031818979258365</v>
      </c>
      <c r="AI367">
        <f>IF($Y367="worse","Yes",IF($Y367="worse, not significant","Not sure",IF(OR($Y367="too few losses to test",$Y367="too few loans to test"),"Too few losses",IF($Y367="","","No"))))</f>
        <v/>
      </c>
      <c r="AJ367">
        <f>IF($AA367="yes","Yes",IF($AA367="","","No"))</f>
        <v/>
      </c>
    </row>
    <row r="368">
      <c r="A368" t="inlineStr">
        <is>
          <t>grids</t>
        </is>
      </c>
      <c r="B368" t="inlineStr">
        <is>
          <t>ORIG_BAL x ASSET_CLASS</t>
        </is>
      </c>
      <c r="C368" t="inlineStr">
        <is>
          <t>37,951 - 49,151</t>
        </is>
      </c>
      <c r="D368" t="inlineStr">
        <is>
          <t>4</t>
        </is>
      </c>
      <c r="E368" t="inlineStr">
        <is>
          <t>contribution_rate</t>
        </is>
      </c>
      <c r="F368" t="inlineStr">
        <is>
          <t>Contribution before losses per booked dollar</t>
        </is>
      </c>
      <c r="G368" t="n">
        <v>414</v>
      </c>
      <c r="H368" t="n">
        <v>18065304.83999999</v>
      </c>
      <c r="I368" t="b">
        <v>0</v>
      </c>
      <c r="J368" t="b">
        <v>0</v>
      </c>
      <c r="K368" t="n">
        <v>0.002206354682837142</v>
      </c>
      <c r="L368" t="n">
        <v>0.9446055394460554</v>
      </c>
      <c r="M368" t="n">
        <v>0.003326421242292349</v>
      </c>
      <c r="N368" t="n">
        <v>0.83638694954034</v>
      </c>
      <c r="O368" t="n">
        <v>-39858.46993061481</v>
      </c>
      <c r="P368" t="n">
        <v>-60092.81376826297</v>
      </c>
      <c r="Q368">
        <f>'_live'!$C$24</f>
        <v/>
      </c>
      <c r="R368" t="inlineStr">
        <is>
          <t>shuffled: 7,419 of 10,000</t>
        </is>
      </c>
      <c r="S368" t="inlineStr">
        <is>
          <t>shuffled: 6,303 of 10,000</t>
        </is>
      </c>
      <c r="T368" t="n">
        <v>0.1694379827619553</v>
      </c>
      <c r="U368" t="n">
        <v>0.1683179162025001</v>
      </c>
      <c r="V368">
        <f>AND(judged_band,NOT($J368))</f>
        <v/>
      </c>
      <c r="W368">
        <f>IF($K368="","",IF(profit_kind="test",IF(OR(NOT(AND(ISNUMBER($L368),$L368&lt;significance_bar)),$K368=0),"in line",IF($K368&lt;0,"worse","better")),IF(OR($K368=0,IF(profit_kind="points",ABS($K368),ABS($K368*$H368))&lt;profit_line*(1-1E-9)),"in line",IF(AND(ISNUMBER($L368),$L368&lt;significance_bar),IF($K368&lt;0,"worse","better"),IF($K368&lt;0,"worse, not significant","better, not significant")))))</f>
        <v/>
      </c>
      <c r="X368">
        <f>IF($M368="","",IF(profit_kind="test",IF(OR(NOT(AND(ISNUMBER($N368),$N368&lt;significance_bar)),$M368=0),"in line",IF($M368&lt;0,"worse","better")),IF(OR($M368=0,IF(profit_kind="points",ABS($M368),ABS($M368*$H368))&lt;profit_line*(1-1E-9)),"in line",IF(AND(ISNUMBER($N368),$N368&lt;significance_bar),IF($M368&lt;0,"worse","better"),IF($M368&lt;0,"worse, not significant","better, not significant")))))</f>
        <v/>
      </c>
      <c r="Y368">
        <f>IF($V368,$X368,$W368)</f>
        <v/>
      </c>
      <c r="Z368">
        <f>IF($V368,IF($P368="","",$P368),IF($O368="","",$O368))</f>
        <v/>
      </c>
      <c r="AA368">
        <f>IF(OR($Q368="",$Z368=""),"",IF(AND($Z368&gt;0,$Z368&gt;=$Q368),"yes","below the line"))</f>
        <v/>
      </c>
      <c r="AB368">
        <f>IF($V368,IF($M368="","",$M368),IF($K368="","",$K368))</f>
        <v/>
      </c>
      <c r="AC368">
        <f>IF($V368,IF($N368="","",$N368),IF($L368="","",$L368))</f>
        <v/>
      </c>
      <c r="AD368">
        <f>IF($Y368="","",IF($Y368="in line",IF(profit_kind="test",IF(ROUND($AB368*100,2)=0,"0.00",TEXT($AB368*100,"+0.00;-0.00"))&amp;" points against "&amp;IF($V368,"its band","the book")&amp;", "&amp;IF($AC368="","not tested","not significant"),IF(profit_kind="points","within "&amp;TEXT(profit_line*100,"0.00")&amp;" points of "&amp;IF($V368,"its band","the book")&amp;" ("&amp;IF(ROUND($AB368*100,2)=0,"0.00",TEXT($AB368*100,"+0.00;-0.00"))&amp;")","within $"&amp;TEXT(profit_line,"#,##0")&amp;" of "&amp;IF($V368,"its band","the book")&amp;" ("&amp;IF(ROUND($AB368*100,2)=0,"0.00",TEXT($AB368*100,"+0.00;-0.00"))&amp;" points)")),IF(LEFT($Y368,5)="worse","short of ","ahead of ")&amp;IF($V368,"its band","the book")&amp;" by "&amp;TEXT(ABS($AB368)*100,"0.00")&amp;" points"&amp;IF($Z368="",""," ($"&amp;TEXT(ABS($Z368),"#,##0")&amp;")")&amp;IF(RIGHT($Y368,15)="not significant"," (not significant)","")))</f>
        <v/>
      </c>
      <c r="AE368">
        <f>IF($V368,IF($S368="","",$S368),IF($R368="","",$R368))</f>
        <v/>
      </c>
      <c r="AF368">
        <f>IF($V368,IF($U368="","",$U368),IF($T368="","",$T368))</f>
        <v/>
      </c>
      <c r="AG368">
        <f>IF($V368,IF($O368="","",$O368),IF($P368="","",$P368))</f>
        <v/>
      </c>
      <c r="AH368" t="n">
        <v>0.1716443374447924</v>
      </c>
      <c r="AI368">
        <f>IF($Y368="worse","Yes",IF($Y368="worse, not significant","Not sure",IF(OR($Y368="too few losses to test",$Y368="too few loans to test"),"Too few losses",IF($Y368="","","No"))))</f>
        <v/>
      </c>
      <c r="AJ368">
        <f>IF($AA368="yes","Yes",IF($AA368="","","No"))</f>
        <v/>
      </c>
    </row>
    <row r="369">
      <c r="A369" t="inlineStr">
        <is>
          <t>grids</t>
        </is>
      </c>
      <c r="B369" t="inlineStr">
        <is>
          <t>ORIG_BAL x ASSET_CLASS</t>
        </is>
      </c>
      <c r="C369" t="inlineStr">
        <is>
          <t>5,005 - 15,448</t>
        </is>
      </c>
      <c r="D369" t="inlineStr">
        <is>
          <t>3</t>
        </is>
      </c>
      <c r="E369" t="inlineStr">
        <is>
          <t>outcome_loans</t>
        </is>
      </c>
      <c r="F369" t="inlineStr">
        <is>
          <t>Outcome, share of loans</t>
        </is>
      </c>
      <c r="G369" t="n">
        <v>354</v>
      </c>
      <c r="H369" t="n">
        <v>354</v>
      </c>
      <c r="I369" t="b">
        <v>0</v>
      </c>
      <c r="J369" t="b">
        <v>0</v>
      </c>
      <c r="K369" t="n">
        <v>1.061500526668582</v>
      </c>
      <c r="L369" t="n">
        <v>0.7438726410028891</v>
      </c>
      <c r="M369" t="n">
        <v>1.085887726890251</v>
      </c>
      <c r="N369" t="n">
        <v>0.8263918843944703</v>
      </c>
      <c r="O369" t="n">
        <v>1.680183126226293</v>
      </c>
      <c r="P369" t="n">
        <v>2.293739967897274</v>
      </c>
      <c r="Q369">
        <f>'_live'!$C$20</f>
        <v/>
      </c>
      <c r="R369" t="inlineStr">
        <is>
          <t>z test</t>
        </is>
      </c>
      <c r="S369" t="inlineStr">
        <is>
          <t>z test</t>
        </is>
      </c>
      <c r="T369" t="n">
        <v>0.07717462393721386</v>
      </c>
      <c r="U369" t="n">
        <v>0.0754414125200642</v>
      </c>
      <c r="V369">
        <f>AND(judged_band,NOT($J369))</f>
        <v/>
      </c>
      <c r="W369">
        <f>IF($K369="","",IF($I369,"too few losses to test",IF(AND($K369&gt;better_at,$K369&lt;worse_at),"in line",IF($K369&gt;=worse_at,IF(AND(ISNUMBER($L369),$L369&lt;significance_bar),"worse","worse, not significant"),IF(AND(ISNUMBER($L369),$L369&lt;significance_bar),"better","better, not significant")))))</f>
        <v/>
      </c>
      <c r="X369">
        <f>IF($M369="","",IF($I369,"too few losses to test",IF(AND($M369&gt;better_at,$M369&lt;worse_at),"in line",IF($M369&gt;=worse_at,IF(AND(ISNUMBER($N369),$N369&lt;significance_bar),"worse","worse, not significant"),IF(AND(ISNUMBER($N369),$N369&lt;significance_bar),"better","better, not significant")))))</f>
        <v/>
      </c>
      <c r="Y369">
        <f>IF($V369,$X369,$W369)</f>
        <v/>
      </c>
      <c r="Z369">
        <f>IF($V369,IF($P369="","",$P369),IF($O369="","",$O369))</f>
        <v/>
      </c>
      <c r="AA369">
        <f>IF(OR($Q369="",$Z369=""),"",IF(AND($Z369&gt;0,$Z369&gt;=$Q369),"yes","below the line"))</f>
        <v/>
      </c>
      <c r="AB369">
        <f>IF($V369,IF($M369="","",$M369),IF($K369="","",$K369))</f>
        <v/>
      </c>
      <c r="AC369">
        <f>IF($V369,IF($N369="","",$N369),IF($L369="","",$L369))</f>
        <v/>
      </c>
      <c r="AD369">
        <f>$Y369</f>
        <v/>
      </c>
      <c r="AE369">
        <f>IF($V369,IF($S369="","",$S369),IF($R369="","",$R369))</f>
        <v/>
      </c>
      <c r="AF369">
        <f>IF($V369,IF($U369="","",$U369),IF($T369="","",$T369))</f>
        <v/>
      </c>
      <c r="AG369">
        <f>IF($V369,IF($O369="","",$O369),IF($P369="","",$P369))</f>
        <v/>
      </c>
      <c r="AH369" t="n">
        <v>0.08192090395480225</v>
      </c>
      <c r="AI369">
        <f>IF($Y369="worse","Yes",IF($Y369="worse, not significant","Not sure",IF(OR($Y369="too few losses to test",$Y369="too few loans to test"),"Too few losses",IF($Y369="","","No"))))</f>
        <v/>
      </c>
      <c r="AJ369">
        <f>IF($AA369="yes","Yes",IF($AA369="","","No"))</f>
        <v/>
      </c>
    </row>
    <row r="370">
      <c r="A370" t="inlineStr">
        <is>
          <t>grids</t>
        </is>
      </c>
      <c r="B370" t="inlineStr">
        <is>
          <t>ORIG_BAL x ASSET_CLASS</t>
        </is>
      </c>
      <c r="C370" t="inlineStr">
        <is>
          <t>5,005 - 15,448</t>
        </is>
      </c>
      <c r="D370" t="inlineStr">
        <is>
          <t>3</t>
        </is>
      </c>
      <c r="E370" t="inlineStr">
        <is>
          <t>outcome_booked</t>
        </is>
      </c>
      <c r="F370" t="inlineStr">
        <is>
          <t>Outcome, share of booked dollars</t>
        </is>
      </c>
      <c r="G370" t="n">
        <v>354</v>
      </c>
      <c r="H370" t="n">
        <v>3545372.239999998</v>
      </c>
      <c r="I370" t="b">
        <v>0</v>
      </c>
      <c r="J370" t="b">
        <v>0</v>
      </c>
      <c r="K370" t="n">
        <v>1.032359744316144</v>
      </c>
      <c r="L370" t="n">
        <v>0.8774122587741224</v>
      </c>
      <c r="M370" t="n">
        <v>1.027958419708674</v>
      </c>
      <c r="N370" t="n">
        <v>0.9233076692330767</v>
      </c>
      <c r="O370" t="n">
        <v>8581.101610477723</v>
      </c>
      <c r="P370" t="n">
        <v>7445.70964940358</v>
      </c>
      <c r="Q370">
        <f>'_live'!$C$21</f>
        <v/>
      </c>
      <c r="R370" t="inlineStr">
        <is>
          <t>shuffled: 8,774 of 10,000</t>
        </is>
      </c>
      <c r="S370" t="inlineStr">
        <is>
          <t>shuffled: 8,987 of 10,000</t>
        </is>
      </c>
      <c r="T370" t="n">
        <v>0.07479561254462871</v>
      </c>
      <c r="U370" t="n">
        <v>0.07511585873719047</v>
      </c>
      <c r="V370">
        <f>AND(judged_band,NOT($J370))</f>
        <v/>
      </c>
      <c r="W370">
        <f>IF($K370="","",IF($I370,"too few losses to test",IF(AND($K370&gt;better_at,$K370&lt;worse_at),"in line",IF($K370&gt;=worse_at,IF(AND(ISNUMBER($L370),$L370&lt;significance_bar),"worse","worse, not significant"),IF(AND(ISNUMBER($L370),$L370&lt;significance_bar),"better","better, not significant")))))</f>
        <v/>
      </c>
      <c r="X370">
        <f>IF($M370="","",IF($I370,"too few losses to test",IF(AND($M370&gt;better_at,$M370&lt;worse_at),"in line",IF($M370&gt;=worse_at,IF(AND(ISNUMBER($N370),$N370&lt;significance_bar),"worse","worse, not significant"),IF(AND(ISNUMBER($N370),$N370&lt;significance_bar),"better","better, not significant")))))</f>
        <v/>
      </c>
      <c r="Y370">
        <f>IF($V370,$X370,$W370)</f>
        <v/>
      </c>
      <c r="Z370">
        <f>IF($V370,IF($P370="","",$P370),IF($O370="","",$O370))</f>
        <v/>
      </c>
      <c r="AA370">
        <f>IF(OR($Q370="",$Z370=""),"",IF(AND($Z370&gt;0,$Z370&gt;=$Q370),"yes","below the line"))</f>
        <v/>
      </c>
      <c r="AB370">
        <f>IF($V370,IF($M370="","",$M370),IF($K370="","",$K370))</f>
        <v/>
      </c>
      <c r="AC370">
        <f>IF($V370,IF($N370="","",$N370),IF($L370="","",$L370))</f>
        <v/>
      </c>
      <c r="AD370">
        <f>$Y370</f>
        <v/>
      </c>
      <c r="AE370">
        <f>IF($V370,IF($S370="","",$S370),IF($R370="","",$R370))</f>
        <v/>
      </c>
      <c r="AF370">
        <f>IF($V370,IF($U370="","",$U370),IF($T370="","",$T370))</f>
        <v/>
      </c>
      <c r="AG370">
        <f>IF($V370,IF($O370="","",$O370),IF($P370="","",$P370))</f>
        <v/>
      </c>
      <c r="AH370" t="n">
        <v>0.0772159794425423</v>
      </c>
      <c r="AI370">
        <f>IF($Y370="worse","Yes",IF($Y370="worse, not significant","Not sure",IF(OR($Y370="too few losses to test",$Y370="too few loans to test"),"Too few losses",IF($Y370="","","No"))))</f>
        <v/>
      </c>
      <c r="AJ370">
        <f>IF($AA370="yes","Yes",IF($AA370="","","No"))</f>
        <v/>
      </c>
    </row>
    <row r="371">
      <c r="A371" t="inlineStr">
        <is>
          <t>grids</t>
        </is>
      </c>
      <c r="B371" t="inlineStr">
        <is>
          <t>ORIG_BAL x ASSET_CLASS</t>
        </is>
      </c>
      <c r="C371" t="inlineStr">
        <is>
          <t>5,005 - 15,448</t>
        </is>
      </c>
      <c r="D371" t="inlineStr">
        <is>
          <t>3</t>
        </is>
      </c>
      <c r="E371" t="inlineStr">
        <is>
          <t>gco_rate</t>
        </is>
      </c>
      <c r="F371" t="inlineStr">
        <is>
          <t>GCO per booked dollar</t>
        </is>
      </c>
      <c r="G371" t="n">
        <v>354</v>
      </c>
      <c r="H371" t="n">
        <v>3545372.239999998</v>
      </c>
      <c r="I371" t="b">
        <v>0</v>
      </c>
      <c r="J371" t="b">
        <v>0</v>
      </c>
      <c r="K371" t="n">
        <v>1.104714176237533</v>
      </c>
      <c r="L371" t="n">
        <v>0.6276372362763724</v>
      </c>
      <c r="M371" t="n">
        <v>1.143382981592577</v>
      </c>
      <c r="N371" t="n">
        <v>0.6796820317968204</v>
      </c>
      <c r="O371" t="n">
        <v>15423.79358372485</v>
      </c>
      <c r="P371" t="n">
        <v>20405.23187947375</v>
      </c>
      <c r="Q371">
        <f>'_live'!$C$22</f>
        <v/>
      </c>
      <c r="R371" t="inlineStr">
        <is>
          <t>shuffled: 6,276 of 10,000</t>
        </is>
      </c>
      <c r="S371" t="inlineStr">
        <is>
          <t>shuffled: 5,437 of 10,000</t>
        </is>
      </c>
      <c r="T371" t="n">
        <v>0.04154548985137742</v>
      </c>
      <c r="U371" t="n">
        <v>0.0401404361761817</v>
      </c>
      <c r="V371">
        <f>AND(judged_band,NOT($J371))</f>
        <v/>
      </c>
      <c r="W371">
        <f>IF($K371="","",IF($I371,"too few losses to test",IF(AND($K371&gt;better_at,$K371&lt;worse_at),"in line",IF($K371&gt;=worse_at,IF(AND(ISNUMBER($L371),$L371&lt;significance_bar),"worse","worse, not significant"),IF(AND(ISNUMBER($L371),$L371&lt;significance_bar),"better","better, not significant")))))</f>
        <v/>
      </c>
      <c r="X371">
        <f>IF($M371="","",IF($I371,"too few losses to test",IF(AND($M371&gt;better_at,$M371&lt;worse_at),"in line",IF($M371&gt;=worse_at,IF(AND(ISNUMBER($N371),$N371&lt;significance_bar),"worse","worse, not significant"),IF(AND(ISNUMBER($N371),$N371&lt;significance_bar),"better","better, not significant")))))</f>
        <v/>
      </c>
      <c r="Y371">
        <f>IF($V371,$X371,$W371)</f>
        <v/>
      </c>
      <c r="Z371">
        <f>IF($V371,IF($P371="","",$P371),IF($O371="","",$O371))</f>
        <v/>
      </c>
      <c r="AA371">
        <f>IF(OR($Q371="",$Z371=""),"",IF(AND($Z371&gt;0,$Z371&gt;=$Q371),"yes","below the line"))</f>
        <v/>
      </c>
      <c r="AB371">
        <f>IF($V371,IF($M371="","",$M371),IF($K371="","",$K371))</f>
        <v/>
      </c>
      <c r="AC371">
        <f>IF($V371,IF($N371="","",$N371),IF($L371="","",$L371))</f>
        <v/>
      </c>
      <c r="AD371">
        <f>$Y371</f>
        <v/>
      </c>
      <c r="AE371">
        <f>IF($V371,IF($S371="","",$S371),IF($R371="","",$R371))</f>
        <v/>
      </c>
      <c r="AF371">
        <f>IF($V371,IF($U371="","",$U371),IF($T371="","",$T371))</f>
        <v/>
      </c>
      <c r="AG371">
        <f>IF($V371,IF($O371="","",$O371),IF($P371="","",$P371))</f>
        <v/>
      </c>
      <c r="AH371" t="n">
        <v>0.04589589159754918</v>
      </c>
      <c r="AI371">
        <f>IF($Y371="worse","Yes",IF($Y371="worse, not significant","Not sure",IF(OR($Y371="too few losses to test",$Y371="too few loans to test"),"Too few losses",IF($Y371="","","No"))))</f>
        <v/>
      </c>
      <c r="AJ371">
        <f>IF($AA371="yes","Yes",IF($AA371="","","No"))</f>
        <v/>
      </c>
    </row>
    <row r="372">
      <c r="A372" t="inlineStr">
        <is>
          <t>grids</t>
        </is>
      </c>
      <c r="B372" t="inlineStr">
        <is>
          <t>ORIG_BAL x ASSET_CLASS</t>
        </is>
      </c>
      <c r="C372" t="inlineStr">
        <is>
          <t>5,005 - 15,448</t>
        </is>
      </c>
      <c r="D372" t="inlineStr">
        <is>
          <t>3</t>
        </is>
      </c>
      <c r="E372" t="inlineStr">
        <is>
          <t>ranr_rate</t>
        </is>
      </c>
      <c r="F372" t="inlineStr">
        <is>
          <t>Profit after losses: RANR per booked dollar</t>
        </is>
      </c>
      <c r="G372" t="n">
        <v>354</v>
      </c>
      <c r="H372" t="n">
        <v>3545372.239999998</v>
      </c>
      <c r="I372" t="b">
        <v>0</v>
      </c>
      <c r="J372" t="b">
        <v>0</v>
      </c>
      <c r="K372" t="n">
        <v>0.01548402055566009</v>
      </c>
      <c r="L372" t="n">
        <v>0.5995400459954005</v>
      </c>
      <c r="M372" t="n">
        <v>-0.004373805091628269</v>
      </c>
      <c r="N372" t="n">
        <v>0.7569769338855588</v>
      </c>
      <c r="O372" t="n">
        <v>-54896.61664162664</v>
      </c>
      <c r="P372" t="n">
        <v>15506.76715502946</v>
      </c>
      <c r="Q372">
        <f>'_live'!$C$23</f>
        <v/>
      </c>
      <c r="R372" t="inlineStr">
        <is>
          <t>shuffled: 1,498 of 10,000</t>
        </is>
      </c>
      <c r="S372" t="inlineStr">
        <is>
          <t>shuffled: 6,976 of 10,000</t>
        </is>
      </c>
      <c r="T372" t="n">
        <v>0.1277773284980574</v>
      </c>
      <c r="U372" t="n">
        <v>0.1476351541453457</v>
      </c>
      <c r="V372">
        <f>AND(judged_band,NOT($J372))</f>
        <v/>
      </c>
      <c r="W372">
        <f>IF($K372="","",IF(profit_kind="test",IF(OR(NOT(AND(ISNUMBER($L372),$L372&lt;significance_bar)),$K372=0),"in line",IF($K372&lt;0,"worse","better")),IF(OR($K372=0,IF(profit_kind="points",ABS($K372),ABS($K372*$H372))&lt;profit_line*(1-1E-9)),"in line",IF(AND(ISNUMBER($L372),$L372&lt;significance_bar),IF($K372&lt;0,"worse","better"),IF($K372&lt;0,"worse, not significant","better, not significant")))))</f>
        <v/>
      </c>
      <c r="X372">
        <f>IF($M372="","",IF(profit_kind="test",IF(OR(NOT(AND(ISNUMBER($N372),$N372&lt;significance_bar)),$M372=0),"in line",IF($M372&lt;0,"worse","better")),IF(OR($M372=0,IF(profit_kind="points",ABS($M372),ABS($M372*$H372))&lt;profit_line*(1-1E-9)),"in line",IF(AND(ISNUMBER($N372),$N372&lt;significance_bar),IF($M372&lt;0,"worse","better"),IF($M372&lt;0,"worse, not significant","better, not significant")))))</f>
        <v/>
      </c>
      <c r="Y372">
        <f>IF($V372,$X372,$W372)</f>
        <v/>
      </c>
      <c r="Z372">
        <f>IF($V372,IF($P372="","",$P372),IF($O372="","",$O372))</f>
        <v/>
      </c>
      <c r="AA372">
        <f>IF(OR($Q372="",$Z372=""),"",IF(AND($Z372&gt;0,$Z372&gt;=$Q372),"yes","below the line"))</f>
        <v/>
      </c>
      <c r="AB372">
        <f>IF($V372,IF($M372="","",$M372),IF($K372="","",$K372))</f>
        <v/>
      </c>
      <c r="AC372">
        <f>IF($V372,IF($N372="","",$N372),IF($L372="","",$L372))</f>
        <v/>
      </c>
      <c r="AD372">
        <f>IF($Y372="","",IF($Y372="in line",IF(profit_kind="test",IF(ROUND($AB372*100,2)=0,"0.00",TEXT($AB372*100,"+0.00;-0.00"))&amp;" points against "&amp;IF($V372,"its band","the book")&amp;", "&amp;IF($AC372="","not tested","not significant"),IF(profit_kind="points","within "&amp;TEXT(profit_line*100,"0.00")&amp;" points of "&amp;IF($V372,"its band","the book")&amp;" ("&amp;IF(ROUND($AB372*100,2)=0,"0.00",TEXT($AB372*100,"+0.00;-0.00"))&amp;")","within $"&amp;TEXT(profit_line,"#,##0")&amp;" of "&amp;IF($V372,"its band","the book")&amp;" ("&amp;IF(ROUND($AB372*100,2)=0,"0.00",TEXT($AB372*100,"+0.00;-0.00"))&amp;" points)")),IF(LEFT($Y372,5)="worse","short of ","ahead of ")&amp;IF($V372,"its band","the book")&amp;" by "&amp;TEXT(ABS($AB372)*100,"0.00")&amp;" points"&amp;IF($Z372="",""," ($"&amp;TEXT(ABS($Z372),"#,##0")&amp;")")&amp;IF(RIGHT($Y372,15)="not significant"," (not significant)","")))</f>
        <v/>
      </c>
      <c r="AE372">
        <f>IF($V372,IF($S372="","",$S372),IF($R372="","",$R372))</f>
        <v/>
      </c>
      <c r="AF372">
        <f>IF($V372,IF($U372="","",$U372),IF($T372="","",$T372))</f>
        <v/>
      </c>
      <c r="AG372">
        <f>IF($V372,IF($O372="","",$O372),IF($P372="","",$P372))</f>
        <v/>
      </c>
      <c r="AH372" t="n">
        <v>0.1432613490537175</v>
      </c>
      <c r="AI372">
        <f>IF($Y372="worse","Yes",IF($Y372="worse, not significant","Not sure",IF(OR($Y372="too few losses to test",$Y372="too few loans to test"),"Too few losses",IF($Y372="","","No"))))</f>
        <v/>
      </c>
      <c r="AJ372">
        <f>IF($AA372="yes","Yes",IF($AA372="","","No"))</f>
        <v/>
      </c>
    </row>
    <row r="373">
      <c r="A373" t="inlineStr">
        <is>
          <t>grids</t>
        </is>
      </c>
      <c r="B373" t="inlineStr">
        <is>
          <t>ORIG_BAL x ASSET_CLASS</t>
        </is>
      </c>
      <c r="C373" t="inlineStr">
        <is>
          <t>5,005 - 15,448</t>
        </is>
      </c>
      <c r="D373" t="inlineStr">
        <is>
          <t>3</t>
        </is>
      </c>
      <c r="E373" t="inlineStr">
        <is>
          <t>contribution_rate</t>
        </is>
      </c>
      <c r="F373" t="inlineStr">
        <is>
          <t>Contribution before losses per booked dollar</t>
        </is>
      </c>
      <c r="G373" t="n">
        <v>354</v>
      </c>
      <c r="H373" t="n">
        <v>3545372.239999998</v>
      </c>
      <c r="I373" t="b">
        <v>0</v>
      </c>
      <c r="J373" t="b">
        <v>0</v>
      </c>
      <c r="K373" t="n">
        <v>0.01983735455432006</v>
      </c>
      <c r="L373" t="n">
        <v>0.042662400426624</v>
      </c>
      <c r="M373" t="n">
        <v>0.00138165032973922</v>
      </c>
      <c r="N373" t="n">
        <v>0.9000152616317316</v>
      </c>
      <c r="O373" t="n">
        <v>-70330.80615192384</v>
      </c>
      <c r="P373" t="n">
        <v>-4898.464724444319</v>
      </c>
      <c r="Q373">
        <f>'_live'!$C$24</f>
        <v/>
      </c>
      <c r="R373" t="inlineStr">
        <is>
          <t>shuffled: 63 of 10,000</t>
        </is>
      </c>
      <c r="S373" t="inlineStr">
        <is>
          <t>shuffled: 8,550 of 10,000</t>
        </is>
      </c>
      <c r="T373" t="n">
        <v>0.1693198860969465</v>
      </c>
      <c r="U373" t="n">
        <v>0.1877755903215274</v>
      </c>
      <c r="V373">
        <f>AND(judged_band,NOT($J373))</f>
        <v/>
      </c>
      <c r="W373">
        <f>IF($K373="","",IF(profit_kind="test",IF(OR(NOT(AND(ISNUMBER($L373),$L373&lt;significance_bar)),$K373=0),"in line",IF($K373&lt;0,"worse","better")),IF(OR($K373=0,IF(profit_kind="points",ABS($K373),ABS($K373*$H373))&lt;profit_line*(1-1E-9)),"in line",IF(AND(ISNUMBER($L373),$L373&lt;significance_bar),IF($K373&lt;0,"worse","better"),IF($K373&lt;0,"worse, not significant","better, not significant")))))</f>
        <v/>
      </c>
      <c r="X373">
        <f>IF($M373="","",IF(profit_kind="test",IF(OR(NOT(AND(ISNUMBER($N373),$N373&lt;significance_bar)),$M373=0),"in line",IF($M373&lt;0,"worse","better")),IF(OR($M373=0,IF(profit_kind="points",ABS($M373),ABS($M373*$H373))&lt;profit_line*(1-1E-9)),"in line",IF(AND(ISNUMBER($N373),$N373&lt;significance_bar),IF($M373&lt;0,"worse","better"),IF($M373&lt;0,"worse, not significant","better, not significant")))))</f>
        <v/>
      </c>
      <c r="Y373">
        <f>IF($V373,$X373,$W373)</f>
        <v/>
      </c>
      <c r="Z373">
        <f>IF($V373,IF($P373="","",$P373),IF($O373="","",$O373))</f>
        <v/>
      </c>
      <c r="AA373">
        <f>IF(OR($Q373="",$Z373=""),"",IF(AND($Z373&gt;0,$Z373&gt;=$Q373),"yes","below the line"))</f>
        <v/>
      </c>
      <c r="AB373">
        <f>IF($V373,IF($M373="","",$M373),IF($K373="","",$K373))</f>
        <v/>
      </c>
      <c r="AC373">
        <f>IF($V373,IF($N373="","",$N373),IF($L373="","",$L373))</f>
        <v/>
      </c>
      <c r="AD373">
        <f>IF($Y373="","",IF($Y373="in line",IF(profit_kind="test",IF(ROUND($AB373*100,2)=0,"0.00",TEXT($AB373*100,"+0.00;-0.00"))&amp;" points against "&amp;IF($V373,"its band","the book")&amp;", "&amp;IF($AC373="","not tested","not significant"),IF(profit_kind="points","within "&amp;TEXT(profit_line*100,"0.00")&amp;" points of "&amp;IF($V373,"its band","the book")&amp;" ("&amp;IF(ROUND($AB373*100,2)=0,"0.00",TEXT($AB373*100,"+0.00;-0.00"))&amp;")","within $"&amp;TEXT(profit_line,"#,##0")&amp;" of "&amp;IF($V373,"its band","the book")&amp;" ("&amp;IF(ROUND($AB373*100,2)=0,"0.00",TEXT($AB373*100,"+0.00;-0.00"))&amp;" points)")),IF(LEFT($Y373,5)="worse","short of ","ahead of ")&amp;IF($V373,"its band","the book")&amp;" by "&amp;TEXT(ABS($AB373)*100,"0.00")&amp;" points"&amp;IF($Z373="",""," ($"&amp;TEXT(ABS($Z373),"#,##0")&amp;")")&amp;IF(RIGHT($Y373,15)="not significant"," (not significant)","")))</f>
        <v/>
      </c>
      <c r="AE373">
        <f>IF($V373,IF($S373="","",$S373),IF($R373="","",$R373))</f>
        <v/>
      </c>
      <c r="AF373">
        <f>IF($V373,IF($U373="","",$U373),IF($T373="","",$T373))</f>
        <v/>
      </c>
      <c r="AG373">
        <f>IF($V373,IF($O373="","",$O373),IF($P373="","",$P373))</f>
        <v/>
      </c>
      <c r="AH373" t="n">
        <v>0.1891572406512666</v>
      </c>
      <c r="AI373">
        <f>IF($Y373="worse","Yes",IF($Y373="worse, not significant","Not sure",IF(OR($Y373="too few losses to test",$Y373="too few loans to test"),"Too few losses",IF($Y373="","","No"))))</f>
        <v/>
      </c>
      <c r="AJ373">
        <f>IF($AA373="yes","Yes",IF($AA373="","","No"))</f>
        <v/>
      </c>
    </row>
    <row r="374">
      <c r="A374" t="inlineStr">
        <is>
          <t>grids</t>
        </is>
      </c>
      <c r="B374" t="inlineStr">
        <is>
          <t>ORIG_BAL x ASSET_CLASS</t>
        </is>
      </c>
      <c r="C374" t="inlineStr">
        <is>
          <t>49,152 - 59,984</t>
        </is>
      </c>
      <c r="D374" t="inlineStr">
        <is>
          <t>3</t>
        </is>
      </c>
      <c r="E374" t="inlineStr">
        <is>
          <t>outcome_loans</t>
        </is>
      </c>
      <c r="F374" t="inlineStr">
        <is>
          <t>Outcome, share of loans</t>
        </is>
      </c>
      <c r="G374" t="n">
        <v>405</v>
      </c>
      <c r="H374" t="n">
        <v>405</v>
      </c>
      <c r="I374" t="b">
        <v>0</v>
      </c>
      <c r="J374" t="b">
        <v>0</v>
      </c>
      <c r="K374" t="n">
        <v>0.6260640161586183</v>
      </c>
      <c r="L374" t="n">
        <v>0.2028322089573954</v>
      </c>
      <c r="M374" t="n">
        <v>0.7109921166146065</v>
      </c>
      <c r="N374" t="n">
        <v>0.3097441652511561</v>
      </c>
      <c r="O374" t="n">
        <v>-11.9456149591783</v>
      </c>
      <c r="P374" t="n">
        <v>-8.129707112970713</v>
      </c>
      <c r="Q374">
        <f>'_live'!$C$20</f>
        <v/>
      </c>
      <c r="R374" t="inlineStr">
        <is>
          <t>z test</t>
        </is>
      </c>
      <c r="S374" t="inlineStr">
        <is>
          <t>z test</t>
        </is>
      </c>
      <c r="T374" t="n">
        <v>0.07887806162760073</v>
      </c>
      <c r="U374" t="n">
        <v>0.0694560669456067</v>
      </c>
      <c r="V374">
        <f>AND(judged_band,NOT($J374))</f>
        <v/>
      </c>
      <c r="W374">
        <f>IF($K374="","",IF($I374,"too few losses to test",IF(AND($K374&gt;better_at,$K374&lt;worse_at),"in line",IF($K374&gt;=worse_at,IF(AND(ISNUMBER($L374),$L374&lt;significance_bar),"worse","worse, not significant"),IF(AND(ISNUMBER($L374),$L374&lt;significance_bar),"better","better, not significant")))))</f>
        <v/>
      </c>
      <c r="X374">
        <f>IF($M374="","",IF($I374,"too few losses to test",IF(AND($M374&gt;better_at,$M374&lt;worse_at),"in line",IF($M374&gt;=worse_at,IF(AND(ISNUMBER($N374),$N374&lt;significance_bar),"worse","worse, not significant"),IF(AND(ISNUMBER($N374),$N374&lt;significance_bar),"better","better, not significant")))))</f>
        <v/>
      </c>
      <c r="Y374">
        <f>IF($V374,$X374,$W374)</f>
        <v/>
      </c>
      <c r="Z374">
        <f>IF($V374,IF($P374="","",$P374),IF($O374="","",$O374))</f>
        <v/>
      </c>
      <c r="AA374">
        <f>IF(OR($Q374="",$Z374=""),"",IF(AND($Z374&gt;0,$Z374&gt;=$Q374),"yes","below the line"))</f>
        <v/>
      </c>
      <c r="AB374">
        <f>IF($V374,IF($M374="","",$M374),IF($K374="","",$K374))</f>
        <v/>
      </c>
      <c r="AC374">
        <f>IF($V374,IF($N374="","",$N374),IF($L374="","",$L374))</f>
        <v/>
      </c>
      <c r="AD374">
        <f>$Y374</f>
        <v/>
      </c>
      <c r="AE374">
        <f>IF($V374,IF($S374="","",$S374),IF($R374="","",$R374))</f>
        <v/>
      </c>
      <c r="AF374">
        <f>IF($V374,IF($U374="","",$U374),IF($T374="","",$T374))</f>
        <v/>
      </c>
      <c r="AG374">
        <f>IF($V374,IF($O374="","",$O374),IF($P374="","",$P374))</f>
        <v/>
      </c>
      <c r="AH374" t="n">
        <v>0.04938271604938271</v>
      </c>
      <c r="AI374">
        <f>IF($Y374="worse","Yes",IF($Y374="worse, not significant","Not sure",IF(OR($Y374="too few losses to test",$Y374="too few loans to test"),"Too few losses",IF($Y374="","","No"))))</f>
        <v/>
      </c>
      <c r="AJ374">
        <f>IF($AA374="yes","Yes",IF($AA374="","","No"))</f>
        <v/>
      </c>
    </row>
    <row r="375">
      <c r="A375" t="inlineStr">
        <is>
          <t>grids</t>
        </is>
      </c>
      <c r="B375" t="inlineStr">
        <is>
          <t>ORIG_BAL x ASSET_CLASS</t>
        </is>
      </c>
      <c r="C375" t="inlineStr">
        <is>
          <t>49,152 - 59,984</t>
        </is>
      </c>
      <c r="D375" t="inlineStr">
        <is>
          <t>3</t>
        </is>
      </c>
      <c r="E375" t="inlineStr">
        <is>
          <t>outcome_booked</t>
        </is>
      </c>
      <c r="F375" t="inlineStr">
        <is>
          <t>Outcome, share of booked dollars</t>
        </is>
      </c>
      <c r="G375" t="n">
        <v>405</v>
      </c>
      <c r="H375" t="n">
        <v>22100600.48999999</v>
      </c>
      <c r="I375" t="b">
        <v>0</v>
      </c>
      <c r="J375" t="b">
        <v>0</v>
      </c>
      <c r="K375" t="n">
        <v>0.6330152651314273</v>
      </c>
      <c r="L375" t="n">
        <v>0.2672232776722328</v>
      </c>
      <c r="M375" t="n">
        <v>0.6976779333954026</v>
      </c>
      <c r="N375" t="n">
        <v>0.2871712828717128</v>
      </c>
      <c r="O375" t="n">
        <v>-626601.4217512363</v>
      </c>
      <c r="P375" t="n">
        <v>-468352.0440918508</v>
      </c>
      <c r="Q375">
        <f>'_live'!$C$21</f>
        <v/>
      </c>
      <c r="R375" t="inlineStr">
        <is>
          <t>shuffled: 583 of 10,000</t>
        </is>
      </c>
      <c r="S375" t="inlineStr">
        <is>
          <t>shuffled: 1,293 of 10,000</t>
        </is>
      </c>
      <c r="T375" t="n">
        <v>0.07725726016013953</v>
      </c>
      <c r="U375" t="n">
        <v>0.07009684939523793</v>
      </c>
      <c r="V375">
        <f>AND(judged_band,NOT($J375))</f>
        <v/>
      </c>
      <c r="W375">
        <f>IF($K375="","",IF($I375,"too few losses to test",IF(AND($K375&gt;better_at,$K375&lt;worse_at),"in line",IF($K375&gt;=worse_at,IF(AND(ISNUMBER($L375),$L375&lt;significance_bar),"worse","worse, not significant"),IF(AND(ISNUMBER($L375),$L375&lt;significance_bar),"better","better, not significant")))))</f>
        <v/>
      </c>
      <c r="X375">
        <f>IF($M375="","",IF($I375,"too few losses to test",IF(AND($M375&gt;better_at,$M375&lt;worse_at),"in line",IF($M375&gt;=worse_at,IF(AND(ISNUMBER($N375),$N375&lt;significance_bar),"worse","worse, not significant"),IF(AND(ISNUMBER($N375),$N375&lt;significance_bar),"better","better, not significant")))))</f>
        <v/>
      </c>
      <c r="Y375">
        <f>IF($V375,$X375,$W375)</f>
        <v/>
      </c>
      <c r="Z375">
        <f>IF($V375,IF($P375="","",$P375),IF($O375="","",$O375))</f>
        <v/>
      </c>
      <c r="AA375">
        <f>IF(OR($Q375="",$Z375=""),"",IF(AND($Z375&gt;0,$Z375&gt;=$Q375),"yes","below the line"))</f>
        <v/>
      </c>
      <c r="AB375">
        <f>IF($V375,IF($M375="","",$M375),IF($K375="","",$K375))</f>
        <v/>
      </c>
      <c r="AC375">
        <f>IF($V375,IF($N375="","",$N375),IF($L375="","",$L375))</f>
        <v/>
      </c>
      <c r="AD375">
        <f>$Y375</f>
        <v/>
      </c>
      <c r="AE375">
        <f>IF($V375,IF($S375="","",$S375),IF($R375="","",$R375))</f>
        <v/>
      </c>
      <c r="AF375">
        <f>IF($V375,IF($U375="","",$U375),IF($T375="","",$T375))</f>
        <v/>
      </c>
      <c r="AG375">
        <f>IF($V375,IF($O375="","",$O375),IF($P375="","",$P375))</f>
        <v/>
      </c>
      <c r="AH375" t="n">
        <v>0.04890502502359838</v>
      </c>
      <c r="AI375">
        <f>IF($Y375="worse","Yes",IF($Y375="worse, not significant","Not sure",IF(OR($Y375="too few losses to test",$Y375="too few loans to test"),"Too few losses",IF($Y375="","","No"))))</f>
        <v/>
      </c>
      <c r="AJ375">
        <f>IF($AA375="yes","Yes",IF($AA375="","","No"))</f>
        <v/>
      </c>
    </row>
    <row r="376">
      <c r="A376" t="inlineStr">
        <is>
          <t>grids</t>
        </is>
      </c>
      <c r="B376" t="inlineStr">
        <is>
          <t>ORIG_BAL x ASSET_CLASS</t>
        </is>
      </c>
      <c r="C376" t="inlineStr">
        <is>
          <t>49,152 - 59,984</t>
        </is>
      </c>
      <c r="D376" t="inlineStr">
        <is>
          <t>3</t>
        </is>
      </c>
      <c r="E376" t="inlineStr">
        <is>
          <t>gco_rate</t>
        </is>
      </c>
      <c r="F376" t="inlineStr">
        <is>
          <t>GCO per booked dollar</t>
        </is>
      </c>
      <c r="G376" t="n">
        <v>405</v>
      </c>
      <c r="H376" t="n">
        <v>22100600.48999999</v>
      </c>
      <c r="I376" t="b">
        <v>0</v>
      </c>
      <c r="J376" t="b">
        <v>0</v>
      </c>
      <c r="K376" t="n">
        <v>0.6001504822500319</v>
      </c>
      <c r="L376" t="n">
        <v>0.212978702129787</v>
      </c>
      <c r="M376" t="n">
        <v>0.6657296163645642</v>
      </c>
      <c r="N376" t="n">
        <v>0.244864402448644</v>
      </c>
      <c r="O376" t="n">
        <v>-380700.3141654867</v>
      </c>
      <c r="P376" t="n">
        <v>-286910.7627115283</v>
      </c>
      <c r="Q376">
        <f>'_live'!$C$22</f>
        <v/>
      </c>
      <c r="R376" t="inlineStr">
        <is>
          <t>shuffled: 425 of 10,000</t>
        </is>
      </c>
      <c r="S376" t="inlineStr">
        <is>
          <t>shuffled: 1,029 of 10,000</t>
        </is>
      </c>
      <c r="T376" t="n">
        <v>0.04308068346813898</v>
      </c>
      <c r="U376" t="n">
        <v>0.03883692767080687</v>
      </c>
      <c r="V376">
        <f>AND(judged_band,NOT($J376))</f>
        <v/>
      </c>
      <c r="W376">
        <f>IF($K376="","",IF($I376,"too few losses to test",IF(AND($K376&gt;better_at,$K376&lt;worse_at),"in line",IF($K376&gt;=worse_at,IF(AND(ISNUMBER($L376),$L376&lt;significance_bar),"worse","worse, not significant"),IF(AND(ISNUMBER($L376),$L376&lt;significance_bar),"better","better, not significant")))))</f>
        <v/>
      </c>
      <c r="X376">
        <f>IF($M376="","",IF($I376,"too few losses to test",IF(AND($M376&gt;better_at,$M376&lt;worse_at),"in line",IF($M376&gt;=worse_at,IF(AND(ISNUMBER($N376),$N376&lt;significance_bar),"worse","worse, not significant"),IF(AND(ISNUMBER($N376),$N376&lt;significance_bar),"better","better, not significant")))))</f>
        <v/>
      </c>
      <c r="Y376">
        <f>IF($V376,$X376,$W376)</f>
        <v/>
      </c>
      <c r="Z376">
        <f>IF($V376,IF($P376="","",$P376),IF($O376="","",$O376))</f>
        <v/>
      </c>
      <c r="AA376">
        <f>IF(OR($Q376="",$Z376=""),"",IF(AND($Z376&gt;0,$Z376&gt;=$Q376),"yes","below the line"))</f>
        <v/>
      </c>
      <c r="AB376">
        <f>IF($V376,IF($M376="","",$M376),IF($K376="","",$K376))</f>
        <v/>
      </c>
      <c r="AC376">
        <f>IF($V376,IF($N376="","",$N376),IF($L376="","",$L376))</f>
        <v/>
      </c>
      <c r="AD376">
        <f>$Y376</f>
        <v/>
      </c>
      <c r="AE376">
        <f>IF($V376,IF($S376="","",$S376),IF($R376="","",$R376))</f>
        <v/>
      </c>
      <c r="AF376">
        <f>IF($V376,IF($U376="","",$U376),IF($T376="","",$T376))</f>
        <v/>
      </c>
      <c r="AG376">
        <f>IF($V376,IF($O376="","",$O376),IF($P376="","",$P376))</f>
        <v/>
      </c>
      <c r="AH376" t="n">
        <v>0.02585489295906459</v>
      </c>
      <c r="AI376">
        <f>IF($Y376="worse","Yes",IF($Y376="worse, not significant","Not sure",IF(OR($Y376="too few losses to test",$Y376="too few loans to test"),"Too few losses",IF($Y376="","","No"))))</f>
        <v/>
      </c>
      <c r="AJ376">
        <f>IF($AA376="yes","Yes",IF($AA376="","","No"))</f>
        <v/>
      </c>
    </row>
    <row r="377">
      <c r="A377" t="inlineStr">
        <is>
          <t>grids</t>
        </is>
      </c>
      <c r="B377" t="inlineStr">
        <is>
          <t>ORIG_BAL x ASSET_CLASS</t>
        </is>
      </c>
      <c r="C377" t="inlineStr">
        <is>
          <t>49,152 - 59,984</t>
        </is>
      </c>
      <c r="D377" t="inlineStr">
        <is>
          <t>3</t>
        </is>
      </c>
      <c r="E377" t="inlineStr">
        <is>
          <t>ranr_rate</t>
        </is>
      </c>
      <c r="F377" t="inlineStr">
        <is>
          <t>Profit after losses: RANR per booked dollar</t>
        </is>
      </c>
      <c r="G377" t="n">
        <v>405</v>
      </c>
      <c r="H377" t="n">
        <v>22100600.48999999</v>
      </c>
      <c r="I377" t="b">
        <v>0</v>
      </c>
      <c r="J377" t="b">
        <v>0</v>
      </c>
      <c r="K377" t="n">
        <v>0.006862112700880274</v>
      </c>
      <c r="L377" t="n">
        <v>0.6965970069659699</v>
      </c>
      <c r="M377" t="n">
        <v>0.005141375056450792</v>
      </c>
      <c r="N377" t="n">
        <v>0.7569769338855588</v>
      </c>
      <c r="O377" t="n">
        <v>-151656.8113195095</v>
      </c>
      <c r="P377" t="n">
        <v>-113627.4760918701</v>
      </c>
      <c r="Q377">
        <f>'_live'!$C$23</f>
        <v/>
      </c>
      <c r="R377" t="inlineStr">
        <is>
          <t>shuffled: 5,054 of 10,000</t>
        </is>
      </c>
      <c r="S377" t="inlineStr">
        <is>
          <t>shuffled: 5,972 of 10,000</t>
        </is>
      </c>
      <c r="T377" t="n">
        <v>0.1274023884534049</v>
      </c>
      <c r="U377" t="n">
        <v>0.1291231260978344</v>
      </c>
      <c r="V377">
        <f>AND(judged_band,NOT($J377))</f>
        <v/>
      </c>
      <c r="W377">
        <f>IF($K377="","",IF(profit_kind="test",IF(OR(NOT(AND(ISNUMBER($L377),$L377&lt;significance_bar)),$K377=0),"in line",IF($K377&lt;0,"worse","better")),IF(OR($K377=0,IF(profit_kind="points",ABS($K377),ABS($K377*$H377))&lt;profit_line*(1-1E-9)),"in line",IF(AND(ISNUMBER($L377),$L377&lt;significance_bar),IF($K377&lt;0,"worse","better"),IF($K377&lt;0,"worse, not significant","better, not significant")))))</f>
        <v/>
      </c>
      <c r="X377">
        <f>IF($M377="","",IF(profit_kind="test",IF(OR(NOT(AND(ISNUMBER($N377),$N377&lt;significance_bar)),$M377=0),"in line",IF($M377&lt;0,"worse","better")),IF(OR($M377=0,IF(profit_kind="points",ABS($M377),ABS($M377*$H377))&lt;profit_line*(1-1E-9)),"in line",IF(AND(ISNUMBER($N377),$N377&lt;significance_bar),IF($M377&lt;0,"worse","better"),IF($M377&lt;0,"worse, not significant","better, not significant")))))</f>
        <v/>
      </c>
      <c r="Y377">
        <f>IF($V377,$X377,$W377)</f>
        <v/>
      </c>
      <c r="Z377">
        <f>IF($V377,IF($P377="","",$P377),IF($O377="","",$O377))</f>
        <v/>
      </c>
      <c r="AA377">
        <f>IF(OR($Q377="",$Z377=""),"",IF(AND($Z377&gt;0,$Z377&gt;=$Q377),"yes","below the line"))</f>
        <v/>
      </c>
      <c r="AB377">
        <f>IF($V377,IF($M377="","",$M377),IF($K377="","",$K377))</f>
        <v/>
      </c>
      <c r="AC377">
        <f>IF($V377,IF($N377="","",$N377),IF($L377="","",$L377))</f>
        <v/>
      </c>
      <c r="AD377">
        <f>IF($Y377="","",IF($Y377="in line",IF(profit_kind="test",IF(ROUND($AB377*100,2)=0,"0.00",TEXT($AB377*100,"+0.00;-0.00"))&amp;" points against "&amp;IF($V377,"its band","the book")&amp;", "&amp;IF($AC377="","not tested","not significant"),IF(profit_kind="points","within "&amp;TEXT(profit_line*100,"0.00")&amp;" points of "&amp;IF($V377,"its band","the book")&amp;" ("&amp;IF(ROUND($AB377*100,2)=0,"0.00",TEXT($AB377*100,"+0.00;-0.00"))&amp;")","within $"&amp;TEXT(profit_line,"#,##0")&amp;" of "&amp;IF($V377,"its band","the book")&amp;" ("&amp;IF(ROUND($AB377*100,2)=0,"0.00",TEXT($AB377*100,"+0.00;-0.00"))&amp;" points)")),IF(LEFT($Y377,5)="worse","short of ","ahead of ")&amp;IF($V377,"its band","the book")&amp;" by "&amp;TEXT(ABS($AB377)*100,"0.00")&amp;" points"&amp;IF($Z377="",""," ($"&amp;TEXT(ABS($Z377),"#,##0")&amp;")")&amp;IF(RIGHT($Y377,15)="not significant"," (not significant)","")))</f>
        <v/>
      </c>
      <c r="AE377">
        <f>IF($V377,IF($S377="","",$S377),IF($R377="","",$R377))</f>
        <v/>
      </c>
      <c r="AF377">
        <f>IF($V377,IF($U377="","",$U377),IF($T377="","",$T377))</f>
        <v/>
      </c>
      <c r="AG377">
        <f>IF($V377,IF($O377="","",$O377),IF($P377="","",$P377))</f>
        <v/>
      </c>
      <c r="AH377" t="n">
        <v>0.1342645011542852</v>
      </c>
      <c r="AI377">
        <f>IF($Y377="worse","Yes",IF($Y377="worse, not significant","Not sure",IF(OR($Y377="too few losses to test",$Y377="too few loans to test"),"Too few losses",IF($Y377="","","No"))))</f>
        <v/>
      </c>
      <c r="AJ377">
        <f>IF($AA377="yes","Yes",IF($AA377="","","No"))</f>
        <v/>
      </c>
    </row>
    <row r="378">
      <c r="A378" t="inlineStr">
        <is>
          <t>grids</t>
        </is>
      </c>
      <c r="B378" t="inlineStr">
        <is>
          <t>ORIG_BAL x ASSET_CLASS</t>
        </is>
      </c>
      <c r="C378" t="inlineStr">
        <is>
          <t>49,152 - 59,984</t>
        </is>
      </c>
      <c r="D378" t="inlineStr">
        <is>
          <t>3</t>
        </is>
      </c>
      <c r="E378" t="inlineStr">
        <is>
          <t>contribution_rate</t>
        </is>
      </c>
      <c r="F378" t="inlineStr">
        <is>
          <t>Contribution before losses per booked dollar</t>
        </is>
      </c>
      <c r="G378" t="n">
        <v>405</v>
      </c>
      <c r="H378" t="n">
        <v>22100600.48999999</v>
      </c>
      <c r="I378" t="b">
        <v>0</v>
      </c>
      <c r="J378" t="b">
        <v>0</v>
      </c>
      <c r="K378" t="n">
        <v>-0.0103604518735281</v>
      </c>
      <c r="L378" t="n">
        <v>0.4171011470281543</v>
      </c>
      <c r="M378" t="n">
        <v>-0.007840659655291515</v>
      </c>
      <c r="N378" t="n">
        <v>0.6194936061949361</v>
      </c>
      <c r="O378" t="n">
        <v>228972.2077527163</v>
      </c>
      <c r="P378" t="n">
        <v>173283.2866196586</v>
      </c>
      <c r="Q378">
        <f>'_live'!$C$24</f>
        <v/>
      </c>
      <c r="R378" t="inlineStr">
        <is>
          <t>shuffled: 1,292 of 10,000</t>
        </is>
      </c>
      <c r="S378" t="inlineStr">
        <is>
          <t>shuffled: 2,574 of 10,000</t>
        </is>
      </c>
      <c r="T378" t="n">
        <v>0.1704798459868778</v>
      </c>
      <c r="U378" t="n">
        <v>0.1679600537686412</v>
      </c>
      <c r="V378">
        <f>AND(judged_band,NOT($J378))</f>
        <v/>
      </c>
      <c r="W378">
        <f>IF($K378="","",IF(profit_kind="test",IF(OR(NOT(AND(ISNUMBER($L378),$L378&lt;significance_bar)),$K378=0),"in line",IF($K378&lt;0,"worse","better")),IF(OR($K378=0,IF(profit_kind="points",ABS($K378),ABS($K378*$H378))&lt;profit_line*(1-1E-9)),"in line",IF(AND(ISNUMBER($L378),$L378&lt;significance_bar),IF($K378&lt;0,"worse","better"),IF($K378&lt;0,"worse, not significant","better, not significant")))))</f>
        <v/>
      </c>
      <c r="X378">
        <f>IF($M378="","",IF(profit_kind="test",IF(OR(NOT(AND(ISNUMBER($N378),$N378&lt;significance_bar)),$M378=0),"in line",IF($M378&lt;0,"worse","better")),IF(OR($M378=0,IF(profit_kind="points",ABS($M378),ABS($M378*$H378))&lt;profit_line*(1-1E-9)),"in line",IF(AND(ISNUMBER($N378),$N378&lt;significance_bar),IF($M378&lt;0,"worse","better"),IF($M378&lt;0,"worse, not significant","better, not significant")))))</f>
        <v/>
      </c>
      <c r="Y378">
        <f>IF($V378,$X378,$W378)</f>
        <v/>
      </c>
      <c r="Z378">
        <f>IF($V378,IF($P378="","",$P378),IF($O378="","",$O378))</f>
        <v/>
      </c>
      <c r="AA378">
        <f>IF(OR($Q378="",$Z378=""),"",IF(AND($Z378&gt;0,$Z378&gt;=$Q378),"yes","below the line"))</f>
        <v/>
      </c>
      <c r="AB378">
        <f>IF($V378,IF($M378="","",$M378),IF($K378="","",$K378))</f>
        <v/>
      </c>
      <c r="AC378">
        <f>IF($V378,IF($N378="","",$N378),IF($L378="","",$L378))</f>
        <v/>
      </c>
      <c r="AD378">
        <f>IF($Y378="","",IF($Y378="in line",IF(profit_kind="test",IF(ROUND($AB378*100,2)=0,"0.00",TEXT($AB378*100,"+0.00;-0.00"))&amp;" points against "&amp;IF($V378,"its band","the book")&amp;", "&amp;IF($AC378="","not tested","not significant"),IF(profit_kind="points","within "&amp;TEXT(profit_line*100,"0.00")&amp;" points of "&amp;IF($V378,"its band","the book")&amp;" ("&amp;IF(ROUND($AB378*100,2)=0,"0.00",TEXT($AB378*100,"+0.00;-0.00"))&amp;")","within $"&amp;TEXT(profit_line,"#,##0")&amp;" of "&amp;IF($V378,"its band","the book")&amp;" ("&amp;IF(ROUND($AB378*100,2)=0,"0.00",TEXT($AB378*100,"+0.00;-0.00"))&amp;" points)")),IF(LEFT($Y378,5)="worse","short of ","ahead of ")&amp;IF($V378,"its band","the book")&amp;" by "&amp;TEXT(ABS($AB378)*100,"0.00")&amp;" points"&amp;IF($Z378="",""," ($"&amp;TEXT(ABS($Z378),"#,##0")&amp;")")&amp;IF(RIGHT($Y378,15)="not significant"," (not significant)","")))</f>
        <v/>
      </c>
      <c r="AE378">
        <f>IF($V378,IF($S378="","",$S378),IF($R378="","",$R378))</f>
        <v/>
      </c>
      <c r="AF378">
        <f>IF($V378,IF($U378="","",$U378),IF($T378="","",$T378))</f>
        <v/>
      </c>
      <c r="AG378">
        <f>IF($V378,IF($O378="","",$O378),IF($P378="","",$P378))</f>
        <v/>
      </c>
      <c r="AH378" t="n">
        <v>0.1601193941133497</v>
      </c>
      <c r="AI378">
        <f>IF($Y378="worse","Yes",IF($Y378="worse, not significant","Not sure",IF(OR($Y378="too few losses to test",$Y378="too few loans to test"),"Too few losses",IF($Y378="","","No"))))</f>
        <v/>
      </c>
      <c r="AJ378">
        <f>IF($AA378="yes","Yes",IF($AA378="","","No"))</f>
        <v/>
      </c>
    </row>
    <row r="379">
      <c r="A379" t="inlineStr">
        <is>
          <t>grids</t>
        </is>
      </c>
      <c r="B379" t="inlineStr">
        <is>
          <t>ORIG_BAL x ASSET_CLASS</t>
        </is>
      </c>
      <c r="C379" t="inlineStr">
        <is>
          <t>37,951 - 49,151</t>
        </is>
      </c>
      <c r="D379" t="inlineStr">
        <is>
          <t>3</t>
        </is>
      </c>
      <c r="E379" t="inlineStr">
        <is>
          <t>outcome_loans</t>
        </is>
      </c>
      <c r="F379" t="inlineStr">
        <is>
          <t>Outcome, share of loans</t>
        </is>
      </c>
      <c r="G379" t="n">
        <v>382</v>
      </c>
      <c r="H379" t="n">
        <v>382</v>
      </c>
      <c r="I379" t="b">
        <v>0</v>
      </c>
      <c r="J379" t="b">
        <v>0</v>
      </c>
      <c r="K379" t="n">
        <v>1.267649916338317</v>
      </c>
      <c r="L379" t="n">
        <v>0.2887256120108982</v>
      </c>
      <c r="M379" t="n">
        <v>1.216224968964214</v>
      </c>
      <c r="N379" t="n">
        <v>0.444803069994111</v>
      </c>
      <c r="O379" t="n">
        <v>7.812130760141791</v>
      </c>
      <c r="P379" t="n">
        <v>6.57799671592775</v>
      </c>
      <c r="Q379">
        <f>'_live'!$C$20</f>
        <v/>
      </c>
      <c r="R379" t="inlineStr">
        <is>
          <t>z test</t>
        </is>
      </c>
      <c r="S379" t="inlineStr">
        <is>
          <t>z test</t>
        </is>
      </c>
      <c r="T379" t="n">
        <v>0.07640803465931469</v>
      </c>
      <c r="U379" t="n">
        <v>0.07963875205254516</v>
      </c>
      <c r="V379">
        <f>AND(judged_band,NOT($J379))</f>
        <v/>
      </c>
      <c r="W379">
        <f>IF($K379="","",IF($I379,"too few losses to test",IF(AND($K379&gt;better_at,$K379&lt;worse_at),"in line",IF($K379&gt;=worse_at,IF(AND(ISNUMBER($L379),$L379&lt;significance_bar),"worse","worse, not significant"),IF(AND(ISNUMBER($L379),$L379&lt;significance_bar),"better","better, not significant")))))</f>
        <v/>
      </c>
      <c r="X379">
        <f>IF($M379="","",IF($I379,"too few losses to test",IF(AND($M379&gt;better_at,$M379&lt;worse_at),"in line",IF($M379&gt;=worse_at,IF(AND(ISNUMBER($N379),$N379&lt;significance_bar),"worse","worse, not significant"),IF(AND(ISNUMBER($N379),$N379&lt;significance_bar),"better","better, not significant")))))</f>
        <v/>
      </c>
      <c r="Y379">
        <f>IF($V379,$X379,$W379)</f>
        <v/>
      </c>
      <c r="Z379">
        <f>IF($V379,IF($P379="","",$P379),IF($O379="","",$O379))</f>
        <v/>
      </c>
      <c r="AA379">
        <f>IF(OR($Q379="",$Z379=""),"",IF(AND($Z379&gt;0,$Z379&gt;=$Q379),"yes","below the line"))</f>
        <v/>
      </c>
      <c r="AB379">
        <f>IF($V379,IF($M379="","",$M379),IF($K379="","",$K379))</f>
        <v/>
      </c>
      <c r="AC379">
        <f>IF($V379,IF($N379="","",$N379),IF($L379="","",$L379))</f>
        <v/>
      </c>
      <c r="AD379">
        <f>$Y379</f>
        <v/>
      </c>
      <c r="AE379">
        <f>IF($V379,IF($S379="","",$S379),IF($R379="","",$R379))</f>
        <v/>
      </c>
      <c r="AF379">
        <f>IF($V379,IF($U379="","",$U379),IF($T379="","",$T379))</f>
        <v/>
      </c>
      <c r="AG379">
        <f>IF($V379,IF($O379="","",$O379),IF($P379="","",$P379))</f>
        <v/>
      </c>
      <c r="AH379" t="n">
        <v>0.0968586387434555</v>
      </c>
      <c r="AI379">
        <f>IF($Y379="worse","Yes",IF($Y379="worse, not significant","Not sure",IF(OR($Y379="too few losses to test",$Y379="too few loans to test"),"Too few losses",IF($Y379="","","No"))))</f>
        <v/>
      </c>
      <c r="AJ379">
        <f>IF($AA379="yes","Yes",IF($AA379="","","No"))</f>
        <v/>
      </c>
    </row>
    <row r="380">
      <c r="A380" t="inlineStr">
        <is>
          <t>grids</t>
        </is>
      </c>
      <c r="B380" t="inlineStr">
        <is>
          <t>ORIG_BAL x ASSET_CLASS</t>
        </is>
      </c>
      <c r="C380" t="inlineStr">
        <is>
          <t>37,951 - 49,151</t>
        </is>
      </c>
      <c r="D380" t="inlineStr">
        <is>
          <t>3</t>
        </is>
      </c>
      <c r="E380" t="inlineStr">
        <is>
          <t>outcome_booked</t>
        </is>
      </c>
      <c r="F380" t="inlineStr">
        <is>
          <t>Outcome, share of booked dollars</t>
        </is>
      </c>
      <c r="G380" t="n">
        <v>382</v>
      </c>
      <c r="H380" t="n">
        <v>16623742.21999998</v>
      </c>
      <c r="I380" t="b">
        <v>0</v>
      </c>
      <c r="J380" t="b">
        <v>0</v>
      </c>
      <c r="K380" t="n">
        <v>1.299932038288425</v>
      </c>
      <c r="L380" t="n">
        <v>0.311968803119688</v>
      </c>
      <c r="M380" t="n">
        <v>1.204533091203828</v>
      </c>
      <c r="N380" t="n">
        <v>0.4479552044795521</v>
      </c>
      <c r="O380" t="n">
        <v>366023.4627754511</v>
      </c>
      <c r="P380" t="n">
        <v>269371.4478385737</v>
      </c>
      <c r="Q380">
        <f>'_live'!$C$21</f>
        <v/>
      </c>
      <c r="R380" t="inlineStr">
        <is>
          <t>shuffled: 1,495 of 10,000</t>
        </is>
      </c>
      <c r="S380" t="inlineStr">
        <is>
          <t>shuffled: 3,135 of 10,000</t>
        </is>
      </c>
      <c r="T380" t="n">
        <v>0.07341034594222372</v>
      </c>
      <c r="U380" t="n">
        <v>0.07922444084683525</v>
      </c>
      <c r="V380">
        <f>AND(judged_band,NOT($J380))</f>
        <v/>
      </c>
      <c r="W380">
        <f>IF($K380="","",IF($I380,"too few losses to test",IF(AND($K380&gt;better_at,$K380&lt;worse_at),"in line",IF($K380&gt;=worse_at,IF(AND(ISNUMBER($L380),$L380&lt;significance_bar),"worse","worse, not significant"),IF(AND(ISNUMBER($L380),$L380&lt;significance_bar),"better","better, not significant")))))</f>
        <v/>
      </c>
      <c r="X380">
        <f>IF($M380="","",IF($I380,"too few losses to test",IF(AND($M380&gt;better_at,$M380&lt;worse_at),"in line",IF($M380&gt;=worse_at,IF(AND(ISNUMBER($N380),$N380&lt;significance_bar),"worse","worse, not significant"),IF(AND(ISNUMBER($N380),$N380&lt;significance_bar),"better","better, not significant")))))</f>
        <v/>
      </c>
      <c r="Y380">
        <f>IF($V380,$X380,$W380)</f>
        <v/>
      </c>
      <c r="Z380">
        <f>IF($V380,IF($P380="","",$P380),IF($O380="","",$O380))</f>
        <v/>
      </c>
      <c r="AA380">
        <f>IF(OR($Q380="",$Z380=""),"",IF(AND($Z380&gt;0,$Z380&gt;=$Q380),"yes","below the line"))</f>
        <v/>
      </c>
      <c r="AB380">
        <f>IF($V380,IF($M380="","",$M380),IF($K380="","",$K380))</f>
        <v/>
      </c>
      <c r="AC380">
        <f>IF($V380,IF($N380="","",$N380),IF($L380="","",$L380))</f>
        <v/>
      </c>
      <c r="AD380">
        <f>$Y380</f>
        <v/>
      </c>
      <c r="AE380">
        <f>IF($V380,IF($S380="","",$S380),IF($R380="","",$R380))</f>
        <v/>
      </c>
      <c r="AF380">
        <f>IF($V380,IF($U380="","",$U380),IF($T380="","",$T380))</f>
        <v/>
      </c>
      <c r="AG380">
        <f>IF($V380,IF($O380="","",$O380),IF($P380="","",$P380))</f>
        <v/>
      </c>
      <c r="AH380" t="n">
        <v>0.09542846063213327</v>
      </c>
      <c r="AI380">
        <f>IF($Y380="worse","Yes",IF($Y380="worse, not significant","Not sure",IF(OR($Y380="too few losses to test",$Y380="too few loans to test"),"Too few losses",IF($Y380="","","No"))))</f>
        <v/>
      </c>
      <c r="AJ380">
        <f>IF($AA380="yes","Yes",IF($AA380="","","No"))</f>
        <v/>
      </c>
    </row>
    <row r="381">
      <c r="A381" t="inlineStr">
        <is>
          <t>grids</t>
        </is>
      </c>
      <c r="B381" t="inlineStr">
        <is>
          <t>ORIG_BAL x ASSET_CLASS</t>
        </is>
      </c>
      <c r="C381" t="inlineStr">
        <is>
          <t>37,951 - 49,151</t>
        </is>
      </c>
      <c r="D381" t="inlineStr">
        <is>
          <t>3</t>
        </is>
      </c>
      <c r="E381" t="inlineStr">
        <is>
          <t>gco_rate</t>
        </is>
      </c>
      <c r="F381" t="inlineStr">
        <is>
          <t>GCO per booked dollar</t>
        </is>
      </c>
      <c r="G381" t="n">
        <v>382</v>
      </c>
      <c r="H381" t="n">
        <v>16623742.21999998</v>
      </c>
      <c r="I381" t="b">
        <v>0</v>
      </c>
      <c r="J381" t="b">
        <v>0</v>
      </c>
      <c r="K381" t="n">
        <v>1.30774521233146</v>
      </c>
      <c r="L381" t="n">
        <v>0.3444100034441001</v>
      </c>
      <c r="M381" t="n">
        <v>1.193496810785595</v>
      </c>
      <c r="N381" t="n">
        <v>0.5263759338351879</v>
      </c>
      <c r="O381" t="n">
        <v>208709.3900831899</v>
      </c>
      <c r="P381" t="n">
        <v>143789.2342822478</v>
      </c>
      <c r="Q381">
        <f>'_live'!$C$22</f>
        <v/>
      </c>
      <c r="R381" t="inlineStr">
        <is>
          <t>shuffled: 1,483 of 10,000</t>
        </is>
      </c>
      <c r="S381" t="inlineStr">
        <is>
          <t>shuffled: 3,525 of 10,000</t>
        </is>
      </c>
      <c r="T381" t="n">
        <v>0.04079640438004883</v>
      </c>
      <c r="U381" t="n">
        <v>0.04470167161421208</v>
      </c>
      <c r="V381">
        <f>AND(judged_band,NOT($J381))</f>
        <v/>
      </c>
      <c r="W381">
        <f>IF($K381="","",IF($I381,"too few losses to test",IF(AND($K381&gt;better_at,$K381&lt;worse_at),"in line",IF($K381&gt;=worse_at,IF(AND(ISNUMBER($L381),$L381&lt;significance_bar),"worse","worse, not significant"),IF(AND(ISNUMBER($L381),$L381&lt;significance_bar),"better","better, not significant")))))</f>
        <v/>
      </c>
      <c r="X381">
        <f>IF($M381="","",IF($I381,"too few losses to test",IF(AND($M381&gt;better_at,$M381&lt;worse_at),"in line",IF($M381&gt;=worse_at,IF(AND(ISNUMBER($N381),$N381&lt;significance_bar),"worse","worse, not significant"),IF(AND(ISNUMBER($N381),$N381&lt;significance_bar),"better","better, not significant")))))</f>
        <v/>
      </c>
      <c r="Y381">
        <f>IF($V381,$X381,$W381)</f>
        <v/>
      </c>
      <c r="Z381">
        <f>IF($V381,IF($P381="","",$P381),IF($O381="","",$O381))</f>
        <v/>
      </c>
      <c r="AA381">
        <f>IF(OR($Q381="",$Z381=""),"",IF(AND($Z381&gt;0,$Z381&gt;=$Q381),"yes","below the line"))</f>
        <v/>
      </c>
      <c r="AB381">
        <f>IF($V381,IF($M381="","",$M381),IF($K381="","",$K381))</f>
        <v/>
      </c>
      <c r="AC381">
        <f>IF($V381,IF($N381="","",$N381),IF($L381="","",$L381))</f>
        <v/>
      </c>
      <c r="AD381">
        <f>$Y381</f>
        <v/>
      </c>
      <c r="AE381">
        <f>IF($V381,IF($S381="","",$S381),IF($R381="","",$R381))</f>
        <v/>
      </c>
      <c r="AF381">
        <f>IF($V381,IF($U381="","",$U381),IF($T381="","",$T381))</f>
        <v/>
      </c>
      <c r="AG381">
        <f>IF($V381,IF($O381="","",$O381),IF($P381="","",$P381))</f>
        <v/>
      </c>
      <c r="AH381" t="n">
        <v>0.05335130250834706</v>
      </c>
      <c r="AI381">
        <f>IF($Y381="worse","Yes",IF($Y381="worse, not significant","Not sure",IF(OR($Y381="too few losses to test",$Y381="too few loans to test"),"Too few losses",IF($Y381="","","No"))))</f>
        <v/>
      </c>
      <c r="AJ381">
        <f>IF($AA381="yes","Yes",IF($AA381="","","No"))</f>
        <v/>
      </c>
    </row>
    <row r="382">
      <c r="A382" t="inlineStr">
        <is>
          <t>grids</t>
        </is>
      </c>
      <c r="B382" t="inlineStr">
        <is>
          <t>ORIG_BAL x ASSET_CLASS</t>
        </is>
      </c>
      <c r="C382" t="inlineStr">
        <is>
          <t>37,951 - 49,151</t>
        </is>
      </c>
      <c r="D382" t="inlineStr">
        <is>
          <t>3</t>
        </is>
      </c>
      <c r="E382" t="inlineStr">
        <is>
          <t>ranr_rate</t>
        </is>
      </c>
      <c r="F382" t="inlineStr">
        <is>
          <t>Profit after losses: RANR per booked dollar</t>
        </is>
      </c>
      <c r="G382" t="n">
        <v>382</v>
      </c>
      <c r="H382" t="n">
        <v>16623742.21999998</v>
      </c>
      <c r="I382" t="b">
        <v>0</v>
      </c>
      <c r="J382" t="b">
        <v>0</v>
      </c>
      <c r="K382" t="n">
        <v>-0.01349717601618802</v>
      </c>
      <c r="L382" t="n">
        <v>0.623937606239376</v>
      </c>
      <c r="M382" t="n">
        <v>-0.009279412590955063</v>
      </c>
      <c r="N382" t="n">
        <v>0.6385515294624384</v>
      </c>
      <c r="O382" t="n">
        <v>224373.5747910761</v>
      </c>
      <c r="P382" t="n">
        <v>154258.5628650591</v>
      </c>
      <c r="Q382">
        <f>'_live'!$C$23</f>
        <v/>
      </c>
      <c r="R382" t="inlineStr">
        <is>
          <t>shuffled: 2,028 of 10,000</t>
        </is>
      </c>
      <c r="S382" t="inlineStr">
        <is>
          <t>shuffled: 4,150 of 10,000</t>
        </is>
      </c>
      <c r="T382" t="n">
        <v>0.1288594840103986</v>
      </c>
      <c r="U382" t="n">
        <v>0.1246417205851657</v>
      </c>
      <c r="V382">
        <f>AND(judged_band,NOT($J382))</f>
        <v/>
      </c>
      <c r="W382">
        <f>IF($K382="","",IF(profit_kind="test",IF(OR(NOT(AND(ISNUMBER($L382),$L382&lt;significance_bar)),$K382=0),"in line",IF($K382&lt;0,"worse","better")),IF(OR($K382=0,IF(profit_kind="points",ABS($K382),ABS($K382*$H382))&lt;profit_line*(1-1E-9)),"in line",IF(AND(ISNUMBER($L382),$L382&lt;significance_bar),IF($K382&lt;0,"worse","better"),IF($K382&lt;0,"worse, not significant","better, not significant")))))</f>
        <v/>
      </c>
      <c r="X382">
        <f>IF($M382="","",IF(profit_kind="test",IF(OR(NOT(AND(ISNUMBER($N382),$N382&lt;significance_bar)),$M382=0),"in line",IF($M382&lt;0,"worse","better")),IF(OR($M382=0,IF(profit_kind="points",ABS($M382),ABS($M382*$H382))&lt;profit_line*(1-1E-9)),"in line",IF(AND(ISNUMBER($N382),$N382&lt;significance_bar),IF($M382&lt;0,"worse","better"),IF($M382&lt;0,"worse, not significant","better, not significant")))))</f>
        <v/>
      </c>
      <c r="Y382">
        <f>IF($V382,$X382,$W382)</f>
        <v/>
      </c>
      <c r="Z382">
        <f>IF($V382,IF($P382="","",$P382),IF($O382="","",$O382))</f>
        <v/>
      </c>
      <c r="AA382">
        <f>IF(OR($Q382="",$Z382=""),"",IF(AND($Z382&gt;0,$Z382&gt;=$Q382),"yes","below the line"))</f>
        <v/>
      </c>
      <c r="AB382">
        <f>IF($V382,IF($M382="","",$M382),IF($K382="","",$K382))</f>
        <v/>
      </c>
      <c r="AC382">
        <f>IF($V382,IF($N382="","",$N382),IF($L382="","",$L382))</f>
        <v/>
      </c>
      <c r="AD382">
        <f>IF($Y382="","",IF($Y382="in line",IF(profit_kind="test",IF(ROUND($AB382*100,2)=0,"0.00",TEXT($AB382*100,"+0.00;-0.00"))&amp;" points against "&amp;IF($V382,"its band","the book")&amp;", "&amp;IF($AC382="","not tested","not significant"),IF(profit_kind="points","within "&amp;TEXT(profit_line*100,"0.00")&amp;" points of "&amp;IF($V382,"its band","the book")&amp;" ("&amp;IF(ROUND($AB382*100,2)=0,"0.00",TEXT($AB382*100,"+0.00;-0.00"))&amp;")","within $"&amp;TEXT(profit_line,"#,##0")&amp;" of "&amp;IF($V382,"its band","the book")&amp;" ("&amp;IF(ROUND($AB382*100,2)=0,"0.00",TEXT($AB382*100,"+0.00;-0.00"))&amp;" points)")),IF(LEFT($Y382,5)="worse","short of ","ahead of ")&amp;IF($V382,"its band","the book")&amp;" by "&amp;TEXT(ABS($AB382)*100,"0.00")&amp;" points"&amp;IF($Z382="",""," ($"&amp;TEXT(ABS($Z382),"#,##0")&amp;")")&amp;IF(RIGHT($Y382,15)="not significant"," (not significant)","")))</f>
        <v/>
      </c>
      <c r="AE382">
        <f>IF($V382,IF($S382="","",$S382),IF($R382="","",$R382))</f>
        <v/>
      </c>
      <c r="AF382">
        <f>IF($V382,IF($U382="","",$U382),IF($T382="","",$T382))</f>
        <v/>
      </c>
      <c r="AG382">
        <f>IF($V382,IF($O382="","",$O382),IF($P382="","",$P382))</f>
        <v/>
      </c>
      <c r="AH382" t="n">
        <v>0.1153623079942106</v>
      </c>
      <c r="AI382">
        <f>IF($Y382="worse","Yes",IF($Y382="worse, not significant","Not sure",IF(OR($Y382="too few losses to test",$Y382="too few loans to test"),"Too few losses",IF($Y382="","","No"))))</f>
        <v/>
      </c>
      <c r="AJ382">
        <f>IF($AA382="yes","Yes",IF($AA382="","","No"))</f>
        <v/>
      </c>
    </row>
    <row r="383">
      <c r="A383" t="inlineStr">
        <is>
          <t>grids</t>
        </is>
      </c>
      <c r="B383" t="inlineStr">
        <is>
          <t>ORIG_BAL x ASSET_CLASS</t>
        </is>
      </c>
      <c r="C383" t="inlineStr">
        <is>
          <t>37,951 - 49,151</t>
        </is>
      </c>
      <c r="D383" t="inlineStr">
        <is>
          <t>3</t>
        </is>
      </c>
      <c r="E383" t="inlineStr">
        <is>
          <t>contribution_rate</t>
        </is>
      </c>
      <c r="F383" t="inlineStr">
        <is>
          <t>Contribution before losses per booked dollar</t>
        </is>
      </c>
      <c r="G383" t="n">
        <v>382</v>
      </c>
      <c r="H383" t="n">
        <v>16623742.21999998</v>
      </c>
      <c r="I383" t="b">
        <v>0</v>
      </c>
      <c r="J383" t="b">
        <v>0</v>
      </c>
      <c r="K383" t="n">
        <v>-0.0009393646724611404</v>
      </c>
      <c r="L383" t="n">
        <v>0.9446055394460554</v>
      </c>
      <c r="M383" t="n">
        <v>-0.0006133651101904447</v>
      </c>
      <c r="N383" t="n">
        <v>0.9301069893010701</v>
      </c>
      <c r="O383" t="n">
        <v>15615.75616556872</v>
      </c>
      <c r="P383" t="n">
        <v>10196.42347854795</v>
      </c>
      <c r="Q383">
        <f>'_live'!$C$24</f>
        <v/>
      </c>
      <c r="R383" t="inlineStr">
        <is>
          <t>shuffled: 8,864 of 10,000</t>
        </is>
      </c>
      <c r="S383" t="inlineStr">
        <is>
          <t>shuffled: 9,301 of 10,000</t>
        </is>
      </c>
      <c r="T383" t="n">
        <v>0.1696529751750188</v>
      </c>
      <c r="U383" t="n">
        <v>0.1693269756127481</v>
      </c>
      <c r="V383">
        <f>AND(judged_band,NOT($J383))</f>
        <v/>
      </c>
      <c r="W383">
        <f>IF($K383="","",IF(profit_kind="test",IF(OR(NOT(AND(ISNUMBER($L383),$L383&lt;significance_bar)),$K383=0),"in line",IF($K383&lt;0,"worse","better")),IF(OR($K383=0,IF(profit_kind="points",ABS($K383),ABS($K383*$H383))&lt;profit_line*(1-1E-9)),"in line",IF(AND(ISNUMBER($L383),$L383&lt;significance_bar),IF($K383&lt;0,"worse","better"),IF($K383&lt;0,"worse, not significant","better, not significant")))))</f>
        <v/>
      </c>
      <c r="X383">
        <f>IF($M383="","",IF(profit_kind="test",IF(OR(NOT(AND(ISNUMBER($N383),$N383&lt;significance_bar)),$M383=0),"in line",IF($M383&lt;0,"worse","better")),IF(OR($M383=0,IF(profit_kind="points",ABS($M383),ABS($M383*$H383))&lt;profit_line*(1-1E-9)),"in line",IF(AND(ISNUMBER($N383),$N383&lt;significance_bar),IF($M383&lt;0,"worse","better"),IF($M383&lt;0,"worse, not significant","better, not significant")))))</f>
        <v/>
      </c>
      <c r="Y383">
        <f>IF($V383,$X383,$W383)</f>
        <v/>
      </c>
      <c r="Z383">
        <f>IF($V383,IF($P383="","",$P383),IF($O383="","",$O383))</f>
        <v/>
      </c>
      <c r="AA383">
        <f>IF(OR($Q383="",$Z383=""),"",IF(AND($Z383&gt;0,$Z383&gt;=$Q383),"yes","below the line"))</f>
        <v/>
      </c>
      <c r="AB383">
        <f>IF($V383,IF($M383="","",$M383),IF($K383="","",$K383))</f>
        <v/>
      </c>
      <c r="AC383">
        <f>IF($V383,IF($N383="","",$N383),IF($L383="","",$L383))</f>
        <v/>
      </c>
      <c r="AD383">
        <f>IF($Y383="","",IF($Y383="in line",IF(profit_kind="test",IF(ROUND($AB383*100,2)=0,"0.00",TEXT($AB383*100,"+0.00;-0.00"))&amp;" points against "&amp;IF($V383,"its band","the book")&amp;", "&amp;IF($AC383="","not tested","not significant"),IF(profit_kind="points","within "&amp;TEXT(profit_line*100,"0.00")&amp;" points of "&amp;IF($V383,"its band","the book")&amp;" ("&amp;IF(ROUND($AB383*100,2)=0,"0.00",TEXT($AB383*100,"+0.00;-0.00"))&amp;")","within $"&amp;TEXT(profit_line,"#,##0")&amp;" of "&amp;IF($V383,"its band","the book")&amp;" ("&amp;IF(ROUND($AB383*100,2)=0,"0.00",TEXT($AB383*100,"+0.00;-0.00"))&amp;" points)")),IF(LEFT($Y383,5)="worse","short of ","ahead of ")&amp;IF($V383,"its band","the book")&amp;" by "&amp;TEXT(ABS($AB383)*100,"0.00")&amp;" points"&amp;IF($Z383="",""," ($"&amp;TEXT(ABS($Z383),"#,##0")&amp;")")&amp;IF(RIGHT($Y383,15)="not significant"," (not significant)","")))</f>
        <v/>
      </c>
      <c r="AE383">
        <f>IF($V383,IF($S383="","",$S383),IF($R383="","",$R383))</f>
        <v/>
      </c>
      <c r="AF383">
        <f>IF($V383,IF($U383="","",$U383),IF($T383="","",$T383))</f>
        <v/>
      </c>
      <c r="AG383">
        <f>IF($V383,IF($O383="","",$O383),IF($P383="","",$P383))</f>
        <v/>
      </c>
      <c r="AH383" t="n">
        <v>0.1687136105025577</v>
      </c>
      <c r="AI383">
        <f>IF($Y383="worse","Yes",IF($Y383="worse, not significant","Not sure",IF(OR($Y383="too few losses to test",$Y383="too few loans to test"),"Too few losses",IF($Y383="","","No"))))</f>
        <v/>
      </c>
      <c r="AJ383">
        <f>IF($AA383="yes","Yes",IF($AA383="","","No"))</f>
        <v/>
      </c>
    </row>
    <row r="384">
      <c r="A384" t="inlineStr">
        <is>
          <t>grids</t>
        </is>
      </c>
      <c r="B384" t="inlineStr">
        <is>
          <t>ORIG_BAL x ASSET_CLASS</t>
        </is>
      </c>
      <c r="C384" t="inlineStr">
        <is>
          <t>49,152 - 59,984</t>
        </is>
      </c>
      <c r="D384" t="inlineStr">
        <is>
          <t>4</t>
        </is>
      </c>
      <c r="E384" t="inlineStr">
        <is>
          <t>outcome_loans</t>
        </is>
      </c>
      <c r="F384" t="inlineStr">
        <is>
          <t>Outcome, share of loans</t>
        </is>
      </c>
      <c r="G384" t="n">
        <v>384</v>
      </c>
      <c r="H384" t="n">
        <v>384</v>
      </c>
      <c r="I384" t="b">
        <v>0</v>
      </c>
      <c r="J384" t="b">
        <v>0</v>
      </c>
      <c r="K384" t="n">
        <v>1.116747546928328</v>
      </c>
      <c r="L384" t="n">
        <v>0.5476959218733753</v>
      </c>
      <c r="M384" t="n">
        <v>1.492857142857143</v>
      </c>
      <c r="N384" t="n">
        <v>0.1931111996932024</v>
      </c>
      <c r="O384" t="n">
        <v>3.449901510177284</v>
      </c>
      <c r="P384" t="n">
        <v>10.89473684210526</v>
      </c>
      <c r="Q384">
        <f>'_live'!$C$20</f>
        <v/>
      </c>
      <c r="R384" t="inlineStr">
        <is>
          <t>z test</t>
        </is>
      </c>
      <c r="S384" t="inlineStr">
        <is>
          <t>z test</t>
        </is>
      </c>
      <c r="T384" t="n">
        <v>0.07695338148391333</v>
      </c>
      <c r="U384" t="n">
        <v>0.05756578947368421</v>
      </c>
      <c r="V384">
        <f>AND(judged_band,NOT($J384))</f>
        <v/>
      </c>
      <c r="W384">
        <f>IF($K384="","",IF($I384,"too few losses to test",IF(AND($K384&gt;better_at,$K384&lt;worse_at),"in line",IF($K384&gt;=worse_at,IF(AND(ISNUMBER($L384),$L384&lt;significance_bar),"worse","worse, not significant"),IF(AND(ISNUMBER($L384),$L384&lt;significance_bar),"better","better, not significant")))))</f>
        <v/>
      </c>
      <c r="X384">
        <f>IF($M384="","",IF($I384,"too few losses to test",IF(AND($M384&gt;better_at,$M384&lt;worse_at),"in line",IF($M384&gt;=worse_at,IF(AND(ISNUMBER($N384),$N384&lt;significance_bar),"worse","worse, not significant"),IF(AND(ISNUMBER($N384),$N384&lt;significance_bar),"better","better, not significant")))))</f>
        <v/>
      </c>
      <c r="Y384">
        <f>IF($V384,$X384,$W384)</f>
        <v/>
      </c>
      <c r="Z384">
        <f>IF($V384,IF($P384="","",$P384),IF($O384="","",$O384))</f>
        <v/>
      </c>
      <c r="AA384">
        <f>IF(OR($Q384="",$Z384=""),"",IF(AND($Z384&gt;0,$Z384&gt;=$Q384),"yes","below the line"))</f>
        <v/>
      </c>
      <c r="AB384">
        <f>IF($V384,IF($M384="","",$M384),IF($K384="","",$K384))</f>
        <v/>
      </c>
      <c r="AC384">
        <f>IF($V384,IF($N384="","",$N384),IF($L384="","",$L384))</f>
        <v/>
      </c>
      <c r="AD384">
        <f>$Y384</f>
        <v/>
      </c>
      <c r="AE384">
        <f>IF($V384,IF($S384="","",$S384),IF($R384="","",$R384))</f>
        <v/>
      </c>
      <c r="AF384">
        <f>IF($V384,IF($U384="","",$U384),IF($T384="","",$T384))</f>
        <v/>
      </c>
      <c r="AG384">
        <f>IF($V384,IF($O384="","",$O384),IF($P384="","",$P384))</f>
        <v/>
      </c>
      <c r="AH384" t="n">
        <v>0.0859375</v>
      </c>
      <c r="AI384">
        <f>IF($Y384="worse","Yes",IF($Y384="worse, not significant","Not sure",IF(OR($Y384="too few losses to test",$Y384="too few loans to test"),"Too few losses",IF($Y384="","","No"))))</f>
        <v/>
      </c>
      <c r="AJ384">
        <f>IF($AA384="yes","Yes",IF($AA384="","","No"))</f>
        <v/>
      </c>
    </row>
    <row r="385">
      <c r="A385" t="inlineStr">
        <is>
          <t>grids</t>
        </is>
      </c>
      <c r="B385" t="inlineStr">
        <is>
          <t>ORIG_BAL x ASSET_CLASS</t>
        </is>
      </c>
      <c r="C385" t="inlineStr">
        <is>
          <t>49,152 - 59,984</t>
        </is>
      </c>
      <c r="D385" t="inlineStr">
        <is>
          <t>4</t>
        </is>
      </c>
      <c r="E385" t="inlineStr">
        <is>
          <t>outcome_booked</t>
        </is>
      </c>
      <c r="F385" t="inlineStr">
        <is>
          <t>Outcome, share of booked dollars</t>
        </is>
      </c>
      <c r="G385" t="n">
        <v>384</v>
      </c>
      <c r="H385" t="n">
        <v>21031551.46000001</v>
      </c>
      <c r="I385" t="b">
        <v>0</v>
      </c>
      <c r="J385" t="b">
        <v>0</v>
      </c>
      <c r="K385" t="n">
        <v>1.177983127558433</v>
      </c>
      <c r="L385" t="n">
        <v>0.4854514548545146</v>
      </c>
      <c r="M385" t="n">
        <v>1.505495894710763</v>
      </c>
      <c r="N385" t="n">
        <v>0.142985701429857</v>
      </c>
      <c r="O385" t="n">
        <v>276098.6463880397</v>
      </c>
      <c r="P385" t="n">
        <v>613567.8155198356</v>
      </c>
      <c r="Q385">
        <f>'_live'!$C$21</f>
        <v/>
      </c>
      <c r="R385" t="inlineStr">
        <is>
          <t>shuffled: 3,810 of 10,000</t>
        </is>
      </c>
      <c r="S385" t="inlineStr">
        <is>
          <t>shuffled: 428 of 10,000</t>
        </is>
      </c>
      <c r="T385" t="n">
        <v>0.07375884924905865</v>
      </c>
      <c r="U385" t="n">
        <v>0.05771299691269489</v>
      </c>
      <c r="V385">
        <f>AND(judged_band,NOT($J385))</f>
        <v/>
      </c>
      <c r="W385">
        <f>IF($K385="","",IF($I385,"too few losses to test",IF(AND($K385&gt;better_at,$K385&lt;worse_at),"in line",IF($K385&gt;=worse_at,IF(AND(ISNUMBER($L385),$L385&lt;significance_bar),"worse","worse, not significant"),IF(AND(ISNUMBER($L385),$L385&lt;significance_bar),"better","better, not significant")))))</f>
        <v/>
      </c>
      <c r="X385">
        <f>IF($M385="","",IF($I385,"too few losses to test",IF(AND($M385&gt;better_at,$M385&lt;worse_at),"in line",IF($M385&gt;=worse_at,IF(AND(ISNUMBER($N385),$N385&lt;significance_bar),"worse","worse, not significant"),IF(AND(ISNUMBER($N385),$N385&lt;significance_bar),"better","better, not significant")))))</f>
        <v/>
      </c>
      <c r="Y385">
        <f>IF($V385,$X385,$W385)</f>
        <v/>
      </c>
      <c r="Z385">
        <f>IF($V385,IF($P385="","",$P385),IF($O385="","",$O385))</f>
        <v/>
      </c>
      <c r="AA385">
        <f>IF(OR($Q385="",$Z385=""),"",IF(AND($Z385&gt;0,$Z385&gt;=$Q385),"yes","below the line"))</f>
        <v/>
      </c>
      <c r="AB385">
        <f>IF($V385,IF($M385="","",$M385),IF($K385="","",$K385))</f>
        <v/>
      </c>
      <c r="AC385">
        <f>IF($V385,IF($N385="","",$N385),IF($L385="","",$L385))</f>
        <v/>
      </c>
      <c r="AD385">
        <f>$Y385</f>
        <v/>
      </c>
      <c r="AE385">
        <f>IF($V385,IF($S385="","",$S385),IF($R385="","",$R385))</f>
        <v/>
      </c>
      <c r="AF385">
        <f>IF($V385,IF($U385="","",$U385),IF($T385="","",$T385))</f>
        <v/>
      </c>
      <c r="AG385">
        <f>IF($V385,IF($O385="","",$O385),IF($P385="","",$P385))</f>
        <v/>
      </c>
      <c r="AH385" t="n">
        <v>0.0868866799235171</v>
      </c>
      <c r="AI385">
        <f>IF($Y385="worse","Yes",IF($Y385="worse, not significant","Not sure",IF(OR($Y385="too few losses to test",$Y385="too few loans to test"),"Too few losses",IF($Y385="","","No"))))</f>
        <v/>
      </c>
      <c r="AJ385">
        <f>IF($AA385="yes","Yes",IF($AA385="","","No"))</f>
        <v/>
      </c>
    </row>
    <row r="386">
      <c r="A386" t="inlineStr">
        <is>
          <t>grids</t>
        </is>
      </c>
      <c r="B386" t="inlineStr">
        <is>
          <t>ORIG_BAL x ASSET_CLASS</t>
        </is>
      </c>
      <c r="C386" t="inlineStr">
        <is>
          <t>49,152 - 59,984</t>
        </is>
      </c>
      <c r="D386" t="inlineStr">
        <is>
          <t>4</t>
        </is>
      </c>
      <c r="E386" t="inlineStr">
        <is>
          <t>gco_rate</t>
        </is>
      </c>
      <c r="F386" t="inlineStr">
        <is>
          <t>GCO per booked dollar</t>
        </is>
      </c>
      <c r="G386" t="n">
        <v>384</v>
      </c>
      <c r="H386" t="n">
        <v>21031551.46000001</v>
      </c>
      <c r="I386" t="b">
        <v>0</v>
      </c>
      <c r="J386" t="b">
        <v>0</v>
      </c>
      <c r="K386" t="n">
        <v>1.180548335451394</v>
      </c>
      <c r="L386" t="n">
        <v>0.5060605050606051</v>
      </c>
      <c r="M386" t="n">
        <v>1.537723430764651</v>
      </c>
      <c r="N386" t="n">
        <v>0.1583841615838416</v>
      </c>
      <c r="O386" t="n">
        <v>155692.7850394575</v>
      </c>
      <c r="P386" t="n">
        <v>355991.395266063</v>
      </c>
      <c r="Q386">
        <f>'_live'!$C$22</f>
        <v/>
      </c>
      <c r="R386" t="inlineStr">
        <is>
          <t>shuffled: 3,889 of 10,000</t>
        </is>
      </c>
      <c r="S386" t="inlineStr">
        <is>
          <t>shuffled: 395 of 10,000</t>
        </is>
      </c>
      <c r="T386" t="n">
        <v>0.04100187219191208</v>
      </c>
      <c r="U386" t="n">
        <v>0.03147815205136257</v>
      </c>
      <c r="V386">
        <f>AND(judged_band,NOT($J386))</f>
        <v/>
      </c>
      <c r="W386">
        <f>IF($K386="","",IF($I386,"too few losses to test",IF(AND($K386&gt;better_at,$K386&lt;worse_at),"in line",IF($K386&gt;=worse_at,IF(AND(ISNUMBER($L386),$L386&lt;significance_bar),"worse","worse, not significant"),IF(AND(ISNUMBER($L386),$L386&lt;significance_bar),"better","better, not significant")))))</f>
        <v/>
      </c>
      <c r="X386">
        <f>IF($M386="","",IF($I386,"too few losses to test",IF(AND($M386&gt;better_at,$M386&lt;worse_at),"in line",IF($M386&gt;=worse_at,IF(AND(ISNUMBER($N386),$N386&lt;significance_bar),"worse","worse, not significant"),IF(AND(ISNUMBER($N386),$N386&lt;significance_bar),"better","better, not significant")))))</f>
        <v/>
      </c>
      <c r="Y386">
        <f>IF($V386,$X386,$W386)</f>
        <v/>
      </c>
      <c r="Z386">
        <f>IF($V386,IF($P386="","",$P386),IF($O386="","",$O386))</f>
        <v/>
      </c>
      <c r="AA386">
        <f>IF(OR($Q386="",$Z386=""),"",IF(AND($Z386&gt;0,$Z386&gt;=$Q386),"yes","below the line"))</f>
        <v/>
      </c>
      <c r="AB386">
        <f>IF($V386,IF($M386="","",$M386),IF($K386="","",$K386))</f>
        <v/>
      </c>
      <c r="AC386">
        <f>IF($V386,IF($N386="","",$N386),IF($L386="","",$L386))</f>
        <v/>
      </c>
      <c r="AD386">
        <f>$Y386</f>
        <v/>
      </c>
      <c r="AE386">
        <f>IF($V386,IF($S386="","",$S386),IF($R386="","",$R386))</f>
        <v/>
      </c>
      <c r="AF386">
        <f>IF($V386,IF($U386="","",$U386),IF($T386="","",$T386))</f>
        <v/>
      </c>
      <c r="AG386">
        <f>IF($V386,IF($O386="","",$O386),IF($P386="","",$P386))</f>
        <v/>
      </c>
      <c r="AH386" t="n">
        <v>0.04840469196655259</v>
      </c>
      <c r="AI386">
        <f>IF($Y386="worse","Yes",IF($Y386="worse, not significant","Not sure",IF(OR($Y386="too few losses to test",$Y386="too few loans to test"),"Too few losses",IF($Y386="","","No"))))</f>
        <v/>
      </c>
      <c r="AJ386">
        <f>IF($AA386="yes","Yes",IF($AA386="","","No"))</f>
        <v/>
      </c>
    </row>
    <row r="387">
      <c r="A387" t="inlineStr">
        <is>
          <t>grids</t>
        </is>
      </c>
      <c r="B387" t="inlineStr">
        <is>
          <t>ORIG_BAL x ASSET_CLASS</t>
        </is>
      </c>
      <c r="C387" t="inlineStr">
        <is>
          <t>49,152 - 59,984</t>
        </is>
      </c>
      <c r="D387" t="inlineStr">
        <is>
          <t>4</t>
        </is>
      </c>
      <c r="E387" t="inlineStr">
        <is>
          <t>ranr_rate</t>
        </is>
      </c>
      <c r="F387" t="inlineStr">
        <is>
          <t>Profit after losses: RANR per booked dollar</t>
        </is>
      </c>
      <c r="G387" t="n">
        <v>384</v>
      </c>
      <c r="H387" t="n">
        <v>21031551.46000001</v>
      </c>
      <c r="I387" t="b">
        <v>0</v>
      </c>
      <c r="J387" t="b">
        <v>0</v>
      </c>
      <c r="K387" t="n">
        <v>-0.00677845858578624</v>
      </c>
      <c r="L387" t="n">
        <v>0.6965970069659699</v>
      </c>
      <c r="M387" t="n">
        <v>-0.01140533631050764</v>
      </c>
      <c r="N387" t="n">
        <v>0.6385515294624384</v>
      </c>
      <c r="O387" t="n">
        <v>142561.500566442</v>
      </c>
      <c r="P387" t="n">
        <v>239871.917533048</v>
      </c>
      <c r="Q387">
        <f>'_live'!$C$23</f>
        <v/>
      </c>
      <c r="R387" t="inlineStr">
        <is>
          <t>shuffled: 5,224 of 10,000</t>
        </is>
      </c>
      <c r="S387" t="inlineStr">
        <is>
          <t>shuffled: 2,562 of 10,000</t>
        </is>
      </c>
      <c r="T387" t="n">
        <v>0.1285424670504285</v>
      </c>
      <c r="U387" t="n">
        <v>0.1331693447751499</v>
      </c>
      <c r="V387">
        <f>AND(judged_band,NOT($J387))</f>
        <v/>
      </c>
      <c r="W387">
        <f>IF($K387="","",IF(profit_kind="test",IF(OR(NOT(AND(ISNUMBER($L387),$L387&lt;significance_bar)),$K387=0),"in line",IF($K387&lt;0,"worse","better")),IF(OR($K387=0,IF(profit_kind="points",ABS($K387),ABS($K387*$H387))&lt;profit_line*(1-1E-9)),"in line",IF(AND(ISNUMBER($L387),$L387&lt;significance_bar),IF($K387&lt;0,"worse","better"),IF($K387&lt;0,"worse, not significant","better, not significant")))))</f>
        <v/>
      </c>
      <c r="X387">
        <f>IF($M387="","",IF(profit_kind="test",IF(OR(NOT(AND(ISNUMBER($N387),$N387&lt;significance_bar)),$M387=0),"in line",IF($M387&lt;0,"worse","better")),IF(OR($M387=0,IF(profit_kind="points",ABS($M387),ABS($M387*$H387))&lt;profit_line*(1-1E-9)),"in line",IF(AND(ISNUMBER($N387),$N387&lt;significance_bar),IF($M387&lt;0,"worse","better"),IF($M387&lt;0,"worse, not significant","better, not significant")))))</f>
        <v/>
      </c>
      <c r="Y387">
        <f>IF($V387,$X387,$W387)</f>
        <v/>
      </c>
      <c r="Z387">
        <f>IF($V387,IF($P387="","",$P387),IF($O387="","",$O387))</f>
        <v/>
      </c>
      <c r="AA387">
        <f>IF(OR($Q387="",$Z387=""),"",IF(AND($Z387&gt;0,$Z387&gt;=$Q387),"yes","below the line"))</f>
        <v/>
      </c>
      <c r="AB387">
        <f>IF($V387,IF($M387="","",$M387),IF($K387="","",$K387))</f>
        <v/>
      </c>
      <c r="AC387">
        <f>IF($V387,IF($N387="","",$N387),IF($L387="","",$L387))</f>
        <v/>
      </c>
      <c r="AD387">
        <f>IF($Y387="","",IF($Y387="in line",IF(profit_kind="test",IF(ROUND($AB387*100,2)=0,"0.00",TEXT($AB387*100,"+0.00;-0.00"))&amp;" points against "&amp;IF($V387,"its band","the book")&amp;", "&amp;IF($AC387="","not tested","not significant"),IF(profit_kind="points","within "&amp;TEXT(profit_line*100,"0.00")&amp;" points of "&amp;IF($V387,"its band","the book")&amp;" ("&amp;IF(ROUND($AB387*100,2)=0,"0.00",TEXT($AB387*100,"+0.00;-0.00"))&amp;")","within $"&amp;TEXT(profit_line,"#,##0")&amp;" of "&amp;IF($V387,"its band","the book")&amp;" ("&amp;IF(ROUND($AB387*100,2)=0,"0.00",TEXT($AB387*100,"+0.00;-0.00"))&amp;" points)")),IF(LEFT($Y387,5)="worse","short of ","ahead of ")&amp;IF($V387,"its band","the book")&amp;" by "&amp;TEXT(ABS($AB387)*100,"0.00")&amp;" points"&amp;IF($Z387="",""," ($"&amp;TEXT(ABS($Z387),"#,##0")&amp;")")&amp;IF(RIGHT($Y387,15)="not significant"," (not significant)","")))</f>
        <v/>
      </c>
      <c r="AE387">
        <f>IF($V387,IF($S387="","",$S387),IF($R387="","",$R387))</f>
        <v/>
      </c>
      <c r="AF387">
        <f>IF($V387,IF($U387="","",$U387),IF($T387="","",$T387))</f>
        <v/>
      </c>
      <c r="AG387">
        <f>IF($V387,IF($O387="","",$O387),IF($P387="","",$P387))</f>
        <v/>
      </c>
      <c r="AH387" t="n">
        <v>0.1217640084646423</v>
      </c>
      <c r="AI387">
        <f>IF($Y387="worse","Yes",IF($Y387="worse, not significant","Not sure",IF(OR($Y387="too few losses to test",$Y387="too few loans to test"),"Too few losses",IF($Y387="","","No"))))</f>
        <v/>
      </c>
      <c r="AJ387">
        <f>IF($AA387="yes","Yes",IF($AA387="","","No"))</f>
        <v/>
      </c>
    </row>
    <row r="388">
      <c r="A388" t="inlineStr">
        <is>
          <t>grids</t>
        </is>
      </c>
      <c r="B388" t="inlineStr">
        <is>
          <t>ORIG_BAL x ASSET_CLASS</t>
        </is>
      </c>
      <c r="C388" t="inlineStr">
        <is>
          <t>49,152 - 59,984</t>
        </is>
      </c>
      <c r="D388" t="inlineStr">
        <is>
          <t>4</t>
        </is>
      </c>
      <c r="E388" t="inlineStr">
        <is>
          <t>contribution_rate</t>
        </is>
      </c>
      <c r="F388" t="inlineStr">
        <is>
          <t>Contribution before losses per booked dollar</t>
        </is>
      </c>
      <c r="G388" t="n">
        <v>384</v>
      </c>
      <c r="H388" t="n">
        <v>21031551.46000001</v>
      </c>
      <c r="I388" t="b">
        <v>0</v>
      </c>
      <c r="J388" t="b">
        <v>0</v>
      </c>
      <c r="K388" t="n">
        <v>0.0006273816694072898</v>
      </c>
      <c r="L388" t="n">
        <v>0.9446055394460554</v>
      </c>
      <c r="M388" t="n">
        <v>0.005521203604682445</v>
      </c>
      <c r="N388" t="n">
        <v>0.7841034078410342</v>
      </c>
      <c r="O388" t="n">
        <v>-13194.80986520043</v>
      </c>
      <c r="P388" t="n">
        <v>-116119.4777330165</v>
      </c>
      <c r="Q388">
        <f>'_live'!$C$24</f>
        <v/>
      </c>
      <c r="R388" t="inlineStr">
        <is>
          <t>shuffled: 9,276 of 10,000</t>
        </is>
      </c>
      <c r="S388" t="inlineStr">
        <is>
          <t>shuffled: 4,312 of 10,000</t>
        </is>
      </c>
      <c r="T388" t="n">
        <v>0.1695413187617876</v>
      </c>
      <c r="U388" t="n">
        <v>0.1646474968265124</v>
      </c>
      <c r="V388">
        <f>AND(judged_band,NOT($J388))</f>
        <v/>
      </c>
      <c r="W388">
        <f>IF($K388="","",IF(profit_kind="test",IF(OR(NOT(AND(ISNUMBER($L388),$L388&lt;significance_bar)),$K388=0),"in line",IF($K388&lt;0,"worse","better")),IF(OR($K388=0,IF(profit_kind="points",ABS($K388),ABS($K388*$H388))&lt;profit_line*(1-1E-9)),"in line",IF(AND(ISNUMBER($L388),$L388&lt;significance_bar),IF($K388&lt;0,"worse","better"),IF($K388&lt;0,"worse, not significant","better, not significant")))))</f>
        <v/>
      </c>
      <c r="X388">
        <f>IF($M388="","",IF(profit_kind="test",IF(OR(NOT(AND(ISNUMBER($N388),$N388&lt;significance_bar)),$M388=0),"in line",IF($M388&lt;0,"worse","better")),IF(OR($M388=0,IF(profit_kind="points",ABS($M388),ABS($M388*$H388))&lt;profit_line*(1-1E-9)),"in line",IF(AND(ISNUMBER($N388),$N388&lt;significance_bar),IF($M388&lt;0,"worse","better"),IF($M388&lt;0,"worse, not significant","better, not significant")))))</f>
        <v/>
      </c>
      <c r="Y388">
        <f>IF($V388,$X388,$W388)</f>
        <v/>
      </c>
      <c r="Z388">
        <f>IF($V388,IF($P388="","",$P388),IF($O388="","",$O388))</f>
        <v/>
      </c>
      <c r="AA388">
        <f>IF(OR($Q388="",$Z388=""),"",IF(AND($Z388&gt;0,$Z388&gt;=$Q388),"yes","below the line"))</f>
        <v/>
      </c>
      <c r="AB388">
        <f>IF($V388,IF($M388="","",$M388),IF($K388="","",$K388))</f>
        <v/>
      </c>
      <c r="AC388">
        <f>IF($V388,IF($N388="","",$N388),IF($L388="","",$L388))</f>
        <v/>
      </c>
      <c r="AD388">
        <f>IF($Y388="","",IF($Y388="in line",IF(profit_kind="test",IF(ROUND($AB388*100,2)=0,"0.00",TEXT($AB388*100,"+0.00;-0.00"))&amp;" points against "&amp;IF($V388,"its band","the book")&amp;", "&amp;IF($AC388="","not tested","not significant"),IF(profit_kind="points","within "&amp;TEXT(profit_line*100,"0.00")&amp;" points of "&amp;IF($V388,"its band","the book")&amp;" ("&amp;IF(ROUND($AB388*100,2)=0,"0.00",TEXT($AB388*100,"+0.00;-0.00"))&amp;")","within $"&amp;TEXT(profit_line,"#,##0")&amp;" of "&amp;IF($V388,"its band","the book")&amp;" ("&amp;IF(ROUND($AB388*100,2)=0,"0.00",TEXT($AB388*100,"+0.00;-0.00"))&amp;" points)")),IF(LEFT($Y388,5)="worse","short of ","ahead of ")&amp;IF($V388,"its band","the book")&amp;" by "&amp;TEXT(ABS($AB388)*100,"0.00")&amp;" points"&amp;IF($Z388="",""," ($"&amp;TEXT(ABS($Z388),"#,##0")&amp;")")&amp;IF(RIGHT($Y388,15)="not significant"," (not significant)","")))</f>
        <v/>
      </c>
      <c r="AE388">
        <f>IF($V388,IF($S388="","",$S388),IF($R388="","",$R388))</f>
        <v/>
      </c>
      <c r="AF388">
        <f>IF($V388,IF($U388="","",$U388),IF($T388="","",$T388))</f>
        <v/>
      </c>
      <c r="AG388">
        <f>IF($V388,IF($O388="","",$O388),IF($P388="","",$P388))</f>
        <v/>
      </c>
      <c r="AH388" t="n">
        <v>0.1701687004311949</v>
      </c>
      <c r="AI388">
        <f>IF($Y388="worse","Yes",IF($Y388="worse, not significant","Not sure",IF(OR($Y388="too few losses to test",$Y388="too few loans to test"),"Too few losses",IF($Y388="","","No"))))</f>
        <v/>
      </c>
      <c r="AJ388">
        <f>IF($AA388="yes","Yes",IF($AA388="","","No"))</f>
        <v/>
      </c>
    </row>
    <row r="389">
      <c r="A389" t="inlineStr">
        <is>
          <t>grids</t>
        </is>
      </c>
      <c r="B389" t="inlineStr">
        <is>
          <t>ORIG_BAL x ASSET_CLASS</t>
        </is>
      </c>
      <c r="C389" t="inlineStr">
        <is>
          <t>49,152 - 59,984</t>
        </is>
      </c>
      <c r="D389" t="inlineStr">
        <is>
          <t>2</t>
        </is>
      </c>
      <c r="E389" t="inlineStr">
        <is>
          <t>outcome_loans</t>
        </is>
      </c>
      <c r="F389" t="inlineStr">
        <is>
          <t>Outcome, share of loans</t>
        </is>
      </c>
      <c r="G389" t="n">
        <v>398</v>
      </c>
      <c r="H389" t="n">
        <v>398</v>
      </c>
      <c r="I389" t="b">
        <v>0</v>
      </c>
      <c r="J389" t="b">
        <v>0</v>
      </c>
      <c r="K389" t="n">
        <v>0.7703390904100333</v>
      </c>
      <c r="L389" t="n">
        <v>0.3252137135481511</v>
      </c>
      <c r="M389" t="n">
        <v>0.9174988868392596</v>
      </c>
      <c r="N389" t="n">
        <v>0.8263918843944703</v>
      </c>
      <c r="O389" t="n">
        <v>-7.155111169582952</v>
      </c>
      <c r="P389" t="n">
        <v>-2.158069883527453</v>
      </c>
      <c r="Q389">
        <f>'_live'!$C$20</f>
        <v/>
      </c>
      <c r="R389" t="inlineStr">
        <is>
          <t>z test</t>
        </is>
      </c>
      <c r="S389" t="inlineStr">
        <is>
          <t>z test</t>
        </is>
      </c>
      <c r="T389" t="n">
        <v>0.07827917379292199</v>
      </c>
      <c r="U389" t="n">
        <v>0.06572379367720466</v>
      </c>
      <c r="V389">
        <f>AND(judged_band,NOT($J389))</f>
        <v/>
      </c>
      <c r="W389">
        <f>IF($K389="","",IF($I389,"too few losses to test",IF(AND($K389&gt;better_at,$K389&lt;worse_at),"in line",IF($K389&gt;=worse_at,IF(AND(ISNUMBER($L389),$L389&lt;significance_bar),"worse","worse, not significant"),IF(AND(ISNUMBER($L389),$L389&lt;significance_bar),"better","better, not significant")))))</f>
        <v/>
      </c>
      <c r="X389">
        <f>IF($M389="","",IF($I389,"too few losses to test",IF(AND($M389&gt;better_at,$M389&lt;worse_at),"in line",IF($M389&gt;=worse_at,IF(AND(ISNUMBER($N389),$N389&lt;significance_bar),"worse","worse, not significant"),IF(AND(ISNUMBER($N389),$N389&lt;significance_bar),"better","better, not significant")))))</f>
        <v/>
      </c>
      <c r="Y389">
        <f>IF($V389,$X389,$W389)</f>
        <v/>
      </c>
      <c r="Z389">
        <f>IF($V389,IF($P389="","",$P389),IF($O389="","",$O389))</f>
        <v/>
      </c>
      <c r="AA389">
        <f>IF(OR($Q389="",$Z389=""),"",IF(AND($Z389&gt;0,$Z389&gt;=$Q389),"yes","below the line"))</f>
        <v/>
      </c>
      <c r="AB389">
        <f>IF($V389,IF($M389="","",$M389),IF($K389="","",$K389))</f>
        <v/>
      </c>
      <c r="AC389">
        <f>IF($V389,IF($N389="","",$N389),IF($L389="","",$L389))</f>
        <v/>
      </c>
      <c r="AD389">
        <f>$Y389</f>
        <v/>
      </c>
      <c r="AE389">
        <f>IF($V389,IF($S389="","",$S389),IF($R389="","",$R389))</f>
        <v/>
      </c>
      <c r="AF389">
        <f>IF($V389,IF($U389="","",$U389),IF($T389="","",$T389))</f>
        <v/>
      </c>
      <c r="AG389">
        <f>IF($V389,IF($O389="","",$O389),IF($P389="","",$P389))</f>
        <v/>
      </c>
      <c r="AH389" t="n">
        <v>0.06030150753768844</v>
      </c>
      <c r="AI389">
        <f>IF($Y389="worse","Yes",IF($Y389="worse, not significant","Not sure",IF(OR($Y389="too few losses to test",$Y389="too few loans to test"),"Too few losses",IF($Y389="","","No"))))</f>
        <v/>
      </c>
      <c r="AJ389">
        <f>IF($AA389="yes","Yes",IF($AA389="","","No"))</f>
        <v/>
      </c>
    </row>
    <row r="390">
      <c r="A390" t="inlineStr">
        <is>
          <t>grids</t>
        </is>
      </c>
      <c r="B390" t="inlineStr">
        <is>
          <t>ORIG_BAL x ASSET_CLASS</t>
        </is>
      </c>
      <c r="C390" t="inlineStr">
        <is>
          <t>49,152 - 59,984</t>
        </is>
      </c>
      <c r="D390" t="inlineStr">
        <is>
          <t>2</t>
        </is>
      </c>
      <c r="E390" t="inlineStr">
        <is>
          <t>outcome_booked</t>
        </is>
      </c>
      <c r="F390" t="inlineStr">
        <is>
          <t>Outcome, share of booked dollars</t>
        </is>
      </c>
      <c r="G390" t="n">
        <v>398</v>
      </c>
      <c r="H390" t="n">
        <v>21710752.01999999</v>
      </c>
      <c r="I390" t="b">
        <v>0</v>
      </c>
      <c r="J390" t="b">
        <v>0</v>
      </c>
      <c r="K390" t="n">
        <v>0.8008110269966111</v>
      </c>
      <c r="L390" t="n">
        <v>0.4854514548545146</v>
      </c>
      <c r="M390" t="n">
        <v>0.923558470540621</v>
      </c>
      <c r="N390" t="n">
        <v>0.9032846715328468</v>
      </c>
      <c r="O390" t="n">
        <v>-329116.5249981987</v>
      </c>
      <c r="P390" t="n">
        <v>-109516.464003786</v>
      </c>
      <c r="Q390">
        <f>'_live'!$C$21</f>
        <v/>
      </c>
      <c r="R390" t="inlineStr">
        <is>
          <t>shuffled: 3,064 of 10,000</t>
        </is>
      </c>
      <c r="S390" t="inlineStr">
        <is>
          <t>shuffled: 7,226 of 10,000</t>
        </is>
      </c>
      <c r="T390" t="n">
        <v>0.07610435849831974</v>
      </c>
      <c r="U390" t="n">
        <v>0.06598955175223759</v>
      </c>
      <c r="V390">
        <f>AND(judged_band,NOT($J390))</f>
        <v/>
      </c>
      <c r="W390">
        <f>IF($K390="","",IF($I390,"too few losses to test",IF(AND($K390&gt;better_at,$K390&lt;worse_at),"in line",IF($K390&gt;=worse_at,IF(AND(ISNUMBER($L390),$L390&lt;significance_bar),"worse","worse, not significant"),IF(AND(ISNUMBER($L390),$L390&lt;significance_bar),"better","better, not significant")))))</f>
        <v/>
      </c>
      <c r="X390">
        <f>IF($M390="","",IF($I390,"too few losses to test",IF(AND($M390&gt;better_at,$M390&lt;worse_at),"in line",IF($M390&gt;=worse_at,IF(AND(ISNUMBER($N390),$N390&lt;significance_bar),"worse","worse, not significant"),IF(AND(ISNUMBER($N390),$N390&lt;significance_bar),"better","better, not significant")))))</f>
        <v/>
      </c>
      <c r="Y390">
        <f>IF($V390,$X390,$W390)</f>
        <v/>
      </c>
      <c r="Z390">
        <f>IF($V390,IF($P390="","",$P390),IF($O390="","",$O390))</f>
        <v/>
      </c>
      <c r="AA390">
        <f>IF(OR($Q390="",$Z390=""),"",IF(AND($Z390&gt;0,$Z390&gt;=$Q390),"yes","below the line"))</f>
        <v/>
      </c>
      <c r="AB390">
        <f>IF($V390,IF($M390="","",$M390),IF($K390="","",$K390))</f>
        <v/>
      </c>
      <c r="AC390">
        <f>IF($V390,IF($N390="","",$N390),IF($L390="","",$L390))</f>
        <v/>
      </c>
      <c r="AD390">
        <f>$Y390</f>
        <v/>
      </c>
      <c r="AE390">
        <f>IF($V390,IF($S390="","",$S390),IF($R390="","",$R390))</f>
        <v/>
      </c>
      <c r="AF390">
        <f>IF($V390,IF($U390="","",$U390),IF($T390="","",$T390))</f>
        <v/>
      </c>
      <c r="AG390">
        <f>IF($V390,IF($O390="","",$O390),IF($P390="","",$P390))</f>
        <v/>
      </c>
      <c r="AH390" t="n">
        <v>0.0609452094879577</v>
      </c>
      <c r="AI390">
        <f>IF($Y390="worse","Yes",IF($Y390="worse, not significant","Not sure",IF(OR($Y390="too few losses to test",$Y390="too few loans to test"),"Too few losses",IF($Y390="","","No"))))</f>
        <v/>
      </c>
      <c r="AJ390">
        <f>IF($AA390="yes","Yes",IF($AA390="","","No"))</f>
        <v/>
      </c>
    </row>
    <row r="391">
      <c r="A391" t="inlineStr">
        <is>
          <t>grids</t>
        </is>
      </c>
      <c r="B391" t="inlineStr">
        <is>
          <t>ORIG_BAL x ASSET_CLASS</t>
        </is>
      </c>
      <c r="C391" t="inlineStr">
        <is>
          <t>49,152 - 59,984</t>
        </is>
      </c>
      <c r="D391" t="inlineStr">
        <is>
          <t>2</t>
        </is>
      </c>
      <c r="E391" t="inlineStr">
        <is>
          <t>gco_rate</t>
        </is>
      </c>
      <c r="F391" t="inlineStr">
        <is>
          <t>GCO per booked dollar</t>
        </is>
      </c>
      <c r="G391" t="n">
        <v>398</v>
      </c>
      <c r="H391" t="n">
        <v>21710752.01999999</v>
      </c>
      <c r="I391" t="b">
        <v>0</v>
      </c>
      <c r="J391" t="b">
        <v>0</v>
      </c>
      <c r="K391" t="n">
        <v>0.7719560422566663</v>
      </c>
      <c r="L391" t="n">
        <v>0.4196247041962471</v>
      </c>
      <c r="M391" t="n">
        <v>0.8976072147098674</v>
      </c>
      <c r="N391" t="n">
        <v>0.753101160472188</v>
      </c>
      <c r="O391" t="n">
        <v>-210017.6893272295</v>
      </c>
      <c r="P391" t="n">
        <v>-81098.51452340011</v>
      </c>
      <c r="Q391">
        <f>'_live'!$C$22</f>
        <v/>
      </c>
      <c r="R391" t="inlineStr">
        <is>
          <t>shuffled: 2,517 of 10,000</t>
        </is>
      </c>
      <c r="S391" t="inlineStr">
        <is>
          <t>shuffled: 6,401 of 10,000</t>
        </is>
      </c>
      <c r="T391" t="n">
        <v>0.04241919664868568</v>
      </c>
      <c r="U391" t="n">
        <v>0.03648116305661716</v>
      </c>
      <c r="V391">
        <f>AND(judged_band,NOT($J391))</f>
        <v/>
      </c>
      <c r="W391">
        <f>IF($K391="","",IF($I391,"too few losses to test",IF(AND($K391&gt;better_at,$K391&lt;worse_at),"in line",IF($K391&gt;=worse_at,IF(AND(ISNUMBER($L391),$L391&lt;significance_bar),"worse","worse, not significant"),IF(AND(ISNUMBER($L391),$L391&lt;significance_bar),"better","better, not significant")))))</f>
        <v/>
      </c>
      <c r="X391">
        <f>IF($M391="","",IF($I391,"too few losses to test",IF(AND($M391&gt;better_at,$M391&lt;worse_at),"in line",IF($M391&gt;=worse_at,IF(AND(ISNUMBER($N391),$N391&lt;significance_bar),"worse","worse, not significant"),IF(AND(ISNUMBER($N391),$N391&lt;significance_bar),"better","better, not significant")))))</f>
        <v/>
      </c>
      <c r="Y391">
        <f>IF($V391,$X391,$W391)</f>
        <v/>
      </c>
      <c r="Z391">
        <f>IF($V391,IF($P391="","",$P391),IF($O391="","",$O391))</f>
        <v/>
      </c>
      <c r="AA391">
        <f>IF(OR($Q391="",$Z391=""),"",IF(AND($Z391&gt;0,$Z391&gt;=$Q391),"yes","below the line"))</f>
        <v/>
      </c>
      <c r="AB391">
        <f>IF($V391,IF($M391="","",$M391),IF($K391="","",$K391))</f>
        <v/>
      </c>
      <c r="AC391">
        <f>IF($V391,IF($N391="","",$N391),IF($L391="","",$L391))</f>
        <v/>
      </c>
      <c r="AD391">
        <f>$Y391</f>
        <v/>
      </c>
      <c r="AE391">
        <f>IF($V391,IF($S391="","",$S391),IF($R391="","",$R391))</f>
        <v/>
      </c>
      <c r="AF391">
        <f>IF($V391,IF($U391="","",$U391),IF($T391="","",$T391))</f>
        <v/>
      </c>
      <c r="AG391">
        <f>IF($V391,IF($O391="","",$O391),IF($P391="","",$P391))</f>
        <v/>
      </c>
      <c r="AH391" t="n">
        <v>0.03274575516062664</v>
      </c>
      <c r="AI391">
        <f>IF($Y391="worse","Yes",IF($Y391="worse, not significant","Not sure",IF(OR($Y391="too few losses to test",$Y391="too few loans to test"),"Too few losses",IF($Y391="","","No"))))</f>
        <v/>
      </c>
      <c r="AJ391">
        <f>IF($AA391="yes","Yes",IF($AA391="","","No"))</f>
        <v/>
      </c>
    </row>
    <row r="392">
      <c r="A392" t="inlineStr">
        <is>
          <t>grids</t>
        </is>
      </c>
      <c r="B392" t="inlineStr">
        <is>
          <t>ORIG_BAL x ASSET_CLASS</t>
        </is>
      </c>
      <c r="C392" t="inlineStr">
        <is>
          <t>49,152 - 59,984</t>
        </is>
      </c>
      <c r="D392" t="inlineStr">
        <is>
          <t>2</t>
        </is>
      </c>
      <c r="E392" t="inlineStr">
        <is>
          <t>ranr_rate</t>
        </is>
      </c>
      <c r="F392" t="inlineStr">
        <is>
          <t>Profit after losses: RANR per booked dollar</t>
        </is>
      </c>
      <c r="G392" t="n">
        <v>398</v>
      </c>
      <c r="H392" t="n">
        <v>21710752.01999999</v>
      </c>
      <c r="I392" t="b">
        <v>0</v>
      </c>
      <c r="J392" t="b">
        <v>0</v>
      </c>
      <c r="K392" t="n">
        <v>-0.0003355254242683181</v>
      </c>
      <c r="L392" t="n">
        <v>0.9959004099590041</v>
      </c>
      <c r="M392" t="n">
        <v>-0.003647364990909369</v>
      </c>
      <c r="N392" t="n">
        <v>0.7569769338855588</v>
      </c>
      <c r="O392" t="n">
        <v>7284.509282694664</v>
      </c>
      <c r="P392" t="n">
        <v>79187.03684406308</v>
      </c>
      <c r="Q392">
        <f>'_live'!$C$23</f>
        <v/>
      </c>
      <c r="R392" t="inlineStr">
        <is>
          <t>shuffled: 9,778 of 10,000</t>
        </is>
      </c>
      <c r="S392" t="inlineStr">
        <is>
          <t>shuffled: 7,191 of 10,000</t>
        </is>
      </c>
      <c r="T392" t="n">
        <v>0.1280182766917668</v>
      </c>
      <c r="U392" t="n">
        <v>0.1313301162584078</v>
      </c>
      <c r="V392">
        <f>AND(judged_band,NOT($J392))</f>
        <v/>
      </c>
      <c r="W392">
        <f>IF($K392="","",IF(profit_kind="test",IF(OR(NOT(AND(ISNUMBER($L392),$L392&lt;significance_bar)),$K392=0),"in line",IF($K392&lt;0,"worse","better")),IF(OR($K392=0,IF(profit_kind="points",ABS($K392),ABS($K392*$H392))&lt;profit_line*(1-1E-9)),"in line",IF(AND(ISNUMBER($L392),$L392&lt;significance_bar),IF($K392&lt;0,"worse","better"),IF($K392&lt;0,"worse, not significant","better, not significant")))))</f>
        <v/>
      </c>
      <c r="X392">
        <f>IF($M392="","",IF(profit_kind="test",IF(OR(NOT(AND(ISNUMBER($N392),$N392&lt;significance_bar)),$M392=0),"in line",IF($M392&lt;0,"worse","better")),IF(OR($M392=0,IF(profit_kind="points",ABS($M392),ABS($M392*$H392))&lt;profit_line*(1-1E-9)),"in line",IF(AND(ISNUMBER($N392),$N392&lt;significance_bar),IF($M392&lt;0,"worse","better"),IF($M392&lt;0,"worse, not significant","better, not significant")))))</f>
        <v/>
      </c>
      <c r="Y392">
        <f>IF($V392,$X392,$W392)</f>
        <v/>
      </c>
      <c r="Z392">
        <f>IF($V392,IF($P392="","",$P392),IF($O392="","",$O392))</f>
        <v/>
      </c>
      <c r="AA392">
        <f>IF(OR($Q392="",$Z392=""),"",IF(AND($Z392&gt;0,$Z392&gt;=$Q392),"yes","below the line"))</f>
        <v/>
      </c>
      <c r="AB392">
        <f>IF($V392,IF($M392="","",$M392),IF($K392="","",$K392))</f>
        <v/>
      </c>
      <c r="AC392">
        <f>IF($V392,IF($N392="","",$N392),IF($L392="","",$L392))</f>
        <v/>
      </c>
      <c r="AD392">
        <f>IF($Y392="","",IF($Y392="in line",IF(profit_kind="test",IF(ROUND($AB392*100,2)=0,"0.00",TEXT($AB392*100,"+0.00;-0.00"))&amp;" points against "&amp;IF($V392,"its band","the book")&amp;", "&amp;IF($AC392="","not tested","not significant"),IF(profit_kind="points","within "&amp;TEXT(profit_line*100,"0.00")&amp;" points of "&amp;IF($V392,"its band","the book")&amp;" ("&amp;IF(ROUND($AB392*100,2)=0,"0.00",TEXT($AB392*100,"+0.00;-0.00"))&amp;")","within $"&amp;TEXT(profit_line,"#,##0")&amp;" of "&amp;IF($V392,"its band","the book")&amp;" ("&amp;IF(ROUND($AB392*100,2)=0,"0.00",TEXT($AB392*100,"+0.00;-0.00"))&amp;" points)")),IF(LEFT($Y392,5)="worse","short of ","ahead of ")&amp;IF($V392,"its band","the book")&amp;" by "&amp;TEXT(ABS($AB392)*100,"0.00")&amp;" points"&amp;IF($Z392="",""," ($"&amp;TEXT(ABS($Z392),"#,##0")&amp;")")&amp;IF(RIGHT($Y392,15)="not significant"," (not significant)","")))</f>
        <v/>
      </c>
      <c r="AE392">
        <f>IF($V392,IF($S392="","",$S392),IF($R392="","",$R392))</f>
        <v/>
      </c>
      <c r="AF392">
        <f>IF($V392,IF($U392="","",$U392),IF($T392="","",$T392))</f>
        <v/>
      </c>
      <c r="AG392">
        <f>IF($V392,IF($O392="","",$O392),IF($P392="","",$P392))</f>
        <v/>
      </c>
      <c r="AH392" t="n">
        <v>0.1276827512674985</v>
      </c>
      <c r="AI392">
        <f>IF($Y392="worse","Yes",IF($Y392="worse, not significant","Not sure",IF(OR($Y392="too few losses to test",$Y392="too few loans to test"),"Too few losses",IF($Y392="","","No"))))</f>
        <v/>
      </c>
      <c r="AJ392">
        <f>IF($AA392="yes","Yes",IF($AA392="","","No"))</f>
        <v/>
      </c>
    </row>
    <row r="393">
      <c r="A393" t="inlineStr">
        <is>
          <t>grids</t>
        </is>
      </c>
      <c r="B393" t="inlineStr">
        <is>
          <t>ORIG_BAL x ASSET_CLASS</t>
        </is>
      </c>
      <c r="C393" t="inlineStr">
        <is>
          <t>49,152 - 59,984</t>
        </is>
      </c>
      <c r="D393" t="inlineStr">
        <is>
          <t>2</t>
        </is>
      </c>
      <c r="E393" t="inlineStr">
        <is>
          <t>contribution_rate</t>
        </is>
      </c>
      <c r="F393" t="inlineStr">
        <is>
          <t>Contribution before losses per booked dollar</t>
        </is>
      </c>
      <c r="G393" t="n">
        <v>398</v>
      </c>
      <c r="H393" t="n">
        <v>21710752.01999999</v>
      </c>
      <c r="I393" t="b">
        <v>0</v>
      </c>
      <c r="J393" t="b">
        <v>0</v>
      </c>
      <c r="K393" t="n">
        <v>-0.01000584972434315</v>
      </c>
      <c r="L393" t="n">
        <v>0.4171011470281543</v>
      </c>
      <c r="M393" t="n">
        <v>-0.00738277288689998</v>
      </c>
      <c r="N393" t="n">
        <v>0.6194936061949361</v>
      </c>
      <c r="O393" t="n">
        <v>217234.5221145991</v>
      </c>
      <c r="P393" t="n">
        <v>160285.5513674649</v>
      </c>
      <c r="Q393">
        <f>'_live'!$C$24</f>
        <v/>
      </c>
      <c r="R393" t="inlineStr">
        <is>
          <t>shuffled: 1,446 of 10,000</t>
        </is>
      </c>
      <c r="S393" t="inlineStr">
        <is>
          <t>shuffled: 2,787 of 10,000</t>
        </is>
      </c>
      <c r="T393" t="n">
        <v>0.1704343561524681</v>
      </c>
      <c r="U393" t="n">
        <v>0.167811279315025</v>
      </c>
      <c r="V393">
        <f>AND(judged_band,NOT($J393))</f>
        <v/>
      </c>
      <c r="W393">
        <f>IF($K393="","",IF(profit_kind="test",IF(OR(NOT(AND(ISNUMBER($L393),$L393&lt;significance_bar)),$K393=0),"in line",IF($K393&lt;0,"worse","better")),IF(OR($K393=0,IF(profit_kind="points",ABS($K393),ABS($K393*$H393))&lt;profit_line*(1-1E-9)),"in line",IF(AND(ISNUMBER($L393),$L393&lt;significance_bar),IF($K393&lt;0,"worse","better"),IF($K393&lt;0,"worse, not significant","better, not significant")))))</f>
        <v/>
      </c>
      <c r="X393">
        <f>IF($M393="","",IF(profit_kind="test",IF(OR(NOT(AND(ISNUMBER($N393),$N393&lt;significance_bar)),$M393=0),"in line",IF($M393&lt;0,"worse","better")),IF(OR($M393=0,IF(profit_kind="points",ABS($M393),ABS($M393*$H393))&lt;profit_line*(1-1E-9)),"in line",IF(AND(ISNUMBER($N393),$N393&lt;significance_bar),IF($M393&lt;0,"worse","better"),IF($M393&lt;0,"worse, not significant","better, not significant")))))</f>
        <v/>
      </c>
      <c r="Y393">
        <f>IF($V393,$X393,$W393)</f>
        <v/>
      </c>
      <c r="Z393">
        <f>IF($V393,IF($P393="","",$P393),IF($O393="","",$O393))</f>
        <v/>
      </c>
      <c r="AA393">
        <f>IF(OR($Q393="",$Z393=""),"",IF(AND($Z393&gt;0,$Z393&gt;=$Q393),"yes","below the line"))</f>
        <v/>
      </c>
      <c r="AB393">
        <f>IF($V393,IF($M393="","",$M393),IF($K393="","",$K393))</f>
        <v/>
      </c>
      <c r="AC393">
        <f>IF($V393,IF($N393="","",$N393),IF($L393="","",$L393))</f>
        <v/>
      </c>
      <c r="AD393">
        <f>IF($Y393="","",IF($Y393="in line",IF(profit_kind="test",IF(ROUND($AB393*100,2)=0,"0.00",TEXT($AB393*100,"+0.00;-0.00"))&amp;" points against "&amp;IF($V393,"its band","the book")&amp;", "&amp;IF($AC393="","not tested","not significant"),IF(profit_kind="points","within "&amp;TEXT(profit_line*100,"0.00")&amp;" points of "&amp;IF($V393,"its band","the book")&amp;" ("&amp;IF(ROUND($AB393*100,2)=0,"0.00",TEXT($AB393*100,"+0.00;-0.00"))&amp;")","within $"&amp;TEXT(profit_line,"#,##0")&amp;" of "&amp;IF($V393,"its band","the book")&amp;" ("&amp;IF(ROUND($AB393*100,2)=0,"0.00",TEXT($AB393*100,"+0.00;-0.00"))&amp;" points)")),IF(LEFT($Y393,5)="worse","short of ","ahead of ")&amp;IF($V393,"its band","the book")&amp;" by "&amp;TEXT(ABS($AB393)*100,"0.00")&amp;" points"&amp;IF($Z393="",""," ($"&amp;TEXT(ABS($Z393),"#,##0")&amp;")")&amp;IF(RIGHT($Y393,15)="not significant"," (not significant)","")))</f>
        <v/>
      </c>
      <c r="AE393">
        <f>IF($V393,IF($S393="","",$S393),IF($R393="","",$R393))</f>
        <v/>
      </c>
      <c r="AF393">
        <f>IF($V393,IF($U393="","",$U393),IF($T393="","",$T393))</f>
        <v/>
      </c>
      <c r="AG393">
        <f>IF($V393,IF($O393="","",$O393),IF($P393="","",$P393))</f>
        <v/>
      </c>
      <c r="AH393" t="n">
        <v>0.160428506428125</v>
      </c>
      <c r="AI393">
        <f>IF($Y393="worse","Yes",IF($Y393="worse, not significant","Not sure",IF(OR($Y393="too few losses to test",$Y393="too few loans to test"),"Too few losses",IF($Y393="","","No"))))</f>
        <v/>
      </c>
      <c r="AJ393">
        <f>IF($AA393="yes","Yes",IF($AA393="","","No"))</f>
        <v/>
      </c>
    </row>
    <row r="394">
      <c r="A394" t="inlineStr">
        <is>
          <t>grids</t>
        </is>
      </c>
      <c r="B394" t="inlineStr">
        <is>
          <t>ORIG_BAL x ASSET_CLASS</t>
        </is>
      </c>
      <c r="C394" t="inlineStr">
        <is>
          <t>15,449 - 26,323</t>
        </is>
      </c>
      <c r="D394" t="inlineStr">
        <is>
          <t>2</t>
        </is>
      </c>
      <c r="E394" t="inlineStr">
        <is>
          <t>outcome_loans</t>
        </is>
      </c>
      <c r="F394" t="inlineStr">
        <is>
          <t>Outcome, share of loans</t>
        </is>
      </c>
      <c r="G394" t="n">
        <v>356</v>
      </c>
      <c r="H394" t="n">
        <v>356</v>
      </c>
      <c r="I394" t="b">
        <v>0</v>
      </c>
      <c r="J394" t="b">
        <v>0</v>
      </c>
      <c r="K394" t="n">
        <v>0.7911561553083771</v>
      </c>
      <c r="L394" t="n">
        <v>0.3252137135481511</v>
      </c>
      <c r="M394" t="n">
        <v>0.6053260196408032</v>
      </c>
      <c r="N394" t="n">
        <v>0.10535914292023</v>
      </c>
      <c r="O394" t="n">
        <v>-5.807405469056654</v>
      </c>
      <c r="P394" t="n">
        <v>-14.34405144694534</v>
      </c>
      <c r="Q394">
        <f>'_live'!$C$20</f>
        <v/>
      </c>
      <c r="R394" t="inlineStr">
        <is>
          <t>z test</t>
        </is>
      </c>
      <c r="S394" t="inlineStr">
        <is>
          <t>z test</t>
        </is>
      </c>
      <c r="T394" t="n">
        <v>0.07811068951982206</v>
      </c>
      <c r="U394" t="n">
        <v>0.1020900321543408</v>
      </c>
      <c r="V394">
        <f>AND(judged_band,NOT($J394))</f>
        <v/>
      </c>
      <c r="W394">
        <f>IF($K394="","",IF($I394,"too few losses to test",IF(AND($K394&gt;better_at,$K394&lt;worse_at),"in line",IF($K394&gt;=worse_at,IF(AND(ISNUMBER($L394),$L394&lt;significance_bar),"worse","worse, not significant"),IF(AND(ISNUMBER($L394),$L394&lt;significance_bar),"better","better, not significant")))))</f>
        <v/>
      </c>
      <c r="X394">
        <f>IF($M394="","",IF($I394,"too few losses to test",IF(AND($M394&gt;better_at,$M394&lt;worse_at),"in line",IF($M394&gt;=worse_at,IF(AND(ISNUMBER($N394),$N394&lt;significance_bar),"worse","worse, not significant"),IF(AND(ISNUMBER($N394),$N394&lt;significance_bar),"better","better, not significant")))))</f>
        <v/>
      </c>
      <c r="Y394">
        <f>IF($V394,$X394,$W394)</f>
        <v/>
      </c>
      <c r="Z394">
        <f>IF($V394,IF($P394="","",$P394),IF($O394="","",$O394))</f>
        <v/>
      </c>
      <c r="AA394">
        <f>IF(OR($Q394="",$Z394=""),"",IF(AND($Z394&gt;0,$Z394&gt;=$Q394),"yes","below the line"))</f>
        <v/>
      </c>
      <c r="AB394">
        <f>IF($V394,IF($M394="","",$M394),IF($K394="","",$K394))</f>
        <v/>
      </c>
      <c r="AC394">
        <f>IF($V394,IF($N394="","",$N394),IF($L394="","",$L394))</f>
        <v/>
      </c>
      <c r="AD394">
        <f>$Y394</f>
        <v/>
      </c>
      <c r="AE394">
        <f>IF($V394,IF($S394="","",$S394),IF($R394="","",$R394))</f>
        <v/>
      </c>
      <c r="AF394">
        <f>IF($V394,IF($U394="","",$U394),IF($T394="","",$T394))</f>
        <v/>
      </c>
      <c r="AG394">
        <f>IF($V394,IF($O394="","",$O394),IF($P394="","",$P394))</f>
        <v/>
      </c>
      <c r="AH394" t="n">
        <v>0.06179775280898876</v>
      </c>
      <c r="AI394">
        <f>IF($Y394="worse","Yes",IF($Y394="worse, not significant","Not sure",IF(OR($Y394="too few losses to test",$Y394="too few loans to test"),"Too few losses",IF($Y394="","","No"))))</f>
        <v/>
      </c>
      <c r="AJ394">
        <f>IF($AA394="yes","Yes",IF($AA394="","","No"))</f>
        <v/>
      </c>
    </row>
    <row r="395">
      <c r="A395" t="inlineStr">
        <is>
          <t>grids</t>
        </is>
      </c>
      <c r="B395" t="inlineStr">
        <is>
          <t>ORIG_BAL x ASSET_CLASS</t>
        </is>
      </c>
      <c r="C395" t="inlineStr">
        <is>
          <t>15,449 - 26,323</t>
        </is>
      </c>
      <c r="D395" t="inlineStr">
        <is>
          <t>2</t>
        </is>
      </c>
      <c r="E395" t="inlineStr">
        <is>
          <t>outcome_booked</t>
        </is>
      </c>
      <c r="F395" t="inlineStr">
        <is>
          <t>Outcome, share of booked dollars</t>
        </is>
      </c>
      <c r="G395" t="n">
        <v>356</v>
      </c>
      <c r="H395" t="n">
        <v>7506879.64</v>
      </c>
      <c r="I395" t="b">
        <v>0</v>
      </c>
      <c r="J395" t="b">
        <v>0</v>
      </c>
      <c r="K395" t="n">
        <v>0.8393083749099637</v>
      </c>
      <c r="L395" t="n">
        <v>0.49550600495506</v>
      </c>
      <c r="M395" t="n">
        <v>0.6145855137555094</v>
      </c>
      <c r="N395" t="n">
        <v>0.1331866813318668</v>
      </c>
      <c r="O395" t="n">
        <v>-90689.48888637481</v>
      </c>
      <c r="P395" t="n">
        <v>-297050.9754260058</v>
      </c>
      <c r="Q395">
        <f>'_live'!$C$21</f>
        <v/>
      </c>
      <c r="R395" t="inlineStr">
        <is>
          <t>shuffled: 4,459 of 10,000</t>
        </is>
      </c>
      <c r="S395" t="inlineStr">
        <is>
          <t>shuffled: 266 of 10,000</t>
        </is>
      </c>
      <c r="T395" t="n">
        <v>0.07518033536586378</v>
      </c>
      <c r="U395" t="n">
        <v>0.10266998438595</v>
      </c>
      <c r="V395">
        <f>AND(judged_band,NOT($J395))</f>
        <v/>
      </c>
      <c r="W395">
        <f>IF($K395="","",IF($I395,"too few losses to test",IF(AND($K395&gt;better_at,$K395&lt;worse_at),"in line",IF($K395&gt;=worse_at,IF(AND(ISNUMBER($L395),$L395&lt;significance_bar),"worse","worse, not significant"),IF(AND(ISNUMBER($L395),$L395&lt;significance_bar),"better","better, not significant")))))</f>
        <v/>
      </c>
      <c r="X395">
        <f>IF($M395="","",IF($I395,"too few losses to test",IF(AND($M395&gt;better_at,$M395&lt;worse_at),"in line",IF($M395&gt;=worse_at,IF(AND(ISNUMBER($N395),$N395&lt;significance_bar),"worse","worse, not significant"),IF(AND(ISNUMBER($N395),$N395&lt;significance_bar),"better","better, not significant")))))</f>
        <v/>
      </c>
      <c r="Y395">
        <f>IF($V395,$X395,$W395)</f>
        <v/>
      </c>
      <c r="Z395">
        <f>IF($V395,IF($P395="","",$P395),IF($O395="","",$O395))</f>
        <v/>
      </c>
      <c r="AA395">
        <f>IF(OR($Q395="",$Z395=""),"",IF(AND($Z395&gt;0,$Z395&gt;=$Q395),"yes","below the line"))</f>
        <v/>
      </c>
      <c r="AB395">
        <f>IF($V395,IF($M395="","",$M395),IF($K395="","",$K395))</f>
        <v/>
      </c>
      <c r="AC395">
        <f>IF($V395,IF($N395="","",$N395),IF($L395="","",$L395))</f>
        <v/>
      </c>
      <c r="AD395">
        <f>$Y395</f>
        <v/>
      </c>
      <c r="AE395">
        <f>IF($V395,IF($S395="","",$S395),IF($R395="","",$R395))</f>
        <v/>
      </c>
      <c r="AF395">
        <f>IF($V395,IF($U395="","",$U395),IF($T395="","",$T395))</f>
        <v/>
      </c>
      <c r="AG395">
        <f>IF($V395,IF($O395="","",$O395),IF($P395="","",$P395))</f>
        <v/>
      </c>
      <c r="AH395" t="n">
        <v>0.0630994851011092</v>
      </c>
      <c r="AI395">
        <f>IF($Y395="worse","Yes",IF($Y395="worse, not significant","Not sure",IF(OR($Y395="too few losses to test",$Y395="too few loans to test"),"Too few losses",IF($Y395="","","No"))))</f>
        <v/>
      </c>
      <c r="AJ395">
        <f>IF($AA395="yes","Yes",IF($AA395="","","No"))</f>
        <v/>
      </c>
    </row>
    <row r="396">
      <c r="A396" t="inlineStr">
        <is>
          <t>grids</t>
        </is>
      </c>
      <c r="B396" t="inlineStr">
        <is>
          <t>ORIG_BAL x ASSET_CLASS</t>
        </is>
      </c>
      <c r="C396" t="inlineStr">
        <is>
          <t>15,449 - 26,323</t>
        </is>
      </c>
      <c r="D396" t="inlineStr">
        <is>
          <t>2</t>
        </is>
      </c>
      <c r="E396" t="inlineStr">
        <is>
          <t>gco_rate</t>
        </is>
      </c>
      <c r="F396" t="inlineStr">
        <is>
          <t>GCO per booked dollar</t>
        </is>
      </c>
      <c r="G396" t="n">
        <v>356</v>
      </c>
      <c r="H396" t="n">
        <v>7506879.64</v>
      </c>
      <c r="I396" t="b">
        <v>0</v>
      </c>
      <c r="J396" t="b">
        <v>0</v>
      </c>
      <c r="K396" t="n">
        <v>0.8201809655444834</v>
      </c>
      <c r="L396" t="n">
        <v>0.5060605050606051</v>
      </c>
      <c r="M396" t="n">
        <v>0.5851305808967144</v>
      </c>
      <c r="N396" t="n">
        <v>0.09399060093990601</v>
      </c>
      <c r="O396" t="n">
        <v>-56457.4670307629</v>
      </c>
      <c r="P396" t="n">
        <v>-182580.3524876645</v>
      </c>
      <c r="Q396">
        <f>'_live'!$C$22</f>
        <v/>
      </c>
      <c r="R396" t="inlineStr">
        <is>
          <t>shuffled: 4,116 of 10,000</t>
        </is>
      </c>
      <c r="S396" t="inlineStr">
        <is>
          <t>shuffled: 187 of 10,000</t>
        </is>
      </c>
      <c r="T396" t="n">
        <v>0.04182406833297289</v>
      </c>
      <c r="U396" t="n">
        <v>0.05862504177403655</v>
      </c>
      <c r="V396">
        <f>AND(judged_band,NOT($J396))</f>
        <v/>
      </c>
      <c r="W396">
        <f>IF($K396="","",IF($I396,"too few losses to test",IF(AND($K396&gt;better_at,$K396&lt;worse_at),"in line",IF($K396&gt;=worse_at,IF(AND(ISNUMBER($L396),$L396&lt;significance_bar),"worse","worse, not significant"),IF(AND(ISNUMBER($L396),$L396&lt;significance_bar),"better","better, not significant")))))</f>
        <v/>
      </c>
      <c r="X396">
        <f>IF($M396="","",IF($I396,"too few losses to test",IF(AND($M396&gt;better_at,$M396&lt;worse_at),"in line",IF($M396&gt;=worse_at,IF(AND(ISNUMBER($N396),$N396&lt;significance_bar),"worse","worse, not significant"),IF(AND(ISNUMBER($N396),$N396&lt;significance_bar),"better","better, not significant")))))</f>
        <v/>
      </c>
      <c r="Y396">
        <f>IF($V396,$X396,$W396)</f>
        <v/>
      </c>
      <c r="Z396">
        <f>IF($V396,IF($P396="","",$P396),IF($O396="","",$O396))</f>
        <v/>
      </c>
      <c r="AA396">
        <f>IF(OR($Q396="",$Z396=""),"",IF(AND($Z396&gt;0,$Z396&gt;=$Q396),"yes","below the line"))</f>
        <v/>
      </c>
      <c r="AB396">
        <f>IF($V396,IF($M396="","",$M396),IF($K396="","",$K396))</f>
        <v/>
      </c>
      <c r="AC396">
        <f>IF($V396,IF($N396="","",$N396),IF($L396="","",$L396))</f>
        <v/>
      </c>
      <c r="AD396">
        <f>$Y396</f>
        <v/>
      </c>
      <c r="AE396">
        <f>IF($V396,IF($S396="","",$S396),IF($R396="","",$R396))</f>
        <v/>
      </c>
      <c r="AF396">
        <f>IF($V396,IF($U396="","",$U396),IF($T396="","",$T396))</f>
        <v/>
      </c>
      <c r="AG396">
        <f>IF($V396,IF($O396="","",$O396),IF($P396="","",$P396))</f>
        <v/>
      </c>
      <c r="AH396" t="n">
        <v>0.03430330474833616</v>
      </c>
      <c r="AI396">
        <f>IF($Y396="worse","Yes",IF($Y396="worse, not significant","Not sure",IF(OR($Y396="too few losses to test",$Y396="too few loans to test"),"Too few losses",IF($Y396="","","No"))))</f>
        <v/>
      </c>
      <c r="AJ396">
        <f>IF($AA396="yes","Yes",IF($AA396="","","No"))</f>
        <v/>
      </c>
    </row>
    <row r="397">
      <c r="A397" t="inlineStr">
        <is>
          <t>grids</t>
        </is>
      </c>
      <c r="B397" t="inlineStr">
        <is>
          <t>ORIG_BAL x ASSET_CLASS</t>
        </is>
      </c>
      <c r="C397" t="inlineStr">
        <is>
          <t>15,449 - 26,323</t>
        </is>
      </c>
      <c r="D397" t="inlineStr">
        <is>
          <t>2</t>
        </is>
      </c>
      <c r="E397" t="inlineStr">
        <is>
          <t>ranr_rate</t>
        </is>
      </c>
      <c r="F397" t="inlineStr">
        <is>
          <t>Profit after losses: RANR per booked dollar</t>
        </is>
      </c>
      <c r="G397" t="n">
        <v>356</v>
      </c>
      <c r="H397" t="n">
        <v>7506879.64</v>
      </c>
      <c r="I397" t="b">
        <v>0</v>
      </c>
      <c r="J397" t="b">
        <v>0</v>
      </c>
      <c r="K397" t="n">
        <v>7.251713622871692e-05</v>
      </c>
      <c r="L397" t="n">
        <v>0.9959004099590041</v>
      </c>
      <c r="M397" t="n">
        <v>0.01160920896194409</v>
      </c>
      <c r="N397" t="n">
        <v>0.6385515294624384</v>
      </c>
      <c r="O397" t="n">
        <v>-544.3774135065032</v>
      </c>
      <c r="P397" t="n">
        <v>-87148.93439292361</v>
      </c>
      <c r="Q397">
        <f>'_live'!$C$23</f>
        <v/>
      </c>
      <c r="R397" t="inlineStr">
        <is>
          <t>shuffled: 9,959 of 10,000</t>
        </is>
      </c>
      <c r="S397" t="inlineStr">
        <is>
          <t>shuffled: 3,450 of 10,000</t>
        </is>
      </c>
      <c r="T397" t="n">
        <v>0.1279879402177939</v>
      </c>
      <c r="U397" t="n">
        <v>0.1164512483920785</v>
      </c>
      <c r="V397">
        <f>AND(judged_band,NOT($J397))</f>
        <v/>
      </c>
      <c r="W397">
        <f>IF($K397="","",IF(profit_kind="test",IF(OR(NOT(AND(ISNUMBER($L397),$L397&lt;significance_bar)),$K397=0),"in line",IF($K397&lt;0,"worse","better")),IF(OR($K397=0,IF(profit_kind="points",ABS($K397),ABS($K397*$H397))&lt;profit_line*(1-1E-9)),"in line",IF(AND(ISNUMBER($L397),$L397&lt;significance_bar),IF($K397&lt;0,"worse","better"),IF($K397&lt;0,"worse, not significant","better, not significant")))))</f>
        <v/>
      </c>
      <c r="X397">
        <f>IF($M397="","",IF(profit_kind="test",IF(OR(NOT(AND(ISNUMBER($N397),$N397&lt;significance_bar)),$M397=0),"in line",IF($M397&lt;0,"worse","better")),IF(OR($M397=0,IF(profit_kind="points",ABS($M397),ABS($M397*$H397))&lt;profit_line*(1-1E-9)),"in line",IF(AND(ISNUMBER($N397),$N397&lt;significance_bar),IF($M397&lt;0,"worse","better"),IF($M397&lt;0,"worse, not significant","better, not significant")))))</f>
        <v/>
      </c>
      <c r="Y397">
        <f>IF($V397,$X397,$W397)</f>
        <v/>
      </c>
      <c r="Z397">
        <f>IF($V397,IF($P397="","",$P397),IF($O397="","",$O397))</f>
        <v/>
      </c>
      <c r="AA397">
        <f>IF(OR($Q397="",$Z397=""),"",IF(AND($Z397&gt;0,$Z397&gt;=$Q397),"yes","below the line"))</f>
        <v/>
      </c>
      <c r="AB397">
        <f>IF($V397,IF($M397="","",$M397),IF($K397="","",$K397))</f>
        <v/>
      </c>
      <c r="AC397">
        <f>IF($V397,IF($N397="","",$N397),IF($L397="","",$L397))</f>
        <v/>
      </c>
      <c r="AD397">
        <f>IF($Y397="","",IF($Y397="in line",IF(profit_kind="test",IF(ROUND($AB397*100,2)=0,"0.00",TEXT($AB397*100,"+0.00;-0.00"))&amp;" points against "&amp;IF($V397,"its band","the book")&amp;", "&amp;IF($AC397="","not tested","not significant"),IF(profit_kind="points","within "&amp;TEXT(profit_line*100,"0.00")&amp;" points of "&amp;IF($V397,"its band","the book")&amp;" ("&amp;IF(ROUND($AB397*100,2)=0,"0.00",TEXT($AB397*100,"+0.00;-0.00"))&amp;")","within $"&amp;TEXT(profit_line,"#,##0")&amp;" of "&amp;IF($V397,"its band","the book")&amp;" ("&amp;IF(ROUND($AB397*100,2)=0,"0.00",TEXT($AB397*100,"+0.00;-0.00"))&amp;" points)")),IF(LEFT($Y397,5)="worse","short of ","ahead of ")&amp;IF($V397,"its band","the book")&amp;" by "&amp;TEXT(ABS($AB397)*100,"0.00")&amp;" points"&amp;IF($Z397="",""," ($"&amp;TEXT(ABS($Z397),"#,##0")&amp;")")&amp;IF(RIGHT($Y397,15)="not significant"," (not significant)","")))</f>
        <v/>
      </c>
      <c r="AE397">
        <f>IF($V397,IF($S397="","",$S397),IF($R397="","",$R397))</f>
        <v/>
      </c>
      <c r="AF397">
        <f>IF($V397,IF($U397="","",$U397),IF($T397="","",$T397))</f>
        <v/>
      </c>
      <c r="AG397">
        <f>IF($V397,IF($O397="","",$O397),IF($P397="","",$P397))</f>
        <v/>
      </c>
      <c r="AH397" t="n">
        <v>0.1280604573540226</v>
      </c>
      <c r="AI397">
        <f>IF($Y397="worse","Yes",IF($Y397="worse, not significant","Not sure",IF(OR($Y397="too few losses to test",$Y397="too few loans to test"),"Too few losses",IF($Y397="","","No"))))</f>
        <v/>
      </c>
      <c r="AJ397">
        <f>IF($AA397="yes","Yes",IF($AA397="","","No"))</f>
        <v/>
      </c>
    </row>
    <row r="398">
      <c r="A398" t="inlineStr">
        <is>
          <t>grids</t>
        </is>
      </c>
      <c r="B398" t="inlineStr">
        <is>
          <t>ORIG_BAL x ASSET_CLASS</t>
        </is>
      </c>
      <c r="C398" t="inlineStr">
        <is>
          <t>15,449 - 26,323</t>
        </is>
      </c>
      <c r="D398" t="inlineStr">
        <is>
          <t>2</t>
        </is>
      </c>
      <c r="E398" t="inlineStr">
        <is>
          <t>contribution_rate</t>
        </is>
      </c>
      <c r="F398" t="inlineStr">
        <is>
          <t>Contribution before losses per booked dollar</t>
        </is>
      </c>
      <c r="G398" t="n">
        <v>356</v>
      </c>
      <c r="H398" t="n">
        <v>7506879.64</v>
      </c>
      <c r="I398" t="b">
        <v>0</v>
      </c>
      <c r="J398" t="b">
        <v>0</v>
      </c>
      <c r="K398" t="n">
        <v>-0.007445301190533521</v>
      </c>
      <c r="L398" t="n">
        <v>0.67215500672155</v>
      </c>
      <c r="M398" t="n">
        <v>-0.01271252806375653</v>
      </c>
      <c r="N398" t="n">
        <v>0.4263573642635736</v>
      </c>
      <c r="O398" t="n">
        <v>55890.97992088366</v>
      </c>
      <c r="P398" t="n">
        <v>95431.41809474234</v>
      </c>
      <c r="Q398">
        <f>'_live'!$C$24</f>
        <v/>
      </c>
      <c r="R398" t="inlineStr">
        <is>
          <t>shuffled: 3,024 of 10,000</t>
        </is>
      </c>
      <c r="S398" t="inlineStr">
        <is>
          <t>shuffled: 857 of 10,000</t>
        </is>
      </c>
      <c r="T398" t="n">
        <v>0.1698090632928921</v>
      </c>
      <c r="U398" t="n">
        <v>0.1750762901661151</v>
      </c>
      <c r="V398">
        <f>AND(judged_band,NOT($J398))</f>
        <v/>
      </c>
      <c r="W398">
        <f>IF($K398="","",IF(profit_kind="test",IF(OR(NOT(AND(ISNUMBER($L398),$L398&lt;significance_bar)),$K398=0),"in line",IF($K398&lt;0,"worse","better")),IF(OR($K398=0,IF(profit_kind="points",ABS($K398),ABS($K398*$H398))&lt;profit_line*(1-1E-9)),"in line",IF(AND(ISNUMBER($L398),$L398&lt;significance_bar),IF($K398&lt;0,"worse","better"),IF($K398&lt;0,"worse, not significant","better, not significant")))))</f>
        <v/>
      </c>
      <c r="X398">
        <f>IF($M398="","",IF(profit_kind="test",IF(OR(NOT(AND(ISNUMBER($N398),$N398&lt;significance_bar)),$M398=0),"in line",IF($M398&lt;0,"worse","better")),IF(OR($M398=0,IF(profit_kind="points",ABS($M398),ABS($M398*$H398))&lt;profit_line*(1-1E-9)),"in line",IF(AND(ISNUMBER($N398),$N398&lt;significance_bar),IF($M398&lt;0,"worse","better"),IF($M398&lt;0,"worse, not significant","better, not significant")))))</f>
        <v/>
      </c>
      <c r="Y398">
        <f>IF($V398,$X398,$W398)</f>
        <v/>
      </c>
      <c r="Z398">
        <f>IF($V398,IF($P398="","",$P398),IF($O398="","",$O398))</f>
        <v/>
      </c>
      <c r="AA398">
        <f>IF(OR($Q398="",$Z398=""),"",IF(AND($Z398&gt;0,$Z398&gt;=$Q398),"yes","below the line"))</f>
        <v/>
      </c>
      <c r="AB398">
        <f>IF($V398,IF($M398="","",$M398),IF($K398="","",$K398))</f>
        <v/>
      </c>
      <c r="AC398">
        <f>IF($V398,IF($N398="","",$N398),IF($L398="","",$L398))</f>
        <v/>
      </c>
      <c r="AD398">
        <f>IF($Y398="","",IF($Y398="in line",IF(profit_kind="test",IF(ROUND($AB398*100,2)=0,"0.00",TEXT($AB398*100,"+0.00;-0.00"))&amp;" points against "&amp;IF($V398,"its band","the book")&amp;", "&amp;IF($AC398="","not tested","not significant"),IF(profit_kind="points","within "&amp;TEXT(profit_line*100,"0.00")&amp;" points of "&amp;IF($V398,"its band","the book")&amp;" ("&amp;IF(ROUND($AB398*100,2)=0,"0.00",TEXT($AB398*100,"+0.00;-0.00"))&amp;")","within $"&amp;TEXT(profit_line,"#,##0")&amp;" of "&amp;IF($V398,"its band","the book")&amp;" ("&amp;IF(ROUND($AB398*100,2)=0,"0.00",TEXT($AB398*100,"+0.00;-0.00"))&amp;" points)")),IF(LEFT($Y398,5)="worse","short of ","ahead of ")&amp;IF($V398,"its band","the book")&amp;" by "&amp;TEXT(ABS($AB398)*100,"0.00")&amp;" points"&amp;IF($Z398="",""," ($"&amp;TEXT(ABS($Z398),"#,##0")&amp;")")&amp;IF(RIGHT($Y398,15)="not significant"," (not significant)","")))</f>
        <v/>
      </c>
      <c r="AE398">
        <f>IF($V398,IF($S398="","",$S398),IF($R398="","",$R398))</f>
        <v/>
      </c>
      <c r="AF398">
        <f>IF($V398,IF($U398="","",$U398),IF($T398="","",$T398))</f>
        <v/>
      </c>
      <c r="AG398">
        <f>IF($V398,IF($O398="","",$O398),IF($P398="","",$P398))</f>
        <v/>
      </c>
      <c r="AH398" t="n">
        <v>0.1623637621023586</v>
      </c>
      <c r="AI398">
        <f>IF($Y398="worse","Yes",IF($Y398="worse, not significant","Not sure",IF(OR($Y398="too few losses to test",$Y398="too few loans to test"),"Too few losses",IF($Y398="","","No"))))</f>
        <v/>
      </c>
      <c r="AJ398">
        <f>IF($AA398="yes","Yes",IF($AA398="","","No"))</f>
        <v/>
      </c>
    </row>
    <row r="399">
      <c r="A399" t="inlineStr">
        <is>
          <t>grids</t>
        </is>
      </c>
      <c r="B399" t="inlineStr">
        <is>
          <t>ORIG_BAL x ASSET_CLASS</t>
        </is>
      </c>
      <c r="C399" t="inlineStr">
        <is>
          <t>15,449 - 26,323</t>
        </is>
      </c>
      <c r="D399" t="inlineStr">
        <is>
          <t>3</t>
        </is>
      </c>
      <c r="E399" t="inlineStr">
        <is>
          <t>outcome_loans</t>
        </is>
      </c>
      <c r="F399" t="inlineStr">
        <is>
          <t>Outcome, share of loans</t>
        </is>
      </c>
      <c r="G399" t="n">
        <v>427</v>
      </c>
      <c r="H399" t="n">
        <v>427</v>
      </c>
      <c r="I399" t="b">
        <v>0</v>
      </c>
      <c r="J399" t="b">
        <v>0</v>
      </c>
      <c r="K399" t="n">
        <v>1.29079182884905</v>
      </c>
      <c r="L399" t="n">
        <v>0.2386421820254684</v>
      </c>
      <c r="M399" t="n">
        <v>1.078290179255401</v>
      </c>
      <c r="N399" t="n">
        <v>0.8263918843944703</v>
      </c>
      <c r="O399" t="n">
        <v>9.461833069202321</v>
      </c>
      <c r="P399" t="n">
        <v>3.049445865302644</v>
      </c>
      <c r="Q399">
        <f>'_live'!$C$20</f>
        <v/>
      </c>
      <c r="R399" t="inlineStr">
        <is>
          <t>z test</t>
        </is>
      </c>
      <c r="S399" t="inlineStr">
        <is>
          <t>z test</t>
        </is>
      </c>
      <c r="T399" t="n">
        <v>0.07620179609086107</v>
      </c>
      <c r="U399" t="n">
        <v>0.09121909633418585</v>
      </c>
      <c r="V399">
        <f>AND(judged_band,NOT($J399))</f>
        <v/>
      </c>
      <c r="W399">
        <f>IF($K399="","",IF($I399,"too few losses to test",IF(AND($K399&gt;better_at,$K399&lt;worse_at),"in line",IF($K399&gt;=worse_at,IF(AND(ISNUMBER($L399),$L399&lt;significance_bar),"worse","worse, not significant"),IF(AND(ISNUMBER($L399),$L399&lt;significance_bar),"better","better, not significant")))))</f>
        <v/>
      </c>
      <c r="X399">
        <f>IF($M399="","",IF($I399,"too few losses to test",IF(AND($M399&gt;better_at,$M399&lt;worse_at),"in line",IF($M399&gt;=worse_at,IF(AND(ISNUMBER($N399),$N399&lt;significance_bar),"worse","worse, not significant"),IF(AND(ISNUMBER($N399),$N399&lt;significance_bar),"better","better, not significant")))))</f>
        <v/>
      </c>
      <c r="Y399">
        <f>IF($V399,$X399,$W399)</f>
        <v/>
      </c>
      <c r="Z399">
        <f>IF($V399,IF($P399="","",$P399),IF($O399="","",$O399))</f>
        <v/>
      </c>
      <c r="AA399">
        <f>IF(OR($Q399="",$Z399=""),"",IF(AND($Z399&gt;0,$Z399&gt;=$Q399),"yes","below the line"))</f>
        <v/>
      </c>
      <c r="AB399">
        <f>IF($V399,IF($M399="","",$M399),IF($K399="","",$K399))</f>
        <v/>
      </c>
      <c r="AC399">
        <f>IF($V399,IF($N399="","",$N399),IF($L399="","",$L399))</f>
        <v/>
      </c>
      <c r="AD399">
        <f>$Y399</f>
        <v/>
      </c>
      <c r="AE399">
        <f>IF($V399,IF($S399="","",$S399),IF($R399="","",$R399))</f>
        <v/>
      </c>
      <c r="AF399">
        <f>IF($V399,IF($U399="","",$U399),IF($T399="","",$T399))</f>
        <v/>
      </c>
      <c r="AG399">
        <f>IF($V399,IF($O399="","",$O399),IF($P399="","",$P399))</f>
        <v/>
      </c>
      <c r="AH399" t="n">
        <v>0.09836065573770492</v>
      </c>
      <c r="AI399">
        <f>IF($Y399="worse","Yes",IF($Y399="worse, not significant","Not sure",IF(OR($Y399="too few losses to test",$Y399="too few loans to test"),"Too few losses",IF($Y399="","","No"))))</f>
        <v/>
      </c>
      <c r="AJ399">
        <f>IF($AA399="yes","Yes",IF($AA399="","","No"))</f>
        <v/>
      </c>
    </row>
    <row r="400">
      <c r="A400" t="inlineStr">
        <is>
          <t>grids</t>
        </is>
      </c>
      <c r="B400" t="inlineStr">
        <is>
          <t>ORIG_BAL x ASSET_CLASS</t>
        </is>
      </c>
      <c r="C400" t="inlineStr">
        <is>
          <t>15,449 - 26,323</t>
        </is>
      </c>
      <c r="D400" t="inlineStr">
        <is>
          <t>3</t>
        </is>
      </c>
      <c r="E400" t="inlineStr">
        <is>
          <t>outcome_booked</t>
        </is>
      </c>
      <c r="F400" t="inlineStr">
        <is>
          <t>Outcome, share of booked dollars</t>
        </is>
      </c>
      <c r="G400" t="n">
        <v>427</v>
      </c>
      <c r="H400" t="n">
        <v>8813109.199999992</v>
      </c>
      <c r="I400" t="b">
        <v>0</v>
      </c>
      <c r="J400" t="b">
        <v>0</v>
      </c>
      <c r="K400" t="n">
        <v>1.362617065842009</v>
      </c>
      <c r="L400" t="n">
        <v>0.2672232776722328</v>
      </c>
      <c r="M400" t="n">
        <v>1.103209314998397</v>
      </c>
      <c r="N400" t="n">
        <v>0.7553911275539112</v>
      </c>
      <c r="O400" t="n">
        <v>236211.3495607757</v>
      </c>
      <c r="P400" t="n">
        <v>83039.99623592512</v>
      </c>
      <c r="Q400">
        <f>'_live'!$C$21</f>
        <v/>
      </c>
      <c r="R400" t="inlineStr">
        <is>
          <t>shuffled: 562 of 10,000</t>
        </is>
      </c>
      <c r="S400" t="inlineStr">
        <is>
          <t>shuffled: 5,665 of 10,000</t>
        </is>
      </c>
      <c r="T400" t="n">
        <v>0.07391343232638317</v>
      </c>
      <c r="U400" t="n">
        <v>0.09129337734338701</v>
      </c>
      <c r="V400">
        <f>AND(judged_band,NOT($J400))</f>
        <v/>
      </c>
      <c r="W400">
        <f>IF($K400="","",IF($I400,"too few losses to test",IF(AND($K400&gt;better_at,$K400&lt;worse_at),"in line",IF($K400&gt;=worse_at,IF(AND(ISNUMBER($L400),$L400&lt;significance_bar),"worse","worse, not significant"),IF(AND(ISNUMBER($L400),$L400&lt;significance_bar),"better","better, not significant")))))</f>
        <v/>
      </c>
      <c r="X400">
        <f>IF($M400="","",IF($I400,"too few losses to test",IF(AND($M400&gt;better_at,$M400&lt;worse_at),"in line",IF($M400&gt;=worse_at,IF(AND(ISNUMBER($N400),$N400&lt;significance_bar),"worse","worse, not significant"),IF(AND(ISNUMBER($N400),$N400&lt;significance_bar),"better","better, not significant")))))</f>
        <v/>
      </c>
      <c r="Y400">
        <f>IF($V400,$X400,$W400)</f>
        <v/>
      </c>
      <c r="Z400">
        <f>IF($V400,IF($P400="","",$P400),IF($O400="","",$O400))</f>
        <v/>
      </c>
      <c r="AA400">
        <f>IF(OR($Q400="",$Z400=""),"",IF(AND($Z400&gt;0,$Z400&gt;=$Q400),"yes","below the line"))</f>
        <v/>
      </c>
      <c r="AB400">
        <f>IF($V400,IF($M400="","",$M400),IF($K400="","",$K400))</f>
        <v/>
      </c>
      <c r="AC400">
        <f>IF($V400,IF($N400="","",$N400),IF($L400="","",$L400))</f>
        <v/>
      </c>
      <c r="AD400">
        <f>$Y400</f>
        <v/>
      </c>
      <c r="AE400">
        <f>IF($V400,IF($S400="","",$S400),IF($R400="","",$R400))</f>
        <v/>
      </c>
      <c r="AF400">
        <f>IF($V400,IF($U400="","",$U400),IF($T400="","",$T400))</f>
        <v/>
      </c>
      <c r="AG400">
        <f>IF($V400,IF($O400="","",$O400),IF($P400="","",$P400))</f>
        <v/>
      </c>
      <c r="AH400" t="n">
        <v>0.1007157042828881</v>
      </c>
      <c r="AI400">
        <f>IF($Y400="worse","Yes",IF($Y400="worse, not significant","Not sure",IF(OR($Y400="too few losses to test",$Y400="too few loans to test"),"Too few losses",IF($Y400="","","No"))))</f>
        <v/>
      </c>
      <c r="AJ400">
        <f>IF($AA400="yes","Yes",IF($AA400="","","No"))</f>
        <v/>
      </c>
    </row>
    <row r="401">
      <c r="A401" t="inlineStr">
        <is>
          <t>grids</t>
        </is>
      </c>
      <c r="B401" t="inlineStr">
        <is>
          <t>ORIG_BAL x ASSET_CLASS</t>
        </is>
      </c>
      <c r="C401" t="inlineStr">
        <is>
          <t>15,449 - 26,323</t>
        </is>
      </c>
      <c r="D401" t="inlineStr">
        <is>
          <t>3</t>
        </is>
      </c>
      <c r="E401" t="inlineStr">
        <is>
          <t>gco_rate</t>
        </is>
      </c>
      <c r="F401" t="inlineStr">
        <is>
          <t>GCO per booked dollar</t>
        </is>
      </c>
      <c r="G401" t="n">
        <v>427</v>
      </c>
      <c r="H401" t="n">
        <v>8813109.199999992</v>
      </c>
      <c r="I401" t="b">
        <v>0</v>
      </c>
      <c r="J401" t="b">
        <v>0</v>
      </c>
      <c r="K401" t="n">
        <v>1.419355221488977</v>
      </c>
      <c r="L401" t="n">
        <v>0.212978702129787</v>
      </c>
      <c r="M401" t="n">
        <v>1.133815158672301</v>
      </c>
      <c r="N401" t="n">
        <v>0.6435356464353565</v>
      </c>
      <c r="O401" t="n">
        <v>151594.3797623762</v>
      </c>
      <c r="P401" t="n">
        <v>60555.72383633268</v>
      </c>
      <c r="Q401">
        <f>'_live'!$C$22</f>
        <v/>
      </c>
      <c r="R401" t="inlineStr">
        <is>
          <t>shuffled: 346 of 10,000</t>
        </is>
      </c>
      <c r="S401" t="inlineStr">
        <is>
          <t>shuffled: 4,826 of 10,000</t>
        </is>
      </c>
      <c r="T401" t="n">
        <v>0.04101775571300355</v>
      </c>
      <c r="U401" t="n">
        <v>0.05134766923841903</v>
      </c>
      <c r="V401">
        <f>AND(judged_band,NOT($J401))</f>
        <v/>
      </c>
      <c r="W401">
        <f>IF($K401="","",IF($I401,"too few losses to test",IF(AND($K401&gt;better_at,$K401&lt;worse_at),"in line",IF($K401&gt;=worse_at,IF(AND(ISNUMBER($L401),$L401&lt;significance_bar),"worse","worse, not significant"),IF(AND(ISNUMBER($L401),$L401&lt;significance_bar),"better","better, not significant")))))</f>
        <v/>
      </c>
      <c r="X401">
        <f>IF($M401="","",IF($I401,"too few losses to test",IF(AND($M401&gt;better_at,$M401&lt;worse_at),"in line",IF($M401&gt;=worse_at,IF(AND(ISNUMBER($N401),$N401&lt;significance_bar),"worse","worse, not significant"),IF(AND(ISNUMBER($N401),$N401&lt;significance_bar),"better","better, not significant")))))</f>
        <v/>
      </c>
      <c r="Y401">
        <f>IF($V401,$X401,$W401)</f>
        <v/>
      </c>
      <c r="Z401">
        <f>IF($V401,IF($P401="","",$P401),IF($O401="","",$O401))</f>
        <v/>
      </c>
      <c r="AA401">
        <f>IF(OR($Q401="",$Z401=""),"",IF(AND($Z401&gt;0,$Z401&gt;=$Q401),"yes","below the line"))</f>
        <v/>
      </c>
      <c r="AB401">
        <f>IF($V401,IF($M401="","",$M401),IF($K401="","",$K401))</f>
        <v/>
      </c>
      <c r="AC401">
        <f>IF($V401,IF($N401="","",$N401),IF($L401="","",$L401))</f>
        <v/>
      </c>
      <c r="AD401">
        <f>$Y401</f>
        <v/>
      </c>
      <c r="AE401">
        <f>IF($V401,IF($S401="","",$S401),IF($R401="","",$R401))</f>
        <v/>
      </c>
      <c r="AF401">
        <f>IF($V401,IF($U401="","",$U401),IF($T401="","",$T401))</f>
        <v/>
      </c>
      <c r="AG401">
        <f>IF($V401,IF($O401="","",$O401),IF($P401="","",$P401))</f>
        <v/>
      </c>
      <c r="AH401" t="n">
        <v>0.05821876574501091</v>
      </c>
      <c r="AI401">
        <f>IF($Y401="worse","Yes",IF($Y401="worse, not significant","Not sure",IF(OR($Y401="too few losses to test",$Y401="too few loans to test"),"Too few losses",IF($Y401="","","No"))))</f>
        <v/>
      </c>
      <c r="AJ401">
        <f>IF($AA401="yes","Yes",IF($AA401="","","No"))</f>
        <v/>
      </c>
    </row>
    <row r="402">
      <c r="A402" t="inlineStr">
        <is>
          <t>grids</t>
        </is>
      </c>
      <c r="B402" t="inlineStr">
        <is>
          <t>ORIG_BAL x ASSET_CLASS</t>
        </is>
      </c>
      <c r="C402" t="inlineStr">
        <is>
          <t>15,449 - 26,323</t>
        </is>
      </c>
      <c r="D402" t="inlineStr">
        <is>
          <t>3</t>
        </is>
      </c>
      <c r="E402" t="inlineStr">
        <is>
          <t>ranr_rate</t>
        </is>
      </c>
      <c r="F402" t="inlineStr">
        <is>
          <t>Profit after losses: RANR per booked dollar</t>
        </is>
      </c>
      <c r="G402" t="n">
        <v>427</v>
      </c>
      <c r="H402" t="n">
        <v>8813109.199999992</v>
      </c>
      <c r="I402" t="b">
        <v>0</v>
      </c>
      <c r="J402" t="b">
        <v>0</v>
      </c>
      <c r="K402" t="n">
        <v>-0.01672302142778362</v>
      </c>
      <c r="L402" t="n">
        <v>0.4674532546745325</v>
      </c>
      <c r="M402" t="n">
        <v>-0.009809129607144196</v>
      </c>
      <c r="N402" t="n">
        <v>0.6385515294624384</v>
      </c>
      <c r="O402" t="n">
        <v>147381.8139969967</v>
      </c>
      <c r="P402" t="n">
        <v>86448.93038471485</v>
      </c>
      <c r="Q402">
        <f>'_live'!$C$23</f>
        <v/>
      </c>
      <c r="R402" t="inlineStr">
        <is>
          <t>shuffled: 934 of 10,000</t>
        </is>
      </c>
      <c r="S402" t="inlineStr">
        <is>
          <t>shuffled: 3,952 of 10,000</t>
        </is>
      </c>
      <c r="T402" t="n">
        <v>0.12856114548053</v>
      </c>
      <c r="U402" t="n">
        <v>0.1216472536598905</v>
      </c>
      <c r="V402">
        <f>AND(judged_band,NOT($J402))</f>
        <v/>
      </c>
      <c r="W402">
        <f>IF($K402="","",IF(profit_kind="test",IF(OR(NOT(AND(ISNUMBER($L402),$L402&lt;significance_bar)),$K402=0),"in line",IF($K402&lt;0,"worse","better")),IF(OR($K402=0,IF(profit_kind="points",ABS($K402),ABS($K402*$H402))&lt;profit_line*(1-1E-9)),"in line",IF(AND(ISNUMBER($L402),$L402&lt;significance_bar),IF($K402&lt;0,"worse","better"),IF($K402&lt;0,"worse, not significant","better, not significant")))))</f>
        <v/>
      </c>
      <c r="X402">
        <f>IF($M402="","",IF(profit_kind="test",IF(OR(NOT(AND(ISNUMBER($N402),$N402&lt;significance_bar)),$M402=0),"in line",IF($M402&lt;0,"worse","better")),IF(OR($M402=0,IF(profit_kind="points",ABS($M402),ABS($M402*$H402))&lt;profit_line*(1-1E-9)),"in line",IF(AND(ISNUMBER($N402),$N402&lt;significance_bar),IF($M402&lt;0,"worse","better"),IF($M402&lt;0,"worse, not significant","better, not significant")))))</f>
        <v/>
      </c>
      <c r="Y402">
        <f>IF($V402,$X402,$W402)</f>
        <v/>
      </c>
      <c r="Z402">
        <f>IF($V402,IF($P402="","",$P402),IF($O402="","",$O402))</f>
        <v/>
      </c>
      <c r="AA402">
        <f>IF(OR($Q402="",$Z402=""),"",IF(AND($Z402&gt;0,$Z402&gt;=$Q402),"yes","below the line"))</f>
        <v/>
      </c>
      <c r="AB402">
        <f>IF($V402,IF($M402="","",$M402),IF($K402="","",$K402))</f>
        <v/>
      </c>
      <c r="AC402">
        <f>IF($V402,IF($N402="","",$N402),IF($L402="","",$L402))</f>
        <v/>
      </c>
      <c r="AD402">
        <f>IF($Y402="","",IF($Y402="in line",IF(profit_kind="test",IF(ROUND($AB402*100,2)=0,"0.00",TEXT($AB402*100,"+0.00;-0.00"))&amp;" points against "&amp;IF($V402,"its band","the book")&amp;", "&amp;IF($AC402="","not tested","not significant"),IF(profit_kind="points","within "&amp;TEXT(profit_line*100,"0.00")&amp;" points of "&amp;IF($V402,"its band","the book")&amp;" ("&amp;IF(ROUND($AB402*100,2)=0,"0.00",TEXT($AB402*100,"+0.00;-0.00"))&amp;")","within $"&amp;TEXT(profit_line,"#,##0")&amp;" of "&amp;IF($V402,"its band","the book")&amp;" ("&amp;IF(ROUND($AB402*100,2)=0,"0.00",TEXT($AB402*100,"+0.00;-0.00"))&amp;" points)")),IF(LEFT($Y402,5)="worse","short of ","ahead of ")&amp;IF($V402,"its band","the book")&amp;" by "&amp;TEXT(ABS($AB402)*100,"0.00")&amp;" points"&amp;IF($Z402="",""," ($"&amp;TEXT(ABS($Z402),"#,##0")&amp;")")&amp;IF(RIGHT($Y402,15)="not significant"," (not significant)","")))</f>
        <v/>
      </c>
      <c r="AE402">
        <f>IF($V402,IF($S402="","",$S402),IF($R402="","",$R402))</f>
        <v/>
      </c>
      <c r="AF402">
        <f>IF($V402,IF($U402="","",$U402),IF($T402="","",$T402))</f>
        <v/>
      </c>
      <c r="AG402">
        <f>IF($V402,IF($O402="","",$O402),IF($P402="","",$P402))</f>
        <v/>
      </c>
      <c r="AH402" t="n">
        <v>0.1118381240527463</v>
      </c>
      <c r="AI402">
        <f>IF($Y402="worse","Yes",IF($Y402="worse, not significant","Not sure",IF(OR($Y402="too few losses to test",$Y402="too few loans to test"),"Too few losses",IF($Y402="","","No"))))</f>
        <v/>
      </c>
      <c r="AJ402">
        <f>IF($AA402="yes","Yes",IF($AA402="","","No"))</f>
        <v/>
      </c>
    </row>
    <row r="403">
      <c r="A403" t="inlineStr">
        <is>
          <t>grids</t>
        </is>
      </c>
      <c r="B403" t="inlineStr">
        <is>
          <t>ORIG_BAL x ASSET_CLASS</t>
        </is>
      </c>
      <c r="C403" t="inlineStr">
        <is>
          <t>15,449 - 26,323</t>
        </is>
      </c>
      <c r="D403" t="inlineStr">
        <is>
          <t>3</t>
        </is>
      </c>
      <c r="E403" t="inlineStr">
        <is>
          <t>contribution_rate</t>
        </is>
      </c>
      <c r="F403" t="inlineStr">
        <is>
          <t>Contribution before losses per booked dollar</t>
        </is>
      </c>
      <c r="G403" t="n">
        <v>427</v>
      </c>
      <c r="H403" t="n">
        <v>8813109.199999992</v>
      </c>
      <c r="I403" t="b">
        <v>0</v>
      </c>
      <c r="J403" t="b">
        <v>0</v>
      </c>
      <c r="K403" t="n">
        <v>0.0004808580235987625</v>
      </c>
      <c r="L403" t="n">
        <v>0.9446055394460554</v>
      </c>
      <c r="M403" t="n">
        <v>-0.002938033100552045</v>
      </c>
      <c r="N403" t="n">
        <v>0.83638694954034</v>
      </c>
      <c r="O403" t="n">
        <v>-4237.8542716722</v>
      </c>
      <c r="P403" t="n">
        <v>25893.20654837973</v>
      </c>
      <c r="Q403">
        <f>'_live'!$C$24</f>
        <v/>
      </c>
      <c r="R403" t="inlineStr">
        <is>
          <t>shuffled: 9,446 of 10,000</t>
        </is>
      </c>
      <c r="S403" t="inlineStr">
        <is>
          <t>shuffled: 6,659 of 10,000</t>
        </is>
      </c>
      <c r="T403" t="n">
        <v>0.1695760317741587</v>
      </c>
      <c r="U403" t="n">
        <v>0.1729949228983095</v>
      </c>
      <c r="V403">
        <f>AND(judged_band,NOT($J403))</f>
        <v/>
      </c>
      <c r="W403">
        <f>IF($K403="","",IF(profit_kind="test",IF(OR(NOT(AND(ISNUMBER($L403),$L403&lt;significance_bar)),$K403=0),"in line",IF($K403&lt;0,"worse","better")),IF(OR($K403=0,IF(profit_kind="points",ABS($K403),ABS($K403*$H403))&lt;profit_line*(1-1E-9)),"in line",IF(AND(ISNUMBER($L403),$L403&lt;significance_bar),IF($K403&lt;0,"worse","better"),IF($K403&lt;0,"worse, not significant","better, not significant")))))</f>
        <v/>
      </c>
      <c r="X403">
        <f>IF($M403="","",IF(profit_kind="test",IF(OR(NOT(AND(ISNUMBER($N403),$N403&lt;significance_bar)),$M403=0),"in line",IF($M403&lt;0,"worse","better")),IF(OR($M403=0,IF(profit_kind="points",ABS($M403),ABS($M403*$H403))&lt;profit_line*(1-1E-9)),"in line",IF(AND(ISNUMBER($N403),$N403&lt;significance_bar),IF($M403&lt;0,"worse","better"),IF($M403&lt;0,"worse, not significant","better, not significant")))))</f>
        <v/>
      </c>
      <c r="Y403">
        <f>IF($V403,$X403,$W403)</f>
        <v/>
      </c>
      <c r="Z403">
        <f>IF($V403,IF($P403="","",$P403),IF($O403="","",$O403))</f>
        <v/>
      </c>
      <c r="AA403">
        <f>IF(OR($Q403="",$Z403=""),"",IF(AND($Z403&gt;0,$Z403&gt;=$Q403),"yes","below the line"))</f>
        <v/>
      </c>
      <c r="AB403">
        <f>IF($V403,IF($M403="","",$M403),IF($K403="","",$K403))</f>
        <v/>
      </c>
      <c r="AC403">
        <f>IF($V403,IF($N403="","",$N403),IF($L403="","",$L403))</f>
        <v/>
      </c>
      <c r="AD403">
        <f>IF($Y403="","",IF($Y403="in line",IF(profit_kind="test",IF(ROUND($AB403*100,2)=0,"0.00",TEXT($AB403*100,"+0.00;-0.00"))&amp;" points against "&amp;IF($V403,"its band","the book")&amp;", "&amp;IF($AC403="","not tested","not significant"),IF(profit_kind="points","within "&amp;TEXT(profit_line*100,"0.00")&amp;" points of "&amp;IF($V403,"its band","the book")&amp;" ("&amp;IF(ROUND($AB403*100,2)=0,"0.00",TEXT($AB403*100,"+0.00;-0.00"))&amp;")","within $"&amp;TEXT(profit_line,"#,##0")&amp;" of "&amp;IF($V403,"its band","the book")&amp;" ("&amp;IF(ROUND($AB403*100,2)=0,"0.00",TEXT($AB403*100,"+0.00;-0.00"))&amp;" points)")),IF(LEFT($Y403,5)="worse","short of ","ahead of ")&amp;IF($V403,"its band","the book")&amp;" by "&amp;TEXT(ABS($AB403)*100,"0.00")&amp;" points"&amp;IF($Z403="",""," ($"&amp;TEXT(ABS($Z403),"#,##0")&amp;")")&amp;IF(RIGHT($Y403,15)="not significant"," (not significant)","")))</f>
        <v/>
      </c>
      <c r="AE403">
        <f>IF($V403,IF($S403="","",$S403),IF($R403="","",$R403))</f>
        <v/>
      </c>
      <c r="AF403">
        <f>IF($V403,IF($U403="","",$U403),IF($T403="","",$T403))</f>
        <v/>
      </c>
      <c r="AG403">
        <f>IF($V403,IF($O403="","",$O403),IF($P403="","",$P403))</f>
        <v/>
      </c>
      <c r="AH403" t="n">
        <v>0.1700568897977575</v>
      </c>
      <c r="AI403">
        <f>IF($Y403="worse","Yes",IF($Y403="worse, not significant","Not sure",IF(OR($Y403="too few losses to test",$Y403="too few loans to test"),"Too few losses",IF($Y403="","","No"))))</f>
        <v/>
      </c>
      <c r="AJ403">
        <f>IF($AA403="yes","Yes",IF($AA403="","","No"))</f>
        <v/>
      </c>
    </row>
    <row r="404">
      <c r="A404" t="inlineStr">
        <is>
          <t>grids</t>
        </is>
      </c>
      <c r="B404" t="inlineStr">
        <is>
          <t>ORIG_BAL x ASSET_CLASS</t>
        </is>
      </c>
      <c r="C404" t="inlineStr">
        <is>
          <t>26,324 - 37,950</t>
        </is>
      </c>
      <c r="D404" t="inlineStr">
        <is>
          <t>3</t>
        </is>
      </c>
      <c r="E404" t="inlineStr">
        <is>
          <t>outcome_loans</t>
        </is>
      </c>
      <c r="F404" t="inlineStr">
        <is>
          <t>Outcome, share of loans</t>
        </is>
      </c>
      <c r="G404" t="n">
        <v>367</v>
      </c>
      <c r="H404" t="n">
        <v>367</v>
      </c>
      <c r="I404" t="b">
        <v>0</v>
      </c>
      <c r="J404" t="b">
        <v>0</v>
      </c>
      <c r="K404" t="n">
        <v>0.6943452529874951</v>
      </c>
      <c r="L404" t="n">
        <v>0.2386421820254684</v>
      </c>
      <c r="M404" t="n">
        <v>0.7453829851650015</v>
      </c>
      <c r="N404" t="n">
        <v>0.3605773107931098</v>
      </c>
      <c r="O404" t="n">
        <v>-8.804114255765199</v>
      </c>
      <c r="P404" t="n">
        <v>-6.831844029244518</v>
      </c>
      <c r="Q404">
        <f>'_live'!$C$20</f>
        <v/>
      </c>
      <c r="R404" t="inlineStr">
        <is>
          <t>z test</t>
        </is>
      </c>
      <c r="S404" t="inlineStr">
        <is>
          <t>z test</t>
        </is>
      </c>
      <c r="T404" t="n">
        <v>0.0784853249475891</v>
      </c>
      <c r="U404" t="n">
        <v>0.07311129163281885</v>
      </c>
      <c r="V404">
        <f>AND(judged_band,NOT($J404))</f>
        <v/>
      </c>
      <c r="W404">
        <f>IF($K404="","",IF($I404,"too few losses to test",IF(AND($K404&gt;better_at,$K404&lt;worse_at),"in line",IF($K404&gt;=worse_at,IF(AND(ISNUMBER($L404),$L404&lt;significance_bar),"worse","worse, not significant"),IF(AND(ISNUMBER($L404),$L404&lt;significance_bar),"better","better, not significant")))))</f>
        <v/>
      </c>
      <c r="X404">
        <f>IF($M404="","",IF($I404,"too few losses to test",IF(AND($M404&gt;better_at,$M404&lt;worse_at),"in line",IF($M404&gt;=worse_at,IF(AND(ISNUMBER($N404),$N404&lt;significance_bar),"worse","worse, not significant"),IF(AND(ISNUMBER($N404),$N404&lt;significance_bar),"better","better, not significant")))))</f>
        <v/>
      </c>
      <c r="Y404">
        <f>IF($V404,$X404,$W404)</f>
        <v/>
      </c>
      <c r="Z404">
        <f>IF($V404,IF($P404="","",$P404),IF($O404="","",$O404))</f>
        <v/>
      </c>
      <c r="AA404">
        <f>IF(OR($Q404="",$Z404=""),"",IF(AND($Z404&gt;0,$Z404&gt;=$Q404),"yes","below the line"))</f>
        <v/>
      </c>
      <c r="AB404">
        <f>IF($V404,IF($M404="","",$M404),IF($K404="","",$K404))</f>
        <v/>
      </c>
      <c r="AC404">
        <f>IF($V404,IF($N404="","",$N404),IF($L404="","",$L404))</f>
        <v/>
      </c>
      <c r="AD404">
        <f>$Y404</f>
        <v/>
      </c>
      <c r="AE404">
        <f>IF($V404,IF($S404="","",$S404),IF($R404="","",$R404))</f>
        <v/>
      </c>
      <c r="AF404">
        <f>IF($V404,IF($U404="","",$U404),IF($T404="","",$T404))</f>
        <v/>
      </c>
      <c r="AG404">
        <f>IF($V404,IF($O404="","",$O404),IF($P404="","",$P404))</f>
        <v/>
      </c>
      <c r="AH404" t="n">
        <v>0.05449591280653951</v>
      </c>
      <c r="AI404">
        <f>IF($Y404="worse","Yes",IF($Y404="worse, not significant","Not sure",IF(OR($Y404="too few losses to test",$Y404="too few loans to test"),"Too few losses",IF($Y404="","","No"))))</f>
        <v/>
      </c>
      <c r="AJ404">
        <f>IF($AA404="yes","Yes",IF($AA404="","","No"))</f>
        <v/>
      </c>
    </row>
    <row r="405">
      <c r="A405" t="inlineStr">
        <is>
          <t>grids</t>
        </is>
      </c>
      <c r="B405" t="inlineStr">
        <is>
          <t>ORIG_BAL x ASSET_CLASS</t>
        </is>
      </c>
      <c r="C405" t="inlineStr">
        <is>
          <t>26,324 - 37,950</t>
        </is>
      </c>
      <c r="D405" t="inlineStr">
        <is>
          <t>3</t>
        </is>
      </c>
      <c r="E405" t="inlineStr">
        <is>
          <t>outcome_booked</t>
        </is>
      </c>
      <c r="F405" t="inlineStr">
        <is>
          <t>Outcome, share of booked dollars</t>
        </is>
      </c>
      <c r="G405" t="n">
        <v>367</v>
      </c>
      <c r="H405" t="n">
        <v>11737978.49999999</v>
      </c>
      <c r="I405" t="b">
        <v>0</v>
      </c>
      <c r="J405" t="b">
        <v>0</v>
      </c>
      <c r="K405" t="n">
        <v>0.7181264741991874</v>
      </c>
      <c r="L405" t="n">
        <v>0.311968803119688</v>
      </c>
      <c r="M405" t="n">
        <v>0.7528171359346884</v>
      </c>
      <c r="N405" t="n">
        <v>0.3952938039529381</v>
      </c>
      <c r="O405" t="n">
        <v>-250796.5494286794</v>
      </c>
      <c r="P405" t="n">
        <v>-209795.9357379008</v>
      </c>
      <c r="Q405">
        <f>'_live'!$C$21</f>
        <v/>
      </c>
      <c r="R405" t="inlineStr">
        <is>
          <t>shuffled: 1,715 of 10,000</t>
        </is>
      </c>
      <c r="S405" t="inlineStr">
        <is>
          <t>shuffled: 2,371 of 10,000</t>
        </is>
      </c>
      <c r="T405" t="n">
        <v>0.07580082971089784</v>
      </c>
      <c r="U405" t="n">
        <v>0.07230784208182878</v>
      </c>
      <c r="V405">
        <f>AND(judged_band,NOT($J405))</f>
        <v/>
      </c>
      <c r="W405">
        <f>IF($K405="","",IF($I405,"too few losses to test",IF(AND($K405&gt;better_at,$K405&lt;worse_at),"in line",IF($K405&gt;=worse_at,IF(AND(ISNUMBER($L405),$L405&lt;significance_bar),"worse","worse, not significant"),IF(AND(ISNUMBER($L405),$L405&lt;significance_bar),"better","better, not significant")))))</f>
        <v/>
      </c>
      <c r="X405">
        <f>IF($M405="","",IF($I405,"too few losses to test",IF(AND($M405&gt;better_at,$M405&lt;worse_at),"in line",IF($M405&gt;=worse_at,IF(AND(ISNUMBER($N405),$N405&lt;significance_bar),"worse","worse, not significant"),IF(AND(ISNUMBER($N405),$N405&lt;significance_bar),"better","better, not significant")))))</f>
        <v/>
      </c>
      <c r="Y405">
        <f>IF($V405,$X405,$W405)</f>
        <v/>
      </c>
      <c r="Z405">
        <f>IF($V405,IF($P405="","",$P405),IF($O405="","",$O405))</f>
        <v/>
      </c>
      <c r="AA405">
        <f>IF(OR($Q405="",$Z405=""),"",IF(AND($Z405&gt;0,$Z405&gt;=$Q405),"yes","below the line"))</f>
        <v/>
      </c>
      <c r="AB405">
        <f>IF($V405,IF($M405="","",$M405),IF($K405="","",$K405))</f>
        <v/>
      </c>
      <c r="AC405">
        <f>IF($V405,IF($N405="","",$N405),IF($L405="","",$L405))</f>
        <v/>
      </c>
      <c r="AD405">
        <f>$Y405</f>
        <v/>
      </c>
      <c r="AE405">
        <f>IF($V405,IF($S405="","",$S405),IF($R405="","",$R405))</f>
        <v/>
      </c>
      <c r="AF405">
        <f>IF($V405,IF($U405="","",$U405),IF($T405="","",$T405))</f>
        <v/>
      </c>
      <c r="AG405">
        <f>IF($V405,IF($O405="","",$O405),IF($P405="","",$P405))</f>
        <v/>
      </c>
      <c r="AH405" t="n">
        <v>0.05443458258166008</v>
      </c>
      <c r="AI405">
        <f>IF($Y405="worse","Yes",IF($Y405="worse, not significant","Not sure",IF(OR($Y405="too few losses to test",$Y405="too few loans to test"),"Too few losses",IF($Y405="","","No"))))</f>
        <v/>
      </c>
      <c r="AJ405">
        <f>IF($AA405="yes","Yes",IF($AA405="","","No"))</f>
        <v/>
      </c>
    </row>
    <row r="406">
      <c r="A406" t="inlineStr">
        <is>
          <t>grids</t>
        </is>
      </c>
      <c r="B406" t="inlineStr">
        <is>
          <t>ORIG_BAL x ASSET_CLASS</t>
        </is>
      </c>
      <c r="C406" t="inlineStr">
        <is>
          <t>26,324 - 37,950</t>
        </is>
      </c>
      <c r="D406" t="inlineStr">
        <is>
          <t>3</t>
        </is>
      </c>
      <c r="E406" t="inlineStr">
        <is>
          <t>gco_rate</t>
        </is>
      </c>
      <c r="F406" t="inlineStr">
        <is>
          <t>GCO per booked dollar</t>
        </is>
      </c>
      <c r="G406" t="n">
        <v>367</v>
      </c>
      <c r="H406" t="n">
        <v>11737978.49999999</v>
      </c>
      <c r="I406" t="b">
        <v>0</v>
      </c>
      <c r="J406" t="b">
        <v>0</v>
      </c>
      <c r="K406" t="n">
        <v>0.7479543881939513</v>
      </c>
      <c r="L406" t="n">
        <v>0.4196247041962471</v>
      </c>
      <c r="M406" t="n">
        <v>0.8026560627618921</v>
      </c>
      <c r="N406" t="n">
        <v>0.5263759338351879</v>
      </c>
      <c r="O406" t="n">
        <v>-124517.1142022781</v>
      </c>
      <c r="P406" t="n">
        <v>-90848.8259018457</v>
      </c>
      <c r="Q406">
        <f>'_live'!$C$22</f>
        <v/>
      </c>
      <c r="R406" t="inlineStr">
        <is>
          <t>shuffled: 2,321 of 10,000</t>
        </is>
      </c>
      <c r="S406" t="inlineStr">
        <is>
          <t>shuffled: 3,651 of 10,000</t>
        </is>
      </c>
      <c r="T406" t="n">
        <v>0.04208783601045771</v>
      </c>
      <c r="U406" t="n">
        <v>0.03921951517476761</v>
      </c>
      <c r="V406">
        <f>AND(judged_band,NOT($J406))</f>
        <v/>
      </c>
      <c r="W406">
        <f>IF($K406="","",IF($I406,"too few losses to test",IF(AND($K406&gt;better_at,$K406&lt;worse_at),"in line",IF($K406&gt;=worse_at,IF(AND(ISNUMBER($L406),$L406&lt;significance_bar),"worse","worse, not significant"),IF(AND(ISNUMBER($L406),$L406&lt;significance_bar),"better","better, not significant")))))</f>
        <v/>
      </c>
      <c r="X406">
        <f>IF($M406="","",IF($I406,"too few losses to test",IF(AND($M406&gt;better_at,$M406&lt;worse_at),"in line",IF($M406&gt;=worse_at,IF(AND(ISNUMBER($N406),$N406&lt;significance_bar),"worse","worse, not significant"),IF(AND(ISNUMBER($N406),$N406&lt;significance_bar),"better","better, not significant")))))</f>
        <v/>
      </c>
      <c r="Y406">
        <f>IF($V406,$X406,$W406)</f>
        <v/>
      </c>
      <c r="Z406">
        <f>IF($V406,IF($P406="","",$P406),IF($O406="","",$O406))</f>
        <v/>
      </c>
      <c r="AA406">
        <f>IF(OR($Q406="",$Z406=""),"",IF(AND($Z406&gt;0,$Z406&gt;=$Q406),"yes","below the line"))</f>
        <v/>
      </c>
      <c r="AB406">
        <f>IF($V406,IF($M406="","",$M406),IF($K406="","",$K406))</f>
        <v/>
      </c>
      <c r="AC406">
        <f>IF($V406,IF($N406="","",$N406),IF($L406="","",$L406))</f>
        <v/>
      </c>
      <c r="AD406">
        <f>$Y406</f>
        <v/>
      </c>
      <c r="AE406">
        <f>IF($V406,IF($S406="","",$S406),IF($R406="","",$R406))</f>
        <v/>
      </c>
      <c r="AF406">
        <f>IF($V406,IF($U406="","",$U406),IF($T406="","",$T406))</f>
        <v/>
      </c>
      <c r="AG406">
        <f>IF($V406,IF($O406="","",$O406),IF($P406="","",$P406))</f>
        <v/>
      </c>
      <c r="AH406" t="n">
        <v>0.03147978163360925</v>
      </c>
      <c r="AI406">
        <f>IF($Y406="worse","Yes",IF($Y406="worse, not significant","Not sure",IF(OR($Y406="too few losses to test",$Y406="too few loans to test"),"Too few losses",IF($Y406="","","No"))))</f>
        <v/>
      </c>
      <c r="AJ406">
        <f>IF($AA406="yes","Yes",IF($AA406="","","No"))</f>
        <v/>
      </c>
    </row>
    <row r="407">
      <c r="A407" t="inlineStr">
        <is>
          <t>grids</t>
        </is>
      </c>
      <c r="B407" t="inlineStr">
        <is>
          <t>ORIG_BAL x ASSET_CLASS</t>
        </is>
      </c>
      <c r="C407" t="inlineStr">
        <is>
          <t>26,324 - 37,950</t>
        </is>
      </c>
      <c r="D407" t="inlineStr">
        <is>
          <t>3</t>
        </is>
      </c>
      <c r="E407" t="inlineStr">
        <is>
          <t>ranr_rate</t>
        </is>
      </c>
      <c r="F407" t="inlineStr">
        <is>
          <t>Profit after losses: RANR per booked dollar</t>
        </is>
      </c>
      <c r="G407" t="n">
        <v>367</v>
      </c>
      <c r="H407" t="n">
        <v>11737978.49999999</v>
      </c>
      <c r="I407" t="b">
        <v>0</v>
      </c>
      <c r="J407" t="b">
        <v>0</v>
      </c>
      <c r="K407" t="n">
        <v>0.007521318519982445</v>
      </c>
      <c r="L407" t="n">
        <v>0.6965970069659699</v>
      </c>
      <c r="M407" t="n">
        <v>0.005016190149937705</v>
      </c>
      <c r="N407" t="n">
        <v>0.7569769338855588</v>
      </c>
      <c r="O407" t="n">
        <v>-88285.07507920591</v>
      </c>
      <c r="P407" t="n">
        <v>-58879.93213188066</v>
      </c>
      <c r="Q407">
        <f>'_live'!$C$23</f>
        <v/>
      </c>
      <c r="R407" t="inlineStr">
        <is>
          <t>shuffled: 4,905 of 10,000</t>
        </is>
      </c>
      <c r="S407" t="inlineStr">
        <is>
          <t>shuffled: 6,448 of 10,000</t>
        </is>
      </c>
      <c r="T407" t="n">
        <v>0.127647950191832</v>
      </c>
      <c r="U407" t="n">
        <v>0.1301530785618767</v>
      </c>
      <c r="V407">
        <f>AND(judged_band,NOT($J407))</f>
        <v/>
      </c>
      <c r="W407">
        <f>IF($K407="","",IF(profit_kind="test",IF(OR(NOT(AND(ISNUMBER($L407),$L407&lt;significance_bar)),$K407=0),"in line",IF($K407&lt;0,"worse","better")),IF(OR($K407=0,IF(profit_kind="points",ABS($K407),ABS($K407*$H407))&lt;profit_line*(1-1E-9)),"in line",IF(AND(ISNUMBER($L407),$L407&lt;significance_bar),IF($K407&lt;0,"worse","better"),IF($K407&lt;0,"worse, not significant","better, not significant")))))</f>
        <v/>
      </c>
      <c r="X407">
        <f>IF($M407="","",IF(profit_kind="test",IF(OR(NOT(AND(ISNUMBER($N407),$N407&lt;significance_bar)),$M407=0),"in line",IF($M407&lt;0,"worse","better")),IF(OR($M407=0,IF(profit_kind="points",ABS($M407),ABS($M407*$H407))&lt;profit_line*(1-1E-9)),"in line",IF(AND(ISNUMBER($N407),$N407&lt;significance_bar),IF($M407&lt;0,"worse","better"),IF($M407&lt;0,"worse, not significant","better, not significant")))))</f>
        <v/>
      </c>
      <c r="Y407">
        <f>IF($V407,$X407,$W407)</f>
        <v/>
      </c>
      <c r="Z407">
        <f>IF($V407,IF($P407="","",$P407),IF($O407="","",$O407))</f>
        <v/>
      </c>
      <c r="AA407">
        <f>IF(OR($Q407="",$Z407=""),"",IF(AND($Z407&gt;0,$Z407&gt;=$Q407),"yes","below the line"))</f>
        <v/>
      </c>
      <c r="AB407">
        <f>IF($V407,IF($M407="","",$M407),IF($K407="","",$K407))</f>
        <v/>
      </c>
      <c r="AC407">
        <f>IF($V407,IF($N407="","",$N407),IF($L407="","",$L407))</f>
        <v/>
      </c>
      <c r="AD407">
        <f>IF($Y407="","",IF($Y407="in line",IF(profit_kind="test",IF(ROUND($AB407*100,2)=0,"0.00",TEXT($AB407*100,"+0.00;-0.00"))&amp;" points against "&amp;IF($V407,"its band","the book")&amp;", "&amp;IF($AC407="","not tested","not significant"),IF(profit_kind="points","within "&amp;TEXT(profit_line*100,"0.00")&amp;" points of "&amp;IF($V407,"its band","the book")&amp;" ("&amp;IF(ROUND($AB407*100,2)=0,"0.00",TEXT($AB407*100,"+0.00;-0.00"))&amp;")","within $"&amp;TEXT(profit_line,"#,##0")&amp;" of "&amp;IF($V407,"its band","the book")&amp;" ("&amp;IF(ROUND($AB407*100,2)=0,"0.00",TEXT($AB407*100,"+0.00;-0.00"))&amp;" points)")),IF(LEFT($Y407,5)="worse","short of ","ahead of ")&amp;IF($V407,"its band","the book")&amp;" by "&amp;TEXT(ABS($AB407)*100,"0.00")&amp;" points"&amp;IF($Z407="",""," ($"&amp;TEXT(ABS($Z407),"#,##0")&amp;")")&amp;IF(RIGHT($Y407,15)="not significant"," (not significant)","")))</f>
        <v/>
      </c>
      <c r="AE407">
        <f>IF($V407,IF($S407="","",$S407),IF($R407="","",$R407))</f>
        <v/>
      </c>
      <c r="AF407">
        <f>IF($V407,IF($U407="","",$U407),IF($T407="","",$T407))</f>
        <v/>
      </c>
      <c r="AG407">
        <f>IF($V407,IF($O407="","",$O407),IF($P407="","",$P407))</f>
        <v/>
      </c>
      <c r="AH407" t="n">
        <v>0.1351692687118144</v>
      </c>
      <c r="AI407">
        <f>IF($Y407="worse","Yes",IF($Y407="worse, not significant","Not sure",IF(OR($Y407="too few losses to test",$Y407="too few loans to test"),"Too few losses",IF($Y407="","","No"))))</f>
        <v/>
      </c>
      <c r="AJ407">
        <f>IF($AA407="yes","Yes",IF($AA407="","","No"))</f>
        <v/>
      </c>
    </row>
    <row r="408">
      <c r="A408" t="inlineStr">
        <is>
          <t>grids</t>
        </is>
      </c>
      <c r="B408" t="inlineStr">
        <is>
          <t>ORIG_BAL x ASSET_CLASS</t>
        </is>
      </c>
      <c r="C408" t="inlineStr">
        <is>
          <t>26,324 - 37,950</t>
        </is>
      </c>
      <c r="D408" t="inlineStr">
        <is>
          <t>3</t>
        </is>
      </c>
      <c r="E408" t="inlineStr">
        <is>
          <t>contribution_rate</t>
        </is>
      </c>
      <c r="F408" t="inlineStr">
        <is>
          <t>Contribution before losses per booked dollar</t>
        </is>
      </c>
      <c r="G408" t="n">
        <v>367</v>
      </c>
      <c r="H408" t="n">
        <v>11737978.49999999</v>
      </c>
      <c r="I408" t="b">
        <v>0</v>
      </c>
      <c r="J408" t="b">
        <v>0</v>
      </c>
      <c r="K408" t="n">
        <v>-0.003083685219539889</v>
      </c>
      <c r="L408" t="n">
        <v>0.9446055394460554</v>
      </c>
      <c r="M408" t="n">
        <v>-0.002723543391220551</v>
      </c>
      <c r="N408" t="n">
        <v>0.83638694954034</v>
      </c>
      <c r="O408" t="n">
        <v>36196.2308077272</v>
      </c>
      <c r="P408" t="n">
        <v>31968.89376996411</v>
      </c>
      <c r="Q408">
        <f>'_live'!$C$24</f>
        <v/>
      </c>
      <c r="R408" t="inlineStr">
        <is>
          <t>shuffled: 6,695 of 10,000</t>
        </is>
      </c>
      <c r="S408" t="inlineStr">
        <is>
          <t>shuffled: 7,109 of 10,000</t>
        </is>
      </c>
      <c r="T408" t="n">
        <v>0.1697327355649635</v>
      </c>
      <c r="U408" t="n">
        <v>0.1693725937366442</v>
      </c>
      <c r="V408">
        <f>AND(judged_band,NOT($J408))</f>
        <v/>
      </c>
      <c r="W408">
        <f>IF($K408="","",IF(profit_kind="test",IF(OR(NOT(AND(ISNUMBER($L408),$L408&lt;significance_bar)),$K408=0),"in line",IF($K408&lt;0,"worse","better")),IF(OR($K408=0,IF(profit_kind="points",ABS($K408),ABS($K408*$H408))&lt;profit_line*(1-1E-9)),"in line",IF(AND(ISNUMBER($L408),$L408&lt;significance_bar),IF($K408&lt;0,"worse","better"),IF($K408&lt;0,"worse, not significant","better, not significant")))))</f>
        <v/>
      </c>
      <c r="X408">
        <f>IF($M408="","",IF(profit_kind="test",IF(OR(NOT(AND(ISNUMBER($N408),$N408&lt;significance_bar)),$M408=0),"in line",IF($M408&lt;0,"worse","better")),IF(OR($M408=0,IF(profit_kind="points",ABS($M408),ABS($M408*$H408))&lt;profit_line*(1-1E-9)),"in line",IF(AND(ISNUMBER($N408),$N408&lt;significance_bar),IF($M408&lt;0,"worse","better"),IF($M408&lt;0,"worse, not significant","better, not significant")))))</f>
        <v/>
      </c>
      <c r="Y408">
        <f>IF($V408,$X408,$W408)</f>
        <v/>
      </c>
      <c r="Z408">
        <f>IF($V408,IF($P408="","",$P408),IF($O408="","",$O408))</f>
        <v/>
      </c>
      <c r="AA408">
        <f>IF(OR($Q408="",$Z408=""),"",IF(AND($Z408&gt;0,$Z408&gt;=$Q408),"yes","below the line"))</f>
        <v/>
      </c>
      <c r="AB408">
        <f>IF($V408,IF($M408="","",$M408),IF($K408="","",$K408))</f>
        <v/>
      </c>
      <c r="AC408">
        <f>IF($V408,IF($N408="","",$N408),IF($L408="","",$L408))</f>
        <v/>
      </c>
      <c r="AD408">
        <f>IF($Y408="","",IF($Y408="in line",IF(profit_kind="test",IF(ROUND($AB408*100,2)=0,"0.00",TEXT($AB408*100,"+0.00;-0.00"))&amp;" points against "&amp;IF($V408,"its band","the book")&amp;", "&amp;IF($AC408="","not tested","not significant"),IF(profit_kind="points","within "&amp;TEXT(profit_line*100,"0.00")&amp;" points of "&amp;IF($V408,"its band","the book")&amp;" ("&amp;IF(ROUND($AB408*100,2)=0,"0.00",TEXT($AB408*100,"+0.00;-0.00"))&amp;")","within $"&amp;TEXT(profit_line,"#,##0")&amp;" of "&amp;IF($V408,"its band","the book")&amp;" ("&amp;IF(ROUND($AB408*100,2)=0,"0.00",TEXT($AB408*100,"+0.00;-0.00"))&amp;" points)")),IF(LEFT($Y408,5)="worse","short of ","ahead of ")&amp;IF($V408,"its band","the book")&amp;" by "&amp;TEXT(ABS($AB408)*100,"0.00")&amp;" points"&amp;IF($Z408="",""," ($"&amp;TEXT(ABS($Z408),"#,##0")&amp;")")&amp;IF(RIGHT($Y408,15)="not significant"," (not significant)","")))</f>
        <v/>
      </c>
      <c r="AE408">
        <f>IF($V408,IF($S408="","",$S408),IF($R408="","",$R408))</f>
        <v/>
      </c>
      <c r="AF408">
        <f>IF($V408,IF($U408="","",$U408),IF($T408="","",$T408))</f>
        <v/>
      </c>
      <c r="AG408">
        <f>IF($V408,IF($O408="","",$O408),IF($P408="","",$P408))</f>
        <v/>
      </c>
      <c r="AH408" t="n">
        <v>0.1666490503454237</v>
      </c>
      <c r="AI408">
        <f>IF($Y408="worse","Yes",IF($Y408="worse, not significant","Not sure",IF(OR($Y408="too few losses to test",$Y408="too few loans to test"),"Too few losses",IF($Y408="","","No"))))</f>
        <v/>
      </c>
      <c r="AJ408">
        <f>IF($AA408="yes","Yes",IF($AA408="","","No"))</f>
        <v/>
      </c>
    </row>
    <row r="409">
      <c r="A409" t="inlineStr">
        <is>
          <t>three-way</t>
        </is>
      </c>
      <c r="B409" t="inlineStr">
        <is>
          <t>FICO x CHANNEL / SYS_FLAG</t>
        </is>
      </c>
      <c r="C409" t="inlineStr">
        <is>
          <t>(marked missing)</t>
        </is>
      </c>
      <c r="D409" t="inlineStr">
        <is>
          <t>Online / SYS_FLAG N</t>
        </is>
      </c>
      <c r="E409" t="inlineStr">
        <is>
          <t>outcome_loans</t>
        </is>
      </c>
      <c r="F409" t="inlineStr">
        <is>
          <t>Outcome, share of loans</t>
        </is>
      </c>
      <c r="G409" t="n">
        <v>30</v>
      </c>
      <c r="H409" t="n">
        <v>30</v>
      </c>
      <c r="I409" t="b">
        <v>1</v>
      </c>
      <c r="J409" t="b">
        <v>0</v>
      </c>
      <c r="K409" t="n">
        <v>0</v>
      </c>
      <c r="M409" t="n">
        <v>0</v>
      </c>
      <c r="O409" t="n">
        <v>-2.330279834358138</v>
      </c>
      <c r="P409" t="n">
        <v>-2.307692307692308</v>
      </c>
      <c r="Q409">
        <f>'_live'!$C$20</f>
        <v/>
      </c>
      <c r="T409" t="n">
        <v>0.0776759944786046</v>
      </c>
      <c r="U409" t="n">
        <v>0.07692307692307693</v>
      </c>
      <c r="V409">
        <f>AND(judged_band,NOT($J409))</f>
        <v/>
      </c>
      <c r="W409">
        <f>IF($K409="","",IF($I409,"too few losses to test",IF(AND($K409&gt;better_at,$K409&lt;worse_at),"in line",IF($K409&gt;=worse_at,IF(AND(ISNUMBER($L409),$L409&lt;significance_bar),"worse","worse, not significant"),IF(AND(ISNUMBER($L409),$L409&lt;significance_bar),"better","better, not significant")))))</f>
        <v/>
      </c>
      <c r="X409">
        <f>IF($M409="","",IF($I409,"too few losses to test",IF(AND($M409&gt;better_at,$M409&lt;worse_at),"in line",IF($M409&gt;=worse_at,IF(AND(ISNUMBER($N409),$N409&lt;significance_bar),"worse","worse, not significant"),IF(AND(ISNUMBER($N409),$N409&lt;significance_bar),"better","better, not significant")))))</f>
        <v/>
      </c>
      <c r="Y409">
        <f>IF($V409,$X409,$W409)</f>
        <v/>
      </c>
      <c r="Z409">
        <f>IF($V409,IF($P409="","",$P409),IF($O409="","",$O409))</f>
        <v/>
      </c>
      <c r="AA409">
        <f>IF(OR($Q409="",$Z409=""),"",IF(AND($Z409&gt;0,$Z409&gt;=$Q409),"yes","below the line"))</f>
        <v/>
      </c>
      <c r="AB409">
        <f>IF($V409,IF($M409="","",$M409),IF($K409="","",$K409))</f>
        <v/>
      </c>
      <c r="AC409">
        <f>IF($V409,IF($N409="","",$N409),IF($L409="","",$L409))</f>
        <v/>
      </c>
      <c r="AD409">
        <f>$Y409</f>
        <v/>
      </c>
      <c r="AE409">
        <f>IF($V409,IF($S409="","",$S409),IF($R409="","",$R409))</f>
        <v/>
      </c>
      <c r="AF409">
        <f>IF($V409,IF($U409="","",$U409),IF($T409="","",$T409))</f>
        <v/>
      </c>
      <c r="AG409">
        <f>IF($V409,IF($O409="","",$O409),IF($P409="","",$P409))</f>
        <v/>
      </c>
      <c r="AH409" t="n">
        <v>0</v>
      </c>
      <c r="AI409">
        <f>IF($Y409="worse","Yes",IF($Y409="worse, not significant","Not sure",IF(OR($Y409="too few losses to test",$Y409="too few loans to test"),"Too few losses",IF($Y409="","","No"))))</f>
        <v/>
      </c>
      <c r="AJ409">
        <f>IF($AA409="yes","Yes",IF($AA409="","","No"))</f>
        <v/>
      </c>
    </row>
    <row r="410">
      <c r="A410" t="inlineStr">
        <is>
          <t>three-way</t>
        </is>
      </c>
      <c r="B410" t="inlineStr">
        <is>
          <t>FICO x CHANNEL / SYS_FLAG</t>
        </is>
      </c>
      <c r="C410" t="inlineStr">
        <is>
          <t>(marked missing)</t>
        </is>
      </c>
      <c r="D410" t="inlineStr">
        <is>
          <t>Online / SYS_FLAG N</t>
        </is>
      </c>
      <c r="E410" t="inlineStr">
        <is>
          <t>outcome_booked</t>
        </is>
      </c>
      <c r="F410" t="inlineStr">
        <is>
          <t>Outcome, share of booked dollars</t>
        </is>
      </c>
      <c r="G410" t="n">
        <v>30</v>
      </c>
      <c r="H410" t="n">
        <v>979704.2100000001</v>
      </c>
      <c r="I410" t="b">
        <v>1</v>
      </c>
      <c r="J410" t="b">
        <v>0</v>
      </c>
      <c r="K410" t="n">
        <v>0</v>
      </c>
      <c r="M410" t="n">
        <v>0</v>
      </c>
      <c r="O410" t="n">
        <v>-73589.56539037939</v>
      </c>
      <c r="P410" t="n">
        <v>-57899.66609327768</v>
      </c>
      <c r="Q410">
        <f>'_live'!$C$21</f>
        <v/>
      </c>
      <c r="T410" t="n">
        <v>0.07511406467302961</v>
      </c>
      <c r="U410" t="n">
        <v>0.05909912961717055</v>
      </c>
      <c r="V410">
        <f>AND(judged_band,NOT($J410))</f>
        <v/>
      </c>
      <c r="W410">
        <f>IF($K410="","",IF($I410,"too few losses to test",IF(AND($K410&gt;better_at,$K410&lt;worse_at),"in line",IF($K410&gt;=worse_at,IF(AND(ISNUMBER($L410),$L410&lt;significance_bar),"worse","worse, not significant"),IF(AND(ISNUMBER($L410),$L410&lt;significance_bar),"better","better, not significant")))))</f>
        <v/>
      </c>
      <c r="X410">
        <f>IF($M410="","",IF($I410,"too few losses to test",IF(AND($M410&gt;better_at,$M410&lt;worse_at),"in line",IF($M410&gt;=worse_at,IF(AND(ISNUMBER($N410),$N410&lt;significance_bar),"worse","worse, not significant"),IF(AND(ISNUMBER($N410),$N410&lt;significance_bar),"better","better, not significant")))))</f>
        <v/>
      </c>
      <c r="Y410">
        <f>IF($V410,$X410,$W410)</f>
        <v/>
      </c>
      <c r="Z410">
        <f>IF($V410,IF($P410="","",$P410),IF($O410="","",$O410))</f>
        <v/>
      </c>
      <c r="AA410">
        <f>IF(OR($Q410="",$Z410=""),"",IF(AND($Z410&gt;0,$Z410&gt;=$Q410),"yes","below the line"))</f>
        <v/>
      </c>
      <c r="AB410">
        <f>IF($V410,IF($M410="","",$M410),IF($K410="","",$K410))</f>
        <v/>
      </c>
      <c r="AC410">
        <f>IF($V410,IF($N410="","",$N410),IF($L410="","",$L410))</f>
        <v/>
      </c>
      <c r="AD410">
        <f>$Y410</f>
        <v/>
      </c>
      <c r="AE410">
        <f>IF($V410,IF($S410="","",$S410),IF($R410="","",$R410))</f>
        <v/>
      </c>
      <c r="AF410">
        <f>IF($V410,IF($U410="","",$U410),IF($T410="","",$T410))</f>
        <v/>
      </c>
      <c r="AG410">
        <f>IF($V410,IF($O410="","",$O410),IF($P410="","",$P410))</f>
        <v/>
      </c>
      <c r="AH410" t="n">
        <v>0</v>
      </c>
      <c r="AI410">
        <f>IF($Y410="worse","Yes",IF($Y410="worse, not significant","Not sure",IF(OR($Y410="too few losses to test",$Y410="too few loans to test"),"Too few losses",IF($Y410="","","No"))))</f>
        <v/>
      </c>
      <c r="AJ410">
        <f>IF($AA410="yes","Yes",IF($AA410="","","No"))</f>
        <v/>
      </c>
    </row>
    <row r="411">
      <c r="A411" t="inlineStr">
        <is>
          <t>three-way</t>
        </is>
      </c>
      <c r="B411" t="inlineStr">
        <is>
          <t>FICO x CHANNEL / SYS_FLAG</t>
        </is>
      </c>
      <c r="C411" t="inlineStr">
        <is>
          <t>(marked missing)</t>
        </is>
      </c>
      <c r="D411" t="inlineStr">
        <is>
          <t>Online / SYS_FLAG N</t>
        </is>
      </c>
      <c r="E411" t="inlineStr">
        <is>
          <t>gco_rate</t>
        </is>
      </c>
      <c r="F411" t="inlineStr">
        <is>
          <t>GCO per booked dollar</t>
        </is>
      </c>
      <c r="G411" t="n">
        <v>30</v>
      </c>
      <c r="H411" t="n">
        <v>979704.2100000001</v>
      </c>
      <c r="I411" t="b">
        <v>1</v>
      </c>
      <c r="J411" t="b">
        <v>0</v>
      </c>
      <c r="K411" t="n">
        <v>0</v>
      </c>
      <c r="M411" t="n">
        <v>0</v>
      </c>
      <c r="O411" t="n">
        <v>-40916.2075298359</v>
      </c>
      <c r="P411" t="n">
        <v>-30678.90169669115</v>
      </c>
      <c r="Q411">
        <f>'_live'!$C$22</f>
        <v/>
      </c>
      <c r="T411" t="n">
        <v>0.04176383760751206</v>
      </c>
      <c r="U411" t="n">
        <v>0.03131445326410422</v>
      </c>
      <c r="V411">
        <f>AND(judged_band,NOT($J411))</f>
        <v/>
      </c>
      <c r="W411">
        <f>IF($K411="","",IF($I411,"too few losses to test",IF(AND($K411&gt;better_at,$K411&lt;worse_at),"in line",IF($K411&gt;=worse_at,IF(AND(ISNUMBER($L411),$L411&lt;significance_bar),"worse","worse, not significant"),IF(AND(ISNUMBER($L411),$L411&lt;significance_bar),"better","better, not significant")))))</f>
        <v/>
      </c>
      <c r="X411">
        <f>IF($M411="","",IF($I411,"too few losses to test",IF(AND($M411&gt;better_at,$M411&lt;worse_at),"in line",IF($M411&gt;=worse_at,IF(AND(ISNUMBER($N411),$N411&lt;significance_bar),"worse","worse, not significant"),IF(AND(ISNUMBER($N411),$N411&lt;significance_bar),"better","better, not significant")))))</f>
        <v/>
      </c>
      <c r="Y411">
        <f>IF($V411,$X411,$W411)</f>
        <v/>
      </c>
      <c r="Z411">
        <f>IF($V411,IF($P411="","",$P411),IF($O411="","",$O411))</f>
        <v/>
      </c>
      <c r="AA411">
        <f>IF(OR($Q411="",$Z411=""),"",IF(AND($Z411&gt;0,$Z411&gt;=$Q411),"yes","below the line"))</f>
        <v/>
      </c>
      <c r="AB411">
        <f>IF($V411,IF($M411="","",$M411),IF($K411="","",$K411))</f>
        <v/>
      </c>
      <c r="AC411">
        <f>IF($V411,IF($N411="","",$N411),IF($L411="","",$L411))</f>
        <v/>
      </c>
      <c r="AD411">
        <f>$Y411</f>
        <v/>
      </c>
      <c r="AE411">
        <f>IF($V411,IF($S411="","",$S411),IF($R411="","",$R411))</f>
        <v/>
      </c>
      <c r="AF411">
        <f>IF($V411,IF($U411="","",$U411),IF($T411="","",$T411))</f>
        <v/>
      </c>
      <c r="AG411">
        <f>IF($V411,IF($O411="","",$O411),IF($P411="","",$P411))</f>
        <v/>
      </c>
      <c r="AH411" t="n">
        <v>0</v>
      </c>
      <c r="AI411">
        <f>IF($Y411="worse","Yes",IF($Y411="worse, not significant","Not sure",IF(OR($Y411="too few losses to test",$Y411="too few loans to test"),"Too few losses",IF($Y411="","","No"))))</f>
        <v/>
      </c>
      <c r="AJ411">
        <f>IF($AA411="yes","Yes",IF($AA411="","","No"))</f>
        <v/>
      </c>
    </row>
    <row r="412">
      <c r="A412" t="inlineStr">
        <is>
          <t>three-way</t>
        </is>
      </c>
      <c r="B412" t="inlineStr">
        <is>
          <t>FICO x CHANNEL / SYS_FLAG</t>
        </is>
      </c>
      <c r="C412" t="inlineStr">
        <is>
          <t>(marked missing)</t>
        </is>
      </c>
      <c r="D412" t="inlineStr">
        <is>
          <t>Online / SYS_FLAG N</t>
        </is>
      </c>
      <c r="E412" t="inlineStr">
        <is>
          <t>ranr_rate</t>
        </is>
      </c>
      <c r="F412" t="inlineStr">
        <is>
          <t>Profit after losses: RANR per booked dollar</t>
        </is>
      </c>
      <c r="G412" t="n">
        <v>30</v>
      </c>
      <c r="H412" t="n">
        <v>979704.2100000001</v>
      </c>
      <c r="I412" t="b">
        <v>0</v>
      </c>
      <c r="J412" t="b">
        <v>0</v>
      </c>
      <c r="K412" t="n">
        <v>0.1023837797997015</v>
      </c>
      <c r="L412" t="n">
        <v>0.01498350164983502</v>
      </c>
      <c r="M412" t="n">
        <v>0.09182319146240303</v>
      </c>
      <c r="N412" t="n">
        <v>0.03239676032396761</v>
      </c>
      <c r="O412" t="n">
        <v>-100305.8201054805</v>
      </c>
      <c r="P412" t="n">
        <v>-89959.56725135233</v>
      </c>
      <c r="Q412">
        <f>'_live'!$C$23</f>
        <v/>
      </c>
      <c r="R412" t="inlineStr">
        <is>
          <t>shuffled: 80 of 10,000</t>
        </is>
      </c>
      <c r="S412" t="inlineStr">
        <is>
          <t>shuffled: 80 of 10,000</t>
        </is>
      </c>
      <c r="T412" t="n">
        <v>0.1276013705141875</v>
      </c>
      <c r="U412" t="n">
        <v>0.138161958851486</v>
      </c>
      <c r="V412">
        <f>AND(judged_band,NOT($J412))</f>
        <v/>
      </c>
      <c r="W412">
        <f>IF($K412="","",IF(profit_kind="test",IF(OR(NOT(AND(ISNUMBER($L412),$L412&lt;significance_bar)),$K412=0),"in line",IF($K412&lt;0,"worse","better")),IF(OR($K412=0,IF(profit_kind="points",ABS($K412),ABS($K412*$H412))&lt;profit_line*(1-1E-9)),"in line",IF(AND(ISNUMBER($L412),$L412&lt;significance_bar),IF($K412&lt;0,"worse","better"),IF($K412&lt;0,"worse, not significant","better, not significant")))))</f>
        <v/>
      </c>
      <c r="X412">
        <f>IF($M412="","",IF(profit_kind="test",IF(OR(NOT(AND(ISNUMBER($N412),$N412&lt;significance_bar)),$M412=0),"in line",IF($M412&lt;0,"worse","better")),IF(OR($M412=0,IF(profit_kind="points",ABS($M412),ABS($M412*$H412))&lt;profit_line*(1-1E-9)),"in line",IF(AND(ISNUMBER($N412),$N412&lt;significance_bar),IF($M412&lt;0,"worse","better"),IF($M412&lt;0,"worse, not significant","better, not significant")))))</f>
        <v/>
      </c>
      <c r="Y412">
        <f>IF($V412,$X412,$W412)</f>
        <v/>
      </c>
      <c r="Z412">
        <f>IF($V412,IF($P412="","",$P412),IF($O412="","",$O412))</f>
        <v/>
      </c>
      <c r="AA412">
        <f>IF(OR($Q412="",$Z412=""),"",IF(AND($Z412&gt;0,$Z412&gt;=$Q412),"yes","below the line"))</f>
        <v/>
      </c>
      <c r="AB412">
        <f>IF($V412,IF($M412="","",$M412),IF($K412="","",$K412))</f>
        <v/>
      </c>
      <c r="AC412">
        <f>IF($V412,IF($N412="","",$N412),IF($L412="","",$L412))</f>
        <v/>
      </c>
      <c r="AD412">
        <f>IF($Y412="","",IF($Y412="in line",IF(profit_kind="test",IF(ROUND($AB412*100,2)=0,"0.00",TEXT($AB412*100,"+0.00;-0.00"))&amp;" points against "&amp;IF($V412,"its band","the book")&amp;", "&amp;IF($AC412="","not tested","not significant"),IF(profit_kind="points","within "&amp;TEXT(profit_line*100,"0.00")&amp;" points of "&amp;IF($V412,"its band","the book")&amp;" ("&amp;IF(ROUND($AB412*100,2)=0,"0.00",TEXT($AB412*100,"+0.00;-0.00"))&amp;")","within $"&amp;TEXT(profit_line,"#,##0")&amp;" of "&amp;IF($V412,"its band","the book")&amp;" ("&amp;IF(ROUND($AB412*100,2)=0,"0.00",TEXT($AB412*100,"+0.00;-0.00"))&amp;" points)")),IF(LEFT($Y412,5)="worse","short of ","ahead of ")&amp;IF($V412,"its band","the book")&amp;" by "&amp;TEXT(ABS($AB412)*100,"0.00")&amp;" points"&amp;IF($Z412="",""," ($"&amp;TEXT(ABS($Z412),"#,##0")&amp;")")&amp;IF(RIGHT($Y412,15)="not significant"," (not significant)","")))</f>
        <v/>
      </c>
      <c r="AE412">
        <f>IF($V412,IF($S412="","",$S412),IF($R412="","",$R412))</f>
        <v/>
      </c>
      <c r="AF412">
        <f>IF($V412,IF($U412="","",$U412),IF($T412="","",$T412))</f>
        <v/>
      </c>
      <c r="AG412">
        <f>IF($V412,IF($O412="","",$O412),IF($P412="","",$P412))</f>
        <v/>
      </c>
      <c r="AH412" t="n">
        <v>0.229985150313889</v>
      </c>
      <c r="AI412">
        <f>IF($Y412="worse","Yes",IF($Y412="worse, not significant","Not sure",IF(OR($Y412="too few losses to test",$Y412="too few loans to test"),"Too few losses",IF($Y412="","","No"))))</f>
        <v/>
      </c>
      <c r="AJ412">
        <f>IF($AA412="yes","Yes",IF($AA412="","","No"))</f>
        <v/>
      </c>
    </row>
    <row r="413">
      <c r="A413" t="inlineStr">
        <is>
          <t>three-way</t>
        </is>
      </c>
      <c r="B413" t="inlineStr">
        <is>
          <t>FICO x CHANNEL / SYS_FLAG</t>
        </is>
      </c>
      <c r="C413" t="inlineStr">
        <is>
          <t>(marked missing)</t>
        </is>
      </c>
      <c r="D413" t="inlineStr">
        <is>
          <t>Online / SYS_FLAG N</t>
        </is>
      </c>
      <c r="E413" t="inlineStr">
        <is>
          <t>contribution_rate</t>
        </is>
      </c>
      <c r="F413" t="inlineStr">
        <is>
          <t>Contribution before losses per booked dollar</t>
        </is>
      </c>
      <c r="G413" t="n">
        <v>30</v>
      </c>
      <c r="H413" t="n">
        <v>979704.2100000001</v>
      </c>
      <c r="I413" t="b">
        <v>0</v>
      </c>
      <c r="J413" t="b">
        <v>0</v>
      </c>
      <c r="K413" t="n">
        <v>0.06062287234237793</v>
      </c>
      <c r="L413" t="n">
        <v>0.01707521555536754</v>
      </c>
      <c r="M413" t="n">
        <v>0.06050873819829883</v>
      </c>
      <c r="N413" t="n">
        <v>0.08306861621530154</v>
      </c>
      <c r="O413" t="n">
        <v>-59392.48325612023</v>
      </c>
      <c r="P413" t="n">
        <v>-59280.66555466119</v>
      </c>
      <c r="Q413">
        <f>'_live'!$C$24</f>
        <v/>
      </c>
      <c r="R413" t="inlineStr">
        <is>
          <t>shuffled: 119 of 10,000</t>
        </is>
      </c>
      <c r="S413" t="inlineStr">
        <is>
          <t>shuffled: 289 of 10,000</t>
        </is>
      </c>
      <c r="T413" t="n">
        <v>0.1693622779715111</v>
      </c>
      <c r="U413" t="n">
        <v>0.1694764121155902</v>
      </c>
      <c r="V413">
        <f>AND(judged_band,NOT($J413))</f>
        <v/>
      </c>
      <c r="W413">
        <f>IF($K413="","",IF(profit_kind="test",IF(OR(NOT(AND(ISNUMBER($L413),$L413&lt;significance_bar)),$K413=0),"in line",IF($K413&lt;0,"worse","better")),IF(OR($K413=0,IF(profit_kind="points",ABS($K413),ABS($K413*$H413))&lt;profit_line*(1-1E-9)),"in line",IF(AND(ISNUMBER($L413),$L413&lt;significance_bar),IF($K413&lt;0,"worse","better"),IF($K413&lt;0,"worse, not significant","better, not significant")))))</f>
        <v/>
      </c>
      <c r="X413">
        <f>IF($M413="","",IF(profit_kind="test",IF(OR(NOT(AND(ISNUMBER($N413),$N413&lt;significance_bar)),$M413=0),"in line",IF($M413&lt;0,"worse","better")),IF(OR($M413=0,IF(profit_kind="points",ABS($M413),ABS($M413*$H413))&lt;profit_line*(1-1E-9)),"in line",IF(AND(ISNUMBER($N413),$N413&lt;significance_bar),IF($M413&lt;0,"worse","better"),IF($M413&lt;0,"worse, not significant","better, not significant")))))</f>
        <v/>
      </c>
      <c r="Y413">
        <f>IF($V413,$X413,$W413)</f>
        <v/>
      </c>
      <c r="Z413">
        <f>IF($V413,IF($P413="","",$P413),IF($O413="","",$O413))</f>
        <v/>
      </c>
      <c r="AA413">
        <f>IF(OR($Q413="",$Z413=""),"",IF(AND($Z413&gt;0,$Z413&gt;=$Q413),"yes","below the line"))</f>
        <v/>
      </c>
      <c r="AB413">
        <f>IF($V413,IF($M413="","",$M413),IF($K413="","",$K413))</f>
        <v/>
      </c>
      <c r="AC413">
        <f>IF($V413,IF($N413="","",$N413),IF($L413="","",$L413))</f>
        <v/>
      </c>
      <c r="AD413">
        <f>IF($Y413="","",IF($Y413="in line",IF(profit_kind="test",IF(ROUND($AB413*100,2)=0,"0.00",TEXT($AB413*100,"+0.00;-0.00"))&amp;" points against "&amp;IF($V413,"its band","the book")&amp;", "&amp;IF($AC413="","not tested","not significant"),IF(profit_kind="points","within "&amp;TEXT(profit_line*100,"0.00")&amp;" points of "&amp;IF($V413,"its band","the book")&amp;" ("&amp;IF(ROUND($AB413*100,2)=0,"0.00",TEXT($AB413*100,"+0.00;-0.00"))&amp;")","within $"&amp;TEXT(profit_line,"#,##0")&amp;" of "&amp;IF($V413,"its band","the book")&amp;" ("&amp;IF(ROUND($AB413*100,2)=0,"0.00",TEXT($AB413*100,"+0.00;-0.00"))&amp;" points)")),IF(LEFT($Y413,5)="worse","short of ","ahead of ")&amp;IF($V413,"its band","the book")&amp;" by "&amp;TEXT(ABS($AB413)*100,"0.00")&amp;" points"&amp;IF($Z413="",""," ($"&amp;TEXT(ABS($Z413),"#,##0")&amp;")")&amp;IF(RIGHT($Y413,15)="not significant"," (not significant)","")))</f>
        <v/>
      </c>
      <c r="AE413">
        <f>IF($V413,IF($S413="","",$S413),IF($R413="","",$R413))</f>
        <v/>
      </c>
      <c r="AF413">
        <f>IF($V413,IF($U413="","",$U413),IF($T413="","",$T413))</f>
        <v/>
      </c>
      <c r="AG413">
        <f>IF($V413,IF($O413="","",$O413),IF($P413="","",$P413))</f>
        <v/>
      </c>
      <c r="AH413" t="n">
        <v>0.229985150313889</v>
      </c>
      <c r="AI413">
        <f>IF($Y413="worse","Yes",IF($Y413="worse, not significant","Not sure",IF(OR($Y413="too few losses to test",$Y413="too few loans to test"),"Too few losses",IF($Y413="","","No"))))</f>
        <v/>
      </c>
      <c r="AJ413">
        <f>IF($AA413="yes","Yes",IF($AA413="","","No"))</f>
        <v/>
      </c>
    </row>
    <row r="414">
      <c r="A414" t="inlineStr">
        <is>
          <t>three-way</t>
        </is>
      </c>
      <c r="B414" t="inlineStr">
        <is>
          <t>FICO x CHANNEL / SYS_FLAG</t>
        </is>
      </c>
      <c r="C414" t="inlineStr">
        <is>
          <t>(blank)</t>
        </is>
      </c>
      <c r="D414" t="inlineStr">
        <is>
          <t>Broker / SYS_FLAG Y</t>
        </is>
      </c>
      <c r="E414" t="inlineStr">
        <is>
          <t>outcome_loans</t>
        </is>
      </c>
      <c r="F414" t="inlineStr">
        <is>
          <t>Outcome, share of loans</t>
        </is>
      </c>
      <c r="G414" t="n">
        <v>1</v>
      </c>
      <c r="H414" t="n">
        <v>1</v>
      </c>
      <c r="I414" t="b">
        <v>1</v>
      </c>
      <c r="J414" t="b">
        <v>1</v>
      </c>
      <c r="K414" t="n">
        <v>0</v>
      </c>
      <c r="O414" t="n">
        <v>-0.07739434858714679</v>
      </c>
      <c r="Q414">
        <f>'_live'!$C$20</f>
        <v/>
      </c>
      <c r="T414" t="n">
        <v>0.07739434858714679</v>
      </c>
      <c r="V414">
        <f>AND(judged_band,NOT($J414))</f>
        <v/>
      </c>
      <c r="W414">
        <f>IF($K414="","",IF($I414,"too few losses to test",IF(AND($K414&gt;better_at,$K414&lt;worse_at),"in line",IF($K414&gt;=worse_at,IF(AND(ISNUMBER($L414),$L414&lt;significance_bar),"worse","worse, not significant"),IF(AND(ISNUMBER($L414),$L414&lt;significance_bar),"better","better, not significant")))))</f>
        <v/>
      </c>
      <c r="X414">
        <f>IF($M414="","",IF($I414,"too few losses to test",IF(AND($M414&gt;better_at,$M414&lt;worse_at),"in line",IF($M414&gt;=worse_at,IF(AND(ISNUMBER($N414),$N414&lt;significance_bar),"worse","worse, not significant"),IF(AND(ISNUMBER($N414),$N414&lt;significance_bar),"better","better, not significant")))))</f>
        <v/>
      </c>
      <c r="Y414">
        <f>IF($V414,$X414,$W414)</f>
        <v/>
      </c>
      <c r="Z414">
        <f>IF($V414,IF($P414="","",$P414),IF($O414="","",$O414))</f>
        <v/>
      </c>
      <c r="AA414">
        <f>IF(OR($Q414="",$Z414=""),"",IF(AND($Z414&gt;0,$Z414&gt;=$Q414),"yes","below the line"))</f>
        <v/>
      </c>
      <c r="AB414">
        <f>IF($V414,IF($M414="","",$M414),IF($K414="","",$K414))</f>
        <v/>
      </c>
      <c r="AC414">
        <f>IF($V414,IF($N414="","",$N414),IF($L414="","",$L414))</f>
        <v/>
      </c>
      <c r="AD414">
        <f>$Y414</f>
        <v/>
      </c>
      <c r="AE414">
        <f>IF($V414,IF($S414="","",$S414),IF($R414="","",$R414))</f>
        <v/>
      </c>
      <c r="AF414">
        <f>IF($V414,IF($U414="","",$U414),IF($T414="","",$T414))</f>
        <v/>
      </c>
      <c r="AG414">
        <f>IF($V414,IF($O414="","",$O414),IF($P414="","",$P414))</f>
        <v/>
      </c>
      <c r="AH414" t="n">
        <v>0</v>
      </c>
      <c r="AI414">
        <f>IF($Y414="worse","Yes",IF($Y414="worse, not significant","Not sure",IF(OR($Y414="too few losses to test",$Y414="too few loans to test"),"Too few losses",IF($Y414="","","No"))))</f>
        <v/>
      </c>
      <c r="AJ414">
        <f>IF($AA414="yes","Yes",IF($AA414="","","No"))</f>
        <v/>
      </c>
    </row>
    <row r="415">
      <c r="A415" t="inlineStr">
        <is>
          <t>three-way</t>
        </is>
      </c>
      <c r="B415" t="inlineStr">
        <is>
          <t>FICO x CHANNEL / SYS_FLAG</t>
        </is>
      </c>
      <c r="C415" t="inlineStr">
        <is>
          <t>(blank)</t>
        </is>
      </c>
      <c r="D415" t="inlineStr">
        <is>
          <t>Broker / SYS_FLAG Y</t>
        </is>
      </c>
      <c r="E415" t="inlineStr">
        <is>
          <t>outcome_booked</t>
        </is>
      </c>
      <c r="F415" t="inlineStr">
        <is>
          <t>Outcome, share of booked dollars</t>
        </is>
      </c>
      <c r="G415" t="n">
        <v>1</v>
      </c>
      <c r="H415" t="n">
        <v>27999.47</v>
      </c>
      <c r="I415" t="b">
        <v>1</v>
      </c>
      <c r="J415" t="b">
        <v>1</v>
      </c>
      <c r="K415" t="n">
        <v>0</v>
      </c>
      <c r="O415" t="n">
        <v>-2095.396036050188</v>
      </c>
      <c r="Q415">
        <f>'_live'!$C$21</f>
        <v/>
      </c>
      <c r="T415" t="n">
        <v>0.07483698927337509</v>
      </c>
      <c r="V415">
        <f>AND(judged_band,NOT($J415))</f>
        <v/>
      </c>
      <c r="W415">
        <f>IF($K415="","",IF($I415,"too few losses to test",IF(AND($K415&gt;better_at,$K415&lt;worse_at),"in line",IF($K415&gt;=worse_at,IF(AND(ISNUMBER($L415),$L415&lt;significance_bar),"worse","worse, not significant"),IF(AND(ISNUMBER($L415),$L415&lt;significance_bar),"better","better, not significant")))))</f>
        <v/>
      </c>
      <c r="X415">
        <f>IF($M415="","",IF($I415,"too few losses to test",IF(AND($M415&gt;better_at,$M415&lt;worse_at),"in line",IF($M415&gt;=worse_at,IF(AND(ISNUMBER($N415),$N415&lt;significance_bar),"worse","worse, not significant"),IF(AND(ISNUMBER($N415),$N415&lt;significance_bar),"better","better, not significant")))))</f>
        <v/>
      </c>
      <c r="Y415">
        <f>IF($V415,$X415,$W415)</f>
        <v/>
      </c>
      <c r="Z415">
        <f>IF($V415,IF($P415="","",$P415),IF($O415="","",$O415))</f>
        <v/>
      </c>
      <c r="AA415">
        <f>IF(OR($Q415="",$Z415=""),"",IF(AND($Z415&gt;0,$Z415&gt;=$Q415),"yes","below the line"))</f>
        <v/>
      </c>
      <c r="AB415">
        <f>IF($V415,IF($M415="","",$M415),IF($K415="","",$K415))</f>
        <v/>
      </c>
      <c r="AC415">
        <f>IF($V415,IF($N415="","",$N415),IF($L415="","",$L415))</f>
        <v/>
      </c>
      <c r="AD415">
        <f>$Y415</f>
        <v/>
      </c>
      <c r="AE415">
        <f>IF($V415,IF($S415="","",$S415),IF($R415="","",$R415))</f>
        <v/>
      </c>
      <c r="AF415">
        <f>IF($V415,IF($U415="","",$U415),IF($T415="","",$T415))</f>
        <v/>
      </c>
      <c r="AG415">
        <f>IF($V415,IF($O415="","",$O415),IF($P415="","",$P415))</f>
        <v/>
      </c>
      <c r="AH415" t="n">
        <v>0</v>
      </c>
      <c r="AI415">
        <f>IF($Y415="worse","Yes",IF($Y415="worse, not significant","Not sure",IF(OR($Y415="too few losses to test",$Y415="too few loans to test"),"Too few losses",IF($Y415="","","No"))))</f>
        <v/>
      </c>
      <c r="AJ415">
        <f>IF($AA415="yes","Yes",IF($AA415="","","No"))</f>
        <v/>
      </c>
    </row>
    <row r="416">
      <c r="A416" t="inlineStr">
        <is>
          <t>three-way</t>
        </is>
      </c>
      <c r="B416" t="inlineStr">
        <is>
          <t>FICO x CHANNEL / SYS_FLAG</t>
        </is>
      </c>
      <c r="C416" t="inlineStr">
        <is>
          <t>(blank)</t>
        </is>
      </c>
      <c r="D416" t="inlineStr">
        <is>
          <t>Broker / SYS_FLAG Y</t>
        </is>
      </c>
      <c r="E416" t="inlineStr">
        <is>
          <t>gco_rate</t>
        </is>
      </c>
      <c r="F416" t="inlineStr">
        <is>
          <t>GCO per booked dollar</t>
        </is>
      </c>
      <c r="G416" t="n">
        <v>1</v>
      </c>
      <c r="H416" t="n">
        <v>27999.47</v>
      </c>
      <c r="I416" t="b">
        <v>1</v>
      </c>
      <c r="J416" t="b">
        <v>1</v>
      </c>
      <c r="K416" t="n">
        <v>0</v>
      </c>
      <c r="O416" t="n">
        <v>-1165.051801786329</v>
      </c>
      <c r="Q416">
        <f>'_live'!$C$22</f>
        <v/>
      </c>
      <c r="T416" t="n">
        <v>0.04160978053464329</v>
      </c>
      <c r="V416">
        <f>AND(judged_band,NOT($J416))</f>
        <v/>
      </c>
      <c r="W416">
        <f>IF($K416="","",IF($I416,"too few losses to test",IF(AND($K416&gt;better_at,$K416&lt;worse_at),"in line",IF($K416&gt;=worse_at,IF(AND(ISNUMBER($L416),$L416&lt;significance_bar),"worse","worse, not significant"),IF(AND(ISNUMBER($L416),$L416&lt;significance_bar),"better","better, not significant")))))</f>
        <v/>
      </c>
      <c r="X416">
        <f>IF($M416="","",IF($I416,"too few losses to test",IF(AND($M416&gt;better_at,$M416&lt;worse_at),"in line",IF($M416&gt;=worse_at,IF(AND(ISNUMBER($N416),$N416&lt;significance_bar),"worse","worse, not significant"),IF(AND(ISNUMBER($N416),$N416&lt;significance_bar),"better","better, not significant")))))</f>
        <v/>
      </c>
      <c r="Y416">
        <f>IF($V416,$X416,$W416)</f>
        <v/>
      </c>
      <c r="Z416">
        <f>IF($V416,IF($P416="","",$P416),IF($O416="","",$O416))</f>
        <v/>
      </c>
      <c r="AA416">
        <f>IF(OR($Q416="",$Z416=""),"",IF(AND($Z416&gt;0,$Z416&gt;=$Q416),"yes","below the line"))</f>
        <v/>
      </c>
      <c r="AB416">
        <f>IF($V416,IF($M416="","",$M416),IF($K416="","",$K416))</f>
        <v/>
      </c>
      <c r="AC416">
        <f>IF($V416,IF($N416="","",$N416),IF($L416="","",$L416))</f>
        <v/>
      </c>
      <c r="AD416">
        <f>$Y416</f>
        <v/>
      </c>
      <c r="AE416">
        <f>IF($V416,IF($S416="","",$S416),IF($R416="","",$R416))</f>
        <v/>
      </c>
      <c r="AF416">
        <f>IF($V416,IF($U416="","",$U416),IF($T416="","",$T416))</f>
        <v/>
      </c>
      <c r="AG416">
        <f>IF($V416,IF($O416="","",$O416),IF($P416="","",$P416))</f>
        <v/>
      </c>
      <c r="AH416" t="n">
        <v>0</v>
      </c>
      <c r="AI416">
        <f>IF($Y416="worse","Yes",IF($Y416="worse, not significant","Not sure",IF(OR($Y416="too few losses to test",$Y416="too few loans to test"),"Too few losses",IF($Y416="","","No"))))</f>
        <v/>
      </c>
      <c r="AJ416">
        <f>IF($AA416="yes","Yes",IF($AA416="","","No"))</f>
        <v/>
      </c>
    </row>
    <row r="417">
      <c r="A417" t="inlineStr">
        <is>
          <t>three-way</t>
        </is>
      </c>
      <c r="B417" t="inlineStr">
        <is>
          <t>FICO x CHANNEL / SYS_FLAG</t>
        </is>
      </c>
      <c r="C417" t="inlineStr">
        <is>
          <t>(blank)</t>
        </is>
      </c>
      <c r="D417" t="inlineStr">
        <is>
          <t>Broker / SYS_FLAG Y</t>
        </is>
      </c>
      <c r="E417" t="inlineStr">
        <is>
          <t>ranr_rate</t>
        </is>
      </c>
      <c r="F417" t="inlineStr">
        <is>
          <t>Profit after losses: RANR per booked dollar</t>
        </is>
      </c>
      <c r="G417" t="n">
        <v>1</v>
      </c>
      <c r="H417" t="n">
        <v>27999.47</v>
      </c>
      <c r="I417" t="b">
        <v>0</v>
      </c>
      <c r="J417" t="b">
        <v>1</v>
      </c>
      <c r="K417" t="n">
        <v>0.01230822708383753</v>
      </c>
      <c r="L417" t="n">
        <v>0.9539907120399072</v>
      </c>
      <c r="O417" t="n">
        <v>-344.6238349870969</v>
      </c>
      <c r="Q417">
        <f>'_live'!$C$23</f>
        <v/>
      </c>
      <c r="R417" t="inlineStr">
        <is>
          <t>shuffled: 9,282 of 10,000</t>
        </is>
      </c>
      <c r="S417" t="inlineStr">
        <is>
          <t>10,000 shuffles</t>
        </is>
      </c>
      <c r="T417" t="n">
        <v>0.1279887142511234</v>
      </c>
      <c r="V417">
        <f>AND(judged_band,NOT($J417))</f>
        <v/>
      </c>
      <c r="W417">
        <f>IF($K417="","",IF(profit_kind="test",IF(OR(NOT(AND(ISNUMBER($L417),$L417&lt;significance_bar)),$K417=0),"in line",IF($K417&lt;0,"worse","better")),IF(OR($K417=0,IF(profit_kind="points",ABS($K417),ABS($K417*$H417))&lt;profit_line*(1-1E-9)),"in line",IF(AND(ISNUMBER($L417),$L417&lt;significance_bar),IF($K417&lt;0,"worse","better"),IF($K417&lt;0,"worse, not significant","better, not significant")))))</f>
        <v/>
      </c>
      <c r="X417">
        <f>IF($M417="","",IF(profit_kind="test",IF(OR(NOT(AND(ISNUMBER($N417),$N417&lt;significance_bar)),$M417=0),"in line",IF($M417&lt;0,"worse","better")),IF(OR($M417=0,IF(profit_kind="points",ABS($M417),ABS($M417*$H417))&lt;profit_line*(1-1E-9)),"in line",IF(AND(ISNUMBER($N417),$N417&lt;significance_bar),IF($M417&lt;0,"worse","better"),IF($M417&lt;0,"worse, not significant","better, not significant")))))</f>
        <v/>
      </c>
      <c r="Y417">
        <f>IF($V417,$X417,$W417)</f>
        <v/>
      </c>
      <c r="Z417">
        <f>IF($V417,IF($P417="","",$P417),IF($O417="","",$O417))</f>
        <v/>
      </c>
      <c r="AA417">
        <f>IF(OR($Q417="",$Z417=""),"",IF(AND($Z417&gt;0,$Z417&gt;=$Q417),"yes","below the line"))</f>
        <v/>
      </c>
      <c r="AB417">
        <f>IF($V417,IF($M417="","",$M417),IF($K417="","",$K417))</f>
        <v/>
      </c>
      <c r="AC417">
        <f>IF($V417,IF($N417="","",$N417),IF($L417="","",$L417))</f>
        <v/>
      </c>
      <c r="AD417">
        <f>IF($Y417="","",IF($Y417="in line",IF(profit_kind="test",IF(ROUND($AB417*100,2)=0,"0.00",TEXT($AB417*100,"+0.00;-0.00"))&amp;" points against "&amp;IF($V417,"its band","the book")&amp;", "&amp;IF($AC417="","not tested","not significant"),IF(profit_kind="points","within "&amp;TEXT(profit_line*100,"0.00")&amp;" points of "&amp;IF($V417,"its band","the book")&amp;" ("&amp;IF(ROUND($AB417*100,2)=0,"0.00",TEXT($AB417*100,"+0.00;-0.00"))&amp;")","within $"&amp;TEXT(profit_line,"#,##0")&amp;" of "&amp;IF($V417,"its band","the book")&amp;" ("&amp;IF(ROUND($AB417*100,2)=0,"0.00",TEXT($AB417*100,"+0.00;-0.00"))&amp;" points)")),IF(LEFT($Y417,5)="worse","short of ","ahead of ")&amp;IF($V417,"its band","the book")&amp;" by "&amp;TEXT(ABS($AB417)*100,"0.00")&amp;" points"&amp;IF($Z417="",""," ($"&amp;TEXT(ABS($Z417),"#,##0")&amp;")")&amp;IF(RIGHT($Y417,15)="not significant"," (not significant)","")))</f>
        <v/>
      </c>
      <c r="AE417">
        <f>IF($V417,IF($S417="","",$S417),IF($R417="","",$R417))</f>
        <v/>
      </c>
      <c r="AF417">
        <f>IF($V417,IF($U417="","",$U417),IF($T417="","",$T417))</f>
        <v/>
      </c>
      <c r="AG417">
        <f>IF($V417,IF($O417="","",$O417),IF($P417="","",$P417))</f>
        <v/>
      </c>
      <c r="AH417" t="n">
        <v>0.140296941334961</v>
      </c>
      <c r="AI417">
        <f>IF($Y417="worse","Yes",IF($Y417="worse, not significant","Not sure",IF(OR($Y417="too few losses to test",$Y417="too few loans to test"),"Too few losses",IF($Y417="","","No"))))</f>
        <v/>
      </c>
      <c r="AJ417">
        <f>IF($AA417="yes","Yes",IF($AA417="","","No"))</f>
        <v/>
      </c>
    </row>
    <row r="418">
      <c r="A418" t="inlineStr">
        <is>
          <t>three-way</t>
        </is>
      </c>
      <c r="B418" t="inlineStr">
        <is>
          <t>FICO x CHANNEL / SYS_FLAG</t>
        </is>
      </c>
      <c r="C418" t="inlineStr">
        <is>
          <t>(blank)</t>
        </is>
      </c>
      <c r="D418" t="inlineStr">
        <is>
          <t>Broker / SYS_FLAG Y</t>
        </is>
      </c>
      <c r="E418" t="inlineStr">
        <is>
          <t>contribution_rate</t>
        </is>
      </c>
      <c r="F418" t="inlineStr">
        <is>
          <t>Contribution before losses per booked dollar</t>
        </is>
      </c>
      <c r="G418" t="n">
        <v>1</v>
      </c>
      <c r="H418" t="n">
        <v>27999.47</v>
      </c>
      <c r="I418" t="b">
        <v>0</v>
      </c>
      <c r="J418" t="b">
        <v>1</v>
      </c>
      <c r="K418" t="n">
        <v>-0.02929869368860016</v>
      </c>
      <c r="L418" t="n">
        <v>0.8694130586941307</v>
      </c>
      <c r="O418" t="n">
        <v>820.3478949731489</v>
      </c>
      <c r="Q418">
        <f>'_live'!$C$24</f>
        <v/>
      </c>
      <c r="R418" t="inlineStr">
        <is>
          <t>shuffled: 8,459 of 10,000</t>
        </is>
      </c>
      <c r="S418" t="inlineStr">
        <is>
          <t>10,000 shuffles</t>
        </is>
      </c>
      <c r="T418" t="n">
        <v>0.1695956350235611</v>
      </c>
      <c r="V418">
        <f>AND(judged_band,NOT($J418))</f>
        <v/>
      </c>
      <c r="W418">
        <f>IF($K418="","",IF(profit_kind="test",IF(OR(NOT(AND(ISNUMBER($L418),$L418&lt;significance_bar)),$K418=0),"in line",IF($K418&lt;0,"worse","better")),IF(OR($K418=0,IF(profit_kind="points",ABS($K418),ABS($K418*$H418))&lt;profit_line*(1-1E-9)),"in line",IF(AND(ISNUMBER($L418),$L418&lt;significance_bar),IF($K418&lt;0,"worse","better"),IF($K418&lt;0,"worse, not significant","better, not significant")))))</f>
        <v/>
      </c>
      <c r="X418">
        <f>IF($M418="","",IF(profit_kind="test",IF(OR(NOT(AND(ISNUMBER($N418),$N418&lt;significance_bar)),$M418=0),"in line",IF($M418&lt;0,"worse","better")),IF(OR($M418=0,IF(profit_kind="points",ABS($M418),ABS($M418*$H418))&lt;profit_line*(1-1E-9)),"in line",IF(AND(ISNUMBER($N418),$N418&lt;significance_bar),IF($M418&lt;0,"worse","better"),IF($M418&lt;0,"worse, not significant","better, not significant")))))</f>
        <v/>
      </c>
      <c r="Y418">
        <f>IF($V418,$X418,$W418)</f>
        <v/>
      </c>
      <c r="Z418">
        <f>IF($V418,IF($P418="","",$P418),IF($O418="","",$O418))</f>
        <v/>
      </c>
      <c r="AA418">
        <f>IF(OR($Q418="",$Z418=""),"",IF(AND($Z418&gt;0,$Z418&gt;=$Q418),"yes","below the line"))</f>
        <v/>
      </c>
      <c r="AB418">
        <f>IF($V418,IF($M418="","",$M418),IF($K418="","",$K418))</f>
        <v/>
      </c>
      <c r="AC418">
        <f>IF($V418,IF($N418="","",$N418),IF($L418="","",$L418))</f>
        <v/>
      </c>
      <c r="AD418">
        <f>IF($Y418="","",IF($Y418="in line",IF(profit_kind="test",IF(ROUND($AB418*100,2)=0,"0.00",TEXT($AB418*100,"+0.00;-0.00"))&amp;" points against "&amp;IF($V418,"its band","the book")&amp;", "&amp;IF($AC418="","not tested","not significant"),IF(profit_kind="points","within "&amp;TEXT(profit_line*100,"0.00")&amp;" points of "&amp;IF($V418,"its band","the book")&amp;" ("&amp;IF(ROUND($AB418*100,2)=0,"0.00",TEXT($AB418*100,"+0.00;-0.00"))&amp;")","within $"&amp;TEXT(profit_line,"#,##0")&amp;" of "&amp;IF($V418,"its band","the book")&amp;" ("&amp;IF(ROUND($AB418*100,2)=0,"0.00",TEXT($AB418*100,"+0.00;-0.00"))&amp;" points)")),IF(LEFT($Y418,5)="worse","short of ","ahead of ")&amp;IF($V418,"its band","the book")&amp;" by "&amp;TEXT(ABS($AB418)*100,"0.00")&amp;" points"&amp;IF($Z418="",""," ($"&amp;TEXT(ABS($Z418),"#,##0")&amp;")")&amp;IF(RIGHT($Y418,15)="not significant"," (not significant)","")))</f>
        <v/>
      </c>
      <c r="AE418">
        <f>IF($V418,IF($S418="","",$S418),IF($R418="","",$R418))</f>
        <v/>
      </c>
      <c r="AF418">
        <f>IF($V418,IF($U418="","",$U418),IF($T418="","",$T418))</f>
        <v/>
      </c>
      <c r="AG418">
        <f>IF($V418,IF($O418="","",$O418),IF($P418="","",$P418))</f>
        <v/>
      </c>
      <c r="AH418" t="n">
        <v>0.140296941334961</v>
      </c>
      <c r="AI418">
        <f>IF($Y418="worse","Yes",IF($Y418="worse, not significant","Not sure",IF(OR($Y418="too few losses to test",$Y418="too few loans to test"),"Too few losses",IF($Y418="","","No"))))</f>
        <v/>
      </c>
      <c r="AJ418">
        <f>IF($AA418="yes","Yes",IF($AA418="","","No"))</f>
        <v/>
      </c>
    </row>
    <row r="419">
      <c r="A419" t="inlineStr">
        <is>
          <t>three-way</t>
        </is>
      </c>
      <c r="B419" t="inlineStr">
        <is>
          <t>FICO x CHANNEL / SYS_FLAG</t>
        </is>
      </c>
      <c r="C419" t="inlineStr">
        <is>
          <t>712 - 745</t>
        </is>
      </c>
      <c r="D419" t="inlineStr">
        <is>
          <t>Branch / SYS_FLAG N</t>
        </is>
      </c>
      <c r="E419" t="inlineStr">
        <is>
          <t>outcome_loans</t>
        </is>
      </c>
      <c r="F419" t="inlineStr">
        <is>
          <t>Outcome, share of loans</t>
        </is>
      </c>
      <c r="G419" t="n">
        <v>307</v>
      </c>
      <c r="H419" t="n">
        <v>307</v>
      </c>
      <c r="I419" t="b">
        <v>0</v>
      </c>
      <c r="J419" t="b">
        <v>0</v>
      </c>
      <c r="K419" t="n">
        <v>0.4114183020169766</v>
      </c>
      <c r="L419" t="n">
        <v>0.01706722733825044</v>
      </c>
      <c r="M419" t="n">
        <v>0.551630779643809</v>
      </c>
      <c r="N419" t="n">
        <v>0.1620440761844105</v>
      </c>
      <c r="O419" t="n">
        <v>-14.30616224648986</v>
      </c>
      <c r="P419" t="n">
        <v>-8.128067484662576</v>
      </c>
      <c r="Q419">
        <f>'_live'!$C$20</f>
        <v/>
      </c>
      <c r="R419" t="inlineStr">
        <is>
          <t>z test</t>
        </is>
      </c>
      <c r="S419" t="inlineStr">
        <is>
          <t>z test</t>
        </is>
      </c>
      <c r="T419" t="n">
        <v>0.07917316692667707</v>
      </c>
      <c r="U419" t="n">
        <v>0.05904907975460123</v>
      </c>
      <c r="V419">
        <f>AND(judged_band,NOT($J419))</f>
        <v/>
      </c>
      <c r="W419">
        <f>IF($K419="","",IF($I419,"too few losses to test",IF(AND($K419&gt;better_at,$K419&lt;worse_at),"in line",IF($K419&gt;=worse_at,IF(AND(ISNUMBER($L419),$L419&lt;significance_bar),"worse","worse, not significant"),IF(AND(ISNUMBER($L419),$L419&lt;significance_bar),"better","better, not significant")))))</f>
        <v/>
      </c>
      <c r="X419">
        <f>IF($M419="","",IF($I419,"too few losses to test",IF(AND($M419&gt;better_at,$M419&lt;worse_at),"in line",IF($M419&gt;=worse_at,IF(AND(ISNUMBER($N419),$N419&lt;significance_bar),"worse","worse, not significant"),IF(AND(ISNUMBER($N419),$N419&lt;significance_bar),"better","better, not significant")))))</f>
        <v/>
      </c>
      <c r="Y419">
        <f>IF($V419,$X419,$W419)</f>
        <v/>
      </c>
      <c r="Z419">
        <f>IF($V419,IF($P419="","",$P419),IF($O419="","",$O419))</f>
        <v/>
      </c>
      <c r="AA419">
        <f>IF(OR($Q419="",$Z419=""),"",IF(AND($Z419&gt;0,$Z419&gt;=$Q419),"yes","below the line"))</f>
        <v/>
      </c>
      <c r="AB419">
        <f>IF($V419,IF($M419="","",$M419),IF($K419="","",$K419))</f>
        <v/>
      </c>
      <c r="AC419">
        <f>IF($V419,IF($N419="","",$N419),IF($L419="","",$L419))</f>
        <v/>
      </c>
      <c r="AD419">
        <f>$Y419</f>
        <v/>
      </c>
      <c r="AE419">
        <f>IF($V419,IF($S419="","",$S419),IF($R419="","",$R419))</f>
        <v/>
      </c>
      <c r="AF419">
        <f>IF($V419,IF($U419="","",$U419),IF($T419="","",$T419))</f>
        <v/>
      </c>
      <c r="AG419">
        <f>IF($V419,IF($O419="","",$O419),IF($P419="","",$P419))</f>
        <v/>
      </c>
      <c r="AH419" t="n">
        <v>0.03257328990228013</v>
      </c>
      <c r="AI419">
        <f>IF($Y419="worse","Yes",IF($Y419="worse, not significant","Not sure",IF(OR($Y419="too few losses to test",$Y419="too few loans to test"),"Too few losses",IF($Y419="","","No"))))</f>
        <v/>
      </c>
      <c r="AJ419">
        <f>IF($AA419="yes","Yes",IF($AA419="","","No"))</f>
        <v/>
      </c>
    </row>
    <row r="420">
      <c r="A420" t="inlineStr">
        <is>
          <t>three-way</t>
        </is>
      </c>
      <c r="B420" t="inlineStr">
        <is>
          <t>FICO x CHANNEL / SYS_FLAG</t>
        </is>
      </c>
      <c r="C420" t="inlineStr">
        <is>
          <t>712 - 745</t>
        </is>
      </c>
      <c r="D420" t="inlineStr">
        <is>
          <t>Branch / SYS_FLAG N</t>
        </is>
      </c>
      <c r="E420" t="inlineStr">
        <is>
          <t>outcome_booked</t>
        </is>
      </c>
      <c r="F420" t="inlineStr">
        <is>
          <t>Outcome, share of booked dollars</t>
        </is>
      </c>
      <c r="G420" t="n">
        <v>307</v>
      </c>
      <c r="H420" t="n">
        <v>9359005.379999993</v>
      </c>
      <c r="I420" t="b">
        <v>0</v>
      </c>
      <c r="J420" t="b">
        <v>0</v>
      </c>
      <c r="K420" t="n">
        <v>0.3721625666844596</v>
      </c>
      <c r="L420" t="n">
        <v>0.02041462520414625</v>
      </c>
      <c r="M420" t="n">
        <v>0.4722041105377082</v>
      </c>
      <c r="N420" t="n">
        <v>0.1274872512748725</v>
      </c>
      <c r="O420" t="n">
        <v>-449935.4902009304</v>
      </c>
      <c r="P420" t="n">
        <v>-298106.8624015055</v>
      </c>
      <c r="Q420">
        <f>'_live'!$C$21</f>
        <v/>
      </c>
      <c r="R420" t="inlineStr">
        <is>
          <t>shuffled: 48 of 10,000</t>
        </is>
      </c>
      <c r="S420" t="inlineStr">
        <is>
          <t>shuffled: 458 of 10,000</t>
        </is>
      </c>
      <c r="T420" t="n">
        <v>0.07657259196926874</v>
      </c>
      <c r="U420" t="n">
        <v>0.06034986085257555</v>
      </c>
      <c r="V420">
        <f>AND(judged_band,NOT($J420))</f>
        <v/>
      </c>
      <c r="W420">
        <f>IF($K420="","",IF($I420,"too few losses to test",IF(AND($K420&gt;better_at,$K420&lt;worse_at),"in line",IF($K420&gt;=worse_at,IF(AND(ISNUMBER($L420),$L420&lt;significance_bar),"worse","worse, not significant"),IF(AND(ISNUMBER($L420),$L420&lt;significance_bar),"better","better, not significant")))))</f>
        <v/>
      </c>
      <c r="X420">
        <f>IF($M420="","",IF($I420,"too few losses to test",IF(AND($M420&gt;better_at,$M420&lt;worse_at),"in line",IF($M420&gt;=worse_at,IF(AND(ISNUMBER($N420),$N420&lt;significance_bar),"worse","worse, not significant"),IF(AND(ISNUMBER($N420),$N420&lt;significance_bar),"better","better, not significant")))))</f>
        <v/>
      </c>
      <c r="Y420">
        <f>IF($V420,$X420,$W420)</f>
        <v/>
      </c>
      <c r="Z420">
        <f>IF($V420,IF($P420="","",$P420),IF($O420="","",$O420))</f>
        <v/>
      </c>
      <c r="AA420">
        <f>IF(OR($Q420="",$Z420=""),"",IF(AND($Z420&gt;0,$Z420&gt;=$Q420),"yes","below the line"))</f>
        <v/>
      </c>
      <c r="AB420">
        <f>IF($V420,IF($M420="","",$M420),IF($K420="","",$K420))</f>
        <v/>
      </c>
      <c r="AC420">
        <f>IF($V420,IF($N420="","",$N420),IF($L420="","",$L420))</f>
        <v/>
      </c>
      <c r="AD420">
        <f>$Y420</f>
        <v/>
      </c>
      <c r="AE420">
        <f>IF($V420,IF($S420="","",$S420),IF($R420="","",$R420))</f>
        <v/>
      </c>
      <c r="AF420">
        <f>IF($V420,IF($U420="","",$U420),IF($T420="","",$T420))</f>
        <v/>
      </c>
      <c r="AG420">
        <f>IF($V420,IF($O420="","",$O420),IF($P420="","",$P420))</f>
        <v/>
      </c>
      <c r="AH420" t="n">
        <v>0.02849745236496489</v>
      </c>
      <c r="AI420">
        <f>IF($Y420="worse","Yes",IF($Y420="worse, not significant","Not sure",IF(OR($Y420="too few losses to test",$Y420="too few loans to test"),"Too few losses",IF($Y420="","","No"))))</f>
        <v/>
      </c>
      <c r="AJ420">
        <f>IF($AA420="yes","Yes",IF($AA420="","","No"))</f>
        <v/>
      </c>
    </row>
    <row r="421">
      <c r="A421" t="inlineStr">
        <is>
          <t>three-way</t>
        </is>
      </c>
      <c r="B421" t="inlineStr">
        <is>
          <t>FICO x CHANNEL / SYS_FLAG</t>
        </is>
      </c>
      <c r="C421" t="inlineStr">
        <is>
          <t>712 - 745</t>
        </is>
      </c>
      <c r="D421" t="inlineStr">
        <is>
          <t>Branch / SYS_FLAG N</t>
        </is>
      </c>
      <c r="E421" t="inlineStr">
        <is>
          <t>gco_rate</t>
        </is>
      </c>
      <c r="F421" t="inlineStr">
        <is>
          <t>GCO per booked dollar</t>
        </is>
      </c>
      <c r="G421" t="n">
        <v>306</v>
      </c>
      <c r="H421" t="n">
        <v>9319320.949999994</v>
      </c>
      <c r="I421" t="b">
        <v>0</v>
      </c>
      <c r="J421" t="b">
        <v>0</v>
      </c>
      <c r="K421" t="n">
        <v>0.3535309181645481</v>
      </c>
      <c r="L421" t="n">
        <v>0.02333100023331</v>
      </c>
      <c r="M421" t="n">
        <v>0.4474615712255813</v>
      </c>
      <c r="N421" t="n">
        <v>0.1094890510948905</v>
      </c>
      <c r="O421" t="n">
        <v>-256649.7349829731</v>
      </c>
      <c r="P421" t="n">
        <v>-173311.4306687773</v>
      </c>
      <c r="Q421">
        <f>'_live'!$C$22</f>
        <v/>
      </c>
      <c r="R421" t="inlineStr">
        <is>
          <t>shuffled: 52 of 10,000</t>
        </is>
      </c>
      <c r="S421" t="inlineStr">
        <is>
          <t>shuffled: 437 of 10,000</t>
        </is>
      </c>
      <c r="T421" t="n">
        <v>0.04259992086472496</v>
      </c>
      <c r="U421" t="n">
        <v>0.03365739117170093</v>
      </c>
      <c r="V421">
        <f>AND(judged_band,NOT($J421))</f>
        <v/>
      </c>
      <c r="W421">
        <f>IF($K421="","",IF($I421,"too few losses to test",IF(AND($K421&gt;better_at,$K421&lt;worse_at),"in line",IF($K421&gt;=worse_at,IF(AND(ISNUMBER($L421),$L421&lt;significance_bar),"worse","worse, not significant"),IF(AND(ISNUMBER($L421),$L421&lt;significance_bar),"better","better, not significant")))))</f>
        <v/>
      </c>
      <c r="X421">
        <f>IF($M421="","",IF($I421,"too few losses to test",IF(AND($M421&gt;better_at,$M421&lt;worse_at),"in line",IF($M421&gt;=worse_at,IF(AND(ISNUMBER($N421),$N421&lt;significance_bar),"worse","worse, not significant"),IF(AND(ISNUMBER($N421),$N421&lt;significance_bar),"better","better, not significant")))))</f>
        <v/>
      </c>
      <c r="Y421">
        <f>IF($V421,$X421,$W421)</f>
        <v/>
      </c>
      <c r="Z421">
        <f>IF($V421,IF($P421="","",$P421),IF($O421="","",$O421))</f>
        <v/>
      </c>
      <c r="AA421">
        <f>IF(OR($Q421="",$Z421=""),"",IF(AND($Z421&gt;0,$Z421&gt;=$Q421),"yes","below the line"))</f>
        <v/>
      </c>
      <c r="AB421">
        <f>IF($V421,IF($M421="","",$M421),IF($K421="","",$K421))</f>
        <v/>
      </c>
      <c r="AC421">
        <f>IF($V421,IF($N421="","",$N421),IF($L421="","",$L421))</f>
        <v/>
      </c>
      <c r="AD421">
        <f>$Y421</f>
        <v/>
      </c>
      <c r="AE421">
        <f>IF($V421,IF($S421="","",$S421),IF($R421="","",$R421))</f>
        <v/>
      </c>
      <c r="AF421">
        <f>IF($V421,IF($U421="","",$U421),IF($T421="","",$T421))</f>
        <v/>
      </c>
      <c r="AG421">
        <f>IF($V421,IF($O421="","",$O421),IF($P421="","",$P421))</f>
        <v/>
      </c>
      <c r="AH421" t="n">
        <v>0.01506038913704331</v>
      </c>
      <c r="AI421">
        <f>IF($Y421="worse","Yes",IF($Y421="worse, not significant","Not sure",IF(OR($Y421="too few losses to test",$Y421="too few loans to test"),"Too few losses",IF($Y421="","","No"))))</f>
        <v/>
      </c>
      <c r="AJ421">
        <f>IF($AA421="yes","Yes",IF($AA421="","","No"))</f>
        <v/>
      </c>
    </row>
    <row r="422">
      <c r="A422" t="inlineStr">
        <is>
          <t>three-way</t>
        </is>
      </c>
      <c r="B422" t="inlineStr">
        <is>
          <t>FICO x CHANNEL / SYS_FLAG</t>
        </is>
      </c>
      <c r="C422" t="inlineStr">
        <is>
          <t>712 - 745</t>
        </is>
      </c>
      <c r="D422" t="inlineStr">
        <is>
          <t>Branch / SYS_FLAG N</t>
        </is>
      </c>
      <c r="E422" t="inlineStr">
        <is>
          <t>ranr_rate</t>
        </is>
      </c>
      <c r="F422" t="inlineStr">
        <is>
          <t>Profit after losses: RANR per booked dollar</t>
        </is>
      </c>
      <c r="G422" t="n">
        <v>307</v>
      </c>
      <c r="H422" t="n">
        <v>9359005.379999993</v>
      </c>
      <c r="I422" t="b">
        <v>0</v>
      </c>
      <c r="J422" t="b">
        <v>0</v>
      </c>
      <c r="K422" t="n">
        <v>-0.03495271416923826</v>
      </c>
      <c r="L422" t="n">
        <v>0.0071816347776987</v>
      </c>
      <c r="M422" t="n">
        <v>-0.00203738465916907</v>
      </c>
      <c r="N422" t="n">
        <v>0.9530046995300471</v>
      </c>
      <c r="O422" t="n">
        <v>327122.6399555028</v>
      </c>
      <c r="P422" t="n">
        <v>19067.89398629277</v>
      </c>
      <c r="Q422">
        <f>'_live'!$C$23</f>
        <v/>
      </c>
      <c r="R422" t="inlineStr">
        <is>
          <t>shuffled: 32 of 10,000</t>
        </is>
      </c>
      <c r="S422" t="inlineStr">
        <is>
          <t>shuffled: 8,471 of 10,000</t>
        </is>
      </c>
      <c r="T422" t="n">
        <v>0.1292576305747891</v>
      </c>
      <c r="U422" t="n">
        <v>0.09634230106471987</v>
      </c>
      <c r="V422">
        <f>AND(judged_band,NOT($J422))</f>
        <v/>
      </c>
      <c r="W422">
        <f>IF($K422="","",IF(profit_kind="test",IF(OR(NOT(AND(ISNUMBER($L422),$L422&lt;significance_bar)),$K422=0),"in line",IF($K422&lt;0,"worse","better")),IF(OR($K422=0,IF(profit_kind="points",ABS($K422),ABS($K422*$H422))&lt;profit_line*(1-1E-9)),"in line",IF(AND(ISNUMBER($L422),$L422&lt;significance_bar),IF($K422&lt;0,"worse","better"),IF($K422&lt;0,"worse, not significant","better, not significant")))))</f>
        <v/>
      </c>
      <c r="X422">
        <f>IF($M422="","",IF(profit_kind="test",IF(OR(NOT(AND(ISNUMBER($N422),$N422&lt;significance_bar)),$M422=0),"in line",IF($M422&lt;0,"worse","better")),IF(OR($M422=0,IF(profit_kind="points",ABS($M422),ABS($M422*$H422))&lt;profit_line*(1-1E-9)),"in line",IF(AND(ISNUMBER($N422),$N422&lt;significance_bar),IF($M422&lt;0,"worse","better"),IF($M422&lt;0,"worse, not significant","better, not significant")))))</f>
        <v/>
      </c>
      <c r="Y422">
        <f>IF($V422,$X422,$W422)</f>
        <v/>
      </c>
      <c r="Z422">
        <f>IF($V422,IF($P422="","",$P422),IF($O422="","",$O422))</f>
        <v/>
      </c>
      <c r="AA422">
        <f>IF(OR($Q422="",$Z422=""),"",IF(AND($Z422&gt;0,$Z422&gt;=$Q422),"yes","below the line"))</f>
        <v/>
      </c>
      <c r="AB422">
        <f>IF($V422,IF($M422="","",$M422),IF($K422="","",$K422))</f>
        <v/>
      </c>
      <c r="AC422">
        <f>IF($V422,IF($N422="","",$N422),IF($L422="","",$L422))</f>
        <v/>
      </c>
      <c r="AD422">
        <f>IF($Y422="","",IF($Y422="in line",IF(profit_kind="test",IF(ROUND($AB422*100,2)=0,"0.00",TEXT($AB422*100,"+0.00;-0.00"))&amp;" points against "&amp;IF($V422,"its band","the book")&amp;", "&amp;IF($AC422="","not tested","not significant"),IF(profit_kind="points","within "&amp;TEXT(profit_line*100,"0.00")&amp;" points of "&amp;IF($V422,"its band","the book")&amp;" ("&amp;IF(ROUND($AB422*100,2)=0,"0.00",TEXT($AB422*100,"+0.00;-0.00"))&amp;")","within $"&amp;TEXT(profit_line,"#,##0")&amp;" of "&amp;IF($V422,"its band","the book")&amp;" ("&amp;IF(ROUND($AB422*100,2)=0,"0.00",TEXT($AB422*100,"+0.00;-0.00"))&amp;" points)")),IF(LEFT($Y422,5)="worse","short of ","ahead of ")&amp;IF($V422,"its band","the book")&amp;" by "&amp;TEXT(ABS($AB422)*100,"0.00")&amp;" points"&amp;IF($Z422="",""," ($"&amp;TEXT(ABS($Z422),"#,##0")&amp;")")&amp;IF(RIGHT($Y422,15)="not significant"," (not significant)","")))</f>
        <v/>
      </c>
      <c r="AE422">
        <f>IF($V422,IF($S422="","",$S422),IF($R422="","",$R422))</f>
        <v/>
      </c>
      <c r="AF422">
        <f>IF($V422,IF($U422="","",$U422),IF($T422="","",$T422))</f>
        <v/>
      </c>
      <c r="AG422">
        <f>IF($V422,IF($O422="","",$O422),IF($P422="","",$P422))</f>
        <v/>
      </c>
      <c r="AH422" t="n">
        <v>0.0943049164055508</v>
      </c>
      <c r="AI422">
        <f>IF($Y422="worse","Yes",IF($Y422="worse, not significant","Not sure",IF(OR($Y422="too few losses to test",$Y422="too few loans to test"),"Too few losses",IF($Y422="","","No"))))</f>
        <v/>
      </c>
      <c r="AJ422">
        <f>IF($AA422="yes","Yes",IF($AA422="","","No"))</f>
        <v/>
      </c>
    </row>
    <row r="423">
      <c r="A423" t="inlineStr">
        <is>
          <t>three-way</t>
        </is>
      </c>
      <c r="B423" t="inlineStr">
        <is>
          <t>FICO x CHANNEL / SYS_FLAG</t>
        </is>
      </c>
      <c r="C423" t="inlineStr">
        <is>
          <t>712 - 745</t>
        </is>
      </c>
      <c r="D423" t="inlineStr">
        <is>
          <t>Branch / SYS_FLAG N</t>
        </is>
      </c>
      <c r="E423" t="inlineStr">
        <is>
          <t>contribution_rate</t>
        </is>
      </c>
      <c r="F423" t="inlineStr">
        <is>
          <t>Contribution before losses per booked dollar</t>
        </is>
      </c>
      <c r="G423" t="n">
        <v>306</v>
      </c>
      <c r="H423" t="n">
        <v>9319320.949999994</v>
      </c>
      <c r="I423" t="b">
        <v>0</v>
      </c>
      <c r="J423" t="b">
        <v>0</v>
      </c>
      <c r="K423" t="n">
        <v>-0.06271485258225422</v>
      </c>
      <c r="L423" t="n">
        <v>0.000184981501849815</v>
      </c>
      <c r="M423" t="n">
        <v>-0.02085699337916112</v>
      </c>
      <c r="N423" t="n">
        <v>0.0005999400059994001</v>
      </c>
      <c r="O423" t="n">
        <v>584459.839545963</v>
      </c>
      <c r="P423" t="n">
        <v>194373.0153524274</v>
      </c>
      <c r="Q423">
        <f>'_live'!$C$24</f>
        <v/>
      </c>
      <c r="R423" t="inlineStr">
        <is>
          <t>shuffled: 0 of 10,000</t>
        </is>
      </c>
      <c r="S423" t="inlineStr">
        <is>
          <t>shuffled: 0 of 10,000</t>
        </is>
      </c>
      <c r="T423" t="n">
        <v>0.1718575514395138</v>
      </c>
      <c r="U423" t="n">
        <v>0.1299996922364207</v>
      </c>
      <c r="V423">
        <f>AND(judged_band,NOT($J423))</f>
        <v/>
      </c>
      <c r="W423">
        <f>IF($K423="","",IF(profit_kind="test",IF(OR(NOT(AND(ISNUMBER($L423),$L423&lt;significance_bar)),$K423=0),"in line",IF($K423&lt;0,"worse","better")),IF(OR($K423=0,IF(profit_kind="points",ABS($K423),ABS($K423*$H423))&lt;profit_line*(1-1E-9)),"in line",IF(AND(ISNUMBER($L423),$L423&lt;significance_bar),IF($K423&lt;0,"worse","better"),IF($K423&lt;0,"worse, not significant","better, not significant")))))</f>
        <v/>
      </c>
      <c r="X423">
        <f>IF($M423="","",IF(profit_kind="test",IF(OR(NOT(AND(ISNUMBER($N423),$N423&lt;significance_bar)),$M423=0),"in line",IF($M423&lt;0,"worse","better")),IF(OR($M423=0,IF(profit_kind="points",ABS($M423),ABS($M423*$H423))&lt;profit_line*(1-1E-9)),"in line",IF(AND(ISNUMBER($N423),$N423&lt;significance_bar),IF($M423&lt;0,"worse","better"),IF($M423&lt;0,"worse, not significant","better, not significant")))))</f>
        <v/>
      </c>
      <c r="Y423">
        <f>IF($V423,$X423,$W423)</f>
        <v/>
      </c>
      <c r="Z423">
        <f>IF($V423,IF($P423="","",$P423),IF($O423="","",$O423))</f>
        <v/>
      </c>
      <c r="AA423">
        <f>IF(OR($Q423="",$Z423=""),"",IF(AND($Z423&gt;0,$Z423&gt;=$Q423),"yes","below the line"))</f>
        <v/>
      </c>
      <c r="AB423">
        <f>IF($V423,IF($M423="","",$M423),IF($K423="","",$K423))</f>
        <v/>
      </c>
      <c r="AC423">
        <f>IF($V423,IF($N423="","",$N423),IF($L423="","",$L423))</f>
        <v/>
      </c>
      <c r="AD423">
        <f>IF($Y423="","",IF($Y423="in line",IF(profit_kind="test",IF(ROUND($AB423*100,2)=0,"0.00",TEXT($AB423*100,"+0.00;-0.00"))&amp;" points against "&amp;IF($V423,"its band","the book")&amp;", "&amp;IF($AC423="","not tested","not significant"),IF(profit_kind="points","within "&amp;TEXT(profit_line*100,"0.00")&amp;" points of "&amp;IF($V423,"its band","the book")&amp;" ("&amp;IF(ROUND($AB423*100,2)=0,"0.00",TEXT($AB423*100,"+0.00;-0.00"))&amp;")","within $"&amp;TEXT(profit_line,"#,##0")&amp;" of "&amp;IF($V423,"its band","the book")&amp;" ("&amp;IF(ROUND($AB423*100,2)=0,"0.00",TEXT($AB423*100,"+0.00;-0.00"))&amp;" points)")),IF(LEFT($Y423,5)="worse","short of ","ahead of ")&amp;IF($V423,"its band","the book")&amp;" by "&amp;TEXT(ABS($AB423)*100,"0.00")&amp;" points"&amp;IF($Z423="",""," ($"&amp;TEXT(ABS($Z423),"#,##0")&amp;")")&amp;IF(RIGHT($Y423,15)="not significant"," (not significant)","")))</f>
        <v/>
      </c>
      <c r="AE423">
        <f>IF($V423,IF($S423="","",$S423),IF($R423="","",$R423))</f>
        <v/>
      </c>
      <c r="AF423">
        <f>IF($V423,IF($U423="","",$U423),IF($T423="","",$T423))</f>
        <v/>
      </c>
      <c r="AG423">
        <f>IF($V423,IF($O423="","",$O423),IF($P423="","",$P423))</f>
        <v/>
      </c>
      <c r="AH423" t="n">
        <v>0.1091426988572596</v>
      </c>
      <c r="AI423">
        <f>IF($Y423="worse","Yes",IF($Y423="worse, not significant","Not sure",IF(OR($Y423="too few losses to test",$Y423="too few loans to test"),"Too few losses",IF($Y423="","","No"))))</f>
        <v/>
      </c>
      <c r="AJ423">
        <f>IF($AA423="yes","Yes",IF($AA423="","","No"))</f>
        <v/>
      </c>
    </row>
    <row r="424">
      <c r="A424" t="inlineStr">
        <is>
          <t>three-way</t>
        </is>
      </c>
      <c r="B424" t="inlineStr">
        <is>
          <t>FICO x CHANNEL / SYS_FLAG</t>
        </is>
      </c>
      <c r="C424" t="inlineStr">
        <is>
          <t>712 - 745</t>
        </is>
      </c>
      <c r="D424" t="inlineStr">
        <is>
          <t>Branch / SYS_FLAG Y</t>
        </is>
      </c>
      <c r="E424" t="inlineStr">
        <is>
          <t>outcome_loans</t>
        </is>
      </c>
      <c r="F424" t="inlineStr">
        <is>
          <t>Outcome, share of loans</t>
        </is>
      </c>
      <c r="G424" t="n">
        <v>231</v>
      </c>
      <c r="H424" t="n">
        <v>231</v>
      </c>
      <c r="I424" t="b">
        <v>0</v>
      </c>
      <c r="J424" t="b">
        <v>0</v>
      </c>
      <c r="K424" t="n">
        <v>0.6647981343203749</v>
      </c>
      <c r="L424" t="n">
        <v>0.2088893268513094</v>
      </c>
      <c r="M424" t="n">
        <v>0.9558441558441559</v>
      </c>
      <c r="N424" t="n">
        <v>0.9179955669404986</v>
      </c>
      <c r="O424" t="n">
        <v>-6.050592173017506</v>
      </c>
      <c r="P424" t="n">
        <v>-0.554347826086957</v>
      </c>
      <c r="Q424">
        <f>'_live'!$C$20</f>
        <v/>
      </c>
      <c r="R424" t="inlineStr">
        <is>
          <t>z test</t>
        </is>
      </c>
      <c r="S424" t="inlineStr">
        <is>
          <t>z test</t>
        </is>
      </c>
      <c r="T424" t="n">
        <v>0.07814109165808444</v>
      </c>
      <c r="U424" t="n">
        <v>0.05434782608695652</v>
      </c>
      <c r="V424">
        <f>AND(judged_band,NOT($J424))</f>
        <v/>
      </c>
      <c r="W424">
        <f>IF($K424="","",IF($I424,"too few losses to test",IF(AND($K424&gt;better_at,$K424&lt;worse_at),"in line",IF($K424&gt;=worse_at,IF(AND(ISNUMBER($L424),$L424&lt;significance_bar),"worse","worse, not significant"),IF(AND(ISNUMBER($L424),$L424&lt;significance_bar),"better","better, not significant")))))</f>
        <v/>
      </c>
      <c r="X424">
        <f>IF($M424="","",IF($I424,"too few losses to test",IF(AND($M424&gt;better_at,$M424&lt;worse_at),"in line",IF($M424&gt;=worse_at,IF(AND(ISNUMBER($N424),$N424&lt;significance_bar),"worse","worse, not significant"),IF(AND(ISNUMBER($N424),$N424&lt;significance_bar),"better","better, not significant")))))</f>
        <v/>
      </c>
      <c r="Y424">
        <f>IF($V424,$X424,$W424)</f>
        <v/>
      </c>
      <c r="Z424">
        <f>IF($V424,IF($P424="","",$P424),IF($O424="","",$O424))</f>
        <v/>
      </c>
      <c r="AA424">
        <f>IF(OR($Q424="",$Z424=""),"",IF(AND($Z424&gt;0,$Z424&gt;=$Q424),"yes","below the line"))</f>
        <v/>
      </c>
      <c r="AB424">
        <f>IF($V424,IF($M424="","",$M424),IF($K424="","",$K424))</f>
        <v/>
      </c>
      <c r="AC424">
        <f>IF($V424,IF($N424="","",$N424),IF($L424="","",$L424))</f>
        <v/>
      </c>
      <c r="AD424">
        <f>$Y424</f>
        <v/>
      </c>
      <c r="AE424">
        <f>IF($V424,IF($S424="","",$S424),IF($R424="","",$R424))</f>
        <v/>
      </c>
      <c r="AF424">
        <f>IF($V424,IF($U424="","",$U424),IF($T424="","",$T424))</f>
        <v/>
      </c>
      <c r="AG424">
        <f>IF($V424,IF($O424="","",$O424),IF($P424="","",$P424))</f>
        <v/>
      </c>
      <c r="AH424" t="n">
        <v>0.05194805194805195</v>
      </c>
      <c r="AI424">
        <f>IF($Y424="worse","Yes",IF($Y424="worse, not significant","Not sure",IF(OR($Y424="too few losses to test",$Y424="too few loans to test"),"Too few losses",IF($Y424="","","No"))))</f>
        <v/>
      </c>
      <c r="AJ424">
        <f>IF($AA424="yes","Yes",IF($AA424="","","No"))</f>
        <v/>
      </c>
    </row>
    <row r="425">
      <c r="A425" t="inlineStr">
        <is>
          <t>three-way</t>
        </is>
      </c>
      <c r="B425" t="inlineStr">
        <is>
          <t>FICO x CHANNEL / SYS_FLAG</t>
        </is>
      </c>
      <c r="C425" t="inlineStr">
        <is>
          <t>712 - 745</t>
        </is>
      </c>
      <c r="D425" t="inlineStr">
        <is>
          <t>Branch / SYS_FLAG Y</t>
        </is>
      </c>
      <c r="E425" t="inlineStr">
        <is>
          <t>outcome_booked</t>
        </is>
      </c>
      <c r="F425" t="inlineStr">
        <is>
          <t>Outcome, share of booked dollars</t>
        </is>
      </c>
      <c r="G425" t="n">
        <v>230</v>
      </c>
      <c r="H425" t="n">
        <v>7154058.649999997</v>
      </c>
      <c r="I425" t="b">
        <v>0</v>
      </c>
      <c r="J425" t="b">
        <v>0</v>
      </c>
      <c r="K425" t="n">
        <v>0.768123695076026</v>
      </c>
      <c r="L425" t="n">
        <v>0.4637036296370363</v>
      </c>
      <c r="M425" t="n">
        <v>1.071783999275634</v>
      </c>
      <c r="N425" t="n">
        <v>0.9156376029063761</v>
      </c>
      <c r="O425" t="n">
        <v>-124933.5533329989</v>
      </c>
      <c r="P425" t="n">
        <v>27718.78978575155</v>
      </c>
      <c r="Q425">
        <f>'_live'!$C$21</f>
        <v/>
      </c>
      <c r="R425" t="inlineStr">
        <is>
          <t>shuffled: 3,709 of 10,000</t>
        </is>
      </c>
      <c r="S425" t="inlineStr">
        <is>
          <t>shuffled: 8,345 of 10,000</t>
        </is>
      </c>
      <c r="T425" t="n">
        <v>0.07531304811612065</v>
      </c>
      <c r="U425" t="n">
        <v>0.05397518235529822</v>
      </c>
      <c r="V425">
        <f>AND(judged_band,NOT($J425))</f>
        <v/>
      </c>
      <c r="W425">
        <f>IF($K425="","",IF($I425,"too few losses to test",IF(AND($K425&gt;better_at,$K425&lt;worse_at),"in line",IF($K425&gt;=worse_at,IF(AND(ISNUMBER($L425),$L425&lt;significance_bar),"worse","worse, not significant"),IF(AND(ISNUMBER($L425),$L425&lt;significance_bar),"better","better, not significant")))))</f>
        <v/>
      </c>
      <c r="X425">
        <f>IF($M425="","",IF($I425,"too few losses to test",IF(AND($M425&gt;better_at,$M425&lt;worse_at),"in line",IF($M425&gt;=worse_at,IF(AND(ISNUMBER($N425),$N425&lt;significance_bar),"worse","worse, not significant"),IF(AND(ISNUMBER($N425),$N425&lt;significance_bar),"better","better, not significant")))))</f>
        <v/>
      </c>
      <c r="Y425">
        <f>IF($V425,$X425,$W425)</f>
        <v/>
      </c>
      <c r="Z425">
        <f>IF($V425,IF($P425="","",$P425),IF($O425="","",$O425))</f>
        <v/>
      </c>
      <c r="AA425">
        <f>IF(OR($Q425="",$Z425=""),"",IF(AND($Z425&gt;0,$Z425&gt;=$Q425),"yes","below the line"))</f>
        <v/>
      </c>
      <c r="AB425">
        <f>IF($V425,IF($M425="","",$M425),IF($K425="","",$K425))</f>
        <v/>
      </c>
      <c r="AC425">
        <f>IF($V425,IF($N425="","",$N425),IF($L425="","",$L425))</f>
        <v/>
      </c>
      <c r="AD425">
        <f>$Y425</f>
        <v/>
      </c>
      <c r="AE425">
        <f>IF($V425,IF($S425="","",$S425),IF($R425="","",$R425))</f>
        <v/>
      </c>
      <c r="AF425">
        <f>IF($V425,IF($U425="","",$U425),IF($T425="","",$T425))</f>
        <v/>
      </c>
      <c r="AG425">
        <f>IF($V425,IF($O425="","",$O425),IF($P425="","",$P425))</f>
        <v/>
      </c>
      <c r="AH425" t="n">
        <v>0.05784973680639313</v>
      </c>
      <c r="AI425">
        <f>IF($Y425="worse","Yes",IF($Y425="worse, not significant","Not sure",IF(OR($Y425="too few losses to test",$Y425="too few loans to test"),"Too few losses",IF($Y425="","","No"))))</f>
        <v/>
      </c>
      <c r="AJ425">
        <f>IF($AA425="yes","Yes",IF($AA425="","","No"))</f>
        <v/>
      </c>
    </row>
    <row r="426">
      <c r="A426" t="inlineStr">
        <is>
          <t>three-way</t>
        </is>
      </c>
      <c r="B426" t="inlineStr">
        <is>
          <t>FICO x CHANNEL / SYS_FLAG</t>
        </is>
      </c>
      <c r="C426" t="inlineStr">
        <is>
          <t>712 - 745</t>
        </is>
      </c>
      <c r="D426" t="inlineStr">
        <is>
          <t>Branch / SYS_FLAG Y</t>
        </is>
      </c>
      <c r="E426" t="inlineStr">
        <is>
          <t>gco_rate</t>
        </is>
      </c>
      <c r="F426" t="inlineStr">
        <is>
          <t>GCO per booked dollar</t>
        </is>
      </c>
      <c r="G426" t="n">
        <v>230</v>
      </c>
      <c r="H426" t="n">
        <v>7154058.649999997</v>
      </c>
      <c r="I426" t="b">
        <v>0</v>
      </c>
      <c r="J426" t="b">
        <v>0</v>
      </c>
      <c r="K426" t="n">
        <v>0.7966476258699117</v>
      </c>
      <c r="L426" t="n">
        <v>0.5345893982030367</v>
      </c>
      <c r="M426" t="n">
        <v>1.119894997654172</v>
      </c>
      <c r="N426" t="n">
        <v>0.8346892583468926</v>
      </c>
      <c r="O426" t="n">
        <v>-60870.31773401314</v>
      </c>
      <c r="P426" t="n">
        <v>25529.73733621743</v>
      </c>
      <c r="Q426">
        <f>'_live'!$C$22</f>
        <v/>
      </c>
      <c r="R426" t="inlineStr">
        <is>
          <t>shuffled: 4,490 of 10,000</t>
        </is>
      </c>
      <c r="S426" t="inlineStr">
        <is>
          <t>shuffled: 7,345 of 10,000</t>
        </is>
      </c>
      <c r="T426" t="n">
        <v>0.04184117049893256</v>
      </c>
      <c r="U426" t="n">
        <v>0.02976410218048501</v>
      </c>
      <c r="V426">
        <f>AND(judged_band,NOT($J426))</f>
        <v/>
      </c>
      <c r="W426">
        <f>IF($K426="","",IF($I426,"too few losses to test",IF(AND($K426&gt;better_at,$K426&lt;worse_at),"in line",IF($K426&gt;=worse_at,IF(AND(ISNUMBER($L426),$L426&lt;significance_bar),"worse","worse, not significant"),IF(AND(ISNUMBER($L426),$L426&lt;significance_bar),"better","better, not significant")))))</f>
        <v/>
      </c>
      <c r="X426">
        <f>IF($M426="","",IF($I426,"too few losses to test",IF(AND($M426&gt;better_at,$M426&lt;worse_at),"in line",IF($M426&gt;=worse_at,IF(AND(ISNUMBER($N426),$N426&lt;significance_bar),"worse","worse, not significant"),IF(AND(ISNUMBER($N426),$N426&lt;significance_bar),"better","better, not significant")))))</f>
        <v/>
      </c>
      <c r="Y426">
        <f>IF($V426,$X426,$W426)</f>
        <v/>
      </c>
      <c r="Z426">
        <f>IF($V426,IF($P426="","",$P426),IF($O426="","",$O426))</f>
        <v/>
      </c>
      <c r="AA426">
        <f>IF(OR($Q426="",$Z426=""),"",IF(AND($Z426&gt;0,$Z426&gt;=$Q426),"yes","below the line"))</f>
        <v/>
      </c>
      <c r="AB426">
        <f>IF($V426,IF($M426="","",$M426),IF($K426="","",$K426))</f>
        <v/>
      </c>
      <c r="AC426">
        <f>IF($V426,IF($N426="","",$N426),IF($L426="","",$L426))</f>
        <v/>
      </c>
      <c r="AD426">
        <f>$Y426</f>
        <v/>
      </c>
      <c r="AE426">
        <f>IF($V426,IF($S426="","",$S426),IF($R426="","",$R426))</f>
        <v/>
      </c>
      <c r="AF426">
        <f>IF($V426,IF($U426="","",$U426),IF($T426="","",$T426))</f>
        <v/>
      </c>
      <c r="AG426">
        <f>IF($V426,IF($O426="","",$O426),IF($P426="","",$P426))</f>
        <v/>
      </c>
      <c r="AH426" t="n">
        <v>0.03333266914159281</v>
      </c>
      <c r="AI426">
        <f>IF($Y426="worse","Yes",IF($Y426="worse, not significant","Not sure",IF(OR($Y426="too few losses to test",$Y426="too few loans to test"),"Too few losses",IF($Y426="","","No"))))</f>
        <v/>
      </c>
      <c r="AJ426">
        <f>IF($AA426="yes","Yes",IF($AA426="","","No"))</f>
        <v/>
      </c>
    </row>
    <row r="427">
      <c r="A427" t="inlineStr">
        <is>
          <t>three-way</t>
        </is>
      </c>
      <c r="B427" t="inlineStr">
        <is>
          <t>FICO x CHANNEL / SYS_FLAG</t>
        </is>
      </c>
      <c r="C427" t="inlineStr">
        <is>
          <t>712 - 745</t>
        </is>
      </c>
      <c r="D427" t="inlineStr">
        <is>
          <t>Branch / SYS_FLAG Y</t>
        </is>
      </c>
      <c r="E427" t="inlineStr">
        <is>
          <t>ranr_rate</t>
        </is>
      </c>
      <c r="F427" t="inlineStr">
        <is>
          <t>Profit after losses: RANR per booked dollar</t>
        </is>
      </c>
      <c r="G427" t="n">
        <v>230</v>
      </c>
      <c r="H427" t="n">
        <v>7154058.649999997</v>
      </c>
      <c r="I427" t="b">
        <v>0</v>
      </c>
      <c r="J427" t="b">
        <v>0</v>
      </c>
      <c r="K427" t="n">
        <v>-0.05501727577721049</v>
      </c>
      <c r="L427" t="n">
        <v>0.0002845869259227924</v>
      </c>
      <c r="M427" t="n">
        <v>-0.02496567470579777</v>
      </c>
      <c r="N427" t="n">
        <v>0.1155484451554845</v>
      </c>
      <c r="O427" t="n">
        <v>393596.8176733881</v>
      </c>
      <c r="P427" t="n">
        <v>178605.9010820987</v>
      </c>
      <c r="Q427">
        <f>'_live'!$C$23</f>
        <v/>
      </c>
      <c r="R427" t="inlineStr">
        <is>
          <t>shuffled: 0 of 10,000</t>
        </is>
      </c>
      <c r="S427" t="inlineStr">
        <is>
          <t>shuffled: 320 of 10,000</t>
        </is>
      </c>
      <c r="T427" t="n">
        <v>0.1295152140908697</v>
      </c>
      <c r="U427" t="n">
        <v>0.09946361301945703</v>
      </c>
      <c r="V427">
        <f>AND(judged_band,NOT($J427))</f>
        <v/>
      </c>
      <c r="W427">
        <f>IF($K427="","",IF(profit_kind="test",IF(OR(NOT(AND(ISNUMBER($L427),$L427&lt;significance_bar)),$K427=0),"in line",IF($K427&lt;0,"worse","better")),IF(OR($K427=0,IF(profit_kind="points",ABS($K427),ABS($K427*$H427))&lt;profit_line*(1-1E-9)),"in line",IF(AND(ISNUMBER($L427),$L427&lt;significance_bar),IF($K427&lt;0,"worse","better"),IF($K427&lt;0,"worse, not significant","better, not significant")))))</f>
        <v/>
      </c>
      <c r="X427">
        <f>IF($M427="","",IF(profit_kind="test",IF(OR(NOT(AND(ISNUMBER($N427),$N427&lt;significance_bar)),$M427=0),"in line",IF($M427&lt;0,"worse","better")),IF(OR($M427=0,IF(profit_kind="points",ABS($M427),ABS($M427*$H427))&lt;profit_line*(1-1E-9)),"in line",IF(AND(ISNUMBER($N427),$N427&lt;significance_bar),IF($M427&lt;0,"worse","better"),IF($M427&lt;0,"worse, not significant","better, not significant")))))</f>
        <v/>
      </c>
      <c r="Y427">
        <f>IF($V427,$X427,$W427)</f>
        <v/>
      </c>
      <c r="Z427">
        <f>IF($V427,IF($P427="","",$P427),IF($O427="","",$O427))</f>
        <v/>
      </c>
      <c r="AA427">
        <f>IF(OR($Q427="",$Z427=""),"",IF(AND($Z427&gt;0,$Z427&gt;=$Q427),"yes","below the line"))</f>
        <v/>
      </c>
      <c r="AB427">
        <f>IF($V427,IF($M427="","",$M427),IF($K427="","",$K427))</f>
        <v/>
      </c>
      <c r="AC427">
        <f>IF($V427,IF($N427="","",$N427),IF($L427="","",$L427))</f>
        <v/>
      </c>
      <c r="AD427">
        <f>IF($Y427="","",IF($Y427="in line",IF(profit_kind="test",IF(ROUND($AB427*100,2)=0,"0.00",TEXT($AB427*100,"+0.00;-0.00"))&amp;" points against "&amp;IF($V427,"its band","the book")&amp;", "&amp;IF($AC427="","not tested","not significant"),IF(profit_kind="points","within "&amp;TEXT(profit_line*100,"0.00")&amp;" points of "&amp;IF($V427,"its band","the book")&amp;" ("&amp;IF(ROUND($AB427*100,2)=0,"0.00",TEXT($AB427*100,"+0.00;-0.00"))&amp;")","within $"&amp;TEXT(profit_line,"#,##0")&amp;" of "&amp;IF($V427,"its band","the book")&amp;" ("&amp;IF(ROUND($AB427*100,2)=0,"0.00",TEXT($AB427*100,"+0.00;-0.00"))&amp;" points)")),IF(LEFT($Y427,5)="worse","short of ","ahead of ")&amp;IF($V427,"its band","the book")&amp;" by "&amp;TEXT(ABS($AB427)*100,"0.00")&amp;" points"&amp;IF($Z427="",""," ($"&amp;TEXT(ABS($Z427),"#,##0")&amp;")")&amp;IF(RIGHT($Y427,15)="not significant"," (not significant)","")))</f>
        <v/>
      </c>
      <c r="AE427">
        <f>IF($V427,IF($S427="","",$S427),IF($R427="","",$R427))</f>
        <v/>
      </c>
      <c r="AF427">
        <f>IF($V427,IF($U427="","",$U427),IF($T427="","",$T427))</f>
        <v/>
      </c>
      <c r="AG427">
        <f>IF($V427,IF($O427="","",$O427),IF($P427="","",$P427))</f>
        <v/>
      </c>
      <c r="AH427" t="n">
        <v>0.07449793831365925</v>
      </c>
      <c r="AI427">
        <f>IF($Y427="worse","Yes",IF($Y427="worse, not significant","Not sure",IF(OR($Y427="too few losses to test",$Y427="too few loans to test"),"Too few losses",IF($Y427="","","No"))))</f>
        <v/>
      </c>
      <c r="AJ427">
        <f>IF($AA427="yes","Yes",IF($AA427="","","No"))</f>
        <v/>
      </c>
    </row>
    <row r="428">
      <c r="A428" t="inlineStr">
        <is>
          <t>three-way</t>
        </is>
      </c>
      <c r="B428" t="inlineStr">
        <is>
          <t>FICO x CHANNEL / SYS_FLAG</t>
        </is>
      </c>
      <c r="C428" t="inlineStr">
        <is>
          <t>712 - 745</t>
        </is>
      </c>
      <c r="D428" t="inlineStr">
        <is>
          <t>Branch / SYS_FLAG Y</t>
        </is>
      </c>
      <c r="E428" t="inlineStr">
        <is>
          <t>contribution_rate</t>
        </is>
      </c>
      <c r="F428" t="inlineStr">
        <is>
          <t>Contribution before losses per booked dollar</t>
        </is>
      </c>
      <c r="G428" t="n">
        <v>230</v>
      </c>
      <c r="H428" t="n">
        <v>7154058.649999997</v>
      </c>
      <c r="I428" t="b">
        <v>0</v>
      </c>
      <c r="J428" t="b">
        <v>0</v>
      </c>
      <c r="K428" t="n">
        <v>-0.0635230776094704</v>
      </c>
      <c r="L428" t="n">
        <v>0.000184981501849815</v>
      </c>
      <c r="M428" t="n">
        <v>-0.02135453313585967</v>
      </c>
      <c r="N428" t="n">
        <v>0.001999800019998</v>
      </c>
      <c r="O428" t="n">
        <v>454447.8228466528</v>
      </c>
      <c r="P428" t="n">
        <v>152771.5824973084</v>
      </c>
      <c r="Q428">
        <f>'_live'!$C$24</f>
        <v/>
      </c>
      <c r="R428" t="inlineStr">
        <is>
          <t>shuffled: 0 of 10,000</t>
        </is>
      </c>
      <c r="S428" t="inlineStr">
        <is>
          <t>shuffled: 4 of 10,000</t>
        </is>
      </c>
      <c r="T428" t="n">
        <v>0.1713536850647224</v>
      </c>
      <c r="U428" t="n">
        <v>0.1291851405911117</v>
      </c>
      <c r="V428">
        <f>AND(judged_band,NOT($J428))</f>
        <v/>
      </c>
      <c r="W428">
        <f>IF($K428="","",IF(profit_kind="test",IF(OR(NOT(AND(ISNUMBER($L428),$L428&lt;significance_bar)),$K428=0),"in line",IF($K428&lt;0,"worse","better")),IF(OR($K428=0,IF(profit_kind="points",ABS($K428),ABS($K428*$H428))&lt;profit_line*(1-1E-9)),"in line",IF(AND(ISNUMBER($L428),$L428&lt;significance_bar),IF($K428&lt;0,"worse","better"),IF($K428&lt;0,"worse, not significant","better, not significant")))))</f>
        <v/>
      </c>
      <c r="X428">
        <f>IF($M428="","",IF(profit_kind="test",IF(OR(NOT(AND(ISNUMBER($N428),$N428&lt;significance_bar)),$M428=0),"in line",IF($M428&lt;0,"worse","better")),IF(OR($M428=0,IF(profit_kind="points",ABS($M428),ABS($M428*$H428))&lt;profit_line*(1-1E-9)),"in line",IF(AND(ISNUMBER($N428),$N428&lt;significance_bar),IF($M428&lt;0,"worse","better"),IF($M428&lt;0,"worse, not significant","better, not significant")))))</f>
        <v/>
      </c>
      <c r="Y428">
        <f>IF($V428,$X428,$W428)</f>
        <v/>
      </c>
      <c r="Z428">
        <f>IF($V428,IF($P428="","",$P428),IF($O428="","",$O428))</f>
        <v/>
      </c>
      <c r="AA428">
        <f>IF(OR($Q428="",$Z428=""),"",IF(AND($Z428&gt;0,$Z428&gt;=$Q428),"yes","below the line"))</f>
        <v/>
      </c>
      <c r="AB428">
        <f>IF($V428,IF($M428="","",$M428),IF($K428="","",$K428))</f>
        <v/>
      </c>
      <c r="AC428">
        <f>IF($V428,IF($N428="","",$N428),IF($L428="","",$L428))</f>
        <v/>
      </c>
      <c r="AD428">
        <f>IF($Y428="","",IF($Y428="in line",IF(profit_kind="test",IF(ROUND($AB428*100,2)=0,"0.00",TEXT($AB428*100,"+0.00;-0.00"))&amp;" points against "&amp;IF($V428,"its band","the book")&amp;", "&amp;IF($AC428="","not tested","not significant"),IF(profit_kind="points","within "&amp;TEXT(profit_line*100,"0.00")&amp;" points of "&amp;IF($V428,"its band","the book")&amp;" ("&amp;IF(ROUND($AB428*100,2)=0,"0.00",TEXT($AB428*100,"+0.00;-0.00"))&amp;")","within $"&amp;TEXT(profit_line,"#,##0")&amp;" of "&amp;IF($V428,"its band","the book")&amp;" ("&amp;IF(ROUND($AB428*100,2)=0,"0.00",TEXT($AB428*100,"+0.00;-0.00"))&amp;" points)")),IF(LEFT($Y428,5)="worse","short of ","ahead of ")&amp;IF($V428,"its band","the book")&amp;" by "&amp;TEXT(ABS($AB428)*100,"0.00")&amp;" points"&amp;IF($Z428="",""," ($"&amp;TEXT(ABS($Z428),"#,##0")&amp;")")&amp;IF(RIGHT($Y428,15)="not significant"," (not significant)","")))</f>
        <v/>
      </c>
      <c r="AE428">
        <f>IF($V428,IF($S428="","",$S428),IF($R428="","",$R428))</f>
        <v/>
      </c>
      <c r="AF428">
        <f>IF($V428,IF($U428="","",$U428),IF($T428="","",$T428))</f>
        <v/>
      </c>
      <c r="AG428">
        <f>IF($V428,IF($O428="","",$O428),IF($P428="","",$P428))</f>
        <v/>
      </c>
      <c r="AH428" t="n">
        <v>0.107830607455252</v>
      </c>
      <c r="AI428">
        <f>IF($Y428="worse","Yes",IF($Y428="worse, not significant","Not sure",IF(OR($Y428="too few losses to test",$Y428="too few loans to test"),"Too few losses",IF($Y428="","","No"))))</f>
        <v/>
      </c>
      <c r="AJ428">
        <f>IF($AA428="yes","Yes",IF($AA428="","","No"))</f>
        <v/>
      </c>
    </row>
    <row r="429">
      <c r="A429" t="inlineStr">
        <is>
          <t>three-way</t>
        </is>
      </c>
      <c r="B429" t="inlineStr">
        <is>
          <t>FICO x CHANNEL / SYS_FLAG</t>
        </is>
      </c>
      <c r="C429" t="inlineStr">
        <is>
          <t>496 - 653</t>
        </is>
      </c>
      <c r="D429" t="inlineStr">
        <is>
          <t>Branch / SYS_FLAG N</t>
        </is>
      </c>
      <c r="E429" t="inlineStr">
        <is>
          <t>outcome_loans</t>
        </is>
      </c>
      <c r="F429" t="inlineStr">
        <is>
          <t>Outcome, share of loans</t>
        </is>
      </c>
      <c r="G429" t="n">
        <v>270</v>
      </c>
      <c r="H429" t="n">
        <v>270</v>
      </c>
      <c r="I429" t="b">
        <v>0</v>
      </c>
      <c r="J429" t="b">
        <v>0</v>
      </c>
      <c r="K429" t="n">
        <v>1.104691772309222</v>
      </c>
      <c r="L429" t="n">
        <v>0.6516114653625142</v>
      </c>
      <c r="M429" t="n">
        <v>0.5187818149903458</v>
      </c>
      <c r="N429" t="n">
        <v>0.006018836048015569</v>
      </c>
      <c r="O429" t="n">
        <v>2.179712770086688</v>
      </c>
      <c r="P429" t="n">
        <v>-21.33463035019455</v>
      </c>
      <c r="Q429">
        <f>'_live'!$C$20</f>
        <v/>
      </c>
      <c r="R429" t="inlineStr">
        <is>
          <t>z test</t>
        </is>
      </c>
      <c r="S429" t="inlineStr">
        <is>
          <t>z test</t>
        </is>
      </c>
      <c r="T429" t="n">
        <v>0.07711217492560486</v>
      </c>
      <c r="U429" t="n">
        <v>0.1642023346303502</v>
      </c>
      <c r="V429">
        <f>AND(judged_band,NOT($J429))</f>
        <v/>
      </c>
      <c r="W429">
        <f>IF($K429="","",IF($I429,"too few losses to test",IF(AND($K429&gt;better_at,$K429&lt;worse_at),"in line",IF($K429&gt;=worse_at,IF(AND(ISNUMBER($L429),$L429&lt;significance_bar),"worse","worse, not significant"),IF(AND(ISNUMBER($L429),$L429&lt;significance_bar),"better","better, not significant")))))</f>
        <v/>
      </c>
      <c r="X429">
        <f>IF($M429="","",IF($I429,"too few losses to test",IF(AND($M429&gt;better_at,$M429&lt;worse_at),"in line",IF($M429&gt;=worse_at,IF(AND(ISNUMBER($N429),$N429&lt;significance_bar),"worse","worse, not significant"),IF(AND(ISNUMBER($N429),$N429&lt;significance_bar),"better","better, not significant")))))</f>
        <v/>
      </c>
      <c r="Y429">
        <f>IF($V429,$X429,$W429)</f>
        <v/>
      </c>
      <c r="Z429">
        <f>IF($V429,IF($P429="","",$P429),IF($O429="","",$O429))</f>
        <v/>
      </c>
      <c r="AA429">
        <f>IF(OR($Q429="",$Z429=""),"",IF(AND($Z429&gt;0,$Z429&gt;=$Q429),"yes","below the line"))</f>
        <v/>
      </c>
      <c r="AB429">
        <f>IF($V429,IF($M429="","",$M429),IF($K429="","",$K429))</f>
        <v/>
      </c>
      <c r="AC429">
        <f>IF($V429,IF($N429="","",$N429),IF($L429="","",$L429))</f>
        <v/>
      </c>
      <c r="AD429">
        <f>$Y429</f>
        <v/>
      </c>
      <c r="AE429">
        <f>IF($V429,IF($S429="","",$S429),IF($R429="","",$R429))</f>
        <v/>
      </c>
      <c r="AF429">
        <f>IF($V429,IF($U429="","",$U429),IF($T429="","",$T429))</f>
        <v/>
      </c>
      <c r="AG429">
        <f>IF($V429,IF($O429="","",$O429),IF($P429="","",$P429))</f>
        <v/>
      </c>
      <c r="AH429" t="n">
        <v>0.08518518518518518</v>
      </c>
      <c r="AI429">
        <f>IF($Y429="worse","Yes",IF($Y429="worse, not significant","Not sure",IF(OR($Y429="too few losses to test",$Y429="too few loans to test"),"Too few losses",IF($Y429="","","No"))))</f>
        <v/>
      </c>
      <c r="AJ429">
        <f>IF($AA429="yes","Yes",IF($AA429="","","No"))</f>
        <v/>
      </c>
    </row>
    <row r="430">
      <c r="A430" t="inlineStr">
        <is>
          <t>three-way</t>
        </is>
      </c>
      <c r="B430" t="inlineStr">
        <is>
          <t>FICO x CHANNEL / SYS_FLAG</t>
        </is>
      </c>
      <c r="C430" t="inlineStr">
        <is>
          <t>496 - 653</t>
        </is>
      </c>
      <c r="D430" t="inlineStr">
        <is>
          <t>Branch / SYS_FLAG N</t>
        </is>
      </c>
      <c r="E430" t="inlineStr">
        <is>
          <t>outcome_booked</t>
        </is>
      </c>
      <c r="F430" t="inlineStr">
        <is>
          <t>Outcome, share of booked dollars</t>
        </is>
      </c>
      <c r="G430" t="n">
        <v>270</v>
      </c>
      <c r="H430" t="n">
        <v>8579982.870000007</v>
      </c>
      <c r="I430" t="b">
        <v>0</v>
      </c>
      <c r="J430" t="b">
        <v>0</v>
      </c>
      <c r="K430" t="n">
        <v>1.063514172390272</v>
      </c>
      <c r="L430" t="n">
        <v>0.7914208579142086</v>
      </c>
      <c r="M430" t="n">
        <v>0.486096506781561</v>
      </c>
      <c r="N430" t="n">
        <v>0.0104989501049895</v>
      </c>
      <c r="O430" t="n">
        <v>40692.0903612168</v>
      </c>
      <c r="P430" t="n">
        <v>-720346.9274622325</v>
      </c>
      <c r="Q430">
        <f>'_live'!$C$21</f>
        <v/>
      </c>
      <c r="R430" t="inlineStr">
        <is>
          <t>shuffled: 7,914 of 10,000</t>
        </is>
      </c>
      <c r="S430" t="inlineStr">
        <is>
          <t>shuffled: 20 of 10,000</t>
        </is>
      </c>
      <c r="T430" t="n">
        <v>0.0746711665216626</v>
      </c>
      <c r="U430" t="n">
        <v>0.1633705298367608</v>
      </c>
      <c r="V430">
        <f>AND(judged_band,NOT($J430))</f>
        <v/>
      </c>
      <c r="W430">
        <f>IF($K430="","",IF($I430,"too few losses to test",IF(AND($K430&gt;better_at,$K430&lt;worse_at),"in line",IF($K430&gt;=worse_at,IF(AND(ISNUMBER($L430),$L430&lt;significance_bar),"worse","worse, not significant"),IF(AND(ISNUMBER($L430),$L430&lt;significance_bar),"better","better, not significant")))))</f>
        <v/>
      </c>
      <c r="X430">
        <f>IF($M430="","",IF($I430,"too few losses to test",IF(AND($M430&gt;better_at,$M430&lt;worse_at),"in line",IF($M430&gt;=worse_at,IF(AND(ISNUMBER($N430),$N430&lt;significance_bar),"worse","worse, not significant"),IF(AND(ISNUMBER($N430),$N430&lt;significance_bar),"better","better, not significant")))))</f>
        <v/>
      </c>
      <c r="Y430">
        <f>IF($V430,$X430,$W430)</f>
        <v/>
      </c>
      <c r="Z430">
        <f>IF($V430,IF($P430="","",$P430),IF($O430="","",$O430))</f>
        <v/>
      </c>
      <c r="AA430">
        <f>IF(OR($Q430="",$Z430=""),"",IF(AND($Z430&gt;0,$Z430&gt;=$Q430),"yes","below the line"))</f>
        <v/>
      </c>
      <c r="AB430">
        <f>IF($V430,IF($M430="","",$M430),IF($K430="","",$K430))</f>
        <v/>
      </c>
      <c r="AC430">
        <f>IF($V430,IF($N430="","",$N430),IF($L430="","",$L430))</f>
        <v/>
      </c>
      <c r="AD430">
        <f>$Y430</f>
        <v/>
      </c>
      <c r="AE430">
        <f>IF($V430,IF($S430="","",$S430),IF($R430="","",$R430))</f>
        <v/>
      </c>
      <c r="AF430">
        <f>IF($V430,IF($U430="","",$U430),IF($T430="","",$T430))</f>
        <v/>
      </c>
      <c r="AG430">
        <f>IF($V430,IF($O430="","",$O430),IF($P430="","",$P430))</f>
        <v/>
      </c>
      <c r="AH430" t="n">
        <v>0.0794138438647022</v>
      </c>
      <c r="AI430">
        <f>IF($Y430="worse","Yes",IF($Y430="worse, not significant","Not sure",IF(OR($Y430="too few losses to test",$Y430="too few loans to test"),"Too few losses",IF($Y430="","","No"))))</f>
        <v/>
      </c>
      <c r="AJ430">
        <f>IF($AA430="yes","Yes",IF($AA430="","","No"))</f>
        <v/>
      </c>
    </row>
    <row r="431">
      <c r="A431" t="inlineStr">
        <is>
          <t>three-way</t>
        </is>
      </c>
      <c r="B431" t="inlineStr">
        <is>
          <t>FICO x CHANNEL / SYS_FLAG</t>
        </is>
      </c>
      <c r="C431" t="inlineStr">
        <is>
          <t>496 - 653</t>
        </is>
      </c>
      <c r="D431" t="inlineStr">
        <is>
          <t>Branch / SYS_FLAG N</t>
        </is>
      </c>
      <c r="E431" t="inlineStr">
        <is>
          <t>gco_rate</t>
        </is>
      </c>
      <c r="F431" t="inlineStr">
        <is>
          <t>GCO per booked dollar</t>
        </is>
      </c>
      <c r="G431" t="n">
        <v>271</v>
      </c>
      <c r="H431" t="n">
        <v>8616970.880000006</v>
      </c>
      <c r="I431" t="b">
        <v>0</v>
      </c>
      <c r="J431" t="b">
        <v>0</v>
      </c>
      <c r="K431" t="n">
        <v>1.039613860008042</v>
      </c>
      <c r="L431" t="n">
        <v>0.8746125387461254</v>
      </c>
      <c r="M431" t="n">
        <v>0.4711320851040447</v>
      </c>
      <c r="N431" t="n">
        <v>0.010998900109989</v>
      </c>
      <c r="O431" t="n">
        <v>14183.25550352398</v>
      </c>
      <c r="P431" t="n">
        <v>-417835.5268508134</v>
      </c>
      <c r="Q431">
        <f>'_live'!$C$22</f>
        <v/>
      </c>
      <c r="R431" t="inlineStr">
        <is>
          <t>shuffled: 8,746 of 10,000</t>
        </is>
      </c>
      <c r="S431" t="inlineStr">
        <is>
          <t>shuffled: 21 of 10,000</t>
        </is>
      </c>
      <c r="T431" t="n">
        <v>0.04155029760254635</v>
      </c>
      <c r="U431" t="n">
        <v>0.09168610383545973</v>
      </c>
      <c r="V431">
        <f>AND(judged_band,NOT($J431))</f>
        <v/>
      </c>
      <c r="W431">
        <f>IF($K431="","",IF($I431,"too few losses to test",IF(AND($K431&gt;better_at,$K431&lt;worse_at),"in line",IF($K431&gt;=worse_at,IF(AND(ISNUMBER($L431),$L431&lt;significance_bar),"worse","worse, not significant"),IF(AND(ISNUMBER($L431),$L431&lt;significance_bar),"better","better, not significant")))))</f>
        <v/>
      </c>
      <c r="X431">
        <f>IF($M431="","",IF($I431,"too few losses to test",IF(AND($M431&gt;better_at,$M431&lt;worse_at),"in line",IF($M431&gt;=worse_at,IF(AND(ISNUMBER($N431),$N431&lt;significance_bar),"worse","worse, not significant"),IF(AND(ISNUMBER($N431),$N431&lt;significance_bar),"better","better, not significant")))))</f>
        <v/>
      </c>
      <c r="Y431">
        <f>IF($V431,$X431,$W431)</f>
        <v/>
      </c>
      <c r="Z431">
        <f>IF($V431,IF($P431="","",$P431),IF($O431="","",$O431))</f>
        <v/>
      </c>
      <c r="AA431">
        <f>IF(OR($Q431="",$Z431=""),"",IF(AND($Z431&gt;0,$Z431&gt;=$Q431),"yes","below the line"))</f>
        <v/>
      </c>
      <c r="AB431">
        <f>IF($V431,IF($M431="","",$M431),IF($K431="","",$K431))</f>
        <v/>
      </c>
      <c r="AC431">
        <f>IF($V431,IF($N431="","",$N431),IF($L431="","",$L431))</f>
        <v/>
      </c>
      <c r="AD431">
        <f>$Y431</f>
        <v/>
      </c>
      <c r="AE431">
        <f>IF($V431,IF($S431="","",$S431),IF($R431="","",$R431))</f>
        <v/>
      </c>
      <c r="AF431">
        <f>IF($V431,IF($U431="","",$U431),IF($T431="","",$T431))</f>
        <v/>
      </c>
      <c r="AG431">
        <f>IF($V431,IF($O431="","",$O431),IF($P431="","",$P431))</f>
        <v/>
      </c>
      <c r="AH431" t="n">
        <v>0.04319626527506609</v>
      </c>
      <c r="AI431">
        <f>IF($Y431="worse","Yes",IF($Y431="worse, not significant","Not sure",IF(OR($Y431="too few losses to test",$Y431="too few loans to test"),"Too few losses",IF($Y431="","","No"))))</f>
        <v/>
      </c>
      <c r="AJ431">
        <f>IF($AA431="yes","Yes",IF($AA431="","","No"))</f>
        <v/>
      </c>
    </row>
    <row r="432">
      <c r="A432" t="inlineStr">
        <is>
          <t>three-way</t>
        </is>
      </c>
      <c r="B432" t="inlineStr">
        <is>
          <t>FICO x CHANNEL / SYS_FLAG</t>
        </is>
      </c>
      <c r="C432" t="inlineStr">
        <is>
          <t>496 - 653</t>
        </is>
      </c>
      <c r="D432" t="inlineStr">
        <is>
          <t>Branch / SYS_FLAG N</t>
        </is>
      </c>
      <c r="E432" t="inlineStr">
        <is>
          <t>ranr_rate</t>
        </is>
      </c>
      <c r="F432" t="inlineStr">
        <is>
          <t>Profit after losses: RANR per booked dollar</t>
        </is>
      </c>
      <c r="G432" t="n">
        <v>271</v>
      </c>
      <c r="H432" t="n">
        <v>8616970.880000006</v>
      </c>
      <c r="I432" t="b">
        <v>0</v>
      </c>
      <c r="J432" t="b">
        <v>0</v>
      </c>
      <c r="K432" t="n">
        <v>0.1096371647556034</v>
      </c>
      <c r="L432" t="n">
        <v>0.0002845869259227924</v>
      </c>
      <c r="M432" t="n">
        <v>0.05275189828699248</v>
      </c>
      <c r="N432" t="n">
        <v>0.0245975402459754</v>
      </c>
      <c r="O432" t="n">
        <v>-944740.2560647975</v>
      </c>
      <c r="P432" t="n">
        <v>-454561.5714037362</v>
      </c>
      <c r="Q432">
        <f>'_live'!$C$23</f>
        <v/>
      </c>
      <c r="R432" t="inlineStr">
        <is>
          <t>shuffled: 0 of 10,000</t>
        </is>
      </c>
      <c r="S432" t="inlineStr">
        <is>
          <t>shuffled: 40 of 10,000</t>
        </is>
      </c>
      <c r="T432" t="n">
        <v>0.1243292369040942</v>
      </c>
      <c r="U432" t="n">
        <v>0.1812145033727052</v>
      </c>
      <c r="V432">
        <f>AND(judged_band,NOT($J432))</f>
        <v/>
      </c>
      <c r="W432">
        <f>IF($K432="","",IF(profit_kind="test",IF(OR(NOT(AND(ISNUMBER($L432),$L432&lt;significance_bar)),$K432=0),"in line",IF($K432&lt;0,"worse","better")),IF(OR($K432=0,IF(profit_kind="points",ABS($K432),ABS($K432*$H432))&lt;profit_line*(1-1E-9)),"in line",IF(AND(ISNUMBER($L432),$L432&lt;significance_bar),IF($K432&lt;0,"worse","better"),IF($K432&lt;0,"worse, not significant","better, not significant")))))</f>
        <v/>
      </c>
      <c r="X432">
        <f>IF($M432="","",IF(profit_kind="test",IF(OR(NOT(AND(ISNUMBER($N432),$N432&lt;significance_bar)),$M432=0),"in line",IF($M432&lt;0,"worse","better")),IF(OR($M432=0,IF(profit_kind="points",ABS($M432),ABS($M432*$H432))&lt;profit_line*(1-1E-9)),"in line",IF(AND(ISNUMBER($N432),$N432&lt;significance_bar),IF($M432&lt;0,"worse","better"),IF($M432&lt;0,"worse, not significant","better, not significant")))))</f>
        <v/>
      </c>
      <c r="Y432">
        <f>IF($V432,$X432,$W432)</f>
        <v/>
      </c>
      <c r="Z432">
        <f>IF($V432,IF($P432="","",$P432),IF($O432="","",$O432))</f>
        <v/>
      </c>
      <c r="AA432">
        <f>IF(OR($Q432="",$Z432=""),"",IF(AND($Z432&gt;0,$Z432&gt;=$Q432),"yes","below the line"))</f>
        <v/>
      </c>
      <c r="AB432">
        <f>IF($V432,IF($M432="","",$M432),IF($K432="","",$K432))</f>
        <v/>
      </c>
      <c r="AC432">
        <f>IF($V432,IF($N432="","",$N432),IF($L432="","",$L432))</f>
        <v/>
      </c>
      <c r="AD432">
        <f>IF($Y432="","",IF($Y432="in line",IF(profit_kind="test",IF(ROUND($AB432*100,2)=0,"0.00",TEXT($AB432*100,"+0.00;-0.00"))&amp;" points against "&amp;IF($V432,"its band","the book")&amp;", "&amp;IF($AC432="","not tested","not significant"),IF(profit_kind="points","within "&amp;TEXT(profit_line*100,"0.00")&amp;" points of "&amp;IF($V432,"its band","the book")&amp;" ("&amp;IF(ROUND($AB432*100,2)=0,"0.00",TEXT($AB432*100,"+0.00;-0.00"))&amp;")","within $"&amp;TEXT(profit_line,"#,##0")&amp;" of "&amp;IF($V432,"its band","the book")&amp;" ("&amp;IF(ROUND($AB432*100,2)=0,"0.00",TEXT($AB432*100,"+0.00;-0.00"))&amp;" points)")),IF(LEFT($Y432,5)="worse","short of ","ahead of ")&amp;IF($V432,"its band","the book")&amp;" by "&amp;TEXT(ABS($AB432)*100,"0.00")&amp;" points"&amp;IF($Z432="",""," ($"&amp;TEXT(ABS($Z432),"#,##0")&amp;")")&amp;IF(RIGHT($Y432,15)="not significant"," (not significant)","")))</f>
        <v/>
      </c>
      <c r="AE432">
        <f>IF($V432,IF($S432="","",$S432),IF($R432="","",$R432))</f>
        <v/>
      </c>
      <c r="AF432">
        <f>IF($V432,IF($U432="","",$U432),IF($T432="","",$T432))</f>
        <v/>
      </c>
      <c r="AG432">
        <f>IF($V432,IF($O432="","",$O432),IF($P432="","",$P432))</f>
        <v/>
      </c>
      <c r="AH432" t="n">
        <v>0.2339664016596976</v>
      </c>
      <c r="AI432">
        <f>IF($Y432="worse","Yes",IF($Y432="worse, not significant","Not sure",IF(OR($Y432="too few losses to test",$Y432="too few loans to test"),"Too few losses",IF($Y432="","","No"))))</f>
        <v/>
      </c>
      <c r="AJ432">
        <f>IF($AA432="yes","Yes",IF($AA432="","","No"))</f>
        <v/>
      </c>
    </row>
    <row r="433">
      <c r="A433" t="inlineStr">
        <is>
          <t>three-way</t>
        </is>
      </c>
      <c r="B433" t="inlineStr">
        <is>
          <t>FICO x CHANNEL / SYS_FLAG</t>
        </is>
      </c>
      <c r="C433" t="inlineStr">
        <is>
          <t>496 - 653</t>
        </is>
      </c>
      <c r="D433" t="inlineStr">
        <is>
          <t>Branch / SYS_FLAG N</t>
        </is>
      </c>
      <c r="E433" t="inlineStr">
        <is>
          <t>contribution_rate</t>
        </is>
      </c>
      <c r="F433" t="inlineStr">
        <is>
          <t>Contribution before losses per booked dollar</t>
        </is>
      </c>
      <c r="G433" t="n">
        <v>271</v>
      </c>
      <c r="H433" t="n">
        <v>8616970.880000006</v>
      </c>
      <c r="I433" t="b">
        <v>0</v>
      </c>
      <c r="J433" t="b">
        <v>0</v>
      </c>
      <c r="K433" t="n">
        <v>0.1112866729387726</v>
      </c>
      <c r="L433" t="n">
        <v>0.000184981501849815</v>
      </c>
      <c r="M433" t="n">
        <v>0.004262059726598655</v>
      </c>
      <c r="N433" t="n">
        <v>0.8317568243175681</v>
      </c>
      <c r="O433" t="n">
        <v>-958954.0200454886</v>
      </c>
      <c r="P433" t="n">
        <v>-36726.04455292132</v>
      </c>
      <c r="Q433">
        <f>'_live'!$C$24</f>
        <v/>
      </c>
      <c r="R433" t="inlineStr">
        <is>
          <t>shuffled: 0 of 10,000</t>
        </is>
      </c>
      <c r="S433" t="inlineStr">
        <is>
          <t>shuffled: 6,931 of 10,000</t>
        </is>
      </c>
      <c r="T433" t="n">
        <v>0.165875993995991</v>
      </c>
      <c r="U433" t="n">
        <v>0.272900607208165</v>
      </c>
      <c r="V433">
        <f>AND(judged_band,NOT($J433))</f>
        <v/>
      </c>
      <c r="W433">
        <f>IF($K433="","",IF(profit_kind="test",IF(OR(NOT(AND(ISNUMBER($L433),$L433&lt;significance_bar)),$K433=0),"in line",IF($K433&lt;0,"worse","better")),IF(OR($K433=0,IF(profit_kind="points",ABS($K433),ABS($K433*$H433))&lt;profit_line*(1-1E-9)),"in line",IF(AND(ISNUMBER($L433),$L433&lt;significance_bar),IF($K433&lt;0,"worse","better"),IF($K433&lt;0,"worse, not significant","better, not significant")))))</f>
        <v/>
      </c>
      <c r="X433">
        <f>IF($M433="","",IF(profit_kind="test",IF(OR(NOT(AND(ISNUMBER($N433),$N433&lt;significance_bar)),$M433=0),"in line",IF($M433&lt;0,"worse","better")),IF(OR($M433=0,IF(profit_kind="points",ABS($M433),ABS($M433*$H433))&lt;profit_line*(1-1E-9)),"in line",IF(AND(ISNUMBER($N433),$N433&lt;significance_bar),IF($M433&lt;0,"worse","better"),IF($M433&lt;0,"worse, not significant","better, not significant")))))</f>
        <v/>
      </c>
      <c r="Y433">
        <f>IF($V433,$X433,$W433)</f>
        <v/>
      </c>
      <c r="Z433">
        <f>IF($V433,IF($P433="","",$P433),IF($O433="","",$O433))</f>
        <v/>
      </c>
      <c r="AA433">
        <f>IF(OR($Q433="",$Z433=""),"",IF(AND($Z433&gt;0,$Z433&gt;=$Q433),"yes","below the line"))</f>
        <v/>
      </c>
      <c r="AB433">
        <f>IF($V433,IF($M433="","",$M433),IF($K433="","",$K433))</f>
        <v/>
      </c>
      <c r="AC433">
        <f>IF($V433,IF($N433="","",$N433),IF($L433="","",$L433))</f>
        <v/>
      </c>
      <c r="AD433">
        <f>IF($Y433="","",IF($Y433="in line",IF(profit_kind="test",IF(ROUND($AB433*100,2)=0,"0.00",TEXT($AB433*100,"+0.00;-0.00"))&amp;" points against "&amp;IF($V433,"its band","the book")&amp;", "&amp;IF($AC433="","not tested","not significant"),IF(profit_kind="points","within "&amp;TEXT(profit_line*100,"0.00")&amp;" points of "&amp;IF($V433,"its band","the book")&amp;" ("&amp;IF(ROUND($AB433*100,2)=0,"0.00",TEXT($AB433*100,"+0.00;-0.00"))&amp;")","within $"&amp;TEXT(profit_line,"#,##0")&amp;" of "&amp;IF($V433,"its band","the book")&amp;" ("&amp;IF(ROUND($AB433*100,2)=0,"0.00",TEXT($AB433*100,"+0.00;-0.00"))&amp;" points)")),IF(LEFT($Y433,5)="worse","short of ","ahead of ")&amp;IF($V433,"its band","the book")&amp;" by "&amp;TEXT(ABS($AB433)*100,"0.00")&amp;" points"&amp;IF($Z433="",""," ($"&amp;TEXT(ABS($Z433),"#,##0")&amp;")")&amp;IF(RIGHT($Y433,15)="not significant"," (not significant)","")))</f>
        <v/>
      </c>
      <c r="AE433">
        <f>IF($V433,IF($S433="","",$S433),IF($R433="","",$R433))</f>
        <v/>
      </c>
      <c r="AF433">
        <f>IF($V433,IF($U433="","",$U433),IF($T433="","",$T433))</f>
        <v/>
      </c>
      <c r="AG433">
        <f>IF($V433,IF($O433="","",$O433),IF($P433="","",$P433))</f>
        <v/>
      </c>
      <c r="AH433" t="n">
        <v>0.2771626669347637</v>
      </c>
      <c r="AI433">
        <f>IF($Y433="worse","Yes",IF($Y433="worse, not significant","Not sure",IF(OR($Y433="too few losses to test",$Y433="too few loans to test"),"Too few losses",IF($Y433="","","No"))))</f>
        <v/>
      </c>
      <c r="AJ433">
        <f>IF($AA433="yes","Yes",IF($AA433="","","No"))</f>
        <v/>
      </c>
    </row>
    <row r="434">
      <c r="A434" t="inlineStr">
        <is>
          <t>three-way</t>
        </is>
      </c>
      <c r="B434" t="inlineStr">
        <is>
          <t>FICO x CHANNEL / SYS_FLAG</t>
        </is>
      </c>
      <c r="C434" t="inlineStr">
        <is>
          <t>746 - 921</t>
        </is>
      </c>
      <c r="D434" t="inlineStr">
        <is>
          <t>Branch / SYS_FLAG Y</t>
        </is>
      </c>
      <c r="E434" t="inlineStr">
        <is>
          <t>outcome_loans</t>
        </is>
      </c>
      <c r="F434" t="inlineStr">
        <is>
          <t>Outcome, share of loans</t>
        </is>
      </c>
      <c r="G434" t="n">
        <v>239</v>
      </c>
      <c r="H434" t="n">
        <v>239</v>
      </c>
      <c r="I434" t="b">
        <v>0</v>
      </c>
      <c r="J434" t="b">
        <v>0</v>
      </c>
      <c r="K434" t="n">
        <v>0.7513399495141603</v>
      </c>
      <c r="L434" t="n">
        <v>0.3542856713146381</v>
      </c>
      <c r="M434" t="n">
        <v>1.625523012552301</v>
      </c>
      <c r="N434" t="n">
        <v>0.2257629685936581</v>
      </c>
      <c r="O434" t="n">
        <v>-4.633376288659793</v>
      </c>
      <c r="P434" t="n">
        <v>5.387387387387388</v>
      </c>
      <c r="Q434">
        <f>'_live'!$C$20</f>
        <v/>
      </c>
      <c r="R434" t="inlineStr">
        <is>
          <t>z test</t>
        </is>
      </c>
      <c r="S434" t="inlineStr">
        <is>
          <t>z test</t>
        </is>
      </c>
      <c r="T434" t="n">
        <v>0.0779639175257732</v>
      </c>
      <c r="U434" t="n">
        <v>0.03603603603603604</v>
      </c>
      <c r="V434">
        <f>AND(judged_band,NOT($J434))</f>
        <v/>
      </c>
      <c r="W434">
        <f>IF($K434="","",IF($I434,"too few losses to test",IF(AND($K434&gt;better_at,$K434&lt;worse_at),"in line",IF($K434&gt;=worse_at,IF(AND(ISNUMBER($L434),$L434&lt;significance_bar),"worse","worse, not significant"),IF(AND(ISNUMBER($L434),$L434&lt;significance_bar),"better","better, not significant")))))</f>
        <v/>
      </c>
      <c r="X434">
        <f>IF($M434="","",IF($I434,"too few losses to test",IF(AND($M434&gt;better_at,$M434&lt;worse_at),"in line",IF($M434&gt;=worse_at,IF(AND(ISNUMBER($N434),$N434&lt;significance_bar),"worse","worse, not significant"),IF(AND(ISNUMBER($N434),$N434&lt;significance_bar),"better","better, not significant")))))</f>
        <v/>
      </c>
      <c r="Y434">
        <f>IF($V434,$X434,$W434)</f>
        <v/>
      </c>
      <c r="Z434">
        <f>IF($V434,IF($P434="","",$P434),IF($O434="","",$O434))</f>
        <v/>
      </c>
      <c r="AA434">
        <f>IF(OR($Q434="",$Z434=""),"",IF(AND($Z434&gt;0,$Z434&gt;=$Q434),"yes","below the line"))</f>
        <v/>
      </c>
      <c r="AB434">
        <f>IF($V434,IF($M434="","",$M434),IF($K434="","",$K434))</f>
        <v/>
      </c>
      <c r="AC434">
        <f>IF($V434,IF($N434="","",$N434),IF($L434="","",$L434))</f>
        <v/>
      </c>
      <c r="AD434">
        <f>$Y434</f>
        <v/>
      </c>
      <c r="AE434">
        <f>IF($V434,IF($S434="","",$S434),IF($R434="","",$R434))</f>
        <v/>
      </c>
      <c r="AF434">
        <f>IF($V434,IF($U434="","",$U434),IF($T434="","",$T434))</f>
        <v/>
      </c>
      <c r="AG434">
        <f>IF($V434,IF($O434="","",$O434),IF($P434="","",$P434))</f>
        <v/>
      </c>
      <c r="AH434" t="n">
        <v>0.05857740585774059</v>
      </c>
      <c r="AI434">
        <f>IF($Y434="worse","Yes",IF($Y434="worse, not significant","Not sure",IF(OR($Y434="too few losses to test",$Y434="too few loans to test"),"Too few losses",IF($Y434="","","No"))))</f>
        <v/>
      </c>
      <c r="AJ434">
        <f>IF($AA434="yes","Yes",IF($AA434="","","No"))</f>
        <v/>
      </c>
    </row>
    <row r="435">
      <c r="A435" t="inlineStr">
        <is>
          <t>three-way</t>
        </is>
      </c>
      <c r="B435" t="inlineStr">
        <is>
          <t>FICO x CHANNEL / SYS_FLAG</t>
        </is>
      </c>
      <c r="C435" t="inlineStr">
        <is>
          <t>746 - 921</t>
        </is>
      </c>
      <c r="D435" t="inlineStr">
        <is>
          <t>Branch / SYS_FLAG Y</t>
        </is>
      </c>
      <c r="E435" t="inlineStr">
        <is>
          <t>outcome_booked</t>
        </is>
      </c>
      <c r="F435" t="inlineStr">
        <is>
          <t>Outcome, share of booked dollars</t>
        </is>
      </c>
      <c r="G435" t="n">
        <v>239</v>
      </c>
      <c r="H435" t="n">
        <v>7446447.130000001</v>
      </c>
      <c r="I435" t="b">
        <v>0</v>
      </c>
      <c r="J435" t="b">
        <v>0</v>
      </c>
      <c r="K435" t="n">
        <v>0.6772114552125791</v>
      </c>
      <c r="L435" t="n">
        <v>0.2961468559026451</v>
      </c>
      <c r="M435" t="n">
        <v>1.488936159923377</v>
      </c>
      <c r="N435" t="n">
        <v>0.454377639159161</v>
      </c>
      <c r="O435" t="n">
        <v>-181551.9532488825</v>
      </c>
      <c r="P435" t="n">
        <v>125078.650672851</v>
      </c>
      <c r="Q435">
        <f>'_live'!$C$21</f>
        <v/>
      </c>
      <c r="R435" t="inlineStr">
        <is>
          <t>shuffled: 2,013 of 10,000</t>
        </is>
      </c>
      <c r="S435" t="inlineStr">
        <is>
          <t>shuffled: 2,362 of 10,000</t>
        </is>
      </c>
      <c r="T435" t="n">
        <v>0.07553247252409921</v>
      </c>
      <c r="U435" t="n">
        <v>0.03435436455279701</v>
      </c>
      <c r="V435">
        <f>AND(judged_band,NOT($J435))</f>
        <v/>
      </c>
      <c r="W435">
        <f>IF($K435="","",IF($I435,"too few losses to test",IF(AND($K435&gt;better_at,$K435&lt;worse_at),"in line",IF($K435&gt;=worse_at,IF(AND(ISNUMBER($L435),$L435&lt;significance_bar),"worse","worse, not significant"),IF(AND(ISNUMBER($L435),$L435&lt;significance_bar),"better","better, not significant")))))</f>
        <v/>
      </c>
      <c r="X435">
        <f>IF($M435="","",IF($I435,"too few losses to test",IF(AND($M435&gt;better_at,$M435&lt;worse_at),"in line",IF($M435&gt;=worse_at,IF(AND(ISNUMBER($N435),$N435&lt;significance_bar),"worse","worse, not significant"),IF(AND(ISNUMBER($N435),$N435&lt;significance_bar),"better","better, not significant")))))</f>
        <v/>
      </c>
      <c r="Y435">
        <f>IF($V435,$X435,$W435)</f>
        <v/>
      </c>
      <c r="Z435">
        <f>IF($V435,IF($P435="","",$P435),IF($O435="","",$O435))</f>
        <v/>
      </c>
      <c r="AA435">
        <f>IF(OR($Q435="",$Z435=""),"",IF(AND($Z435&gt;0,$Z435&gt;=$Q435),"yes","below the line"))</f>
        <v/>
      </c>
      <c r="AB435">
        <f>IF($V435,IF($M435="","",$M435),IF($K435="","",$K435))</f>
        <v/>
      </c>
      <c r="AC435">
        <f>IF($V435,IF($N435="","",$N435),IF($L435="","",$L435))</f>
        <v/>
      </c>
      <c r="AD435">
        <f>$Y435</f>
        <v/>
      </c>
      <c r="AE435">
        <f>IF($V435,IF($S435="","",$S435),IF($R435="","",$R435))</f>
        <v/>
      </c>
      <c r="AF435">
        <f>IF($V435,IF($U435="","",$U435),IF($T435="","",$T435))</f>
        <v/>
      </c>
      <c r="AG435">
        <f>IF($V435,IF($O435="","",$O435),IF($P435="","",$P435))</f>
        <v/>
      </c>
      <c r="AH435" t="n">
        <v>0.05115145563384937</v>
      </c>
      <c r="AI435">
        <f>IF($Y435="worse","Yes",IF($Y435="worse, not significant","Not sure",IF(OR($Y435="too few losses to test",$Y435="too few loans to test"),"Too few losses",IF($Y435="","","No"))))</f>
        <v/>
      </c>
      <c r="AJ435">
        <f>IF($AA435="yes","Yes",IF($AA435="","","No"))</f>
        <v/>
      </c>
    </row>
    <row r="436">
      <c r="A436" t="inlineStr">
        <is>
          <t>three-way</t>
        </is>
      </c>
      <c r="B436" t="inlineStr">
        <is>
          <t>FICO x CHANNEL / SYS_FLAG</t>
        </is>
      </c>
      <c r="C436" t="inlineStr">
        <is>
          <t>746 - 921</t>
        </is>
      </c>
      <c r="D436" t="inlineStr">
        <is>
          <t>Branch / SYS_FLAG Y</t>
        </is>
      </c>
      <c r="E436" t="inlineStr">
        <is>
          <t>gco_rate</t>
        </is>
      </c>
      <c r="F436" t="inlineStr">
        <is>
          <t>GCO per booked dollar</t>
        </is>
      </c>
      <c r="G436" t="n">
        <v>239</v>
      </c>
      <c r="H436" t="n">
        <v>7446447.130000001</v>
      </c>
      <c r="I436" t="b">
        <v>0</v>
      </c>
      <c r="J436" t="b">
        <v>0</v>
      </c>
      <c r="K436" t="n">
        <v>0.5918820147917022</v>
      </c>
      <c r="L436" t="n">
        <v>0.1964803519648035</v>
      </c>
      <c r="M436" t="n">
        <v>1.350191697759529</v>
      </c>
      <c r="N436" t="n">
        <v>0.5545278805452788</v>
      </c>
      <c r="O436" t="n">
        <v>-127946.5455624684</v>
      </c>
      <c r="P436" t="n">
        <v>48126.95524698481</v>
      </c>
      <c r="Q436">
        <f>'_live'!$C$22</f>
        <v/>
      </c>
      <c r="R436" t="inlineStr">
        <is>
          <t>shuffled: 1,178 of 10,000</t>
        </is>
      </c>
      <c r="S436" t="inlineStr">
        <is>
          <t>shuffled: 3,936 of 10,000</t>
        </is>
      </c>
      <c r="T436" t="n">
        <v>0.04210112689841502</v>
      </c>
      <c r="U436" t="n">
        <v>0.01845582361007311</v>
      </c>
      <c r="V436">
        <f>AND(judged_band,NOT($J436))</f>
        <v/>
      </c>
      <c r="W436">
        <f>IF($K436="","",IF($I436,"too few losses to test",IF(AND($K436&gt;better_at,$K436&lt;worse_at),"in line",IF($K436&gt;=worse_at,IF(AND(ISNUMBER($L436),$L436&lt;significance_bar),"worse","worse, not significant"),IF(AND(ISNUMBER($L436),$L436&lt;significance_bar),"better","better, not significant")))))</f>
        <v/>
      </c>
      <c r="X436">
        <f>IF($M436="","",IF($I436,"too few losses to test",IF(AND($M436&gt;better_at,$M436&lt;worse_at),"in line",IF($M436&gt;=worse_at,IF(AND(ISNUMBER($N436),$N436&lt;significance_bar),"worse","worse, not significant"),IF(AND(ISNUMBER($N436),$N436&lt;significance_bar),"better","better, not significant")))))</f>
        <v/>
      </c>
      <c r="Y436">
        <f>IF($V436,$X436,$W436)</f>
        <v/>
      </c>
      <c r="Z436">
        <f>IF($V436,IF($P436="","",$P436),IF($O436="","",$O436))</f>
        <v/>
      </c>
      <c r="AA436">
        <f>IF(OR($Q436="",$Z436=""),"",IF(AND($Z436&gt;0,$Z436&gt;=$Q436),"yes","below the line"))</f>
        <v/>
      </c>
      <c r="AB436">
        <f>IF($V436,IF($M436="","",$M436),IF($K436="","",$K436))</f>
        <v/>
      </c>
      <c r="AC436">
        <f>IF($V436,IF($N436="","",$N436),IF($L436="","",$L436))</f>
        <v/>
      </c>
      <c r="AD436">
        <f>$Y436</f>
        <v/>
      </c>
      <c r="AE436">
        <f>IF($V436,IF($S436="","",$S436),IF($R436="","",$R436))</f>
        <v/>
      </c>
      <c r="AF436">
        <f>IF($V436,IF($U436="","",$U436),IF($T436="","",$T436))</f>
        <v/>
      </c>
      <c r="AG436">
        <f>IF($V436,IF($O436="","",$O436),IF($P436="","",$P436))</f>
        <v/>
      </c>
      <c r="AH436" t="n">
        <v>0.02491889981363501</v>
      </c>
      <c r="AI436">
        <f>IF($Y436="worse","Yes",IF($Y436="worse, not significant","Not sure",IF(OR($Y436="too few losses to test",$Y436="too few loans to test"),"Too few losses",IF($Y436="","","No"))))</f>
        <v/>
      </c>
      <c r="AJ436">
        <f>IF($AA436="yes","Yes",IF($AA436="","","No"))</f>
        <v/>
      </c>
    </row>
    <row r="437">
      <c r="A437" t="inlineStr">
        <is>
          <t>three-way</t>
        </is>
      </c>
      <c r="B437" t="inlineStr">
        <is>
          <t>FICO x CHANNEL / SYS_FLAG</t>
        </is>
      </c>
      <c r="C437" t="inlineStr">
        <is>
          <t>746 - 921</t>
        </is>
      </c>
      <c r="D437" t="inlineStr">
        <is>
          <t>Branch / SYS_FLAG Y</t>
        </is>
      </c>
      <c r="E437" t="inlineStr">
        <is>
          <t>ranr_rate</t>
        </is>
      </c>
      <c r="F437" t="inlineStr">
        <is>
          <t>Profit after losses: RANR per booked dollar</t>
        </is>
      </c>
      <c r="G437" t="n">
        <v>239</v>
      </c>
      <c r="H437" t="n">
        <v>7446447.130000001</v>
      </c>
      <c r="I437" t="b">
        <v>0</v>
      </c>
      <c r="J437" t="b">
        <v>0</v>
      </c>
      <c r="K437" t="n">
        <v>-0.08942847383377538</v>
      </c>
      <c r="L437" t="n">
        <v>0.0002845869259227924</v>
      </c>
      <c r="M437" t="n">
        <v>-0.006569654813566521</v>
      </c>
      <c r="N437" t="n">
        <v>0.6705147667051476</v>
      </c>
      <c r="O437" t="n">
        <v>665924.4023197968</v>
      </c>
      <c r="P437" t="n">
        <v>48920.58723157307</v>
      </c>
      <c r="Q437">
        <f>'_live'!$C$23</f>
        <v/>
      </c>
      <c r="R437" t="inlineStr">
        <is>
          <t>shuffled: 0 of 10,000</t>
        </is>
      </c>
      <c r="S437" t="inlineStr">
        <is>
          <t>shuffled: 4,097 of 10,000</t>
        </is>
      </c>
      <c r="T437" t="n">
        <v>0.1305704674115905</v>
      </c>
      <c r="U437" t="n">
        <v>0.04771164839138168</v>
      </c>
      <c r="V437">
        <f>AND(judged_band,NOT($J437))</f>
        <v/>
      </c>
      <c r="W437">
        <f>IF($K437="","",IF(profit_kind="test",IF(OR(NOT(AND(ISNUMBER($L437),$L437&lt;significance_bar)),$K437=0),"in line",IF($K437&lt;0,"worse","better")),IF(OR($K437=0,IF(profit_kind="points",ABS($K437),ABS($K437*$H437))&lt;profit_line*(1-1E-9)),"in line",IF(AND(ISNUMBER($L437),$L437&lt;significance_bar),IF($K437&lt;0,"worse","better"),IF($K437&lt;0,"worse, not significant","better, not significant")))))</f>
        <v/>
      </c>
      <c r="X437">
        <f>IF($M437="","",IF(profit_kind="test",IF(OR(NOT(AND(ISNUMBER($N437),$N437&lt;significance_bar)),$M437=0),"in line",IF($M437&lt;0,"worse","better")),IF(OR($M437=0,IF(profit_kind="points",ABS($M437),ABS($M437*$H437))&lt;profit_line*(1-1E-9)),"in line",IF(AND(ISNUMBER($N437),$N437&lt;significance_bar),IF($M437&lt;0,"worse","better"),IF($M437&lt;0,"worse, not significant","better, not significant")))))</f>
        <v/>
      </c>
      <c r="Y437">
        <f>IF($V437,$X437,$W437)</f>
        <v/>
      </c>
      <c r="Z437">
        <f>IF($V437,IF($P437="","",$P437),IF($O437="","",$O437))</f>
        <v/>
      </c>
      <c r="AA437">
        <f>IF(OR($Q437="",$Z437=""),"",IF(AND($Z437&gt;0,$Z437&gt;=$Q437),"yes","below the line"))</f>
        <v/>
      </c>
      <c r="AB437">
        <f>IF($V437,IF($M437="","",$M437),IF($K437="","",$K437))</f>
        <v/>
      </c>
      <c r="AC437">
        <f>IF($V437,IF($N437="","",$N437),IF($L437="","",$L437))</f>
        <v/>
      </c>
      <c r="AD437">
        <f>IF($Y437="","",IF($Y437="in line",IF(profit_kind="test",IF(ROUND($AB437*100,2)=0,"0.00",TEXT($AB437*100,"+0.00;-0.00"))&amp;" points against "&amp;IF($V437,"its band","the book")&amp;", "&amp;IF($AC437="","not tested","not significant"),IF(profit_kind="points","within "&amp;TEXT(profit_line*100,"0.00")&amp;" points of "&amp;IF($V437,"its band","the book")&amp;" ("&amp;IF(ROUND($AB437*100,2)=0,"0.00",TEXT($AB437*100,"+0.00;-0.00"))&amp;")","within $"&amp;TEXT(profit_line,"#,##0")&amp;" of "&amp;IF($V437,"its band","the book")&amp;" ("&amp;IF(ROUND($AB437*100,2)=0,"0.00",TEXT($AB437*100,"+0.00;-0.00"))&amp;" points)")),IF(LEFT($Y437,5)="worse","short of ","ahead of ")&amp;IF($V437,"its band","the book")&amp;" by "&amp;TEXT(ABS($AB437)*100,"0.00")&amp;" points"&amp;IF($Z437="",""," ($"&amp;TEXT(ABS($Z437),"#,##0")&amp;")")&amp;IF(RIGHT($Y437,15)="not significant"," (not significant)","")))</f>
        <v/>
      </c>
      <c r="AE437">
        <f>IF($V437,IF($S437="","",$S437),IF($R437="","",$R437))</f>
        <v/>
      </c>
      <c r="AF437">
        <f>IF($V437,IF($U437="","",$U437),IF($T437="","",$T437))</f>
        <v/>
      </c>
      <c r="AG437">
        <f>IF($V437,IF($O437="","",$O437),IF($P437="","",$P437))</f>
        <v/>
      </c>
      <c r="AH437" t="n">
        <v>0.04114199357781516</v>
      </c>
      <c r="AI437">
        <f>IF($Y437="worse","Yes",IF($Y437="worse, not significant","Not sure",IF(OR($Y437="too few losses to test",$Y437="too few loans to test"),"Too few losses",IF($Y437="","","No"))))</f>
        <v/>
      </c>
      <c r="AJ437">
        <f>IF($AA437="yes","Yes",IF($AA437="","","No"))</f>
        <v/>
      </c>
    </row>
    <row r="438">
      <c r="A438" t="inlineStr">
        <is>
          <t>three-way</t>
        </is>
      </c>
      <c r="B438" t="inlineStr">
        <is>
          <t>FICO x CHANNEL / SYS_FLAG</t>
        </is>
      </c>
      <c r="C438" t="inlineStr">
        <is>
          <t>746 - 921</t>
        </is>
      </c>
      <c r="D438" t="inlineStr">
        <is>
          <t>Branch / SYS_FLAG Y</t>
        </is>
      </c>
      <c r="E438" t="inlineStr">
        <is>
          <t>contribution_rate</t>
        </is>
      </c>
      <c r="F438" t="inlineStr">
        <is>
          <t>Contribution before losses per booked dollar</t>
        </is>
      </c>
      <c r="G438" t="n">
        <v>239</v>
      </c>
      <c r="H438" t="n">
        <v>7446447.130000001</v>
      </c>
      <c r="I438" t="b">
        <v>0</v>
      </c>
      <c r="J438" t="b">
        <v>0</v>
      </c>
      <c r="K438" t="n">
        <v>-0.1066081653628146</v>
      </c>
      <c r="L438" t="n">
        <v>0.000184981501849815</v>
      </c>
      <c r="M438" t="n">
        <v>-0.0001065786100046262</v>
      </c>
      <c r="N438" t="n">
        <v>0.9626037396260373</v>
      </c>
      <c r="O438" t="n">
        <v>793852.0670004964</v>
      </c>
      <c r="P438" t="n">
        <v>793.6319845883991</v>
      </c>
      <c r="Q438">
        <f>'_live'!$C$24</f>
        <v/>
      </c>
      <c r="R438" t="inlineStr">
        <is>
          <t>shuffled: 0 of 10,000</t>
        </is>
      </c>
      <c r="S438" t="inlineStr">
        <is>
          <t>shuffled: 9,626 of 10,000</t>
        </is>
      </c>
      <c r="T438" t="n">
        <v>0.1726690587542648</v>
      </c>
      <c r="U438" t="n">
        <v>0.0661674720014548</v>
      </c>
      <c r="V438">
        <f>AND(judged_band,NOT($J438))</f>
        <v/>
      </c>
      <c r="W438">
        <f>IF($K438="","",IF(profit_kind="test",IF(OR(NOT(AND(ISNUMBER($L438),$L438&lt;significance_bar)),$K438=0),"in line",IF($K438&lt;0,"worse","better")),IF(OR($K438=0,IF(profit_kind="points",ABS($K438),ABS($K438*$H438))&lt;profit_line*(1-1E-9)),"in line",IF(AND(ISNUMBER($L438),$L438&lt;significance_bar),IF($K438&lt;0,"worse","better"),IF($K438&lt;0,"worse, not significant","better, not significant")))))</f>
        <v/>
      </c>
      <c r="X438">
        <f>IF($M438="","",IF(profit_kind="test",IF(OR(NOT(AND(ISNUMBER($N438),$N438&lt;significance_bar)),$M438=0),"in line",IF($M438&lt;0,"worse","better")),IF(OR($M438=0,IF(profit_kind="points",ABS($M438),ABS($M438*$H438))&lt;profit_line*(1-1E-9)),"in line",IF(AND(ISNUMBER($N438),$N438&lt;significance_bar),IF($M438&lt;0,"worse","better"),IF($M438&lt;0,"worse, not significant","better, not significant")))))</f>
        <v/>
      </c>
      <c r="Y438">
        <f>IF($V438,$X438,$W438)</f>
        <v/>
      </c>
      <c r="Z438">
        <f>IF($V438,IF($P438="","",$P438),IF($O438="","",$O438))</f>
        <v/>
      </c>
      <c r="AA438">
        <f>IF(OR($Q438="",$Z438=""),"",IF(AND($Z438&gt;0,$Z438&gt;=$Q438),"yes","below the line"))</f>
        <v/>
      </c>
      <c r="AB438">
        <f>IF($V438,IF($M438="","",$M438),IF($K438="","",$K438))</f>
        <v/>
      </c>
      <c r="AC438">
        <f>IF($V438,IF($N438="","",$N438),IF($L438="","",$L438))</f>
        <v/>
      </c>
      <c r="AD438">
        <f>IF($Y438="","",IF($Y438="in line",IF(profit_kind="test",IF(ROUND($AB438*100,2)=0,"0.00",TEXT($AB438*100,"+0.00;-0.00"))&amp;" points against "&amp;IF($V438,"its band","the book")&amp;", "&amp;IF($AC438="","not tested","not significant"),IF(profit_kind="points","within "&amp;TEXT(profit_line*100,"0.00")&amp;" points of "&amp;IF($V438,"its band","the book")&amp;" ("&amp;IF(ROUND($AB438*100,2)=0,"0.00",TEXT($AB438*100,"+0.00;-0.00"))&amp;")","within $"&amp;TEXT(profit_line,"#,##0")&amp;" of "&amp;IF($V438,"its band","the book")&amp;" ("&amp;IF(ROUND($AB438*100,2)=0,"0.00",TEXT($AB438*100,"+0.00;-0.00"))&amp;" points)")),IF(LEFT($Y438,5)="worse","short of ","ahead of ")&amp;IF($V438,"its band","the book")&amp;" by "&amp;TEXT(ABS($AB438)*100,"0.00")&amp;" points"&amp;IF($Z438="",""," ($"&amp;TEXT(ABS($Z438),"#,##0")&amp;")")&amp;IF(RIGHT($Y438,15)="not significant"," (not significant)","")))</f>
        <v/>
      </c>
      <c r="AE438">
        <f>IF($V438,IF($S438="","",$S438),IF($R438="","",$R438))</f>
        <v/>
      </c>
      <c r="AF438">
        <f>IF($V438,IF($U438="","",$U438),IF($T438="","",$T438))</f>
        <v/>
      </c>
      <c r="AG438">
        <f>IF($V438,IF($O438="","",$O438),IF($P438="","",$P438))</f>
        <v/>
      </c>
      <c r="AH438" t="n">
        <v>0.06606089339145017</v>
      </c>
      <c r="AI438">
        <f>IF($Y438="worse","Yes",IF($Y438="worse, not significant","Not sure",IF(OR($Y438="too few losses to test",$Y438="too few loans to test"),"Too few losses",IF($Y438="","","No"))))</f>
        <v/>
      </c>
      <c r="AJ438">
        <f>IF($AA438="yes","Yes",IF($AA438="","","No"))</f>
        <v/>
      </c>
    </row>
    <row r="439">
      <c r="A439" t="inlineStr">
        <is>
          <t>three-way</t>
        </is>
      </c>
      <c r="B439" t="inlineStr">
        <is>
          <t>FICO x CHANNEL / SYS_FLAG</t>
        </is>
      </c>
      <c r="C439" t="inlineStr">
        <is>
          <t>496 - 653</t>
        </is>
      </c>
      <c r="D439" t="inlineStr">
        <is>
          <t>Broker / SYS_FLAG N</t>
        </is>
      </c>
      <c r="E439" t="inlineStr">
        <is>
          <t>outcome_loans</t>
        </is>
      </c>
      <c r="F439" t="inlineStr">
        <is>
          <t>Outcome, share of loans</t>
        </is>
      </c>
      <c r="G439" t="n">
        <v>258</v>
      </c>
      <c r="H439" t="n">
        <v>258</v>
      </c>
      <c r="I439" t="b">
        <v>0</v>
      </c>
      <c r="J439" t="b">
        <v>0</v>
      </c>
      <c r="K439" t="n">
        <v>2.636544461247122</v>
      </c>
      <c r="L439" t="n">
        <v>1.412125164530908e-11</v>
      </c>
      <c r="M439" t="n">
        <v>1.366068419278733</v>
      </c>
      <c r="N439" t="n">
        <v>0.1034763983858953</v>
      </c>
      <c r="O439" t="n">
        <v>31.0357834905051</v>
      </c>
      <c r="P439" t="n">
        <v>13.39861218195837</v>
      </c>
      <c r="Q439">
        <f>'_live'!$C$20</f>
        <v/>
      </c>
      <c r="R439" t="inlineStr">
        <is>
          <t>z test</t>
        </is>
      </c>
      <c r="S439" t="inlineStr">
        <is>
          <t>z test</t>
        </is>
      </c>
      <c r="T439" t="n">
        <v>0.07350471515308099</v>
      </c>
      <c r="U439" t="n">
        <v>0.1418658442559753</v>
      </c>
      <c r="V439">
        <f>AND(judged_band,NOT($J439))</f>
        <v/>
      </c>
      <c r="W439">
        <f>IF($K439="","",IF($I439,"too few losses to test",IF(AND($K439&gt;better_at,$K439&lt;worse_at),"in line",IF($K439&gt;=worse_at,IF(AND(ISNUMBER($L439),$L439&lt;significance_bar),"worse","worse, not significant"),IF(AND(ISNUMBER($L439),$L439&lt;significance_bar),"better","better, not significant")))))</f>
        <v/>
      </c>
      <c r="X439">
        <f>IF($M439="","",IF($I439,"too few losses to test",IF(AND($M439&gt;better_at,$M439&lt;worse_at),"in line",IF($M439&gt;=worse_at,IF(AND(ISNUMBER($N439),$N439&lt;significance_bar),"worse","worse, not significant"),IF(AND(ISNUMBER($N439),$N439&lt;significance_bar),"better","better, not significant")))))</f>
        <v/>
      </c>
      <c r="Y439">
        <f>IF($V439,$X439,$W439)</f>
        <v/>
      </c>
      <c r="Z439">
        <f>IF($V439,IF($P439="","",$P439),IF($O439="","",$O439))</f>
        <v/>
      </c>
      <c r="AA439">
        <f>IF(OR($Q439="",$Z439=""),"",IF(AND($Z439&gt;0,$Z439&gt;=$Q439),"yes","below the line"))</f>
        <v/>
      </c>
      <c r="AB439">
        <f>IF($V439,IF($M439="","",$M439),IF($K439="","",$K439))</f>
        <v/>
      </c>
      <c r="AC439">
        <f>IF($V439,IF($N439="","",$N439),IF($L439="","",$L439))</f>
        <v/>
      </c>
      <c r="AD439">
        <f>$Y439</f>
        <v/>
      </c>
      <c r="AE439">
        <f>IF($V439,IF($S439="","",$S439),IF($R439="","",$R439))</f>
        <v/>
      </c>
      <c r="AF439">
        <f>IF($V439,IF($U439="","",$U439),IF($T439="","",$T439))</f>
        <v/>
      </c>
      <c r="AG439">
        <f>IF($V439,IF($O439="","",$O439),IF($P439="","",$P439))</f>
        <v/>
      </c>
      <c r="AH439" t="n">
        <v>0.1937984496124031</v>
      </c>
      <c r="AI439">
        <f>IF($Y439="worse","Yes",IF($Y439="worse, not significant","Not sure",IF(OR($Y439="too few losses to test",$Y439="too few loans to test"),"Too few losses",IF($Y439="","","No"))))</f>
        <v/>
      </c>
      <c r="AJ439">
        <f>IF($AA439="yes","Yes",IF($AA439="","","No"))</f>
        <v/>
      </c>
    </row>
    <row r="440">
      <c r="A440" t="inlineStr">
        <is>
          <t>three-way</t>
        </is>
      </c>
      <c r="B440" t="inlineStr">
        <is>
          <t>FICO x CHANNEL / SYS_FLAG</t>
        </is>
      </c>
      <c r="C440" t="inlineStr">
        <is>
          <t>496 - 653</t>
        </is>
      </c>
      <c r="D440" t="inlineStr">
        <is>
          <t>Broker / SYS_FLAG N</t>
        </is>
      </c>
      <c r="E440" t="inlineStr">
        <is>
          <t>outcome_booked</t>
        </is>
      </c>
      <c r="F440" t="inlineStr">
        <is>
          <t>Outcome, share of booked dollars</t>
        </is>
      </c>
      <c r="G440" t="n">
        <v>258</v>
      </c>
      <c r="H440" t="n">
        <v>8508056.250000006</v>
      </c>
      <c r="I440" t="b">
        <v>0</v>
      </c>
      <c r="J440" t="b">
        <v>0</v>
      </c>
      <c r="K440" t="n">
        <v>2.657618388727242</v>
      </c>
      <c r="L440" t="n">
        <v>0.00124987501249875</v>
      </c>
      <c r="M440" t="n">
        <v>1.335191174805331</v>
      </c>
      <c r="N440" t="n">
        <v>0.1867313268673133</v>
      </c>
      <c r="O440" t="n">
        <v>1000628.874710559</v>
      </c>
      <c r="P440" t="n">
        <v>402745.0558523324</v>
      </c>
      <c r="Q440">
        <f>'_live'!$C$21</f>
        <v/>
      </c>
      <c r="R440" t="inlineStr">
        <is>
          <t>shuffled: 0 of 10,000</t>
        </is>
      </c>
      <c r="S440" t="inlineStr">
        <is>
          <t>shuffled: 746 of 10,000</t>
        </is>
      </c>
      <c r="T440" t="n">
        <v>0.07095093491999897</v>
      </c>
      <c r="U440" t="n">
        <v>0.1412236037047435</v>
      </c>
      <c r="V440">
        <f>AND(judged_band,NOT($J440))</f>
        <v/>
      </c>
      <c r="W440">
        <f>IF($K440="","",IF($I440,"too few losses to test",IF(AND($K440&gt;better_at,$K440&lt;worse_at),"in line",IF($K440&gt;=worse_at,IF(AND(ISNUMBER($L440),$L440&lt;significance_bar),"worse","worse, not significant"),IF(AND(ISNUMBER($L440),$L440&lt;significance_bar),"better","better, not significant")))))</f>
        <v/>
      </c>
      <c r="X440">
        <f>IF($M440="","",IF($I440,"too few losses to test",IF(AND($M440&gt;better_at,$M440&lt;worse_at),"in line",IF($M440&gt;=worse_at,IF(AND(ISNUMBER($N440),$N440&lt;significance_bar),"worse","worse, not significant"),IF(AND(ISNUMBER($N440),$N440&lt;significance_bar),"better","better, not significant")))))</f>
        <v/>
      </c>
      <c r="Y440">
        <f>IF($V440,$X440,$W440)</f>
        <v/>
      </c>
      <c r="Z440">
        <f>IF($V440,IF($P440="","",$P440),IF($O440="","",$O440))</f>
        <v/>
      </c>
      <c r="AA440">
        <f>IF(OR($Q440="",$Z440=""),"",IF(AND($Z440&gt;0,$Z440&gt;=$Q440),"yes","below the line"))</f>
        <v/>
      </c>
      <c r="AB440">
        <f>IF($V440,IF($M440="","",$M440),IF($K440="","",$K440))</f>
        <v/>
      </c>
      <c r="AC440">
        <f>IF($V440,IF($N440="","",$N440),IF($L440="","",$L440))</f>
        <v/>
      </c>
      <c r="AD440">
        <f>$Y440</f>
        <v/>
      </c>
      <c r="AE440">
        <f>IF($V440,IF($S440="","",$S440),IF($R440="","",$R440))</f>
        <v/>
      </c>
      <c r="AF440">
        <f>IF($V440,IF($U440="","",$U440),IF($T440="","",$T440))</f>
        <v/>
      </c>
      <c r="AG440">
        <f>IF($V440,IF($O440="","",$O440),IF($P440="","",$P440))</f>
        <v/>
      </c>
      <c r="AH440" t="n">
        <v>0.1885605093407791</v>
      </c>
      <c r="AI440">
        <f>IF($Y440="worse","Yes",IF($Y440="worse, not significant","Not sure",IF(OR($Y440="too few losses to test",$Y440="too few loans to test"),"Too few losses",IF($Y440="","","No"))))</f>
        <v/>
      </c>
      <c r="AJ440">
        <f>IF($AA440="yes","Yes",IF($AA440="","","No"))</f>
        <v/>
      </c>
    </row>
    <row r="441">
      <c r="A441" t="inlineStr">
        <is>
          <t>three-way</t>
        </is>
      </c>
      <c r="B441" t="inlineStr">
        <is>
          <t>FICO x CHANNEL / SYS_FLAG</t>
        </is>
      </c>
      <c r="C441" t="inlineStr">
        <is>
          <t>496 - 653</t>
        </is>
      </c>
      <c r="D441" t="inlineStr">
        <is>
          <t>Broker / SYS_FLAG N</t>
        </is>
      </c>
      <c r="E441" t="inlineStr">
        <is>
          <t>gco_rate</t>
        </is>
      </c>
      <c r="F441" t="inlineStr">
        <is>
          <t>GCO per booked dollar</t>
        </is>
      </c>
      <c r="G441" t="n">
        <v>258</v>
      </c>
      <c r="H441" t="n">
        <v>8508056.250000006</v>
      </c>
      <c r="I441" t="b">
        <v>0</v>
      </c>
      <c r="J441" t="b">
        <v>0</v>
      </c>
      <c r="K441" t="n">
        <v>2.997235228695651</v>
      </c>
      <c r="L441" t="n">
        <v>0.00124987501249875</v>
      </c>
      <c r="M441" t="n">
        <v>1.525447051381801</v>
      </c>
      <c r="N441" t="n">
        <v>0.02812218778122188</v>
      </c>
      <c r="O441" t="n">
        <v>663299.3517266358</v>
      </c>
      <c r="P441" t="n">
        <v>342872.7771024178</v>
      </c>
      <c r="Q441">
        <f>'_live'!$C$22</f>
        <v/>
      </c>
      <c r="R441" t="inlineStr">
        <is>
          <t>shuffled: 0 of 10,000</t>
        </is>
      </c>
      <c r="S441" t="inlineStr">
        <is>
          <t>shuffled: 89 of 10,000</t>
        </is>
      </c>
      <c r="T441" t="n">
        <v>0.03903462418614875</v>
      </c>
      <c r="U441" t="n">
        <v>0.07669617286528659</v>
      </c>
      <c r="V441">
        <f>AND(judged_band,NOT($J441))</f>
        <v/>
      </c>
      <c r="W441">
        <f>IF($K441="","",IF($I441,"too few losses to test",IF(AND($K441&gt;better_at,$K441&lt;worse_at),"in line",IF($K441&gt;=worse_at,IF(AND(ISNUMBER($L441),$L441&lt;significance_bar),"worse","worse, not significant"),IF(AND(ISNUMBER($L441),$L441&lt;significance_bar),"better","better, not significant")))))</f>
        <v/>
      </c>
      <c r="X441">
        <f>IF($M441="","",IF($I441,"too few losses to test",IF(AND($M441&gt;better_at,$M441&lt;worse_at),"in line",IF($M441&gt;=worse_at,IF(AND(ISNUMBER($N441),$N441&lt;significance_bar),"worse","worse, not significant"),IF(AND(ISNUMBER($N441),$N441&lt;significance_bar),"better","better, not significant")))))</f>
        <v/>
      </c>
      <c r="Y441">
        <f>IF($V441,$X441,$W441)</f>
        <v/>
      </c>
      <c r="Z441">
        <f>IF($V441,IF($P441="","",$P441),IF($O441="","",$O441))</f>
        <v/>
      </c>
      <c r="AA441">
        <f>IF(OR($Q441="",$Z441=""),"",IF(AND($Z441&gt;0,$Z441&gt;=$Q441),"yes","below the line"))</f>
        <v/>
      </c>
      <c r="AB441">
        <f>IF($V441,IF($M441="","",$M441),IF($K441="","",$K441))</f>
        <v/>
      </c>
      <c r="AC441">
        <f>IF($V441,IF($N441="","",$N441),IF($L441="","",$L441))</f>
        <v/>
      </c>
      <c r="AD441">
        <f>$Y441</f>
        <v/>
      </c>
      <c r="AE441">
        <f>IF($V441,IF($S441="","",$S441),IF($R441="","",$R441))</f>
        <v/>
      </c>
      <c r="AF441">
        <f>IF($V441,IF($U441="","",$U441),IF($T441="","",$T441))</f>
        <v/>
      </c>
      <c r="AG441">
        <f>IF($V441,IF($O441="","",$O441),IF($P441="","",$P441))</f>
        <v/>
      </c>
      <c r="AH441" t="n">
        <v>0.1169959507496203</v>
      </c>
      <c r="AI441">
        <f>IF($Y441="worse","Yes",IF($Y441="worse, not significant","Not sure",IF(OR($Y441="too few losses to test",$Y441="too few loans to test"),"Too few losses",IF($Y441="","","No"))))</f>
        <v/>
      </c>
      <c r="AJ441">
        <f>IF($AA441="yes","Yes",IF($AA441="","","No"))</f>
        <v/>
      </c>
    </row>
    <row r="442">
      <c r="A442" t="inlineStr">
        <is>
          <t>three-way</t>
        </is>
      </c>
      <c r="B442" t="inlineStr">
        <is>
          <t>FICO x CHANNEL / SYS_FLAG</t>
        </is>
      </c>
      <c r="C442" t="inlineStr">
        <is>
          <t>496 - 653</t>
        </is>
      </c>
      <c r="D442" t="inlineStr">
        <is>
          <t>Broker / SYS_FLAG N</t>
        </is>
      </c>
      <c r="E442" t="inlineStr">
        <is>
          <t>ranr_rate</t>
        </is>
      </c>
      <c r="F442" t="inlineStr">
        <is>
          <t>Profit after losses: RANR per booked dollar</t>
        </is>
      </c>
      <c r="G442" t="n">
        <v>258</v>
      </c>
      <c r="H442" t="n">
        <v>8508056.250000006</v>
      </c>
      <c r="I442" t="b">
        <v>0</v>
      </c>
      <c r="J442" t="b">
        <v>0</v>
      </c>
      <c r="K442" t="n">
        <v>0.03465190043325614</v>
      </c>
      <c r="L442" t="n">
        <v>0.01440908540724875</v>
      </c>
      <c r="M442" t="n">
        <v>-0.0344474250621068</v>
      </c>
      <c r="N442" t="n">
        <v>0.185981401859814</v>
      </c>
      <c r="O442" t="n">
        <v>-294820.3180555429</v>
      </c>
      <c r="P442" t="n">
        <v>293080.6300960644</v>
      </c>
      <c r="Q442">
        <f>'_live'!$C$23</f>
        <v/>
      </c>
      <c r="R442" t="inlineStr">
        <is>
          <t>shuffled: 73 of 10,000</t>
        </is>
      </c>
      <c r="S442" t="inlineStr">
        <is>
          <t>shuffled: 619 of 10,000</t>
        </is>
      </c>
      <c r="T442" t="n">
        <v>0.1268476383127411</v>
      </c>
      <c r="U442" t="n">
        <v>0.195946963808104</v>
      </c>
      <c r="V442">
        <f>AND(judged_band,NOT($J442))</f>
        <v/>
      </c>
      <c r="W442">
        <f>IF($K442="","",IF(profit_kind="test",IF(OR(NOT(AND(ISNUMBER($L442),$L442&lt;significance_bar)),$K442=0),"in line",IF($K442&lt;0,"worse","better")),IF(OR($K442=0,IF(profit_kind="points",ABS($K442),ABS($K442*$H442))&lt;profit_line*(1-1E-9)),"in line",IF(AND(ISNUMBER($L442),$L442&lt;significance_bar),IF($K442&lt;0,"worse","better"),IF($K442&lt;0,"worse, not significant","better, not significant")))))</f>
        <v/>
      </c>
      <c r="X442">
        <f>IF($M442="","",IF(profit_kind="test",IF(OR(NOT(AND(ISNUMBER($N442),$N442&lt;significance_bar)),$M442=0),"in line",IF($M442&lt;0,"worse","better")),IF(OR($M442=0,IF(profit_kind="points",ABS($M442),ABS($M442*$H442))&lt;profit_line*(1-1E-9)),"in line",IF(AND(ISNUMBER($N442),$N442&lt;significance_bar),IF($M442&lt;0,"worse","better"),IF($M442&lt;0,"worse, not significant","better, not significant")))))</f>
        <v/>
      </c>
      <c r="Y442">
        <f>IF($V442,$X442,$W442)</f>
        <v/>
      </c>
      <c r="Z442">
        <f>IF($V442,IF($P442="","",$P442),IF($O442="","",$O442))</f>
        <v/>
      </c>
      <c r="AA442">
        <f>IF(OR($Q442="",$Z442=""),"",IF(AND($Z442&gt;0,$Z442&gt;=$Q442),"yes","below the line"))</f>
        <v/>
      </c>
      <c r="AB442">
        <f>IF($V442,IF($M442="","",$M442),IF($K442="","",$K442))</f>
        <v/>
      </c>
      <c r="AC442">
        <f>IF($V442,IF($N442="","",$N442),IF($L442="","",$L442))</f>
        <v/>
      </c>
      <c r="AD442">
        <f>IF($Y442="","",IF($Y442="in line",IF(profit_kind="test",IF(ROUND($AB442*100,2)=0,"0.00",TEXT($AB442*100,"+0.00;-0.00"))&amp;" points against "&amp;IF($V442,"its band","the book")&amp;", "&amp;IF($AC442="","not tested","not significant"),IF(profit_kind="points","within "&amp;TEXT(profit_line*100,"0.00")&amp;" points of "&amp;IF($V442,"its band","the book")&amp;" ("&amp;IF(ROUND($AB442*100,2)=0,"0.00",TEXT($AB442*100,"+0.00;-0.00"))&amp;")","within $"&amp;TEXT(profit_line,"#,##0")&amp;" of "&amp;IF($V442,"its band","the book")&amp;" ("&amp;IF(ROUND($AB442*100,2)=0,"0.00",TEXT($AB442*100,"+0.00;-0.00"))&amp;" points)")),IF(LEFT($Y442,5)="worse","short of ","ahead of ")&amp;IF($V442,"its band","the book")&amp;" by "&amp;TEXT(ABS($AB442)*100,"0.00")&amp;" points"&amp;IF($Z442="",""," ($"&amp;TEXT(ABS($Z442),"#,##0")&amp;")")&amp;IF(RIGHT($Y442,15)="not significant"," (not significant)","")))</f>
        <v/>
      </c>
      <c r="AE442">
        <f>IF($V442,IF($S442="","",$S442),IF($R442="","",$R442))</f>
        <v/>
      </c>
      <c r="AF442">
        <f>IF($V442,IF($U442="","",$U442),IF($T442="","",$T442))</f>
        <v/>
      </c>
      <c r="AG442">
        <f>IF($V442,IF($O442="","",$O442),IF($P442="","",$P442))</f>
        <v/>
      </c>
      <c r="AH442" t="n">
        <v>0.1614995387459972</v>
      </c>
      <c r="AI442">
        <f>IF($Y442="worse","Yes",IF($Y442="worse, not significant","Not sure",IF(OR($Y442="too few losses to test",$Y442="too few loans to test"),"Too few losses",IF($Y442="","","No"))))</f>
        <v/>
      </c>
      <c r="AJ442">
        <f>IF($AA442="yes","Yes",IF($AA442="","","No"))</f>
        <v/>
      </c>
    </row>
    <row r="443">
      <c r="A443" t="inlineStr">
        <is>
          <t>three-way</t>
        </is>
      </c>
      <c r="B443" t="inlineStr">
        <is>
          <t>FICO x CHANNEL / SYS_FLAG</t>
        </is>
      </c>
      <c r="C443" t="inlineStr">
        <is>
          <t>496 - 653</t>
        </is>
      </c>
      <c r="D443" t="inlineStr">
        <is>
          <t>Broker / SYS_FLAG N</t>
        </is>
      </c>
      <c r="E443" t="inlineStr">
        <is>
          <t>contribution_rate</t>
        </is>
      </c>
      <c r="F443" t="inlineStr">
        <is>
          <t>Contribution before losses per booked dollar</t>
        </is>
      </c>
      <c r="G443" t="n">
        <v>258</v>
      </c>
      <c r="H443" t="n">
        <v>8508056.250000006</v>
      </c>
      <c r="I443" t="b">
        <v>0</v>
      </c>
      <c r="J443" t="b">
        <v>0</v>
      </c>
      <c r="K443" t="n">
        <v>0.1126163654287696</v>
      </c>
      <c r="L443" t="n">
        <v>0.000184981501849815</v>
      </c>
      <c r="M443" t="n">
        <v>0.005852352822227069</v>
      </c>
      <c r="N443" t="n">
        <v>0.7620952190495236</v>
      </c>
      <c r="O443" t="n">
        <v>-958146.3717385279</v>
      </c>
      <c r="P443" t="n">
        <v>-49792.14700635429</v>
      </c>
      <c r="Q443">
        <f>'_live'!$C$24</f>
        <v/>
      </c>
      <c r="R443" t="inlineStr">
        <is>
          <t>shuffled: 0 of 10,000</t>
        </is>
      </c>
      <c r="S443" t="inlineStr">
        <is>
          <t>shuffled: 5,927 of 10,000</t>
        </is>
      </c>
      <c r="T443" t="n">
        <v>0.1658791240668481</v>
      </c>
      <c r="U443" t="n">
        <v>0.2726431366733906</v>
      </c>
      <c r="V443">
        <f>AND(judged_band,NOT($J443))</f>
        <v/>
      </c>
      <c r="W443">
        <f>IF($K443="","",IF(profit_kind="test",IF(OR(NOT(AND(ISNUMBER($L443),$L443&lt;significance_bar)),$K443=0),"in line",IF($K443&lt;0,"worse","better")),IF(OR($K443=0,IF(profit_kind="points",ABS($K443),ABS($K443*$H443))&lt;profit_line*(1-1E-9)),"in line",IF(AND(ISNUMBER($L443),$L443&lt;significance_bar),IF($K443&lt;0,"worse","better"),IF($K443&lt;0,"worse, not significant","better, not significant")))))</f>
        <v/>
      </c>
      <c r="X443">
        <f>IF($M443="","",IF(profit_kind="test",IF(OR(NOT(AND(ISNUMBER($N443),$N443&lt;significance_bar)),$M443=0),"in line",IF($M443&lt;0,"worse","better")),IF(OR($M443=0,IF(profit_kind="points",ABS($M443),ABS($M443*$H443))&lt;profit_line*(1-1E-9)),"in line",IF(AND(ISNUMBER($N443),$N443&lt;significance_bar),IF($M443&lt;0,"worse","better"),IF($M443&lt;0,"worse, not significant","better, not significant")))))</f>
        <v/>
      </c>
      <c r="Y443">
        <f>IF($V443,$X443,$W443)</f>
        <v/>
      </c>
      <c r="Z443">
        <f>IF($V443,IF($P443="","",$P443),IF($O443="","",$O443))</f>
        <v/>
      </c>
      <c r="AA443">
        <f>IF(OR($Q443="",$Z443=""),"",IF(AND($Z443&gt;0,$Z443&gt;=$Q443),"yes","below the line"))</f>
        <v/>
      </c>
      <c r="AB443">
        <f>IF($V443,IF($M443="","",$M443),IF($K443="","",$K443))</f>
        <v/>
      </c>
      <c r="AC443">
        <f>IF($V443,IF($N443="","",$N443),IF($L443="","",$L443))</f>
        <v/>
      </c>
      <c r="AD443">
        <f>IF($Y443="","",IF($Y443="in line",IF(profit_kind="test",IF(ROUND($AB443*100,2)=0,"0.00",TEXT($AB443*100,"+0.00;-0.00"))&amp;" points against "&amp;IF($V443,"its band","the book")&amp;", "&amp;IF($AC443="","not tested","not significant"),IF(profit_kind="points","within "&amp;TEXT(profit_line*100,"0.00")&amp;" points of "&amp;IF($V443,"its band","the book")&amp;" ("&amp;IF(ROUND($AB443*100,2)=0,"0.00",TEXT($AB443*100,"+0.00;-0.00"))&amp;")","within $"&amp;TEXT(profit_line,"#,##0")&amp;" of "&amp;IF($V443,"its band","the book")&amp;" ("&amp;IF(ROUND($AB443*100,2)=0,"0.00",TEXT($AB443*100,"+0.00;-0.00"))&amp;" points)")),IF(LEFT($Y443,5)="worse","short of ","ahead of ")&amp;IF($V443,"its band","the book")&amp;" by "&amp;TEXT(ABS($AB443)*100,"0.00")&amp;" points"&amp;IF($Z443="",""," ($"&amp;TEXT(ABS($Z443),"#,##0")&amp;")")&amp;IF(RIGHT($Y443,15)="not significant"," (not significant)","")))</f>
        <v/>
      </c>
      <c r="AE443">
        <f>IF($V443,IF($S443="","",$S443),IF($R443="","",$R443))</f>
        <v/>
      </c>
      <c r="AF443">
        <f>IF($V443,IF($U443="","",$U443),IF($T443="","",$T443))</f>
        <v/>
      </c>
      <c r="AG443">
        <f>IF($V443,IF($O443="","",$O443),IF($P443="","",$P443))</f>
        <v/>
      </c>
      <c r="AH443" t="n">
        <v>0.2784954894956177</v>
      </c>
      <c r="AI443">
        <f>IF($Y443="worse","Yes",IF($Y443="worse, not significant","Not sure",IF(OR($Y443="too few losses to test",$Y443="too few loans to test"),"Too few losses",IF($Y443="","","No"))))</f>
        <v/>
      </c>
      <c r="AJ443">
        <f>IF($AA443="yes","Yes",IF($AA443="","","No"))</f>
        <v/>
      </c>
    </row>
    <row r="444">
      <c r="A444" t="inlineStr">
        <is>
          <t>three-way</t>
        </is>
      </c>
      <c r="B444" t="inlineStr">
        <is>
          <t>FICO x CHANNEL / SYS_FLAG</t>
        </is>
      </c>
      <c r="C444" t="inlineStr">
        <is>
          <t>686 - 711</t>
        </is>
      </c>
      <c r="D444" t="inlineStr">
        <is>
          <t>Broker / SYS_FLAG Y</t>
        </is>
      </c>
      <c r="E444" t="inlineStr">
        <is>
          <t>outcome_loans</t>
        </is>
      </c>
      <c r="F444" t="inlineStr">
        <is>
          <t>Outcome, share of loans</t>
        </is>
      </c>
      <c r="G444" t="n">
        <v>230</v>
      </c>
      <c r="H444" t="n">
        <v>230</v>
      </c>
      <c r="I444" t="b">
        <v>0</v>
      </c>
      <c r="J444" t="b">
        <v>0</v>
      </c>
      <c r="K444" t="n">
        <v>0.8388640944428447</v>
      </c>
      <c r="L444" t="n">
        <v>0.5255078783401298</v>
      </c>
      <c r="M444" t="n">
        <v>1.072463768115942</v>
      </c>
      <c r="N444" t="n">
        <v>0.9059251830371913</v>
      </c>
      <c r="O444" t="n">
        <v>-2.881323207620028</v>
      </c>
      <c r="P444" t="n">
        <v>1.013513513513512</v>
      </c>
      <c r="Q444">
        <f>'_live'!$C$20</f>
        <v/>
      </c>
      <c r="R444" t="inlineStr">
        <is>
          <t>z test</t>
        </is>
      </c>
      <c r="S444" t="inlineStr">
        <is>
          <t>z test</t>
        </is>
      </c>
      <c r="T444" t="n">
        <v>0.07774488351139143</v>
      </c>
      <c r="U444" t="n">
        <v>0.06081081081081081</v>
      </c>
      <c r="V444">
        <f>AND(judged_band,NOT($J444))</f>
        <v/>
      </c>
      <c r="W444">
        <f>IF($K444="","",IF($I444,"too few losses to test",IF(AND($K444&gt;better_at,$K444&lt;worse_at),"in line",IF($K444&gt;=worse_at,IF(AND(ISNUMBER($L444),$L444&lt;significance_bar),"worse","worse, not significant"),IF(AND(ISNUMBER($L444),$L444&lt;significance_bar),"better","better, not significant")))))</f>
        <v/>
      </c>
      <c r="X444">
        <f>IF($M444="","",IF($I444,"too few losses to test",IF(AND($M444&gt;better_at,$M444&lt;worse_at),"in line",IF($M444&gt;=worse_at,IF(AND(ISNUMBER($N444),$N444&lt;significance_bar),"worse","worse, not significant"),IF(AND(ISNUMBER($N444),$N444&lt;significance_bar),"better","better, not significant")))))</f>
        <v/>
      </c>
      <c r="Y444">
        <f>IF($V444,$X444,$W444)</f>
        <v/>
      </c>
      <c r="Z444">
        <f>IF($V444,IF($P444="","",$P444),IF($O444="","",$O444))</f>
        <v/>
      </c>
      <c r="AA444">
        <f>IF(OR($Q444="",$Z444=""),"",IF(AND($Z444&gt;0,$Z444&gt;=$Q444),"yes","below the line"))</f>
        <v/>
      </c>
      <c r="AB444">
        <f>IF($V444,IF($M444="","",$M444),IF($K444="","",$K444))</f>
        <v/>
      </c>
      <c r="AC444">
        <f>IF($V444,IF($N444="","",$N444),IF($L444="","",$L444))</f>
        <v/>
      </c>
      <c r="AD444">
        <f>$Y444</f>
        <v/>
      </c>
      <c r="AE444">
        <f>IF($V444,IF($S444="","",$S444),IF($R444="","",$R444))</f>
        <v/>
      </c>
      <c r="AF444">
        <f>IF($V444,IF($U444="","",$U444),IF($T444="","",$T444))</f>
        <v/>
      </c>
      <c r="AG444">
        <f>IF($V444,IF($O444="","",$O444),IF($P444="","",$P444))</f>
        <v/>
      </c>
      <c r="AH444" t="n">
        <v>0.06521739130434782</v>
      </c>
      <c r="AI444">
        <f>IF($Y444="worse","Yes",IF($Y444="worse, not significant","Not sure",IF(OR($Y444="too few losses to test",$Y444="too few loans to test"),"Too few losses",IF($Y444="","","No"))))</f>
        <v/>
      </c>
      <c r="AJ444">
        <f>IF($AA444="yes","Yes",IF($AA444="","","No"))</f>
        <v/>
      </c>
    </row>
    <row r="445">
      <c r="A445" t="inlineStr">
        <is>
          <t>three-way</t>
        </is>
      </c>
      <c r="B445" t="inlineStr">
        <is>
          <t>FICO x CHANNEL / SYS_FLAG</t>
        </is>
      </c>
      <c r="C445" t="inlineStr">
        <is>
          <t>686 - 711</t>
        </is>
      </c>
      <c r="D445" t="inlineStr">
        <is>
          <t>Broker / SYS_FLAG Y</t>
        </is>
      </c>
      <c r="E445" t="inlineStr">
        <is>
          <t>outcome_booked</t>
        </is>
      </c>
      <c r="F445" t="inlineStr">
        <is>
          <t>Outcome, share of booked dollars</t>
        </is>
      </c>
      <c r="G445" t="n">
        <v>230</v>
      </c>
      <c r="H445" t="n">
        <v>7792388.48</v>
      </c>
      <c r="I445" t="b">
        <v>0</v>
      </c>
      <c r="J445" t="b">
        <v>0</v>
      </c>
      <c r="K445" t="n">
        <v>0.7851046622881452</v>
      </c>
      <c r="L445" t="n">
        <v>0.4809042905233286</v>
      </c>
      <c r="M445" t="n">
        <v>1.047459721754345</v>
      </c>
      <c r="N445" t="n">
        <v>0.9156376029063761</v>
      </c>
      <c r="O445" t="n">
        <v>-126123.0299838753</v>
      </c>
      <c r="P445" t="n">
        <v>20877.70778063434</v>
      </c>
      <c r="Q445">
        <f>'_live'!$C$21</f>
        <v/>
      </c>
      <c r="R445" t="inlineStr">
        <is>
          <t>shuffled: 4,039 of 10,000</t>
        </is>
      </c>
      <c r="S445" t="inlineStr">
        <is>
          <t>shuffled: 8,790 of 10,000</t>
        </is>
      </c>
      <c r="T445" t="n">
        <v>0.07531765792866056</v>
      </c>
      <c r="U445" t="n">
        <v>0.05645300068758451</v>
      </c>
      <c r="V445">
        <f>AND(judged_band,NOT($J445))</f>
        <v/>
      </c>
      <c r="W445">
        <f>IF($K445="","",IF($I445,"too few losses to test",IF(AND($K445&gt;better_at,$K445&lt;worse_at),"in line",IF($K445&gt;=worse_at,IF(AND(ISNUMBER($L445),$L445&lt;significance_bar),"worse","worse, not significant"),IF(AND(ISNUMBER($L445),$L445&lt;significance_bar),"better","better, not significant")))))</f>
        <v/>
      </c>
      <c r="X445">
        <f>IF($M445="","",IF($I445,"too few losses to test",IF(AND($M445&gt;better_at,$M445&lt;worse_at),"in line",IF($M445&gt;=worse_at,IF(AND(ISNUMBER($N445),$N445&lt;significance_bar),"worse","worse, not significant"),IF(AND(ISNUMBER($N445),$N445&lt;significance_bar),"better","better, not significant")))))</f>
        <v/>
      </c>
      <c r="Y445">
        <f>IF($V445,$X445,$W445)</f>
        <v/>
      </c>
      <c r="Z445">
        <f>IF($V445,IF($P445="","",$P445),IF($O445="","",$O445))</f>
        <v/>
      </c>
      <c r="AA445">
        <f>IF(OR($Q445="",$Z445=""),"",IF(AND($Z445&gt;0,$Z445&gt;=$Q445),"yes","below the line"))</f>
        <v/>
      </c>
      <c r="AB445">
        <f>IF($V445,IF($M445="","",$M445),IF($K445="","",$K445))</f>
        <v/>
      </c>
      <c r="AC445">
        <f>IF($V445,IF($N445="","",$N445),IF($L445="","",$L445))</f>
        <v/>
      </c>
      <c r="AD445">
        <f>$Y445</f>
        <v/>
      </c>
      <c r="AE445">
        <f>IF($V445,IF($S445="","",$S445),IF($R445="","",$R445))</f>
        <v/>
      </c>
      <c r="AF445">
        <f>IF($V445,IF($U445="","",$U445),IF($T445="","",$T445))</f>
        <v/>
      </c>
      <c r="AG445">
        <f>IF($V445,IF($O445="","",$O445),IF($P445="","",$P445))</f>
        <v/>
      </c>
      <c r="AH445" t="n">
        <v>0.05913224439241509</v>
      </c>
      <c r="AI445">
        <f>IF($Y445="worse","Yes",IF($Y445="worse, not significant","Not sure",IF(OR($Y445="too few losses to test",$Y445="too few loans to test"),"Too few losses",IF($Y445="","","No"))))</f>
        <v/>
      </c>
      <c r="AJ445">
        <f>IF($AA445="yes","Yes",IF($AA445="","","No"))</f>
        <v/>
      </c>
    </row>
    <row r="446">
      <c r="A446" t="inlineStr">
        <is>
          <t>three-way</t>
        </is>
      </c>
      <c r="B446" t="inlineStr">
        <is>
          <t>FICO x CHANNEL / SYS_FLAG</t>
        </is>
      </c>
      <c r="C446" t="inlineStr">
        <is>
          <t>686 - 711</t>
        </is>
      </c>
      <c r="D446" t="inlineStr">
        <is>
          <t>Broker / SYS_FLAG Y</t>
        </is>
      </c>
      <c r="E446" t="inlineStr">
        <is>
          <t>gco_rate</t>
        </is>
      </c>
      <c r="F446" t="inlineStr">
        <is>
          <t>GCO per booked dollar</t>
        </is>
      </c>
      <c r="G446" t="n">
        <v>230</v>
      </c>
      <c r="H446" t="n">
        <v>7792388.48</v>
      </c>
      <c r="I446" t="b">
        <v>0</v>
      </c>
      <c r="J446" t="b">
        <v>0</v>
      </c>
      <c r="K446" t="n">
        <v>0.7302706168500229</v>
      </c>
      <c r="L446" t="n">
        <v>0.3877112288771123</v>
      </c>
      <c r="M446" t="n">
        <v>0.9671197758717929</v>
      </c>
      <c r="N446" t="n">
        <v>0.9223077692230777</v>
      </c>
      <c r="O446" t="n">
        <v>-88165.62478303269</v>
      </c>
      <c r="P446" t="n">
        <v>-8115.389380626031</v>
      </c>
      <c r="Q446">
        <f>'_live'!$C$22</f>
        <v/>
      </c>
      <c r="R446" t="inlineStr">
        <is>
          <t>shuffled: 3,101 of 10,000</t>
        </is>
      </c>
      <c r="S446" t="inlineStr">
        <is>
          <t>shuffled: 9,223 of 10,000</t>
        </is>
      </c>
      <c r="T446" t="n">
        <v>0.04194695446998976</v>
      </c>
      <c r="U446" t="n">
        <v>0.03167407913685356</v>
      </c>
      <c r="V446">
        <f>AND(judged_band,NOT($J446))</f>
        <v/>
      </c>
      <c r="W446">
        <f>IF($K446="","",IF($I446,"too few losses to test",IF(AND($K446&gt;better_at,$K446&lt;worse_at),"in line",IF($K446&gt;=worse_at,IF(AND(ISNUMBER($L446),$L446&lt;significance_bar),"worse","worse, not significant"),IF(AND(ISNUMBER($L446),$L446&lt;significance_bar),"better","better, not significant")))))</f>
        <v/>
      </c>
      <c r="X446">
        <f>IF($M446="","",IF($I446,"too few losses to test",IF(AND($M446&gt;better_at,$M446&lt;worse_at),"in line",IF($M446&gt;=worse_at,IF(AND(ISNUMBER($N446),$N446&lt;significance_bar),"worse","worse, not significant"),IF(AND(ISNUMBER($N446),$N446&lt;significance_bar),"better","better, not significant")))))</f>
        <v/>
      </c>
      <c r="Y446">
        <f>IF($V446,$X446,$W446)</f>
        <v/>
      </c>
      <c r="Z446">
        <f>IF($V446,IF($P446="","",$P446),IF($O446="","",$O446))</f>
        <v/>
      </c>
      <c r="AA446">
        <f>IF(OR($Q446="",$Z446=""),"",IF(AND($Z446&gt;0,$Z446&gt;=$Q446),"yes","below the line"))</f>
        <v/>
      </c>
      <c r="AB446">
        <f>IF($V446,IF($M446="","",$M446),IF($K446="","",$K446))</f>
        <v/>
      </c>
      <c r="AC446">
        <f>IF($V446,IF($N446="","",$N446),IF($L446="","",$L446))</f>
        <v/>
      </c>
      <c r="AD446">
        <f>$Y446</f>
        <v/>
      </c>
      <c r="AE446">
        <f>IF($V446,IF($S446="","",$S446),IF($R446="","",$R446))</f>
        <v/>
      </c>
      <c r="AF446">
        <f>IF($V446,IF($U446="","",$U446),IF($T446="","",$T446))</f>
        <v/>
      </c>
      <c r="AG446">
        <f>IF($V446,IF($O446="","",$O446),IF($P446="","",$P446))</f>
        <v/>
      </c>
      <c r="AH446" t="n">
        <v>0.03063262831577925</v>
      </c>
      <c r="AI446">
        <f>IF($Y446="worse","Yes",IF($Y446="worse, not significant","Not sure",IF(OR($Y446="too few losses to test",$Y446="too few loans to test"),"Too few losses",IF($Y446="","","No"))))</f>
        <v/>
      </c>
      <c r="AJ446">
        <f>IF($AA446="yes","Yes",IF($AA446="","","No"))</f>
        <v/>
      </c>
    </row>
    <row r="447">
      <c r="A447" t="inlineStr">
        <is>
          <t>three-way</t>
        </is>
      </c>
      <c r="B447" t="inlineStr">
        <is>
          <t>FICO x CHANNEL / SYS_FLAG</t>
        </is>
      </c>
      <c r="C447" t="inlineStr">
        <is>
          <t>686 - 711</t>
        </is>
      </c>
      <c r="D447" t="inlineStr">
        <is>
          <t>Broker / SYS_FLAG Y</t>
        </is>
      </c>
      <c r="E447" t="inlineStr">
        <is>
          <t>ranr_rate</t>
        </is>
      </c>
      <c r="F447" t="inlineStr">
        <is>
          <t>Profit after losses: RANR per booked dollar</t>
        </is>
      </c>
      <c r="G447" t="n">
        <v>230</v>
      </c>
      <c r="H447" t="n">
        <v>7792388.48</v>
      </c>
      <c r="I447" t="b">
        <v>0</v>
      </c>
      <c r="J447" t="b">
        <v>0</v>
      </c>
      <c r="K447" t="n">
        <v>-0.01591276639020026</v>
      </c>
      <c r="L447" t="n">
        <v>0.3664175249141752</v>
      </c>
      <c r="M447" t="n">
        <v>-0.03465363591233606</v>
      </c>
      <c r="N447" t="n">
        <v>0.026997300269973</v>
      </c>
      <c r="O447" t="n">
        <v>123998.4575039276</v>
      </c>
      <c r="P447" t="n">
        <v>270034.5932734018</v>
      </c>
      <c r="Q447">
        <f>'_live'!$C$23</f>
        <v/>
      </c>
      <c r="R447" t="inlineStr">
        <is>
          <t>shuffled: 2,376 of 10,000</t>
        </is>
      </c>
      <c r="S447" t="inlineStr">
        <is>
          <t>shuffled: 59 of 10,000</t>
        </is>
      </c>
      <c r="T447" t="n">
        <v>0.1284705363539483</v>
      </c>
      <c r="U447" t="n">
        <v>0.1472114058760841</v>
      </c>
      <c r="V447">
        <f>AND(judged_band,NOT($J447))</f>
        <v/>
      </c>
      <c r="W447">
        <f>IF($K447="","",IF(profit_kind="test",IF(OR(NOT(AND(ISNUMBER($L447),$L447&lt;significance_bar)),$K447=0),"in line",IF($K447&lt;0,"worse","better")),IF(OR($K447=0,IF(profit_kind="points",ABS($K447),ABS($K447*$H447))&lt;profit_line*(1-1E-9)),"in line",IF(AND(ISNUMBER($L447),$L447&lt;significance_bar),IF($K447&lt;0,"worse","better"),IF($K447&lt;0,"worse, not significant","better, not significant")))))</f>
        <v/>
      </c>
      <c r="X447">
        <f>IF($M447="","",IF(profit_kind="test",IF(OR(NOT(AND(ISNUMBER($N447),$N447&lt;significance_bar)),$M447=0),"in line",IF($M447&lt;0,"worse","better")),IF(OR($M447=0,IF(profit_kind="points",ABS($M447),ABS($M447*$H447))&lt;profit_line*(1-1E-9)),"in line",IF(AND(ISNUMBER($N447),$N447&lt;significance_bar),IF($M447&lt;0,"worse","better"),IF($M447&lt;0,"worse, not significant","better, not significant")))))</f>
        <v/>
      </c>
      <c r="Y447">
        <f>IF($V447,$X447,$W447)</f>
        <v/>
      </c>
      <c r="Z447">
        <f>IF($V447,IF($P447="","",$P447),IF($O447="","",$O447))</f>
        <v/>
      </c>
      <c r="AA447">
        <f>IF(OR($Q447="",$Z447=""),"",IF(AND($Z447&gt;0,$Z447&gt;=$Q447),"yes","below the line"))</f>
        <v/>
      </c>
      <c r="AB447">
        <f>IF($V447,IF($M447="","",$M447),IF($K447="","",$K447))</f>
        <v/>
      </c>
      <c r="AC447">
        <f>IF($V447,IF($N447="","",$N447),IF($L447="","",$L447))</f>
        <v/>
      </c>
      <c r="AD447">
        <f>IF($Y447="","",IF($Y447="in line",IF(profit_kind="test",IF(ROUND($AB447*100,2)=0,"0.00",TEXT($AB447*100,"+0.00;-0.00"))&amp;" points against "&amp;IF($V447,"its band","the book")&amp;", "&amp;IF($AC447="","not tested","not significant"),IF(profit_kind="points","within "&amp;TEXT(profit_line*100,"0.00")&amp;" points of "&amp;IF($V447,"its band","the book")&amp;" ("&amp;IF(ROUND($AB447*100,2)=0,"0.00",TEXT($AB447*100,"+0.00;-0.00"))&amp;")","within $"&amp;TEXT(profit_line,"#,##0")&amp;" of "&amp;IF($V447,"its band","the book")&amp;" ("&amp;IF(ROUND($AB447*100,2)=0,"0.00",TEXT($AB447*100,"+0.00;-0.00"))&amp;" points)")),IF(LEFT($Y447,5)="worse","short of ","ahead of ")&amp;IF($V447,"its band","the book")&amp;" by "&amp;TEXT(ABS($AB447)*100,"0.00")&amp;" points"&amp;IF($Z447="",""," ($"&amp;TEXT(ABS($Z447),"#,##0")&amp;")")&amp;IF(RIGHT($Y447,15)="not significant"," (not significant)","")))</f>
        <v/>
      </c>
      <c r="AE447">
        <f>IF($V447,IF($S447="","",$S447),IF($R447="","",$R447))</f>
        <v/>
      </c>
      <c r="AF447">
        <f>IF($V447,IF($U447="","",$U447),IF($T447="","",$T447))</f>
        <v/>
      </c>
      <c r="AG447">
        <f>IF($V447,IF($O447="","",$O447),IF($P447="","",$P447))</f>
        <v/>
      </c>
      <c r="AH447" t="n">
        <v>0.112557769963748</v>
      </c>
      <c r="AI447">
        <f>IF($Y447="worse","Yes",IF($Y447="worse, not significant","Not sure",IF(OR($Y447="too few losses to test",$Y447="too few loans to test"),"Too few losses",IF($Y447="","","No"))))</f>
        <v/>
      </c>
      <c r="AJ447">
        <f>IF($AA447="yes","Yes",IF($AA447="","","No"))</f>
        <v/>
      </c>
    </row>
    <row r="448">
      <c r="A448" t="inlineStr">
        <is>
          <t>three-way</t>
        </is>
      </c>
      <c r="B448" t="inlineStr">
        <is>
          <t>FICO x CHANNEL / SYS_FLAG</t>
        </is>
      </c>
      <c r="C448" t="inlineStr">
        <is>
          <t>686 - 711</t>
        </is>
      </c>
      <c r="D448" t="inlineStr">
        <is>
          <t>Broker / SYS_FLAG Y</t>
        </is>
      </c>
      <c r="E448" t="inlineStr">
        <is>
          <t>contribution_rate</t>
        </is>
      </c>
      <c r="F448" t="inlineStr">
        <is>
          <t>Contribution before losses per booked dollar</t>
        </is>
      </c>
      <c r="G448" t="n">
        <v>230</v>
      </c>
      <c r="H448" t="n">
        <v>7792388.48</v>
      </c>
      <c r="I448" t="b">
        <v>0</v>
      </c>
      <c r="J448" t="b">
        <v>0</v>
      </c>
      <c r="K448" t="n">
        <v>-0.02722422045997286</v>
      </c>
      <c r="L448" t="n">
        <v>0.004291570842915707</v>
      </c>
      <c r="M448" t="n">
        <v>-0.0356950867334104</v>
      </c>
      <c r="N448" t="n">
        <v>0.0005999400059994001</v>
      </c>
      <c r="O448" t="n">
        <v>212141.7018892728</v>
      </c>
      <c r="P448" t="n">
        <v>278149.9826540279</v>
      </c>
      <c r="Q448">
        <f>'_live'!$C$24</f>
        <v/>
      </c>
      <c r="R448" t="inlineStr">
        <is>
          <t>shuffled: 28 of 10,000</t>
        </is>
      </c>
      <c r="S448" t="inlineStr">
        <is>
          <t>shuffled: 0 of 10,000</t>
        </is>
      </c>
      <c r="T448" t="n">
        <v>0.1704146187395001</v>
      </c>
      <c r="U448" t="n">
        <v>0.1788854850129376</v>
      </c>
      <c r="V448">
        <f>AND(judged_band,NOT($J448))</f>
        <v/>
      </c>
      <c r="W448">
        <f>IF($K448="","",IF(profit_kind="test",IF(OR(NOT(AND(ISNUMBER($L448),$L448&lt;significance_bar)),$K448=0),"in line",IF($K448&lt;0,"worse","better")),IF(OR($K448=0,IF(profit_kind="points",ABS($K448),ABS($K448*$H448))&lt;profit_line*(1-1E-9)),"in line",IF(AND(ISNUMBER($L448),$L448&lt;significance_bar),IF($K448&lt;0,"worse","better"),IF($K448&lt;0,"worse, not significant","better, not significant")))))</f>
        <v/>
      </c>
      <c r="X448">
        <f>IF($M448="","",IF(profit_kind="test",IF(OR(NOT(AND(ISNUMBER($N448),$N448&lt;significance_bar)),$M448=0),"in line",IF($M448&lt;0,"worse","better")),IF(OR($M448=0,IF(profit_kind="points",ABS($M448),ABS($M448*$H448))&lt;profit_line*(1-1E-9)),"in line",IF(AND(ISNUMBER($N448),$N448&lt;significance_bar),IF($M448&lt;0,"worse","better"),IF($M448&lt;0,"worse, not significant","better, not significant")))))</f>
        <v/>
      </c>
      <c r="Y448">
        <f>IF($V448,$X448,$W448)</f>
        <v/>
      </c>
      <c r="Z448">
        <f>IF($V448,IF($P448="","",$P448),IF($O448="","",$O448))</f>
        <v/>
      </c>
      <c r="AA448">
        <f>IF(OR($Q448="",$Z448=""),"",IF(AND($Z448&gt;0,$Z448&gt;=$Q448),"yes","below the line"))</f>
        <v/>
      </c>
      <c r="AB448">
        <f>IF($V448,IF($M448="","",$M448),IF($K448="","",$K448))</f>
        <v/>
      </c>
      <c r="AC448">
        <f>IF($V448,IF($N448="","",$N448),IF($L448="","",$L448))</f>
        <v/>
      </c>
      <c r="AD448">
        <f>IF($Y448="","",IF($Y448="in line",IF(profit_kind="test",IF(ROUND($AB448*100,2)=0,"0.00",TEXT($AB448*100,"+0.00;-0.00"))&amp;" points against "&amp;IF($V448,"its band","the book")&amp;", "&amp;IF($AC448="","not tested","not significant"),IF(profit_kind="points","within "&amp;TEXT(profit_line*100,"0.00")&amp;" points of "&amp;IF($V448,"its band","the book")&amp;" ("&amp;IF(ROUND($AB448*100,2)=0,"0.00",TEXT($AB448*100,"+0.00;-0.00"))&amp;")","within $"&amp;TEXT(profit_line,"#,##0")&amp;" of "&amp;IF($V448,"its band","the book")&amp;" ("&amp;IF(ROUND($AB448*100,2)=0,"0.00",TEXT($AB448*100,"+0.00;-0.00"))&amp;" points)")),IF(LEFT($Y448,5)="worse","short of ","ahead of ")&amp;IF($V448,"its band","the book")&amp;" by "&amp;TEXT(ABS($AB448)*100,"0.00")&amp;" points"&amp;IF($Z448="",""," ($"&amp;TEXT(ABS($Z448),"#,##0")&amp;")")&amp;IF(RIGHT($Y448,15)="not significant"," (not significant)","")))</f>
        <v/>
      </c>
      <c r="AE448">
        <f>IF($V448,IF($S448="","",$S448),IF($R448="","",$R448))</f>
        <v/>
      </c>
      <c r="AF448">
        <f>IF($V448,IF($U448="","",$U448),IF($T448="","",$T448))</f>
        <v/>
      </c>
      <c r="AG448">
        <f>IF($V448,IF($O448="","",$O448),IF($P448="","",$P448))</f>
        <v/>
      </c>
      <c r="AH448" t="n">
        <v>0.1431903982795272</v>
      </c>
      <c r="AI448">
        <f>IF($Y448="worse","Yes",IF($Y448="worse, not significant","Not sure",IF(OR($Y448="too few losses to test",$Y448="too few loans to test"),"Too few losses",IF($Y448="","","No"))))</f>
        <v/>
      </c>
      <c r="AJ448">
        <f>IF($AA448="yes","Yes",IF($AA448="","","No"))</f>
        <v/>
      </c>
    </row>
    <row r="449">
      <c r="A449" t="inlineStr">
        <is>
          <t>three-way</t>
        </is>
      </c>
      <c r="B449" t="inlineStr">
        <is>
          <t>FICO x CHANNEL / SYS_FLAG</t>
        </is>
      </c>
      <c r="C449" t="inlineStr">
        <is>
          <t>712 - 745</t>
        </is>
      </c>
      <c r="D449" t="inlineStr">
        <is>
          <t>Online / SYS_FLAG N</t>
        </is>
      </c>
      <c r="E449" t="inlineStr">
        <is>
          <t>outcome_loans</t>
        </is>
      </c>
      <c r="F449" t="inlineStr">
        <is>
          <t>Outcome, share of loans</t>
        </is>
      </c>
      <c r="G449" t="n">
        <v>286</v>
      </c>
      <c r="H449" t="n">
        <v>286</v>
      </c>
      <c r="I449" t="b">
        <v>0</v>
      </c>
      <c r="J449" t="b">
        <v>0</v>
      </c>
      <c r="K449" t="n">
        <v>0.7155829245381483</v>
      </c>
      <c r="L449" t="n">
        <v>0.2319314278682912</v>
      </c>
      <c r="M449" t="n">
        <v>1.044026396139072</v>
      </c>
      <c r="N449" t="n">
        <v>0.9179955669404986</v>
      </c>
      <c r="O449" t="n">
        <v>-6.35939323220537</v>
      </c>
      <c r="P449" t="n">
        <v>0.6747169811320752</v>
      </c>
      <c r="Q449">
        <f>'_live'!$C$20</f>
        <v/>
      </c>
      <c r="R449" t="inlineStr">
        <is>
          <t>z test</t>
        </is>
      </c>
      <c r="S449" t="inlineStr">
        <is>
          <t>z test</t>
        </is>
      </c>
      <c r="T449" t="n">
        <v>0.07817969661610269</v>
      </c>
      <c r="U449" t="n">
        <v>0.05358490566037736</v>
      </c>
      <c r="V449">
        <f>AND(judged_band,NOT($J449))</f>
        <v/>
      </c>
      <c r="W449">
        <f>IF($K449="","",IF($I449,"too few losses to test",IF(AND($K449&gt;better_at,$K449&lt;worse_at),"in line",IF($K449&gt;=worse_at,IF(AND(ISNUMBER($L449),$L449&lt;significance_bar),"worse","worse, not significant"),IF(AND(ISNUMBER($L449),$L449&lt;significance_bar),"better","better, not significant")))))</f>
        <v/>
      </c>
      <c r="X449">
        <f>IF($M449="","",IF($I449,"too few losses to test",IF(AND($M449&gt;better_at,$M449&lt;worse_at),"in line",IF($M449&gt;=worse_at,IF(AND(ISNUMBER($N449),$N449&lt;significance_bar),"worse","worse, not significant"),IF(AND(ISNUMBER($N449),$N449&lt;significance_bar),"better","better, not significant")))))</f>
        <v/>
      </c>
      <c r="Y449">
        <f>IF($V449,$X449,$W449)</f>
        <v/>
      </c>
      <c r="Z449">
        <f>IF($V449,IF($P449="","",$P449),IF($O449="","",$O449))</f>
        <v/>
      </c>
      <c r="AA449">
        <f>IF(OR($Q449="",$Z449=""),"",IF(AND($Z449&gt;0,$Z449&gt;=$Q449),"yes","below the line"))</f>
        <v/>
      </c>
      <c r="AB449">
        <f>IF($V449,IF($M449="","",$M449),IF($K449="","",$K449))</f>
        <v/>
      </c>
      <c r="AC449">
        <f>IF($V449,IF($N449="","",$N449),IF($L449="","",$L449))</f>
        <v/>
      </c>
      <c r="AD449">
        <f>$Y449</f>
        <v/>
      </c>
      <c r="AE449">
        <f>IF($V449,IF($S449="","",$S449),IF($R449="","",$R449))</f>
        <v/>
      </c>
      <c r="AF449">
        <f>IF($V449,IF($U449="","",$U449),IF($T449="","",$T449))</f>
        <v/>
      </c>
      <c r="AG449">
        <f>IF($V449,IF($O449="","",$O449),IF($P449="","",$P449))</f>
        <v/>
      </c>
      <c r="AH449" t="n">
        <v>0.05594405594405594</v>
      </c>
      <c r="AI449">
        <f>IF($Y449="worse","Yes",IF($Y449="worse, not significant","Not sure",IF(OR($Y449="too few losses to test",$Y449="too few loans to test"),"Too few losses",IF($Y449="","","No"))))</f>
        <v/>
      </c>
      <c r="AJ449">
        <f>IF($AA449="yes","Yes",IF($AA449="","","No"))</f>
        <v/>
      </c>
    </row>
    <row r="450">
      <c r="A450" t="inlineStr">
        <is>
          <t>three-way</t>
        </is>
      </c>
      <c r="B450" t="inlineStr">
        <is>
          <t>FICO x CHANNEL / SYS_FLAG</t>
        </is>
      </c>
      <c r="C450" t="inlineStr">
        <is>
          <t>712 - 745</t>
        </is>
      </c>
      <c r="D450" t="inlineStr">
        <is>
          <t>Online / SYS_FLAG N</t>
        </is>
      </c>
      <c r="E450" t="inlineStr">
        <is>
          <t>outcome_booked</t>
        </is>
      </c>
      <c r="F450" t="inlineStr">
        <is>
          <t>Outcome, share of booked dollars</t>
        </is>
      </c>
      <c r="G450" t="n">
        <v>286</v>
      </c>
      <c r="H450" t="n">
        <v>9060212.500000004</v>
      </c>
      <c r="I450" t="b">
        <v>0</v>
      </c>
      <c r="J450" t="b">
        <v>0</v>
      </c>
      <c r="K450" t="n">
        <v>0.7337884524244869</v>
      </c>
      <c r="L450" t="n">
        <v>0.3506593785065938</v>
      </c>
      <c r="M450" t="n">
        <v>1.020342653067085</v>
      </c>
      <c r="N450" t="n">
        <v>0.9453054694530547</v>
      </c>
      <c r="O450" t="n">
        <v>-182185.1966823293</v>
      </c>
      <c r="P450" t="n">
        <v>10011.94878792099</v>
      </c>
      <c r="Q450">
        <f>'_live'!$C$21</f>
        <v/>
      </c>
      <c r="R450" t="inlineStr">
        <is>
          <t>shuffled: 2,524 of 10,000</t>
        </is>
      </c>
      <c r="S450" t="inlineStr">
        <is>
          <t>shuffled: 9,453 of 10,000</t>
        </is>
      </c>
      <c r="T450" t="n">
        <v>0.07553492665677863</v>
      </c>
      <c r="U450" t="n">
        <v>0.05432161124389508</v>
      </c>
      <c r="V450">
        <f>AND(judged_band,NOT($J450))</f>
        <v/>
      </c>
      <c r="W450">
        <f>IF($K450="","",IF($I450,"too few losses to test",IF(AND($K450&gt;better_at,$K450&lt;worse_at),"in line",IF($K450&gt;=worse_at,IF(AND(ISNUMBER($L450),$L450&lt;significance_bar),"worse","worse, not significant"),IF(AND(ISNUMBER($L450),$L450&lt;significance_bar),"better","better, not significant")))))</f>
        <v/>
      </c>
      <c r="X450">
        <f>IF($M450="","",IF($I450,"too few losses to test",IF(AND($M450&gt;better_at,$M450&lt;worse_at),"in line",IF($M450&gt;=worse_at,IF(AND(ISNUMBER($N450),$N450&lt;significance_bar),"worse","worse, not significant"),IF(AND(ISNUMBER($N450),$N450&lt;significance_bar),"better","better, not significant")))))</f>
        <v/>
      </c>
      <c r="Y450">
        <f>IF($V450,$X450,$W450)</f>
        <v/>
      </c>
      <c r="Z450">
        <f>IF($V450,IF($P450="","",$P450),IF($O450="","",$O450))</f>
        <v/>
      </c>
      <c r="AA450">
        <f>IF(OR($Q450="",$Z450=""),"",IF(AND($Z450&gt;0,$Z450&gt;=$Q450),"yes","below the line"))</f>
        <v/>
      </c>
      <c r="AB450">
        <f>IF($V450,IF($M450="","",$M450),IF($K450="","",$K450))</f>
        <v/>
      </c>
      <c r="AC450">
        <f>IF($V450,IF($N450="","",$N450),IF($L450="","",$L450))</f>
        <v/>
      </c>
      <c r="AD450">
        <f>$Y450</f>
        <v/>
      </c>
      <c r="AE450">
        <f>IF($V450,IF($S450="","",$S450),IF($R450="","",$R450))</f>
        <v/>
      </c>
      <c r="AF450">
        <f>IF($V450,IF($U450="","",$U450),IF($T450="","",$T450))</f>
        <v/>
      </c>
      <c r="AG450">
        <f>IF($V450,IF($O450="","",$O450),IF($P450="","",$P450))</f>
        <v/>
      </c>
      <c r="AH450" t="n">
        <v>0.05542665693547472</v>
      </c>
      <c r="AI450">
        <f>IF($Y450="worse","Yes",IF($Y450="worse, not significant","Not sure",IF(OR($Y450="too few losses to test",$Y450="too few loans to test"),"Too few losses",IF($Y450="","","No"))))</f>
        <v/>
      </c>
      <c r="AJ450">
        <f>IF($AA450="yes","Yes",IF($AA450="","","No"))</f>
        <v/>
      </c>
    </row>
    <row r="451">
      <c r="A451" t="inlineStr">
        <is>
          <t>three-way</t>
        </is>
      </c>
      <c r="B451" t="inlineStr">
        <is>
          <t>FICO x CHANNEL / SYS_FLAG</t>
        </is>
      </c>
      <c r="C451" t="inlineStr">
        <is>
          <t>712 - 745</t>
        </is>
      </c>
      <c r="D451" t="inlineStr">
        <is>
          <t>Online / SYS_FLAG N</t>
        </is>
      </c>
      <c r="E451" t="inlineStr">
        <is>
          <t>gco_rate</t>
        </is>
      </c>
      <c r="F451" t="inlineStr">
        <is>
          <t>GCO per booked dollar</t>
        </is>
      </c>
      <c r="G451" t="n">
        <v>286</v>
      </c>
      <c r="H451" t="n">
        <v>9060212.500000004</v>
      </c>
      <c r="I451" t="b">
        <v>0</v>
      </c>
      <c r="J451" t="b">
        <v>0</v>
      </c>
      <c r="K451" t="n">
        <v>0.6916003062491813</v>
      </c>
      <c r="L451" t="n">
        <v>0.2820551278205513</v>
      </c>
      <c r="M451" t="n">
        <v>0.9532037942991682</v>
      </c>
      <c r="N451" t="n">
        <v>0.9171999466719996</v>
      </c>
      <c r="O451" t="n">
        <v>-117524.7123985008</v>
      </c>
      <c r="P451" t="n">
        <v>-12938.83917494037</v>
      </c>
      <c r="Q451">
        <f>'_live'!$C$22</f>
        <v/>
      </c>
      <c r="R451" t="inlineStr">
        <is>
          <t>shuffled: 2,030 of 10,000</t>
        </is>
      </c>
      <c r="S451" t="inlineStr">
        <is>
          <t>shuffled: 8,805 of 10,000</t>
        </is>
      </c>
      <c r="T451" t="n">
        <v>0.04206073669889097</v>
      </c>
      <c r="U451" t="n">
        <v>0.03051731283068032</v>
      </c>
      <c r="V451">
        <f>AND(judged_band,NOT($J451))</f>
        <v/>
      </c>
      <c r="W451">
        <f>IF($K451="","",IF($I451,"too few losses to test",IF(AND($K451&gt;better_at,$K451&lt;worse_at),"in line",IF($K451&gt;=worse_at,IF(AND(ISNUMBER($L451),$L451&lt;significance_bar),"worse","worse, not significant"),IF(AND(ISNUMBER($L451),$L451&lt;significance_bar),"better","better, not significant")))))</f>
        <v/>
      </c>
      <c r="X451">
        <f>IF($M451="","",IF($I451,"too few losses to test",IF(AND($M451&gt;better_at,$M451&lt;worse_at),"in line",IF($M451&gt;=worse_at,IF(AND(ISNUMBER($N451),$N451&lt;significance_bar),"worse","worse, not significant"),IF(AND(ISNUMBER($N451),$N451&lt;significance_bar),"better","better, not significant")))))</f>
        <v/>
      </c>
      <c r="Y451">
        <f>IF($V451,$X451,$W451)</f>
        <v/>
      </c>
      <c r="Z451">
        <f>IF($V451,IF($P451="","",$P451),IF($O451="","",$O451))</f>
        <v/>
      </c>
      <c r="AA451">
        <f>IF(OR($Q451="",$Z451=""),"",IF(AND($Z451&gt;0,$Z451&gt;=$Q451),"yes","below the line"))</f>
        <v/>
      </c>
      <c r="AB451">
        <f>IF($V451,IF($M451="","",$M451),IF($K451="","",$K451))</f>
        <v/>
      </c>
      <c r="AC451">
        <f>IF($V451,IF($N451="","",$N451),IF($L451="","",$L451))</f>
        <v/>
      </c>
      <c r="AD451">
        <f>$Y451</f>
        <v/>
      </c>
      <c r="AE451">
        <f>IF($V451,IF($S451="","",$S451),IF($R451="","",$R451))</f>
        <v/>
      </c>
      <c r="AF451">
        <f>IF($V451,IF($U451="","",$U451),IF($T451="","",$T451))</f>
        <v/>
      </c>
      <c r="AG451">
        <f>IF($V451,IF($O451="","",$O451),IF($P451="","",$P451))</f>
        <v/>
      </c>
      <c r="AH451" t="n">
        <v>0.02908921838201917</v>
      </c>
      <c r="AI451">
        <f>IF($Y451="worse","Yes",IF($Y451="worse, not significant","Not sure",IF(OR($Y451="too few losses to test",$Y451="too few loans to test"),"Too few losses",IF($Y451="","","No"))))</f>
        <v/>
      </c>
      <c r="AJ451">
        <f>IF($AA451="yes","Yes",IF($AA451="","","No"))</f>
        <v/>
      </c>
    </row>
    <row r="452">
      <c r="A452" t="inlineStr">
        <is>
          <t>three-way</t>
        </is>
      </c>
      <c r="B452" t="inlineStr">
        <is>
          <t>FICO x CHANNEL / SYS_FLAG</t>
        </is>
      </c>
      <c r="C452" t="inlineStr">
        <is>
          <t>712 - 745</t>
        </is>
      </c>
      <c r="D452" t="inlineStr">
        <is>
          <t>Online / SYS_FLAG N</t>
        </is>
      </c>
      <c r="E452" t="inlineStr">
        <is>
          <t>ranr_rate</t>
        </is>
      </c>
      <c r="F452" t="inlineStr">
        <is>
          <t>Profit after losses: RANR per booked dollar</t>
        </is>
      </c>
      <c r="G452" t="n">
        <v>286</v>
      </c>
      <c r="H452" t="n">
        <v>9060212.500000004</v>
      </c>
      <c r="I452" t="b">
        <v>0</v>
      </c>
      <c r="J452" t="b">
        <v>0</v>
      </c>
      <c r="K452" t="n">
        <v>-0.002408577929586903</v>
      </c>
      <c r="L452" t="n">
        <v>0.9039781736112104</v>
      </c>
      <c r="M452" t="n">
        <v>0.03609499668725472</v>
      </c>
      <c r="N452" t="n">
        <v>0.0116988301169883</v>
      </c>
      <c r="O452" t="n">
        <v>21822.22786486754</v>
      </c>
      <c r="P452" t="n">
        <v>-327028.3401733238</v>
      </c>
      <c r="Q452">
        <f>'_live'!$C$23</f>
        <v/>
      </c>
      <c r="R452" t="inlineStr">
        <is>
          <t>shuffled: 8,424 of 10,000</t>
        </is>
      </c>
      <c r="S452" t="inlineStr">
        <is>
          <t>shuffled: 12 of 10,000</t>
        </is>
      </c>
      <c r="T452" t="n">
        <v>0.1280746094934162</v>
      </c>
      <c r="U452" t="n">
        <v>0.08957103487657456</v>
      </c>
      <c r="V452">
        <f>AND(judged_band,NOT($J452))</f>
        <v/>
      </c>
      <c r="W452">
        <f>IF($K452="","",IF(profit_kind="test",IF(OR(NOT(AND(ISNUMBER($L452),$L452&lt;significance_bar)),$K452=0),"in line",IF($K452&lt;0,"worse","better")),IF(OR($K452=0,IF(profit_kind="points",ABS($K452),ABS($K452*$H452))&lt;profit_line*(1-1E-9)),"in line",IF(AND(ISNUMBER($L452),$L452&lt;significance_bar),IF($K452&lt;0,"worse","better"),IF($K452&lt;0,"worse, not significant","better, not significant")))))</f>
        <v/>
      </c>
      <c r="X452">
        <f>IF($M452="","",IF(profit_kind="test",IF(OR(NOT(AND(ISNUMBER($N452),$N452&lt;significance_bar)),$M452=0),"in line",IF($M452&lt;0,"worse","better")),IF(OR($M452=0,IF(profit_kind="points",ABS($M452),ABS($M452*$H452))&lt;profit_line*(1-1E-9)),"in line",IF(AND(ISNUMBER($N452),$N452&lt;significance_bar),IF($M452&lt;0,"worse","better"),IF($M452&lt;0,"worse, not significant","better, not significant")))))</f>
        <v/>
      </c>
      <c r="Y452">
        <f>IF($V452,$X452,$W452)</f>
        <v/>
      </c>
      <c r="Z452">
        <f>IF($V452,IF($P452="","",$P452),IF($O452="","",$O452))</f>
        <v/>
      </c>
      <c r="AA452">
        <f>IF(OR($Q452="",$Z452=""),"",IF(AND($Z452&gt;0,$Z452&gt;=$Q452),"yes","below the line"))</f>
        <v/>
      </c>
      <c r="AB452">
        <f>IF($V452,IF($M452="","",$M452),IF($K452="","",$K452))</f>
        <v/>
      </c>
      <c r="AC452">
        <f>IF($V452,IF($N452="","",$N452),IF($L452="","",$L452))</f>
        <v/>
      </c>
      <c r="AD452">
        <f>IF($Y452="","",IF($Y452="in line",IF(profit_kind="test",IF(ROUND($AB452*100,2)=0,"0.00",TEXT($AB452*100,"+0.00;-0.00"))&amp;" points against "&amp;IF($V452,"its band","the book")&amp;", "&amp;IF($AC452="","not tested","not significant"),IF(profit_kind="points","within "&amp;TEXT(profit_line*100,"0.00")&amp;" points of "&amp;IF($V452,"its band","the book")&amp;" ("&amp;IF(ROUND($AB452*100,2)=0,"0.00",TEXT($AB452*100,"+0.00;-0.00"))&amp;")","within $"&amp;TEXT(profit_line,"#,##0")&amp;" of "&amp;IF($V452,"its band","the book")&amp;" ("&amp;IF(ROUND($AB452*100,2)=0,"0.00",TEXT($AB452*100,"+0.00;-0.00"))&amp;" points)")),IF(LEFT($Y452,5)="worse","short of ","ahead of ")&amp;IF($V452,"its band","the book")&amp;" by "&amp;TEXT(ABS($AB452)*100,"0.00")&amp;" points"&amp;IF($Z452="",""," ($"&amp;TEXT(ABS($Z452),"#,##0")&amp;")")&amp;IF(RIGHT($Y452,15)="not significant"," (not significant)","")))</f>
        <v/>
      </c>
      <c r="AE452">
        <f>IF($V452,IF($S452="","",$S452),IF($R452="","",$R452))</f>
        <v/>
      </c>
      <c r="AF452">
        <f>IF($V452,IF($U452="","",$U452),IF($T452="","",$T452))</f>
        <v/>
      </c>
      <c r="AG452">
        <f>IF($V452,IF($O452="","",$O452),IF($P452="","",$P452))</f>
        <v/>
      </c>
      <c r="AH452" t="n">
        <v>0.1256660315638293</v>
      </c>
      <c r="AI452">
        <f>IF($Y452="worse","Yes",IF($Y452="worse, not significant","Not sure",IF(OR($Y452="too few losses to test",$Y452="too few loans to test"),"Too few losses",IF($Y452="","","No"))))</f>
        <v/>
      </c>
      <c r="AJ452">
        <f>IF($AA452="yes","Yes",IF($AA452="","","No"))</f>
        <v/>
      </c>
    </row>
    <row r="453">
      <c r="A453" t="inlineStr">
        <is>
          <t>three-way</t>
        </is>
      </c>
      <c r="B453" t="inlineStr">
        <is>
          <t>FICO x CHANNEL / SYS_FLAG</t>
        </is>
      </c>
      <c r="C453" t="inlineStr">
        <is>
          <t>712 - 745</t>
        </is>
      </c>
      <c r="D453" t="inlineStr">
        <is>
          <t>Online / SYS_FLAG N</t>
        </is>
      </c>
      <c r="E453" t="inlineStr">
        <is>
          <t>contribution_rate</t>
        </is>
      </c>
      <c r="F453" t="inlineStr">
        <is>
          <t>Contribution before losses per booked dollar</t>
        </is>
      </c>
      <c r="G453" t="n">
        <v>286</v>
      </c>
      <c r="H453" t="n">
        <v>9060212.500000004</v>
      </c>
      <c r="I453" t="b">
        <v>0</v>
      </c>
      <c r="J453" t="b">
        <v>0</v>
      </c>
      <c r="K453" t="n">
        <v>-0.01537714642758617</v>
      </c>
      <c r="L453" t="n">
        <v>0.06825179551010417</v>
      </c>
      <c r="M453" t="n">
        <v>0.03472075287475999</v>
      </c>
      <c r="N453" t="n">
        <v>0.0005999400059994001</v>
      </c>
      <c r="O453" t="n">
        <v>139320.2142775466</v>
      </c>
      <c r="P453" t="n">
        <v>-314577.3992053117</v>
      </c>
      <c r="Q453">
        <f>'_live'!$C$24</f>
        <v/>
      </c>
      <c r="R453" t="inlineStr">
        <is>
          <t>shuffled: 527 of 10,000</t>
        </is>
      </c>
      <c r="S453" t="inlineStr">
        <is>
          <t>shuffled: 0 of 10,000</t>
        </is>
      </c>
      <c r="T453" t="n">
        <v>0.1701323963734345</v>
      </c>
      <c r="U453" t="n">
        <v>0.1200344970710883</v>
      </c>
      <c r="V453">
        <f>AND(judged_band,NOT($J453))</f>
        <v/>
      </c>
      <c r="W453">
        <f>IF($K453="","",IF(profit_kind="test",IF(OR(NOT(AND(ISNUMBER($L453),$L453&lt;significance_bar)),$K453=0),"in line",IF($K453&lt;0,"worse","better")),IF(OR($K453=0,IF(profit_kind="points",ABS($K453),ABS($K453*$H453))&lt;profit_line*(1-1E-9)),"in line",IF(AND(ISNUMBER($L453),$L453&lt;significance_bar),IF($K453&lt;0,"worse","better"),IF($K453&lt;0,"worse, not significant","better, not significant")))))</f>
        <v/>
      </c>
      <c r="X453">
        <f>IF($M453="","",IF(profit_kind="test",IF(OR(NOT(AND(ISNUMBER($N453),$N453&lt;significance_bar)),$M453=0),"in line",IF($M453&lt;0,"worse","better")),IF(OR($M453=0,IF(profit_kind="points",ABS($M453),ABS($M453*$H453))&lt;profit_line*(1-1E-9)),"in line",IF(AND(ISNUMBER($N453),$N453&lt;significance_bar),IF($M453&lt;0,"worse","better"),IF($M453&lt;0,"worse, not significant","better, not significant")))))</f>
        <v/>
      </c>
      <c r="Y453">
        <f>IF($V453,$X453,$W453)</f>
        <v/>
      </c>
      <c r="Z453">
        <f>IF($V453,IF($P453="","",$P453),IF($O453="","",$O453))</f>
        <v/>
      </c>
      <c r="AA453">
        <f>IF(OR($Q453="",$Z453=""),"",IF(AND($Z453&gt;0,$Z453&gt;=$Q453),"yes","below the line"))</f>
        <v/>
      </c>
      <c r="AB453">
        <f>IF($V453,IF($M453="","",$M453),IF($K453="","",$K453))</f>
        <v/>
      </c>
      <c r="AC453">
        <f>IF($V453,IF($N453="","",$N453),IF($L453="","",$L453))</f>
        <v/>
      </c>
      <c r="AD453">
        <f>IF($Y453="","",IF($Y453="in line",IF(profit_kind="test",IF(ROUND($AB453*100,2)=0,"0.00",TEXT($AB453*100,"+0.00;-0.00"))&amp;" points against "&amp;IF($V453,"its band","the book")&amp;", "&amp;IF($AC453="","not tested","not significant"),IF(profit_kind="points","within "&amp;TEXT(profit_line*100,"0.00")&amp;" points of "&amp;IF($V453,"its band","the book")&amp;" ("&amp;IF(ROUND($AB453*100,2)=0,"0.00",TEXT($AB453*100,"+0.00;-0.00"))&amp;")","within $"&amp;TEXT(profit_line,"#,##0")&amp;" of "&amp;IF($V453,"its band","the book")&amp;" ("&amp;IF(ROUND($AB453*100,2)=0,"0.00",TEXT($AB453*100,"+0.00;-0.00"))&amp;" points)")),IF(LEFT($Y453,5)="worse","short of ","ahead of ")&amp;IF($V453,"its band","the book")&amp;" by "&amp;TEXT(ABS($AB453)*100,"0.00")&amp;" points"&amp;IF($Z453="",""," ($"&amp;TEXT(ABS($Z453),"#,##0")&amp;")")&amp;IF(RIGHT($Y453,15)="not significant"," (not significant)","")))</f>
        <v/>
      </c>
      <c r="AE453">
        <f>IF($V453,IF($S453="","",$S453),IF($R453="","",$R453))</f>
        <v/>
      </c>
      <c r="AF453">
        <f>IF($V453,IF($U453="","",$U453),IF($T453="","",$T453))</f>
        <v/>
      </c>
      <c r="AG453">
        <f>IF($V453,IF($O453="","",$O453),IF($P453="","",$P453))</f>
        <v/>
      </c>
      <c r="AH453" t="n">
        <v>0.1547552499458483</v>
      </c>
      <c r="AI453">
        <f>IF($Y453="worse","Yes",IF($Y453="worse, not significant","Not sure",IF(OR($Y453="too few losses to test",$Y453="too few loans to test"),"Too few losses",IF($Y453="","","No"))))</f>
        <v/>
      </c>
      <c r="AJ453">
        <f>IF($AA453="yes","Yes",IF($AA453="","","No"))</f>
        <v/>
      </c>
    </row>
    <row r="454">
      <c r="A454" t="inlineStr">
        <is>
          <t>three-way</t>
        </is>
      </c>
      <c r="B454" t="inlineStr">
        <is>
          <t>FICO x CHANNEL / SYS_FLAG</t>
        </is>
      </c>
      <c r="C454" t="inlineStr">
        <is>
          <t>746 - 921</t>
        </is>
      </c>
      <c r="D454" t="inlineStr">
        <is>
          <t>Broker / SYS_FLAG N</t>
        </is>
      </c>
      <c r="E454" t="inlineStr">
        <is>
          <t>outcome_loans</t>
        </is>
      </c>
      <c r="F454" t="inlineStr">
        <is>
          <t>Outcome, share of loans</t>
        </is>
      </c>
      <c r="G454" t="n">
        <v>299</v>
      </c>
      <c r="H454" t="n">
        <v>299</v>
      </c>
      <c r="I454" t="b">
        <v>1</v>
      </c>
      <c r="J454" t="b">
        <v>0</v>
      </c>
      <c r="K454" t="n">
        <v>0.3371850521925239</v>
      </c>
      <c r="M454" t="n">
        <v>0.6302489780750651</v>
      </c>
      <c r="O454" t="n">
        <v>-15.72584415584416</v>
      </c>
      <c r="P454" t="n">
        <v>-4.693396226415093</v>
      </c>
      <c r="Q454">
        <f>'_live'!$C$20</f>
        <v/>
      </c>
      <c r="T454" t="n">
        <v>0.07935064935064935</v>
      </c>
      <c r="U454" t="n">
        <v>0.04245283018867924</v>
      </c>
      <c r="V454">
        <f>AND(judged_band,NOT($J454))</f>
        <v/>
      </c>
      <c r="W454">
        <f>IF($K454="","",IF($I454,"too few losses to test",IF(AND($K454&gt;better_at,$K454&lt;worse_at),"in line",IF($K454&gt;=worse_at,IF(AND(ISNUMBER($L454),$L454&lt;significance_bar),"worse","worse, not significant"),IF(AND(ISNUMBER($L454),$L454&lt;significance_bar),"better","better, not significant")))))</f>
        <v/>
      </c>
      <c r="X454">
        <f>IF($M454="","",IF($I454,"too few losses to test",IF(AND($M454&gt;better_at,$M454&lt;worse_at),"in line",IF($M454&gt;=worse_at,IF(AND(ISNUMBER($N454),$N454&lt;significance_bar),"worse","worse, not significant"),IF(AND(ISNUMBER($N454),$N454&lt;significance_bar),"better","better, not significant")))))</f>
        <v/>
      </c>
      <c r="Y454">
        <f>IF($V454,$X454,$W454)</f>
        <v/>
      </c>
      <c r="Z454">
        <f>IF($V454,IF($P454="","",$P454),IF($O454="","",$O454))</f>
        <v/>
      </c>
      <c r="AA454">
        <f>IF(OR($Q454="",$Z454=""),"",IF(AND($Z454&gt;0,$Z454&gt;=$Q454),"yes","below the line"))</f>
        <v/>
      </c>
      <c r="AB454">
        <f>IF($V454,IF($M454="","",$M454),IF($K454="","",$K454))</f>
        <v/>
      </c>
      <c r="AC454">
        <f>IF($V454,IF($N454="","",$N454),IF($L454="","",$L454))</f>
        <v/>
      </c>
      <c r="AD454">
        <f>$Y454</f>
        <v/>
      </c>
      <c r="AE454">
        <f>IF($V454,IF($S454="","",$S454),IF($R454="","",$R454))</f>
        <v/>
      </c>
      <c r="AF454">
        <f>IF($V454,IF($U454="","",$U454),IF($T454="","",$T454))</f>
        <v/>
      </c>
      <c r="AG454">
        <f>IF($V454,IF($O454="","",$O454),IF($P454="","",$P454))</f>
        <v/>
      </c>
      <c r="AH454" t="n">
        <v>0.02675585284280936</v>
      </c>
      <c r="AI454">
        <f>IF($Y454="worse","Yes",IF($Y454="worse, not significant","Not sure",IF(OR($Y454="too few losses to test",$Y454="too few loans to test"),"Too few losses",IF($Y454="","","No"))))</f>
        <v/>
      </c>
      <c r="AJ454">
        <f>IF($AA454="yes","Yes",IF($AA454="","","No"))</f>
        <v/>
      </c>
    </row>
    <row r="455">
      <c r="A455" t="inlineStr">
        <is>
          <t>three-way</t>
        </is>
      </c>
      <c r="B455" t="inlineStr">
        <is>
          <t>FICO x CHANNEL / SYS_FLAG</t>
        </is>
      </c>
      <c r="C455" t="inlineStr">
        <is>
          <t>746 - 921</t>
        </is>
      </c>
      <c r="D455" t="inlineStr">
        <is>
          <t>Broker / SYS_FLAG N</t>
        </is>
      </c>
      <c r="E455" t="inlineStr">
        <is>
          <t>outcome_booked</t>
        </is>
      </c>
      <c r="F455" t="inlineStr">
        <is>
          <t>Outcome, share of booked dollars</t>
        </is>
      </c>
      <c r="G455" t="n">
        <v>299</v>
      </c>
      <c r="H455" t="n">
        <v>9401860.040000001</v>
      </c>
      <c r="I455" t="b">
        <v>1</v>
      </c>
      <c r="J455" t="b">
        <v>0</v>
      </c>
      <c r="K455" t="n">
        <v>0.2808633609706825</v>
      </c>
      <c r="M455" t="n">
        <v>0.5353277175926914</v>
      </c>
      <c r="O455" t="n">
        <v>-519548.3683502737</v>
      </c>
      <c r="P455" t="n">
        <v>-176131.3626667577</v>
      </c>
      <c r="Q455">
        <f>'_live'!$C$21</f>
        <v/>
      </c>
      <c r="T455" t="n">
        <v>0.0768423764315336</v>
      </c>
      <c r="U455" t="n">
        <v>0.04031588016138535</v>
      </c>
      <c r="V455">
        <f>AND(judged_band,NOT($J455))</f>
        <v/>
      </c>
      <c r="W455">
        <f>IF($K455="","",IF($I455,"too few losses to test",IF(AND($K455&gt;better_at,$K455&lt;worse_at),"in line",IF($K455&gt;=worse_at,IF(AND(ISNUMBER($L455),$L455&lt;significance_bar),"worse","worse, not significant"),IF(AND(ISNUMBER($L455),$L455&lt;significance_bar),"better","better, not significant")))))</f>
        <v/>
      </c>
      <c r="X455">
        <f>IF($M455="","",IF($I455,"too few losses to test",IF(AND($M455&gt;better_at,$M455&lt;worse_at),"in line",IF($M455&gt;=worse_at,IF(AND(ISNUMBER($N455),$N455&lt;significance_bar),"worse","worse, not significant"),IF(AND(ISNUMBER($N455),$N455&lt;significance_bar),"better","better, not significant")))))</f>
        <v/>
      </c>
      <c r="Y455">
        <f>IF($V455,$X455,$W455)</f>
        <v/>
      </c>
      <c r="Z455">
        <f>IF($V455,IF($P455="","",$P455),IF($O455="","",$O455))</f>
        <v/>
      </c>
      <c r="AA455">
        <f>IF(OR($Q455="",$Z455=""),"",IF(AND($Z455&gt;0,$Z455&gt;=$Q455),"yes","below the line"))</f>
        <v/>
      </c>
      <c r="AB455">
        <f>IF($V455,IF($M455="","",$M455),IF($K455="","",$K455))</f>
        <v/>
      </c>
      <c r="AC455">
        <f>IF($V455,IF($N455="","",$N455),IF($L455="","",$L455))</f>
        <v/>
      </c>
      <c r="AD455">
        <f>$Y455</f>
        <v/>
      </c>
      <c r="AE455">
        <f>IF($V455,IF($S455="","",$S455),IF($R455="","",$R455))</f>
        <v/>
      </c>
      <c r="AF455">
        <f>IF($V455,IF($U455="","",$U455),IF($T455="","",$T455))</f>
        <v/>
      </c>
      <c r="AG455">
        <f>IF($V455,IF($O455="","",$O455),IF($P455="","",$P455))</f>
        <v/>
      </c>
      <c r="AH455" t="n">
        <v>0.02158220810953489</v>
      </c>
      <c r="AI455">
        <f>IF($Y455="worse","Yes",IF($Y455="worse, not significant","Not sure",IF(OR($Y455="too few losses to test",$Y455="too few loans to test"),"Too few losses",IF($Y455="","","No"))))</f>
        <v/>
      </c>
      <c r="AJ455">
        <f>IF($AA455="yes","Yes",IF($AA455="","","No"))</f>
        <v/>
      </c>
    </row>
    <row r="456">
      <c r="A456" t="inlineStr">
        <is>
          <t>three-way</t>
        </is>
      </c>
      <c r="B456" t="inlineStr">
        <is>
          <t>FICO x CHANNEL / SYS_FLAG</t>
        </is>
      </c>
      <c r="C456" t="inlineStr">
        <is>
          <t>746 - 921</t>
        </is>
      </c>
      <c r="D456" t="inlineStr">
        <is>
          <t>Broker / SYS_FLAG N</t>
        </is>
      </c>
      <c r="E456" t="inlineStr">
        <is>
          <t>gco_rate</t>
        </is>
      </c>
      <c r="F456" t="inlineStr">
        <is>
          <t>GCO per booked dollar</t>
        </is>
      </c>
      <c r="G456" t="n">
        <v>299</v>
      </c>
      <c r="H456" t="n">
        <v>9401860.040000001</v>
      </c>
      <c r="I456" t="b">
        <v>1</v>
      </c>
      <c r="J456" t="b">
        <v>0</v>
      </c>
      <c r="K456" t="n">
        <v>0.2528212444128546</v>
      </c>
      <c r="M456" t="n">
        <v>0.5059125867043586</v>
      </c>
      <c r="O456" t="n">
        <v>-300451.4167777024</v>
      </c>
      <c r="P456" t="n">
        <v>-99286.82243894297</v>
      </c>
      <c r="Q456">
        <f>'_live'!$C$22</f>
        <v/>
      </c>
      <c r="T456" t="n">
        <v>0.04276967590103611</v>
      </c>
      <c r="U456" t="n">
        <v>0.02137342095968309</v>
      </c>
      <c r="V456">
        <f>AND(judged_band,NOT($J456))</f>
        <v/>
      </c>
      <c r="W456">
        <f>IF($K456="","",IF($I456,"too few losses to test",IF(AND($K456&gt;better_at,$K456&lt;worse_at),"in line",IF($K456&gt;=worse_at,IF(AND(ISNUMBER($L456),$L456&lt;significance_bar),"worse","worse, not significant"),IF(AND(ISNUMBER($L456),$L456&lt;significance_bar),"better","better, not significant")))))</f>
        <v/>
      </c>
      <c r="X456">
        <f>IF($M456="","",IF($I456,"too few losses to test",IF(AND($M456&gt;better_at,$M456&lt;worse_at),"in line",IF($M456&gt;=worse_at,IF(AND(ISNUMBER($N456),$N456&lt;significance_bar),"worse","worse, not significant"),IF(AND(ISNUMBER($N456),$N456&lt;significance_bar),"better","better, not significant")))))</f>
        <v/>
      </c>
      <c r="Y456">
        <f>IF($V456,$X456,$W456)</f>
        <v/>
      </c>
      <c r="Z456">
        <f>IF($V456,IF($P456="","",$P456),IF($O456="","",$O456))</f>
        <v/>
      </c>
      <c r="AA456">
        <f>IF(OR($Q456="",$Z456=""),"",IF(AND($Z456&gt;0,$Z456&gt;=$Q456),"yes","below the line"))</f>
        <v/>
      </c>
      <c r="AB456">
        <f>IF($V456,IF($M456="","",$M456),IF($K456="","",$K456))</f>
        <v/>
      </c>
      <c r="AC456">
        <f>IF($V456,IF($N456="","",$N456),IF($L456="","",$L456))</f>
        <v/>
      </c>
      <c r="AD456">
        <f>$Y456</f>
        <v/>
      </c>
      <c r="AE456">
        <f>IF($V456,IF($S456="","",$S456),IF($R456="","",$R456))</f>
        <v/>
      </c>
      <c r="AF456">
        <f>IF($V456,IF($U456="","",$U456),IF($T456="","",$T456))</f>
        <v/>
      </c>
      <c r="AG456">
        <f>IF($V456,IF($O456="","",$O456),IF($P456="","",$P456))</f>
        <v/>
      </c>
      <c r="AH456" t="n">
        <v>0.01081308268443443</v>
      </c>
      <c r="AI456">
        <f>IF($Y456="worse","Yes",IF($Y456="worse, not significant","Not sure",IF(OR($Y456="too few losses to test",$Y456="too few loans to test"),"Too few losses",IF($Y456="","","No"))))</f>
        <v/>
      </c>
      <c r="AJ456">
        <f>IF($AA456="yes","Yes",IF($AA456="","","No"))</f>
        <v/>
      </c>
    </row>
    <row r="457">
      <c r="A457" t="inlineStr">
        <is>
          <t>three-way</t>
        </is>
      </c>
      <c r="B457" t="inlineStr">
        <is>
          <t>FICO x CHANNEL / SYS_FLAG</t>
        </is>
      </c>
      <c r="C457" t="inlineStr">
        <is>
          <t>746 - 921</t>
        </is>
      </c>
      <c r="D457" t="inlineStr">
        <is>
          <t>Broker / SYS_FLAG N</t>
        </is>
      </c>
      <c r="E457" t="inlineStr">
        <is>
          <t>ranr_rate</t>
        </is>
      </c>
      <c r="F457" t="inlineStr">
        <is>
          <t>Profit after losses: RANR per booked dollar</t>
        </is>
      </c>
      <c r="G457" t="n">
        <v>299</v>
      </c>
      <c r="H457" t="n">
        <v>9401860.040000001</v>
      </c>
      <c r="I457" t="b">
        <v>0</v>
      </c>
      <c r="J457" t="b">
        <v>0</v>
      </c>
      <c r="K457" t="n">
        <v>-0.07368135768812706</v>
      </c>
      <c r="L457" t="n">
        <v>0.0002845869259227924</v>
      </c>
      <c r="M457" t="n">
        <v>0.01259290284453218</v>
      </c>
      <c r="N457" t="n">
        <v>0.2433910455108335</v>
      </c>
      <c r="O457" t="n">
        <v>692741.8125409486</v>
      </c>
      <c r="P457" t="n">
        <v>-118396.7100416094</v>
      </c>
      <c r="Q457">
        <f>'_live'!$C$23</f>
        <v/>
      </c>
      <c r="R457" t="inlineStr">
        <is>
          <t>shuffled: 0 of 10,000</t>
        </is>
      </c>
      <c r="S457" t="inlineStr">
        <is>
          <t>shuffled: 878 of 10,000</t>
        </is>
      </c>
      <c r="T457" t="n">
        <v>0.1306743832937284</v>
      </c>
      <c r="U457" t="n">
        <v>0.04440012276106915</v>
      </c>
      <c r="V457">
        <f>AND(judged_band,NOT($J457))</f>
        <v/>
      </c>
      <c r="W457">
        <f>IF($K457="","",IF(profit_kind="test",IF(OR(NOT(AND(ISNUMBER($L457),$L457&lt;significance_bar)),$K457=0),"in line",IF($K457&lt;0,"worse","better")),IF(OR($K457=0,IF(profit_kind="points",ABS($K457),ABS($K457*$H457))&lt;profit_line*(1-1E-9)),"in line",IF(AND(ISNUMBER($L457),$L457&lt;significance_bar),IF($K457&lt;0,"worse","better"),IF($K457&lt;0,"worse, not significant","better, not significant")))))</f>
        <v/>
      </c>
      <c r="X457">
        <f>IF($M457="","",IF(profit_kind="test",IF(OR(NOT(AND(ISNUMBER($N457),$N457&lt;significance_bar)),$M457=0),"in line",IF($M457&lt;0,"worse","better")),IF(OR($M457=0,IF(profit_kind="points",ABS($M457),ABS($M457*$H457))&lt;profit_line*(1-1E-9)),"in line",IF(AND(ISNUMBER($N457),$N457&lt;significance_bar),IF($M457&lt;0,"worse","better"),IF($M457&lt;0,"worse, not significant","better, not significant")))))</f>
        <v/>
      </c>
      <c r="Y457">
        <f>IF($V457,$X457,$W457)</f>
        <v/>
      </c>
      <c r="Z457">
        <f>IF($V457,IF($P457="","",$P457),IF($O457="","",$O457))</f>
        <v/>
      </c>
      <c r="AA457">
        <f>IF(OR($Q457="",$Z457=""),"",IF(AND($Z457&gt;0,$Z457&gt;=$Q457),"yes","below the line"))</f>
        <v/>
      </c>
      <c r="AB457">
        <f>IF($V457,IF($M457="","",$M457),IF($K457="","",$K457))</f>
        <v/>
      </c>
      <c r="AC457">
        <f>IF($V457,IF($N457="","",$N457),IF($L457="","",$L457))</f>
        <v/>
      </c>
      <c r="AD457">
        <f>IF($Y457="","",IF($Y457="in line",IF(profit_kind="test",IF(ROUND($AB457*100,2)=0,"0.00",TEXT($AB457*100,"+0.00;-0.00"))&amp;" points against "&amp;IF($V457,"its band","the book")&amp;", "&amp;IF($AC457="","not tested","not significant"),IF(profit_kind="points","within "&amp;TEXT(profit_line*100,"0.00")&amp;" points of "&amp;IF($V457,"its band","the book")&amp;" ("&amp;IF(ROUND($AB457*100,2)=0,"0.00",TEXT($AB457*100,"+0.00;-0.00"))&amp;")","within $"&amp;TEXT(profit_line,"#,##0")&amp;" of "&amp;IF($V457,"its band","the book")&amp;" ("&amp;IF(ROUND($AB457*100,2)=0,"0.00",TEXT($AB457*100,"+0.00;-0.00"))&amp;" points)")),IF(LEFT($Y457,5)="worse","short of ","ahead of ")&amp;IF($V457,"its band","the book")&amp;" by "&amp;TEXT(ABS($AB457)*100,"0.00")&amp;" points"&amp;IF($Z457="",""," ($"&amp;TEXT(ABS($Z457),"#,##0")&amp;")")&amp;IF(RIGHT($Y457,15)="not significant"," (not significant)","")))</f>
        <v/>
      </c>
      <c r="AE457">
        <f>IF($V457,IF($S457="","",$S457),IF($R457="","",$R457))</f>
        <v/>
      </c>
      <c r="AF457">
        <f>IF($V457,IF($U457="","",$U457),IF($T457="","",$T457))</f>
        <v/>
      </c>
      <c r="AG457">
        <f>IF($V457,IF($O457="","",$O457),IF($P457="","",$P457))</f>
        <v/>
      </c>
      <c r="AH457" t="n">
        <v>0.05699302560560132</v>
      </c>
      <c r="AI457">
        <f>IF($Y457="worse","Yes",IF($Y457="worse, not significant","Not sure",IF(OR($Y457="too few losses to test",$Y457="too few loans to test"),"Too few losses",IF($Y457="","","No"))))</f>
        <v/>
      </c>
      <c r="AJ457">
        <f>IF($AA457="yes","Yes",IF($AA457="","","No"))</f>
        <v/>
      </c>
    </row>
    <row r="458">
      <c r="A458" t="inlineStr">
        <is>
          <t>three-way</t>
        </is>
      </c>
      <c r="B458" t="inlineStr">
        <is>
          <t>FICO x CHANNEL / SYS_FLAG</t>
        </is>
      </c>
      <c r="C458" t="inlineStr">
        <is>
          <t>746 - 921</t>
        </is>
      </c>
      <c r="D458" t="inlineStr">
        <is>
          <t>Broker / SYS_FLAG N</t>
        </is>
      </c>
      <c r="E458" t="inlineStr">
        <is>
          <t>contribution_rate</t>
        </is>
      </c>
      <c r="F458" t="inlineStr">
        <is>
          <t>Contribution before losses per booked dollar</t>
        </is>
      </c>
      <c r="G458" t="n">
        <v>299</v>
      </c>
      <c r="H458" t="n">
        <v>9401860.040000001</v>
      </c>
      <c r="I458" t="b">
        <v>0</v>
      </c>
      <c r="J458" t="b">
        <v>0</v>
      </c>
      <c r="K458" t="n">
        <v>-0.1056354119936959</v>
      </c>
      <c r="L458" t="n">
        <v>0.000184981501849815</v>
      </c>
      <c r="M458" t="n">
        <v>0.002032564569283538</v>
      </c>
      <c r="N458" t="n">
        <v>0.5160983901609839</v>
      </c>
      <c r="O458" t="n">
        <v>993169.3588324661</v>
      </c>
      <c r="P458" t="n">
        <v>-19109.88760266674</v>
      </c>
      <c r="Q458">
        <f>'_live'!$C$24</f>
        <v/>
      </c>
      <c r="R458" t="inlineStr">
        <is>
          <t>shuffled: 0 of 10,000</t>
        </is>
      </c>
      <c r="S458" t="inlineStr">
        <is>
          <t>shuffled: 3,440 of 10,000</t>
        </is>
      </c>
      <c r="T458" t="n">
        <v>0.1734415202837316</v>
      </c>
      <c r="U458" t="n">
        <v>0.06577354372075224</v>
      </c>
      <c r="V458">
        <f>AND(judged_band,NOT($J458))</f>
        <v/>
      </c>
      <c r="W458">
        <f>IF($K458="","",IF(profit_kind="test",IF(OR(NOT(AND(ISNUMBER($L458),$L458&lt;significance_bar)),$K458=0),"in line",IF($K458&lt;0,"worse","better")),IF(OR($K458=0,IF(profit_kind="points",ABS($K458),ABS($K458*$H458))&lt;profit_line*(1-1E-9)),"in line",IF(AND(ISNUMBER($L458),$L458&lt;significance_bar),IF($K458&lt;0,"worse","better"),IF($K458&lt;0,"worse, not significant","better, not significant")))))</f>
        <v/>
      </c>
      <c r="X458">
        <f>IF($M458="","",IF(profit_kind="test",IF(OR(NOT(AND(ISNUMBER($N458),$N458&lt;significance_bar)),$M458=0),"in line",IF($M458&lt;0,"worse","better")),IF(OR($M458=0,IF(profit_kind="points",ABS($M458),ABS($M458*$H458))&lt;profit_line*(1-1E-9)),"in line",IF(AND(ISNUMBER($N458),$N458&lt;significance_bar),IF($M458&lt;0,"worse","better"),IF($M458&lt;0,"worse, not significant","better, not significant")))))</f>
        <v/>
      </c>
      <c r="Y458">
        <f>IF($V458,$X458,$W458)</f>
        <v/>
      </c>
      <c r="Z458">
        <f>IF($V458,IF($P458="","",$P458),IF($O458="","",$O458))</f>
        <v/>
      </c>
      <c r="AA458">
        <f>IF(OR($Q458="",$Z458=""),"",IF(AND($Z458&gt;0,$Z458&gt;=$Q458),"yes","below the line"))</f>
        <v/>
      </c>
      <c r="AB458">
        <f>IF($V458,IF($M458="","",$M458),IF($K458="","",$K458))</f>
        <v/>
      </c>
      <c r="AC458">
        <f>IF($V458,IF($N458="","",$N458),IF($L458="","",$L458))</f>
        <v/>
      </c>
      <c r="AD458">
        <f>IF($Y458="","",IF($Y458="in line",IF(profit_kind="test",IF(ROUND($AB458*100,2)=0,"0.00",TEXT($AB458*100,"+0.00;-0.00"))&amp;" points against "&amp;IF($V458,"its band","the book")&amp;", "&amp;IF($AC458="","not tested","not significant"),IF(profit_kind="points","within "&amp;TEXT(profit_line*100,"0.00")&amp;" points of "&amp;IF($V458,"its band","the book")&amp;" ("&amp;IF(ROUND($AB458*100,2)=0,"0.00",TEXT($AB458*100,"+0.00;-0.00"))&amp;")","within $"&amp;TEXT(profit_line,"#,##0")&amp;" of "&amp;IF($V458,"its band","the book")&amp;" ("&amp;IF(ROUND($AB458*100,2)=0,"0.00",TEXT($AB458*100,"+0.00;-0.00"))&amp;" points)")),IF(LEFT($Y458,5)="worse","short of ","ahead of ")&amp;IF($V458,"its band","the book")&amp;" by "&amp;TEXT(ABS($AB458)*100,"0.00")&amp;" points"&amp;IF($Z458="",""," ($"&amp;TEXT(ABS($Z458),"#,##0")&amp;")")&amp;IF(RIGHT($Y458,15)="not significant"," (not significant)","")))</f>
        <v/>
      </c>
      <c r="AE458">
        <f>IF($V458,IF($S458="","",$S458),IF($R458="","",$R458))</f>
        <v/>
      </c>
      <c r="AF458">
        <f>IF($V458,IF($U458="","",$U458),IF($T458="","",$T458))</f>
        <v/>
      </c>
      <c r="AG458">
        <f>IF($V458,IF($O458="","",$O458),IF($P458="","",$P458))</f>
        <v/>
      </c>
      <c r="AH458" t="n">
        <v>0.06780610829003578</v>
      </c>
      <c r="AI458">
        <f>IF($Y458="worse","Yes",IF($Y458="worse, not significant","Not sure",IF(OR($Y458="too few losses to test",$Y458="too few loans to test"),"Too few losses",IF($Y458="","","No"))))</f>
        <v/>
      </c>
      <c r="AJ458">
        <f>IF($AA458="yes","Yes",IF($AA458="","","No"))</f>
        <v/>
      </c>
    </row>
    <row r="459">
      <c r="A459" t="inlineStr">
        <is>
          <t>three-way</t>
        </is>
      </c>
      <c r="B459" t="inlineStr">
        <is>
          <t>FICO x CHANNEL / SYS_FLAG</t>
        </is>
      </c>
      <c r="C459" t="inlineStr">
        <is>
          <t>746 - 921</t>
        </is>
      </c>
      <c r="D459" t="inlineStr">
        <is>
          <t>Online / SYS_FLAG N</t>
        </is>
      </c>
      <c r="E459" t="inlineStr">
        <is>
          <t>outcome_loans</t>
        </is>
      </c>
      <c r="F459" t="inlineStr">
        <is>
          <t>Outcome, share of loans</t>
        </is>
      </c>
      <c r="G459" t="n">
        <v>292</v>
      </c>
      <c r="H459" t="n">
        <v>292</v>
      </c>
      <c r="I459" t="b">
        <v>1</v>
      </c>
      <c r="J459" t="b">
        <v>0</v>
      </c>
      <c r="K459" t="n">
        <v>0.3455821357307804</v>
      </c>
      <c r="M459" t="n">
        <v>0.6489091831557585</v>
      </c>
      <c r="O459" t="n">
        <v>-15.14934475152459</v>
      </c>
      <c r="P459" t="n">
        <v>-4.32838154808444</v>
      </c>
      <c r="Q459">
        <f>'_live'!$C$20</f>
        <v/>
      </c>
      <c r="T459" t="n">
        <v>0.07927857791618009</v>
      </c>
      <c r="U459" t="n">
        <v>0.04222048475371384</v>
      </c>
      <c r="V459">
        <f>AND(judged_band,NOT($J459))</f>
        <v/>
      </c>
      <c r="W459">
        <f>IF($K459="","",IF($I459,"too few losses to test",IF(AND($K459&gt;better_at,$K459&lt;worse_at),"in line",IF($K459&gt;=worse_at,IF(AND(ISNUMBER($L459),$L459&lt;significance_bar),"worse","worse, not significant"),IF(AND(ISNUMBER($L459),$L459&lt;significance_bar),"better","better, not significant")))))</f>
        <v/>
      </c>
      <c r="X459">
        <f>IF($M459="","",IF($I459,"too few losses to test",IF(AND($M459&gt;better_at,$M459&lt;worse_at),"in line",IF($M459&gt;=worse_at,IF(AND(ISNUMBER($N459),$N459&lt;significance_bar),"worse","worse, not significant"),IF(AND(ISNUMBER($N459),$N459&lt;significance_bar),"better","better, not significant")))))</f>
        <v/>
      </c>
      <c r="Y459">
        <f>IF($V459,$X459,$W459)</f>
        <v/>
      </c>
      <c r="Z459">
        <f>IF($V459,IF($P459="","",$P459),IF($O459="","",$O459))</f>
        <v/>
      </c>
      <c r="AA459">
        <f>IF(OR($Q459="",$Z459=""),"",IF(AND($Z459&gt;0,$Z459&gt;=$Q459),"yes","below the line"))</f>
        <v/>
      </c>
      <c r="AB459">
        <f>IF($V459,IF($M459="","",$M459),IF($K459="","",$K459))</f>
        <v/>
      </c>
      <c r="AC459">
        <f>IF($V459,IF($N459="","",$N459),IF($L459="","",$L459))</f>
        <v/>
      </c>
      <c r="AD459">
        <f>$Y459</f>
        <v/>
      </c>
      <c r="AE459">
        <f>IF($V459,IF($S459="","",$S459),IF($R459="","",$R459))</f>
        <v/>
      </c>
      <c r="AF459">
        <f>IF($V459,IF($U459="","",$U459),IF($T459="","",$T459))</f>
        <v/>
      </c>
      <c r="AG459">
        <f>IF($V459,IF($O459="","",$O459),IF($P459="","",$P459))</f>
        <v/>
      </c>
      <c r="AH459" t="n">
        <v>0.0273972602739726</v>
      </c>
      <c r="AI459">
        <f>IF($Y459="worse","Yes",IF($Y459="worse, not significant","Not sure",IF(OR($Y459="too few losses to test",$Y459="too few loans to test"),"Too few losses",IF($Y459="","","No"))))</f>
        <v/>
      </c>
      <c r="AJ459">
        <f>IF($AA459="yes","Yes",IF($AA459="","","No"))</f>
        <v/>
      </c>
    </row>
    <row r="460">
      <c r="A460" t="inlineStr">
        <is>
          <t>three-way</t>
        </is>
      </c>
      <c r="B460" t="inlineStr">
        <is>
          <t>FICO x CHANNEL / SYS_FLAG</t>
        </is>
      </c>
      <c r="C460" t="inlineStr">
        <is>
          <t>746 - 921</t>
        </is>
      </c>
      <c r="D460" t="inlineStr">
        <is>
          <t>Online / SYS_FLAG N</t>
        </is>
      </c>
      <c r="E460" t="inlineStr">
        <is>
          <t>outcome_booked</t>
        </is>
      </c>
      <c r="F460" t="inlineStr">
        <is>
          <t>Outcome, share of booked dollars</t>
        </is>
      </c>
      <c r="G460" t="n">
        <v>292</v>
      </c>
      <c r="H460" t="n">
        <v>9486832.630000001</v>
      </c>
      <c r="I460" t="b">
        <v>1</v>
      </c>
      <c r="J460" t="b">
        <v>0</v>
      </c>
      <c r="K460" t="n">
        <v>0.3379552792773972</v>
      </c>
      <c r="M460" t="n">
        <v>0.6586636588648334</v>
      </c>
      <c r="O460" t="n">
        <v>-481703.3054689192</v>
      </c>
      <c r="P460" t="n">
        <v>-127429.612160295</v>
      </c>
      <c r="Q460">
        <f>'_live'!$C$21</f>
        <v/>
      </c>
      <c r="T460" t="n">
        <v>0.07669570802462013</v>
      </c>
      <c r="U460" t="n">
        <v>0.03935198044706044</v>
      </c>
      <c r="V460">
        <f>AND(judged_band,NOT($J460))</f>
        <v/>
      </c>
      <c r="W460">
        <f>IF($K460="","",IF($I460,"too few losses to test",IF(AND($K460&gt;better_at,$K460&lt;worse_at),"in line",IF($K460&gt;=worse_at,IF(AND(ISNUMBER($L460),$L460&lt;significance_bar),"worse","worse, not significant"),IF(AND(ISNUMBER($L460),$L460&lt;significance_bar),"better","better, not significant")))))</f>
        <v/>
      </c>
      <c r="X460">
        <f>IF($M460="","",IF($I460,"too few losses to test",IF(AND($M460&gt;better_at,$M460&lt;worse_at),"in line",IF($M460&gt;=worse_at,IF(AND(ISNUMBER($N460),$N460&lt;significance_bar),"worse","worse, not significant"),IF(AND(ISNUMBER($N460),$N460&lt;significance_bar),"better","better, not significant")))))</f>
        <v/>
      </c>
      <c r="Y460">
        <f>IF($V460,$X460,$W460)</f>
        <v/>
      </c>
      <c r="Z460">
        <f>IF($V460,IF($P460="","",$P460),IF($O460="","",$O460))</f>
        <v/>
      </c>
      <c r="AA460">
        <f>IF(OR($Q460="",$Z460=""),"",IF(AND($Z460&gt;0,$Z460&gt;=$Q460),"yes","below the line"))</f>
        <v/>
      </c>
      <c r="AB460">
        <f>IF($V460,IF($M460="","",$M460),IF($K460="","",$K460))</f>
        <v/>
      </c>
      <c r="AC460">
        <f>IF($V460,IF($N460="","",$N460),IF($L460="","",$L460))</f>
        <v/>
      </c>
      <c r="AD460">
        <f>$Y460</f>
        <v/>
      </c>
      <c r="AE460">
        <f>IF($V460,IF($S460="","",$S460),IF($R460="","",$R460))</f>
        <v/>
      </c>
      <c r="AF460">
        <f>IF($V460,IF($U460="","",$U460),IF($T460="","",$T460))</f>
        <v/>
      </c>
      <c r="AG460">
        <f>IF($V460,IF($O460="","",$O460),IF($P460="","",$P460))</f>
        <v/>
      </c>
      <c r="AH460" t="n">
        <v>0.02591971942483821</v>
      </c>
      <c r="AI460">
        <f>IF($Y460="worse","Yes",IF($Y460="worse, not significant","Not sure",IF(OR($Y460="too few losses to test",$Y460="too few loans to test"),"Too few losses",IF($Y460="","","No"))))</f>
        <v/>
      </c>
      <c r="AJ460">
        <f>IF($AA460="yes","Yes",IF($AA460="","","No"))</f>
        <v/>
      </c>
    </row>
    <row r="461">
      <c r="A461" t="inlineStr">
        <is>
          <t>three-way</t>
        </is>
      </c>
      <c r="B461" t="inlineStr">
        <is>
          <t>FICO x CHANNEL / SYS_FLAG</t>
        </is>
      </c>
      <c r="C461" t="inlineStr">
        <is>
          <t>746 - 921</t>
        </is>
      </c>
      <c r="D461" t="inlineStr">
        <is>
          <t>Online / SYS_FLAG N</t>
        </is>
      </c>
      <c r="E461" t="inlineStr">
        <is>
          <t>gco_rate</t>
        </is>
      </c>
      <c r="F461" t="inlineStr">
        <is>
          <t>GCO per booked dollar</t>
        </is>
      </c>
      <c r="G461" t="n">
        <v>292</v>
      </c>
      <c r="H461" t="n">
        <v>9486832.630000001</v>
      </c>
      <c r="I461" t="b">
        <v>1</v>
      </c>
      <c r="J461" t="b">
        <v>0</v>
      </c>
      <c r="K461" t="n">
        <v>0.2978274281660721</v>
      </c>
      <c r="M461" t="n">
        <v>0.6070066133784161</v>
      </c>
      <c r="O461" t="n">
        <v>-284493.6754940568</v>
      </c>
      <c r="P461" t="n">
        <v>-78124.14286636922</v>
      </c>
      <c r="Q461">
        <f>'_live'!$C$22</f>
        <v/>
      </c>
      <c r="T461" t="n">
        <v>0.04270783108503694</v>
      </c>
      <c r="U461" t="n">
        <v>0.02095457152239959</v>
      </c>
      <c r="V461">
        <f>AND(judged_band,NOT($J461))</f>
        <v/>
      </c>
      <c r="W461">
        <f>IF($K461="","",IF($I461,"too few losses to test",IF(AND($K461&gt;better_at,$K461&lt;worse_at),"in line",IF($K461&gt;=worse_at,IF(AND(ISNUMBER($L461),$L461&lt;significance_bar),"worse","worse, not significant"),IF(AND(ISNUMBER($L461),$L461&lt;significance_bar),"better","better, not significant")))))</f>
        <v/>
      </c>
      <c r="X461">
        <f>IF($M461="","",IF($I461,"too few losses to test",IF(AND($M461&gt;better_at,$M461&lt;worse_at),"in line",IF($M461&gt;=worse_at,IF(AND(ISNUMBER($N461),$N461&lt;significance_bar),"worse","worse, not significant"),IF(AND(ISNUMBER($N461),$N461&lt;significance_bar),"better","better, not significant")))))</f>
        <v/>
      </c>
      <c r="Y461">
        <f>IF($V461,$X461,$W461)</f>
        <v/>
      </c>
      <c r="Z461">
        <f>IF($V461,IF($P461="","",$P461),IF($O461="","",$O461))</f>
        <v/>
      </c>
      <c r="AA461">
        <f>IF(OR($Q461="",$Z461=""),"",IF(AND($Z461&gt;0,$Z461&gt;=$Q461),"yes","below the line"))</f>
        <v/>
      </c>
      <c r="AB461">
        <f>IF($V461,IF($M461="","",$M461),IF($K461="","",$K461))</f>
        <v/>
      </c>
      <c r="AC461">
        <f>IF($V461,IF($N461="","",$N461),IF($L461="","",$L461))</f>
        <v/>
      </c>
      <c r="AD461">
        <f>$Y461</f>
        <v/>
      </c>
      <c r="AE461">
        <f>IF($V461,IF($S461="","",$S461),IF($R461="","",$R461))</f>
        <v/>
      </c>
      <c r="AF461">
        <f>IF($V461,IF($U461="","",$U461),IF($T461="","",$T461))</f>
        <v/>
      </c>
      <c r="AG461">
        <f>IF($V461,IF($O461="","",$O461),IF($P461="","",$P461))</f>
        <v/>
      </c>
      <c r="AH461" t="n">
        <v>0.01271956349460758</v>
      </c>
      <c r="AI461">
        <f>IF($Y461="worse","Yes",IF($Y461="worse, not significant","Not sure",IF(OR($Y461="too few losses to test",$Y461="too few loans to test"),"Too few losses",IF($Y461="","","No"))))</f>
        <v/>
      </c>
      <c r="AJ461">
        <f>IF($AA461="yes","Yes",IF($AA461="","","No"))</f>
        <v/>
      </c>
    </row>
    <row r="462">
      <c r="A462" t="inlineStr">
        <is>
          <t>three-way</t>
        </is>
      </c>
      <c r="B462" t="inlineStr">
        <is>
          <t>FICO x CHANNEL / SYS_FLAG</t>
        </is>
      </c>
      <c r="C462" t="inlineStr">
        <is>
          <t>746 - 921</t>
        </is>
      </c>
      <c r="D462" t="inlineStr">
        <is>
          <t>Online / SYS_FLAG N</t>
        </is>
      </c>
      <c r="E462" t="inlineStr">
        <is>
          <t>ranr_rate</t>
        </is>
      </c>
      <c r="F462" t="inlineStr">
        <is>
          <t>Profit after losses: RANR per booked dollar</t>
        </is>
      </c>
      <c r="G462" t="n">
        <v>292</v>
      </c>
      <c r="H462" t="n">
        <v>9486832.630000001</v>
      </c>
      <c r="I462" t="b">
        <v>0</v>
      </c>
      <c r="J462" t="b">
        <v>0</v>
      </c>
      <c r="K462" t="n">
        <v>-0.07844324457575984</v>
      </c>
      <c r="L462" t="n">
        <v>0.0002845869259227924</v>
      </c>
      <c r="M462" t="n">
        <v>0.007001686245238503</v>
      </c>
      <c r="N462" t="n">
        <v>0.6081677546531061</v>
      </c>
      <c r="O462" t="n">
        <v>744177.9322443891</v>
      </c>
      <c r="P462" t="n">
        <v>-66423.82553635078</v>
      </c>
      <c r="Q462">
        <f>'_live'!$C$23</f>
        <v/>
      </c>
      <c r="R462" t="inlineStr">
        <is>
          <t>shuffled: 0 of 10,000</t>
        </is>
      </c>
      <c r="S462" t="inlineStr">
        <is>
          <t>shuffled: 3,447 of 10,000</t>
        </is>
      </c>
      <c r="T462" t="n">
        <v>0.1308736952223842</v>
      </c>
      <c r="U462" t="n">
        <v>0.04542876440138581</v>
      </c>
      <c r="V462">
        <f>AND(judged_band,NOT($J462))</f>
        <v/>
      </c>
      <c r="W462">
        <f>IF($K462="","",IF(profit_kind="test",IF(OR(NOT(AND(ISNUMBER($L462),$L462&lt;significance_bar)),$K462=0),"in line",IF($K462&lt;0,"worse","better")),IF(OR($K462=0,IF(profit_kind="points",ABS($K462),ABS($K462*$H462))&lt;profit_line*(1-1E-9)),"in line",IF(AND(ISNUMBER($L462),$L462&lt;significance_bar),IF($K462&lt;0,"worse","better"),IF($K462&lt;0,"worse, not significant","better, not significant")))))</f>
        <v/>
      </c>
      <c r="X462">
        <f>IF($M462="","",IF(profit_kind="test",IF(OR(NOT(AND(ISNUMBER($N462),$N462&lt;significance_bar)),$M462=0),"in line",IF($M462&lt;0,"worse","better")),IF(OR($M462=0,IF(profit_kind="points",ABS($M462),ABS($M462*$H462))&lt;profit_line*(1-1E-9)),"in line",IF(AND(ISNUMBER($N462),$N462&lt;significance_bar),IF($M462&lt;0,"worse","better"),IF($M462&lt;0,"worse, not significant","better, not significant")))))</f>
        <v/>
      </c>
      <c r="Y462">
        <f>IF($V462,$X462,$W462)</f>
        <v/>
      </c>
      <c r="Z462">
        <f>IF($V462,IF($P462="","",$P462),IF($O462="","",$O462))</f>
        <v/>
      </c>
      <c r="AA462">
        <f>IF(OR($Q462="",$Z462=""),"",IF(AND($Z462&gt;0,$Z462&gt;=$Q462),"yes","below the line"))</f>
        <v/>
      </c>
      <c r="AB462">
        <f>IF($V462,IF($M462="","",$M462),IF($K462="","",$K462))</f>
        <v/>
      </c>
      <c r="AC462">
        <f>IF($V462,IF($N462="","",$N462),IF($L462="","",$L462))</f>
        <v/>
      </c>
      <c r="AD462">
        <f>IF($Y462="","",IF($Y462="in line",IF(profit_kind="test",IF(ROUND($AB462*100,2)=0,"0.00",TEXT($AB462*100,"+0.00;-0.00"))&amp;" points against "&amp;IF($V462,"its band","the book")&amp;", "&amp;IF($AC462="","not tested","not significant"),IF(profit_kind="points","within "&amp;TEXT(profit_line*100,"0.00")&amp;" points of "&amp;IF($V462,"its band","the book")&amp;" ("&amp;IF(ROUND($AB462*100,2)=0,"0.00",TEXT($AB462*100,"+0.00;-0.00"))&amp;")","within $"&amp;TEXT(profit_line,"#,##0")&amp;" of "&amp;IF($V462,"its band","the book")&amp;" ("&amp;IF(ROUND($AB462*100,2)=0,"0.00",TEXT($AB462*100,"+0.00;-0.00"))&amp;" points)")),IF(LEFT($Y462,5)="worse","short of ","ahead of ")&amp;IF($V462,"its band","the book")&amp;" by "&amp;TEXT(ABS($AB462)*100,"0.00")&amp;" points"&amp;IF($Z462="",""," ($"&amp;TEXT(ABS($Z462),"#,##0")&amp;")")&amp;IF(RIGHT($Y462,15)="not significant"," (not significant)","")))</f>
        <v/>
      </c>
      <c r="AE462">
        <f>IF($V462,IF($S462="","",$S462),IF($R462="","",$R462))</f>
        <v/>
      </c>
      <c r="AF462">
        <f>IF($V462,IF($U462="","",$U462),IF($T462="","",$T462))</f>
        <v/>
      </c>
      <c r="AG462">
        <f>IF($V462,IF($O462="","",$O462),IF($P462="","",$P462))</f>
        <v/>
      </c>
      <c r="AH462" t="n">
        <v>0.05243045064662431</v>
      </c>
      <c r="AI462">
        <f>IF($Y462="worse","Yes",IF($Y462="worse, not significant","Not sure",IF(OR($Y462="too few losses to test",$Y462="too few loans to test"),"Too few losses",IF($Y462="","","No"))))</f>
        <v/>
      </c>
      <c r="AJ462">
        <f>IF($AA462="yes","Yes",IF($AA462="","","No"))</f>
        <v/>
      </c>
    </row>
    <row r="463">
      <c r="A463" t="inlineStr">
        <is>
          <t>three-way</t>
        </is>
      </c>
      <c r="B463" t="inlineStr">
        <is>
          <t>FICO x CHANNEL / SYS_FLAG</t>
        </is>
      </c>
      <c r="C463" t="inlineStr">
        <is>
          <t>746 - 921</t>
        </is>
      </c>
      <c r="D463" t="inlineStr">
        <is>
          <t>Online / SYS_FLAG N</t>
        </is>
      </c>
      <c r="E463" t="inlineStr">
        <is>
          <t>contribution_rate</t>
        </is>
      </c>
      <c r="F463" t="inlineStr">
        <is>
          <t>Contribution before losses per booked dollar</t>
        </is>
      </c>
      <c r="G463" t="n">
        <v>292</v>
      </c>
      <c r="H463" t="n">
        <v>9486832.630000001</v>
      </c>
      <c r="I463" t="b">
        <v>0</v>
      </c>
      <c r="J463" t="b">
        <v>0</v>
      </c>
      <c r="K463" t="n">
        <v>-0.1084290042110698</v>
      </c>
      <c r="L463" t="n">
        <v>0.000184981501849815</v>
      </c>
      <c r="M463" t="n">
        <v>-0.001233321782553504</v>
      </c>
      <c r="N463" t="n">
        <v>0.7613905276139052</v>
      </c>
      <c r="O463" t="n">
        <v>1028647.815187984</v>
      </c>
      <c r="P463" t="n">
        <v>11700.31733001827</v>
      </c>
      <c r="Q463">
        <f>'_live'!$C$24</f>
        <v/>
      </c>
      <c r="R463" t="inlineStr">
        <is>
          <t>shuffled: 0 of 10,000</t>
        </is>
      </c>
      <c r="S463" t="inlineStr">
        <is>
          <t>shuffled: 5,710 of 10,000</t>
        </is>
      </c>
      <c r="T463" t="n">
        <v>0.1735790183523017</v>
      </c>
      <c r="U463" t="n">
        <v>0.0663833359237854</v>
      </c>
      <c r="V463">
        <f>AND(judged_band,NOT($J463))</f>
        <v/>
      </c>
      <c r="W463">
        <f>IF($K463="","",IF(profit_kind="test",IF(OR(NOT(AND(ISNUMBER($L463),$L463&lt;significance_bar)),$K463=0),"in line",IF($K463&lt;0,"worse","better")),IF(OR($K463=0,IF(profit_kind="points",ABS($K463),ABS($K463*$H463))&lt;profit_line*(1-1E-9)),"in line",IF(AND(ISNUMBER($L463),$L463&lt;significance_bar),IF($K463&lt;0,"worse","better"),IF($K463&lt;0,"worse, not significant","better, not significant")))))</f>
        <v/>
      </c>
      <c r="X463">
        <f>IF($M463="","",IF(profit_kind="test",IF(OR(NOT(AND(ISNUMBER($N463),$N463&lt;significance_bar)),$M463=0),"in line",IF($M463&lt;0,"worse","better")),IF(OR($M463=0,IF(profit_kind="points",ABS($M463),ABS($M463*$H463))&lt;profit_line*(1-1E-9)),"in line",IF(AND(ISNUMBER($N463),$N463&lt;significance_bar),IF($M463&lt;0,"worse","better"),IF($M463&lt;0,"worse, not significant","better, not significant")))))</f>
        <v/>
      </c>
      <c r="Y463">
        <f>IF($V463,$X463,$W463)</f>
        <v/>
      </c>
      <c r="Z463">
        <f>IF($V463,IF($P463="","",$P463),IF($O463="","",$O463))</f>
        <v/>
      </c>
      <c r="AA463">
        <f>IF(OR($Q463="",$Z463=""),"",IF(AND($Z463&gt;0,$Z463&gt;=$Q463),"yes","below the line"))</f>
        <v/>
      </c>
      <c r="AB463">
        <f>IF($V463,IF($M463="","",$M463),IF($K463="","",$K463))</f>
        <v/>
      </c>
      <c r="AC463">
        <f>IF($V463,IF($N463="","",$N463),IF($L463="","",$L463))</f>
        <v/>
      </c>
      <c r="AD463">
        <f>IF($Y463="","",IF($Y463="in line",IF(profit_kind="test",IF(ROUND($AB463*100,2)=0,"0.00",TEXT($AB463*100,"+0.00;-0.00"))&amp;" points against "&amp;IF($V463,"its band","the book")&amp;", "&amp;IF($AC463="","not tested","not significant"),IF(profit_kind="points","within "&amp;TEXT(profit_line*100,"0.00")&amp;" points of "&amp;IF($V463,"its band","the book")&amp;" ("&amp;IF(ROUND($AB463*100,2)=0,"0.00",TEXT($AB463*100,"+0.00;-0.00"))&amp;")","within $"&amp;TEXT(profit_line,"#,##0")&amp;" of "&amp;IF($V463,"its band","the book")&amp;" ("&amp;IF(ROUND($AB463*100,2)=0,"0.00",TEXT($AB463*100,"+0.00;-0.00"))&amp;" points)")),IF(LEFT($Y463,5)="worse","short of ","ahead of ")&amp;IF($V463,"its band","the book")&amp;" by "&amp;TEXT(ABS($AB463)*100,"0.00")&amp;" points"&amp;IF($Z463="",""," ($"&amp;TEXT(ABS($Z463),"#,##0")&amp;")")&amp;IF(RIGHT($Y463,15)="not significant"," (not significant)","")))</f>
        <v/>
      </c>
      <c r="AE463">
        <f>IF($V463,IF($S463="","",$S463),IF($R463="","",$R463))</f>
        <v/>
      </c>
      <c r="AF463">
        <f>IF($V463,IF($U463="","",$U463),IF($T463="","",$T463))</f>
        <v/>
      </c>
      <c r="AG463">
        <f>IF($V463,IF($O463="","",$O463),IF($P463="","",$P463))</f>
        <v/>
      </c>
      <c r="AH463" t="n">
        <v>0.06515001414123189</v>
      </c>
      <c r="AI463">
        <f>IF($Y463="worse","Yes",IF($Y463="worse, not significant","Not sure",IF(OR($Y463="too few losses to test",$Y463="too few loans to test"),"Too few losses",IF($Y463="","","No"))))</f>
        <v/>
      </c>
      <c r="AJ463">
        <f>IF($AA463="yes","Yes",IF($AA463="","","No"))</f>
        <v/>
      </c>
    </row>
    <row r="464">
      <c r="A464" t="inlineStr">
        <is>
          <t>three-way</t>
        </is>
      </c>
      <c r="B464" t="inlineStr">
        <is>
          <t>FICO x CHANNEL / SYS_FLAG</t>
        </is>
      </c>
      <c r="C464" t="inlineStr">
        <is>
          <t>654 - 685</t>
        </is>
      </c>
      <c r="D464" t="inlineStr">
        <is>
          <t>Branch / SYS_FLAG N</t>
        </is>
      </c>
      <c r="E464" t="inlineStr">
        <is>
          <t>outcome_loans</t>
        </is>
      </c>
      <c r="F464" t="inlineStr">
        <is>
          <t>Outcome, share of loans</t>
        </is>
      </c>
      <c r="G464" t="n">
        <v>249</v>
      </c>
      <c r="H464" t="n">
        <v>249</v>
      </c>
      <c r="I464" t="b">
        <v>0</v>
      </c>
      <c r="J464" t="b">
        <v>0</v>
      </c>
      <c r="K464" t="n">
        <v>0.8258573264867096</v>
      </c>
      <c r="L464" t="n">
        <v>0.48968196282637</v>
      </c>
      <c r="M464" t="n">
        <v>0.7271190023250897</v>
      </c>
      <c r="N464" t="n">
        <v>0.3504757966155673</v>
      </c>
      <c r="O464" t="n">
        <v>-3.373806451612904</v>
      </c>
      <c r="P464" t="n">
        <v>-6.004651162790697</v>
      </c>
      <c r="Q464">
        <f>'_live'!$C$20</f>
        <v/>
      </c>
      <c r="R464" t="inlineStr">
        <is>
          <t>z test</t>
        </is>
      </c>
      <c r="S464" t="inlineStr">
        <is>
          <t>z test</t>
        </is>
      </c>
      <c r="T464" t="n">
        <v>0.07780645161290323</v>
      </c>
      <c r="U464" t="n">
        <v>0.08837209302325581</v>
      </c>
      <c r="V464">
        <f>AND(judged_band,NOT($J464))</f>
        <v/>
      </c>
      <c r="W464">
        <f>IF($K464="","",IF($I464,"too few losses to test",IF(AND($K464&gt;better_at,$K464&lt;worse_at),"in line",IF($K464&gt;=worse_at,IF(AND(ISNUMBER($L464),$L464&lt;significance_bar),"worse","worse, not significant"),IF(AND(ISNUMBER($L464),$L464&lt;significance_bar),"better","better, not significant")))))</f>
        <v/>
      </c>
      <c r="X464">
        <f>IF($M464="","",IF($I464,"too few losses to test",IF(AND($M464&gt;better_at,$M464&lt;worse_at),"in line",IF($M464&gt;=worse_at,IF(AND(ISNUMBER($N464),$N464&lt;significance_bar),"worse","worse, not significant"),IF(AND(ISNUMBER($N464),$N464&lt;significance_bar),"better","better, not significant")))))</f>
        <v/>
      </c>
      <c r="Y464">
        <f>IF($V464,$X464,$W464)</f>
        <v/>
      </c>
      <c r="Z464">
        <f>IF($V464,IF($P464="","",$P464),IF($O464="","",$O464))</f>
        <v/>
      </c>
      <c r="AA464">
        <f>IF(OR($Q464="",$Z464=""),"",IF(AND($Z464&gt;0,$Z464&gt;=$Q464),"yes","below the line"))</f>
        <v/>
      </c>
      <c r="AB464">
        <f>IF($V464,IF($M464="","",$M464),IF($K464="","",$K464))</f>
        <v/>
      </c>
      <c r="AC464">
        <f>IF($V464,IF($N464="","",$N464),IF($L464="","",$L464))</f>
        <v/>
      </c>
      <c r="AD464">
        <f>$Y464</f>
        <v/>
      </c>
      <c r="AE464">
        <f>IF($V464,IF($S464="","",$S464),IF($R464="","",$R464))</f>
        <v/>
      </c>
      <c r="AF464">
        <f>IF($V464,IF($U464="","",$U464),IF($T464="","",$T464))</f>
        <v/>
      </c>
      <c r="AG464">
        <f>IF($V464,IF($O464="","",$O464),IF($P464="","",$P464))</f>
        <v/>
      </c>
      <c r="AH464" t="n">
        <v>0.06425702811244979</v>
      </c>
      <c r="AI464">
        <f>IF($Y464="worse","Yes",IF($Y464="worse, not significant","Not sure",IF(OR($Y464="too few losses to test",$Y464="too few loans to test"),"Too few losses",IF($Y464="","","No"))))</f>
        <v/>
      </c>
      <c r="AJ464">
        <f>IF($AA464="yes","Yes",IF($AA464="","","No"))</f>
        <v/>
      </c>
    </row>
    <row r="465">
      <c r="A465" t="inlineStr">
        <is>
          <t>three-way</t>
        </is>
      </c>
      <c r="B465" t="inlineStr">
        <is>
          <t>FICO x CHANNEL / SYS_FLAG</t>
        </is>
      </c>
      <c r="C465" t="inlineStr">
        <is>
          <t>654 - 685</t>
        </is>
      </c>
      <c r="D465" t="inlineStr">
        <is>
          <t>Branch / SYS_FLAG N</t>
        </is>
      </c>
      <c r="E465" t="inlineStr">
        <is>
          <t>outcome_booked</t>
        </is>
      </c>
      <c r="F465" t="inlineStr">
        <is>
          <t>Outcome, share of booked dollars</t>
        </is>
      </c>
      <c r="G465" t="n">
        <v>249</v>
      </c>
      <c r="H465" t="n">
        <v>8063542.109999994</v>
      </c>
      <c r="I465" t="b">
        <v>0</v>
      </c>
      <c r="J465" t="b">
        <v>0</v>
      </c>
      <c r="K465" t="n">
        <v>0.7361293600919708</v>
      </c>
      <c r="L465" t="n">
        <v>0.3761465958667292</v>
      </c>
      <c r="M465" t="n">
        <v>0.6564676767459487</v>
      </c>
      <c r="N465" t="n">
        <v>0.32330100323301</v>
      </c>
      <c r="O465" t="n">
        <v>-160539.5917657602</v>
      </c>
      <c r="P465" t="n">
        <v>-234368.6309026967</v>
      </c>
      <c r="Q465">
        <f>'_live'!$C$21</f>
        <v/>
      </c>
      <c r="R465" t="inlineStr">
        <is>
          <t>shuffled: 2,858 of 10,000</t>
        </is>
      </c>
      <c r="S465" t="inlineStr">
        <is>
          <t>shuffled: 1,551 of 10,000</t>
        </is>
      </c>
      <c r="T465" t="n">
        <v>0.07545103919172819</v>
      </c>
      <c r="U465" t="n">
        <v>0.08460694588010247</v>
      </c>
      <c r="V465">
        <f>AND(judged_band,NOT($J465))</f>
        <v/>
      </c>
      <c r="W465">
        <f>IF($K465="","",IF($I465,"too few losses to test",IF(AND($K465&gt;better_at,$K465&lt;worse_at),"in line",IF($K465&gt;=worse_at,IF(AND(ISNUMBER($L465),$L465&lt;significance_bar),"worse","worse, not significant"),IF(AND(ISNUMBER($L465),$L465&lt;significance_bar),"better","better, not significant")))))</f>
        <v/>
      </c>
      <c r="X465">
        <f>IF($M465="","",IF($I465,"too few losses to test",IF(AND($M465&gt;better_at,$M465&lt;worse_at),"in line",IF($M465&gt;=worse_at,IF(AND(ISNUMBER($N465),$N465&lt;significance_bar),"worse","worse, not significant"),IF(AND(ISNUMBER($N465),$N465&lt;significance_bar),"better","better, not significant")))))</f>
        <v/>
      </c>
      <c r="Y465">
        <f>IF($V465,$X465,$W465)</f>
        <v/>
      </c>
      <c r="Z465">
        <f>IF($V465,IF($P465="","",$P465),IF($O465="","",$O465))</f>
        <v/>
      </c>
      <c r="AA465">
        <f>IF(OR($Q465="",$Z465=""),"",IF(AND($Z465&gt;0,$Z465&gt;=$Q465),"yes","below the line"))</f>
        <v/>
      </c>
      <c r="AB465">
        <f>IF($V465,IF($M465="","",$M465),IF($K465="","",$K465))</f>
        <v/>
      </c>
      <c r="AC465">
        <f>IF($V465,IF($N465="","",$N465),IF($L465="","",$L465))</f>
        <v/>
      </c>
      <c r="AD465">
        <f>$Y465</f>
        <v/>
      </c>
      <c r="AE465">
        <f>IF($V465,IF($S465="","",$S465),IF($R465="","",$R465))</f>
        <v/>
      </c>
      <c r="AF465">
        <f>IF($V465,IF($U465="","",$U465),IF($T465="","",$T465))</f>
        <v/>
      </c>
      <c r="AG465">
        <f>IF($V465,IF($O465="","",$O465),IF($P465="","",$P465))</f>
        <v/>
      </c>
      <c r="AH465" t="n">
        <v>0.05554172519848109</v>
      </c>
      <c r="AI465">
        <f>IF($Y465="worse","Yes",IF($Y465="worse, not significant","Not sure",IF(OR($Y465="too few losses to test",$Y465="too few loans to test"),"Too few losses",IF($Y465="","","No"))))</f>
        <v/>
      </c>
      <c r="AJ465">
        <f>IF($AA465="yes","Yes",IF($AA465="","","No"))</f>
        <v/>
      </c>
    </row>
    <row r="466">
      <c r="A466" t="inlineStr">
        <is>
          <t>three-way</t>
        </is>
      </c>
      <c r="B466" t="inlineStr">
        <is>
          <t>FICO x CHANNEL / SYS_FLAG</t>
        </is>
      </c>
      <c r="C466" t="inlineStr">
        <is>
          <t>654 - 685</t>
        </is>
      </c>
      <c r="D466" t="inlineStr">
        <is>
          <t>Branch / SYS_FLAG N</t>
        </is>
      </c>
      <c r="E466" t="inlineStr">
        <is>
          <t>gco_rate</t>
        </is>
      </c>
      <c r="F466" t="inlineStr">
        <is>
          <t>GCO per booked dollar</t>
        </is>
      </c>
      <c r="G466" t="n">
        <v>249</v>
      </c>
      <c r="H466" t="n">
        <v>8063542.109999994</v>
      </c>
      <c r="I466" t="b">
        <v>0</v>
      </c>
      <c r="J466" t="b">
        <v>0</v>
      </c>
      <c r="K466" t="n">
        <v>0.7073469686492562</v>
      </c>
      <c r="L466" t="n">
        <v>0.3306248322536167</v>
      </c>
      <c r="M466" t="n">
        <v>0.6156350801612361</v>
      </c>
      <c r="N466" t="n">
        <v>0.2915617529156175</v>
      </c>
      <c r="O466" t="n">
        <v>-99087.147402729</v>
      </c>
      <c r="P466" t="n">
        <v>-149526.1600135108</v>
      </c>
      <c r="Q466">
        <f>'_live'!$C$22</f>
        <v/>
      </c>
      <c r="R466" t="inlineStr">
        <is>
          <t>shuffled: 2,512 of 10,000</t>
        </is>
      </c>
      <c r="S466" t="inlineStr">
        <is>
          <t>shuffled: 1,282 of 10,000</t>
        </is>
      </c>
      <c r="T466" t="n">
        <v>0.04198928123446351</v>
      </c>
      <c r="U466" t="n">
        <v>0.0482444742901592</v>
      </c>
      <c r="V466">
        <f>AND(judged_band,NOT($J466))</f>
        <v/>
      </c>
      <c r="W466">
        <f>IF($K466="","",IF($I466,"too few losses to test",IF(AND($K466&gt;better_at,$K466&lt;worse_at),"in line",IF($K466&gt;=worse_at,IF(AND(ISNUMBER($L466),$L466&lt;significance_bar),"worse","worse, not significant"),IF(AND(ISNUMBER($L466),$L466&lt;significance_bar),"better","better, not significant")))))</f>
        <v/>
      </c>
      <c r="X466">
        <f>IF($M466="","",IF($I466,"too few losses to test",IF(AND($M466&gt;better_at,$M466&lt;worse_at),"in line",IF($M466&gt;=worse_at,IF(AND(ISNUMBER($N466),$N466&lt;significance_bar),"worse","worse, not significant"),IF(AND(ISNUMBER($N466),$N466&lt;significance_bar),"better","better, not significant")))))</f>
        <v/>
      </c>
      <c r="Y466">
        <f>IF($V466,$X466,$W466)</f>
        <v/>
      </c>
      <c r="Z466">
        <f>IF($V466,IF($P466="","",$P466),IF($O466="","",$O466))</f>
        <v/>
      </c>
      <c r="AA466">
        <f>IF(OR($Q466="",$Z466=""),"",IF(AND($Z466&gt;0,$Z466&gt;=$Q466),"yes","below the line"))</f>
        <v/>
      </c>
      <c r="AB466">
        <f>IF($V466,IF($M466="","",$M466),IF($K466="","",$K466))</f>
        <v/>
      </c>
      <c r="AC466">
        <f>IF($V466,IF($N466="","",$N466),IF($L466="","",$L466))</f>
        <v/>
      </c>
      <c r="AD466">
        <f>$Y466</f>
        <v/>
      </c>
      <c r="AE466">
        <f>IF($V466,IF($S466="","",$S466),IF($R466="","",$R466))</f>
        <v/>
      </c>
      <c r="AF466">
        <f>IF($V466,IF($U466="","",$U466),IF($T466="","",$T466))</f>
        <v/>
      </c>
      <c r="AG466">
        <f>IF($V466,IF($O466="","",$O466),IF($P466="","",$P466))</f>
        <v/>
      </c>
      <c r="AH466" t="n">
        <v>0.02970099079695886</v>
      </c>
      <c r="AI466">
        <f>IF($Y466="worse","Yes",IF($Y466="worse, not significant","Not sure",IF(OR($Y466="too few losses to test",$Y466="too few loans to test"),"Too few losses",IF($Y466="","","No"))))</f>
        <v/>
      </c>
      <c r="AJ466">
        <f>IF($AA466="yes","Yes",IF($AA466="","","No"))</f>
        <v/>
      </c>
    </row>
    <row r="467">
      <c r="A467" t="inlineStr">
        <is>
          <t>three-way</t>
        </is>
      </c>
      <c r="B467" t="inlineStr">
        <is>
          <t>FICO x CHANNEL / SYS_FLAG</t>
        </is>
      </c>
      <c r="C467" t="inlineStr">
        <is>
          <t>654 - 685</t>
        </is>
      </c>
      <c r="D467" t="inlineStr">
        <is>
          <t>Branch / SYS_FLAG N</t>
        </is>
      </c>
      <c r="E467" t="inlineStr">
        <is>
          <t>ranr_rate</t>
        </is>
      </c>
      <c r="F467" t="inlineStr">
        <is>
          <t>Profit after losses: RANR per booked dollar</t>
        </is>
      </c>
      <c r="G467" t="n">
        <v>249</v>
      </c>
      <c r="H467" t="n">
        <v>8063542.109999994</v>
      </c>
      <c r="I467" t="b">
        <v>0</v>
      </c>
      <c r="J467" t="b">
        <v>0</v>
      </c>
      <c r="K467" t="n">
        <v>0.04327515334634618</v>
      </c>
      <c r="L467" t="n">
        <v>0.001321296441784393</v>
      </c>
      <c r="M467" t="n">
        <v>0.008173042602590552</v>
      </c>
      <c r="N467" t="n">
        <v>0.8627137286271372</v>
      </c>
      <c r="O467" t="n">
        <v>-348951.0213249696</v>
      </c>
      <c r="P467" t="n">
        <v>-65903.67319281283</v>
      </c>
      <c r="Q467">
        <f>'_live'!$C$23</f>
        <v/>
      </c>
      <c r="R467" t="inlineStr">
        <is>
          <t>shuffled: 4 of 10,000</t>
        </is>
      </c>
      <c r="S467" t="inlineStr">
        <is>
          <t>shuffled: 5,751 of 10,000</t>
        </is>
      </c>
      <c r="T467" t="n">
        <v>0.1266378850317718</v>
      </c>
      <c r="U467" t="n">
        <v>0.1617399957755275</v>
      </c>
      <c r="V467">
        <f>AND(judged_band,NOT($J467))</f>
        <v/>
      </c>
      <c r="W467">
        <f>IF($K467="","",IF(profit_kind="test",IF(OR(NOT(AND(ISNUMBER($L467),$L467&lt;significance_bar)),$K467=0),"in line",IF($K467&lt;0,"worse","better")),IF(OR($K467=0,IF(profit_kind="points",ABS($K467),ABS($K467*$H467))&lt;profit_line*(1-1E-9)),"in line",IF(AND(ISNUMBER($L467),$L467&lt;significance_bar),IF($K467&lt;0,"worse","better"),IF($K467&lt;0,"worse, not significant","better, not significant")))))</f>
        <v/>
      </c>
      <c r="X467">
        <f>IF($M467="","",IF(profit_kind="test",IF(OR(NOT(AND(ISNUMBER($N467),$N467&lt;significance_bar)),$M467=0),"in line",IF($M467&lt;0,"worse","better")),IF(OR($M467=0,IF(profit_kind="points",ABS($M467),ABS($M467*$H467))&lt;profit_line*(1-1E-9)),"in line",IF(AND(ISNUMBER($N467),$N467&lt;significance_bar),IF($M467&lt;0,"worse","better"),IF($M467&lt;0,"worse, not significant","better, not significant")))))</f>
        <v/>
      </c>
      <c r="Y467">
        <f>IF($V467,$X467,$W467)</f>
        <v/>
      </c>
      <c r="Z467">
        <f>IF($V467,IF($P467="","",$P467),IF($O467="","",$O467))</f>
        <v/>
      </c>
      <c r="AA467">
        <f>IF(OR($Q467="",$Z467=""),"",IF(AND($Z467&gt;0,$Z467&gt;=$Q467),"yes","below the line"))</f>
        <v/>
      </c>
      <c r="AB467">
        <f>IF($V467,IF($M467="","",$M467),IF($K467="","",$K467))</f>
        <v/>
      </c>
      <c r="AC467">
        <f>IF($V467,IF($N467="","",$N467),IF($L467="","",$L467))</f>
        <v/>
      </c>
      <c r="AD467">
        <f>IF($Y467="","",IF($Y467="in line",IF(profit_kind="test",IF(ROUND($AB467*100,2)=0,"0.00",TEXT($AB467*100,"+0.00;-0.00"))&amp;" points against "&amp;IF($V467,"its band","the book")&amp;", "&amp;IF($AC467="","not tested","not significant"),IF(profit_kind="points","within "&amp;TEXT(profit_line*100,"0.00")&amp;" points of "&amp;IF($V467,"its band","the book")&amp;" ("&amp;IF(ROUND($AB467*100,2)=0,"0.00",TEXT($AB467*100,"+0.00;-0.00"))&amp;")","within $"&amp;TEXT(profit_line,"#,##0")&amp;" of "&amp;IF($V467,"its band","the book")&amp;" ("&amp;IF(ROUND($AB467*100,2)=0,"0.00",TEXT($AB467*100,"+0.00;-0.00"))&amp;" points)")),IF(LEFT($Y467,5)="worse","short of ","ahead of ")&amp;IF($V467,"its band","the book")&amp;" by "&amp;TEXT(ABS($AB467)*100,"0.00")&amp;" points"&amp;IF($Z467="",""," ($"&amp;TEXT(ABS($Z467),"#,##0")&amp;")")&amp;IF(RIGHT($Y467,15)="not significant"," (not significant)","")))</f>
        <v/>
      </c>
      <c r="AE467">
        <f>IF($V467,IF($S467="","",$S467),IF($R467="","",$R467))</f>
        <v/>
      </c>
      <c r="AF467">
        <f>IF($V467,IF($U467="","",$U467),IF($T467="","",$T467))</f>
        <v/>
      </c>
      <c r="AG467">
        <f>IF($V467,IF($O467="","",$O467),IF($P467="","",$P467))</f>
        <v/>
      </c>
      <c r="AH467" t="n">
        <v>0.169913038378118</v>
      </c>
      <c r="AI467">
        <f>IF($Y467="worse","Yes",IF($Y467="worse, not significant","Not sure",IF(OR($Y467="too few losses to test",$Y467="too few loans to test"),"Too few losses",IF($Y467="","","No"))))</f>
        <v/>
      </c>
      <c r="AJ467">
        <f>IF($AA467="yes","Yes",IF($AA467="","","No"))</f>
        <v/>
      </c>
    </row>
    <row r="468">
      <c r="A468" t="inlineStr">
        <is>
          <t>three-way</t>
        </is>
      </c>
      <c r="B468" t="inlineStr">
        <is>
          <t>FICO x CHANNEL / SYS_FLAG</t>
        </is>
      </c>
      <c r="C468" t="inlineStr">
        <is>
          <t>654 - 685</t>
        </is>
      </c>
      <c r="D468" t="inlineStr">
        <is>
          <t>Branch / SYS_FLAG N</t>
        </is>
      </c>
      <c r="E468" t="inlineStr">
        <is>
          <t>contribution_rate</t>
        </is>
      </c>
      <c r="F468" t="inlineStr">
        <is>
          <t>Contribution before losses per booked dollar</t>
        </is>
      </c>
      <c r="G468" t="n">
        <v>249</v>
      </c>
      <c r="H468" t="n">
        <v>8063542.109999994</v>
      </c>
      <c r="I468" t="b">
        <v>0</v>
      </c>
      <c r="J468" t="b">
        <v>0</v>
      </c>
      <c r="K468" t="n">
        <v>0.03099002906018761</v>
      </c>
      <c r="L468" t="n">
        <v>0.0009651208792164261</v>
      </c>
      <c r="M468" t="n">
        <v>-0.01037044089060973</v>
      </c>
      <c r="N468" t="n">
        <v>0.4305569443055695</v>
      </c>
      <c r="O468" t="n">
        <v>-249889.4043169464</v>
      </c>
      <c r="P468" t="n">
        <v>83622.48682069732</v>
      </c>
      <c r="Q468">
        <f>'_live'!$C$24</f>
        <v/>
      </c>
      <c r="R468" t="inlineStr">
        <is>
          <t>shuffled: 5 of 10,000</t>
        </is>
      </c>
      <c r="S468" t="inlineStr">
        <is>
          <t>shuffled: 2,152 of 10,000</t>
        </is>
      </c>
      <c r="T468" t="n">
        <v>0.1686240001148893</v>
      </c>
      <c r="U468" t="n">
        <v>0.2099844700656866</v>
      </c>
      <c r="V468">
        <f>AND(judged_band,NOT($J468))</f>
        <v/>
      </c>
      <c r="W468">
        <f>IF($K468="","",IF(profit_kind="test",IF(OR(NOT(AND(ISNUMBER($L468),$L468&lt;significance_bar)),$K468=0),"in line",IF($K468&lt;0,"worse","better")),IF(OR($K468=0,IF(profit_kind="points",ABS($K468),ABS($K468*$H468))&lt;profit_line*(1-1E-9)),"in line",IF(AND(ISNUMBER($L468),$L468&lt;significance_bar),IF($K468&lt;0,"worse","better"),IF($K468&lt;0,"worse, not significant","better, not significant")))))</f>
        <v/>
      </c>
      <c r="X468">
        <f>IF($M468="","",IF(profit_kind="test",IF(OR(NOT(AND(ISNUMBER($N468),$N468&lt;significance_bar)),$M468=0),"in line",IF($M468&lt;0,"worse","better")),IF(OR($M468=0,IF(profit_kind="points",ABS($M468),ABS($M468*$H468))&lt;profit_line*(1-1E-9)),"in line",IF(AND(ISNUMBER($N468),$N468&lt;significance_bar),IF($M468&lt;0,"worse","better"),IF($M468&lt;0,"worse, not significant","better, not significant")))))</f>
        <v/>
      </c>
      <c r="Y468">
        <f>IF($V468,$X468,$W468)</f>
        <v/>
      </c>
      <c r="Z468">
        <f>IF($V468,IF($P468="","",$P468),IF($O468="","",$O468))</f>
        <v/>
      </c>
      <c r="AA468">
        <f>IF(OR($Q468="",$Z468=""),"",IF(AND($Z468&gt;0,$Z468&gt;=$Q468),"yes","below the line"))</f>
        <v/>
      </c>
      <c r="AB468">
        <f>IF($V468,IF($M468="","",$M468),IF($K468="","",$K468))</f>
        <v/>
      </c>
      <c r="AC468">
        <f>IF($V468,IF($N468="","",$N468),IF($L468="","",$L468))</f>
        <v/>
      </c>
      <c r="AD468">
        <f>IF($Y468="","",IF($Y468="in line",IF(profit_kind="test",IF(ROUND($AB468*100,2)=0,"0.00",TEXT($AB468*100,"+0.00;-0.00"))&amp;" points against "&amp;IF($V468,"its band","the book")&amp;", "&amp;IF($AC468="","not tested","not significant"),IF(profit_kind="points","within "&amp;TEXT(profit_line*100,"0.00")&amp;" points of "&amp;IF($V468,"its band","the book")&amp;" ("&amp;IF(ROUND($AB468*100,2)=0,"0.00",TEXT($AB468*100,"+0.00;-0.00"))&amp;")","within $"&amp;TEXT(profit_line,"#,##0")&amp;" of "&amp;IF($V468,"its band","the book")&amp;" ("&amp;IF(ROUND($AB468*100,2)=0,"0.00",TEXT($AB468*100,"+0.00;-0.00"))&amp;" points)")),IF(LEFT($Y468,5)="worse","short of ","ahead of ")&amp;IF($V468,"its band","the book")&amp;" by "&amp;TEXT(ABS($AB468)*100,"0.00")&amp;" points"&amp;IF($Z468="",""," ($"&amp;TEXT(ABS($Z468),"#,##0")&amp;")")&amp;IF(RIGHT($Y468,15)="not significant"," (not significant)","")))</f>
        <v/>
      </c>
      <c r="AE468">
        <f>IF($V468,IF($S468="","",$S468),IF($R468="","",$R468))</f>
        <v/>
      </c>
      <c r="AF468">
        <f>IF($V468,IF($U468="","",$U468),IF($T468="","",$T468))</f>
        <v/>
      </c>
      <c r="AG468">
        <f>IF($V468,IF($O468="","",$O468),IF($P468="","",$P468))</f>
        <v/>
      </c>
      <c r="AH468" t="n">
        <v>0.1996140291750769</v>
      </c>
      <c r="AI468">
        <f>IF($Y468="worse","Yes",IF($Y468="worse, not significant","Not sure",IF(OR($Y468="too few losses to test",$Y468="too few loans to test"),"Too few losses",IF($Y468="","","No"))))</f>
        <v/>
      </c>
      <c r="AJ468">
        <f>IF($AA468="yes","Yes",IF($AA468="","","No"))</f>
        <v/>
      </c>
    </row>
    <row r="469">
      <c r="A469" t="inlineStr">
        <is>
          <t>three-way</t>
        </is>
      </c>
      <c r="B469" t="inlineStr">
        <is>
          <t>FICO x CHANNEL / SYS_FLAG</t>
        </is>
      </c>
      <c r="C469" t="inlineStr">
        <is>
          <t>712 - 745</t>
        </is>
      </c>
      <c r="D469" t="inlineStr">
        <is>
          <t>Broker / SYS_FLAG Y</t>
        </is>
      </c>
      <c r="E469" t="inlineStr">
        <is>
          <t>outcome_loans</t>
        </is>
      </c>
      <c r="F469" t="inlineStr">
        <is>
          <t>Outcome, share of loans</t>
        </is>
      </c>
      <c r="G469" t="n">
        <v>218</v>
      </c>
      <c r="H469" t="n">
        <v>218</v>
      </c>
      <c r="I469" t="b">
        <v>1</v>
      </c>
      <c r="J469" t="b">
        <v>0</v>
      </c>
      <c r="K469" t="n">
        <v>0.4082493853810638</v>
      </c>
      <c r="M469" t="n">
        <v>0.5591169724770643</v>
      </c>
      <c r="O469" t="n">
        <v>-10.14638221308315</v>
      </c>
      <c r="P469" t="n">
        <v>-5.519741564967696</v>
      </c>
      <c r="Q469">
        <f>'_live'!$C$20</f>
        <v/>
      </c>
      <c r="T469" t="n">
        <v>0.07865312941781262</v>
      </c>
      <c r="U469" t="n">
        <v>0.05743000717875089</v>
      </c>
      <c r="V469">
        <f>AND(judged_band,NOT($J469))</f>
        <v/>
      </c>
      <c r="W469">
        <f>IF($K469="","",IF($I469,"too few losses to test",IF(AND($K469&gt;better_at,$K469&lt;worse_at),"in line",IF($K469&gt;=worse_at,IF(AND(ISNUMBER($L469),$L469&lt;significance_bar),"worse","worse, not significant"),IF(AND(ISNUMBER($L469),$L469&lt;significance_bar),"better","better, not significant")))))</f>
        <v/>
      </c>
      <c r="X469">
        <f>IF($M469="","",IF($I469,"too few losses to test",IF(AND($M469&gt;better_at,$M469&lt;worse_at),"in line",IF($M469&gt;=worse_at,IF(AND(ISNUMBER($N469),$N469&lt;significance_bar),"worse","worse, not significant"),IF(AND(ISNUMBER($N469),$N469&lt;significance_bar),"better","better, not significant")))))</f>
        <v/>
      </c>
      <c r="Y469">
        <f>IF($V469,$X469,$W469)</f>
        <v/>
      </c>
      <c r="Z469">
        <f>IF($V469,IF($P469="","",$P469),IF($O469="","",$O469))</f>
        <v/>
      </c>
      <c r="AA469">
        <f>IF(OR($Q469="",$Z469=""),"",IF(AND($Z469&gt;0,$Z469&gt;=$Q469),"yes","below the line"))</f>
        <v/>
      </c>
      <c r="AB469">
        <f>IF($V469,IF($M469="","",$M469),IF($K469="","",$K469))</f>
        <v/>
      </c>
      <c r="AC469">
        <f>IF($V469,IF($N469="","",$N469),IF($L469="","",$L469))</f>
        <v/>
      </c>
      <c r="AD469">
        <f>$Y469</f>
        <v/>
      </c>
      <c r="AE469">
        <f>IF($V469,IF($S469="","",$S469),IF($R469="","",$R469))</f>
        <v/>
      </c>
      <c r="AF469">
        <f>IF($V469,IF($U469="","",$U469),IF($T469="","",$T469))</f>
        <v/>
      </c>
      <c r="AG469">
        <f>IF($V469,IF($O469="","",$O469),IF($P469="","",$P469))</f>
        <v/>
      </c>
      <c r="AH469" t="n">
        <v>0.03211009174311927</v>
      </c>
      <c r="AI469">
        <f>IF($Y469="worse","Yes",IF($Y469="worse, not significant","Not sure",IF(OR($Y469="too few losses to test",$Y469="too few loans to test"),"Too few losses",IF($Y469="","","No"))))</f>
        <v/>
      </c>
      <c r="AJ469">
        <f>IF($AA469="yes","Yes",IF($AA469="","","No"))</f>
        <v/>
      </c>
    </row>
    <row r="470">
      <c r="A470" t="inlineStr">
        <is>
          <t>three-way</t>
        </is>
      </c>
      <c r="B470" t="inlineStr">
        <is>
          <t>FICO x CHANNEL / SYS_FLAG</t>
        </is>
      </c>
      <c r="C470" t="inlineStr">
        <is>
          <t>712 - 745</t>
        </is>
      </c>
      <c r="D470" t="inlineStr">
        <is>
          <t>Broker / SYS_FLAG Y</t>
        </is>
      </c>
      <c r="E470" t="inlineStr">
        <is>
          <t>outcome_booked</t>
        </is>
      </c>
      <c r="F470" t="inlineStr">
        <is>
          <t>Outcome, share of booked dollars</t>
        </is>
      </c>
      <c r="G470" t="n">
        <v>218</v>
      </c>
      <c r="H470" t="n">
        <v>7036667.47</v>
      </c>
      <c r="I470" t="b">
        <v>1</v>
      </c>
      <c r="J470" t="b">
        <v>0</v>
      </c>
      <c r="K470" t="n">
        <v>0.4976604397043093</v>
      </c>
      <c r="M470" t="n">
        <v>0.6601570930401273</v>
      </c>
      <c r="O470" t="n">
        <v>-268178.6218180815</v>
      </c>
      <c r="P470" t="n">
        <v>-136769.9878923245</v>
      </c>
      <c r="Q470">
        <f>'_live'!$C$21</f>
        <v/>
      </c>
      <c r="T470" t="n">
        <v>0.07586819387076728</v>
      </c>
      <c r="U470" t="n">
        <v>0.05719335461113165</v>
      </c>
      <c r="V470">
        <f>AND(judged_band,NOT($J470))</f>
        <v/>
      </c>
      <c r="W470">
        <f>IF($K470="","",IF($I470,"too few losses to test",IF(AND($K470&gt;better_at,$K470&lt;worse_at),"in line",IF($K470&gt;=worse_at,IF(AND(ISNUMBER($L470),$L470&lt;significance_bar),"worse","worse, not significant"),IF(AND(ISNUMBER($L470),$L470&lt;significance_bar),"better","better, not significant")))))</f>
        <v/>
      </c>
      <c r="X470">
        <f>IF($M470="","",IF($I470,"too few losses to test",IF(AND($M470&gt;better_at,$M470&lt;worse_at),"in line",IF($M470&gt;=worse_at,IF(AND(ISNUMBER($N470),$N470&lt;significance_bar),"worse","worse, not significant"),IF(AND(ISNUMBER($N470),$N470&lt;significance_bar),"better","better, not significant")))))</f>
        <v/>
      </c>
      <c r="Y470">
        <f>IF($V470,$X470,$W470)</f>
        <v/>
      </c>
      <c r="Z470">
        <f>IF($V470,IF($P470="","",$P470),IF($O470="","",$O470))</f>
        <v/>
      </c>
      <c r="AA470">
        <f>IF(OR($Q470="",$Z470=""),"",IF(AND($Z470&gt;0,$Z470&gt;=$Q470),"yes","below the line"))</f>
        <v/>
      </c>
      <c r="AB470">
        <f>IF($V470,IF($M470="","",$M470),IF($K470="","",$K470))</f>
        <v/>
      </c>
      <c r="AC470">
        <f>IF($V470,IF($N470="","",$N470),IF($L470="","",$L470))</f>
        <v/>
      </c>
      <c r="AD470">
        <f>$Y470</f>
        <v/>
      </c>
      <c r="AE470">
        <f>IF($V470,IF($S470="","",$S470),IF($R470="","",$R470))</f>
        <v/>
      </c>
      <c r="AF470">
        <f>IF($V470,IF($U470="","",$U470),IF($T470="","",$T470))</f>
        <v/>
      </c>
      <c r="AG470">
        <f>IF($V470,IF($O470="","",$O470),IF($P470="","",$P470))</f>
        <v/>
      </c>
      <c r="AH470" t="n">
        <v>0.03775659872129783</v>
      </c>
      <c r="AI470">
        <f>IF($Y470="worse","Yes",IF($Y470="worse, not significant","Not sure",IF(OR($Y470="too few losses to test",$Y470="too few loans to test"),"Too few losses",IF($Y470="","","No"))))</f>
        <v/>
      </c>
      <c r="AJ470">
        <f>IF($AA470="yes","Yes",IF($AA470="","","No"))</f>
        <v/>
      </c>
    </row>
    <row r="471">
      <c r="A471" t="inlineStr">
        <is>
          <t>three-way</t>
        </is>
      </c>
      <c r="B471" t="inlineStr">
        <is>
          <t>FICO x CHANNEL / SYS_FLAG</t>
        </is>
      </c>
      <c r="C471" t="inlineStr">
        <is>
          <t>712 - 745</t>
        </is>
      </c>
      <c r="D471" t="inlineStr">
        <is>
          <t>Broker / SYS_FLAG Y</t>
        </is>
      </c>
      <c r="E471" t="inlineStr">
        <is>
          <t>gco_rate</t>
        </is>
      </c>
      <c r="F471" t="inlineStr">
        <is>
          <t>GCO per booked dollar</t>
        </is>
      </c>
      <c r="G471" t="n">
        <v>218</v>
      </c>
      <c r="H471" t="n">
        <v>7036667.47</v>
      </c>
      <c r="I471" t="b">
        <v>1</v>
      </c>
      <c r="J471" t="b">
        <v>0</v>
      </c>
      <c r="K471" t="n">
        <v>0.4534675596328259</v>
      </c>
      <c r="M471" t="n">
        <v>0.5977635401795504</v>
      </c>
      <c r="O471" t="n">
        <v>-162425.0075721146</v>
      </c>
      <c r="P471" t="n">
        <v>-90684.94324020643</v>
      </c>
      <c r="Q471">
        <f>'_live'!$C$22</f>
        <v/>
      </c>
      <c r="T471" t="n">
        <v>0.04223474945194684</v>
      </c>
      <c r="U471" t="n">
        <v>0.0320395733067384</v>
      </c>
      <c r="V471">
        <f>AND(judged_band,NOT($J471))</f>
        <v/>
      </c>
      <c r="W471">
        <f>IF($K471="","",IF($I471,"too few losses to test",IF(AND($K471&gt;better_at,$K471&lt;worse_at),"in line",IF($K471&gt;=worse_at,IF(AND(ISNUMBER($L471),$L471&lt;significance_bar),"worse","worse, not significant"),IF(AND(ISNUMBER($L471),$L471&lt;significance_bar),"better","better, not significant")))))</f>
        <v/>
      </c>
      <c r="X471">
        <f>IF($M471="","",IF($I471,"too few losses to test",IF(AND($M471&gt;better_at,$M471&lt;worse_at),"in line",IF($M471&gt;=worse_at,IF(AND(ISNUMBER($N471),$N471&lt;significance_bar),"worse","worse, not significant"),IF(AND(ISNUMBER($N471),$N471&lt;significance_bar),"better","better, not significant")))))</f>
        <v/>
      </c>
      <c r="Y471">
        <f>IF($V471,$X471,$W471)</f>
        <v/>
      </c>
      <c r="Z471">
        <f>IF($V471,IF($P471="","",$P471),IF($O471="","",$O471))</f>
        <v/>
      </c>
      <c r="AA471">
        <f>IF(OR($Q471="",$Z471=""),"",IF(AND($Z471&gt;0,$Z471&gt;=$Q471),"yes","below the line"))</f>
        <v/>
      </c>
      <c r="AB471">
        <f>IF($V471,IF($M471="","",$M471),IF($K471="","",$K471))</f>
        <v/>
      </c>
      <c r="AC471">
        <f>IF($V471,IF($N471="","",$N471),IF($L471="","",$L471))</f>
        <v/>
      </c>
      <c r="AD471">
        <f>$Y471</f>
        <v/>
      </c>
      <c r="AE471">
        <f>IF($V471,IF($S471="","",$S471),IF($R471="","",$R471))</f>
        <v/>
      </c>
      <c r="AF471">
        <f>IF($V471,IF($U471="","",$U471),IF($T471="","",$T471))</f>
        <v/>
      </c>
      <c r="AG471">
        <f>IF($V471,IF($O471="","",$O471),IF($P471="","",$P471))</f>
        <v/>
      </c>
      <c r="AH471" t="n">
        <v>0.01915208876567817</v>
      </c>
      <c r="AI471">
        <f>IF($Y471="worse","Yes",IF($Y471="worse, not significant","Not sure",IF(OR($Y471="too few losses to test",$Y471="too few loans to test"),"Too few losses",IF($Y471="","","No"))))</f>
        <v/>
      </c>
      <c r="AJ471">
        <f>IF($AA471="yes","Yes",IF($AA471="","","No"))</f>
        <v/>
      </c>
    </row>
    <row r="472">
      <c r="A472" t="inlineStr">
        <is>
          <t>three-way</t>
        </is>
      </c>
      <c r="B472" t="inlineStr">
        <is>
          <t>FICO x CHANNEL / SYS_FLAG</t>
        </is>
      </c>
      <c r="C472" t="inlineStr">
        <is>
          <t>712 - 745</t>
        </is>
      </c>
      <c r="D472" t="inlineStr">
        <is>
          <t>Broker / SYS_FLAG Y</t>
        </is>
      </c>
      <c r="E472" t="inlineStr">
        <is>
          <t>ranr_rate</t>
        </is>
      </c>
      <c r="F472" t="inlineStr">
        <is>
          <t>Profit after losses: RANR per booked dollar</t>
        </is>
      </c>
      <c r="G472" t="n">
        <v>218</v>
      </c>
      <c r="H472" t="n">
        <v>7036667.47</v>
      </c>
      <c r="I472" t="b">
        <v>0</v>
      </c>
      <c r="J472" t="b">
        <v>0</v>
      </c>
      <c r="K472" t="n">
        <v>-0.03284146314480192</v>
      </c>
      <c r="L472" t="n">
        <v>0.03417753462748963</v>
      </c>
      <c r="M472" t="n">
        <v>8.6765284261478e-05</v>
      </c>
      <c r="N472" t="n">
        <v>0.9953004699530046</v>
      </c>
      <c r="O472" t="n">
        <v>231094.4553782316</v>
      </c>
      <c r="P472" t="n">
        <v>-610.5384532880271</v>
      </c>
      <c r="Q472">
        <f>'_live'!$C$23</f>
        <v/>
      </c>
      <c r="R472" t="inlineStr">
        <is>
          <t>shuffled: 193 of 10,000</t>
        </is>
      </c>
      <c r="S472" t="inlineStr">
        <is>
          <t>shuffled: 9,948 of 10,000</t>
        </is>
      </c>
      <c r="T472" t="n">
        <v>0.1288855270260812</v>
      </c>
      <c r="U472" t="n">
        <v>0.09595729859701785</v>
      </c>
      <c r="V472">
        <f>AND(judged_band,NOT($J472))</f>
        <v/>
      </c>
      <c r="W472">
        <f>IF($K472="","",IF(profit_kind="test",IF(OR(NOT(AND(ISNUMBER($L472),$L472&lt;significance_bar)),$K472=0),"in line",IF($K472&lt;0,"worse","better")),IF(OR($K472=0,IF(profit_kind="points",ABS($K472),ABS($K472*$H472))&lt;profit_line*(1-1E-9)),"in line",IF(AND(ISNUMBER($L472),$L472&lt;significance_bar),IF($K472&lt;0,"worse","better"),IF($K472&lt;0,"worse, not significant","better, not significant")))))</f>
        <v/>
      </c>
      <c r="X472">
        <f>IF($M472="","",IF(profit_kind="test",IF(OR(NOT(AND(ISNUMBER($N472),$N472&lt;significance_bar)),$M472=0),"in line",IF($M472&lt;0,"worse","better")),IF(OR($M472=0,IF(profit_kind="points",ABS($M472),ABS($M472*$H472))&lt;profit_line*(1-1E-9)),"in line",IF(AND(ISNUMBER($N472),$N472&lt;significance_bar),IF($M472&lt;0,"worse","better"),IF($M472&lt;0,"worse, not significant","better, not significant")))))</f>
        <v/>
      </c>
      <c r="Y472">
        <f>IF($V472,$X472,$W472)</f>
        <v/>
      </c>
      <c r="Z472">
        <f>IF($V472,IF($P472="","",$P472),IF($O472="","",$O472))</f>
        <v/>
      </c>
      <c r="AA472">
        <f>IF(OR($Q472="",$Z472=""),"",IF(AND($Z472&gt;0,$Z472&gt;=$Q472),"yes","below the line"))</f>
        <v/>
      </c>
      <c r="AB472">
        <f>IF($V472,IF($M472="","",$M472),IF($K472="","",$K472))</f>
        <v/>
      </c>
      <c r="AC472">
        <f>IF($V472,IF($N472="","",$N472),IF($L472="","",$L472))</f>
        <v/>
      </c>
      <c r="AD472">
        <f>IF($Y472="","",IF($Y472="in line",IF(profit_kind="test",IF(ROUND($AB472*100,2)=0,"0.00",TEXT($AB472*100,"+0.00;-0.00"))&amp;" points against "&amp;IF($V472,"its band","the book")&amp;", "&amp;IF($AC472="","not tested","not significant"),IF(profit_kind="points","within "&amp;TEXT(profit_line*100,"0.00")&amp;" points of "&amp;IF($V472,"its band","the book")&amp;" ("&amp;IF(ROUND($AB472*100,2)=0,"0.00",TEXT($AB472*100,"+0.00;-0.00"))&amp;")","within $"&amp;TEXT(profit_line,"#,##0")&amp;" of "&amp;IF($V472,"its band","the book")&amp;" ("&amp;IF(ROUND($AB472*100,2)=0,"0.00",TEXT($AB472*100,"+0.00;-0.00"))&amp;" points)")),IF(LEFT($Y472,5)="worse","short of ","ahead of ")&amp;IF($V472,"its band","the book")&amp;" by "&amp;TEXT(ABS($AB472)*100,"0.00")&amp;" points"&amp;IF($Z472="",""," ($"&amp;TEXT(ABS($Z472),"#,##0")&amp;")")&amp;IF(RIGHT($Y472,15)="not significant"," (not significant)","")))</f>
        <v/>
      </c>
      <c r="AE472">
        <f>IF($V472,IF($S472="","",$S472),IF($R472="","",$R472))</f>
        <v/>
      </c>
      <c r="AF472">
        <f>IF($V472,IF($U472="","",$U472),IF($T472="","",$T472))</f>
        <v/>
      </c>
      <c r="AG472">
        <f>IF($V472,IF($O472="","",$O472),IF($P472="","",$P472))</f>
        <v/>
      </c>
      <c r="AH472" t="n">
        <v>0.09604406388127933</v>
      </c>
      <c r="AI472">
        <f>IF($Y472="worse","Yes",IF($Y472="worse, not significant","Not sure",IF(OR($Y472="too few losses to test",$Y472="too few loans to test"),"Too few losses",IF($Y472="","","No"))))</f>
        <v/>
      </c>
      <c r="AJ472">
        <f>IF($AA472="yes","Yes",IF($AA472="","","No"))</f>
        <v/>
      </c>
    </row>
    <row r="473">
      <c r="A473" t="inlineStr">
        <is>
          <t>three-way</t>
        </is>
      </c>
      <c r="B473" t="inlineStr">
        <is>
          <t>FICO x CHANNEL / SYS_FLAG</t>
        </is>
      </c>
      <c r="C473" t="inlineStr">
        <is>
          <t>712 - 745</t>
        </is>
      </c>
      <c r="D473" t="inlineStr">
        <is>
          <t>Broker / SYS_FLAG Y</t>
        </is>
      </c>
      <c r="E473" t="inlineStr">
        <is>
          <t>contribution_rate</t>
        </is>
      </c>
      <c r="F473" t="inlineStr">
        <is>
          <t>Contribution before losses per booked dollar</t>
        </is>
      </c>
      <c r="G473" t="n">
        <v>218</v>
      </c>
      <c r="H473" t="n">
        <v>7036667.47</v>
      </c>
      <c r="I473" t="b">
        <v>0</v>
      </c>
      <c r="J473" t="b">
        <v>0</v>
      </c>
      <c r="K473" t="n">
        <v>-0.0559213260085846</v>
      </c>
      <c r="L473" t="n">
        <v>0.000184981501849815</v>
      </c>
      <c r="M473" t="n">
        <v>-0.01275509832669688</v>
      </c>
      <c r="N473" t="n">
        <v>0.08306861621530154</v>
      </c>
      <c r="O473" t="n">
        <v>393499.7756038723</v>
      </c>
      <c r="P473" t="n">
        <v>89753.38547211944</v>
      </c>
      <c r="Q473">
        <f>'_live'!$C$24</f>
        <v/>
      </c>
      <c r="R473" t="inlineStr">
        <is>
          <t>shuffled: 0 of 10,000</t>
        </is>
      </c>
      <c r="S473" t="inlineStr">
        <is>
          <t>shuffled: 299 of 10,000</t>
        </is>
      </c>
      <c r="T473" t="n">
        <v>0.1711174786555421</v>
      </c>
      <c r="U473" t="n">
        <v>0.1279512509736544</v>
      </c>
      <c r="V473">
        <f>AND(judged_band,NOT($J473))</f>
        <v/>
      </c>
      <c r="W473">
        <f>IF($K473="","",IF(profit_kind="test",IF(OR(NOT(AND(ISNUMBER($L473),$L473&lt;significance_bar)),$K473=0),"in line",IF($K473&lt;0,"worse","better")),IF(OR($K473=0,IF(profit_kind="points",ABS($K473),ABS($K473*$H473))&lt;profit_line*(1-1E-9)),"in line",IF(AND(ISNUMBER($L473),$L473&lt;significance_bar),IF($K473&lt;0,"worse","better"),IF($K473&lt;0,"worse, not significant","better, not significant")))))</f>
        <v/>
      </c>
      <c r="X473">
        <f>IF($M473="","",IF(profit_kind="test",IF(OR(NOT(AND(ISNUMBER($N473),$N473&lt;significance_bar)),$M473=0),"in line",IF($M473&lt;0,"worse","better")),IF(OR($M473=0,IF(profit_kind="points",ABS($M473),ABS($M473*$H473))&lt;profit_line*(1-1E-9)),"in line",IF(AND(ISNUMBER($N473),$N473&lt;significance_bar),IF($M473&lt;0,"worse","better"),IF($M473&lt;0,"worse, not significant","better, not significant")))))</f>
        <v/>
      </c>
      <c r="Y473">
        <f>IF($V473,$X473,$W473)</f>
        <v/>
      </c>
      <c r="Z473">
        <f>IF($V473,IF($P473="","",$P473),IF($O473="","",$O473))</f>
        <v/>
      </c>
      <c r="AA473">
        <f>IF(OR($Q473="",$Z473=""),"",IF(AND($Z473&gt;0,$Z473&gt;=$Q473),"yes","below the line"))</f>
        <v/>
      </c>
      <c r="AB473">
        <f>IF($V473,IF($M473="","",$M473),IF($K473="","",$K473))</f>
        <v/>
      </c>
      <c r="AC473">
        <f>IF($V473,IF($N473="","",$N473),IF($L473="","",$L473))</f>
        <v/>
      </c>
      <c r="AD473">
        <f>IF($Y473="","",IF($Y473="in line",IF(profit_kind="test",IF(ROUND($AB473*100,2)=0,"0.00",TEXT($AB473*100,"+0.00;-0.00"))&amp;" points against "&amp;IF($V473,"its band","the book")&amp;", "&amp;IF($AC473="","not tested","not significant"),IF(profit_kind="points","within "&amp;TEXT(profit_line*100,"0.00")&amp;" points of "&amp;IF($V473,"its band","the book")&amp;" ("&amp;IF(ROUND($AB473*100,2)=0,"0.00",TEXT($AB473*100,"+0.00;-0.00"))&amp;")","within $"&amp;TEXT(profit_line,"#,##0")&amp;" of "&amp;IF($V473,"its band","the book")&amp;" ("&amp;IF(ROUND($AB473*100,2)=0,"0.00",TEXT($AB473*100,"+0.00;-0.00"))&amp;" points)")),IF(LEFT($Y473,5)="worse","short of ","ahead of ")&amp;IF($V473,"its band","the book")&amp;" by "&amp;TEXT(ABS($AB473)*100,"0.00")&amp;" points"&amp;IF($Z473="",""," ($"&amp;TEXT(ABS($Z473),"#,##0")&amp;")")&amp;IF(RIGHT($Y473,15)="not significant"," (not significant)","")))</f>
        <v/>
      </c>
      <c r="AE473">
        <f>IF($V473,IF($S473="","",$S473),IF($R473="","",$R473))</f>
        <v/>
      </c>
      <c r="AF473">
        <f>IF($V473,IF($U473="","",$U473),IF($T473="","",$T473))</f>
        <v/>
      </c>
      <c r="AG473">
        <f>IF($V473,IF($O473="","",$O473),IF($P473="","",$P473))</f>
        <v/>
      </c>
      <c r="AH473" t="n">
        <v>0.1151961526469575</v>
      </c>
      <c r="AI473">
        <f>IF($Y473="worse","Yes",IF($Y473="worse, not significant","Not sure",IF(OR($Y473="too few losses to test",$Y473="too few loans to test"),"Too few losses",IF($Y473="","","No"))))</f>
        <v/>
      </c>
      <c r="AJ473">
        <f>IF($AA473="yes","Yes",IF($AA473="","","No"))</f>
        <v/>
      </c>
    </row>
    <row r="474">
      <c r="A474" t="inlineStr">
        <is>
          <t>three-way</t>
        </is>
      </c>
      <c r="B474" t="inlineStr">
        <is>
          <t>FICO x CHANNEL / SYS_FLAG</t>
        </is>
      </c>
      <c r="C474" t="inlineStr">
        <is>
          <t>686 - 711</t>
        </is>
      </c>
      <c r="D474" t="inlineStr">
        <is>
          <t>Online / SYS_FLAG Y</t>
        </is>
      </c>
      <c r="E474" t="inlineStr">
        <is>
          <t>outcome_loans</t>
        </is>
      </c>
      <c r="F474" t="inlineStr">
        <is>
          <t>Outcome, share of loans</t>
        </is>
      </c>
      <c r="G474" t="n">
        <v>249</v>
      </c>
      <c r="H474" t="n">
        <v>249</v>
      </c>
      <c r="I474" t="b">
        <v>0</v>
      </c>
      <c r="J474" t="b">
        <v>0</v>
      </c>
      <c r="K474" t="n">
        <v>1.364649153104831</v>
      </c>
      <c r="L474" t="n">
        <v>0.201587627026289</v>
      </c>
      <c r="M474" t="n">
        <v>1.958577165806081</v>
      </c>
      <c r="N474" t="n">
        <v>0.01040445809315943</v>
      </c>
      <c r="O474" t="n">
        <v>6.947483870967744</v>
      </c>
      <c r="P474" t="n">
        <v>12.72505712109673</v>
      </c>
      <c r="Q474">
        <f>'_live'!$C$20</f>
        <v/>
      </c>
      <c r="R474" t="inlineStr">
        <is>
          <t>z test</t>
        </is>
      </c>
      <c r="S474" t="inlineStr">
        <is>
          <t>z test</t>
        </is>
      </c>
      <c r="T474" t="n">
        <v>0.07651612903225806</v>
      </c>
      <c r="U474" t="n">
        <v>0.05331302361005331</v>
      </c>
      <c r="V474">
        <f>AND(judged_band,NOT($J474))</f>
        <v/>
      </c>
      <c r="W474">
        <f>IF($K474="","",IF($I474,"too few losses to test",IF(AND($K474&gt;better_at,$K474&lt;worse_at),"in line",IF($K474&gt;=worse_at,IF(AND(ISNUMBER($L474),$L474&lt;significance_bar),"worse","worse, not significant"),IF(AND(ISNUMBER($L474),$L474&lt;significance_bar),"better","better, not significant")))))</f>
        <v/>
      </c>
      <c r="X474">
        <f>IF($M474="","",IF($I474,"too few losses to test",IF(AND($M474&gt;better_at,$M474&lt;worse_at),"in line",IF($M474&gt;=worse_at,IF(AND(ISNUMBER($N474),$N474&lt;significance_bar),"worse","worse, not significant"),IF(AND(ISNUMBER($N474),$N474&lt;significance_bar),"better","better, not significant")))))</f>
        <v/>
      </c>
      <c r="Y474">
        <f>IF($V474,$X474,$W474)</f>
        <v/>
      </c>
      <c r="Z474">
        <f>IF($V474,IF($P474="","",$P474),IF($O474="","",$O474))</f>
        <v/>
      </c>
      <c r="AA474">
        <f>IF(OR($Q474="",$Z474=""),"",IF(AND($Z474&gt;0,$Z474&gt;=$Q474),"yes","below the line"))</f>
        <v/>
      </c>
      <c r="AB474">
        <f>IF($V474,IF($M474="","",$M474),IF($K474="","",$K474))</f>
        <v/>
      </c>
      <c r="AC474">
        <f>IF($V474,IF($N474="","",$N474),IF($L474="","",$L474))</f>
        <v/>
      </c>
      <c r="AD474">
        <f>$Y474</f>
        <v/>
      </c>
      <c r="AE474">
        <f>IF($V474,IF($S474="","",$S474),IF($R474="","",$R474))</f>
        <v/>
      </c>
      <c r="AF474">
        <f>IF($V474,IF($U474="","",$U474),IF($T474="","",$T474))</f>
        <v/>
      </c>
      <c r="AG474">
        <f>IF($V474,IF($O474="","",$O474),IF($P474="","",$P474))</f>
        <v/>
      </c>
      <c r="AH474" t="n">
        <v>0.1044176706827309</v>
      </c>
      <c r="AI474">
        <f>IF($Y474="worse","Yes",IF($Y474="worse, not significant","Not sure",IF(OR($Y474="too few losses to test",$Y474="too few loans to test"),"Too few losses",IF($Y474="","","No"))))</f>
        <v/>
      </c>
      <c r="AJ474">
        <f>IF($AA474="yes","Yes",IF($AA474="","","No"))</f>
        <v/>
      </c>
    </row>
    <row r="475">
      <c r="A475" t="inlineStr">
        <is>
          <t>three-way</t>
        </is>
      </c>
      <c r="B475" t="inlineStr">
        <is>
          <t>FICO x CHANNEL / SYS_FLAG</t>
        </is>
      </c>
      <c r="C475" t="inlineStr">
        <is>
          <t>686 - 711</t>
        </is>
      </c>
      <c r="D475" t="inlineStr">
        <is>
          <t>Online / SYS_FLAG Y</t>
        </is>
      </c>
      <c r="E475" t="inlineStr">
        <is>
          <t>outcome_booked</t>
        </is>
      </c>
      <c r="F475" t="inlineStr">
        <is>
          <t>Outcome, share of booked dollars</t>
        </is>
      </c>
      <c r="G475" t="n">
        <v>249</v>
      </c>
      <c r="H475" t="n">
        <v>8542134.160000002</v>
      </c>
      <c r="I475" t="b">
        <v>0</v>
      </c>
      <c r="J475" t="b">
        <v>0</v>
      </c>
      <c r="K475" t="n">
        <v>1.528829857207106</v>
      </c>
      <c r="L475" t="n">
        <v>0.08453700084537001</v>
      </c>
      <c r="M475" t="n">
        <v>2.460958183760527</v>
      </c>
      <c r="N475" t="n">
        <v>0.001874812518748125</v>
      </c>
      <c r="O475" t="n">
        <v>332211.1182031025</v>
      </c>
      <c r="P475" t="n">
        <v>570152.329268208</v>
      </c>
      <c r="Q475">
        <f>'_live'!$C$21</f>
        <v/>
      </c>
      <c r="R475" t="inlineStr">
        <is>
          <t>shuffled: 344 of 10,000</t>
        </is>
      </c>
      <c r="S475" t="inlineStr">
        <is>
          <t>shuffled: 2 of 10,000</t>
        </is>
      </c>
      <c r="T475" t="n">
        <v>0.07354138556363966</v>
      </c>
      <c r="U475" t="n">
        <v>0.0456863780668825</v>
      </c>
      <c r="V475">
        <f>AND(judged_band,NOT($J475))</f>
        <v/>
      </c>
      <c r="W475">
        <f>IF($K475="","",IF($I475,"too few losses to test",IF(AND($K475&gt;better_at,$K475&lt;worse_at),"in line",IF($K475&gt;=worse_at,IF(AND(ISNUMBER($L475),$L475&lt;significance_bar),"worse","worse, not significant"),IF(AND(ISNUMBER($L475),$L475&lt;significance_bar),"better","better, not significant")))))</f>
        <v/>
      </c>
      <c r="X475">
        <f>IF($M475="","",IF($I475,"too few losses to test",IF(AND($M475&gt;better_at,$M475&lt;worse_at),"in line",IF($M475&gt;=worse_at,IF(AND(ISNUMBER($N475),$N475&lt;significance_bar),"worse","worse, not significant"),IF(AND(ISNUMBER($N475),$N475&lt;significance_bar),"better","better, not significant")))))</f>
        <v/>
      </c>
      <c r="Y475">
        <f>IF($V475,$X475,$W475)</f>
        <v/>
      </c>
      <c r="Z475">
        <f>IF($V475,IF($P475="","",$P475),IF($O475="","",$O475))</f>
        <v/>
      </c>
      <c r="AA475">
        <f>IF(OR($Q475="",$Z475=""),"",IF(AND($Z475&gt;0,$Z475&gt;=$Q475),"yes","below the line"))</f>
        <v/>
      </c>
      <c r="AB475">
        <f>IF($V475,IF($M475="","",$M475),IF($K475="","",$K475))</f>
        <v/>
      </c>
      <c r="AC475">
        <f>IF($V475,IF($N475="","",$N475),IF($L475="","",$L475))</f>
        <v/>
      </c>
      <c r="AD475">
        <f>$Y475</f>
        <v/>
      </c>
      <c r="AE475">
        <f>IF($V475,IF($S475="","",$S475),IF($R475="","",$R475))</f>
        <v/>
      </c>
      <c r="AF475">
        <f>IF($V475,IF($U475="","",$U475),IF($T475="","",$T475))</f>
        <v/>
      </c>
      <c r="AG475">
        <f>IF($V475,IF($O475="","",$O475),IF($P475="","",$P475))</f>
        <v/>
      </c>
      <c r="AH475" t="n">
        <v>0.1124322659900719</v>
      </c>
      <c r="AI475">
        <f>IF($Y475="worse","Yes",IF($Y475="worse, not significant","Not sure",IF(OR($Y475="too few losses to test",$Y475="too few loans to test"),"Too few losses",IF($Y475="","","No"))))</f>
        <v/>
      </c>
      <c r="AJ475">
        <f>IF($AA475="yes","Yes",IF($AA475="","","No"))</f>
        <v/>
      </c>
    </row>
    <row r="476">
      <c r="A476" t="inlineStr">
        <is>
          <t>three-way</t>
        </is>
      </c>
      <c r="B476" t="inlineStr">
        <is>
          <t>FICO x CHANNEL / SYS_FLAG</t>
        </is>
      </c>
      <c r="C476" t="inlineStr">
        <is>
          <t>686 - 711</t>
        </is>
      </c>
      <c r="D476" t="inlineStr">
        <is>
          <t>Online / SYS_FLAG Y</t>
        </is>
      </c>
      <c r="E476" t="inlineStr">
        <is>
          <t>gco_rate</t>
        </is>
      </c>
      <c r="F476" t="inlineStr">
        <is>
          <t>GCO per booked dollar</t>
        </is>
      </c>
      <c r="G476" t="n">
        <v>249</v>
      </c>
      <c r="H476" t="n">
        <v>8542134.160000002</v>
      </c>
      <c r="I476" t="b">
        <v>0</v>
      </c>
      <c r="J476" t="b">
        <v>0</v>
      </c>
      <c r="K476" t="n">
        <v>1.575371417261857</v>
      </c>
      <c r="L476" t="n">
        <v>0.0786032507860325</v>
      </c>
      <c r="M476" t="n">
        <v>2.581234517227557</v>
      </c>
      <c r="N476" t="n">
        <v>0.00124987501249875</v>
      </c>
      <c r="O476" t="n">
        <v>200663.4984277753</v>
      </c>
      <c r="P476" t="n">
        <v>336567.2696763862</v>
      </c>
      <c r="Q476">
        <f>'_live'!$C$22</f>
        <v/>
      </c>
      <c r="R476" t="inlineStr">
        <is>
          <t>shuffled: 265 of 10,000</t>
        </is>
      </c>
      <c r="S476" t="inlineStr">
        <is>
          <t>shuffled: 0 of 10,000</t>
        </is>
      </c>
      <c r="T476" t="n">
        <v>0.04082758653046309</v>
      </c>
      <c r="U476" t="n">
        <v>0.02491777187489335</v>
      </c>
      <c r="V476">
        <f>AND(judged_band,NOT($J476))</f>
        <v/>
      </c>
      <c r="W476">
        <f>IF($K476="","",IF($I476,"too few losses to test",IF(AND($K476&gt;better_at,$K476&lt;worse_at),"in line",IF($K476&gt;=worse_at,IF(AND(ISNUMBER($L476),$L476&lt;significance_bar),"worse","worse, not significant"),IF(AND(ISNUMBER($L476),$L476&lt;significance_bar),"better","better, not significant")))))</f>
        <v/>
      </c>
      <c r="X476">
        <f>IF($M476="","",IF($I476,"too few losses to test",IF(AND($M476&gt;better_at,$M476&lt;worse_at),"in line",IF($M476&gt;=worse_at,IF(AND(ISNUMBER($N476),$N476&lt;significance_bar),"worse","worse, not significant"),IF(AND(ISNUMBER($N476),$N476&lt;significance_bar),"better","better, not significant")))))</f>
        <v/>
      </c>
      <c r="Y476">
        <f>IF($V476,$X476,$W476)</f>
        <v/>
      </c>
      <c r="Z476">
        <f>IF($V476,IF($P476="","",$P476),IF($O476="","",$O476))</f>
        <v/>
      </c>
      <c r="AA476">
        <f>IF(OR($Q476="",$Z476=""),"",IF(AND($Z476&gt;0,$Z476&gt;=$Q476),"yes","below the line"))</f>
        <v/>
      </c>
      <c r="AB476">
        <f>IF($V476,IF($M476="","",$M476),IF($K476="","",$K476))</f>
        <v/>
      </c>
      <c r="AC476">
        <f>IF($V476,IF($N476="","",$N476),IF($L476="","",$L476))</f>
        <v/>
      </c>
      <c r="AD476">
        <f>$Y476</f>
        <v/>
      </c>
      <c r="AE476">
        <f>IF($V476,IF($S476="","",$S476),IF($R476="","",$R476))</f>
        <v/>
      </c>
      <c r="AF476">
        <f>IF($V476,IF($U476="","",$U476),IF($T476="","",$T476))</f>
        <v/>
      </c>
      <c r="AG476">
        <f>IF($V476,IF($O476="","",$O476),IF($P476="","",$P476))</f>
        <v/>
      </c>
      <c r="AH476" t="n">
        <v>0.06431861285587674</v>
      </c>
      <c r="AI476">
        <f>IF($Y476="worse","Yes",IF($Y476="worse, not significant","Not sure",IF(OR($Y476="too few losses to test",$Y476="too few loans to test"),"Too few losses",IF($Y476="","","No"))))</f>
        <v/>
      </c>
      <c r="AJ476">
        <f>IF($AA476="yes","Yes",IF($AA476="","","No"))</f>
        <v/>
      </c>
    </row>
    <row r="477">
      <c r="A477" t="inlineStr">
        <is>
          <t>three-way</t>
        </is>
      </c>
      <c r="B477" t="inlineStr">
        <is>
          <t>FICO x CHANNEL / SYS_FLAG</t>
        </is>
      </c>
      <c r="C477" t="inlineStr">
        <is>
          <t>686 - 711</t>
        </is>
      </c>
      <c r="D477" t="inlineStr">
        <is>
          <t>Online / SYS_FLAG Y</t>
        </is>
      </c>
      <c r="E477" t="inlineStr">
        <is>
          <t>ranr_rate</t>
        </is>
      </c>
      <c r="F477" t="inlineStr">
        <is>
          <t>Profit after losses: RANR per booked dollar</t>
        </is>
      </c>
      <c r="G477" t="n">
        <v>249</v>
      </c>
      <c r="H477" t="n">
        <v>8542134.160000002</v>
      </c>
      <c r="I477" t="b">
        <v>0</v>
      </c>
      <c r="J477" t="b">
        <v>0</v>
      </c>
      <c r="K477" t="n">
        <v>0.01070310570241076</v>
      </c>
      <c r="L477" t="n">
        <v>0.5548123759052667</v>
      </c>
      <c r="M477" t="n">
        <v>-0.004299306240450995</v>
      </c>
      <c r="N477" t="n">
        <v>0.9530046995300471</v>
      </c>
      <c r="O477" t="n">
        <v>-91427.36483865394</v>
      </c>
      <c r="P477" t="n">
        <v>36725.25070085749</v>
      </c>
      <c r="Q477">
        <f>'_live'!$C$23</f>
        <v/>
      </c>
      <c r="R477" t="inlineStr">
        <is>
          <t>shuffled: 4,177 of 10,000</t>
        </is>
      </c>
      <c r="S477" t="inlineStr">
        <is>
          <t>shuffled: 7,344 of 10,000</t>
        </is>
      </c>
      <c r="T477" t="n">
        <v>0.1276357740044376</v>
      </c>
      <c r="U477" t="n">
        <v>0.1426381859472993</v>
      </c>
      <c r="V477">
        <f>AND(judged_band,NOT($J477))</f>
        <v/>
      </c>
      <c r="W477">
        <f>IF($K477="","",IF(profit_kind="test",IF(OR(NOT(AND(ISNUMBER($L477),$L477&lt;significance_bar)),$K477=0),"in line",IF($K477&lt;0,"worse","better")),IF(OR($K477=0,IF(profit_kind="points",ABS($K477),ABS($K477*$H477))&lt;profit_line*(1-1E-9)),"in line",IF(AND(ISNUMBER($L477),$L477&lt;significance_bar),IF($K477&lt;0,"worse","better"),IF($K477&lt;0,"worse, not significant","better, not significant")))))</f>
        <v/>
      </c>
      <c r="X477">
        <f>IF($M477="","",IF(profit_kind="test",IF(OR(NOT(AND(ISNUMBER($N477),$N477&lt;significance_bar)),$M477=0),"in line",IF($M477&lt;0,"worse","better")),IF(OR($M477=0,IF(profit_kind="points",ABS($M477),ABS($M477*$H477))&lt;profit_line*(1-1E-9)),"in line",IF(AND(ISNUMBER($N477),$N477&lt;significance_bar),IF($M477&lt;0,"worse","better"),IF($M477&lt;0,"worse, not significant","better, not significant")))))</f>
        <v/>
      </c>
      <c r="Y477">
        <f>IF($V477,$X477,$W477)</f>
        <v/>
      </c>
      <c r="Z477">
        <f>IF($V477,IF($P477="","",$P477),IF($O477="","",$O477))</f>
        <v/>
      </c>
      <c r="AA477">
        <f>IF(OR($Q477="",$Z477=""),"",IF(AND($Z477&gt;0,$Z477&gt;=$Q477),"yes","below the line"))</f>
        <v/>
      </c>
      <c r="AB477">
        <f>IF($V477,IF($M477="","",$M477),IF($K477="","",$K477))</f>
        <v/>
      </c>
      <c r="AC477">
        <f>IF($V477,IF($N477="","",$N477),IF($L477="","",$L477))</f>
        <v/>
      </c>
      <c r="AD477">
        <f>IF($Y477="","",IF($Y477="in line",IF(profit_kind="test",IF(ROUND($AB477*100,2)=0,"0.00",TEXT($AB477*100,"+0.00;-0.00"))&amp;" points against "&amp;IF($V477,"its band","the book")&amp;", "&amp;IF($AC477="","not tested","not significant"),IF(profit_kind="points","within "&amp;TEXT(profit_line*100,"0.00")&amp;" points of "&amp;IF($V477,"its band","the book")&amp;" ("&amp;IF(ROUND($AB477*100,2)=0,"0.00",TEXT($AB477*100,"+0.00;-0.00"))&amp;")","within $"&amp;TEXT(profit_line,"#,##0")&amp;" of "&amp;IF($V477,"its band","the book")&amp;" ("&amp;IF(ROUND($AB477*100,2)=0,"0.00",TEXT($AB477*100,"+0.00;-0.00"))&amp;" points)")),IF(LEFT($Y477,5)="worse","short of ","ahead of ")&amp;IF($V477,"its band","the book")&amp;" by "&amp;TEXT(ABS($AB477)*100,"0.00")&amp;" points"&amp;IF($Z477="",""," ($"&amp;TEXT(ABS($Z477),"#,##0")&amp;")")&amp;IF(RIGHT($Y477,15)="not significant"," (not significant)","")))</f>
        <v/>
      </c>
      <c r="AE477">
        <f>IF($V477,IF($S477="","",$S477),IF($R477="","",$R477))</f>
        <v/>
      </c>
      <c r="AF477">
        <f>IF($V477,IF($U477="","",$U477),IF($T477="","",$T477))</f>
        <v/>
      </c>
      <c r="AG477">
        <f>IF($V477,IF($O477="","",$O477),IF($P477="","",$P477))</f>
        <v/>
      </c>
      <c r="AH477" t="n">
        <v>0.1383388797068483</v>
      </c>
      <c r="AI477">
        <f>IF($Y477="worse","Yes",IF($Y477="worse, not significant","Not sure",IF(OR($Y477="too few losses to test",$Y477="too few loans to test"),"Too few losses",IF($Y477="","","No"))))</f>
        <v/>
      </c>
      <c r="AJ477">
        <f>IF($AA477="yes","Yes",IF($AA477="","","No"))</f>
        <v/>
      </c>
    </row>
    <row r="478">
      <c r="A478" t="inlineStr">
        <is>
          <t>three-way</t>
        </is>
      </c>
      <c r="B478" t="inlineStr">
        <is>
          <t>FICO x CHANNEL / SYS_FLAG</t>
        </is>
      </c>
      <c r="C478" t="inlineStr">
        <is>
          <t>686 - 711</t>
        </is>
      </c>
      <c r="D478" t="inlineStr">
        <is>
          <t>Online / SYS_FLAG Y</t>
        </is>
      </c>
      <c r="E478" t="inlineStr">
        <is>
          <t>contribution_rate</t>
        </is>
      </c>
      <c r="F478" t="inlineStr">
        <is>
          <t>Contribution before losses per booked dollar</t>
        </is>
      </c>
      <c r="G478" t="n">
        <v>249</v>
      </c>
      <c r="H478" t="n">
        <v>8542134.160000002</v>
      </c>
      <c r="I478" t="b">
        <v>0</v>
      </c>
      <c r="J478" t="b">
        <v>0</v>
      </c>
      <c r="K478" t="n">
        <v>0.03419714552425421</v>
      </c>
      <c r="L478" t="n">
        <v>0.0003363300033633001</v>
      </c>
      <c r="M478" t="n">
        <v>0.0351015347405324</v>
      </c>
      <c r="N478" t="n">
        <v>0.0005999400059994001</v>
      </c>
      <c r="O478" t="n">
        <v>-292116.6049572229</v>
      </c>
      <c r="P478" t="n">
        <v>-299842.0189755287</v>
      </c>
      <c r="Q478">
        <f>'_live'!$C$24</f>
        <v/>
      </c>
      <c r="R478" t="inlineStr">
        <is>
          <t>shuffled: 1 of 10,000</t>
        </is>
      </c>
      <c r="S478" t="inlineStr">
        <is>
          <t>shuffled: 0 of 10,000</t>
        </is>
      </c>
      <c r="T478" t="n">
        <v>0.1684603470384709</v>
      </c>
      <c r="U478" t="n">
        <v>0.1675559578221927</v>
      </c>
      <c r="V478">
        <f>AND(judged_band,NOT($J478))</f>
        <v/>
      </c>
      <c r="W478">
        <f>IF($K478="","",IF(profit_kind="test",IF(OR(NOT(AND(ISNUMBER($L478),$L478&lt;significance_bar)),$K478=0),"in line",IF($K478&lt;0,"worse","better")),IF(OR($K478=0,IF(profit_kind="points",ABS($K478),ABS($K478*$H478))&lt;profit_line*(1-1E-9)),"in line",IF(AND(ISNUMBER($L478),$L478&lt;significance_bar),IF($K478&lt;0,"worse","better"),IF($K478&lt;0,"worse, not significant","better, not significant")))))</f>
        <v/>
      </c>
      <c r="X478">
        <f>IF($M478="","",IF(profit_kind="test",IF(OR(NOT(AND(ISNUMBER($N478),$N478&lt;significance_bar)),$M478=0),"in line",IF($M478&lt;0,"worse","better")),IF(OR($M478=0,IF(profit_kind="points",ABS($M478),ABS($M478*$H478))&lt;profit_line*(1-1E-9)),"in line",IF(AND(ISNUMBER($N478),$N478&lt;significance_bar),IF($M478&lt;0,"worse","better"),IF($M478&lt;0,"worse, not significant","better, not significant")))))</f>
        <v/>
      </c>
      <c r="Y478">
        <f>IF($V478,$X478,$W478)</f>
        <v/>
      </c>
      <c r="Z478">
        <f>IF($V478,IF($P478="","",$P478),IF($O478="","",$O478))</f>
        <v/>
      </c>
      <c r="AA478">
        <f>IF(OR($Q478="",$Z478=""),"",IF(AND($Z478&gt;0,$Z478&gt;=$Q478),"yes","below the line"))</f>
        <v/>
      </c>
      <c r="AB478">
        <f>IF($V478,IF($M478="","",$M478),IF($K478="","",$K478))</f>
        <v/>
      </c>
      <c r="AC478">
        <f>IF($V478,IF($N478="","",$N478),IF($L478="","",$L478))</f>
        <v/>
      </c>
      <c r="AD478">
        <f>IF($Y478="","",IF($Y478="in line",IF(profit_kind="test",IF(ROUND($AB478*100,2)=0,"0.00",TEXT($AB478*100,"+0.00;-0.00"))&amp;" points against "&amp;IF($V478,"its band","the book")&amp;", "&amp;IF($AC478="","not tested","not significant"),IF(profit_kind="points","within "&amp;TEXT(profit_line*100,"0.00")&amp;" points of "&amp;IF($V478,"its band","the book")&amp;" ("&amp;IF(ROUND($AB478*100,2)=0,"0.00",TEXT($AB478*100,"+0.00;-0.00"))&amp;")","within $"&amp;TEXT(profit_line,"#,##0")&amp;" of "&amp;IF($V478,"its band","the book")&amp;" ("&amp;IF(ROUND($AB478*100,2)=0,"0.00",TEXT($AB478*100,"+0.00;-0.00"))&amp;" points)")),IF(LEFT($Y478,5)="worse","short of ","ahead of ")&amp;IF($V478,"its band","the book")&amp;" by "&amp;TEXT(ABS($AB478)*100,"0.00")&amp;" points"&amp;IF($Z478="",""," ($"&amp;TEXT(ABS($Z478),"#,##0")&amp;")")&amp;IF(RIGHT($Y478,15)="not significant"," (not significant)","")))</f>
        <v/>
      </c>
      <c r="AE478">
        <f>IF($V478,IF($S478="","",$S478),IF($R478="","",$R478))</f>
        <v/>
      </c>
      <c r="AF478">
        <f>IF($V478,IF($U478="","",$U478),IF($T478="","",$T478))</f>
        <v/>
      </c>
      <c r="AG478">
        <f>IF($V478,IF($O478="","",$O478),IF($P478="","",$P478))</f>
        <v/>
      </c>
      <c r="AH478" t="n">
        <v>0.2026574925627251</v>
      </c>
      <c r="AI478">
        <f>IF($Y478="worse","Yes",IF($Y478="worse, not significant","Not sure",IF(OR($Y478="too few losses to test",$Y478="too few loans to test"),"Too few losses",IF($Y478="","","No"))))</f>
        <v/>
      </c>
      <c r="AJ478">
        <f>IF($AA478="yes","Yes",IF($AA478="","","No"))</f>
        <v/>
      </c>
    </row>
    <row r="479">
      <c r="A479" t="inlineStr">
        <is>
          <t>three-way</t>
        </is>
      </c>
      <c r="B479" t="inlineStr">
        <is>
          <t>FICO x CHANNEL / SYS_FLAG</t>
        </is>
      </c>
      <c r="C479" t="inlineStr">
        <is>
          <t>746 - 921</t>
        </is>
      </c>
      <c r="D479" t="inlineStr">
        <is>
          <t>Online / SYS_FLAG Y</t>
        </is>
      </c>
      <c r="E479" t="inlineStr">
        <is>
          <t>outcome_loans</t>
        </is>
      </c>
      <c r="F479" t="inlineStr">
        <is>
          <t>Outcome, share of loans</t>
        </is>
      </c>
      <c r="G479" t="n">
        <v>225</v>
      </c>
      <c r="H479" t="n">
        <v>225</v>
      </c>
      <c r="I479" t="b">
        <v>0</v>
      </c>
      <c r="J479" t="b">
        <v>0</v>
      </c>
      <c r="K479" t="n">
        <v>0.6251023391812865</v>
      </c>
      <c r="L479" t="n">
        <v>0.201587627026289</v>
      </c>
      <c r="M479" t="n">
        <v>1.290283224400872</v>
      </c>
      <c r="N479" t="n">
        <v>0.5695214245174579</v>
      </c>
      <c r="O479" t="n">
        <v>-6.597118600463084</v>
      </c>
      <c r="P479" t="n">
        <v>2.474739970282318</v>
      </c>
      <c r="Q479">
        <f>'_live'!$C$20</f>
        <v/>
      </c>
      <c r="R479" t="inlineStr">
        <is>
          <t>z test</t>
        </is>
      </c>
      <c r="S479" t="inlineStr">
        <is>
          <t>z test</t>
        </is>
      </c>
      <c r="T479" t="n">
        <v>0.07820941600205815</v>
      </c>
      <c r="U479" t="n">
        <v>0.03789004457652303</v>
      </c>
      <c r="V479">
        <f>AND(judged_band,NOT($J479))</f>
        <v/>
      </c>
      <c r="W479">
        <f>IF($K479="","",IF($I479,"too few losses to test",IF(AND($K479&gt;better_at,$K479&lt;worse_at),"in line",IF($K479&gt;=worse_at,IF(AND(ISNUMBER($L479),$L479&lt;significance_bar),"worse","worse, not significant"),IF(AND(ISNUMBER($L479),$L479&lt;significance_bar),"better","better, not significant")))))</f>
        <v/>
      </c>
      <c r="X479">
        <f>IF($M479="","",IF($I479,"too few losses to test",IF(AND($M479&gt;better_at,$M479&lt;worse_at),"in line",IF($M479&gt;=worse_at,IF(AND(ISNUMBER($N479),$N479&lt;significance_bar),"worse","worse, not significant"),IF(AND(ISNUMBER($N479),$N479&lt;significance_bar),"better","better, not significant")))))</f>
        <v/>
      </c>
      <c r="Y479">
        <f>IF($V479,$X479,$W479)</f>
        <v/>
      </c>
      <c r="Z479">
        <f>IF($V479,IF($P479="","",$P479),IF($O479="","",$O479))</f>
        <v/>
      </c>
      <c r="AA479">
        <f>IF(OR($Q479="",$Z479=""),"",IF(AND($Z479&gt;0,$Z479&gt;=$Q479),"yes","below the line"))</f>
        <v/>
      </c>
      <c r="AB479">
        <f>IF($V479,IF($M479="","",$M479),IF($K479="","",$K479))</f>
        <v/>
      </c>
      <c r="AC479">
        <f>IF($V479,IF($N479="","",$N479),IF($L479="","",$L479))</f>
        <v/>
      </c>
      <c r="AD479">
        <f>$Y479</f>
        <v/>
      </c>
      <c r="AE479">
        <f>IF($V479,IF($S479="","",$S479),IF($R479="","",$R479))</f>
        <v/>
      </c>
      <c r="AF479">
        <f>IF($V479,IF($U479="","",$U479),IF($T479="","",$T479))</f>
        <v/>
      </c>
      <c r="AG479">
        <f>IF($V479,IF($O479="","",$O479),IF($P479="","",$P479))</f>
        <v/>
      </c>
      <c r="AH479" t="n">
        <v>0.04888888888888889</v>
      </c>
      <c r="AI479">
        <f>IF($Y479="worse","Yes",IF($Y479="worse, not significant","Not sure",IF(OR($Y479="too few losses to test",$Y479="too few loans to test"),"Too few losses",IF($Y479="","","No"))))</f>
        <v/>
      </c>
      <c r="AJ479">
        <f>IF($AA479="yes","Yes",IF($AA479="","","No"))</f>
        <v/>
      </c>
    </row>
    <row r="480">
      <c r="A480" t="inlineStr">
        <is>
          <t>three-way</t>
        </is>
      </c>
      <c r="B480" t="inlineStr">
        <is>
          <t>FICO x CHANNEL / SYS_FLAG</t>
        </is>
      </c>
      <c r="C480" t="inlineStr">
        <is>
          <t>746 - 921</t>
        </is>
      </c>
      <c r="D480" t="inlineStr">
        <is>
          <t>Online / SYS_FLAG Y</t>
        </is>
      </c>
      <c r="E480" t="inlineStr">
        <is>
          <t>outcome_booked</t>
        </is>
      </c>
      <c r="F480" t="inlineStr">
        <is>
          <t>Outcome, share of booked dollars</t>
        </is>
      </c>
      <c r="G480" t="n">
        <v>225</v>
      </c>
      <c r="H480" t="n">
        <v>7452915.570000002</v>
      </c>
      <c r="I480" t="b">
        <v>0</v>
      </c>
      <c r="J480" t="b">
        <v>0</v>
      </c>
      <c r="K480" t="n">
        <v>0.64561040885966</v>
      </c>
      <c r="L480" t="n">
        <v>0.269504299570043</v>
      </c>
      <c r="M480" t="n">
        <v>1.404319146137164</v>
      </c>
      <c r="N480" t="n">
        <v>0.5509975318257648</v>
      </c>
      <c r="O480" t="n">
        <v>-199684.6713735468</v>
      </c>
      <c r="P480" t="n">
        <v>104735.2284676804</v>
      </c>
      <c r="Q480">
        <f>'_live'!$C$21</f>
        <v/>
      </c>
      <c r="R480" t="inlineStr">
        <is>
          <t>shuffled: 1,724 of 10,000</t>
        </is>
      </c>
      <c r="S480" t="inlineStr">
        <is>
          <t>shuffled: 3,346 of 10,000</t>
        </is>
      </c>
      <c r="T480" t="n">
        <v>0.07560274580885218</v>
      </c>
      <c r="U480" t="n">
        <v>0.03475699933795433</v>
      </c>
      <c r="V480">
        <f>AND(judged_band,NOT($J480))</f>
        <v/>
      </c>
      <c r="W480">
        <f>IF($K480="","",IF($I480,"too few losses to test",IF(AND($K480&gt;better_at,$K480&lt;worse_at),"in line",IF($K480&gt;=worse_at,IF(AND(ISNUMBER($L480),$L480&lt;significance_bar),"worse","worse, not significant"),IF(AND(ISNUMBER($L480),$L480&lt;significance_bar),"better","better, not significant")))))</f>
        <v/>
      </c>
      <c r="X480">
        <f>IF($M480="","",IF($I480,"too few losses to test",IF(AND($M480&gt;better_at,$M480&lt;worse_at),"in line",IF($M480&gt;=worse_at,IF(AND(ISNUMBER($N480),$N480&lt;significance_bar),"worse","worse, not significant"),IF(AND(ISNUMBER($N480),$N480&lt;significance_bar),"better","better, not significant")))))</f>
        <v/>
      </c>
      <c r="Y480">
        <f>IF($V480,$X480,$W480)</f>
        <v/>
      </c>
      <c r="Z480">
        <f>IF($V480,IF($P480="","",$P480),IF($O480="","",$O480))</f>
        <v/>
      </c>
      <c r="AA480">
        <f>IF(OR($Q480="",$Z480=""),"",IF(AND($Z480&gt;0,$Z480&gt;=$Q480),"yes","below the line"))</f>
        <v/>
      </c>
      <c r="AB480">
        <f>IF($V480,IF($M480="","",$M480),IF($K480="","",$K480))</f>
        <v/>
      </c>
      <c r="AC480">
        <f>IF($V480,IF($N480="","",$N480),IF($L480="","",$L480))</f>
        <v/>
      </c>
      <c r="AD480">
        <f>$Y480</f>
        <v/>
      </c>
      <c r="AE480">
        <f>IF($V480,IF($S480="","",$S480),IF($R480="","",$R480))</f>
        <v/>
      </c>
      <c r="AF480">
        <f>IF($V480,IF($U480="","",$U480),IF($T480="","",$T480))</f>
        <v/>
      </c>
      <c r="AG480">
        <f>IF($V480,IF($O480="","",$O480),IF($P480="","",$P480))</f>
        <v/>
      </c>
      <c r="AH480" t="n">
        <v>0.04880991963256601</v>
      </c>
      <c r="AI480">
        <f>IF($Y480="worse","Yes",IF($Y480="worse, not significant","Not sure",IF(OR($Y480="too few losses to test",$Y480="too few loans to test"),"Too few losses",IF($Y480="","","No"))))</f>
        <v/>
      </c>
      <c r="AJ480">
        <f>IF($AA480="yes","Yes",IF($AA480="","","No"))</f>
        <v/>
      </c>
    </row>
    <row r="481">
      <c r="A481" t="inlineStr">
        <is>
          <t>three-way</t>
        </is>
      </c>
      <c r="B481" t="inlineStr">
        <is>
          <t>FICO x CHANNEL / SYS_FLAG</t>
        </is>
      </c>
      <c r="C481" t="inlineStr">
        <is>
          <t>746 - 921</t>
        </is>
      </c>
      <c r="D481" t="inlineStr">
        <is>
          <t>Online / SYS_FLAG Y</t>
        </is>
      </c>
      <c r="E481" t="inlineStr">
        <is>
          <t>gco_rate</t>
        </is>
      </c>
      <c r="F481" t="inlineStr">
        <is>
          <t>GCO per booked dollar</t>
        </is>
      </c>
      <c r="G481" t="n">
        <v>225</v>
      </c>
      <c r="H481" t="n">
        <v>7452915.570000002</v>
      </c>
      <c r="I481" t="b">
        <v>0</v>
      </c>
      <c r="J481" t="b">
        <v>0</v>
      </c>
      <c r="K481" t="n">
        <v>0.5714742249815863</v>
      </c>
      <c r="L481" t="n">
        <v>0.1964803519648035</v>
      </c>
      <c r="M481" t="n">
        <v>1.29424918616927</v>
      </c>
      <c r="N481" t="n">
        <v>0.6423041906335683</v>
      </c>
      <c r="O481" t="n">
        <v>-134542.8110353932</v>
      </c>
      <c r="P481" t="n">
        <v>40792.24105260058</v>
      </c>
      <c r="Q481">
        <f>'_live'!$C$22</f>
        <v/>
      </c>
      <c r="R481" t="inlineStr">
        <is>
          <t>shuffled: 1,112 of 10,000</t>
        </is>
      </c>
      <c r="S481" t="inlineStr">
        <is>
          <t>shuffled: 4,881 of 10,000</t>
        </is>
      </c>
      <c r="T481" t="n">
        <v>0.04212669096899391</v>
      </c>
      <c r="U481" t="n">
        <v>0.01860099147042925</v>
      </c>
      <c r="V481">
        <f>AND(judged_band,NOT($J481))</f>
        <v/>
      </c>
      <c r="W481">
        <f>IF($K481="","",IF($I481,"too few losses to test",IF(AND($K481&gt;better_at,$K481&lt;worse_at),"in line",IF($K481&gt;=worse_at,IF(AND(ISNUMBER($L481),$L481&lt;significance_bar),"worse","worse, not significant"),IF(AND(ISNUMBER($L481),$L481&lt;significance_bar),"better","better, not significant")))))</f>
        <v/>
      </c>
      <c r="X481">
        <f>IF($M481="","",IF($I481,"too few losses to test",IF(AND($M481&gt;better_at,$M481&lt;worse_at),"in line",IF($M481&gt;=worse_at,IF(AND(ISNUMBER($N481),$N481&lt;significance_bar),"worse","worse, not significant"),IF(AND(ISNUMBER($N481),$N481&lt;significance_bar),"better","better, not significant")))))</f>
        <v/>
      </c>
      <c r="Y481">
        <f>IF($V481,$X481,$W481)</f>
        <v/>
      </c>
      <c r="Z481">
        <f>IF($V481,IF($P481="","",$P481),IF($O481="","",$O481))</f>
        <v/>
      </c>
      <c r="AA481">
        <f>IF(OR($Q481="",$Z481=""),"",IF(AND($Z481&gt;0,$Z481&gt;=$Q481),"yes","below the line"))</f>
        <v/>
      </c>
      <c r="AB481">
        <f>IF($V481,IF($M481="","",$M481),IF($K481="","",$K481))</f>
        <v/>
      </c>
      <c r="AC481">
        <f>IF($V481,IF($N481="","",$N481),IF($L481="","",$L481))</f>
        <v/>
      </c>
      <c r="AD481">
        <f>$Y481</f>
        <v/>
      </c>
      <c r="AE481">
        <f>IF($V481,IF($S481="","",$S481),IF($R481="","",$R481))</f>
        <v/>
      </c>
      <c r="AF481">
        <f>IF($V481,IF($U481="","",$U481),IF($T481="","",$T481))</f>
        <v/>
      </c>
      <c r="AG481">
        <f>IF($V481,IF($O481="","",$O481),IF($P481="","",$P481))</f>
        <v/>
      </c>
      <c r="AH481" t="n">
        <v>0.02407431807254459</v>
      </c>
      <c r="AI481">
        <f>IF($Y481="worse","Yes",IF($Y481="worse, not significant","Not sure",IF(OR($Y481="too few losses to test",$Y481="too few loans to test"),"Too few losses",IF($Y481="","","No"))))</f>
        <v/>
      </c>
      <c r="AJ481">
        <f>IF($AA481="yes","Yes",IF($AA481="","","No"))</f>
        <v/>
      </c>
    </row>
    <row r="482">
      <c r="A482" t="inlineStr">
        <is>
          <t>three-way</t>
        </is>
      </c>
      <c r="B482" t="inlineStr">
        <is>
          <t>FICO x CHANNEL / SYS_FLAG</t>
        </is>
      </c>
      <c r="C482" t="inlineStr">
        <is>
          <t>746 - 921</t>
        </is>
      </c>
      <c r="D482" t="inlineStr">
        <is>
          <t>Online / SYS_FLAG Y</t>
        </is>
      </c>
      <c r="E482" t="inlineStr">
        <is>
          <t>ranr_rate</t>
        </is>
      </c>
      <c r="F482" t="inlineStr">
        <is>
          <t>Profit after losses: RANR per booked dollar</t>
        </is>
      </c>
      <c r="G482" t="n">
        <v>225</v>
      </c>
      <c r="H482" t="n">
        <v>7452915.570000002</v>
      </c>
      <c r="I482" t="b">
        <v>0</v>
      </c>
      <c r="J482" t="b">
        <v>0</v>
      </c>
      <c r="K482" t="n">
        <v>-0.09149207485277167</v>
      </c>
      <c r="L482" t="n">
        <v>0.0002845869259227924</v>
      </c>
      <c r="M482" t="n">
        <v>-0.008918771187737762</v>
      </c>
      <c r="N482" t="n">
        <v>0.5897057353088221</v>
      </c>
      <c r="O482" t="n">
        <v>681882.7092018275</v>
      </c>
      <c r="P482" t="n">
        <v>66470.84865035815</v>
      </c>
      <c r="Q482">
        <f>'_live'!$C$23</f>
        <v/>
      </c>
      <c r="R482" t="inlineStr">
        <is>
          <t>shuffled: 0 of 10,000</t>
        </is>
      </c>
      <c r="S482" t="inlineStr">
        <is>
          <t>shuffled: 2,784 of 10,000</t>
        </is>
      </c>
      <c r="T482" t="n">
        <v>0.1306323049090743</v>
      </c>
      <c r="U482" t="n">
        <v>0.04805900124404042</v>
      </c>
      <c r="V482">
        <f>AND(judged_band,NOT($J482))</f>
        <v/>
      </c>
      <c r="W482">
        <f>IF($K482="","",IF(profit_kind="test",IF(OR(NOT(AND(ISNUMBER($L482),$L482&lt;significance_bar)),$K482=0),"in line",IF($K482&lt;0,"worse","better")),IF(OR($K482=0,IF(profit_kind="points",ABS($K482),ABS($K482*$H482))&lt;profit_line*(1-1E-9)),"in line",IF(AND(ISNUMBER($L482),$L482&lt;significance_bar),IF($K482&lt;0,"worse","better"),IF($K482&lt;0,"worse, not significant","better, not significant")))))</f>
        <v/>
      </c>
      <c r="X482">
        <f>IF($M482="","",IF(profit_kind="test",IF(OR(NOT(AND(ISNUMBER($N482),$N482&lt;significance_bar)),$M482=0),"in line",IF($M482&lt;0,"worse","better")),IF(OR($M482=0,IF(profit_kind="points",ABS($M482),ABS($M482*$H482))&lt;profit_line*(1-1E-9)),"in line",IF(AND(ISNUMBER($N482),$N482&lt;significance_bar),IF($M482&lt;0,"worse","better"),IF($M482&lt;0,"worse, not significant","better, not significant")))))</f>
        <v/>
      </c>
      <c r="Y482">
        <f>IF($V482,$X482,$W482)</f>
        <v/>
      </c>
      <c r="Z482">
        <f>IF($V482,IF($P482="","",$P482),IF($O482="","",$O482))</f>
        <v/>
      </c>
      <c r="AA482">
        <f>IF(OR($Q482="",$Z482=""),"",IF(AND($Z482&gt;0,$Z482&gt;=$Q482),"yes","below the line"))</f>
        <v/>
      </c>
      <c r="AB482">
        <f>IF($V482,IF($M482="","",$M482),IF($K482="","",$K482))</f>
        <v/>
      </c>
      <c r="AC482">
        <f>IF($V482,IF($N482="","",$N482),IF($L482="","",$L482))</f>
        <v/>
      </c>
      <c r="AD482">
        <f>IF($Y482="","",IF($Y482="in line",IF(profit_kind="test",IF(ROUND($AB482*100,2)=0,"0.00",TEXT($AB482*100,"+0.00;-0.00"))&amp;" points against "&amp;IF($V482,"its band","the book")&amp;", "&amp;IF($AC482="","not tested","not significant"),IF(profit_kind="points","within "&amp;TEXT(profit_line*100,"0.00")&amp;" points of "&amp;IF($V482,"its band","the book")&amp;" ("&amp;IF(ROUND($AB482*100,2)=0,"0.00",TEXT($AB482*100,"+0.00;-0.00"))&amp;")","within $"&amp;TEXT(profit_line,"#,##0")&amp;" of "&amp;IF($V482,"its band","the book")&amp;" ("&amp;IF(ROUND($AB482*100,2)=0,"0.00",TEXT($AB482*100,"+0.00;-0.00"))&amp;" points)")),IF(LEFT($Y482,5)="worse","short of ","ahead of ")&amp;IF($V482,"its band","the book")&amp;" by "&amp;TEXT(ABS($AB482)*100,"0.00")&amp;" points"&amp;IF($Z482="",""," ($"&amp;TEXT(ABS($Z482),"#,##0")&amp;")")&amp;IF(RIGHT($Y482,15)="not significant"," (not significant)","")))</f>
        <v/>
      </c>
      <c r="AE482">
        <f>IF($V482,IF($S482="","",$S482),IF($R482="","",$R482))</f>
        <v/>
      </c>
      <c r="AF482">
        <f>IF($V482,IF($U482="","",$U482),IF($T482="","",$T482))</f>
        <v/>
      </c>
      <c r="AG482">
        <f>IF($V482,IF($O482="","",$O482),IF($P482="","",$P482))</f>
        <v/>
      </c>
      <c r="AH482" t="n">
        <v>0.03914023005630266</v>
      </c>
      <c r="AI482">
        <f>IF($Y482="worse","Yes",IF($Y482="worse, not significant","Not sure",IF(OR($Y482="too few losses to test",$Y482="too few loans to test"),"Too few losses",IF($Y482="","","No"))))</f>
        <v/>
      </c>
      <c r="AJ482">
        <f>IF($AA482="yes","Yes",IF($AA482="","","No"))</f>
        <v/>
      </c>
    </row>
    <row r="483">
      <c r="A483" t="inlineStr">
        <is>
          <t>three-way</t>
        </is>
      </c>
      <c r="B483" t="inlineStr">
        <is>
          <t>FICO x CHANNEL / SYS_FLAG</t>
        </is>
      </c>
      <c r="C483" t="inlineStr">
        <is>
          <t>746 - 921</t>
        </is>
      </c>
      <c r="D483" t="inlineStr">
        <is>
          <t>Online / SYS_FLAG Y</t>
        </is>
      </c>
      <c r="E483" t="inlineStr">
        <is>
          <t>contribution_rate</t>
        </is>
      </c>
      <c r="F483" t="inlineStr">
        <is>
          <t>Contribution before losses per booked dollar</t>
        </is>
      </c>
      <c r="G483" t="n">
        <v>225</v>
      </c>
      <c r="H483" t="n">
        <v>7452915.570000002</v>
      </c>
      <c r="I483" t="b">
        <v>0</v>
      </c>
      <c r="J483" t="b">
        <v>0</v>
      </c>
      <c r="K483" t="n">
        <v>-0.1095419219214121</v>
      </c>
      <c r="L483" t="n">
        <v>0.000184981501849815</v>
      </c>
      <c r="M483" t="n">
        <v>-0.003445444585622445</v>
      </c>
      <c r="N483" t="n">
        <v>0.3328608315639024</v>
      </c>
      <c r="O483" t="n">
        <v>816406.6954558168</v>
      </c>
      <c r="P483" t="n">
        <v>25678.60759775777</v>
      </c>
      <c r="Q483">
        <f>'_live'!$C$24</f>
        <v/>
      </c>
      <c r="R483" t="inlineStr">
        <is>
          <t>shuffled: 0 of 10,000</t>
        </is>
      </c>
      <c r="S483" t="inlineStr">
        <is>
          <t>shuffled: 1,571 of 10,000</t>
        </is>
      </c>
      <c r="T483" t="n">
        <v>0.1727564700502593</v>
      </c>
      <c r="U483" t="n">
        <v>0.06665999271446969</v>
      </c>
      <c r="V483">
        <f>AND(judged_band,NOT($J483))</f>
        <v/>
      </c>
      <c r="W483">
        <f>IF($K483="","",IF(profit_kind="test",IF(OR(NOT(AND(ISNUMBER($L483),$L483&lt;significance_bar)),$K483=0),"in line",IF($K483&lt;0,"worse","better")),IF(OR($K483=0,IF(profit_kind="points",ABS($K483),ABS($K483*$H483))&lt;profit_line*(1-1E-9)),"in line",IF(AND(ISNUMBER($L483),$L483&lt;significance_bar),IF($K483&lt;0,"worse","better"),IF($K483&lt;0,"worse, not significant","better, not significant")))))</f>
        <v/>
      </c>
      <c r="X483">
        <f>IF($M483="","",IF(profit_kind="test",IF(OR(NOT(AND(ISNUMBER($N483),$N483&lt;significance_bar)),$M483=0),"in line",IF($M483&lt;0,"worse","better")),IF(OR($M483=0,IF(profit_kind="points",ABS($M483),ABS($M483*$H483))&lt;profit_line*(1-1E-9)),"in line",IF(AND(ISNUMBER($N483),$N483&lt;significance_bar),IF($M483&lt;0,"worse","better"),IF($M483&lt;0,"worse, not significant","better, not significant")))))</f>
        <v/>
      </c>
      <c r="Y483">
        <f>IF($V483,$X483,$W483)</f>
        <v/>
      </c>
      <c r="Z483">
        <f>IF($V483,IF($P483="","",$P483),IF($O483="","",$O483))</f>
        <v/>
      </c>
      <c r="AA483">
        <f>IF(OR($Q483="",$Z483=""),"",IF(AND($Z483&gt;0,$Z483&gt;=$Q483),"yes","below the line"))</f>
        <v/>
      </c>
      <c r="AB483">
        <f>IF($V483,IF($M483="","",$M483),IF($K483="","",$K483))</f>
        <v/>
      </c>
      <c r="AC483">
        <f>IF($V483,IF($N483="","",$N483),IF($L483="","",$L483))</f>
        <v/>
      </c>
      <c r="AD483">
        <f>IF($Y483="","",IF($Y483="in line",IF(profit_kind="test",IF(ROUND($AB483*100,2)=0,"0.00",TEXT($AB483*100,"+0.00;-0.00"))&amp;" points against "&amp;IF($V483,"its band","the book")&amp;", "&amp;IF($AC483="","not tested","not significant"),IF(profit_kind="points","within "&amp;TEXT(profit_line*100,"0.00")&amp;" points of "&amp;IF($V483,"its band","the book")&amp;" ("&amp;IF(ROUND($AB483*100,2)=0,"0.00",TEXT($AB483*100,"+0.00;-0.00"))&amp;")","within $"&amp;TEXT(profit_line,"#,##0")&amp;" of "&amp;IF($V483,"its band","the book")&amp;" ("&amp;IF(ROUND($AB483*100,2)=0,"0.00",TEXT($AB483*100,"+0.00;-0.00"))&amp;" points)")),IF(LEFT($Y483,5)="worse","short of ","ahead of ")&amp;IF($V483,"its band","the book")&amp;" by "&amp;TEXT(ABS($AB483)*100,"0.00")&amp;" points"&amp;IF($Z483="",""," ($"&amp;TEXT(ABS($Z483),"#,##0")&amp;")")&amp;IF(RIGHT($Y483,15)="not significant"," (not significant)","")))</f>
        <v/>
      </c>
      <c r="AE483">
        <f>IF($V483,IF($S483="","",$S483),IF($R483="","",$R483))</f>
        <v/>
      </c>
      <c r="AF483">
        <f>IF($V483,IF($U483="","",$U483),IF($T483="","",$T483))</f>
        <v/>
      </c>
      <c r="AG483">
        <f>IF($V483,IF($O483="","",$O483),IF($P483="","",$P483))</f>
        <v/>
      </c>
      <c r="AH483" t="n">
        <v>0.06321454812884725</v>
      </c>
      <c r="AI483">
        <f>IF($Y483="worse","Yes",IF($Y483="worse, not significant","Not sure",IF(OR($Y483="too few losses to test",$Y483="too few loans to test"),"Too few losses",IF($Y483="","","No"))))</f>
        <v/>
      </c>
      <c r="AJ483">
        <f>IF($AA483="yes","Yes",IF($AA483="","","No"))</f>
        <v/>
      </c>
    </row>
    <row r="484">
      <c r="A484" t="inlineStr">
        <is>
          <t>three-way</t>
        </is>
      </c>
      <c r="B484" t="inlineStr">
        <is>
          <t>FICO x CHANNEL / SYS_FLAG</t>
        </is>
      </c>
      <c r="C484" t="inlineStr">
        <is>
          <t>654 - 685</t>
        </is>
      </c>
      <c r="D484" t="inlineStr">
        <is>
          <t>Branch / SYS_FLAG Y</t>
        </is>
      </c>
      <c r="E484" t="inlineStr">
        <is>
          <t>outcome_loans</t>
        </is>
      </c>
      <c r="F484" t="inlineStr">
        <is>
          <t>Outcome, share of loans</t>
        </is>
      </c>
      <c r="G484" t="n">
        <v>254</v>
      </c>
      <c r="H484" t="n">
        <v>254</v>
      </c>
      <c r="I484" t="b">
        <v>0</v>
      </c>
      <c r="J484" t="b">
        <v>0</v>
      </c>
      <c r="K484" t="n">
        <v>1.498765514480181</v>
      </c>
      <c r="L484" t="n">
        <v>0.07152630246611631</v>
      </c>
      <c r="M484" t="n">
        <v>1.45259998440789</v>
      </c>
      <c r="N484" t="n">
        <v>0.1620440761844105</v>
      </c>
      <c r="O484" t="n">
        <v>9.65074241446094</v>
      </c>
      <c r="P484" t="n">
        <v>9.03579766536965</v>
      </c>
      <c r="Q484">
        <f>'_live'!$C$20</f>
        <v/>
      </c>
      <c r="R484" t="inlineStr">
        <is>
          <t>z test</t>
        </is>
      </c>
      <c r="S484" t="inlineStr">
        <is>
          <t>z test</t>
        </is>
      </c>
      <c r="T484" t="n">
        <v>0.07617817947062622</v>
      </c>
      <c r="U484" t="n">
        <v>0.07859922178988327</v>
      </c>
      <c r="V484">
        <f>AND(judged_band,NOT($J484))</f>
        <v/>
      </c>
      <c r="W484">
        <f>IF($K484="","",IF($I484,"too few losses to test",IF(AND($K484&gt;better_at,$K484&lt;worse_at),"in line",IF($K484&gt;=worse_at,IF(AND(ISNUMBER($L484),$L484&lt;significance_bar),"worse","worse, not significant"),IF(AND(ISNUMBER($L484),$L484&lt;significance_bar),"better","better, not significant")))))</f>
        <v/>
      </c>
      <c r="X484">
        <f>IF($M484="","",IF($I484,"too few losses to test",IF(AND($M484&gt;better_at,$M484&lt;worse_at),"in line",IF($M484&gt;=worse_at,IF(AND(ISNUMBER($N484),$N484&lt;significance_bar),"worse","worse, not significant"),IF(AND(ISNUMBER($N484),$N484&lt;significance_bar),"better","better, not significant")))))</f>
        <v/>
      </c>
      <c r="Y484">
        <f>IF($V484,$X484,$W484)</f>
        <v/>
      </c>
      <c r="Z484">
        <f>IF($V484,IF($P484="","",$P484),IF($O484="","",$O484))</f>
        <v/>
      </c>
      <c r="AA484">
        <f>IF(OR($Q484="",$Z484=""),"",IF(AND($Z484&gt;0,$Z484&gt;=$Q484),"yes","below the line"))</f>
        <v/>
      </c>
      <c r="AB484">
        <f>IF($V484,IF($M484="","",$M484),IF($K484="","",$K484))</f>
        <v/>
      </c>
      <c r="AC484">
        <f>IF($V484,IF($N484="","",$N484),IF($L484="","",$L484))</f>
        <v/>
      </c>
      <c r="AD484">
        <f>$Y484</f>
        <v/>
      </c>
      <c r="AE484">
        <f>IF($V484,IF($S484="","",$S484),IF($R484="","",$R484))</f>
        <v/>
      </c>
      <c r="AF484">
        <f>IF($V484,IF($U484="","",$U484),IF($T484="","",$T484))</f>
        <v/>
      </c>
      <c r="AG484">
        <f>IF($V484,IF($O484="","",$O484),IF($P484="","",$P484))</f>
        <v/>
      </c>
      <c r="AH484" t="n">
        <v>0.1141732283464567</v>
      </c>
      <c r="AI484">
        <f>IF($Y484="worse","Yes",IF($Y484="worse, not significant","Not sure",IF(OR($Y484="too few losses to test",$Y484="too few loans to test"),"Too few losses",IF($Y484="","","No"))))</f>
        <v/>
      </c>
      <c r="AJ484">
        <f>IF($AA484="yes","Yes",IF($AA484="","","No"))</f>
        <v/>
      </c>
    </row>
    <row r="485">
      <c r="A485" t="inlineStr">
        <is>
          <t>three-way</t>
        </is>
      </c>
      <c r="B485" t="inlineStr">
        <is>
          <t>FICO x CHANNEL / SYS_FLAG</t>
        </is>
      </c>
      <c r="C485" t="inlineStr">
        <is>
          <t>654 - 685</t>
        </is>
      </c>
      <c r="D485" t="inlineStr">
        <is>
          <t>Branch / SYS_FLAG Y</t>
        </is>
      </c>
      <c r="E485" t="inlineStr">
        <is>
          <t>outcome_booked</t>
        </is>
      </c>
      <c r="F485" t="inlineStr">
        <is>
          <t>Outcome, share of booked dollars</t>
        </is>
      </c>
      <c r="G485" t="n">
        <v>254</v>
      </c>
      <c r="H485" t="n">
        <v>8112548.649999998</v>
      </c>
      <c r="I485" t="b">
        <v>0</v>
      </c>
      <c r="J485" t="b">
        <v>0</v>
      </c>
      <c r="K485" t="n">
        <v>1.589880172365774</v>
      </c>
      <c r="L485" t="n">
        <v>0.05610550056105501</v>
      </c>
      <c r="M485" t="n">
        <v>1.609082622937274</v>
      </c>
      <c r="N485" t="n">
        <v>0.08874112588741126</v>
      </c>
      <c r="O485" t="n">
        <v>351568.2737690335</v>
      </c>
      <c r="P485" t="n">
        <v>358680.8050460622</v>
      </c>
      <c r="Q485">
        <f>'_live'!$C$21</f>
        <v/>
      </c>
      <c r="R485" t="inlineStr">
        <is>
          <t>shuffled: 183 of 10,000</t>
        </is>
      </c>
      <c r="S485" t="inlineStr">
        <is>
          <t>shuffled: 283 of 10,000</t>
        </is>
      </c>
      <c r="T485" t="n">
        <v>0.07346636697592766</v>
      </c>
      <c r="U485" t="n">
        <v>0.07258963494215075</v>
      </c>
      <c r="V485">
        <f>AND(judged_band,NOT($J485))</f>
        <v/>
      </c>
      <c r="W485">
        <f>IF($K485="","",IF($I485,"too few losses to test",IF(AND($K485&gt;better_at,$K485&lt;worse_at),"in line",IF($K485&gt;=worse_at,IF(AND(ISNUMBER($L485),$L485&lt;significance_bar),"worse","worse, not significant"),IF(AND(ISNUMBER($L485),$L485&lt;significance_bar),"better","better, not significant")))))</f>
        <v/>
      </c>
      <c r="X485">
        <f>IF($M485="","",IF($I485,"too few losses to test",IF(AND($M485&gt;better_at,$M485&lt;worse_at),"in line",IF($M485&gt;=worse_at,IF(AND(ISNUMBER($N485),$N485&lt;significance_bar),"worse","worse, not significant"),IF(AND(ISNUMBER($N485),$N485&lt;significance_bar),"better","better, not significant")))))</f>
        <v/>
      </c>
      <c r="Y485">
        <f>IF($V485,$X485,$W485)</f>
        <v/>
      </c>
      <c r="Z485">
        <f>IF($V485,IF($P485="","",$P485),IF($O485="","",$O485))</f>
        <v/>
      </c>
      <c r="AA485">
        <f>IF(OR($Q485="",$Z485=""),"",IF(AND($Z485&gt;0,$Z485&gt;=$Q485),"yes","below the line"))</f>
        <v/>
      </c>
      <c r="AB485">
        <f>IF($V485,IF($M485="","",$M485),IF($K485="","",$K485))</f>
        <v/>
      </c>
      <c r="AC485">
        <f>IF($V485,IF($N485="","",$N485),IF($L485="","",$L485))</f>
        <v/>
      </c>
      <c r="AD485">
        <f>$Y485</f>
        <v/>
      </c>
      <c r="AE485">
        <f>IF($V485,IF($S485="","",$S485),IF($R485="","",$R485))</f>
        <v/>
      </c>
      <c r="AF485">
        <f>IF($V485,IF($U485="","",$U485),IF($T485="","",$T485))</f>
        <v/>
      </c>
      <c r="AG485">
        <f>IF($V485,IF($O485="","",$O485),IF($P485="","",$P485))</f>
        <v/>
      </c>
      <c r="AH485" t="n">
        <v>0.1168027201907751</v>
      </c>
      <c r="AI485">
        <f>IF($Y485="worse","Yes",IF($Y485="worse, not significant","Not sure",IF(OR($Y485="too few losses to test",$Y485="too few loans to test"),"Too few losses",IF($Y485="","","No"))))</f>
        <v/>
      </c>
      <c r="AJ485">
        <f>IF($AA485="yes","Yes",IF($AA485="","","No"))</f>
        <v/>
      </c>
    </row>
    <row r="486">
      <c r="A486" t="inlineStr">
        <is>
          <t>three-way</t>
        </is>
      </c>
      <c r="B486" t="inlineStr">
        <is>
          <t>FICO x CHANNEL / SYS_FLAG</t>
        </is>
      </c>
      <c r="C486" t="inlineStr">
        <is>
          <t>654 - 685</t>
        </is>
      </c>
      <c r="D486" t="inlineStr">
        <is>
          <t>Branch / SYS_FLAG Y</t>
        </is>
      </c>
      <c r="E486" t="inlineStr">
        <is>
          <t>gco_rate</t>
        </is>
      </c>
      <c r="F486" t="inlineStr">
        <is>
          <t>GCO per booked dollar</t>
        </is>
      </c>
      <c r="G486" t="n">
        <v>254</v>
      </c>
      <c r="H486" t="n">
        <v>8112548.649999998</v>
      </c>
      <c r="I486" t="b">
        <v>0</v>
      </c>
      <c r="J486" t="b">
        <v>0</v>
      </c>
      <c r="K486" t="n">
        <v>1.728059062025716</v>
      </c>
      <c r="L486" t="n">
        <v>0.02333100023331</v>
      </c>
      <c r="M486" t="n">
        <v>1.744886496175044</v>
      </c>
      <c r="N486" t="n">
        <v>0.03388550033885501</v>
      </c>
      <c r="O486" t="n">
        <v>240238.7530938757</v>
      </c>
      <c r="P486" t="n">
        <v>243420.9508953163</v>
      </c>
      <c r="Q486">
        <f>'_live'!$C$22</f>
        <v/>
      </c>
      <c r="R486" t="inlineStr">
        <is>
          <t>shuffled: 55 of 10,000</t>
        </is>
      </c>
      <c r="S486" t="inlineStr">
        <is>
          <t>shuffled: 121 of 10,000</t>
        </is>
      </c>
      <c r="T486" t="n">
        <v>0.04067421116865963</v>
      </c>
      <c r="U486" t="n">
        <v>0.04028195493221282</v>
      </c>
      <c r="V486">
        <f>AND(judged_band,NOT($J486))</f>
        <v/>
      </c>
      <c r="W486">
        <f>IF($K486="","",IF($I486,"too few losses to test",IF(AND($K486&gt;better_at,$K486&lt;worse_at),"in line",IF($K486&gt;=worse_at,IF(AND(ISNUMBER($L486),$L486&lt;significance_bar),"worse","worse, not significant"),IF(AND(ISNUMBER($L486),$L486&lt;significance_bar),"better","better, not significant")))))</f>
        <v/>
      </c>
      <c r="X486">
        <f>IF($M486="","",IF($I486,"too few losses to test",IF(AND($M486&gt;better_at,$M486&lt;worse_at),"in line",IF($M486&gt;=worse_at,IF(AND(ISNUMBER($N486),$N486&lt;significance_bar),"worse","worse, not significant"),IF(AND(ISNUMBER($N486),$N486&lt;significance_bar),"better","better, not significant")))))</f>
        <v/>
      </c>
      <c r="Y486">
        <f>IF($V486,$X486,$W486)</f>
        <v/>
      </c>
      <c r="Z486">
        <f>IF($V486,IF($P486="","",$P486),IF($O486="","",$O486))</f>
        <v/>
      </c>
      <c r="AA486">
        <f>IF(OR($Q486="",$Z486=""),"",IF(AND($Z486&gt;0,$Z486&gt;=$Q486),"yes","below the line"))</f>
        <v/>
      </c>
      <c r="AB486">
        <f>IF($V486,IF($M486="","",$M486),IF($K486="","",$K486))</f>
        <v/>
      </c>
      <c r="AC486">
        <f>IF($V486,IF($N486="","",$N486),IF($L486="","",$L486))</f>
        <v/>
      </c>
      <c r="AD486">
        <f>$Y486</f>
        <v/>
      </c>
      <c r="AE486">
        <f>IF($V486,IF($S486="","",$S486),IF($R486="","",$R486))</f>
        <v/>
      </c>
      <c r="AF486">
        <f>IF($V486,IF($U486="","",$U486),IF($T486="","",$T486))</f>
        <v/>
      </c>
      <c r="AG486">
        <f>IF($V486,IF($O486="","",$O486),IF($P486="","",$P486))</f>
        <v/>
      </c>
      <c r="AH486" t="n">
        <v>0.07028743920074985</v>
      </c>
      <c r="AI486">
        <f>IF($Y486="worse","Yes",IF($Y486="worse, not significant","Not sure",IF(OR($Y486="too few losses to test",$Y486="too few loans to test"),"Too few losses",IF($Y486="","","No"))))</f>
        <v/>
      </c>
      <c r="AJ486">
        <f>IF($AA486="yes","Yes",IF($AA486="","","No"))</f>
        <v/>
      </c>
    </row>
    <row r="487">
      <c r="A487" t="inlineStr">
        <is>
          <t>three-way</t>
        </is>
      </c>
      <c r="B487" t="inlineStr">
        <is>
          <t>FICO x CHANNEL / SYS_FLAG</t>
        </is>
      </c>
      <c r="C487" t="inlineStr">
        <is>
          <t>654 - 685</t>
        </is>
      </c>
      <c r="D487" t="inlineStr">
        <is>
          <t>Branch / SYS_FLAG Y</t>
        </is>
      </c>
      <c r="E487" t="inlineStr">
        <is>
          <t>ranr_rate</t>
        </is>
      </c>
      <c r="F487" t="inlineStr">
        <is>
          <t>Profit after losses: RANR per booked dollar</t>
        </is>
      </c>
      <c r="G487" t="n">
        <v>254</v>
      </c>
      <c r="H487" t="n">
        <v>8112548.649999998</v>
      </c>
      <c r="I487" t="b">
        <v>0</v>
      </c>
      <c r="J487" t="b">
        <v>0</v>
      </c>
      <c r="K487" t="n">
        <v>0.002974911849296352</v>
      </c>
      <c r="L487" t="n">
        <v>0.9039781736112104</v>
      </c>
      <c r="M487" t="n">
        <v>-0.03853947786290335</v>
      </c>
      <c r="N487" t="n">
        <v>0.026997300269973</v>
      </c>
      <c r="O487" t="n">
        <v>-24134.1171068782</v>
      </c>
      <c r="P487" t="n">
        <v>312653.3891084013</v>
      </c>
      <c r="Q487">
        <f>'_live'!$C$23</f>
        <v/>
      </c>
      <c r="R487" t="inlineStr">
        <is>
          <t>shuffled: 8,263 of 10,000</t>
        </is>
      </c>
      <c r="S487" t="inlineStr">
        <is>
          <t>shuffled: 58 of 10,000</t>
        </is>
      </c>
      <c r="T487" t="n">
        <v>0.1278965313684896</v>
      </c>
      <c r="U487" t="n">
        <v>0.1694109210806893</v>
      </c>
      <c r="V487">
        <f>AND(judged_band,NOT($J487))</f>
        <v/>
      </c>
      <c r="W487">
        <f>IF($K487="","",IF(profit_kind="test",IF(OR(NOT(AND(ISNUMBER($L487),$L487&lt;significance_bar)),$K487=0),"in line",IF($K487&lt;0,"worse","better")),IF(OR($K487=0,IF(profit_kind="points",ABS($K487),ABS($K487*$H487))&lt;profit_line*(1-1E-9)),"in line",IF(AND(ISNUMBER($L487),$L487&lt;significance_bar),IF($K487&lt;0,"worse","better"),IF($K487&lt;0,"worse, not significant","better, not significant")))))</f>
        <v/>
      </c>
      <c r="X487">
        <f>IF($M487="","",IF(profit_kind="test",IF(OR(NOT(AND(ISNUMBER($N487),$N487&lt;significance_bar)),$M487=0),"in line",IF($M487&lt;0,"worse","better")),IF(OR($M487=0,IF(profit_kind="points",ABS($M487),ABS($M487*$H487))&lt;profit_line*(1-1E-9)),"in line",IF(AND(ISNUMBER($N487),$N487&lt;significance_bar),IF($M487&lt;0,"worse","better"),IF($M487&lt;0,"worse, not significant","better, not significant")))))</f>
        <v/>
      </c>
      <c r="Y487">
        <f>IF($V487,$X487,$W487)</f>
        <v/>
      </c>
      <c r="Z487">
        <f>IF($V487,IF($P487="","",$P487),IF($O487="","",$O487))</f>
        <v/>
      </c>
      <c r="AA487">
        <f>IF(OR($Q487="",$Z487=""),"",IF(AND($Z487&gt;0,$Z487&gt;=$Q487),"yes","below the line"))</f>
        <v/>
      </c>
      <c r="AB487">
        <f>IF($V487,IF($M487="","",$M487),IF($K487="","",$K487))</f>
        <v/>
      </c>
      <c r="AC487">
        <f>IF($V487,IF($N487="","",$N487),IF($L487="","",$L487))</f>
        <v/>
      </c>
      <c r="AD487">
        <f>IF($Y487="","",IF($Y487="in line",IF(profit_kind="test",IF(ROUND($AB487*100,2)=0,"0.00",TEXT($AB487*100,"+0.00;-0.00"))&amp;" points against "&amp;IF($V487,"its band","the book")&amp;", "&amp;IF($AC487="","not tested","not significant"),IF(profit_kind="points","within "&amp;TEXT(profit_line*100,"0.00")&amp;" points of "&amp;IF($V487,"its band","the book")&amp;" ("&amp;IF(ROUND($AB487*100,2)=0,"0.00",TEXT($AB487*100,"+0.00;-0.00"))&amp;")","within $"&amp;TEXT(profit_line,"#,##0")&amp;" of "&amp;IF($V487,"its band","the book")&amp;" ("&amp;IF(ROUND($AB487*100,2)=0,"0.00",TEXT($AB487*100,"+0.00;-0.00"))&amp;" points)")),IF(LEFT($Y487,5)="worse","short of ","ahead of ")&amp;IF($V487,"its band","the book")&amp;" by "&amp;TEXT(ABS($AB487)*100,"0.00")&amp;" points"&amp;IF($Z487="",""," ($"&amp;TEXT(ABS($Z487),"#,##0")&amp;")")&amp;IF(RIGHT($Y487,15)="not significant"," (not significant)","")))</f>
        <v/>
      </c>
      <c r="AE487">
        <f>IF($V487,IF($S487="","",$S487),IF($R487="","",$R487))</f>
        <v/>
      </c>
      <c r="AF487">
        <f>IF($V487,IF($U487="","",$U487),IF($T487="","",$T487))</f>
        <v/>
      </c>
      <c r="AG487">
        <f>IF($V487,IF($O487="","",$O487),IF($P487="","",$P487))</f>
        <v/>
      </c>
      <c r="AH487" t="n">
        <v>0.1308714432177859</v>
      </c>
      <c r="AI487">
        <f>IF($Y487="worse","Yes",IF($Y487="worse, not significant","Not sure",IF(OR($Y487="too few losses to test",$Y487="too few loans to test"),"Too few losses",IF($Y487="","","No"))))</f>
        <v/>
      </c>
      <c r="AJ487">
        <f>IF($AA487="yes","Yes",IF($AA487="","","No"))</f>
        <v/>
      </c>
    </row>
    <row r="488">
      <c r="A488" t="inlineStr">
        <is>
          <t>three-way</t>
        </is>
      </c>
      <c r="B488" t="inlineStr">
        <is>
          <t>FICO x CHANNEL / SYS_FLAG</t>
        </is>
      </c>
      <c r="C488" t="inlineStr">
        <is>
          <t>654 - 685</t>
        </is>
      </c>
      <c r="D488" t="inlineStr">
        <is>
          <t>Branch / SYS_FLAG Y</t>
        </is>
      </c>
      <c r="E488" t="inlineStr">
        <is>
          <t>contribution_rate</t>
        </is>
      </c>
      <c r="F488" t="inlineStr">
        <is>
          <t>Contribution before losses per booked dollar</t>
        </is>
      </c>
      <c r="G488" t="n">
        <v>254</v>
      </c>
      <c r="H488" t="n">
        <v>8112548.649999998</v>
      </c>
      <c r="I488" t="b">
        <v>0</v>
      </c>
      <c r="J488" t="b">
        <v>0</v>
      </c>
      <c r="K488" t="n">
        <v>0.03259110679195606</v>
      </c>
      <c r="L488" t="n">
        <v>0.0003363300033633001</v>
      </c>
      <c r="M488" t="n">
        <v>-0.008533993594366324</v>
      </c>
      <c r="N488" t="n">
        <v>0.5160983901609839</v>
      </c>
      <c r="O488" t="n">
        <v>-264396.939407089</v>
      </c>
      <c r="P488" t="n">
        <v>69232.43821308506</v>
      </c>
      <c r="Q488">
        <f>'_live'!$C$24</f>
        <v/>
      </c>
      <c r="R488" t="inlineStr">
        <is>
          <t>shuffled: 1 of 10,000</t>
        </is>
      </c>
      <c r="S488" t="inlineStr">
        <is>
          <t>shuffled: 3,017 of 10,000</t>
        </is>
      </c>
      <c r="T488" t="n">
        <v>0.1685677756265796</v>
      </c>
      <c r="U488" t="n">
        <v>0.209692876012902</v>
      </c>
      <c r="V488">
        <f>AND(judged_band,NOT($J488))</f>
        <v/>
      </c>
      <c r="W488">
        <f>IF($K488="","",IF(profit_kind="test",IF(OR(NOT(AND(ISNUMBER($L488),$L488&lt;significance_bar)),$K488=0),"in line",IF($K488&lt;0,"worse","better")),IF(OR($K488=0,IF(profit_kind="points",ABS($K488),ABS($K488*$H488))&lt;profit_line*(1-1E-9)),"in line",IF(AND(ISNUMBER($L488),$L488&lt;significance_bar),IF($K488&lt;0,"worse","better"),IF($K488&lt;0,"worse, not significant","better, not significant")))))</f>
        <v/>
      </c>
      <c r="X488">
        <f>IF($M488="","",IF(profit_kind="test",IF(OR(NOT(AND(ISNUMBER($N488),$N488&lt;significance_bar)),$M488=0),"in line",IF($M488&lt;0,"worse","better")),IF(OR($M488=0,IF(profit_kind="points",ABS($M488),ABS($M488*$H488))&lt;profit_line*(1-1E-9)),"in line",IF(AND(ISNUMBER($N488),$N488&lt;significance_bar),IF($M488&lt;0,"worse","better"),IF($M488&lt;0,"worse, not significant","better, not significant")))))</f>
        <v/>
      </c>
      <c r="Y488">
        <f>IF($V488,$X488,$W488)</f>
        <v/>
      </c>
      <c r="Z488">
        <f>IF($V488,IF($P488="","",$P488),IF($O488="","",$O488))</f>
        <v/>
      </c>
      <c r="AA488">
        <f>IF(OR($Q488="",$Z488=""),"",IF(AND($Z488&gt;0,$Z488&gt;=$Q488),"yes","below the line"))</f>
        <v/>
      </c>
      <c r="AB488">
        <f>IF($V488,IF($M488="","",$M488),IF($K488="","",$K488))</f>
        <v/>
      </c>
      <c r="AC488">
        <f>IF($V488,IF($N488="","",$N488),IF($L488="","",$L488))</f>
        <v/>
      </c>
      <c r="AD488">
        <f>IF($Y488="","",IF($Y488="in line",IF(profit_kind="test",IF(ROUND($AB488*100,2)=0,"0.00",TEXT($AB488*100,"+0.00;-0.00"))&amp;" points against "&amp;IF($V488,"its band","the book")&amp;", "&amp;IF($AC488="","not tested","not significant"),IF(profit_kind="points","within "&amp;TEXT(profit_line*100,"0.00")&amp;" points of "&amp;IF($V488,"its band","the book")&amp;" ("&amp;IF(ROUND($AB488*100,2)=0,"0.00",TEXT($AB488*100,"+0.00;-0.00"))&amp;")","within $"&amp;TEXT(profit_line,"#,##0")&amp;" of "&amp;IF($V488,"its band","the book")&amp;" ("&amp;IF(ROUND($AB488*100,2)=0,"0.00",TEXT($AB488*100,"+0.00;-0.00"))&amp;" points)")),IF(LEFT($Y488,5)="worse","short of ","ahead of ")&amp;IF($V488,"its band","the book")&amp;" by "&amp;TEXT(ABS($AB488)*100,"0.00")&amp;" points"&amp;IF($Z488="",""," ($"&amp;TEXT(ABS($Z488),"#,##0")&amp;")")&amp;IF(RIGHT($Y488,15)="not significant"," (not significant)","")))</f>
        <v/>
      </c>
      <c r="AE488">
        <f>IF($V488,IF($S488="","",$S488),IF($R488="","",$R488))</f>
        <v/>
      </c>
      <c r="AF488">
        <f>IF($V488,IF($U488="","",$U488),IF($T488="","",$T488))</f>
        <v/>
      </c>
      <c r="AG488">
        <f>IF($V488,IF($O488="","",$O488),IF($P488="","",$P488))</f>
        <v/>
      </c>
      <c r="AH488" t="n">
        <v>0.2011588824185357</v>
      </c>
      <c r="AI488">
        <f>IF($Y488="worse","Yes",IF($Y488="worse, not significant","Not sure",IF(OR($Y488="too few losses to test",$Y488="too few loans to test"),"Too few losses",IF($Y488="","","No"))))</f>
        <v/>
      </c>
      <c r="AJ488">
        <f>IF($AA488="yes","Yes",IF($AA488="","","No"))</f>
        <v/>
      </c>
    </row>
    <row r="489">
      <c r="A489" t="inlineStr">
        <is>
          <t>three-way</t>
        </is>
      </c>
      <c r="B489" t="inlineStr">
        <is>
          <t>FICO x CHANNEL / SYS_FLAG</t>
        </is>
      </c>
      <c r="C489" t="inlineStr">
        <is>
          <t>654 - 685</t>
        </is>
      </c>
      <c r="D489" t="inlineStr">
        <is>
          <t>Online / SYS_FLAG N</t>
        </is>
      </c>
      <c r="E489" t="inlineStr">
        <is>
          <t>outcome_loans</t>
        </is>
      </c>
      <c r="F489" t="inlineStr">
        <is>
          <t>Outcome, share of loans</t>
        </is>
      </c>
      <c r="G489" t="n">
        <v>269</v>
      </c>
      <c r="H489" t="n">
        <v>269</v>
      </c>
      <c r="I489" t="b">
        <v>0</v>
      </c>
      <c r="J489" t="b">
        <v>0</v>
      </c>
      <c r="K489" t="n">
        <v>0.6164501208485161</v>
      </c>
      <c r="L489" t="n">
        <v>0.1704226974856417</v>
      </c>
      <c r="M489" t="n">
        <v>0.5245766212308963</v>
      </c>
      <c r="N489" t="n">
        <v>0.07538455842940572</v>
      </c>
      <c r="O489" t="n">
        <v>-8.088486416558862</v>
      </c>
      <c r="P489" t="n">
        <v>-11.78188976377953</v>
      </c>
      <c r="Q489">
        <f>'_live'!$C$20</f>
        <v/>
      </c>
      <c r="R489" t="inlineStr">
        <is>
          <t>z test</t>
        </is>
      </c>
      <c r="S489" t="inlineStr">
        <is>
          <t>z test</t>
        </is>
      </c>
      <c r="T489" t="n">
        <v>0.07839586028460543</v>
      </c>
      <c r="U489" t="n">
        <v>0.09212598425196851</v>
      </c>
      <c r="V489">
        <f>AND(judged_band,NOT($J489))</f>
        <v/>
      </c>
      <c r="W489">
        <f>IF($K489="","",IF($I489,"too few losses to test",IF(AND($K489&gt;better_at,$K489&lt;worse_at),"in line",IF($K489&gt;=worse_at,IF(AND(ISNUMBER($L489),$L489&lt;significance_bar),"worse","worse, not significant"),IF(AND(ISNUMBER($L489),$L489&lt;significance_bar),"better","better, not significant")))))</f>
        <v/>
      </c>
      <c r="X489">
        <f>IF($M489="","",IF($I489,"too few losses to test",IF(AND($M489&gt;better_at,$M489&lt;worse_at),"in line",IF($M489&gt;=worse_at,IF(AND(ISNUMBER($N489),$N489&lt;significance_bar),"worse","worse, not significant"),IF(AND(ISNUMBER($N489),$N489&lt;significance_bar),"better","better, not significant")))))</f>
        <v/>
      </c>
      <c r="Y489">
        <f>IF($V489,$X489,$W489)</f>
        <v/>
      </c>
      <c r="Z489">
        <f>IF($V489,IF($P489="","",$P489),IF($O489="","",$O489))</f>
        <v/>
      </c>
      <c r="AA489">
        <f>IF(OR($Q489="",$Z489=""),"",IF(AND($Z489&gt;0,$Z489&gt;=$Q489),"yes","below the line"))</f>
        <v/>
      </c>
      <c r="AB489">
        <f>IF($V489,IF($M489="","",$M489),IF($K489="","",$K489))</f>
        <v/>
      </c>
      <c r="AC489">
        <f>IF($V489,IF($N489="","",$N489),IF($L489="","",$L489))</f>
        <v/>
      </c>
      <c r="AD489">
        <f>$Y489</f>
        <v/>
      </c>
      <c r="AE489">
        <f>IF($V489,IF($S489="","",$S489),IF($R489="","",$R489))</f>
        <v/>
      </c>
      <c r="AF489">
        <f>IF($V489,IF($U489="","",$U489),IF($T489="","",$T489))</f>
        <v/>
      </c>
      <c r="AG489">
        <f>IF($V489,IF($O489="","",$O489),IF($P489="","",$P489))</f>
        <v/>
      </c>
      <c r="AH489" t="n">
        <v>0.0483271375464684</v>
      </c>
      <c r="AI489">
        <f>IF($Y489="worse","Yes",IF($Y489="worse, not significant","Not sure",IF(OR($Y489="too few losses to test",$Y489="too few loans to test"),"Too few losses",IF($Y489="","","No"))))</f>
        <v/>
      </c>
      <c r="AJ489">
        <f>IF($AA489="yes","Yes",IF($AA489="","","No"))</f>
        <v/>
      </c>
    </row>
    <row r="490">
      <c r="A490" t="inlineStr">
        <is>
          <t>three-way</t>
        </is>
      </c>
      <c r="B490" t="inlineStr">
        <is>
          <t>FICO x CHANNEL / SYS_FLAG</t>
        </is>
      </c>
      <c r="C490" t="inlineStr">
        <is>
          <t>654 - 685</t>
        </is>
      </c>
      <c r="D490" t="inlineStr">
        <is>
          <t>Online / SYS_FLAG N</t>
        </is>
      </c>
      <c r="E490" t="inlineStr">
        <is>
          <t>outcome_booked</t>
        </is>
      </c>
      <c r="F490" t="inlineStr">
        <is>
          <t>Outcome, share of booked dollars</t>
        </is>
      </c>
      <c r="G490" t="n">
        <v>269</v>
      </c>
      <c r="H490" t="n">
        <v>8694349.990000004</v>
      </c>
      <c r="I490" t="b">
        <v>0</v>
      </c>
      <c r="J490" t="b">
        <v>0</v>
      </c>
      <c r="K490" t="n">
        <v>0.4321215583847474</v>
      </c>
      <c r="L490" t="n">
        <v>0.05610550056105501</v>
      </c>
      <c r="M490" t="n">
        <v>0.3667534875670352</v>
      </c>
      <c r="N490" t="n">
        <v>0.01541512515415125</v>
      </c>
      <c r="O490" t="n">
        <v>-376662.4032328771</v>
      </c>
      <c r="P490" t="n">
        <v>-494881.6823556497</v>
      </c>
      <c r="Q490">
        <f>'_live'!$C$21</f>
        <v/>
      </c>
      <c r="R490" t="inlineStr">
        <is>
          <t>shuffled: 162 of 10,000</t>
        </is>
      </c>
      <c r="S490" t="inlineStr">
        <is>
          <t>shuffled: 36 of 10,000</t>
        </is>
      </c>
      <c r="T490" t="n">
        <v>0.07628862238071427</v>
      </c>
      <c r="U490" t="n">
        <v>0.08988587568415214</v>
      </c>
      <c r="V490">
        <f>AND(judged_band,NOT($J490))</f>
        <v/>
      </c>
      <c r="W490">
        <f>IF($K490="","",IF($I490,"too few losses to test",IF(AND($K490&gt;better_at,$K490&lt;worse_at),"in line",IF($K490&gt;=worse_at,IF(AND(ISNUMBER($L490),$L490&lt;significance_bar),"worse","worse, not significant"),IF(AND(ISNUMBER($L490),$L490&lt;significance_bar),"better","better, not significant")))))</f>
        <v/>
      </c>
      <c r="X490">
        <f>IF($M490="","",IF($I490,"too few losses to test",IF(AND($M490&gt;better_at,$M490&lt;worse_at),"in line",IF($M490&gt;=worse_at,IF(AND(ISNUMBER($N490),$N490&lt;significance_bar),"worse","worse, not significant"),IF(AND(ISNUMBER($N490),$N490&lt;significance_bar),"better","better, not significant")))))</f>
        <v/>
      </c>
      <c r="Y490">
        <f>IF($V490,$X490,$W490)</f>
        <v/>
      </c>
      <c r="Z490">
        <f>IF($V490,IF($P490="","",$P490),IF($O490="","",$O490))</f>
        <v/>
      </c>
      <c r="AA490">
        <f>IF(OR($Q490="",$Z490=""),"",IF(AND($Z490&gt;0,$Z490&gt;=$Q490),"yes","below the line"))</f>
        <v/>
      </c>
      <c r="AB490">
        <f>IF($V490,IF($M490="","",$M490),IF($K490="","",$K490))</f>
        <v/>
      </c>
      <c r="AC490">
        <f>IF($V490,IF($N490="","",$N490),IF($L490="","",$L490))</f>
        <v/>
      </c>
      <c r="AD490">
        <f>$Y490</f>
        <v/>
      </c>
      <c r="AE490">
        <f>IF($V490,IF($S490="","",$S490),IF($R490="","",$R490))</f>
        <v/>
      </c>
      <c r="AF490">
        <f>IF($V490,IF($U490="","",$U490),IF($T490="","",$T490))</f>
        <v/>
      </c>
      <c r="AG490">
        <f>IF($V490,IF($O490="","",$O490),IF($P490="","",$P490))</f>
        <v/>
      </c>
      <c r="AH490" t="n">
        <v>0.03296595839017977</v>
      </c>
      <c r="AI490">
        <f>IF($Y490="worse","Yes",IF($Y490="worse, not significant","Not sure",IF(OR($Y490="too few losses to test",$Y490="too few loans to test"),"Too few losses",IF($Y490="","","No"))))</f>
        <v/>
      </c>
      <c r="AJ490">
        <f>IF($AA490="yes","Yes",IF($AA490="","","No"))</f>
        <v/>
      </c>
    </row>
    <row r="491">
      <c r="A491" t="inlineStr">
        <is>
          <t>three-way</t>
        </is>
      </c>
      <c r="B491" t="inlineStr">
        <is>
          <t>FICO x CHANNEL / SYS_FLAG</t>
        </is>
      </c>
      <c r="C491" t="inlineStr">
        <is>
          <t>654 - 685</t>
        </is>
      </c>
      <c r="D491" t="inlineStr">
        <is>
          <t>Online / SYS_FLAG N</t>
        </is>
      </c>
      <c r="E491" t="inlineStr">
        <is>
          <t>gco_rate</t>
        </is>
      </c>
      <c r="F491" t="inlineStr">
        <is>
          <t>GCO per booked dollar</t>
        </is>
      </c>
      <c r="G491" t="n">
        <v>269</v>
      </c>
      <c r="H491" t="n">
        <v>8694349.990000004</v>
      </c>
      <c r="I491" t="b">
        <v>0</v>
      </c>
      <c r="J491" t="b">
        <v>0</v>
      </c>
      <c r="K491" t="n">
        <v>0.462875533800595</v>
      </c>
      <c r="L491" t="n">
        <v>0.0786032507860325</v>
      </c>
      <c r="M491" t="n">
        <v>0.3869243662966473</v>
      </c>
      <c r="N491" t="n">
        <v>0.02812218778122188</v>
      </c>
      <c r="O491" t="n">
        <v>-197875.6940941163</v>
      </c>
      <c r="P491" t="n">
        <v>-270190.2777803902</v>
      </c>
      <c r="Q491">
        <f>'_live'!$C$22</f>
        <v/>
      </c>
      <c r="R491" t="inlineStr">
        <is>
          <t>shuffled: 282 of 10,000</t>
        </is>
      </c>
      <c r="S491" t="inlineStr">
        <is>
          <t>shuffled: 77 of 10,000</t>
        </is>
      </c>
      <c r="T491" t="n">
        <v>0.04237213989750097</v>
      </c>
      <c r="U491" t="n">
        <v>0.05068956256503196</v>
      </c>
      <c r="V491">
        <f>AND(judged_band,NOT($J491))</f>
        <v/>
      </c>
      <c r="W491">
        <f>IF($K491="","",IF($I491,"too few losses to test",IF(AND($K491&gt;better_at,$K491&lt;worse_at),"in line",IF($K491&gt;=worse_at,IF(AND(ISNUMBER($L491),$L491&lt;significance_bar),"worse","worse, not significant"),IF(AND(ISNUMBER($L491),$L491&lt;significance_bar),"better","better, not significant")))))</f>
        <v/>
      </c>
      <c r="X491">
        <f>IF($M491="","",IF($I491,"too few losses to test",IF(AND($M491&gt;better_at,$M491&lt;worse_at),"in line",IF($M491&gt;=worse_at,IF(AND(ISNUMBER($N491),$N491&lt;significance_bar),"worse","worse, not significant"),IF(AND(ISNUMBER($N491),$N491&lt;significance_bar),"better","better, not significant")))))</f>
        <v/>
      </c>
      <c r="Y491">
        <f>IF($V491,$X491,$W491)</f>
        <v/>
      </c>
      <c r="Z491">
        <f>IF($V491,IF($P491="","",$P491),IF($O491="","",$O491))</f>
        <v/>
      </c>
      <c r="AA491">
        <f>IF(OR($Q491="",$Z491=""),"",IF(AND($Z491&gt;0,$Z491&gt;=$Q491),"yes","below the line"))</f>
        <v/>
      </c>
      <c r="AB491">
        <f>IF($V491,IF($M491="","",$M491),IF($K491="","",$K491))</f>
        <v/>
      </c>
      <c r="AC491">
        <f>IF($V491,IF($N491="","",$N491),IF($L491="","",$L491))</f>
        <v/>
      </c>
      <c r="AD491">
        <f>$Y491</f>
        <v/>
      </c>
      <c r="AE491">
        <f>IF($V491,IF($S491="","",$S491),IF($R491="","",$R491))</f>
        <v/>
      </c>
      <c r="AF491">
        <f>IF($V491,IF($U491="","",$U491),IF($T491="","",$T491))</f>
        <v/>
      </c>
      <c r="AG491">
        <f>IF($V491,IF($O491="","",$O491),IF($P491="","",$P491))</f>
        <v/>
      </c>
      <c r="AH491" t="n">
        <v>0.01961302687332925</v>
      </c>
      <c r="AI491">
        <f>IF($Y491="worse","Yes",IF($Y491="worse, not significant","Not sure",IF(OR($Y491="too few losses to test",$Y491="too few loans to test"),"Too few losses",IF($Y491="","","No"))))</f>
        <v/>
      </c>
      <c r="AJ491">
        <f>IF($AA491="yes","Yes",IF($AA491="","","No"))</f>
        <v/>
      </c>
    </row>
    <row r="492">
      <c r="A492" t="inlineStr">
        <is>
          <t>three-way</t>
        </is>
      </c>
      <c r="B492" t="inlineStr">
        <is>
          <t>FICO x CHANNEL / SYS_FLAG</t>
        </is>
      </c>
      <c r="C492" t="inlineStr">
        <is>
          <t>654 - 685</t>
        </is>
      </c>
      <c r="D492" t="inlineStr">
        <is>
          <t>Online / SYS_FLAG N</t>
        </is>
      </c>
      <c r="E492" t="inlineStr">
        <is>
          <t>ranr_rate</t>
        </is>
      </c>
      <c r="F492" t="inlineStr">
        <is>
          <t>Profit after losses: RANR per booked dollar</t>
        </is>
      </c>
      <c r="G492" t="n">
        <v>269</v>
      </c>
      <c r="H492" t="n">
        <v>8694349.990000004</v>
      </c>
      <c r="I492" t="b">
        <v>0</v>
      </c>
      <c r="J492" t="b">
        <v>0</v>
      </c>
      <c r="K492" t="n">
        <v>0.08233393429193414</v>
      </c>
      <c r="L492" t="n">
        <v>0.0002845869259227924</v>
      </c>
      <c r="M492" t="n">
        <v>0.05398586780899245</v>
      </c>
      <c r="N492" t="n">
        <v>0.0023997600239976</v>
      </c>
      <c r="O492" t="n">
        <v>-715840.0407877387</v>
      </c>
      <c r="P492" t="n">
        <v>-469372.029245255</v>
      </c>
      <c r="Q492">
        <f>'_live'!$C$23</f>
        <v/>
      </c>
      <c r="R492" t="inlineStr">
        <is>
          <t>shuffled: 0 of 10,000</t>
        </is>
      </c>
      <c r="S492" t="inlineStr">
        <is>
          <t>shuffled: 1 of 10,000</t>
        </is>
      </c>
      <c r="T492" t="n">
        <v>0.1252162117311153</v>
      </c>
      <c r="U492" t="n">
        <v>0.153564278214057</v>
      </c>
      <c r="V492">
        <f>AND(judged_band,NOT($J492))</f>
        <v/>
      </c>
      <c r="W492">
        <f>IF($K492="","",IF(profit_kind="test",IF(OR(NOT(AND(ISNUMBER($L492),$L492&lt;significance_bar)),$K492=0),"in line",IF($K492&lt;0,"worse","better")),IF(OR($K492=0,IF(profit_kind="points",ABS($K492),ABS($K492*$H492))&lt;profit_line*(1-1E-9)),"in line",IF(AND(ISNUMBER($L492),$L492&lt;significance_bar),IF($K492&lt;0,"worse","better"),IF($K492&lt;0,"worse, not significant","better, not significant")))))</f>
        <v/>
      </c>
      <c r="X492">
        <f>IF($M492="","",IF(profit_kind="test",IF(OR(NOT(AND(ISNUMBER($N492),$N492&lt;significance_bar)),$M492=0),"in line",IF($M492&lt;0,"worse","better")),IF(OR($M492=0,IF(profit_kind="points",ABS($M492),ABS($M492*$H492))&lt;profit_line*(1-1E-9)),"in line",IF(AND(ISNUMBER($N492),$N492&lt;significance_bar),IF($M492&lt;0,"worse","better"),IF($M492&lt;0,"worse, not significant","better, not significant")))))</f>
        <v/>
      </c>
      <c r="Y492">
        <f>IF($V492,$X492,$W492)</f>
        <v/>
      </c>
      <c r="Z492">
        <f>IF($V492,IF($P492="","",$P492),IF($O492="","",$O492))</f>
        <v/>
      </c>
      <c r="AA492">
        <f>IF(OR($Q492="",$Z492=""),"",IF(AND($Z492&gt;0,$Z492&gt;=$Q492),"yes","below the line"))</f>
        <v/>
      </c>
      <c r="AB492">
        <f>IF($V492,IF($M492="","",$M492),IF($K492="","",$K492))</f>
        <v/>
      </c>
      <c r="AC492">
        <f>IF($V492,IF($N492="","",$N492),IF($L492="","",$L492))</f>
        <v/>
      </c>
      <c r="AD492">
        <f>IF($Y492="","",IF($Y492="in line",IF(profit_kind="test",IF(ROUND($AB492*100,2)=0,"0.00",TEXT($AB492*100,"+0.00;-0.00"))&amp;" points against "&amp;IF($V492,"its band","the book")&amp;", "&amp;IF($AC492="","not tested","not significant"),IF(profit_kind="points","within "&amp;TEXT(profit_line*100,"0.00")&amp;" points of "&amp;IF($V492,"its band","the book")&amp;" ("&amp;IF(ROUND($AB492*100,2)=0,"0.00",TEXT($AB492*100,"+0.00;-0.00"))&amp;")","within $"&amp;TEXT(profit_line,"#,##0")&amp;" of "&amp;IF($V492,"its band","the book")&amp;" ("&amp;IF(ROUND($AB492*100,2)=0,"0.00",TEXT($AB492*100,"+0.00;-0.00"))&amp;" points)")),IF(LEFT($Y492,5)="worse","short of ","ahead of ")&amp;IF($V492,"its band","the book")&amp;" by "&amp;TEXT(ABS($AB492)*100,"0.00")&amp;" points"&amp;IF($Z492="",""," ($"&amp;TEXT(ABS($Z492),"#,##0")&amp;")")&amp;IF(RIGHT($Y492,15)="not significant"," (not significant)","")))</f>
        <v/>
      </c>
      <c r="AE492">
        <f>IF($V492,IF($S492="","",$S492),IF($R492="","",$R492))</f>
        <v/>
      </c>
      <c r="AF492">
        <f>IF($V492,IF($U492="","",$U492),IF($T492="","",$T492))</f>
        <v/>
      </c>
      <c r="AG492">
        <f>IF($V492,IF($O492="","",$O492),IF($P492="","",$P492))</f>
        <v/>
      </c>
      <c r="AH492" t="n">
        <v>0.2075501460230495</v>
      </c>
      <c r="AI492">
        <f>IF($Y492="worse","Yes",IF($Y492="worse, not significant","Not sure",IF(OR($Y492="too few losses to test",$Y492="too few loans to test"),"Too few losses",IF($Y492="","","No"))))</f>
        <v/>
      </c>
      <c r="AJ492">
        <f>IF($AA492="yes","Yes",IF($AA492="","","No"))</f>
        <v/>
      </c>
    </row>
    <row r="493">
      <c r="A493" t="inlineStr">
        <is>
          <t>three-way</t>
        </is>
      </c>
      <c r="B493" t="inlineStr">
        <is>
          <t>FICO x CHANNEL / SYS_FLAG</t>
        </is>
      </c>
      <c r="C493" t="inlineStr">
        <is>
          <t>654 - 685</t>
        </is>
      </c>
      <c r="D493" t="inlineStr">
        <is>
          <t>Online / SYS_FLAG N</t>
        </is>
      </c>
      <c r="E493" t="inlineStr">
        <is>
          <t>contribution_rate</t>
        </is>
      </c>
      <c r="F493" t="inlineStr">
        <is>
          <t>Contribution before losses per booked dollar</t>
        </is>
      </c>
      <c r="G493" t="n">
        <v>269</v>
      </c>
      <c r="H493" t="n">
        <v>8694349.990000004</v>
      </c>
      <c r="I493" t="b">
        <v>0</v>
      </c>
      <c r="J493" t="b">
        <v>0</v>
      </c>
      <c r="K493" t="n">
        <v>0.05957822170497151</v>
      </c>
      <c r="L493" t="n">
        <v>0.000184981501849815</v>
      </c>
      <c r="M493" t="n">
        <v>0.02290933211728982</v>
      </c>
      <c r="N493" t="n">
        <v>0.0173437201734372</v>
      </c>
      <c r="O493" t="n">
        <v>-517993.9112848369</v>
      </c>
      <c r="P493" t="n">
        <v>-199181.7514648654</v>
      </c>
      <c r="Q493">
        <f>'_live'!$C$24</f>
        <v/>
      </c>
      <c r="R493" t="inlineStr">
        <is>
          <t>shuffled: 0 of 10,000</t>
        </is>
      </c>
      <c r="S493" t="inlineStr">
        <is>
          <t>shuffled: 52 of 10,000</t>
        </is>
      </c>
      <c r="T493" t="n">
        <v>0.1675849511914072</v>
      </c>
      <c r="U493" t="n">
        <v>0.2042538407790889</v>
      </c>
      <c r="V493">
        <f>AND(judged_band,NOT($J493))</f>
        <v/>
      </c>
      <c r="W493">
        <f>IF($K493="","",IF(profit_kind="test",IF(OR(NOT(AND(ISNUMBER($L493),$L493&lt;significance_bar)),$K493=0),"in line",IF($K493&lt;0,"worse","better")),IF(OR($K493=0,IF(profit_kind="points",ABS($K493),ABS($K493*$H493))&lt;profit_line*(1-1E-9)),"in line",IF(AND(ISNUMBER($L493),$L493&lt;significance_bar),IF($K493&lt;0,"worse","better"),IF($K493&lt;0,"worse, not significant","better, not significant")))))</f>
        <v/>
      </c>
      <c r="X493">
        <f>IF($M493="","",IF(profit_kind="test",IF(OR(NOT(AND(ISNUMBER($N493),$N493&lt;significance_bar)),$M493=0),"in line",IF($M493&lt;0,"worse","better")),IF(OR($M493=0,IF(profit_kind="points",ABS($M493),ABS($M493*$H493))&lt;profit_line*(1-1E-9)),"in line",IF(AND(ISNUMBER($N493),$N493&lt;significance_bar),IF($M493&lt;0,"worse","better"),IF($M493&lt;0,"worse, not significant","better, not significant")))))</f>
        <v/>
      </c>
      <c r="Y493">
        <f>IF($V493,$X493,$W493)</f>
        <v/>
      </c>
      <c r="Z493">
        <f>IF($V493,IF($P493="","",$P493),IF($O493="","",$O493))</f>
        <v/>
      </c>
      <c r="AA493">
        <f>IF(OR($Q493="",$Z493=""),"",IF(AND($Z493&gt;0,$Z493&gt;=$Q493),"yes","below the line"))</f>
        <v/>
      </c>
      <c r="AB493">
        <f>IF($V493,IF($M493="","",$M493),IF($K493="","",$K493))</f>
        <v/>
      </c>
      <c r="AC493">
        <f>IF($V493,IF($N493="","",$N493),IF($L493="","",$L493))</f>
        <v/>
      </c>
      <c r="AD493">
        <f>IF($Y493="","",IF($Y493="in line",IF(profit_kind="test",IF(ROUND($AB493*100,2)=0,"0.00",TEXT($AB493*100,"+0.00;-0.00"))&amp;" points against "&amp;IF($V493,"its band","the book")&amp;", "&amp;IF($AC493="","not tested","not significant"),IF(profit_kind="points","within "&amp;TEXT(profit_line*100,"0.00")&amp;" points of "&amp;IF($V493,"its band","the book")&amp;" ("&amp;IF(ROUND($AB493*100,2)=0,"0.00",TEXT($AB493*100,"+0.00;-0.00"))&amp;")","within $"&amp;TEXT(profit_line,"#,##0")&amp;" of "&amp;IF($V493,"its band","the book")&amp;" ("&amp;IF(ROUND($AB493*100,2)=0,"0.00",TEXT($AB493*100,"+0.00;-0.00"))&amp;" points)")),IF(LEFT($Y493,5)="worse","short of ","ahead of ")&amp;IF($V493,"its band","the book")&amp;" by "&amp;TEXT(ABS($AB493)*100,"0.00")&amp;" points"&amp;IF($Z493="",""," ($"&amp;TEXT(ABS($Z493),"#,##0")&amp;")")&amp;IF(RIGHT($Y493,15)="not significant"," (not significant)","")))</f>
        <v/>
      </c>
      <c r="AE493">
        <f>IF($V493,IF($S493="","",$S493),IF($R493="","",$R493))</f>
        <v/>
      </c>
      <c r="AF493">
        <f>IF($V493,IF($U493="","",$U493),IF($T493="","",$T493))</f>
        <v/>
      </c>
      <c r="AG493">
        <f>IF($V493,IF($O493="","",$O493),IF($P493="","",$P493))</f>
        <v/>
      </c>
      <c r="AH493" t="n">
        <v>0.2271631728963787</v>
      </c>
      <c r="AI493">
        <f>IF($Y493="worse","Yes",IF($Y493="worse, not significant","Not sure",IF(OR($Y493="too few losses to test",$Y493="too few loans to test"),"Too few losses",IF($Y493="","","No"))))</f>
        <v/>
      </c>
      <c r="AJ493">
        <f>IF($AA493="yes","Yes",IF($AA493="","","No"))</f>
        <v/>
      </c>
    </row>
    <row r="494">
      <c r="A494" t="inlineStr">
        <is>
          <t>three-way</t>
        </is>
      </c>
      <c r="B494" t="inlineStr">
        <is>
          <t>FICO x CHANNEL / SYS_FLAG</t>
        </is>
      </c>
      <c r="C494" t="inlineStr">
        <is>
          <t>496 - 653</t>
        </is>
      </c>
      <c r="D494" t="inlineStr">
        <is>
          <t>Branch / SYS_FLAG Y</t>
        </is>
      </c>
      <c r="E494" t="inlineStr">
        <is>
          <t>outcome_loans</t>
        </is>
      </c>
      <c r="F494" t="inlineStr">
        <is>
          <t>Outcome, share of loans</t>
        </is>
      </c>
      <c r="G494" t="n">
        <v>231</v>
      </c>
      <c r="H494" t="n">
        <v>231</v>
      </c>
      <c r="I494" t="b">
        <v>0</v>
      </c>
      <c r="J494" t="b">
        <v>0</v>
      </c>
      <c r="K494" t="n">
        <v>1.593190791160334</v>
      </c>
      <c r="L494" t="n">
        <v>0.04076565091614095</v>
      </c>
      <c r="M494" t="n">
        <v>0.7790526625478081</v>
      </c>
      <c r="N494" t="n">
        <v>0.3170083363546049</v>
      </c>
      <c r="O494" t="n">
        <v>10.42520597322348</v>
      </c>
      <c r="P494" t="n">
        <v>-7.941087613293057</v>
      </c>
      <c r="Q494">
        <f>'_live'!$C$20</f>
        <v/>
      </c>
      <c r="R494" t="inlineStr">
        <is>
          <t>z test</t>
        </is>
      </c>
      <c r="S494" t="inlineStr">
        <is>
          <t>z test</t>
        </is>
      </c>
      <c r="T494" t="n">
        <v>0.07608135942327497</v>
      </c>
      <c r="U494" t="n">
        <v>0.1555891238670695</v>
      </c>
      <c r="V494">
        <f>AND(judged_band,NOT($J494))</f>
        <v/>
      </c>
      <c r="W494">
        <f>IF($K494="","",IF($I494,"too few losses to test",IF(AND($K494&gt;better_at,$K494&lt;worse_at),"in line",IF($K494&gt;=worse_at,IF(AND(ISNUMBER($L494),$L494&lt;significance_bar),"worse","worse, not significant"),IF(AND(ISNUMBER($L494),$L494&lt;significance_bar),"better","better, not significant")))))</f>
        <v/>
      </c>
      <c r="X494">
        <f>IF($M494="","",IF($I494,"too few losses to test",IF(AND($M494&gt;better_at,$M494&lt;worse_at),"in line",IF($M494&gt;=worse_at,IF(AND(ISNUMBER($N494),$N494&lt;significance_bar),"worse","worse, not significant"),IF(AND(ISNUMBER($N494),$N494&lt;significance_bar),"better","better, not significant")))))</f>
        <v/>
      </c>
      <c r="Y494">
        <f>IF($V494,$X494,$W494)</f>
        <v/>
      </c>
      <c r="Z494">
        <f>IF($V494,IF($P494="","",$P494),IF($O494="","",$O494))</f>
        <v/>
      </c>
      <c r="AA494">
        <f>IF(OR($Q494="",$Z494=""),"",IF(AND($Z494&gt;0,$Z494&gt;=$Q494),"yes","below the line"))</f>
        <v/>
      </c>
      <c r="AB494">
        <f>IF($V494,IF($M494="","",$M494),IF($K494="","",$K494))</f>
        <v/>
      </c>
      <c r="AC494">
        <f>IF($V494,IF($N494="","",$N494),IF($L494="","",$L494))</f>
        <v/>
      </c>
      <c r="AD494">
        <f>$Y494</f>
        <v/>
      </c>
      <c r="AE494">
        <f>IF($V494,IF($S494="","",$S494),IF($R494="","",$R494))</f>
        <v/>
      </c>
      <c r="AF494">
        <f>IF($V494,IF($U494="","",$U494),IF($T494="","",$T494))</f>
        <v/>
      </c>
      <c r="AG494">
        <f>IF($V494,IF($O494="","",$O494),IF($P494="","",$P494))</f>
        <v/>
      </c>
      <c r="AH494" t="n">
        <v>0.1212121212121212</v>
      </c>
      <c r="AI494">
        <f>IF($Y494="worse","Yes",IF($Y494="worse, not significant","Not sure",IF(OR($Y494="too few losses to test",$Y494="too few loans to test"),"Too few losses",IF($Y494="","","No"))))</f>
        <v/>
      </c>
      <c r="AJ494">
        <f>IF($AA494="yes","Yes",IF($AA494="","","No"))</f>
        <v/>
      </c>
    </row>
    <row r="495">
      <c r="A495" t="inlineStr">
        <is>
          <t>three-way</t>
        </is>
      </c>
      <c r="B495" t="inlineStr">
        <is>
          <t>FICO x CHANNEL / SYS_FLAG</t>
        </is>
      </c>
      <c r="C495" t="inlineStr">
        <is>
          <t>496 - 653</t>
        </is>
      </c>
      <c r="D495" t="inlineStr">
        <is>
          <t>Branch / SYS_FLAG Y</t>
        </is>
      </c>
      <c r="E495" t="inlineStr">
        <is>
          <t>outcome_booked</t>
        </is>
      </c>
      <c r="F495" t="inlineStr">
        <is>
          <t>Outcome, share of booked dollars</t>
        </is>
      </c>
      <c r="G495" t="n">
        <v>231</v>
      </c>
      <c r="H495" t="n">
        <v>7722735.910000001</v>
      </c>
      <c r="I495" t="b">
        <v>0</v>
      </c>
      <c r="J495" t="b">
        <v>0</v>
      </c>
      <c r="K495" t="n">
        <v>1.773464477122774</v>
      </c>
      <c r="L495" t="n">
        <v>0.02041462520414625</v>
      </c>
      <c r="M495" t="n">
        <v>0.8496149376163674</v>
      </c>
      <c r="N495" t="n">
        <v>0.5509975318257648</v>
      </c>
      <c r="O495" t="n">
        <v>436859.4153071404</v>
      </c>
      <c r="P495" t="n">
        <v>-177299.0392677856</v>
      </c>
      <c r="Q495">
        <f>'_live'!$C$21</f>
        <v/>
      </c>
      <c r="R495" t="inlineStr">
        <is>
          <t>shuffled: 41 of 10,000</t>
        </is>
      </c>
      <c r="S495" t="inlineStr">
        <is>
          <t>shuffled: 4,187 of 10,000</t>
        </is>
      </c>
      <c r="T495" t="n">
        <v>0.07313582145952982</v>
      </c>
      <c r="U495" t="n">
        <v>0.1526618419958097</v>
      </c>
      <c r="V495">
        <f>AND(judged_band,NOT($J495))</f>
        <v/>
      </c>
      <c r="W495">
        <f>IF($K495="","",IF($I495,"too few losses to test",IF(AND($K495&gt;better_at,$K495&lt;worse_at),"in line",IF($K495&gt;=worse_at,IF(AND(ISNUMBER($L495),$L495&lt;significance_bar),"worse","worse, not significant"),IF(AND(ISNUMBER($L495),$L495&lt;significance_bar),"better","better, not significant")))))</f>
        <v/>
      </c>
      <c r="X495">
        <f>IF($M495="","",IF($I495,"too few losses to test",IF(AND($M495&gt;better_at,$M495&lt;worse_at),"in line",IF($M495&gt;=worse_at,IF(AND(ISNUMBER($N495),$N495&lt;significance_bar),"worse","worse, not significant"),IF(AND(ISNUMBER($N495),$N495&lt;significance_bar),"better","better, not significant")))))</f>
        <v/>
      </c>
      <c r="Y495">
        <f>IF($V495,$X495,$W495)</f>
        <v/>
      </c>
      <c r="Z495">
        <f>IF($V495,IF($P495="","",$P495),IF($O495="","",$O495))</f>
        <v/>
      </c>
      <c r="AA495">
        <f>IF(OR($Q495="",$Z495=""),"",IF(AND($Z495&gt;0,$Z495&gt;=$Q495),"yes","below the line"))</f>
        <v/>
      </c>
      <c r="AB495">
        <f>IF($V495,IF($M495="","",$M495),IF($K495="","",$K495))</f>
        <v/>
      </c>
      <c r="AC495">
        <f>IF($V495,IF($N495="","",$N495),IF($L495="","",$L495))</f>
        <v/>
      </c>
      <c r="AD495">
        <f>$Y495</f>
        <v/>
      </c>
      <c r="AE495">
        <f>IF($V495,IF($S495="","",$S495),IF($R495="","",$R495))</f>
        <v/>
      </c>
      <c r="AF495">
        <f>IF($V495,IF($U495="","",$U495),IF($T495="","",$T495))</f>
        <v/>
      </c>
      <c r="AG495">
        <f>IF($V495,IF($O495="","",$O495),IF($P495="","",$P495))</f>
        <v/>
      </c>
      <c r="AH495" t="n">
        <v>0.1297037813636696</v>
      </c>
      <c r="AI495">
        <f>IF($Y495="worse","Yes",IF($Y495="worse, not significant","Not sure",IF(OR($Y495="too few losses to test",$Y495="too few loans to test"),"Too few losses",IF($Y495="","","No"))))</f>
        <v/>
      </c>
      <c r="AJ495">
        <f>IF($AA495="yes","Yes",IF($AA495="","","No"))</f>
        <v/>
      </c>
    </row>
    <row r="496">
      <c r="A496" t="inlineStr">
        <is>
          <t>three-way</t>
        </is>
      </c>
      <c r="B496" t="inlineStr">
        <is>
          <t>FICO x CHANNEL / SYS_FLAG</t>
        </is>
      </c>
      <c r="C496" t="inlineStr">
        <is>
          <t>496 - 653</t>
        </is>
      </c>
      <c r="D496" t="inlineStr">
        <is>
          <t>Branch / SYS_FLAG Y</t>
        </is>
      </c>
      <c r="E496" t="inlineStr">
        <is>
          <t>gco_rate</t>
        </is>
      </c>
      <c r="F496" t="inlineStr">
        <is>
          <t>GCO per booked dollar</t>
        </is>
      </c>
      <c r="G496" t="n">
        <v>231</v>
      </c>
      <c r="H496" t="n">
        <v>7722735.910000001</v>
      </c>
      <c r="I496" t="b">
        <v>0</v>
      </c>
      <c r="J496" t="b">
        <v>0</v>
      </c>
      <c r="K496" t="n">
        <v>1.6073216152189</v>
      </c>
      <c r="L496" t="n">
        <v>0.0786032507860325</v>
      </c>
      <c r="M496" t="n">
        <v>0.7580459550492539</v>
      </c>
      <c r="N496" t="n">
        <v>0.4211117349803482</v>
      </c>
      <c r="O496" t="n">
        <v>191652.7004668697</v>
      </c>
      <c r="P496" t="n">
        <v>-161896.0832675652</v>
      </c>
      <c r="Q496">
        <f>'_live'!$C$22</f>
        <v/>
      </c>
      <c r="R496" t="inlineStr">
        <is>
          <t>shuffled: 231 of 10,000</t>
        </is>
      </c>
      <c r="S496" t="inlineStr">
        <is>
          <t>shuffled: 2,041 of 10,000</t>
        </is>
      </c>
      <c r="T496" t="n">
        <v>0.04086250821091852</v>
      </c>
      <c r="U496" t="n">
        <v>0.08664275861112092</v>
      </c>
      <c r="V496">
        <f>AND(judged_band,NOT($J496))</f>
        <v/>
      </c>
      <c r="W496">
        <f>IF($K496="","",IF($I496,"too few losses to test",IF(AND($K496&gt;better_at,$K496&lt;worse_at),"in line",IF($K496&gt;=worse_at,IF(AND(ISNUMBER($L496),$L496&lt;significance_bar),"worse","worse, not significant"),IF(AND(ISNUMBER($L496),$L496&lt;significance_bar),"better","better, not significant")))))</f>
        <v/>
      </c>
      <c r="X496">
        <f>IF($M496="","",IF($I496,"too few losses to test",IF(AND($M496&gt;better_at,$M496&lt;worse_at),"in line",IF($M496&gt;=worse_at,IF(AND(ISNUMBER($N496),$N496&lt;significance_bar),"worse","worse, not significant"),IF(AND(ISNUMBER($N496),$N496&lt;significance_bar),"better","better, not significant")))))</f>
        <v/>
      </c>
      <c r="Y496">
        <f>IF($V496,$X496,$W496)</f>
        <v/>
      </c>
      <c r="Z496">
        <f>IF($V496,IF($P496="","",$P496),IF($O496="","",$O496))</f>
        <v/>
      </c>
      <c r="AA496">
        <f>IF(OR($Q496="",$Z496=""),"",IF(AND($Z496&gt;0,$Z496&gt;=$Q496),"yes","below the line"))</f>
        <v/>
      </c>
      <c r="AB496">
        <f>IF($V496,IF($M496="","",$M496),IF($K496="","",$K496))</f>
        <v/>
      </c>
      <c r="AC496">
        <f>IF($V496,IF($N496="","",$N496),IF($L496="","",$L496))</f>
        <v/>
      </c>
      <c r="AD496">
        <f>$Y496</f>
        <v/>
      </c>
      <c r="AE496">
        <f>IF($V496,IF($S496="","",$S496),IF($R496="","",$R496))</f>
        <v/>
      </c>
      <c r="AF496">
        <f>IF($V496,IF($U496="","",$U496),IF($T496="","",$T496))</f>
        <v/>
      </c>
      <c r="AG496">
        <f>IF($V496,IF($O496="","",$O496),IF($P496="","",$P496))</f>
        <v/>
      </c>
      <c r="AH496" t="n">
        <v>0.06567919269946912</v>
      </c>
      <c r="AI496">
        <f>IF($Y496="worse","Yes",IF($Y496="worse, not significant","Not sure",IF(OR($Y496="too few losses to test",$Y496="too few loans to test"),"Too few losses",IF($Y496="","","No"))))</f>
        <v/>
      </c>
      <c r="AJ496">
        <f>IF($AA496="yes","Yes",IF($AA496="","","No"))</f>
        <v/>
      </c>
    </row>
    <row r="497">
      <c r="A497" t="inlineStr">
        <is>
          <t>three-way</t>
        </is>
      </c>
      <c r="B497" t="inlineStr">
        <is>
          <t>FICO x CHANNEL / SYS_FLAG</t>
        </is>
      </c>
      <c r="C497" t="inlineStr">
        <is>
          <t>496 - 653</t>
        </is>
      </c>
      <c r="D497" t="inlineStr">
        <is>
          <t>Branch / SYS_FLAG Y</t>
        </is>
      </c>
      <c r="E497" t="inlineStr">
        <is>
          <t>ranr_rate</t>
        </is>
      </c>
      <c r="F497" t="inlineStr">
        <is>
          <t>Profit after losses: RANR per booked dollar</t>
        </is>
      </c>
      <c r="G497" t="n">
        <v>231</v>
      </c>
      <c r="H497" t="n">
        <v>7722735.910000001</v>
      </c>
      <c r="I497" t="b">
        <v>0</v>
      </c>
      <c r="J497" t="b">
        <v>0</v>
      </c>
      <c r="K497" t="n">
        <v>0.07240103944175827</v>
      </c>
      <c r="L497" t="n">
        <v>0.0002845869259227924</v>
      </c>
      <c r="M497" t="n">
        <v>0.009498145864936247</v>
      </c>
      <c r="N497" t="n">
        <v>0.8987581241875812</v>
      </c>
      <c r="O497" t="n">
        <v>-559134.107218193</v>
      </c>
      <c r="P497" t="n">
        <v>-73351.67214956111</v>
      </c>
      <c r="Q497">
        <f>'_live'!$C$23</f>
        <v/>
      </c>
      <c r="R497" t="inlineStr">
        <is>
          <t>shuffled: 0 of 10,000</t>
        </is>
      </c>
      <c r="S497" t="inlineStr">
        <is>
          <t>shuffled: 6,241 of 10,000</t>
        </is>
      </c>
      <c r="T497" t="n">
        <v>0.1258234379766336</v>
      </c>
      <c r="U497" t="n">
        <v>0.1887263315534557</v>
      </c>
      <c r="V497">
        <f>AND(judged_band,NOT($J497))</f>
        <v/>
      </c>
      <c r="W497">
        <f>IF($K497="","",IF(profit_kind="test",IF(OR(NOT(AND(ISNUMBER($L497),$L497&lt;significance_bar)),$K497=0),"in line",IF($K497&lt;0,"worse","better")),IF(OR($K497=0,IF(profit_kind="points",ABS($K497),ABS($K497*$H497))&lt;profit_line*(1-1E-9)),"in line",IF(AND(ISNUMBER($L497),$L497&lt;significance_bar),IF($K497&lt;0,"worse","better"),IF($K497&lt;0,"worse, not significant","better, not significant")))))</f>
        <v/>
      </c>
      <c r="X497">
        <f>IF($M497="","",IF(profit_kind="test",IF(OR(NOT(AND(ISNUMBER($N497),$N497&lt;significance_bar)),$M497=0),"in line",IF($M497&lt;0,"worse","better")),IF(OR($M497=0,IF(profit_kind="points",ABS($M497),ABS($M497*$H497))&lt;profit_line*(1-1E-9)),"in line",IF(AND(ISNUMBER($N497),$N497&lt;significance_bar),IF($M497&lt;0,"worse","better"),IF($M497&lt;0,"worse, not significant","better, not significant")))))</f>
        <v/>
      </c>
      <c r="Y497">
        <f>IF($V497,$X497,$W497)</f>
        <v/>
      </c>
      <c r="Z497">
        <f>IF($V497,IF($P497="","",$P497),IF($O497="","",$O497))</f>
        <v/>
      </c>
      <c r="AA497">
        <f>IF(OR($Q497="",$Z497=""),"",IF(AND($Z497&gt;0,$Z497&gt;=$Q497),"yes","below the line"))</f>
        <v/>
      </c>
      <c r="AB497">
        <f>IF($V497,IF($M497="","",$M497),IF($K497="","",$K497))</f>
        <v/>
      </c>
      <c r="AC497">
        <f>IF($V497,IF($N497="","",$N497),IF($L497="","",$L497))</f>
        <v/>
      </c>
      <c r="AD497">
        <f>IF($Y497="","",IF($Y497="in line",IF(profit_kind="test",IF(ROUND($AB497*100,2)=0,"0.00",TEXT($AB497*100,"+0.00;-0.00"))&amp;" points against "&amp;IF($V497,"its band","the book")&amp;", "&amp;IF($AC497="","not tested","not significant"),IF(profit_kind="points","within "&amp;TEXT(profit_line*100,"0.00")&amp;" points of "&amp;IF($V497,"its band","the book")&amp;" ("&amp;IF(ROUND($AB497*100,2)=0,"0.00",TEXT($AB497*100,"+0.00;-0.00"))&amp;")","within $"&amp;TEXT(profit_line,"#,##0")&amp;" of "&amp;IF($V497,"its band","the book")&amp;" ("&amp;IF(ROUND($AB497*100,2)=0,"0.00",TEXT($AB497*100,"+0.00;-0.00"))&amp;" points)")),IF(LEFT($Y497,5)="worse","short of ","ahead of ")&amp;IF($V497,"its band","the book")&amp;" by "&amp;TEXT(ABS($AB497)*100,"0.00")&amp;" points"&amp;IF($Z497="",""," ($"&amp;TEXT(ABS($Z497),"#,##0")&amp;")")&amp;IF(RIGHT($Y497,15)="not significant"," (not significant)","")))</f>
        <v/>
      </c>
      <c r="AE497">
        <f>IF($V497,IF($S497="","",$S497),IF($R497="","",$R497))</f>
        <v/>
      </c>
      <c r="AF497">
        <f>IF($V497,IF($U497="","",$U497),IF($T497="","",$T497))</f>
        <v/>
      </c>
      <c r="AG497">
        <f>IF($V497,IF($O497="","",$O497),IF($P497="","",$P497))</f>
        <v/>
      </c>
      <c r="AH497" t="n">
        <v>0.1982244774183919</v>
      </c>
      <c r="AI497">
        <f>IF($Y497="worse","Yes",IF($Y497="worse, not significant","Not sure",IF(OR($Y497="too few losses to test",$Y497="too few loans to test"),"Too few losses",IF($Y497="","","No"))))</f>
        <v/>
      </c>
      <c r="AJ497">
        <f>IF($AA497="yes","Yes",IF($AA497="","","No"))</f>
        <v/>
      </c>
    </row>
    <row r="498">
      <c r="A498" t="inlineStr">
        <is>
          <t>three-way</t>
        </is>
      </c>
      <c r="B498" t="inlineStr">
        <is>
          <t>FICO x CHANNEL / SYS_FLAG</t>
        </is>
      </c>
      <c r="C498" t="inlineStr">
        <is>
          <t>496 - 653</t>
        </is>
      </c>
      <c r="D498" t="inlineStr">
        <is>
          <t>Branch / SYS_FLAG Y</t>
        </is>
      </c>
      <c r="E498" t="inlineStr">
        <is>
          <t>contribution_rate</t>
        </is>
      </c>
      <c r="F498" t="inlineStr">
        <is>
          <t>Contribution before losses per booked dollar</t>
        </is>
      </c>
      <c r="G498" t="n">
        <v>231</v>
      </c>
      <c r="H498" t="n">
        <v>7722735.910000001</v>
      </c>
      <c r="I498" t="b">
        <v>0</v>
      </c>
      <c r="J498" t="b">
        <v>0</v>
      </c>
      <c r="K498" t="n">
        <v>0.09722101489616169</v>
      </c>
      <c r="L498" t="n">
        <v>0.000184981501849815</v>
      </c>
      <c r="M498" t="n">
        <v>-0.01146542004671558</v>
      </c>
      <c r="N498" t="n">
        <v>0.5160983901609839</v>
      </c>
      <c r="O498" t="n">
        <v>-750812.2229452329</v>
      </c>
      <c r="P498" t="n">
        <v>88544.41111800447</v>
      </c>
      <c r="Q498">
        <f>'_live'!$C$24</f>
        <v/>
      </c>
      <c r="R498" t="inlineStr">
        <is>
          <t>shuffled: 0 of 10,000</t>
        </is>
      </c>
      <c r="S498" t="inlineStr">
        <is>
          <t>shuffled: 3,154 of 10,000</t>
        </is>
      </c>
      <c r="T498" t="n">
        <v>0.1666826552216993</v>
      </c>
      <c r="U498" t="n">
        <v>0.2753690901645766</v>
      </c>
      <c r="V498">
        <f>AND(judged_band,NOT($J498))</f>
        <v/>
      </c>
      <c r="W498">
        <f>IF($K498="","",IF(profit_kind="test",IF(OR(NOT(AND(ISNUMBER($L498),$L498&lt;significance_bar)),$K498=0),"in line",IF($K498&lt;0,"worse","better")),IF(OR($K498=0,IF(profit_kind="points",ABS($K498),ABS($K498*$H498))&lt;profit_line*(1-1E-9)),"in line",IF(AND(ISNUMBER($L498),$L498&lt;significance_bar),IF($K498&lt;0,"worse","better"),IF($K498&lt;0,"worse, not significant","better, not significant")))))</f>
        <v/>
      </c>
      <c r="X498">
        <f>IF($M498="","",IF(profit_kind="test",IF(OR(NOT(AND(ISNUMBER($N498),$N498&lt;significance_bar)),$M498=0),"in line",IF($M498&lt;0,"worse","better")),IF(OR($M498=0,IF(profit_kind="points",ABS($M498),ABS($M498*$H498))&lt;profit_line*(1-1E-9)),"in line",IF(AND(ISNUMBER($N498),$N498&lt;significance_bar),IF($M498&lt;0,"worse","better"),IF($M498&lt;0,"worse, not significant","better, not significant")))))</f>
        <v/>
      </c>
      <c r="Y498">
        <f>IF($V498,$X498,$W498)</f>
        <v/>
      </c>
      <c r="Z498">
        <f>IF($V498,IF($P498="","",$P498),IF($O498="","",$O498))</f>
        <v/>
      </c>
      <c r="AA498">
        <f>IF(OR($Q498="",$Z498=""),"",IF(AND($Z498&gt;0,$Z498&gt;=$Q498),"yes","below the line"))</f>
        <v/>
      </c>
      <c r="AB498">
        <f>IF($V498,IF($M498="","",$M498),IF($K498="","",$K498))</f>
        <v/>
      </c>
      <c r="AC498">
        <f>IF($V498,IF($N498="","",$N498),IF($L498="","",$L498))</f>
        <v/>
      </c>
      <c r="AD498">
        <f>IF($Y498="","",IF($Y498="in line",IF(profit_kind="test",IF(ROUND($AB498*100,2)=0,"0.00",TEXT($AB498*100,"+0.00;-0.00"))&amp;" points against "&amp;IF($V498,"its band","the book")&amp;", "&amp;IF($AC498="","not tested","not significant"),IF(profit_kind="points","within "&amp;TEXT(profit_line*100,"0.00")&amp;" points of "&amp;IF($V498,"its band","the book")&amp;" ("&amp;IF(ROUND($AB498*100,2)=0,"0.00",TEXT($AB498*100,"+0.00;-0.00"))&amp;")","within $"&amp;TEXT(profit_line,"#,##0")&amp;" of "&amp;IF($V498,"its band","the book")&amp;" ("&amp;IF(ROUND($AB498*100,2)=0,"0.00",TEXT($AB498*100,"+0.00;-0.00"))&amp;" points)")),IF(LEFT($Y498,5)="worse","short of ","ahead of ")&amp;IF($V498,"its band","the book")&amp;" by "&amp;TEXT(ABS($AB498)*100,"0.00")&amp;" points"&amp;IF($Z498="",""," ($"&amp;TEXT(ABS($Z498),"#,##0")&amp;")")&amp;IF(RIGHT($Y498,15)="not significant"," (not significant)","")))</f>
        <v/>
      </c>
      <c r="AE498">
        <f>IF($V498,IF($S498="","",$S498),IF($R498="","",$R498))</f>
        <v/>
      </c>
      <c r="AF498">
        <f>IF($V498,IF($U498="","",$U498),IF($T498="","",$T498))</f>
        <v/>
      </c>
      <c r="AG498">
        <f>IF($V498,IF($O498="","",$O498),IF($P498="","",$P498))</f>
        <v/>
      </c>
      <c r="AH498" t="n">
        <v>0.263903670117861</v>
      </c>
      <c r="AI498">
        <f>IF($Y498="worse","Yes",IF($Y498="worse, not significant","Not sure",IF(OR($Y498="too few losses to test",$Y498="too few loans to test"),"Too few losses",IF($Y498="","","No"))))</f>
        <v/>
      </c>
      <c r="AJ498">
        <f>IF($AA498="yes","Yes",IF($AA498="","","No"))</f>
        <v/>
      </c>
    </row>
    <row r="499">
      <c r="A499" t="inlineStr">
        <is>
          <t>three-way</t>
        </is>
      </c>
      <c r="B499" t="inlineStr">
        <is>
          <t>FICO x CHANNEL / SYS_FLAG</t>
        </is>
      </c>
      <c r="C499" t="inlineStr">
        <is>
          <t>686 - 711</t>
        </is>
      </c>
      <c r="D499" t="inlineStr">
        <is>
          <t>Online / SYS_FLAG N</t>
        </is>
      </c>
      <c r="E499" t="inlineStr">
        <is>
          <t>outcome_loans</t>
        </is>
      </c>
      <c r="F499" t="inlineStr">
        <is>
          <t>Outcome, share of loans</t>
        </is>
      </c>
      <c r="G499" t="n">
        <v>297</v>
      </c>
      <c r="H499" t="n">
        <v>297</v>
      </c>
      <c r="I499" t="b">
        <v>0</v>
      </c>
      <c r="J499" t="b">
        <v>0</v>
      </c>
      <c r="K499" t="n">
        <v>0.6880971126410595</v>
      </c>
      <c r="L499" t="n">
        <v>0.2037254218873222</v>
      </c>
      <c r="M499" t="n">
        <v>0.8518518518518519</v>
      </c>
      <c r="N499" t="n">
        <v>0.6814717621540317</v>
      </c>
      <c r="O499" t="n">
        <v>-7.2525318099195</v>
      </c>
      <c r="P499" t="n">
        <v>-2.782608695652172</v>
      </c>
      <c r="Q499">
        <f>'_live'!$C$20</f>
        <v/>
      </c>
      <c r="R499" t="inlineStr">
        <is>
          <t>z test</t>
        </is>
      </c>
      <c r="S499" t="inlineStr">
        <is>
          <t>z test</t>
        </is>
      </c>
      <c r="T499" t="n">
        <v>0.07829135289535186</v>
      </c>
      <c r="U499" t="n">
        <v>0.06324110671936758</v>
      </c>
      <c r="V499">
        <f>AND(judged_band,NOT($J499))</f>
        <v/>
      </c>
      <c r="W499">
        <f>IF($K499="","",IF($I499,"too few losses to test",IF(AND($K499&gt;better_at,$K499&lt;worse_at),"in line",IF($K499&gt;=worse_at,IF(AND(ISNUMBER($L499),$L499&lt;significance_bar),"worse","worse, not significant"),IF(AND(ISNUMBER($L499),$L499&lt;significance_bar),"better","better, not significant")))))</f>
        <v/>
      </c>
      <c r="X499">
        <f>IF($M499="","",IF($I499,"too few losses to test",IF(AND($M499&gt;better_at,$M499&lt;worse_at),"in line",IF($M499&gt;=worse_at,IF(AND(ISNUMBER($N499),$N499&lt;significance_bar),"worse","worse, not significant"),IF(AND(ISNUMBER($N499),$N499&lt;significance_bar),"better","better, not significant")))))</f>
        <v/>
      </c>
      <c r="Y499">
        <f>IF($V499,$X499,$W499)</f>
        <v/>
      </c>
      <c r="Z499">
        <f>IF($V499,IF($P499="","",$P499),IF($O499="","",$O499))</f>
        <v/>
      </c>
      <c r="AA499">
        <f>IF(OR($Q499="",$Z499=""),"",IF(AND($Z499&gt;0,$Z499&gt;=$Q499),"yes","below the line"))</f>
        <v/>
      </c>
      <c r="AB499">
        <f>IF($V499,IF($M499="","",$M499),IF($K499="","",$K499))</f>
        <v/>
      </c>
      <c r="AC499">
        <f>IF($V499,IF($N499="","",$N499),IF($L499="","",$L499))</f>
        <v/>
      </c>
      <c r="AD499">
        <f>$Y499</f>
        <v/>
      </c>
      <c r="AE499">
        <f>IF($V499,IF($S499="","",$S499),IF($R499="","",$R499))</f>
        <v/>
      </c>
      <c r="AF499">
        <f>IF($V499,IF($U499="","",$U499),IF($T499="","",$T499))</f>
        <v/>
      </c>
      <c r="AG499">
        <f>IF($V499,IF($O499="","",$O499),IF($P499="","",$P499))</f>
        <v/>
      </c>
      <c r="AH499" t="n">
        <v>0.05387205387205387</v>
      </c>
      <c r="AI499">
        <f>IF($Y499="worse","Yes",IF($Y499="worse, not significant","Not sure",IF(OR($Y499="too few losses to test",$Y499="too few loans to test"),"Too few losses",IF($Y499="","","No"))))</f>
        <v/>
      </c>
      <c r="AJ499">
        <f>IF($AA499="yes","Yes",IF($AA499="","","No"))</f>
        <v/>
      </c>
    </row>
    <row r="500">
      <c r="A500" t="inlineStr">
        <is>
          <t>three-way</t>
        </is>
      </c>
      <c r="B500" t="inlineStr">
        <is>
          <t>FICO x CHANNEL / SYS_FLAG</t>
        </is>
      </c>
      <c r="C500" t="inlineStr">
        <is>
          <t>686 - 711</t>
        </is>
      </c>
      <c r="D500" t="inlineStr">
        <is>
          <t>Online / SYS_FLAG N</t>
        </is>
      </c>
      <c r="E500" t="inlineStr">
        <is>
          <t>outcome_booked</t>
        </is>
      </c>
      <c r="F500" t="inlineStr">
        <is>
          <t>Outcome, share of booked dollars</t>
        </is>
      </c>
      <c r="G500" t="n">
        <v>297</v>
      </c>
      <c r="H500" t="n">
        <v>9118030.480000006</v>
      </c>
      <c r="I500" t="b">
        <v>0</v>
      </c>
      <c r="J500" t="b">
        <v>0</v>
      </c>
      <c r="K500" t="n">
        <v>0.6046654011630104</v>
      </c>
      <c r="L500" t="n">
        <v>0.1678403588212607</v>
      </c>
      <c r="M500" t="n">
        <v>0.7744643672214482</v>
      </c>
      <c r="N500" t="n">
        <v>0.5509975318257648</v>
      </c>
      <c r="O500" t="n">
        <v>-273555.1334002261</v>
      </c>
      <c r="P500" t="n">
        <v>-121845.3302026351</v>
      </c>
      <c r="Q500">
        <f>'_live'!$C$21</f>
        <v/>
      </c>
      <c r="R500" t="inlineStr">
        <is>
          <t>shuffled: 814 of 10,000</t>
        </is>
      </c>
      <c r="S500" t="inlineStr">
        <is>
          <t>shuffled: 4,126 of 10,000</t>
        </is>
      </c>
      <c r="T500" t="n">
        <v>0.07588903052232675</v>
      </c>
      <c r="U500" t="n">
        <v>0.05925059050719852</v>
      </c>
      <c r="V500">
        <f>AND(judged_band,NOT($J500))</f>
        <v/>
      </c>
      <c r="W500">
        <f>IF($K500="","",IF($I500,"too few losses to test",IF(AND($K500&gt;better_at,$K500&lt;worse_at),"in line",IF($K500&gt;=worse_at,IF(AND(ISNUMBER($L500),$L500&lt;significance_bar),"worse","worse, not significant"),IF(AND(ISNUMBER($L500),$L500&lt;significance_bar),"better","better, not significant")))))</f>
        <v/>
      </c>
      <c r="X500">
        <f>IF($M500="","",IF($I500,"too few losses to test",IF(AND($M500&gt;better_at,$M500&lt;worse_at),"in line",IF($M500&gt;=worse_at,IF(AND(ISNUMBER($N500),$N500&lt;significance_bar),"worse","worse, not significant"),IF(AND(ISNUMBER($N500),$N500&lt;significance_bar),"better","better, not significant")))))</f>
        <v/>
      </c>
      <c r="Y500">
        <f>IF($V500,$X500,$W500)</f>
        <v/>
      </c>
      <c r="Z500">
        <f>IF($V500,IF($P500="","",$P500),IF($O500="","",$O500))</f>
        <v/>
      </c>
      <c r="AA500">
        <f>IF(OR($Q500="",$Z500=""),"",IF(AND($Z500&gt;0,$Z500&gt;=$Q500),"yes","below the line"))</f>
        <v/>
      </c>
      <c r="AB500">
        <f>IF($V500,IF($M500="","",$M500),IF($K500="","",$K500))</f>
        <v/>
      </c>
      <c r="AC500">
        <f>IF($V500,IF($N500="","",$N500),IF($L500="","",$L500))</f>
        <v/>
      </c>
      <c r="AD500">
        <f>$Y500</f>
        <v/>
      </c>
      <c r="AE500">
        <f>IF($V500,IF($S500="","",$S500),IF($R500="","",$R500))</f>
        <v/>
      </c>
      <c r="AF500">
        <f>IF($V500,IF($U500="","",$U500),IF($T500="","",$T500))</f>
        <v/>
      </c>
      <c r="AG500">
        <f>IF($V500,IF($O500="","",$O500),IF($P500="","",$P500))</f>
        <v/>
      </c>
      <c r="AH500" t="n">
        <v>0.04588747108465464</v>
      </c>
      <c r="AI500">
        <f>IF($Y500="worse","Yes",IF($Y500="worse, not significant","Not sure",IF(OR($Y500="too few losses to test",$Y500="too few loans to test"),"Too few losses",IF($Y500="","","No"))))</f>
        <v/>
      </c>
      <c r="AJ500">
        <f>IF($AA500="yes","Yes",IF($AA500="","","No"))</f>
        <v/>
      </c>
    </row>
    <row r="501">
      <c r="A501" t="inlineStr">
        <is>
          <t>three-way</t>
        </is>
      </c>
      <c r="B501" t="inlineStr">
        <is>
          <t>FICO x CHANNEL / SYS_FLAG</t>
        </is>
      </c>
      <c r="C501" t="inlineStr">
        <is>
          <t>686 - 711</t>
        </is>
      </c>
      <c r="D501" t="inlineStr">
        <is>
          <t>Online / SYS_FLAG N</t>
        </is>
      </c>
      <c r="E501" t="inlineStr">
        <is>
          <t>gco_rate</t>
        </is>
      </c>
      <c r="F501" t="inlineStr">
        <is>
          <t>GCO per booked dollar</t>
        </is>
      </c>
      <c r="G501" t="n">
        <v>297</v>
      </c>
      <c r="H501" t="n">
        <v>9118030.480000006</v>
      </c>
      <c r="I501" t="b">
        <v>0</v>
      </c>
      <c r="J501" t="b">
        <v>0</v>
      </c>
      <c r="K501" t="n">
        <v>0.5585528643288379</v>
      </c>
      <c r="L501" t="n">
        <v>0.1134501934421942</v>
      </c>
      <c r="M501" t="n">
        <v>0.7102847333355953</v>
      </c>
      <c r="N501" t="n">
        <v>0.4796395360463954</v>
      </c>
      <c r="O501" t="n">
        <v>-170120.3346218895</v>
      </c>
      <c r="P501" t="n">
        <v>-87797.20880023498</v>
      </c>
      <c r="Q501">
        <f>'_live'!$C$22</f>
        <v/>
      </c>
      <c r="R501" t="inlineStr">
        <is>
          <t>shuffled: 589 of 10,000</t>
        </is>
      </c>
      <c r="S501" t="inlineStr">
        <is>
          <t>shuffled: 3,069 of 10,000</t>
        </is>
      </c>
      <c r="T501" t="n">
        <v>0.04226457297627823</v>
      </c>
      <c r="U501" t="n">
        <v>0.03323596465979731</v>
      </c>
      <c r="V501">
        <f>AND(judged_band,NOT($J501))</f>
        <v/>
      </c>
      <c r="W501">
        <f>IF($K501="","",IF($I501,"too few losses to test",IF(AND($K501&gt;better_at,$K501&lt;worse_at),"in line",IF($K501&gt;=worse_at,IF(AND(ISNUMBER($L501),$L501&lt;significance_bar),"worse","worse, not significant"),IF(AND(ISNUMBER($L501),$L501&lt;significance_bar),"better","better, not significant")))))</f>
        <v/>
      </c>
      <c r="X501">
        <f>IF($M501="","",IF($I501,"too few losses to test",IF(AND($M501&gt;better_at,$M501&lt;worse_at),"in line",IF($M501&gt;=worse_at,IF(AND(ISNUMBER($N501),$N501&lt;significance_bar),"worse","worse, not significant"),IF(AND(ISNUMBER($N501),$N501&lt;significance_bar),"better","better, not significant")))))</f>
        <v/>
      </c>
      <c r="Y501">
        <f>IF($V501,$X501,$W501)</f>
        <v/>
      </c>
      <c r="Z501">
        <f>IF($V501,IF($P501="","",$P501),IF($O501="","",$O501))</f>
        <v/>
      </c>
      <c r="AA501">
        <f>IF(OR($Q501="",$Z501=""),"",IF(AND($Z501&gt;0,$Z501&gt;=$Q501),"yes","below the line"))</f>
        <v/>
      </c>
      <c r="AB501">
        <f>IF($V501,IF($M501="","",$M501),IF($K501="","",$K501))</f>
        <v/>
      </c>
      <c r="AC501">
        <f>IF($V501,IF($N501="","",$N501),IF($L501="","",$L501))</f>
        <v/>
      </c>
      <c r="AD501">
        <f>$Y501</f>
        <v/>
      </c>
      <c r="AE501">
        <f>IF($V501,IF($S501="","",$S501),IF($R501="","",$R501))</f>
        <v/>
      </c>
      <c r="AF501">
        <f>IF($V501,IF($U501="","",$U501),IF($T501="","",$T501))</f>
        <v/>
      </c>
      <c r="AG501">
        <f>IF($V501,IF($O501="","",$O501),IF($P501="","",$P501))</f>
        <v/>
      </c>
      <c r="AH501" t="n">
        <v>0.0236069982955354</v>
      </c>
      <c r="AI501">
        <f>IF($Y501="worse","Yes",IF($Y501="worse, not significant","Not sure",IF(OR($Y501="too few losses to test",$Y501="too few loans to test"),"Too few losses",IF($Y501="","","No"))))</f>
        <v/>
      </c>
      <c r="AJ501">
        <f>IF($AA501="yes","Yes",IF($AA501="","","No"))</f>
        <v/>
      </c>
    </row>
    <row r="502">
      <c r="A502" t="inlineStr">
        <is>
          <t>three-way</t>
        </is>
      </c>
      <c r="B502" t="inlineStr">
        <is>
          <t>FICO x CHANNEL / SYS_FLAG</t>
        </is>
      </c>
      <c r="C502" t="inlineStr">
        <is>
          <t>686 - 711</t>
        </is>
      </c>
      <c r="D502" t="inlineStr">
        <is>
          <t>Online / SYS_FLAG N</t>
        </is>
      </c>
      <c r="E502" t="inlineStr">
        <is>
          <t>ranr_rate</t>
        </is>
      </c>
      <c r="F502" t="inlineStr">
        <is>
          <t>Profit after losses: RANR per booked dollar</t>
        </is>
      </c>
      <c r="G502" t="n">
        <v>297</v>
      </c>
      <c r="H502" t="n">
        <v>9118030.480000006</v>
      </c>
      <c r="I502" t="b">
        <v>0</v>
      </c>
      <c r="J502" t="b">
        <v>0</v>
      </c>
      <c r="K502" t="n">
        <v>0.06935847894919175</v>
      </c>
      <c r="L502" t="n">
        <v>0.0002845869259227924</v>
      </c>
      <c r="M502" t="n">
        <v>0.06450921168920576</v>
      </c>
      <c r="N502" t="n">
        <v>0.0017998200179982</v>
      </c>
      <c r="O502" t="n">
        <v>-632412.7251051692</v>
      </c>
      <c r="P502" t="n">
        <v>-588196.9584229509</v>
      </c>
      <c r="Q502">
        <f>'_live'!$C$23</f>
        <v/>
      </c>
      <c r="R502" t="inlineStr">
        <is>
          <t>shuffled: 0 of 10,000</t>
        </is>
      </c>
      <c r="S502" t="inlineStr">
        <is>
          <t>shuffled: 0 of 10,000</t>
        </is>
      </c>
      <c r="T502" t="n">
        <v>0.1255394876564211</v>
      </c>
      <c r="U502" t="n">
        <v>0.1303887549164071</v>
      </c>
      <c r="V502">
        <f>AND(judged_band,NOT($J502))</f>
        <v/>
      </c>
      <c r="W502">
        <f>IF($K502="","",IF(profit_kind="test",IF(OR(NOT(AND(ISNUMBER($L502),$L502&lt;significance_bar)),$K502=0),"in line",IF($K502&lt;0,"worse","better")),IF(OR($K502=0,IF(profit_kind="points",ABS($K502),ABS($K502*$H502))&lt;profit_line*(1-1E-9)),"in line",IF(AND(ISNUMBER($L502),$L502&lt;significance_bar),IF($K502&lt;0,"worse","better"),IF($K502&lt;0,"worse, not significant","better, not significant")))))</f>
        <v/>
      </c>
      <c r="X502">
        <f>IF($M502="","",IF(profit_kind="test",IF(OR(NOT(AND(ISNUMBER($N502),$N502&lt;significance_bar)),$M502=0),"in line",IF($M502&lt;0,"worse","better")),IF(OR($M502=0,IF(profit_kind="points",ABS($M502),ABS($M502*$H502))&lt;profit_line*(1-1E-9)),"in line",IF(AND(ISNUMBER($N502),$N502&lt;significance_bar),IF($M502&lt;0,"worse","better"),IF($M502&lt;0,"worse, not significant","better, not significant")))))</f>
        <v/>
      </c>
      <c r="Y502">
        <f>IF($V502,$X502,$W502)</f>
        <v/>
      </c>
      <c r="Z502">
        <f>IF($V502,IF($P502="","",$P502),IF($O502="","",$O502))</f>
        <v/>
      </c>
      <c r="AA502">
        <f>IF(OR($Q502="",$Z502=""),"",IF(AND($Z502&gt;0,$Z502&gt;=$Q502),"yes","below the line"))</f>
        <v/>
      </c>
      <c r="AB502">
        <f>IF($V502,IF($M502="","",$M502),IF($K502="","",$K502))</f>
        <v/>
      </c>
      <c r="AC502">
        <f>IF($V502,IF($N502="","",$N502),IF($L502="","",$L502))</f>
        <v/>
      </c>
      <c r="AD502">
        <f>IF($Y502="","",IF($Y502="in line",IF(profit_kind="test",IF(ROUND($AB502*100,2)=0,"0.00",TEXT($AB502*100,"+0.00;-0.00"))&amp;" points against "&amp;IF($V502,"its band","the book")&amp;", "&amp;IF($AC502="","not tested","not significant"),IF(profit_kind="points","within "&amp;TEXT(profit_line*100,"0.00")&amp;" points of "&amp;IF($V502,"its band","the book")&amp;" ("&amp;IF(ROUND($AB502*100,2)=0,"0.00",TEXT($AB502*100,"+0.00;-0.00"))&amp;")","within $"&amp;TEXT(profit_line,"#,##0")&amp;" of "&amp;IF($V502,"its band","the book")&amp;" ("&amp;IF(ROUND($AB502*100,2)=0,"0.00",TEXT($AB502*100,"+0.00;-0.00"))&amp;" points)")),IF(LEFT($Y502,5)="worse","short of ","ahead of ")&amp;IF($V502,"its band","the book")&amp;" by "&amp;TEXT(ABS($AB502)*100,"0.00")&amp;" points"&amp;IF($Z502="",""," ($"&amp;TEXT(ABS($Z502),"#,##0")&amp;")")&amp;IF(RIGHT($Y502,15)="not significant"," (not significant)","")))</f>
        <v/>
      </c>
      <c r="AE502">
        <f>IF($V502,IF($S502="","",$S502),IF($R502="","",$R502))</f>
        <v/>
      </c>
      <c r="AF502">
        <f>IF($V502,IF($U502="","",$U502),IF($T502="","",$T502))</f>
        <v/>
      </c>
      <c r="AG502">
        <f>IF($V502,IF($O502="","",$O502),IF($P502="","",$P502))</f>
        <v/>
      </c>
      <c r="AH502" t="n">
        <v>0.1948979666056128</v>
      </c>
      <c r="AI502">
        <f>IF($Y502="worse","Yes",IF($Y502="worse, not significant","Not sure",IF(OR($Y502="too few losses to test",$Y502="too few loans to test"),"Too few losses",IF($Y502="","","No"))))</f>
        <v/>
      </c>
      <c r="AJ502">
        <f>IF($AA502="yes","Yes",IF($AA502="","","No"))</f>
        <v/>
      </c>
    </row>
    <row r="503">
      <c r="A503" t="inlineStr">
        <is>
          <t>three-way</t>
        </is>
      </c>
      <c r="B503" t="inlineStr">
        <is>
          <t>FICO x CHANNEL / SYS_FLAG</t>
        </is>
      </c>
      <c r="C503" t="inlineStr">
        <is>
          <t>686 - 711</t>
        </is>
      </c>
      <c r="D503" t="inlineStr">
        <is>
          <t>Online / SYS_FLAG N</t>
        </is>
      </c>
      <c r="E503" t="inlineStr">
        <is>
          <t>contribution_rate</t>
        </is>
      </c>
      <c r="F503" t="inlineStr">
        <is>
          <t>Contribution before losses per booked dollar</t>
        </is>
      </c>
      <c r="G503" t="n">
        <v>297</v>
      </c>
      <c r="H503" t="n">
        <v>9118030.480000006</v>
      </c>
      <c r="I503" t="b">
        <v>0</v>
      </c>
      <c r="J503" t="b">
        <v>0</v>
      </c>
      <c r="K503" t="n">
        <v>0.0507042589530225</v>
      </c>
      <c r="L503" t="n">
        <v>0.000184981501849815</v>
      </c>
      <c r="M503" t="n">
        <v>0.05488024532494373</v>
      </c>
      <c r="N503" t="n">
        <v>0.0005999400059994001</v>
      </c>
      <c r="O503" t="n">
        <v>-462322.9785994724</v>
      </c>
      <c r="P503" t="n">
        <v>-500399.7496227147</v>
      </c>
      <c r="Q503">
        <f>'_live'!$C$24</f>
        <v/>
      </c>
      <c r="R503" t="inlineStr">
        <is>
          <t>shuffled: 0 of 10,000</t>
        </is>
      </c>
      <c r="S503" t="inlineStr">
        <is>
          <t>shuffled: 0 of 10,000</t>
        </is>
      </c>
      <c r="T503" t="n">
        <v>0.1678007059481257</v>
      </c>
      <c r="U503" t="n">
        <v>0.1636247195762044</v>
      </c>
      <c r="V503">
        <f>AND(judged_band,NOT($J503))</f>
        <v/>
      </c>
      <c r="W503">
        <f>IF($K503="","",IF(profit_kind="test",IF(OR(NOT(AND(ISNUMBER($L503),$L503&lt;significance_bar)),$K503=0),"in line",IF($K503&lt;0,"worse","better")),IF(OR($K503=0,IF(profit_kind="points",ABS($K503),ABS($K503*$H503))&lt;profit_line*(1-1E-9)),"in line",IF(AND(ISNUMBER($L503),$L503&lt;significance_bar),IF($K503&lt;0,"worse","better"),IF($K503&lt;0,"worse, not significant","better, not significant")))))</f>
        <v/>
      </c>
      <c r="X503">
        <f>IF($M503="","",IF(profit_kind="test",IF(OR(NOT(AND(ISNUMBER($N503),$N503&lt;significance_bar)),$M503=0),"in line",IF($M503&lt;0,"worse","better")),IF(OR($M503=0,IF(profit_kind="points",ABS($M503),ABS($M503*$H503))&lt;profit_line*(1-1E-9)),"in line",IF(AND(ISNUMBER($N503),$N503&lt;significance_bar),IF($M503&lt;0,"worse","better"),IF($M503&lt;0,"worse, not significant","better, not significant")))))</f>
        <v/>
      </c>
      <c r="Y503">
        <f>IF($V503,$X503,$W503)</f>
        <v/>
      </c>
      <c r="Z503">
        <f>IF($V503,IF($P503="","",$P503),IF($O503="","",$O503))</f>
        <v/>
      </c>
      <c r="AA503">
        <f>IF(OR($Q503="",$Z503=""),"",IF(AND($Z503&gt;0,$Z503&gt;=$Q503),"yes","below the line"))</f>
        <v/>
      </c>
      <c r="AB503">
        <f>IF($V503,IF($M503="","",$M503),IF($K503="","",$K503))</f>
        <v/>
      </c>
      <c r="AC503">
        <f>IF($V503,IF($N503="","",$N503),IF($L503="","",$L503))</f>
        <v/>
      </c>
      <c r="AD503">
        <f>IF($Y503="","",IF($Y503="in line",IF(profit_kind="test",IF(ROUND($AB503*100,2)=0,"0.00",TEXT($AB503*100,"+0.00;-0.00"))&amp;" points against "&amp;IF($V503,"its band","the book")&amp;", "&amp;IF($AC503="","not tested","not significant"),IF(profit_kind="points","within "&amp;TEXT(profit_line*100,"0.00")&amp;" points of "&amp;IF($V503,"its band","the book")&amp;" ("&amp;IF(ROUND($AB503*100,2)=0,"0.00",TEXT($AB503*100,"+0.00;-0.00"))&amp;")","within $"&amp;TEXT(profit_line,"#,##0")&amp;" of "&amp;IF($V503,"its band","the book")&amp;" ("&amp;IF(ROUND($AB503*100,2)=0,"0.00",TEXT($AB503*100,"+0.00;-0.00"))&amp;" points)")),IF(LEFT($Y503,5)="worse","short of ","ahead of ")&amp;IF($V503,"its band","the book")&amp;" by "&amp;TEXT(ABS($AB503)*100,"0.00")&amp;" points"&amp;IF($Z503="",""," ($"&amp;TEXT(ABS($Z503),"#,##0")&amp;")")&amp;IF(RIGHT($Y503,15)="not significant"," (not significant)","")))</f>
        <v/>
      </c>
      <c r="AE503">
        <f>IF($V503,IF($S503="","",$S503),IF($R503="","",$R503))</f>
        <v/>
      </c>
      <c r="AF503">
        <f>IF($V503,IF($U503="","",$U503),IF($T503="","",$T503))</f>
        <v/>
      </c>
      <c r="AG503">
        <f>IF($V503,IF($O503="","",$O503),IF($P503="","",$P503))</f>
        <v/>
      </c>
      <c r="AH503" t="n">
        <v>0.2185049649011482</v>
      </c>
      <c r="AI503">
        <f>IF($Y503="worse","Yes",IF($Y503="worse, not significant","Not sure",IF(OR($Y503="too few losses to test",$Y503="too few loans to test"),"Too few losses",IF($Y503="","","No"))))</f>
        <v/>
      </c>
      <c r="AJ503">
        <f>IF($AA503="yes","Yes",IF($AA503="","","No"))</f>
        <v/>
      </c>
    </row>
    <row r="504">
      <c r="A504" t="inlineStr">
        <is>
          <t>three-way</t>
        </is>
      </c>
      <c r="B504" t="inlineStr">
        <is>
          <t>FICO x CHANNEL / SYS_FLAG</t>
        </is>
      </c>
      <c r="C504" t="inlineStr">
        <is>
          <t>712 - 745</t>
        </is>
      </c>
      <c r="D504" t="inlineStr">
        <is>
          <t>Broker / SYS_FLAG N</t>
        </is>
      </c>
      <c r="E504" t="inlineStr">
        <is>
          <t>outcome_loans</t>
        </is>
      </c>
      <c r="F504" t="inlineStr">
        <is>
          <t>Outcome, share of loans</t>
        </is>
      </c>
      <c r="G504" t="n">
        <v>291</v>
      </c>
      <c r="H504" t="n">
        <v>291</v>
      </c>
      <c r="I504" t="b">
        <v>1</v>
      </c>
      <c r="J504" t="b">
        <v>0</v>
      </c>
      <c r="K504" t="n">
        <v>0.3908061517660977</v>
      </c>
      <c r="M504" t="n">
        <v>0.5233941316415543</v>
      </c>
      <c r="O504" t="n">
        <v>-14.02932018681889</v>
      </c>
      <c r="P504" t="n">
        <v>-8.195454545454545</v>
      </c>
      <c r="Q504">
        <f>'_live'!$C$20</f>
        <v/>
      </c>
      <c r="T504" t="n">
        <v>0.07913855734302024</v>
      </c>
      <c r="U504" t="n">
        <v>0.05909090909090909</v>
      </c>
      <c r="V504">
        <f>AND(judged_band,NOT($J504))</f>
        <v/>
      </c>
      <c r="W504">
        <f>IF($K504="","",IF($I504,"too few losses to test",IF(AND($K504&gt;better_at,$K504&lt;worse_at),"in line",IF($K504&gt;=worse_at,IF(AND(ISNUMBER($L504),$L504&lt;significance_bar),"worse","worse, not significant"),IF(AND(ISNUMBER($L504),$L504&lt;significance_bar),"better","better, not significant")))))</f>
        <v/>
      </c>
      <c r="X504">
        <f>IF($M504="","",IF($I504,"too few losses to test",IF(AND($M504&gt;better_at,$M504&lt;worse_at),"in line",IF($M504&gt;=worse_at,IF(AND(ISNUMBER($N504),$N504&lt;significance_bar),"worse","worse, not significant"),IF(AND(ISNUMBER($N504),$N504&lt;significance_bar),"better","better, not significant")))))</f>
        <v/>
      </c>
      <c r="Y504">
        <f>IF($V504,$X504,$W504)</f>
        <v/>
      </c>
      <c r="Z504">
        <f>IF($V504,IF($P504="","",$P504),IF($O504="","",$O504))</f>
        <v/>
      </c>
      <c r="AA504">
        <f>IF(OR($Q504="",$Z504=""),"",IF(AND($Z504&gt;0,$Z504&gt;=$Q504),"yes","below the line"))</f>
        <v/>
      </c>
      <c r="AB504">
        <f>IF($V504,IF($M504="","",$M504),IF($K504="","",$K504))</f>
        <v/>
      </c>
      <c r="AC504">
        <f>IF($V504,IF($N504="","",$N504),IF($L504="","",$L504))</f>
        <v/>
      </c>
      <c r="AD504">
        <f>$Y504</f>
        <v/>
      </c>
      <c r="AE504">
        <f>IF($V504,IF($S504="","",$S504),IF($R504="","",$R504))</f>
        <v/>
      </c>
      <c r="AF504">
        <f>IF($V504,IF($U504="","",$U504),IF($T504="","",$T504))</f>
        <v/>
      </c>
      <c r="AG504">
        <f>IF($V504,IF($O504="","",$O504),IF($P504="","",$P504))</f>
        <v/>
      </c>
      <c r="AH504" t="n">
        <v>0.03092783505154639</v>
      </c>
      <c r="AI504">
        <f>IF($Y504="worse","Yes",IF($Y504="worse, not significant","Not sure",IF(OR($Y504="too few losses to test",$Y504="too few loans to test"),"Too few losses",IF($Y504="","","No"))))</f>
        <v/>
      </c>
      <c r="AJ504">
        <f>IF($AA504="yes","Yes",IF($AA504="","","No"))</f>
        <v/>
      </c>
    </row>
    <row r="505">
      <c r="A505" t="inlineStr">
        <is>
          <t>three-way</t>
        </is>
      </c>
      <c r="B505" t="inlineStr">
        <is>
          <t>FICO x CHANNEL / SYS_FLAG</t>
        </is>
      </c>
      <c r="C505" t="inlineStr">
        <is>
          <t>712 - 745</t>
        </is>
      </c>
      <c r="D505" t="inlineStr">
        <is>
          <t>Broker / SYS_FLAG N</t>
        </is>
      </c>
      <c r="E505" t="inlineStr">
        <is>
          <t>outcome_booked</t>
        </is>
      </c>
      <c r="F505" t="inlineStr">
        <is>
          <t>Outcome, share of booked dollars</t>
        </is>
      </c>
      <c r="G505" t="n">
        <v>291</v>
      </c>
      <c r="H505" t="n">
        <v>9193841.93</v>
      </c>
      <c r="I505" t="b">
        <v>1</v>
      </c>
      <c r="J505" t="b">
        <v>0</v>
      </c>
      <c r="K505" t="n">
        <v>0.441214981469932</v>
      </c>
      <c r="M505" t="n">
        <v>0.5701203815407044</v>
      </c>
      <c r="O505" t="n">
        <v>-392233.7533583454</v>
      </c>
      <c r="P505" t="n">
        <v>-233523.5844095501</v>
      </c>
      <c r="Q505">
        <f>'_live'!$C$21</f>
        <v/>
      </c>
      <c r="T505" t="n">
        <v>0.07634896909287468</v>
      </c>
      <c r="U505" t="n">
        <v>0.05908630891694589</v>
      </c>
      <c r="V505">
        <f>AND(judged_band,NOT($J505))</f>
        <v/>
      </c>
      <c r="W505">
        <f>IF($K505="","",IF($I505,"too few losses to test",IF(AND($K505&gt;better_at,$K505&lt;worse_at),"in line",IF($K505&gt;=worse_at,IF(AND(ISNUMBER($L505),$L505&lt;significance_bar),"worse","worse, not significant"),IF(AND(ISNUMBER($L505),$L505&lt;significance_bar),"better","better, not significant")))))</f>
        <v/>
      </c>
      <c r="X505">
        <f>IF($M505="","",IF($I505,"too few losses to test",IF(AND($M505&gt;better_at,$M505&lt;worse_at),"in line",IF($M505&gt;=worse_at,IF(AND(ISNUMBER($N505),$N505&lt;significance_bar),"worse","worse, not significant"),IF(AND(ISNUMBER($N505),$N505&lt;significance_bar),"better","better, not significant")))))</f>
        <v/>
      </c>
      <c r="Y505">
        <f>IF($V505,$X505,$W505)</f>
        <v/>
      </c>
      <c r="Z505">
        <f>IF($V505,IF($P505="","",$P505),IF($O505="","",$O505))</f>
        <v/>
      </c>
      <c r="AA505">
        <f>IF(OR($Q505="",$Z505=""),"",IF(AND($Z505&gt;0,$Z505&gt;=$Q505),"yes","below the line"))</f>
        <v/>
      </c>
      <c r="AB505">
        <f>IF($V505,IF($M505="","",$M505),IF($K505="","",$K505))</f>
        <v/>
      </c>
      <c r="AC505">
        <f>IF($V505,IF($N505="","",$N505),IF($L505="","",$L505))</f>
        <v/>
      </c>
      <c r="AD505">
        <f>$Y505</f>
        <v/>
      </c>
      <c r="AE505">
        <f>IF($V505,IF($S505="","",$S505),IF($R505="","",$R505))</f>
        <v/>
      </c>
      <c r="AF505">
        <f>IF($V505,IF($U505="","",$U505),IF($T505="","",$T505))</f>
        <v/>
      </c>
      <c r="AG505">
        <f>IF($V505,IF($O505="","",$O505),IF($P505="","",$P505))</f>
        <v/>
      </c>
      <c r="AH505" t="n">
        <v>0.03368630898356112</v>
      </c>
      <c r="AI505">
        <f>IF($Y505="worse","Yes",IF($Y505="worse, not significant","Not sure",IF(OR($Y505="too few losses to test",$Y505="too few loans to test"),"Too few losses",IF($Y505="","","No"))))</f>
        <v/>
      </c>
      <c r="AJ505">
        <f>IF($AA505="yes","Yes",IF($AA505="","","No"))</f>
        <v/>
      </c>
    </row>
    <row r="506">
      <c r="A506" t="inlineStr">
        <is>
          <t>three-way</t>
        </is>
      </c>
      <c r="B506" t="inlineStr">
        <is>
          <t>FICO x CHANNEL / SYS_FLAG</t>
        </is>
      </c>
      <c r="C506" t="inlineStr">
        <is>
          <t>712 - 745</t>
        </is>
      </c>
      <c r="D506" t="inlineStr">
        <is>
          <t>Broker / SYS_FLAG N</t>
        </is>
      </c>
      <c r="E506" t="inlineStr">
        <is>
          <t>gco_rate</t>
        </is>
      </c>
      <c r="F506" t="inlineStr">
        <is>
          <t>GCO per booked dollar</t>
        </is>
      </c>
      <c r="G506" t="n">
        <v>291</v>
      </c>
      <c r="H506" t="n">
        <v>9193841.93</v>
      </c>
      <c r="I506" t="b">
        <v>1</v>
      </c>
      <c r="J506" t="b">
        <v>0</v>
      </c>
      <c r="K506" t="n">
        <v>0.5194766797401259</v>
      </c>
      <c r="M506" t="n">
        <v>0.6854461388308557</v>
      </c>
      <c r="O506" t="n">
        <v>-187007.9158409995</v>
      </c>
      <c r="P506" t="n">
        <v>-92775.49135706807</v>
      </c>
      <c r="Q506">
        <f>'_live'!$C$22</f>
        <v/>
      </c>
      <c r="T506" t="n">
        <v>0.04233002142130581</v>
      </c>
      <c r="U506" t="n">
        <v>0.03208050601725627</v>
      </c>
      <c r="V506">
        <f>AND(judged_band,NOT($J506))</f>
        <v/>
      </c>
      <c r="W506">
        <f>IF($K506="","",IF($I506,"too few losses to test",IF(AND($K506&gt;better_at,$K506&lt;worse_at),"in line",IF($K506&gt;=worse_at,IF(AND(ISNUMBER($L506),$L506&lt;significance_bar),"worse","worse, not significant"),IF(AND(ISNUMBER($L506),$L506&lt;significance_bar),"better","better, not significant")))))</f>
        <v/>
      </c>
      <c r="X506">
        <f>IF($M506="","",IF($I506,"too few losses to test",IF(AND($M506&gt;better_at,$M506&lt;worse_at),"in line",IF($M506&gt;=worse_at,IF(AND(ISNUMBER($N506),$N506&lt;significance_bar),"worse","worse, not significant"),IF(AND(ISNUMBER($N506),$N506&lt;significance_bar),"better","better, not significant")))))</f>
        <v/>
      </c>
      <c r="Y506">
        <f>IF($V506,$X506,$W506)</f>
        <v/>
      </c>
      <c r="Z506">
        <f>IF($V506,IF($P506="","",$P506),IF($O506="","",$O506))</f>
        <v/>
      </c>
      <c r="AA506">
        <f>IF(OR($Q506="",$Z506=""),"",IF(AND($Z506&gt;0,$Z506&gt;=$Q506),"yes","below the line"))</f>
        <v/>
      </c>
      <c r="AB506">
        <f>IF($V506,IF($M506="","",$M506),IF($K506="","",$K506))</f>
        <v/>
      </c>
      <c r="AC506">
        <f>IF($V506,IF($N506="","",$N506),IF($L506="","",$L506))</f>
        <v/>
      </c>
      <c r="AD506">
        <f>$Y506</f>
        <v/>
      </c>
      <c r="AE506">
        <f>IF($V506,IF($S506="","",$S506),IF($R506="","",$R506))</f>
        <v/>
      </c>
      <c r="AF506">
        <f>IF($V506,IF($U506="","",$U506),IF($T506="","",$T506))</f>
        <v/>
      </c>
      <c r="AG506">
        <f>IF($V506,IF($O506="","",$O506),IF($P506="","",$P506))</f>
        <v/>
      </c>
      <c r="AH506" t="n">
        <v>0.02198945898126834</v>
      </c>
      <c r="AI506">
        <f>IF($Y506="worse","Yes",IF($Y506="worse, not significant","Not sure",IF(OR($Y506="too few losses to test",$Y506="too few loans to test"),"Too few losses",IF($Y506="","","No"))))</f>
        <v/>
      </c>
      <c r="AJ506">
        <f>IF($AA506="yes","Yes",IF($AA506="","","No"))</f>
        <v/>
      </c>
    </row>
    <row r="507">
      <c r="A507" t="inlineStr">
        <is>
          <t>three-way</t>
        </is>
      </c>
      <c r="B507" t="inlineStr">
        <is>
          <t>FICO x CHANNEL / SYS_FLAG</t>
        </is>
      </c>
      <c r="C507" t="inlineStr">
        <is>
          <t>712 - 745</t>
        </is>
      </c>
      <c r="D507" t="inlineStr">
        <is>
          <t>Broker / SYS_FLAG N</t>
        </is>
      </c>
      <c r="E507" t="inlineStr">
        <is>
          <t>ranr_rate</t>
        </is>
      </c>
      <c r="F507" t="inlineStr">
        <is>
          <t>Profit after losses: RANR per booked dollar</t>
        </is>
      </c>
      <c r="G507" t="n">
        <v>291</v>
      </c>
      <c r="H507" t="n">
        <v>9193841.93</v>
      </c>
      <c r="I507" t="b">
        <v>0</v>
      </c>
      <c r="J507" t="b">
        <v>0</v>
      </c>
      <c r="K507" t="n">
        <v>-0.04207500979054038</v>
      </c>
      <c r="L507" t="n">
        <v>0.00271306202713062</v>
      </c>
      <c r="M507" t="n">
        <v>-0.01043164540829329</v>
      </c>
      <c r="N507" t="n">
        <v>0.6081677546531061</v>
      </c>
      <c r="O507" t="n">
        <v>386830.9892174307</v>
      </c>
      <c r="P507" t="n">
        <v>95906.89895365876</v>
      </c>
      <c r="Q507">
        <f>'_live'!$C$23</f>
        <v/>
      </c>
      <c r="R507" t="inlineStr">
        <is>
          <t>shuffled: 10 of 10,000</t>
        </is>
      </c>
      <c r="S507" t="inlineStr">
        <is>
          <t>shuffled: 3,308 of 10,000</t>
        </is>
      </c>
      <c r="T507" t="n">
        <v>0.1294889969048478</v>
      </c>
      <c r="U507" t="n">
        <v>0.09784563252260074</v>
      </c>
      <c r="V507">
        <f>AND(judged_band,NOT($J507))</f>
        <v/>
      </c>
      <c r="W507">
        <f>IF($K507="","",IF(profit_kind="test",IF(OR(NOT(AND(ISNUMBER($L507),$L507&lt;significance_bar)),$K507=0),"in line",IF($K507&lt;0,"worse","better")),IF(OR($K507=0,IF(profit_kind="points",ABS($K507),ABS($K507*$H507))&lt;profit_line*(1-1E-9)),"in line",IF(AND(ISNUMBER($L507),$L507&lt;significance_bar),IF($K507&lt;0,"worse","better"),IF($K507&lt;0,"worse, not significant","better, not significant")))))</f>
        <v/>
      </c>
      <c r="X507">
        <f>IF($M507="","",IF(profit_kind="test",IF(OR(NOT(AND(ISNUMBER($N507),$N507&lt;significance_bar)),$M507=0),"in line",IF($M507&lt;0,"worse","better")),IF(OR($M507=0,IF(profit_kind="points",ABS($M507),ABS($M507*$H507))&lt;profit_line*(1-1E-9)),"in line",IF(AND(ISNUMBER($N507),$N507&lt;significance_bar),IF($M507&lt;0,"worse","better"),IF($M507&lt;0,"worse, not significant","better, not significant")))))</f>
        <v/>
      </c>
      <c r="Y507">
        <f>IF($V507,$X507,$W507)</f>
        <v/>
      </c>
      <c r="Z507">
        <f>IF($V507,IF($P507="","",$P507),IF($O507="","",$O507))</f>
        <v/>
      </c>
      <c r="AA507">
        <f>IF(OR($Q507="",$Z507=""),"",IF(AND($Z507&gt;0,$Z507&gt;=$Q507),"yes","below the line"))</f>
        <v/>
      </c>
      <c r="AB507">
        <f>IF($V507,IF($M507="","",$M507),IF($K507="","",$K507))</f>
        <v/>
      </c>
      <c r="AC507">
        <f>IF($V507,IF($N507="","",$N507),IF($L507="","",$L507))</f>
        <v/>
      </c>
      <c r="AD507">
        <f>IF($Y507="","",IF($Y507="in line",IF(profit_kind="test",IF(ROUND($AB507*100,2)=0,"0.00",TEXT($AB507*100,"+0.00;-0.00"))&amp;" points against "&amp;IF($V507,"its band","the book")&amp;", "&amp;IF($AC507="","not tested","not significant"),IF(profit_kind="points","within "&amp;TEXT(profit_line*100,"0.00")&amp;" points of "&amp;IF($V507,"its band","the book")&amp;" ("&amp;IF(ROUND($AB507*100,2)=0,"0.00",TEXT($AB507*100,"+0.00;-0.00"))&amp;")","within $"&amp;TEXT(profit_line,"#,##0")&amp;" of "&amp;IF($V507,"its band","the book")&amp;" ("&amp;IF(ROUND($AB507*100,2)=0,"0.00",TEXT($AB507*100,"+0.00;-0.00"))&amp;" points)")),IF(LEFT($Y507,5)="worse","short of ","ahead of ")&amp;IF($V507,"its band","the book")&amp;" by "&amp;TEXT(ABS($AB507)*100,"0.00")&amp;" points"&amp;IF($Z507="",""," ($"&amp;TEXT(ABS($Z507),"#,##0")&amp;")")&amp;IF(RIGHT($Y507,15)="not significant"," (not significant)","")))</f>
        <v/>
      </c>
      <c r="AE507">
        <f>IF($V507,IF($S507="","",$S507),IF($R507="","",$R507))</f>
        <v/>
      </c>
      <c r="AF507">
        <f>IF($V507,IF($U507="","",$U507),IF($T507="","",$T507))</f>
        <v/>
      </c>
      <c r="AG507">
        <f>IF($V507,IF($O507="","",$O507),IF($P507="","",$P507))</f>
        <v/>
      </c>
      <c r="AH507" t="n">
        <v>0.08741398711430745</v>
      </c>
      <c r="AI507">
        <f>IF($Y507="worse","Yes",IF($Y507="worse, not significant","Not sure",IF(OR($Y507="too few losses to test",$Y507="too few loans to test"),"Too few losses",IF($Y507="","","No"))))</f>
        <v/>
      </c>
      <c r="AJ507">
        <f>IF($AA507="yes","Yes",IF($AA507="","","No"))</f>
        <v/>
      </c>
    </row>
    <row r="508">
      <c r="A508" t="inlineStr">
        <is>
          <t>three-way</t>
        </is>
      </c>
      <c r="B508" t="inlineStr">
        <is>
          <t>FICO x CHANNEL / SYS_FLAG</t>
        </is>
      </c>
      <c r="C508" t="inlineStr">
        <is>
          <t>712 - 745</t>
        </is>
      </c>
      <c r="D508" t="inlineStr">
        <is>
          <t>Broker / SYS_FLAG N</t>
        </is>
      </c>
      <c r="E508" t="inlineStr">
        <is>
          <t>contribution_rate</t>
        </is>
      </c>
      <c r="F508" t="inlineStr">
        <is>
          <t>Contribution before losses per booked dollar</t>
        </is>
      </c>
      <c r="G508" t="n">
        <v>291</v>
      </c>
      <c r="H508" t="n">
        <v>9193841.93</v>
      </c>
      <c r="I508" t="b">
        <v>0</v>
      </c>
      <c r="J508" t="b">
        <v>0</v>
      </c>
      <c r="K508" t="n">
        <v>-0.06241284639544382</v>
      </c>
      <c r="L508" t="n">
        <v>0.000184981501849815</v>
      </c>
      <c r="M508" t="n">
        <v>-0.02047651097372809</v>
      </c>
      <c r="N508" t="n">
        <v>0.001028468581713257</v>
      </c>
      <c r="O508" t="n">
        <v>573813.8441610809</v>
      </c>
      <c r="P508" t="n">
        <v>188257.8051703663</v>
      </c>
      <c r="Q508">
        <f>'_live'!$C$24</f>
        <v/>
      </c>
      <c r="R508" t="inlineStr">
        <is>
          <t>shuffled: 0 of 10,000</t>
        </is>
      </c>
      <c r="S508" t="inlineStr">
        <is>
          <t>shuffled: 1 of 10,000</t>
        </is>
      </c>
      <c r="T508" t="n">
        <v>0.1718162924910196</v>
      </c>
      <c r="U508" t="n">
        <v>0.1298799570693039</v>
      </c>
      <c r="V508">
        <f>AND(judged_band,NOT($J508))</f>
        <v/>
      </c>
      <c r="W508">
        <f>IF($K508="","",IF(profit_kind="test",IF(OR(NOT(AND(ISNUMBER($L508),$L508&lt;significance_bar)),$K508=0),"in line",IF($K508&lt;0,"worse","better")),IF(OR($K508=0,IF(profit_kind="points",ABS($K508),ABS($K508*$H508))&lt;profit_line*(1-1E-9)),"in line",IF(AND(ISNUMBER($L508),$L508&lt;significance_bar),IF($K508&lt;0,"worse","better"),IF($K508&lt;0,"worse, not significant","better, not significant")))))</f>
        <v/>
      </c>
      <c r="X508">
        <f>IF($M508="","",IF(profit_kind="test",IF(OR(NOT(AND(ISNUMBER($N508),$N508&lt;significance_bar)),$M508=0),"in line",IF($M508&lt;0,"worse","better")),IF(OR($M508=0,IF(profit_kind="points",ABS($M508),ABS($M508*$H508))&lt;profit_line*(1-1E-9)),"in line",IF(AND(ISNUMBER($N508),$N508&lt;significance_bar),IF($M508&lt;0,"worse","better"),IF($M508&lt;0,"worse, not significant","better, not significant")))))</f>
        <v/>
      </c>
      <c r="Y508">
        <f>IF($V508,$X508,$W508)</f>
        <v/>
      </c>
      <c r="Z508">
        <f>IF($V508,IF($P508="","",$P508),IF($O508="","",$O508))</f>
        <v/>
      </c>
      <c r="AA508">
        <f>IF(OR($Q508="",$Z508=""),"",IF(AND($Z508&gt;0,$Z508&gt;=$Q508),"yes","below the line"))</f>
        <v/>
      </c>
      <c r="AB508">
        <f>IF($V508,IF($M508="","",$M508),IF($K508="","",$K508))</f>
        <v/>
      </c>
      <c r="AC508">
        <f>IF($V508,IF($N508="","",$N508),IF($L508="","",$L508))</f>
        <v/>
      </c>
      <c r="AD508">
        <f>IF($Y508="","",IF($Y508="in line",IF(profit_kind="test",IF(ROUND($AB508*100,2)=0,"0.00",TEXT($AB508*100,"+0.00;-0.00"))&amp;" points against "&amp;IF($V508,"its band","the book")&amp;", "&amp;IF($AC508="","not tested","not significant"),IF(profit_kind="points","within "&amp;TEXT(profit_line*100,"0.00")&amp;" points of "&amp;IF($V508,"its band","the book")&amp;" ("&amp;IF(ROUND($AB508*100,2)=0,"0.00",TEXT($AB508*100,"+0.00;-0.00"))&amp;")","within $"&amp;TEXT(profit_line,"#,##0")&amp;" of "&amp;IF($V508,"its band","the book")&amp;" ("&amp;IF(ROUND($AB508*100,2)=0,"0.00",TEXT($AB508*100,"+0.00;-0.00"))&amp;" points)")),IF(LEFT($Y508,5)="worse","short of ","ahead of ")&amp;IF($V508,"its band","the book")&amp;" by "&amp;TEXT(ABS($AB508)*100,"0.00")&amp;" points"&amp;IF($Z508="",""," ($"&amp;TEXT(ABS($Z508),"#,##0")&amp;")")&amp;IF(RIGHT($Y508,15)="not significant"," (not significant)","")))</f>
        <v/>
      </c>
      <c r="AE508">
        <f>IF($V508,IF($S508="","",$S508),IF($R508="","",$R508))</f>
        <v/>
      </c>
      <c r="AF508">
        <f>IF($V508,IF($U508="","",$U508),IF($T508="","",$T508))</f>
        <v/>
      </c>
      <c r="AG508">
        <f>IF($V508,IF($O508="","",$O508),IF($P508="","",$P508))</f>
        <v/>
      </c>
      <c r="AH508" t="n">
        <v>0.1094034460955758</v>
      </c>
      <c r="AI508">
        <f>IF($Y508="worse","Yes",IF($Y508="worse, not significant","Not sure",IF(OR($Y508="too few losses to test",$Y508="too few loans to test"),"Too few losses",IF($Y508="","","No"))))</f>
        <v/>
      </c>
      <c r="AJ508">
        <f>IF($AA508="yes","Yes",IF($AA508="","","No"))</f>
        <v/>
      </c>
    </row>
    <row r="509">
      <c r="A509" t="inlineStr">
        <is>
          <t>three-way</t>
        </is>
      </c>
      <c r="B509" t="inlineStr">
        <is>
          <t>FICO x CHANNEL / SYS_FLAG</t>
        </is>
      </c>
      <c r="C509" t="inlineStr">
        <is>
          <t>712 - 745</t>
        </is>
      </c>
      <c r="D509" t="inlineStr">
        <is>
          <t>Online / SYS_FLAG Y</t>
        </is>
      </c>
      <c r="E509" t="inlineStr">
        <is>
          <t>outcome_loans</t>
        </is>
      </c>
      <c r="F509" t="inlineStr">
        <is>
          <t>Outcome, share of loans</t>
        </is>
      </c>
      <c r="G509" t="n">
        <v>278</v>
      </c>
      <c r="H509" t="n">
        <v>278</v>
      </c>
      <c r="I509" t="b">
        <v>0</v>
      </c>
      <c r="J509" t="b">
        <v>0</v>
      </c>
      <c r="K509" t="n">
        <v>1.56403000466521</v>
      </c>
      <c r="L509" t="n">
        <v>0.03616756182014194</v>
      </c>
      <c r="M509" t="n">
        <v>2.930255795363709</v>
      </c>
      <c r="N509" t="n">
        <v>1.932379786291976e-06</v>
      </c>
      <c r="O509" t="n">
        <v>11.90066053619998</v>
      </c>
      <c r="P509" t="n">
        <v>21.73818454613654</v>
      </c>
      <c r="Q509">
        <f>'_live'!$C$20</f>
        <v/>
      </c>
      <c r="R509" t="inlineStr">
        <is>
          <t>z test</t>
        </is>
      </c>
      <c r="S509" t="inlineStr">
        <is>
          <t>z test</t>
        </is>
      </c>
      <c r="T509" t="n">
        <v>0.07589690454604325</v>
      </c>
      <c r="U509" t="n">
        <v>0.04051012753188297</v>
      </c>
      <c r="V509">
        <f>AND(judged_band,NOT($J509))</f>
        <v/>
      </c>
      <c r="W509">
        <f>IF($K509="","",IF($I509,"too few losses to test",IF(AND($K509&gt;better_at,$K509&lt;worse_at),"in line",IF($K509&gt;=worse_at,IF(AND(ISNUMBER($L509),$L509&lt;significance_bar),"worse","worse, not significant"),IF(AND(ISNUMBER($L509),$L509&lt;significance_bar),"better","better, not significant")))))</f>
        <v/>
      </c>
      <c r="X509">
        <f>IF($M509="","",IF($I509,"too few losses to test",IF(AND($M509&gt;better_at,$M509&lt;worse_at),"in line",IF($M509&gt;=worse_at,IF(AND(ISNUMBER($N509),$N509&lt;significance_bar),"worse","worse, not significant"),IF(AND(ISNUMBER($N509),$N509&lt;significance_bar),"better","better, not significant")))))</f>
        <v/>
      </c>
      <c r="Y509">
        <f>IF($V509,$X509,$W509)</f>
        <v/>
      </c>
      <c r="Z509">
        <f>IF($V509,IF($P509="","",$P509),IF($O509="","",$O509))</f>
        <v/>
      </c>
      <c r="AA509">
        <f>IF(OR($Q509="",$Z509=""),"",IF(AND($Z509&gt;0,$Z509&gt;=$Q509),"yes","below the line"))</f>
        <v/>
      </c>
      <c r="AB509">
        <f>IF($V509,IF($M509="","",$M509),IF($K509="","",$K509))</f>
        <v/>
      </c>
      <c r="AC509">
        <f>IF($V509,IF($N509="","",$N509),IF($L509="","",$L509))</f>
        <v/>
      </c>
      <c r="AD509">
        <f>$Y509</f>
        <v/>
      </c>
      <c r="AE509">
        <f>IF($V509,IF($S509="","",$S509),IF($R509="","",$R509))</f>
        <v/>
      </c>
      <c r="AF509">
        <f>IF($V509,IF($U509="","",$U509),IF($T509="","",$T509))</f>
        <v/>
      </c>
      <c r="AG509">
        <f>IF($V509,IF($O509="","",$O509),IF($P509="","",$P509))</f>
        <v/>
      </c>
      <c r="AH509" t="n">
        <v>0.118705035971223</v>
      </c>
      <c r="AI509">
        <f>IF($Y509="worse","Yes",IF($Y509="worse, not significant","Not sure",IF(OR($Y509="too few losses to test",$Y509="too few loans to test"),"Too few losses",IF($Y509="","","No"))))</f>
        <v/>
      </c>
      <c r="AJ509">
        <f>IF($AA509="yes","Yes",IF($AA509="","","No"))</f>
        <v/>
      </c>
    </row>
    <row r="510">
      <c r="A510" t="inlineStr">
        <is>
          <t>three-way</t>
        </is>
      </c>
      <c r="B510" t="inlineStr">
        <is>
          <t>FICO x CHANNEL / SYS_FLAG</t>
        </is>
      </c>
      <c r="C510" t="inlineStr">
        <is>
          <t>712 - 745</t>
        </is>
      </c>
      <c r="D510" t="inlineStr">
        <is>
          <t>Online / SYS_FLAG Y</t>
        </is>
      </c>
      <c r="E510" t="inlineStr">
        <is>
          <t>outcome_booked</t>
        </is>
      </c>
      <c r="F510" t="inlineStr">
        <is>
          <t>Outcome, share of booked dollars</t>
        </is>
      </c>
      <c r="G510" t="n">
        <v>278</v>
      </c>
      <c r="H510" t="n">
        <v>9308697.990000006</v>
      </c>
      <c r="I510" t="b">
        <v>0</v>
      </c>
      <c r="J510" t="b">
        <v>0</v>
      </c>
      <c r="K510" t="n">
        <v>1.503188555011066</v>
      </c>
      <c r="L510" t="n">
        <v>0.08453700084537001</v>
      </c>
      <c r="M510" t="n">
        <v>2.626839704292058</v>
      </c>
      <c r="N510" t="n">
        <v>0.001666500016665</v>
      </c>
      <c r="O510" t="n">
        <v>344251.5090681211</v>
      </c>
      <c r="P510" t="n">
        <v>636897.8016140107</v>
      </c>
      <c r="Q510">
        <f>'_live'!$C$21</f>
        <v/>
      </c>
      <c r="R510" t="inlineStr">
        <is>
          <t>shuffled: 371 of 10,000</t>
        </is>
      </c>
      <c r="S510" t="inlineStr">
        <is>
          <t>shuffled: 1 of 10,000</t>
        </is>
      </c>
      <c r="T510" t="n">
        <v>0.07349472307156443</v>
      </c>
      <c r="U510" t="n">
        <v>0.04205678267858263</v>
      </c>
      <c r="V510">
        <f>AND(judged_band,NOT($J510))</f>
        <v/>
      </c>
      <c r="W510">
        <f>IF($K510="","",IF($I510,"too few losses to test",IF(AND($K510&gt;better_at,$K510&lt;worse_at),"in line",IF($K510&gt;=worse_at,IF(AND(ISNUMBER($L510),$L510&lt;significance_bar),"worse","worse, not significant"),IF(AND(ISNUMBER($L510),$L510&lt;significance_bar),"better","better, not significant")))))</f>
        <v/>
      </c>
      <c r="X510">
        <f>IF($M510="","",IF($I510,"too few losses to test",IF(AND($M510&gt;better_at,$M510&lt;worse_at),"in line",IF($M510&gt;=worse_at,IF(AND(ISNUMBER($N510),$N510&lt;significance_bar),"worse","worse, not significant"),IF(AND(ISNUMBER($N510),$N510&lt;significance_bar),"better","better, not significant")))))</f>
        <v/>
      </c>
      <c r="Y510">
        <f>IF($V510,$X510,$W510)</f>
        <v/>
      </c>
      <c r="Z510">
        <f>IF($V510,IF($P510="","",$P510),IF($O510="","",$O510))</f>
        <v/>
      </c>
      <c r="AA510">
        <f>IF(OR($Q510="",$Z510=""),"",IF(AND($Z510&gt;0,$Z510&gt;=$Q510),"yes","below the line"))</f>
        <v/>
      </c>
      <c r="AB510">
        <f>IF($V510,IF($M510="","",$M510),IF($K510="","",$K510))</f>
        <v/>
      </c>
      <c r="AC510">
        <f>IF($V510,IF($N510="","",$N510),IF($L510="","",$L510))</f>
        <v/>
      </c>
      <c r="AD510">
        <f>$Y510</f>
        <v/>
      </c>
      <c r="AE510">
        <f>IF($V510,IF($S510="","",$S510),IF($R510="","",$R510))</f>
        <v/>
      </c>
      <c r="AF510">
        <f>IF($V510,IF($U510="","",$U510),IF($T510="","",$T510))</f>
        <v/>
      </c>
      <c r="AG510">
        <f>IF($V510,IF($O510="","",$O510),IF($P510="","",$P510))</f>
        <v/>
      </c>
      <c r="AH510" t="n">
        <v>0.1104764265748834</v>
      </c>
      <c r="AI510">
        <f>IF($Y510="worse","Yes",IF($Y510="worse, not significant","Not sure",IF(OR($Y510="too few losses to test",$Y510="too few loans to test"),"Too few losses",IF($Y510="","","No"))))</f>
        <v/>
      </c>
      <c r="AJ510">
        <f>IF($AA510="yes","Yes",IF($AA510="","","No"))</f>
        <v/>
      </c>
    </row>
    <row r="511">
      <c r="A511" t="inlineStr">
        <is>
          <t>three-way</t>
        </is>
      </c>
      <c r="B511" t="inlineStr">
        <is>
          <t>FICO x CHANNEL / SYS_FLAG</t>
        </is>
      </c>
      <c r="C511" t="inlineStr">
        <is>
          <t>712 - 745</t>
        </is>
      </c>
      <c r="D511" t="inlineStr">
        <is>
          <t>Online / SYS_FLAG Y</t>
        </is>
      </c>
      <c r="E511" t="inlineStr">
        <is>
          <t>gco_rate</t>
        </is>
      </c>
      <c r="F511" t="inlineStr">
        <is>
          <t>GCO per booked dollar</t>
        </is>
      </c>
      <c r="G511" t="n">
        <v>278</v>
      </c>
      <c r="H511" t="n">
        <v>9308697.990000006</v>
      </c>
      <c r="I511" t="b">
        <v>0</v>
      </c>
      <c r="J511" t="b">
        <v>0</v>
      </c>
      <c r="K511" t="n">
        <v>1.488115560995338</v>
      </c>
      <c r="L511" t="n">
        <v>0.1118638136186381</v>
      </c>
      <c r="M511" t="n">
        <v>2.594710023167195</v>
      </c>
      <c r="N511" t="n">
        <v>0.0024997500249975</v>
      </c>
      <c r="O511" t="n">
        <v>185771.3760986968</v>
      </c>
      <c r="P511" t="n">
        <v>348085.3116802338</v>
      </c>
      <c r="Q511">
        <f>'_live'!$C$22</f>
        <v/>
      </c>
      <c r="R511" t="inlineStr">
        <is>
          <t>shuffled: 536 of 10,000</t>
        </is>
      </c>
      <c r="S511" t="inlineStr">
        <is>
          <t>shuffled: 3 of 10,000</t>
        </is>
      </c>
      <c r="T511" t="n">
        <v>0.04088530150082816</v>
      </c>
      <c r="U511" t="n">
        <v>0.02344849822759865</v>
      </c>
      <c r="V511">
        <f>AND(judged_band,NOT($J511))</f>
        <v/>
      </c>
      <c r="W511">
        <f>IF($K511="","",IF($I511,"too few losses to test",IF(AND($K511&gt;better_at,$K511&lt;worse_at),"in line",IF($K511&gt;=worse_at,IF(AND(ISNUMBER($L511),$L511&lt;significance_bar),"worse","worse, not significant"),IF(AND(ISNUMBER($L511),$L511&lt;significance_bar),"better","better, not significant")))))</f>
        <v/>
      </c>
      <c r="X511">
        <f>IF($M511="","",IF($I511,"too few losses to test",IF(AND($M511&gt;better_at,$M511&lt;worse_at),"in line",IF($M511&gt;=worse_at,IF(AND(ISNUMBER($N511),$N511&lt;significance_bar),"worse","worse, not significant"),IF(AND(ISNUMBER($N511),$N511&lt;significance_bar),"better","better, not significant")))))</f>
        <v/>
      </c>
      <c r="Y511">
        <f>IF($V511,$X511,$W511)</f>
        <v/>
      </c>
      <c r="Z511">
        <f>IF($V511,IF($P511="","",$P511),IF($O511="","",$O511))</f>
        <v/>
      </c>
      <c r="AA511">
        <f>IF(OR($Q511="",$Z511=""),"",IF(AND($Z511&gt;0,$Z511&gt;=$Q511),"yes","below the line"))</f>
        <v/>
      </c>
      <c r="AB511">
        <f>IF($V511,IF($M511="","",$M511),IF($K511="","",$K511))</f>
        <v/>
      </c>
      <c r="AC511">
        <f>IF($V511,IF($N511="","",$N511),IF($L511="","",$L511))</f>
        <v/>
      </c>
      <c r="AD511">
        <f>$Y511</f>
        <v/>
      </c>
      <c r="AE511">
        <f>IF($V511,IF($S511="","",$S511),IF($R511="","",$R511))</f>
        <v/>
      </c>
      <c r="AF511">
        <f>IF($V511,IF($U511="","",$U511),IF($T511="","",$T511))</f>
        <v/>
      </c>
      <c r="AG511">
        <f>IF($V511,IF($O511="","",$O511),IF($P511="","",$P511))</f>
        <v/>
      </c>
      <c r="AH511" t="n">
        <v>0.06084205337936844</v>
      </c>
      <c r="AI511">
        <f>IF($Y511="worse","Yes",IF($Y511="worse, not significant","Not sure",IF(OR($Y511="too few losses to test",$Y511="too few loans to test"),"Too few losses",IF($Y511="","","No"))))</f>
        <v/>
      </c>
      <c r="AJ511">
        <f>IF($AA511="yes","Yes",IF($AA511="","","No"))</f>
        <v/>
      </c>
    </row>
    <row r="512">
      <c r="A512" t="inlineStr">
        <is>
          <t>three-way</t>
        </is>
      </c>
      <c r="B512" t="inlineStr">
        <is>
          <t>FICO x CHANNEL / SYS_FLAG</t>
        </is>
      </c>
      <c r="C512" t="inlineStr">
        <is>
          <t>712 - 745</t>
        </is>
      </c>
      <c r="D512" t="inlineStr">
        <is>
          <t>Online / SYS_FLAG Y</t>
        </is>
      </c>
      <c r="E512" t="inlineStr">
        <is>
          <t>ranr_rate</t>
        </is>
      </c>
      <c r="F512" t="inlineStr">
        <is>
          <t>Profit after losses: RANR per booked dollar</t>
        </is>
      </c>
      <c r="G512" t="n">
        <v>278</v>
      </c>
      <c r="H512" t="n">
        <v>9308697.990000006</v>
      </c>
      <c r="I512" t="b">
        <v>0</v>
      </c>
      <c r="J512" t="b">
        <v>0</v>
      </c>
      <c r="K512" t="n">
        <v>-0.03564261722691409</v>
      </c>
      <c r="L512" t="n">
        <v>0.008838005088380051</v>
      </c>
      <c r="M512" t="n">
        <v>-0.002856364959616192</v>
      </c>
      <c r="N512" t="n">
        <v>0.9530046995300471</v>
      </c>
      <c r="O512" t="n">
        <v>331786.3593385146</v>
      </c>
      <c r="P512" t="n">
        <v>26589.03875828569</v>
      </c>
      <c r="Q512">
        <f>'_live'!$C$23</f>
        <v/>
      </c>
      <c r="R512" t="inlineStr">
        <is>
          <t>shuffled: 42 of 10,000</t>
        </is>
      </c>
      <c r="S512" t="inlineStr">
        <is>
          <t>shuffled: 7,885 of 10,000</t>
        </is>
      </c>
      <c r="T512" t="n">
        <v>0.1292757022121967</v>
      </c>
      <c r="U512" t="n">
        <v>0.09648944994489883</v>
      </c>
      <c r="V512">
        <f>AND(judged_band,NOT($J512))</f>
        <v/>
      </c>
      <c r="W512">
        <f>IF($K512="","",IF(profit_kind="test",IF(OR(NOT(AND(ISNUMBER($L512),$L512&lt;significance_bar)),$K512=0),"in line",IF($K512&lt;0,"worse","better")),IF(OR($K512=0,IF(profit_kind="points",ABS($K512),ABS($K512*$H512))&lt;profit_line*(1-1E-9)),"in line",IF(AND(ISNUMBER($L512),$L512&lt;significance_bar),IF($K512&lt;0,"worse","better"),IF($K512&lt;0,"worse, not significant","better, not significant")))))</f>
        <v/>
      </c>
      <c r="X512">
        <f>IF($M512="","",IF(profit_kind="test",IF(OR(NOT(AND(ISNUMBER($N512),$N512&lt;significance_bar)),$M512=0),"in line",IF($M512&lt;0,"worse","better")),IF(OR($M512=0,IF(profit_kind="points",ABS($M512),ABS($M512*$H512))&lt;profit_line*(1-1E-9)),"in line",IF(AND(ISNUMBER($N512),$N512&lt;significance_bar),IF($M512&lt;0,"worse","better"),IF($M512&lt;0,"worse, not significant","better, not significant")))))</f>
        <v/>
      </c>
      <c r="Y512">
        <f>IF($V512,$X512,$W512)</f>
        <v/>
      </c>
      <c r="Z512">
        <f>IF($V512,IF($P512="","",$P512),IF($O512="","",$O512))</f>
        <v/>
      </c>
      <c r="AA512">
        <f>IF(OR($Q512="",$Z512=""),"",IF(AND($Z512&gt;0,$Z512&gt;=$Q512),"yes","below the line"))</f>
        <v/>
      </c>
      <c r="AB512">
        <f>IF($V512,IF($M512="","",$M512),IF($K512="","",$K512))</f>
        <v/>
      </c>
      <c r="AC512">
        <f>IF($V512,IF($N512="","",$N512),IF($L512="","",$L512))</f>
        <v/>
      </c>
      <c r="AD512">
        <f>IF($Y512="","",IF($Y512="in line",IF(profit_kind="test",IF(ROUND($AB512*100,2)=0,"0.00",TEXT($AB512*100,"+0.00;-0.00"))&amp;" points against "&amp;IF($V512,"its band","the book")&amp;", "&amp;IF($AC512="","not tested","not significant"),IF(profit_kind="points","within "&amp;TEXT(profit_line*100,"0.00")&amp;" points of "&amp;IF($V512,"its band","the book")&amp;" ("&amp;IF(ROUND($AB512*100,2)=0,"0.00",TEXT($AB512*100,"+0.00;-0.00"))&amp;")","within $"&amp;TEXT(profit_line,"#,##0")&amp;" of "&amp;IF($V512,"its band","the book")&amp;" ("&amp;IF(ROUND($AB512*100,2)=0,"0.00",TEXT($AB512*100,"+0.00;-0.00"))&amp;" points)")),IF(LEFT($Y512,5)="worse","short of ","ahead of ")&amp;IF($V512,"its band","the book")&amp;" by "&amp;TEXT(ABS($AB512)*100,"0.00")&amp;" points"&amp;IF($Z512="",""," ($"&amp;TEXT(ABS($Z512),"#,##0")&amp;")")&amp;IF(RIGHT($Y512,15)="not significant"," (not significant)","")))</f>
        <v/>
      </c>
      <c r="AE512">
        <f>IF($V512,IF($S512="","",$S512),IF($R512="","",$R512))</f>
        <v/>
      </c>
      <c r="AF512">
        <f>IF($V512,IF($U512="","",$U512),IF($T512="","",$T512))</f>
        <v/>
      </c>
      <c r="AG512">
        <f>IF($V512,IF($O512="","",$O512),IF($P512="","",$P512))</f>
        <v/>
      </c>
      <c r="AH512" t="n">
        <v>0.09363308498528264</v>
      </c>
      <c r="AI512">
        <f>IF($Y512="worse","Yes",IF($Y512="worse, not significant","Not sure",IF(OR($Y512="too few losses to test",$Y512="too few loans to test"),"Too few losses",IF($Y512="","","No"))))</f>
        <v/>
      </c>
      <c r="AJ512">
        <f>IF($AA512="yes","Yes",IF($AA512="","","No"))</f>
        <v/>
      </c>
    </row>
    <row r="513">
      <c r="A513" t="inlineStr">
        <is>
          <t>three-way</t>
        </is>
      </c>
      <c r="B513" t="inlineStr">
        <is>
          <t>FICO x CHANNEL / SYS_FLAG</t>
        </is>
      </c>
      <c r="C513" t="inlineStr">
        <is>
          <t>712 - 745</t>
        </is>
      </c>
      <c r="D513" t="inlineStr">
        <is>
          <t>Online / SYS_FLAG Y</t>
        </is>
      </c>
      <c r="E513" t="inlineStr">
        <is>
          <t>contribution_rate</t>
        </is>
      </c>
      <c r="F513" t="inlineStr">
        <is>
          <t>Contribution before losses per booked dollar</t>
        </is>
      </c>
      <c r="G513" t="n">
        <v>278</v>
      </c>
      <c r="H513" t="n">
        <v>9308697.990000006</v>
      </c>
      <c r="I513" t="b">
        <v>0</v>
      </c>
      <c r="J513" t="b">
        <v>0</v>
      </c>
      <c r="K513" t="n">
        <v>-0.01568310422233152</v>
      </c>
      <c r="L513" t="n">
        <v>0.06825179551010417</v>
      </c>
      <c r="M513" t="n">
        <v>0.03458478731759204</v>
      </c>
      <c r="N513" t="n">
        <v>0.0005999400059994001</v>
      </c>
      <c r="O513" t="n">
        <v>145989.280751378</v>
      </c>
      <c r="P513" t="n">
        <v>-321939.3401878467</v>
      </c>
      <c r="Q513">
        <f>'_live'!$C$24</f>
        <v/>
      </c>
      <c r="R513" t="inlineStr">
        <is>
          <t>shuffled: 534 of 10,000</t>
        </is>
      </c>
      <c r="S513" t="inlineStr">
        <is>
          <t>shuffled: 0 of 10,000</t>
        </is>
      </c>
      <c r="T513" t="n">
        <v>0.1701582425869825</v>
      </c>
      <c r="U513" t="n">
        <v>0.1198903510470589</v>
      </c>
      <c r="V513">
        <f>AND(judged_band,NOT($J513))</f>
        <v/>
      </c>
      <c r="W513">
        <f>IF($K513="","",IF(profit_kind="test",IF(OR(NOT(AND(ISNUMBER($L513),$L513&lt;significance_bar)),$K513=0),"in line",IF($K513&lt;0,"worse","better")),IF(OR($K513=0,IF(profit_kind="points",ABS($K513),ABS($K513*$H513))&lt;profit_line*(1-1E-9)),"in line",IF(AND(ISNUMBER($L513),$L513&lt;significance_bar),IF($K513&lt;0,"worse","better"),IF($K513&lt;0,"worse, not significant","better, not significant")))))</f>
        <v/>
      </c>
      <c r="X513">
        <f>IF($M513="","",IF(profit_kind="test",IF(OR(NOT(AND(ISNUMBER($N513),$N513&lt;significance_bar)),$M513=0),"in line",IF($M513&lt;0,"worse","better")),IF(OR($M513=0,IF(profit_kind="points",ABS($M513),ABS($M513*$H513))&lt;profit_line*(1-1E-9)),"in line",IF(AND(ISNUMBER($N513),$N513&lt;significance_bar),IF($M513&lt;0,"worse","better"),IF($M513&lt;0,"worse, not significant","better, not significant")))))</f>
        <v/>
      </c>
      <c r="Y513">
        <f>IF($V513,$X513,$W513)</f>
        <v/>
      </c>
      <c r="Z513">
        <f>IF($V513,IF($P513="","",$P513),IF($O513="","",$O513))</f>
        <v/>
      </c>
      <c r="AA513">
        <f>IF(OR($Q513="",$Z513=""),"",IF(AND($Z513&gt;0,$Z513&gt;=$Q513),"yes","below the line"))</f>
        <v/>
      </c>
      <c r="AB513">
        <f>IF($V513,IF($M513="","",$M513),IF($K513="","",$K513))</f>
        <v/>
      </c>
      <c r="AC513">
        <f>IF($V513,IF($N513="","",$N513),IF($L513="","",$L513))</f>
        <v/>
      </c>
      <c r="AD513">
        <f>IF($Y513="","",IF($Y513="in line",IF(profit_kind="test",IF(ROUND($AB513*100,2)=0,"0.00",TEXT($AB513*100,"+0.00;-0.00"))&amp;" points against "&amp;IF($V513,"its band","the book")&amp;", "&amp;IF($AC513="","not tested","not significant"),IF(profit_kind="points","within "&amp;TEXT(profit_line*100,"0.00")&amp;" points of "&amp;IF($V513,"its band","the book")&amp;" ("&amp;IF(ROUND($AB513*100,2)=0,"0.00",TEXT($AB513*100,"+0.00;-0.00"))&amp;")","within $"&amp;TEXT(profit_line,"#,##0")&amp;" of "&amp;IF($V513,"its band","the book")&amp;" ("&amp;IF(ROUND($AB513*100,2)=0,"0.00",TEXT($AB513*100,"+0.00;-0.00"))&amp;" points)")),IF(LEFT($Y513,5)="worse","short of ","ahead of ")&amp;IF($V513,"its band","the book")&amp;" by "&amp;TEXT(ABS($AB513)*100,"0.00")&amp;" points"&amp;IF($Z513="",""," ($"&amp;TEXT(ABS($Z513),"#,##0")&amp;")")&amp;IF(RIGHT($Y513,15)="not significant"," (not significant)","")))</f>
        <v/>
      </c>
      <c r="AE513">
        <f>IF($V513,IF($S513="","",$S513),IF($R513="","",$R513))</f>
        <v/>
      </c>
      <c r="AF513">
        <f>IF($V513,IF($U513="","",$U513),IF($T513="","",$T513))</f>
        <v/>
      </c>
      <c r="AG513">
        <f>IF($V513,IF($O513="","",$O513),IF($P513="","",$P513))</f>
        <v/>
      </c>
      <c r="AH513" t="n">
        <v>0.154475138364651</v>
      </c>
      <c r="AI513">
        <f>IF($Y513="worse","Yes",IF($Y513="worse, not significant","Not sure",IF(OR($Y513="too few losses to test",$Y513="too few loans to test"),"Too few losses",IF($Y513="","","No"))))</f>
        <v/>
      </c>
      <c r="AJ513">
        <f>IF($AA513="yes","Yes",IF($AA513="","","No"))</f>
        <v/>
      </c>
    </row>
    <row r="514">
      <c r="A514" t="inlineStr">
        <is>
          <t>three-way</t>
        </is>
      </c>
      <c r="B514" t="inlineStr">
        <is>
          <t>FICO x CHANNEL / SYS_FLAG</t>
        </is>
      </c>
      <c r="C514" t="inlineStr">
        <is>
          <t>686 - 711</t>
        </is>
      </c>
      <c r="D514" t="inlineStr">
        <is>
          <t>Broker / SYS_FLAG N</t>
        </is>
      </c>
      <c r="E514" t="inlineStr">
        <is>
          <t>outcome_loans</t>
        </is>
      </c>
      <c r="F514" t="inlineStr">
        <is>
          <t>Outcome, share of loans</t>
        </is>
      </c>
      <c r="G514" t="n">
        <v>271</v>
      </c>
      <c r="H514" t="n">
        <v>271</v>
      </c>
      <c r="I514" t="b">
        <v>0</v>
      </c>
      <c r="J514" t="b">
        <v>0</v>
      </c>
      <c r="K514" t="n">
        <v>0.5159254224121188</v>
      </c>
      <c r="L514" t="n">
        <v>0.06592254173533381</v>
      </c>
      <c r="M514" t="n">
        <v>0.6164966355545908</v>
      </c>
      <c r="N514" t="n">
        <v>0.240873309601302</v>
      </c>
      <c r="O514" t="n">
        <v>-10.32091097308489</v>
      </c>
      <c r="P514" t="n">
        <v>-6.84275755228505</v>
      </c>
      <c r="Q514">
        <f>'_live'!$C$20</f>
        <v/>
      </c>
      <c r="R514" t="inlineStr">
        <is>
          <t>z test</t>
        </is>
      </c>
      <c r="S514" t="inlineStr">
        <is>
          <t>z test</t>
        </is>
      </c>
      <c r="T514" t="n">
        <v>0.07867494824016563</v>
      </c>
      <c r="U514" t="n">
        <v>0.06584043377226956</v>
      </c>
      <c r="V514">
        <f>AND(judged_band,NOT($J514))</f>
        <v/>
      </c>
      <c r="W514">
        <f>IF($K514="","",IF($I514,"too few losses to test",IF(AND($K514&gt;better_at,$K514&lt;worse_at),"in line",IF($K514&gt;=worse_at,IF(AND(ISNUMBER($L514),$L514&lt;significance_bar),"worse","worse, not significant"),IF(AND(ISNUMBER($L514),$L514&lt;significance_bar),"better","better, not significant")))))</f>
        <v/>
      </c>
      <c r="X514">
        <f>IF($M514="","",IF($I514,"too few losses to test",IF(AND($M514&gt;better_at,$M514&lt;worse_at),"in line",IF($M514&gt;=worse_at,IF(AND(ISNUMBER($N514),$N514&lt;significance_bar),"worse","worse, not significant"),IF(AND(ISNUMBER($N514),$N514&lt;significance_bar),"better","better, not significant")))))</f>
        <v/>
      </c>
      <c r="Y514">
        <f>IF($V514,$X514,$W514)</f>
        <v/>
      </c>
      <c r="Z514">
        <f>IF($V514,IF($P514="","",$P514),IF($O514="","",$O514))</f>
        <v/>
      </c>
      <c r="AA514">
        <f>IF(OR($Q514="",$Z514=""),"",IF(AND($Z514&gt;0,$Z514&gt;=$Q514),"yes","below the line"))</f>
        <v/>
      </c>
      <c r="AB514">
        <f>IF($V514,IF($M514="","",$M514),IF($K514="","",$K514))</f>
        <v/>
      </c>
      <c r="AC514">
        <f>IF($V514,IF($N514="","",$N514),IF($L514="","",$L514))</f>
        <v/>
      </c>
      <c r="AD514">
        <f>$Y514</f>
        <v/>
      </c>
      <c r="AE514">
        <f>IF($V514,IF($S514="","",$S514),IF($R514="","",$R514))</f>
        <v/>
      </c>
      <c r="AF514">
        <f>IF($V514,IF($U514="","",$U514),IF($T514="","",$T514))</f>
        <v/>
      </c>
      <c r="AG514">
        <f>IF($V514,IF($O514="","",$O514),IF($P514="","",$P514))</f>
        <v/>
      </c>
      <c r="AH514" t="n">
        <v>0.04059040590405904</v>
      </c>
      <c r="AI514">
        <f>IF($Y514="worse","Yes",IF($Y514="worse, not significant","Not sure",IF(OR($Y514="too few losses to test",$Y514="too few loans to test"),"Too few losses",IF($Y514="","","No"))))</f>
        <v/>
      </c>
      <c r="AJ514">
        <f>IF($AA514="yes","Yes",IF($AA514="","","No"))</f>
        <v/>
      </c>
    </row>
    <row r="515">
      <c r="A515" t="inlineStr">
        <is>
          <t>three-way</t>
        </is>
      </c>
      <c r="B515" t="inlineStr">
        <is>
          <t>FICO x CHANNEL / SYS_FLAG</t>
        </is>
      </c>
      <c r="C515" t="inlineStr">
        <is>
          <t>686 - 711</t>
        </is>
      </c>
      <c r="D515" t="inlineStr">
        <is>
          <t>Broker / SYS_FLAG N</t>
        </is>
      </c>
      <c r="E515" t="inlineStr">
        <is>
          <t>outcome_booked</t>
        </is>
      </c>
      <c r="F515" t="inlineStr">
        <is>
          <t>Outcome, share of booked dollars</t>
        </is>
      </c>
      <c r="G515" t="n">
        <v>271</v>
      </c>
      <c r="H515" t="n">
        <v>8724079.030000001</v>
      </c>
      <c r="I515" t="b">
        <v>0</v>
      </c>
      <c r="J515" t="b">
        <v>0</v>
      </c>
      <c r="K515" t="n">
        <v>0.4557907667672392</v>
      </c>
      <c r="L515" t="n">
        <v>0.05610550056105501</v>
      </c>
      <c r="M515" t="n">
        <v>0.5656642388003054</v>
      </c>
      <c r="N515" t="n">
        <v>0.2515657525156575</v>
      </c>
      <c r="O515" t="n">
        <v>-361926.207953111</v>
      </c>
      <c r="P515" t="n">
        <v>-232748.2985654447</v>
      </c>
      <c r="Q515">
        <f>'_live'!$C$21</f>
        <v/>
      </c>
      <c r="R515" t="inlineStr">
        <is>
          <t>shuffled: 201 of 10,000</t>
        </is>
      </c>
      <c r="S515" t="inlineStr">
        <is>
          <t>shuffled: 1,106 of 10,000</t>
        </is>
      </c>
      <c r="T515" t="n">
        <v>0.07623151230819501</v>
      </c>
      <c r="U515" t="n">
        <v>0.0614244582978571</v>
      </c>
      <c r="V515">
        <f>AND(judged_band,NOT($J515))</f>
        <v/>
      </c>
      <c r="W515">
        <f>IF($K515="","",IF($I515,"too few losses to test",IF(AND($K515&gt;better_at,$K515&lt;worse_at),"in line",IF($K515&gt;=worse_at,IF(AND(ISNUMBER($L515),$L515&lt;significance_bar),"worse","worse, not significant"),IF(AND(ISNUMBER($L515),$L515&lt;significance_bar),"better","better, not significant")))))</f>
        <v/>
      </c>
      <c r="X515">
        <f>IF($M515="","",IF($I515,"too few losses to test",IF(AND($M515&gt;better_at,$M515&lt;worse_at),"in line",IF($M515&gt;=worse_at,IF(AND(ISNUMBER($N515),$N515&lt;significance_bar),"worse","worse, not significant"),IF(AND(ISNUMBER($N515),$N515&lt;significance_bar),"better","better, not significant")))))</f>
        <v/>
      </c>
      <c r="Y515">
        <f>IF($V515,$X515,$W515)</f>
        <v/>
      </c>
      <c r="Z515">
        <f>IF($V515,IF($P515="","",$P515),IF($O515="","",$O515))</f>
        <v/>
      </c>
      <c r="AA515">
        <f>IF(OR($Q515="",$Z515=""),"",IF(AND($Z515&gt;0,$Z515&gt;=$Q515),"yes","below the line"))</f>
        <v/>
      </c>
      <c r="AB515">
        <f>IF($V515,IF($M515="","",$M515),IF($K515="","",$K515))</f>
        <v/>
      </c>
      <c r="AC515">
        <f>IF($V515,IF($N515="","",$N515),IF($L515="","",$L515))</f>
        <v/>
      </c>
      <c r="AD515">
        <f>$Y515</f>
        <v/>
      </c>
      <c r="AE515">
        <f>IF($V515,IF($S515="","",$S515),IF($R515="","",$R515))</f>
        <v/>
      </c>
      <c r="AF515">
        <f>IF($V515,IF($U515="","",$U515),IF($T515="","",$T515))</f>
        <v/>
      </c>
      <c r="AG515">
        <f>IF($V515,IF($O515="","",$O515),IF($P515="","",$P515))</f>
        <v/>
      </c>
      <c r="AH515" t="n">
        <v>0.03474561944677844</v>
      </c>
      <c r="AI515">
        <f>IF($Y515="worse","Yes",IF($Y515="worse, not significant","Not sure",IF(OR($Y515="too few losses to test",$Y515="too few loans to test"),"Too few losses",IF($Y515="","","No"))))</f>
        <v/>
      </c>
      <c r="AJ515">
        <f>IF($AA515="yes","Yes",IF($AA515="","","No"))</f>
        <v/>
      </c>
    </row>
    <row r="516">
      <c r="A516" t="inlineStr">
        <is>
          <t>three-way</t>
        </is>
      </c>
      <c r="B516" t="inlineStr">
        <is>
          <t>FICO x CHANNEL / SYS_FLAG</t>
        </is>
      </c>
      <c r="C516" t="inlineStr">
        <is>
          <t>686 - 711</t>
        </is>
      </c>
      <c r="D516" t="inlineStr">
        <is>
          <t>Broker / SYS_FLAG N</t>
        </is>
      </c>
      <c r="E516" t="inlineStr">
        <is>
          <t>gco_rate</t>
        </is>
      </c>
      <c r="F516" t="inlineStr">
        <is>
          <t>GCO per booked dollar</t>
        </is>
      </c>
      <c r="G516" t="n">
        <v>271</v>
      </c>
      <c r="H516" t="n">
        <v>8724079.030000001</v>
      </c>
      <c r="I516" t="b">
        <v>0</v>
      </c>
      <c r="J516" t="b">
        <v>0</v>
      </c>
      <c r="K516" t="n">
        <v>0.5353404052220214</v>
      </c>
      <c r="L516" t="n">
        <v>0.1118638136186381</v>
      </c>
      <c r="M516" t="n">
        <v>0.6785534350921791</v>
      </c>
      <c r="N516" t="n">
        <v>0.454287904542879</v>
      </c>
      <c r="O516" t="n">
        <v>-171348.3340783887</v>
      </c>
      <c r="P516" t="n">
        <v>-93518.97454869575</v>
      </c>
      <c r="Q516">
        <f>'_live'!$C$22</f>
        <v/>
      </c>
      <c r="R516" t="inlineStr">
        <is>
          <t>shuffled: 525 of 10,000</t>
        </is>
      </c>
      <c r="S516" t="inlineStr">
        <is>
          <t>shuffled: 2,725 of 10,000</t>
        </is>
      </c>
      <c r="T516" t="n">
        <v>0.04226933213354769</v>
      </c>
      <c r="U516" t="n">
        <v>0.0333481200191163</v>
      </c>
      <c r="V516">
        <f>AND(judged_band,NOT($J516))</f>
        <v/>
      </c>
      <c r="W516">
        <f>IF($K516="","",IF($I516,"too few losses to test",IF(AND($K516&gt;better_at,$K516&lt;worse_at),"in line",IF($K516&gt;=worse_at,IF(AND(ISNUMBER($L516),$L516&lt;significance_bar),"worse","worse, not significant"),IF(AND(ISNUMBER($L516),$L516&lt;significance_bar),"better","better, not significant")))))</f>
        <v/>
      </c>
      <c r="X516">
        <f>IF($M516="","",IF($I516,"too few losses to test",IF(AND($M516&gt;better_at,$M516&lt;worse_at),"in line",IF($M516&gt;=worse_at,IF(AND(ISNUMBER($N516),$N516&lt;significance_bar),"worse","worse, not significant"),IF(AND(ISNUMBER($N516),$N516&lt;significance_bar),"better","better, not significant")))))</f>
        <v/>
      </c>
      <c r="Y516">
        <f>IF($V516,$X516,$W516)</f>
        <v/>
      </c>
      <c r="Z516">
        <f>IF($V516,IF($P516="","",$P516),IF($O516="","",$O516))</f>
        <v/>
      </c>
      <c r="AA516">
        <f>IF(OR($Q516="",$Z516=""),"",IF(AND($Z516&gt;0,$Z516&gt;=$Q516),"yes","below the line"))</f>
        <v/>
      </c>
      <c r="AB516">
        <f>IF($V516,IF($M516="","",$M516),IF($K516="","",$K516))</f>
        <v/>
      </c>
      <c r="AC516">
        <f>IF($V516,IF($N516="","",$N516),IF($L516="","",$L516))</f>
        <v/>
      </c>
      <c r="AD516">
        <f>$Y516</f>
        <v/>
      </c>
      <c r="AE516">
        <f>IF($V516,IF($S516="","",$S516),IF($R516="","",$R516))</f>
        <v/>
      </c>
      <c r="AF516">
        <f>IF($V516,IF($U516="","",$U516),IF($T516="","",$T516))</f>
        <v/>
      </c>
      <c r="AG516">
        <f>IF($V516,IF($O516="","",$O516),IF($P516="","",$P516))</f>
        <v/>
      </c>
      <c r="AH516" t="n">
        <v>0.02262848139283763</v>
      </c>
      <c r="AI516">
        <f>IF($Y516="worse","Yes",IF($Y516="worse, not significant","Not sure",IF(OR($Y516="too few losses to test",$Y516="too few loans to test"),"Too few losses",IF($Y516="","","No"))))</f>
        <v/>
      </c>
      <c r="AJ516">
        <f>IF($AA516="yes","Yes",IF($AA516="","","No"))</f>
        <v/>
      </c>
    </row>
    <row r="517">
      <c r="A517" t="inlineStr">
        <is>
          <t>three-way</t>
        </is>
      </c>
      <c r="B517" t="inlineStr">
        <is>
          <t>FICO x CHANNEL / SYS_FLAG</t>
        </is>
      </c>
      <c r="C517" t="inlineStr">
        <is>
          <t>686 - 711</t>
        </is>
      </c>
      <c r="D517" t="inlineStr">
        <is>
          <t>Broker / SYS_FLAG N</t>
        </is>
      </c>
      <c r="E517" t="inlineStr">
        <is>
          <t>ranr_rate</t>
        </is>
      </c>
      <c r="F517" t="inlineStr">
        <is>
          <t>Profit after losses: RANR per booked dollar</t>
        </is>
      </c>
      <c r="G517" t="n">
        <v>271</v>
      </c>
      <c r="H517" t="n">
        <v>8724079.030000001</v>
      </c>
      <c r="I517" t="b">
        <v>0</v>
      </c>
      <c r="J517" t="b">
        <v>0</v>
      </c>
      <c r="K517" t="n">
        <v>0.01207940102521718</v>
      </c>
      <c r="L517" t="n">
        <v>0.4648727434948813</v>
      </c>
      <c r="M517" t="n">
        <v>-0.00272283024524797</v>
      </c>
      <c r="N517" t="n">
        <v>0.9530046995300471</v>
      </c>
      <c r="O517" t="n">
        <v>-105381.6491790577</v>
      </c>
      <c r="P517" t="n">
        <v>23754.18624481745</v>
      </c>
      <c r="Q517">
        <f>'_live'!$C$23</f>
        <v/>
      </c>
      <c r="R517" t="inlineStr">
        <is>
          <t>shuffled: 3,266 of 10,000</t>
        </is>
      </c>
      <c r="S517" t="inlineStr">
        <is>
          <t>shuffled: 8,172 of 10,000</t>
        </is>
      </c>
      <c r="T517" t="n">
        <v>0.1275817019760472</v>
      </c>
      <c r="U517" t="n">
        <v>0.1423839332465123</v>
      </c>
      <c r="V517">
        <f>AND(judged_band,NOT($J517))</f>
        <v/>
      </c>
      <c r="W517">
        <f>IF($K517="","",IF(profit_kind="test",IF(OR(NOT(AND(ISNUMBER($L517),$L517&lt;significance_bar)),$K517=0),"in line",IF($K517&lt;0,"worse","better")),IF(OR($K517=0,IF(profit_kind="points",ABS($K517),ABS($K517*$H517))&lt;profit_line*(1-1E-9)),"in line",IF(AND(ISNUMBER($L517),$L517&lt;significance_bar),IF($K517&lt;0,"worse","better"),IF($K517&lt;0,"worse, not significant","better, not significant")))))</f>
        <v/>
      </c>
      <c r="X517">
        <f>IF($M517="","",IF(profit_kind="test",IF(OR(NOT(AND(ISNUMBER($N517),$N517&lt;significance_bar)),$M517=0),"in line",IF($M517&lt;0,"worse","better")),IF(OR($M517=0,IF(profit_kind="points",ABS($M517),ABS($M517*$H517))&lt;profit_line*(1-1E-9)),"in line",IF(AND(ISNUMBER($N517),$N517&lt;significance_bar),IF($M517&lt;0,"worse","better"),IF($M517&lt;0,"worse, not significant","better, not significant")))))</f>
        <v/>
      </c>
      <c r="Y517">
        <f>IF($V517,$X517,$W517)</f>
        <v/>
      </c>
      <c r="Z517">
        <f>IF($V517,IF($P517="","",$P517),IF($O517="","",$O517))</f>
        <v/>
      </c>
      <c r="AA517">
        <f>IF(OR($Q517="",$Z517=""),"",IF(AND($Z517&gt;0,$Z517&gt;=$Q517),"yes","below the line"))</f>
        <v/>
      </c>
      <c r="AB517">
        <f>IF($V517,IF($M517="","",$M517),IF($K517="","",$K517))</f>
        <v/>
      </c>
      <c r="AC517">
        <f>IF($V517,IF($N517="","",$N517),IF($L517="","",$L517))</f>
        <v/>
      </c>
      <c r="AD517">
        <f>IF($Y517="","",IF($Y517="in line",IF(profit_kind="test",IF(ROUND($AB517*100,2)=0,"0.00",TEXT($AB517*100,"+0.00;-0.00"))&amp;" points against "&amp;IF($V517,"its band","the book")&amp;", "&amp;IF($AC517="","not tested","not significant"),IF(profit_kind="points","within "&amp;TEXT(profit_line*100,"0.00")&amp;" points of "&amp;IF($V517,"its band","the book")&amp;" ("&amp;IF(ROUND($AB517*100,2)=0,"0.00",TEXT($AB517*100,"+0.00;-0.00"))&amp;")","within $"&amp;TEXT(profit_line,"#,##0")&amp;" of "&amp;IF($V517,"its band","the book")&amp;" ("&amp;IF(ROUND($AB517*100,2)=0,"0.00",TEXT($AB517*100,"+0.00;-0.00"))&amp;" points)")),IF(LEFT($Y517,5)="worse","short of ","ahead of ")&amp;IF($V517,"its band","the book")&amp;" by "&amp;TEXT(ABS($AB517)*100,"0.00")&amp;" points"&amp;IF($Z517="",""," ($"&amp;TEXT(ABS($Z517),"#,##0")&amp;")")&amp;IF(RIGHT($Y517,15)="not significant"," (not significant)","")))</f>
        <v/>
      </c>
      <c r="AE517">
        <f>IF($V517,IF($S517="","",$S517),IF($R517="","",$R517))</f>
        <v/>
      </c>
      <c r="AF517">
        <f>IF($V517,IF($U517="","",$U517),IF($T517="","",$T517))</f>
        <v/>
      </c>
      <c r="AG517">
        <f>IF($V517,IF($O517="","",$O517),IF($P517="","",$P517))</f>
        <v/>
      </c>
      <c r="AH517" t="n">
        <v>0.1396611030012643</v>
      </c>
      <c r="AI517">
        <f>IF($Y517="worse","Yes",IF($Y517="worse, not significant","Not sure",IF(OR($Y517="too few losses to test",$Y517="too few loans to test"),"Too few losses",IF($Y517="","","No"))))</f>
        <v/>
      </c>
      <c r="AJ517">
        <f>IF($AA517="yes","Yes",IF($AA517="","","No"))</f>
        <v/>
      </c>
    </row>
    <row r="518">
      <c r="A518" t="inlineStr">
        <is>
          <t>three-way</t>
        </is>
      </c>
      <c r="B518" t="inlineStr">
        <is>
          <t>FICO x CHANNEL / SYS_FLAG</t>
        </is>
      </c>
      <c r="C518" t="inlineStr">
        <is>
          <t>686 - 711</t>
        </is>
      </c>
      <c r="D518" t="inlineStr">
        <is>
          <t>Broker / SYS_FLAG N</t>
        </is>
      </c>
      <c r="E518" t="inlineStr">
        <is>
          <t>contribution_rate</t>
        </is>
      </c>
      <c r="F518" t="inlineStr">
        <is>
          <t>Contribution before losses per booked dollar</t>
        </is>
      </c>
      <c r="G518" t="n">
        <v>271</v>
      </c>
      <c r="H518" t="n">
        <v>8724079.030000001</v>
      </c>
      <c r="I518" t="b">
        <v>0</v>
      </c>
      <c r="J518" t="b">
        <v>0</v>
      </c>
      <c r="K518" t="n">
        <v>-0.007558425412576009</v>
      </c>
      <c r="L518" t="n">
        <v>0.4234286248794475</v>
      </c>
      <c r="M518" t="n">
        <v>-0.01344246887152667</v>
      </c>
      <c r="N518" t="n">
        <v>0.1067893210678932</v>
      </c>
      <c r="O518" t="n">
        <v>65940.30064167338</v>
      </c>
      <c r="P518" t="n">
        <v>117273.1607935135</v>
      </c>
      <c r="Q518">
        <f>'_live'!$C$24</f>
        <v/>
      </c>
      <c r="R518" t="inlineStr">
        <is>
          <t>shuffled: 3,547 of 10,000</t>
        </is>
      </c>
      <c r="S518" t="inlineStr">
        <is>
          <t>shuffled: 427 of 10,000</t>
        </is>
      </c>
      <c r="T518" t="n">
        <v>0.1698480098066779</v>
      </c>
      <c r="U518" t="n">
        <v>0.1757320532656286</v>
      </c>
      <c r="V518">
        <f>AND(judged_band,NOT($J518))</f>
        <v/>
      </c>
      <c r="W518">
        <f>IF($K518="","",IF(profit_kind="test",IF(OR(NOT(AND(ISNUMBER($L518),$L518&lt;significance_bar)),$K518=0),"in line",IF($K518&lt;0,"worse","better")),IF(OR($K518=0,IF(profit_kind="points",ABS($K518),ABS($K518*$H518))&lt;profit_line*(1-1E-9)),"in line",IF(AND(ISNUMBER($L518),$L518&lt;significance_bar),IF($K518&lt;0,"worse","better"),IF($K518&lt;0,"worse, not significant","better, not significant")))))</f>
        <v/>
      </c>
      <c r="X518">
        <f>IF($M518="","",IF(profit_kind="test",IF(OR(NOT(AND(ISNUMBER($N518),$N518&lt;significance_bar)),$M518=0),"in line",IF($M518&lt;0,"worse","better")),IF(OR($M518=0,IF(profit_kind="points",ABS($M518),ABS($M518*$H518))&lt;profit_line*(1-1E-9)),"in line",IF(AND(ISNUMBER($N518),$N518&lt;significance_bar),IF($M518&lt;0,"worse","better"),IF($M518&lt;0,"worse, not significant","better, not significant")))))</f>
        <v/>
      </c>
      <c r="Y518">
        <f>IF($V518,$X518,$W518)</f>
        <v/>
      </c>
      <c r="Z518">
        <f>IF($V518,IF($P518="","",$P518),IF($O518="","",$O518))</f>
        <v/>
      </c>
      <c r="AA518">
        <f>IF(OR($Q518="",$Z518=""),"",IF(AND($Z518&gt;0,$Z518&gt;=$Q518),"yes","below the line"))</f>
        <v/>
      </c>
      <c r="AB518">
        <f>IF($V518,IF($M518="","",$M518),IF($K518="","",$K518))</f>
        <v/>
      </c>
      <c r="AC518">
        <f>IF($V518,IF($N518="","",$N518),IF($L518="","",$L518))</f>
        <v/>
      </c>
      <c r="AD518">
        <f>IF($Y518="","",IF($Y518="in line",IF(profit_kind="test",IF(ROUND($AB518*100,2)=0,"0.00",TEXT($AB518*100,"+0.00;-0.00"))&amp;" points against "&amp;IF($V518,"its band","the book")&amp;", "&amp;IF($AC518="","not tested","not significant"),IF(profit_kind="points","within "&amp;TEXT(profit_line*100,"0.00")&amp;" points of "&amp;IF($V518,"its band","the book")&amp;" ("&amp;IF(ROUND($AB518*100,2)=0,"0.00",TEXT($AB518*100,"+0.00;-0.00"))&amp;")","within $"&amp;TEXT(profit_line,"#,##0")&amp;" of "&amp;IF($V518,"its band","the book")&amp;" ("&amp;IF(ROUND($AB518*100,2)=0,"0.00",TEXT($AB518*100,"+0.00;-0.00"))&amp;" points)")),IF(LEFT($Y518,5)="worse","short of ","ahead of ")&amp;IF($V518,"its band","the book")&amp;" by "&amp;TEXT(ABS($AB518)*100,"0.00")&amp;" points"&amp;IF($Z518="",""," ($"&amp;TEXT(ABS($Z518),"#,##0")&amp;")")&amp;IF(RIGHT($Y518,15)="not significant"," (not significant)","")))</f>
        <v/>
      </c>
      <c r="AE518">
        <f>IF($V518,IF($S518="","",$S518),IF($R518="","",$R518))</f>
        <v/>
      </c>
      <c r="AF518">
        <f>IF($V518,IF($U518="","",$U518),IF($T518="","",$T518))</f>
        <v/>
      </c>
      <c r="AG518">
        <f>IF($V518,IF($O518="","",$O518),IF($P518="","",$P518))</f>
        <v/>
      </c>
      <c r="AH518" t="n">
        <v>0.1622895843941019</v>
      </c>
      <c r="AI518">
        <f>IF($Y518="worse","Yes",IF($Y518="worse, not significant","Not sure",IF(OR($Y518="too few losses to test",$Y518="too few loans to test"),"Too few losses",IF($Y518="","","No"))))</f>
        <v/>
      </c>
      <c r="AJ518">
        <f>IF($AA518="yes","Yes",IF($AA518="","","No"))</f>
        <v/>
      </c>
    </row>
    <row r="519">
      <c r="A519" t="inlineStr">
        <is>
          <t>three-way</t>
        </is>
      </c>
      <c r="B519" t="inlineStr">
        <is>
          <t>FICO x CHANNEL / SYS_FLAG</t>
        </is>
      </c>
      <c r="C519" t="inlineStr">
        <is>
          <t>654 - 685</t>
        </is>
      </c>
      <c r="D519" t="inlineStr">
        <is>
          <t>Broker / SYS_FLAG Y</t>
        </is>
      </c>
      <c r="E519" t="inlineStr">
        <is>
          <t>outcome_loans</t>
        </is>
      </c>
      <c r="F519" t="inlineStr">
        <is>
          <t>Outcome, share of loans</t>
        </is>
      </c>
      <c r="G519" t="n">
        <v>244</v>
      </c>
      <c r="H519" t="n">
        <v>244</v>
      </c>
      <c r="I519" t="b">
        <v>0</v>
      </c>
      <c r="J519" t="b">
        <v>0</v>
      </c>
      <c r="K519" t="n">
        <v>1.337659380692168</v>
      </c>
      <c r="L519" t="n">
        <v>0.2088893268513094</v>
      </c>
      <c r="M519" t="n">
        <v>1.263661202185792</v>
      </c>
      <c r="N519" t="n">
        <v>0.4229305988189696</v>
      </c>
      <c r="O519" t="n">
        <v>6.310638297872341</v>
      </c>
      <c r="P519" t="n">
        <v>5.216216216216214</v>
      </c>
      <c r="Q519">
        <f>'_live'!$C$20</f>
        <v/>
      </c>
      <c r="R519" t="inlineStr">
        <is>
          <t>z test</t>
        </is>
      </c>
      <c r="S519" t="inlineStr">
        <is>
          <t>z test</t>
        </is>
      </c>
      <c r="T519" t="n">
        <v>0.07659574468085106</v>
      </c>
      <c r="U519" t="n">
        <v>0.08108108108108109</v>
      </c>
      <c r="V519">
        <f>AND(judged_band,NOT($J519))</f>
        <v/>
      </c>
      <c r="W519">
        <f>IF($K519="","",IF($I519,"too few losses to test",IF(AND($K519&gt;better_at,$K519&lt;worse_at),"in line",IF($K519&gt;=worse_at,IF(AND(ISNUMBER($L519),$L519&lt;significance_bar),"worse","worse, not significant"),IF(AND(ISNUMBER($L519),$L519&lt;significance_bar),"better","better, not significant")))))</f>
        <v/>
      </c>
      <c r="X519">
        <f>IF($M519="","",IF($I519,"too few losses to test",IF(AND($M519&gt;better_at,$M519&lt;worse_at),"in line",IF($M519&gt;=worse_at,IF(AND(ISNUMBER($N519),$N519&lt;significance_bar),"worse","worse, not significant"),IF(AND(ISNUMBER($N519),$N519&lt;significance_bar),"better","better, not significant")))))</f>
        <v/>
      </c>
      <c r="Y519">
        <f>IF($V519,$X519,$W519)</f>
        <v/>
      </c>
      <c r="Z519">
        <f>IF($V519,IF($P519="","",$P519),IF($O519="","",$O519))</f>
        <v/>
      </c>
      <c r="AA519">
        <f>IF(OR($Q519="",$Z519=""),"",IF(AND($Z519&gt;0,$Z519&gt;=$Q519),"yes","below the line"))</f>
        <v/>
      </c>
      <c r="AB519">
        <f>IF($V519,IF($M519="","",$M519),IF($K519="","",$K519))</f>
        <v/>
      </c>
      <c r="AC519">
        <f>IF($V519,IF($N519="","",$N519),IF($L519="","",$L519))</f>
        <v/>
      </c>
      <c r="AD519">
        <f>$Y519</f>
        <v/>
      </c>
      <c r="AE519">
        <f>IF($V519,IF($S519="","",$S519),IF($R519="","",$R519))</f>
        <v/>
      </c>
      <c r="AF519">
        <f>IF($V519,IF($U519="","",$U519),IF($T519="","",$T519))</f>
        <v/>
      </c>
      <c r="AG519">
        <f>IF($V519,IF($O519="","",$O519),IF($P519="","",$P519))</f>
        <v/>
      </c>
      <c r="AH519" t="n">
        <v>0.1024590163934426</v>
      </c>
      <c r="AI519">
        <f>IF($Y519="worse","Yes",IF($Y519="worse, not significant","Not sure",IF(OR($Y519="too few losses to test",$Y519="too few loans to test"),"Too few losses",IF($Y519="","","No"))))</f>
        <v/>
      </c>
      <c r="AJ519">
        <f>IF($AA519="yes","Yes",IF($AA519="","","No"))</f>
        <v/>
      </c>
    </row>
    <row r="520">
      <c r="A520" t="inlineStr">
        <is>
          <t>three-way</t>
        </is>
      </c>
      <c r="B520" t="inlineStr">
        <is>
          <t>FICO x CHANNEL / SYS_FLAG</t>
        </is>
      </c>
      <c r="C520" t="inlineStr">
        <is>
          <t>654 - 685</t>
        </is>
      </c>
      <c r="D520" t="inlineStr">
        <is>
          <t>Broker / SYS_FLAG Y</t>
        </is>
      </c>
      <c r="E520" t="inlineStr">
        <is>
          <t>outcome_booked</t>
        </is>
      </c>
      <c r="F520" t="inlineStr">
        <is>
          <t>Outcome, share of booked dollars</t>
        </is>
      </c>
      <c r="G520" t="n">
        <v>244</v>
      </c>
      <c r="H520" t="n">
        <v>7836290.479999998</v>
      </c>
      <c r="I520" t="b">
        <v>0</v>
      </c>
      <c r="J520" t="b">
        <v>0</v>
      </c>
      <c r="K520" t="n">
        <v>1.182103913373926</v>
      </c>
      <c r="L520" t="n">
        <v>0.5117966464223143</v>
      </c>
      <c r="M520" t="n">
        <v>1.123103833474255</v>
      </c>
      <c r="N520" t="n">
        <v>0.7696849362682779</v>
      </c>
      <c r="O520" t="n">
        <v>106194.9281322744</v>
      </c>
      <c r="P520" t="n">
        <v>75559.97736578376</v>
      </c>
      <c r="Q520">
        <f>'_live'!$C$21</f>
        <v/>
      </c>
      <c r="R520" t="inlineStr">
        <is>
          <t>shuffled: 4,708 of 10,000</t>
        </is>
      </c>
      <c r="S520" t="inlineStr">
        <is>
          <t>shuffled: 6,465 of 10,000</t>
        </is>
      </c>
      <c r="T520" t="n">
        <v>0.07441731050630038</v>
      </c>
      <c r="U520" t="n">
        <v>0.07832667946661113</v>
      </c>
      <c r="V520">
        <f>AND(judged_band,NOT($J520))</f>
        <v/>
      </c>
      <c r="W520">
        <f>IF($K520="","",IF($I520,"too few losses to test",IF(AND($K520&gt;better_at,$K520&lt;worse_at),"in line",IF($K520&gt;=worse_at,IF(AND(ISNUMBER($L520),$L520&lt;significance_bar),"worse","worse, not significant"),IF(AND(ISNUMBER($L520),$L520&lt;significance_bar),"better","better, not significant")))))</f>
        <v/>
      </c>
      <c r="X520">
        <f>IF($M520="","",IF($I520,"too few losses to test",IF(AND($M520&gt;better_at,$M520&lt;worse_at),"in line",IF($M520&gt;=worse_at,IF(AND(ISNUMBER($N520),$N520&lt;significance_bar),"worse","worse, not significant"),IF(AND(ISNUMBER($N520),$N520&lt;significance_bar),"better","better, not significant")))))</f>
        <v/>
      </c>
      <c r="Y520">
        <f>IF($V520,$X520,$W520)</f>
        <v/>
      </c>
      <c r="Z520">
        <f>IF($V520,IF($P520="","",$P520),IF($O520="","",$O520))</f>
        <v/>
      </c>
      <c r="AA520">
        <f>IF(OR($Q520="",$Z520=""),"",IF(AND($Z520&gt;0,$Z520&gt;=$Q520),"yes","below the line"))</f>
        <v/>
      </c>
      <c r="AB520">
        <f>IF($V520,IF($M520="","",$M520),IF($K520="","",$K520))</f>
        <v/>
      </c>
      <c r="AC520">
        <f>IF($V520,IF($N520="","",$N520),IF($L520="","",$L520))</f>
        <v/>
      </c>
      <c r="AD520">
        <f>$Y520</f>
        <v/>
      </c>
      <c r="AE520">
        <f>IF($V520,IF($S520="","",$S520),IF($R520="","",$R520))</f>
        <v/>
      </c>
      <c r="AF520">
        <f>IF($V520,IF($U520="","",$U520),IF($T520="","",$T520))</f>
        <v/>
      </c>
      <c r="AG520">
        <f>IF($V520,IF($O520="","",$O520),IF($P520="","",$P520))</f>
        <v/>
      </c>
      <c r="AH520" t="n">
        <v>0.08796899397226021</v>
      </c>
      <c r="AI520">
        <f>IF($Y520="worse","Yes",IF($Y520="worse, not significant","Not sure",IF(OR($Y520="too few losses to test",$Y520="too few loans to test"),"Too few losses",IF($Y520="","","No"))))</f>
        <v/>
      </c>
      <c r="AJ520">
        <f>IF($AA520="yes","Yes",IF($AA520="","","No"))</f>
        <v/>
      </c>
    </row>
    <row r="521">
      <c r="A521" t="inlineStr">
        <is>
          <t>three-way</t>
        </is>
      </c>
      <c r="B521" t="inlineStr">
        <is>
          <t>FICO x CHANNEL / SYS_FLAG</t>
        </is>
      </c>
      <c r="C521" t="inlineStr">
        <is>
          <t>654 - 685</t>
        </is>
      </c>
      <c r="D521" t="inlineStr">
        <is>
          <t>Broker / SYS_FLAG Y</t>
        </is>
      </c>
      <c r="E521" t="inlineStr">
        <is>
          <t>gco_rate</t>
        </is>
      </c>
      <c r="F521" t="inlineStr">
        <is>
          <t>GCO per booked dollar</t>
        </is>
      </c>
      <c r="G521" t="n">
        <v>244</v>
      </c>
      <c r="H521" t="n">
        <v>7836290.479999998</v>
      </c>
      <c r="I521" t="b">
        <v>0</v>
      </c>
      <c r="J521" t="b">
        <v>0</v>
      </c>
      <c r="K521" t="n">
        <v>1.163661638976895</v>
      </c>
      <c r="L521" t="n">
        <v>0.6036896310368962</v>
      </c>
      <c r="M521" t="n">
        <v>1.078809654624096</v>
      </c>
      <c r="N521" t="n">
        <v>0.8429591823426353</v>
      </c>
      <c r="O521" t="n">
        <v>53094.85731705552</v>
      </c>
      <c r="P521" t="n">
        <v>27578.26113037777</v>
      </c>
      <c r="Q521">
        <f>'_live'!$C$22</f>
        <v/>
      </c>
      <c r="R521" t="inlineStr">
        <is>
          <t>shuffled: 5,312 of 10,000</t>
        </is>
      </c>
      <c r="S521" t="inlineStr">
        <is>
          <t>shuffled: 7,755 of 10,000</t>
        </is>
      </c>
      <c r="T521" t="n">
        <v>0.04139949425189565</v>
      </c>
      <c r="U521" t="n">
        <v>0.04465570281790043</v>
      </c>
      <c r="V521">
        <f>AND(judged_band,NOT($J521))</f>
        <v/>
      </c>
      <c r="W521">
        <f>IF($K521="","",IF($I521,"too few losses to test",IF(AND($K521&gt;better_at,$K521&lt;worse_at),"in line",IF($K521&gt;=worse_at,IF(AND(ISNUMBER($L521),$L521&lt;significance_bar),"worse","worse, not significant"),IF(AND(ISNUMBER($L521),$L521&lt;significance_bar),"better","better, not significant")))))</f>
        <v/>
      </c>
      <c r="X521">
        <f>IF($M521="","",IF($I521,"too few losses to test",IF(AND($M521&gt;better_at,$M521&lt;worse_at),"in line",IF($M521&gt;=worse_at,IF(AND(ISNUMBER($N521),$N521&lt;significance_bar),"worse","worse, not significant"),IF(AND(ISNUMBER($N521),$N521&lt;significance_bar),"better","better, not significant")))))</f>
        <v/>
      </c>
      <c r="Y521">
        <f>IF($V521,$X521,$W521)</f>
        <v/>
      </c>
      <c r="Z521">
        <f>IF($V521,IF($P521="","",$P521),IF($O521="","",$O521))</f>
        <v/>
      </c>
      <c r="AA521">
        <f>IF(OR($Q521="",$Z521=""),"",IF(AND($Z521&gt;0,$Z521&gt;=$Q521),"yes","below the line"))</f>
        <v/>
      </c>
      <c r="AB521">
        <f>IF($V521,IF($M521="","",$M521),IF($K521="","",$K521))</f>
        <v/>
      </c>
      <c r="AC521">
        <f>IF($V521,IF($N521="","",$N521),IF($L521="","",$L521))</f>
        <v/>
      </c>
      <c r="AD521">
        <f>$Y521</f>
        <v/>
      </c>
      <c r="AE521">
        <f>IF($V521,IF($S521="","",$S521),IF($R521="","",$R521))</f>
        <v/>
      </c>
      <c r="AF521">
        <f>IF($V521,IF($U521="","",$U521),IF($T521="","",$T521))</f>
        <v/>
      </c>
      <c r="AG521">
        <f>IF($V521,IF($O521="","",$O521),IF($P521="","",$P521))</f>
        <v/>
      </c>
      <c r="AH521" t="n">
        <v>0.04817500333397545</v>
      </c>
      <c r="AI521">
        <f>IF($Y521="worse","Yes",IF($Y521="worse, not significant","Not sure",IF(OR($Y521="too few losses to test",$Y521="too few loans to test"),"Too few losses",IF($Y521="","","No"))))</f>
        <v/>
      </c>
      <c r="AJ521">
        <f>IF($AA521="yes","Yes",IF($AA521="","","No"))</f>
        <v/>
      </c>
    </row>
    <row r="522">
      <c r="A522" t="inlineStr">
        <is>
          <t>three-way</t>
        </is>
      </c>
      <c r="B522" t="inlineStr">
        <is>
          <t>FICO x CHANNEL / SYS_FLAG</t>
        </is>
      </c>
      <c r="C522" t="inlineStr">
        <is>
          <t>654 - 685</t>
        </is>
      </c>
      <c r="D522" t="inlineStr">
        <is>
          <t>Broker / SYS_FLAG Y</t>
        </is>
      </c>
      <c r="E522" t="inlineStr">
        <is>
          <t>ranr_rate</t>
        </is>
      </c>
      <c r="F522" t="inlineStr">
        <is>
          <t>Profit after losses: RANR per booked dollar</t>
        </is>
      </c>
      <c r="G522" t="n">
        <v>244</v>
      </c>
      <c r="H522" t="n">
        <v>7836290.479999998</v>
      </c>
      <c r="I522" t="b">
        <v>0</v>
      </c>
      <c r="J522" t="b">
        <v>0</v>
      </c>
      <c r="K522" t="n">
        <v>0.02024947785086073</v>
      </c>
      <c r="L522" t="n">
        <v>0.199297461558192</v>
      </c>
      <c r="M522" t="n">
        <v>-0.01836737247671924</v>
      </c>
      <c r="N522" t="n">
        <v>0.5140285971402859</v>
      </c>
      <c r="O522" t="n">
        <v>-158680.7905076708</v>
      </c>
      <c r="P522" t="n">
        <v>143932.066081929</v>
      </c>
      <c r="Q522">
        <f>'_live'!$C$23</f>
        <v/>
      </c>
      <c r="R522" t="inlineStr">
        <is>
          <t>shuffled: 1,238 of 10,000</t>
        </is>
      </c>
      <c r="S522" t="inlineStr">
        <is>
          <t>shuffled: 2,141 of 10,000</t>
        </is>
      </c>
      <c r="T522" t="n">
        <v>0.1273751709485289</v>
      </c>
      <c r="U522" t="n">
        <v>0.1659920212761089</v>
      </c>
      <c r="V522">
        <f>AND(judged_band,NOT($J522))</f>
        <v/>
      </c>
      <c r="W522">
        <f>IF($K522="","",IF(profit_kind="test",IF(OR(NOT(AND(ISNUMBER($L522),$L522&lt;significance_bar)),$K522=0),"in line",IF($K522&lt;0,"worse","better")),IF(OR($K522=0,IF(profit_kind="points",ABS($K522),ABS($K522*$H522))&lt;profit_line*(1-1E-9)),"in line",IF(AND(ISNUMBER($L522),$L522&lt;significance_bar),IF($K522&lt;0,"worse","better"),IF($K522&lt;0,"worse, not significant","better, not significant")))))</f>
        <v/>
      </c>
      <c r="X522">
        <f>IF($M522="","",IF(profit_kind="test",IF(OR(NOT(AND(ISNUMBER($N522),$N522&lt;significance_bar)),$M522=0),"in line",IF($M522&lt;0,"worse","better")),IF(OR($M522=0,IF(profit_kind="points",ABS($M522),ABS($M522*$H522))&lt;profit_line*(1-1E-9)),"in line",IF(AND(ISNUMBER($N522),$N522&lt;significance_bar),IF($M522&lt;0,"worse","better"),IF($M522&lt;0,"worse, not significant","better, not significant")))))</f>
        <v/>
      </c>
      <c r="Y522">
        <f>IF($V522,$X522,$W522)</f>
        <v/>
      </c>
      <c r="Z522">
        <f>IF($V522,IF($P522="","",$P522),IF($O522="","",$O522))</f>
        <v/>
      </c>
      <c r="AA522">
        <f>IF(OR($Q522="",$Z522=""),"",IF(AND($Z522&gt;0,$Z522&gt;=$Q522),"yes","below the line"))</f>
        <v/>
      </c>
      <c r="AB522">
        <f>IF($V522,IF($M522="","",$M522),IF($K522="","",$K522))</f>
        <v/>
      </c>
      <c r="AC522">
        <f>IF($V522,IF($N522="","",$N522),IF($L522="","",$L522))</f>
        <v/>
      </c>
      <c r="AD522">
        <f>IF($Y522="","",IF($Y522="in line",IF(profit_kind="test",IF(ROUND($AB522*100,2)=0,"0.00",TEXT($AB522*100,"+0.00;-0.00"))&amp;" points against "&amp;IF($V522,"its band","the book")&amp;", "&amp;IF($AC522="","not tested","not significant"),IF(profit_kind="points","within "&amp;TEXT(profit_line*100,"0.00")&amp;" points of "&amp;IF($V522,"its band","the book")&amp;" ("&amp;IF(ROUND($AB522*100,2)=0,"0.00",TEXT($AB522*100,"+0.00;-0.00"))&amp;")","within $"&amp;TEXT(profit_line,"#,##0")&amp;" of "&amp;IF($V522,"its band","the book")&amp;" ("&amp;IF(ROUND($AB522*100,2)=0,"0.00",TEXT($AB522*100,"+0.00;-0.00"))&amp;" points)")),IF(LEFT($Y522,5)="worse","short of ","ahead of ")&amp;IF($V522,"its band","the book")&amp;" by "&amp;TEXT(ABS($AB522)*100,"0.00")&amp;" points"&amp;IF($Z522="",""," ($"&amp;TEXT(ABS($Z522),"#,##0")&amp;")")&amp;IF(RIGHT($Y522,15)="not significant"," (not significant)","")))</f>
        <v/>
      </c>
      <c r="AE522">
        <f>IF($V522,IF($S522="","",$S522),IF($R522="","",$R522))</f>
        <v/>
      </c>
      <c r="AF522">
        <f>IF($V522,IF($U522="","",$U522),IF($T522="","",$T522))</f>
        <v/>
      </c>
      <c r="AG522">
        <f>IF($V522,IF($O522="","",$O522),IF($P522="","",$P522))</f>
        <v/>
      </c>
      <c r="AH522" t="n">
        <v>0.1476246487993896</v>
      </c>
      <c r="AI522">
        <f>IF($Y522="worse","Yes",IF($Y522="worse, not significant","Not sure",IF(OR($Y522="too few losses to test",$Y522="too few loans to test"),"Too few losses",IF($Y522="","","No"))))</f>
        <v/>
      </c>
      <c r="AJ522">
        <f>IF($AA522="yes","Yes",IF($AA522="","","No"))</f>
        <v/>
      </c>
    </row>
    <row r="523">
      <c r="A523" t="inlineStr">
        <is>
          <t>three-way</t>
        </is>
      </c>
      <c r="B523" t="inlineStr">
        <is>
          <t>FICO x CHANNEL / SYS_FLAG</t>
        </is>
      </c>
      <c r="C523" t="inlineStr">
        <is>
          <t>654 - 685</t>
        </is>
      </c>
      <c r="D523" t="inlineStr">
        <is>
          <t>Broker / SYS_FLAG Y</t>
        </is>
      </c>
      <c r="E523" t="inlineStr">
        <is>
          <t>contribution_rate</t>
        </is>
      </c>
      <c r="F523" t="inlineStr">
        <is>
          <t>Contribution before losses per booked dollar</t>
        </is>
      </c>
      <c r="G523" t="n">
        <v>244</v>
      </c>
      <c r="H523" t="n">
        <v>7836290.479999998</v>
      </c>
      <c r="I523" t="b">
        <v>0</v>
      </c>
      <c r="J523" t="b">
        <v>0</v>
      </c>
      <c r="K523" t="n">
        <v>0.02702803326339712</v>
      </c>
      <c r="L523" t="n">
        <v>0.0024664200246642</v>
      </c>
      <c r="M523" t="n">
        <v>-0.01484807196064428</v>
      </c>
      <c r="N523" t="n">
        <v>0.1482601739826017</v>
      </c>
      <c r="O523" t="n">
        <v>-211799.5197550822</v>
      </c>
      <c r="P523" t="n">
        <v>116353.8049515516</v>
      </c>
      <c r="Q523">
        <f>'_live'!$C$24</f>
        <v/>
      </c>
      <c r="R523" t="inlineStr">
        <is>
          <t>shuffled: 15 of 10,000</t>
        </is>
      </c>
      <c r="S523" t="inlineStr">
        <is>
          <t>shuffled: 658 of 10,000</t>
        </is>
      </c>
      <c r="T523" t="n">
        <v>0.1687716188699679</v>
      </c>
      <c r="U523" t="n">
        <v>0.2106477240940093</v>
      </c>
      <c r="V523">
        <f>AND(judged_band,NOT($J523))</f>
        <v/>
      </c>
      <c r="W523">
        <f>IF($K523="","",IF(profit_kind="test",IF(OR(NOT(AND(ISNUMBER($L523),$L523&lt;significance_bar)),$K523=0),"in line",IF($K523&lt;0,"worse","better")),IF(OR($K523=0,IF(profit_kind="points",ABS($K523),ABS($K523*$H523))&lt;profit_line*(1-1E-9)),"in line",IF(AND(ISNUMBER($L523),$L523&lt;significance_bar),IF($K523&lt;0,"worse","better"),IF($K523&lt;0,"worse, not significant","better, not significant")))))</f>
        <v/>
      </c>
      <c r="X523">
        <f>IF($M523="","",IF(profit_kind="test",IF(OR(NOT(AND(ISNUMBER($N523),$N523&lt;significance_bar)),$M523=0),"in line",IF($M523&lt;0,"worse","better")),IF(OR($M523=0,IF(profit_kind="points",ABS($M523),ABS($M523*$H523))&lt;profit_line*(1-1E-9)),"in line",IF(AND(ISNUMBER($N523),$N523&lt;significance_bar),IF($M523&lt;0,"worse","better"),IF($M523&lt;0,"worse, not significant","better, not significant")))))</f>
        <v/>
      </c>
      <c r="Y523">
        <f>IF($V523,$X523,$W523)</f>
        <v/>
      </c>
      <c r="Z523">
        <f>IF($V523,IF($P523="","",$P523),IF($O523="","",$O523))</f>
        <v/>
      </c>
      <c r="AA523">
        <f>IF(OR($Q523="",$Z523=""),"",IF(AND($Z523&gt;0,$Z523&gt;=$Q523),"yes","below the line"))</f>
        <v/>
      </c>
      <c r="AB523">
        <f>IF($V523,IF($M523="","",$M523),IF($K523="","",$K523))</f>
        <v/>
      </c>
      <c r="AC523">
        <f>IF($V523,IF($N523="","",$N523),IF($L523="","",$L523))</f>
        <v/>
      </c>
      <c r="AD523">
        <f>IF($Y523="","",IF($Y523="in line",IF(profit_kind="test",IF(ROUND($AB523*100,2)=0,"0.00",TEXT($AB523*100,"+0.00;-0.00"))&amp;" points against "&amp;IF($V523,"its band","the book")&amp;", "&amp;IF($AC523="","not tested","not significant"),IF(profit_kind="points","within "&amp;TEXT(profit_line*100,"0.00")&amp;" points of "&amp;IF($V523,"its band","the book")&amp;" ("&amp;IF(ROUND($AB523*100,2)=0,"0.00",TEXT($AB523*100,"+0.00;-0.00"))&amp;")","within $"&amp;TEXT(profit_line,"#,##0")&amp;" of "&amp;IF($V523,"its band","the book")&amp;" ("&amp;IF(ROUND($AB523*100,2)=0,"0.00",TEXT($AB523*100,"+0.00;-0.00"))&amp;" points)")),IF(LEFT($Y523,5)="worse","short of ","ahead of ")&amp;IF($V523,"its band","the book")&amp;" by "&amp;TEXT(ABS($AB523)*100,"0.00")&amp;" points"&amp;IF($Z523="",""," ($"&amp;TEXT(ABS($Z523),"#,##0")&amp;")")&amp;IF(RIGHT($Y523,15)="not significant"," (not significant)","")))</f>
        <v/>
      </c>
      <c r="AE523">
        <f>IF($V523,IF($S523="","",$S523),IF($R523="","",$R523))</f>
        <v/>
      </c>
      <c r="AF523">
        <f>IF($V523,IF($U523="","",$U523),IF($T523="","",$T523))</f>
        <v/>
      </c>
      <c r="AG523">
        <f>IF($V523,IF($O523="","",$O523),IF($P523="","",$P523))</f>
        <v/>
      </c>
      <c r="AH523" t="n">
        <v>0.195799652133365</v>
      </c>
      <c r="AI523">
        <f>IF($Y523="worse","Yes",IF($Y523="worse, not significant","Not sure",IF(OR($Y523="too few losses to test",$Y523="too few loans to test"),"Too few losses",IF($Y523="","","No"))))</f>
        <v/>
      </c>
      <c r="AJ523">
        <f>IF($AA523="yes","Yes",IF($AA523="","","No"))</f>
        <v/>
      </c>
    </row>
    <row r="524">
      <c r="A524" t="inlineStr">
        <is>
          <t>three-way</t>
        </is>
      </c>
      <c r="B524" t="inlineStr">
        <is>
          <t>FICO x CHANNEL / SYS_FLAG</t>
        </is>
      </c>
      <c r="C524" t="inlineStr">
        <is>
          <t>654 - 685</t>
        </is>
      </c>
      <c r="D524" t="inlineStr">
        <is>
          <t>Broker / SYS_FLAG N</t>
        </is>
      </c>
      <c r="E524" t="inlineStr">
        <is>
          <t>outcome_loans</t>
        </is>
      </c>
      <c r="F524" t="inlineStr">
        <is>
          <t>Outcome, share of loans</t>
        </is>
      </c>
      <c r="G524" t="n">
        <v>287</v>
      </c>
      <c r="H524" t="n">
        <v>287</v>
      </c>
      <c r="I524" t="b">
        <v>0</v>
      </c>
      <c r="J524" t="b">
        <v>0</v>
      </c>
      <c r="K524" t="n">
        <v>0.8047910857050096</v>
      </c>
      <c r="L524" t="n">
        <v>0.409059498062137</v>
      </c>
      <c r="M524" t="n">
        <v>0.7010950721752116</v>
      </c>
      <c r="N524" t="n">
        <v>0.2726491193818282</v>
      </c>
      <c r="O524" t="n">
        <v>-4.366052904564317</v>
      </c>
      <c r="P524" t="n">
        <v>-7.674121405750796</v>
      </c>
      <c r="Q524">
        <f>'_live'!$C$20</f>
        <v/>
      </c>
      <c r="R524" t="inlineStr">
        <is>
          <t>z test</t>
        </is>
      </c>
      <c r="S524" t="inlineStr">
        <is>
          <t>z test</t>
        </is>
      </c>
      <c r="T524" t="n">
        <v>0.0779304979253112</v>
      </c>
      <c r="U524" t="n">
        <v>0.08945686900958466</v>
      </c>
      <c r="V524">
        <f>AND(judged_band,NOT($J524))</f>
        <v/>
      </c>
      <c r="W524">
        <f>IF($K524="","",IF($I524,"too few losses to test",IF(AND($K524&gt;better_at,$K524&lt;worse_at),"in line",IF($K524&gt;=worse_at,IF(AND(ISNUMBER($L524),$L524&lt;significance_bar),"worse","worse, not significant"),IF(AND(ISNUMBER($L524),$L524&lt;significance_bar),"better","better, not significant")))))</f>
        <v/>
      </c>
      <c r="X524">
        <f>IF($M524="","",IF($I524,"too few losses to test",IF(AND($M524&gt;better_at,$M524&lt;worse_at),"in line",IF($M524&gt;=worse_at,IF(AND(ISNUMBER($N524),$N524&lt;significance_bar),"worse","worse, not significant"),IF(AND(ISNUMBER($N524),$N524&lt;significance_bar),"better","better, not significant")))))</f>
        <v/>
      </c>
      <c r="Y524">
        <f>IF($V524,$X524,$W524)</f>
        <v/>
      </c>
      <c r="Z524">
        <f>IF($V524,IF($P524="","",$P524),IF($O524="","",$O524))</f>
        <v/>
      </c>
      <c r="AA524">
        <f>IF(OR($Q524="",$Z524=""),"",IF(AND($Z524&gt;0,$Z524&gt;=$Q524),"yes","below the line"))</f>
        <v/>
      </c>
      <c r="AB524">
        <f>IF($V524,IF($M524="","",$M524),IF($K524="","",$K524))</f>
        <v/>
      </c>
      <c r="AC524">
        <f>IF($V524,IF($N524="","",$N524),IF($L524="","",$L524))</f>
        <v/>
      </c>
      <c r="AD524">
        <f>$Y524</f>
        <v/>
      </c>
      <c r="AE524">
        <f>IF($V524,IF($S524="","",$S524),IF($R524="","",$R524))</f>
        <v/>
      </c>
      <c r="AF524">
        <f>IF($V524,IF($U524="","",$U524),IF($T524="","",$T524))</f>
        <v/>
      </c>
      <c r="AG524">
        <f>IF($V524,IF($O524="","",$O524),IF($P524="","",$P524))</f>
        <v/>
      </c>
      <c r="AH524" t="n">
        <v>0.0627177700348432</v>
      </c>
      <c r="AI524">
        <f>IF($Y524="worse","Yes",IF($Y524="worse, not significant","Not sure",IF(OR($Y524="too few losses to test",$Y524="too few loans to test"),"Too few losses",IF($Y524="","","No"))))</f>
        <v/>
      </c>
      <c r="AJ524">
        <f>IF($AA524="yes","Yes",IF($AA524="","","No"))</f>
        <v/>
      </c>
    </row>
    <row r="525">
      <c r="A525" t="inlineStr">
        <is>
          <t>three-way</t>
        </is>
      </c>
      <c r="B525" t="inlineStr">
        <is>
          <t>FICO x CHANNEL / SYS_FLAG</t>
        </is>
      </c>
      <c r="C525" t="inlineStr">
        <is>
          <t>654 - 685</t>
        </is>
      </c>
      <c r="D525" t="inlineStr">
        <is>
          <t>Broker / SYS_FLAG N</t>
        </is>
      </c>
      <c r="E525" t="inlineStr">
        <is>
          <t>outcome_booked</t>
        </is>
      </c>
      <c r="F525" t="inlineStr">
        <is>
          <t>Outcome, share of booked dollars</t>
        </is>
      </c>
      <c r="G525" t="n">
        <v>287</v>
      </c>
      <c r="H525" t="n">
        <v>9485611.939999998</v>
      </c>
      <c r="I525" t="b">
        <v>0</v>
      </c>
      <c r="J525" t="b">
        <v>0</v>
      </c>
      <c r="K525" t="n">
        <v>0.8925172132640479</v>
      </c>
      <c r="L525" t="n">
        <v>0.6856606006066061</v>
      </c>
      <c r="M525" t="n">
        <v>0.8087672661152377</v>
      </c>
      <c r="N525" t="n">
        <v>0.5509975318257648</v>
      </c>
      <c r="O525" t="n">
        <v>-76593.66375242407</v>
      </c>
      <c r="P525" t="n">
        <v>-150386.6188178195</v>
      </c>
      <c r="Q525">
        <f>'_live'!$C$21</f>
        <v/>
      </c>
      <c r="R525" t="inlineStr">
        <is>
          <t>shuffled: 6,582 of 10,000</t>
        </is>
      </c>
      <c r="S525" t="inlineStr">
        <is>
          <t>shuffled: 4,133 of 10,000</t>
        </is>
      </c>
      <c r="T525" t="n">
        <v>0.07512570704557246</v>
      </c>
      <c r="U525" t="n">
        <v>0.08290516877478542</v>
      </c>
      <c r="V525">
        <f>AND(judged_band,NOT($J525))</f>
        <v/>
      </c>
      <c r="W525">
        <f>IF($K525="","",IF($I525,"too few losses to test",IF(AND($K525&gt;better_at,$K525&lt;worse_at),"in line",IF($K525&gt;=worse_at,IF(AND(ISNUMBER($L525),$L525&lt;significance_bar),"worse","worse, not significant"),IF(AND(ISNUMBER($L525),$L525&lt;significance_bar),"better","better, not significant")))))</f>
        <v/>
      </c>
      <c r="X525">
        <f>IF($M525="","",IF($I525,"too few losses to test",IF(AND($M525&gt;better_at,$M525&lt;worse_at),"in line",IF($M525&gt;=worse_at,IF(AND(ISNUMBER($N525),$N525&lt;significance_bar),"worse","worse, not significant"),IF(AND(ISNUMBER($N525),$N525&lt;significance_bar),"better","better, not significant")))))</f>
        <v/>
      </c>
      <c r="Y525">
        <f>IF($V525,$X525,$W525)</f>
        <v/>
      </c>
      <c r="Z525">
        <f>IF($V525,IF($P525="","",$P525),IF($O525="","",$O525))</f>
        <v/>
      </c>
      <c r="AA525">
        <f>IF(OR($Q525="",$Z525=""),"",IF(AND($Z525&gt;0,$Z525&gt;=$Q525),"yes","below the line"))</f>
        <v/>
      </c>
      <c r="AB525">
        <f>IF($V525,IF($M525="","",$M525),IF($K525="","",$K525))</f>
        <v/>
      </c>
      <c r="AC525">
        <f>IF($V525,IF($N525="","",$N525),IF($L525="","",$L525))</f>
        <v/>
      </c>
      <c r="AD525">
        <f>$Y525</f>
        <v/>
      </c>
      <c r="AE525">
        <f>IF($V525,IF($S525="","",$S525),IF($R525="","",$R525))</f>
        <v/>
      </c>
      <c r="AF525">
        <f>IF($V525,IF($U525="","",$U525),IF($T525="","",$T525))</f>
        <v/>
      </c>
      <c r="AG525">
        <f>IF($V525,IF($O525="","",$O525),IF($P525="","",$P525))</f>
        <v/>
      </c>
      <c r="AH525" t="n">
        <v>0.06705098669680558</v>
      </c>
      <c r="AI525">
        <f>IF($Y525="worse","Yes",IF($Y525="worse, not significant","Not sure",IF(OR($Y525="too few losses to test",$Y525="too few loans to test"),"Too few losses",IF($Y525="","","No"))))</f>
        <v/>
      </c>
      <c r="AJ525">
        <f>IF($AA525="yes","Yes",IF($AA525="","","No"))</f>
        <v/>
      </c>
    </row>
    <row r="526">
      <c r="A526" t="inlineStr">
        <is>
          <t>three-way</t>
        </is>
      </c>
      <c r="B526" t="inlineStr">
        <is>
          <t>FICO x CHANNEL / SYS_FLAG</t>
        </is>
      </c>
      <c r="C526" t="inlineStr">
        <is>
          <t>654 - 685</t>
        </is>
      </c>
      <c r="D526" t="inlineStr">
        <is>
          <t>Broker / SYS_FLAG N</t>
        </is>
      </c>
      <c r="E526" t="inlineStr">
        <is>
          <t>gco_rate</t>
        </is>
      </c>
      <c r="F526" t="inlineStr">
        <is>
          <t>GCO per booked dollar</t>
        </is>
      </c>
      <c r="G526" t="n">
        <v>287</v>
      </c>
      <c r="H526" t="n">
        <v>9485611.939999998</v>
      </c>
      <c r="I526" t="b">
        <v>0</v>
      </c>
      <c r="J526" t="b">
        <v>0</v>
      </c>
      <c r="K526" t="n">
        <v>0.8947644278095276</v>
      </c>
      <c r="L526" t="n">
        <v>0.6959720694597206</v>
      </c>
      <c r="M526" t="n">
        <v>0.793773674737977</v>
      </c>
      <c r="N526" t="n">
        <v>0.5545278805452788</v>
      </c>
      <c r="O526" t="n">
        <v>-41692.66050993011</v>
      </c>
      <c r="P526" t="n">
        <v>-92098.62878379645</v>
      </c>
      <c r="Q526">
        <f>'_live'!$C$22</f>
        <v/>
      </c>
      <c r="R526" t="inlineStr">
        <is>
          <t>shuffled: 6,681 of 10,000</t>
        </is>
      </c>
      <c r="S526" t="inlineStr">
        <is>
          <t>shuffled: 3,992 of 10,000</t>
        </is>
      </c>
      <c r="T526" t="n">
        <v>0.04176684677972713</v>
      </c>
      <c r="U526" t="n">
        <v>0.04708078631179977</v>
      </c>
      <c r="V526">
        <f>AND(judged_band,NOT($J526))</f>
        <v/>
      </c>
      <c r="W526">
        <f>IF($K526="","",IF($I526,"too few losses to test",IF(AND($K526&gt;better_at,$K526&lt;worse_at),"in line",IF($K526&gt;=worse_at,IF(AND(ISNUMBER($L526),$L526&lt;significance_bar),"worse","worse, not significant"),IF(AND(ISNUMBER($L526),$L526&lt;significance_bar),"better","better, not significant")))))</f>
        <v/>
      </c>
      <c r="X526">
        <f>IF($M526="","",IF($I526,"too few losses to test",IF(AND($M526&gt;better_at,$M526&lt;worse_at),"in line",IF($M526&gt;=worse_at,IF(AND(ISNUMBER($N526),$N526&lt;significance_bar),"worse","worse, not significant"),IF(AND(ISNUMBER($N526),$N526&lt;significance_bar),"better","better, not significant")))))</f>
        <v/>
      </c>
      <c r="Y526">
        <f>IF($V526,$X526,$W526)</f>
        <v/>
      </c>
      <c r="Z526">
        <f>IF($V526,IF($P526="","",$P526),IF($O526="","",$O526))</f>
        <v/>
      </c>
      <c r="AA526">
        <f>IF(OR($Q526="",$Z526=""),"",IF(AND($Z526&gt;0,$Z526&gt;=$Q526),"yes","below the line"))</f>
        <v/>
      </c>
      <c r="AB526">
        <f>IF($V526,IF($M526="","",$M526),IF($K526="","",$K526))</f>
        <v/>
      </c>
      <c r="AC526">
        <f>IF($V526,IF($N526="","",$N526),IF($L526="","",$L526))</f>
        <v/>
      </c>
      <c r="AD526">
        <f>$Y526</f>
        <v/>
      </c>
      <c r="AE526">
        <f>IF($V526,IF($S526="","",$S526),IF($R526="","",$R526))</f>
        <v/>
      </c>
      <c r="AF526">
        <f>IF($V526,IF($U526="","",$U526),IF($T526="","",$T526))</f>
        <v/>
      </c>
      <c r="AG526">
        <f>IF($V526,IF($O526="","",$O526),IF($P526="","",$P526))</f>
        <v/>
      </c>
      <c r="AH526" t="n">
        <v>0.03737148876027075</v>
      </c>
      <c r="AI526">
        <f>IF($Y526="worse","Yes",IF($Y526="worse, not significant","Not sure",IF(OR($Y526="too few losses to test",$Y526="too few loans to test"),"Too few losses",IF($Y526="","","No"))))</f>
        <v/>
      </c>
      <c r="AJ526">
        <f>IF($AA526="yes","Yes",IF($AA526="","","No"))</f>
        <v/>
      </c>
    </row>
    <row r="527">
      <c r="A527" t="inlineStr">
        <is>
          <t>three-way</t>
        </is>
      </c>
      <c r="B527" t="inlineStr">
        <is>
          <t>FICO x CHANNEL / SYS_FLAG</t>
        </is>
      </c>
      <c r="C527" t="inlineStr">
        <is>
          <t>654 - 685</t>
        </is>
      </c>
      <c r="D527" t="inlineStr">
        <is>
          <t>Broker / SYS_FLAG N</t>
        </is>
      </c>
      <c r="E527" t="inlineStr">
        <is>
          <t>ranr_rate</t>
        </is>
      </c>
      <c r="F527" t="inlineStr">
        <is>
          <t>Profit after losses: RANR per booked dollar</t>
        </is>
      </c>
      <c r="G527" t="n">
        <v>287</v>
      </c>
      <c r="H527" t="n">
        <v>9485611.939999998</v>
      </c>
      <c r="I527" t="b">
        <v>0</v>
      </c>
      <c r="J527" t="b">
        <v>0</v>
      </c>
      <c r="K527" t="n">
        <v>0.03990900867006547</v>
      </c>
      <c r="L527" t="n">
        <v>0.005086991300869913</v>
      </c>
      <c r="M527" t="n">
        <v>0.004155442813162852</v>
      </c>
      <c r="N527" t="n">
        <v>0.9530046995300471</v>
      </c>
      <c r="O527" t="n">
        <v>-378561.3691543364</v>
      </c>
      <c r="P527" t="n">
        <v>-39416.91796452459</v>
      </c>
      <c r="Q527">
        <f>'_live'!$C$23</f>
        <v/>
      </c>
      <c r="R527" t="inlineStr">
        <is>
          <t>shuffled: 21 of 10,000</t>
        </is>
      </c>
      <c r="S527" t="inlineStr">
        <is>
          <t>shuffled: 7,669 of 10,000</t>
        </is>
      </c>
      <c r="T527" t="n">
        <v>0.1265231466812107</v>
      </c>
      <c r="U527" t="n">
        <v>0.1622767125381133</v>
      </c>
      <c r="V527">
        <f>AND(judged_band,NOT($J527))</f>
        <v/>
      </c>
      <c r="W527">
        <f>IF($K527="","",IF(profit_kind="test",IF(OR(NOT(AND(ISNUMBER($L527),$L527&lt;significance_bar)),$K527=0),"in line",IF($K527&lt;0,"worse","better")),IF(OR($K527=0,IF(profit_kind="points",ABS($K527),ABS($K527*$H527))&lt;profit_line*(1-1E-9)),"in line",IF(AND(ISNUMBER($L527),$L527&lt;significance_bar),IF($K527&lt;0,"worse","better"),IF($K527&lt;0,"worse, not significant","better, not significant")))))</f>
        <v/>
      </c>
      <c r="X527">
        <f>IF($M527="","",IF(profit_kind="test",IF(OR(NOT(AND(ISNUMBER($N527),$N527&lt;significance_bar)),$M527=0),"in line",IF($M527&lt;0,"worse","better")),IF(OR($M527=0,IF(profit_kind="points",ABS($M527),ABS($M527*$H527))&lt;profit_line*(1-1E-9)),"in line",IF(AND(ISNUMBER($N527),$N527&lt;significance_bar),IF($M527&lt;0,"worse","better"),IF($M527&lt;0,"worse, not significant","better, not significant")))))</f>
        <v/>
      </c>
      <c r="Y527">
        <f>IF($V527,$X527,$W527)</f>
        <v/>
      </c>
      <c r="Z527">
        <f>IF($V527,IF($P527="","",$P527),IF($O527="","",$O527))</f>
        <v/>
      </c>
      <c r="AA527">
        <f>IF(OR($Q527="",$Z527=""),"",IF(AND($Z527&gt;0,$Z527&gt;=$Q527),"yes","below the line"))</f>
        <v/>
      </c>
      <c r="AB527">
        <f>IF($V527,IF($M527="","",$M527),IF($K527="","",$K527))</f>
        <v/>
      </c>
      <c r="AC527">
        <f>IF($V527,IF($N527="","",$N527),IF($L527="","",$L527))</f>
        <v/>
      </c>
      <c r="AD527">
        <f>IF($Y527="","",IF($Y527="in line",IF(profit_kind="test",IF(ROUND($AB527*100,2)=0,"0.00",TEXT($AB527*100,"+0.00;-0.00"))&amp;" points against "&amp;IF($V527,"its band","the book")&amp;", "&amp;IF($AC527="","not tested","not significant"),IF(profit_kind="points","within "&amp;TEXT(profit_line*100,"0.00")&amp;" points of "&amp;IF($V527,"its band","the book")&amp;" ("&amp;IF(ROUND($AB527*100,2)=0,"0.00",TEXT($AB527*100,"+0.00;-0.00"))&amp;")","within $"&amp;TEXT(profit_line,"#,##0")&amp;" of "&amp;IF($V527,"its band","the book")&amp;" ("&amp;IF(ROUND($AB527*100,2)=0,"0.00",TEXT($AB527*100,"+0.00;-0.00"))&amp;" points)")),IF(LEFT($Y527,5)="worse","short of ","ahead of ")&amp;IF($V527,"its band","the book")&amp;" by "&amp;TEXT(ABS($AB527)*100,"0.00")&amp;" points"&amp;IF($Z527="",""," ($"&amp;TEXT(ABS($Z527),"#,##0")&amp;")")&amp;IF(RIGHT($Y527,15)="not significant"," (not significant)","")))</f>
        <v/>
      </c>
      <c r="AE527">
        <f>IF($V527,IF($S527="","",$S527),IF($R527="","",$R527))</f>
        <v/>
      </c>
      <c r="AF527">
        <f>IF($V527,IF($U527="","",$U527),IF($T527="","",$T527))</f>
        <v/>
      </c>
      <c r="AG527">
        <f>IF($V527,IF($O527="","",$O527),IF($P527="","",$P527))</f>
        <v/>
      </c>
      <c r="AH527" t="n">
        <v>0.1664321553512761</v>
      </c>
      <c r="AI527">
        <f>IF($Y527="worse","Yes",IF($Y527="worse, not significant","Not sure",IF(OR($Y527="too few losses to test",$Y527="too few loans to test"),"Too few losses",IF($Y527="","","No"))))</f>
        <v/>
      </c>
      <c r="AJ527">
        <f>IF($AA527="yes","Yes",IF($AA527="","","No"))</f>
        <v/>
      </c>
    </row>
    <row r="528">
      <c r="A528" t="inlineStr">
        <is>
          <t>three-way</t>
        </is>
      </c>
      <c r="B528" t="inlineStr">
        <is>
          <t>FICO x CHANNEL / SYS_FLAG</t>
        </is>
      </c>
      <c r="C528" t="inlineStr">
        <is>
          <t>654 - 685</t>
        </is>
      </c>
      <c r="D528" t="inlineStr">
        <is>
          <t>Broker / SYS_FLAG N</t>
        </is>
      </c>
      <c r="E528" t="inlineStr">
        <is>
          <t>contribution_rate</t>
        </is>
      </c>
      <c r="F528" t="inlineStr">
        <is>
          <t>Contribution before losses per booked dollar</t>
        </is>
      </c>
      <c r="G528" t="n">
        <v>287</v>
      </c>
      <c r="H528" t="n">
        <v>9485611.939999998</v>
      </c>
      <c r="I528" t="b">
        <v>0</v>
      </c>
      <c r="J528" t="b">
        <v>0</v>
      </c>
      <c r="K528" t="n">
        <v>0.03551685323753723</v>
      </c>
      <c r="L528" t="n">
        <v>0.000184981501849815</v>
      </c>
      <c r="M528" t="n">
        <v>-0.005553854738366171</v>
      </c>
      <c r="N528" t="n">
        <v>0.6529193234522701</v>
      </c>
      <c r="O528" t="n">
        <v>-336899.0871412107</v>
      </c>
      <c r="P528" t="n">
        <v>52681.71081927163</v>
      </c>
      <c r="Q528">
        <f>'_live'!$C$24</f>
        <v/>
      </c>
      <c r="R528" t="inlineStr">
        <is>
          <t>shuffled: 0 of 10,000</t>
        </is>
      </c>
      <c r="S528" t="inlineStr">
        <is>
          <t>shuffled: 4,715 of 10,000</t>
        </is>
      </c>
      <c r="T528" t="n">
        <v>0.1682867908740096</v>
      </c>
      <c r="U528" t="n">
        <v>0.209357498849913</v>
      </c>
      <c r="V528">
        <f>AND(judged_band,NOT($J528))</f>
        <v/>
      </c>
      <c r="W528">
        <f>IF($K528="","",IF(profit_kind="test",IF(OR(NOT(AND(ISNUMBER($L528),$L528&lt;significance_bar)),$K528=0),"in line",IF($K528&lt;0,"worse","better")),IF(OR($K528=0,IF(profit_kind="points",ABS($K528),ABS($K528*$H528))&lt;profit_line*(1-1E-9)),"in line",IF(AND(ISNUMBER($L528),$L528&lt;significance_bar),IF($K528&lt;0,"worse","better"),IF($K528&lt;0,"worse, not significant","better, not significant")))))</f>
        <v/>
      </c>
      <c r="X528">
        <f>IF($M528="","",IF(profit_kind="test",IF(OR(NOT(AND(ISNUMBER($N528),$N528&lt;significance_bar)),$M528=0),"in line",IF($M528&lt;0,"worse","better")),IF(OR($M528=0,IF(profit_kind="points",ABS($M528),ABS($M528*$H528))&lt;profit_line*(1-1E-9)),"in line",IF(AND(ISNUMBER($N528),$N528&lt;significance_bar),IF($M528&lt;0,"worse","better"),IF($M528&lt;0,"worse, not significant","better, not significant")))))</f>
        <v/>
      </c>
      <c r="Y528">
        <f>IF($V528,$X528,$W528)</f>
        <v/>
      </c>
      <c r="Z528">
        <f>IF($V528,IF($P528="","",$P528),IF($O528="","",$O528))</f>
        <v/>
      </c>
      <c r="AA528">
        <f>IF(OR($Q528="",$Z528=""),"",IF(AND($Z528&gt;0,$Z528&gt;=$Q528),"yes","below the line"))</f>
        <v/>
      </c>
      <c r="AB528">
        <f>IF($V528,IF($M528="","",$M528),IF($K528="","",$K528))</f>
        <v/>
      </c>
      <c r="AC528">
        <f>IF($V528,IF($N528="","",$N528),IF($L528="","",$L528))</f>
        <v/>
      </c>
      <c r="AD528">
        <f>IF($Y528="","",IF($Y528="in line",IF(profit_kind="test",IF(ROUND($AB528*100,2)=0,"0.00",TEXT($AB528*100,"+0.00;-0.00"))&amp;" points against "&amp;IF($V528,"its band","the book")&amp;", "&amp;IF($AC528="","not tested","not significant"),IF(profit_kind="points","within "&amp;TEXT(profit_line*100,"0.00")&amp;" points of "&amp;IF($V528,"its band","the book")&amp;" ("&amp;IF(ROUND($AB528*100,2)=0,"0.00",TEXT($AB528*100,"+0.00;-0.00"))&amp;")","within $"&amp;TEXT(profit_line,"#,##0")&amp;" of "&amp;IF($V528,"its band","the book")&amp;" ("&amp;IF(ROUND($AB528*100,2)=0,"0.00",TEXT($AB528*100,"+0.00;-0.00"))&amp;" points)")),IF(LEFT($Y528,5)="worse","short of ","ahead of ")&amp;IF($V528,"its band","the book")&amp;" by "&amp;TEXT(ABS($AB528)*100,"0.00")&amp;" points"&amp;IF($Z528="",""," ($"&amp;TEXT(ABS($Z528),"#,##0")&amp;")")&amp;IF(RIGHT($Y528,15)="not significant"," (not significant)","")))</f>
        <v/>
      </c>
      <c r="AE528">
        <f>IF($V528,IF($S528="","",$S528),IF($R528="","",$R528))</f>
        <v/>
      </c>
      <c r="AF528">
        <f>IF($V528,IF($U528="","",$U528),IF($T528="","",$T528))</f>
        <v/>
      </c>
      <c r="AG528">
        <f>IF($V528,IF($O528="","",$O528),IF($P528="","",$P528))</f>
        <v/>
      </c>
      <c r="AH528" t="n">
        <v>0.2038036441115468</v>
      </c>
      <c r="AI528">
        <f>IF($Y528="worse","Yes",IF($Y528="worse, not significant","Not sure",IF(OR($Y528="too few losses to test",$Y528="too few loans to test"),"Too few losses",IF($Y528="","","No"))))</f>
        <v/>
      </c>
      <c r="AJ528">
        <f>IF($AA528="yes","Yes",IF($AA528="","","No"))</f>
        <v/>
      </c>
    </row>
    <row r="529">
      <c r="A529" t="inlineStr">
        <is>
          <t>three-way</t>
        </is>
      </c>
      <c r="B529" t="inlineStr">
        <is>
          <t>FICO x CHANNEL / SYS_FLAG</t>
        </is>
      </c>
      <c r="C529" t="inlineStr">
        <is>
          <t>(marked missing)</t>
        </is>
      </c>
      <c r="D529" t="inlineStr">
        <is>
          <t>Online / SYS_FLAG Y</t>
        </is>
      </c>
      <c r="E529" t="inlineStr">
        <is>
          <t>outcome_loans</t>
        </is>
      </c>
      <c r="F529" t="inlineStr">
        <is>
          <t>Outcome, share of loans</t>
        </is>
      </c>
      <c r="G529" t="n">
        <v>25</v>
      </c>
      <c r="H529" t="n">
        <v>25</v>
      </c>
      <c r="I529" t="b">
        <v>1</v>
      </c>
      <c r="J529" t="b">
        <v>0</v>
      </c>
      <c r="K529" t="n">
        <v>1.033905996758509</v>
      </c>
      <c r="M529" t="n">
        <v>1.35</v>
      </c>
      <c r="O529" t="n">
        <v>0.06558816152495606</v>
      </c>
      <c r="P529" t="n">
        <v>0.5185185185185184</v>
      </c>
      <c r="Q529">
        <f>'_live'!$C$20</f>
        <v/>
      </c>
      <c r="T529" t="n">
        <v>0.07737647353900176</v>
      </c>
      <c r="U529" t="n">
        <v>0.05925925925925926</v>
      </c>
      <c r="V529">
        <f>AND(judged_band,NOT($J529))</f>
        <v/>
      </c>
      <c r="W529">
        <f>IF($K529="","",IF($I529,"too few losses to test",IF(AND($K529&gt;better_at,$K529&lt;worse_at),"in line",IF($K529&gt;=worse_at,IF(AND(ISNUMBER($L529),$L529&lt;significance_bar),"worse","worse, not significant"),IF(AND(ISNUMBER($L529),$L529&lt;significance_bar),"better","better, not significant")))))</f>
        <v/>
      </c>
      <c r="X529">
        <f>IF($M529="","",IF($I529,"too few losses to test",IF(AND($M529&gt;better_at,$M529&lt;worse_at),"in line",IF($M529&gt;=worse_at,IF(AND(ISNUMBER($N529),$N529&lt;significance_bar),"worse","worse, not significant"),IF(AND(ISNUMBER($N529),$N529&lt;significance_bar),"better","better, not significant")))))</f>
        <v/>
      </c>
      <c r="Y529">
        <f>IF($V529,$X529,$W529)</f>
        <v/>
      </c>
      <c r="Z529">
        <f>IF($V529,IF($P529="","",$P529),IF($O529="","",$O529))</f>
        <v/>
      </c>
      <c r="AA529">
        <f>IF(OR($Q529="",$Z529=""),"",IF(AND($Z529&gt;0,$Z529&gt;=$Q529),"yes","below the line"))</f>
        <v/>
      </c>
      <c r="AB529">
        <f>IF($V529,IF($M529="","",$M529),IF($K529="","",$K529))</f>
        <v/>
      </c>
      <c r="AC529">
        <f>IF($V529,IF($N529="","",$N529),IF($L529="","",$L529))</f>
        <v/>
      </c>
      <c r="AD529">
        <f>$Y529</f>
        <v/>
      </c>
      <c r="AE529">
        <f>IF($V529,IF($S529="","",$S529),IF($R529="","",$R529))</f>
        <v/>
      </c>
      <c r="AF529">
        <f>IF($V529,IF($U529="","",$U529),IF($T529="","",$T529))</f>
        <v/>
      </c>
      <c r="AG529">
        <f>IF($V529,IF($O529="","",$O529),IF($P529="","",$P529))</f>
        <v/>
      </c>
      <c r="AH529" t="n">
        <v>0.08</v>
      </c>
      <c r="AI529">
        <f>IF($Y529="worse","Yes",IF($Y529="worse, not significant","Not sure",IF(OR($Y529="too few losses to test",$Y529="too few loans to test"),"Too few losses",IF($Y529="","","No"))))</f>
        <v/>
      </c>
      <c r="AJ529">
        <f>IF($AA529="yes","Yes",IF($AA529="","","No"))</f>
        <v/>
      </c>
    </row>
    <row r="530">
      <c r="A530" t="inlineStr">
        <is>
          <t>three-way</t>
        </is>
      </c>
      <c r="B530" t="inlineStr">
        <is>
          <t>FICO x CHANNEL / SYS_FLAG</t>
        </is>
      </c>
      <c r="C530" t="inlineStr">
        <is>
          <t>(marked missing)</t>
        </is>
      </c>
      <c r="D530" t="inlineStr">
        <is>
          <t>Online / SYS_FLAG Y</t>
        </is>
      </c>
      <c r="E530" t="inlineStr">
        <is>
          <t>outcome_booked</t>
        </is>
      </c>
      <c r="F530" t="inlineStr">
        <is>
          <t>Outcome, share of booked dollars</t>
        </is>
      </c>
      <c r="G530" t="n">
        <v>25</v>
      </c>
      <c r="H530" t="n">
        <v>869025.03</v>
      </c>
      <c r="I530" t="b">
        <v>1</v>
      </c>
      <c r="J530" t="b">
        <v>0</v>
      </c>
      <c r="K530" t="n">
        <v>0.8316771340635828</v>
      </c>
      <c r="M530" t="n">
        <v>1.372343233531356</v>
      </c>
      <c r="O530" t="n">
        <v>-10951.93481565196</v>
      </c>
      <c r="P530" t="n">
        <v>14681.93223206329</v>
      </c>
      <c r="Q530">
        <f>'_live'!$C$21</f>
        <v/>
      </c>
      <c r="T530" t="n">
        <v>0.07487131275799036</v>
      </c>
      <c r="U530" t="n">
        <v>0.04537404149099907</v>
      </c>
      <c r="V530">
        <f>AND(judged_band,NOT($J530))</f>
        <v/>
      </c>
      <c r="W530">
        <f>IF($K530="","",IF($I530,"too few losses to test",IF(AND($K530&gt;better_at,$K530&lt;worse_at),"in line",IF($K530&gt;=worse_at,IF(AND(ISNUMBER($L530),$L530&lt;significance_bar),"worse","worse, not significant"),IF(AND(ISNUMBER($L530),$L530&lt;significance_bar),"better","better, not significant")))))</f>
        <v/>
      </c>
      <c r="X530">
        <f>IF($M530="","",IF($I530,"too few losses to test",IF(AND($M530&gt;better_at,$M530&lt;worse_at),"in line",IF($M530&gt;=worse_at,IF(AND(ISNUMBER($N530),$N530&lt;significance_bar),"worse","worse, not significant"),IF(AND(ISNUMBER($N530),$N530&lt;significance_bar),"better","better, not significant")))))</f>
        <v/>
      </c>
      <c r="Y530">
        <f>IF($V530,$X530,$W530)</f>
        <v/>
      </c>
      <c r="Z530">
        <f>IF($V530,IF($P530="","",$P530),IF($O530="","",$O530))</f>
        <v/>
      </c>
      <c r="AA530">
        <f>IF(OR($Q530="",$Z530=""),"",IF(AND($Z530&gt;0,$Z530&gt;=$Q530),"yes","below the line"))</f>
        <v/>
      </c>
      <c r="AB530">
        <f>IF($V530,IF($M530="","",$M530),IF($K530="","",$K530))</f>
        <v/>
      </c>
      <c r="AC530">
        <f>IF($V530,IF($N530="","",$N530),IF($L530="","",$L530))</f>
        <v/>
      </c>
      <c r="AD530">
        <f>$Y530</f>
        <v/>
      </c>
      <c r="AE530">
        <f>IF($V530,IF($S530="","",$S530),IF($R530="","",$R530))</f>
        <v/>
      </c>
      <c r="AF530">
        <f>IF($V530,IF($U530="","",$U530),IF($T530="","",$T530))</f>
        <v/>
      </c>
      <c r="AG530">
        <f>IF($V530,IF($O530="","",$O530),IF($P530="","",$P530))</f>
        <v/>
      </c>
      <c r="AH530" t="n">
        <v>0.06226875881814359</v>
      </c>
      <c r="AI530">
        <f>IF($Y530="worse","Yes",IF($Y530="worse, not significant","Not sure",IF(OR($Y530="too few losses to test",$Y530="too few loans to test"),"Too few losses",IF($Y530="","","No"))))</f>
        <v/>
      </c>
      <c r="AJ530">
        <f>IF($AA530="yes","Yes",IF($AA530="","","No"))</f>
        <v/>
      </c>
    </row>
    <row r="531">
      <c r="A531" t="inlineStr">
        <is>
          <t>three-way</t>
        </is>
      </c>
      <c r="B531" t="inlineStr">
        <is>
          <t>FICO x CHANNEL / SYS_FLAG</t>
        </is>
      </c>
      <c r="C531" t="inlineStr">
        <is>
          <t>(marked missing)</t>
        </is>
      </c>
      <c r="D531" t="inlineStr">
        <is>
          <t>Online / SYS_FLAG Y</t>
        </is>
      </c>
      <c r="E531" t="inlineStr">
        <is>
          <t>gco_rate</t>
        </is>
      </c>
      <c r="F531" t="inlineStr">
        <is>
          <t>GCO per booked dollar</t>
        </is>
      </c>
      <c r="G531" t="n">
        <v>25</v>
      </c>
      <c r="H531" t="n">
        <v>869025.03</v>
      </c>
      <c r="I531" t="b">
        <v>1</v>
      </c>
      <c r="J531" t="b">
        <v>0</v>
      </c>
      <c r="K531" t="n">
        <v>0.9461091971531108</v>
      </c>
      <c r="M531" t="n">
        <v>1.727664450391221</v>
      </c>
      <c r="O531" t="n">
        <v>-1948.830495941547</v>
      </c>
      <c r="P531" t="n">
        <v>14410.2806444475</v>
      </c>
      <c r="Q531">
        <f>'_live'!$C$22</f>
        <v/>
      </c>
      <c r="T531" t="n">
        <v>0.04161281809793389</v>
      </c>
      <c r="U531" t="n">
        <v>0.02278814610846422</v>
      </c>
      <c r="V531">
        <f>AND(judged_band,NOT($J531))</f>
        <v/>
      </c>
      <c r="W531">
        <f>IF($K531="","",IF($I531,"too few losses to test",IF(AND($K531&gt;better_at,$K531&lt;worse_at),"in line",IF($K531&gt;=worse_at,IF(AND(ISNUMBER($L531),$L531&lt;significance_bar),"worse","worse, not significant"),IF(AND(ISNUMBER($L531),$L531&lt;significance_bar),"better","better, not significant")))))</f>
        <v/>
      </c>
      <c r="X531">
        <f>IF($M531="","",IF($I531,"too few losses to test",IF(AND($M531&gt;better_at,$M531&lt;worse_at),"in line",IF($M531&gt;=worse_at,IF(AND(ISNUMBER($N531),$N531&lt;significance_bar),"worse","worse, not significant"),IF(AND(ISNUMBER($N531),$N531&lt;significance_bar),"better","better, not significant")))))</f>
        <v/>
      </c>
      <c r="Y531">
        <f>IF($V531,$X531,$W531)</f>
        <v/>
      </c>
      <c r="Z531">
        <f>IF($V531,IF($P531="","",$P531),IF($O531="","",$O531))</f>
        <v/>
      </c>
      <c r="AA531">
        <f>IF(OR($Q531="",$Z531=""),"",IF(AND($Z531&gt;0,$Z531&gt;=$Q531),"yes","below the line"))</f>
        <v/>
      </c>
      <c r="AB531">
        <f>IF($V531,IF($M531="","",$M531),IF($K531="","",$K531))</f>
        <v/>
      </c>
      <c r="AC531">
        <f>IF($V531,IF($N531="","",$N531),IF($L531="","",$L531))</f>
        <v/>
      </c>
      <c r="AD531">
        <f>$Y531</f>
        <v/>
      </c>
      <c r="AE531">
        <f>IF($V531,IF($S531="","",$S531),IF($R531="","",$R531))</f>
        <v/>
      </c>
      <c r="AF531">
        <f>IF($V531,IF($U531="","",$U531),IF($T531="","",$T531))</f>
        <v/>
      </c>
      <c r="AG531">
        <f>IF($V531,IF($O531="","",$O531),IF($P531="","",$P531))</f>
        <v/>
      </c>
      <c r="AH531" t="n">
        <v>0.03937026992191468</v>
      </c>
      <c r="AI531">
        <f>IF($Y531="worse","Yes",IF($Y531="worse, not significant","Not sure",IF(OR($Y531="too few losses to test",$Y531="too few loans to test"),"Too few losses",IF($Y531="","","No"))))</f>
        <v/>
      </c>
      <c r="AJ531">
        <f>IF($AA531="yes","Yes",IF($AA531="","","No"))</f>
        <v/>
      </c>
    </row>
    <row r="532">
      <c r="A532" t="inlineStr">
        <is>
          <t>three-way</t>
        </is>
      </c>
      <c r="B532" t="inlineStr">
        <is>
          <t>FICO x CHANNEL / SYS_FLAG</t>
        </is>
      </c>
      <c r="C532" t="inlineStr">
        <is>
          <t>(marked missing)</t>
        </is>
      </c>
      <c r="D532" t="inlineStr">
        <is>
          <t>Online / SYS_FLAG Y</t>
        </is>
      </c>
      <c r="E532" t="inlineStr">
        <is>
          <t>ranr_rate</t>
        </is>
      </c>
      <c r="F532" t="inlineStr">
        <is>
          <t>Profit after losses: RANR per booked dollar</t>
        </is>
      </c>
      <c r="G532" t="n">
        <v>25</v>
      </c>
      <c r="H532" t="n">
        <v>869025.03</v>
      </c>
      <c r="I532" t="b">
        <v>0</v>
      </c>
      <c r="J532" t="b">
        <v>0</v>
      </c>
      <c r="K532" t="n">
        <v>0.01627529744909215</v>
      </c>
      <c r="L532" t="n">
        <v>0.8158280946098938</v>
      </c>
      <c r="M532" t="n">
        <v>-0.01311842904157465</v>
      </c>
      <c r="N532" t="n">
        <v>0.9530046995300471</v>
      </c>
      <c r="O532" t="n">
        <v>-14143.64085395623</v>
      </c>
      <c r="P532" t="n">
        <v>11400.24319140728</v>
      </c>
      <c r="Q532">
        <f>'_live'!$C$23</f>
        <v/>
      </c>
      <c r="R532" t="inlineStr">
        <is>
          <t>shuffled: 6,835 of 10,000</t>
        </is>
      </c>
      <c r="S532" t="inlineStr">
        <is>
          <t>shuffled: 7,133 of 10,000</t>
        </is>
      </c>
      <c r="T532" t="n">
        <v>0.1279352438744414</v>
      </c>
      <c r="U532" t="n">
        <v>0.1573289703651082</v>
      </c>
      <c r="V532">
        <f>AND(judged_band,NOT($J532))</f>
        <v/>
      </c>
      <c r="W532">
        <f>IF($K532="","",IF(profit_kind="test",IF(OR(NOT(AND(ISNUMBER($L532),$L532&lt;significance_bar)),$K532=0),"in line",IF($K532&lt;0,"worse","better")),IF(OR($K532=0,IF(profit_kind="points",ABS($K532),ABS($K532*$H532))&lt;profit_line*(1-1E-9)),"in line",IF(AND(ISNUMBER($L532),$L532&lt;significance_bar),IF($K532&lt;0,"worse","better"),IF($K532&lt;0,"worse, not significant","better, not significant")))))</f>
        <v/>
      </c>
      <c r="X532">
        <f>IF($M532="","",IF(profit_kind="test",IF(OR(NOT(AND(ISNUMBER($N532),$N532&lt;significance_bar)),$M532=0),"in line",IF($M532&lt;0,"worse","better")),IF(OR($M532=0,IF(profit_kind="points",ABS($M532),ABS($M532*$H532))&lt;profit_line*(1-1E-9)),"in line",IF(AND(ISNUMBER($N532),$N532&lt;significance_bar),IF($M532&lt;0,"worse","better"),IF($M532&lt;0,"worse, not significant","better, not significant")))))</f>
        <v/>
      </c>
      <c r="Y532">
        <f>IF($V532,$X532,$W532)</f>
        <v/>
      </c>
      <c r="Z532">
        <f>IF($V532,IF($P532="","",$P532),IF($O532="","",$O532))</f>
        <v/>
      </c>
      <c r="AA532">
        <f>IF(OR($Q532="",$Z532=""),"",IF(AND($Z532&gt;0,$Z532&gt;=$Q532),"yes","below the line"))</f>
        <v/>
      </c>
      <c r="AB532">
        <f>IF($V532,IF($M532="","",$M532),IF($K532="","",$K532))</f>
        <v/>
      </c>
      <c r="AC532">
        <f>IF($V532,IF($N532="","",$N532),IF($L532="","",$L532))</f>
        <v/>
      </c>
      <c r="AD532">
        <f>IF($Y532="","",IF($Y532="in line",IF(profit_kind="test",IF(ROUND($AB532*100,2)=0,"0.00",TEXT($AB532*100,"+0.00;-0.00"))&amp;" points against "&amp;IF($V532,"its band","the book")&amp;", "&amp;IF($AC532="","not tested","not significant"),IF(profit_kind="points","within "&amp;TEXT(profit_line*100,"0.00")&amp;" points of "&amp;IF($V532,"its band","the book")&amp;" ("&amp;IF(ROUND($AB532*100,2)=0,"0.00",TEXT($AB532*100,"+0.00;-0.00"))&amp;")","within $"&amp;TEXT(profit_line,"#,##0")&amp;" of "&amp;IF($V532,"its band","the book")&amp;" ("&amp;IF(ROUND($AB532*100,2)=0,"0.00",TEXT($AB532*100,"+0.00;-0.00"))&amp;" points)")),IF(LEFT($Y532,5)="worse","short of ","ahead of ")&amp;IF($V532,"its band","the book")&amp;" by "&amp;TEXT(ABS($AB532)*100,"0.00")&amp;" points"&amp;IF($Z532="",""," ($"&amp;TEXT(ABS($Z532),"#,##0")&amp;")")&amp;IF(RIGHT($Y532,15)="not significant"," (not significant)","")))</f>
        <v/>
      </c>
      <c r="AE532">
        <f>IF($V532,IF($S532="","",$S532),IF($R532="","",$R532))</f>
        <v/>
      </c>
      <c r="AF532">
        <f>IF($V532,IF($U532="","",$U532),IF($T532="","",$T532))</f>
        <v/>
      </c>
      <c r="AG532">
        <f>IF($V532,IF($O532="","",$O532),IF($P532="","",$P532))</f>
        <v/>
      </c>
      <c r="AH532" t="n">
        <v>0.1442105413235336</v>
      </c>
      <c r="AI532">
        <f>IF($Y532="worse","Yes",IF($Y532="worse, not significant","Not sure",IF(OR($Y532="too few losses to test",$Y532="too few loans to test"),"Too few losses",IF($Y532="","","No"))))</f>
        <v/>
      </c>
      <c r="AJ532">
        <f>IF($AA532="yes","Yes",IF($AA532="","","No"))</f>
        <v/>
      </c>
    </row>
    <row r="533">
      <c r="A533" t="inlineStr">
        <is>
          <t>three-way</t>
        </is>
      </c>
      <c r="B533" t="inlineStr">
        <is>
          <t>FICO x CHANNEL / SYS_FLAG</t>
        </is>
      </c>
      <c r="C533" t="inlineStr">
        <is>
          <t>(marked missing)</t>
        </is>
      </c>
      <c r="D533" t="inlineStr">
        <is>
          <t>Online / SYS_FLAG Y</t>
        </is>
      </c>
      <c r="E533" t="inlineStr">
        <is>
          <t>contribution_rate</t>
        </is>
      </c>
      <c r="F533" t="inlineStr">
        <is>
          <t>Contribution before losses per booked dollar</t>
        </is>
      </c>
      <c r="G533" t="n">
        <v>25</v>
      </c>
      <c r="H533" t="n">
        <v>869025.03</v>
      </c>
      <c r="I533" t="b">
        <v>0</v>
      </c>
      <c r="J533" t="b">
        <v>0</v>
      </c>
      <c r="K533" t="n">
        <v>0.0140356266394128</v>
      </c>
      <c r="L533" t="n">
        <v>0.660859628322882</v>
      </c>
      <c r="M533" t="n">
        <v>0.00346369477187583</v>
      </c>
      <c r="N533" t="n">
        <v>0.9626037396260373</v>
      </c>
      <c r="O533" t="n">
        <v>-12197.3108613845</v>
      </c>
      <c r="P533" t="n">
        <v>-3010.037453040219</v>
      </c>
      <c r="Q533">
        <f>'_live'!$C$24</f>
        <v/>
      </c>
      <c r="R533" t="inlineStr">
        <is>
          <t>shuffled: 6,092 of 10,000</t>
        </is>
      </c>
      <c r="S533" t="inlineStr">
        <is>
          <t>shuffled: 9,049 of 10,000</t>
        </is>
      </c>
      <c r="T533" t="n">
        <v>0.1695451846060354</v>
      </c>
      <c r="U533" t="n">
        <v>0.1801171164735724</v>
      </c>
      <c r="V533">
        <f>AND(judged_band,NOT($J533))</f>
        <v/>
      </c>
      <c r="W533">
        <f>IF($K533="","",IF(profit_kind="test",IF(OR(NOT(AND(ISNUMBER($L533),$L533&lt;significance_bar)),$K533=0),"in line",IF($K533&lt;0,"worse","better")),IF(OR($K533=0,IF(profit_kind="points",ABS($K533),ABS($K533*$H533))&lt;profit_line*(1-1E-9)),"in line",IF(AND(ISNUMBER($L533),$L533&lt;significance_bar),IF($K533&lt;0,"worse","better"),IF($K533&lt;0,"worse, not significant","better, not significant")))))</f>
        <v/>
      </c>
      <c r="X533">
        <f>IF($M533="","",IF(profit_kind="test",IF(OR(NOT(AND(ISNUMBER($N533),$N533&lt;significance_bar)),$M533=0),"in line",IF($M533&lt;0,"worse","better")),IF(OR($M533=0,IF(profit_kind="points",ABS($M533),ABS($M533*$H533))&lt;profit_line*(1-1E-9)),"in line",IF(AND(ISNUMBER($N533),$N533&lt;significance_bar),IF($M533&lt;0,"worse","better"),IF($M533&lt;0,"worse, not significant","better, not significant")))))</f>
        <v/>
      </c>
      <c r="Y533">
        <f>IF($V533,$X533,$W533)</f>
        <v/>
      </c>
      <c r="Z533">
        <f>IF($V533,IF($P533="","",$P533),IF($O533="","",$O533))</f>
        <v/>
      </c>
      <c r="AA533">
        <f>IF(OR($Q533="",$Z533=""),"",IF(AND($Z533&gt;0,$Z533&gt;=$Q533),"yes","below the line"))</f>
        <v/>
      </c>
      <c r="AB533">
        <f>IF($V533,IF($M533="","",$M533),IF($K533="","",$K533))</f>
        <v/>
      </c>
      <c r="AC533">
        <f>IF($V533,IF($N533="","",$N533),IF($L533="","",$L533))</f>
        <v/>
      </c>
      <c r="AD533">
        <f>IF($Y533="","",IF($Y533="in line",IF(profit_kind="test",IF(ROUND($AB533*100,2)=0,"0.00",TEXT($AB533*100,"+0.00;-0.00"))&amp;" points against "&amp;IF($V533,"its band","the book")&amp;", "&amp;IF($AC533="","not tested","not significant"),IF(profit_kind="points","within "&amp;TEXT(profit_line*100,"0.00")&amp;" points of "&amp;IF($V533,"its band","the book")&amp;" ("&amp;IF(ROUND($AB533*100,2)=0,"0.00",TEXT($AB533*100,"+0.00;-0.00"))&amp;")","within $"&amp;TEXT(profit_line,"#,##0")&amp;" of "&amp;IF($V533,"its band","the book")&amp;" ("&amp;IF(ROUND($AB533*100,2)=0,"0.00",TEXT($AB533*100,"+0.00;-0.00"))&amp;" points)")),IF(LEFT($Y533,5)="worse","short of ","ahead of ")&amp;IF($V533,"its band","the book")&amp;" by "&amp;TEXT(ABS($AB533)*100,"0.00")&amp;" points"&amp;IF($Z533="",""," ($"&amp;TEXT(ABS($Z533),"#,##0")&amp;")")&amp;IF(RIGHT($Y533,15)="not significant"," (not significant)","")))</f>
        <v/>
      </c>
      <c r="AE533">
        <f>IF($V533,IF($S533="","",$S533),IF($R533="","",$R533))</f>
        <v/>
      </c>
      <c r="AF533">
        <f>IF($V533,IF($U533="","",$U533),IF($T533="","",$T533))</f>
        <v/>
      </c>
      <c r="AG533">
        <f>IF($V533,IF($O533="","",$O533),IF($P533="","",$P533))</f>
        <v/>
      </c>
      <c r="AH533" t="n">
        <v>0.1835808112454482</v>
      </c>
      <c r="AI533">
        <f>IF($Y533="worse","Yes",IF($Y533="worse, not significant","Not sure",IF(OR($Y533="too few losses to test",$Y533="too few loans to test"),"Too few losses",IF($Y533="","","No"))))</f>
        <v/>
      </c>
      <c r="AJ533">
        <f>IF($AA533="yes","Yes",IF($AA533="","","No"))</f>
        <v/>
      </c>
    </row>
    <row r="534">
      <c r="A534" t="inlineStr">
        <is>
          <t>three-way</t>
        </is>
      </c>
      <c r="B534" t="inlineStr">
        <is>
          <t>FICO x CHANNEL / SYS_FLAG</t>
        </is>
      </c>
      <c r="C534" t="inlineStr">
        <is>
          <t>746 - 921</t>
        </is>
      </c>
      <c r="D534" t="inlineStr">
        <is>
          <t>Branch / SYS_FLAG N</t>
        </is>
      </c>
      <c r="E534" t="inlineStr">
        <is>
          <t>outcome_loans</t>
        </is>
      </c>
      <c r="F534" t="inlineStr">
        <is>
          <t>Outcome, share of loans</t>
        </is>
      </c>
      <c r="G534" t="n">
        <v>279</v>
      </c>
      <c r="H534" t="n">
        <v>279</v>
      </c>
      <c r="I534" t="b">
        <v>1</v>
      </c>
      <c r="J534" t="b">
        <v>0</v>
      </c>
      <c r="K534" t="n">
        <v>0.4082496033844527</v>
      </c>
      <c r="M534" t="n">
        <v>0.7863664029214851</v>
      </c>
      <c r="O534" t="n">
        <v>-13.04533678756477</v>
      </c>
      <c r="P534" t="n">
        <v>-2.445046439628484</v>
      </c>
      <c r="Q534">
        <f>'_live'!$C$20</f>
        <v/>
      </c>
      <c r="T534" t="n">
        <v>0.07901554404145078</v>
      </c>
      <c r="U534" t="n">
        <v>0.04102167182662539</v>
      </c>
      <c r="V534">
        <f>AND(judged_band,NOT($J534))</f>
        <v/>
      </c>
      <c r="W534">
        <f>IF($K534="","",IF($I534,"too few losses to test",IF(AND($K534&gt;better_at,$K534&lt;worse_at),"in line",IF($K534&gt;=worse_at,IF(AND(ISNUMBER($L534),$L534&lt;significance_bar),"worse","worse, not significant"),IF(AND(ISNUMBER($L534),$L534&lt;significance_bar),"better","better, not significant")))))</f>
        <v/>
      </c>
      <c r="X534">
        <f>IF($M534="","",IF($I534,"too few losses to test",IF(AND($M534&gt;better_at,$M534&lt;worse_at),"in line",IF($M534&gt;=worse_at,IF(AND(ISNUMBER($N534),$N534&lt;significance_bar),"worse","worse, not significant"),IF(AND(ISNUMBER($N534),$N534&lt;significance_bar),"better","better, not significant")))))</f>
        <v/>
      </c>
      <c r="Y534">
        <f>IF($V534,$X534,$W534)</f>
        <v/>
      </c>
      <c r="Z534">
        <f>IF($V534,IF($P534="","",$P534),IF($O534="","",$O534))</f>
        <v/>
      </c>
      <c r="AA534">
        <f>IF(OR($Q534="",$Z534=""),"",IF(AND($Z534&gt;0,$Z534&gt;=$Q534),"yes","below the line"))</f>
        <v/>
      </c>
      <c r="AB534">
        <f>IF($V534,IF($M534="","",$M534),IF($K534="","",$K534))</f>
        <v/>
      </c>
      <c r="AC534">
        <f>IF($V534,IF($N534="","",$N534),IF($L534="","",$L534))</f>
        <v/>
      </c>
      <c r="AD534">
        <f>$Y534</f>
        <v/>
      </c>
      <c r="AE534">
        <f>IF($V534,IF($S534="","",$S534),IF($R534="","",$R534))</f>
        <v/>
      </c>
      <c r="AF534">
        <f>IF($V534,IF($U534="","",$U534),IF($T534="","",$T534))</f>
        <v/>
      </c>
      <c r="AG534">
        <f>IF($V534,IF($O534="","",$O534),IF($P534="","",$P534))</f>
        <v/>
      </c>
      <c r="AH534" t="n">
        <v>0.03225806451612903</v>
      </c>
      <c r="AI534">
        <f>IF($Y534="worse","Yes",IF($Y534="worse, not significant","Not sure",IF(OR($Y534="too few losses to test",$Y534="too few loans to test"),"Too few losses",IF($Y534="","","No"))))</f>
        <v/>
      </c>
      <c r="AJ534">
        <f>IF($AA534="yes","Yes",IF($AA534="","","No"))</f>
        <v/>
      </c>
    </row>
    <row r="535">
      <c r="A535" t="inlineStr">
        <is>
          <t>three-way</t>
        </is>
      </c>
      <c r="B535" t="inlineStr">
        <is>
          <t>FICO x CHANNEL / SYS_FLAG</t>
        </is>
      </c>
      <c r="C535" t="inlineStr">
        <is>
          <t>746 - 921</t>
        </is>
      </c>
      <c r="D535" t="inlineStr">
        <is>
          <t>Branch / SYS_FLAG N</t>
        </is>
      </c>
      <c r="E535" t="inlineStr">
        <is>
          <t>outcome_booked</t>
        </is>
      </c>
      <c r="F535" t="inlineStr">
        <is>
          <t>Outcome, share of booked dollars</t>
        </is>
      </c>
      <c r="G535" t="n">
        <v>279</v>
      </c>
      <c r="H535" t="n">
        <v>9003882.69999999</v>
      </c>
      <c r="I535" t="b">
        <v>1</v>
      </c>
      <c r="J535" t="b">
        <v>0</v>
      </c>
      <c r="K535" t="n">
        <v>0.425764234305133</v>
      </c>
      <c r="M535" t="n">
        <v>0.8608402711941674</v>
      </c>
      <c r="O535" t="n">
        <v>-394802.4763213012</v>
      </c>
      <c r="P535" t="n">
        <v>-47320.55219670787</v>
      </c>
      <c r="Q535">
        <f>'_live'!$C$21</f>
        <v/>
      </c>
      <c r="T535" t="n">
        <v>0.07635892416960319</v>
      </c>
      <c r="U535" t="n">
        <v>0.03776647070232359</v>
      </c>
      <c r="V535">
        <f>AND(judged_band,NOT($J535))</f>
        <v/>
      </c>
      <c r="W535">
        <f>IF($K535="","",IF($I535,"too few losses to test",IF(AND($K535&gt;better_at,$K535&lt;worse_at),"in line",IF($K535&gt;=worse_at,IF(AND(ISNUMBER($L535),$L535&lt;significance_bar),"worse","worse, not significant"),IF(AND(ISNUMBER($L535),$L535&lt;significance_bar),"better","better, not significant")))))</f>
        <v/>
      </c>
      <c r="X535">
        <f>IF($M535="","",IF($I535,"too few losses to test",IF(AND($M535&gt;better_at,$M535&lt;worse_at),"in line",IF($M535&gt;=worse_at,IF(AND(ISNUMBER($N535),$N535&lt;significance_bar),"worse","worse, not significant"),IF(AND(ISNUMBER($N535),$N535&lt;significance_bar),"better","better, not significant")))))</f>
        <v/>
      </c>
      <c r="Y535">
        <f>IF($V535,$X535,$W535)</f>
        <v/>
      </c>
      <c r="Z535">
        <f>IF($V535,IF($P535="","",$P535),IF($O535="","",$O535))</f>
        <v/>
      </c>
      <c r="AA535">
        <f>IF(OR($Q535="",$Z535=""),"",IF(AND($Z535&gt;0,$Z535&gt;=$Q535),"yes","below the line"))</f>
        <v/>
      </c>
      <c r="AB535">
        <f>IF($V535,IF($M535="","",$M535),IF($K535="","",$K535))</f>
        <v/>
      </c>
      <c r="AC535">
        <f>IF($V535,IF($N535="","",$N535),IF($L535="","",$L535))</f>
        <v/>
      </c>
      <c r="AD535">
        <f>$Y535</f>
        <v/>
      </c>
      <c r="AE535">
        <f>IF($V535,IF($S535="","",$S535),IF($R535="","",$R535))</f>
        <v/>
      </c>
      <c r="AF535">
        <f>IF($V535,IF($U535="","",$U535),IF($T535="","",$T535))</f>
        <v/>
      </c>
      <c r="AG535">
        <f>IF($V535,IF($O535="","",$O535),IF($P535="","",$P535))</f>
        <v/>
      </c>
      <c r="AH535" t="n">
        <v>0.03251089888143482</v>
      </c>
      <c r="AI535">
        <f>IF($Y535="worse","Yes",IF($Y535="worse, not significant","Not sure",IF(OR($Y535="too few losses to test",$Y535="too few loans to test"),"Too few losses",IF($Y535="","","No"))))</f>
        <v/>
      </c>
      <c r="AJ535">
        <f>IF($AA535="yes","Yes",IF($AA535="","","No"))</f>
        <v/>
      </c>
    </row>
    <row r="536">
      <c r="A536" t="inlineStr">
        <is>
          <t>three-way</t>
        </is>
      </c>
      <c r="B536" t="inlineStr">
        <is>
          <t>FICO x CHANNEL / SYS_FLAG</t>
        </is>
      </c>
      <c r="C536" t="inlineStr">
        <is>
          <t>746 - 921</t>
        </is>
      </c>
      <c r="D536" t="inlineStr">
        <is>
          <t>Branch / SYS_FLAG N</t>
        </is>
      </c>
      <c r="E536" t="inlineStr">
        <is>
          <t>gco_rate</t>
        </is>
      </c>
      <c r="F536" t="inlineStr">
        <is>
          <t>GCO per booked dollar</t>
        </is>
      </c>
      <c r="G536" t="n">
        <v>279</v>
      </c>
      <c r="H536" t="n">
        <v>9003882.69999999</v>
      </c>
      <c r="I536" t="b">
        <v>1</v>
      </c>
      <c r="J536" t="b">
        <v>0</v>
      </c>
      <c r="K536" t="n">
        <v>0.4880157612052794</v>
      </c>
      <c r="M536" t="n">
        <v>1.080450199624379</v>
      </c>
      <c r="O536" t="n">
        <v>-195282.7157154465</v>
      </c>
      <c r="P536" t="n">
        <v>13860.00652728259</v>
      </c>
      <c r="Q536">
        <f>'_live'!$C$22</f>
        <v/>
      </c>
      <c r="T536" t="n">
        <v>0.0423620907139813</v>
      </c>
      <c r="U536" t="n">
        <v>0.01913403130770657</v>
      </c>
      <c r="V536">
        <f>AND(judged_band,NOT($J536))</f>
        <v/>
      </c>
      <c r="W536">
        <f>IF($K536="","",IF($I536,"too few losses to test",IF(AND($K536&gt;better_at,$K536&lt;worse_at),"in line",IF($K536&gt;=worse_at,IF(AND(ISNUMBER($L536),$L536&lt;significance_bar),"worse","worse, not significant"),IF(AND(ISNUMBER($L536),$L536&lt;significance_bar),"better","better, not significant")))))</f>
        <v/>
      </c>
      <c r="X536">
        <f>IF($M536="","",IF($I536,"too few losses to test",IF(AND($M536&gt;better_at,$M536&lt;worse_at),"in line",IF($M536&gt;=worse_at,IF(AND(ISNUMBER($N536),$N536&lt;significance_bar),"worse","worse, not significant"),IF(AND(ISNUMBER($N536),$N536&lt;significance_bar),"better","better, not significant")))))</f>
        <v/>
      </c>
      <c r="Y536">
        <f>IF($V536,$X536,$W536)</f>
        <v/>
      </c>
      <c r="Z536">
        <f>IF($V536,IF($P536="","",$P536),IF($O536="","",$O536))</f>
        <v/>
      </c>
      <c r="AA536">
        <f>IF(OR($Q536="",$Z536=""),"",IF(AND($Z536&gt;0,$Z536&gt;=$Q536),"yes","below the line"))</f>
        <v/>
      </c>
      <c r="AB536">
        <f>IF($V536,IF($M536="","",$M536),IF($K536="","",$K536))</f>
        <v/>
      </c>
      <c r="AC536">
        <f>IF($V536,IF($N536="","",$N536),IF($L536="","",$L536))</f>
        <v/>
      </c>
      <c r="AD536">
        <f>$Y536</f>
        <v/>
      </c>
      <c r="AE536">
        <f>IF($V536,IF($S536="","",$S536),IF($R536="","",$R536))</f>
        <v/>
      </c>
      <c r="AF536">
        <f>IF($V536,IF($U536="","",$U536),IF($T536="","",$T536))</f>
        <v/>
      </c>
      <c r="AG536">
        <f>IF($V536,IF($O536="","",$O536),IF($P536="","",$P536))</f>
        <v/>
      </c>
      <c r="AH536" t="n">
        <v>0.02067336794603068</v>
      </c>
      <c r="AI536">
        <f>IF($Y536="worse","Yes",IF($Y536="worse, not significant","Not sure",IF(OR($Y536="too few losses to test",$Y536="too few loans to test"),"Too few losses",IF($Y536="","","No"))))</f>
        <v/>
      </c>
      <c r="AJ536">
        <f>IF($AA536="yes","Yes",IF($AA536="","","No"))</f>
        <v/>
      </c>
    </row>
    <row r="537">
      <c r="A537" t="inlineStr">
        <is>
          <t>three-way</t>
        </is>
      </c>
      <c r="B537" t="inlineStr">
        <is>
          <t>FICO x CHANNEL / SYS_FLAG</t>
        </is>
      </c>
      <c r="C537" t="inlineStr">
        <is>
          <t>746 - 921</t>
        </is>
      </c>
      <c r="D537" t="inlineStr">
        <is>
          <t>Branch / SYS_FLAG N</t>
        </is>
      </c>
      <c r="E537" t="inlineStr">
        <is>
          <t>ranr_rate</t>
        </is>
      </c>
      <c r="F537" t="inlineStr">
        <is>
          <t>Profit after losses: RANR per booked dollar</t>
        </is>
      </c>
      <c r="G537" t="n">
        <v>279</v>
      </c>
      <c r="H537" t="n">
        <v>9003882.69999999</v>
      </c>
      <c r="I537" t="b">
        <v>0</v>
      </c>
      <c r="J537" t="b">
        <v>0</v>
      </c>
      <c r="K537" t="n">
        <v>-0.08348594199915171</v>
      </c>
      <c r="L537" t="n">
        <v>0.0002845869259227924</v>
      </c>
      <c r="M537" t="n">
        <v>0.0008195148250460735</v>
      </c>
      <c r="N537" t="n">
        <v>0.9953004699530046</v>
      </c>
      <c r="O537" t="n">
        <v>751697.6288593648</v>
      </c>
      <c r="P537" t="n">
        <v>-7378.815355625818</v>
      </c>
      <c r="Q537">
        <f>'_live'!$C$23</f>
        <v/>
      </c>
      <c r="R537" t="inlineStr">
        <is>
          <t>shuffled: 0 of 10,000</t>
        </is>
      </c>
      <c r="S537" t="inlineStr">
        <is>
          <t>shuffled: 9,148 of 10,000</t>
        </is>
      </c>
      <c r="T537" t="n">
        <v>0.1309028336030373</v>
      </c>
      <c r="U537" t="n">
        <v>0.04659737677883947</v>
      </c>
      <c r="V537">
        <f>AND(judged_band,NOT($J537))</f>
        <v/>
      </c>
      <c r="W537">
        <f>IF($K537="","",IF(profit_kind="test",IF(OR(NOT(AND(ISNUMBER($L537),$L537&lt;significance_bar)),$K537=0),"in line",IF($K537&lt;0,"worse","better")),IF(OR($K537=0,IF(profit_kind="points",ABS($K537),ABS($K537*$H537))&lt;profit_line*(1-1E-9)),"in line",IF(AND(ISNUMBER($L537),$L537&lt;significance_bar),IF($K537&lt;0,"worse","better"),IF($K537&lt;0,"worse, not significant","better, not significant")))))</f>
        <v/>
      </c>
      <c r="X537">
        <f>IF($M537="","",IF(profit_kind="test",IF(OR(NOT(AND(ISNUMBER($N537),$N537&lt;significance_bar)),$M537=0),"in line",IF($M537&lt;0,"worse","better")),IF(OR($M537=0,IF(profit_kind="points",ABS($M537),ABS($M537*$H537))&lt;profit_line*(1-1E-9)),"in line",IF(AND(ISNUMBER($N537),$N537&lt;significance_bar),IF($M537&lt;0,"worse","better"),IF($M537&lt;0,"worse, not significant","better, not significant")))))</f>
        <v/>
      </c>
      <c r="Y537">
        <f>IF($V537,$X537,$W537)</f>
        <v/>
      </c>
      <c r="Z537">
        <f>IF($V537,IF($P537="","",$P537),IF($O537="","",$O537))</f>
        <v/>
      </c>
      <c r="AA537">
        <f>IF(OR($Q537="",$Z537=""),"",IF(AND($Z537&gt;0,$Z537&gt;=$Q537),"yes","below the line"))</f>
        <v/>
      </c>
      <c r="AB537">
        <f>IF($V537,IF($M537="","",$M537),IF($K537="","",$K537))</f>
        <v/>
      </c>
      <c r="AC537">
        <f>IF($V537,IF($N537="","",$N537),IF($L537="","",$L537))</f>
        <v/>
      </c>
      <c r="AD537">
        <f>IF($Y537="","",IF($Y537="in line",IF(profit_kind="test",IF(ROUND($AB537*100,2)=0,"0.00",TEXT($AB537*100,"+0.00;-0.00"))&amp;" points against "&amp;IF($V537,"its band","the book")&amp;", "&amp;IF($AC537="","not tested","not significant"),IF(profit_kind="points","within "&amp;TEXT(profit_line*100,"0.00")&amp;" points of "&amp;IF($V537,"its band","the book")&amp;" ("&amp;IF(ROUND($AB537*100,2)=0,"0.00",TEXT($AB537*100,"+0.00;-0.00"))&amp;")","within $"&amp;TEXT(profit_line,"#,##0")&amp;" of "&amp;IF($V537,"its band","the book")&amp;" ("&amp;IF(ROUND($AB537*100,2)=0,"0.00",TEXT($AB537*100,"+0.00;-0.00"))&amp;" points)")),IF(LEFT($Y537,5)="worse","short of ","ahead of ")&amp;IF($V537,"its band","the book")&amp;" by "&amp;TEXT(ABS($AB537)*100,"0.00")&amp;" points"&amp;IF($Z537="",""," ($"&amp;TEXT(ABS($Z537),"#,##0")&amp;")")&amp;IF(RIGHT($Y537,15)="not significant"," (not significant)","")))</f>
        <v/>
      </c>
      <c r="AE537">
        <f>IF($V537,IF($S537="","",$S537),IF($R537="","",$R537))</f>
        <v/>
      </c>
      <c r="AF537">
        <f>IF($V537,IF($U537="","",$U537),IF($T537="","",$T537))</f>
        <v/>
      </c>
      <c r="AG537">
        <f>IF($V537,IF($O537="","",$O537),IF($P537="","",$P537))</f>
        <v/>
      </c>
      <c r="AH537" t="n">
        <v>0.04741689160388554</v>
      </c>
      <c r="AI537">
        <f>IF($Y537="worse","Yes",IF($Y537="worse, not significant","Not sure",IF(OR($Y537="too few losses to test",$Y537="too few loans to test"),"Too few losses",IF($Y537="","","No"))))</f>
        <v/>
      </c>
      <c r="AJ537">
        <f>IF($AA537="yes","Yes",IF($AA537="","","No"))</f>
        <v/>
      </c>
    </row>
    <row r="538">
      <c r="A538" t="inlineStr">
        <is>
          <t>three-way</t>
        </is>
      </c>
      <c r="B538" t="inlineStr">
        <is>
          <t>FICO x CHANNEL / SYS_FLAG</t>
        </is>
      </c>
      <c r="C538" t="inlineStr">
        <is>
          <t>746 - 921</t>
        </is>
      </c>
      <c r="D538" t="inlineStr">
        <is>
          <t>Branch / SYS_FLAG N</t>
        </is>
      </c>
      <c r="E538" t="inlineStr">
        <is>
          <t>contribution_rate</t>
        </is>
      </c>
      <c r="F538" t="inlineStr">
        <is>
          <t>Contribution before losses per booked dollar</t>
        </is>
      </c>
      <c r="G538" t="n">
        <v>279</v>
      </c>
      <c r="H538" t="n">
        <v>9003882.69999999</v>
      </c>
      <c r="I538" t="b">
        <v>0</v>
      </c>
      <c r="J538" t="b">
        <v>0</v>
      </c>
      <c r="K538" t="n">
        <v>-0.1051721663192931</v>
      </c>
      <c r="L538" t="n">
        <v>0.000184981501849815</v>
      </c>
      <c r="M538" t="n">
        <v>0.002358851463370185</v>
      </c>
      <c r="N538" t="n">
        <v>0.5160983901609839</v>
      </c>
      <c r="O538" t="n">
        <v>946957.8488438051</v>
      </c>
      <c r="P538" t="n">
        <v>-21238.82188290847</v>
      </c>
      <c r="Q538">
        <f>'_live'!$C$24</f>
        <v/>
      </c>
      <c r="R538" t="inlineStr">
        <is>
          <t>shuffled: 0 of 10,000</t>
        </is>
      </c>
      <c r="S538" t="inlineStr">
        <is>
          <t>shuffled: 2,951 of 10,000</t>
        </is>
      </c>
      <c r="T538" t="n">
        <v>0.1732624258692094</v>
      </c>
      <c r="U538" t="n">
        <v>0.06573140808654604</v>
      </c>
      <c r="V538">
        <f>AND(judged_band,NOT($J538))</f>
        <v/>
      </c>
      <c r="W538">
        <f>IF($K538="","",IF(profit_kind="test",IF(OR(NOT(AND(ISNUMBER($L538),$L538&lt;significance_bar)),$K538=0),"in line",IF($K538&lt;0,"worse","better")),IF(OR($K538=0,IF(profit_kind="points",ABS($K538),ABS($K538*$H538))&lt;profit_line*(1-1E-9)),"in line",IF(AND(ISNUMBER($L538),$L538&lt;significance_bar),IF($K538&lt;0,"worse","better"),IF($K538&lt;0,"worse, not significant","better, not significant")))))</f>
        <v/>
      </c>
      <c r="X538">
        <f>IF($M538="","",IF(profit_kind="test",IF(OR(NOT(AND(ISNUMBER($N538),$N538&lt;significance_bar)),$M538=0),"in line",IF($M538&lt;0,"worse","better")),IF(OR($M538=0,IF(profit_kind="points",ABS($M538),ABS($M538*$H538))&lt;profit_line*(1-1E-9)),"in line",IF(AND(ISNUMBER($N538),$N538&lt;significance_bar),IF($M538&lt;0,"worse","better"),IF($M538&lt;0,"worse, not significant","better, not significant")))))</f>
        <v/>
      </c>
      <c r="Y538">
        <f>IF($V538,$X538,$W538)</f>
        <v/>
      </c>
      <c r="Z538">
        <f>IF($V538,IF($P538="","",$P538),IF($O538="","",$O538))</f>
        <v/>
      </c>
      <c r="AA538">
        <f>IF(OR($Q538="",$Z538=""),"",IF(AND($Z538&gt;0,$Z538&gt;=$Q538),"yes","below the line"))</f>
        <v/>
      </c>
      <c r="AB538">
        <f>IF($V538,IF($M538="","",$M538),IF($K538="","",$K538))</f>
        <v/>
      </c>
      <c r="AC538">
        <f>IF($V538,IF($N538="","",$N538),IF($L538="","",$L538))</f>
        <v/>
      </c>
      <c r="AD538">
        <f>IF($Y538="","",IF($Y538="in line",IF(profit_kind="test",IF(ROUND($AB538*100,2)=0,"0.00",TEXT($AB538*100,"+0.00;-0.00"))&amp;" points against "&amp;IF($V538,"its band","the book")&amp;", "&amp;IF($AC538="","not tested","not significant"),IF(profit_kind="points","within "&amp;TEXT(profit_line*100,"0.00")&amp;" points of "&amp;IF($V538,"its band","the book")&amp;" ("&amp;IF(ROUND($AB538*100,2)=0,"0.00",TEXT($AB538*100,"+0.00;-0.00"))&amp;")","within $"&amp;TEXT(profit_line,"#,##0")&amp;" of "&amp;IF($V538,"its band","the book")&amp;" ("&amp;IF(ROUND($AB538*100,2)=0,"0.00",TEXT($AB538*100,"+0.00;-0.00"))&amp;" points)")),IF(LEFT($Y538,5)="worse","short of ","ahead of ")&amp;IF($V538,"its band","the book")&amp;" by "&amp;TEXT(ABS($AB538)*100,"0.00")&amp;" points"&amp;IF($Z538="",""," ($"&amp;TEXT(ABS($Z538),"#,##0")&amp;")")&amp;IF(RIGHT($Y538,15)="not significant"," (not significant)","")))</f>
        <v/>
      </c>
      <c r="AE538">
        <f>IF($V538,IF($S538="","",$S538),IF($R538="","",$R538))</f>
        <v/>
      </c>
      <c r="AF538">
        <f>IF($V538,IF($U538="","",$U538),IF($T538="","",$T538))</f>
        <v/>
      </c>
      <c r="AG538">
        <f>IF($V538,IF($O538="","",$O538),IF($P538="","",$P538))</f>
        <v/>
      </c>
      <c r="AH538" t="n">
        <v>0.06809025954991622</v>
      </c>
      <c r="AI538">
        <f>IF($Y538="worse","Yes",IF($Y538="worse, not significant","Not sure",IF(OR($Y538="too few losses to test",$Y538="too few loans to test"),"Too few losses",IF($Y538="","","No"))))</f>
        <v/>
      </c>
      <c r="AJ538">
        <f>IF($AA538="yes","Yes",IF($AA538="","","No"))</f>
        <v/>
      </c>
    </row>
    <row r="539">
      <c r="A539" t="inlineStr">
        <is>
          <t>three-way</t>
        </is>
      </c>
      <c r="B539" t="inlineStr">
        <is>
          <t>FICO x CHANNEL / SYS_FLAG</t>
        </is>
      </c>
      <c r="C539" t="inlineStr">
        <is>
          <t>496 - 653</t>
        </is>
      </c>
      <c r="D539" t="inlineStr">
        <is>
          <t>Broker / SYS_FLAG Y</t>
        </is>
      </c>
      <c r="E539" t="inlineStr">
        <is>
          <t>outcome_loans</t>
        </is>
      </c>
      <c r="F539" t="inlineStr">
        <is>
          <t>Outcome, share of loans</t>
        </is>
      </c>
      <c r="G539" t="n">
        <v>265</v>
      </c>
      <c r="H539" t="n">
        <v>265</v>
      </c>
      <c r="I539" t="b">
        <v>0</v>
      </c>
      <c r="J539" t="b">
        <v>0</v>
      </c>
      <c r="K539" t="n">
        <v>4.207805252327974</v>
      </c>
      <c r="L539" t="n">
        <v>8.552436027091215e-40</v>
      </c>
      <c r="M539" t="n">
        <v>2.433962264150944</v>
      </c>
      <c r="N539" t="n">
        <v>1.60660262847811e-11</v>
      </c>
      <c r="O539" t="n">
        <v>59.46302042927334</v>
      </c>
      <c r="P539" t="n">
        <v>45.95348837209303</v>
      </c>
      <c r="Q539">
        <f>'_live'!$C$20</f>
        <v/>
      </c>
      <c r="R539" t="inlineStr">
        <is>
          <t>z test</t>
        </is>
      </c>
      <c r="S539" t="inlineStr">
        <is>
          <t>z test</t>
        </is>
      </c>
      <c r="T539" t="n">
        <v>0.06995086630462891</v>
      </c>
      <c r="U539" t="n">
        <v>0.1209302325581395</v>
      </c>
      <c r="V539">
        <f>AND(judged_band,NOT($J539))</f>
        <v/>
      </c>
      <c r="W539">
        <f>IF($K539="","",IF($I539,"too few losses to test",IF(AND($K539&gt;better_at,$K539&lt;worse_at),"in line",IF($K539&gt;=worse_at,IF(AND(ISNUMBER($L539),$L539&lt;significance_bar),"worse","worse, not significant"),IF(AND(ISNUMBER($L539),$L539&lt;significance_bar),"better","better, not significant")))))</f>
        <v/>
      </c>
      <c r="X539">
        <f>IF($M539="","",IF($I539,"too few losses to test",IF(AND($M539&gt;better_at,$M539&lt;worse_at),"in line",IF($M539&gt;=worse_at,IF(AND(ISNUMBER($N539),$N539&lt;significance_bar),"worse","worse, not significant"),IF(AND(ISNUMBER($N539),$N539&lt;significance_bar),"better","better, not significant")))))</f>
        <v/>
      </c>
      <c r="Y539">
        <f>IF($V539,$X539,$W539)</f>
        <v/>
      </c>
      <c r="Z539">
        <f>IF($V539,IF($P539="","",$P539),IF($O539="","",$O539))</f>
        <v/>
      </c>
      <c r="AA539">
        <f>IF(OR($Q539="",$Z539=""),"",IF(AND($Z539&gt;0,$Z539&gt;=$Q539),"yes","below the line"))</f>
        <v/>
      </c>
      <c r="AB539">
        <f>IF($V539,IF($M539="","",$M539),IF($K539="","",$K539))</f>
        <v/>
      </c>
      <c r="AC539">
        <f>IF($V539,IF($N539="","",$N539),IF($L539="","",$L539))</f>
        <v/>
      </c>
      <c r="AD539">
        <f>$Y539</f>
        <v/>
      </c>
      <c r="AE539">
        <f>IF($V539,IF($S539="","",$S539),IF($R539="","",$R539))</f>
        <v/>
      </c>
      <c r="AF539">
        <f>IF($V539,IF($U539="","",$U539),IF($T539="","",$T539))</f>
        <v/>
      </c>
      <c r="AG539">
        <f>IF($V539,IF($O539="","",$O539),IF($P539="","",$P539))</f>
        <v/>
      </c>
      <c r="AH539" t="n">
        <v>0.2943396226415094</v>
      </c>
      <c r="AI539">
        <f>IF($Y539="worse","Yes",IF($Y539="worse, not significant","Not sure",IF(OR($Y539="too few losses to test",$Y539="too few loans to test"),"Too few losses",IF($Y539="","","No"))))</f>
        <v/>
      </c>
      <c r="AJ539">
        <f>IF($AA539="yes","Yes",IF($AA539="","","No"))</f>
        <v/>
      </c>
    </row>
    <row r="540">
      <c r="A540" t="inlineStr">
        <is>
          <t>three-way</t>
        </is>
      </c>
      <c r="B540" t="inlineStr">
        <is>
          <t>FICO x CHANNEL / SYS_FLAG</t>
        </is>
      </c>
      <c r="C540" t="inlineStr">
        <is>
          <t>496 - 653</t>
        </is>
      </c>
      <c r="D540" t="inlineStr">
        <is>
          <t>Broker / SYS_FLAG Y</t>
        </is>
      </c>
      <c r="E540" t="inlineStr">
        <is>
          <t>outcome_booked</t>
        </is>
      </c>
      <c r="F540" t="inlineStr">
        <is>
          <t>Outcome, share of booked dollars</t>
        </is>
      </c>
      <c r="G540" t="n">
        <v>265</v>
      </c>
      <c r="H540" t="n">
        <v>8533011.129999999</v>
      </c>
      <c r="I540" t="b">
        <v>0</v>
      </c>
      <c r="J540" t="b">
        <v>0</v>
      </c>
      <c r="K540" t="n">
        <v>4.498018640694982</v>
      </c>
      <c r="L540" t="n">
        <v>0.00124987501249875</v>
      </c>
      <c r="M540" t="n">
        <v>2.549946120035542</v>
      </c>
      <c r="N540" t="n">
        <v>0.00124987501249875</v>
      </c>
      <c r="O540" t="n">
        <v>2001956.501148333</v>
      </c>
      <c r="P540" t="n">
        <v>1564729.842790877</v>
      </c>
      <c r="Q540">
        <f>'_live'!$C$21</f>
        <v/>
      </c>
      <c r="R540" t="inlineStr">
        <is>
          <t>shuffled: 0 of 10,000</t>
        </is>
      </c>
      <c r="S540" t="inlineStr">
        <is>
          <t>shuffled: 0 of 10,000</t>
        </is>
      </c>
      <c r="T540" t="n">
        <v>0.06707029325668612</v>
      </c>
      <c r="U540" t="n">
        <v>0.1183097269918974</v>
      </c>
      <c r="V540">
        <f>AND(judged_band,NOT($J540))</f>
        <v/>
      </c>
      <c r="W540">
        <f>IF($K540="","",IF($I540,"too few losses to test",IF(AND($K540&gt;better_at,$K540&lt;worse_at),"in line",IF($K540&gt;=worse_at,IF(AND(ISNUMBER($L540),$L540&lt;significance_bar),"worse","worse, not significant"),IF(AND(ISNUMBER($L540),$L540&lt;significance_bar),"better","better, not significant")))))</f>
        <v/>
      </c>
      <c r="X540">
        <f>IF($M540="","",IF($I540,"too few losses to test",IF(AND($M540&gt;better_at,$M540&lt;worse_at),"in line",IF($M540&gt;=worse_at,IF(AND(ISNUMBER($N540),$N540&lt;significance_bar),"worse","worse, not significant"),IF(AND(ISNUMBER($N540),$N540&lt;significance_bar),"better","better, not significant")))))</f>
        <v/>
      </c>
      <c r="Y540">
        <f>IF($V540,$X540,$W540)</f>
        <v/>
      </c>
      <c r="Z540">
        <f>IF($V540,IF($P540="","",$P540),IF($O540="","",$O540))</f>
        <v/>
      </c>
      <c r="AA540">
        <f>IF(OR($Q540="",$Z540=""),"",IF(AND($Z540&gt;0,$Z540&gt;=$Q540),"yes","below the line"))</f>
        <v/>
      </c>
      <c r="AB540">
        <f>IF($V540,IF($M540="","",$M540),IF($K540="","",$K540))</f>
        <v/>
      </c>
      <c r="AC540">
        <f>IF($V540,IF($N540="","",$N540),IF($L540="","",$L540))</f>
        <v/>
      </c>
      <c r="AD540">
        <f>$Y540</f>
        <v/>
      </c>
      <c r="AE540">
        <f>IF($V540,IF($S540="","",$S540),IF($R540="","",$R540))</f>
        <v/>
      </c>
      <c r="AF540">
        <f>IF($V540,IF($U540="","",$U540),IF($T540="","",$T540))</f>
        <v/>
      </c>
      <c r="AG540">
        <f>IF($V540,IF($O540="","",$O540),IF($P540="","",$P540))</f>
        <v/>
      </c>
      <c r="AH540" t="n">
        <v>0.3016834293054531</v>
      </c>
      <c r="AI540">
        <f>IF($Y540="worse","Yes",IF($Y540="worse, not significant","Not sure",IF(OR($Y540="too few losses to test",$Y540="too few loans to test"),"Too few losses",IF($Y540="","","No"))))</f>
        <v/>
      </c>
      <c r="AJ540">
        <f>IF($AA540="yes","Yes",IF($AA540="","","No"))</f>
        <v/>
      </c>
    </row>
    <row r="541">
      <c r="A541" t="inlineStr">
        <is>
          <t>three-way</t>
        </is>
      </c>
      <c r="B541" t="inlineStr">
        <is>
          <t>FICO x CHANNEL / SYS_FLAG</t>
        </is>
      </c>
      <c r="C541" t="inlineStr">
        <is>
          <t>496 - 653</t>
        </is>
      </c>
      <c r="D541" t="inlineStr">
        <is>
          <t>Broker / SYS_FLAG Y</t>
        </is>
      </c>
      <c r="E541" t="inlineStr">
        <is>
          <t>gco_rate</t>
        </is>
      </c>
      <c r="F541" t="inlineStr">
        <is>
          <t>GCO per booked dollar</t>
        </is>
      </c>
      <c r="G541" t="n">
        <v>265</v>
      </c>
      <c r="H541" t="n">
        <v>8533011.129999999</v>
      </c>
      <c r="I541" t="b">
        <v>0</v>
      </c>
      <c r="J541" t="b">
        <v>0</v>
      </c>
      <c r="K541" t="n">
        <v>4.453874306550174</v>
      </c>
      <c r="L541" t="n">
        <v>0.00124987501249875</v>
      </c>
      <c r="M541" t="n">
        <v>2.493214468325908</v>
      </c>
      <c r="N541" t="n">
        <v>0.00124987501249875</v>
      </c>
      <c r="O541" t="n">
        <v>1100490.59164089</v>
      </c>
      <c r="P541" t="n">
        <v>849924.4302241174</v>
      </c>
      <c r="Q541">
        <f>'_live'!$C$22</f>
        <v/>
      </c>
      <c r="R541" t="inlineStr">
        <is>
          <t>shuffled: 0 of 10,000</t>
        </is>
      </c>
      <c r="S541" t="inlineStr">
        <is>
          <t>shuffled: 0 of 10,000</t>
        </is>
      </c>
      <c r="T541" t="n">
        <v>0.03734027338121022</v>
      </c>
      <c r="U541" t="n">
        <v>0.06670460416660473</v>
      </c>
      <c r="V541">
        <f>AND(judged_band,NOT($J541))</f>
        <v/>
      </c>
      <c r="W541">
        <f>IF($K541="","",IF($I541,"too few losses to test",IF(AND($K541&gt;better_at,$K541&lt;worse_at),"in line",IF($K541&gt;=worse_at,IF(AND(ISNUMBER($L541),$L541&lt;significance_bar),"worse","worse, not significant"),IF(AND(ISNUMBER($L541),$L541&lt;significance_bar),"better","better, not significant")))))</f>
        <v/>
      </c>
      <c r="X541">
        <f>IF($M541="","",IF($I541,"too few losses to test",IF(AND($M541&gt;better_at,$M541&lt;worse_at),"in line",IF($M541&gt;=worse_at,IF(AND(ISNUMBER($N541),$N541&lt;significance_bar),"worse","worse, not significant"),IF(AND(ISNUMBER($N541),$N541&lt;significance_bar),"better","better, not significant")))))</f>
        <v/>
      </c>
      <c r="Y541">
        <f>IF($V541,$X541,$W541)</f>
        <v/>
      </c>
      <c r="Z541">
        <f>IF($V541,IF($P541="","",$P541),IF($O541="","",$O541))</f>
        <v/>
      </c>
      <c r="AA541">
        <f>IF(OR($Q541="",$Z541=""),"",IF(AND($Z541&gt;0,$Z541&gt;=$Q541),"yes","below the line"))</f>
        <v/>
      </c>
      <c r="AB541">
        <f>IF($V541,IF($M541="","",$M541),IF($K541="","",$K541))</f>
        <v/>
      </c>
      <c r="AC541">
        <f>IF($V541,IF($N541="","",$N541),IF($L541="","",$L541))</f>
        <v/>
      </c>
      <c r="AD541">
        <f>$Y541</f>
        <v/>
      </c>
      <c r="AE541">
        <f>IF($V541,IF($S541="","",$S541),IF($R541="","",$R541))</f>
        <v/>
      </c>
      <c r="AF541">
        <f>IF($V541,IF($U541="","",$U541),IF($T541="","",$T541))</f>
        <v/>
      </c>
      <c r="AG541">
        <f>IF($V541,IF($O541="","",$O541),IF($P541="","",$P541))</f>
        <v/>
      </c>
      <c r="AH541" t="n">
        <v>0.1663088842121316</v>
      </c>
      <c r="AI541">
        <f>IF($Y541="worse","Yes",IF($Y541="worse, not significant","Not sure",IF(OR($Y541="too few losses to test",$Y541="too few loans to test"),"Too few losses",IF($Y541="","","No"))))</f>
        <v/>
      </c>
      <c r="AJ541">
        <f>IF($AA541="yes","Yes",IF($AA541="","","No"))</f>
        <v/>
      </c>
    </row>
    <row r="542">
      <c r="A542" t="inlineStr">
        <is>
          <t>three-way</t>
        </is>
      </c>
      <c r="B542" t="inlineStr">
        <is>
          <t>FICO x CHANNEL / SYS_FLAG</t>
        </is>
      </c>
      <c r="C542" t="inlineStr">
        <is>
          <t>496 - 653</t>
        </is>
      </c>
      <c r="D542" t="inlineStr">
        <is>
          <t>Broker / SYS_FLAG Y</t>
        </is>
      </c>
      <c r="E542" t="inlineStr">
        <is>
          <t>ranr_rate</t>
        </is>
      </c>
      <c r="F542" t="inlineStr">
        <is>
          <t>Profit after losses: RANR per booked dollar</t>
        </is>
      </c>
      <c r="G542" t="n">
        <v>265</v>
      </c>
      <c r="H542" t="n">
        <v>8533011.129999999</v>
      </c>
      <c r="I542" t="b">
        <v>0</v>
      </c>
      <c r="J542" t="b">
        <v>0</v>
      </c>
      <c r="K542" t="n">
        <v>-0.01398546556983693</v>
      </c>
      <c r="L542" t="n">
        <v>0.4005959404059594</v>
      </c>
      <c r="M542" t="n">
        <v>-0.09100711630705258</v>
      </c>
      <c r="N542" t="n">
        <v>0.0017998200179982</v>
      </c>
      <c r="O542" t="n">
        <v>119338.1333656503</v>
      </c>
      <c r="P542" t="n">
        <v>776564.7363572841</v>
      </c>
      <c r="Q542">
        <f>'_live'!$C$23</f>
        <v/>
      </c>
      <c r="R542" t="inlineStr">
        <is>
          <t>shuffled: 2,706 of 10,000</t>
        </is>
      </c>
      <c r="S542" t="inlineStr">
        <is>
          <t>shuffled: 0 of 10,000</t>
        </is>
      </c>
      <c r="T542" t="n">
        <v>0.1284524778729136</v>
      </c>
      <c r="U542" t="n">
        <v>0.2054741286101293</v>
      </c>
      <c r="V542">
        <f>AND(judged_band,NOT($J542))</f>
        <v/>
      </c>
      <c r="W542">
        <f>IF($K542="","",IF(profit_kind="test",IF(OR(NOT(AND(ISNUMBER($L542),$L542&lt;significance_bar)),$K542=0),"in line",IF($K542&lt;0,"worse","better")),IF(OR($K542=0,IF(profit_kind="points",ABS($K542),ABS($K542*$H542))&lt;profit_line*(1-1E-9)),"in line",IF(AND(ISNUMBER($L542),$L542&lt;significance_bar),IF($K542&lt;0,"worse","better"),IF($K542&lt;0,"worse, not significant","better, not significant")))))</f>
        <v/>
      </c>
      <c r="X542">
        <f>IF($M542="","",IF(profit_kind="test",IF(OR(NOT(AND(ISNUMBER($N542),$N542&lt;significance_bar)),$M542=0),"in line",IF($M542&lt;0,"worse","better")),IF(OR($M542=0,IF(profit_kind="points",ABS($M542),ABS($M542*$H542))&lt;profit_line*(1-1E-9)),"in line",IF(AND(ISNUMBER($N542),$N542&lt;significance_bar),IF($M542&lt;0,"worse","better"),IF($M542&lt;0,"worse, not significant","better, not significant")))))</f>
        <v/>
      </c>
      <c r="Y542">
        <f>IF($V542,$X542,$W542)</f>
        <v/>
      </c>
      <c r="Z542">
        <f>IF($V542,IF($P542="","",$P542),IF($O542="","",$O542))</f>
        <v/>
      </c>
      <c r="AA542">
        <f>IF(OR($Q542="",$Z542=""),"",IF(AND($Z542&gt;0,$Z542&gt;=$Q542),"yes","below the line"))</f>
        <v/>
      </c>
      <c r="AB542">
        <f>IF($V542,IF($M542="","",$M542),IF($K542="","",$K542))</f>
        <v/>
      </c>
      <c r="AC542">
        <f>IF($V542,IF($N542="","",$N542),IF($L542="","",$L542))</f>
        <v/>
      </c>
      <c r="AD542">
        <f>IF($Y542="","",IF($Y542="in line",IF(profit_kind="test",IF(ROUND($AB542*100,2)=0,"0.00",TEXT($AB542*100,"+0.00;-0.00"))&amp;" points against "&amp;IF($V542,"its band","the book")&amp;", "&amp;IF($AC542="","not tested","not significant"),IF(profit_kind="points","within "&amp;TEXT(profit_line*100,"0.00")&amp;" points of "&amp;IF($V542,"its band","the book")&amp;" ("&amp;IF(ROUND($AB542*100,2)=0,"0.00",TEXT($AB542*100,"+0.00;-0.00"))&amp;")","within $"&amp;TEXT(profit_line,"#,##0")&amp;" of "&amp;IF($V542,"its band","the book")&amp;" ("&amp;IF(ROUND($AB542*100,2)=0,"0.00",TEXT($AB542*100,"+0.00;-0.00"))&amp;" points)")),IF(LEFT($Y542,5)="worse","short of ","ahead of ")&amp;IF($V542,"its band","the book")&amp;" by "&amp;TEXT(ABS($AB542)*100,"0.00")&amp;" points"&amp;IF($Z542="",""," ($"&amp;TEXT(ABS($Z542),"#,##0")&amp;")")&amp;IF(RIGHT($Y542,15)="not significant"," (not significant)","")))</f>
        <v/>
      </c>
      <c r="AE542">
        <f>IF($V542,IF($S542="","",$S542),IF($R542="","",$R542))</f>
        <v/>
      </c>
      <c r="AF542">
        <f>IF($V542,IF($U542="","",$U542),IF($T542="","",$T542))</f>
        <v/>
      </c>
      <c r="AG542">
        <f>IF($V542,IF($O542="","",$O542),IF($P542="","",$P542))</f>
        <v/>
      </c>
      <c r="AH542" t="n">
        <v>0.1144670123030767</v>
      </c>
      <c r="AI542">
        <f>IF($Y542="worse","Yes",IF($Y542="worse, not significant","Not sure",IF(OR($Y542="too few losses to test",$Y542="too few loans to test"),"Too few losses",IF($Y542="","","No"))))</f>
        <v/>
      </c>
      <c r="AJ542">
        <f>IF($AA542="yes","Yes",IF($AA542="","","No"))</f>
        <v/>
      </c>
    </row>
    <row r="543">
      <c r="A543" t="inlineStr">
        <is>
          <t>three-way</t>
        </is>
      </c>
      <c r="B543" t="inlineStr">
        <is>
          <t>FICO x CHANNEL / SYS_FLAG</t>
        </is>
      </c>
      <c r="C543" t="inlineStr">
        <is>
          <t>496 - 653</t>
        </is>
      </c>
      <c r="D543" t="inlineStr">
        <is>
          <t>Broker / SYS_FLAG Y</t>
        </is>
      </c>
      <c r="E543" t="inlineStr">
        <is>
          <t>contribution_rate</t>
        </is>
      </c>
      <c r="F543" t="inlineStr">
        <is>
          <t>Contribution before losses per booked dollar</t>
        </is>
      </c>
      <c r="G543" t="n">
        <v>265</v>
      </c>
      <c r="H543" t="n">
        <v>8533011.129999999</v>
      </c>
      <c r="I543" t="b">
        <v>0</v>
      </c>
      <c r="J543" t="b">
        <v>0</v>
      </c>
      <c r="K543" t="n">
        <v>0.1149860287435978</v>
      </c>
      <c r="L543" t="n">
        <v>0.000184981501849815</v>
      </c>
      <c r="M543" t="n">
        <v>0.008597163738474523</v>
      </c>
      <c r="N543" t="n">
        <v>0.6264813518648135</v>
      </c>
      <c r="O543" t="n">
        <v>-981177.0630636192</v>
      </c>
      <c r="P543" t="n">
        <v>-73359.69386683544</v>
      </c>
      <c r="Q543">
        <f>'_live'!$C$24</f>
        <v/>
      </c>
      <c r="R543" t="inlineStr">
        <is>
          <t>shuffled: 0 of 10,000</t>
        </is>
      </c>
      <c r="S543" t="inlineStr">
        <is>
          <t>shuffled: 4,350 of 10,000</t>
        </is>
      </c>
      <c r="T543" t="n">
        <v>0.1657898677716108</v>
      </c>
      <c r="U543" t="n">
        <v>0.272178732776734</v>
      </c>
      <c r="V543">
        <f>AND(judged_band,NOT($J543))</f>
        <v/>
      </c>
      <c r="W543">
        <f>IF($K543="","",IF(profit_kind="test",IF(OR(NOT(AND(ISNUMBER($L543),$L543&lt;significance_bar)),$K543=0),"in line",IF($K543&lt;0,"worse","better")),IF(OR($K543=0,IF(profit_kind="points",ABS($K543),ABS($K543*$H543))&lt;profit_line*(1-1E-9)),"in line",IF(AND(ISNUMBER($L543),$L543&lt;significance_bar),IF($K543&lt;0,"worse","better"),IF($K543&lt;0,"worse, not significant","better, not significant")))))</f>
        <v/>
      </c>
      <c r="X543">
        <f>IF($M543="","",IF(profit_kind="test",IF(OR(NOT(AND(ISNUMBER($N543),$N543&lt;significance_bar)),$M543=0),"in line",IF($M543&lt;0,"worse","better")),IF(OR($M543=0,IF(profit_kind="points",ABS($M543),ABS($M543*$H543))&lt;profit_line*(1-1E-9)),"in line",IF(AND(ISNUMBER($N543),$N543&lt;significance_bar),IF($M543&lt;0,"worse","better"),IF($M543&lt;0,"worse, not significant","better, not significant")))))</f>
        <v/>
      </c>
      <c r="Y543">
        <f>IF($V543,$X543,$W543)</f>
        <v/>
      </c>
      <c r="Z543">
        <f>IF($V543,IF($P543="","",$P543),IF($O543="","",$O543))</f>
        <v/>
      </c>
      <c r="AA543">
        <f>IF(OR($Q543="",$Z543=""),"",IF(AND($Z543&gt;0,$Z543&gt;=$Q543),"yes","below the line"))</f>
        <v/>
      </c>
      <c r="AB543">
        <f>IF($V543,IF($M543="","",$M543),IF($K543="","",$K543))</f>
        <v/>
      </c>
      <c r="AC543">
        <f>IF($V543,IF($N543="","",$N543),IF($L543="","",$L543))</f>
        <v/>
      </c>
      <c r="AD543">
        <f>IF($Y543="","",IF($Y543="in line",IF(profit_kind="test",IF(ROUND($AB543*100,2)=0,"0.00",TEXT($AB543*100,"+0.00;-0.00"))&amp;" points against "&amp;IF($V543,"its band","the book")&amp;", "&amp;IF($AC543="","not tested","not significant"),IF(profit_kind="points","within "&amp;TEXT(profit_line*100,"0.00")&amp;" points of "&amp;IF($V543,"its band","the book")&amp;" ("&amp;IF(ROUND($AB543*100,2)=0,"0.00",TEXT($AB543*100,"+0.00;-0.00"))&amp;")","within $"&amp;TEXT(profit_line,"#,##0")&amp;" of "&amp;IF($V543,"its band","the book")&amp;" ("&amp;IF(ROUND($AB543*100,2)=0,"0.00",TEXT($AB543*100,"+0.00;-0.00"))&amp;" points)")),IF(LEFT($Y543,5)="worse","short of ","ahead of ")&amp;IF($V543,"its band","the book")&amp;" by "&amp;TEXT(ABS($AB543)*100,"0.00")&amp;" points"&amp;IF($Z543="",""," ($"&amp;TEXT(ABS($Z543),"#,##0")&amp;")")&amp;IF(RIGHT($Y543,15)="not significant"," (not significant)","")))</f>
        <v/>
      </c>
      <c r="AE543">
        <f>IF($V543,IF($S543="","",$S543),IF($R543="","",$R543))</f>
        <v/>
      </c>
      <c r="AF543">
        <f>IF($V543,IF($U543="","",$U543),IF($T543="","",$T543))</f>
        <v/>
      </c>
      <c r="AG543">
        <f>IF($V543,IF($O543="","",$O543),IF($P543="","",$P543))</f>
        <v/>
      </c>
      <c r="AH543" t="n">
        <v>0.2807758965152085</v>
      </c>
      <c r="AI543">
        <f>IF($Y543="worse","Yes",IF($Y543="worse, not significant","Not sure",IF(OR($Y543="too few losses to test",$Y543="too few loans to test"),"Too few losses",IF($Y543="","","No"))))</f>
        <v/>
      </c>
      <c r="AJ543">
        <f>IF($AA543="yes","Yes",IF($AA543="","","No"))</f>
        <v/>
      </c>
    </row>
    <row r="544">
      <c r="A544" t="inlineStr">
        <is>
          <t>three-way</t>
        </is>
      </c>
      <c r="B544" t="inlineStr">
        <is>
          <t>FICO x CHANNEL / SYS_FLAG</t>
        </is>
      </c>
      <c r="C544" t="inlineStr">
        <is>
          <t>496 - 653</t>
        </is>
      </c>
      <c r="D544" t="inlineStr">
        <is>
          <t>Online / SYS_FLAG Y</t>
        </is>
      </c>
      <c r="E544" t="inlineStr">
        <is>
          <t>outcome_loans</t>
        </is>
      </c>
      <c r="F544" t="inlineStr">
        <is>
          <t>Outcome, share of loans</t>
        </is>
      </c>
      <c r="G544" t="n">
        <v>226</v>
      </c>
      <c r="H544" t="n">
        <v>226</v>
      </c>
      <c r="I544" t="b">
        <v>0</v>
      </c>
      <c r="J544" t="b">
        <v>0</v>
      </c>
      <c r="K544" t="n">
        <v>1.874960425743619</v>
      </c>
      <c r="L544" t="n">
        <v>0.002064095339141564</v>
      </c>
      <c r="M544" t="n">
        <v>0.9315692631210024</v>
      </c>
      <c r="N544" t="n">
        <v>0.8166601988611752</v>
      </c>
      <c r="O544" t="n">
        <v>14.93297311205455</v>
      </c>
      <c r="P544" t="n">
        <v>-2.350639578630549</v>
      </c>
      <c r="Q544">
        <f>'_live'!$C$20</f>
        <v/>
      </c>
      <c r="R544" t="inlineStr">
        <is>
          <t>z test</t>
        </is>
      </c>
      <c r="S544" t="inlineStr">
        <is>
          <t>z test</t>
        </is>
      </c>
      <c r="T544" t="n">
        <v>0.07551781808825421</v>
      </c>
      <c r="U544" t="n">
        <v>0.1519939804364183</v>
      </c>
      <c r="V544">
        <f>AND(judged_band,NOT($J544))</f>
        <v/>
      </c>
      <c r="W544">
        <f>IF($K544="","",IF($I544,"too few losses to test",IF(AND($K544&gt;better_at,$K544&lt;worse_at),"in line",IF($K544&gt;=worse_at,IF(AND(ISNUMBER($L544),$L544&lt;significance_bar),"worse","worse, not significant"),IF(AND(ISNUMBER($L544),$L544&lt;significance_bar),"better","better, not significant")))))</f>
        <v/>
      </c>
      <c r="X544">
        <f>IF($M544="","",IF($I544,"too few losses to test",IF(AND($M544&gt;better_at,$M544&lt;worse_at),"in line",IF($M544&gt;=worse_at,IF(AND(ISNUMBER($N544),$N544&lt;significance_bar),"worse","worse, not significant"),IF(AND(ISNUMBER($N544),$N544&lt;significance_bar),"better","better, not significant")))))</f>
        <v/>
      </c>
      <c r="Y544">
        <f>IF($V544,$X544,$W544)</f>
        <v/>
      </c>
      <c r="Z544">
        <f>IF($V544,IF($P544="","",$P544),IF($O544="","",$O544))</f>
        <v/>
      </c>
      <c r="AA544">
        <f>IF(OR($Q544="",$Z544=""),"",IF(AND($Z544&gt;0,$Z544&gt;=$Q544),"yes","below the line"))</f>
        <v/>
      </c>
      <c r="AB544">
        <f>IF($V544,IF($M544="","",$M544),IF($K544="","",$K544))</f>
        <v/>
      </c>
      <c r="AC544">
        <f>IF($V544,IF($N544="","",$N544),IF($L544="","",$L544))</f>
        <v/>
      </c>
      <c r="AD544">
        <f>$Y544</f>
        <v/>
      </c>
      <c r="AE544">
        <f>IF($V544,IF($S544="","",$S544),IF($R544="","",$R544))</f>
        <v/>
      </c>
      <c r="AF544">
        <f>IF($V544,IF($U544="","",$U544),IF($T544="","",$T544))</f>
        <v/>
      </c>
      <c r="AG544">
        <f>IF($V544,IF($O544="","",$O544),IF($P544="","",$P544))</f>
        <v/>
      </c>
      <c r="AH544" t="n">
        <v>0.1415929203539823</v>
      </c>
      <c r="AI544">
        <f>IF($Y544="worse","Yes",IF($Y544="worse, not significant","Not sure",IF(OR($Y544="too few losses to test",$Y544="too few loans to test"),"Too few losses",IF($Y544="","","No"))))</f>
        <v/>
      </c>
      <c r="AJ544">
        <f>IF($AA544="yes","Yes",IF($AA544="","","No"))</f>
        <v/>
      </c>
    </row>
    <row r="545">
      <c r="A545" t="inlineStr">
        <is>
          <t>three-way</t>
        </is>
      </c>
      <c r="B545" t="inlineStr">
        <is>
          <t>FICO x CHANNEL / SYS_FLAG</t>
        </is>
      </c>
      <c r="C545" t="inlineStr">
        <is>
          <t>496 - 653</t>
        </is>
      </c>
      <c r="D545" t="inlineStr">
        <is>
          <t>Online / SYS_FLAG Y</t>
        </is>
      </c>
      <c r="E545" t="inlineStr">
        <is>
          <t>outcome_booked</t>
        </is>
      </c>
      <c r="F545" t="inlineStr">
        <is>
          <t>Outcome, share of booked dollars</t>
        </is>
      </c>
      <c r="G545" t="n">
        <v>226</v>
      </c>
      <c r="H545" t="n">
        <v>7441951.209999996</v>
      </c>
      <c r="I545" t="b">
        <v>0</v>
      </c>
      <c r="J545" t="b">
        <v>0</v>
      </c>
      <c r="K545" t="n">
        <v>1.998207211315246</v>
      </c>
      <c r="L545" t="n">
        <v>0.0024997500249975</v>
      </c>
      <c r="M545" t="n">
        <v>0.9700692769157516</v>
      </c>
      <c r="N545" t="n">
        <v>0.9156376029063761</v>
      </c>
      <c r="O545" t="n">
        <v>540318.8963216298</v>
      </c>
      <c r="P545" t="n">
        <v>-33372.16896723863</v>
      </c>
      <c r="Q545">
        <f>'_live'!$C$21</f>
        <v/>
      </c>
      <c r="R545" t="inlineStr">
        <is>
          <t>shuffled: 2 of 10,000</t>
        </is>
      </c>
      <c r="S545" t="inlineStr">
        <is>
          <t>shuffled: 8,747 of 10,000</t>
        </is>
      </c>
      <c r="T545" t="n">
        <v>0.07273486460795683</v>
      </c>
      <c r="U545" t="n">
        <v>0.1498236614974044</v>
      </c>
      <c r="V545">
        <f>AND(judged_band,NOT($J545))</f>
        <v/>
      </c>
      <c r="W545">
        <f>IF($K545="","",IF($I545,"too few losses to test",IF(AND($K545&gt;better_at,$K545&lt;worse_at),"in line",IF($K545&gt;=worse_at,IF(AND(ISNUMBER($L545),$L545&lt;significance_bar),"worse","worse, not significant"),IF(AND(ISNUMBER($L545),$L545&lt;significance_bar),"better","better, not significant")))))</f>
        <v/>
      </c>
      <c r="X545">
        <f>IF($M545="","",IF($I545,"too few losses to test",IF(AND($M545&gt;better_at,$M545&lt;worse_at),"in line",IF($M545&gt;=worse_at,IF(AND(ISNUMBER($N545),$N545&lt;significance_bar),"worse","worse, not significant"),IF(AND(ISNUMBER($N545),$N545&lt;significance_bar),"better","better, not significant")))))</f>
        <v/>
      </c>
      <c r="Y545">
        <f>IF($V545,$X545,$W545)</f>
        <v/>
      </c>
      <c r="Z545">
        <f>IF($V545,IF($P545="","",$P545),IF($O545="","",$O545))</f>
        <v/>
      </c>
      <c r="AA545">
        <f>IF(OR($Q545="",$Z545=""),"",IF(AND($Z545&gt;0,$Z545&gt;=$Q545),"yes","below the line"))</f>
        <v/>
      </c>
      <c r="AB545">
        <f>IF($V545,IF($M545="","",$M545),IF($K545="","",$K545))</f>
        <v/>
      </c>
      <c r="AC545">
        <f>IF($V545,IF($N545="","",$N545),IF($L545="","",$L545))</f>
        <v/>
      </c>
      <c r="AD545">
        <f>$Y545</f>
        <v/>
      </c>
      <c r="AE545">
        <f>IF($V545,IF($S545="","",$S545),IF($R545="","",$R545))</f>
        <v/>
      </c>
      <c r="AF545">
        <f>IF($V545,IF($U545="","",$U545),IF($T545="","",$T545))</f>
        <v/>
      </c>
      <c r="AG545">
        <f>IF($V545,IF($O545="","",$O545),IF($P545="","",$P545))</f>
        <v/>
      </c>
      <c r="AH545" t="n">
        <v>0.1453393309736574</v>
      </c>
      <c r="AI545">
        <f>IF($Y545="worse","Yes",IF($Y545="worse, not significant","Not sure",IF(OR($Y545="too few losses to test",$Y545="too few loans to test"),"Too few losses",IF($Y545="","","No"))))</f>
        <v/>
      </c>
      <c r="AJ545">
        <f>IF($AA545="yes","Yes",IF($AA545="","","No"))</f>
        <v/>
      </c>
    </row>
    <row r="546">
      <c r="A546" t="inlineStr">
        <is>
          <t>three-way</t>
        </is>
      </c>
      <c r="B546" t="inlineStr">
        <is>
          <t>FICO x CHANNEL / SYS_FLAG</t>
        </is>
      </c>
      <c r="C546" t="inlineStr">
        <is>
          <t>496 - 653</t>
        </is>
      </c>
      <c r="D546" t="inlineStr">
        <is>
          <t>Online / SYS_FLAG Y</t>
        </is>
      </c>
      <c r="E546" t="inlineStr">
        <is>
          <t>gco_rate</t>
        </is>
      </c>
      <c r="F546" t="inlineStr">
        <is>
          <t>GCO per booked dollar</t>
        </is>
      </c>
      <c r="G546" t="n">
        <v>226</v>
      </c>
      <c r="H546" t="n">
        <v>7441951.209999996</v>
      </c>
      <c r="I546" t="b">
        <v>0</v>
      </c>
      <c r="J546" t="b">
        <v>0</v>
      </c>
      <c r="K546" t="n">
        <v>1.915647824250216</v>
      </c>
      <c r="L546" t="n">
        <v>0.01666500016665</v>
      </c>
      <c r="M546" t="n">
        <v>0.9194875419412953</v>
      </c>
      <c r="N546" t="n">
        <v>0.8138471867099005</v>
      </c>
      <c r="O546" t="n">
        <v>276212.4524752767</v>
      </c>
      <c r="P546" t="n">
        <v>-50599.67104096105</v>
      </c>
      <c r="Q546">
        <f>'_live'!$C$22</f>
        <v/>
      </c>
      <c r="R546" t="inlineStr">
        <is>
          <t>shuffled: 19 of 10,000</t>
        </is>
      </c>
      <c r="S546" t="inlineStr">
        <is>
          <t>shuffled: 6,836 of 10,000</t>
        </is>
      </c>
      <c r="T546" t="n">
        <v>0.04053479376744306</v>
      </c>
      <c r="U546" t="n">
        <v>0.08444963737419629</v>
      </c>
      <c r="V546">
        <f>AND(judged_band,NOT($J546))</f>
        <v/>
      </c>
      <c r="W546">
        <f>IF($K546="","",IF($I546,"too few losses to test",IF(AND($K546&gt;better_at,$K546&lt;worse_at),"in line",IF($K546&gt;=worse_at,IF(AND(ISNUMBER($L546),$L546&lt;significance_bar),"worse","worse, not significant"),IF(AND(ISNUMBER($L546),$L546&lt;significance_bar),"better","better, not significant")))))</f>
        <v/>
      </c>
      <c r="X546">
        <f>IF($M546="","",IF($I546,"too few losses to test",IF(AND($M546&gt;better_at,$M546&lt;worse_at),"in line",IF($M546&gt;=worse_at,IF(AND(ISNUMBER($N546),$N546&lt;significance_bar),"worse","worse, not significant"),IF(AND(ISNUMBER($N546),$N546&lt;significance_bar),"better","better, not significant")))))</f>
        <v/>
      </c>
      <c r="Y546">
        <f>IF($V546,$X546,$W546)</f>
        <v/>
      </c>
      <c r="Z546">
        <f>IF($V546,IF($P546="","",$P546),IF($O546="","",$O546))</f>
        <v/>
      </c>
      <c r="AA546">
        <f>IF(OR($Q546="",$Z546=""),"",IF(AND($Z546&gt;0,$Z546&gt;=$Q546),"yes","below the line"))</f>
        <v/>
      </c>
      <c r="AB546">
        <f>IF($V546,IF($M546="","",$M546),IF($K546="","",$K546))</f>
        <v/>
      </c>
      <c r="AC546">
        <f>IF($V546,IF($N546="","",$N546),IF($L546="","",$L546))</f>
        <v/>
      </c>
      <c r="AD546">
        <f>$Y546</f>
        <v/>
      </c>
      <c r="AE546">
        <f>IF($V546,IF($S546="","",$S546),IF($R546="","",$R546))</f>
        <v/>
      </c>
      <c r="AF546">
        <f>IF($V546,IF($U546="","",$U546),IF($T546="","",$T546))</f>
        <v/>
      </c>
      <c r="AG546">
        <f>IF($V546,IF($O546="","",$O546),IF($P546="","",$P546))</f>
        <v/>
      </c>
      <c r="AH546" t="n">
        <v>0.0776503894870335</v>
      </c>
      <c r="AI546">
        <f>IF($Y546="worse","Yes",IF($Y546="worse, not significant","Not sure",IF(OR($Y546="too few losses to test",$Y546="too few loans to test"),"Too few losses",IF($Y546="","","No"))))</f>
        <v/>
      </c>
      <c r="AJ546">
        <f>IF($AA546="yes","Yes",IF($AA546="","","No"))</f>
        <v/>
      </c>
    </row>
    <row r="547">
      <c r="A547" t="inlineStr">
        <is>
          <t>three-way</t>
        </is>
      </c>
      <c r="B547" t="inlineStr">
        <is>
          <t>FICO x CHANNEL / SYS_FLAG</t>
        </is>
      </c>
      <c r="C547" t="inlineStr">
        <is>
          <t>496 - 653</t>
        </is>
      </c>
      <c r="D547" t="inlineStr">
        <is>
          <t>Online / SYS_FLAG Y</t>
        </is>
      </c>
      <c r="E547" t="inlineStr">
        <is>
          <t>ranr_rate</t>
        </is>
      </c>
      <c r="F547" t="inlineStr">
        <is>
          <t>Profit after losses: RANR per booked dollar</t>
        </is>
      </c>
      <c r="G547" t="n">
        <v>226</v>
      </c>
      <c r="H547" t="n">
        <v>7441951.209999996</v>
      </c>
      <c r="I547" t="b">
        <v>0</v>
      </c>
      <c r="J547" t="b">
        <v>0</v>
      </c>
      <c r="K547" t="n">
        <v>0.06774118935265613</v>
      </c>
      <c r="L547" t="n">
        <v>0.0002845869259227924</v>
      </c>
      <c r="M547" t="n">
        <v>0.004225716768341686</v>
      </c>
      <c r="N547" t="n">
        <v>0.9530046995300471</v>
      </c>
      <c r="O547" t="n">
        <v>-504126.6260698382</v>
      </c>
      <c r="P547" t="n">
        <v>-31447.57801727764</v>
      </c>
      <c r="Q547">
        <f>'_live'!$C$23</f>
        <v/>
      </c>
      <c r="R547" t="inlineStr">
        <is>
          <t>shuffled: 0 of 10,000</t>
        </is>
      </c>
      <c r="S547" t="inlineStr">
        <is>
          <t>shuffled: 8,318 of 10,000</t>
        </is>
      </c>
      <c r="T547" t="n">
        <v>0.1260365887201459</v>
      </c>
      <c r="U547" t="n">
        <v>0.1895520613044604</v>
      </c>
      <c r="V547">
        <f>AND(judged_band,NOT($J547))</f>
        <v/>
      </c>
      <c r="W547">
        <f>IF($K547="","",IF(profit_kind="test",IF(OR(NOT(AND(ISNUMBER($L547),$L547&lt;significance_bar)),$K547=0),"in line",IF($K547&lt;0,"worse","better")),IF(OR($K547=0,IF(profit_kind="points",ABS($K547),ABS($K547*$H547))&lt;profit_line*(1-1E-9)),"in line",IF(AND(ISNUMBER($L547),$L547&lt;significance_bar),IF($K547&lt;0,"worse","better"),IF($K547&lt;0,"worse, not significant","better, not significant")))))</f>
        <v/>
      </c>
      <c r="X547">
        <f>IF($M547="","",IF(profit_kind="test",IF(OR(NOT(AND(ISNUMBER($N547),$N547&lt;significance_bar)),$M547=0),"in line",IF($M547&lt;0,"worse","better")),IF(OR($M547=0,IF(profit_kind="points",ABS($M547),ABS($M547*$H547))&lt;profit_line*(1-1E-9)),"in line",IF(AND(ISNUMBER($N547),$N547&lt;significance_bar),IF($M547&lt;0,"worse","better"),IF($M547&lt;0,"worse, not significant","better, not significant")))))</f>
        <v/>
      </c>
      <c r="Y547">
        <f>IF($V547,$X547,$W547)</f>
        <v/>
      </c>
      <c r="Z547">
        <f>IF($V547,IF($P547="","",$P547),IF($O547="","",$O547))</f>
        <v/>
      </c>
      <c r="AA547">
        <f>IF(OR($Q547="",$Z547=""),"",IF(AND($Z547&gt;0,$Z547&gt;=$Q547),"yes","below the line"))</f>
        <v/>
      </c>
      <c r="AB547">
        <f>IF($V547,IF($M547="","",$M547),IF($K547="","",$K547))</f>
        <v/>
      </c>
      <c r="AC547">
        <f>IF($V547,IF($N547="","",$N547),IF($L547="","",$L547))</f>
        <v/>
      </c>
      <c r="AD547">
        <f>IF($Y547="","",IF($Y547="in line",IF(profit_kind="test",IF(ROUND($AB547*100,2)=0,"0.00",TEXT($AB547*100,"+0.00;-0.00"))&amp;" points against "&amp;IF($V547,"its band","the book")&amp;", "&amp;IF($AC547="","not tested","not significant"),IF(profit_kind="points","within "&amp;TEXT(profit_line*100,"0.00")&amp;" points of "&amp;IF($V547,"its band","the book")&amp;" ("&amp;IF(ROUND($AB547*100,2)=0,"0.00",TEXT($AB547*100,"+0.00;-0.00"))&amp;")","within $"&amp;TEXT(profit_line,"#,##0")&amp;" of "&amp;IF($V547,"its band","the book")&amp;" ("&amp;IF(ROUND($AB547*100,2)=0,"0.00",TEXT($AB547*100,"+0.00;-0.00"))&amp;" points)")),IF(LEFT($Y547,5)="worse","short of ","ahead of ")&amp;IF($V547,"its band","the book")&amp;" by "&amp;TEXT(ABS($AB547)*100,"0.00")&amp;" points"&amp;IF($Z547="",""," ($"&amp;TEXT(ABS($Z547),"#,##0")&amp;")")&amp;IF(RIGHT($Y547,15)="not significant"," (not significant)","")))</f>
        <v/>
      </c>
      <c r="AE547">
        <f>IF($V547,IF($S547="","",$S547),IF($R547="","",$R547))</f>
        <v/>
      </c>
      <c r="AF547">
        <f>IF($V547,IF($U547="","",$U547),IF($T547="","",$T547))</f>
        <v/>
      </c>
      <c r="AG547">
        <f>IF($V547,IF($O547="","",$O547),IF($P547="","",$P547))</f>
        <v/>
      </c>
      <c r="AH547" t="n">
        <v>0.1937777780728021</v>
      </c>
      <c r="AI547">
        <f>IF($Y547="worse","Yes",IF($Y547="worse, not significant","Not sure",IF(OR($Y547="too few losses to test",$Y547="too few loans to test"),"Too few losses",IF($Y547="","","No"))))</f>
        <v/>
      </c>
      <c r="AJ547">
        <f>IF($AA547="yes","Yes",IF($AA547="","","No"))</f>
        <v/>
      </c>
    </row>
    <row r="548">
      <c r="A548" t="inlineStr">
        <is>
          <t>three-way</t>
        </is>
      </c>
      <c r="B548" t="inlineStr">
        <is>
          <t>FICO x CHANNEL / SYS_FLAG</t>
        </is>
      </c>
      <c r="C548" t="inlineStr">
        <is>
          <t>496 - 653</t>
        </is>
      </c>
      <c r="D548" t="inlineStr">
        <is>
          <t>Online / SYS_FLAG Y</t>
        </is>
      </c>
      <c r="E548" t="inlineStr">
        <is>
          <t>contribution_rate</t>
        </is>
      </c>
      <c r="F548" t="inlineStr">
        <is>
          <t>Contribution before losses per booked dollar</t>
        </is>
      </c>
      <c r="G548" t="n">
        <v>226</v>
      </c>
      <c r="H548" t="n">
        <v>7441951.209999996</v>
      </c>
      <c r="I548" t="b">
        <v>0</v>
      </c>
      <c r="J548" t="b">
        <v>0</v>
      </c>
      <c r="K548" t="n">
        <v>0.1048600385947136</v>
      </c>
      <c r="L548" t="n">
        <v>0.000184981501849815</v>
      </c>
      <c r="M548" t="n">
        <v>-0.002573531118821193</v>
      </c>
      <c r="N548" t="n">
        <v>0.9233076692330766</v>
      </c>
      <c r="O548" t="n">
        <v>-780363.2911005749</v>
      </c>
      <c r="P548" t="n">
        <v>19152.09302368411</v>
      </c>
      <c r="Q548">
        <f>'_live'!$C$24</f>
        <v/>
      </c>
      <c r="R548" t="inlineStr">
        <is>
          <t>shuffled: 0 of 10,000</t>
        </is>
      </c>
      <c r="S548" t="inlineStr">
        <is>
          <t>shuffled: 8,207 of 10,000</t>
        </is>
      </c>
      <c r="T548" t="n">
        <v>0.166568128965122</v>
      </c>
      <c r="U548" t="n">
        <v>0.2740016986786568</v>
      </c>
      <c r="V548">
        <f>AND(judged_band,NOT($J548))</f>
        <v/>
      </c>
      <c r="W548">
        <f>IF($K548="","",IF(profit_kind="test",IF(OR(NOT(AND(ISNUMBER($L548),$L548&lt;significance_bar)),$K548=0),"in line",IF($K548&lt;0,"worse","better")),IF(OR($K548=0,IF(profit_kind="points",ABS($K548),ABS($K548*$H548))&lt;profit_line*(1-1E-9)),"in line",IF(AND(ISNUMBER($L548),$L548&lt;significance_bar),IF($K548&lt;0,"worse","better"),IF($K548&lt;0,"worse, not significant","better, not significant")))))</f>
        <v/>
      </c>
      <c r="X548">
        <f>IF($M548="","",IF(profit_kind="test",IF(OR(NOT(AND(ISNUMBER($N548),$N548&lt;significance_bar)),$M548=0),"in line",IF($M548&lt;0,"worse","better")),IF(OR($M548=0,IF(profit_kind="points",ABS($M548),ABS($M548*$H548))&lt;profit_line*(1-1E-9)),"in line",IF(AND(ISNUMBER($N548),$N548&lt;significance_bar),IF($M548&lt;0,"worse","better"),IF($M548&lt;0,"worse, not significant","better, not significant")))))</f>
        <v/>
      </c>
      <c r="Y548">
        <f>IF($V548,$X548,$W548)</f>
        <v/>
      </c>
      <c r="Z548">
        <f>IF($V548,IF($P548="","",$P548),IF($O548="","",$O548))</f>
        <v/>
      </c>
      <c r="AA548">
        <f>IF(OR($Q548="",$Z548=""),"",IF(AND($Z548&gt;0,$Z548&gt;=$Q548),"yes","below the line"))</f>
        <v/>
      </c>
      <c r="AB548">
        <f>IF($V548,IF($M548="","",$M548),IF($K548="","",$K548))</f>
        <v/>
      </c>
      <c r="AC548">
        <f>IF($V548,IF($N548="","",$N548),IF($L548="","",$L548))</f>
        <v/>
      </c>
      <c r="AD548">
        <f>IF($Y548="","",IF($Y548="in line",IF(profit_kind="test",IF(ROUND($AB548*100,2)=0,"0.00",TEXT($AB548*100,"+0.00;-0.00"))&amp;" points against "&amp;IF($V548,"its band","the book")&amp;", "&amp;IF($AC548="","not tested","not significant"),IF(profit_kind="points","within "&amp;TEXT(profit_line*100,"0.00")&amp;" points of "&amp;IF($V548,"its band","the book")&amp;" ("&amp;IF(ROUND($AB548*100,2)=0,"0.00",TEXT($AB548*100,"+0.00;-0.00"))&amp;")","within $"&amp;TEXT(profit_line,"#,##0")&amp;" of "&amp;IF($V548,"its band","the book")&amp;" ("&amp;IF(ROUND($AB548*100,2)=0,"0.00",TEXT($AB548*100,"+0.00;-0.00"))&amp;" points)")),IF(LEFT($Y548,5)="worse","short of ","ahead of ")&amp;IF($V548,"its band","the book")&amp;" by "&amp;TEXT(ABS($AB548)*100,"0.00")&amp;" points"&amp;IF($Z548="",""," ($"&amp;TEXT(ABS($Z548),"#,##0")&amp;")")&amp;IF(RIGHT($Y548,15)="not significant"," (not significant)","")))</f>
        <v/>
      </c>
      <c r="AE548">
        <f>IF($V548,IF($S548="","",$S548),IF($R548="","",$R548))</f>
        <v/>
      </c>
      <c r="AF548">
        <f>IF($V548,IF($U548="","",$U548),IF($T548="","",$T548))</f>
        <v/>
      </c>
      <c r="AG548">
        <f>IF($V548,IF($O548="","",$O548),IF($P548="","",$P548))</f>
        <v/>
      </c>
      <c r="AH548" t="n">
        <v>0.2714281675598356</v>
      </c>
      <c r="AI548">
        <f>IF($Y548="worse","Yes",IF($Y548="worse, not significant","Not sure",IF(OR($Y548="too few losses to test",$Y548="too few loans to test"),"Too few losses",IF($Y548="","","No"))))</f>
        <v/>
      </c>
      <c r="AJ548">
        <f>IF($AA548="yes","Yes",IF($AA548="","","No"))</f>
        <v/>
      </c>
    </row>
    <row r="549">
      <c r="A549" t="inlineStr">
        <is>
          <t>three-way</t>
        </is>
      </c>
      <c r="B549" t="inlineStr">
        <is>
          <t>FICO x CHANNEL / SYS_FLAG</t>
        </is>
      </c>
      <c r="C549" t="inlineStr">
        <is>
          <t>746 - 921</t>
        </is>
      </c>
      <c r="D549" t="inlineStr">
        <is>
          <t>Broker / SYS_FLAG Y</t>
        </is>
      </c>
      <c r="E549" t="inlineStr">
        <is>
          <t>outcome_loans</t>
        </is>
      </c>
      <c r="F549" t="inlineStr">
        <is>
          <t>Outcome, share of loans</t>
        </is>
      </c>
      <c r="G549" t="n">
        <v>237</v>
      </c>
      <c r="H549" t="n">
        <v>237</v>
      </c>
      <c r="I549" t="b">
        <v>0</v>
      </c>
      <c r="J549" t="b">
        <v>0</v>
      </c>
      <c r="K549" t="n">
        <v>0.6474673117427481</v>
      </c>
      <c r="L549" t="n">
        <v>0.2037254218873222</v>
      </c>
      <c r="M549" t="n">
        <v>1.350886075949367</v>
      </c>
      <c r="N549" t="n">
        <v>0.4693546920434155</v>
      </c>
      <c r="O549" t="n">
        <v>-6.533754187065188</v>
      </c>
      <c r="P549" t="n">
        <v>3.116941529235381</v>
      </c>
      <c r="Q549">
        <f>'_live'!$C$20</f>
        <v/>
      </c>
      <c r="R549" t="inlineStr">
        <is>
          <t>z test</t>
        </is>
      </c>
      <c r="S549" t="inlineStr">
        <is>
          <t>z test</t>
        </is>
      </c>
      <c r="T549" t="n">
        <v>0.07820149446019067</v>
      </c>
      <c r="U549" t="n">
        <v>0.03748125937031484</v>
      </c>
      <c r="V549">
        <f>AND(judged_band,NOT($J549))</f>
        <v/>
      </c>
      <c r="W549">
        <f>IF($K549="","",IF($I549,"too few losses to test",IF(AND($K549&gt;better_at,$K549&lt;worse_at),"in line",IF($K549&gt;=worse_at,IF(AND(ISNUMBER($L549),$L549&lt;significance_bar),"worse","worse, not significant"),IF(AND(ISNUMBER($L549),$L549&lt;significance_bar),"better","better, not significant")))))</f>
        <v/>
      </c>
      <c r="X549">
        <f>IF($M549="","",IF($I549,"too few losses to test",IF(AND($M549&gt;better_at,$M549&lt;worse_at),"in line",IF($M549&gt;=worse_at,IF(AND(ISNUMBER($N549),$N549&lt;significance_bar),"worse","worse, not significant"),IF(AND(ISNUMBER($N549),$N549&lt;significance_bar),"better","better, not significant")))))</f>
        <v/>
      </c>
      <c r="Y549">
        <f>IF($V549,$X549,$W549)</f>
        <v/>
      </c>
      <c r="Z549">
        <f>IF($V549,IF($P549="","",$P549),IF($O549="","",$O549))</f>
        <v/>
      </c>
      <c r="AA549">
        <f>IF(OR($Q549="",$Z549=""),"",IF(AND($Z549&gt;0,$Z549&gt;=$Q549),"yes","below the line"))</f>
        <v/>
      </c>
      <c r="AB549">
        <f>IF($V549,IF($M549="","",$M549),IF($K549="","",$K549))</f>
        <v/>
      </c>
      <c r="AC549">
        <f>IF($V549,IF($N549="","",$N549),IF($L549="","",$L549))</f>
        <v/>
      </c>
      <c r="AD549">
        <f>$Y549</f>
        <v/>
      </c>
      <c r="AE549">
        <f>IF($V549,IF($S549="","",$S549),IF($R549="","",$R549))</f>
        <v/>
      </c>
      <c r="AF549">
        <f>IF($V549,IF($U549="","",$U549),IF($T549="","",$T549))</f>
        <v/>
      </c>
      <c r="AG549">
        <f>IF($V549,IF($O549="","",$O549),IF($P549="","",$P549))</f>
        <v/>
      </c>
      <c r="AH549" t="n">
        <v>0.05063291139240506</v>
      </c>
      <c r="AI549">
        <f>IF($Y549="worse","Yes",IF($Y549="worse, not significant","Not sure",IF(OR($Y549="too few losses to test",$Y549="too few loans to test"),"Too few losses",IF($Y549="","","No"))))</f>
        <v/>
      </c>
      <c r="AJ549">
        <f>IF($AA549="yes","Yes",IF($AA549="","","No"))</f>
        <v/>
      </c>
    </row>
    <row r="550">
      <c r="A550" t="inlineStr">
        <is>
          <t>three-way</t>
        </is>
      </c>
      <c r="B550" t="inlineStr">
        <is>
          <t>FICO x CHANNEL / SYS_FLAG</t>
        </is>
      </c>
      <c r="C550" t="inlineStr">
        <is>
          <t>746 - 921</t>
        </is>
      </c>
      <c r="D550" t="inlineStr">
        <is>
          <t>Broker / SYS_FLAG Y</t>
        </is>
      </c>
      <c r="E550" t="inlineStr">
        <is>
          <t>outcome_booked</t>
        </is>
      </c>
      <c r="F550" t="inlineStr">
        <is>
          <t>Outcome, share of booked dollars</t>
        </is>
      </c>
      <c r="G550" t="n">
        <v>237</v>
      </c>
      <c r="H550" t="n">
        <v>7733806.240000006</v>
      </c>
      <c r="I550" t="b">
        <v>0</v>
      </c>
      <c r="J550" t="b">
        <v>0</v>
      </c>
      <c r="K550" t="n">
        <v>0.6404127588680679</v>
      </c>
      <c r="L550" t="n">
        <v>0.255641102556411</v>
      </c>
      <c r="M550" t="n">
        <v>1.39482000030846</v>
      </c>
      <c r="N550" t="n">
        <v>0.5509975318257648</v>
      </c>
      <c r="O550" t="n">
        <v>-210364.6821987869</v>
      </c>
      <c r="P550" t="n">
        <v>106049.7158049449</v>
      </c>
      <c r="Q550">
        <f>'_live'!$C$21</f>
        <v/>
      </c>
      <c r="R550" t="inlineStr">
        <is>
          <t>shuffled: 1,533 of 10,000</t>
        </is>
      </c>
      <c r="S550" t="inlineStr">
        <is>
          <t>shuffled: 3,427 of 10,000</t>
        </is>
      </c>
      <c r="T550" t="n">
        <v>0.0756441361529102</v>
      </c>
      <c r="U550" t="n">
        <v>0.03473098314848071</v>
      </c>
      <c r="V550">
        <f>AND(judged_band,NOT($J550))</f>
        <v/>
      </c>
      <c r="W550">
        <f>IF($K550="","",IF($I550,"too few losses to test",IF(AND($K550&gt;better_at,$K550&lt;worse_at),"in line",IF($K550&gt;=worse_at,IF(AND(ISNUMBER($L550),$L550&lt;significance_bar),"worse","worse, not significant"),IF(AND(ISNUMBER($L550),$L550&lt;significance_bar),"better","better, not significant")))))</f>
        <v/>
      </c>
      <c r="X550">
        <f>IF($M550="","",IF($I550,"too few losses to test",IF(AND($M550&gt;better_at,$M550&lt;worse_at),"in line",IF($M550&gt;=worse_at,IF(AND(ISNUMBER($N550),$N550&lt;significance_bar),"worse","worse, not significant"),IF(AND(ISNUMBER($N550),$N550&lt;significance_bar),"better","better, not significant")))))</f>
        <v/>
      </c>
      <c r="Y550">
        <f>IF($V550,$X550,$W550)</f>
        <v/>
      </c>
      <c r="Z550">
        <f>IF($V550,IF($P550="","",$P550),IF($O550="","",$O550))</f>
        <v/>
      </c>
      <c r="AA550">
        <f>IF(OR($Q550="",$Z550=""),"",IF(AND($Z550&gt;0,$Z550&gt;=$Q550),"yes","below the line"))</f>
        <v/>
      </c>
      <c r="AB550">
        <f>IF($V550,IF($M550="","",$M550),IF($K550="","",$K550))</f>
        <v/>
      </c>
      <c r="AC550">
        <f>IF($V550,IF($N550="","",$N550),IF($L550="","",$L550))</f>
        <v/>
      </c>
      <c r="AD550">
        <f>$Y550</f>
        <v/>
      </c>
      <c r="AE550">
        <f>IF($V550,IF($S550="","",$S550),IF($R550="","",$R550))</f>
        <v/>
      </c>
      <c r="AF550">
        <f>IF($V550,IF($U550="","",$U550),IF($T550="","",$T550))</f>
        <v/>
      </c>
      <c r="AG550">
        <f>IF($V550,IF($O550="","",$O550),IF($P550="","",$P550))</f>
        <v/>
      </c>
      <c r="AH550" t="n">
        <v>0.04844346992587698</v>
      </c>
      <c r="AI550">
        <f>IF($Y550="worse","Yes",IF($Y550="worse, not significant","Not sure",IF(OR($Y550="too few losses to test",$Y550="too few loans to test"),"Too few losses",IF($Y550="","","No"))))</f>
        <v/>
      </c>
      <c r="AJ550">
        <f>IF($AA550="yes","Yes",IF($AA550="","","No"))</f>
        <v/>
      </c>
    </row>
    <row r="551">
      <c r="A551" t="inlineStr">
        <is>
          <t>three-way</t>
        </is>
      </c>
      <c r="B551" t="inlineStr">
        <is>
          <t>FICO x CHANNEL / SYS_FLAG</t>
        </is>
      </c>
      <c r="C551" t="inlineStr">
        <is>
          <t>746 - 921</t>
        </is>
      </c>
      <c r="D551" t="inlineStr">
        <is>
          <t>Broker / SYS_FLAG Y</t>
        </is>
      </c>
      <c r="E551" t="inlineStr">
        <is>
          <t>gco_rate</t>
        </is>
      </c>
      <c r="F551" t="inlineStr">
        <is>
          <t>GCO per booked dollar</t>
        </is>
      </c>
      <c r="G551" t="n">
        <v>237</v>
      </c>
      <c r="H551" t="n">
        <v>7733806.240000006</v>
      </c>
      <c r="I551" t="b">
        <v>0</v>
      </c>
      <c r="J551" t="b">
        <v>0</v>
      </c>
      <c r="K551" t="n">
        <v>0.6368364462932679</v>
      </c>
      <c r="L551" t="n">
        <v>0.2398289582806425</v>
      </c>
      <c r="M551" t="n">
        <v>1.482031176631609</v>
      </c>
      <c r="N551" t="n">
        <v>0.454287904542879</v>
      </c>
      <c r="O551" t="n">
        <v>-118140.0203519526</v>
      </c>
      <c r="P551" t="n">
        <v>67381.47023849803</v>
      </c>
      <c r="Q551">
        <f>'_live'!$C$22</f>
        <v/>
      </c>
      <c r="R551" t="inlineStr">
        <is>
          <t>shuffled: 1,630 of 10,000</t>
        </is>
      </c>
      <c r="S551" t="inlineStr">
        <is>
          <t>shuffled: 2,566 of 10,000</t>
        </is>
      </c>
      <c r="T551" t="n">
        <v>0.04206312134760081</v>
      </c>
      <c r="U551" t="n">
        <v>0.01807474035727871</v>
      </c>
      <c r="V551">
        <f>AND(judged_band,NOT($J551))</f>
        <v/>
      </c>
      <c r="W551">
        <f>IF($K551="","",IF($I551,"too few losses to test",IF(AND($K551&gt;better_at,$K551&lt;worse_at),"in line",IF($K551&gt;=worse_at,IF(AND(ISNUMBER($L551),$L551&lt;significance_bar),"worse","worse, not significant"),IF(AND(ISNUMBER($L551),$L551&lt;significance_bar),"better","better, not significant")))))</f>
        <v/>
      </c>
      <c r="X551">
        <f>IF($M551="","",IF($I551,"too few losses to test",IF(AND($M551&gt;better_at,$M551&lt;worse_at),"in line",IF($M551&gt;=worse_at,IF(AND(ISNUMBER($N551),$N551&lt;significance_bar),"worse","worse, not significant"),IF(AND(ISNUMBER($N551),$N551&lt;significance_bar),"better","better, not significant")))))</f>
        <v/>
      </c>
      <c r="Y551">
        <f>IF($V551,$X551,$W551)</f>
        <v/>
      </c>
      <c r="Z551">
        <f>IF($V551,IF($P551="","",$P551),IF($O551="","",$O551))</f>
        <v/>
      </c>
      <c r="AA551">
        <f>IF(OR($Q551="",$Z551=""),"",IF(AND($Z551&gt;0,$Z551&gt;=$Q551),"yes","below the line"))</f>
        <v/>
      </c>
      <c r="AB551">
        <f>IF($V551,IF($M551="","",$M551),IF($K551="","",$K551))</f>
        <v/>
      </c>
      <c r="AC551">
        <f>IF($V551,IF($N551="","",$N551),IF($L551="","",$L551))</f>
        <v/>
      </c>
      <c r="AD551">
        <f>$Y551</f>
        <v/>
      </c>
      <c r="AE551">
        <f>IF($V551,IF($S551="","",$S551),IF($R551="","",$R551))</f>
        <v/>
      </c>
      <c r="AF551">
        <f>IF($V551,IF($U551="","",$U551),IF($T551="","",$T551))</f>
        <v/>
      </c>
      <c r="AG551">
        <f>IF($V551,IF($O551="","",$O551),IF($P551="","",$P551))</f>
        <v/>
      </c>
      <c r="AH551" t="n">
        <v>0.02678732871900859</v>
      </c>
      <c r="AI551">
        <f>IF($Y551="worse","Yes",IF($Y551="worse, not significant","Not sure",IF(OR($Y551="too few losses to test",$Y551="too few loans to test"),"Too few losses",IF($Y551="","","No"))))</f>
        <v/>
      </c>
      <c r="AJ551">
        <f>IF($AA551="yes","Yes",IF($AA551="","","No"))</f>
        <v/>
      </c>
    </row>
    <row r="552">
      <c r="A552" t="inlineStr">
        <is>
          <t>three-way</t>
        </is>
      </c>
      <c r="B552" t="inlineStr">
        <is>
          <t>FICO x CHANNEL / SYS_FLAG</t>
        </is>
      </c>
      <c r="C552" t="inlineStr">
        <is>
          <t>746 - 921</t>
        </is>
      </c>
      <c r="D552" t="inlineStr">
        <is>
          <t>Broker / SYS_FLAG Y</t>
        </is>
      </c>
      <c r="E552" t="inlineStr">
        <is>
          <t>ranr_rate</t>
        </is>
      </c>
      <c r="F552" t="inlineStr">
        <is>
          <t>Profit after losses: RANR per booked dollar</t>
        </is>
      </c>
      <c r="G552" t="n">
        <v>237</v>
      </c>
      <c r="H552" t="n">
        <v>7733806.240000006</v>
      </c>
      <c r="I552" t="b">
        <v>0</v>
      </c>
      <c r="J552" t="b">
        <v>0</v>
      </c>
      <c r="K552" t="n">
        <v>-0.09148849612904536</v>
      </c>
      <c r="L552" t="n">
        <v>0.0002845869259227924</v>
      </c>
      <c r="M552" t="n">
        <v>-0.008855635174494801</v>
      </c>
      <c r="N552" t="n">
        <v>0.5897057353088221</v>
      </c>
      <c r="O552" t="n">
        <v>707554.3022510274</v>
      </c>
      <c r="P552" t="n">
        <v>68487.76657167141</v>
      </c>
      <c r="Q552">
        <f>'_live'!$C$23</f>
        <v/>
      </c>
      <c r="R552" t="inlineStr">
        <is>
          <t>shuffled: 0 of 10,000</t>
        </is>
      </c>
      <c r="S552" t="inlineStr">
        <is>
          <t>shuffled: 2,765 of 10,000</t>
        </is>
      </c>
      <c r="T552" t="n">
        <v>0.1307317808172844</v>
      </c>
      <c r="U552" t="n">
        <v>0.04809891986273387</v>
      </c>
      <c r="V552">
        <f>AND(judged_band,NOT($J552))</f>
        <v/>
      </c>
      <c r="W552">
        <f>IF($K552="","",IF(profit_kind="test",IF(OR(NOT(AND(ISNUMBER($L552),$L552&lt;significance_bar)),$K552=0),"in line",IF($K552&lt;0,"worse","better")),IF(OR($K552=0,IF(profit_kind="points",ABS($K552),ABS($K552*$H552))&lt;profit_line*(1-1E-9)),"in line",IF(AND(ISNUMBER($L552),$L552&lt;significance_bar),IF($K552&lt;0,"worse","better"),IF($K552&lt;0,"worse, not significant","better, not significant")))))</f>
        <v/>
      </c>
      <c r="X552">
        <f>IF($M552="","",IF(profit_kind="test",IF(OR(NOT(AND(ISNUMBER($N552),$N552&lt;significance_bar)),$M552=0),"in line",IF($M552&lt;0,"worse","better")),IF(OR($M552=0,IF(profit_kind="points",ABS($M552),ABS($M552*$H552))&lt;profit_line*(1-1E-9)),"in line",IF(AND(ISNUMBER($N552),$N552&lt;significance_bar),IF($M552&lt;0,"worse","better"),IF($M552&lt;0,"worse, not significant","better, not significant")))))</f>
        <v/>
      </c>
      <c r="Y552">
        <f>IF($V552,$X552,$W552)</f>
        <v/>
      </c>
      <c r="Z552">
        <f>IF($V552,IF($P552="","",$P552),IF($O552="","",$O552))</f>
        <v/>
      </c>
      <c r="AA552">
        <f>IF(OR($Q552="",$Z552=""),"",IF(AND($Z552&gt;0,$Z552&gt;=$Q552),"yes","below the line"))</f>
        <v/>
      </c>
      <c r="AB552">
        <f>IF($V552,IF($M552="","",$M552),IF($K552="","",$K552))</f>
        <v/>
      </c>
      <c r="AC552">
        <f>IF($V552,IF($N552="","",$N552),IF($L552="","",$L552))</f>
        <v/>
      </c>
      <c r="AD552">
        <f>IF($Y552="","",IF($Y552="in line",IF(profit_kind="test",IF(ROUND($AB552*100,2)=0,"0.00",TEXT($AB552*100,"+0.00;-0.00"))&amp;" points against "&amp;IF($V552,"its band","the book")&amp;", "&amp;IF($AC552="","not tested","not significant"),IF(profit_kind="points","within "&amp;TEXT(profit_line*100,"0.00")&amp;" points of "&amp;IF($V552,"its band","the book")&amp;" ("&amp;IF(ROUND($AB552*100,2)=0,"0.00",TEXT($AB552*100,"+0.00;-0.00"))&amp;")","within $"&amp;TEXT(profit_line,"#,##0")&amp;" of "&amp;IF($V552,"its band","the book")&amp;" ("&amp;IF(ROUND($AB552*100,2)=0,"0.00",TEXT($AB552*100,"+0.00;-0.00"))&amp;" points)")),IF(LEFT($Y552,5)="worse","short of ","ahead of ")&amp;IF($V552,"its band","the book")&amp;" by "&amp;TEXT(ABS($AB552)*100,"0.00")&amp;" points"&amp;IF($Z552="",""," ($"&amp;TEXT(ABS($Z552),"#,##0")&amp;")")&amp;IF(RIGHT($Y552,15)="not significant"," (not significant)","")))</f>
        <v/>
      </c>
      <c r="AE552">
        <f>IF($V552,IF($S552="","",$S552),IF($R552="","",$R552))</f>
        <v/>
      </c>
      <c r="AF552">
        <f>IF($V552,IF($U552="","",$U552),IF($T552="","",$T552))</f>
        <v/>
      </c>
      <c r="AG552">
        <f>IF($V552,IF($O552="","",$O552),IF($P552="","",$P552))</f>
        <v/>
      </c>
      <c r="AH552" t="n">
        <v>0.03924328468823907</v>
      </c>
      <c r="AI552">
        <f>IF($Y552="worse","Yes",IF($Y552="worse, not significant","Not sure",IF(OR($Y552="too few losses to test",$Y552="too few loans to test"),"Too few losses",IF($Y552="","","No"))))</f>
        <v/>
      </c>
      <c r="AJ552">
        <f>IF($AA552="yes","Yes",IF($AA552="","","No"))</f>
        <v/>
      </c>
    </row>
    <row r="553">
      <c r="A553" t="inlineStr">
        <is>
          <t>three-way</t>
        </is>
      </c>
      <c r="B553" t="inlineStr">
        <is>
          <t>FICO x CHANNEL / SYS_FLAG</t>
        </is>
      </c>
      <c r="C553" t="inlineStr">
        <is>
          <t>746 - 921</t>
        </is>
      </c>
      <c r="D553" t="inlineStr">
        <is>
          <t>Broker / SYS_FLAG Y</t>
        </is>
      </c>
      <c r="E553" t="inlineStr">
        <is>
          <t>contribution_rate</t>
        </is>
      </c>
      <c r="F553" t="inlineStr">
        <is>
          <t>Contribution before losses per booked dollar</t>
        </is>
      </c>
      <c r="G553" t="n">
        <v>237</v>
      </c>
      <c r="H553" t="n">
        <v>7733806.240000006</v>
      </c>
      <c r="I553" t="b">
        <v>0</v>
      </c>
      <c r="J553" t="b">
        <v>0</v>
      </c>
      <c r="K553" t="n">
        <v>-0.1067617758672179</v>
      </c>
      <c r="L553" t="n">
        <v>0.000184981501849815</v>
      </c>
      <c r="M553" t="n">
        <v>-0.0001430468127649048</v>
      </c>
      <c r="N553" t="n">
        <v>0.9626037396260373</v>
      </c>
      <c r="O553" t="n">
        <v>825674.8883953718</v>
      </c>
      <c r="P553" t="n">
        <v>1106.296333173348</v>
      </c>
      <c r="Q553">
        <f>'_live'!$C$24</f>
        <v/>
      </c>
      <c r="R553" t="inlineStr">
        <is>
          <t>shuffled: 0 of 10,000</t>
        </is>
      </c>
      <c r="S553" t="inlineStr">
        <is>
          <t>shuffled: 9,580 of 10,000</t>
        </is>
      </c>
      <c r="T553" t="n">
        <v>0.1727923892744656</v>
      </c>
      <c r="U553" t="n">
        <v>0.06617366022001257</v>
      </c>
      <c r="V553">
        <f>AND(judged_band,NOT($J553))</f>
        <v/>
      </c>
      <c r="W553">
        <f>IF($K553="","",IF(profit_kind="test",IF(OR(NOT(AND(ISNUMBER($L553),$L553&lt;significance_bar)),$K553=0),"in line",IF($K553&lt;0,"worse","better")),IF(OR($K553=0,IF(profit_kind="points",ABS($K553),ABS($K553*$H553))&lt;profit_line*(1-1E-9)),"in line",IF(AND(ISNUMBER($L553),$L553&lt;significance_bar),IF($K553&lt;0,"worse","better"),IF($K553&lt;0,"worse, not significant","better, not significant")))))</f>
        <v/>
      </c>
      <c r="X553">
        <f>IF($M553="","",IF(profit_kind="test",IF(OR(NOT(AND(ISNUMBER($N553),$N553&lt;significance_bar)),$M553=0),"in line",IF($M553&lt;0,"worse","better")),IF(OR($M553=0,IF(profit_kind="points",ABS($M553),ABS($M553*$H553))&lt;profit_line*(1-1E-9)),"in line",IF(AND(ISNUMBER($N553),$N553&lt;significance_bar),IF($M553&lt;0,"worse","better"),IF($M553&lt;0,"worse, not significant","better, not significant")))))</f>
        <v/>
      </c>
      <c r="Y553">
        <f>IF($V553,$X553,$W553)</f>
        <v/>
      </c>
      <c r="Z553">
        <f>IF($V553,IF($P553="","",$P553),IF($O553="","",$O553))</f>
        <v/>
      </c>
      <c r="AA553">
        <f>IF(OR($Q553="",$Z553=""),"",IF(AND($Z553&gt;0,$Z553&gt;=$Q553),"yes","below the line"))</f>
        <v/>
      </c>
      <c r="AB553">
        <f>IF($V553,IF($M553="","",$M553),IF($K553="","",$K553))</f>
        <v/>
      </c>
      <c r="AC553">
        <f>IF($V553,IF($N553="","",$N553),IF($L553="","",$L553))</f>
        <v/>
      </c>
      <c r="AD553">
        <f>IF($Y553="","",IF($Y553="in line",IF(profit_kind="test",IF(ROUND($AB553*100,2)=0,"0.00",TEXT($AB553*100,"+0.00;-0.00"))&amp;" points against "&amp;IF($V553,"its band","the book")&amp;", "&amp;IF($AC553="","not tested","not significant"),IF(profit_kind="points","within "&amp;TEXT(profit_line*100,"0.00")&amp;" points of "&amp;IF($V553,"its band","the book")&amp;" ("&amp;IF(ROUND($AB553*100,2)=0,"0.00",TEXT($AB553*100,"+0.00;-0.00"))&amp;")","within $"&amp;TEXT(profit_line,"#,##0")&amp;" of "&amp;IF($V553,"its band","the book")&amp;" ("&amp;IF(ROUND($AB553*100,2)=0,"0.00",TEXT($AB553*100,"+0.00;-0.00"))&amp;" points)")),IF(LEFT($Y553,5)="worse","short of ","ahead of ")&amp;IF($V553,"its band","the book")&amp;" by "&amp;TEXT(ABS($AB553)*100,"0.00")&amp;" points"&amp;IF($Z553="",""," ($"&amp;TEXT(ABS($Z553),"#,##0")&amp;")")&amp;IF(RIGHT($Y553,15)="not significant"," (not significant)","")))</f>
        <v/>
      </c>
      <c r="AE553">
        <f>IF($V553,IF($S553="","",$S553),IF($R553="","",$R553))</f>
        <v/>
      </c>
      <c r="AF553">
        <f>IF($V553,IF($U553="","",$U553),IF($T553="","",$T553))</f>
        <v/>
      </c>
      <c r="AG553">
        <f>IF($V553,IF($O553="","",$O553),IF($P553="","",$P553))</f>
        <v/>
      </c>
      <c r="AH553" t="n">
        <v>0.06603061340724767</v>
      </c>
      <c r="AI553">
        <f>IF($Y553="worse","Yes",IF($Y553="worse, not significant","Not sure",IF(OR($Y553="too few losses to test",$Y553="too few loans to test"),"Too few losses",IF($Y553="","","No"))))</f>
        <v/>
      </c>
      <c r="AJ553">
        <f>IF($AA553="yes","Yes",IF($AA553="","","No"))</f>
        <v/>
      </c>
    </row>
    <row r="554">
      <c r="A554" t="inlineStr">
        <is>
          <t>three-way</t>
        </is>
      </c>
      <c r="B554" t="inlineStr">
        <is>
          <t>FICO x CHANNEL / SYS_FLAG</t>
        </is>
      </c>
      <c r="C554" t="inlineStr">
        <is>
          <t>686 - 711</t>
        </is>
      </c>
      <c r="D554" t="inlineStr">
        <is>
          <t>Branch / SYS_FLAG Y</t>
        </is>
      </c>
      <c r="E554" t="inlineStr">
        <is>
          <t>outcome_loans</t>
        </is>
      </c>
      <c r="F554" t="inlineStr">
        <is>
          <t>Outcome, share of loans</t>
        </is>
      </c>
      <c r="G554" t="n">
        <v>235</v>
      </c>
      <c r="H554" t="n">
        <v>235</v>
      </c>
      <c r="I554" t="b">
        <v>0</v>
      </c>
      <c r="J554" t="b">
        <v>0</v>
      </c>
      <c r="K554" t="n">
        <v>0.5977323628219484</v>
      </c>
      <c r="L554" t="n">
        <v>0.1704226974856417</v>
      </c>
      <c r="M554" t="n">
        <v>0.7307634543178974</v>
      </c>
      <c r="N554" t="n">
        <v>0.4563275159972116</v>
      </c>
      <c r="O554" t="n">
        <v>-7.402885110767645</v>
      </c>
      <c r="P554" t="n">
        <v>-4.052750565184628</v>
      </c>
      <c r="Q554">
        <f>'_live'!$C$20</f>
        <v/>
      </c>
      <c r="R554" t="inlineStr">
        <is>
          <t>z test</t>
        </is>
      </c>
      <c r="S554" t="inlineStr">
        <is>
          <t>z test</t>
        </is>
      </c>
      <c r="T554" t="n">
        <v>0.0783101494075219</v>
      </c>
      <c r="U554" t="n">
        <v>0.06405425772418991</v>
      </c>
      <c r="V554">
        <f>AND(judged_band,NOT($J554))</f>
        <v/>
      </c>
      <c r="W554">
        <f>IF($K554="","",IF($I554,"too few losses to test",IF(AND($K554&gt;better_at,$K554&lt;worse_at),"in line",IF($K554&gt;=worse_at,IF(AND(ISNUMBER($L554),$L554&lt;significance_bar),"worse","worse, not significant"),IF(AND(ISNUMBER($L554),$L554&lt;significance_bar),"better","better, not significant")))))</f>
        <v/>
      </c>
      <c r="X554">
        <f>IF($M554="","",IF($I554,"too few losses to test",IF(AND($M554&gt;better_at,$M554&lt;worse_at),"in line",IF($M554&gt;=worse_at,IF(AND(ISNUMBER($N554),$N554&lt;significance_bar),"worse","worse, not significant"),IF(AND(ISNUMBER($N554),$N554&lt;significance_bar),"better","better, not significant")))))</f>
        <v/>
      </c>
      <c r="Y554">
        <f>IF($V554,$X554,$W554)</f>
        <v/>
      </c>
      <c r="Z554">
        <f>IF($V554,IF($P554="","",$P554),IF($O554="","",$O554))</f>
        <v/>
      </c>
      <c r="AA554">
        <f>IF(OR($Q554="",$Z554=""),"",IF(AND($Z554&gt;0,$Z554&gt;=$Q554),"yes","below the line"))</f>
        <v/>
      </c>
      <c r="AB554">
        <f>IF($V554,IF($M554="","",$M554),IF($K554="","",$K554))</f>
        <v/>
      </c>
      <c r="AC554">
        <f>IF($V554,IF($N554="","",$N554),IF($L554="","",$L554))</f>
        <v/>
      </c>
      <c r="AD554">
        <f>$Y554</f>
        <v/>
      </c>
      <c r="AE554">
        <f>IF($V554,IF($S554="","",$S554),IF($R554="","",$R554))</f>
        <v/>
      </c>
      <c r="AF554">
        <f>IF($V554,IF($U554="","",$U554),IF($T554="","",$T554))</f>
        <v/>
      </c>
      <c r="AG554">
        <f>IF($V554,IF($O554="","",$O554),IF($P554="","",$P554))</f>
        <v/>
      </c>
      <c r="AH554" t="n">
        <v>0.04680851063829787</v>
      </c>
      <c r="AI554">
        <f>IF($Y554="worse","Yes",IF($Y554="worse, not significant","Not sure",IF(OR($Y554="too few losses to test",$Y554="too few loans to test"),"Too few losses",IF($Y554="","","No"))))</f>
        <v/>
      </c>
      <c r="AJ554">
        <f>IF($AA554="yes","Yes",IF($AA554="","","No"))</f>
        <v/>
      </c>
    </row>
    <row r="555">
      <c r="A555" t="inlineStr">
        <is>
          <t>three-way</t>
        </is>
      </c>
      <c r="B555" t="inlineStr">
        <is>
          <t>FICO x CHANNEL / SYS_FLAG</t>
        </is>
      </c>
      <c r="C555" t="inlineStr">
        <is>
          <t>686 - 711</t>
        </is>
      </c>
      <c r="D555" t="inlineStr">
        <is>
          <t>Branch / SYS_FLAG Y</t>
        </is>
      </c>
      <c r="E555" t="inlineStr">
        <is>
          <t>outcome_booked</t>
        </is>
      </c>
      <c r="F555" t="inlineStr">
        <is>
          <t>Outcome, share of booked dollars</t>
        </is>
      </c>
      <c r="G555" t="n">
        <v>235</v>
      </c>
      <c r="H555" t="n">
        <v>7589760.98</v>
      </c>
      <c r="I555" t="b">
        <v>0</v>
      </c>
      <c r="J555" t="b">
        <v>0</v>
      </c>
      <c r="K555" t="n">
        <v>0.5689410122981519</v>
      </c>
      <c r="L555" t="n">
        <v>0.1678403588212607</v>
      </c>
      <c r="M555" t="n">
        <v>0.7275907255115405</v>
      </c>
      <c r="N555" t="n">
        <v>0.5509975318257648</v>
      </c>
      <c r="O555" t="n">
        <v>-247956.6155146936</v>
      </c>
      <c r="P555" t="n">
        <v>-122529.5874565162</v>
      </c>
      <c r="Q555">
        <f>'_live'!$C$21</f>
        <v/>
      </c>
      <c r="R555" t="inlineStr">
        <is>
          <t>shuffled: 910 of 10,000</t>
        </is>
      </c>
      <c r="S555" t="inlineStr">
        <is>
          <t>shuffled: 3,647 of 10,000</t>
        </is>
      </c>
      <c r="T555" t="n">
        <v>0.07578982355709094</v>
      </c>
      <c r="U555" t="n">
        <v>0.0592640029958514</v>
      </c>
      <c r="V555">
        <f>AND(judged_band,NOT($J555))</f>
        <v/>
      </c>
      <c r="W555">
        <f>IF($K555="","",IF($I555,"too few losses to test",IF(AND($K555&gt;better_at,$K555&lt;worse_at),"in line",IF($K555&gt;=worse_at,IF(AND(ISNUMBER($L555),$L555&lt;significance_bar),"worse","worse, not significant"),IF(AND(ISNUMBER($L555),$L555&lt;significance_bar),"better","better, not significant")))))</f>
        <v/>
      </c>
      <c r="X555">
        <f>IF($M555="","",IF($I555,"too few losses to test",IF(AND($M555&gt;better_at,$M555&lt;worse_at),"in line",IF($M555&gt;=worse_at,IF(AND(ISNUMBER($N555),$N555&lt;significance_bar),"worse","worse, not significant"),IF(AND(ISNUMBER($N555),$N555&lt;significance_bar),"better","better, not significant")))))</f>
        <v/>
      </c>
      <c r="Y555">
        <f>IF($V555,$X555,$W555)</f>
        <v/>
      </c>
      <c r="Z555">
        <f>IF($V555,IF($P555="","",$P555),IF($O555="","",$O555))</f>
        <v/>
      </c>
      <c r="AA555">
        <f>IF(OR($Q555="",$Z555=""),"",IF(AND($Z555&gt;0,$Z555&gt;=$Q555),"yes","below the line"))</f>
        <v/>
      </c>
      <c r="AB555">
        <f>IF($V555,IF($M555="","",$M555),IF($K555="","",$K555))</f>
        <v/>
      </c>
      <c r="AC555">
        <f>IF($V555,IF($N555="","",$N555),IF($L555="","",$L555))</f>
        <v/>
      </c>
      <c r="AD555">
        <f>$Y555</f>
        <v/>
      </c>
      <c r="AE555">
        <f>IF($V555,IF($S555="","",$S555),IF($R555="","",$R555))</f>
        <v/>
      </c>
      <c r="AF555">
        <f>IF($V555,IF($U555="","",$U555),IF($T555="","",$T555))</f>
        <v/>
      </c>
      <c r="AG555">
        <f>IF($V555,IF($O555="","",$O555),IF($P555="","",$P555))</f>
        <v/>
      </c>
      <c r="AH555" t="n">
        <v>0.04311993893646963</v>
      </c>
      <c r="AI555">
        <f>IF($Y555="worse","Yes",IF($Y555="worse, not significant","Not sure",IF(OR($Y555="too few losses to test",$Y555="too few loans to test"),"Too few losses",IF($Y555="","","No"))))</f>
        <v/>
      </c>
      <c r="AJ555">
        <f>IF($AA555="yes","Yes",IF($AA555="","","No"))</f>
        <v/>
      </c>
    </row>
    <row r="556">
      <c r="A556" t="inlineStr">
        <is>
          <t>three-way</t>
        </is>
      </c>
      <c r="B556" t="inlineStr">
        <is>
          <t>FICO x CHANNEL / SYS_FLAG</t>
        </is>
      </c>
      <c r="C556" t="inlineStr">
        <is>
          <t>686 - 711</t>
        </is>
      </c>
      <c r="D556" t="inlineStr">
        <is>
          <t>Branch / SYS_FLAG Y</t>
        </is>
      </c>
      <c r="E556" t="inlineStr">
        <is>
          <t>gco_rate</t>
        </is>
      </c>
      <c r="F556" t="inlineStr">
        <is>
          <t>GCO per booked dollar</t>
        </is>
      </c>
      <c r="G556" t="n">
        <v>235</v>
      </c>
      <c r="H556" t="n">
        <v>7589760.98</v>
      </c>
      <c r="I556" t="b">
        <v>0</v>
      </c>
      <c r="J556" t="b">
        <v>0</v>
      </c>
      <c r="K556" t="n">
        <v>0.4929448166433723</v>
      </c>
      <c r="L556" t="n">
        <v>0.1118638136186381</v>
      </c>
      <c r="M556" t="n">
        <v>0.6236358076004213</v>
      </c>
      <c r="N556" t="n">
        <v>0.4211117349803482</v>
      </c>
      <c r="O556" t="n">
        <v>-162539.0787248789</v>
      </c>
      <c r="P556" t="n">
        <v>-95362.60932409967</v>
      </c>
      <c r="Q556">
        <f>'_live'!$C$22</f>
        <v/>
      </c>
      <c r="R556" t="inlineStr">
        <is>
          <t>shuffled: 506 of 10,000</t>
        </is>
      </c>
      <c r="S556" t="inlineStr">
        <is>
          <t>shuffled: 2,189 of 10,000</t>
        </is>
      </c>
      <c r="T556" t="n">
        <v>0.04223519153891443</v>
      </c>
      <c r="U556" t="n">
        <v>0.03338425808029855</v>
      </c>
      <c r="V556">
        <f>AND(judged_band,NOT($J556))</f>
        <v/>
      </c>
      <c r="W556">
        <f>IF($K556="","",IF($I556,"too few losses to test",IF(AND($K556&gt;better_at,$K556&lt;worse_at),"in line",IF($K556&gt;=worse_at,IF(AND(ISNUMBER($L556),$L556&lt;significance_bar),"worse","worse, not significant"),IF(AND(ISNUMBER($L556),$L556&lt;significance_bar),"better","better, not significant")))))</f>
        <v/>
      </c>
      <c r="X556">
        <f>IF($M556="","",IF($I556,"too few losses to test",IF(AND($M556&gt;better_at,$M556&lt;worse_at),"in line",IF($M556&gt;=worse_at,IF(AND(ISNUMBER($N556),$N556&lt;significance_bar),"worse","worse, not significant"),IF(AND(ISNUMBER($N556),$N556&lt;significance_bar),"better","better, not significant")))))</f>
        <v/>
      </c>
      <c r="Y556">
        <f>IF($V556,$X556,$W556)</f>
        <v/>
      </c>
      <c r="Z556">
        <f>IF($V556,IF($P556="","",$P556),IF($O556="","",$O556))</f>
        <v/>
      </c>
      <c r="AA556">
        <f>IF(OR($Q556="",$Z556=""),"",IF(AND($Z556&gt;0,$Z556&gt;=$Q556),"yes","below the line"))</f>
        <v/>
      </c>
      <c r="AB556">
        <f>IF($V556,IF($M556="","",$M556),IF($K556="","",$K556))</f>
        <v/>
      </c>
      <c r="AC556">
        <f>IF($V556,IF($N556="","",$N556),IF($L556="","",$L556))</f>
        <v/>
      </c>
      <c r="AD556">
        <f>$Y556</f>
        <v/>
      </c>
      <c r="AE556">
        <f>IF($V556,IF($S556="","",$S556),IF($R556="","",$R556))</f>
        <v/>
      </c>
      <c r="AF556">
        <f>IF($V556,IF($U556="","",$U556),IF($T556="","",$T556))</f>
        <v/>
      </c>
      <c r="AG556">
        <f>IF($V556,IF($O556="","",$O556),IF($P556="","",$P556))</f>
        <v/>
      </c>
      <c r="AH556" t="n">
        <v>0.02081961874904788</v>
      </c>
      <c r="AI556">
        <f>IF($Y556="worse","Yes",IF($Y556="worse, not significant","Not sure",IF(OR($Y556="too few losses to test",$Y556="too few loans to test"),"Too few losses",IF($Y556="","","No"))))</f>
        <v/>
      </c>
      <c r="AJ556">
        <f>IF($AA556="yes","Yes",IF($AA556="","","No"))</f>
        <v/>
      </c>
    </row>
    <row r="557">
      <c r="A557" t="inlineStr">
        <is>
          <t>three-way</t>
        </is>
      </c>
      <c r="B557" t="inlineStr">
        <is>
          <t>FICO x CHANNEL / SYS_FLAG</t>
        </is>
      </c>
      <c r="C557" t="inlineStr">
        <is>
          <t>686 - 711</t>
        </is>
      </c>
      <c r="D557" t="inlineStr">
        <is>
          <t>Branch / SYS_FLAG Y</t>
        </is>
      </c>
      <c r="E557" t="inlineStr">
        <is>
          <t>ranr_rate</t>
        </is>
      </c>
      <c r="F557" t="inlineStr">
        <is>
          <t>Profit after losses: RANR per booked dollar</t>
        </is>
      </c>
      <c r="G557" t="n">
        <v>235</v>
      </c>
      <c r="H557" t="n">
        <v>7589760.98</v>
      </c>
      <c r="I557" t="b">
        <v>0</v>
      </c>
      <c r="J557" t="b">
        <v>0</v>
      </c>
      <c r="K557" t="n">
        <v>0.004003864381393413</v>
      </c>
      <c r="L557" t="n">
        <v>0.8837491250874913</v>
      </c>
      <c r="M557" t="n">
        <v>-0.01179724032027063</v>
      </c>
      <c r="N557" t="n">
        <v>0.6081677546531061</v>
      </c>
      <c r="O557" t="n">
        <v>-30388.3736511115</v>
      </c>
      <c r="P557" t="n">
        <v>89538.23425447277</v>
      </c>
      <c r="Q557">
        <f>'_live'!$C$23</f>
        <v/>
      </c>
      <c r="R557" t="inlineStr">
        <is>
          <t>shuffled: 7,643 of 10,000</t>
        </is>
      </c>
      <c r="S557" t="inlineStr">
        <is>
          <t>shuffled: 3,547 of 10,000</t>
        </is>
      </c>
      <c r="T557" t="n">
        <v>0.1278722964934382</v>
      </c>
      <c r="U557" t="n">
        <v>0.1436734011951022</v>
      </c>
      <c r="V557">
        <f>AND(judged_band,NOT($J557))</f>
        <v/>
      </c>
      <c r="W557">
        <f>IF($K557="","",IF(profit_kind="test",IF(OR(NOT(AND(ISNUMBER($L557),$L557&lt;significance_bar)),$K557=0),"in line",IF($K557&lt;0,"worse","better")),IF(OR($K557=0,IF(profit_kind="points",ABS($K557),ABS($K557*$H557))&lt;profit_line*(1-1E-9)),"in line",IF(AND(ISNUMBER($L557),$L557&lt;significance_bar),IF($K557&lt;0,"worse","better"),IF($K557&lt;0,"worse, not significant","better, not significant")))))</f>
        <v/>
      </c>
      <c r="X557">
        <f>IF($M557="","",IF(profit_kind="test",IF(OR(NOT(AND(ISNUMBER($N557),$N557&lt;significance_bar)),$M557=0),"in line",IF($M557&lt;0,"worse","better")),IF(OR($M557=0,IF(profit_kind="points",ABS($M557),ABS($M557*$H557))&lt;profit_line*(1-1E-9)),"in line",IF(AND(ISNUMBER($N557),$N557&lt;significance_bar),IF($M557&lt;0,"worse","better"),IF($M557&lt;0,"worse, not significant","better, not significant")))))</f>
        <v/>
      </c>
      <c r="Y557">
        <f>IF($V557,$X557,$W557)</f>
        <v/>
      </c>
      <c r="Z557">
        <f>IF($V557,IF($P557="","",$P557),IF($O557="","",$O557))</f>
        <v/>
      </c>
      <c r="AA557">
        <f>IF(OR($Q557="",$Z557=""),"",IF(AND($Z557&gt;0,$Z557&gt;=$Q557),"yes","below the line"))</f>
        <v/>
      </c>
      <c r="AB557">
        <f>IF($V557,IF($M557="","",$M557),IF($K557="","",$K557))</f>
        <v/>
      </c>
      <c r="AC557">
        <f>IF($V557,IF($N557="","",$N557),IF($L557="","",$L557))</f>
        <v/>
      </c>
      <c r="AD557">
        <f>IF($Y557="","",IF($Y557="in line",IF(profit_kind="test",IF(ROUND($AB557*100,2)=0,"0.00",TEXT($AB557*100,"+0.00;-0.00"))&amp;" points against "&amp;IF($V557,"its band","the book")&amp;", "&amp;IF($AC557="","not tested","not significant"),IF(profit_kind="points","within "&amp;TEXT(profit_line*100,"0.00")&amp;" points of "&amp;IF($V557,"its band","the book")&amp;" ("&amp;IF(ROUND($AB557*100,2)=0,"0.00",TEXT($AB557*100,"+0.00;-0.00"))&amp;")","within $"&amp;TEXT(profit_line,"#,##0")&amp;" of "&amp;IF($V557,"its band","the book")&amp;" ("&amp;IF(ROUND($AB557*100,2)=0,"0.00",TEXT($AB557*100,"+0.00;-0.00"))&amp;" points)")),IF(LEFT($Y557,5)="worse","short of ","ahead of ")&amp;IF($V557,"its band","the book")&amp;" by "&amp;TEXT(ABS($AB557)*100,"0.00")&amp;" points"&amp;IF($Z557="",""," ($"&amp;TEXT(ABS($Z557),"#,##0")&amp;")")&amp;IF(RIGHT($Y557,15)="not significant"," (not significant)","")))</f>
        <v/>
      </c>
      <c r="AE557">
        <f>IF($V557,IF($S557="","",$S557),IF($R557="","",$R557))</f>
        <v/>
      </c>
      <c r="AF557">
        <f>IF($V557,IF($U557="","",$U557),IF($T557="","",$T557))</f>
        <v/>
      </c>
      <c r="AG557">
        <f>IF($V557,IF($O557="","",$O557),IF($P557="","",$P557))</f>
        <v/>
      </c>
      <c r="AH557" t="n">
        <v>0.1318761608748316</v>
      </c>
      <c r="AI557">
        <f>IF($Y557="worse","Yes",IF($Y557="worse, not significant","Not sure",IF(OR($Y557="too few losses to test",$Y557="too few loans to test"),"Too few losses",IF($Y557="","","No"))))</f>
        <v/>
      </c>
      <c r="AJ557">
        <f>IF($AA557="yes","Yes",IF($AA557="","","No"))</f>
        <v/>
      </c>
    </row>
    <row r="558">
      <c r="A558" t="inlineStr">
        <is>
          <t>three-way</t>
        </is>
      </c>
      <c r="B558" t="inlineStr">
        <is>
          <t>FICO x CHANNEL / SYS_FLAG</t>
        </is>
      </c>
      <c r="C558" t="inlineStr">
        <is>
          <t>686 - 711</t>
        </is>
      </c>
      <c r="D558" t="inlineStr">
        <is>
          <t>Branch / SYS_FLAG Y</t>
        </is>
      </c>
      <c r="E558" t="inlineStr">
        <is>
          <t>contribution_rate</t>
        </is>
      </c>
      <c r="F558" t="inlineStr">
        <is>
          <t>Contribution before losses per booked dollar</t>
        </is>
      </c>
      <c r="G558" t="n">
        <v>235</v>
      </c>
      <c r="H558" t="n">
        <v>7589760.98</v>
      </c>
      <c r="I558" t="b">
        <v>0</v>
      </c>
      <c r="J558" t="b">
        <v>0</v>
      </c>
      <c r="K558" t="n">
        <v>-0.0174087438510396</v>
      </c>
      <c r="L558" t="n">
        <v>0.06825179551010417</v>
      </c>
      <c r="M558" t="n">
        <v>-0.0243618796515212</v>
      </c>
      <c r="N558" t="n">
        <v>0.00287971202879712</v>
      </c>
      <c r="O558" t="n">
        <v>132128.2047914353</v>
      </c>
      <c r="P558" t="n">
        <v>184900.8435785717</v>
      </c>
      <c r="Q558">
        <f>'_live'!$C$24</f>
        <v/>
      </c>
      <c r="R558" t="inlineStr">
        <is>
          <t>shuffled: 508 of 10,000</t>
        </is>
      </c>
      <c r="S558" t="inlineStr">
        <is>
          <t>shuffled: 7 of 10,000</t>
        </is>
      </c>
      <c r="T558" t="n">
        <v>0.1701045234749192</v>
      </c>
      <c r="U558" t="n">
        <v>0.1770576592754008</v>
      </c>
      <c r="V558">
        <f>AND(judged_band,NOT($J558))</f>
        <v/>
      </c>
      <c r="W558">
        <f>IF($K558="","",IF(profit_kind="test",IF(OR(NOT(AND(ISNUMBER($L558),$L558&lt;significance_bar)),$K558=0),"in line",IF($K558&lt;0,"worse","better")),IF(OR($K558=0,IF(profit_kind="points",ABS($K558),ABS($K558*$H558))&lt;profit_line*(1-1E-9)),"in line",IF(AND(ISNUMBER($L558),$L558&lt;significance_bar),IF($K558&lt;0,"worse","better"),IF($K558&lt;0,"worse, not significant","better, not significant")))))</f>
        <v/>
      </c>
      <c r="X558">
        <f>IF($M558="","",IF(profit_kind="test",IF(OR(NOT(AND(ISNUMBER($N558),$N558&lt;significance_bar)),$M558=0),"in line",IF($M558&lt;0,"worse","better")),IF(OR($M558=0,IF(profit_kind="points",ABS($M558),ABS($M558*$H558))&lt;profit_line*(1-1E-9)),"in line",IF(AND(ISNUMBER($N558),$N558&lt;significance_bar),IF($M558&lt;0,"worse","better"),IF($M558&lt;0,"worse, not significant","better, not significant")))))</f>
        <v/>
      </c>
      <c r="Y558">
        <f>IF($V558,$X558,$W558)</f>
        <v/>
      </c>
      <c r="Z558">
        <f>IF($V558,IF($P558="","",$P558),IF($O558="","",$O558))</f>
        <v/>
      </c>
      <c r="AA558">
        <f>IF(OR($Q558="",$Z558=""),"",IF(AND($Z558&gt;0,$Z558&gt;=$Q558),"yes","below the line"))</f>
        <v/>
      </c>
      <c r="AB558">
        <f>IF($V558,IF($M558="","",$M558),IF($K558="","",$K558))</f>
        <v/>
      </c>
      <c r="AC558">
        <f>IF($V558,IF($N558="","",$N558),IF($L558="","",$L558))</f>
        <v/>
      </c>
      <c r="AD558">
        <f>IF($Y558="","",IF($Y558="in line",IF(profit_kind="test",IF(ROUND($AB558*100,2)=0,"0.00",TEXT($AB558*100,"+0.00;-0.00"))&amp;" points against "&amp;IF($V558,"its band","the book")&amp;", "&amp;IF($AC558="","not tested","not significant"),IF(profit_kind="points","within "&amp;TEXT(profit_line*100,"0.00")&amp;" points of "&amp;IF($V558,"its band","the book")&amp;" ("&amp;IF(ROUND($AB558*100,2)=0,"0.00",TEXT($AB558*100,"+0.00;-0.00"))&amp;")","within $"&amp;TEXT(profit_line,"#,##0")&amp;" of "&amp;IF($V558,"its band","the book")&amp;" ("&amp;IF(ROUND($AB558*100,2)=0,"0.00",TEXT($AB558*100,"+0.00;-0.00"))&amp;" points)")),IF(LEFT($Y558,5)="worse","short of ","ahead of ")&amp;IF($V558,"its band","the book")&amp;" by "&amp;TEXT(ABS($AB558)*100,"0.00")&amp;" points"&amp;IF($Z558="",""," ($"&amp;TEXT(ABS($Z558),"#,##0")&amp;")")&amp;IF(RIGHT($Y558,15)="not significant"," (not significant)","")))</f>
        <v/>
      </c>
      <c r="AE558">
        <f>IF($V558,IF($S558="","",$S558),IF($R558="","",$R558))</f>
        <v/>
      </c>
      <c r="AF558">
        <f>IF($V558,IF($U558="","",$U558),IF($T558="","",$T558))</f>
        <v/>
      </c>
      <c r="AG558">
        <f>IF($V558,IF($O558="","",$O558),IF($P558="","",$P558))</f>
        <v/>
      </c>
      <c r="AH558" t="n">
        <v>0.1526957796238796</v>
      </c>
      <c r="AI558">
        <f>IF($Y558="worse","Yes",IF($Y558="worse, not significant","Not sure",IF(OR($Y558="too few losses to test",$Y558="too few loans to test"),"Too few losses",IF($Y558="","","No"))))</f>
        <v/>
      </c>
      <c r="AJ558">
        <f>IF($AA558="yes","Yes",IF($AA558="","","No"))</f>
        <v/>
      </c>
    </row>
    <row r="559">
      <c r="A559" t="inlineStr">
        <is>
          <t>three-way</t>
        </is>
      </c>
      <c r="B559" t="inlineStr">
        <is>
          <t>FICO x CHANNEL / SYS_FLAG</t>
        </is>
      </c>
      <c r="C559" t="inlineStr">
        <is>
          <t>654 - 685</t>
        </is>
      </c>
      <c r="D559" t="inlineStr">
        <is>
          <t>Online / SYS_FLAG Y</t>
        </is>
      </c>
      <c r="E559" t="inlineStr">
        <is>
          <t>outcome_loans</t>
        </is>
      </c>
      <c r="F559" t="inlineStr">
        <is>
          <t>Outcome, share of loans</t>
        </is>
      </c>
      <c r="G559" t="n">
        <v>236</v>
      </c>
      <c r="H559" t="n">
        <v>236</v>
      </c>
      <c r="I559" t="b">
        <v>0</v>
      </c>
      <c r="J559" t="b">
        <v>0</v>
      </c>
      <c r="K559" t="n">
        <v>1.616827061189313</v>
      </c>
      <c r="L559" t="n">
        <v>0.03616756182014194</v>
      </c>
      <c r="M559" t="n">
        <v>1.585291156234268</v>
      </c>
      <c r="N559" t="n">
        <v>0.07538455842940572</v>
      </c>
      <c r="O559" t="n">
        <v>11.06363519258019</v>
      </c>
      <c r="P559" t="n">
        <v>10.70683039140445</v>
      </c>
      <c r="Q559">
        <f>'_live'!$C$20</f>
        <v/>
      </c>
      <c r="R559" t="inlineStr">
        <is>
          <t>z test</t>
        </is>
      </c>
      <c r="S559" t="inlineStr">
        <is>
          <t>z test</t>
        </is>
      </c>
      <c r="T559" t="n">
        <v>0.07600154579415175</v>
      </c>
      <c r="U559" t="n">
        <v>0.07751343054489639</v>
      </c>
      <c r="V559">
        <f>AND(judged_band,NOT($J559))</f>
        <v/>
      </c>
      <c r="W559">
        <f>IF($K559="","",IF($I559,"too few losses to test",IF(AND($K559&gt;better_at,$K559&lt;worse_at),"in line",IF($K559&gt;=worse_at,IF(AND(ISNUMBER($L559),$L559&lt;significance_bar),"worse","worse, not significant"),IF(AND(ISNUMBER($L559),$L559&lt;significance_bar),"better","better, not significant")))))</f>
        <v/>
      </c>
      <c r="X559">
        <f>IF($M559="","",IF($I559,"too few losses to test",IF(AND($M559&gt;better_at,$M559&lt;worse_at),"in line",IF($M559&gt;=worse_at,IF(AND(ISNUMBER($N559),$N559&lt;significance_bar),"worse","worse, not significant"),IF(AND(ISNUMBER($N559),$N559&lt;significance_bar),"better","better, not significant")))))</f>
        <v/>
      </c>
      <c r="Y559">
        <f>IF($V559,$X559,$W559)</f>
        <v/>
      </c>
      <c r="Z559">
        <f>IF($V559,IF($P559="","",$P559),IF($O559="","",$O559))</f>
        <v/>
      </c>
      <c r="AA559">
        <f>IF(OR($Q559="",$Z559=""),"",IF(AND($Z559&gt;0,$Z559&gt;=$Q559),"yes","below the line"))</f>
        <v/>
      </c>
      <c r="AB559">
        <f>IF($V559,IF($M559="","",$M559),IF($K559="","",$K559))</f>
        <v/>
      </c>
      <c r="AC559">
        <f>IF($V559,IF($N559="","",$N559),IF($L559="","",$L559))</f>
        <v/>
      </c>
      <c r="AD559">
        <f>$Y559</f>
        <v/>
      </c>
      <c r="AE559">
        <f>IF($V559,IF($S559="","",$S559),IF($R559="","",$R559))</f>
        <v/>
      </c>
      <c r="AF559">
        <f>IF($V559,IF($U559="","",$U559),IF($T559="","",$T559))</f>
        <v/>
      </c>
      <c r="AG559">
        <f>IF($V559,IF($O559="","",$O559),IF($P559="","",$P559))</f>
        <v/>
      </c>
      <c r="AH559" t="n">
        <v>0.1228813559322034</v>
      </c>
      <c r="AI559">
        <f>IF($Y559="worse","Yes",IF($Y559="worse, not significant","Not sure",IF(OR($Y559="too few losses to test",$Y559="too few loans to test"),"Too few losses",IF($Y559="","","No"))))</f>
        <v/>
      </c>
      <c r="AJ559">
        <f>IF($AA559="yes","Yes",IF($AA559="","","No"))</f>
        <v/>
      </c>
    </row>
    <row r="560">
      <c r="A560" t="inlineStr">
        <is>
          <t>three-way</t>
        </is>
      </c>
      <c r="B560" t="inlineStr">
        <is>
          <t>FICO x CHANNEL / SYS_FLAG</t>
        </is>
      </c>
      <c r="C560" t="inlineStr">
        <is>
          <t>654 - 685</t>
        </is>
      </c>
      <c r="D560" t="inlineStr">
        <is>
          <t>Online / SYS_FLAG Y</t>
        </is>
      </c>
      <c r="E560" t="inlineStr">
        <is>
          <t>outcome_booked</t>
        </is>
      </c>
      <c r="F560" t="inlineStr">
        <is>
          <t>Outcome, share of booked dollars</t>
        </is>
      </c>
      <c r="G560" t="n">
        <v>236</v>
      </c>
      <c r="H560" t="n">
        <v>7157252.51</v>
      </c>
      <c r="I560" t="b">
        <v>0</v>
      </c>
      <c r="J560" t="b">
        <v>0</v>
      </c>
      <c r="K560" t="n">
        <v>1.780815831549528</v>
      </c>
      <c r="L560" t="n">
        <v>0.01937306269373063</v>
      </c>
      <c r="M560" t="n">
        <v>1.829878802677026</v>
      </c>
      <c r="N560" t="n">
        <v>0.01714114302855429</v>
      </c>
      <c r="O560" t="n">
        <v>409315.7959435924</v>
      </c>
      <c r="P560" t="n">
        <v>423371.1377864503</v>
      </c>
      <c r="Q560">
        <f>'_live'!$C$21</f>
        <v/>
      </c>
      <c r="R560" t="inlineStr">
        <is>
          <t>shuffled: 30 of 10,000</t>
        </is>
      </c>
      <c r="S560" t="inlineStr">
        <is>
          <t>shuffled: 47 of 10,000</t>
        </is>
      </c>
      <c r="T560" t="n">
        <v>0.073242566658642</v>
      </c>
      <c r="U560" t="n">
        <v>0.07127877652783134</v>
      </c>
      <c r="V560">
        <f>AND(judged_band,NOT($J560))</f>
        <v/>
      </c>
      <c r="W560">
        <f>IF($K560="","",IF($I560,"too few losses to test",IF(AND($K560&gt;better_at,$K560&lt;worse_at),"in line",IF($K560&gt;=worse_at,IF(AND(ISNUMBER($L560),$L560&lt;significance_bar),"worse","worse, not significant"),IF(AND(ISNUMBER($L560),$L560&lt;significance_bar),"better","better, not significant")))))</f>
        <v/>
      </c>
      <c r="X560">
        <f>IF($M560="","",IF($I560,"too few losses to test",IF(AND($M560&gt;better_at,$M560&lt;worse_at),"in line",IF($M560&gt;=worse_at,IF(AND(ISNUMBER($N560),$N560&lt;significance_bar),"worse","worse, not significant"),IF(AND(ISNUMBER($N560),$N560&lt;significance_bar),"better","better, not significant")))))</f>
        <v/>
      </c>
      <c r="Y560">
        <f>IF($V560,$X560,$W560)</f>
        <v/>
      </c>
      <c r="Z560">
        <f>IF($V560,IF($P560="","",$P560),IF($O560="","",$O560))</f>
        <v/>
      </c>
      <c r="AA560">
        <f>IF(OR($Q560="",$Z560=""),"",IF(AND($Z560&gt;0,$Z560&gt;=$Q560),"yes","below the line"))</f>
        <v/>
      </c>
      <c r="AB560">
        <f>IF($V560,IF($M560="","",$M560),IF($K560="","",$K560))</f>
        <v/>
      </c>
      <c r="AC560">
        <f>IF($V560,IF($N560="","",$N560),IF($L560="","",$L560))</f>
        <v/>
      </c>
      <c r="AD560">
        <f>$Y560</f>
        <v/>
      </c>
      <c r="AE560">
        <f>IF($V560,IF($S560="","",$S560),IF($R560="","",$R560))</f>
        <v/>
      </c>
      <c r="AF560">
        <f>IF($V560,IF($U560="","",$U560),IF($T560="","",$T560))</f>
        <v/>
      </c>
      <c r="AG560">
        <f>IF($V560,IF($O560="","",$O560),IF($P560="","",$P560))</f>
        <v/>
      </c>
      <c r="AH560" t="n">
        <v>0.1304315222490313</v>
      </c>
      <c r="AI560">
        <f>IF($Y560="worse","Yes",IF($Y560="worse, not significant","Not sure",IF(OR($Y560="too few losses to test",$Y560="too few loans to test"),"Too few losses",IF($Y560="","","No"))))</f>
        <v/>
      </c>
      <c r="AJ560">
        <f>IF($AA560="yes","Yes",IF($AA560="","","No"))</f>
        <v/>
      </c>
    </row>
    <row r="561">
      <c r="A561" t="inlineStr">
        <is>
          <t>three-way</t>
        </is>
      </c>
      <c r="B561" t="inlineStr">
        <is>
          <t>FICO x CHANNEL / SYS_FLAG</t>
        </is>
      </c>
      <c r="C561" t="inlineStr">
        <is>
          <t>654 - 685</t>
        </is>
      </c>
      <c r="D561" t="inlineStr">
        <is>
          <t>Online / SYS_FLAG Y</t>
        </is>
      </c>
      <c r="E561" t="inlineStr">
        <is>
          <t>gco_rate</t>
        </is>
      </c>
      <c r="F561" t="inlineStr">
        <is>
          <t>GCO per booked dollar</t>
        </is>
      </c>
      <c r="G561" t="n">
        <v>236</v>
      </c>
      <c r="H561" t="n">
        <v>7157252.51</v>
      </c>
      <c r="I561" t="b">
        <v>0</v>
      </c>
      <c r="J561" t="b">
        <v>0</v>
      </c>
      <c r="K561" t="n">
        <v>1.780952542556523</v>
      </c>
      <c r="L561" t="n">
        <v>0.02333100023331</v>
      </c>
      <c r="M561" t="n">
        <v>1.787162976169975</v>
      </c>
      <c r="N561" t="n">
        <v>0.02812218778122188</v>
      </c>
      <c r="O561" t="n">
        <v>227620.8007792249</v>
      </c>
      <c r="P561" t="n">
        <v>228633.6506304707</v>
      </c>
      <c r="Q561">
        <f>'_live'!$C$22</f>
        <v/>
      </c>
      <c r="R561" t="inlineStr">
        <is>
          <t>shuffled: 48 of 10,000</t>
        </is>
      </c>
      <c r="S561" t="inlineStr">
        <is>
          <t>shuffled: 86 of 10,000</t>
        </is>
      </c>
      <c r="T561" t="n">
        <v>0.04072311250910093</v>
      </c>
      <c r="U561" t="n">
        <v>0.04058159872991952</v>
      </c>
      <c r="V561">
        <f>AND(judged_band,NOT($J561))</f>
        <v/>
      </c>
      <c r="W561">
        <f>IF($K561="","",IF($I561,"too few losses to test",IF(AND($K561&gt;better_at,$K561&lt;worse_at),"in line",IF($K561&gt;=worse_at,IF(AND(ISNUMBER($L561),$L561&lt;significance_bar),"worse","worse, not significant"),IF(AND(ISNUMBER($L561),$L561&lt;significance_bar),"better","better, not significant")))))</f>
        <v/>
      </c>
      <c r="X561">
        <f>IF($M561="","",IF($I561,"too few losses to test",IF(AND($M561&gt;better_at,$M561&lt;worse_at),"in line",IF($M561&gt;=worse_at,IF(AND(ISNUMBER($N561),$N561&lt;significance_bar),"worse","worse, not significant"),IF(AND(ISNUMBER($N561),$N561&lt;significance_bar),"better","better, not significant")))))</f>
        <v/>
      </c>
      <c r="Y561">
        <f>IF($V561,$X561,$W561)</f>
        <v/>
      </c>
      <c r="Z561">
        <f>IF($V561,IF($P561="","",$P561),IF($O561="","",$O561))</f>
        <v/>
      </c>
      <c r="AA561">
        <f>IF(OR($Q561="",$Z561=""),"",IF(AND($Z561&gt;0,$Z561&gt;=$Q561),"yes","below the line"))</f>
        <v/>
      </c>
      <c r="AB561">
        <f>IF($V561,IF($M561="","",$M561),IF($K561="","",$K561))</f>
        <v/>
      </c>
      <c r="AC561">
        <f>IF($V561,IF($N561="","",$N561),IF($L561="","",$L561))</f>
        <v/>
      </c>
      <c r="AD561">
        <f>$Y561</f>
        <v/>
      </c>
      <c r="AE561">
        <f>IF($V561,IF($S561="","",$S561),IF($R561="","",$R561))</f>
        <v/>
      </c>
      <c r="AF561">
        <f>IF($V561,IF($U561="","",$U561),IF($T561="","",$T561))</f>
        <v/>
      </c>
      <c r="AG561">
        <f>IF($V561,IF($O561="","",$O561),IF($P561="","",$P561))</f>
        <v/>
      </c>
      <c r="AH561" t="n">
        <v>0.07252593076389867</v>
      </c>
      <c r="AI561">
        <f>IF($Y561="worse","Yes",IF($Y561="worse, not significant","Not sure",IF(OR($Y561="too few losses to test",$Y561="too few loans to test"),"Too few losses",IF($Y561="","","No"))))</f>
        <v/>
      </c>
      <c r="AJ561">
        <f>IF($AA561="yes","Yes",IF($AA561="","","No"))</f>
        <v/>
      </c>
    </row>
    <row r="562">
      <c r="A562" t="inlineStr">
        <is>
          <t>three-way</t>
        </is>
      </c>
      <c r="B562" t="inlineStr">
        <is>
          <t>FICO x CHANNEL / SYS_FLAG</t>
        </is>
      </c>
      <c r="C562" t="inlineStr">
        <is>
          <t>654 - 685</t>
        </is>
      </c>
      <c r="D562" t="inlineStr">
        <is>
          <t>Online / SYS_FLAG Y</t>
        </is>
      </c>
      <c r="E562" t="inlineStr">
        <is>
          <t>ranr_rate</t>
        </is>
      </c>
      <c r="F562" t="inlineStr">
        <is>
          <t>Profit after losses: RANR per booked dollar</t>
        </is>
      </c>
      <c r="G562" t="n">
        <v>236</v>
      </c>
      <c r="H562" t="n">
        <v>7157252.51</v>
      </c>
      <c r="I562" t="b">
        <v>0</v>
      </c>
      <c r="J562" t="b">
        <v>0</v>
      </c>
      <c r="K562" t="n">
        <v>0.0229630191512743</v>
      </c>
      <c r="L562" t="n">
        <v>0.1483215314832153</v>
      </c>
      <c r="M562" t="n">
        <v>-0.01492362446040879</v>
      </c>
      <c r="N562" t="n">
        <v>0.6081677546531061</v>
      </c>
      <c r="O562" t="n">
        <v>-164352.1264576361</v>
      </c>
      <c r="P562" t="n">
        <v>106812.1486275583</v>
      </c>
      <c r="Q562">
        <f>'_live'!$C$23</f>
        <v/>
      </c>
      <c r="R562" t="inlineStr">
        <is>
          <t>shuffled: 881 of 10,000</t>
        </is>
      </c>
      <c r="S562" t="inlineStr">
        <is>
          <t>shuffled: 3,165 of 10,000</t>
        </is>
      </c>
      <c r="T562" t="n">
        <v>0.1273531948563827</v>
      </c>
      <c r="U562" t="n">
        <v>0.1652398384680658</v>
      </c>
      <c r="V562">
        <f>AND(judged_band,NOT($J562))</f>
        <v/>
      </c>
      <c r="W562">
        <f>IF($K562="","",IF(profit_kind="test",IF(OR(NOT(AND(ISNUMBER($L562),$L562&lt;significance_bar)),$K562=0),"in line",IF($K562&lt;0,"worse","better")),IF(OR($K562=0,IF(profit_kind="points",ABS($K562),ABS($K562*$H562))&lt;profit_line*(1-1E-9)),"in line",IF(AND(ISNUMBER($L562),$L562&lt;significance_bar),IF($K562&lt;0,"worse","better"),IF($K562&lt;0,"worse, not significant","better, not significant")))))</f>
        <v/>
      </c>
      <c r="X562">
        <f>IF($M562="","",IF(profit_kind="test",IF(OR(NOT(AND(ISNUMBER($N562),$N562&lt;significance_bar)),$M562=0),"in line",IF($M562&lt;0,"worse","better")),IF(OR($M562=0,IF(profit_kind="points",ABS($M562),ABS($M562*$H562))&lt;profit_line*(1-1E-9)),"in line",IF(AND(ISNUMBER($N562),$N562&lt;significance_bar),IF($M562&lt;0,"worse","better"),IF($M562&lt;0,"worse, not significant","better, not significant")))))</f>
        <v/>
      </c>
      <c r="Y562">
        <f>IF($V562,$X562,$W562)</f>
        <v/>
      </c>
      <c r="Z562">
        <f>IF($V562,IF($P562="","",$P562),IF($O562="","",$O562))</f>
        <v/>
      </c>
      <c r="AA562">
        <f>IF(OR($Q562="",$Z562=""),"",IF(AND($Z562&gt;0,$Z562&gt;=$Q562),"yes","below the line"))</f>
        <v/>
      </c>
      <c r="AB562">
        <f>IF($V562,IF($M562="","",$M562),IF($K562="","",$K562))</f>
        <v/>
      </c>
      <c r="AC562">
        <f>IF($V562,IF($N562="","",$N562),IF($L562="","",$L562))</f>
        <v/>
      </c>
      <c r="AD562">
        <f>IF($Y562="","",IF($Y562="in line",IF(profit_kind="test",IF(ROUND($AB562*100,2)=0,"0.00",TEXT($AB562*100,"+0.00;-0.00"))&amp;" points against "&amp;IF($V562,"its band","the book")&amp;", "&amp;IF($AC562="","not tested","not significant"),IF(profit_kind="points","within "&amp;TEXT(profit_line*100,"0.00")&amp;" points of "&amp;IF($V562,"its band","the book")&amp;" ("&amp;IF(ROUND($AB562*100,2)=0,"0.00",TEXT($AB562*100,"+0.00;-0.00"))&amp;")","within $"&amp;TEXT(profit_line,"#,##0")&amp;" of "&amp;IF($V562,"its band","the book")&amp;" ("&amp;IF(ROUND($AB562*100,2)=0,"0.00",TEXT($AB562*100,"+0.00;-0.00"))&amp;" points)")),IF(LEFT($Y562,5)="worse","short of ","ahead of ")&amp;IF($V562,"its band","the book")&amp;" by "&amp;TEXT(ABS($AB562)*100,"0.00")&amp;" points"&amp;IF($Z562="",""," ($"&amp;TEXT(ABS($Z562),"#,##0")&amp;")")&amp;IF(RIGHT($Y562,15)="not significant"," (not significant)","")))</f>
        <v/>
      </c>
      <c r="AE562">
        <f>IF($V562,IF($S562="","",$S562),IF($R562="","",$R562))</f>
        <v/>
      </c>
      <c r="AF562">
        <f>IF($V562,IF($U562="","",$U562),IF($T562="","",$T562))</f>
        <v/>
      </c>
      <c r="AG562">
        <f>IF($V562,IF($O562="","",$O562),IF($P562="","",$P562))</f>
        <v/>
      </c>
      <c r="AH562" t="n">
        <v>0.150316214007657</v>
      </c>
      <c r="AI562">
        <f>IF($Y562="worse","Yes",IF($Y562="worse, not significant","Not sure",IF(OR($Y562="too few losses to test",$Y562="too few loans to test"),"Too few losses",IF($Y562="","","No"))))</f>
        <v/>
      </c>
      <c r="AJ562">
        <f>IF($AA562="yes","Yes",IF($AA562="","","No"))</f>
        <v/>
      </c>
    </row>
    <row r="563">
      <c r="A563" t="inlineStr">
        <is>
          <t>three-way</t>
        </is>
      </c>
      <c r="B563" t="inlineStr">
        <is>
          <t>FICO x CHANNEL / SYS_FLAG</t>
        </is>
      </c>
      <c r="C563" t="inlineStr">
        <is>
          <t>654 - 685</t>
        </is>
      </c>
      <c r="D563" t="inlineStr">
        <is>
          <t>Online / SYS_FLAG Y</t>
        </is>
      </c>
      <c r="E563" t="inlineStr">
        <is>
          <t>contribution_rate</t>
        </is>
      </c>
      <c r="F563" t="inlineStr">
        <is>
          <t>Contribution before losses per booked dollar</t>
        </is>
      </c>
      <c r="G563" t="n">
        <v>236</v>
      </c>
      <c r="H563" t="n">
        <v>7157252.51</v>
      </c>
      <c r="I563" t="b">
        <v>0</v>
      </c>
      <c r="J563" t="b">
        <v>0</v>
      </c>
      <c r="K563" t="n">
        <v>0.05476887896729296</v>
      </c>
      <c r="L563" t="n">
        <v>0.000184981501849815</v>
      </c>
      <c r="M563" t="n">
        <v>0.01702070757357041</v>
      </c>
      <c r="N563" t="n">
        <v>0.1067893210678932</v>
      </c>
      <c r="O563" t="n">
        <v>-391994.6964585437</v>
      </c>
      <c r="P563" t="n">
        <v>-121821.5020029128</v>
      </c>
      <c r="Q563">
        <f>'_live'!$C$24</f>
        <v/>
      </c>
      <c r="R563" t="inlineStr">
        <is>
          <t>shuffled: 0 of 10,000</t>
        </is>
      </c>
      <c r="S563" t="inlineStr">
        <is>
          <t>shuffled: 444 of 10,000</t>
        </is>
      </c>
      <c r="T563" t="n">
        <v>0.1680732658042628</v>
      </c>
      <c r="U563" t="n">
        <v>0.2058214371979853</v>
      </c>
      <c r="V563">
        <f>AND(judged_band,NOT($J563))</f>
        <v/>
      </c>
      <c r="W563">
        <f>IF($K563="","",IF(profit_kind="test",IF(OR(NOT(AND(ISNUMBER($L563),$L563&lt;significance_bar)),$K563=0),"in line",IF($K563&lt;0,"worse","better")),IF(OR($K563=0,IF(profit_kind="points",ABS($K563),ABS($K563*$H563))&lt;profit_line*(1-1E-9)),"in line",IF(AND(ISNUMBER($L563),$L563&lt;significance_bar),IF($K563&lt;0,"worse","better"),IF($K563&lt;0,"worse, not significant","better, not significant")))))</f>
        <v/>
      </c>
      <c r="X563">
        <f>IF($M563="","",IF(profit_kind="test",IF(OR(NOT(AND(ISNUMBER($N563),$N563&lt;significance_bar)),$M563=0),"in line",IF($M563&lt;0,"worse","better")),IF(OR($M563=0,IF(profit_kind="points",ABS($M563),ABS($M563*$H563))&lt;profit_line*(1-1E-9)),"in line",IF(AND(ISNUMBER($N563),$N563&lt;significance_bar),IF($M563&lt;0,"worse","better"),IF($M563&lt;0,"worse, not significant","better, not significant")))))</f>
        <v/>
      </c>
      <c r="Y563">
        <f>IF($V563,$X563,$W563)</f>
        <v/>
      </c>
      <c r="Z563">
        <f>IF($V563,IF($P563="","",$P563),IF($O563="","",$O563))</f>
        <v/>
      </c>
      <c r="AA563">
        <f>IF(OR($Q563="",$Z563=""),"",IF(AND($Z563&gt;0,$Z563&gt;=$Q563),"yes","below the line"))</f>
        <v/>
      </c>
      <c r="AB563">
        <f>IF($V563,IF($M563="","",$M563),IF($K563="","",$K563))</f>
        <v/>
      </c>
      <c r="AC563">
        <f>IF($V563,IF($N563="","",$N563),IF($L563="","",$L563))</f>
        <v/>
      </c>
      <c r="AD563">
        <f>IF($Y563="","",IF($Y563="in line",IF(profit_kind="test",IF(ROUND($AB563*100,2)=0,"0.00",TEXT($AB563*100,"+0.00;-0.00"))&amp;" points against "&amp;IF($V563,"its band","the book")&amp;", "&amp;IF($AC563="","not tested","not significant"),IF(profit_kind="points","within "&amp;TEXT(profit_line*100,"0.00")&amp;" points of "&amp;IF($V563,"its band","the book")&amp;" ("&amp;IF(ROUND($AB563*100,2)=0,"0.00",TEXT($AB563*100,"+0.00;-0.00"))&amp;")","within $"&amp;TEXT(profit_line,"#,##0")&amp;" of "&amp;IF($V563,"its band","the book")&amp;" ("&amp;IF(ROUND($AB563*100,2)=0,"0.00",TEXT($AB563*100,"+0.00;-0.00"))&amp;" points)")),IF(LEFT($Y563,5)="worse","short of ","ahead of ")&amp;IF($V563,"its band","the book")&amp;" by "&amp;TEXT(ABS($AB563)*100,"0.00")&amp;" points"&amp;IF($Z563="",""," ($"&amp;TEXT(ABS($Z563),"#,##0")&amp;")")&amp;IF(RIGHT($Y563,15)="not significant"," (not significant)","")))</f>
        <v/>
      </c>
      <c r="AE563">
        <f>IF($V563,IF($S563="","",$S563),IF($R563="","",$R563))</f>
        <v/>
      </c>
      <c r="AF563">
        <f>IF($V563,IF($U563="","",$U563),IF($T563="","",$T563))</f>
        <v/>
      </c>
      <c r="AG563">
        <f>IF($V563,IF($O563="","",$O563),IF($P563="","",$P563))</f>
        <v/>
      </c>
      <c r="AH563" t="n">
        <v>0.2228421447715557</v>
      </c>
      <c r="AI563">
        <f>IF($Y563="worse","Yes",IF($Y563="worse, not significant","Not sure",IF(OR($Y563="too few losses to test",$Y563="too few loans to test"),"Too few losses",IF($Y563="","","No"))))</f>
        <v/>
      </c>
      <c r="AJ563">
        <f>IF($AA563="yes","Yes",IF($AA563="","","No"))</f>
        <v/>
      </c>
    </row>
    <row r="564">
      <c r="A564" t="inlineStr">
        <is>
          <t>three-way</t>
        </is>
      </c>
      <c r="B564" t="inlineStr">
        <is>
          <t>FICO x CHANNEL / SYS_FLAG</t>
        </is>
      </c>
      <c r="C564" t="inlineStr">
        <is>
          <t>(marked missing)</t>
        </is>
      </c>
      <c r="D564" t="inlineStr">
        <is>
          <t>Branch / SYS_FLAG N</t>
        </is>
      </c>
      <c r="E564" t="inlineStr">
        <is>
          <t>outcome_loans</t>
        </is>
      </c>
      <c r="F564" t="inlineStr">
        <is>
          <t>Outcome, share of loans</t>
        </is>
      </c>
      <c r="G564" t="n">
        <v>29</v>
      </c>
      <c r="H564" t="n">
        <v>29</v>
      </c>
      <c r="I564" t="b">
        <v>1</v>
      </c>
      <c r="J564" t="b">
        <v>0</v>
      </c>
      <c r="K564" t="n">
        <v>0</v>
      </c>
      <c r="M564" t="n">
        <v>0</v>
      </c>
      <c r="O564" t="n">
        <v>-2.252321204516938</v>
      </c>
      <c r="P564" t="n">
        <v>-2.213740458015267</v>
      </c>
      <c r="Q564">
        <f>'_live'!$C$20</f>
        <v/>
      </c>
      <c r="T564" t="n">
        <v>0.07766624843161857</v>
      </c>
      <c r="U564" t="n">
        <v>0.07633587786259542</v>
      </c>
      <c r="V564">
        <f>AND(judged_band,NOT($J564))</f>
        <v/>
      </c>
      <c r="W564">
        <f>IF($K564="","",IF($I564,"too few losses to test",IF(AND($K564&gt;better_at,$K564&lt;worse_at),"in line",IF($K564&gt;=worse_at,IF(AND(ISNUMBER($L564),$L564&lt;significance_bar),"worse","worse, not significant"),IF(AND(ISNUMBER($L564),$L564&lt;significance_bar),"better","better, not significant")))))</f>
        <v/>
      </c>
      <c r="X564">
        <f>IF($M564="","",IF($I564,"too few losses to test",IF(AND($M564&gt;better_at,$M564&lt;worse_at),"in line",IF($M564&gt;=worse_at,IF(AND(ISNUMBER($N564),$N564&lt;significance_bar),"worse","worse, not significant"),IF(AND(ISNUMBER($N564),$N564&lt;significance_bar),"better","better, not significant")))))</f>
        <v/>
      </c>
      <c r="Y564">
        <f>IF($V564,$X564,$W564)</f>
        <v/>
      </c>
      <c r="Z564">
        <f>IF($V564,IF($P564="","",$P564),IF($O564="","",$O564))</f>
        <v/>
      </c>
      <c r="AA564">
        <f>IF(OR($Q564="",$Z564=""),"",IF(AND($Z564&gt;0,$Z564&gt;=$Q564),"yes","below the line"))</f>
        <v/>
      </c>
      <c r="AB564">
        <f>IF($V564,IF($M564="","",$M564),IF($K564="","",$K564))</f>
        <v/>
      </c>
      <c r="AC564">
        <f>IF($V564,IF($N564="","",$N564),IF($L564="","",$L564))</f>
        <v/>
      </c>
      <c r="AD564">
        <f>$Y564</f>
        <v/>
      </c>
      <c r="AE564">
        <f>IF($V564,IF($S564="","",$S564),IF($R564="","",$R564))</f>
        <v/>
      </c>
      <c r="AF564">
        <f>IF($V564,IF($U564="","",$U564),IF($T564="","",$T564))</f>
        <v/>
      </c>
      <c r="AG564">
        <f>IF($V564,IF($O564="","",$O564),IF($P564="","",$P564))</f>
        <v/>
      </c>
      <c r="AH564" t="n">
        <v>0</v>
      </c>
      <c r="AI564">
        <f>IF($Y564="worse","Yes",IF($Y564="worse, not significant","Not sure",IF(OR($Y564="too few losses to test",$Y564="too few loans to test"),"Too few losses",IF($Y564="","","No"))))</f>
        <v/>
      </c>
      <c r="AJ564">
        <f>IF($AA564="yes","Yes",IF($AA564="","","No"))</f>
        <v/>
      </c>
    </row>
    <row r="565">
      <c r="A565" t="inlineStr">
        <is>
          <t>three-way</t>
        </is>
      </c>
      <c r="B565" t="inlineStr">
        <is>
          <t>FICO x CHANNEL / SYS_FLAG</t>
        </is>
      </c>
      <c r="C565" t="inlineStr">
        <is>
          <t>(marked missing)</t>
        </is>
      </c>
      <c r="D565" t="inlineStr">
        <is>
          <t>Branch / SYS_FLAG N</t>
        </is>
      </c>
      <c r="E565" t="inlineStr">
        <is>
          <t>outcome_booked</t>
        </is>
      </c>
      <c r="F565" t="inlineStr">
        <is>
          <t>Outcome, share of booked dollars</t>
        </is>
      </c>
      <c r="G565" t="n">
        <v>29</v>
      </c>
      <c r="H565" t="n">
        <v>1023717.84</v>
      </c>
      <c r="I565" t="b">
        <v>1</v>
      </c>
      <c r="J565" t="b">
        <v>0</v>
      </c>
      <c r="K565" t="n">
        <v>0</v>
      </c>
      <c r="M565" t="n">
        <v>0</v>
      </c>
      <c r="O565" t="n">
        <v>-76908.77672907127</v>
      </c>
      <c r="P565" t="n">
        <v>-61125.2548706273</v>
      </c>
      <c r="Q565">
        <f>'_live'!$C$21</f>
        <v/>
      </c>
      <c r="T565" t="n">
        <v>0.07512692826479538</v>
      </c>
      <c r="U565" t="n">
        <v>0.05970908436120181</v>
      </c>
      <c r="V565">
        <f>AND(judged_band,NOT($J565))</f>
        <v/>
      </c>
      <c r="W565">
        <f>IF($K565="","",IF($I565,"too few losses to test",IF(AND($K565&gt;better_at,$K565&lt;worse_at),"in line",IF($K565&gt;=worse_at,IF(AND(ISNUMBER($L565),$L565&lt;significance_bar),"worse","worse, not significant"),IF(AND(ISNUMBER($L565),$L565&lt;significance_bar),"better","better, not significant")))))</f>
        <v/>
      </c>
      <c r="X565">
        <f>IF($M565="","",IF($I565,"too few losses to test",IF(AND($M565&gt;better_at,$M565&lt;worse_at),"in line",IF($M565&gt;=worse_at,IF(AND(ISNUMBER($N565),$N565&lt;significance_bar),"worse","worse, not significant"),IF(AND(ISNUMBER($N565),$N565&lt;significance_bar),"better","better, not significant")))))</f>
        <v/>
      </c>
      <c r="Y565">
        <f>IF($V565,$X565,$W565)</f>
        <v/>
      </c>
      <c r="Z565">
        <f>IF($V565,IF($P565="","",$P565),IF($O565="","",$O565))</f>
        <v/>
      </c>
      <c r="AA565">
        <f>IF(OR($Q565="",$Z565=""),"",IF(AND($Z565&gt;0,$Z565&gt;=$Q565),"yes","below the line"))</f>
        <v/>
      </c>
      <c r="AB565">
        <f>IF($V565,IF($M565="","",$M565),IF($K565="","",$K565))</f>
        <v/>
      </c>
      <c r="AC565">
        <f>IF($V565,IF($N565="","",$N565),IF($L565="","",$L565))</f>
        <v/>
      </c>
      <c r="AD565">
        <f>$Y565</f>
        <v/>
      </c>
      <c r="AE565">
        <f>IF($V565,IF($S565="","",$S565),IF($R565="","",$R565))</f>
        <v/>
      </c>
      <c r="AF565">
        <f>IF($V565,IF($U565="","",$U565),IF($T565="","",$T565))</f>
        <v/>
      </c>
      <c r="AG565">
        <f>IF($V565,IF($O565="","",$O565),IF($P565="","",$P565))</f>
        <v/>
      </c>
      <c r="AH565" t="n">
        <v>0</v>
      </c>
      <c r="AI565">
        <f>IF($Y565="worse","Yes",IF($Y565="worse, not significant","Not sure",IF(OR($Y565="too few losses to test",$Y565="too few loans to test"),"Too few losses",IF($Y565="","","No"))))</f>
        <v/>
      </c>
      <c r="AJ565">
        <f>IF($AA565="yes","Yes",IF($AA565="","","No"))</f>
        <v/>
      </c>
    </row>
    <row r="566">
      <c r="A566" t="inlineStr">
        <is>
          <t>three-way</t>
        </is>
      </c>
      <c r="B566" t="inlineStr">
        <is>
          <t>FICO x CHANNEL / SYS_FLAG</t>
        </is>
      </c>
      <c r="C566" t="inlineStr">
        <is>
          <t>(marked missing)</t>
        </is>
      </c>
      <c r="D566" t="inlineStr">
        <is>
          <t>Branch / SYS_FLAG N</t>
        </is>
      </c>
      <c r="E566" t="inlineStr">
        <is>
          <t>gco_rate</t>
        </is>
      </c>
      <c r="F566" t="inlineStr">
        <is>
          <t>GCO per booked dollar</t>
        </is>
      </c>
      <c r="G566" t="n">
        <v>29</v>
      </c>
      <c r="H566" t="n">
        <v>1023717.84</v>
      </c>
      <c r="I566" t="b">
        <v>1</v>
      </c>
      <c r="J566" t="b">
        <v>0</v>
      </c>
      <c r="K566" t="n">
        <v>0</v>
      </c>
      <c r="M566" t="n">
        <v>0</v>
      </c>
      <c r="O566" t="n">
        <v>-42761.70756645003</v>
      </c>
      <c r="P566" t="n">
        <v>-32388.0224514609</v>
      </c>
      <c r="Q566">
        <f>'_live'!$C$22</f>
        <v/>
      </c>
      <c r="T566" t="n">
        <v>0.04177098991109702</v>
      </c>
      <c r="U566" t="n">
        <v>0.03163764582969551</v>
      </c>
      <c r="V566">
        <f>AND(judged_band,NOT($J566))</f>
        <v/>
      </c>
      <c r="W566">
        <f>IF($K566="","",IF($I566,"too few losses to test",IF(AND($K566&gt;better_at,$K566&lt;worse_at),"in line",IF($K566&gt;=worse_at,IF(AND(ISNUMBER($L566),$L566&lt;significance_bar),"worse","worse, not significant"),IF(AND(ISNUMBER($L566),$L566&lt;significance_bar),"better","better, not significant")))))</f>
        <v/>
      </c>
      <c r="X566">
        <f>IF($M566="","",IF($I566,"too few losses to test",IF(AND($M566&gt;better_at,$M566&lt;worse_at),"in line",IF($M566&gt;=worse_at,IF(AND(ISNUMBER($N566),$N566&lt;significance_bar),"worse","worse, not significant"),IF(AND(ISNUMBER($N566),$N566&lt;significance_bar),"better","better, not significant")))))</f>
        <v/>
      </c>
      <c r="Y566">
        <f>IF($V566,$X566,$W566)</f>
        <v/>
      </c>
      <c r="Z566">
        <f>IF($V566,IF($P566="","",$P566),IF($O566="","",$O566))</f>
        <v/>
      </c>
      <c r="AA566">
        <f>IF(OR($Q566="",$Z566=""),"",IF(AND($Z566&gt;0,$Z566&gt;=$Q566),"yes","below the line"))</f>
        <v/>
      </c>
      <c r="AB566">
        <f>IF($V566,IF($M566="","",$M566),IF($K566="","",$K566))</f>
        <v/>
      </c>
      <c r="AC566">
        <f>IF($V566,IF($N566="","",$N566),IF($L566="","",$L566))</f>
        <v/>
      </c>
      <c r="AD566">
        <f>$Y566</f>
        <v/>
      </c>
      <c r="AE566">
        <f>IF($V566,IF($S566="","",$S566),IF($R566="","",$R566))</f>
        <v/>
      </c>
      <c r="AF566">
        <f>IF($V566,IF($U566="","",$U566),IF($T566="","",$T566))</f>
        <v/>
      </c>
      <c r="AG566">
        <f>IF($V566,IF($O566="","",$O566),IF($P566="","",$P566))</f>
        <v/>
      </c>
      <c r="AH566" t="n">
        <v>0</v>
      </c>
      <c r="AI566">
        <f>IF($Y566="worse","Yes",IF($Y566="worse, not significant","Not sure",IF(OR($Y566="too few losses to test",$Y566="too few loans to test"),"Too few losses",IF($Y566="","","No"))))</f>
        <v/>
      </c>
      <c r="AJ566">
        <f>IF($AA566="yes","Yes",IF($AA566="","","No"))</f>
        <v/>
      </c>
    </row>
    <row r="567">
      <c r="A567" t="inlineStr">
        <is>
          <t>three-way</t>
        </is>
      </c>
      <c r="B567" t="inlineStr">
        <is>
          <t>FICO x CHANNEL / SYS_FLAG</t>
        </is>
      </c>
      <c r="C567" t="inlineStr">
        <is>
          <t>(marked missing)</t>
        </is>
      </c>
      <c r="D567" t="inlineStr">
        <is>
          <t>Branch / SYS_FLAG N</t>
        </is>
      </c>
      <c r="E567" t="inlineStr">
        <is>
          <t>ranr_rate</t>
        </is>
      </c>
      <c r="F567" t="inlineStr">
        <is>
          <t>Profit after losses: RANR per booked dollar</t>
        </is>
      </c>
      <c r="G567" t="n">
        <v>29</v>
      </c>
      <c r="H567" t="n">
        <v>1023717.84</v>
      </c>
      <c r="I567" t="b">
        <v>0</v>
      </c>
      <c r="J567" t="b">
        <v>0</v>
      </c>
      <c r="K567" t="n">
        <v>0.02714921322557076</v>
      </c>
      <c r="L567" t="n">
        <v>0.5874757351851021</v>
      </c>
      <c r="M567" t="n">
        <v>-0.0001756322810234356</v>
      </c>
      <c r="N567" t="n">
        <v>0.9953004699530046</v>
      </c>
      <c r="O567" t="n">
        <v>-27793.13392098073</v>
      </c>
      <c r="P567" t="n">
        <v>179.7978993635916</v>
      </c>
      <c r="Q567">
        <f>'_live'!$C$23</f>
        <v/>
      </c>
      <c r="R567" t="inlineStr">
        <is>
          <t>shuffled: 4,604 of 10,000</t>
        </is>
      </c>
      <c r="S567" t="inlineStr">
        <is>
          <t>shuffled: 9,953 of 10,000</t>
        </is>
      </c>
      <c r="T567" t="n">
        <v>0.1278823528942499</v>
      </c>
      <c r="U567" t="n">
        <v>0.1552071984008441</v>
      </c>
      <c r="V567">
        <f>AND(judged_band,NOT($J567))</f>
        <v/>
      </c>
      <c r="W567">
        <f>IF($K567="","",IF(profit_kind="test",IF(OR(NOT(AND(ISNUMBER($L567),$L567&lt;significance_bar)),$K567=0),"in line",IF($K567&lt;0,"worse","better")),IF(OR($K567=0,IF(profit_kind="points",ABS($K567),ABS($K567*$H567))&lt;profit_line*(1-1E-9)),"in line",IF(AND(ISNUMBER($L567),$L567&lt;significance_bar),IF($K567&lt;0,"worse","better"),IF($K567&lt;0,"worse, not significant","better, not significant")))))</f>
        <v/>
      </c>
      <c r="X567">
        <f>IF($M567="","",IF(profit_kind="test",IF(OR(NOT(AND(ISNUMBER($N567),$N567&lt;significance_bar)),$M567=0),"in line",IF($M567&lt;0,"worse","better")),IF(OR($M567=0,IF(profit_kind="points",ABS($M567),ABS($M567*$H567))&lt;profit_line*(1-1E-9)),"in line",IF(AND(ISNUMBER($N567),$N567&lt;significance_bar),IF($M567&lt;0,"worse","better"),IF($M567&lt;0,"worse, not significant","better, not significant")))))</f>
        <v/>
      </c>
      <c r="Y567">
        <f>IF($V567,$X567,$W567)</f>
        <v/>
      </c>
      <c r="Z567">
        <f>IF($V567,IF($P567="","",$P567),IF($O567="","",$O567))</f>
        <v/>
      </c>
      <c r="AA567">
        <f>IF(OR($Q567="",$Z567=""),"",IF(AND($Z567&gt;0,$Z567&gt;=$Q567),"yes","below the line"))</f>
        <v/>
      </c>
      <c r="AB567">
        <f>IF($V567,IF($M567="","",$M567),IF($K567="","",$K567))</f>
        <v/>
      </c>
      <c r="AC567">
        <f>IF($V567,IF($N567="","",$N567),IF($L567="","",$L567))</f>
        <v/>
      </c>
      <c r="AD567">
        <f>IF($Y567="","",IF($Y567="in line",IF(profit_kind="test",IF(ROUND($AB567*100,2)=0,"0.00",TEXT($AB567*100,"+0.00;-0.00"))&amp;" points against "&amp;IF($V567,"its band","the book")&amp;", "&amp;IF($AC567="","not tested","not significant"),IF(profit_kind="points","within "&amp;TEXT(profit_line*100,"0.00")&amp;" points of "&amp;IF($V567,"its band","the book")&amp;" ("&amp;IF(ROUND($AB567*100,2)=0,"0.00",TEXT($AB567*100,"+0.00;-0.00"))&amp;")","within $"&amp;TEXT(profit_line,"#,##0")&amp;" of "&amp;IF($V567,"its band","the book")&amp;" ("&amp;IF(ROUND($AB567*100,2)=0,"0.00",TEXT($AB567*100,"+0.00;-0.00"))&amp;" points)")),IF(LEFT($Y567,5)="worse","short of ","ahead of ")&amp;IF($V567,"its band","the book")&amp;" by "&amp;TEXT(ABS($AB567)*100,"0.00")&amp;" points"&amp;IF($Z567="",""," ($"&amp;TEXT(ABS($Z567),"#,##0")&amp;")")&amp;IF(RIGHT($Y567,15)="not significant"," (not significant)","")))</f>
        <v/>
      </c>
      <c r="AE567">
        <f>IF($V567,IF($S567="","",$S567),IF($R567="","",$R567))</f>
        <v/>
      </c>
      <c r="AF567">
        <f>IF($V567,IF($U567="","",$U567),IF($T567="","",$T567))</f>
        <v/>
      </c>
      <c r="AG567">
        <f>IF($V567,IF($O567="","",$O567),IF($P567="","",$P567))</f>
        <v/>
      </c>
      <c r="AH567" t="n">
        <v>0.1550315661198207</v>
      </c>
      <c r="AI567">
        <f>IF($Y567="worse","Yes",IF($Y567="worse, not significant","Not sure",IF(OR($Y567="too few losses to test",$Y567="too few loans to test"),"Too few losses",IF($Y567="","","No"))))</f>
        <v/>
      </c>
      <c r="AJ567">
        <f>IF($AA567="yes","Yes",IF($AA567="","","No"))</f>
        <v/>
      </c>
    </row>
    <row r="568">
      <c r="A568" t="inlineStr">
        <is>
          <t>three-way</t>
        </is>
      </c>
      <c r="B568" t="inlineStr">
        <is>
          <t>FICO x CHANNEL / SYS_FLAG</t>
        </is>
      </c>
      <c r="C568" t="inlineStr">
        <is>
          <t>(marked missing)</t>
        </is>
      </c>
      <c r="D568" t="inlineStr">
        <is>
          <t>Branch / SYS_FLAG N</t>
        </is>
      </c>
      <c r="E568" t="inlineStr">
        <is>
          <t>contribution_rate</t>
        </is>
      </c>
      <c r="F568" t="inlineStr">
        <is>
          <t>Contribution before losses per booked dollar</t>
        </is>
      </c>
      <c r="G568" t="n">
        <v>29</v>
      </c>
      <c r="H568" t="n">
        <v>1023717.84</v>
      </c>
      <c r="I568" t="b">
        <v>0</v>
      </c>
      <c r="J568" t="b">
        <v>0</v>
      </c>
      <c r="K568" t="n">
        <v>-0.01461888942032899</v>
      </c>
      <c r="L568" t="n">
        <v>0.6472040295970404</v>
      </c>
      <c r="M568" t="n">
        <v>-0.03181327811071893</v>
      </c>
      <c r="N568" t="n">
        <v>0.4969397797062399</v>
      </c>
      <c r="O568" t="n">
        <v>14965.61790057804</v>
      </c>
      <c r="P568" t="n">
        <v>32567.82035082448</v>
      </c>
      <c r="Q568">
        <f>'_live'!$C$24</f>
        <v/>
      </c>
      <c r="R568" t="inlineStr">
        <is>
          <t>shuffled: 5,597 of 10,000</t>
        </is>
      </c>
      <c r="S568" t="inlineStr">
        <is>
          <t>shuffled: 2,622 of 10,000</t>
        </is>
      </c>
      <c r="T568" t="n">
        <v>0.1696504555401497</v>
      </c>
      <c r="U568" t="n">
        <v>0.1868448442305396</v>
      </c>
      <c r="V568">
        <f>AND(judged_band,NOT($J568))</f>
        <v/>
      </c>
      <c r="W568">
        <f>IF($K568="","",IF(profit_kind="test",IF(OR(NOT(AND(ISNUMBER($L568),$L568&lt;significance_bar)),$K568=0),"in line",IF($K568&lt;0,"worse","better")),IF(OR($K568=0,IF(profit_kind="points",ABS($K568),ABS($K568*$H568))&lt;profit_line*(1-1E-9)),"in line",IF(AND(ISNUMBER($L568),$L568&lt;significance_bar),IF($K568&lt;0,"worse","better"),IF($K568&lt;0,"worse, not significant","better, not significant")))))</f>
        <v/>
      </c>
      <c r="X568">
        <f>IF($M568="","",IF(profit_kind="test",IF(OR(NOT(AND(ISNUMBER($N568),$N568&lt;significance_bar)),$M568=0),"in line",IF($M568&lt;0,"worse","better")),IF(OR($M568=0,IF(profit_kind="points",ABS($M568),ABS($M568*$H568))&lt;profit_line*(1-1E-9)),"in line",IF(AND(ISNUMBER($N568),$N568&lt;significance_bar),IF($M568&lt;0,"worse","better"),IF($M568&lt;0,"worse, not significant","better, not significant")))))</f>
        <v/>
      </c>
      <c r="Y568">
        <f>IF($V568,$X568,$W568)</f>
        <v/>
      </c>
      <c r="Z568">
        <f>IF($V568,IF($P568="","",$P568),IF($O568="","",$O568))</f>
        <v/>
      </c>
      <c r="AA568">
        <f>IF(OR($Q568="",$Z568=""),"",IF(AND($Z568&gt;0,$Z568&gt;=$Q568),"yes","below the line"))</f>
        <v/>
      </c>
      <c r="AB568">
        <f>IF($V568,IF($M568="","",$M568),IF($K568="","",$K568))</f>
        <v/>
      </c>
      <c r="AC568">
        <f>IF($V568,IF($N568="","",$N568),IF($L568="","",$L568))</f>
        <v/>
      </c>
      <c r="AD568">
        <f>IF($Y568="","",IF($Y568="in line",IF(profit_kind="test",IF(ROUND($AB568*100,2)=0,"0.00",TEXT($AB568*100,"+0.00;-0.00"))&amp;" points against "&amp;IF($V568,"its band","the book")&amp;", "&amp;IF($AC568="","not tested","not significant"),IF(profit_kind="points","within "&amp;TEXT(profit_line*100,"0.00")&amp;" points of "&amp;IF($V568,"its band","the book")&amp;" ("&amp;IF(ROUND($AB568*100,2)=0,"0.00",TEXT($AB568*100,"+0.00;-0.00"))&amp;")","within $"&amp;TEXT(profit_line,"#,##0")&amp;" of "&amp;IF($V568,"its band","the book")&amp;" ("&amp;IF(ROUND($AB568*100,2)=0,"0.00",TEXT($AB568*100,"+0.00;-0.00"))&amp;" points)")),IF(LEFT($Y568,5)="worse","short of ","ahead of ")&amp;IF($V568,"its band","the book")&amp;" by "&amp;TEXT(ABS($AB568)*100,"0.00")&amp;" points"&amp;IF($Z568="",""," ($"&amp;TEXT(ABS($Z568),"#,##0")&amp;")")&amp;IF(RIGHT($Y568,15)="not significant"," (not significant)","")))</f>
        <v/>
      </c>
      <c r="AE568">
        <f>IF($V568,IF($S568="","",$S568),IF($R568="","",$R568))</f>
        <v/>
      </c>
      <c r="AF568">
        <f>IF($V568,IF($U568="","",$U568),IF($T568="","",$T568))</f>
        <v/>
      </c>
      <c r="AG568">
        <f>IF($V568,IF($O568="","",$O568),IF($P568="","",$P568))</f>
        <v/>
      </c>
      <c r="AH568" t="n">
        <v>0.1550315661198207</v>
      </c>
      <c r="AI568">
        <f>IF($Y568="worse","Yes",IF($Y568="worse, not significant","Not sure",IF(OR($Y568="too few losses to test",$Y568="too few loans to test"),"Too few losses",IF($Y568="","","No"))))</f>
        <v/>
      </c>
      <c r="AJ568">
        <f>IF($AA568="yes","Yes",IF($AA568="","","No"))</f>
        <v/>
      </c>
    </row>
    <row r="569">
      <c r="A569" t="inlineStr">
        <is>
          <t>three-way</t>
        </is>
      </c>
      <c r="B569" t="inlineStr">
        <is>
          <t>FICO x CHANNEL / SYS_FLAG</t>
        </is>
      </c>
      <c r="C569" t="inlineStr">
        <is>
          <t>496 - 653</t>
        </is>
      </c>
      <c r="D569" t="inlineStr">
        <is>
          <t>Online / SYS_FLAG N</t>
        </is>
      </c>
      <c r="E569" t="inlineStr">
        <is>
          <t>outcome_loans</t>
        </is>
      </c>
      <c r="F569" t="inlineStr">
        <is>
          <t>Outcome, share of loans</t>
        </is>
      </c>
      <c r="G569" t="n">
        <v>305</v>
      </c>
      <c r="H569" t="n">
        <v>305</v>
      </c>
      <c r="I569" t="b">
        <v>0</v>
      </c>
      <c r="J569" t="b">
        <v>0</v>
      </c>
      <c r="K569" t="n">
        <v>0.9734954340411487</v>
      </c>
      <c r="L569" t="n">
        <v>0.8952936770536116</v>
      </c>
      <c r="M569" t="n">
        <v>0.4467407349856266</v>
      </c>
      <c r="N569" t="n">
        <v>0.0003596438670985748</v>
      </c>
      <c r="O569" t="n">
        <v>-0.6262022355081882</v>
      </c>
      <c r="P569" t="n">
        <v>-28.484</v>
      </c>
      <c r="Q569">
        <f>'_live'!$C$20</f>
        <v/>
      </c>
      <c r="R569" t="inlineStr">
        <is>
          <t>z test</t>
        </is>
      </c>
      <c r="S569" t="inlineStr">
        <is>
          <t>z test</t>
        </is>
      </c>
      <c r="T569" t="n">
        <v>0.07746295814920717</v>
      </c>
      <c r="U569" t="n">
        <v>0.1688</v>
      </c>
      <c r="V569">
        <f>AND(judged_band,NOT($J569))</f>
        <v/>
      </c>
      <c r="W569">
        <f>IF($K569="","",IF($I569,"too few losses to test",IF(AND($K569&gt;better_at,$K569&lt;worse_at),"in line",IF($K569&gt;=worse_at,IF(AND(ISNUMBER($L569),$L569&lt;significance_bar),"worse","worse, not significant"),IF(AND(ISNUMBER($L569),$L569&lt;significance_bar),"better","better, not significant")))))</f>
        <v/>
      </c>
      <c r="X569">
        <f>IF($M569="","",IF($I569,"too few losses to test",IF(AND($M569&gt;better_at,$M569&lt;worse_at),"in line",IF($M569&gt;=worse_at,IF(AND(ISNUMBER($N569),$N569&lt;significance_bar),"worse","worse, not significant"),IF(AND(ISNUMBER($N569),$N569&lt;significance_bar),"better","better, not significant")))))</f>
        <v/>
      </c>
      <c r="Y569">
        <f>IF($V569,$X569,$W569)</f>
        <v/>
      </c>
      <c r="Z569">
        <f>IF($V569,IF($P569="","",$P569),IF($O569="","",$O569))</f>
        <v/>
      </c>
      <c r="AA569">
        <f>IF(OR($Q569="",$Z569=""),"",IF(AND($Z569&gt;0,$Z569&gt;=$Q569),"yes","below the line"))</f>
        <v/>
      </c>
      <c r="AB569">
        <f>IF($V569,IF($M569="","",$M569),IF($K569="","",$K569))</f>
        <v/>
      </c>
      <c r="AC569">
        <f>IF($V569,IF($N569="","",$N569),IF($L569="","",$L569))</f>
        <v/>
      </c>
      <c r="AD569">
        <f>$Y569</f>
        <v/>
      </c>
      <c r="AE569">
        <f>IF($V569,IF($S569="","",$S569),IF($R569="","",$R569))</f>
        <v/>
      </c>
      <c r="AF569">
        <f>IF($V569,IF($U569="","",$U569),IF($T569="","",$T569))</f>
        <v/>
      </c>
      <c r="AG569">
        <f>IF($V569,IF($O569="","",$O569),IF($P569="","",$P569))</f>
        <v/>
      </c>
      <c r="AH569" t="n">
        <v>0.07540983606557378</v>
      </c>
      <c r="AI569">
        <f>IF($Y569="worse","Yes",IF($Y569="worse, not significant","Not sure",IF(OR($Y569="too few losses to test",$Y569="too few loans to test"),"Too few losses",IF($Y569="","","No"))))</f>
        <v/>
      </c>
      <c r="AJ569">
        <f>IF($AA569="yes","Yes",IF($AA569="","","No"))</f>
        <v/>
      </c>
    </row>
    <row r="570">
      <c r="A570" t="inlineStr">
        <is>
          <t>three-way</t>
        </is>
      </c>
      <c r="B570" t="inlineStr">
        <is>
          <t>FICO x CHANNEL / SYS_FLAG</t>
        </is>
      </c>
      <c r="C570" t="inlineStr">
        <is>
          <t>496 - 653</t>
        </is>
      </c>
      <c r="D570" t="inlineStr">
        <is>
          <t>Online / SYS_FLAG N</t>
        </is>
      </c>
      <c r="E570" t="inlineStr">
        <is>
          <t>outcome_booked</t>
        </is>
      </c>
      <c r="F570" t="inlineStr">
        <is>
          <t>Outcome, share of booked dollars</t>
        </is>
      </c>
      <c r="G570" t="n">
        <v>305</v>
      </c>
      <c r="H570" t="n">
        <v>9925227.060000001</v>
      </c>
      <c r="I570" t="b">
        <v>0</v>
      </c>
      <c r="J570" t="b">
        <v>0</v>
      </c>
      <c r="K570" t="n">
        <v>0.8308845090216782</v>
      </c>
      <c r="L570" t="n">
        <v>0.5117966464223143</v>
      </c>
      <c r="M570" t="n">
        <v>0.3676148114294099</v>
      </c>
      <c r="N570" t="n">
        <v>0.00124987501249875</v>
      </c>
      <c r="O570" t="n">
        <v>-126423.3691709336</v>
      </c>
      <c r="P570" t="n">
        <v>-1068497.031173754</v>
      </c>
      <c r="Q570">
        <f>'_live'!$C$21</f>
        <v/>
      </c>
      <c r="R570" t="inlineStr">
        <is>
          <t>shuffled: 4,593 of 10,000</t>
        </is>
      </c>
      <c r="S570" t="inlineStr">
        <is>
          <t>shuffled: 0 of 10,000</t>
        </is>
      </c>
      <c r="T570" t="n">
        <v>0.07531882189211435</v>
      </c>
      <c r="U570" t="n">
        <v>0.1702359110738323</v>
      </c>
      <c r="V570">
        <f>AND(judged_band,NOT($J570))</f>
        <v/>
      </c>
      <c r="W570">
        <f>IF($K570="","",IF($I570,"too few losses to test",IF(AND($K570&gt;better_at,$K570&lt;worse_at),"in line",IF($K570&gt;=worse_at,IF(AND(ISNUMBER($L570),$L570&lt;significance_bar),"worse","worse, not significant"),IF(AND(ISNUMBER($L570),$L570&lt;significance_bar),"better","better, not significant")))))</f>
        <v/>
      </c>
      <c r="X570">
        <f>IF($M570="","",IF($I570,"too few losses to test",IF(AND($M570&gt;better_at,$M570&lt;worse_at),"in line",IF($M570&gt;=worse_at,IF(AND(ISNUMBER($N570),$N570&lt;significance_bar),"worse","worse, not significant"),IF(AND(ISNUMBER($N570),$N570&lt;significance_bar),"better","better, not significant")))))</f>
        <v/>
      </c>
      <c r="Y570">
        <f>IF($V570,$X570,$W570)</f>
        <v/>
      </c>
      <c r="Z570">
        <f>IF($V570,IF($P570="","",$P570),IF($O570="","",$O570))</f>
        <v/>
      </c>
      <c r="AA570">
        <f>IF(OR($Q570="",$Z570=""),"",IF(AND($Z570&gt;0,$Z570&gt;=$Q570),"yes","below the line"))</f>
        <v/>
      </c>
      <c r="AB570">
        <f>IF($V570,IF($M570="","",$M570),IF($K570="","",$K570))</f>
        <v/>
      </c>
      <c r="AC570">
        <f>IF($V570,IF($N570="","",$N570),IF($L570="","",$L570))</f>
        <v/>
      </c>
      <c r="AD570">
        <f>$Y570</f>
        <v/>
      </c>
      <c r="AE570">
        <f>IF($V570,IF($S570="","",$S570),IF($R570="","",$R570))</f>
        <v/>
      </c>
      <c r="AF570">
        <f>IF($V570,IF($U570="","",$U570),IF($T570="","",$T570))</f>
        <v/>
      </c>
      <c r="AG570">
        <f>IF($V570,IF($O570="","",$O570),IF($P570="","",$P570))</f>
        <v/>
      </c>
      <c r="AH570" t="n">
        <v>0.06258124234792066</v>
      </c>
      <c r="AI570">
        <f>IF($Y570="worse","Yes",IF($Y570="worse, not significant","Not sure",IF(OR($Y570="too few losses to test",$Y570="too few loans to test"),"Too few losses",IF($Y570="","","No"))))</f>
        <v/>
      </c>
      <c r="AJ570">
        <f>IF($AA570="yes","Yes",IF($AA570="","","No"))</f>
        <v/>
      </c>
    </row>
    <row r="571">
      <c r="A571" t="inlineStr">
        <is>
          <t>three-way</t>
        </is>
      </c>
      <c r="B571" t="inlineStr">
        <is>
          <t>FICO x CHANNEL / SYS_FLAG</t>
        </is>
      </c>
      <c r="C571" t="inlineStr">
        <is>
          <t>496 - 653</t>
        </is>
      </c>
      <c r="D571" t="inlineStr">
        <is>
          <t>Online / SYS_FLAG N</t>
        </is>
      </c>
      <c r="E571" t="inlineStr">
        <is>
          <t>gco_rate</t>
        </is>
      </c>
      <c r="F571" t="inlineStr">
        <is>
          <t>GCO per booked dollar</t>
        </is>
      </c>
      <c r="G571" t="n">
        <v>305</v>
      </c>
      <c r="H571" t="n">
        <v>9925227.060000001</v>
      </c>
      <c r="I571" t="b">
        <v>0</v>
      </c>
      <c r="J571" t="b">
        <v>0</v>
      </c>
      <c r="K571" t="n">
        <v>0.8753459401467693</v>
      </c>
      <c r="L571" t="n">
        <v>0.6492828977971767</v>
      </c>
      <c r="M571" t="n">
        <v>0.3858337599725619</v>
      </c>
      <c r="N571" t="n">
        <v>0.001666500016665</v>
      </c>
      <c r="O571" t="n">
        <v>-51722.86556634313</v>
      </c>
      <c r="P571" t="n">
        <v>-578151.4070945546</v>
      </c>
      <c r="Q571">
        <f>'_live'!$C$22</f>
        <v/>
      </c>
      <c r="R571" t="inlineStr">
        <is>
          <t>shuffled: 5,973 of 10,000</t>
        </is>
      </c>
      <c r="S571" t="inlineStr">
        <is>
          <t>shuffled: 1 of 10,000</t>
        </is>
      </c>
      <c r="T571" t="n">
        <v>0.0418057192100493</v>
      </c>
      <c r="U571" t="n">
        <v>0.09484516489183015</v>
      </c>
      <c r="V571">
        <f>AND(judged_band,NOT($J571))</f>
        <v/>
      </c>
      <c r="W571">
        <f>IF($K571="","",IF($I571,"too few losses to test",IF(AND($K571&gt;better_at,$K571&lt;worse_at),"in line",IF($K571&gt;=worse_at,IF(AND(ISNUMBER($L571),$L571&lt;significance_bar),"worse","worse, not significant"),IF(AND(ISNUMBER($L571),$L571&lt;significance_bar),"better","better, not significant")))))</f>
        <v/>
      </c>
      <c r="X571">
        <f>IF($M571="","",IF($I571,"too few losses to test",IF(AND($M571&gt;better_at,$M571&lt;worse_at),"in line",IF($M571&gt;=worse_at,IF(AND(ISNUMBER($N571),$N571&lt;significance_bar),"worse","worse, not significant"),IF(AND(ISNUMBER($N571),$N571&lt;significance_bar),"better","better, not significant")))))</f>
        <v/>
      </c>
      <c r="Y571">
        <f>IF($V571,$X571,$W571)</f>
        <v/>
      </c>
      <c r="Z571">
        <f>IF($V571,IF($P571="","",$P571),IF($O571="","",$O571))</f>
        <v/>
      </c>
      <c r="AA571">
        <f>IF(OR($Q571="",$Z571=""),"",IF(AND($Z571&gt;0,$Z571&gt;=$Q571),"yes","below the line"))</f>
        <v/>
      </c>
      <c r="AB571">
        <f>IF($V571,IF($M571="","",$M571),IF($K571="","",$K571))</f>
        <v/>
      </c>
      <c r="AC571">
        <f>IF($V571,IF($N571="","",$N571),IF($L571="","",$L571))</f>
        <v/>
      </c>
      <c r="AD571">
        <f>$Y571</f>
        <v/>
      </c>
      <c r="AE571">
        <f>IF($V571,IF($S571="","",$S571),IF($R571="","",$R571))</f>
        <v/>
      </c>
      <c r="AF571">
        <f>IF($V571,IF($U571="","",$U571),IF($T571="","",$T571))</f>
        <v/>
      </c>
      <c r="AG571">
        <f>IF($V571,IF($O571="","",$O571),IF($P571="","",$P571))</f>
        <v/>
      </c>
      <c r="AH571" t="n">
        <v>0.03659446658543245</v>
      </c>
      <c r="AI571">
        <f>IF($Y571="worse","Yes",IF($Y571="worse, not significant","Not sure",IF(OR($Y571="too few losses to test",$Y571="too few loans to test"),"Too few losses",IF($Y571="","","No"))))</f>
        <v/>
      </c>
      <c r="AJ571">
        <f>IF($AA571="yes","Yes",IF($AA571="","","No"))</f>
        <v/>
      </c>
    </row>
    <row r="572">
      <c r="A572" t="inlineStr">
        <is>
          <t>three-way</t>
        </is>
      </c>
      <c r="B572" t="inlineStr">
        <is>
          <t>FICO x CHANNEL / SYS_FLAG</t>
        </is>
      </c>
      <c r="C572" t="inlineStr">
        <is>
          <t>496 - 653</t>
        </is>
      </c>
      <c r="D572" t="inlineStr">
        <is>
          <t>Online / SYS_FLAG N</t>
        </is>
      </c>
      <c r="E572" t="inlineStr">
        <is>
          <t>ranr_rate</t>
        </is>
      </c>
      <c r="F572" t="inlineStr">
        <is>
          <t>Profit after losses: RANR per booked dollar</t>
        </is>
      </c>
      <c r="G572" t="n">
        <v>305</v>
      </c>
      <c r="H572" t="n">
        <v>9925227.060000001</v>
      </c>
      <c r="I572" t="b">
        <v>0</v>
      </c>
      <c r="J572" t="b">
        <v>0</v>
      </c>
      <c r="K572" t="n">
        <v>0.1090478775562636</v>
      </c>
      <c r="L572" t="n">
        <v>0.0002845869259227924</v>
      </c>
      <c r="M572" t="n">
        <v>0.0530471380755034</v>
      </c>
      <c r="N572" t="n">
        <v>0.01583841615838416</v>
      </c>
      <c r="O572" t="n">
        <v>-1082324.945156994</v>
      </c>
      <c r="P572" t="n">
        <v>-526504.8902825427</v>
      </c>
      <c r="Q572">
        <f>'_live'!$C$23</f>
        <v/>
      </c>
      <c r="R572" t="inlineStr">
        <is>
          <t>shuffled: 0 of 10,000</t>
        </is>
      </c>
      <c r="S572" t="inlineStr">
        <is>
          <t>shuffled: 21 of 10,000</t>
        </is>
      </c>
      <c r="T572" t="n">
        <v>0.1237961043525997</v>
      </c>
      <c r="U572" t="n">
        <v>0.1797968438333599</v>
      </c>
      <c r="V572">
        <f>AND(judged_band,NOT($J572))</f>
        <v/>
      </c>
      <c r="W572">
        <f>IF($K572="","",IF(profit_kind="test",IF(OR(NOT(AND(ISNUMBER($L572),$L572&lt;significance_bar)),$K572=0),"in line",IF($K572&lt;0,"worse","better")),IF(OR($K572=0,IF(profit_kind="points",ABS($K572),ABS($K572*$H572))&lt;profit_line*(1-1E-9)),"in line",IF(AND(ISNUMBER($L572),$L572&lt;significance_bar),IF($K572&lt;0,"worse","better"),IF($K572&lt;0,"worse, not significant","better, not significant")))))</f>
        <v/>
      </c>
      <c r="X572">
        <f>IF($M572="","",IF(profit_kind="test",IF(OR(NOT(AND(ISNUMBER($N572),$N572&lt;significance_bar)),$M572=0),"in line",IF($M572&lt;0,"worse","better")),IF(OR($M572=0,IF(profit_kind="points",ABS($M572),ABS($M572*$H572))&lt;profit_line*(1-1E-9)),"in line",IF(AND(ISNUMBER($N572),$N572&lt;significance_bar),IF($M572&lt;0,"worse","better"),IF($M572&lt;0,"worse, not significant","better, not significant")))))</f>
        <v/>
      </c>
      <c r="Y572">
        <f>IF($V572,$X572,$W572)</f>
        <v/>
      </c>
      <c r="Z572">
        <f>IF($V572,IF($P572="","",$P572),IF($O572="","",$O572))</f>
        <v/>
      </c>
      <c r="AA572">
        <f>IF(OR($Q572="",$Z572=""),"",IF(AND($Z572&gt;0,$Z572&gt;=$Q572),"yes","below the line"))</f>
        <v/>
      </c>
      <c r="AB572">
        <f>IF($V572,IF($M572="","",$M572),IF($K572="","",$K572))</f>
        <v/>
      </c>
      <c r="AC572">
        <f>IF($V572,IF($N572="","",$N572),IF($L572="","",$L572))</f>
        <v/>
      </c>
      <c r="AD572">
        <f>IF($Y572="","",IF($Y572="in line",IF(profit_kind="test",IF(ROUND($AB572*100,2)=0,"0.00",TEXT($AB572*100,"+0.00;-0.00"))&amp;" points against "&amp;IF($V572,"its band","the book")&amp;", "&amp;IF($AC572="","not tested","not significant"),IF(profit_kind="points","within "&amp;TEXT(profit_line*100,"0.00")&amp;" points of "&amp;IF($V572,"its band","the book")&amp;" ("&amp;IF(ROUND($AB572*100,2)=0,"0.00",TEXT($AB572*100,"+0.00;-0.00"))&amp;")","within $"&amp;TEXT(profit_line,"#,##0")&amp;" of "&amp;IF($V572,"its band","the book")&amp;" ("&amp;IF(ROUND($AB572*100,2)=0,"0.00",TEXT($AB572*100,"+0.00;-0.00"))&amp;" points)")),IF(LEFT($Y572,5)="worse","short of ","ahead of ")&amp;IF($V572,"its band","the book")&amp;" by "&amp;TEXT(ABS($AB572)*100,"0.00")&amp;" points"&amp;IF($Z572="",""," ($"&amp;TEXT(ABS($Z572),"#,##0")&amp;")")&amp;IF(RIGHT($Y572,15)="not significant"," (not significant)","")))</f>
        <v/>
      </c>
      <c r="AE572">
        <f>IF($V572,IF($S572="","",$S572),IF($R572="","",$R572))</f>
        <v/>
      </c>
      <c r="AF572">
        <f>IF($V572,IF($U572="","",$U572),IF($T572="","",$T572))</f>
        <v/>
      </c>
      <c r="AG572">
        <f>IF($V572,IF($O572="","",$O572),IF($P572="","",$P572))</f>
        <v/>
      </c>
      <c r="AH572" t="n">
        <v>0.2328439819088634</v>
      </c>
      <c r="AI572">
        <f>IF($Y572="worse","Yes",IF($Y572="worse, not significant","Not sure",IF(OR($Y572="too few losses to test",$Y572="too few loans to test"),"Too few losses",IF($Y572="","","No"))))</f>
        <v/>
      </c>
      <c r="AJ572">
        <f>IF($AA572="yes","Yes",IF($AA572="","","No"))</f>
        <v/>
      </c>
    </row>
    <row r="573">
      <c r="A573" t="inlineStr">
        <is>
          <t>three-way</t>
        </is>
      </c>
      <c r="B573" t="inlineStr">
        <is>
          <t>FICO x CHANNEL / SYS_FLAG</t>
        </is>
      </c>
      <c r="C573" t="inlineStr">
        <is>
          <t>496 - 653</t>
        </is>
      </c>
      <c r="D573" t="inlineStr">
        <is>
          <t>Online / SYS_FLAG N</t>
        </is>
      </c>
      <c r="E573" t="inlineStr">
        <is>
          <t>contribution_rate</t>
        </is>
      </c>
      <c r="F573" t="inlineStr">
        <is>
          <t>Contribution before losses per booked dollar</t>
        </is>
      </c>
      <c r="G573" t="n">
        <v>305</v>
      </c>
      <c r="H573" t="n">
        <v>9925227.060000001</v>
      </c>
      <c r="I573" t="b">
        <v>0</v>
      </c>
      <c r="J573" t="b">
        <v>0</v>
      </c>
      <c r="K573" t="n">
        <v>0.103840269386629</v>
      </c>
      <c r="L573" t="n">
        <v>0.000184981501849815</v>
      </c>
      <c r="M573" t="n">
        <v>-0.005203560230894411</v>
      </c>
      <c r="N573" t="n">
        <v>0.7649855704084764</v>
      </c>
      <c r="O573" t="n">
        <v>-1030638.25163386</v>
      </c>
      <c r="P573" t="n">
        <v>51646.516812013</v>
      </c>
      <c r="Q573">
        <f>'_live'!$C$24</f>
        <v/>
      </c>
      <c r="R573" t="inlineStr">
        <is>
          <t>shuffled: 0 of 10,000</t>
        </is>
      </c>
      <c r="S573" t="inlineStr">
        <is>
          <t>shuffled: 6,162 of 10,000</t>
        </is>
      </c>
      <c r="T573" t="n">
        <v>0.1655981791076667</v>
      </c>
      <c r="U573" t="n">
        <v>0.2746420087251901</v>
      </c>
      <c r="V573">
        <f>AND(judged_band,NOT($J573))</f>
        <v/>
      </c>
      <c r="W573">
        <f>IF($K573="","",IF(profit_kind="test",IF(OR(NOT(AND(ISNUMBER($L573),$L573&lt;significance_bar)),$K573=0),"in line",IF($K573&lt;0,"worse","better")),IF(OR($K573=0,IF(profit_kind="points",ABS($K573),ABS($K573*$H573))&lt;profit_line*(1-1E-9)),"in line",IF(AND(ISNUMBER($L573),$L573&lt;significance_bar),IF($K573&lt;0,"worse","better"),IF($K573&lt;0,"worse, not significant","better, not significant")))))</f>
        <v/>
      </c>
      <c r="X573">
        <f>IF($M573="","",IF(profit_kind="test",IF(OR(NOT(AND(ISNUMBER($N573),$N573&lt;significance_bar)),$M573=0),"in line",IF($M573&lt;0,"worse","better")),IF(OR($M573=0,IF(profit_kind="points",ABS($M573),ABS($M573*$H573))&lt;profit_line*(1-1E-9)),"in line",IF(AND(ISNUMBER($N573),$N573&lt;significance_bar),IF($M573&lt;0,"worse","better"),IF($M573&lt;0,"worse, not significant","better, not significant")))))</f>
        <v/>
      </c>
      <c r="Y573">
        <f>IF($V573,$X573,$W573)</f>
        <v/>
      </c>
      <c r="Z573">
        <f>IF($V573,IF($P573="","",$P573),IF($O573="","",$O573))</f>
        <v/>
      </c>
      <c r="AA573">
        <f>IF(OR($Q573="",$Z573=""),"",IF(AND($Z573&gt;0,$Z573&gt;=$Q573),"yes","below the line"))</f>
        <v/>
      </c>
      <c r="AB573">
        <f>IF($V573,IF($M573="","",$M573),IF($K573="","",$K573))</f>
        <v/>
      </c>
      <c r="AC573">
        <f>IF($V573,IF($N573="","",$N573),IF($L573="","",$L573))</f>
        <v/>
      </c>
      <c r="AD573">
        <f>IF($Y573="","",IF($Y573="in line",IF(profit_kind="test",IF(ROUND($AB573*100,2)=0,"0.00",TEXT($AB573*100,"+0.00;-0.00"))&amp;" points against "&amp;IF($V573,"its band","the book")&amp;", "&amp;IF($AC573="","not tested","not significant"),IF(profit_kind="points","within "&amp;TEXT(profit_line*100,"0.00")&amp;" points of "&amp;IF($V573,"its band","the book")&amp;" ("&amp;IF(ROUND($AB573*100,2)=0,"0.00",TEXT($AB573*100,"+0.00;-0.00"))&amp;")","within $"&amp;TEXT(profit_line,"#,##0")&amp;" of "&amp;IF($V573,"its band","the book")&amp;" ("&amp;IF(ROUND($AB573*100,2)=0,"0.00",TEXT($AB573*100,"+0.00;-0.00"))&amp;" points)")),IF(LEFT($Y573,5)="worse","short of ","ahead of ")&amp;IF($V573,"its band","the book")&amp;" by "&amp;TEXT(ABS($AB573)*100,"0.00")&amp;" points"&amp;IF($Z573="",""," ($"&amp;TEXT(ABS($Z573),"#,##0")&amp;")")&amp;IF(RIGHT($Y573,15)="not significant"," (not significant)","")))</f>
        <v/>
      </c>
      <c r="AE573">
        <f>IF($V573,IF($S573="","",$S573),IF($R573="","",$R573))</f>
        <v/>
      </c>
      <c r="AF573">
        <f>IF($V573,IF($U573="","",$U573),IF($T573="","",$T573))</f>
        <v/>
      </c>
      <c r="AG573">
        <f>IF($V573,IF($O573="","",$O573),IF($P573="","",$P573))</f>
        <v/>
      </c>
      <c r="AH573" t="n">
        <v>0.2694384484942957</v>
      </c>
      <c r="AI573">
        <f>IF($Y573="worse","Yes",IF($Y573="worse, not significant","Not sure",IF(OR($Y573="too few losses to test",$Y573="too few loans to test"),"Too few losses",IF($Y573="","","No"))))</f>
        <v/>
      </c>
      <c r="AJ573">
        <f>IF($AA573="yes","Yes",IF($AA573="","","No"))</f>
        <v/>
      </c>
    </row>
    <row r="574">
      <c r="A574" t="inlineStr">
        <is>
          <t>three-way</t>
        </is>
      </c>
      <c r="B574" t="inlineStr">
        <is>
          <t>FICO x CHANNEL / SYS_FLAG</t>
        </is>
      </c>
      <c r="C574" t="inlineStr">
        <is>
          <t>686 - 711</t>
        </is>
      </c>
      <c r="D574" t="inlineStr">
        <is>
          <t>Branch / SYS_FLAG N</t>
        </is>
      </c>
      <c r="E574" t="inlineStr">
        <is>
          <t>outcome_loans</t>
        </is>
      </c>
      <c r="F574" t="inlineStr">
        <is>
          <t>Outcome, share of loans</t>
        </is>
      </c>
      <c r="G574" t="n">
        <v>280</v>
      </c>
      <c r="H574" t="n">
        <v>280</v>
      </c>
      <c r="I574" t="b">
        <v>0</v>
      </c>
      <c r="J574" t="b">
        <v>0</v>
      </c>
      <c r="K574" t="n">
        <v>0.7784943046986236</v>
      </c>
      <c r="L574" t="n">
        <v>0.3598787304750263</v>
      </c>
      <c r="M574" t="n">
        <v>0.9852622061482821</v>
      </c>
      <c r="N574" t="n">
        <v>0.954287523372503</v>
      </c>
      <c r="O574" t="n">
        <v>-4.837025521440601</v>
      </c>
      <c r="P574" t="n">
        <v>-0.2542901716068648</v>
      </c>
      <c r="Q574">
        <f>'_live'!$C$20</f>
        <v/>
      </c>
      <c r="R574" t="inlineStr">
        <is>
          <t>z test</t>
        </is>
      </c>
      <c r="S574" t="inlineStr">
        <is>
          <t>z test</t>
        </is>
      </c>
      <c r="T574" t="n">
        <v>0.07798937686228787</v>
      </c>
      <c r="U574" t="n">
        <v>0.06162246489859594</v>
      </c>
      <c r="V574">
        <f>AND(judged_band,NOT($J574))</f>
        <v/>
      </c>
      <c r="W574">
        <f>IF($K574="","",IF($I574,"too few losses to test",IF(AND($K574&gt;better_at,$K574&lt;worse_at),"in line",IF($K574&gt;=worse_at,IF(AND(ISNUMBER($L574),$L574&lt;significance_bar),"worse","worse, not significant"),IF(AND(ISNUMBER($L574),$L574&lt;significance_bar),"better","better, not significant")))))</f>
        <v/>
      </c>
      <c r="X574">
        <f>IF($M574="","",IF($I574,"too few losses to test",IF(AND($M574&gt;better_at,$M574&lt;worse_at),"in line",IF($M574&gt;=worse_at,IF(AND(ISNUMBER($N574),$N574&lt;significance_bar),"worse","worse, not significant"),IF(AND(ISNUMBER($N574),$N574&lt;significance_bar),"better","better, not significant")))))</f>
        <v/>
      </c>
      <c r="Y574">
        <f>IF($V574,$X574,$W574)</f>
        <v/>
      </c>
      <c r="Z574">
        <f>IF($V574,IF($P574="","",$P574),IF($O574="","",$O574))</f>
        <v/>
      </c>
      <c r="AA574">
        <f>IF(OR($Q574="",$Z574=""),"",IF(AND($Z574&gt;0,$Z574&gt;=$Q574),"yes","below the line"))</f>
        <v/>
      </c>
      <c r="AB574">
        <f>IF($V574,IF($M574="","",$M574),IF($K574="","",$K574))</f>
        <v/>
      </c>
      <c r="AC574">
        <f>IF($V574,IF($N574="","",$N574),IF($L574="","",$L574))</f>
        <v/>
      </c>
      <c r="AD574">
        <f>$Y574</f>
        <v/>
      </c>
      <c r="AE574">
        <f>IF($V574,IF($S574="","",$S574),IF($R574="","",$R574))</f>
        <v/>
      </c>
      <c r="AF574">
        <f>IF($V574,IF($U574="","",$U574),IF($T574="","",$T574))</f>
        <v/>
      </c>
      <c r="AG574">
        <f>IF($V574,IF($O574="","",$O574),IF($P574="","",$P574))</f>
        <v/>
      </c>
      <c r="AH574" t="n">
        <v>0.06071428571428571</v>
      </c>
      <c r="AI574">
        <f>IF($Y574="worse","Yes",IF($Y574="worse, not significant","Not sure",IF(OR($Y574="too few losses to test",$Y574="too few loans to test"),"Too few losses",IF($Y574="","","No"))))</f>
        <v/>
      </c>
      <c r="AJ574">
        <f>IF($AA574="yes","Yes",IF($AA574="","","No"))</f>
        <v/>
      </c>
    </row>
    <row r="575">
      <c r="A575" t="inlineStr">
        <is>
          <t>three-way</t>
        </is>
      </c>
      <c r="B575" t="inlineStr">
        <is>
          <t>FICO x CHANNEL / SYS_FLAG</t>
        </is>
      </c>
      <c r="C575" t="inlineStr">
        <is>
          <t>686 - 711</t>
        </is>
      </c>
      <c r="D575" t="inlineStr">
        <is>
          <t>Branch / SYS_FLAG N</t>
        </is>
      </c>
      <c r="E575" t="inlineStr">
        <is>
          <t>outcome_booked</t>
        </is>
      </c>
      <c r="F575" t="inlineStr">
        <is>
          <t>Outcome, share of booked dollars</t>
        </is>
      </c>
      <c r="G575" t="n">
        <v>280</v>
      </c>
      <c r="H575" t="n">
        <v>9250034.289999995</v>
      </c>
      <c r="I575" t="b">
        <v>0</v>
      </c>
      <c r="J575" t="b">
        <v>0</v>
      </c>
      <c r="K575" t="n">
        <v>0.613945781095691</v>
      </c>
      <c r="L575" t="n">
        <v>0.1678403588212607</v>
      </c>
      <c r="M575" t="n">
        <v>0.787740873303767</v>
      </c>
      <c r="N575" t="n">
        <v>0.5644435556444356</v>
      </c>
      <c r="O575" t="n">
        <v>-270965.0023168078</v>
      </c>
      <c r="P575" t="n">
        <v>-116112.2151839539</v>
      </c>
      <c r="Q575">
        <f>'_live'!$C$21</f>
        <v/>
      </c>
      <c r="R575" t="inlineStr">
        <is>
          <t>shuffled: 939 of 10,000</t>
        </is>
      </c>
      <c r="S575" t="inlineStr">
        <is>
          <t>shuffled: 4,515 of 10,000</t>
        </is>
      </c>
      <c r="T575" t="n">
        <v>0.07587899247850335</v>
      </c>
      <c r="U575" t="n">
        <v>0.05913821268482608</v>
      </c>
      <c r="V575">
        <f>AND(judged_band,NOT($J575))</f>
        <v/>
      </c>
      <c r="W575">
        <f>IF($K575="","",IF($I575,"too few losses to test",IF(AND($K575&gt;better_at,$K575&lt;worse_at),"in line",IF($K575&gt;=worse_at,IF(AND(ISNUMBER($L575),$L575&lt;significance_bar),"worse","worse, not significant"),IF(AND(ISNUMBER($L575),$L575&lt;significance_bar),"better","better, not significant")))))</f>
        <v/>
      </c>
      <c r="X575">
        <f>IF($M575="","",IF($I575,"too few losses to test",IF(AND($M575&gt;better_at,$M575&lt;worse_at),"in line",IF($M575&gt;=worse_at,IF(AND(ISNUMBER($N575),$N575&lt;significance_bar),"worse","worse, not significant"),IF(AND(ISNUMBER($N575),$N575&lt;significance_bar),"better","better, not significant")))))</f>
        <v/>
      </c>
      <c r="Y575">
        <f>IF($V575,$X575,$W575)</f>
        <v/>
      </c>
      <c r="Z575">
        <f>IF($V575,IF($P575="","",$P575),IF($O575="","",$O575))</f>
        <v/>
      </c>
      <c r="AA575">
        <f>IF(OR($Q575="",$Z575=""),"",IF(AND($Z575&gt;0,$Z575&gt;=$Q575),"yes","below the line"))</f>
        <v/>
      </c>
      <c r="AB575">
        <f>IF($V575,IF($M575="","",$M575),IF($K575="","",$K575))</f>
        <v/>
      </c>
      <c r="AC575">
        <f>IF($V575,IF($N575="","",$N575),IF($L575="","",$L575))</f>
        <v/>
      </c>
      <c r="AD575">
        <f>$Y575</f>
        <v/>
      </c>
      <c r="AE575">
        <f>IF($V575,IF($S575="","",$S575),IF($R575="","",$R575))</f>
        <v/>
      </c>
      <c r="AF575">
        <f>IF($V575,IF($U575="","",$U575),IF($T575="","",$T575))</f>
        <v/>
      </c>
      <c r="AG575">
        <f>IF($V575,IF($O575="","",$O575),IF($P575="","",$P575))</f>
        <v/>
      </c>
      <c r="AH575" t="n">
        <v>0.0465855873059688</v>
      </c>
      <c r="AI575">
        <f>IF($Y575="worse","Yes",IF($Y575="worse, not significant","Not sure",IF(OR($Y575="too few losses to test",$Y575="too few loans to test"),"Too few losses",IF($Y575="","","No"))))</f>
        <v/>
      </c>
      <c r="AJ575">
        <f>IF($AA575="yes","Yes",IF($AA575="","","No"))</f>
        <v/>
      </c>
    </row>
    <row r="576">
      <c r="A576" t="inlineStr">
        <is>
          <t>three-way</t>
        </is>
      </c>
      <c r="B576" t="inlineStr">
        <is>
          <t>FICO x CHANNEL / SYS_FLAG</t>
        </is>
      </c>
      <c r="C576" t="inlineStr">
        <is>
          <t>686 - 711</t>
        </is>
      </c>
      <c r="D576" t="inlineStr">
        <is>
          <t>Branch / SYS_FLAG N</t>
        </is>
      </c>
      <c r="E576" t="inlineStr">
        <is>
          <t>gco_rate</t>
        </is>
      </c>
      <c r="F576" t="inlineStr">
        <is>
          <t>GCO per booked dollar</t>
        </is>
      </c>
      <c r="G576" t="n">
        <v>280</v>
      </c>
      <c r="H576" t="n">
        <v>9250034.289999995</v>
      </c>
      <c r="I576" t="b">
        <v>0</v>
      </c>
      <c r="J576" t="b">
        <v>0</v>
      </c>
      <c r="K576" t="n">
        <v>0.6385850942077971</v>
      </c>
      <c r="L576" t="n">
        <v>0.2027922207779222</v>
      </c>
      <c r="M576" t="n">
        <v>0.827376030923355</v>
      </c>
      <c r="N576" t="n">
        <v>0.7008049195080492</v>
      </c>
      <c r="O576" t="n">
        <v>-140916.3292851516</v>
      </c>
      <c r="P576" t="n">
        <v>-51948.40304755562</v>
      </c>
      <c r="Q576">
        <f>'_live'!$C$22</f>
        <v/>
      </c>
      <c r="R576" t="inlineStr">
        <is>
          <t>shuffled: 1,297 of 10,000</t>
        </is>
      </c>
      <c r="S576" t="inlineStr">
        <is>
          <t>shuffled: 5,606 of 10,000</t>
        </is>
      </c>
      <c r="T576" t="n">
        <v>0.04215139177447868</v>
      </c>
      <c r="U576" t="n">
        <v>0.03253327324125582</v>
      </c>
      <c r="V576">
        <f>AND(judged_band,NOT($J576))</f>
        <v/>
      </c>
      <c r="W576">
        <f>IF($K576="","",IF($I576,"too few losses to test",IF(AND($K576&gt;better_at,$K576&lt;worse_at),"in line",IF($K576&gt;=worse_at,IF(AND(ISNUMBER($L576),$L576&lt;significance_bar),"worse","worse, not significant"),IF(AND(ISNUMBER($L576),$L576&lt;significance_bar),"better","better, not significant")))))</f>
        <v/>
      </c>
      <c r="X576">
        <f>IF($M576="","",IF($I576,"too few losses to test",IF(AND($M576&gt;better_at,$M576&lt;worse_at),"in line",IF($M576&gt;=worse_at,IF(AND(ISNUMBER($N576),$N576&lt;significance_bar),"worse","worse, not significant"),IF(AND(ISNUMBER($N576),$N576&lt;significance_bar),"better","better, not significant")))))</f>
        <v/>
      </c>
      <c r="Y576">
        <f>IF($V576,$X576,$W576)</f>
        <v/>
      </c>
      <c r="Z576">
        <f>IF($V576,IF($P576="","",$P576),IF($O576="","",$O576))</f>
        <v/>
      </c>
      <c r="AA576">
        <f>IF(OR($Q576="",$Z576=""),"",IF(AND($Z576&gt;0,$Z576&gt;=$Q576),"yes","below the line"))</f>
        <v/>
      </c>
      <c r="AB576">
        <f>IF($V576,IF($M576="","",$M576),IF($K576="","",$K576))</f>
        <v/>
      </c>
      <c r="AC576">
        <f>IF($V576,IF($N576="","",$N576),IF($L576="","",$L576))</f>
        <v/>
      </c>
      <c r="AD576">
        <f>$Y576</f>
        <v/>
      </c>
      <c r="AE576">
        <f>IF($V576,IF($S576="","",$S576),IF($R576="","",$R576))</f>
        <v/>
      </c>
      <c r="AF576">
        <f>IF($V576,IF($U576="","",$U576),IF($T576="","",$T576))</f>
        <v/>
      </c>
      <c r="AG576">
        <f>IF($V576,IF($O576="","",$O576),IF($P576="","",$P576))</f>
        <v/>
      </c>
      <c r="AH576" t="n">
        <v>0.02691725048729523</v>
      </c>
      <c r="AI576">
        <f>IF($Y576="worse","Yes",IF($Y576="worse, not significant","Not sure",IF(OR($Y576="too few losses to test",$Y576="too few loans to test"),"Too few losses",IF($Y576="","","No"))))</f>
        <v/>
      </c>
      <c r="AJ576">
        <f>IF($AA576="yes","Yes",IF($AA576="","","No"))</f>
        <v/>
      </c>
    </row>
    <row r="577">
      <c r="A577" t="inlineStr">
        <is>
          <t>three-way</t>
        </is>
      </c>
      <c r="B577" t="inlineStr">
        <is>
          <t>FICO x CHANNEL / SYS_FLAG</t>
        </is>
      </c>
      <c r="C577" t="inlineStr">
        <is>
          <t>686 - 711</t>
        </is>
      </c>
      <c r="D577" t="inlineStr">
        <is>
          <t>Branch / SYS_FLAG N</t>
        </is>
      </c>
      <c r="E577" t="inlineStr">
        <is>
          <t>ranr_rate</t>
        </is>
      </c>
      <c r="F577" t="inlineStr">
        <is>
          <t>Profit after losses: RANR per booked dollar</t>
        </is>
      </c>
      <c r="G577" t="n">
        <v>280</v>
      </c>
      <c r="H577" t="n">
        <v>9250034.289999995</v>
      </c>
      <c r="I577" t="b">
        <v>0</v>
      </c>
      <c r="J577" t="b">
        <v>0</v>
      </c>
      <c r="K577" t="n">
        <v>0.0001167555143640475</v>
      </c>
      <c r="L577" t="n">
        <v>0.9932006799320068</v>
      </c>
      <c r="M577" t="n">
        <v>-0.01687546681950516</v>
      </c>
      <c r="N577" t="n">
        <v>0.3846472495607582</v>
      </c>
      <c r="O577" t="n">
        <v>-1079.992511413991</v>
      </c>
      <c r="P577" t="n">
        <v>156098.64674018</v>
      </c>
      <c r="Q577">
        <f>'_live'!$C$23</f>
        <v/>
      </c>
      <c r="R577" t="inlineStr">
        <is>
          <t>shuffled: 9,932 of 10,000</t>
        </is>
      </c>
      <c r="S577" t="inlineStr">
        <is>
          <t>shuffled: 1,495 of 10,000</t>
        </is>
      </c>
      <c r="T577" t="n">
        <v>0.1279858647408957</v>
      </c>
      <c r="U577" t="n">
        <v>0.1449780870747649</v>
      </c>
      <c r="V577">
        <f>AND(judged_band,NOT($J577))</f>
        <v/>
      </c>
      <c r="W577">
        <f>IF($K577="","",IF(profit_kind="test",IF(OR(NOT(AND(ISNUMBER($L577),$L577&lt;significance_bar)),$K577=0),"in line",IF($K577&lt;0,"worse","better")),IF(OR($K577=0,IF(profit_kind="points",ABS($K577),ABS($K577*$H577))&lt;profit_line*(1-1E-9)),"in line",IF(AND(ISNUMBER($L577),$L577&lt;significance_bar),IF($K577&lt;0,"worse","better"),IF($K577&lt;0,"worse, not significant","better, not significant")))))</f>
        <v/>
      </c>
      <c r="X577">
        <f>IF($M577="","",IF(profit_kind="test",IF(OR(NOT(AND(ISNUMBER($N577),$N577&lt;significance_bar)),$M577=0),"in line",IF($M577&lt;0,"worse","better")),IF(OR($M577=0,IF(profit_kind="points",ABS($M577),ABS($M577*$H577))&lt;profit_line*(1-1E-9)),"in line",IF(AND(ISNUMBER($N577),$N577&lt;significance_bar),IF($M577&lt;0,"worse","better"),IF($M577&lt;0,"worse, not significant","better, not significant")))))</f>
        <v/>
      </c>
      <c r="Y577">
        <f>IF($V577,$X577,$W577)</f>
        <v/>
      </c>
      <c r="Z577">
        <f>IF($V577,IF($P577="","",$P577),IF($O577="","",$O577))</f>
        <v/>
      </c>
      <c r="AA577">
        <f>IF(OR($Q577="",$Z577=""),"",IF(AND($Z577&gt;0,$Z577&gt;=$Q577),"yes","below the line"))</f>
        <v/>
      </c>
      <c r="AB577">
        <f>IF($V577,IF($M577="","",$M577),IF($K577="","",$K577))</f>
        <v/>
      </c>
      <c r="AC577">
        <f>IF($V577,IF($N577="","",$N577),IF($L577="","",$L577))</f>
        <v/>
      </c>
      <c r="AD577">
        <f>IF($Y577="","",IF($Y577="in line",IF(profit_kind="test",IF(ROUND($AB577*100,2)=0,"0.00",TEXT($AB577*100,"+0.00;-0.00"))&amp;" points against "&amp;IF($V577,"its band","the book")&amp;", "&amp;IF($AC577="","not tested","not significant"),IF(profit_kind="points","within "&amp;TEXT(profit_line*100,"0.00")&amp;" points of "&amp;IF($V577,"its band","the book")&amp;" ("&amp;IF(ROUND($AB577*100,2)=0,"0.00",TEXT($AB577*100,"+0.00;-0.00"))&amp;")","within $"&amp;TEXT(profit_line,"#,##0")&amp;" of "&amp;IF($V577,"its band","the book")&amp;" ("&amp;IF(ROUND($AB577*100,2)=0,"0.00",TEXT($AB577*100,"+0.00;-0.00"))&amp;" points)")),IF(LEFT($Y577,5)="worse","short of ","ahead of ")&amp;IF($V577,"its band","the book")&amp;" by "&amp;TEXT(ABS($AB577)*100,"0.00")&amp;" points"&amp;IF($Z577="",""," ($"&amp;TEXT(ABS($Z577),"#,##0")&amp;")")&amp;IF(RIGHT($Y577,15)="not significant"," (not significant)","")))</f>
        <v/>
      </c>
      <c r="AE577">
        <f>IF($V577,IF($S577="","",$S577),IF($R577="","",$R577))</f>
        <v/>
      </c>
      <c r="AF577">
        <f>IF($V577,IF($U577="","",$U577),IF($T577="","",$T577))</f>
        <v/>
      </c>
      <c r="AG577">
        <f>IF($V577,IF($O577="","",$O577),IF($P577="","",$P577))</f>
        <v/>
      </c>
      <c r="AH577" t="n">
        <v>0.1281026202552597</v>
      </c>
      <c r="AI577">
        <f>IF($Y577="worse","Yes",IF($Y577="worse, not significant","Not sure",IF(OR($Y577="too few losses to test",$Y577="too few loans to test"),"Too few losses",IF($Y577="","","No"))))</f>
        <v/>
      </c>
      <c r="AJ577">
        <f>IF($AA577="yes","Yes",IF($AA577="","","No"))</f>
        <v/>
      </c>
    </row>
    <row r="578">
      <c r="A578" t="inlineStr">
        <is>
          <t>three-way</t>
        </is>
      </c>
      <c r="B578" t="inlineStr">
        <is>
          <t>FICO x CHANNEL / SYS_FLAG</t>
        </is>
      </c>
      <c r="C578" t="inlineStr">
        <is>
          <t>686 - 711</t>
        </is>
      </c>
      <c r="D578" t="inlineStr">
        <is>
          <t>Branch / SYS_FLAG N</t>
        </is>
      </c>
      <c r="E578" t="inlineStr">
        <is>
          <t>contribution_rate</t>
        </is>
      </c>
      <c r="F578" t="inlineStr">
        <is>
          <t>Contribution before losses per booked dollar</t>
        </is>
      </c>
      <c r="G578" t="n">
        <v>280</v>
      </c>
      <c r="H578" t="n">
        <v>9250034.289999995</v>
      </c>
      <c r="I578" t="b">
        <v>0</v>
      </c>
      <c r="J578" t="b">
        <v>0</v>
      </c>
      <c r="K578" t="n">
        <v>-0.01511441954689752</v>
      </c>
      <c r="L578" t="n">
        <v>0.07411592174115923</v>
      </c>
      <c r="M578" t="n">
        <v>-0.02249148957346564</v>
      </c>
      <c r="N578" t="n">
        <v>0.001999800019998</v>
      </c>
      <c r="O578" t="n">
        <v>139808.8990822481</v>
      </c>
      <c r="P578" t="n">
        <v>208047.0497877344</v>
      </c>
      <c r="Q578">
        <f>'_live'!$C$24</f>
        <v/>
      </c>
      <c r="R578" t="inlineStr">
        <is>
          <t>shuffled: 600 of 10,000</t>
        </is>
      </c>
      <c r="S578" t="inlineStr">
        <is>
          <t>shuffled: 4 of 10,000</t>
        </is>
      </c>
      <c r="T578" t="n">
        <v>0.1701342902894525</v>
      </c>
      <c r="U578" t="n">
        <v>0.1775113603160207</v>
      </c>
      <c r="V578">
        <f>AND(judged_band,NOT($J578))</f>
        <v/>
      </c>
      <c r="W578">
        <f>IF($K578="","",IF(profit_kind="test",IF(OR(NOT(AND(ISNUMBER($L578),$L578&lt;significance_bar)),$K578=0),"in line",IF($K578&lt;0,"worse","better")),IF(OR($K578=0,IF(profit_kind="points",ABS($K578),ABS($K578*$H578))&lt;profit_line*(1-1E-9)),"in line",IF(AND(ISNUMBER($L578),$L578&lt;significance_bar),IF($K578&lt;0,"worse","better"),IF($K578&lt;0,"worse, not significant","better, not significant")))))</f>
        <v/>
      </c>
      <c r="X578">
        <f>IF($M578="","",IF(profit_kind="test",IF(OR(NOT(AND(ISNUMBER($N578),$N578&lt;significance_bar)),$M578=0),"in line",IF($M578&lt;0,"worse","better")),IF(OR($M578=0,IF(profit_kind="points",ABS($M578),ABS($M578*$H578))&lt;profit_line*(1-1E-9)),"in line",IF(AND(ISNUMBER($N578),$N578&lt;significance_bar),IF($M578&lt;0,"worse","better"),IF($M578&lt;0,"worse, not significant","better, not significant")))))</f>
        <v/>
      </c>
      <c r="Y578">
        <f>IF($V578,$X578,$W578)</f>
        <v/>
      </c>
      <c r="Z578">
        <f>IF($V578,IF($P578="","",$P578),IF($O578="","",$O578))</f>
        <v/>
      </c>
      <c r="AA578">
        <f>IF(OR($Q578="",$Z578=""),"",IF(AND($Z578&gt;0,$Z578&gt;=$Q578),"yes","below the line"))</f>
        <v/>
      </c>
      <c r="AB578">
        <f>IF($V578,IF($M578="","",$M578),IF($K578="","",$K578))</f>
        <v/>
      </c>
      <c r="AC578">
        <f>IF($V578,IF($N578="","",$N578),IF($L578="","",$L578))</f>
        <v/>
      </c>
      <c r="AD578">
        <f>IF($Y578="","",IF($Y578="in line",IF(profit_kind="test",IF(ROUND($AB578*100,2)=0,"0.00",TEXT($AB578*100,"+0.00;-0.00"))&amp;" points against "&amp;IF($V578,"its band","the book")&amp;", "&amp;IF($AC578="","not tested","not significant"),IF(profit_kind="points","within "&amp;TEXT(profit_line*100,"0.00")&amp;" points of "&amp;IF($V578,"its band","the book")&amp;" ("&amp;IF(ROUND($AB578*100,2)=0,"0.00",TEXT($AB578*100,"+0.00;-0.00"))&amp;")","within $"&amp;TEXT(profit_line,"#,##0")&amp;" of "&amp;IF($V578,"its band","the book")&amp;" ("&amp;IF(ROUND($AB578*100,2)=0,"0.00",TEXT($AB578*100,"+0.00;-0.00"))&amp;" points)")),IF(LEFT($Y578,5)="worse","short of ","ahead of ")&amp;IF($V578,"its band","the book")&amp;" by "&amp;TEXT(ABS($AB578)*100,"0.00")&amp;" points"&amp;IF($Z578="",""," ($"&amp;TEXT(ABS($Z578),"#,##0")&amp;")")&amp;IF(RIGHT($Y578,15)="not significant"," (not significant)","")))</f>
        <v/>
      </c>
      <c r="AE578">
        <f>IF($V578,IF($S578="","",$S578),IF($R578="","",$R578))</f>
        <v/>
      </c>
      <c r="AF578">
        <f>IF($V578,IF($U578="","",$U578),IF($T578="","",$T578))</f>
        <v/>
      </c>
      <c r="AG578">
        <f>IF($V578,IF($O578="","",$O578),IF($P578="","",$P578))</f>
        <v/>
      </c>
      <c r="AH578" t="n">
        <v>0.155019870742555</v>
      </c>
      <c r="AI578">
        <f>IF($Y578="worse","Yes",IF($Y578="worse, not significant","Not sure",IF(OR($Y578="too few losses to test",$Y578="too few loans to test"),"Too few losses",IF($Y578="","","No"))))</f>
        <v/>
      </c>
      <c r="AJ578">
        <f>IF($AA578="yes","Yes",IF($AA578="","","No"))</f>
        <v/>
      </c>
    </row>
    <row r="579">
      <c r="A579" t="inlineStr">
        <is>
          <t>three-way</t>
        </is>
      </c>
      <c r="B579" t="inlineStr">
        <is>
          <t>FICO x CHANNEL / SYS_FLAG</t>
        </is>
      </c>
      <c r="C579" t="inlineStr">
        <is>
          <t>(marked missing)</t>
        </is>
      </c>
      <c r="D579" t="inlineStr">
        <is>
          <t>Branch / SYS_FLAG Y</t>
        </is>
      </c>
      <c r="E579" t="inlineStr">
        <is>
          <t>outcome_loans</t>
        </is>
      </c>
      <c r="F579" t="inlineStr">
        <is>
          <t>Outcome, share of loans</t>
        </is>
      </c>
      <c r="G579" t="n">
        <v>22</v>
      </c>
      <c r="H579" t="n">
        <v>22</v>
      </c>
      <c r="I579" t="b">
        <v>1</v>
      </c>
      <c r="J579" t="b">
        <v>0</v>
      </c>
      <c r="K579" t="n">
        <v>0.5867166813768756</v>
      </c>
      <c r="M579" t="n">
        <v>0.696969696969697</v>
      </c>
      <c r="O579" t="n">
        <v>-0.7044001504324933</v>
      </c>
      <c r="P579" t="n">
        <v>-0.4347826086956521</v>
      </c>
      <c r="Q579">
        <f>'_live'!$C$20</f>
        <v/>
      </c>
      <c r="T579" t="n">
        <v>0.07747273411056788</v>
      </c>
      <c r="U579" t="n">
        <v>0.06521739130434782</v>
      </c>
      <c r="V579">
        <f>AND(judged_band,NOT($J579))</f>
        <v/>
      </c>
      <c r="W579">
        <f>IF($K579="","",IF($I579,"too few losses to test",IF(AND($K579&gt;better_at,$K579&lt;worse_at),"in line",IF($K579&gt;=worse_at,IF(AND(ISNUMBER($L579),$L579&lt;significance_bar),"worse","worse, not significant"),IF(AND(ISNUMBER($L579),$L579&lt;significance_bar),"better","better, not significant")))))</f>
        <v/>
      </c>
      <c r="X579">
        <f>IF($M579="","",IF($I579,"too few losses to test",IF(AND($M579&gt;better_at,$M579&lt;worse_at),"in line",IF($M579&gt;=worse_at,IF(AND(ISNUMBER($N579),$N579&lt;significance_bar),"worse","worse, not significant"),IF(AND(ISNUMBER($N579),$N579&lt;significance_bar),"better","better, not significant")))))</f>
        <v/>
      </c>
      <c r="Y579">
        <f>IF($V579,$X579,$W579)</f>
        <v/>
      </c>
      <c r="Z579">
        <f>IF($V579,IF($P579="","",$P579),IF($O579="","",$O579))</f>
        <v/>
      </c>
      <c r="AA579">
        <f>IF(OR($Q579="",$Z579=""),"",IF(AND($Z579&gt;0,$Z579&gt;=$Q579),"yes","below the line"))</f>
        <v/>
      </c>
      <c r="AB579">
        <f>IF($V579,IF($M579="","",$M579),IF($K579="","",$K579))</f>
        <v/>
      </c>
      <c r="AC579">
        <f>IF($V579,IF($N579="","",$N579),IF($L579="","",$L579))</f>
        <v/>
      </c>
      <c r="AD579">
        <f>$Y579</f>
        <v/>
      </c>
      <c r="AE579">
        <f>IF($V579,IF($S579="","",$S579),IF($R579="","",$R579))</f>
        <v/>
      </c>
      <c r="AF579">
        <f>IF($V579,IF($U579="","",$U579),IF($T579="","",$T579))</f>
        <v/>
      </c>
      <c r="AG579">
        <f>IF($V579,IF($O579="","",$O579),IF($P579="","",$P579))</f>
        <v/>
      </c>
      <c r="AH579" t="n">
        <v>0.04545454545454546</v>
      </c>
      <c r="AI579">
        <f>IF($Y579="worse","Yes",IF($Y579="worse, not significant","Not sure",IF(OR($Y579="too few losses to test",$Y579="too few loans to test"),"Too few losses",IF($Y579="","","No"))))</f>
        <v/>
      </c>
      <c r="AJ579">
        <f>IF($AA579="yes","Yes",IF($AA579="","","No"))</f>
        <v/>
      </c>
    </row>
    <row r="580">
      <c r="A580" t="inlineStr">
        <is>
          <t>three-way</t>
        </is>
      </c>
      <c r="B580" t="inlineStr">
        <is>
          <t>FICO x CHANNEL / SYS_FLAG</t>
        </is>
      </c>
      <c r="C580" t="inlineStr">
        <is>
          <t>(marked missing)</t>
        </is>
      </c>
      <c r="D580" t="inlineStr">
        <is>
          <t>Branch / SYS_FLAG Y</t>
        </is>
      </c>
      <c r="E580" t="inlineStr">
        <is>
          <t>outcome_booked</t>
        </is>
      </c>
      <c r="F580" t="inlineStr">
        <is>
          <t>Outcome, share of booked dollars</t>
        </is>
      </c>
      <c r="G580" t="n">
        <v>22</v>
      </c>
      <c r="H580" t="n">
        <v>747285.7</v>
      </c>
      <c r="I580" t="b">
        <v>1</v>
      </c>
      <c r="J580" t="b">
        <v>0</v>
      </c>
      <c r="K580" t="n">
        <v>0.5061498376331425</v>
      </c>
      <c r="M580" t="n">
        <v>0.7611273337144023</v>
      </c>
      <c r="O580" t="n">
        <v>-27654.93497445894</v>
      </c>
      <c r="P580" t="n">
        <v>-8895.404082202625</v>
      </c>
      <c r="Q580">
        <f>'_live'!$C$21</f>
        <v/>
      </c>
      <c r="T580" t="n">
        <v>0.07493604517583963</v>
      </c>
      <c r="U580" t="n">
        <v>0.04983248586478053</v>
      </c>
      <c r="V580">
        <f>AND(judged_band,NOT($J580))</f>
        <v/>
      </c>
      <c r="W580">
        <f>IF($K580="","",IF($I580,"too few losses to test",IF(AND($K580&gt;better_at,$K580&lt;worse_at),"in line",IF($K580&gt;=worse_at,IF(AND(ISNUMBER($L580),$L580&lt;significance_bar),"worse","worse, not significant"),IF(AND(ISNUMBER($L580),$L580&lt;significance_bar),"better","better, not significant")))))</f>
        <v/>
      </c>
      <c r="X580">
        <f>IF($M580="","",IF($I580,"too few losses to test",IF(AND($M580&gt;better_at,$M580&lt;worse_at),"in line",IF($M580&gt;=worse_at,IF(AND(ISNUMBER($N580),$N580&lt;significance_bar),"worse","worse, not significant"),IF(AND(ISNUMBER($N580),$N580&lt;significance_bar),"better","better, not significant")))))</f>
        <v/>
      </c>
      <c r="Y580">
        <f>IF($V580,$X580,$W580)</f>
        <v/>
      </c>
      <c r="Z580">
        <f>IF($V580,IF($P580="","",$P580),IF($O580="","",$O580))</f>
        <v/>
      </c>
      <c r="AA580">
        <f>IF(OR($Q580="",$Z580=""),"",IF(AND($Z580&gt;0,$Z580&gt;=$Q580),"yes","below the line"))</f>
        <v/>
      </c>
      <c r="AB580">
        <f>IF($V580,IF($M580="","",$M580),IF($K580="","",$K580))</f>
        <v/>
      </c>
      <c r="AC580">
        <f>IF($V580,IF($N580="","",$N580),IF($L580="","",$L580))</f>
        <v/>
      </c>
      <c r="AD580">
        <f>$Y580</f>
        <v/>
      </c>
      <c r="AE580">
        <f>IF($V580,IF($S580="","",$S580),IF($R580="","",$R580))</f>
        <v/>
      </c>
      <c r="AF580">
        <f>IF($V580,IF($U580="","",$U580),IF($T580="","",$T580))</f>
        <v/>
      </c>
      <c r="AG580">
        <f>IF($V580,IF($O580="","",$O580),IF($P580="","",$P580))</f>
        <v/>
      </c>
      <c r="AH580" t="n">
        <v>0.03792886709862105</v>
      </c>
      <c r="AI580">
        <f>IF($Y580="worse","Yes",IF($Y580="worse, not significant","Not sure",IF(OR($Y580="too few losses to test",$Y580="too few loans to test"),"Too few losses",IF($Y580="","","No"))))</f>
        <v/>
      </c>
      <c r="AJ580">
        <f>IF($AA580="yes","Yes",IF($AA580="","","No"))</f>
        <v/>
      </c>
    </row>
    <row r="581">
      <c r="A581" t="inlineStr">
        <is>
          <t>three-way</t>
        </is>
      </c>
      <c r="B581" t="inlineStr">
        <is>
          <t>FICO x CHANNEL / SYS_FLAG</t>
        </is>
      </c>
      <c r="C581" t="inlineStr">
        <is>
          <t>(marked missing)</t>
        </is>
      </c>
      <c r="D581" t="inlineStr">
        <is>
          <t>Branch / SYS_FLAG Y</t>
        </is>
      </c>
      <c r="E581" t="inlineStr">
        <is>
          <t>gco_rate</t>
        </is>
      </c>
      <c r="F581" t="inlineStr">
        <is>
          <t>GCO per booked dollar</t>
        </is>
      </c>
      <c r="G581" t="n">
        <v>22</v>
      </c>
      <c r="H581" t="n">
        <v>747285.7</v>
      </c>
      <c r="I581" t="b">
        <v>1</v>
      </c>
      <c r="J581" t="b">
        <v>0</v>
      </c>
      <c r="K581" t="n">
        <v>0.4423255565651406</v>
      </c>
      <c r="M581" t="n">
        <v>0.6909306828229884</v>
      </c>
      <c r="O581" t="n">
        <v>-17366.71615402475</v>
      </c>
      <c r="P581" t="n">
        <v>-6161.698014324766</v>
      </c>
      <c r="Q581">
        <f>'_live'!$C$22</f>
        <v/>
      </c>
      <c r="T581" t="n">
        <v>0.04167257068350799</v>
      </c>
      <c r="U581" t="n">
        <v>0.02667828116385041</v>
      </c>
      <c r="V581">
        <f>AND(judged_band,NOT($J581))</f>
        <v/>
      </c>
      <c r="W581">
        <f>IF($K581="","",IF($I581,"too few losses to test",IF(AND($K581&gt;better_at,$K581&lt;worse_at),"in line",IF($K581&gt;=worse_at,IF(AND(ISNUMBER($L581),$L581&lt;significance_bar),"worse","worse, not significant"),IF(AND(ISNUMBER($L581),$L581&lt;significance_bar),"better","better, not significant")))))</f>
        <v/>
      </c>
      <c r="X581">
        <f>IF($M581="","",IF($I581,"too few losses to test",IF(AND($M581&gt;better_at,$M581&lt;worse_at),"in line",IF($M581&gt;=worse_at,IF(AND(ISNUMBER($N581),$N581&lt;significance_bar),"worse","worse, not significant"),IF(AND(ISNUMBER($N581),$N581&lt;significance_bar),"better","better, not significant")))))</f>
        <v/>
      </c>
      <c r="Y581">
        <f>IF($V581,$X581,$W581)</f>
        <v/>
      </c>
      <c r="Z581">
        <f>IF($V581,IF($P581="","",$P581),IF($O581="","",$O581))</f>
        <v/>
      </c>
      <c r="AA581">
        <f>IF(OR($Q581="",$Z581=""),"",IF(AND($Z581&gt;0,$Z581&gt;=$Q581),"yes","below the line"))</f>
        <v/>
      </c>
      <c r="AB581">
        <f>IF($V581,IF($M581="","",$M581),IF($K581="","",$K581))</f>
        <v/>
      </c>
      <c r="AC581">
        <f>IF($V581,IF($N581="","",$N581),IF($L581="","",$L581))</f>
        <v/>
      </c>
      <c r="AD581">
        <f>$Y581</f>
        <v/>
      </c>
      <c r="AE581">
        <f>IF($V581,IF($S581="","",$S581),IF($R581="","",$R581))</f>
        <v/>
      </c>
      <c r="AF581">
        <f>IF($V581,IF($U581="","",$U581),IF($T581="","",$T581))</f>
        <v/>
      </c>
      <c r="AG581">
        <f>IF($V581,IF($O581="","",$O581),IF($P581="","",$P581))</f>
        <v/>
      </c>
      <c r="AH581" t="n">
        <v>0.01843284302108283</v>
      </c>
      <c r="AI581">
        <f>IF($Y581="worse","Yes",IF($Y581="worse, not significant","Not sure",IF(OR($Y581="too few losses to test",$Y581="too few loans to test"),"Too few losses",IF($Y581="","","No"))))</f>
        <v/>
      </c>
      <c r="AJ581">
        <f>IF($AA581="yes","Yes",IF($AA581="","","No"))</f>
        <v/>
      </c>
    </row>
    <row r="582">
      <c r="A582" t="inlineStr">
        <is>
          <t>three-way</t>
        </is>
      </c>
      <c r="B582" t="inlineStr">
        <is>
          <t>FICO x CHANNEL / SYS_FLAG</t>
        </is>
      </c>
      <c r="C582" t="inlineStr">
        <is>
          <t>(marked missing)</t>
        </is>
      </c>
      <c r="D582" t="inlineStr">
        <is>
          <t>Branch / SYS_FLAG Y</t>
        </is>
      </c>
      <c r="E582" t="inlineStr">
        <is>
          <t>ranr_rate</t>
        </is>
      </c>
      <c r="F582" t="inlineStr">
        <is>
          <t>Profit after losses: RANR per booked dollar</t>
        </is>
      </c>
      <c r="G582" t="n">
        <v>22</v>
      </c>
      <c r="H582" t="n">
        <v>747285.7</v>
      </c>
      <c r="I582" t="b">
        <v>0</v>
      </c>
      <c r="J582" t="b">
        <v>0</v>
      </c>
      <c r="K582" t="n">
        <v>0.007900985053517995</v>
      </c>
      <c r="L582" t="n">
        <v>0.9039781736112104</v>
      </c>
      <c r="M582" t="n">
        <v>-0.02248199048639421</v>
      </c>
      <c r="N582" t="n">
        <v>0.85342770070819</v>
      </c>
      <c r="O582" t="n">
        <v>-5904.293146407726</v>
      </c>
      <c r="P582" t="n">
        <v>16800.46999801844</v>
      </c>
      <c r="Q582">
        <f>'_live'!$C$23</f>
        <v/>
      </c>
      <c r="R582" t="inlineStr">
        <is>
          <t>shuffled: 8,551 of 10,000</t>
        </is>
      </c>
      <c r="S582" t="inlineStr">
        <is>
          <t>shuffled: 5,452 of 10,000</t>
        </is>
      </c>
      <c r="T582" t="n">
        <v>0.1279671708606123</v>
      </c>
      <c r="U582" t="n">
        <v>0.1583501464005245</v>
      </c>
      <c r="V582">
        <f>AND(judged_band,NOT($J582))</f>
        <v/>
      </c>
      <c r="W582">
        <f>IF($K582="","",IF(profit_kind="test",IF(OR(NOT(AND(ISNUMBER($L582),$L582&lt;significance_bar)),$K582=0),"in line",IF($K582&lt;0,"worse","better")),IF(OR($K582=0,IF(profit_kind="points",ABS($K582),ABS($K582*$H582))&lt;profit_line*(1-1E-9)),"in line",IF(AND(ISNUMBER($L582),$L582&lt;significance_bar),IF($K582&lt;0,"worse","better"),IF($K582&lt;0,"worse, not significant","better, not significant")))))</f>
        <v/>
      </c>
      <c r="X582">
        <f>IF($M582="","",IF(profit_kind="test",IF(OR(NOT(AND(ISNUMBER($N582),$N582&lt;significance_bar)),$M582=0),"in line",IF($M582&lt;0,"worse","better")),IF(OR($M582=0,IF(profit_kind="points",ABS($M582),ABS($M582*$H582))&lt;profit_line*(1-1E-9)),"in line",IF(AND(ISNUMBER($N582),$N582&lt;significance_bar),IF($M582&lt;0,"worse","better"),IF($M582&lt;0,"worse, not significant","better, not significant")))))</f>
        <v/>
      </c>
      <c r="Y582">
        <f>IF($V582,$X582,$W582)</f>
        <v/>
      </c>
      <c r="Z582">
        <f>IF($V582,IF($P582="","",$P582),IF($O582="","",$O582))</f>
        <v/>
      </c>
      <c r="AA582">
        <f>IF(OR($Q582="",$Z582=""),"",IF(AND($Z582&gt;0,$Z582&gt;=$Q582),"yes","below the line"))</f>
        <v/>
      </c>
      <c r="AB582">
        <f>IF($V582,IF($M582="","",$M582),IF($K582="","",$K582))</f>
        <v/>
      </c>
      <c r="AC582">
        <f>IF($V582,IF($N582="","",$N582),IF($L582="","",$L582))</f>
        <v/>
      </c>
      <c r="AD582">
        <f>IF($Y582="","",IF($Y582="in line",IF(profit_kind="test",IF(ROUND($AB582*100,2)=0,"0.00",TEXT($AB582*100,"+0.00;-0.00"))&amp;" points against "&amp;IF($V582,"its band","the book")&amp;", "&amp;IF($AC582="","not tested","not significant"),IF(profit_kind="points","within "&amp;TEXT(profit_line*100,"0.00")&amp;" points of "&amp;IF($V582,"its band","the book")&amp;" ("&amp;IF(ROUND($AB582*100,2)=0,"0.00",TEXT($AB582*100,"+0.00;-0.00"))&amp;")","within $"&amp;TEXT(profit_line,"#,##0")&amp;" of "&amp;IF($V582,"its band","the book")&amp;" ("&amp;IF(ROUND($AB582*100,2)=0,"0.00",TEXT($AB582*100,"+0.00;-0.00"))&amp;" points)")),IF(LEFT($Y582,5)="worse","short of ","ahead of ")&amp;IF($V582,"its band","the book")&amp;" by "&amp;TEXT(ABS($AB582)*100,"0.00")&amp;" points"&amp;IF($Z582="",""," ($"&amp;TEXT(ABS($Z582),"#,##0")&amp;")")&amp;IF(RIGHT($Y582,15)="not significant"," (not significant)","")))</f>
        <v/>
      </c>
      <c r="AE582">
        <f>IF($V582,IF($S582="","",$S582),IF($R582="","",$R582))</f>
        <v/>
      </c>
      <c r="AF582">
        <f>IF($V582,IF($U582="","",$U582),IF($T582="","",$T582))</f>
        <v/>
      </c>
      <c r="AG582">
        <f>IF($V582,IF($O582="","",$O582),IF($P582="","",$P582))</f>
        <v/>
      </c>
      <c r="AH582" t="n">
        <v>0.1358681559141303</v>
      </c>
      <c r="AI582">
        <f>IF($Y582="worse","Yes",IF($Y582="worse, not significant","Not sure",IF(OR($Y582="too few losses to test",$Y582="too few loans to test"),"Too few losses",IF($Y582="","","No"))))</f>
        <v/>
      </c>
      <c r="AJ582">
        <f>IF($AA582="yes","Yes",IF($AA582="","","No"))</f>
        <v/>
      </c>
    </row>
    <row r="583">
      <c r="A583" t="inlineStr">
        <is>
          <t>three-way</t>
        </is>
      </c>
      <c r="B583" t="inlineStr">
        <is>
          <t>FICO x CHANNEL / SYS_FLAG</t>
        </is>
      </c>
      <c r="C583" t="inlineStr">
        <is>
          <t>(marked missing)</t>
        </is>
      </c>
      <c r="D583" t="inlineStr">
        <is>
          <t>Branch / SYS_FLAG Y</t>
        </is>
      </c>
      <c r="E583" t="inlineStr">
        <is>
          <t>contribution_rate</t>
        </is>
      </c>
      <c r="F583" t="inlineStr">
        <is>
          <t>Contribution before losses per booked dollar</t>
        </is>
      </c>
      <c r="G583" t="n">
        <v>22</v>
      </c>
      <c r="H583" t="n">
        <v>747285.7</v>
      </c>
      <c r="I583" t="b">
        <v>0</v>
      </c>
      <c r="J583" t="b">
        <v>0</v>
      </c>
      <c r="K583" t="n">
        <v>-0.01533587152865104</v>
      </c>
      <c r="L583" t="n">
        <v>0.660859628322882</v>
      </c>
      <c r="M583" t="n">
        <v>-0.03072742862916181</v>
      </c>
      <c r="N583" t="n">
        <v>0.5160983901609839</v>
      </c>
      <c r="O583" t="n">
        <v>11460.27749039806</v>
      </c>
      <c r="P583" t="n">
        <v>22962.1680123432</v>
      </c>
      <c r="Q583">
        <f>'_live'!$C$24</f>
        <v/>
      </c>
      <c r="R583" t="inlineStr">
        <is>
          <t>shuffled: 5,935 of 10,000</t>
        </is>
      </c>
      <c r="S583" t="inlineStr">
        <is>
          <t>shuffled: 3,310 of 10,000</t>
        </is>
      </c>
      <c r="T583" t="n">
        <v>0.1696368704638642</v>
      </c>
      <c r="U583" t="n">
        <v>0.1850284275643749</v>
      </c>
      <c r="V583">
        <f>AND(judged_band,NOT($J583))</f>
        <v/>
      </c>
      <c r="W583">
        <f>IF($K583="","",IF(profit_kind="test",IF(OR(NOT(AND(ISNUMBER($L583),$L583&lt;significance_bar)),$K583=0),"in line",IF($K583&lt;0,"worse","better")),IF(OR($K583=0,IF(profit_kind="points",ABS($K583),ABS($K583*$H583))&lt;profit_line*(1-1E-9)),"in line",IF(AND(ISNUMBER($L583),$L583&lt;significance_bar),IF($K583&lt;0,"worse","better"),IF($K583&lt;0,"worse, not significant","better, not significant")))))</f>
        <v/>
      </c>
      <c r="X583">
        <f>IF($M583="","",IF(profit_kind="test",IF(OR(NOT(AND(ISNUMBER($N583),$N583&lt;significance_bar)),$M583=0),"in line",IF($M583&lt;0,"worse","better")),IF(OR($M583=0,IF(profit_kind="points",ABS($M583),ABS($M583*$H583))&lt;profit_line*(1-1E-9)),"in line",IF(AND(ISNUMBER($N583),$N583&lt;significance_bar),IF($M583&lt;0,"worse","better"),IF($M583&lt;0,"worse, not significant","better, not significant")))))</f>
        <v/>
      </c>
      <c r="Y583">
        <f>IF($V583,$X583,$W583)</f>
        <v/>
      </c>
      <c r="Z583">
        <f>IF($V583,IF($P583="","",$P583),IF($O583="","",$O583))</f>
        <v/>
      </c>
      <c r="AA583">
        <f>IF(OR($Q583="",$Z583=""),"",IF(AND($Z583&gt;0,$Z583&gt;=$Q583),"yes","below the line"))</f>
        <v/>
      </c>
      <c r="AB583">
        <f>IF($V583,IF($M583="","",$M583),IF($K583="","",$K583))</f>
        <v/>
      </c>
      <c r="AC583">
        <f>IF($V583,IF($N583="","",$N583),IF($L583="","",$L583))</f>
        <v/>
      </c>
      <c r="AD583">
        <f>IF($Y583="","",IF($Y583="in line",IF(profit_kind="test",IF(ROUND($AB583*100,2)=0,"0.00",TEXT($AB583*100,"+0.00;-0.00"))&amp;" points against "&amp;IF($V583,"its band","the book")&amp;", "&amp;IF($AC583="","not tested","not significant"),IF(profit_kind="points","within "&amp;TEXT(profit_line*100,"0.00")&amp;" points of "&amp;IF($V583,"its band","the book")&amp;" ("&amp;IF(ROUND($AB583*100,2)=0,"0.00",TEXT($AB583*100,"+0.00;-0.00"))&amp;")","within $"&amp;TEXT(profit_line,"#,##0")&amp;" of "&amp;IF($V583,"its band","the book")&amp;" ("&amp;IF(ROUND($AB583*100,2)=0,"0.00",TEXT($AB583*100,"+0.00;-0.00"))&amp;" points)")),IF(LEFT($Y583,5)="worse","short of ","ahead of ")&amp;IF($V583,"its band","the book")&amp;" by "&amp;TEXT(ABS($AB583)*100,"0.00")&amp;" points"&amp;IF($Z583="",""," ($"&amp;TEXT(ABS($Z583),"#,##0")&amp;")")&amp;IF(RIGHT($Y583,15)="not significant"," (not significant)","")))</f>
        <v/>
      </c>
      <c r="AE583">
        <f>IF($V583,IF($S583="","",$S583),IF($R583="","",$R583))</f>
        <v/>
      </c>
      <c r="AF583">
        <f>IF($V583,IF($U583="","",$U583),IF($T583="","",$T583))</f>
        <v/>
      </c>
      <c r="AG583">
        <f>IF($V583,IF($O583="","",$O583),IF($P583="","",$P583))</f>
        <v/>
      </c>
      <c r="AH583" t="n">
        <v>0.1543009989352131</v>
      </c>
      <c r="AI583">
        <f>IF($Y583="worse","Yes",IF($Y583="worse, not significant","Not sure",IF(OR($Y583="too few losses to test",$Y583="too few loans to test"),"Too few losses",IF($Y583="","","No"))))</f>
        <v/>
      </c>
      <c r="AJ583">
        <f>IF($AA583="yes","Yes",IF($AA583="","","No"))</f>
        <v/>
      </c>
    </row>
    <row r="584">
      <c r="A584" t="inlineStr">
        <is>
          <t>three-way</t>
        </is>
      </c>
      <c r="B584" t="inlineStr">
        <is>
          <t>FICO x CHANNEL / SYS_FLAG</t>
        </is>
      </c>
      <c r="C584" t="inlineStr">
        <is>
          <t>(marked missing)</t>
        </is>
      </c>
      <c r="D584" t="inlineStr">
        <is>
          <t>Broker / SYS_FLAG N</t>
        </is>
      </c>
      <c r="E584" t="inlineStr">
        <is>
          <t>outcome_loans</t>
        </is>
      </c>
      <c r="F584" t="inlineStr">
        <is>
          <t>Outcome, share of loans</t>
        </is>
      </c>
      <c r="G584" t="n">
        <v>29</v>
      </c>
      <c r="H584" t="n">
        <v>29</v>
      </c>
      <c r="I584" t="b">
        <v>1</v>
      </c>
      <c r="J584" t="b">
        <v>0</v>
      </c>
      <c r="K584" t="n">
        <v>0.8908511708489353</v>
      </c>
      <c r="M584" t="n">
        <v>1.129310344827586</v>
      </c>
      <c r="O584" t="n">
        <v>-0.2450439146800503</v>
      </c>
      <c r="P584" t="n">
        <v>0.2290076335877864</v>
      </c>
      <c r="Q584">
        <f>'_live'!$C$20</f>
        <v/>
      </c>
      <c r="T584" t="n">
        <v>0.07741530740276036</v>
      </c>
      <c r="U584" t="n">
        <v>0.06106870229007633</v>
      </c>
      <c r="V584">
        <f>AND(judged_band,NOT($J584))</f>
        <v/>
      </c>
      <c r="W584">
        <f>IF($K584="","",IF($I584,"too few losses to test",IF(AND($K584&gt;better_at,$K584&lt;worse_at),"in line",IF($K584&gt;=worse_at,IF(AND(ISNUMBER($L584),$L584&lt;significance_bar),"worse","worse, not significant"),IF(AND(ISNUMBER($L584),$L584&lt;significance_bar),"better","better, not significant")))))</f>
        <v/>
      </c>
      <c r="X584">
        <f>IF($M584="","",IF($I584,"too few losses to test",IF(AND($M584&gt;better_at,$M584&lt;worse_at),"in line",IF($M584&gt;=worse_at,IF(AND(ISNUMBER($N584),$N584&lt;significance_bar),"worse","worse, not significant"),IF(AND(ISNUMBER($N584),$N584&lt;significance_bar),"better","better, not significant")))))</f>
        <v/>
      </c>
      <c r="Y584">
        <f>IF($V584,$X584,$W584)</f>
        <v/>
      </c>
      <c r="Z584">
        <f>IF($V584,IF($P584="","",$P584),IF($O584="","",$O584))</f>
        <v/>
      </c>
      <c r="AA584">
        <f>IF(OR($Q584="",$Z584=""),"",IF(AND($Z584&gt;0,$Z584&gt;=$Q584),"yes","below the line"))</f>
        <v/>
      </c>
      <c r="AB584">
        <f>IF($V584,IF($M584="","",$M584),IF($K584="","",$K584))</f>
        <v/>
      </c>
      <c r="AC584">
        <f>IF($V584,IF($N584="","",$N584),IF($L584="","",$L584))</f>
        <v/>
      </c>
      <c r="AD584">
        <f>$Y584</f>
        <v/>
      </c>
      <c r="AE584">
        <f>IF($V584,IF($S584="","",$S584),IF($R584="","",$R584))</f>
        <v/>
      </c>
      <c r="AF584">
        <f>IF($V584,IF($U584="","",$U584),IF($T584="","",$T584))</f>
        <v/>
      </c>
      <c r="AG584">
        <f>IF($V584,IF($O584="","",$O584),IF($P584="","",$P584))</f>
        <v/>
      </c>
      <c r="AH584" t="n">
        <v>0.06896551724137931</v>
      </c>
      <c r="AI584">
        <f>IF($Y584="worse","Yes",IF($Y584="worse, not significant","Not sure",IF(OR($Y584="too few losses to test",$Y584="too few loans to test"),"Too few losses",IF($Y584="","","No"))))</f>
        <v/>
      </c>
      <c r="AJ584">
        <f>IF($AA584="yes","Yes",IF($AA584="","","No"))</f>
        <v/>
      </c>
    </row>
    <row r="585">
      <c r="A585" t="inlineStr">
        <is>
          <t>three-way</t>
        </is>
      </c>
      <c r="B585" t="inlineStr">
        <is>
          <t>FICO x CHANNEL / SYS_FLAG</t>
        </is>
      </c>
      <c r="C585" t="inlineStr">
        <is>
          <t>(marked missing)</t>
        </is>
      </c>
      <c r="D585" t="inlineStr">
        <is>
          <t>Broker / SYS_FLAG N</t>
        </is>
      </c>
      <c r="E585" t="inlineStr">
        <is>
          <t>outcome_booked</t>
        </is>
      </c>
      <c r="F585" t="inlineStr">
        <is>
          <t>Outcome, share of booked dollars</t>
        </is>
      </c>
      <c r="G585" t="n">
        <v>29</v>
      </c>
      <c r="H585" t="n">
        <v>853273.7799999998</v>
      </c>
      <c r="I585" t="b">
        <v>1</v>
      </c>
      <c r="J585" t="b">
        <v>0</v>
      </c>
      <c r="K585" t="n">
        <v>0.7274779641826773</v>
      </c>
      <c r="M585" t="n">
        <v>1.160956349584394</v>
      </c>
      <c r="O585" t="n">
        <v>-17416.0941172123</v>
      </c>
      <c r="P585" t="n">
        <v>6445.568139379531</v>
      </c>
      <c r="Q585">
        <f>'_live'!$C$21</f>
        <v/>
      </c>
      <c r="T585" t="n">
        <v>0.07489636458442718</v>
      </c>
      <c r="U585" t="n">
        <v>0.04693152748771968</v>
      </c>
      <c r="V585">
        <f>AND(judged_band,NOT($J585))</f>
        <v/>
      </c>
      <c r="W585">
        <f>IF($K585="","",IF($I585,"too few losses to test",IF(AND($K585&gt;better_at,$K585&lt;worse_at),"in line",IF($K585&gt;=worse_at,IF(AND(ISNUMBER($L585),$L585&lt;significance_bar),"worse","worse, not significant"),IF(AND(ISNUMBER($L585),$L585&lt;significance_bar),"better","better, not significant")))))</f>
        <v/>
      </c>
      <c r="X585">
        <f>IF($M585="","",IF($I585,"too few losses to test",IF(AND($M585&gt;better_at,$M585&lt;worse_at),"in line",IF($M585&gt;=worse_at,IF(AND(ISNUMBER($N585),$N585&lt;significance_bar),"worse","worse, not significant"),IF(AND(ISNUMBER($N585),$N585&lt;significance_bar),"better","better, not significant")))))</f>
        <v/>
      </c>
      <c r="Y585">
        <f>IF($V585,$X585,$W585)</f>
        <v/>
      </c>
      <c r="Z585">
        <f>IF($V585,IF($P585="","",$P585),IF($O585="","",$O585))</f>
        <v/>
      </c>
      <c r="AA585">
        <f>IF(OR($Q585="",$Z585=""),"",IF(AND($Z585&gt;0,$Z585&gt;=$Q585),"yes","below the line"))</f>
        <v/>
      </c>
      <c r="AB585">
        <f>IF($V585,IF($M585="","",$M585),IF($K585="","",$K585))</f>
        <v/>
      </c>
      <c r="AC585">
        <f>IF($V585,IF($N585="","",$N585),IF($L585="","",$L585))</f>
        <v/>
      </c>
      <c r="AD585">
        <f>$Y585</f>
        <v/>
      </c>
      <c r="AE585">
        <f>IF($V585,IF($S585="","",$S585),IF($R585="","",$R585))</f>
        <v/>
      </c>
      <c r="AF585">
        <f>IF($V585,IF($U585="","",$U585),IF($T585="","",$T585))</f>
        <v/>
      </c>
      <c r="AG585">
        <f>IF($V585,IF($O585="","",$O585),IF($P585="","",$P585))</f>
        <v/>
      </c>
      <c r="AH585" t="n">
        <v>0.05448545483256266</v>
      </c>
      <c r="AI585">
        <f>IF($Y585="worse","Yes",IF($Y585="worse, not significant","Not sure",IF(OR($Y585="too few losses to test",$Y585="too few loans to test"),"Too few losses",IF($Y585="","","No"))))</f>
        <v/>
      </c>
      <c r="AJ585">
        <f>IF($AA585="yes","Yes",IF($AA585="","","No"))</f>
        <v/>
      </c>
    </row>
    <row r="586">
      <c r="A586" t="inlineStr">
        <is>
          <t>three-way</t>
        </is>
      </c>
      <c r="B586" t="inlineStr">
        <is>
          <t>FICO x CHANNEL / SYS_FLAG</t>
        </is>
      </c>
      <c r="C586" t="inlineStr">
        <is>
          <t>(marked missing)</t>
        </is>
      </c>
      <c r="D586" t="inlineStr">
        <is>
          <t>Broker / SYS_FLAG N</t>
        </is>
      </c>
      <c r="E586" t="inlineStr">
        <is>
          <t>gco_rate</t>
        </is>
      </c>
      <c r="F586" t="inlineStr">
        <is>
          <t>GCO per booked dollar</t>
        </is>
      </c>
      <c r="G586" t="n">
        <v>29</v>
      </c>
      <c r="H586" t="n">
        <v>853273.7799999998</v>
      </c>
      <c r="I586" t="b">
        <v>1</v>
      </c>
      <c r="J586" t="b">
        <v>0</v>
      </c>
      <c r="K586" t="n">
        <v>0.669903222730614</v>
      </c>
      <c r="M586" t="n">
        <v>1.113694811767579</v>
      </c>
      <c r="O586" t="n">
        <v>-11731.46673658802</v>
      </c>
      <c r="P586" t="n">
        <v>2430.510752954411</v>
      </c>
      <c r="Q586">
        <f>'_live'!$C$22</f>
        <v/>
      </c>
      <c r="T586" t="n">
        <v>0.04165073106616265</v>
      </c>
      <c r="U586" t="n">
        <v>0.02505350539078512</v>
      </c>
      <c r="V586">
        <f>AND(judged_band,NOT($J586))</f>
        <v/>
      </c>
      <c r="W586">
        <f>IF($K586="","",IF($I586,"too few losses to test",IF(AND($K586&gt;better_at,$K586&lt;worse_at),"in line",IF($K586&gt;=worse_at,IF(AND(ISNUMBER($L586),$L586&lt;significance_bar),"worse","worse, not significant"),IF(AND(ISNUMBER($L586),$L586&lt;significance_bar),"better","better, not significant")))))</f>
        <v/>
      </c>
      <c r="X586">
        <f>IF($M586="","",IF($I586,"too few losses to test",IF(AND($M586&gt;better_at,$M586&lt;worse_at),"in line",IF($M586&gt;=worse_at,IF(AND(ISNUMBER($N586),$N586&lt;significance_bar),"worse","worse, not significant"),IF(AND(ISNUMBER($N586),$N586&lt;significance_bar),"better","better, not significant")))))</f>
        <v/>
      </c>
      <c r="Y586">
        <f>IF($V586,$X586,$W586)</f>
        <v/>
      </c>
      <c r="Z586">
        <f>IF($V586,IF($P586="","",$P586),IF($O586="","",$O586))</f>
        <v/>
      </c>
      <c r="AA586">
        <f>IF(OR($Q586="",$Z586=""),"",IF(AND($Z586&gt;0,$Z586&gt;=$Q586),"yes","below the line"))</f>
        <v/>
      </c>
      <c r="AB586">
        <f>IF($V586,IF($M586="","",$M586),IF($K586="","",$K586))</f>
        <v/>
      </c>
      <c r="AC586">
        <f>IF($V586,IF($N586="","",$N586),IF($L586="","",$L586))</f>
        <v/>
      </c>
      <c r="AD586">
        <f>$Y586</f>
        <v/>
      </c>
      <c r="AE586">
        <f>IF($V586,IF($S586="","",$S586),IF($R586="","",$R586))</f>
        <v/>
      </c>
      <c r="AF586">
        <f>IF($V586,IF($U586="","",$U586),IF($T586="","",$T586))</f>
        <v/>
      </c>
      <c r="AG586">
        <f>IF($V586,IF($O586="","",$O586),IF($P586="","",$P586))</f>
        <v/>
      </c>
      <c r="AH586" t="n">
        <v>0.02790195897030846</v>
      </c>
      <c r="AI586">
        <f>IF($Y586="worse","Yes",IF($Y586="worse, not significant","Not sure",IF(OR($Y586="too few losses to test",$Y586="too few loans to test"),"Too few losses",IF($Y586="","","No"))))</f>
        <v/>
      </c>
      <c r="AJ586">
        <f>IF($AA586="yes","Yes",IF($AA586="","","No"))</f>
        <v/>
      </c>
    </row>
    <row r="587">
      <c r="A587" t="inlineStr">
        <is>
          <t>three-way</t>
        </is>
      </c>
      <c r="B587" t="inlineStr">
        <is>
          <t>FICO x CHANNEL / SYS_FLAG</t>
        </is>
      </c>
      <c r="C587" t="inlineStr">
        <is>
          <t>(marked missing)</t>
        </is>
      </c>
      <c r="D587" t="inlineStr">
        <is>
          <t>Broker / SYS_FLAG N</t>
        </is>
      </c>
      <c r="E587" t="inlineStr">
        <is>
          <t>ranr_rate</t>
        </is>
      </c>
      <c r="F587" t="inlineStr">
        <is>
          <t>Profit after losses: RANR per booked dollar</t>
        </is>
      </c>
      <c r="G587" t="n">
        <v>29</v>
      </c>
      <c r="H587" t="n">
        <v>853273.7799999998</v>
      </c>
      <c r="I587" t="b">
        <v>0</v>
      </c>
      <c r="J587" t="b">
        <v>0</v>
      </c>
      <c r="K587" t="n">
        <v>0.02601746224307819</v>
      </c>
      <c r="L587" t="n">
        <v>0.5967503249675032</v>
      </c>
      <c r="M587" t="n">
        <v>-0.001492535833953895</v>
      </c>
      <c r="N587" t="n">
        <v>0.9953004699530046</v>
      </c>
      <c r="O587" t="n">
        <v>-22200.0183541586</v>
      </c>
      <c r="P587" t="n">
        <v>1273.541692823288</v>
      </c>
      <c r="Q587">
        <f>'_live'!$C$23</f>
        <v/>
      </c>
      <c r="R587" t="inlineStr">
        <is>
          <t>shuffled: 4,838 of 10,000</t>
        </is>
      </c>
      <c r="S587" t="inlineStr">
        <is>
          <t>shuffled: 9,636 of 10,000</t>
        </is>
      </c>
      <c r="T587" t="n">
        <v>0.1279040258870271</v>
      </c>
      <c r="U587" t="n">
        <v>0.1554140239640592</v>
      </c>
      <c r="V587">
        <f>AND(judged_band,NOT($J587))</f>
        <v/>
      </c>
      <c r="W587">
        <f>IF($K587="","",IF(profit_kind="test",IF(OR(NOT(AND(ISNUMBER($L587),$L587&lt;significance_bar)),$K587=0),"in line",IF($K587&lt;0,"worse","better")),IF(OR($K587=0,IF(profit_kind="points",ABS($K587),ABS($K587*$H587))&lt;profit_line*(1-1E-9)),"in line",IF(AND(ISNUMBER($L587),$L587&lt;significance_bar),IF($K587&lt;0,"worse","better"),IF($K587&lt;0,"worse, not significant","better, not significant")))))</f>
        <v/>
      </c>
      <c r="X587">
        <f>IF($M587="","",IF(profit_kind="test",IF(OR(NOT(AND(ISNUMBER($N587),$N587&lt;significance_bar)),$M587=0),"in line",IF($M587&lt;0,"worse","better")),IF(OR($M587=0,IF(profit_kind="points",ABS($M587),ABS($M587*$H587))&lt;profit_line*(1-1E-9)),"in line",IF(AND(ISNUMBER($N587),$N587&lt;significance_bar),IF($M587&lt;0,"worse","better"),IF($M587&lt;0,"worse, not significant","better, not significant")))))</f>
        <v/>
      </c>
      <c r="Y587">
        <f>IF($V587,$X587,$W587)</f>
        <v/>
      </c>
      <c r="Z587">
        <f>IF($V587,IF($P587="","",$P587),IF($O587="","",$O587))</f>
        <v/>
      </c>
      <c r="AA587">
        <f>IF(OR($Q587="",$Z587=""),"",IF(AND($Z587&gt;0,$Z587&gt;=$Q587),"yes","below the line"))</f>
        <v/>
      </c>
      <c r="AB587">
        <f>IF($V587,IF($M587="","",$M587),IF($K587="","",$K587))</f>
        <v/>
      </c>
      <c r="AC587">
        <f>IF($V587,IF($N587="","",$N587),IF($L587="","",$L587))</f>
        <v/>
      </c>
      <c r="AD587">
        <f>IF($Y587="","",IF($Y587="in line",IF(profit_kind="test",IF(ROUND($AB587*100,2)=0,"0.00",TEXT($AB587*100,"+0.00;-0.00"))&amp;" points against "&amp;IF($V587,"its band","the book")&amp;", "&amp;IF($AC587="","not tested","not significant"),IF(profit_kind="points","within "&amp;TEXT(profit_line*100,"0.00")&amp;" points of "&amp;IF($V587,"its band","the book")&amp;" ("&amp;IF(ROUND($AB587*100,2)=0,"0.00",TEXT($AB587*100,"+0.00;-0.00"))&amp;")","within $"&amp;TEXT(profit_line,"#,##0")&amp;" of "&amp;IF($V587,"its band","the book")&amp;" ("&amp;IF(ROUND($AB587*100,2)=0,"0.00",TEXT($AB587*100,"+0.00;-0.00"))&amp;" points)")),IF(LEFT($Y587,5)="worse","short of ","ahead of ")&amp;IF($V587,"its band","the book")&amp;" by "&amp;TEXT(ABS($AB587)*100,"0.00")&amp;" points"&amp;IF($Z587="",""," ($"&amp;TEXT(ABS($Z587),"#,##0")&amp;")")&amp;IF(RIGHT($Y587,15)="not significant"," (not significant)","")))</f>
        <v/>
      </c>
      <c r="AE587">
        <f>IF($V587,IF($S587="","",$S587),IF($R587="","",$R587))</f>
        <v/>
      </c>
      <c r="AF587">
        <f>IF($V587,IF($U587="","",$U587),IF($T587="","",$T587))</f>
        <v/>
      </c>
      <c r="AG587">
        <f>IF($V587,IF($O587="","",$O587),IF($P587="","",$P587))</f>
        <v/>
      </c>
      <c r="AH587" t="n">
        <v>0.1539214881301053</v>
      </c>
      <c r="AI587">
        <f>IF($Y587="worse","Yes",IF($Y587="worse, not significant","Not sure",IF(OR($Y587="too few losses to test",$Y587="too few loans to test"),"Too few losses",IF($Y587="","","No"))))</f>
        <v/>
      </c>
      <c r="AJ587">
        <f>IF($AA587="yes","Yes",IF($AA587="","","No"))</f>
        <v/>
      </c>
    </row>
    <row r="588">
      <c r="A588" t="inlineStr">
        <is>
          <t>three-way</t>
        </is>
      </c>
      <c r="B588" t="inlineStr">
        <is>
          <t>FICO x CHANNEL / SYS_FLAG</t>
        </is>
      </c>
      <c r="C588" t="inlineStr">
        <is>
          <t>(marked missing)</t>
        </is>
      </c>
      <c r="D588" t="inlineStr">
        <is>
          <t>Broker / SYS_FLAG N</t>
        </is>
      </c>
      <c r="E588" t="inlineStr">
        <is>
          <t>contribution_rate</t>
        </is>
      </c>
      <c r="F588" t="inlineStr">
        <is>
          <t>Contribution before losses per booked dollar</t>
        </is>
      </c>
      <c r="G588" t="n">
        <v>29</v>
      </c>
      <c r="H588" t="n">
        <v>853273.7799999998</v>
      </c>
      <c r="I588" t="b">
        <v>0</v>
      </c>
      <c r="J588" t="b">
        <v>0</v>
      </c>
      <c r="K588" t="n">
        <v>0.01227157215454242</v>
      </c>
      <c r="L588" t="n">
        <v>0.660859628322882</v>
      </c>
      <c r="M588" t="n">
        <v>0.001355917745569479</v>
      </c>
      <c r="N588" t="n">
        <v>0.9626037396260373</v>
      </c>
      <c r="O588" t="n">
        <v>-10471.01075884915</v>
      </c>
      <c r="P588" t="n">
        <v>-1156.969060131145</v>
      </c>
      <c r="Q588">
        <f>'_live'!$C$24</f>
        <v/>
      </c>
      <c r="R588" t="inlineStr">
        <is>
          <t>shuffled: 6,251 of 10,000</t>
        </is>
      </c>
      <c r="S588" t="inlineStr">
        <is>
          <t>shuffled: 9,596 of 10,000</t>
        </is>
      </c>
      <c r="T588" t="n">
        <v>0.1695518749458713</v>
      </c>
      <c r="U588" t="n">
        <v>0.1804675293548443</v>
      </c>
      <c r="V588">
        <f>AND(judged_band,NOT($J588))</f>
        <v/>
      </c>
      <c r="W588">
        <f>IF($K588="","",IF(profit_kind="test",IF(OR(NOT(AND(ISNUMBER($L588),$L588&lt;significance_bar)),$K588=0),"in line",IF($K588&lt;0,"worse","better")),IF(OR($K588=0,IF(profit_kind="points",ABS($K588),ABS($K588*$H588))&lt;profit_line*(1-1E-9)),"in line",IF(AND(ISNUMBER($L588),$L588&lt;significance_bar),IF($K588&lt;0,"worse","better"),IF($K588&lt;0,"worse, not significant","better, not significant")))))</f>
        <v/>
      </c>
      <c r="X588">
        <f>IF($M588="","",IF(profit_kind="test",IF(OR(NOT(AND(ISNUMBER($N588),$N588&lt;significance_bar)),$M588=0),"in line",IF($M588&lt;0,"worse","better")),IF(OR($M588=0,IF(profit_kind="points",ABS($M588),ABS($M588*$H588))&lt;profit_line*(1-1E-9)),"in line",IF(AND(ISNUMBER($N588),$N588&lt;significance_bar),IF($M588&lt;0,"worse","better"),IF($M588&lt;0,"worse, not significant","better, not significant")))))</f>
        <v/>
      </c>
      <c r="Y588">
        <f>IF($V588,$X588,$W588)</f>
        <v/>
      </c>
      <c r="Z588">
        <f>IF($V588,IF($P588="","",$P588),IF($O588="","",$O588))</f>
        <v/>
      </c>
      <c r="AA588">
        <f>IF(OR($Q588="",$Z588=""),"",IF(AND($Z588&gt;0,$Z588&gt;=$Q588),"yes","below the line"))</f>
        <v/>
      </c>
      <c r="AB588">
        <f>IF($V588,IF($M588="","",$M588),IF($K588="","",$K588))</f>
        <v/>
      </c>
      <c r="AC588">
        <f>IF($V588,IF($N588="","",$N588),IF($L588="","",$L588))</f>
        <v/>
      </c>
      <c r="AD588">
        <f>IF($Y588="","",IF($Y588="in line",IF(profit_kind="test",IF(ROUND($AB588*100,2)=0,"0.00",TEXT($AB588*100,"+0.00;-0.00"))&amp;" points against "&amp;IF($V588,"its band","the book")&amp;", "&amp;IF($AC588="","not tested","not significant"),IF(profit_kind="points","within "&amp;TEXT(profit_line*100,"0.00")&amp;" points of "&amp;IF($V588,"its band","the book")&amp;" ("&amp;IF(ROUND($AB588*100,2)=0,"0.00",TEXT($AB588*100,"+0.00;-0.00"))&amp;")","within $"&amp;TEXT(profit_line,"#,##0")&amp;" of "&amp;IF($V588,"its band","the book")&amp;" ("&amp;IF(ROUND($AB588*100,2)=0,"0.00",TEXT($AB588*100,"+0.00;-0.00"))&amp;" points)")),IF(LEFT($Y588,5)="worse","short of ","ahead of ")&amp;IF($V588,"its band","the book")&amp;" by "&amp;TEXT(ABS($AB588)*100,"0.00")&amp;" points"&amp;IF($Z588="",""," ($"&amp;TEXT(ABS($Z588),"#,##0")&amp;")")&amp;IF(RIGHT($Y588,15)="not significant"," (not significant)","")))</f>
        <v/>
      </c>
      <c r="AE588">
        <f>IF($V588,IF($S588="","",$S588),IF($R588="","",$R588))</f>
        <v/>
      </c>
      <c r="AF588">
        <f>IF($V588,IF($U588="","",$U588),IF($T588="","",$T588))</f>
        <v/>
      </c>
      <c r="AG588">
        <f>IF($V588,IF($O588="","",$O588),IF($P588="","",$P588))</f>
        <v/>
      </c>
      <c r="AH588" t="n">
        <v>0.1818234471004137</v>
      </c>
      <c r="AI588">
        <f>IF($Y588="worse","Yes",IF($Y588="worse, not significant","Not sure",IF(OR($Y588="too few losses to test",$Y588="too few loans to test"),"Too few losses",IF($Y588="","","No"))))</f>
        <v/>
      </c>
      <c r="AJ588">
        <f>IF($AA588="yes","Yes",IF($AA588="","","No"))</f>
        <v/>
      </c>
    </row>
    <row r="589">
      <c r="A589" t="inlineStr">
        <is>
          <t>three-way</t>
        </is>
      </c>
      <c r="B589" t="inlineStr">
        <is>
          <t>FICO x CHANNEL / SYS_FLAG</t>
        </is>
      </c>
      <c r="C589" t="inlineStr">
        <is>
          <t>(marked missing)</t>
        </is>
      </c>
      <c r="D589" t="inlineStr">
        <is>
          <t>Broker / SYS_FLAG Y</t>
        </is>
      </c>
      <c r="E589" t="inlineStr">
        <is>
          <t>outcome_loans</t>
        </is>
      </c>
      <c r="F589" t="inlineStr">
        <is>
          <t>Outcome, share of loans</t>
        </is>
      </c>
      <c r="G589" t="n">
        <v>25</v>
      </c>
      <c r="H589" t="n">
        <v>25</v>
      </c>
      <c r="I589" t="b">
        <v>1</v>
      </c>
      <c r="J589" t="b">
        <v>0</v>
      </c>
      <c r="K589" t="n">
        <v>2.597394136807818</v>
      </c>
      <c r="M589" t="n">
        <v>5.4</v>
      </c>
      <c r="O589" t="n">
        <v>3.074993729621269</v>
      </c>
      <c r="P589" t="n">
        <v>4.074074074074074</v>
      </c>
      <c r="Q589">
        <f>'_live'!$C$20</f>
        <v/>
      </c>
      <c r="T589" t="n">
        <v>0.07700025081514923</v>
      </c>
      <c r="U589" t="n">
        <v>0.03703703703703703</v>
      </c>
      <c r="V589">
        <f>AND(judged_band,NOT($J589))</f>
        <v/>
      </c>
      <c r="W589">
        <f>IF($K589="","",IF($I589,"too few losses to test",IF(AND($K589&gt;better_at,$K589&lt;worse_at),"in line",IF($K589&gt;=worse_at,IF(AND(ISNUMBER($L589),$L589&lt;significance_bar),"worse","worse, not significant"),IF(AND(ISNUMBER($L589),$L589&lt;significance_bar),"better","better, not significant")))))</f>
        <v/>
      </c>
      <c r="X589">
        <f>IF($M589="","",IF($I589,"too few losses to test",IF(AND($M589&gt;better_at,$M589&lt;worse_at),"in line",IF($M589&gt;=worse_at,IF(AND(ISNUMBER($N589),$N589&lt;significance_bar),"worse","worse, not significant"),IF(AND(ISNUMBER($N589),$N589&lt;significance_bar),"better","better, not significant")))))</f>
        <v/>
      </c>
      <c r="Y589">
        <f>IF($V589,$X589,$W589)</f>
        <v/>
      </c>
      <c r="Z589">
        <f>IF($V589,IF($P589="","",$P589),IF($O589="","",$O589))</f>
        <v/>
      </c>
      <c r="AA589">
        <f>IF(OR($Q589="",$Z589=""),"",IF(AND($Z589&gt;0,$Z589&gt;=$Q589),"yes","below the line"))</f>
        <v/>
      </c>
      <c r="AB589">
        <f>IF($V589,IF($M589="","",$M589),IF($K589="","",$K589))</f>
        <v/>
      </c>
      <c r="AC589">
        <f>IF($V589,IF($N589="","",$N589),IF($L589="","",$L589))</f>
        <v/>
      </c>
      <c r="AD589">
        <f>$Y589</f>
        <v/>
      </c>
      <c r="AE589">
        <f>IF($V589,IF($S589="","",$S589),IF($R589="","",$R589))</f>
        <v/>
      </c>
      <c r="AF589">
        <f>IF($V589,IF($U589="","",$U589),IF($T589="","",$T589))</f>
        <v/>
      </c>
      <c r="AG589">
        <f>IF($V589,IF($O589="","",$O589),IF($P589="","",$P589))</f>
        <v/>
      </c>
      <c r="AH589" t="n">
        <v>0.2</v>
      </c>
      <c r="AI589">
        <f>IF($Y589="worse","Yes",IF($Y589="worse, not significant","Not sure",IF(OR($Y589="too few losses to test",$Y589="too few loans to test"),"Too few losses",IF($Y589="","","No"))))</f>
        <v/>
      </c>
      <c r="AJ589">
        <f>IF($AA589="yes","Yes",IF($AA589="","","No"))</f>
        <v/>
      </c>
    </row>
    <row r="590">
      <c r="A590" t="inlineStr">
        <is>
          <t>three-way</t>
        </is>
      </c>
      <c r="B590" t="inlineStr">
        <is>
          <t>FICO x CHANNEL / SYS_FLAG</t>
        </is>
      </c>
      <c r="C590" t="inlineStr">
        <is>
          <t>(marked missing)</t>
        </is>
      </c>
      <c r="D590" t="inlineStr">
        <is>
          <t>Broker / SYS_FLAG Y</t>
        </is>
      </c>
      <c r="E590" t="inlineStr">
        <is>
          <t>outcome_booked</t>
        </is>
      </c>
      <c r="F590" t="inlineStr">
        <is>
          <t>Outcome, share of booked dollars</t>
        </is>
      </c>
      <c r="G590" t="n">
        <v>25</v>
      </c>
      <c r="H590" t="n">
        <v>815236.2300000002</v>
      </c>
      <c r="I590" t="b">
        <v>1</v>
      </c>
      <c r="J590" t="b">
        <v>0</v>
      </c>
      <c r="K590" t="n">
        <v>2.067216637169967</v>
      </c>
      <c r="M590" t="n">
        <v>5.34784491859251</v>
      </c>
      <c r="O590" t="n">
        <v>64884.85542862962</v>
      </c>
      <c r="P590" t="n">
        <v>102181.4323512539</v>
      </c>
      <c r="Q590">
        <f>'_live'!$C$21</f>
        <v/>
      </c>
      <c r="T590" t="n">
        <v>0.07457740754648547</v>
      </c>
      <c r="U590" t="n">
        <v>0.02882799706870987</v>
      </c>
      <c r="V590">
        <f>AND(judged_band,NOT($J590))</f>
        <v/>
      </c>
      <c r="W590">
        <f>IF($K590="","",IF($I590,"too few losses to test",IF(AND($K590&gt;better_at,$K590&lt;worse_at),"in line",IF($K590&gt;=worse_at,IF(AND(ISNUMBER($L590),$L590&lt;significance_bar),"worse","worse, not significant"),IF(AND(ISNUMBER($L590),$L590&lt;significance_bar),"better","better, not significant")))))</f>
        <v/>
      </c>
      <c r="X590">
        <f>IF($M590="","",IF($I590,"too few losses to test",IF(AND($M590&gt;better_at,$M590&lt;worse_at),"in line",IF($M590&gt;=worse_at,IF(AND(ISNUMBER($N590),$N590&lt;significance_bar),"worse","worse, not significant"),IF(AND(ISNUMBER($N590),$N590&lt;significance_bar),"better","better, not significant")))))</f>
        <v/>
      </c>
      <c r="Y590">
        <f>IF($V590,$X590,$W590)</f>
        <v/>
      </c>
      <c r="Z590">
        <f>IF($V590,IF($P590="","",$P590),IF($O590="","",$O590))</f>
        <v/>
      </c>
      <c r="AA590">
        <f>IF(OR($Q590="",$Z590=""),"",IF(AND($Z590&gt;0,$Z590&gt;=$Q590),"yes","below the line"))</f>
        <v/>
      </c>
      <c r="AB590">
        <f>IF($V590,IF($M590="","",$M590),IF($K590="","",$K590))</f>
        <v/>
      </c>
      <c r="AC590">
        <f>IF($V590,IF($N590="","",$N590),IF($L590="","",$L590))</f>
        <v/>
      </c>
      <c r="AD590">
        <f>$Y590</f>
        <v/>
      </c>
      <c r="AE590">
        <f>IF($V590,IF($S590="","",$S590),IF($R590="","",$R590))</f>
        <v/>
      </c>
      <c r="AF590">
        <f>IF($V590,IF($U590="","",$U590),IF($T590="","",$T590))</f>
        <v/>
      </c>
      <c r="AG590">
        <f>IF($V590,IF($O590="","",$O590),IF($P590="","",$P590))</f>
        <v/>
      </c>
      <c r="AH590" t="n">
        <v>0.1541676576370998</v>
      </c>
      <c r="AI590">
        <f>IF($Y590="worse","Yes",IF($Y590="worse, not significant","Not sure",IF(OR($Y590="too few losses to test",$Y590="too few loans to test"),"Too few losses",IF($Y590="","","No"))))</f>
        <v/>
      </c>
      <c r="AJ590">
        <f>IF($AA590="yes","Yes",IF($AA590="","","No"))</f>
        <v/>
      </c>
    </row>
    <row r="591">
      <c r="A591" t="inlineStr">
        <is>
          <t>three-way</t>
        </is>
      </c>
      <c r="B591" t="inlineStr">
        <is>
          <t>FICO x CHANNEL / SYS_FLAG</t>
        </is>
      </c>
      <c r="C591" t="inlineStr">
        <is>
          <t>(marked missing)</t>
        </is>
      </c>
      <c r="D591" t="inlineStr">
        <is>
          <t>Broker / SYS_FLAG Y</t>
        </is>
      </c>
      <c r="E591" t="inlineStr">
        <is>
          <t>gco_rate</t>
        </is>
      </c>
      <c r="F591" t="inlineStr">
        <is>
          <t>GCO per booked dollar</t>
        </is>
      </c>
      <c r="G591" t="n">
        <v>25</v>
      </c>
      <c r="H591" t="n">
        <v>815236.2300000002</v>
      </c>
      <c r="I591" t="b">
        <v>1</v>
      </c>
      <c r="J591" t="b">
        <v>0</v>
      </c>
      <c r="K591" t="n">
        <v>1.866138514651001</v>
      </c>
      <c r="M591" t="n">
        <v>4.823945996914026</v>
      </c>
      <c r="O591" t="n">
        <v>29297.61551708152</v>
      </c>
      <c r="P591" t="n">
        <v>50037.78926804713</v>
      </c>
      <c r="Q591">
        <f>'_live'!$C$22</f>
        <v/>
      </c>
      <c r="T591" t="n">
        <v>0.04149172134182318</v>
      </c>
      <c r="U591" t="n">
        <v>0.01605102944449963</v>
      </c>
      <c r="V591">
        <f>AND(judged_band,NOT($J591))</f>
        <v/>
      </c>
      <c r="W591">
        <f>IF($K591="","",IF($I591,"too few losses to test",IF(AND($K591&gt;better_at,$K591&lt;worse_at),"in line",IF($K591&gt;=worse_at,IF(AND(ISNUMBER($L591),$L591&lt;significance_bar),"worse","worse, not significant"),IF(AND(ISNUMBER($L591),$L591&lt;significance_bar),"better","better, not significant")))))</f>
        <v/>
      </c>
      <c r="X591">
        <f>IF($M591="","",IF($I591,"too few losses to test",IF(AND($M591&gt;better_at,$M591&lt;worse_at),"in line",IF($M591&gt;=worse_at,IF(AND(ISNUMBER($N591),$N591&lt;significance_bar),"worse","worse, not significant"),IF(AND(ISNUMBER($N591),$N591&lt;significance_bar),"better","better, not significant")))))</f>
        <v/>
      </c>
      <c r="Y591">
        <f>IF($V591,$X591,$W591)</f>
        <v/>
      </c>
      <c r="Z591">
        <f>IF($V591,IF($P591="","",$P591),IF($O591="","",$O591))</f>
        <v/>
      </c>
      <c r="AA591">
        <f>IF(OR($Q591="",$Z591=""),"",IF(AND($Z591&gt;0,$Z591&gt;=$Q591),"yes","below the line"))</f>
        <v/>
      </c>
      <c r="AB591">
        <f>IF($V591,IF($M591="","",$M591),IF($K591="","",$K591))</f>
        <v/>
      </c>
      <c r="AC591">
        <f>IF($V591,IF($N591="","",$N591),IF($L591="","",$L591))</f>
        <v/>
      </c>
      <c r="AD591">
        <f>$Y591</f>
        <v/>
      </c>
      <c r="AE591">
        <f>IF($V591,IF($S591="","",$S591),IF($R591="","",$R591))</f>
        <v/>
      </c>
      <c r="AF591">
        <f>IF($V591,IF($U591="","",$U591),IF($T591="","",$T591))</f>
        <v/>
      </c>
      <c r="AG591">
        <f>IF($V591,IF($O591="","",$O591),IF($P591="","",$P591))</f>
        <v/>
      </c>
      <c r="AH591" t="n">
        <v>0.07742929923514315</v>
      </c>
      <c r="AI591">
        <f>IF($Y591="worse","Yes",IF($Y591="worse, not significant","Not sure",IF(OR($Y591="too few losses to test",$Y591="too few loans to test"),"Too few losses",IF($Y591="","","No"))))</f>
        <v/>
      </c>
      <c r="AJ591">
        <f>IF($AA591="yes","Yes",IF($AA591="","","No"))</f>
        <v/>
      </c>
    </row>
    <row r="592">
      <c r="A592" t="inlineStr">
        <is>
          <t>three-way</t>
        </is>
      </c>
      <c r="B592" t="inlineStr">
        <is>
          <t>FICO x CHANNEL / SYS_FLAG</t>
        </is>
      </c>
      <c r="C592" t="inlineStr">
        <is>
          <t>(marked missing)</t>
        </is>
      </c>
      <c r="D592" t="inlineStr">
        <is>
          <t>Broker / SYS_FLAG Y</t>
        </is>
      </c>
      <c r="E592" t="inlineStr">
        <is>
          <t>ranr_rate</t>
        </is>
      </c>
      <c r="F592" t="inlineStr">
        <is>
          <t>Profit after losses: RANR per booked dollar</t>
        </is>
      </c>
      <c r="G592" t="n">
        <v>25</v>
      </c>
      <c r="H592" t="n">
        <v>815236.2300000002</v>
      </c>
      <c r="I592" t="b">
        <v>0</v>
      </c>
      <c r="J592" t="b">
        <v>0</v>
      </c>
      <c r="K592" t="n">
        <v>-0.03195262057231928</v>
      </c>
      <c r="L592" t="n">
        <v>0.5548123759052667</v>
      </c>
      <c r="M592" t="n">
        <v>-0.06979433605747155</v>
      </c>
      <c r="N592" t="n">
        <v>0.185981401859814</v>
      </c>
      <c r="O592" t="n">
        <v>26048.93393399802</v>
      </c>
      <c r="P592" t="n">
        <v>56898.87140284618</v>
      </c>
      <c r="Q592">
        <f>'_live'!$C$23</f>
        <v/>
      </c>
      <c r="R592" t="inlineStr">
        <is>
          <t>shuffled: 4,198 of 10,000</t>
        </is>
      </c>
      <c r="S592" t="inlineStr">
        <is>
          <t>shuffled: 590 of 10,000</t>
        </is>
      </c>
      <c r="T592" t="n">
        <v>0.1280909877300203</v>
      </c>
      <c r="U592" t="n">
        <v>0.1659327032151725</v>
      </c>
      <c r="V592">
        <f>AND(judged_band,NOT($J592))</f>
        <v/>
      </c>
      <c r="W592">
        <f>IF($K592="","",IF(profit_kind="test",IF(OR(NOT(AND(ISNUMBER($L592),$L592&lt;significance_bar)),$K592=0),"in line",IF($K592&lt;0,"worse","better")),IF(OR($K592=0,IF(profit_kind="points",ABS($K592),ABS($K592*$H592))&lt;profit_line*(1-1E-9)),"in line",IF(AND(ISNUMBER($L592),$L592&lt;significance_bar),IF($K592&lt;0,"worse","better"),IF($K592&lt;0,"worse, not significant","better, not significant")))))</f>
        <v/>
      </c>
      <c r="X592">
        <f>IF($M592="","",IF(profit_kind="test",IF(OR(NOT(AND(ISNUMBER($N592),$N592&lt;significance_bar)),$M592=0),"in line",IF($M592&lt;0,"worse","better")),IF(OR($M592=0,IF(profit_kind="points",ABS($M592),ABS($M592*$H592))&lt;profit_line*(1-1E-9)),"in line",IF(AND(ISNUMBER($N592),$N592&lt;significance_bar),IF($M592&lt;0,"worse","better"),IF($M592&lt;0,"worse, not significant","better, not significant")))))</f>
        <v/>
      </c>
      <c r="Y592">
        <f>IF($V592,$X592,$W592)</f>
        <v/>
      </c>
      <c r="Z592">
        <f>IF($V592,IF($P592="","",$P592),IF($O592="","",$O592))</f>
        <v/>
      </c>
      <c r="AA592">
        <f>IF(OR($Q592="",$Z592=""),"",IF(AND($Z592&gt;0,$Z592&gt;=$Q592),"yes","below the line"))</f>
        <v/>
      </c>
      <c r="AB592">
        <f>IF($V592,IF($M592="","",$M592),IF($K592="","",$K592))</f>
        <v/>
      </c>
      <c r="AC592">
        <f>IF($V592,IF($N592="","",$N592),IF($L592="","",$L592))</f>
        <v/>
      </c>
      <c r="AD592">
        <f>IF($Y592="","",IF($Y592="in line",IF(profit_kind="test",IF(ROUND($AB592*100,2)=0,"0.00",TEXT($AB592*100,"+0.00;-0.00"))&amp;" points against "&amp;IF($V592,"its band","the book")&amp;", "&amp;IF($AC592="","not tested","not significant"),IF(profit_kind="points","within "&amp;TEXT(profit_line*100,"0.00")&amp;" points of "&amp;IF($V592,"its band","the book")&amp;" ("&amp;IF(ROUND($AB592*100,2)=0,"0.00",TEXT($AB592*100,"+0.00;-0.00"))&amp;")","within $"&amp;TEXT(profit_line,"#,##0")&amp;" of "&amp;IF($V592,"its band","the book")&amp;" ("&amp;IF(ROUND($AB592*100,2)=0,"0.00",TEXT($AB592*100,"+0.00;-0.00"))&amp;" points)")),IF(LEFT($Y592,5)="worse","short of ","ahead of ")&amp;IF($V592,"its band","the book")&amp;" by "&amp;TEXT(ABS($AB592)*100,"0.00")&amp;" points"&amp;IF($Z592="",""," ($"&amp;TEXT(ABS($Z592),"#,##0")&amp;")")&amp;IF(RIGHT($Y592,15)="not significant"," (not significant)","")))</f>
        <v/>
      </c>
      <c r="AE592">
        <f>IF($V592,IF($S592="","",$S592),IF($R592="","",$R592))</f>
        <v/>
      </c>
      <c r="AF592">
        <f>IF($V592,IF($U592="","",$U592),IF($T592="","",$T592))</f>
        <v/>
      </c>
      <c r="AG592">
        <f>IF($V592,IF($O592="","",$O592),IF($P592="","",$P592))</f>
        <v/>
      </c>
      <c r="AH592" t="n">
        <v>0.09613836715770098</v>
      </c>
      <c r="AI592">
        <f>IF($Y592="worse","Yes",IF($Y592="worse, not significant","Not sure",IF(OR($Y592="too few losses to test",$Y592="too few loans to test"),"Too few losses",IF($Y592="","","No"))))</f>
        <v/>
      </c>
      <c r="AJ592">
        <f>IF($AA592="yes","Yes",IF($AA592="","","No"))</f>
        <v/>
      </c>
    </row>
    <row r="593">
      <c r="A593" t="inlineStr">
        <is>
          <t>three-way</t>
        </is>
      </c>
      <c r="B593" t="inlineStr">
        <is>
          <t>FICO x CHANNEL / SYS_FLAG</t>
        </is>
      </c>
      <c r="C593" t="inlineStr">
        <is>
          <t>(marked missing)</t>
        </is>
      </c>
      <c r="D593" t="inlineStr">
        <is>
          <t>Broker / SYS_FLAG Y</t>
        </is>
      </c>
      <c r="E593" t="inlineStr">
        <is>
          <t>contribution_rate</t>
        </is>
      </c>
      <c r="F593" t="inlineStr">
        <is>
          <t>Contribution before losses per booked dollar</t>
        </is>
      </c>
      <c r="G593" t="n">
        <v>25</v>
      </c>
      <c r="H593" t="n">
        <v>815236.2300000002</v>
      </c>
      <c r="I593" t="b">
        <v>0</v>
      </c>
      <c r="J593" t="b">
        <v>0</v>
      </c>
      <c r="K593" t="n">
        <v>0.003987810056535451</v>
      </c>
      <c r="L593" t="n">
        <v>0.8813118688131187</v>
      </c>
      <c r="M593" t="n">
        <v>-0.008416066266827976</v>
      </c>
      <c r="N593" t="n">
        <v>0.9072254064916089</v>
      </c>
      <c r="O593" t="n">
        <v>-3251.00723644605</v>
      </c>
      <c r="P593" t="n">
        <v>6861.082134799013</v>
      </c>
      <c r="Q593">
        <f>'_live'!$C$24</f>
        <v/>
      </c>
      <c r="R593" t="inlineStr">
        <is>
          <t>shuffled: 8,813 of 10,000</t>
        </is>
      </c>
      <c r="S593" t="inlineStr">
        <is>
          <t>shuffled: 7,812 of 10,000</t>
        </is>
      </c>
      <c r="T593" t="n">
        <v>0.1695798563363087</v>
      </c>
      <c r="U593" t="n">
        <v>0.1819837326596721</v>
      </c>
      <c r="V593">
        <f>AND(judged_band,NOT($J593))</f>
        <v/>
      </c>
      <c r="W593">
        <f>IF($K593="","",IF(profit_kind="test",IF(OR(NOT(AND(ISNUMBER($L593),$L593&lt;significance_bar)),$K593=0),"in line",IF($K593&lt;0,"worse","better")),IF(OR($K593=0,IF(profit_kind="points",ABS($K593),ABS($K593*$H593))&lt;profit_line*(1-1E-9)),"in line",IF(AND(ISNUMBER($L593),$L593&lt;significance_bar),IF($K593&lt;0,"worse","better"),IF($K593&lt;0,"worse, not significant","better, not significant")))))</f>
        <v/>
      </c>
      <c r="X593">
        <f>IF($M593="","",IF(profit_kind="test",IF(OR(NOT(AND(ISNUMBER($N593),$N593&lt;significance_bar)),$M593=0),"in line",IF($M593&lt;0,"worse","better")),IF(OR($M593=0,IF(profit_kind="points",ABS($M593),ABS($M593*$H593))&lt;profit_line*(1-1E-9)),"in line",IF(AND(ISNUMBER($N593),$N593&lt;significance_bar),IF($M593&lt;0,"worse","better"),IF($M593&lt;0,"worse, not significant","better, not significant")))))</f>
        <v/>
      </c>
      <c r="Y593">
        <f>IF($V593,$X593,$W593)</f>
        <v/>
      </c>
      <c r="Z593">
        <f>IF($V593,IF($P593="","",$P593),IF($O593="","",$O593))</f>
        <v/>
      </c>
      <c r="AA593">
        <f>IF(OR($Q593="",$Z593=""),"",IF(AND($Z593&gt;0,$Z593&gt;=$Q593),"yes","below the line"))</f>
        <v/>
      </c>
      <c r="AB593">
        <f>IF($V593,IF($M593="","",$M593),IF($K593="","",$K593))</f>
        <v/>
      </c>
      <c r="AC593">
        <f>IF($V593,IF($N593="","",$N593),IF($L593="","",$L593))</f>
        <v/>
      </c>
      <c r="AD593">
        <f>IF($Y593="","",IF($Y593="in line",IF(profit_kind="test",IF(ROUND($AB593*100,2)=0,"0.00",TEXT($AB593*100,"+0.00;-0.00"))&amp;" points against "&amp;IF($V593,"its band","the book")&amp;", "&amp;IF($AC593="","not tested","not significant"),IF(profit_kind="points","within "&amp;TEXT(profit_line*100,"0.00")&amp;" points of "&amp;IF($V593,"its band","the book")&amp;" ("&amp;IF(ROUND($AB593*100,2)=0,"0.00",TEXT($AB593*100,"+0.00;-0.00"))&amp;")","within $"&amp;TEXT(profit_line,"#,##0")&amp;" of "&amp;IF($V593,"its band","the book")&amp;" ("&amp;IF(ROUND($AB593*100,2)=0,"0.00",TEXT($AB593*100,"+0.00;-0.00"))&amp;" points)")),IF(LEFT($Y593,5)="worse","short of ","ahead of ")&amp;IF($V593,"its band","the book")&amp;" by "&amp;TEXT(ABS($AB593)*100,"0.00")&amp;" points"&amp;IF($Z593="",""," ($"&amp;TEXT(ABS($Z593),"#,##0")&amp;")")&amp;IF(RIGHT($Y593,15)="not significant"," (not significant)","")))</f>
        <v/>
      </c>
      <c r="AE593">
        <f>IF($V593,IF($S593="","",$S593),IF($R593="","",$R593))</f>
        <v/>
      </c>
      <c r="AF593">
        <f>IF($V593,IF($U593="","",$U593),IF($T593="","",$T593))</f>
        <v/>
      </c>
      <c r="AG593">
        <f>IF($V593,IF($O593="","",$O593),IF($P593="","",$P593))</f>
        <v/>
      </c>
      <c r="AH593" t="n">
        <v>0.1735676663928442</v>
      </c>
      <c r="AI593">
        <f>IF($Y593="worse","Yes",IF($Y593="worse, not significant","Not sure",IF(OR($Y593="too few losses to test",$Y593="too few loans to test"),"Too few losses",IF($Y593="","","No"))))</f>
        <v/>
      </c>
      <c r="AJ593">
        <f>IF($AA593="yes","Yes",IF($AA593="","","No"))</f>
        <v/>
      </c>
    </row>
    <row r="594">
      <c r="A594" t="inlineStr">
        <is>
          <t>three-way</t>
        </is>
      </c>
      <c r="B594" t="inlineStr">
        <is>
          <t>FICO x ASSET_CLASS / SYS_FLAG</t>
        </is>
      </c>
      <c r="C594" t="inlineStr">
        <is>
          <t>(marked missing)</t>
        </is>
      </c>
      <c r="D594" t="inlineStr">
        <is>
          <t>1 / SYS_FLAG N</t>
        </is>
      </c>
      <c r="E594" t="inlineStr">
        <is>
          <t>outcome_loans</t>
        </is>
      </c>
      <c r="F594" t="inlineStr">
        <is>
          <t>Outcome, share of loans</t>
        </is>
      </c>
      <c r="G594" t="n">
        <v>27</v>
      </c>
      <c r="H594" t="n">
        <v>27</v>
      </c>
      <c r="I594" t="b">
        <v>1</v>
      </c>
      <c r="J594" t="b">
        <v>0</v>
      </c>
      <c r="K594" t="n">
        <v>0</v>
      </c>
      <c r="M594" t="n">
        <v>0</v>
      </c>
      <c r="O594" t="n">
        <v>-2.096462619167085</v>
      </c>
      <c r="P594" t="n">
        <v>-2.030075187969925</v>
      </c>
      <c r="Q594">
        <f>'_live'!$C$20</f>
        <v/>
      </c>
      <c r="T594" t="n">
        <v>0.07764676367285499</v>
      </c>
      <c r="U594" t="n">
        <v>0.07518796992481203</v>
      </c>
      <c r="V594">
        <f>AND(judged_band,NOT($J594))</f>
        <v/>
      </c>
      <c r="W594">
        <f>IF($K594="","",IF($I594,"too few losses to test",IF(AND($K594&gt;better_at,$K594&lt;worse_at),"in line",IF($K594&gt;=worse_at,IF(AND(ISNUMBER($L594),$L594&lt;significance_bar),"worse","worse, not significant"),IF(AND(ISNUMBER($L594),$L594&lt;significance_bar),"better","better, not significant")))))</f>
        <v/>
      </c>
      <c r="X594">
        <f>IF($M594="","",IF($I594,"too few losses to test",IF(AND($M594&gt;better_at,$M594&lt;worse_at),"in line",IF($M594&gt;=worse_at,IF(AND(ISNUMBER($N594),$N594&lt;significance_bar),"worse","worse, not significant"),IF(AND(ISNUMBER($N594),$N594&lt;significance_bar),"better","better, not significant")))))</f>
        <v/>
      </c>
      <c r="Y594">
        <f>IF($V594,$X594,$W594)</f>
        <v/>
      </c>
      <c r="Z594">
        <f>IF($V594,IF($P594="","",$P594),IF($O594="","",$O594))</f>
        <v/>
      </c>
      <c r="AA594">
        <f>IF(OR($Q594="",$Z594=""),"",IF(AND($Z594&gt;0,$Z594&gt;=$Q594),"yes","below the line"))</f>
        <v/>
      </c>
      <c r="AB594">
        <f>IF($V594,IF($M594="","",$M594),IF($K594="","",$K594))</f>
        <v/>
      </c>
      <c r="AC594">
        <f>IF($V594,IF($N594="","",$N594),IF($L594="","",$L594))</f>
        <v/>
      </c>
      <c r="AD594">
        <f>$Y594</f>
        <v/>
      </c>
      <c r="AE594">
        <f>IF($V594,IF($S594="","",$S594),IF($R594="","",$R594))</f>
        <v/>
      </c>
      <c r="AF594">
        <f>IF($V594,IF($U594="","",$U594),IF($T594="","",$T594))</f>
        <v/>
      </c>
      <c r="AG594">
        <f>IF($V594,IF($O594="","",$O594),IF($P594="","",$P594))</f>
        <v/>
      </c>
      <c r="AH594" t="n">
        <v>0</v>
      </c>
      <c r="AI594">
        <f>IF($Y594="worse","Yes",IF($Y594="worse, not significant","Not sure",IF(OR($Y594="too few losses to test",$Y594="too few loans to test"),"Too few losses",IF($Y594="","","No"))))</f>
        <v/>
      </c>
      <c r="AJ594">
        <f>IF($AA594="yes","Yes",IF($AA594="","","No"))</f>
        <v/>
      </c>
    </row>
    <row r="595">
      <c r="A595" t="inlineStr">
        <is>
          <t>three-way</t>
        </is>
      </c>
      <c r="B595" t="inlineStr">
        <is>
          <t>FICO x ASSET_CLASS / SYS_FLAG</t>
        </is>
      </c>
      <c r="C595" t="inlineStr">
        <is>
          <t>(marked missing)</t>
        </is>
      </c>
      <c r="D595" t="inlineStr">
        <is>
          <t>1 / SYS_FLAG N</t>
        </is>
      </c>
      <c r="E595" t="inlineStr">
        <is>
          <t>outcome_booked</t>
        </is>
      </c>
      <c r="F595" t="inlineStr">
        <is>
          <t>Outcome, share of booked dollars</t>
        </is>
      </c>
      <c r="G595" t="n">
        <v>27</v>
      </c>
      <c r="H595" t="n">
        <v>990549.4400000001</v>
      </c>
      <c r="I595" t="b">
        <v>1</v>
      </c>
      <c r="J595" t="b">
        <v>0</v>
      </c>
      <c r="K595" t="n">
        <v>0</v>
      </c>
      <c r="M595" t="n">
        <v>0</v>
      </c>
      <c r="O595" t="n">
        <v>-74407.33400608599</v>
      </c>
      <c r="P595" t="n">
        <v>-58688.33698679482</v>
      </c>
      <c r="Q595">
        <f>'_live'!$C$21</f>
        <v/>
      </c>
      <c r="T595" t="n">
        <v>0.07511723393239815</v>
      </c>
      <c r="U595" t="n">
        <v>0.05924826628219064</v>
      </c>
      <c r="V595">
        <f>AND(judged_band,NOT($J595))</f>
        <v/>
      </c>
      <c r="W595">
        <f>IF($K595="","",IF($I595,"too few losses to test",IF(AND($K595&gt;better_at,$K595&lt;worse_at),"in line",IF($K595&gt;=worse_at,IF(AND(ISNUMBER($L595),$L595&lt;significance_bar),"worse","worse, not significant"),IF(AND(ISNUMBER($L595),$L595&lt;significance_bar),"better","better, not significant")))))</f>
        <v/>
      </c>
      <c r="X595">
        <f>IF($M595="","",IF($I595,"too few losses to test",IF(AND($M595&gt;better_at,$M595&lt;worse_at),"in line",IF($M595&gt;=worse_at,IF(AND(ISNUMBER($N595),$N595&lt;significance_bar),"worse","worse, not significant"),IF(AND(ISNUMBER($N595),$N595&lt;significance_bar),"better","better, not significant")))))</f>
        <v/>
      </c>
      <c r="Y595">
        <f>IF($V595,$X595,$W595)</f>
        <v/>
      </c>
      <c r="Z595">
        <f>IF($V595,IF($P595="","",$P595),IF($O595="","",$O595))</f>
        <v/>
      </c>
      <c r="AA595">
        <f>IF(OR($Q595="",$Z595=""),"",IF(AND($Z595&gt;0,$Z595&gt;=$Q595),"yes","below the line"))</f>
        <v/>
      </c>
      <c r="AB595">
        <f>IF($V595,IF($M595="","",$M595),IF($K595="","",$K595))</f>
        <v/>
      </c>
      <c r="AC595">
        <f>IF($V595,IF($N595="","",$N595),IF($L595="","",$L595))</f>
        <v/>
      </c>
      <c r="AD595">
        <f>$Y595</f>
        <v/>
      </c>
      <c r="AE595">
        <f>IF($V595,IF($S595="","",$S595),IF($R595="","",$R595))</f>
        <v/>
      </c>
      <c r="AF595">
        <f>IF($V595,IF($U595="","",$U595),IF($T595="","",$T595))</f>
        <v/>
      </c>
      <c r="AG595">
        <f>IF($V595,IF($O595="","",$O595),IF($P595="","",$P595))</f>
        <v/>
      </c>
      <c r="AH595" t="n">
        <v>0</v>
      </c>
      <c r="AI595">
        <f>IF($Y595="worse","Yes",IF($Y595="worse, not significant","Not sure",IF(OR($Y595="too few losses to test",$Y595="too few loans to test"),"Too few losses",IF($Y595="","","No"))))</f>
        <v/>
      </c>
      <c r="AJ595">
        <f>IF($AA595="yes","Yes",IF($AA595="","","No"))</f>
        <v/>
      </c>
    </row>
    <row r="596">
      <c r="A596" t="inlineStr">
        <is>
          <t>three-way</t>
        </is>
      </c>
      <c r="B596" t="inlineStr">
        <is>
          <t>FICO x ASSET_CLASS / SYS_FLAG</t>
        </is>
      </c>
      <c r="C596" t="inlineStr">
        <is>
          <t>(marked missing)</t>
        </is>
      </c>
      <c r="D596" t="inlineStr">
        <is>
          <t>1 / SYS_FLAG N</t>
        </is>
      </c>
      <c r="E596" t="inlineStr">
        <is>
          <t>gco_rate</t>
        </is>
      </c>
      <c r="F596" t="inlineStr">
        <is>
          <t>GCO per booked dollar</t>
        </is>
      </c>
      <c r="G596" t="n">
        <v>27</v>
      </c>
      <c r="H596" t="n">
        <v>990549.4400000001</v>
      </c>
      <c r="I596" t="b">
        <v>1</v>
      </c>
      <c r="J596" t="b">
        <v>0</v>
      </c>
      <c r="K596" t="n">
        <v>0</v>
      </c>
      <c r="M596" t="n">
        <v>0</v>
      </c>
      <c r="O596" t="n">
        <v>-41370.89144543737</v>
      </c>
      <c r="P596" t="n">
        <v>-31096.78937110839</v>
      </c>
      <c r="Q596">
        <f>'_live'!$C$22</f>
        <v/>
      </c>
      <c r="T596" t="n">
        <v>0.041765599751828</v>
      </c>
      <c r="U596" t="n">
        <v>0.03139347529297314</v>
      </c>
      <c r="V596">
        <f>AND(judged_band,NOT($J596))</f>
        <v/>
      </c>
      <c r="W596">
        <f>IF($K596="","",IF($I596,"too few losses to test",IF(AND($K596&gt;better_at,$K596&lt;worse_at),"in line",IF($K596&gt;=worse_at,IF(AND(ISNUMBER($L596),$L596&lt;significance_bar),"worse","worse, not significant"),IF(AND(ISNUMBER($L596),$L596&lt;significance_bar),"better","better, not significant")))))</f>
        <v/>
      </c>
      <c r="X596">
        <f>IF($M596="","",IF($I596,"too few losses to test",IF(AND($M596&gt;better_at,$M596&lt;worse_at),"in line",IF($M596&gt;=worse_at,IF(AND(ISNUMBER($N596),$N596&lt;significance_bar),"worse","worse, not significant"),IF(AND(ISNUMBER($N596),$N596&lt;significance_bar),"better","better, not significant")))))</f>
        <v/>
      </c>
      <c r="Y596">
        <f>IF($V596,$X596,$W596)</f>
        <v/>
      </c>
      <c r="Z596">
        <f>IF($V596,IF($P596="","",$P596),IF($O596="","",$O596))</f>
        <v/>
      </c>
      <c r="AA596">
        <f>IF(OR($Q596="",$Z596=""),"",IF(AND($Z596&gt;0,$Z596&gt;=$Q596),"yes","below the line"))</f>
        <v/>
      </c>
      <c r="AB596">
        <f>IF($V596,IF($M596="","",$M596),IF($K596="","",$K596))</f>
        <v/>
      </c>
      <c r="AC596">
        <f>IF($V596,IF($N596="","",$N596),IF($L596="","",$L596))</f>
        <v/>
      </c>
      <c r="AD596">
        <f>$Y596</f>
        <v/>
      </c>
      <c r="AE596">
        <f>IF($V596,IF($S596="","",$S596),IF($R596="","",$R596))</f>
        <v/>
      </c>
      <c r="AF596">
        <f>IF($V596,IF($U596="","",$U596),IF($T596="","",$T596))</f>
        <v/>
      </c>
      <c r="AG596">
        <f>IF($V596,IF($O596="","",$O596),IF($P596="","",$P596))</f>
        <v/>
      </c>
      <c r="AH596" t="n">
        <v>0</v>
      </c>
      <c r="AI596">
        <f>IF($Y596="worse","Yes",IF($Y596="worse, not significant","Not sure",IF(OR($Y596="too few losses to test",$Y596="too few loans to test"),"Too few losses",IF($Y596="","","No"))))</f>
        <v/>
      </c>
      <c r="AJ596">
        <f>IF($AA596="yes","Yes",IF($AA596="","","No"))</f>
        <v/>
      </c>
    </row>
    <row r="597">
      <c r="A597" t="inlineStr">
        <is>
          <t>three-way</t>
        </is>
      </c>
      <c r="B597" t="inlineStr">
        <is>
          <t>FICO x ASSET_CLASS / SYS_FLAG</t>
        </is>
      </c>
      <c r="C597" t="inlineStr">
        <is>
          <t>(marked missing)</t>
        </is>
      </c>
      <c r="D597" t="inlineStr">
        <is>
          <t>1 / SYS_FLAG N</t>
        </is>
      </c>
      <c r="E597" t="inlineStr">
        <is>
          <t>ranr_rate</t>
        </is>
      </c>
      <c r="F597" t="inlineStr">
        <is>
          <t>Profit after losses: RANR per booked dollar</t>
        </is>
      </c>
      <c r="G597" t="n">
        <v>27</v>
      </c>
      <c r="H597" t="n">
        <v>990549.4400000001</v>
      </c>
      <c r="I597" t="b">
        <v>0</v>
      </c>
      <c r="J597" t="b">
        <v>0</v>
      </c>
      <c r="K597" t="n">
        <v>0.05587271712112379</v>
      </c>
      <c r="L597" t="n">
        <v>0.2358297503582975</v>
      </c>
      <c r="M597" t="n">
        <v>0.03503816713759697</v>
      </c>
      <c r="N597" t="n">
        <v>0.6243375662433757</v>
      </c>
      <c r="O597" t="n">
        <v>-55344.68865560758</v>
      </c>
      <c r="P597" t="n">
        <v>-34707.03683677307</v>
      </c>
      <c r="Q597">
        <f>'_live'!$C$23</f>
        <v/>
      </c>
      <c r="R597" t="inlineStr">
        <is>
          <t>shuffled: 1,443 of 10,000</t>
        </is>
      </c>
      <c r="S597" t="inlineStr">
        <is>
          <t>shuffled: 3,121 of 10,000</t>
        </is>
      </c>
      <c r="T597" t="n">
        <v>0.1277755922454435</v>
      </c>
      <c r="U597" t="n">
        <v>0.1486101422289703</v>
      </c>
      <c r="V597">
        <f>AND(judged_band,NOT($J597))</f>
        <v/>
      </c>
      <c r="W597">
        <f>IF($K597="","",IF(profit_kind="test",IF(OR(NOT(AND(ISNUMBER($L597),$L597&lt;significance_bar)),$K597=0),"in line",IF($K597&lt;0,"worse","better")),IF(OR($K597=0,IF(profit_kind="points",ABS($K597),ABS($K597*$H597))&lt;profit_line*(1-1E-9)),"in line",IF(AND(ISNUMBER($L597),$L597&lt;significance_bar),IF($K597&lt;0,"worse","better"),IF($K597&lt;0,"worse, not significant","better, not significant")))))</f>
        <v/>
      </c>
      <c r="X597">
        <f>IF($M597="","",IF(profit_kind="test",IF(OR(NOT(AND(ISNUMBER($N597),$N597&lt;significance_bar)),$M597=0),"in line",IF($M597&lt;0,"worse","better")),IF(OR($M597=0,IF(profit_kind="points",ABS($M597),ABS($M597*$H597))&lt;profit_line*(1-1E-9)),"in line",IF(AND(ISNUMBER($N597),$N597&lt;significance_bar),IF($M597&lt;0,"worse","better"),IF($M597&lt;0,"worse, not significant","better, not significant")))))</f>
        <v/>
      </c>
      <c r="Y597">
        <f>IF($V597,$X597,$W597)</f>
        <v/>
      </c>
      <c r="Z597">
        <f>IF($V597,IF($P597="","",$P597),IF($O597="","",$O597))</f>
        <v/>
      </c>
      <c r="AA597">
        <f>IF(OR($Q597="",$Z597=""),"",IF(AND($Z597&gt;0,$Z597&gt;=$Q597),"yes","below the line"))</f>
        <v/>
      </c>
      <c r="AB597">
        <f>IF($V597,IF($M597="","",$M597),IF($K597="","",$K597))</f>
        <v/>
      </c>
      <c r="AC597">
        <f>IF($V597,IF($N597="","",$N597),IF($L597="","",$L597))</f>
        <v/>
      </c>
      <c r="AD597">
        <f>IF($Y597="","",IF($Y597="in line",IF(profit_kind="test",IF(ROUND($AB597*100,2)=0,"0.00",TEXT($AB597*100,"+0.00;-0.00"))&amp;" points against "&amp;IF($V597,"its band","the book")&amp;", "&amp;IF($AC597="","not tested","not significant"),IF(profit_kind="points","within "&amp;TEXT(profit_line*100,"0.00")&amp;" points of "&amp;IF($V597,"its band","the book")&amp;" ("&amp;IF(ROUND($AB597*100,2)=0,"0.00",TEXT($AB597*100,"+0.00;-0.00"))&amp;")","within $"&amp;TEXT(profit_line,"#,##0")&amp;" of "&amp;IF($V597,"its band","the book")&amp;" ("&amp;IF(ROUND($AB597*100,2)=0,"0.00",TEXT($AB597*100,"+0.00;-0.00"))&amp;" points)")),IF(LEFT($Y597,5)="worse","short of ","ahead of ")&amp;IF($V597,"its band","the book")&amp;" by "&amp;TEXT(ABS($AB597)*100,"0.00")&amp;" points"&amp;IF($Z597="",""," ($"&amp;TEXT(ABS($Z597),"#,##0")&amp;")")&amp;IF(RIGHT($Y597,15)="not significant"," (not significant)","")))</f>
        <v/>
      </c>
      <c r="AE597">
        <f>IF($V597,IF($S597="","",$S597),IF($R597="","",$R597))</f>
        <v/>
      </c>
      <c r="AF597">
        <f>IF($V597,IF($U597="","",$U597),IF($T597="","",$T597))</f>
        <v/>
      </c>
      <c r="AG597">
        <f>IF($V597,IF($O597="","",$O597),IF($P597="","",$P597))</f>
        <v/>
      </c>
      <c r="AH597" t="n">
        <v>0.1836483093665673</v>
      </c>
      <c r="AI597">
        <f>IF($Y597="worse","Yes",IF($Y597="worse, not significant","Not sure",IF(OR($Y597="too few losses to test",$Y597="too few loans to test"),"Too few losses",IF($Y597="","","No"))))</f>
        <v/>
      </c>
      <c r="AJ597">
        <f>IF($AA597="yes","Yes",IF($AA597="","","No"))</f>
        <v/>
      </c>
    </row>
    <row r="598">
      <c r="A598" t="inlineStr">
        <is>
          <t>three-way</t>
        </is>
      </c>
      <c r="B598" t="inlineStr">
        <is>
          <t>FICO x ASSET_CLASS / SYS_FLAG</t>
        </is>
      </c>
      <c r="C598" t="inlineStr">
        <is>
          <t>(marked missing)</t>
        </is>
      </c>
      <c r="D598" t="inlineStr">
        <is>
          <t>1 / SYS_FLAG N</t>
        </is>
      </c>
      <c r="E598" t="inlineStr">
        <is>
          <t>contribution_rate</t>
        </is>
      </c>
      <c r="F598" t="inlineStr">
        <is>
          <t>Contribution before losses per booked dollar</t>
        </is>
      </c>
      <c r="G598" t="n">
        <v>27</v>
      </c>
      <c r="H598" t="n">
        <v>990549.4400000001</v>
      </c>
      <c r="I598" t="b">
        <v>0</v>
      </c>
      <c r="J598" t="b">
        <v>0</v>
      </c>
      <c r="K598" t="n">
        <v>0.0141100207448196</v>
      </c>
      <c r="L598" t="n">
        <v>0.7245299860257877</v>
      </c>
      <c r="M598" t="n">
        <v>0.003644691844623849</v>
      </c>
      <c r="N598" t="n">
        <v>0.9799190293736585</v>
      </c>
      <c r="O598" t="n">
        <v>-13976.67314716944</v>
      </c>
      <c r="P598" t="n">
        <v>-3610.247465664725</v>
      </c>
      <c r="Q598">
        <f>'_live'!$C$24</f>
        <v/>
      </c>
      <c r="R598" t="inlineStr">
        <is>
          <t>shuffled: 5,848 of 10,000</t>
        </is>
      </c>
      <c r="S598" t="inlineStr">
        <is>
          <t>shuffled: 9,022 of 10,000</t>
        </is>
      </c>
      <c r="T598" t="n">
        <v>0.1695382886217477</v>
      </c>
      <c r="U598" t="n">
        <v>0.1800036175219434</v>
      </c>
      <c r="V598">
        <f>AND(judged_band,NOT($J598))</f>
        <v/>
      </c>
      <c r="W598">
        <f>IF($K598="","",IF(profit_kind="test",IF(OR(NOT(AND(ISNUMBER($L598),$L598&lt;significance_bar)),$K598=0),"in line",IF($K598&lt;0,"worse","better")),IF(OR($K598=0,IF(profit_kind="points",ABS($K598),ABS($K598*$H598))&lt;profit_line*(1-1E-9)),"in line",IF(AND(ISNUMBER($L598),$L598&lt;significance_bar),IF($K598&lt;0,"worse","better"),IF($K598&lt;0,"worse, not significant","better, not significant")))))</f>
        <v/>
      </c>
      <c r="X598">
        <f>IF($M598="","",IF(profit_kind="test",IF(OR(NOT(AND(ISNUMBER($N598),$N598&lt;significance_bar)),$M598=0),"in line",IF($M598&lt;0,"worse","better")),IF(OR($M598=0,IF(profit_kind="points",ABS($M598),ABS($M598*$H598))&lt;profit_line*(1-1E-9)),"in line",IF(AND(ISNUMBER($N598),$N598&lt;significance_bar),IF($M598&lt;0,"worse","better"),IF($M598&lt;0,"worse, not significant","better, not significant")))))</f>
        <v/>
      </c>
      <c r="Y598">
        <f>IF($V598,$X598,$W598)</f>
        <v/>
      </c>
      <c r="Z598">
        <f>IF($V598,IF($P598="","",$P598),IF($O598="","",$O598))</f>
        <v/>
      </c>
      <c r="AA598">
        <f>IF(OR($Q598="",$Z598=""),"",IF(AND($Z598&gt;0,$Z598&gt;=$Q598),"yes","below the line"))</f>
        <v/>
      </c>
      <c r="AB598">
        <f>IF($V598,IF($M598="","",$M598),IF($K598="","",$K598))</f>
        <v/>
      </c>
      <c r="AC598">
        <f>IF($V598,IF($N598="","",$N598),IF($L598="","",$L598))</f>
        <v/>
      </c>
      <c r="AD598">
        <f>IF($Y598="","",IF($Y598="in line",IF(profit_kind="test",IF(ROUND($AB598*100,2)=0,"0.00",TEXT($AB598*100,"+0.00;-0.00"))&amp;" points against "&amp;IF($V598,"its band","the book")&amp;", "&amp;IF($AC598="","not tested","not significant"),IF(profit_kind="points","within "&amp;TEXT(profit_line*100,"0.00")&amp;" points of "&amp;IF($V598,"its band","the book")&amp;" ("&amp;IF(ROUND($AB598*100,2)=0,"0.00",TEXT($AB598*100,"+0.00;-0.00"))&amp;")","within $"&amp;TEXT(profit_line,"#,##0")&amp;" of "&amp;IF($V598,"its band","the book")&amp;" ("&amp;IF(ROUND($AB598*100,2)=0,"0.00",TEXT($AB598*100,"+0.00;-0.00"))&amp;" points)")),IF(LEFT($Y598,5)="worse","short of ","ahead of ")&amp;IF($V598,"its band","the book")&amp;" by "&amp;TEXT(ABS($AB598)*100,"0.00")&amp;" points"&amp;IF($Z598="",""," ($"&amp;TEXT(ABS($Z598),"#,##0")&amp;")")&amp;IF(RIGHT($Y598,15)="not significant"," (not significant)","")))</f>
        <v/>
      </c>
      <c r="AE598">
        <f>IF($V598,IF($S598="","",$S598),IF($R598="","",$R598))</f>
        <v/>
      </c>
      <c r="AF598">
        <f>IF($V598,IF($U598="","",$U598),IF($T598="","",$T598))</f>
        <v/>
      </c>
      <c r="AG598">
        <f>IF($V598,IF($O598="","",$O598),IF($P598="","",$P598))</f>
        <v/>
      </c>
      <c r="AH598" t="n">
        <v>0.1836483093665673</v>
      </c>
      <c r="AI598">
        <f>IF($Y598="worse","Yes",IF($Y598="worse, not significant","Not sure",IF(OR($Y598="too few losses to test",$Y598="too few loans to test"),"Too few losses",IF($Y598="","","No"))))</f>
        <v/>
      </c>
      <c r="AJ598">
        <f>IF($AA598="yes","Yes",IF($AA598="","","No"))</f>
        <v/>
      </c>
    </row>
    <row r="599">
      <c r="A599" t="inlineStr">
        <is>
          <t>three-way</t>
        </is>
      </c>
      <c r="B599" t="inlineStr">
        <is>
          <t>FICO x ASSET_CLASS / SYS_FLAG</t>
        </is>
      </c>
      <c r="C599" t="inlineStr">
        <is>
          <t>(blank)</t>
        </is>
      </c>
      <c r="D599" t="inlineStr">
        <is>
          <t>2 / SYS_FLAG Y</t>
        </is>
      </c>
      <c r="E599" t="inlineStr">
        <is>
          <t>outcome_loans</t>
        </is>
      </c>
      <c r="F599" t="inlineStr">
        <is>
          <t>Outcome, share of loans</t>
        </is>
      </c>
      <c r="G599" t="n">
        <v>1</v>
      </c>
      <c r="H599" t="n">
        <v>1</v>
      </c>
      <c r="I599" t="b">
        <v>1</v>
      </c>
      <c r="J599" t="b">
        <v>1</v>
      </c>
      <c r="K599" t="n">
        <v>0</v>
      </c>
      <c r="O599" t="n">
        <v>-0.07739434858714679</v>
      </c>
      <c r="Q599">
        <f>'_live'!$C$20</f>
        <v/>
      </c>
      <c r="T599" t="n">
        <v>0.07739434858714679</v>
      </c>
      <c r="V599">
        <f>AND(judged_band,NOT($J599))</f>
        <v/>
      </c>
      <c r="W599">
        <f>IF($K599="","",IF($I599,"too few losses to test",IF(AND($K599&gt;better_at,$K599&lt;worse_at),"in line",IF($K599&gt;=worse_at,IF(AND(ISNUMBER($L599),$L599&lt;significance_bar),"worse","worse, not significant"),IF(AND(ISNUMBER($L599),$L599&lt;significance_bar),"better","better, not significant")))))</f>
        <v/>
      </c>
      <c r="X599">
        <f>IF($M599="","",IF($I599,"too few losses to test",IF(AND($M599&gt;better_at,$M599&lt;worse_at),"in line",IF($M599&gt;=worse_at,IF(AND(ISNUMBER($N599),$N599&lt;significance_bar),"worse","worse, not significant"),IF(AND(ISNUMBER($N599),$N599&lt;significance_bar),"better","better, not significant")))))</f>
        <v/>
      </c>
      <c r="Y599">
        <f>IF($V599,$X599,$W599)</f>
        <v/>
      </c>
      <c r="Z599">
        <f>IF($V599,IF($P599="","",$P599),IF($O599="","",$O599))</f>
        <v/>
      </c>
      <c r="AA599">
        <f>IF(OR($Q599="",$Z599=""),"",IF(AND($Z599&gt;0,$Z599&gt;=$Q599),"yes","below the line"))</f>
        <v/>
      </c>
      <c r="AB599">
        <f>IF($V599,IF($M599="","",$M599),IF($K599="","",$K599))</f>
        <v/>
      </c>
      <c r="AC599">
        <f>IF($V599,IF($N599="","",$N599),IF($L599="","",$L599))</f>
        <v/>
      </c>
      <c r="AD599">
        <f>$Y599</f>
        <v/>
      </c>
      <c r="AE599">
        <f>IF($V599,IF($S599="","",$S599),IF($R599="","",$R599))</f>
        <v/>
      </c>
      <c r="AF599">
        <f>IF($V599,IF($U599="","",$U599),IF($T599="","",$T599))</f>
        <v/>
      </c>
      <c r="AG599">
        <f>IF($V599,IF($O599="","",$O599),IF($P599="","",$P599))</f>
        <v/>
      </c>
      <c r="AH599" t="n">
        <v>0</v>
      </c>
      <c r="AI599">
        <f>IF($Y599="worse","Yes",IF($Y599="worse, not significant","Not sure",IF(OR($Y599="too few losses to test",$Y599="too few loans to test"),"Too few losses",IF($Y599="","","No"))))</f>
        <v/>
      </c>
      <c r="AJ599">
        <f>IF($AA599="yes","Yes",IF($AA599="","","No"))</f>
        <v/>
      </c>
    </row>
    <row r="600">
      <c r="A600" t="inlineStr">
        <is>
          <t>three-way</t>
        </is>
      </c>
      <c r="B600" t="inlineStr">
        <is>
          <t>FICO x ASSET_CLASS / SYS_FLAG</t>
        </is>
      </c>
      <c r="C600" t="inlineStr">
        <is>
          <t>(blank)</t>
        </is>
      </c>
      <c r="D600" t="inlineStr">
        <is>
          <t>2 / SYS_FLAG Y</t>
        </is>
      </c>
      <c r="E600" t="inlineStr">
        <is>
          <t>outcome_booked</t>
        </is>
      </c>
      <c r="F600" t="inlineStr">
        <is>
          <t>Outcome, share of booked dollars</t>
        </is>
      </c>
      <c r="G600" t="n">
        <v>1</v>
      </c>
      <c r="H600" t="n">
        <v>27999.47</v>
      </c>
      <c r="I600" t="b">
        <v>1</v>
      </c>
      <c r="J600" t="b">
        <v>1</v>
      </c>
      <c r="K600" t="n">
        <v>0</v>
      </c>
      <c r="O600" t="n">
        <v>-2095.396036050188</v>
      </c>
      <c r="Q600">
        <f>'_live'!$C$21</f>
        <v/>
      </c>
      <c r="T600" t="n">
        <v>0.07483698927337509</v>
      </c>
      <c r="V600">
        <f>AND(judged_band,NOT($J600))</f>
        <v/>
      </c>
      <c r="W600">
        <f>IF($K600="","",IF($I600,"too few losses to test",IF(AND($K600&gt;better_at,$K600&lt;worse_at),"in line",IF($K600&gt;=worse_at,IF(AND(ISNUMBER($L600),$L600&lt;significance_bar),"worse","worse, not significant"),IF(AND(ISNUMBER($L600),$L600&lt;significance_bar),"better","better, not significant")))))</f>
        <v/>
      </c>
      <c r="X600">
        <f>IF($M600="","",IF($I600,"too few losses to test",IF(AND($M600&gt;better_at,$M600&lt;worse_at),"in line",IF($M600&gt;=worse_at,IF(AND(ISNUMBER($N600),$N600&lt;significance_bar),"worse","worse, not significant"),IF(AND(ISNUMBER($N600),$N600&lt;significance_bar),"better","better, not significant")))))</f>
        <v/>
      </c>
      <c r="Y600">
        <f>IF($V600,$X600,$W600)</f>
        <v/>
      </c>
      <c r="Z600">
        <f>IF($V600,IF($P600="","",$P600),IF($O600="","",$O600))</f>
        <v/>
      </c>
      <c r="AA600">
        <f>IF(OR($Q600="",$Z600=""),"",IF(AND($Z600&gt;0,$Z600&gt;=$Q600),"yes","below the line"))</f>
        <v/>
      </c>
      <c r="AB600">
        <f>IF($V600,IF($M600="","",$M600),IF($K600="","",$K600))</f>
        <v/>
      </c>
      <c r="AC600">
        <f>IF($V600,IF($N600="","",$N600),IF($L600="","",$L600))</f>
        <v/>
      </c>
      <c r="AD600">
        <f>$Y600</f>
        <v/>
      </c>
      <c r="AE600">
        <f>IF($V600,IF($S600="","",$S600),IF($R600="","",$R600))</f>
        <v/>
      </c>
      <c r="AF600">
        <f>IF($V600,IF($U600="","",$U600),IF($T600="","",$T600))</f>
        <v/>
      </c>
      <c r="AG600">
        <f>IF($V600,IF($O600="","",$O600),IF($P600="","",$P600))</f>
        <v/>
      </c>
      <c r="AH600" t="n">
        <v>0</v>
      </c>
      <c r="AI600">
        <f>IF($Y600="worse","Yes",IF($Y600="worse, not significant","Not sure",IF(OR($Y600="too few losses to test",$Y600="too few loans to test"),"Too few losses",IF($Y600="","","No"))))</f>
        <v/>
      </c>
      <c r="AJ600">
        <f>IF($AA600="yes","Yes",IF($AA600="","","No"))</f>
        <v/>
      </c>
    </row>
    <row r="601">
      <c r="A601" t="inlineStr">
        <is>
          <t>three-way</t>
        </is>
      </c>
      <c r="B601" t="inlineStr">
        <is>
          <t>FICO x ASSET_CLASS / SYS_FLAG</t>
        </is>
      </c>
      <c r="C601" t="inlineStr">
        <is>
          <t>(blank)</t>
        </is>
      </c>
      <c r="D601" t="inlineStr">
        <is>
          <t>2 / SYS_FLAG Y</t>
        </is>
      </c>
      <c r="E601" t="inlineStr">
        <is>
          <t>gco_rate</t>
        </is>
      </c>
      <c r="F601" t="inlineStr">
        <is>
          <t>GCO per booked dollar</t>
        </is>
      </c>
      <c r="G601" t="n">
        <v>1</v>
      </c>
      <c r="H601" t="n">
        <v>27999.47</v>
      </c>
      <c r="I601" t="b">
        <v>1</v>
      </c>
      <c r="J601" t="b">
        <v>1</v>
      </c>
      <c r="K601" t="n">
        <v>0</v>
      </c>
      <c r="O601" t="n">
        <v>-1165.051801786329</v>
      </c>
      <c r="Q601">
        <f>'_live'!$C$22</f>
        <v/>
      </c>
      <c r="T601" t="n">
        <v>0.04160978053464329</v>
      </c>
      <c r="V601">
        <f>AND(judged_band,NOT($J601))</f>
        <v/>
      </c>
      <c r="W601">
        <f>IF($K601="","",IF($I601,"too few losses to test",IF(AND($K601&gt;better_at,$K601&lt;worse_at),"in line",IF($K601&gt;=worse_at,IF(AND(ISNUMBER($L601),$L601&lt;significance_bar),"worse","worse, not significant"),IF(AND(ISNUMBER($L601),$L601&lt;significance_bar),"better","better, not significant")))))</f>
        <v/>
      </c>
      <c r="X601">
        <f>IF($M601="","",IF($I601,"too few losses to test",IF(AND($M601&gt;better_at,$M601&lt;worse_at),"in line",IF($M601&gt;=worse_at,IF(AND(ISNUMBER($N601),$N601&lt;significance_bar),"worse","worse, not significant"),IF(AND(ISNUMBER($N601),$N601&lt;significance_bar),"better","better, not significant")))))</f>
        <v/>
      </c>
      <c r="Y601">
        <f>IF($V601,$X601,$W601)</f>
        <v/>
      </c>
      <c r="Z601">
        <f>IF($V601,IF($P601="","",$P601),IF($O601="","",$O601))</f>
        <v/>
      </c>
      <c r="AA601">
        <f>IF(OR($Q601="",$Z601=""),"",IF(AND($Z601&gt;0,$Z601&gt;=$Q601),"yes","below the line"))</f>
        <v/>
      </c>
      <c r="AB601">
        <f>IF($V601,IF($M601="","",$M601),IF($K601="","",$K601))</f>
        <v/>
      </c>
      <c r="AC601">
        <f>IF($V601,IF($N601="","",$N601),IF($L601="","",$L601))</f>
        <v/>
      </c>
      <c r="AD601">
        <f>$Y601</f>
        <v/>
      </c>
      <c r="AE601">
        <f>IF($V601,IF($S601="","",$S601),IF($R601="","",$R601))</f>
        <v/>
      </c>
      <c r="AF601">
        <f>IF($V601,IF($U601="","",$U601),IF($T601="","",$T601))</f>
        <v/>
      </c>
      <c r="AG601">
        <f>IF($V601,IF($O601="","",$O601),IF($P601="","",$P601))</f>
        <v/>
      </c>
      <c r="AH601" t="n">
        <v>0</v>
      </c>
      <c r="AI601">
        <f>IF($Y601="worse","Yes",IF($Y601="worse, not significant","Not sure",IF(OR($Y601="too few losses to test",$Y601="too few loans to test"),"Too few losses",IF($Y601="","","No"))))</f>
        <v/>
      </c>
      <c r="AJ601">
        <f>IF($AA601="yes","Yes",IF($AA601="","","No"))</f>
        <v/>
      </c>
    </row>
    <row r="602">
      <c r="A602" t="inlineStr">
        <is>
          <t>three-way</t>
        </is>
      </c>
      <c r="B602" t="inlineStr">
        <is>
          <t>FICO x ASSET_CLASS / SYS_FLAG</t>
        </is>
      </c>
      <c r="C602" t="inlineStr">
        <is>
          <t>(blank)</t>
        </is>
      </c>
      <c r="D602" t="inlineStr">
        <is>
          <t>2 / SYS_FLAG Y</t>
        </is>
      </c>
      <c r="E602" t="inlineStr">
        <is>
          <t>ranr_rate</t>
        </is>
      </c>
      <c r="F602" t="inlineStr">
        <is>
          <t>Profit after losses: RANR per booked dollar</t>
        </is>
      </c>
      <c r="G602" t="n">
        <v>1</v>
      </c>
      <c r="H602" t="n">
        <v>27999.47</v>
      </c>
      <c r="I602" t="b">
        <v>0</v>
      </c>
      <c r="J602" t="b">
        <v>1</v>
      </c>
      <c r="K602" t="n">
        <v>0.01230822708383753</v>
      </c>
      <c r="L602" t="n">
        <v>0.9443805619438056</v>
      </c>
      <c r="O602" t="n">
        <v>-344.6238349870969</v>
      </c>
      <c r="Q602">
        <f>'_live'!$C$23</f>
        <v/>
      </c>
      <c r="R602" t="inlineStr">
        <is>
          <t>shuffled: 9,251 of 10,000</t>
        </is>
      </c>
      <c r="S602" t="inlineStr">
        <is>
          <t>10,000 shuffles</t>
        </is>
      </c>
      <c r="T602" t="n">
        <v>0.1279887142511234</v>
      </c>
      <c r="V602">
        <f>AND(judged_band,NOT($J602))</f>
        <v/>
      </c>
      <c r="W602">
        <f>IF($K602="","",IF(profit_kind="test",IF(OR(NOT(AND(ISNUMBER($L602),$L602&lt;significance_bar)),$K602=0),"in line",IF($K602&lt;0,"worse","better")),IF(OR($K602=0,IF(profit_kind="points",ABS($K602),ABS($K602*$H602))&lt;profit_line*(1-1E-9)),"in line",IF(AND(ISNUMBER($L602),$L602&lt;significance_bar),IF($K602&lt;0,"worse","better"),IF($K602&lt;0,"worse, not significant","better, not significant")))))</f>
        <v/>
      </c>
      <c r="X602">
        <f>IF($M602="","",IF(profit_kind="test",IF(OR(NOT(AND(ISNUMBER($N602),$N602&lt;significance_bar)),$M602=0),"in line",IF($M602&lt;0,"worse","better")),IF(OR($M602=0,IF(profit_kind="points",ABS($M602),ABS($M602*$H602))&lt;profit_line*(1-1E-9)),"in line",IF(AND(ISNUMBER($N602),$N602&lt;significance_bar),IF($M602&lt;0,"worse","better"),IF($M602&lt;0,"worse, not significant","better, not significant")))))</f>
        <v/>
      </c>
      <c r="Y602">
        <f>IF($V602,$X602,$W602)</f>
        <v/>
      </c>
      <c r="Z602">
        <f>IF($V602,IF($P602="","",$P602),IF($O602="","",$O602))</f>
        <v/>
      </c>
      <c r="AA602">
        <f>IF(OR($Q602="",$Z602=""),"",IF(AND($Z602&gt;0,$Z602&gt;=$Q602),"yes","below the line"))</f>
        <v/>
      </c>
      <c r="AB602">
        <f>IF($V602,IF($M602="","",$M602),IF($K602="","",$K602))</f>
        <v/>
      </c>
      <c r="AC602">
        <f>IF($V602,IF($N602="","",$N602),IF($L602="","",$L602))</f>
        <v/>
      </c>
      <c r="AD602">
        <f>IF($Y602="","",IF($Y602="in line",IF(profit_kind="test",IF(ROUND($AB602*100,2)=0,"0.00",TEXT($AB602*100,"+0.00;-0.00"))&amp;" points against "&amp;IF($V602,"its band","the book")&amp;", "&amp;IF($AC602="","not tested","not significant"),IF(profit_kind="points","within "&amp;TEXT(profit_line*100,"0.00")&amp;" points of "&amp;IF($V602,"its band","the book")&amp;" ("&amp;IF(ROUND($AB602*100,2)=0,"0.00",TEXT($AB602*100,"+0.00;-0.00"))&amp;")","within $"&amp;TEXT(profit_line,"#,##0")&amp;" of "&amp;IF($V602,"its band","the book")&amp;" ("&amp;IF(ROUND($AB602*100,2)=0,"0.00",TEXT($AB602*100,"+0.00;-0.00"))&amp;" points)")),IF(LEFT($Y602,5)="worse","short of ","ahead of ")&amp;IF($V602,"its band","the book")&amp;" by "&amp;TEXT(ABS($AB602)*100,"0.00")&amp;" points"&amp;IF($Z602="",""," ($"&amp;TEXT(ABS($Z602),"#,##0")&amp;")")&amp;IF(RIGHT($Y602,15)="not significant"," (not significant)","")))</f>
        <v/>
      </c>
      <c r="AE602">
        <f>IF($V602,IF($S602="","",$S602),IF($R602="","",$R602))</f>
        <v/>
      </c>
      <c r="AF602">
        <f>IF($V602,IF($U602="","",$U602),IF($T602="","",$T602))</f>
        <v/>
      </c>
      <c r="AG602">
        <f>IF($V602,IF($O602="","",$O602),IF($P602="","",$P602))</f>
        <v/>
      </c>
      <c r="AH602" t="n">
        <v>0.140296941334961</v>
      </c>
      <c r="AI602">
        <f>IF($Y602="worse","Yes",IF($Y602="worse, not significant","Not sure",IF(OR($Y602="too few losses to test",$Y602="too few loans to test"),"Too few losses",IF($Y602="","","No"))))</f>
        <v/>
      </c>
      <c r="AJ602">
        <f>IF($AA602="yes","Yes",IF($AA602="","","No"))</f>
        <v/>
      </c>
    </row>
    <row r="603">
      <c r="A603" t="inlineStr">
        <is>
          <t>three-way</t>
        </is>
      </c>
      <c r="B603" t="inlineStr">
        <is>
          <t>FICO x ASSET_CLASS / SYS_FLAG</t>
        </is>
      </c>
      <c r="C603" t="inlineStr">
        <is>
          <t>(blank)</t>
        </is>
      </c>
      <c r="D603" t="inlineStr">
        <is>
          <t>2 / SYS_FLAG Y</t>
        </is>
      </c>
      <c r="E603" t="inlineStr">
        <is>
          <t>contribution_rate</t>
        </is>
      </c>
      <c r="F603" t="inlineStr">
        <is>
          <t>Contribution before losses per booked dollar</t>
        </is>
      </c>
      <c r="G603" t="n">
        <v>1</v>
      </c>
      <c r="H603" t="n">
        <v>27999.47</v>
      </c>
      <c r="I603" t="b">
        <v>0</v>
      </c>
      <c r="J603" t="b">
        <v>1</v>
      </c>
      <c r="K603" t="n">
        <v>-0.02929869368860016</v>
      </c>
      <c r="L603" t="n">
        <v>0.9059833147120071</v>
      </c>
      <c r="O603" t="n">
        <v>820.3478949731489</v>
      </c>
      <c r="Q603">
        <f>'_live'!$C$24</f>
        <v/>
      </c>
      <c r="R603" t="inlineStr">
        <is>
          <t>shuffled: 8,505 of 10,000</t>
        </is>
      </c>
      <c r="S603" t="inlineStr">
        <is>
          <t>10,000 shuffles</t>
        </is>
      </c>
      <c r="T603" t="n">
        <v>0.1695956350235611</v>
      </c>
      <c r="V603">
        <f>AND(judged_band,NOT($J603))</f>
        <v/>
      </c>
      <c r="W603">
        <f>IF($K603="","",IF(profit_kind="test",IF(OR(NOT(AND(ISNUMBER($L603),$L603&lt;significance_bar)),$K603=0),"in line",IF($K603&lt;0,"worse","better")),IF(OR($K603=0,IF(profit_kind="points",ABS($K603),ABS($K603*$H603))&lt;profit_line*(1-1E-9)),"in line",IF(AND(ISNUMBER($L603),$L603&lt;significance_bar),IF($K603&lt;0,"worse","better"),IF($K603&lt;0,"worse, not significant","better, not significant")))))</f>
        <v/>
      </c>
      <c r="X603">
        <f>IF($M603="","",IF(profit_kind="test",IF(OR(NOT(AND(ISNUMBER($N603),$N603&lt;significance_bar)),$M603=0),"in line",IF($M603&lt;0,"worse","better")),IF(OR($M603=0,IF(profit_kind="points",ABS($M603),ABS($M603*$H603))&lt;profit_line*(1-1E-9)),"in line",IF(AND(ISNUMBER($N603),$N603&lt;significance_bar),IF($M603&lt;0,"worse","better"),IF($M603&lt;0,"worse, not significant","better, not significant")))))</f>
        <v/>
      </c>
      <c r="Y603">
        <f>IF($V603,$X603,$W603)</f>
        <v/>
      </c>
      <c r="Z603">
        <f>IF($V603,IF($P603="","",$P603),IF($O603="","",$O603))</f>
        <v/>
      </c>
      <c r="AA603">
        <f>IF(OR($Q603="",$Z603=""),"",IF(AND($Z603&gt;0,$Z603&gt;=$Q603),"yes","below the line"))</f>
        <v/>
      </c>
      <c r="AB603">
        <f>IF($V603,IF($M603="","",$M603),IF($K603="","",$K603))</f>
        <v/>
      </c>
      <c r="AC603">
        <f>IF($V603,IF($N603="","",$N603),IF($L603="","",$L603))</f>
        <v/>
      </c>
      <c r="AD603">
        <f>IF($Y603="","",IF($Y603="in line",IF(profit_kind="test",IF(ROUND($AB603*100,2)=0,"0.00",TEXT($AB603*100,"+0.00;-0.00"))&amp;" points against "&amp;IF($V603,"its band","the book")&amp;", "&amp;IF($AC603="","not tested","not significant"),IF(profit_kind="points","within "&amp;TEXT(profit_line*100,"0.00")&amp;" points of "&amp;IF($V603,"its band","the book")&amp;" ("&amp;IF(ROUND($AB603*100,2)=0,"0.00",TEXT($AB603*100,"+0.00;-0.00"))&amp;")","within $"&amp;TEXT(profit_line,"#,##0")&amp;" of "&amp;IF($V603,"its band","the book")&amp;" ("&amp;IF(ROUND($AB603*100,2)=0,"0.00",TEXT($AB603*100,"+0.00;-0.00"))&amp;" points)")),IF(LEFT($Y603,5)="worse","short of ","ahead of ")&amp;IF($V603,"its band","the book")&amp;" by "&amp;TEXT(ABS($AB603)*100,"0.00")&amp;" points"&amp;IF($Z603="",""," ($"&amp;TEXT(ABS($Z603),"#,##0")&amp;")")&amp;IF(RIGHT($Y603,15)="not significant"," (not significant)","")))</f>
        <v/>
      </c>
      <c r="AE603">
        <f>IF($V603,IF($S603="","",$S603),IF($R603="","",$R603))</f>
        <v/>
      </c>
      <c r="AF603">
        <f>IF($V603,IF($U603="","",$U603),IF($T603="","",$T603))</f>
        <v/>
      </c>
      <c r="AG603">
        <f>IF($V603,IF($O603="","",$O603),IF($P603="","",$P603))</f>
        <v/>
      </c>
      <c r="AH603" t="n">
        <v>0.140296941334961</v>
      </c>
      <c r="AI603">
        <f>IF($Y603="worse","Yes",IF($Y603="worse, not significant","Not sure",IF(OR($Y603="too few losses to test",$Y603="too few loans to test"),"Too few losses",IF($Y603="","","No"))))</f>
        <v/>
      </c>
      <c r="AJ603">
        <f>IF($AA603="yes","Yes",IF($AA603="","","No"))</f>
        <v/>
      </c>
    </row>
    <row r="604">
      <c r="A604" t="inlineStr">
        <is>
          <t>three-way</t>
        </is>
      </c>
      <c r="B604" t="inlineStr">
        <is>
          <t>FICO x ASSET_CLASS / SYS_FLAG</t>
        </is>
      </c>
      <c r="C604" t="inlineStr">
        <is>
          <t>712 - 745</t>
        </is>
      </c>
      <c r="D604" t="inlineStr">
        <is>
          <t>1 / SYS_FLAG N</t>
        </is>
      </c>
      <c r="E604" t="inlineStr">
        <is>
          <t>outcome_loans</t>
        </is>
      </c>
      <c r="F604" t="inlineStr">
        <is>
          <t>Outcome, share of loans</t>
        </is>
      </c>
      <c r="G604" t="n">
        <v>194</v>
      </c>
      <c r="H604" t="n">
        <v>194</v>
      </c>
      <c r="I604" t="b">
        <v>1</v>
      </c>
      <c r="J604" t="b">
        <v>0</v>
      </c>
      <c r="K604" t="n">
        <v>0.3276218140300211</v>
      </c>
      <c r="M604" t="n">
        <v>0.4453733970329394</v>
      </c>
      <c r="O604" t="n">
        <v>-10.26149903907752</v>
      </c>
      <c r="P604" t="n">
        <v>-6.226534932956952</v>
      </c>
      <c r="Q604">
        <f>'_live'!$C$20</f>
        <v/>
      </c>
      <c r="T604" t="n">
        <v>0.07866752081998719</v>
      </c>
      <c r="U604" t="n">
        <v>0.05786873676781934</v>
      </c>
      <c r="V604">
        <f>AND(judged_band,NOT($J604))</f>
        <v/>
      </c>
      <c r="W604">
        <f>IF($K604="","",IF($I604,"too few losses to test",IF(AND($K604&gt;better_at,$K604&lt;worse_at),"in line",IF($K604&gt;=worse_at,IF(AND(ISNUMBER($L604),$L604&lt;significance_bar),"worse","worse, not significant"),IF(AND(ISNUMBER($L604),$L604&lt;significance_bar),"better","better, not significant")))))</f>
        <v/>
      </c>
      <c r="X604">
        <f>IF($M604="","",IF($I604,"too few losses to test",IF(AND($M604&gt;better_at,$M604&lt;worse_at),"in line",IF($M604&gt;=worse_at,IF(AND(ISNUMBER($N604),$N604&lt;significance_bar),"worse","worse, not significant"),IF(AND(ISNUMBER($N604),$N604&lt;significance_bar),"better","better, not significant")))))</f>
        <v/>
      </c>
      <c r="Y604">
        <f>IF($V604,$X604,$W604)</f>
        <v/>
      </c>
      <c r="Z604">
        <f>IF($V604,IF($P604="","",$P604),IF($O604="","",$O604))</f>
        <v/>
      </c>
      <c r="AA604">
        <f>IF(OR($Q604="",$Z604=""),"",IF(AND($Z604&gt;0,$Z604&gt;=$Q604),"yes","below the line"))</f>
        <v/>
      </c>
      <c r="AB604">
        <f>IF($V604,IF($M604="","",$M604),IF($K604="","",$K604))</f>
        <v/>
      </c>
      <c r="AC604">
        <f>IF($V604,IF($N604="","",$N604),IF($L604="","",$L604))</f>
        <v/>
      </c>
      <c r="AD604">
        <f>$Y604</f>
        <v/>
      </c>
      <c r="AE604">
        <f>IF($V604,IF($S604="","",$S604),IF($R604="","",$R604))</f>
        <v/>
      </c>
      <c r="AF604">
        <f>IF($V604,IF($U604="","",$U604),IF($T604="","",$T604))</f>
        <v/>
      </c>
      <c r="AG604">
        <f>IF($V604,IF($O604="","",$O604),IF($P604="","",$P604))</f>
        <v/>
      </c>
      <c r="AH604" t="n">
        <v>0.02577319587628866</v>
      </c>
      <c r="AI604">
        <f>IF($Y604="worse","Yes",IF($Y604="worse, not significant","Not sure",IF(OR($Y604="too few losses to test",$Y604="too few loans to test"),"Too few losses",IF($Y604="","","No"))))</f>
        <v/>
      </c>
      <c r="AJ604">
        <f>IF($AA604="yes","Yes",IF($AA604="","","No"))</f>
        <v/>
      </c>
    </row>
    <row r="605">
      <c r="A605" t="inlineStr">
        <is>
          <t>three-way</t>
        </is>
      </c>
      <c r="B605" t="inlineStr">
        <is>
          <t>FICO x ASSET_CLASS / SYS_FLAG</t>
        </is>
      </c>
      <c r="C605" t="inlineStr">
        <is>
          <t>712 - 745</t>
        </is>
      </c>
      <c r="D605" t="inlineStr">
        <is>
          <t>1 / SYS_FLAG N</t>
        </is>
      </c>
      <c r="E605" t="inlineStr">
        <is>
          <t>outcome_booked</t>
        </is>
      </c>
      <c r="F605" t="inlineStr">
        <is>
          <t>Outcome, share of booked dollars</t>
        </is>
      </c>
      <c r="G605" t="n">
        <v>194</v>
      </c>
      <c r="H605" t="n">
        <v>6149269.000000003</v>
      </c>
      <c r="I605" t="b">
        <v>1</v>
      </c>
      <c r="J605" t="b">
        <v>0</v>
      </c>
      <c r="K605" t="n">
        <v>0.3702101406131737</v>
      </c>
      <c r="M605" t="n">
        <v>0.4838456502740326</v>
      </c>
      <c r="O605" t="n">
        <v>-294209.0254435448</v>
      </c>
      <c r="P605" t="n">
        <v>-184493.6355248571</v>
      </c>
      <c r="Q605">
        <f>'_live'!$C$21</f>
        <v/>
      </c>
      <c r="T605" t="n">
        <v>0.07596907460765574</v>
      </c>
      <c r="U605" t="n">
        <v>0.05812705307327699</v>
      </c>
      <c r="V605">
        <f>AND(judged_band,NOT($J605))</f>
        <v/>
      </c>
      <c r="W605">
        <f>IF($K605="","",IF($I605,"too few losses to test",IF(AND($K605&gt;better_at,$K605&lt;worse_at),"in line",IF($K605&gt;=worse_at,IF(AND(ISNUMBER($L605),$L605&lt;significance_bar),"worse","worse, not significant"),IF(AND(ISNUMBER($L605),$L605&lt;significance_bar),"better","better, not significant")))))</f>
        <v/>
      </c>
      <c r="X605">
        <f>IF($M605="","",IF($I605,"too few losses to test",IF(AND($M605&gt;better_at,$M605&lt;worse_at),"in line",IF($M605&gt;=worse_at,IF(AND(ISNUMBER($N605),$N605&lt;significance_bar),"worse","worse, not significant"),IF(AND(ISNUMBER($N605),$N605&lt;significance_bar),"better","better, not significant")))))</f>
        <v/>
      </c>
      <c r="Y605">
        <f>IF($V605,$X605,$W605)</f>
        <v/>
      </c>
      <c r="Z605">
        <f>IF($V605,IF($P605="","",$P605),IF($O605="","",$O605))</f>
        <v/>
      </c>
      <c r="AA605">
        <f>IF(OR($Q605="",$Z605=""),"",IF(AND($Z605&gt;0,$Z605&gt;=$Q605),"yes","below the line"))</f>
        <v/>
      </c>
      <c r="AB605">
        <f>IF($V605,IF($M605="","",$M605),IF($K605="","",$K605))</f>
        <v/>
      </c>
      <c r="AC605">
        <f>IF($V605,IF($N605="","",$N605),IF($L605="","",$L605))</f>
        <v/>
      </c>
      <c r="AD605">
        <f>$Y605</f>
        <v/>
      </c>
      <c r="AE605">
        <f>IF($V605,IF($S605="","",$S605),IF($R605="","",$R605))</f>
        <v/>
      </c>
      <c r="AF605">
        <f>IF($V605,IF($U605="","",$U605),IF($T605="","",$T605))</f>
        <v/>
      </c>
      <c r="AG605">
        <f>IF($V605,IF($O605="","",$O605),IF($P605="","",$P605))</f>
        <v/>
      </c>
      <c r="AH605" t="n">
        <v>0.02812452179275291</v>
      </c>
      <c r="AI605">
        <f>IF($Y605="worse","Yes",IF($Y605="worse, not significant","Not sure",IF(OR($Y605="too few losses to test",$Y605="too few loans to test"),"Too few losses",IF($Y605="","","No"))))</f>
        <v/>
      </c>
      <c r="AJ605">
        <f>IF($AA605="yes","Yes",IF($AA605="","","No"))</f>
        <v/>
      </c>
    </row>
    <row r="606">
      <c r="A606" t="inlineStr">
        <is>
          <t>three-way</t>
        </is>
      </c>
      <c r="B606" t="inlineStr">
        <is>
          <t>FICO x ASSET_CLASS / SYS_FLAG</t>
        </is>
      </c>
      <c r="C606" t="inlineStr">
        <is>
          <t>712 - 745</t>
        </is>
      </c>
      <c r="D606" t="inlineStr">
        <is>
          <t>1 / SYS_FLAG N</t>
        </is>
      </c>
      <c r="E606" t="inlineStr">
        <is>
          <t>gco_rate</t>
        </is>
      </c>
      <c r="F606" t="inlineStr">
        <is>
          <t>GCO per booked dollar</t>
        </is>
      </c>
      <c r="G606" t="n">
        <v>193</v>
      </c>
      <c r="H606" t="n">
        <v>6109584.570000003</v>
      </c>
      <c r="I606" t="b">
        <v>1</v>
      </c>
      <c r="J606" t="b">
        <v>0</v>
      </c>
      <c r="K606" t="n">
        <v>0.4486521887106001</v>
      </c>
      <c r="M606" t="n">
        <v>0.5946367477153606</v>
      </c>
      <c r="O606" t="n">
        <v>-142001.3846441874</v>
      </c>
      <c r="P606" t="n">
        <v>-78771.54184518321</v>
      </c>
      <c r="Q606">
        <f>'_live'!$C$22</f>
        <v/>
      </c>
      <c r="T606" t="n">
        <v>0.04215559694661649</v>
      </c>
      <c r="U606" t="n">
        <v>0.03180631017031377</v>
      </c>
      <c r="V606">
        <f>AND(judged_band,NOT($J606))</f>
        <v/>
      </c>
      <c r="W606">
        <f>IF($K606="","",IF($I606,"too few losses to test",IF(AND($K606&gt;better_at,$K606&lt;worse_at),"in line",IF($K606&gt;=worse_at,IF(AND(ISNUMBER($L606),$L606&lt;significance_bar),"worse","worse, not significant"),IF(AND(ISNUMBER($L606),$L606&lt;significance_bar),"better","better, not significant")))))</f>
        <v/>
      </c>
      <c r="X606">
        <f>IF($M606="","",IF($I606,"too few losses to test",IF(AND($M606&gt;better_at,$M606&lt;worse_at),"in line",IF($M606&gt;=worse_at,IF(AND(ISNUMBER($N606),$N606&lt;significance_bar),"worse","worse, not significant"),IF(AND(ISNUMBER($N606),$N606&lt;significance_bar),"better","better, not significant")))))</f>
        <v/>
      </c>
      <c r="Y606">
        <f>IF($V606,$X606,$W606)</f>
        <v/>
      </c>
      <c r="Z606">
        <f>IF($V606,IF($P606="","",$P606),IF($O606="","",$O606))</f>
        <v/>
      </c>
      <c r="AA606">
        <f>IF(OR($Q606="",$Z606=""),"",IF(AND($Z606&gt;0,$Z606&gt;=$Q606),"yes","below the line"))</f>
        <v/>
      </c>
      <c r="AB606">
        <f>IF($V606,IF($M606="","",$M606),IF($K606="","",$K606))</f>
        <v/>
      </c>
      <c r="AC606">
        <f>IF($V606,IF($N606="","",$N606),IF($L606="","",$L606))</f>
        <v/>
      </c>
      <c r="AD606">
        <f>$Y606</f>
        <v/>
      </c>
      <c r="AE606">
        <f>IF($V606,IF($S606="","",$S606),IF($R606="","",$R606))</f>
        <v/>
      </c>
      <c r="AF606">
        <f>IF($V606,IF($U606="","",$U606),IF($T606="","",$T606))</f>
        <v/>
      </c>
      <c r="AG606">
        <f>IF($V606,IF($O606="","",$O606),IF($P606="","",$P606))</f>
        <v/>
      </c>
      <c r="AH606" t="n">
        <v>0.01891320083650138</v>
      </c>
      <c r="AI606">
        <f>IF($Y606="worse","Yes",IF($Y606="worse, not significant","Not sure",IF(OR($Y606="too few losses to test",$Y606="too few loans to test"),"Too few losses",IF($Y606="","","No"))))</f>
        <v/>
      </c>
      <c r="AJ606">
        <f>IF($AA606="yes","Yes",IF($AA606="","","No"))</f>
        <v/>
      </c>
    </row>
    <row r="607">
      <c r="A607" t="inlineStr">
        <is>
          <t>three-way</t>
        </is>
      </c>
      <c r="B607" t="inlineStr">
        <is>
          <t>FICO x ASSET_CLASS / SYS_FLAG</t>
        </is>
      </c>
      <c r="C607" t="inlineStr">
        <is>
          <t>712 - 745</t>
        </is>
      </c>
      <c r="D607" t="inlineStr">
        <is>
          <t>1 / SYS_FLAG N</t>
        </is>
      </c>
      <c r="E607" t="inlineStr">
        <is>
          <t>ranr_rate</t>
        </is>
      </c>
      <c r="F607" t="inlineStr">
        <is>
          <t>Profit after losses: RANR per booked dollar</t>
        </is>
      </c>
      <c r="G607" t="n">
        <v>194</v>
      </c>
      <c r="H607" t="n">
        <v>6149269.000000003</v>
      </c>
      <c r="I607" t="b">
        <v>0</v>
      </c>
      <c r="J607" t="b">
        <v>0</v>
      </c>
      <c r="K607" t="n">
        <v>-0.01794504425116268</v>
      </c>
      <c r="L607" t="n">
        <v>0.3361360833613609</v>
      </c>
      <c r="M607" t="n">
        <v>0.01648686860783766</v>
      </c>
      <c r="N607" t="n">
        <v>0.5190338109046239</v>
      </c>
      <c r="O607" t="n">
        <v>110348.904317303</v>
      </c>
      <c r="P607" t="n">
        <v>-101382.1900372492</v>
      </c>
      <c r="Q607">
        <f>'_live'!$C$23</f>
        <v/>
      </c>
      <c r="R607" t="inlineStr">
        <is>
          <t>shuffled: 2,263 of 10,000</t>
        </is>
      </c>
      <c r="S607" t="inlineStr">
        <is>
          <t>shuffled: 1,893 of 10,000</t>
        </is>
      </c>
      <c r="T607" t="n">
        <v>0.1284176451407969</v>
      </c>
      <c r="U607" t="n">
        <v>0.09398573228179653</v>
      </c>
      <c r="V607">
        <f>AND(judged_band,NOT($J607))</f>
        <v/>
      </c>
      <c r="W607">
        <f>IF($K607="","",IF(profit_kind="test",IF(OR(NOT(AND(ISNUMBER($L607),$L607&lt;significance_bar)),$K607=0),"in line",IF($K607&lt;0,"worse","better")),IF(OR($K607=0,IF(profit_kind="points",ABS($K607),ABS($K607*$H607))&lt;profit_line*(1-1E-9)),"in line",IF(AND(ISNUMBER($L607),$L607&lt;significance_bar),IF($K607&lt;0,"worse","better"),IF($K607&lt;0,"worse, not significant","better, not significant")))))</f>
        <v/>
      </c>
      <c r="X607">
        <f>IF($M607="","",IF(profit_kind="test",IF(OR(NOT(AND(ISNUMBER($N607),$N607&lt;significance_bar)),$M607=0),"in line",IF($M607&lt;0,"worse","better")),IF(OR($M607=0,IF(profit_kind="points",ABS($M607),ABS($M607*$H607))&lt;profit_line*(1-1E-9)),"in line",IF(AND(ISNUMBER($N607),$N607&lt;significance_bar),IF($M607&lt;0,"worse","better"),IF($M607&lt;0,"worse, not significant","better, not significant")))))</f>
        <v/>
      </c>
      <c r="Y607">
        <f>IF($V607,$X607,$W607)</f>
        <v/>
      </c>
      <c r="Z607">
        <f>IF($V607,IF($P607="","",$P607),IF($O607="","",$O607))</f>
        <v/>
      </c>
      <c r="AA607">
        <f>IF(OR($Q607="",$Z607=""),"",IF(AND($Z607&gt;0,$Z607&gt;=$Q607),"yes","below the line"))</f>
        <v/>
      </c>
      <c r="AB607">
        <f>IF($V607,IF($M607="","",$M607),IF($K607="","",$K607))</f>
        <v/>
      </c>
      <c r="AC607">
        <f>IF($V607,IF($N607="","",$N607),IF($L607="","",$L607))</f>
        <v/>
      </c>
      <c r="AD607">
        <f>IF($Y607="","",IF($Y607="in line",IF(profit_kind="test",IF(ROUND($AB607*100,2)=0,"0.00",TEXT($AB607*100,"+0.00;-0.00"))&amp;" points against "&amp;IF($V607,"its band","the book")&amp;", "&amp;IF($AC607="","not tested","not significant"),IF(profit_kind="points","within "&amp;TEXT(profit_line*100,"0.00")&amp;" points of "&amp;IF($V607,"its band","the book")&amp;" ("&amp;IF(ROUND($AB607*100,2)=0,"0.00",TEXT($AB607*100,"+0.00;-0.00"))&amp;")","within $"&amp;TEXT(profit_line,"#,##0")&amp;" of "&amp;IF($V607,"its band","the book")&amp;" ("&amp;IF(ROUND($AB607*100,2)=0,"0.00",TEXT($AB607*100,"+0.00;-0.00"))&amp;" points)")),IF(LEFT($Y607,5)="worse","short of ","ahead of ")&amp;IF($V607,"its band","the book")&amp;" by "&amp;TEXT(ABS($AB607)*100,"0.00")&amp;" points"&amp;IF($Z607="",""," ($"&amp;TEXT(ABS($Z607),"#,##0")&amp;")")&amp;IF(RIGHT($Y607,15)="not significant"," (not significant)","")))</f>
        <v/>
      </c>
      <c r="AE607">
        <f>IF($V607,IF($S607="","",$S607),IF($R607="","",$R607))</f>
        <v/>
      </c>
      <c r="AF607">
        <f>IF($V607,IF($U607="","",$U607),IF($T607="","",$T607))</f>
        <v/>
      </c>
      <c r="AG607">
        <f>IF($V607,IF($O607="","",$O607),IF($P607="","",$P607))</f>
        <v/>
      </c>
      <c r="AH607" t="n">
        <v>0.1104726008896342</v>
      </c>
      <c r="AI607">
        <f>IF($Y607="worse","Yes",IF($Y607="worse, not significant","Not sure",IF(OR($Y607="too few losses to test",$Y607="too few loans to test"),"Too few losses",IF($Y607="","","No"))))</f>
        <v/>
      </c>
      <c r="AJ607">
        <f>IF($AA607="yes","Yes",IF($AA607="","","No"))</f>
        <v/>
      </c>
    </row>
    <row r="608">
      <c r="A608" t="inlineStr">
        <is>
          <t>three-way</t>
        </is>
      </c>
      <c r="B608" t="inlineStr">
        <is>
          <t>FICO x ASSET_CLASS / SYS_FLAG</t>
        </is>
      </c>
      <c r="C608" t="inlineStr">
        <is>
          <t>712 - 745</t>
        </is>
      </c>
      <c r="D608" t="inlineStr">
        <is>
          <t>1 / SYS_FLAG N</t>
        </is>
      </c>
      <c r="E608" t="inlineStr">
        <is>
          <t>contribution_rate</t>
        </is>
      </c>
      <c r="F608" t="inlineStr">
        <is>
          <t>Contribution before losses per booked dollar</t>
        </is>
      </c>
      <c r="G608" t="n">
        <v>193</v>
      </c>
      <c r="H608" t="n">
        <v>6109584.570000003</v>
      </c>
      <c r="I608" t="b">
        <v>0</v>
      </c>
      <c r="J608" t="b">
        <v>0</v>
      </c>
      <c r="K608" t="n">
        <v>-0.0414219796800577</v>
      </c>
      <c r="L608" t="n">
        <v>0.0001814633351479667</v>
      </c>
      <c r="M608" t="n">
        <v>0.003359219955245157</v>
      </c>
      <c r="N608" t="n">
        <v>0.9799190293736585</v>
      </c>
      <c r="O608" t="n">
        <v>253071.0879121342</v>
      </c>
      <c r="P608" t="n">
        <v>-20523.43840580189</v>
      </c>
      <c r="Q608">
        <f>'_live'!$C$24</f>
        <v/>
      </c>
      <c r="R608" t="inlineStr">
        <is>
          <t>shuffled: 0 of 10,000</t>
        </is>
      </c>
      <c r="S608" t="inlineStr">
        <is>
          <t>shuffled: 5,870 of 10,000</t>
        </is>
      </c>
      <c r="T608" t="n">
        <v>0.1705732420874132</v>
      </c>
      <c r="U608" t="n">
        <v>0.1257920424521103</v>
      </c>
      <c r="V608">
        <f>AND(judged_band,NOT($J608))</f>
        <v/>
      </c>
      <c r="W608">
        <f>IF($K608="","",IF(profit_kind="test",IF(OR(NOT(AND(ISNUMBER($L608),$L608&lt;significance_bar)),$K608=0),"in line",IF($K608&lt;0,"worse","better")),IF(OR($K608=0,IF(profit_kind="points",ABS($K608),ABS($K608*$H608))&lt;profit_line*(1-1E-9)),"in line",IF(AND(ISNUMBER($L608),$L608&lt;significance_bar),IF($K608&lt;0,"worse","better"),IF($K608&lt;0,"worse, not significant","better, not significant")))))</f>
        <v/>
      </c>
      <c r="X608">
        <f>IF($M608="","",IF(profit_kind="test",IF(OR(NOT(AND(ISNUMBER($N608),$N608&lt;significance_bar)),$M608=0),"in line",IF($M608&lt;0,"worse","better")),IF(OR($M608=0,IF(profit_kind="points",ABS($M608),ABS($M608*$H608))&lt;profit_line*(1-1E-9)),"in line",IF(AND(ISNUMBER($N608),$N608&lt;significance_bar),IF($M608&lt;0,"worse","better"),IF($M608&lt;0,"worse, not significant","better, not significant")))))</f>
        <v/>
      </c>
      <c r="Y608">
        <f>IF($V608,$X608,$W608)</f>
        <v/>
      </c>
      <c r="Z608">
        <f>IF($V608,IF($P608="","",$P608),IF($O608="","",$O608))</f>
        <v/>
      </c>
      <c r="AA608">
        <f>IF(OR($Q608="",$Z608=""),"",IF(AND($Z608&gt;0,$Z608&gt;=$Q608),"yes","below the line"))</f>
        <v/>
      </c>
      <c r="AB608">
        <f>IF($V608,IF($M608="","",$M608),IF($K608="","",$K608))</f>
        <v/>
      </c>
      <c r="AC608">
        <f>IF($V608,IF($N608="","",$N608),IF($L608="","",$L608))</f>
        <v/>
      </c>
      <c r="AD608">
        <f>IF($Y608="","",IF($Y608="in line",IF(profit_kind="test",IF(ROUND($AB608*100,2)=0,"0.00",TEXT($AB608*100,"+0.00;-0.00"))&amp;" points against "&amp;IF($V608,"its band","the book")&amp;", "&amp;IF($AC608="","not tested","not significant"),IF(profit_kind="points","within "&amp;TEXT(profit_line*100,"0.00")&amp;" points of "&amp;IF($V608,"its band","the book")&amp;" ("&amp;IF(ROUND($AB608*100,2)=0,"0.00",TEXT($AB608*100,"+0.00;-0.00"))&amp;")","within $"&amp;TEXT(profit_line,"#,##0")&amp;" of "&amp;IF($V608,"its band","the book")&amp;" ("&amp;IF(ROUND($AB608*100,2)=0,"0.00",TEXT($AB608*100,"+0.00;-0.00"))&amp;" points)")),IF(LEFT($Y608,5)="worse","short of ","ahead of ")&amp;IF($V608,"its band","the book")&amp;" by "&amp;TEXT(ABS($AB608)*100,"0.00")&amp;" points"&amp;IF($Z608="",""," ($"&amp;TEXT(ABS($Z608),"#,##0")&amp;")")&amp;IF(RIGHT($Y608,15)="not significant"," (not significant)","")))</f>
        <v/>
      </c>
      <c r="AE608">
        <f>IF($V608,IF($S608="","",$S608),IF($R608="","",$R608))</f>
        <v/>
      </c>
      <c r="AF608">
        <f>IF($V608,IF($U608="","",$U608),IF($T608="","",$T608))</f>
        <v/>
      </c>
      <c r="AG608">
        <f>IF($V608,IF($O608="","",$O608),IF($P608="","",$P608))</f>
        <v/>
      </c>
      <c r="AH608" t="n">
        <v>0.1291512624073555</v>
      </c>
      <c r="AI608">
        <f>IF($Y608="worse","Yes",IF($Y608="worse, not significant","Not sure",IF(OR($Y608="too few losses to test",$Y608="too few loans to test"),"Too few losses",IF($Y608="","","No"))))</f>
        <v/>
      </c>
      <c r="AJ608">
        <f>IF($AA608="yes","Yes",IF($AA608="","","No"))</f>
        <v/>
      </c>
    </row>
    <row r="609">
      <c r="A609" t="inlineStr">
        <is>
          <t>three-way</t>
        </is>
      </c>
      <c r="B609" t="inlineStr">
        <is>
          <t>FICO x ASSET_CLASS / SYS_FLAG</t>
        </is>
      </c>
      <c r="C609" t="inlineStr">
        <is>
          <t>712 - 745</t>
        </is>
      </c>
      <c r="D609" t="inlineStr">
        <is>
          <t>2 / SYS_FLAG Y</t>
        </is>
      </c>
      <c r="E609" t="inlineStr">
        <is>
          <t>outcome_loans</t>
        </is>
      </c>
      <c r="F609" t="inlineStr">
        <is>
          <t>Outcome, share of loans</t>
        </is>
      </c>
      <c r="G609" t="n">
        <v>184</v>
      </c>
      <c r="H609" t="n">
        <v>184</v>
      </c>
      <c r="I609" t="b">
        <v>0</v>
      </c>
      <c r="J609" t="b">
        <v>0</v>
      </c>
      <c r="K609" t="n">
        <v>0.768422840389016</v>
      </c>
      <c r="L609" t="n">
        <v>0.563854801876237</v>
      </c>
      <c r="M609" t="n">
        <v>1.122497139588101</v>
      </c>
      <c r="N609" t="n">
        <v>0.7481717174350578</v>
      </c>
      <c r="O609" t="n">
        <v>-3.315035188739603</v>
      </c>
      <c r="P609" t="n">
        <v>1.20042046250876</v>
      </c>
      <c r="Q609">
        <f>'_live'!$C$20</f>
        <v/>
      </c>
      <c r="R609" t="inlineStr">
        <is>
          <t>z test</t>
        </is>
      </c>
      <c r="S609" t="inlineStr">
        <is>
          <t>z test</t>
        </is>
      </c>
      <c r="T609" t="n">
        <v>0.07779910428662828</v>
      </c>
      <c r="U609" t="n">
        <v>0.05325858444288718</v>
      </c>
      <c r="V609">
        <f>AND(judged_band,NOT($J609))</f>
        <v/>
      </c>
      <c r="W609">
        <f>IF($K609="","",IF($I609,"too few losses to test",IF(AND($K609&gt;better_at,$K609&lt;worse_at),"in line",IF($K609&gt;=worse_at,IF(AND(ISNUMBER($L609),$L609&lt;significance_bar),"worse","worse, not significant"),IF(AND(ISNUMBER($L609),$L609&lt;significance_bar),"better","better, not significant")))))</f>
        <v/>
      </c>
      <c r="X609">
        <f>IF($M609="","",IF($I609,"too few losses to test",IF(AND($M609&gt;better_at,$M609&lt;worse_at),"in line",IF($M609&gt;=worse_at,IF(AND(ISNUMBER($N609),$N609&lt;significance_bar),"worse","worse, not significant"),IF(AND(ISNUMBER($N609),$N609&lt;significance_bar),"better","better, not significant")))))</f>
        <v/>
      </c>
      <c r="Y609">
        <f>IF($V609,$X609,$W609)</f>
        <v/>
      </c>
      <c r="Z609">
        <f>IF($V609,IF($P609="","",$P609),IF($O609="","",$O609))</f>
        <v/>
      </c>
      <c r="AA609">
        <f>IF(OR($Q609="",$Z609=""),"",IF(AND($Z609&gt;0,$Z609&gt;=$Q609),"yes","below the line"))</f>
        <v/>
      </c>
      <c r="AB609">
        <f>IF($V609,IF($M609="","",$M609),IF($K609="","",$K609))</f>
        <v/>
      </c>
      <c r="AC609">
        <f>IF($V609,IF($N609="","",$N609),IF($L609="","",$L609))</f>
        <v/>
      </c>
      <c r="AD609">
        <f>$Y609</f>
        <v/>
      </c>
      <c r="AE609">
        <f>IF($V609,IF($S609="","",$S609),IF($R609="","",$R609))</f>
        <v/>
      </c>
      <c r="AF609">
        <f>IF($V609,IF($U609="","",$U609),IF($T609="","",$T609))</f>
        <v/>
      </c>
      <c r="AG609">
        <f>IF($V609,IF($O609="","",$O609),IF($P609="","",$P609))</f>
        <v/>
      </c>
      <c r="AH609" t="n">
        <v>0.05978260869565218</v>
      </c>
      <c r="AI609">
        <f>IF($Y609="worse","Yes",IF($Y609="worse, not significant","Not sure",IF(OR($Y609="too few losses to test",$Y609="too few loans to test"),"Too few losses",IF($Y609="","","No"))))</f>
        <v/>
      </c>
      <c r="AJ609">
        <f>IF($AA609="yes","Yes",IF($AA609="","","No"))</f>
        <v/>
      </c>
    </row>
    <row r="610">
      <c r="A610" t="inlineStr">
        <is>
          <t>three-way</t>
        </is>
      </c>
      <c r="B610" t="inlineStr">
        <is>
          <t>FICO x ASSET_CLASS / SYS_FLAG</t>
        </is>
      </c>
      <c r="C610" t="inlineStr">
        <is>
          <t>712 - 745</t>
        </is>
      </c>
      <c r="D610" t="inlineStr">
        <is>
          <t>2 / SYS_FLAG Y</t>
        </is>
      </c>
      <c r="E610" t="inlineStr">
        <is>
          <t>outcome_booked</t>
        </is>
      </c>
      <c r="F610" t="inlineStr">
        <is>
          <t>Outcome, share of booked dollars</t>
        </is>
      </c>
      <c r="G610" t="n">
        <v>183</v>
      </c>
      <c r="H610" t="n">
        <v>6479595.529999999</v>
      </c>
      <c r="I610" t="b">
        <v>0</v>
      </c>
      <c r="J610" t="b">
        <v>0</v>
      </c>
      <c r="K610" t="n">
        <v>0.7441573133038234</v>
      </c>
      <c r="L610" t="n">
        <v>0.5154326672595898</v>
      </c>
      <c r="M610" t="n">
        <v>1.032207080366033</v>
      </c>
      <c r="N610" t="n">
        <v>0.9947005299470053</v>
      </c>
      <c r="O610" t="n">
        <v>-124850.2069589594</v>
      </c>
      <c r="P610" t="n">
        <v>11330.9294865221</v>
      </c>
      <c r="Q610">
        <f>'_live'!$C$21</f>
        <v/>
      </c>
      <c r="R610" t="inlineStr">
        <is>
          <t>shuffled: 3,766 of 10,000</t>
        </is>
      </c>
      <c r="S610" t="inlineStr">
        <is>
          <t>shuffled: 9,313 of 10,000</t>
        </is>
      </c>
      <c r="T610" t="n">
        <v>0.07531272510754379</v>
      </c>
      <c r="U610" t="n">
        <v>0.05429580579290849</v>
      </c>
      <c r="V610">
        <f>AND(judged_band,NOT($J610))</f>
        <v/>
      </c>
      <c r="W610">
        <f>IF($K610="","",IF($I610,"too few losses to test",IF(AND($K610&gt;better_at,$K610&lt;worse_at),"in line",IF($K610&gt;=worse_at,IF(AND(ISNUMBER($L610),$L610&lt;significance_bar),"worse","worse, not significant"),IF(AND(ISNUMBER($L610),$L610&lt;significance_bar),"better","better, not significant")))))</f>
        <v/>
      </c>
      <c r="X610">
        <f>IF($M610="","",IF($I610,"too few losses to test",IF(AND($M610&gt;better_at,$M610&lt;worse_at),"in line",IF($M610&gt;=worse_at,IF(AND(ISNUMBER($N610),$N610&lt;significance_bar),"worse","worse, not significant"),IF(AND(ISNUMBER($N610),$N610&lt;significance_bar),"better","better, not significant")))))</f>
        <v/>
      </c>
      <c r="Y610">
        <f>IF($V610,$X610,$W610)</f>
        <v/>
      </c>
      <c r="Z610">
        <f>IF($V610,IF($P610="","",$P610),IF($O610="","",$O610))</f>
        <v/>
      </c>
      <c r="AA610">
        <f>IF(OR($Q610="",$Z610=""),"",IF(AND($Z610&gt;0,$Z610&gt;=$Q610),"yes","below the line"))</f>
        <v/>
      </c>
      <c r="AB610">
        <f>IF($V610,IF($M610="","",$M610),IF($K610="","",$K610))</f>
        <v/>
      </c>
      <c r="AC610">
        <f>IF($V610,IF($N610="","",$N610),IF($L610="","",$L610))</f>
        <v/>
      </c>
      <c r="AD610">
        <f>$Y610</f>
        <v/>
      </c>
      <c r="AE610">
        <f>IF($V610,IF($S610="","",$S610),IF($R610="","",$R610))</f>
        <v/>
      </c>
      <c r="AF610">
        <f>IF($V610,IF($U610="","",$U610),IF($T610="","",$T610))</f>
        <v/>
      </c>
      <c r="AG610">
        <f>IF($V610,IF($O610="","",$O610),IF($P610="","",$P610))</f>
        <v/>
      </c>
      <c r="AH610" t="n">
        <v>0.05604451517361919</v>
      </c>
      <c r="AI610">
        <f>IF($Y610="worse","Yes",IF($Y610="worse, not significant","Not sure",IF(OR($Y610="too few losses to test",$Y610="too few loans to test"),"Too few losses",IF($Y610="","","No"))))</f>
        <v/>
      </c>
      <c r="AJ610">
        <f>IF($AA610="yes","Yes",IF($AA610="","","No"))</f>
        <v/>
      </c>
    </row>
    <row r="611">
      <c r="A611" t="inlineStr">
        <is>
          <t>three-way</t>
        </is>
      </c>
      <c r="B611" t="inlineStr">
        <is>
          <t>FICO x ASSET_CLASS / SYS_FLAG</t>
        </is>
      </c>
      <c r="C611" t="inlineStr">
        <is>
          <t>712 - 745</t>
        </is>
      </c>
      <c r="D611" t="inlineStr">
        <is>
          <t>2 / SYS_FLAG Y</t>
        </is>
      </c>
      <c r="E611" t="inlineStr">
        <is>
          <t>gco_rate</t>
        </is>
      </c>
      <c r="F611" t="inlineStr">
        <is>
          <t>GCO per booked dollar</t>
        </is>
      </c>
      <c r="G611" t="n">
        <v>183</v>
      </c>
      <c r="H611" t="n">
        <v>6479595.529999999</v>
      </c>
      <c r="I611" t="b">
        <v>0</v>
      </c>
      <c r="J611" t="b">
        <v>0</v>
      </c>
      <c r="K611" t="n">
        <v>0.7023143356507326</v>
      </c>
      <c r="L611" t="n">
        <v>0.5079071040264393</v>
      </c>
      <c r="M611" t="n">
        <v>0.9689425849422297</v>
      </c>
      <c r="N611" t="n">
        <v>0.9754024597540246</v>
      </c>
      <c r="O611" t="n">
        <v>-80856.1128614223</v>
      </c>
      <c r="P611" t="n">
        <v>-6114.398414566444</v>
      </c>
      <c r="Q611">
        <f>'_live'!$C$22</f>
        <v/>
      </c>
      <c r="R611" t="inlineStr">
        <is>
          <t>shuffled: 3,203 of 10,000</t>
        </is>
      </c>
      <c r="S611" t="inlineStr">
        <is>
          <t>shuffled: 9,373 of 10,000</t>
        </is>
      </c>
      <c r="T611" t="n">
        <v>0.04191862618644382</v>
      </c>
      <c r="U611" t="n">
        <v>0.03038369100402267</v>
      </c>
      <c r="V611">
        <f>AND(judged_band,NOT($J611))</f>
        <v/>
      </c>
      <c r="W611">
        <f>IF($K611="","",IF($I611,"too few losses to test",IF(AND($K611&gt;better_at,$K611&lt;worse_at),"in line",IF($K611&gt;=worse_at,IF(AND(ISNUMBER($L611),$L611&lt;significance_bar),"worse","worse, not significant"),IF(AND(ISNUMBER($L611),$L611&lt;significance_bar),"better","better, not significant")))))</f>
        <v/>
      </c>
      <c r="X611">
        <f>IF($M611="","",IF($I611,"too few losses to test",IF(AND($M611&gt;better_at,$M611&lt;worse_at),"in line",IF($M611&gt;=worse_at,IF(AND(ISNUMBER($N611),$N611&lt;significance_bar),"worse","worse, not significant"),IF(AND(ISNUMBER($N611),$N611&lt;significance_bar),"better","better, not significant")))))</f>
        <v/>
      </c>
      <c r="Y611">
        <f>IF($V611,$X611,$W611)</f>
        <v/>
      </c>
      <c r="Z611">
        <f>IF($V611,IF($P611="","",$P611),IF($O611="","",$O611))</f>
        <v/>
      </c>
      <c r="AA611">
        <f>IF(OR($Q611="",$Z611=""),"",IF(AND($Z611&gt;0,$Z611&gt;=$Q611),"yes","below the line"))</f>
        <v/>
      </c>
      <c r="AB611">
        <f>IF($V611,IF($M611="","",$M611),IF($K611="","",$K611))</f>
        <v/>
      </c>
      <c r="AC611">
        <f>IF($V611,IF($N611="","",$N611),IF($L611="","",$L611))</f>
        <v/>
      </c>
      <c r="AD611">
        <f>$Y611</f>
        <v/>
      </c>
      <c r="AE611">
        <f>IF($V611,IF($S611="","",$S611),IF($R611="","",$R611))</f>
        <v/>
      </c>
      <c r="AF611">
        <f>IF($V611,IF($U611="","",$U611),IF($T611="","",$T611))</f>
        <v/>
      </c>
      <c r="AG611">
        <f>IF($V611,IF($O611="","",$O611),IF($P611="","",$P611))</f>
        <v/>
      </c>
      <c r="AH611" t="n">
        <v>0.02944005210152369</v>
      </c>
      <c r="AI611">
        <f>IF($Y611="worse","Yes",IF($Y611="worse, not significant","Not sure",IF(OR($Y611="too few losses to test",$Y611="too few loans to test"),"Too few losses",IF($Y611="","","No"))))</f>
        <v/>
      </c>
      <c r="AJ611">
        <f>IF($AA611="yes","Yes",IF($AA611="","","No"))</f>
        <v/>
      </c>
    </row>
    <row r="612">
      <c r="A612" t="inlineStr">
        <is>
          <t>three-way</t>
        </is>
      </c>
      <c r="B612" t="inlineStr">
        <is>
          <t>FICO x ASSET_CLASS / SYS_FLAG</t>
        </is>
      </c>
      <c r="C612" t="inlineStr">
        <is>
          <t>712 - 745</t>
        </is>
      </c>
      <c r="D612" t="inlineStr">
        <is>
          <t>2 / SYS_FLAG Y</t>
        </is>
      </c>
      <c r="E612" t="inlineStr">
        <is>
          <t>ranr_rate</t>
        </is>
      </c>
      <c r="F612" t="inlineStr">
        <is>
          <t>Profit after losses: RANR per booked dollar</t>
        </is>
      </c>
      <c r="G612" t="n">
        <v>183</v>
      </c>
      <c r="H612" t="n">
        <v>6479595.529999999</v>
      </c>
      <c r="I612" t="b">
        <v>0</v>
      </c>
      <c r="J612" t="b">
        <v>0</v>
      </c>
      <c r="K612" t="n">
        <v>-0.03117238859776413</v>
      </c>
      <c r="L612" t="n">
        <v>0.07214106175589338</v>
      </c>
      <c r="M612" t="n">
        <v>0.001867890210090081</v>
      </c>
      <c r="N612" t="n">
        <v>0.9703029697030296</v>
      </c>
      <c r="O612" t="n">
        <v>201984.4698174953</v>
      </c>
      <c r="P612" t="n">
        <v>-12103.17305583053</v>
      </c>
      <c r="Q612">
        <f>'_live'!$C$23</f>
        <v/>
      </c>
      <c r="R612" t="inlineStr">
        <is>
          <t>shuffled: 426 of 10,000</t>
        </is>
      </c>
      <c r="S612" t="inlineStr">
        <is>
          <t>shuffled: 8,854 of 10,000</t>
        </is>
      </c>
      <c r="T612" t="n">
        <v>0.1287727275497851</v>
      </c>
      <c r="U612" t="n">
        <v>0.09573244874193093</v>
      </c>
      <c r="V612">
        <f>AND(judged_band,NOT($J612))</f>
        <v/>
      </c>
      <c r="W612">
        <f>IF($K612="","",IF(profit_kind="test",IF(OR(NOT(AND(ISNUMBER($L612),$L612&lt;significance_bar)),$K612=0),"in line",IF($K612&lt;0,"worse","better")),IF(OR($K612=0,IF(profit_kind="points",ABS($K612),ABS($K612*$H612))&lt;profit_line*(1-1E-9)),"in line",IF(AND(ISNUMBER($L612),$L612&lt;significance_bar),IF($K612&lt;0,"worse","better"),IF($K612&lt;0,"worse, not significant","better, not significant")))))</f>
        <v/>
      </c>
      <c r="X612">
        <f>IF($M612="","",IF(profit_kind="test",IF(OR(NOT(AND(ISNUMBER($N612),$N612&lt;significance_bar)),$M612=0),"in line",IF($M612&lt;0,"worse","better")),IF(OR($M612=0,IF(profit_kind="points",ABS($M612),ABS($M612*$H612))&lt;profit_line*(1-1E-9)),"in line",IF(AND(ISNUMBER($N612),$N612&lt;significance_bar),IF($M612&lt;0,"worse","better"),IF($M612&lt;0,"worse, not significant","better, not significant")))))</f>
        <v/>
      </c>
      <c r="Y612">
        <f>IF($V612,$X612,$W612)</f>
        <v/>
      </c>
      <c r="Z612">
        <f>IF($V612,IF($P612="","",$P612),IF($O612="","",$O612))</f>
        <v/>
      </c>
      <c r="AA612">
        <f>IF(OR($Q612="",$Z612=""),"",IF(AND($Z612&gt;0,$Z612&gt;=$Q612),"yes","below the line"))</f>
        <v/>
      </c>
      <c r="AB612">
        <f>IF($V612,IF($M612="","",$M612),IF($K612="","",$K612))</f>
        <v/>
      </c>
      <c r="AC612">
        <f>IF($V612,IF($N612="","",$N612),IF($L612="","",$L612))</f>
        <v/>
      </c>
      <c r="AD612">
        <f>IF($Y612="","",IF($Y612="in line",IF(profit_kind="test",IF(ROUND($AB612*100,2)=0,"0.00",TEXT($AB612*100,"+0.00;-0.00"))&amp;" points against "&amp;IF($V612,"its band","the book")&amp;", "&amp;IF($AC612="","not tested","not significant"),IF(profit_kind="points","within "&amp;TEXT(profit_line*100,"0.00")&amp;" points of "&amp;IF($V612,"its band","the book")&amp;" ("&amp;IF(ROUND($AB612*100,2)=0,"0.00",TEXT($AB612*100,"+0.00;-0.00"))&amp;")","within $"&amp;TEXT(profit_line,"#,##0")&amp;" of "&amp;IF($V612,"its band","the book")&amp;" ("&amp;IF(ROUND($AB612*100,2)=0,"0.00",TEXT($AB612*100,"+0.00;-0.00"))&amp;" points)")),IF(LEFT($Y612,5)="worse","short of ","ahead of ")&amp;IF($V612,"its band","the book")&amp;" by "&amp;TEXT(ABS($AB612)*100,"0.00")&amp;" points"&amp;IF($Z612="",""," ($"&amp;TEXT(ABS($Z612),"#,##0")&amp;")")&amp;IF(RIGHT($Y612,15)="not significant"," (not significant)","")))</f>
        <v/>
      </c>
      <c r="AE612">
        <f>IF($V612,IF($S612="","",$S612),IF($R612="","",$R612))</f>
        <v/>
      </c>
      <c r="AF612">
        <f>IF($V612,IF($U612="","",$U612),IF($T612="","",$T612))</f>
        <v/>
      </c>
      <c r="AG612">
        <f>IF($V612,IF($O612="","",$O612),IF($P612="","",$P612))</f>
        <v/>
      </c>
      <c r="AH612" t="n">
        <v>0.09760033895202101</v>
      </c>
      <c r="AI612">
        <f>IF($Y612="worse","Yes",IF($Y612="worse, not significant","Not sure",IF(OR($Y612="too few losses to test",$Y612="too few loans to test"),"Too few losses",IF($Y612="","","No"))))</f>
        <v/>
      </c>
      <c r="AJ612">
        <f>IF($AA612="yes","Yes",IF($AA612="","","No"))</f>
        <v/>
      </c>
    </row>
    <row r="613">
      <c r="A613" t="inlineStr">
        <is>
          <t>three-way</t>
        </is>
      </c>
      <c r="B613" t="inlineStr">
        <is>
          <t>FICO x ASSET_CLASS / SYS_FLAG</t>
        </is>
      </c>
      <c r="C613" t="inlineStr">
        <is>
          <t>712 - 745</t>
        </is>
      </c>
      <c r="D613" t="inlineStr">
        <is>
          <t>2 / SYS_FLAG Y</t>
        </is>
      </c>
      <c r="E613" t="inlineStr">
        <is>
          <t>contribution_rate</t>
        </is>
      </c>
      <c r="F613" t="inlineStr">
        <is>
          <t>Contribution before losses per booked dollar</t>
        </is>
      </c>
      <c r="G613" t="n">
        <v>183</v>
      </c>
      <c r="H613" t="n">
        <v>6479595.529999999</v>
      </c>
      <c r="I613" t="b">
        <v>0</v>
      </c>
      <c r="J613" t="b">
        <v>0</v>
      </c>
      <c r="K613" t="n">
        <v>-0.04364815326089716</v>
      </c>
      <c r="L613" t="n">
        <v>0.0001814633351479667</v>
      </c>
      <c r="M613" t="n">
        <v>0.0009695024256982376</v>
      </c>
      <c r="N613" t="n">
        <v>0.9799190293736585</v>
      </c>
      <c r="O613" t="n">
        <v>282822.3787620643</v>
      </c>
      <c r="P613" t="n">
        <v>-6281.983583878377</v>
      </c>
      <c r="Q613">
        <f>'_live'!$C$24</f>
        <v/>
      </c>
      <c r="R613" t="inlineStr">
        <is>
          <t>shuffled: 0 of 10,000</t>
        </is>
      </c>
      <c r="S613" t="inlineStr">
        <is>
          <t>shuffled: 8,745 of 10,000</t>
        </is>
      </c>
      <c r="T613" t="n">
        <v>0.1706885443144419</v>
      </c>
      <c r="U613" t="n">
        <v>0.1260708886278465</v>
      </c>
      <c r="V613">
        <f>AND(judged_band,NOT($J613))</f>
        <v/>
      </c>
      <c r="W613">
        <f>IF($K613="","",IF(profit_kind="test",IF(OR(NOT(AND(ISNUMBER($L613),$L613&lt;significance_bar)),$K613=0),"in line",IF($K613&lt;0,"worse","better")),IF(OR($K613=0,IF(profit_kind="points",ABS($K613),ABS($K613*$H613))&lt;profit_line*(1-1E-9)),"in line",IF(AND(ISNUMBER($L613),$L613&lt;significance_bar),IF($K613&lt;0,"worse","better"),IF($K613&lt;0,"worse, not significant","better, not significant")))))</f>
        <v/>
      </c>
      <c r="X613">
        <f>IF($M613="","",IF(profit_kind="test",IF(OR(NOT(AND(ISNUMBER($N613),$N613&lt;significance_bar)),$M613=0),"in line",IF($M613&lt;0,"worse","better")),IF(OR($M613=0,IF(profit_kind="points",ABS($M613),ABS($M613*$H613))&lt;profit_line*(1-1E-9)),"in line",IF(AND(ISNUMBER($N613),$N613&lt;significance_bar),IF($M613&lt;0,"worse","better"),IF($M613&lt;0,"worse, not significant","better, not significant")))))</f>
        <v/>
      </c>
      <c r="Y613">
        <f>IF($V613,$X613,$W613)</f>
        <v/>
      </c>
      <c r="Z613">
        <f>IF($V613,IF($P613="","",$P613),IF($O613="","",$O613))</f>
        <v/>
      </c>
      <c r="AA613">
        <f>IF(OR($Q613="",$Z613=""),"",IF(AND($Z613&gt;0,$Z613&gt;=$Q613),"yes","below the line"))</f>
        <v/>
      </c>
      <c r="AB613">
        <f>IF($V613,IF($M613="","",$M613),IF($K613="","",$K613))</f>
        <v/>
      </c>
      <c r="AC613">
        <f>IF($V613,IF($N613="","",$N613),IF($L613="","",$L613))</f>
        <v/>
      </c>
      <c r="AD613">
        <f>IF($Y613="","",IF($Y613="in line",IF(profit_kind="test",IF(ROUND($AB613*100,2)=0,"0.00",TEXT($AB613*100,"+0.00;-0.00"))&amp;" points against "&amp;IF($V613,"its band","the book")&amp;", "&amp;IF($AC613="","not tested","not significant"),IF(profit_kind="points","within "&amp;TEXT(profit_line*100,"0.00")&amp;" points of "&amp;IF($V613,"its band","the book")&amp;" ("&amp;IF(ROUND($AB613*100,2)=0,"0.00",TEXT($AB613*100,"+0.00;-0.00"))&amp;")","within $"&amp;TEXT(profit_line,"#,##0")&amp;" of "&amp;IF($V613,"its band","the book")&amp;" ("&amp;IF(ROUND($AB613*100,2)=0,"0.00",TEXT($AB613*100,"+0.00;-0.00"))&amp;" points)")),IF(LEFT($Y613,5)="worse","short of ","ahead of ")&amp;IF($V613,"its band","the book")&amp;" by "&amp;TEXT(ABS($AB613)*100,"0.00")&amp;" points"&amp;IF($Z613="",""," ($"&amp;TEXT(ABS($Z613),"#,##0")&amp;")")&amp;IF(RIGHT($Y613,15)="not significant"," (not significant)","")))</f>
        <v/>
      </c>
      <c r="AE613">
        <f>IF($V613,IF($S613="","",$S613),IF($R613="","",$R613))</f>
        <v/>
      </c>
      <c r="AF613">
        <f>IF($V613,IF($U613="","",$U613),IF($T613="","",$T613))</f>
        <v/>
      </c>
      <c r="AG613">
        <f>IF($V613,IF($O613="","",$O613),IF($P613="","",$P613))</f>
        <v/>
      </c>
      <c r="AH613" t="n">
        <v>0.1270403910535447</v>
      </c>
      <c r="AI613">
        <f>IF($Y613="worse","Yes",IF($Y613="worse, not significant","Not sure",IF(OR($Y613="too few losses to test",$Y613="too few loans to test"),"Too few losses",IF($Y613="","","No"))))</f>
        <v/>
      </c>
      <c r="AJ613">
        <f>IF($AA613="yes","Yes",IF($AA613="","","No"))</f>
        <v/>
      </c>
    </row>
    <row r="614">
      <c r="A614" t="inlineStr">
        <is>
          <t>three-way</t>
        </is>
      </c>
      <c r="B614" t="inlineStr">
        <is>
          <t>FICO x ASSET_CLASS / SYS_FLAG</t>
        </is>
      </c>
      <c r="C614" t="inlineStr">
        <is>
          <t>496 - 653</t>
        </is>
      </c>
      <c r="D614" t="inlineStr">
        <is>
          <t>2 / SYS_FLAG N</t>
        </is>
      </c>
      <c r="E614" t="inlineStr">
        <is>
          <t>outcome_loans</t>
        </is>
      </c>
      <c r="F614" t="inlineStr">
        <is>
          <t>Outcome, share of loans</t>
        </is>
      </c>
      <c r="G614" t="n">
        <v>212</v>
      </c>
      <c r="H614" t="n">
        <v>212</v>
      </c>
      <c r="I614" t="b">
        <v>0</v>
      </c>
      <c r="J614" t="b">
        <v>0</v>
      </c>
      <c r="K614" t="n">
        <v>1.289889253486464</v>
      </c>
      <c r="L614" t="n">
        <v>0.4296364810367654</v>
      </c>
      <c r="M614" t="n">
        <v>0.6245681636991762</v>
      </c>
      <c r="N614" t="n">
        <v>0.1242709320909982</v>
      </c>
      <c r="O614" t="n">
        <v>4.719532554257096</v>
      </c>
      <c r="P614" t="n">
        <v>-12.62323157110946</v>
      </c>
      <c r="Q614">
        <f>'_live'!$C$20</f>
        <v/>
      </c>
      <c r="R614" t="inlineStr">
        <is>
          <t>z test</t>
        </is>
      </c>
      <c r="S614" t="inlineStr">
        <is>
          <t>z test</t>
        </is>
      </c>
      <c r="T614" t="n">
        <v>0.07679465776293823</v>
      </c>
      <c r="U614" t="n">
        <v>0.1586001489203276</v>
      </c>
      <c r="V614">
        <f>AND(judged_band,NOT($J614))</f>
        <v/>
      </c>
      <c r="W614">
        <f>IF($K614="","",IF($I614,"too few losses to test",IF(AND($K614&gt;better_at,$K614&lt;worse_at),"in line",IF($K614&gt;=worse_at,IF(AND(ISNUMBER($L614),$L614&lt;significance_bar),"worse","worse, not significant"),IF(AND(ISNUMBER($L614),$L614&lt;significance_bar),"better","better, not significant")))))</f>
        <v/>
      </c>
      <c r="X614">
        <f>IF($M614="","",IF($I614,"too few losses to test",IF(AND($M614&gt;better_at,$M614&lt;worse_at),"in line",IF($M614&gt;=worse_at,IF(AND(ISNUMBER($N614),$N614&lt;significance_bar),"worse","worse, not significant"),IF(AND(ISNUMBER($N614),$N614&lt;significance_bar),"better","better, not significant")))))</f>
        <v/>
      </c>
      <c r="Y614">
        <f>IF($V614,$X614,$W614)</f>
        <v/>
      </c>
      <c r="Z614">
        <f>IF($V614,IF($P614="","",$P614),IF($O614="","",$O614))</f>
        <v/>
      </c>
      <c r="AA614">
        <f>IF(OR($Q614="",$Z614=""),"",IF(AND($Z614&gt;0,$Z614&gt;=$Q614),"yes","below the line"))</f>
        <v/>
      </c>
      <c r="AB614">
        <f>IF($V614,IF($M614="","",$M614),IF($K614="","",$K614))</f>
        <v/>
      </c>
      <c r="AC614">
        <f>IF($V614,IF($N614="","",$N614),IF($L614="","",$L614))</f>
        <v/>
      </c>
      <c r="AD614">
        <f>$Y614</f>
        <v/>
      </c>
      <c r="AE614">
        <f>IF($V614,IF($S614="","",$S614),IF($R614="","",$R614))</f>
        <v/>
      </c>
      <c r="AF614">
        <f>IF($V614,IF($U614="","",$U614),IF($T614="","",$T614))</f>
        <v/>
      </c>
      <c r="AG614">
        <f>IF($V614,IF($O614="","",$O614),IF($P614="","",$P614))</f>
        <v/>
      </c>
      <c r="AH614" t="n">
        <v>0.09905660377358491</v>
      </c>
      <c r="AI614">
        <f>IF($Y614="worse","Yes",IF($Y614="worse, not significant","Not sure",IF(OR($Y614="too few losses to test",$Y614="too few loans to test"),"Too few losses",IF($Y614="","","No"))))</f>
        <v/>
      </c>
      <c r="AJ614">
        <f>IF($AA614="yes","Yes",IF($AA614="","","No"))</f>
        <v/>
      </c>
    </row>
    <row r="615">
      <c r="A615" t="inlineStr">
        <is>
          <t>three-way</t>
        </is>
      </c>
      <c r="B615" t="inlineStr">
        <is>
          <t>FICO x ASSET_CLASS / SYS_FLAG</t>
        </is>
      </c>
      <c r="C615" t="inlineStr">
        <is>
          <t>496 - 653</t>
        </is>
      </c>
      <c r="D615" t="inlineStr">
        <is>
          <t>2 / SYS_FLAG N</t>
        </is>
      </c>
      <c r="E615" t="inlineStr">
        <is>
          <t>outcome_booked</t>
        </is>
      </c>
      <c r="F615" t="inlineStr">
        <is>
          <t>Outcome, share of booked dollars</t>
        </is>
      </c>
      <c r="G615" t="n">
        <v>212</v>
      </c>
      <c r="H615" t="n">
        <v>6925442.300000004</v>
      </c>
      <c r="I615" t="b">
        <v>0</v>
      </c>
      <c r="J615" t="b">
        <v>0</v>
      </c>
      <c r="K615" t="n">
        <v>1.344080666582647</v>
      </c>
      <c r="L615" t="n">
        <v>0.4337232943372329</v>
      </c>
      <c r="M615" t="n">
        <v>0.6347642707253288</v>
      </c>
      <c r="N615" t="n">
        <v>0.2149118421491184</v>
      </c>
      <c r="O615" t="n">
        <v>176678.896339464</v>
      </c>
      <c r="P615" t="n">
        <v>-397109.7255705191</v>
      </c>
      <c r="Q615">
        <f>'_live'!$C$21</f>
        <v/>
      </c>
      <c r="R615" t="inlineStr">
        <is>
          <t>shuffled: 2,001 of 10,000</t>
        </is>
      </c>
      <c r="S615" t="inlineStr">
        <is>
          <t>shuffled: 495 of 10,000</t>
        </is>
      </c>
      <c r="T615" t="n">
        <v>0.07414415013760717</v>
      </c>
      <c r="U615" t="n">
        <v>0.1569964210907538</v>
      </c>
      <c r="V615">
        <f>AND(judged_band,NOT($J615))</f>
        <v/>
      </c>
      <c r="W615">
        <f>IF($K615="","",IF($I615,"too few losses to test",IF(AND($K615&gt;better_at,$K615&lt;worse_at),"in line",IF($K615&gt;=worse_at,IF(AND(ISNUMBER($L615),$L615&lt;significance_bar),"worse","worse, not significant"),IF(AND(ISNUMBER($L615),$L615&lt;significance_bar),"better","better, not significant")))))</f>
        <v/>
      </c>
      <c r="X615">
        <f>IF($M615="","",IF($I615,"too few losses to test",IF(AND($M615&gt;better_at,$M615&lt;worse_at),"in line",IF($M615&gt;=worse_at,IF(AND(ISNUMBER($N615),$N615&lt;significance_bar),"worse","worse, not significant"),IF(AND(ISNUMBER($N615),$N615&lt;significance_bar),"better","better, not significant")))))</f>
        <v/>
      </c>
      <c r="Y615">
        <f>IF($V615,$X615,$W615)</f>
        <v/>
      </c>
      <c r="Z615">
        <f>IF($V615,IF($P615="","",$P615),IF($O615="","",$O615))</f>
        <v/>
      </c>
      <c r="AA615">
        <f>IF(OR($Q615="",$Z615=""),"",IF(AND($Z615&gt;0,$Z615&gt;=$Q615),"yes","below the line"))</f>
        <v/>
      </c>
      <c r="AB615">
        <f>IF($V615,IF($M615="","",$M615),IF($K615="","",$K615))</f>
        <v/>
      </c>
      <c r="AC615">
        <f>IF($V615,IF($N615="","",$N615),IF($L615="","",$L615))</f>
        <v/>
      </c>
      <c r="AD615">
        <f>$Y615</f>
        <v/>
      </c>
      <c r="AE615">
        <f>IF($V615,IF($S615="","",$S615),IF($R615="","",$R615))</f>
        <v/>
      </c>
      <c r="AF615">
        <f>IF($V615,IF($U615="","",$U615),IF($T615="","",$T615))</f>
        <v/>
      </c>
      <c r="AG615">
        <f>IF($V615,IF($O615="","",$O615),IF($P615="","",$P615))</f>
        <v/>
      </c>
      <c r="AH615" t="n">
        <v>0.09965571874015894</v>
      </c>
      <c r="AI615">
        <f>IF($Y615="worse","Yes",IF($Y615="worse, not significant","Not sure",IF(OR($Y615="too few losses to test",$Y615="too few loans to test"),"Too few losses",IF($Y615="","","No"))))</f>
        <v/>
      </c>
      <c r="AJ615">
        <f>IF($AA615="yes","Yes",IF($AA615="","","No"))</f>
        <v/>
      </c>
    </row>
    <row r="616">
      <c r="A616" t="inlineStr">
        <is>
          <t>three-way</t>
        </is>
      </c>
      <c r="B616" t="inlineStr">
        <is>
          <t>FICO x ASSET_CLASS / SYS_FLAG</t>
        </is>
      </c>
      <c r="C616" t="inlineStr">
        <is>
          <t>496 - 653</t>
        </is>
      </c>
      <c r="D616" t="inlineStr">
        <is>
          <t>2 / SYS_FLAG N</t>
        </is>
      </c>
      <c r="E616" t="inlineStr">
        <is>
          <t>gco_rate</t>
        </is>
      </c>
      <c r="F616" t="inlineStr">
        <is>
          <t>GCO per booked dollar</t>
        </is>
      </c>
      <c r="G616" t="n">
        <v>213</v>
      </c>
      <c r="H616" t="n">
        <v>6962430.310000005</v>
      </c>
      <c r="I616" t="b">
        <v>0</v>
      </c>
      <c r="J616" t="b">
        <v>0</v>
      </c>
      <c r="K616" t="n">
        <v>1.404438014965731</v>
      </c>
      <c r="L616" t="n">
        <v>0.3444655534446555</v>
      </c>
      <c r="M616" t="n">
        <v>0.6603482776194217</v>
      </c>
      <c r="N616" t="n">
        <v>0.3219963717913923</v>
      </c>
      <c r="O616" t="n">
        <v>115890.3674437038</v>
      </c>
      <c r="P616" t="n">
        <v>-206994.4579525643</v>
      </c>
      <c r="Q616">
        <f>'_live'!$C$22</f>
        <v/>
      </c>
      <c r="R616" t="inlineStr">
        <is>
          <t>shuffled: 1,424 of 10,000</t>
        </is>
      </c>
      <c r="S616" t="inlineStr">
        <is>
          <t>shuffled: 798 of 10,000</t>
        </is>
      </c>
      <c r="T616" t="n">
        <v>0.04115612793204331</v>
      </c>
      <c r="U616" t="n">
        <v>0.08753143239038953</v>
      </c>
      <c r="V616">
        <f>AND(judged_band,NOT($J616))</f>
        <v/>
      </c>
      <c r="W616">
        <f>IF($K616="","",IF($I616,"too few losses to test",IF(AND($K616&gt;better_at,$K616&lt;worse_at),"in line",IF($K616&gt;=worse_at,IF(AND(ISNUMBER($L616),$L616&lt;significance_bar),"worse","worse, not significant"),IF(AND(ISNUMBER($L616),$L616&lt;significance_bar),"better","better, not significant")))))</f>
        <v/>
      </c>
      <c r="X616">
        <f>IF($M616="","",IF($I616,"too few losses to test",IF(AND($M616&gt;better_at,$M616&lt;worse_at),"in line",IF($M616&gt;=worse_at,IF(AND(ISNUMBER($N616),$N616&lt;significance_bar),"worse","worse, not significant"),IF(AND(ISNUMBER($N616),$N616&lt;significance_bar),"better","better, not significant")))))</f>
        <v/>
      </c>
      <c r="Y616">
        <f>IF($V616,$X616,$W616)</f>
        <v/>
      </c>
      <c r="Z616">
        <f>IF($V616,IF($P616="","",$P616),IF($O616="","",$O616))</f>
        <v/>
      </c>
      <c r="AA616">
        <f>IF(OR($Q616="",$Z616=""),"",IF(AND($Z616&gt;0,$Z616&gt;=$Q616),"yes","below the line"))</f>
        <v/>
      </c>
      <c r="AB616">
        <f>IF($V616,IF($M616="","",$M616),IF($K616="","",$K616))</f>
        <v/>
      </c>
      <c r="AC616">
        <f>IF($V616,IF($N616="","",$N616),IF($L616="","",$L616))</f>
        <v/>
      </c>
      <c r="AD616">
        <f>$Y616</f>
        <v/>
      </c>
      <c r="AE616">
        <f>IF($V616,IF($S616="","",$S616),IF($R616="","",$R616))</f>
        <v/>
      </c>
      <c r="AF616">
        <f>IF($V616,IF($U616="","",$U616),IF($T616="","",$T616))</f>
        <v/>
      </c>
      <c r="AG616">
        <f>IF($V616,IF($O616="","",$O616),IF($P616="","",$P616))</f>
        <v/>
      </c>
      <c r="AH616" t="n">
        <v>0.05780123061655459</v>
      </c>
      <c r="AI616">
        <f>IF($Y616="worse","Yes",IF($Y616="worse, not significant","Not sure",IF(OR($Y616="too few losses to test",$Y616="too few loans to test"),"Too few losses",IF($Y616="","","No"))))</f>
        <v/>
      </c>
      <c r="AJ616">
        <f>IF($AA616="yes","Yes",IF($AA616="","","No"))</f>
        <v/>
      </c>
    </row>
    <row r="617">
      <c r="A617" t="inlineStr">
        <is>
          <t>three-way</t>
        </is>
      </c>
      <c r="B617" t="inlineStr">
        <is>
          <t>FICO x ASSET_CLASS / SYS_FLAG</t>
        </is>
      </c>
      <c r="C617" t="inlineStr">
        <is>
          <t>496 - 653</t>
        </is>
      </c>
      <c r="D617" t="inlineStr">
        <is>
          <t>2 / SYS_FLAG N</t>
        </is>
      </c>
      <c r="E617" t="inlineStr">
        <is>
          <t>ranr_rate</t>
        </is>
      </c>
      <c r="F617" t="inlineStr">
        <is>
          <t>Profit after losses: RANR per booked dollar</t>
        </is>
      </c>
      <c r="G617" t="n">
        <v>213</v>
      </c>
      <c r="H617" t="n">
        <v>6962430.310000005</v>
      </c>
      <c r="I617" t="b">
        <v>0</v>
      </c>
      <c r="J617" t="b">
        <v>0</v>
      </c>
      <c r="K617" t="n">
        <v>0.08919977039728358</v>
      </c>
      <c r="L617" t="n">
        <v>0.0003768853883842385</v>
      </c>
      <c r="M617" t="n">
        <v>0.02852509241009099</v>
      </c>
      <c r="N617" t="n">
        <v>0.5135486451354865</v>
      </c>
      <c r="O617" t="n">
        <v>-621047.1850590884</v>
      </c>
      <c r="P617" t="n">
        <v>-198603.9679915686</v>
      </c>
      <c r="Q617">
        <f>'_live'!$C$23</f>
        <v/>
      </c>
      <c r="R617" t="inlineStr">
        <is>
          <t>shuffled: 0 of 10,000</t>
        </is>
      </c>
      <c r="S617" t="inlineStr">
        <is>
          <t>shuffled: 1,540 of 10,000</t>
        </is>
      </c>
      <c r="T617" t="n">
        <v>0.1255835284534303</v>
      </c>
      <c r="U617" t="n">
        <v>0.1862582064406229</v>
      </c>
      <c r="V617">
        <f>AND(judged_band,NOT($J617))</f>
        <v/>
      </c>
      <c r="W617">
        <f>IF($K617="","",IF(profit_kind="test",IF(OR(NOT(AND(ISNUMBER($L617),$L617&lt;significance_bar)),$K617=0),"in line",IF($K617&lt;0,"worse","better")),IF(OR($K617=0,IF(profit_kind="points",ABS($K617),ABS($K617*$H617))&lt;profit_line*(1-1E-9)),"in line",IF(AND(ISNUMBER($L617),$L617&lt;significance_bar),IF($K617&lt;0,"worse","better"),IF($K617&lt;0,"worse, not significant","better, not significant")))))</f>
        <v/>
      </c>
      <c r="X617">
        <f>IF($M617="","",IF(profit_kind="test",IF(OR(NOT(AND(ISNUMBER($N617),$N617&lt;significance_bar)),$M617=0),"in line",IF($M617&lt;0,"worse","better")),IF(OR($M617=0,IF(profit_kind="points",ABS($M617),ABS($M617*$H617))&lt;profit_line*(1-1E-9)),"in line",IF(AND(ISNUMBER($N617),$N617&lt;significance_bar),IF($M617&lt;0,"worse","better"),IF($M617&lt;0,"worse, not significant","better, not significant")))))</f>
        <v/>
      </c>
      <c r="Y617">
        <f>IF($V617,$X617,$W617)</f>
        <v/>
      </c>
      <c r="Z617">
        <f>IF($V617,IF($P617="","",$P617),IF($O617="","",$O617))</f>
        <v/>
      </c>
      <c r="AA617">
        <f>IF(OR($Q617="",$Z617=""),"",IF(AND($Z617&gt;0,$Z617&gt;=$Q617),"yes","below the line"))</f>
        <v/>
      </c>
      <c r="AB617">
        <f>IF($V617,IF($M617="","",$M617),IF($K617="","",$K617))</f>
        <v/>
      </c>
      <c r="AC617">
        <f>IF($V617,IF($N617="","",$N617),IF($L617="","",$L617))</f>
        <v/>
      </c>
      <c r="AD617">
        <f>IF($Y617="","",IF($Y617="in line",IF(profit_kind="test",IF(ROUND($AB617*100,2)=0,"0.00",TEXT($AB617*100,"+0.00;-0.00"))&amp;" points against "&amp;IF($V617,"its band","the book")&amp;", "&amp;IF($AC617="","not tested","not significant"),IF(profit_kind="points","within "&amp;TEXT(profit_line*100,"0.00")&amp;" points of "&amp;IF($V617,"its band","the book")&amp;" ("&amp;IF(ROUND($AB617*100,2)=0,"0.00",TEXT($AB617*100,"+0.00;-0.00"))&amp;")","within $"&amp;TEXT(profit_line,"#,##0")&amp;" of "&amp;IF($V617,"its band","the book")&amp;" ("&amp;IF(ROUND($AB617*100,2)=0,"0.00",TEXT($AB617*100,"+0.00;-0.00"))&amp;" points)")),IF(LEFT($Y617,5)="worse","short of ","ahead of ")&amp;IF($V617,"its band","the book")&amp;" by "&amp;TEXT(ABS($AB617)*100,"0.00")&amp;" points"&amp;IF($Z617="",""," ($"&amp;TEXT(ABS($Z617),"#,##0")&amp;")")&amp;IF(RIGHT($Y617,15)="not significant"," (not significant)","")))</f>
        <v/>
      </c>
      <c r="AE617">
        <f>IF($V617,IF($S617="","",$S617),IF($R617="","",$R617))</f>
        <v/>
      </c>
      <c r="AF617">
        <f>IF($V617,IF($U617="","",$U617),IF($T617="","",$T617))</f>
        <v/>
      </c>
      <c r="AG617">
        <f>IF($V617,IF($O617="","",$O617),IF($P617="","",$P617))</f>
        <v/>
      </c>
      <c r="AH617" t="n">
        <v>0.2147832988507138</v>
      </c>
      <c r="AI617">
        <f>IF($Y617="worse","Yes",IF($Y617="worse, not significant","Not sure",IF(OR($Y617="too few losses to test",$Y617="too few loans to test"),"Too few losses",IF($Y617="","","No"))))</f>
        <v/>
      </c>
      <c r="AJ617">
        <f>IF($AA617="yes","Yes",IF($AA617="","","No"))</f>
        <v/>
      </c>
    </row>
    <row r="618">
      <c r="A618" t="inlineStr">
        <is>
          <t>three-way</t>
        </is>
      </c>
      <c r="B618" t="inlineStr">
        <is>
          <t>FICO x ASSET_CLASS / SYS_FLAG</t>
        </is>
      </c>
      <c r="C618" t="inlineStr">
        <is>
          <t>496 - 653</t>
        </is>
      </c>
      <c r="D618" t="inlineStr">
        <is>
          <t>2 / SYS_FLAG N</t>
        </is>
      </c>
      <c r="E618" t="inlineStr">
        <is>
          <t>contribution_rate</t>
        </is>
      </c>
      <c r="F618" t="inlineStr">
        <is>
          <t>Contribution before losses per booked dollar</t>
        </is>
      </c>
      <c r="G618" t="n">
        <v>213</v>
      </c>
      <c r="H618" t="n">
        <v>6962430.310000005</v>
      </c>
      <c r="I618" t="b">
        <v>0</v>
      </c>
      <c r="J618" t="b">
        <v>0</v>
      </c>
      <c r="K618" t="n">
        <v>0.1058481920025426</v>
      </c>
      <c r="L618" t="n">
        <v>0.0001814633351479667</v>
      </c>
      <c r="M618" t="n">
        <v>-0.001205109363743961</v>
      </c>
      <c r="N618" t="n">
        <v>0.9799190293736585</v>
      </c>
      <c r="O618" t="n">
        <v>-736960.660257203</v>
      </c>
      <c r="P618" t="n">
        <v>8390.489960995736</v>
      </c>
      <c r="Q618">
        <f>'_live'!$C$24</f>
        <v/>
      </c>
      <c r="R618" t="inlineStr">
        <is>
          <t>shuffled: 0 of 10,000</t>
        </is>
      </c>
      <c r="S618" t="inlineStr">
        <is>
          <t>shuffled: 9,128 of 10,000</t>
        </is>
      </c>
      <c r="T618" t="n">
        <v>0.1667363374647258</v>
      </c>
      <c r="U618" t="n">
        <v>0.2737896388310124</v>
      </c>
      <c r="V618">
        <f>AND(judged_band,NOT($J618))</f>
        <v/>
      </c>
      <c r="W618">
        <f>IF($K618="","",IF(profit_kind="test",IF(OR(NOT(AND(ISNUMBER($L618),$L618&lt;significance_bar)),$K618=0),"in line",IF($K618&lt;0,"worse","better")),IF(OR($K618=0,IF(profit_kind="points",ABS($K618),ABS($K618*$H618))&lt;profit_line*(1-1E-9)),"in line",IF(AND(ISNUMBER($L618),$L618&lt;significance_bar),IF($K618&lt;0,"worse","better"),IF($K618&lt;0,"worse, not significant","better, not significant")))))</f>
        <v/>
      </c>
      <c r="X618">
        <f>IF($M618="","",IF(profit_kind="test",IF(OR(NOT(AND(ISNUMBER($N618),$N618&lt;significance_bar)),$M618=0),"in line",IF($M618&lt;0,"worse","better")),IF(OR($M618=0,IF(profit_kind="points",ABS($M618),ABS($M618*$H618))&lt;profit_line*(1-1E-9)),"in line",IF(AND(ISNUMBER($N618),$N618&lt;significance_bar),IF($M618&lt;0,"worse","better"),IF($M618&lt;0,"worse, not significant","better, not significant")))))</f>
        <v/>
      </c>
      <c r="Y618">
        <f>IF($V618,$X618,$W618)</f>
        <v/>
      </c>
      <c r="Z618">
        <f>IF($V618,IF($P618="","",$P618),IF($O618="","",$O618))</f>
        <v/>
      </c>
      <c r="AA618">
        <f>IF(OR($Q618="",$Z618=""),"",IF(AND($Z618&gt;0,$Z618&gt;=$Q618),"yes","below the line"))</f>
        <v/>
      </c>
      <c r="AB618">
        <f>IF($V618,IF($M618="","",$M618),IF($K618="","",$K618))</f>
        <v/>
      </c>
      <c r="AC618">
        <f>IF($V618,IF($N618="","",$N618),IF($L618="","",$L618))</f>
        <v/>
      </c>
      <c r="AD618">
        <f>IF($Y618="","",IF($Y618="in line",IF(profit_kind="test",IF(ROUND($AB618*100,2)=0,"0.00",TEXT($AB618*100,"+0.00;-0.00"))&amp;" points against "&amp;IF($V618,"its band","the book")&amp;", "&amp;IF($AC618="","not tested","not significant"),IF(profit_kind="points","within "&amp;TEXT(profit_line*100,"0.00")&amp;" points of "&amp;IF($V618,"its band","the book")&amp;" ("&amp;IF(ROUND($AB618*100,2)=0,"0.00",TEXT($AB618*100,"+0.00;-0.00"))&amp;")","within $"&amp;TEXT(profit_line,"#,##0")&amp;" of "&amp;IF($V618,"its band","the book")&amp;" ("&amp;IF(ROUND($AB618*100,2)=0,"0.00",TEXT($AB618*100,"+0.00;-0.00"))&amp;" points)")),IF(LEFT($Y618,5)="worse","short of ","ahead of ")&amp;IF($V618,"its band","the book")&amp;" by "&amp;TEXT(ABS($AB618)*100,"0.00")&amp;" points"&amp;IF($Z618="",""," ($"&amp;TEXT(ABS($Z618),"#,##0")&amp;")")&amp;IF(RIGHT($Y618,15)="not significant"," (not significant)","")))</f>
        <v/>
      </c>
      <c r="AE618">
        <f>IF($V618,IF($S618="","",$S618),IF($R618="","",$R618))</f>
        <v/>
      </c>
      <c r="AF618">
        <f>IF($V618,IF($U618="","",$U618),IF($T618="","",$T618))</f>
        <v/>
      </c>
      <c r="AG618">
        <f>IF($V618,IF($O618="","",$O618),IF($P618="","",$P618))</f>
        <v/>
      </c>
      <c r="AH618" t="n">
        <v>0.2725845294672685</v>
      </c>
      <c r="AI618">
        <f>IF($Y618="worse","Yes",IF($Y618="worse, not significant","Not sure",IF(OR($Y618="too few losses to test",$Y618="too few loans to test"),"Too few losses",IF($Y618="","","No"))))</f>
        <v/>
      </c>
      <c r="AJ618">
        <f>IF($AA618="yes","Yes",IF($AA618="","","No"))</f>
        <v/>
      </c>
    </row>
    <row r="619">
      <c r="A619" t="inlineStr">
        <is>
          <t>three-way</t>
        </is>
      </c>
      <c r="B619" t="inlineStr">
        <is>
          <t>FICO x ASSET_CLASS / SYS_FLAG</t>
        </is>
      </c>
      <c r="C619" t="inlineStr">
        <is>
          <t>712 - 745</t>
        </is>
      </c>
      <c r="D619" t="inlineStr">
        <is>
          <t>4 / SYS_FLAG Y</t>
        </is>
      </c>
      <c r="E619" t="inlineStr">
        <is>
          <t>outcome_loans</t>
        </is>
      </c>
      <c r="F619" t="inlineStr">
        <is>
          <t>Outcome, share of loans</t>
        </is>
      </c>
      <c r="G619" t="n">
        <v>207</v>
      </c>
      <c r="H619" t="n">
        <v>207</v>
      </c>
      <c r="I619" t="b">
        <v>0</v>
      </c>
      <c r="J619" t="b">
        <v>0</v>
      </c>
      <c r="K619" t="n">
        <v>1.387161249079536</v>
      </c>
      <c r="L619" t="n">
        <v>0.326876491628326</v>
      </c>
      <c r="M619" t="n">
        <v>2.295652173913044</v>
      </c>
      <c r="N619" t="n">
        <v>0.004739089900718166</v>
      </c>
      <c r="O619" t="n">
        <v>6.140272073921972</v>
      </c>
      <c r="P619" t="n">
        <v>12.41666666666667</v>
      </c>
      <c r="Q619">
        <f>'_live'!$C$20</f>
        <v/>
      </c>
      <c r="R619" t="inlineStr">
        <is>
          <t>z test</t>
        </is>
      </c>
      <c r="S619" t="inlineStr">
        <is>
          <t>z test</t>
        </is>
      </c>
      <c r="T619" t="n">
        <v>0.07661704312114989</v>
      </c>
      <c r="U619" t="n">
        <v>0.04629629629629629</v>
      </c>
      <c r="V619">
        <f>AND(judged_band,NOT($J619))</f>
        <v/>
      </c>
      <c r="W619">
        <f>IF($K619="","",IF($I619,"too few losses to test",IF(AND($K619&gt;better_at,$K619&lt;worse_at),"in line",IF($K619&gt;=worse_at,IF(AND(ISNUMBER($L619),$L619&lt;significance_bar),"worse","worse, not significant"),IF(AND(ISNUMBER($L619),$L619&lt;significance_bar),"better","better, not significant")))))</f>
        <v/>
      </c>
      <c r="X619">
        <f>IF($M619="","",IF($I619,"too few losses to test",IF(AND($M619&gt;better_at,$M619&lt;worse_at),"in line",IF($M619&gt;=worse_at,IF(AND(ISNUMBER($N619),$N619&lt;significance_bar),"worse","worse, not significant"),IF(AND(ISNUMBER($N619),$N619&lt;significance_bar),"better","better, not significant")))))</f>
        <v/>
      </c>
      <c r="Y619">
        <f>IF($V619,$X619,$W619)</f>
        <v/>
      </c>
      <c r="Z619">
        <f>IF($V619,IF($P619="","",$P619),IF($O619="","",$O619))</f>
        <v/>
      </c>
      <c r="AA619">
        <f>IF(OR($Q619="",$Z619=""),"",IF(AND($Z619&gt;0,$Z619&gt;=$Q619),"yes","below the line"))</f>
        <v/>
      </c>
      <c r="AB619">
        <f>IF($V619,IF($M619="","",$M619),IF($K619="","",$K619))</f>
        <v/>
      </c>
      <c r="AC619">
        <f>IF($V619,IF($N619="","",$N619),IF($L619="","",$L619))</f>
        <v/>
      </c>
      <c r="AD619">
        <f>$Y619</f>
        <v/>
      </c>
      <c r="AE619">
        <f>IF($V619,IF($S619="","",$S619),IF($R619="","",$R619))</f>
        <v/>
      </c>
      <c r="AF619">
        <f>IF($V619,IF($U619="","",$U619),IF($T619="","",$T619))</f>
        <v/>
      </c>
      <c r="AG619">
        <f>IF($V619,IF($O619="","",$O619),IF($P619="","",$P619))</f>
        <v/>
      </c>
      <c r="AH619" t="n">
        <v>0.106280193236715</v>
      </c>
      <c r="AI619">
        <f>IF($Y619="worse","Yes",IF($Y619="worse, not significant","Not sure",IF(OR($Y619="too few losses to test",$Y619="too few loans to test"),"Too few losses",IF($Y619="","","No"))))</f>
        <v/>
      </c>
      <c r="AJ619">
        <f>IF($AA619="yes","Yes",IF($AA619="","","No"))</f>
        <v/>
      </c>
    </row>
    <row r="620">
      <c r="A620" t="inlineStr">
        <is>
          <t>three-way</t>
        </is>
      </c>
      <c r="B620" t="inlineStr">
        <is>
          <t>FICO x ASSET_CLASS / SYS_FLAG</t>
        </is>
      </c>
      <c r="C620" t="inlineStr">
        <is>
          <t>712 - 745</t>
        </is>
      </c>
      <c r="D620" t="inlineStr">
        <is>
          <t>4 / SYS_FLAG Y</t>
        </is>
      </c>
      <c r="E620" t="inlineStr">
        <is>
          <t>outcome_booked</t>
        </is>
      </c>
      <c r="F620" t="inlineStr">
        <is>
          <t>Outcome, share of booked dollars</t>
        </is>
      </c>
      <c r="G620" t="n">
        <v>207</v>
      </c>
      <c r="H620" t="n">
        <v>6426898.590000001</v>
      </c>
      <c r="I620" t="b">
        <v>0</v>
      </c>
      <c r="J620" t="b">
        <v>0</v>
      </c>
      <c r="K620" t="n">
        <v>1.65657105342369</v>
      </c>
      <c r="L620" t="n">
        <v>0.08102523081025231</v>
      </c>
      <c r="M620" t="n">
        <v>2.72140209594139</v>
      </c>
      <c r="N620" t="n">
        <v>0.003899610038996101</v>
      </c>
      <c r="O620" t="n">
        <v>310675.9061861583</v>
      </c>
      <c r="P620" t="n">
        <v>495821.6916107899</v>
      </c>
      <c r="Q620">
        <f>'_live'!$C$21</f>
        <v/>
      </c>
      <c r="R620" t="inlineStr">
        <is>
          <t>shuffled: 186 of 10,000</t>
        </is>
      </c>
      <c r="S620" t="inlineStr">
        <is>
          <t>shuffled: 2 of 10,000</t>
        </is>
      </c>
      <c r="T620" t="n">
        <v>0.07362484520139932</v>
      </c>
      <c r="U620" t="n">
        <v>0.04481689330486387</v>
      </c>
      <c r="V620">
        <f>AND(judged_band,NOT($J620))</f>
        <v/>
      </c>
      <c r="W620">
        <f>IF($K620="","",IF($I620,"too few losses to test",IF(AND($K620&gt;better_at,$K620&lt;worse_at),"in line",IF($K620&gt;=worse_at,IF(AND(ISNUMBER($L620),$L620&lt;significance_bar),"worse","worse, not significant"),IF(AND(ISNUMBER($L620),$L620&lt;significance_bar),"better","better, not significant")))))</f>
        <v/>
      </c>
      <c r="X620">
        <f>IF($M620="","",IF($I620,"too few losses to test",IF(AND($M620&gt;better_at,$M620&lt;worse_at),"in line",IF($M620&gt;=worse_at,IF(AND(ISNUMBER($N620),$N620&lt;significance_bar),"worse","worse, not significant"),IF(AND(ISNUMBER($N620),$N620&lt;significance_bar),"better","better, not significant")))))</f>
        <v/>
      </c>
      <c r="Y620">
        <f>IF($V620,$X620,$W620)</f>
        <v/>
      </c>
      <c r="Z620">
        <f>IF($V620,IF($P620="","",$P620),IF($O620="","",$O620))</f>
        <v/>
      </c>
      <c r="AA620">
        <f>IF(OR($Q620="",$Z620=""),"",IF(AND($Z620&gt;0,$Z620&gt;=$Q620),"yes","below the line"))</f>
        <v/>
      </c>
      <c r="AB620">
        <f>IF($V620,IF($M620="","",$M620),IF($K620="","",$K620))</f>
        <v/>
      </c>
      <c r="AC620">
        <f>IF($V620,IF($N620="","",$N620),IF($L620="","",$L620))</f>
        <v/>
      </c>
      <c r="AD620">
        <f>$Y620</f>
        <v/>
      </c>
      <c r="AE620">
        <f>IF($V620,IF($S620="","",$S620),IF($R620="","",$R620))</f>
        <v/>
      </c>
      <c r="AF620">
        <f>IF($V620,IF($U620="","",$U620),IF($T620="","",$T620))</f>
        <v/>
      </c>
      <c r="AG620">
        <f>IF($V620,IF($O620="","",$O620),IF($P620="","",$P620))</f>
        <v/>
      </c>
      <c r="AH620" t="n">
        <v>0.1219647873734382</v>
      </c>
      <c r="AI620">
        <f>IF($Y620="worse","Yes",IF($Y620="worse, not significant","Not sure",IF(OR($Y620="too few losses to test",$Y620="too few loans to test"),"Too few losses",IF($Y620="","","No"))))</f>
        <v/>
      </c>
      <c r="AJ620">
        <f>IF($AA620="yes","Yes",IF($AA620="","","No"))</f>
        <v/>
      </c>
    </row>
    <row r="621">
      <c r="A621" t="inlineStr">
        <is>
          <t>three-way</t>
        </is>
      </c>
      <c r="B621" t="inlineStr">
        <is>
          <t>FICO x ASSET_CLASS / SYS_FLAG</t>
        </is>
      </c>
      <c r="C621" t="inlineStr">
        <is>
          <t>712 - 745</t>
        </is>
      </c>
      <c r="D621" t="inlineStr">
        <is>
          <t>4 / SYS_FLAG Y</t>
        </is>
      </c>
      <c r="E621" t="inlineStr">
        <is>
          <t>gco_rate</t>
        </is>
      </c>
      <c r="F621" t="inlineStr">
        <is>
          <t>GCO per booked dollar</t>
        </is>
      </c>
      <c r="G621" t="n">
        <v>207</v>
      </c>
      <c r="H621" t="n">
        <v>6426898.590000001</v>
      </c>
      <c r="I621" t="b">
        <v>0</v>
      </c>
      <c r="J621" t="b">
        <v>0</v>
      </c>
      <c r="K621" t="n">
        <v>1.616519543444738</v>
      </c>
      <c r="L621" t="n">
        <v>0.1356197713561977</v>
      </c>
      <c r="M621" t="n">
        <v>2.640529538365585</v>
      </c>
      <c r="N621" t="n">
        <v>0.005199480051994801</v>
      </c>
      <c r="O621" t="n">
        <v>162359.6926434017</v>
      </c>
      <c r="P621" t="n">
        <v>264487.6246379291</v>
      </c>
      <c r="Q621">
        <f>'_live'!$C$22</f>
        <v/>
      </c>
      <c r="R621" t="inlineStr">
        <is>
          <t>shuffled: 312 of 10,000</t>
        </is>
      </c>
      <c r="S621" t="inlineStr">
        <is>
          <t>shuffled: 3 of 10,000</t>
        </is>
      </c>
      <c r="T621" t="n">
        <v>0.04097603434514413</v>
      </c>
      <c r="U621" t="n">
        <v>0.02508533207804527</v>
      </c>
      <c r="V621">
        <f>AND(judged_band,NOT($J621))</f>
        <v/>
      </c>
      <c r="W621">
        <f>IF($K621="","",IF($I621,"too few losses to test",IF(AND($K621&gt;better_at,$K621&lt;worse_at),"in line",IF($K621&gt;=worse_at,IF(AND(ISNUMBER($L621),$L621&lt;significance_bar),"worse","worse, not significant"),IF(AND(ISNUMBER($L621),$L621&lt;significance_bar),"better","better, not significant")))))</f>
        <v/>
      </c>
      <c r="X621">
        <f>IF($M621="","",IF($I621,"too few losses to test",IF(AND($M621&gt;better_at,$M621&lt;worse_at),"in line",IF($M621&gt;=worse_at,IF(AND(ISNUMBER($N621),$N621&lt;significance_bar),"worse","worse, not significant"),IF(AND(ISNUMBER($N621),$N621&lt;significance_bar),"better","better, not significant")))))</f>
        <v/>
      </c>
      <c r="Y621">
        <f>IF($V621,$X621,$W621)</f>
        <v/>
      </c>
      <c r="Z621">
        <f>IF($V621,IF($P621="","",$P621),IF($O621="","",$O621))</f>
        <v/>
      </c>
      <c r="AA621">
        <f>IF(OR($Q621="",$Z621=""),"",IF(AND($Z621&gt;0,$Z621&gt;=$Q621),"yes","below the line"))</f>
        <v/>
      </c>
      <c r="AB621">
        <f>IF($V621,IF($M621="","",$M621),IF($K621="","",$K621))</f>
        <v/>
      </c>
      <c r="AC621">
        <f>IF($V621,IF($N621="","",$N621),IF($L621="","",$L621))</f>
        <v/>
      </c>
      <c r="AD621">
        <f>$Y621</f>
        <v/>
      </c>
      <c r="AE621">
        <f>IF($V621,IF($S621="","",$S621),IF($R621="","",$R621))</f>
        <v/>
      </c>
      <c r="AF621">
        <f>IF($V621,IF($U621="","",$U621),IF($T621="","",$T621))</f>
        <v/>
      </c>
      <c r="AG621">
        <f>IF($V621,IF($O621="","",$O621),IF($P621="","",$P621))</f>
        <v/>
      </c>
      <c r="AH621" t="n">
        <v>0.06623856033178828</v>
      </c>
      <c r="AI621">
        <f>IF($Y621="worse","Yes",IF($Y621="worse, not significant","Not sure",IF(OR($Y621="too few losses to test",$Y621="too few loans to test"),"Too few losses",IF($Y621="","","No"))))</f>
        <v/>
      </c>
      <c r="AJ621">
        <f>IF($AA621="yes","Yes",IF($AA621="","","No"))</f>
        <v/>
      </c>
    </row>
    <row r="622">
      <c r="A622" t="inlineStr">
        <is>
          <t>three-way</t>
        </is>
      </c>
      <c r="B622" t="inlineStr">
        <is>
          <t>FICO x ASSET_CLASS / SYS_FLAG</t>
        </is>
      </c>
      <c r="C622" t="inlineStr">
        <is>
          <t>712 - 745</t>
        </is>
      </c>
      <c r="D622" t="inlineStr">
        <is>
          <t>4 / SYS_FLAG Y</t>
        </is>
      </c>
      <c r="E622" t="inlineStr">
        <is>
          <t>ranr_rate</t>
        </is>
      </c>
      <c r="F622" t="inlineStr">
        <is>
          <t>Profit after losses: RANR per booked dollar</t>
        </is>
      </c>
      <c r="G622" t="n">
        <v>207</v>
      </c>
      <c r="H622" t="n">
        <v>6426898.590000001</v>
      </c>
      <c r="I622" t="b">
        <v>0</v>
      </c>
      <c r="J622" t="b">
        <v>0</v>
      </c>
      <c r="K622" t="n">
        <v>-0.05312022076342129</v>
      </c>
      <c r="L622" t="n">
        <v>0.001224877512248775</v>
      </c>
      <c r="M622" t="n">
        <v>-0.02262087151228015</v>
      </c>
      <c r="N622" t="n">
        <v>0.3162883711628837</v>
      </c>
      <c r="O622" t="n">
        <v>341398.2719249211</v>
      </c>
      <c r="P622" t="n">
        <v>145382.0472268445</v>
      </c>
      <c r="Q622">
        <f>'_live'!$C$23</f>
        <v/>
      </c>
      <c r="R622" t="inlineStr">
        <is>
          <t>shuffled: 3 of 10,000</t>
        </is>
      </c>
      <c r="S622" t="inlineStr">
        <is>
          <t>shuffled: 640 of 10,000</t>
        </is>
      </c>
      <c r="T622" t="n">
        <v>0.1293129478062795</v>
      </c>
      <c r="U622" t="n">
        <v>0.09881359855513835</v>
      </c>
      <c r="V622">
        <f>AND(judged_band,NOT($J622))</f>
        <v/>
      </c>
      <c r="W622">
        <f>IF($K622="","",IF(profit_kind="test",IF(OR(NOT(AND(ISNUMBER($L622),$L622&lt;significance_bar)),$K622=0),"in line",IF($K622&lt;0,"worse","better")),IF(OR($K622=0,IF(profit_kind="points",ABS($K622),ABS($K622*$H622))&lt;profit_line*(1-1E-9)),"in line",IF(AND(ISNUMBER($L622),$L622&lt;significance_bar),IF($K622&lt;0,"worse","better"),IF($K622&lt;0,"worse, not significant","better, not significant")))))</f>
        <v/>
      </c>
      <c r="X622">
        <f>IF($M622="","",IF(profit_kind="test",IF(OR(NOT(AND(ISNUMBER($N622),$N622&lt;significance_bar)),$M622=0),"in line",IF($M622&lt;0,"worse","better")),IF(OR($M622=0,IF(profit_kind="points",ABS($M622),ABS($M622*$H622))&lt;profit_line*(1-1E-9)),"in line",IF(AND(ISNUMBER($N622),$N622&lt;significance_bar),IF($M622&lt;0,"worse","better"),IF($M622&lt;0,"worse, not significant","better, not significant")))))</f>
        <v/>
      </c>
      <c r="Y622">
        <f>IF($V622,$X622,$W622)</f>
        <v/>
      </c>
      <c r="Z622">
        <f>IF($V622,IF($P622="","",$P622),IF($O622="","",$O622))</f>
        <v/>
      </c>
      <c r="AA622">
        <f>IF(OR($Q622="",$Z622=""),"",IF(AND($Z622&gt;0,$Z622&gt;=$Q622),"yes","below the line"))</f>
        <v/>
      </c>
      <c r="AB622">
        <f>IF($V622,IF($M622="","",$M622),IF($K622="","",$K622))</f>
        <v/>
      </c>
      <c r="AC622">
        <f>IF($V622,IF($N622="","",$N622),IF($L622="","",$L622))</f>
        <v/>
      </c>
      <c r="AD622">
        <f>IF($Y622="","",IF($Y622="in line",IF(profit_kind="test",IF(ROUND($AB622*100,2)=0,"0.00",TEXT($AB622*100,"+0.00;-0.00"))&amp;" points against "&amp;IF($V622,"its band","the book")&amp;", "&amp;IF($AC622="","not tested","not significant"),IF(profit_kind="points","within "&amp;TEXT(profit_line*100,"0.00")&amp;" points of "&amp;IF($V622,"its band","the book")&amp;" ("&amp;IF(ROUND($AB622*100,2)=0,"0.00",TEXT($AB622*100,"+0.00;-0.00"))&amp;")","within $"&amp;TEXT(profit_line,"#,##0")&amp;" of "&amp;IF($V622,"its band","the book")&amp;" ("&amp;IF(ROUND($AB622*100,2)=0,"0.00",TEXT($AB622*100,"+0.00;-0.00"))&amp;" points)")),IF(LEFT($Y622,5)="worse","short of ","ahead of ")&amp;IF($V622,"its band","the book")&amp;" by "&amp;TEXT(ABS($AB622)*100,"0.00")&amp;" points"&amp;IF($Z622="",""," ($"&amp;TEXT(ABS($Z622),"#,##0")&amp;")")&amp;IF(RIGHT($Y622,15)="not significant"," (not significant)","")))</f>
        <v/>
      </c>
      <c r="AE622">
        <f>IF($V622,IF($S622="","",$S622),IF($R622="","",$R622))</f>
        <v/>
      </c>
      <c r="AF622">
        <f>IF($V622,IF($U622="","",$U622),IF($T622="","",$T622))</f>
        <v/>
      </c>
      <c r="AG622">
        <f>IF($V622,IF($O622="","",$O622),IF($P622="","",$P622))</f>
        <v/>
      </c>
      <c r="AH622" t="n">
        <v>0.0761927270428582</v>
      </c>
      <c r="AI622">
        <f>IF($Y622="worse","Yes",IF($Y622="worse, not significant","Not sure",IF(OR($Y622="too few losses to test",$Y622="too few loans to test"),"Too few losses",IF($Y622="","","No"))))</f>
        <v/>
      </c>
      <c r="AJ622">
        <f>IF($AA622="yes","Yes",IF($AA622="","","No"))</f>
        <v/>
      </c>
    </row>
    <row r="623">
      <c r="A623" t="inlineStr">
        <is>
          <t>three-way</t>
        </is>
      </c>
      <c r="B623" t="inlineStr">
        <is>
          <t>FICO x ASSET_CLASS / SYS_FLAG</t>
        </is>
      </c>
      <c r="C623" t="inlineStr">
        <is>
          <t>712 - 745</t>
        </is>
      </c>
      <c r="D623" t="inlineStr">
        <is>
          <t>4 / SYS_FLAG Y</t>
        </is>
      </c>
      <c r="E623" t="inlineStr">
        <is>
          <t>contribution_rate</t>
        </is>
      </c>
      <c r="F623" t="inlineStr">
        <is>
          <t>Contribution before losses per booked dollar</t>
        </is>
      </c>
      <c r="G623" t="n">
        <v>207</v>
      </c>
      <c r="H623" t="n">
        <v>6426898.590000001</v>
      </c>
      <c r="I623" t="b">
        <v>0</v>
      </c>
      <c r="J623" t="b">
        <v>0</v>
      </c>
      <c r="K623" t="n">
        <v>-0.02785497115078128</v>
      </c>
      <c r="L623" t="n">
        <v>0.005531704894026727</v>
      </c>
      <c r="M623" t="n">
        <v>0.01857481570470183</v>
      </c>
      <c r="N623" t="n">
        <v>0.05759424057594241</v>
      </c>
      <c r="O623" t="n">
        <v>179021.074813447</v>
      </c>
      <c r="P623" t="n">
        <v>-119378.456862058</v>
      </c>
      <c r="Q623">
        <f>'_live'!$C$24</f>
        <v/>
      </c>
      <c r="R623" t="inlineStr">
        <is>
          <t>shuffled: 34 of 10,000</t>
        </is>
      </c>
      <c r="S623" t="inlineStr">
        <is>
          <t>shuffled: 11 of 10,000</t>
        </is>
      </c>
      <c r="T623" t="n">
        <v>0.1702862585254277</v>
      </c>
      <c r="U623" t="n">
        <v>0.1238564716699446</v>
      </c>
      <c r="V623">
        <f>AND(judged_band,NOT($J623))</f>
        <v/>
      </c>
      <c r="W623">
        <f>IF($K623="","",IF(profit_kind="test",IF(OR(NOT(AND(ISNUMBER($L623),$L623&lt;significance_bar)),$K623=0),"in line",IF($K623&lt;0,"worse","better")),IF(OR($K623=0,IF(profit_kind="points",ABS($K623),ABS($K623*$H623))&lt;profit_line*(1-1E-9)),"in line",IF(AND(ISNUMBER($L623),$L623&lt;significance_bar),IF($K623&lt;0,"worse","better"),IF($K623&lt;0,"worse, not significant","better, not significant")))))</f>
        <v/>
      </c>
      <c r="X623">
        <f>IF($M623="","",IF(profit_kind="test",IF(OR(NOT(AND(ISNUMBER($N623),$N623&lt;significance_bar)),$M623=0),"in line",IF($M623&lt;0,"worse","better")),IF(OR($M623=0,IF(profit_kind="points",ABS($M623),ABS($M623*$H623))&lt;profit_line*(1-1E-9)),"in line",IF(AND(ISNUMBER($N623),$N623&lt;significance_bar),IF($M623&lt;0,"worse","better"),IF($M623&lt;0,"worse, not significant","better, not significant")))))</f>
        <v/>
      </c>
      <c r="Y623">
        <f>IF($V623,$X623,$W623)</f>
        <v/>
      </c>
      <c r="Z623">
        <f>IF($V623,IF($P623="","",$P623),IF($O623="","",$O623))</f>
        <v/>
      </c>
      <c r="AA623">
        <f>IF(OR($Q623="",$Z623=""),"",IF(AND($Z623&gt;0,$Z623&gt;=$Q623),"yes","below the line"))</f>
        <v/>
      </c>
      <c r="AB623">
        <f>IF($V623,IF($M623="","",$M623),IF($K623="","",$K623))</f>
        <v/>
      </c>
      <c r="AC623">
        <f>IF($V623,IF($N623="","",$N623),IF($L623="","",$L623))</f>
        <v/>
      </c>
      <c r="AD623">
        <f>IF($Y623="","",IF($Y623="in line",IF(profit_kind="test",IF(ROUND($AB623*100,2)=0,"0.00",TEXT($AB623*100,"+0.00;-0.00"))&amp;" points against "&amp;IF($V623,"its band","the book")&amp;", "&amp;IF($AC623="","not tested","not significant"),IF(profit_kind="points","within "&amp;TEXT(profit_line*100,"0.00")&amp;" points of "&amp;IF($V623,"its band","the book")&amp;" ("&amp;IF(ROUND($AB623*100,2)=0,"0.00",TEXT($AB623*100,"+0.00;-0.00"))&amp;")","within $"&amp;TEXT(profit_line,"#,##0")&amp;" of "&amp;IF($V623,"its band","the book")&amp;" ("&amp;IF(ROUND($AB623*100,2)=0,"0.00",TEXT($AB623*100,"+0.00;-0.00"))&amp;" points)")),IF(LEFT($Y623,5)="worse","short of ","ahead of ")&amp;IF($V623,"its band","the book")&amp;" by "&amp;TEXT(ABS($AB623)*100,"0.00")&amp;" points"&amp;IF($Z623="",""," ($"&amp;TEXT(ABS($Z623),"#,##0")&amp;")")&amp;IF(RIGHT($Y623,15)="not significant"," (not significant)","")))</f>
        <v/>
      </c>
      <c r="AE623">
        <f>IF($V623,IF($S623="","",$S623),IF($R623="","",$R623))</f>
        <v/>
      </c>
      <c r="AF623">
        <f>IF($V623,IF($U623="","",$U623),IF($T623="","",$T623))</f>
        <v/>
      </c>
      <c r="AG623">
        <f>IF($V623,IF($O623="","",$O623),IF($P623="","",$P623))</f>
        <v/>
      </c>
      <c r="AH623" t="n">
        <v>0.1424312873746464</v>
      </c>
      <c r="AI623">
        <f>IF($Y623="worse","Yes",IF($Y623="worse, not significant","Not sure",IF(OR($Y623="too few losses to test",$Y623="too few loans to test"),"Too few losses",IF($Y623="","","No"))))</f>
        <v/>
      </c>
      <c r="AJ623">
        <f>IF($AA623="yes","Yes",IF($AA623="","","No"))</f>
        <v/>
      </c>
    </row>
    <row r="624">
      <c r="A624" t="inlineStr">
        <is>
          <t>three-way</t>
        </is>
      </c>
      <c r="B624" t="inlineStr">
        <is>
          <t>FICO x ASSET_CLASS / SYS_FLAG</t>
        </is>
      </c>
      <c r="C624" t="inlineStr">
        <is>
          <t>746 - 921</t>
        </is>
      </c>
      <c r="D624" t="inlineStr">
        <is>
          <t>2 / SYS_FLAG Y</t>
        </is>
      </c>
      <c r="E624" t="inlineStr">
        <is>
          <t>outcome_loans</t>
        </is>
      </c>
      <c r="F624" t="inlineStr">
        <is>
          <t>Outcome, share of loans</t>
        </is>
      </c>
      <c r="G624" t="n">
        <v>180</v>
      </c>
      <c r="H624" t="n">
        <v>180</v>
      </c>
      <c r="I624" t="b">
        <v>1</v>
      </c>
      <c r="J624" t="b">
        <v>0</v>
      </c>
      <c r="K624" t="n">
        <v>0.6409016393442624</v>
      </c>
      <c r="M624" t="n">
        <v>1.312264150943396</v>
      </c>
      <c r="O624" t="n">
        <v>-5.042716459905359</v>
      </c>
      <c r="P624" t="n">
        <v>2.141624730409777</v>
      </c>
      <c r="Q624">
        <f>'_live'!$C$20</f>
        <v/>
      </c>
      <c r="T624" t="n">
        <v>0.07801509144391866</v>
      </c>
      <c r="U624" t="n">
        <v>0.03810208483105679</v>
      </c>
      <c r="V624">
        <f>AND(judged_band,NOT($J624))</f>
        <v/>
      </c>
      <c r="W624">
        <f>IF($K624="","",IF($I624,"too few losses to test",IF(AND($K624&gt;better_at,$K624&lt;worse_at),"in line",IF($K624&gt;=worse_at,IF(AND(ISNUMBER($L624),$L624&lt;significance_bar),"worse","worse, not significant"),IF(AND(ISNUMBER($L624),$L624&lt;significance_bar),"better","better, not significant")))))</f>
        <v/>
      </c>
      <c r="X624">
        <f>IF($M624="","",IF($I624,"too few losses to test",IF(AND($M624&gt;better_at,$M624&lt;worse_at),"in line",IF($M624&gt;=worse_at,IF(AND(ISNUMBER($N624),$N624&lt;significance_bar),"worse","worse, not significant"),IF(AND(ISNUMBER($N624),$N624&lt;significance_bar),"better","better, not significant")))))</f>
        <v/>
      </c>
      <c r="Y624">
        <f>IF($V624,$X624,$W624)</f>
        <v/>
      </c>
      <c r="Z624">
        <f>IF($V624,IF($P624="","",$P624),IF($O624="","",$O624))</f>
        <v/>
      </c>
      <c r="AA624">
        <f>IF(OR($Q624="",$Z624=""),"",IF(AND($Z624&gt;0,$Z624&gt;=$Q624),"yes","below the line"))</f>
        <v/>
      </c>
      <c r="AB624">
        <f>IF($V624,IF($M624="","",$M624),IF($K624="","",$K624))</f>
        <v/>
      </c>
      <c r="AC624">
        <f>IF($V624,IF($N624="","",$N624),IF($L624="","",$L624))</f>
        <v/>
      </c>
      <c r="AD624">
        <f>$Y624</f>
        <v/>
      </c>
      <c r="AE624">
        <f>IF($V624,IF($S624="","",$S624),IF($R624="","",$R624))</f>
        <v/>
      </c>
      <c r="AF624">
        <f>IF($V624,IF($U624="","",$U624),IF($T624="","",$T624))</f>
        <v/>
      </c>
      <c r="AG624">
        <f>IF($V624,IF($O624="","",$O624),IF($P624="","",$P624))</f>
        <v/>
      </c>
      <c r="AH624" t="n">
        <v>0.05</v>
      </c>
      <c r="AI624">
        <f>IF($Y624="worse","Yes",IF($Y624="worse, not significant","Not sure",IF(OR($Y624="too few losses to test",$Y624="too few loans to test"),"Too few losses",IF($Y624="","","No"))))</f>
        <v/>
      </c>
      <c r="AJ624">
        <f>IF($AA624="yes","Yes",IF($AA624="","","No"))</f>
        <v/>
      </c>
    </row>
    <row r="625">
      <c r="A625" t="inlineStr">
        <is>
          <t>three-way</t>
        </is>
      </c>
      <c r="B625" t="inlineStr">
        <is>
          <t>FICO x ASSET_CLASS / SYS_FLAG</t>
        </is>
      </c>
      <c r="C625" t="inlineStr">
        <is>
          <t>746 - 921</t>
        </is>
      </c>
      <c r="D625" t="inlineStr">
        <is>
          <t>2 / SYS_FLAG Y</t>
        </is>
      </c>
      <c r="E625" t="inlineStr">
        <is>
          <t>outcome_booked</t>
        </is>
      </c>
      <c r="F625" t="inlineStr">
        <is>
          <t>Outcome, share of booked dollars</t>
        </is>
      </c>
      <c r="G625" t="n">
        <v>180</v>
      </c>
      <c r="H625" t="n">
        <v>6130342.099999999</v>
      </c>
      <c r="I625" t="b">
        <v>1</v>
      </c>
      <c r="J625" t="b">
        <v>0</v>
      </c>
      <c r="K625" t="n">
        <v>0.7961012775762227</v>
      </c>
      <c r="M625" t="n">
        <v>1.778960896880257</v>
      </c>
      <c r="O625" t="n">
        <v>-93989.06674917461</v>
      </c>
      <c r="P625" t="n">
        <v>160686.8764287613</v>
      </c>
      <c r="Q625">
        <f>'_live'!$C$21</f>
        <v/>
      </c>
      <c r="T625" t="n">
        <v>0.07519312286816338</v>
      </c>
      <c r="U625" t="n">
        <v>0.03364961044690128</v>
      </c>
      <c r="V625">
        <f>AND(judged_band,NOT($J625))</f>
        <v/>
      </c>
      <c r="W625">
        <f>IF($K625="","",IF($I625,"too few losses to test",IF(AND($K625&gt;better_at,$K625&lt;worse_at),"in line",IF($K625&gt;=worse_at,IF(AND(ISNUMBER($L625),$L625&lt;significance_bar),"worse","worse, not significant"),IF(AND(ISNUMBER($L625),$L625&lt;significance_bar),"better","better, not significant")))))</f>
        <v/>
      </c>
      <c r="X625">
        <f>IF($M625="","",IF($I625,"too few losses to test",IF(AND($M625&gt;better_at,$M625&lt;worse_at),"in line",IF($M625&gt;=worse_at,IF(AND(ISNUMBER($N625),$N625&lt;significance_bar),"worse","worse, not significant"),IF(AND(ISNUMBER($N625),$N625&lt;significance_bar),"better","better, not significant")))))</f>
        <v/>
      </c>
      <c r="Y625">
        <f>IF($V625,$X625,$W625)</f>
        <v/>
      </c>
      <c r="Z625">
        <f>IF($V625,IF($P625="","",$P625),IF($O625="","",$O625))</f>
        <v/>
      </c>
      <c r="AA625">
        <f>IF(OR($Q625="",$Z625=""),"",IF(AND($Z625&gt;0,$Z625&gt;=$Q625),"yes","below the line"))</f>
        <v/>
      </c>
      <c r="AB625">
        <f>IF($V625,IF($M625="","",$M625),IF($K625="","",$K625))</f>
        <v/>
      </c>
      <c r="AC625">
        <f>IF($V625,IF($N625="","",$N625),IF($L625="","",$L625))</f>
        <v/>
      </c>
      <c r="AD625">
        <f>$Y625</f>
        <v/>
      </c>
      <c r="AE625">
        <f>IF($V625,IF($S625="","",$S625),IF($R625="","",$R625))</f>
        <v/>
      </c>
      <c r="AF625">
        <f>IF($V625,IF($U625="","",$U625),IF($T625="","",$T625))</f>
        <v/>
      </c>
      <c r="AG625">
        <f>IF($V625,IF($O625="","",$O625),IF($P625="","",$P625))</f>
        <v/>
      </c>
      <c r="AH625" t="n">
        <v>0.05986134118029075</v>
      </c>
      <c r="AI625">
        <f>IF($Y625="worse","Yes",IF($Y625="worse, not significant","Not sure",IF(OR($Y625="too few losses to test",$Y625="too few loans to test"),"Too few losses",IF($Y625="","","No"))))</f>
        <v/>
      </c>
      <c r="AJ625">
        <f>IF($AA625="yes","Yes",IF($AA625="","","No"))</f>
        <v/>
      </c>
    </row>
    <row r="626">
      <c r="A626" t="inlineStr">
        <is>
          <t>three-way</t>
        </is>
      </c>
      <c r="B626" t="inlineStr">
        <is>
          <t>FICO x ASSET_CLASS / SYS_FLAG</t>
        </is>
      </c>
      <c r="C626" t="inlineStr">
        <is>
          <t>746 - 921</t>
        </is>
      </c>
      <c r="D626" t="inlineStr">
        <is>
          <t>2 / SYS_FLAG Y</t>
        </is>
      </c>
      <c r="E626" t="inlineStr">
        <is>
          <t>gco_rate</t>
        </is>
      </c>
      <c r="F626" t="inlineStr">
        <is>
          <t>GCO per booked dollar</t>
        </is>
      </c>
      <c r="G626" t="n">
        <v>180</v>
      </c>
      <c r="H626" t="n">
        <v>6130342.099999999</v>
      </c>
      <c r="I626" t="b">
        <v>1</v>
      </c>
      <c r="J626" t="b">
        <v>0</v>
      </c>
      <c r="K626" t="n">
        <v>0.7237603325906905</v>
      </c>
      <c r="M626" t="n">
        <v>1.693093981049138</v>
      </c>
      <c r="O626" t="n">
        <v>-70921.63183546357</v>
      </c>
      <c r="P626" t="n">
        <v>76067.39010295589</v>
      </c>
      <c r="Q626">
        <f>'_live'!$C$22</f>
        <v/>
      </c>
      <c r="T626" t="n">
        <v>0.04188012473813878</v>
      </c>
      <c r="U626" t="n">
        <v>0.01790282958222578</v>
      </c>
      <c r="V626">
        <f>AND(judged_band,NOT($J626))</f>
        <v/>
      </c>
      <c r="W626">
        <f>IF($K626="","",IF($I626,"too few losses to test",IF(AND($K626&gt;better_at,$K626&lt;worse_at),"in line",IF($K626&gt;=worse_at,IF(AND(ISNUMBER($L626),$L626&lt;significance_bar),"worse","worse, not significant"),IF(AND(ISNUMBER($L626),$L626&lt;significance_bar),"better","better, not significant")))))</f>
        <v/>
      </c>
      <c r="X626">
        <f>IF($M626="","",IF($I626,"too few losses to test",IF(AND($M626&gt;better_at,$M626&lt;worse_at),"in line",IF($M626&gt;=worse_at,IF(AND(ISNUMBER($N626),$N626&lt;significance_bar),"worse","worse, not significant"),IF(AND(ISNUMBER($N626),$N626&lt;significance_bar),"better","better, not significant")))))</f>
        <v/>
      </c>
      <c r="Y626">
        <f>IF($V626,$X626,$W626)</f>
        <v/>
      </c>
      <c r="Z626">
        <f>IF($V626,IF($P626="","",$P626),IF($O626="","",$O626))</f>
        <v/>
      </c>
      <c r="AA626">
        <f>IF(OR($Q626="",$Z626=""),"",IF(AND($Z626&gt;0,$Z626&gt;=$Q626),"yes","below the line"))</f>
        <v/>
      </c>
      <c r="AB626">
        <f>IF($V626,IF($M626="","",$M626),IF($K626="","",$K626))</f>
        <v/>
      </c>
      <c r="AC626">
        <f>IF($V626,IF($N626="","",$N626),IF($L626="","",$L626))</f>
        <v/>
      </c>
      <c r="AD626">
        <f>$Y626</f>
        <v/>
      </c>
      <c r="AE626">
        <f>IF($V626,IF($S626="","",$S626),IF($R626="","",$R626))</f>
        <v/>
      </c>
      <c r="AF626">
        <f>IF($V626,IF($U626="","",$U626),IF($T626="","",$T626))</f>
        <v/>
      </c>
      <c r="AG626">
        <f>IF($V626,IF($O626="","",$O626),IF($P626="","",$P626))</f>
        <v/>
      </c>
      <c r="AH626" t="n">
        <v>0.03031117300941493</v>
      </c>
      <c r="AI626">
        <f>IF($Y626="worse","Yes",IF($Y626="worse, not significant","Not sure",IF(OR($Y626="too few losses to test",$Y626="too few loans to test"),"Too few losses",IF($Y626="","","No"))))</f>
        <v/>
      </c>
      <c r="AJ626">
        <f>IF($AA626="yes","Yes",IF($AA626="","","No"))</f>
        <v/>
      </c>
    </row>
    <row r="627">
      <c r="A627" t="inlineStr">
        <is>
          <t>three-way</t>
        </is>
      </c>
      <c r="B627" t="inlineStr">
        <is>
          <t>FICO x ASSET_CLASS / SYS_FLAG</t>
        </is>
      </c>
      <c r="C627" t="inlineStr">
        <is>
          <t>746 - 921</t>
        </is>
      </c>
      <c r="D627" t="inlineStr">
        <is>
          <t>2 / SYS_FLAG Y</t>
        </is>
      </c>
      <c r="E627" t="inlineStr">
        <is>
          <t>ranr_rate</t>
        </is>
      </c>
      <c r="F627" t="inlineStr">
        <is>
          <t>Profit after losses: RANR per booked dollar</t>
        </is>
      </c>
      <c r="G627" t="n">
        <v>180</v>
      </c>
      <c r="H627" t="n">
        <v>6130342.099999999</v>
      </c>
      <c r="I627" t="b">
        <v>0</v>
      </c>
      <c r="J627" t="b">
        <v>0</v>
      </c>
      <c r="K627" t="n">
        <v>-0.09966982769516541</v>
      </c>
      <c r="L627" t="n">
        <v>0.0003768853883842385</v>
      </c>
      <c r="M627" t="n">
        <v>-0.01827260138020524</v>
      </c>
      <c r="N627" t="n">
        <v>0.2831716828317168</v>
      </c>
      <c r="O627" t="n">
        <v>611010.1408194185</v>
      </c>
      <c r="P627" t="n">
        <v>112017.2975175903</v>
      </c>
      <c r="Q627">
        <f>'_live'!$C$23</f>
        <v/>
      </c>
      <c r="R627" t="inlineStr">
        <is>
          <t>shuffled: 0 of 10,000</t>
        </is>
      </c>
      <c r="S627" t="inlineStr">
        <is>
          <t>shuffled: 412 of 10,000</t>
        </is>
      </c>
      <c r="T627" t="n">
        <v>0.1303576778887134</v>
      </c>
      <c r="U627" t="n">
        <v>0.04896045157375318</v>
      </c>
      <c r="V627">
        <f>AND(judged_band,NOT($J627))</f>
        <v/>
      </c>
      <c r="W627">
        <f>IF($K627="","",IF(profit_kind="test",IF(OR(NOT(AND(ISNUMBER($L627),$L627&lt;significance_bar)),$K627=0),"in line",IF($K627&lt;0,"worse","better")),IF(OR($K627=0,IF(profit_kind="points",ABS($K627),ABS($K627*$H627))&lt;profit_line*(1-1E-9)),"in line",IF(AND(ISNUMBER($L627),$L627&lt;significance_bar),IF($K627&lt;0,"worse","better"),IF($K627&lt;0,"worse, not significant","better, not significant")))))</f>
        <v/>
      </c>
      <c r="X627">
        <f>IF($M627="","",IF(profit_kind="test",IF(OR(NOT(AND(ISNUMBER($N627),$N627&lt;significance_bar)),$M627=0),"in line",IF($M627&lt;0,"worse","better")),IF(OR($M627=0,IF(profit_kind="points",ABS($M627),ABS($M627*$H627))&lt;profit_line*(1-1E-9)),"in line",IF(AND(ISNUMBER($N627),$N627&lt;significance_bar),IF($M627&lt;0,"worse","better"),IF($M627&lt;0,"worse, not significant","better, not significant")))))</f>
        <v/>
      </c>
      <c r="Y627">
        <f>IF($V627,$X627,$W627)</f>
        <v/>
      </c>
      <c r="Z627">
        <f>IF($V627,IF($P627="","",$P627),IF($O627="","",$O627))</f>
        <v/>
      </c>
      <c r="AA627">
        <f>IF(OR($Q627="",$Z627=""),"",IF(AND($Z627&gt;0,$Z627&gt;=$Q627),"yes","below the line"))</f>
        <v/>
      </c>
      <c r="AB627">
        <f>IF($V627,IF($M627="","",$M627),IF($K627="","",$K627))</f>
        <v/>
      </c>
      <c r="AC627">
        <f>IF($V627,IF($N627="","",$N627),IF($L627="","",$L627))</f>
        <v/>
      </c>
      <c r="AD627">
        <f>IF($Y627="","",IF($Y627="in line",IF(profit_kind="test",IF(ROUND($AB627*100,2)=0,"0.00",TEXT($AB627*100,"+0.00;-0.00"))&amp;" points against "&amp;IF($V627,"its band","the book")&amp;", "&amp;IF($AC627="","not tested","not significant"),IF(profit_kind="points","within "&amp;TEXT(profit_line*100,"0.00")&amp;" points of "&amp;IF($V627,"its band","the book")&amp;" ("&amp;IF(ROUND($AB627*100,2)=0,"0.00",TEXT($AB627*100,"+0.00;-0.00"))&amp;")","within $"&amp;TEXT(profit_line,"#,##0")&amp;" of "&amp;IF($V627,"its band","the book")&amp;" ("&amp;IF(ROUND($AB627*100,2)=0,"0.00",TEXT($AB627*100,"+0.00;-0.00"))&amp;" points)")),IF(LEFT($Y627,5)="worse","short of ","ahead of ")&amp;IF($V627,"its band","the book")&amp;" by "&amp;TEXT(ABS($AB627)*100,"0.00")&amp;" points"&amp;IF($Z627="",""," ($"&amp;TEXT(ABS($Z627),"#,##0")&amp;")")&amp;IF(RIGHT($Y627,15)="not significant"," (not significant)","")))</f>
        <v/>
      </c>
      <c r="AE627">
        <f>IF($V627,IF($S627="","",$S627),IF($R627="","",$R627))</f>
        <v/>
      </c>
      <c r="AF627">
        <f>IF($V627,IF($U627="","",$U627),IF($T627="","",$T627))</f>
        <v/>
      </c>
      <c r="AG627">
        <f>IF($V627,IF($O627="","",$O627),IF($P627="","",$P627))</f>
        <v/>
      </c>
      <c r="AH627" t="n">
        <v>0.03068785019354794</v>
      </c>
      <c r="AI627">
        <f>IF($Y627="worse","Yes",IF($Y627="worse, not significant","Not sure",IF(OR($Y627="too few losses to test",$Y627="too few loans to test"),"Too few losses",IF($Y627="","","No"))))</f>
        <v/>
      </c>
      <c r="AJ627">
        <f>IF($AA627="yes","Yes",IF($AA627="","","No"))</f>
        <v/>
      </c>
    </row>
    <row r="628">
      <c r="A628" t="inlineStr">
        <is>
          <t>three-way</t>
        </is>
      </c>
      <c r="B628" t="inlineStr">
        <is>
          <t>FICO x ASSET_CLASS / SYS_FLAG</t>
        </is>
      </c>
      <c r="C628" t="inlineStr">
        <is>
          <t>746 - 921</t>
        </is>
      </c>
      <c r="D628" t="inlineStr">
        <is>
          <t>2 / SYS_FLAG Y</t>
        </is>
      </c>
      <c r="E628" t="inlineStr">
        <is>
          <t>contribution_rate</t>
        </is>
      </c>
      <c r="F628" t="inlineStr">
        <is>
          <t>Contribution before losses per booked dollar</t>
        </is>
      </c>
      <c r="G628" t="n">
        <v>180</v>
      </c>
      <c r="H628" t="n">
        <v>6130342.099999999</v>
      </c>
      <c r="I628" t="b">
        <v>0</v>
      </c>
      <c r="J628" t="b">
        <v>0</v>
      </c>
      <c r="K628" t="n">
        <v>-0.1112362235926213</v>
      </c>
      <c r="L628" t="n">
        <v>0.0001814633351479667</v>
      </c>
      <c r="M628" t="n">
        <v>-0.005864257953016087</v>
      </c>
      <c r="N628" t="n">
        <v>0.3827617238276173</v>
      </c>
      <c r="O628" t="n">
        <v>681916.1045348593</v>
      </c>
      <c r="P628" t="n">
        <v>35949.90741463436</v>
      </c>
      <c r="Q628">
        <f>'_live'!$C$24</f>
        <v/>
      </c>
      <c r="R628" t="inlineStr">
        <is>
          <t>shuffled: 0 of 10,000</t>
        </is>
      </c>
      <c r="S628" t="inlineStr">
        <is>
          <t>shuffled: 318 of 10,000</t>
        </is>
      </c>
      <c r="T628" t="n">
        <v>0.1722352467955842</v>
      </c>
      <c r="U628" t="n">
        <v>0.06686328115597896</v>
      </c>
      <c r="V628">
        <f>AND(judged_band,NOT($J628))</f>
        <v/>
      </c>
      <c r="W628">
        <f>IF($K628="","",IF(profit_kind="test",IF(OR(NOT(AND(ISNUMBER($L628),$L628&lt;significance_bar)),$K628=0),"in line",IF($K628&lt;0,"worse","better")),IF(OR($K628=0,IF(profit_kind="points",ABS($K628),ABS($K628*$H628))&lt;profit_line*(1-1E-9)),"in line",IF(AND(ISNUMBER($L628),$L628&lt;significance_bar),IF($K628&lt;0,"worse","better"),IF($K628&lt;0,"worse, not significant","better, not significant")))))</f>
        <v/>
      </c>
      <c r="X628">
        <f>IF($M628="","",IF(profit_kind="test",IF(OR(NOT(AND(ISNUMBER($N628),$N628&lt;significance_bar)),$M628=0),"in line",IF($M628&lt;0,"worse","better")),IF(OR($M628=0,IF(profit_kind="points",ABS($M628),ABS($M628*$H628))&lt;profit_line*(1-1E-9)),"in line",IF(AND(ISNUMBER($N628),$N628&lt;significance_bar),IF($M628&lt;0,"worse","better"),IF($M628&lt;0,"worse, not significant","better, not significant")))))</f>
        <v/>
      </c>
      <c r="Y628">
        <f>IF($V628,$X628,$W628)</f>
        <v/>
      </c>
      <c r="Z628">
        <f>IF($V628,IF($P628="","",$P628),IF($O628="","",$O628))</f>
        <v/>
      </c>
      <c r="AA628">
        <f>IF(OR($Q628="",$Z628=""),"",IF(AND($Z628&gt;0,$Z628&gt;=$Q628),"yes","below the line"))</f>
        <v/>
      </c>
      <c r="AB628">
        <f>IF($V628,IF($M628="","",$M628),IF($K628="","",$K628))</f>
        <v/>
      </c>
      <c r="AC628">
        <f>IF($V628,IF($N628="","",$N628),IF($L628="","",$L628))</f>
        <v/>
      </c>
      <c r="AD628">
        <f>IF($Y628="","",IF($Y628="in line",IF(profit_kind="test",IF(ROUND($AB628*100,2)=0,"0.00",TEXT($AB628*100,"+0.00;-0.00"))&amp;" points against "&amp;IF($V628,"its band","the book")&amp;", "&amp;IF($AC628="","not tested","not significant"),IF(profit_kind="points","within "&amp;TEXT(profit_line*100,"0.00")&amp;" points of "&amp;IF($V628,"its band","the book")&amp;" ("&amp;IF(ROUND($AB628*100,2)=0,"0.00",TEXT($AB628*100,"+0.00;-0.00"))&amp;")","within $"&amp;TEXT(profit_line,"#,##0")&amp;" of "&amp;IF($V628,"its band","the book")&amp;" ("&amp;IF(ROUND($AB628*100,2)=0,"0.00",TEXT($AB628*100,"+0.00;-0.00"))&amp;" points)")),IF(LEFT($Y628,5)="worse","short of ","ahead of ")&amp;IF($V628,"its band","the book")&amp;" by "&amp;TEXT(ABS($AB628)*100,"0.00")&amp;" points"&amp;IF($Z628="",""," ($"&amp;TEXT(ABS($Z628),"#,##0")&amp;")")&amp;IF(RIGHT($Y628,15)="not significant"," (not significant)","")))</f>
        <v/>
      </c>
      <c r="AE628">
        <f>IF($V628,IF($S628="","",$S628),IF($R628="","",$R628))</f>
        <v/>
      </c>
      <c r="AF628">
        <f>IF($V628,IF($U628="","",$U628),IF($T628="","",$T628))</f>
        <v/>
      </c>
      <c r="AG628">
        <f>IF($V628,IF($O628="","",$O628),IF($P628="","",$P628))</f>
        <v/>
      </c>
      <c r="AH628" t="n">
        <v>0.06099902320296288</v>
      </c>
      <c r="AI628">
        <f>IF($Y628="worse","Yes",IF($Y628="worse, not significant","Not sure",IF(OR($Y628="too few losses to test",$Y628="too few loans to test"),"Too few losses",IF($Y628="","","No"))))</f>
        <v/>
      </c>
      <c r="AJ628">
        <f>IF($AA628="yes","Yes",IF($AA628="","","No"))</f>
        <v/>
      </c>
    </row>
    <row r="629">
      <c r="A629" t="inlineStr">
        <is>
          <t>three-way</t>
        </is>
      </c>
      <c r="B629" t="inlineStr">
        <is>
          <t>FICO x ASSET_CLASS / SYS_FLAG</t>
        </is>
      </c>
      <c r="C629" t="inlineStr">
        <is>
          <t>496 - 653</t>
        </is>
      </c>
      <c r="D629" t="inlineStr">
        <is>
          <t>1 / SYS_FLAG N</t>
        </is>
      </c>
      <c r="E629" t="inlineStr">
        <is>
          <t>outcome_loans</t>
        </is>
      </c>
      <c r="F629" t="inlineStr">
        <is>
          <t>Outcome, share of loans</t>
        </is>
      </c>
      <c r="G629" t="n">
        <v>234</v>
      </c>
      <c r="H629" t="n">
        <v>234</v>
      </c>
      <c r="I629" t="b">
        <v>0</v>
      </c>
      <c r="J629" t="b">
        <v>0</v>
      </c>
      <c r="K629" t="n">
        <v>1.050819088319088</v>
      </c>
      <c r="L629" t="n">
        <v>0.8576970718697251</v>
      </c>
      <c r="M629" t="n">
        <v>0.4988869012124826</v>
      </c>
      <c r="N629" t="n">
        <v>0.008444923799612548</v>
      </c>
      <c r="O629" t="n">
        <v>0.918866709594333</v>
      </c>
      <c r="P629" t="n">
        <v>-19.08478425435276</v>
      </c>
      <c r="Q629">
        <f>'_live'!$C$20</f>
        <v/>
      </c>
      <c r="R629" t="inlineStr">
        <is>
          <t>z test</t>
        </is>
      </c>
      <c r="S629" t="inlineStr">
        <is>
          <t>z test</t>
        </is>
      </c>
      <c r="T629" t="n">
        <v>0.07726980038634901</v>
      </c>
      <c r="U629" t="n">
        <v>0.1627554882664648</v>
      </c>
      <c r="V629">
        <f>AND(judged_band,NOT($J629))</f>
        <v/>
      </c>
      <c r="W629">
        <f>IF($K629="","",IF($I629,"too few losses to test",IF(AND($K629&gt;better_at,$K629&lt;worse_at),"in line",IF($K629&gt;=worse_at,IF(AND(ISNUMBER($L629),$L629&lt;significance_bar),"worse","worse, not significant"),IF(AND(ISNUMBER($L629),$L629&lt;significance_bar),"better","better, not significant")))))</f>
        <v/>
      </c>
      <c r="X629">
        <f>IF($M629="","",IF($I629,"too few losses to test",IF(AND($M629&gt;better_at,$M629&lt;worse_at),"in line",IF($M629&gt;=worse_at,IF(AND(ISNUMBER($N629),$N629&lt;significance_bar),"worse","worse, not significant"),IF(AND(ISNUMBER($N629),$N629&lt;significance_bar),"better","better, not significant")))))</f>
        <v/>
      </c>
      <c r="Y629">
        <f>IF($V629,$X629,$W629)</f>
        <v/>
      </c>
      <c r="Z629">
        <f>IF($V629,IF($P629="","",$P629),IF($O629="","",$O629))</f>
        <v/>
      </c>
      <c r="AA629">
        <f>IF(OR($Q629="",$Z629=""),"",IF(AND($Z629&gt;0,$Z629&gt;=$Q629),"yes","below the line"))</f>
        <v/>
      </c>
      <c r="AB629">
        <f>IF($V629,IF($M629="","",$M629),IF($K629="","",$K629))</f>
        <v/>
      </c>
      <c r="AC629">
        <f>IF($V629,IF($N629="","",$N629),IF($L629="","",$L629))</f>
        <v/>
      </c>
      <c r="AD629">
        <f>$Y629</f>
        <v/>
      </c>
      <c r="AE629">
        <f>IF($V629,IF($S629="","",$S629),IF($R629="","",$R629))</f>
        <v/>
      </c>
      <c r="AF629">
        <f>IF($V629,IF($U629="","",$U629),IF($T629="","",$T629))</f>
        <v/>
      </c>
      <c r="AG629">
        <f>IF($V629,IF($O629="","",$O629),IF($P629="","",$P629))</f>
        <v/>
      </c>
      <c r="AH629" t="n">
        <v>0.0811965811965812</v>
      </c>
      <c r="AI629">
        <f>IF($Y629="worse","Yes",IF($Y629="worse, not significant","Not sure",IF(OR($Y629="too few losses to test",$Y629="too few loans to test"),"Too few losses",IF($Y629="","","No"))))</f>
        <v/>
      </c>
      <c r="AJ629">
        <f>IF($AA629="yes","Yes",IF($AA629="","","No"))</f>
        <v/>
      </c>
    </row>
    <row r="630">
      <c r="A630" t="inlineStr">
        <is>
          <t>three-way</t>
        </is>
      </c>
      <c r="B630" t="inlineStr">
        <is>
          <t>FICO x ASSET_CLASS / SYS_FLAG</t>
        </is>
      </c>
      <c r="C630" t="inlineStr">
        <is>
          <t>496 - 653</t>
        </is>
      </c>
      <c r="D630" t="inlineStr">
        <is>
          <t>1 / SYS_FLAG N</t>
        </is>
      </c>
      <c r="E630" t="inlineStr">
        <is>
          <t>outcome_booked</t>
        </is>
      </c>
      <c r="F630" t="inlineStr">
        <is>
          <t>Outcome, share of booked dollars</t>
        </is>
      </c>
      <c r="G630" t="n">
        <v>234</v>
      </c>
      <c r="H630" t="n">
        <v>7231058.249999998</v>
      </c>
      <c r="I630" t="b">
        <v>0</v>
      </c>
      <c r="J630" t="b">
        <v>0</v>
      </c>
      <c r="K630" t="n">
        <v>0.8969576731166691</v>
      </c>
      <c r="L630" t="n">
        <v>0.7238716128387161</v>
      </c>
      <c r="M630" t="n">
        <v>0.413523644416543</v>
      </c>
      <c r="N630" t="n">
        <v>0.006932640069326402</v>
      </c>
      <c r="O630" t="n">
        <v>-55916.83757044876</v>
      </c>
      <c r="P630" t="n">
        <v>-690317.7727365074</v>
      </c>
      <c r="Q630">
        <f>'_live'!$C$21</f>
        <v/>
      </c>
      <c r="R630" t="inlineStr">
        <is>
          <t>shuffled: 6,960 of 10,000</t>
        </is>
      </c>
      <c r="S630" t="inlineStr">
        <is>
          <t>shuffled: 7 of 10,000</t>
        </is>
      </c>
      <c r="T630" t="n">
        <v>0.07504557407907049</v>
      </c>
      <c r="U630" t="n">
        <v>0.1627783668782515</v>
      </c>
      <c r="V630">
        <f>AND(judged_band,NOT($J630))</f>
        <v/>
      </c>
      <c r="W630">
        <f>IF($K630="","",IF($I630,"too few losses to test",IF(AND($K630&gt;better_at,$K630&lt;worse_at),"in line",IF($K630&gt;=worse_at,IF(AND(ISNUMBER($L630),$L630&lt;significance_bar),"worse","worse, not significant"),IF(AND(ISNUMBER($L630),$L630&lt;significance_bar),"better","better, not significant")))))</f>
        <v/>
      </c>
      <c r="X630">
        <f>IF($M630="","",IF($I630,"too few losses to test",IF(AND($M630&gt;better_at,$M630&lt;worse_at),"in line",IF($M630&gt;=worse_at,IF(AND(ISNUMBER($N630),$N630&lt;significance_bar),"worse","worse, not significant"),IF(AND(ISNUMBER($N630),$N630&lt;significance_bar),"better","better, not significant")))))</f>
        <v/>
      </c>
      <c r="Y630">
        <f>IF($V630,$X630,$W630)</f>
        <v/>
      </c>
      <c r="Z630">
        <f>IF($V630,IF($P630="","",$P630),IF($O630="","",$O630))</f>
        <v/>
      </c>
      <c r="AA630">
        <f>IF(OR($Q630="",$Z630=""),"",IF(AND($Z630&gt;0,$Z630&gt;=$Q630),"yes","below the line"))</f>
        <v/>
      </c>
      <c r="AB630">
        <f>IF($V630,IF($M630="","",$M630),IF($K630="","",$K630))</f>
        <v/>
      </c>
      <c r="AC630">
        <f>IF($V630,IF($N630="","",$N630),IF($L630="","",$L630))</f>
        <v/>
      </c>
      <c r="AD630">
        <f>$Y630</f>
        <v/>
      </c>
      <c r="AE630">
        <f>IF($V630,IF($S630="","",$S630),IF($R630="","",$R630))</f>
        <v/>
      </c>
      <c r="AF630">
        <f>IF($V630,IF($U630="","",$U630),IF($T630="","",$T630))</f>
        <v/>
      </c>
      <c r="AG630">
        <f>IF($V630,IF($O630="","",$O630),IF($P630="","",$P630))</f>
        <v/>
      </c>
      <c r="AH630" t="n">
        <v>0.06731270350366768</v>
      </c>
      <c r="AI630">
        <f>IF($Y630="worse","Yes",IF($Y630="worse, not significant","Not sure",IF(OR($Y630="too few losses to test",$Y630="too few loans to test"),"Too few losses",IF($Y630="","","No"))))</f>
        <v/>
      </c>
      <c r="AJ630">
        <f>IF($AA630="yes","Yes",IF($AA630="","","No"))</f>
        <v/>
      </c>
    </row>
    <row r="631">
      <c r="A631" t="inlineStr">
        <is>
          <t>three-way</t>
        </is>
      </c>
      <c r="B631" t="inlineStr">
        <is>
          <t>FICO x ASSET_CLASS / SYS_FLAG</t>
        </is>
      </c>
      <c r="C631" t="inlineStr">
        <is>
          <t>496 - 653</t>
        </is>
      </c>
      <c r="D631" t="inlineStr">
        <is>
          <t>1 / SYS_FLAG N</t>
        </is>
      </c>
      <c r="E631" t="inlineStr">
        <is>
          <t>gco_rate</t>
        </is>
      </c>
      <c r="F631" t="inlineStr">
        <is>
          <t>GCO per booked dollar</t>
        </is>
      </c>
      <c r="G631" t="n">
        <v>234</v>
      </c>
      <c r="H631" t="n">
        <v>7231058.249999998</v>
      </c>
      <c r="I631" t="b">
        <v>0</v>
      </c>
      <c r="J631" t="b">
        <v>0</v>
      </c>
      <c r="K631" t="n">
        <v>1.002860244695351</v>
      </c>
      <c r="L631" t="n">
        <v>0.9916008399160086</v>
      </c>
      <c r="M631" t="n">
        <v>0.4615811731793643</v>
      </c>
      <c r="N631" t="n">
        <v>0.0181981801819818</v>
      </c>
      <c r="O631" t="n">
        <v>860.4359251738642</v>
      </c>
      <c r="P631" t="n">
        <v>-351907.0052300379</v>
      </c>
      <c r="Q631">
        <f>'_live'!$C$22</f>
        <v/>
      </c>
      <c r="R631" t="inlineStr">
        <is>
          <t>shuffled: 9,916 of 10,000</t>
        </is>
      </c>
      <c r="S631" t="inlineStr">
        <is>
          <t>shuffled: 27 of 10,000</t>
        </is>
      </c>
      <c r="T631" t="n">
        <v>0.04160193068211367</v>
      </c>
      <c r="U631" t="n">
        <v>0.09038696725061481</v>
      </c>
      <c r="V631">
        <f>AND(judged_band,NOT($J631))</f>
        <v/>
      </c>
      <c r="W631">
        <f>IF($K631="","",IF($I631,"too few losses to test",IF(AND($K631&gt;better_at,$K631&lt;worse_at),"in line",IF($K631&gt;=worse_at,IF(AND(ISNUMBER($L631),$L631&lt;significance_bar),"worse","worse, not significant"),IF(AND(ISNUMBER($L631),$L631&lt;significance_bar),"better","better, not significant")))))</f>
        <v/>
      </c>
      <c r="X631">
        <f>IF($M631="","",IF($I631,"too few losses to test",IF(AND($M631&gt;better_at,$M631&lt;worse_at),"in line",IF($M631&gt;=worse_at,IF(AND(ISNUMBER($N631),$N631&lt;significance_bar),"worse","worse, not significant"),IF(AND(ISNUMBER($N631),$N631&lt;significance_bar),"better","better, not significant")))))</f>
        <v/>
      </c>
      <c r="Y631">
        <f>IF($V631,$X631,$W631)</f>
        <v/>
      </c>
      <c r="Z631">
        <f>IF($V631,IF($P631="","",$P631),IF($O631="","",$O631))</f>
        <v/>
      </c>
      <c r="AA631">
        <f>IF(OR($Q631="",$Z631=""),"",IF(AND($Z631&gt;0,$Z631&gt;=$Q631),"yes","below the line"))</f>
        <v/>
      </c>
      <c r="AB631">
        <f>IF($V631,IF($M631="","",$M631),IF($K631="","",$K631))</f>
        <v/>
      </c>
      <c r="AC631">
        <f>IF($V631,IF($N631="","",$N631),IF($L631="","",$L631))</f>
        <v/>
      </c>
      <c r="AD631">
        <f>$Y631</f>
        <v/>
      </c>
      <c r="AE631">
        <f>IF($V631,IF($S631="","",$S631),IF($R631="","",$R631))</f>
        <v/>
      </c>
      <c r="AF631">
        <f>IF($V631,IF($U631="","",$U631),IF($T631="","",$T631))</f>
        <v/>
      </c>
      <c r="AG631">
        <f>IF($V631,IF($O631="","",$O631),IF($P631="","",$P631))</f>
        <v/>
      </c>
      <c r="AH631" t="n">
        <v>0.04172092238366356</v>
      </c>
      <c r="AI631">
        <f>IF($Y631="worse","Yes",IF($Y631="worse, not significant","Not sure",IF(OR($Y631="too few losses to test",$Y631="too few loans to test"),"Too few losses",IF($Y631="","","No"))))</f>
        <v/>
      </c>
      <c r="AJ631">
        <f>IF($AA631="yes","Yes",IF($AA631="","","No"))</f>
        <v/>
      </c>
    </row>
    <row r="632">
      <c r="A632" t="inlineStr">
        <is>
          <t>three-way</t>
        </is>
      </c>
      <c r="B632" t="inlineStr">
        <is>
          <t>FICO x ASSET_CLASS / SYS_FLAG</t>
        </is>
      </c>
      <c r="C632" t="inlineStr">
        <is>
          <t>496 - 653</t>
        </is>
      </c>
      <c r="D632" t="inlineStr">
        <is>
          <t>1 / SYS_FLAG N</t>
        </is>
      </c>
      <c r="E632" t="inlineStr">
        <is>
          <t>ranr_rate</t>
        </is>
      </c>
      <c r="F632" t="inlineStr">
        <is>
          <t>Profit after losses: RANR per booked dollar</t>
        </is>
      </c>
      <c r="G632" t="n">
        <v>234</v>
      </c>
      <c r="H632" t="n">
        <v>7231058.249999998</v>
      </c>
      <c r="I632" t="b">
        <v>0</v>
      </c>
      <c r="J632" t="b">
        <v>0</v>
      </c>
      <c r="K632" t="n">
        <v>0.1151158595810829</v>
      </c>
      <c r="L632" t="n">
        <v>0.0003768853883842385</v>
      </c>
      <c r="M632" t="n">
        <v>0.05796854682993452</v>
      </c>
      <c r="N632" t="n">
        <v>0.0383961603839616</v>
      </c>
      <c r="O632" t="n">
        <v>-832409.4861296313</v>
      </c>
      <c r="P632" t="n">
        <v>-419173.9387951093</v>
      </c>
      <c r="Q632">
        <f>'_live'!$C$23</f>
        <v/>
      </c>
      <c r="R632" t="inlineStr">
        <is>
          <t>shuffled: 0 of 10,000</t>
        </is>
      </c>
      <c r="S632" t="inlineStr">
        <is>
          <t>shuffled: 23 of 10,000</t>
        </is>
      </c>
      <c r="T632" t="n">
        <v>0.1247645120090643</v>
      </c>
      <c r="U632" t="n">
        <v>0.1819118247602127</v>
      </c>
      <c r="V632">
        <f>AND(judged_band,NOT($J632))</f>
        <v/>
      </c>
      <c r="W632">
        <f>IF($K632="","",IF(profit_kind="test",IF(OR(NOT(AND(ISNUMBER($L632),$L632&lt;significance_bar)),$K632=0),"in line",IF($K632&lt;0,"worse","better")),IF(OR($K632=0,IF(profit_kind="points",ABS($K632),ABS($K632*$H632))&lt;profit_line*(1-1E-9)),"in line",IF(AND(ISNUMBER($L632),$L632&lt;significance_bar),IF($K632&lt;0,"worse","better"),IF($K632&lt;0,"worse, not significant","better, not significant")))))</f>
        <v/>
      </c>
      <c r="X632">
        <f>IF($M632="","",IF(profit_kind="test",IF(OR(NOT(AND(ISNUMBER($N632),$N632&lt;significance_bar)),$M632=0),"in line",IF($M632&lt;0,"worse","better")),IF(OR($M632=0,IF(profit_kind="points",ABS($M632),ABS($M632*$H632))&lt;profit_line*(1-1E-9)),"in line",IF(AND(ISNUMBER($N632),$N632&lt;significance_bar),IF($M632&lt;0,"worse","better"),IF($M632&lt;0,"worse, not significant","better, not significant")))))</f>
        <v/>
      </c>
      <c r="Y632">
        <f>IF($V632,$X632,$W632)</f>
        <v/>
      </c>
      <c r="Z632">
        <f>IF($V632,IF($P632="","",$P632),IF($O632="","",$O632))</f>
        <v/>
      </c>
      <c r="AA632">
        <f>IF(OR($Q632="",$Z632=""),"",IF(AND($Z632&gt;0,$Z632&gt;=$Q632),"yes","below the line"))</f>
        <v/>
      </c>
      <c r="AB632">
        <f>IF($V632,IF($M632="","",$M632),IF($K632="","",$K632))</f>
        <v/>
      </c>
      <c r="AC632">
        <f>IF($V632,IF($N632="","",$N632),IF($L632="","",$L632))</f>
        <v/>
      </c>
      <c r="AD632">
        <f>IF($Y632="","",IF($Y632="in line",IF(profit_kind="test",IF(ROUND($AB632*100,2)=0,"0.00",TEXT($AB632*100,"+0.00;-0.00"))&amp;" points against "&amp;IF($V632,"its band","the book")&amp;", "&amp;IF($AC632="","not tested","not significant"),IF(profit_kind="points","within "&amp;TEXT(profit_line*100,"0.00")&amp;" points of "&amp;IF($V632,"its band","the book")&amp;" ("&amp;IF(ROUND($AB632*100,2)=0,"0.00",TEXT($AB632*100,"+0.00;-0.00"))&amp;")","within $"&amp;TEXT(profit_line,"#,##0")&amp;" of "&amp;IF($V632,"its band","the book")&amp;" ("&amp;IF(ROUND($AB632*100,2)=0,"0.00",TEXT($AB632*100,"+0.00;-0.00"))&amp;" points)")),IF(LEFT($Y632,5)="worse","short of ","ahead of ")&amp;IF($V632,"its band","the book")&amp;" by "&amp;TEXT(ABS($AB632)*100,"0.00")&amp;" points"&amp;IF($Z632="",""," ($"&amp;TEXT(ABS($Z632),"#,##0")&amp;")")&amp;IF(RIGHT($Y632,15)="not significant"," (not significant)","")))</f>
        <v/>
      </c>
      <c r="AE632">
        <f>IF($V632,IF($S632="","",$S632),IF($R632="","",$R632))</f>
        <v/>
      </c>
      <c r="AF632">
        <f>IF($V632,IF($U632="","",$U632),IF($T632="","",$T632))</f>
        <v/>
      </c>
      <c r="AG632">
        <f>IF($V632,IF($O632="","",$O632),IF($P632="","",$P632))</f>
        <v/>
      </c>
      <c r="AH632" t="n">
        <v>0.2398803715901472</v>
      </c>
      <c r="AI632">
        <f>IF($Y632="worse","Yes",IF($Y632="worse, not significant","Not sure",IF(OR($Y632="too few losses to test",$Y632="too few loans to test"),"Too few losses",IF($Y632="","","No"))))</f>
        <v/>
      </c>
      <c r="AJ632">
        <f>IF($AA632="yes","Yes",IF($AA632="","","No"))</f>
        <v/>
      </c>
    </row>
    <row r="633">
      <c r="A633" t="inlineStr">
        <is>
          <t>three-way</t>
        </is>
      </c>
      <c r="B633" t="inlineStr">
        <is>
          <t>FICO x ASSET_CLASS / SYS_FLAG</t>
        </is>
      </c>
      <c r="C633" t="inlineStr">
        <is>
          <t>496 - 653</t>
        </is>
      </c>
      <c r="D633" t="inlineStr">
        <is>
          <t>1 / SYS_FLAG N</t>
        </is>
      </c>
      <c r="E633" t="inlineStr">
        <is>
          <t>contribution_rate</t>
        </is>
      </c>
      <c r="F633" t="inlineStr">
        <is>
          <t>Contribution before losses per booked dollar</t>
        </is>
      </c>
      <c r="G633" t="n">
        <v>234</v>
      </c>
      <c r="H633" t="n">
        <v>7231058.249999998</v>
      </c>
      <c r="I633" t="b">
        <v>0</v>
      </c>
      <c r="J633" t="b">
        <v>0</v>
      </c>
      <c r="K633" t="n">
        <v>0.1152383033535457</v>
      </c>
      <c r="L633" t="n">
        <v>0.0001814633351479667</v>
      </c>
      <c r="M633" t="n">
        <v>0.009302501962983323</v>
      </c>
      <c r="N633" t="n">
        <v>0.937752378608293</v>
      </c>
      <c r="O633" t="n">
        <v>-833294.8841806592</v>
      </c>
      <c r="P633" t="n">
        <v>-67266.93356507155</v>
      </c>
      <c r="Q633">
        <f>'_live'!$C$24</f>
        <v/>
      </c>
      <c r="R633" t="inlineStr">
        <is>
          <t>shuffled: 0 of 10,000</t>
        </is>
      </c>
      <c r="S633" t="inlineStr">
        <is>
          <t>shuffled: 4,108 of 10,000</t>
        </is>
      </c>
      <c r="T633" t="n">
        <v>0.1663629906202652</v>
      </c>
      <c r="U633" t="n">
        <v>0.2722987920108276</v>
      </c>
      <c r="V633">
        <f>AND(judged_band,NOT($J633))</f>
        <v/>
      </c>
      <c r="W633">
        <f>IF($K633="","",IF(profit_kind="test",IF(OR(NOT(AND(ISNUMBER($L633),$L633&lt;significance_bar)),$K633=0),"in line",IF($K633&lt;0,"worse","better")),IF(OR($K633=0,IF(profit_kind="points",ABS($K633),ABS($K633*$H633))&lt;profit_line*(1-1E-9)),"in line",IF(AND(ISNUMBER($L633),$L633&lt;significance_bar),IF($K633&lt;0,"worse","better"),IF($K633&lt;0,"worse, not significant","better, not significant")))))</f>
        <v/>
      </c>
      <c r="X633">
        <f>IF($M633="","",IF(profit_kind="test",IF(OR(NOT(AND(ISNUMBER($N633),$N633&lt;significance_bar)),$M633=0),"in line",IF($M633&lt;0,"worse","better")),IF(OR($M633=0,IF(profit_kind="points",ABS($M633),ABS($M633*$H633))&lt;profit_line*(1-1E-9)),"in line",IF(AND(ISNUMBER($N633),$N633&lt;significance_bar),IF($M633&lt;0,"worse","better"),IF($M633&lt;0,"worse, not significant","better, not significant")))))</f>
        <v/>
      </c>
      <c r="Y633">
        <f>IF($V633,$X633,$W633)</f>
        <v/>
      </c>
      <c r="Z633">
        <f>IF($V633,IF($P633="","",$P633),IF($O633="","",$O633))</f>
        <v/>
      </c>
      <c r="AA633">
        <f>IF(OR($Q633="",$Z633=""),"",IF(AND($Z633&gt;0,$Z633&gt;=$Q633),"yes","below the line"))</f>
        <v/>
      </c>
      <c r="AB633">
        <f>IF($V633,IF($M633="","",$M633),IF($K633="","",$K633))</f>
        <v/>
      </c>
      <c r="AC633">
        <f>IF($V633,IF($N633="","",$N633),IF($L633="","",$L633))</f>
        <v/>
      </c>
      <c r="AD633">
        <f>IF($Y633="","",IF($Y633="in line",IF(profit_kind="test",IF(ROUND($AB633*100,2)=0,"0.00",TEXT($AB633*100,"+0.00;-0.00"))&amp;" points against "&amp;IF($V633,"its band","the book")&amp;", "&amp;IF($AC633="","not tested","not significant"),IF(profit_kind="points","within "&amp;TEXT(profit_line*100,"0.00")&amp;" points of "&amp;IF($V633,"its band","the book")&amp;" ("&amp;IF(ROUND($AB633*100,2)=0,"0.00",TEXT($AB633*100,"+0.00;-0.00"))&amp;")","within $"&amp;TEXT(profit_line,"#,##0")&amp;" of "&amp;IF($V633,"its band","the book")&amp;" ("&amp;IF(ROUND($AB633*100,2)=0,"0.00",TEXT($AB633*100,"+0.00;-0.00"))&amp;" points)")),IF(LEFT($Y633,5)="worse","short of ","ahead of ")&amp;IF($V633,"its band","the book")&amp;" by "&amp;TEXT(ABS($AB633)*100,"0.00")&amp;" points"&amp;IF($Z633="",""," ($"&amp;TEXT(ABS($Z633),"#,##0")&amp;")")&amp;IF(RIGHT($Y633,15)="not significant"," (not significant)","")))</f>
        <v/>
      </c>
      <c r="AE633">
        <f>IF($V633,IF($S633="","",$S633),IF($R633="","",$R633))</f>
        <v/>
      </c>
      <c r="AF633">
        <f>IF($V633,IF($U633="","",$U633),IF($T633="","",$T633))</f>
        <v/>
      </c>
      <c r="AG633">
        <f>IF($V633,IF($O633="","",$O633),IF($P633="","",$P633))</f>
        <v/>
      </c>
      <c r="AH633" t="n">
        <v>0.2816012939738109</v>
      </c>
      <c r="AI633">
        <f>IF($Y633="worse","Yes",IF($Y633="worse, not significant","Not sure",IF(OR($Y633="too few losses to test",$Y633="too few loans to test"),"Too few losses",IF($Y633="","","No"))))</f>
        <v/>
      </c>
      <c r="AJ633">
        <f>IF($AA633="yes","Yes",IF($AA633="","","No"))</f>
        <v/>
      </c>
    </row>
    <row r="634">
      <c r="A634" t="inlineStr">
        <is>
          <t>three-way</t>
        </is>
      </c>
      <c r="B634" t="inlineStr">
        <is>
          <t>FICO x ASSET_CLASS / SYS_FLAG</t>
        </is>
      </c>
      <c r="C634" t="inlineStr">
        <is>
          <t>686 - 711</t>
        </is>
      </c>
      <c r="D634" t="inlineStr">
        <is>
          <t>1 / SYS_FLAG Y</t>
        </is>
      </c>
      <c r="E634" t="inlineStr">
        <is>
          <t>outcome_loans</t>
        </is>
      </c>
      <c r="F634" t="inlineStr">
        <is>
          <t>Outcome, share of loans</t>
        </is>
      </c>
      <c r="G634" t="n">
        <v>167</v>
      </c>
      <c r="H634" t="n">
        <v>167</v>
      </c>
      <c r="I634" t="b">
        <v>1</v>
      </c>
      <c r="J634" t="b">
        <v>0</v>
      </c>
      <c r="K634" t="n">
        <v>0.6919407087464415</v>
      </c>
      <c r="M634" t="n">
        <v>0.8641338013627917</v>
      </c>
      <c r="O634" t="n">
        <v>-4.006894790602656</v>
      </c>
      <c r="P634" t="n">
        <v>-1.415053763440859</v>
      </c>
      <c r="Q634">
        <f>'_live'!$C$20</f>
        <v/>
      </c>
      <c r="T634" t="n">
        <v>0.0778855975485189</v>
      </c>
      <c r="U634" t="n">
        <v>0.06236559139784946</v>
      </c>
      <c r="V634">
        <f>AND(judged_band,NOT($J634))</f>
        <v/>
      </c>
      <c r="W634">
        <f>IF($K634="","",IF($I634,"too few losses to test",IF(AND($K634&gt;better_at,$K634&lt;worse_at),"in line",IF($K634&gt;=worse_at,IF(AND(ISNUMBER($L634),$L634&lt;significance_bar),"worse","worse, not significant"),IF(AND(ISNUMBER($L634),$L634&lt;significance_bar),"better","better, not significant")))))</f>
        <v/>
      </c>
      <c r="X634">
        <f>IF($M634="","",IF($I634,"too few losses to test",IF(AND($M634&gt;better_at,$M634&lt;worse_at),"in line",IF($M634&gt;=worse_at,IF(AND(ISNUMBER($N634),$N634&lt;significance_bar),"worse","worse, not significant"),IF(AND(ISNUMBER($N634),$N634&lt;significance_bar),"better","better, not significant")))))</f>
        <v/>
      </c>
      <c r="Y634">
        <f>IF($V634,$X634,$W634)</f>
        <v/>
      </c>
      <c r="Z634">
        <f>IF($V634,IF($P634="","",$P634),IF($O634="","",$O634))</f>
        <v/>
      </c>
      <c r="AA634">
        <f>IF(OR($Q634="",$Z634=""),"",IF(AND($Z634&gt;0,$Z634&gt;=$Q634),"yes","below the line"))</f>
        <v/>
      </c>
      <c r="AB634">
        <f>IF($V634,IF($M634="","",$M634),IF($K634="","",$K634))</f>
        <v/>
      </c>
      <c r="AC634">
        <f>IF($V634,IF($N634="","",$N634),IF($L634="","",$L634))</f>
        <v/>
      </c>
      <c r="AD634">
        <f>$Y634</f>
        <v/>
      </c>
      <c r="AE634">
        <f>IF($V634,IF($S634="","",$S634),IF($R634="","",$R634))</f>
        <v/>
      </c>
      <c r="AF634">
        <f>IF($V634,IF($U634="","",$U634),IF($T634="","",$T634))</f>
        <v/>
      </c>
      <c r="AG634">
        <f>IF($V634,IF($O634="","",$O634),IF($P634="","",$P634))</f>
        <v/>
      </c>
      <c r="AH634" t="n">
        <v>0.05389221556886228</v>
      </c>
      <c r="AI634">
        <f>IF($Y634="worse","Yes",IF($Y634="worse, not significant","Not sure",IF(OR($Y634="too few losses to test",$Y634="too few loans to test"),"Too few losses",IF($Y634="","","No"))))</f>
        <v/>
      </c>
      <c r="AJ634">
        <f>IF($AA634="yes","Yes",IF($AA634="","","No"))</f>
        <v/>
      </c>
    </row>
    <row r="635">
      <c r="A635" t="inlineStr">
        <is>
          <t>three-way</t>
        </is>
      </c>
      <c r="B635" t="inlineStr">
        <is>
          <t>FICO x ASSET_CLASS / SYS_FLAG</t>
        </is>
      </c>
      <c r="C635" t="inlineStr">
        <is>
          <t>686 - 711</t>
        </is>
      </c>
      <c r="D635" t="inlineStr">
        <is>
          <t>1 / SYS_FLAG Y</t>
        </is>
      </c>
      <c r="E635" t="inlineStr">
        <is>
          <t>outcome_booked</t>
        </is>
      </c>
      <c r="F635" t="inlineStr">
        <is>
          <t>Outcome, share of booked dollars</t>
        </is>
      </c>
      <c r="G635" t="n">
        <v>167</v>
      </c>
      <c r="H635" t="n">
        <v>5577530.330000002</v>
      </c>
      <c r="I635" t="b">
        <v>1</v>
      </c>
      <c r="J635" t="b">
        <v>0</v>
      </c>
      <c r="K635" t="n">
        <v>0.9189623379566556</v>
      </c>
      <c r="M635" t="n">
        <v>1.243727406647254</v>
      </c>
      <c r="O635" t="n">
        <v>-33881.25095053547</v>
      </c>
      <c r="P635" t="n">
        <v>75292.09988123213</v>
      </c>
      <c r="Q635">
        <f>'_live'!$C$21</f>
        <v/>
      </c>
      <c r="T635" t="n">
        <v>0.07496017524131247</v>
      </c>
      <c r="U635" t="n">
        <v>0.0553863953831279</v>
      </c>
      <c r="V635">
        <f>AND(judged_band,NOT($J635))</f>
        <v/>
      </c>
      <c r="W635">
        <f>IF($K635="","",IF($I635,"too few losses to test",IF(AND($K635&gt;better_at,$K635&lt;worse_at),"in line",IF($K635&gt;=worse_at,IF(AND(ISNUMBER($L635),$L635&lt;significance_bar),"worse","worse, not significant"),IF(AND(ISNUMBER($L635),$L635&lt;significance_bar),"better","better, not significant")))))</f>
        <v/>
      </c>
      <c r="X635">
        <f>IF($M635="","",IF($I635,"too few losses to test",IF(AND($M635&gt;better_at,$M635&lt;worse_at),"in line",IF($M635&gt;=worse_at,IF(AND(ISNUMBER($N635),$N635&lt;significance_bar),"worse","worse, not significant"),IF(AND(ISNUMBER($N635),$N635&lt;significance_bar),"better","better, not significant")))))</f>
        <v/>
      </c>
      <c r="Y635">
        <f>IF($V635,$X635,$W635)</f>
        <v/>
      </c>
      <c r="Z635">
        <f>IF($V635,IF($P635="","",$P635),IF($O635="","",$O635))</f>
        <v/>
      </c>
      <c r="AA635">
        <f>IF(OR($Q635="",$Z635=""),"",IF(AND($Z635&gt;0,$Z635&gt;=$Q635),"yes","below the line"))</f>
        <v/>
      </c>
      <c r="AB635">
        <f>IF($V635,IF($M635="","",$M635),IF($K635="","",$K635))</f>
        <v/>
      </c>
      <c r="AC635">
        <f>IF($V635,IF($N635="","",$N635),IF($L635="","",$L635))</f>
        <v/>
      </c>
      <c r="AD635">
        <f>$Y635</f>
        <v/>
      </c>
      <c r="AE635">
        <f>IF($V635,IF($S635="","",$S635),IF($R635="","",$R635))</f>
        <v/>
      </c>
      <c r="AF635">
        <f>IF($V635,IF($U635="","",$U635),IF($T635="","",$T635))</f>
        <v/>
      </c>
      <c r="AG635">
        <f>IF($V635,IF($O635="","",$O635),IF($P635="","",$P635))</f>
        <v/>
      </c>
      <c r="AH635" t="n">
        <v>0.06888557789339712</v>
      </c>
      <c r="AI635">
        <f>IF($Y635="worse","Yes",IF($Y635="worse, not significant","Not sure",IF(OR($Y635="too few losses to test",$Y635="too few loans to test"),"Too few losses",IF($Y635="","","No"))))</f>
        <v/>
      </c>
      <c r="AJ635">
        <f>IF($AA635="yes","Yes",IF($AA635="","","No"))</f>
        <v/>
      </c>
    </row>
    <row r="636">
      <c r="A636" t="inlineStr">
        <is>
          <t>three-way</t>
        </is>
      </c>
      <c r="B636" t="inlineStr">
        <is>
          <t>FICO x ASSET_CLASS / SYS_FLAG</t>
        </is>
      </c>
      <c r="C636" t="inlineStr">
        <is>
          <t>686 - 711</t>
        </is>
      </c>
      <c r="D636" t="inlineStr">
        <is>
          <t>1 / SYS_FLAG Y</t>
        </is>
      </c>
      <c r="E636" t="inlineStr">
        <is>
          <t>gco_rate</t>
        </is>
      </c>
      <c r="F636" t="inlineStr">
        <is>
          <t>GCO per booked dollar</t>
        </is>
      </c>
      <c r="G636" t="n">
        <v>167</v>
      </c>
      <c r="H636" t="n">
        <v>5577530.330000002</v>
      </c>
      <c r="I636" t="b">
        <v>1</v>
      </c>
      <c r="J636" t="b">
        <v>0</v>
      </c>
      <c r="K636" t="n">
        <v>0.8915749810227813</v>
      </c>
      <c r="M636" t="n">
        <v>1.206424156132943</v>
      </c>
      <c r="O636" t="n">
        <v>-25219.63502071818</v>
      </c>
      <c r="P636" t="n">
        <v>35483.59851766282</v>
      </c>
      <c r="Q636">
        <f>'_live'!$C$22</f>
        <v/>
      </c>
      <c r="T636" t="n">
        <v>0.04170300496074902</v>
      </c>
      <c r="U636" t="n">
        <v>0.0308194722954267</v>
      </c>
      <c r="V636">
        <f>AND(judged_band,NOT($J636))</f>
        <v/>
      </c>
      <c r="W636">
        <f>IF($K636="","",IF($I636,"too few losses to test",IF(AND($K636&gt;better_at,$K636&lt;worse_at),"in line",IF($K636&gt;=worse_at,IF(AND(ISNUMBER($L636),$L636&lt;significance_bar),"worse","worse, not significant"),IF(AND(ISNUMBER($L636),$L636&lt;significance_bar),"better","better, not significant")))))</f>
        <v/>
      </c>
      <c r="X636">
        <f>IF($M636="","",IF($I636,"too few losses to test",IF(AND($M636&gt;better_at,$M636&lt;worse_at),"in line",IF($M636&gt;=worse_at,IF(AND(ISNUMBER($N636),$N636&lt;significance_bar),"worse","worse, not significant"),IF(AND(ISNUMBER($N636),$N636&lt;significance_bar),"better","better, not significant")))))</f>
        <v/>
      </c>
      <c r="Y636">
        <f>IF($V636,$X636,$W636)</f>
        <v/>
      </c>
      <c r="Z636">
        <f>IF($V636,IF($P636="","",$P636),IF($O636="","",$O636))</f>
        <v/>
      </c>
      <c r="AA636">
        <f>IF(OR($Q636="",$Z636=""),"",IF(AND($Z636&gt;0,$Z636&gt;=$Q636),"yes","below the line"))</f>
        <v/>
      </c>
      <c r="AB636">
        <f>IF($V636,IF($M636="","",$M636),IF($K636="","",$K636))</f>
        <v/>
      </c>
      <c r="AC636">
        <f>IF($V636,IF($N636="","",$N636),IF($L636="","",$L636))</f>
        <v/>
      </c>
      <c r="AD636">
        <f>$Y636</f>
        <v/>
      </c>
      <c r="AE636">
        <f>IF($V636,IF($S636="","",$S636),IF($R636="","",$R636))</f>
        <v/>
      </c>
      <c r="AF636">
        <f>IF($V636,IF($U636="","",$U636),IF($T636="","",$T636))</f>
        <v/>
      </c>
      <c r="AG636">
        <f>IF($V636,IF($O636="","",$O636),IF($P636="","",$P636))</f>
        <v/>
      </c>
      <c r="AH636" t="n">
        <v>0.03718135585647276</v>
      </c>
      <c r="AI636">
        <f>IF($Y636="worse","Yes",IF($Y636="worse, not significant","Not sure",IF(OR($Y636="too few losses to test",$Y636="too few loans to test"),"Too few losses",IF($Y636="","","No"))))</f>
        <v/>
      </c>
      <c r="AJ636">
        <f>IF($AA636="yes","Yes",IF($AA636="","","No"))</f>
        <v/>
      </c>
    </row>
    <row r="637">
      <c r="A637" t="inlineStr">
        <is>
          <t>three-way</t>
        </is>
      </c>
      <c r="B637" t="inlineStr">
        <is>
          <t>FICO x ASSET_CLASS / SYS_FLAG</t>
        </is>
      </c>
      <c r="C637" t="inlineStr">
        <is>
          <t>686 - 711</t>
        </is>
      </c>
      <c r="D637" t="inlineStr">
        <is>
          <t>1 / SYS_FLAG Y</t>
        </is>
      </c>
      <c r="E637" t="inlineStr">
        <is>
          <t>ranr_rate</t>
        </is>
      </c>
      <c r="F637" t="inlineStr">
        <is>
          <t>Profit after losses: RANR per booked dollar</t>
        </is>
      </c>
      <c r="G637" t="n">
        <v>167</v>
      </c>
      <c r="H637" t="n">
        <v>5577530.330000002</v>
      </c>
      <c r="I637" t="b">
        <v>0</v>
      </c>
      <c r="J637" t="b">
        <v>0</v>
      </c>
      <c r="K637" t="n">
        <v>0.009479383290288135</v>
      </c>
      <c r="L637" t="n">
        <v>0.6264536337063968</v>
      </c>
      <c r="M637" t="n">
        <v>-0.005224994956021911</v>
      </c>
      <c r="N637" t="n">
        <v>0.8858714128587142</v>
      </c>
      <c r="O637" t="n">
        <v>-52871.54781127721</v>
      </c>
      <c r="P637" t="n">
        <v>29142.56784130924</v>
      </c>
      <c r="Q637">
        <f>'_live'!$C$23</f>
        <v/>
      </c>
      <c r="R637" t="inlineStr">
        <is>
          <t>shuffled: 5,497 of 10,000</t>
        </is>
      </c>
      <c r="S637" t="inlineStr">
        <is>
          <t>shuffled: 7,171 of 10,000</t>
        </is>
      </c>
      <c r="T637" t="n">
        <v>0.1277851755202777</v>
      </c>
      <c r="U637" t="n">
        <v>0.1424895537665877</v>
      </c>
      <c r="V637">
        <f>AND(judged_band,NOT($J637))</f>
        <v/>
      </c>
      <c r="W637">
        <f>IF($K637="","",IF(profit_kind="test",IF(OR(NOT(AND(ISNUMBER($L637),$L637&lt;significance_bar)),$K637=0),"in line",IF($K637&lt;0,"worse","better")),IF(OR($K637=0,IF(profit_kind="points",ABS($K637),ABS($K637*$H637))&lt;profit_line*(1-1E-9)),"in line",IF(AND(ISNUMBER($L637),$L637&lt;significance_bar),IF($K637&lt;0,"worse","better"),IF($K637&lt;0,"worse, not significant","better, not significant")))))</f>
        <v/>
      </c>
      <c r="X637">
        <f>IF($M637="","",IF(profit_kind="test",IF(OR(NOT(AND(ISNUMBER($N637),$N637&lt;significance_bar)),$M637=0),"in line",IF($M637&lt;0,"worse","better")),IF(OR($M637=0,IF(profit_kind="points",ABS($M637),ABS($M637*$H637))&lt;profit_line*(1-1E-9)),"in line",IF(AND(ISNUMBER($N637),$N637&lt;significance_bar),IF($M637&lt;0,"worse","better"),IF($M637&lt;0,"worse, not significant","better, not significant")))))</f>
        <v/>
      </c>
      <c r="Y637">
        <f>IF($V637,$X637,$W637)</f>
        <v/>
      </c>
      <c r="Z637">
        <f>IF($V637,IF($P637="","",$P637),IF($O637="","",$O637))</f>
        <v/>
      </c>
      <c r="AA637">
        <f>IF(OR($Q637="",$Z637=""),"",IF(AND($Z637&gt;0,$Z637&gt;=$Q637),"yes","below the line"))</f>
        <v/>
      </c>
      <c r="AB637">
        <f>IF($V637,IF($M637="","",$M637),IF($K637="","",$K637))</f>
        <v/>
      </c>
      <c r="AC637">
        <f>IF($V637,IF($N637="","",$N637),IF($L637="","",$L637))</f>
        <v/>
      </c>
      <c r="AD637">
        <f>IF($Y637="","",IF($Y637="in line",IF(profit_kind="test",IF(ROUND($AB637*100,2)=0,"0.00",TEXT($AB637*100,"+0.00;-0.00"))&amp;" points against "&amp;IF($V637,"its band","the book")&amp;", "&amp;IF($AC637="","not tested","not significant"),IF(profit_kind="points","within "&amp;TEXT(profit_line*100,"0.00")&amp;" points of "&amp;IF($V637,"its band","the book")&amp;" ("&amp;IF(ROUND($AB637*100,2)=0,"0.00",TEXT($AB637*100,"+0.00;-0.00"))&amp;")","within $"&amp;TEXT(profit_line,"#,##0")&amp;" of "&amp;IF($V637,"its band","the book")&amp;" ("&amp;IF(ROUND($AB637*100,2)=0,"0.00",TEXT($AB637*100,"+0.00;-0.00"))&amp;" points)")),IF(LEFT($Y637,5)="worse","short of ","ahead of ")&amp;IF($V637,"its band","the book")&amp;" by "&amp;TEXT(ABS($AB637)*100,"0.00")&amp;" points"&amp;IF($Z637="",""," ($"&amp;TEXT(ABS($Z637),"#,##0")&amp;")")&amp;IF(RIGHT($Y637,15)="not significant"," (not significant)","")))</f>
        <v/>
      </c>
      <c r="AE637">
        <f>IF($V637,IF($S637="","",$S637),IF($R637="","",$R637))</f>
        <v/>
      </c>
      <c r="AF637">
        <f>IF($V637,IF($U637="","",$U637),IF($T637="","",$T637))</f>
        <v/>
      </c>
      <c r="AG637">
        <f>IF($V637,IF($O637="","",$O637),IF($P637="","",$P637))</f>
        <v/>
      </c>
      <c r="AH637" t="n">
        <v>0.1372645588105658</v>
      </c>
      <c r="AI637">
        <f>IF($Y637="worse","Yes",IF($Y637="worse, not significant","Not sure",IF(OR($Y637="too few losses to test",$Y637="too few loans to test"),"Too few losses",IF($Y637="","","No"))))</f>
        <v/>
      </c>
      <c r="AJ637">
        <f>IF($AA637="yes","Yes",IF($AA637="","","No"))</f>
        <v/>
      </c>
    </row>
    <row r="638">
      <c r="A638" t="inlineStr">
        <is>
          <t>three-way</t>
        </is>
      </c>
      <c r="B638" t="inlineStr">
        <is>
          <t>FICO x ASSET_CLASS / SYS_FLAG</t>
        </is>
      </c>
      <c r="C638" t="inlineStr">
        <is>
          <t>686 - 711</t>
        </is>
      </c>
      <c r="D638" t="inlineStr">
        <is>
          <t>1 / SYS_FLAG Y</t>
        </is>
      </c>
      <c r="E638" t="inlineStr">
        <is>
          <t>contribution_rate</t>
        </is>
      </c>
      <c r="F638" t="inlineStr">
        <is>
          <t>Contribution before losses per booked dollar</t>
        </is>
      </c>
      <c r="G638" t="n">
        <v>167</v>
      </c>
      <c r="H638" t="n">
        <v>5577530.330000002</v>
      </c>
      <c r="I638" t="b">
        <v>0</v>
      </c>
      <c r="J638" t="b">
        <v>0</v>
      </c>
      <c r="K638" t="n">
        <v>0.004960688808745645</v>
      </c>
      <c r="L638" t="n">
        <v>0.7465920074659201</v>
      </c>
      <c r="M638" t="n">
        <v>0.001136888605024172</v>
      </c>
      <c r="N638" t="n">
        <v>0.9799190293736585</v>
      </c>
      <c r="O638" t="n">
        <v>-27668.39228847041</v>
      </c>
      <c r="P638" t="n">
        <v>-6341.030676353723</v>
      </c>
      <c r="Q638">
        <f>'_live'!$C$24</f>
        <v/>
      </c>
      <c r="R638" t="inlineStr">
        <is>
          <t>shuffled: 6,399 of 10,000</t>
        </is>
      </c>
      <c r="S638" t="inlineStr">
        <is>
          <t>shuffled: 8,884 of 10,000</t>
        </is>
      </c>
      <c r="T638" t="n">
        <v>0.1694852258582929</v>
      </c>
      <c r="U638" t="n">
        <v>0.1733090260620144</v>
      </c>
      <c r="V638">
        <f>AND(judged_band,NOT($J638))</f>
        <v/>
      </c>
      <c r="W638">
        <f>IF($K638="","",IF(profit_kind="test",IF(OR(NOT(AND(ISNUMBER($L638),$L638&lt;significance_bar)),$K638=0),"in line",IF($K638&lt;0,"worse","better")),IF(OR($K638=0,IF(profit_kind="points",ABS($K638),ABS($K638*$H638))&lt;profit_line*(1-1E-9)),"in line",IF(AND(ISNUMBER($L638),$L638&lt;significance_bar),IF($K638&lt;0,"worse","better"),IF($K638&lt;0,"worse, not significant","better, not significant")))))</f>
        <v/>
      </c>
      <c r="X638">
        <f>IF($M638="","",IF(profit_kind="test",IF(OR(NOT(AND(ISNUMBER($N638),$N638&lt;significance_bar)),$M638=0),"in line",IF($M638&lt;0,"worse","better")),IF(OR($M638=0,IF(profit_kind="points",ABS($M638),ABS($M638*$H638))&lt;profit_line*(1-1E-9)),"in line",IF(AND(ISNUMBER($N638),$N638&lt;significance_bar),IF($M638&lt;0,"worse","better"),IF($M638&lt;0,"worse, not significant","better, not significant")))))</f>
        <v/>
      </c>
      <c r="Y638">
        <f>IF($V638,$X638,$W638)</f>
        <v/>
      </c>
      <c r="Z638">
        <f>IF($V638,IF($P638="","",$P638),IF($O638="","",$O638))</f>
        <v/>
      </c>
      <c r="AA638">
        <f>IF(OR($Q638="",$Z638=""),"",IF(AND($Z638&gt;0,$Z638&gt;=$Q638),"yes","below the line"))</f>
        <v/>
      </c>
      <c r="AB638">
        <f>IF($V638,IF($M638="","",$M638),IF($K638="","",$K638))</f>
        <v/>
      </c>
      <c r="AC638">
        <f>IF($V638,IF($N638="","",$N638),IF($L638="","",$L638))</f>
        <v/>
      </c>
      <c r="AD638">
        <f>IF($Y638="","",IF($Y638="in line",IF(profit_kind="test",IF(ROUND($AB638*100,2)=0,"0.00",TEXT($AB638*100,"+0.00;-0.00"))&amp;" points against "&amp;IF($V638,"its band","the book")&amp;", "&amp;IF($AC638="","not tested","not significant"),IF(profit_kind="points","within "&amp;TEXT(profit_line*100,"0.00")&amp;" points of "&amp;IF($V638,"its band","the book")&amp;" ("&amp;IF(ROUND($AB638*100,2)=0,"0.00",TEXT($AB638*100,"+0.00;-0.00"))&amp;")","within $"&amp;TEXT(profit_line,"#,##0")&amp;" of "&amp;IF($V638,"its band","the book")&amp;" ("&amp;IF(ROUND($AB638*100,2)=0,"0.00",TEXT($AB638*100,"+0.00;-0.00"))&amp;" points)")),IF(LEFT($Y638,5)="worse","short of ","ahead of ")&amp;IF($V638,"its band","the book")&amp;" by "&amp;TEXT(ABS($AB638)*100,"0.00")&amp;" points"&amp;IF($Z638="",""," ($"&amp;TEXT(ABS($Z638),"#,##0")&amp;")")&amp;IF(RIGHT($Y638,15)="not significant"," (not significant)","")))</f>
        <v/>
      </c>
      <c r="AE638">
        <f>IF($V638,IF($S638="","",$S638),IF($R638="","",$R638))</f>
        <v/>
      </c>
      <c r="AF638">
        <f>IF($V638,IF($U638="","",$U638),IF($T638="","",$T638))</f>
        <v/>
      </c>
      <c r="AG638">
        <f>IF($V638,IF($O638="","",$O638),IF($P638="","",$P638))</f>
        <v/>
      </c>
      <c r="AH638" t="n">
        <v>0.1744459146670386</v>
      </c>
      <c r="AI638">
        <f>IF($Y638="worse","Yes",IF($Y638="worse, not significant","Not sure",IF(OR($Y638="too few losses to test",$Y638="too few loans to test"),"Too few losses",IF($Y638="","","No"))))</f>
        <v/>
      </c>
      <c r="AJ638">
        <f>IF($AA638="yes","Yes",IF($AA638="","","No"))</f>
        <v/>
      </c>
    </row>
    <row r="639">
      <c r="A639" t="inlineStr">
        <is>
          <t>three-way</t>
        </is>
      </c>
      <c r="B639" t="inlineStr">
        <is>
          <t>FICO x ASSET_CLASS / SYS_FLAG</t>
        </is>
      </c>
      <c r="C639" t="inlineStr">
        <is>
          <t>712 - 745</t>
        </is>
      </c>
      <c r="D639" t="inlineStr">
        <is>
          <t>4 / SYS_FLAG N</t>
        </is>
      </c>
      <c r="E639" t="inlineStr">
        <is>
          <t>outcome_loans</t>
        </is>
      </c>
      <c r="F639" t="inlineStr">
        <is>
          <t>Outcome, share of loans</t>
        </is>
      </c>
      <c r="G639" t="n">
        <v>220</v>
      </c>
      <c r="H639" t="n">
        <v>220</v>
      </c>
      <c r="I639" t="b">
        <v>0</v>
      </c>
      <c r="J639" t="b">
        <v>0</v>
      </c>
      <c r="K639" t="n">
        <v>0.7585283528352835</v>
      </c>
      <c r="L639" t="n">
        <v>0.5254193099970693</v>
      </c>
      <c r="M639" t="n">
        <v>1.110749385749386</v>
      </c>
      <c r="N639" t="n">
        <v>0.7481717174350578</v>
      </c>
      <c r="O639" t="n">
        <v>-4.138449672194369</v>
      </c>
      <c r="P639" t="n">
        <v>1.296189791516895</v>
      </c>
      <c r="Q639">
        <f>'_live'!$C$20</f>
        <v/>
      </c>
      <c r="R639" t="inlineStr">
        <is>
          <t>z test</t>
        </is>
      </c>
      <c r="S639" t="inlineStr">
        <is>
          <t>z test</t>
        </is>
      </c>
      <c r="T639" t="n">
        <v>0.07790204396451986</v>
      </c>
      <c r="U639" t="n">
        <v>0.05319913731128684</v>
      </c>
      <c r="V639">
        <f>AND(judged_band,NOT($J639))</f>
        <v/>
      </c>
      <c r="W639">
        <f>IF($K639="","",IF($I639,"too few losses to test",IF(AND($K639&gt;better_at,$K639&lt;worse_at),"in line",IF($K639&gt;=worse_at,IF(AND(ISNUMBER($L639),$L639&lt;significance_bar),"worse","worse, not significant"),IF(AND(ISNUMBER($L639),$L639&lt;significance_bar),"better","better, not significant")))))</f>
        <v/>
      </c>
      <c r="X639">
        <f>IF($M639="","",IF($I639,"too few losses to test",IF(AND($M639&gt;better_at,$M639&lt;worse_at),"in line",IF($M639&gt;=worse_at,IF(AND(ISNUMBER($N639),$N639&lt;significance_bar),"worse","worse, not significant"),IF(AND(ISNUMBER($N639),$N639&lt;significance_bar),"better","better, not significant")))))</f>
        <v/>
      </c>
      <c r="Y639">
        <f>IF($V639,$X639,$W639)</f>
        <v/>
      </c>
      <c r="Z639">
        <f>IF($V639,IF($P639="","",$P639),IF($O639="","",$O639))</f>
        <v/>
      </c>
      <c r="AA639">
        <f>IF(OR($Q639="",$Z639=""),"",IF(AND($Z639&gt;0,$Z639&gt;=$Q639),"yes","below the line"))</f>
        <v/>
      </c>
      <c r="AB639">
        <f>IF($V639,IF($M639="","",$M639),IF($K639="","",$K639))</f>
        <v/>
      </c>
      <c r="AC639">
        <f>IF($V639,IF($N639="","",$N639),IF($L639="","",$L639))</f>
        <v/>
      </c>
      <c r="AD639">
        <f>$Y639</f>
        <v/>
      </c>
      <c r="AE639">
        <f>IF($V639,IF($S639="","",$S639),IF($R639="","",$R639))</f>
        <v/>
      </c>
      <c r="AF639">
        <f>IF($V639,IF($U639="","",$U639),IF($T639="","",$T639))</f>
        <v/>
      </c>
      <c r="AG639">
        <f>IF($V639,IF($O639="","",$O639),IF($P639="","",$P639))</f>
        <v/>
      </c>
      <c r="AH639" t="n">
        <v>0.05909090909090909</v>
      </c>
      <c r="AI639">
        <f>IF($Y639="worse","Yes",IF($Y639="worse, not significant","Not sure",IF(OR($Y639="too few losses to test",$Y639="too few loans to test"),"Too few losses",IF($Y639="","","No"))))</f>
        <v/>
      </c>
      <c r="AJ639">
        <f>IF($AA639="yes","Yes",IF($AA639="","","No"))</f>
        <v/>
      </c>
    </row>
    <row r="640">
      <c r="A640" t="inlineStr">
        <is>
          <t>three-way</t>
        </is>
      </c>
      <c r="B640" t="inlineStr">
        <is>
          <t>FICO x ASSET_CLASS / SYS_FLAG</t>
        </is>
      </c>
      <c r="C640" t="inlineStr">
        <is>
          <t>712 - 745</t>
        </is>
      </c>
      <c r="D640" t="inlineStr">
        <is>
          <t>4 / SYS_FLAG N</t>
        </is>
      </c>
      <c r="E640" t="inlineStr">
        <is>
          <t>outcome_booked</t>
        </is>
      </c>
      <c r="F640" t="inlineStr">
        <is>
          <t>Outcome, share of booked dollars</t>
        </is>
      </c>
      <c r="G640" t="n">
        <v>220</v>
      </c>
      <c r="H640" t="n">
        <v>6725487.600000002</v>
      </c>
      <c r="I640" t="b">
        <v>0</v>
      </c>
      <c r="J640" t="b">
        <v>0</v>
      </c>
      <c r="K640" t="n">
        <v>0.7348940189703091</v>
      </c>
      <c r="L640" t="n">
        <v>0.4745969847459698</v>
      </c>
      <c r="M640" t="n">
        <v>1.018132545294304</v>
      </c>
      <c r="N640" t="n">
        <v>0.9947005299470053</v>
      </c>
      <c r="O640" t="n">
        <v>-134345.7154964425</v>
      </c>
      <c r="P640" t="n">
        <v>6632.594681714661</v>
      </c>
      <c r="Q640">
        <f>'_live'!$C$21</f>
        <v/>
      </c>
      <c r="R640" t="inlineStr">
        <is>
          <t>shuffled: 3,113 of 10,000</t>
        </is>
      </c>
      <c r="S640" t="inlineStr">
        <is>
          <t>shuffled: 9,608 of 10,000</t>
        </is>
      </c>
      <c r="T640" t="n">
        <v>0.07534952491718851</v>
      </c>
      <c r="U640" t="n">
        <v>0.05438772726579486</v>
      </c>
      <c r="V640">
        <f>AND(judged_band,NOT($J640))</f>
        <v/>
      </c>
      <c r="W640">
        <f>IF($K640="","",IF($I640,"too few losses to test",IF(AND($K640&gt;better_at,$K640&lt;worse_at),"in line",IF($K640&gt;=worse_at,IF(AND(ISNUMBER($L640),$L640&lt;significance_bar),"worse","worse, not significant"),IF(AND(ISNUMBER($L640),$L640&lt;significance_bar),"better","better, not significant")))))</f>
        <v/>
      </c>
      <c r="X640">
        <f>IF($M640="","",IF($I640,"too few losses to test",IF(AND($M640&gt;better_at,$M640&lt;worse_at),"in line",IF($M640&gt;=worse_at,IF(AND(ISNUMBER($N640),$N640&lt;significance_bar),"worse","worse, not significant"),IF(AND(ISNUMBER($N640),$N640&lt;significance_bar),"better","better, not significant")))))</f>
        <v/>
      </c>
      <c r="Y640">
        <f>IF($V640,$X640,$W640)</f>
        <v/>
      </c>
      <c r="Z640">
        <f>IF($V640,IF($P640="","",$P640),IF($O640="","",$O640))</f>
        <v/>
      </c>
      <c r="AA640">
        <f>IF(OR($Q640="",$Z640=""),"",IF(AND($Z640&gt;0,$Z640&gt;=$Q640),"yes","below the line"))</f>
        <v/>
      </c>
      <c r="AB640">
        <f>IF($V640,IF($M640="","",$M640),IF($K640="","",$K640))</f>
        <v/>
      </c>
      <c r="AC640">
        <f>IF($V640,IF($N640="","",$N640),IF($L640="","",$L640))</f>
        <v/>
      </c>
      <c r="AD640">
        <f>$Y640</f>
        <v/>
      </c>
      <c r="AE640">
        <f>IF($V640,IF($S640="","",$S640),IF($R640="","",$R640))</f>
        <v/>
      </c>
      <c r="AF640">
        <f>IF($V640,IF($U640="","",$U640),IF($T640="","",$T640))</f>
        <v/>
      </c>
      <c r="AG640">
        <f>IF($V640,IF($O640="","",$O640),IF($P640="","",$P640))</f>
        <v/>
      </c>
      <c r="AH640" t="n">
        <v>0.05537391519389611</v>
      </c>
      <c r="AI640">
        <f>IF($Y640="worse","Yes",IF($Y640="worse, not significant","Not sure",IF(OR($Y640="too few losses to test",$Y640="too few loans to test"),"Too few losses",IF($Y640="","","No"))))</f>
        <v/>
      </c>
      <c r="AJ640">
        <f>IF($AA640="yes","Yes",IF($AA640="","","No"))</f>
        <v/>
      </c>
    </row>
    <row r="641">
      <c r="A641" t="inlineStr">
        <is>
          <t>three-way</t>
        </is>
      </c>
      <c r="B641" t="inlineStr">
        <is>
          <t>FICO x ASSET_CLASS / SYS_FLAG</t>
        </is>
      </c>
      <c r="C641" t="inlineStr">
        <is>
          <t>712 - 745</t>
        </is>
      </c>
      <c r="D641" t="inlineStr">
        <is>
          <t>4 / SYS_FLAG N</t>
        </is>
      </c>
      <c r="E641" t="inlineStr">
        <is>
          <t>gco_rate</t>
        </is>
      </c>
      <c r="F641" t="inlineStr">
        <is>
          <t>GCO per booked dollar</t>
        </is>
      </c>
      <c r="G641" t="n">
        <v>220</v>
      </c>
      <c r="H641" t="n">
        <v>6725487.600000002</v>
      </c>
      <c r="I641" t="b">
        <v>0</v>
      </c>
      <c r="J641" t="b">
        <v>0</v>
      </c>
      <c r="K641" t="n">
        <v>0.634891057527448</v>
      </c>
      <c r="L641" t="n">
        <v>0.3444655534446555</v>
      </c>
      <c r="M641" t="n">
        <v>0.8656044229301525</v>
      </c>
      <c r="N641" t="n">
        <v>0.9513748625137486</v>
      </c>
      <c r="O641" t="n">
        <v>-103144.7922848127</v>
      </c>
      <c r="P641" t="n">
        <v>-27847.71432715244</v>
      </c>
      <c r="Q641">
        <f>'_live'!$C$22</f>
        <v/>
      </c>
      <c r="R641" t="inlineStr">
        <is>
          <t>shuffled: 1,739 of 10,000</t>
        </is>
      </c>
      <c r="S641" t="inlineStr">
        <is>
          <t>shuffled: 7,048 of 10,000</t>
        </is>
      </c>
      <c r="T641" t="n">
        <v>0.04200500678713803</v>
      </c>
      <c r="U641" t="n">
        <v>0.03080922702573303</v>
      </c>
      <c r="V641">
        <f>AND(judged_band,NOT($J641))</f>
        <v/>
      </c>
      <c r="W641">
        <f>IF($K641="","",IF($I641,"too few losses to test",IF(AND($K641&gt;better_at,$K641&lt;worse_at),"in line",IF($K641&gt;=worse_at,IF(AND(ISNUMBER($L641),$L641&lt;significance_bar),"worse","worse, not significant"),IF(AND(ISNUMBER($L641),$L641&lt;significance_bar),"better","better, not significant")))))</f>
        <v/>
      </c>
      <c r="X641">
        <f>IF($M641="","",IF($I641,"too few losses to test",IF(AND($M641&gt;better_at,$M641&lt;worse_at),"in line",IF($M641&gt;=worse_at,IF(AND(ISNUMBER($N641),$N641&lt;significance_bar),"worse","worse, not significant"),IF(AND(ISNUMBER($N641),$N641&lt;significance_bar),"better","better, not significant")))))</f>
        <v/>
      </c>
      <c r="Y641">
        <f>IF($V641,$X641,$W641)</f>
        <v/>
      </c>
      <c r="Z641">
        <f>IF($V641,IF($P641="","",$P641),IF($O641="","",$O641))</f>
        <v/>
      </c>
      <c r="AA641">
        <f>IF(OR($Q641="",$Z641=""),"",IF(AND($Z641&gt;0,$Z641&gt;=$Q641),"yes","below the line"))</f>
        <v/>
      </c>
      <c r="AB641">
        <f>IF($V641,IF($M641="","",$M641),IF($K641="","",$K641))</f>
        <v/>
      </c>
      <c r="AC641">
        <f>IF($V641,IF($N641="","",$N641),IF($L641="","",$L641))</f>
        <v/>
      </c>
      <c r="AD641">
        <f>$Y641</f>
        <v/>
      </c>
      <c r="AE641">
        <f>IF($V641,IF($S641="","",$S641),IF($R641="","",$R641))</f>
        <v/>
      </c>
      <c r="AF641">
        <f>IF($V641,IF($U641="","",$U641),IF($T641="","",$T641))</f>
        <v/>
      </c>
      <c r="AG641">
        <f>IF($V641,IF($O641="","",$O641),IF($P641="","",$P641))</f>
        <v/>
      </c>
      <c r="AH641" t="n">
        <v>0.0266686031805337</v>
      </c>
      <c r="AI641">
        <f>IF($Y641="worse","Yes",IF($Y641="worse, not significant","Not sure",IF(OR($Y641="too few losses to test",$Y641="too few loans to test"),"Too few losses",IF($Y641="","","No"))))</f>
        <v/>
      </c>
      <c r="AJ641">
        <f>IF($AA641="yes","Yes",IF($AA641="","","No"))</f>
        <v/>
      </c>
    </row>
    <row r="642">
      <c r="A642" t="inlineStr">
        <is>
          <t>three-way</t>
        </is>
      </c>
      <c r="B642" t="inlineStr">
        <is>
          <t>FICO x ASSET_CLASS / SYS_FLAG</t>
        </is>
      </c>
      <c r="C642" t="inlineStr">
        <is>
          <t>712 - 745</t>
        </is>
      </c>
      <c r="D642" t="inlineStr">
        <is>
          <t>4 / SYS_FLAG N</t>
        </is>
      </c>
      <c r="E642" t="inlineStr">
        <is>
          <t>ranr_rate</t>
        </is>
      </c>
      <c r="F642" t="inlineStr">
        <is>
          <t>Profit after losses: RANR per booked dollar</t>
        </is>
      </c>
      <c r="G642" t="n">
        <v>220</v>
      </c>
      <c r="H642" t="n">
        <v>6725487.600000002</v>
      </c>
      <c r="I642" t="b">
        <v>0</v>
      </c>
      <c r="J642" t="b">
        <v>0</v>
      </c>
      <c r="K642" t="n">
        <v>-0.02843063715645888</v>
      </c>
      <c r="L642" t="n">
        <v>0.06999300069993002</v>
      </c>
      <c r="M642" t="n">
        <v>0.004987340694043732</v>
      </c>
      <c r="N642" t="n">
        <v>0.8858714128587142</v>
      </c>
      <c r="O642" t="n">
        <v>191209.8976558635</v>
      </c>
      <c r="P642" t="n">
        <v>-33542.2979947665</v>
      </c>
      <c r="Q642">
        <f>'_live'!$C$23</f>
        <v/>
      </c>
      <c r="R642" t="inlineStr">
        <is>
          <t>shuffled: 399 of 10,000</t>
        </is>
      </c>
      <c r="S642" t="inlineStr">
        <is>
          <t>shuffled: 6,750 of 10,000</t>
        </is>
      </c>
      <c r="T642" t="n">
        <v>0.1287309767184558</v>
      </c>
      <c r="U642" t="n">
        <v>0.09531299886795315</v>
      </c>
      <c r="V642">
        <f>AND(judged_band,NOT($J642))</f>
        <v/>
      </c>
      <c r="W642">
        <f>IF($K642="","",IF(profit_kind="test",IF(OR(NOT(AND(ISNUMBER($L642),$L642&lt;significance_bar)),$K642=0),"in line",IF($K642&lt;0,"worse","better")),IF(OR($K642=0,IF(profit_kind="points",ABS($K642),ABS($K642*$H642))&lt;profit_line*(1-1E-9)),"in line",IF(AND(ISNUMBER($L642),$L642&lt;significance_bar),IF($K642&lt;0,"worse","better"),IF($K642&lt;0,"worse, not significant","better, not significant")))))</f>
        <v/>
      </c>
      <c r="X642">
        <f>IF($M642="","",IF(profit_kind="test",IF(OR(NOT(AND(ISNUMBER($N642),$N642&lt;significance_bar)),$M642=0),"in line",IF($M642&lt;0,"worse","better")),IF(OR($M642=0,IF(profit_kind="points",ABS($M642),ABS($M642*$H642))&lt;profit_line*(1-1E-9)),"in line",IF(AND(ISNUMBER($N642),$N642&lt;significance_bar),IF($M642&lt;0,"worse","better"),IF($M642&lt;0,"worse, not significant","better, not significant")))))</f>
        <v/>
      </c>
      <c r="Y642">
        <f>IF($V642,$X642,$W642)</f>
        <v/>
      </c>
      <c r="Z642">
        <f>IF($V642,IF($P642="","",$P642),IF($O642="","",$O642))</f>
        <v/>
      </c>
      <c r="AA642">
        <f>IF(OR($Q642="",$Z642=""),"",IF(AND($Z642&gt;0,$Z642&gt;=$Q642),"yes","below the line"))</f>
        <v/>
      </c>
      <c r="AB642">
        <f>IF($V642,IF($M642="","",$M642),IF($K642="","",$K642))</f>
        <v/>
      </c>
      <c r="AC642">
        <f>IF($V642,IF($N642="","",$N642),IF($L642="","",$L642))</f>
        <v/>
      </c>
      <c r="AD642">
        <f>IF($Y642="","",IF($Y642="in line",IF(profit_kind="test",IF(ROUND($AB642*100,2)=0,"0.00",TEXT($AB642*100,"+0.00;-0.00"))&amp;" points against "&amp;IF($V642,"its band","the book")&amp;", "&amp;IF($AC642="","not tested","not significant"),IF(profit_kind="points","within "&amp;TEXT(profit_line*100,"0.00")&amp;" points of "&amp;IF($V642,"its band","the book")&amp;" ("&amp;IF(ROUND($AB642*100,2)=0,"0.00",TEXT($AB642*100,"+0.00;-0.00"))&amp;")","within $"&amp;TEXT(profit_line,"#,##0")&amp;" of "&amp;IF($V642,"its band","the book")&amp;" ("&amp;IF(ROUND($AB642*100,2)=0,"0.00",TEXT($AB642*100,"+0.00;-0.00"))&amp;" points)")),IF(LEFT($Y642,5)="worse","short of ","ahead of ")&amp;IF($V642,"its band","the book")&amp;" by "&amp;TEXT(ABS($AB642)*100,"0.00")&amp;" points"&amp;IF($Z642="",""," ($"&amp;TEXT(ABS($Z642),"#,##0")&amp;")")&amp;IF(RIGHT($Y642,15)="not significant"," (not significant)","")))</f>
        <v/>
      </c>
      <c r="AE642">
        <f>IF($V642,IF($S642="","",$S642),IF($R642="","",$R642))</f>
        <v/>
      </c>
      <c r="AF642">
        <f>IF($V642,IF($U642="","",$U642),IF($T642="","",$T642))</f>
        <v/>
      </c>
      <c r="AG642">
        <f>IF($V642,IF($O642="","",$O642),IF($P642="","",$P642))</f>
        <v/>
      </c>
      <c r="AH642" t="n">
        <v>0.1003003395619969</v>
      </c>
      <c r="AI642">
        <f>IF($Y642="worse","Yes",IF($Y642="worse, not significant","Not sure",IF(OR($Y642="too few losses to test",$Y642="too few loans to test"),"Too few losses",IF($Y642="","","No"))))</f>
        <v/>
      </c>
      <c r="AJ642">
        <f>IF($AA642="yes","Yes",IF($AA642="","","No"))</f>
        <v/>
      </c>
    </row>
    <row r="643">
      <c r="A643" t="inlineStr">
        <is>
          <t>three-way</t>
        </is>
      </c>
      <c r="B643" t="inlineStr">
        <is>
          <t>FICO x ASSET_CLASS / SYS_FLAG</t>
        </is>
      </c>
      <c r="C643" t="inlineStr">
        <is>
          <t>712 - 745</t>
        </is>
      </c>
      <c r="D643" t="inlineStr">
        <is>
          <t>4 / SYS_FLAG N</t>
        </is>
      </c>
      <c r="E643" t="inlineStr">
        <is>
          <t>contribution_rate</t>
        </is>
      </c>
      <c r="F643" t="inlineStr">
        <is>
          <t>Contribution before losses per booked dollar</t>
        </is>
      </c>
      <c r="G643" t="n">
        <v>220</v>
      </c>
      <c r="H643" t="n">
        <v>6725487.600000002</v>
      </c>
      <c r="I643" t="b">
        <v>0</v>
      </c>
      <c r="J643" t="b">
        <v>0</v>
      </c>
      <c r="K643" t="n">
        <v>-0.0437642219992869</v>
      </c>
      <c r="L643" t="n">
        <v>0.0001814633351479667</v>
      </c>
      <c r="M643" t="n">
        <v>0.000892594217316689</v>
      </c>
      <c r="N643" t="n">
        <v>0.9799190293736585</v>
      </c>
      <c r="O643" t="n">
        <v>294335.7323798514</v>
      </c>
      <c r="P643" t="n">
        <v>-6003.131340395077</v>
      </c>
      <c r="Q643">
        <f>'_live'!$C$24</f>
        <v/>
      </c>
      <c r="R643" t="inlineStr">
        <is>
          <t>shuffled: 0 of 10,000</t>
        </is>
      </c>
      <c r="S643" t="inlineStr">
        <is>
          <t>shuffled: 8,816 of 10,000</t>
        </is>
      </c>
      <c r="T643" t="n">
        <v>0.1707331647418175</v>
      </c>
      <c r="U643" t="n">
        <v>0.1260763485252139</v>
      </c>
      <c r="V643">
        <f>AND(judged_band,NOT($J643))</f>
        <v/>
      </c>
      <c r="W643">
        <f>IF($K643="","",IF(profit_kind="test",IF(OR(NOT(AND(ISNUMBER($L643),$L643&lt;significance_bar)),$K643=0),"in line",IF($K643&lt;0,"worse","better")),IF(OR($K643=0,IF(profit_kind="points",ABS($K643),ABS($K643*$H643))&lt;profit_line*(1-1E-9)),"in line",IF(AND(ISNUMBER($L643),$L643&lt;significance_bar),IF($K643&lt;0,"worse","better"),IF($K643&lt;0,"worse, not significant","better, not significant")))))</f>
        <v/>
      </c>
      <c r="X643">
        <f>IF($M643="","",IF(profit_kind="test",IF(OR(NOT(AND(ISNUMBER($N643),$N643&lt;significance_bar)),$M643=0),"in line",IF($M643&lt;0,"worse","better")),IF(OR($M643=0,IF(profit_kind="points",ABS($M643),ABS($M643*$H643))&lt;profit_line*(1-1E-9)),"in line",IF(AND(ISNUMBER($N643),$N643&lt;significance_bar),IF($M643&lt;0,"worse","better"),IF($M643&lt;0,"worse, not significant","better, not significant")))))</f>
        <v/>
      </c>
      <c r="Y643">
        <f>IF($V643,$X643,$W643)</f>
        <v/>
      </c>
      <c r="Z643">
        <f>IF($V643,IF($P643="","",$P643),IF($O643="","",$O643))</f>
        <v/>
      </c>
      <c r="AA643">
        <f>IF(OR($Q643="",$Z643=""),"",IF(AND($Z643&gt;0,$Z643&gt;=$Q643),"yes","below the line"))</f>
        <v/>
      </c>
      <c r="AB643">
        <f>IF($V643,IF($M643="","",$M643),IF($K643="","",$K643))</f>
        <v/>
      </c>
      <c r="AC643">
        <f>IF($V643,IF($N643="","",$N643),IF($L643="","",$L643))</f>
        <v/>
      </c>
      <c r="AD643">
        <f>IF($Y643="","",IF($Y643="in line",IF(profit_kind="test",IF(ROUND($AB643*100,2)=0,"0.00",TEXT($AB643*100,"+0.00;-0.00"))&amp;" points against "&amp;IF($V643,"its band","the book")&amp;", "&amp;IF($AC643="","not tested","not significant"),IF(profit_kind="points","within "&amp;TEXT(profit_line*100,"0.00")&amp;" points of "&amp;IF($V643,"its band","the book")&amp;" ("&amp;IF(ROUND($AB643*100,2)=0,"0.00",TEXT($AB643*100,"+0.00;-0.00"))&amp;")","within $"&amp;TEXT(profit_line,"#,##0")&amp;" of "&amp;IF($V643,"its band","the book")&amp;" ("&amp;IF(ROUND($AB643*100,2)=0,"0.00",TEXT($AB643*100,"+0.00;-0.00"))&amp;" points)")),IF(LEFT($Y643,5)="worse","short of ","ahead of ")&amp;IF($V643,"its band","the book")&amp;" by "&amp;TEXT(ABS($AB643)*100,"0.00")&amp;" points"&amp;IF($Z643="",""," ($"&amp;TEXT(ABS($Z643),"#,##0")&amp;")")&amp;IF(RIGHT($Y643,15)="not significant"," (not significant)","")))</f>
        <v/>
      </c>
      <c r="AE643">
        <f>IF($V643,IF($S643="","",$S643),IF($R643="","",$R643))</f>
        <v/>
      </c>
      <c r="AF643">
        <f>IF($V643,IF($U643="","",$U643),IF($T643="","",$T643))</f>
        <v/>
      </c>
      <c r="AG643">
        <f>IF($V643,IF($O643="","",$O643),IF($P643="","",$P643))</f>
        <v/>
      </c>
      <c r="AH643" t="n">
        <v>0.1269689427425306</v>
      </c>
      <c r="AI643">
        <f>IF($Y643="worse","Yes",IF($Y643="worse, not significant","Not sure",IF(OR($Y643="too few losses to test",$Y643="too few loans to test"),"Too few losses",IF($Y643="","","No"))))</f>
        <v/>
      </c>
      <c r="AJ643">
        <f>IF($AA643="yes","Yes",IF($AA643="","","No"))</f>
        <v/>
      </c>
    </row>
    <row r="644">
      <c r="A644" t="inlineStr">
        <is>
          <t>three-way</t>
        </is>
      </c>
      <c r="B644" t="inlineStr">
        <is>
          <t>FICO x ASSET_CLASS / SYS_FLAG</t>
        </is>
      </c>
      <c r="C644" t="inlineStr">
        <is>
          <t>746 - 921</t>
        </is>
      </c>
      <c r="D644" t="inlineStr">
        <is>
          <t>1 / SYS_FLAG N</t>
        </is>
      </c>
      <c r="E644" t="inlineStr">
        <is>
          <t>outcome_loans</t>
        </is>
      </c>
      <c r="F644" t="inlineStr">
        <is>
          <t>Outcome, share of loans</t>
        </is>
      </c>
      <c r="G644" t="n">
        <v>231</v>
      </c>
      <c r="H644" t="n">
        <v>231</v>
      </c>
      <c r="I644" t="b">
        <v>1</v>
      </c>
      <c r="J644" t="b">
        <v>0</v>
      </c>
      <c r="K644" t="n">
        <v>0.2187167845704431</v>
      </c>
      <c r="M644" t="n">
        <v>0.400059710404538</v>
      </c>
      <c r="O644" t="n">
        <v>-14.288491246138</v>
      </c>
      <c r="P644" t="n">
        <v>-5.998507462686568</v>
      </c>
      <c r="Q644">
        <f>'_live'!$C$20</f>
        <v/>
      </c>
      <c r="T644" t="n">
        <v>0.07917095777548919</v>
      </c>
      <c r="U644" t="n">
        <v>0.04328358208955224</v>
      </c>
      <c r="V644">
        <f>AND(judged_band,NOT($J644))</f>
        <v/>
      </c>
      <c r="W644">
        <f>IF($K644="","",IF($I644,"too few losses to test",IF(AND($K644&gt;better_at,$K644&lt;worse_at),"in line",IF($K644&gt;=worse_at,IF(AND(ISNUMBER($L644),$L644&lt;significance_bar),"worse","worse, not significant"),IF(AND(ISNUMBER($L644),$L644&lt;significance_bar),"better","better, not significant")))))</f>
        <v/>
      </c>
      <c r="X644">
        <f>IF($M644="","",IF($I644,"too few losses to test",IF(AND($M644&gt;better_at,$M644&lt;worse_at),"in line",IF($M644&gt;=worse_at,IF(AND(ISNUMBER($N644),$N644&lt;significance_bar),"worse","worse, not significant"),IF(AND(ISNUMBER($N644),$N644&lt;significance_bar),"better","better, not significant")))))</f>
        <v/>
      </c>
      <c r="Y644">
        <f>IF($V644,$X644,$W644)</f>
        <v/>
      </c>
      <c r="Z644">
        <f>IF($V644,IF($P644="","",$P644),IF($O644="","",$O644))</f>
        <v/>
      </c>
      <c r="AA644">
        <f>IF(OR($Q644="",$Z644=""),"",IF(AND($Z644&gt;0,$Z644&gt;=$Q644),"yes","below the line"))</f>
        <v/>
      </c>
      <c r="AB644">
        <f>IF($V644,IF($M644="","",$M644),IF($K644="","",$K644))</f>
        <v/>
      </c>
      <c r="AC644">
        <f>IF($V644,IF($N644="","",$N644),IF($L644="","",$L644))</f>
        <v/>
      </c>
      <c r="AD644">
        <f>$Y644</f>
        <v/>
      </c>
      <c r="AE644">
        <f>IF($V644,IF($S644="","",$S644),IF($R644="","",$R644))</f>
        <v/>
      </c>
      <c r="AF644">
        <f>IF($V644,IF($U644="","",$U644),IF($T644="","",$T644))</f>
        <v/>
      </c>
      <c r="AG644">
        <f>IF($V644,IF($O644="","",$O644),IF($P644="","",$P644))</f>
        <v/>
      </c>
      <c r="AH644" t="n">
        <v>0.01731601731601732</v>
      </c>
      <c r="AI644">
        <f>IF($Y644="worse","Yes",IF($Y644="worse, not significant","Not sure",IF(OR($Y644="too few losses to test",$Y644="too few loans to test"),"Too few losses",IF($Y644="","","No"))))</f>
        <v/>
      </c>
      <c r="AJ644">
        <f>IF($AA644="yes","Yes",IF($AA644="","","No"))</f>
        <v/>
      </c>
    </row>
    <row r="645">
      <c r="A645" t="inlineStr">
        <is>
          <t>three-way</t>
        </is>
      </c>
      <c r="B645" t="inlineStr">
        <is>
          <t>FICO x ASSET_CLASS / SYS_FLAG</t>
        </is>
      </c>
      <c r="C645" t="inlineStr">
        <is>
          <t>746 - 921</t>
        </is>
      </c>
      <c r="D645" t="inlineStr">
        <is>
          <t>1 / SYS_FLAG N</t>
        </is>
      </c>
      <c r="E645" t="inlineStr">
        <is>
          <t>outcome_booked</t>
        </is>
      </c>
      <c r="F645" t="inlineStr">
        <is>
          <t>Outcome, share of booked dollars</t>
        </is>
      </c>
      <c r="G645" t="n">
        <v>231</v>
      </c>
      <c r="H645" t="n">
        <v>7339528.739999998</v>
      </c>
      <c r="I645" t="b">
        <v>1</v>
      </c>
      <c r="J645" t="b">
        <v>0</v>
      </c>
      <c r="K645" t="n">
        <v>0.2353915483966933</v>
      </c>
      <c r="M645" t="n">
        <v>0.4498148998765341</v>
      </c>
      <c r="O645" t="n">
        <v>-429265.5573193027</v>
      </c>
      <c r="P645" t="n">
        <v>-161641.4743064261</v>
      </c>
      <c r="Q645">
        <f>'_live'!$C$21</f>
        <v/>
      </c>
      <c r="T645" t="n">
        <v>0.07649248571772781</v>
      </c>
      <c r="U645" t="n">
        <v>0.04002909787726047</v>
      </c>
      <c r="V645">
        <f>AND(judged_band,NOT($J645))</f>
        <v/>
      </c>
      <c r="W645">
        <f>IF($K645="","",IF($I645,"too few losses to test",IF(AND($K645&gt;better_at,$K645&lt;worse_at),"in line",IF($K645&gt;=worse_at,IF(AND(ISNUMBER($L645),$L645&lt;significance_bar),"worse","worse, not significant"),IF(AND(ISNUMBER($L645),$L645&lt;significance_bar),"better","better, not significant")))))</f>
        <v/>
      </c>
      <c r="X645">
        <f>IF($M645="","",IF($I645,"too few losses to test",IF(AND($M645&gt;better_at,$M645&lt;worse_at),"in line",IF($M645&gt;=worse_at,IF(AND(ISNUMBER($N645),$N645&lt;significance_bar),"worse","worse, not significant"),IF(AND(ISNUMBER($N645),$N645&lt;significance_bar),"better","better, not significant")))))</f>
        <v/>
      </c>
      <c r="Y645">
        <f>IF($V645,$X645,$W645)</f>
        <v/>
      </c>
      <c r="Z645">
        <f>IF($V645,IF($P645="","",$P645),IF($O645="","",$O645))</f>
        <v/>
      </c>
      <c r="AA645">
        <f>IF(OR($Q645="",$Z645=""),"",IF(AND($Z645&gt;0,$Z645&gt;=$Q645),"yes","below the line"))</f>
        <v/>
      </c>
      <c r="AB645">
        <f>IF($V645,IF($M645="","",$M645),IF($K645="","",$K645))</f>
        <v/>
      </c>
      <c r="AC645">
        <f>IF($V645,IF($N645="","",$N645),IF($L645="","",$L645))</f>
        <v/>
      </c>
      <c r="AD645">
        <f>$Y645</f>
        <v/>
      </c>
      <c r="AE645">
        <f>IF($V645,IF($S645="","",$S645),IF($R645="","",$R645))</f>
        <v/>
      </c>
      <c r="AF645">
        <f>IF($V645,IF($U645="","",$U645),IF($T645="","",$T645))</f>
        <v/>
      </c>
      <c r="AG645">
        <f>IF($V645,IF($O645="","",$O645),IF($P645="","",$P645))</f>
        <v/>
      </c>
      <c r="AH645" t="n">
        <v>0.0180056846538079</v>
      </c>
      <c r="AI645">
        <f>IF($Y645="worse","Yes",IF($Y645="worse, not significant","Not sure",IF(OR($Y645="too few losses to test",$Y645="too few loans to test"),"Too few losses",IF($Y645="","","No"))))</f>
        <v/>
      </c>
      <c r="AJ645">
        <f>IF($AA645="yes","Yes",IF($AA645="","","No"))</f>
        <v/>
      </c>
    </row>
    <row r="646">
      <c r="A646" t="inlineStr">
        <is>
          <t>three-way</t>
        </is>
      </c>
      <c r="B646" t="inlineStr">
        <is>
          <t>FICO x ASSET_CLASS / SYS_FLAG</t>
        </is>
      </c>
      <c r="C646" t="inlineStr">
        <is>
          <t>746 - 921</t>
        </is>
      </c>
      <c r="D646" t="inlineStr">
        <is>
          <t>1 / SYS_FLAG N</t>
        </is>
      </c>
      <c r="E646" t="inlineStr">
        <is>
          <t>gco_rate</t>
        </is>
      </c>
      <c r="F646" t="inlineStr">
        <is>
          <t>GCO per booked dollar</t>
        </is>
      </c>
      <c r="G646" t="n">
        <v>231</v>
      </c>
      <c r="H646" t="n">
        <v>7339528.739999998</v>
      </c>
      <c r="I646" t="b">
        <v>1</v>
      </c>
      <c r="J646" t="b">
        <v>0</v>
      </c>
      <c r="K646" t="n">
        <v>0.3012030531891984</v>
      </c>
      <c r="M646" t="n">
        <v>0.6226679886366112</v>
      </c>
      <c r="O646" t="n">
        <v>-217714.269180203</v>
      </c>
      <c r="P646" t="n">
        <v>-56867.26956227582</v>
      </c>
      <c r="Q646">
        <f>'_live'!$C$22</f>
        <v/>
      </c>
      <c r="T646" t="n">
        <v>0.04244902502830216</v>
      </c>
      <c r="U646" t="n">
        <v>0.02053385781309385</v>
      </c>
      <c r="V646">
        <f>AND(judged_band,NOT($J646))</f>
        <v/>
      </c>
      <c r="W646">
        <f>IF($K646="","",IF($I646,"too few losses to test",IF(AND($K646&gt;better_at,$K646&lt;worse_at),"in line",IF($K646&gt;=worse_at,IF(AND(ISNUMBER($L646),$L646&lt;significance_bar),"worse","worse, not significant"),IF(AND(ISNUMBER($L646),$L646&lt;significance_bar),"better","better, not significant")))))</f>
        <v/>
      </c>
      <c r="X646">
        <f>IF($M646="","",IF($I646,"too few losses to test",IF(AND($M646&gt;better_at,$M646&lt;worse_at),"in line",IF($M646&gt;=worse_at,IF(AND(ISNUMBER($N646),$N646&lt;significance_bar),"worse","worse, not significant"),IF(AND(ISNUMBER($N646),$N646&lt;significance_bar),"better","better, not significant")))))</f>
        <v/>
      </c>
      <c r="Y646">
        <f>IF($V646,$X646,$W646)</f>
        <v/>
      </c>
      <c r="Z646">
        <f>IF($V646,IF($P646="","",$P646),IF($O646="","",$O646))</f>
        <v/>
      </c>
      <c r="AA646">
        <f>IF(OR($Q646="",$Z646=""),"",IF(AND($Z646&gt;0,$Z646&gt;=$Q646),"yes","below the line"))</f>
        <v/>
      </c>
      <c r="AB646">
        <f>IF($V646,IF($M646="","",$M646),IF($K646="","",$K646))</f>
        <v/>
      </c>
      <c r="AC646">
        <f>IF($V646,IF($N646="","",$N646),IF($L646="","",$L646))</f>
        <v/>
      </c>
      <c r="AD646">
        <f>$Y646</f>
        <v/>
      </c>
      <c r="AE646">
        <f>IF($V646,IF($S646="","",$S646),IF($R646="","",$R646))</f>
        <v/>
      </c>
      <c r="AF646">
        <f>IF($V646,IF($U646="","",$U646),IF($T646="","",$T646))</f>
        <v/>
      </c>
      <c r="AG646">
        <f>IF($V646,IF($O646="","",$O646),IF($P646="","",$P646))</f>
        <v/>
      </c>
      <c r="AH646" t="n">
        <v>0.01278577594342931</v>
      </c>
      <c r="AI646">
        <f>IF($Y646="worse","Yes",IF($Y646="worse, not significant","Not sure",IF(OR($Y646="too few losses to test",$Y646="too few loans to test"),"Too few losses",IF($Y646="","","No"))))</f>
        <v/>
      </c>
      <c r="AJ646">
        <f>IF($AA646="yes","Yes",IF($AA646="","","No"))</f>
        <v/>
      </c>
    </row>
    <row r="647">
      <c r="A647" t="inlineStr">
        <is>
          <t>three-way</t>
        </is>
      </c>
      <c r="B647" t="inlineStr">
        <is>
          <t>FICO x ASSET_CLASS / SYS_FLAG</t>
        </is>
      </c>
      <c r="C647" t="inlineStr">
        <is>
          <t>746 - 921</t>
        </is>
      </c>
      <c r="D647" t="inlineStr">
        <is>
          <t>1 / SYS_FLAG N</t>
        </is>
      </c>
      <c r="E647" t="inlineStr">
        <is>
          <t>ranr_rate</t>
        </is>
      </c>
      <c r="F647" t="inlineStr">
        <is>
          <t>Profit after losses: RANR per booked dollar</t>
        </is>
      </c>
      <c r="G647" t="n">
        <v>231</v>
      </c>
      <c r="H647" t="n">
        <v>7339528.739999998</v>
      </c>
      <c r="I647" t="b">
        <v>0</v>
      </c>
      <c r="J647" t="b">
        <v>0</v>
      </c>
      <c r="K647" t="n">
        <v>-0.07436888902258183</v>
      </c>
      <c r="L647" t="n">
        <v>0.0003768853883842385</v>
      </c>
      <c r="M647" t="n">
        <v>0.01052114723186474</v>
      </c>
      <c r="N647" t="n">
        <v>0.5190338109046239</v>
      </c>
      <c r="O647" t="n">
        <v>545832.5983431097</v>
      </c>
      <c r="P647" t="n">
        <v>-77220.26248604263</v>
      </c>
      <c r="Q647">
        <f>'_live'!$C$23</f>
        <v/>
      </c>
      <c r="R647" t="inlineStr">
        <is>
          <t>shuffled: 0 of 10,000</t>
        </is>
      </c>
      <c r="S647" t="inlineStr">
        <is>
          <t>shuffled: 1,953 of 10,000</t>
        </is>
      </c>
      <c r="T647" t="n">
        <v>0.1301051187576806</v>
      </c>
      <c r="U647" t="n">
        <v>0.04521508250323403</v>
      </c>
      <c r="V647">
        <f>AND(judged_band,NOT($J647))</f>
        <v/>
      </c>
      <c r="W647">
        <f>IF($K647="","",IF(profit_kind="test",IF(OR(NOT(AND(ISNUMBER($L647),$L647&lt;significance_bar)),$K647=0),"in line",IF($K647&lt;0,"worse","better")),IF(OR($K647=0,IF(profit_kind="points",ABS($K647),ABS($K647*$H647))&lt;profit_line*(1-1E-9)),"in line",IF(AND(ISNUMBER($L647),$L647&lt;significance_bar),IF($K647&lt;0,"worse","better"),IF($K647&lt;0,"worse, not significant","better, not significant")))))</f>
        <v/>
      </c>
      <c r="X647">
        <f>IF($M647="","",IF(profit_kind="test",IF(OR(NOT(AND(ISNUMBER($N647),$N647&lt;significance_bar)),$M647=0),"in line",IF($M647&lt;0,"worse","better")),IF(OR($M647=0,IF(profit_kind="points",ABS($M647),ABS($M647*$H647))&lt;profit_line*(1-1E-9)),"in line",IF(AND(ISNUMBER($N647),$N647&lt;significance_bar),IF($M647&lt;0,"worse","better"),IF($M647&lt;0,"worse, not significant","better, not significant")))))</f>
        <v/>
      </c>
      <c r="Y647">
        <f>IF($V647,$X647,$W647)</f>
        <v/>
      </c>
      <c r="Z647">
        <f>IF($V647,IF($P647="","",$P647),IF($O647="","",$O647))</f>
        <v/>
      </c>
      <c r="AA647">
        <f>IF(OR($Q647="",$Z647=""),"",IF(AND($Z647&gt;0,$Z647&gt;=$Q647),"yes","below the line"))</f>
        <v/>
      </c>
      <c r="AB647">
        <f>IF($V647,IF($M647="","",$M647),IF($K647="","",$K647))</f>
        <v/>
      </c>
      <c r="AC647">
        <f>IF($V647,IF($N647="","",$N647),IF($L647="","",$L647))</f>
        <v/>
      </c>
      <c r="AD647">
        <f>IF($Y647="","",IF($Y647="in line",IF(profit_kind="test",IF(ROUND($AB647*100,2)=0,"0.00",TEXT($AB647*100,"+0.00;-0.00"))&amp;" points against "&amp;IF($V647,"its band","the book")&amp;", "&amp;IF($AC647="","not tested","not significant"),IF(profit_kind="points","within "&amp;TEXT(profit_line*100,"0.00")&amp;" points of "&amp;IF($V647,"its band","the book")&amp;" ("&amp;IF(ROUND($AB647*100,2)=0,"0.00",TEXT($AB647*100,"+0.00;-0.00"))&amp;")","within $"&amp;TEXT(profit_line,"#,##0")&amp;" of "&amp;IF($V647,"its band","the book")&amp;" ("&amp;IF(ROUND($AB647*100,2)=0,"0.00",TEXT($AB647*100,"+0.00;-0.00"))&amp;" points)")),IF(LEFT($Y647,5)="worse","short of ","ahead of ")&amp;IF($V647,"its band","the book")&amp;" by "&amp;TEXT(ABS($AB647)*100,"0.00")&amp;" points"&amp;IF($Z647="",""," ($"&amp;TEXT(ABS($Z647),"#,##0")&amp;")")&amp;IF(RIGHT($Y647,15)="not significant"," (not significant)","")))</f>
        <v/>
      </c>
      <c r="AE647">
        <f>IF($V647,IF($S647="","",$S647),IF($R647="","",$R647))</f>
        <v/>
      </c>
      <c r="AF647">
        <f>IF($V647,IF($U647="","",$U647),IF($T647="","",$T647))</f>
        <v/>
      </c>
      <c r="AG647">
        <f>IF($V647,IF($O647="","",$O647),IF($P647="","",$P647))</f>
        <v/>
      </c>
      <c r="AH647" t="n">
        <v>0.05573622973509877</v>
      </c>
      <c r="AI647">
        <f>IF($Y647="worse","Yes",IF($Y647="worse, not significant","Not sure",IF(OR($Y647="too few losses to test",$Y647="too few loans to test"),"Too few losses",IF($Y647="","","No"))))</f>
        <v/>
      </c>
      <c r="AJ647">
        <f>IF($AA647="yes","Yes",IF($AA647="","","No"))</f>
        <v/>
      </c>
    </row>
    <row r="648">
      <c r="A648" t="inlineStr">
        <is>
          <t>three-way</t>
        </is>
      </c>
      <c r="B648" t="inlineStr">
        <is>
          <t>FICO x ASSET_CLASS / SYS_FLAG</t>
        </is>
      </c>
      <c r="C648" t="inlineStr">
        <is>
          <t>746 - 921</t>
        </is>
      </c>
      <c r="D648" t="inlineStr">
        <is>
          <t>1 / SYS_FLAG N</t>
        </is>
      </c>
      <c r="E648" t="inlineStr">
        <is>
          <t>contribution_rate</t>
        </is>
      </c>
      <c r="F648" t="inlineStr">
        <is>
          <t>Contribution before losses per booked dollar</t>
        </is>
      </c>
      <c r="G648" t="n">
        <v>231</v>
      </c>
      <c r="H648" t="n">
        <v>7339528.739999998</v>
      </c>
      <c r="I648" t="b">
        <v>0</v>
      </c>
      <c r="J648" t="b">
        <v>0</v>
      </c>
      <c r="K648" t="n">
        <v>-0.1040295299678286</v>
      </c>
      <c r="L648" t="n">
        <v>0.0001814633351479667</v>
      </c>
      <c r="M648" t="n">
        <v>0.002773065362200192</v>
      </c>
      <c r="N648" t="n">
        <v>0.8663133686631337</v>
      </c>
      <c r="O648" t="n">
        <v>763527.7250075691</v>
      </c>
      <c r="P648" t="n">
        <v>-20352.99292376684</v>
      </c>
      <c r="Q648">
        <f>'_live'!$C$24</f>
        <v/>
      </c>
      <c r="R648" t="inlineStr">
        <is>
          <t>shuffled: 0 of 10,000</t>
        </is>
      </c>
      <c r="S648" t="inlineStr">
        <is>
          <t>shuffled: 2,526 of 10,000</t>
        </is>
      </c>
      <c r="T648" t="n">
        <v>0.1725515356463567</v>
      </c>
      <c r="U648" t="n">
        <v>0.06574894031632787</v>
      </c>
      <c r="V648">
        <f>AND(judged_band,NOT($J648))</f>
        <v/>
      </c>
      <c r="W648">
        <f>IF($K648="","",IF(profit_kind="test",IF(OR(NOT(AND(ISNUMBER($L648),$L648&lt;significance_bar)),$K648=0),"in line",IF($K648&lt;0,"worse","better")),IF(OR($K648=0,IF(profit_kind="points",ABS($K648),ABS($K648*$H648))&lt;profit_line*(1-1E-9)),"in line",IF(AND(ISNUMBER($L648),$L648&lt;significance_bar),IF($K648&lt;0,"worse","better"),IF($K648&lt;0,"worse, not significant","better, not significant")))))</f>
        <v/>
      </c>
      <c r="X648">
        <f>IF($M648="","",IF(profit_kind="test",IF(OR(NOT(AND(ISNUMBER($N648),$N648&lt;significance_bar)),$M648=0),"in line",IF($M648&lt;0,"worse","better")),IF(OR($M648=0,IF(profit_kind="points",ABS($M648),ABS($M648*$H648))&lt;profit_line*(1-1E-9)),"in line",IF(AND(ISNUMBER($N648),$N648&lt;significance_bar),IF($M648&lt;0,"worse","better"),IF($M648&lt;0,"worse, not significant","better, not significant")))))</f>
        <v/>
      </c>
      <c r="Y648">
        <f>IF($V648,$X648,$W648)</f>
        <v/>
      </c>
      <c r="Z648">
        <f>IF($V648,IF($P648="","",$P648),IF($O648="","",$O648))</f>
        <v/>
      </c>
      <c r="AA648">
        <f>IF(OR($Q648="",$Z648=""),"",IF(AND($Z648&gt;0,$Z648&gt;=$Q648),"yes","below the line"))</f>
        <v/>
      </c>
      <c r="AB648">
        <f>IF($V648,IF($M648="","",$M648),IF($K648="","",$K648))</f>
        <v/>
      </c>
      <c r="AC648">
        <f>IF($V648,IF($N648="","",$N648),IF($L648="","",$L648))</f>
        <v/>
      </c>
      <c r="AD648">
        <f>IF($Y648="","",IF($Y648="in line",IF(profit_kind="test",IF(ROUND($AB648*100,2)=0,"0.00",TEXT($AB648*100,"+0.00;-0.00"))&amp;" points against "&amp;IF($V648,"its band","the book")&amp;", "&amp;IF($AC648="","not tested","not significant"),IF(profit_kind="points","within "&amp;TEXT(profit_line*100,"0.00")&amp;" points of "&amp;IF($V648,"its band","the book")&amp;" ("&amp;IF(ROUND($AB648*100,2)=0,"0.00",TEXT($AB648*100,"+0.00;-0.00"))&amp;")","within $"&amp;TEXT(profit_line,"#,##0")&amp;" of "&amp;IF($V648,"its band","the book")&amp;" ("&amp;IF(ROUND($AB648*100,2)=0,"0.00",TEXT($AB648*100,"+0.00;-0.00"))&amp;" points)")),IF(LEFT($Y648,5)="worse","short of ","ahead of ")&amp;IF($V648,"its band","the book")&amp;" by "&amp;TEXT(ABS($AB648)*100,"0.00")&amp;" points"&amp;IF($Z648="",""," ($"&amp;TEXT(ABS($Z648),"#,##0")&amp;")")&amp;IF(RIGHT($Y648,15)="not significant"," (not significant)","")))</f>
        <v/>
      </c>
      <c r="AE648">
        <f>IF($V648,IF($S648="","",$S648),IF($R648="","",$R648))</f>
        <v/>
      </c>
      <c r="AF648">
        <f>IF($V648,IF($U648="","",$U648),IF($T648="","",$T648))</f>
        <v/>
      </c>
      <c r="AG648">
        <f>IF($V648,IF($O648="","",$O648),IF($P648="","",$P648))</f>
        <v/>
      </c>
      <c r="AH648" t="n">
        <v>0.06852200567852806</v>
      </c>
      <c r="AI648">
        <f>IF($Y648="worse","Yes",IF($Y648="worse, not significant","Not sure",IF(OR($Y648="too few losses to test",$Y648="too few loans to test"),"Too few losses",IF($Y648="","","No"))))</f>
        <v/>
      </c>
      <c r="AJ648">
        <f>IF($AA648="yes","Yes",IF($AA648="","","No"))</f>
        <v/>
      </c>
    </row>
    <row r="649">
      <c r="A649" t="inlineStr">
        <is>
          <t>three-way</t>
        </is>
      </c>
      <c r="B649" t="inlineStr">
        <is>
          <t>FICO x ASSET_CLASS / SYS_FLAG</t>
        </is>
      </c>
      <c r="C649" t="inlineStr">
        <is>
          <t>496 - 653</t>
        </is>
      </c>
      <c r="D649" t="inlineStr">
        <is>
          <t>4 / SYS_FLAG N</t>
        </is>
      </c>
      <c r="E649" t="inlineStr">
        <is>
          <t>outcome_loans</t>
        </is>
      </c>
      <c r="F649" t="inlineStr">
        <is>
          <t>Outcome, share of loans</t>
        </is>
      </c>
      <c r="G649" t="n">
        <v>203</v>
      </c>
      <c r="H649" t="n">
        <v>203</v>
      </c>
      <c r="I649" t="b">
        <v>0</v>
      </c>
      <c r="J649" t="b">
        <v>0</v>
      </c>
      <c r="K649" t="n">
        <v>2.232023914782535</v>
      </c>
      <c r="L649" t="n">
        <v>7.377316778302022e-06</v>
      </c>
      <c r="M649" t="n">
        <v>1.132216748768473</v>
      </c>
      <c r="N649" t="n">
        <v>0.6825786161040511</v>
      </c>
      <c r="O649" t="n">
        <v>18.76718830169318</v>
      </c>
      <c r="P649" t="n">
        <v>3.970414201183431</v>
      </c>
      <c r="Q649">
        <f>'_live'!$C$20</f>
        <v/>
      </c>
      <c r="R649" t="inlineStr">
        <is>
          <t>z test</t>
        </is>
      </c>
      <c r="S649" t="inlineStr">
        <is>
          <t>z test</t>
        </is>
      </c>
      <c r="T649" t="n">
        <v>0.0750384812724474</v>
      </c>
      <c r="U649" t="n">
        <v>0.1479289940828402</v>
      </c>
      <c r="V649">
        <f>AND(judged_band,NOT($J649))</f>
        <v/>
      </c>
      <c r="W649">
        <f>IF($K649="","",IF($I649,"too few losses to test",IF(AND($K649&gt;better_at,$K649&lt;worse_at),"in line",IF($K649&gt;=worse_at,IF(AND(ISNUMBER($L649),$L649&lt;significance_bar),"worse","worse, not significant"),IF(AND(ISNUMBER($L649),$L649&lt;significance_bar),"better","better, not significant")))))</f>
        <v/>
      </c>
      <c r="X649">
        <f>IF($M649="","",IF($I649,"too few losses to test",IF(AND($M649&gt;better_at,$M649&lt;worse_at),"in line",IF($M649&gt;=worse_at,IF(AND(ISNUMBER($N649),$N649&lt;significance_bar),"worse","worse, not significant"),IF(AND(ISNUMBER($N649),$N649&lt;significance_bar),"better","better, not significant")))))</f>
        <v/>
      </c>
      <c r="Y649">
        <f>IF($V649,$X649,$W649)</f>
        <v/>
      </c>
      <c r="Z649">
        <f>IF($V649,IF($P649="","",$P649),IF($O649="","",$O649))</f>
        <v/>
      </c>
      <c r="AA649">
        <f>IF(OR($Q649="",$Z649=""),"",IF(AND($Z649&gt;0,$Z649&gt;=$Q649),"yes","below the line"))</f>
        <v/>
      </c>
      <c r="AB649">
        <f>IF($V649,IF($M649="","",$M649),IF($K649="","",$K649))</f>
        <v/>
      </c>
      <c r="AC649">
        <f>IF($V649,IF($N649="","",$N649),IF($L649="","",$L649))</f>
        <v/>
      </c>
      <c r="AD649">
        <f>$Y649</f>
        <v/>
      </c>
      <c r="AE649">
        <f>IF($V649,IF($S649="","",$S649),IF($R649="","",$R649))</f>
        <v/>
      </c>
      <c r="AF649">
        <f>IF($V649,IF($U649="","",$U649),IF($T649="","",$T649))</f>
        <v/>
      </c>
      <c r="AG649">
        <f>IF($V649,IF($O649="","",$O649),IF($P649="","",$P649))</f>
        <v/>
      </c>
      <c r="AH649" t="n">
        <v>0.167487684729064</v>
      </c>
      <c r="AI649">
        <f>IF($Y649="worse","Yes",IF($Y649="worse, not significant","Not sure",IF(OR($Y649="too few losses to test",$Y649="too few loans to test"),"Too few losses",IF($Y649="","","No"))))</f>
        <v/>
      </c>
      <c r="AJ649">
        <f>IF($AA649="yes","Yes",IF($AA649="","","No"))</f>
        <v/>
      </c>
    </row>
    <row r="650">
      <c r="A650" t="inlineStr">
        <is>
          <t>three-way</t>
        </is>
      </c>
      <c r="B650" t="inlineStr">
        <is>
          <t>FICO x ASSET_CLASS / SYS_FLAG</t>
        </is>
      </c>
      <c r="C650" t="inlineStr">
        <is>
          <t>496 - 653</t>
        </is>
      </c>
      <c r="D650" t="inlineStr">
        <is>
          <t>4 / SYS_FLAG N</t>
        </is>
      </c>
      <c r="E650" t="inlineStr">
        <is>
          <t>outcome_booked</t>
        </is>
      </c>
      <c r="F650" t="inlineStr">
        <is>
          <t>Outcome, share of booked dollars</t>
        </is>
      </c>
      <c r="G650" t="n">
        <v>203</v>
      </c>
      <c r="H650" t="n">
        <v>6530674.840000001</v>
      </c>
      <c r="I650" t="b">
        <v>0</v>
      </c>
      <c r="J650" t="b">
        <v>0</v>
      </c>
      <c r="K650" t="n">
        <v>2.212788377516995</v>
      </c>
      <c r="L650" t="n">
        <v>0.00194980501949805</v>
      </c>
      <c r="M650" t="n">
        <v>1.089383564187331</v>
      </c>
      <c r="N650" t="n">
        <v>0.9032044164004653</v>
      </c>
      <c r="O650" t="n">
        <v>575018.7596230221</v>
      </c>
      <c r="P650" t="n">
        <v>86082.27149408939</v>
      </c>
      <c r="Q650">
        <f>'_live'!$C$21</f>
        <v/>
      </c>
      <c r="R650" t="inlineStr">
        <is>
          <t>shuffled: 2 of 10,000</t>
        </is>
      </c>
      <c r="S650" t="inlineStr">
        <is>
          <t>shuffled: 6,600 of 10,000</t>
        </is>
      </c>
      <c r="T650" t="n">
        <v>0.07260038541085559</v>
      </c>
      <c r="U650" t="n">
        <v>0.1474680675582235</v>
      </c>
      <c r="V650">
        <f>AND(judged_band,NOT($J650))</f>
        <v/>
      </c>
      <c r="W650">
        <f>IF($K650="","",IF($I650,"too few losses to test",IF(AND($K650&gt;better_at,$K650&lt;worse_at),"in line",IF($K650&gt;=worse_at,IF(AND(ISNUMBER($L650),$L650&lt;significance_bar),"worse","worse, not significant"),IF(AND(ISNUMBER($L650),$L650&lt;significance_bar),"better","better, not significant")))))</f>
        <v/>
      </c>
      <c r="X650">
        <f>IF($M650="","",IF($I650,"too few losses to test",IF(AND($M650&gt;better_at,$M650&lt;worse_at),"in line",IF($M650&gt;=worse_at,IF(AND(ISNUMBER($N650),$N650&lt;significance_bar),"worse","worse, not significant"),IF(AND(ISNUMBER($N650),$N650&lt;significance_bar),"better","better, not significant")))))</f>
        <v/>
      </c>
      <c r="Y650">
        <f>IF($V650,$X650,$W650)</f>
        <v/>
      </c>
      <c r="Z650">
        <f>IF($V650,IF($P650="","",$P650),IF($O650="","",$O650))</f>
        <v/>
      </c>
      <c r="AA650">
        <f>IF(OR($Q650="",$Z650=""),"",IF(AND($Z650&gt;0,$Z650&gt;=$Q650),"yes","below the line"))</f>
        <v/>
      </c>
      <c r="AB650">
        <f>IF($V650,IF($M650="","",$M650),IF($K650="","",$K650))</f>
        <v/>
      </c>
      <c r="AC650">
        <f>IF($V650,IF($N650="","",$N650),IF($L650="","",$L650))</f>
        <v/>
      </c>
      <c r="AD650">
        <f>$Y650</f>
        <v/>
      </c>
      <c r="AE650">
        <f>IF($V650,IF($S650="","",$S650),IF($R650="","",$R650))</f>
        <v/>
      </c>
      <c r="AF650">
        <f>IF($V650,IF($U650="","",$U650),IF($T650="","",$T650))</f>
        <v/>
      </c>
      <c r="AG650">
        <f>IF($V650,IF($O650="","",$O650),IF($P650="","",$P650))</f>
        <v/>
      </c>
      <c r="AH650" t="n">
        <v>0.1606492890403957</v>
      </c>
      <c r="AI650">
        <f>IF($Y650="worse","Yes",IF($Y650="worse, not significant","Not sure",IF(OR($Y650="too few losses to test",$Y650="too few loans to test"),"Too few losses",IF($Y650="","","No"))))</f>
        <v/>
      </c>
      <c r="AJ650">
        <f>IF($AA650="yes","Yes",IF($AA650="","","No"))</f>
        <v/>
      </c>
    </row>
    <row r="651">
      <c r="A651" t="inlineStr">
        <is>
          <t>three-way</t>
        </is>
      </c>
      <c r="B651" t="inlineStr">
        <is>
          <t>FICO x ASSET_CLASS / SYS_FLAG</t>
        </is>
      </c>
      <c r="C651" t="inlineStr">
        <is>
          <t>496 - 653</t>
        </is>
      </c>
      <c r="D651" t="inlineStr">
        <is>
          <t>4 / SYS_FLAG N</t>
        </is>
      </c>
      <c r="E651" t="inlineStr">
        <is>
          <t>gco_rate</t>
        </is>
      </c>
      <c r="F651" t="inlineStr">
        <is>
          <t>GCO per booked dollar</t>
        </is>
      </c>
      <c r="G651" t="n">
        <v>203</v>
      </c>
      <c r="H651" t="n">
        <v>6530674.840000001</v>
      </c>
      <c r="I651" t="b">
        <v>0</v>
      </c>
      <c r="J651" t="b">
        <v>0</v>
      </c>
      <c r="K651" t="n">
        <v>2.443690944030755</v>
      </c>
      <c r="L651" t="n">
        <v>0.0006499350064993501</v>
      </c>
      <c r="M651" t="n">
        <v>1.20660476623423</v>
      </c>
      <c r="N651" t="n">
        <v>0.6096390360963904</v>
      </c>
      <c r="O651" t="n">
        <v>378437.9463278894</v>
      </c>
      <c r="P651" t="n">
        <v>109683.6827311813</v>
      </c>
      <c r="Q651">
        <f>'_live'!$C$22</f>
        <v/>
      </c>
      <c r="R651" t="inlineStr">
        <is>
          <t>shuffled: 0 of 10,000</t>
        </is>
      </c>
      <c r="S651" t="inlineStr">
        <is>
          <t>shuffled: 3,282 of 10,000</t>
        </is>
      </c>
      <c r="T651" t="n">
        <v>0.04013861508868366</v>
      </c>
      <c r="U651" t="n">
        <v>0.08129121725938186</v>
      </c>
      <c r="V651">
        <f>AND(judged_band,NOT($J651))</f>
        <v/>
      </c>
      <c r="W651">
        <f>IF($K651="","",IF($I651,"too few losses to test",IF(AND($K651&gt;better_at,$K651&lt;worse_at),"in line",IF($K651&gt;=worse_at,IF(AND(ISNUMBER($L651),$L651&lt;significance_bar),"worse","worse, not significant"),IF(AND(ISNUMBER($L651),$L651&lt;significance_bar),"better","better, not significant")))))</f>
        <v/>
      </c>
      <c r="X651">
        <f>IF($M651="","",IF($I651,"too few losses to test",IF(AND($M651&gt;better_at,$M651&lt;worse_at),"in line",IF($M651&gt;=worse_at,IF(AND(ISNUMBER($N651),$N651&lt;significance_bar),"worse","worse, not significant"),IF(AND(ISNUMBER($N651),$N651&lt;significance_bar),"better","better, not significant")))))</f>
        <v/>
      </c>
      <c r="Y651">
        <f>IF($V651,$X651,$W651)</f>
        <v/>
      </c>
      <c r="Z651">
        <f>IF($V651,IF($P651="","",$P651),IF($O651="","",$O651))</f>
        <v/>
      </c>
      <c r="AA651">
        <f>IF(OR($Q651="",$Z651=""),"",IF(AND($Z651&gt;0,$Z651&gt;=$Q651),"yes","below the line"))</f>
        <v/>
      </c>
      <c r="AB651">
        <f>IF($V651,IF($M651="","",$M651),IF($K651="","",$K651))</f>
        <v/>
      </c>
      <c r="AC651">
        <f>IF($V651,IF($N651="","",$N651),IF($L651="","",$L651))</f>
        <v/>
      </c>
      <c r="AD651">
        <f>$Y651</f>
        <v/>
      </c>
      <c r="AE651">
        <f>IF($V651,IF($S651="","",$S651),IF($R651="","",$R651))</f>
        <v/>
      </c>
      <c r="AF651">
        <f>IF($V651,IF($U651="","",$U651),IF($T651="","",$T651))</f>
        <v/>
      </c>
      <c r="AG651">
        <f>IF($V651,IF($O651="","",$O651),IF($P651="","",$P651))</f>
        <v/>
      </c>
      <c r="AH651" t="n">
        <v>0.09808637019815246</v>
      </c>
      <c r="AI651">
        <f>IF($Y651="worse","Yes",IF($Y651="worse, not significant","Not sure",IF(OR($Y651="too few losses to test",$Y651="too few loans to test"),"Too few losses",IF($Y651="","","No"))))</f>
        <v/>
      </c>
      <c r="AJ651">
        <f>IF($AA651="yes","Yes",IF($AA651="","","No"))</f>
        <v/>
      </c>
    </row>
    <row r="652">
      <c r="A652" t="inlineStr">
        <is>
          <t>three-way</t>
        </is>
      </c>
      <c r="B652" t="inlineStr">
        <is>
          <t>FICO x ASSET_CLASS / SYS_FLAG</t>
        </is>
      </c>
      <c r="C652" t="inlineStr">
        <is>
          <t>496 - 653</t>
        </is>
      </c>
      <c r="D652" t="inlineStr">
        <is>
          <t>4 / SYS_FLAG N</t>
        </is>
      </c>
      <c r="E652" t="inlineStr">
        <is>
          <t>ranr_rate</t>
        </is>
      </c>
      <c r="F652" t="inlineStr">
        <is>
          <t>Profit after losses: RANR per booked dollar</t>
        </is>
      </c>
      <c r="G652" t="n">
        <v>203</v>
      </c>
      <c r="H652" t="n">
        <v>6530674.840000001</v>
      </c>
      <c r="I652" t="b">
        <v>0</v>
      </c>
      <c r="J652" t="b">
        <v>0</v>
      </c>
      <c r="K652" t="n">
        <v>0.05343059413205792</v>
      </c>
      <c r="L652" t="n">
        <v>0.0014410323673515</v>
      </c>
      <c r="M652" t="n">
        <v>-0.0115954076913283</v>
      </c>
      <c r="N652" t="n">
        <v>0.8858714128587142</v>
      </c>
      <c r="O652" t="n">
        <v>-348937.8367844822</v>
      </c>
      <c r="P652" t="n">
        <v>75725.83726930036</v>
      </c>
      <c r="Q652">
        <f>'_live'!$C$23</f>
        <v/>
      </c>
      <c r="R652" t="inlineStr">
        <is>
          <t>shuffled: 4 of 10,000</t>
        </is>
      </c>
      <c r="S652" t="inlineStr">
        <is>
          <t>shuffled: 5,744 of 10,000</t>
        </is>
      </c>
      <c r="T652" t="n">
        <v>0.1266379361210882</v>
      </c>
      <c r="U652" t="n">
        <v>0.1916639379444744</v>
      </c>
      <c r="V652">
        <f>AND(judged_band,NOT($J652))</f>
        <v/>
      </c>
      <c r="W652">
        <f>IF($K652="","",IF(profit_kind="test",IF(OR(NOT(AND(ISNUMBER($L652),$L652&lt;significance_bar)),$K652=0),"in line",IF($K652&lt;0,"worse","better")),IF(OR($K652=0,IF(profit_kind="points",ABS($K652),ABS($K652*$H652))&lt;profit_line*(1-1E-9)),"in line",IF(AND(ISNUMBER($L652),$L652&lt;significance_bar),IF($K652&lt;0,"worse","better"),IF($K652&lt;0,"worse, not significant","better, not significant")))))</f>
        <v/>
      </c>
      <c r="X652">
        <f>IF($M652="","",IF(profit_kind="test",IF(OR(NOT(AND(ISNUMBER($N652),$N652&lt;significance_bar)),$M652=0),"in line",IF($M652&lt;0,"worse","better")),IF(OR($M652=0,IF(profit_kind="points",ABS($M652),ABS($M652*$H652))&lt;profit_line*(1-1E-9)),"in line",IF(AND(ISNUMBER($N652),$N652&lt;significance_bar),IF($M652&lt;0,"worse","better"),IF($M652&lt;0,"worse, not significant","better, not significant")))))</f>
        <v/>
      </c>
      <c r="Y652">
        <f>IF($V652,$X652,$W652)</f>
        <v/>
      </c>
      <c r="Z652">
        <f>IF($V652,IF($P652="","",$P652),IF($O652="","",$O652))</f>
        <v/>
      </c>
      <c r="AA652">
        <f>IF(OR($Q652="",$Z652=""),"",IF(AND($Z652&gt;0,$Z652&gt;=$Q652),"yes","below the line"))</f>
        <v/>
      </c>
      <c r="AB652">
        <f>IF($V652,IF($M652="","",$M652),IF($K652="","",$K652))</f>
        <v/>
      </c>
      <c r="AC652">
        <f>IF($V652,IF($N652="","",$N652),IF($L652="","",$L652))</f>
        <v/>
      </c>
      <c r="AD652">
        <f>IF($Y652="","",IF($Y652="in line",IF(profit_kind="test",IF(ROUND($AB652*100,2)=0,"0.00",TEXT($AB652*100,"+0.00;-0.00"))&amp;" points against "&amp;IF($V652,"its band","the book")&amp;", "&amp;IF($AC652="","not tested","not significant"),IF(profit_kind="points","within "&amp;TEXT(profit_line*100,"0.00")&amp;" points of "&amp;IF($V652,"its band","the book")&amp;" ("&amp;IF(ROUND($AB652*100,2)=0,"0.00",TEXT($AB652*100,"+0.00;-0.00"))&amp;")","within $"&amp;TEXT(profit_line,"#,##0")&amp;" of "&amp;IF($V652,"its band","the book")&amp;" ("&amp;IF(ROUND($AB652*100,2)=0,"0.00",TEXT($AB652*100,"+0.00;-0.00"))&amp;" points)")),IF(LEFT($Y652,5)="worse","short of ","ahead of ")&amp;IF($V652,"its band","the book")&amp;" by "&amp;TEXT(ABS($AB652)*100,"0.00")&amp;" points"&amp;IF($Z652="",""," ($"&amp;TEXT(ABS($Z652),"#,##0")&amp;")")&amp;IF(RIGHT($Y652,15)="not significant"," (not significant)","")))</f>
        <v/>
      </c>
      <c r="AE652">
        <f>IF($V652,IF($S652="","",$S652),IF($R652="","",$R652))</f>
        <v/>
      </c>
      <c r="AF652">
        <f>IF($V652,IF($U652="","",$U652),IF($T652="","",$T652))</f>
        <v/>
      </c>
      <c r="AG652">
        <f>IF($V652,IF($O652="","",$O652),IF($P652="","",$P652))</f>
        <v/>
      </c>
      <c r="AH652" t="n">
        <v>0.1800685302531461</v>
      </c>
      <c r="AI652">
        <f>IF($Y652="worse","Yes",IF($Y652="worse, not significant","Not sure",IF(OR($Y652="too few losses to test",$Y652="too few loans to test"),"Too few losses",IF($Y652="","","No"))))</f>
        <v/>
      </c>
      <c r="AJ652">
        <f>IF($AA652="yes","Yes",IF($AA652="","","No"))</f>
        <v/>
      </c>
    </row>
    <row r="653">
      <c r="A653" t="inlineStr">
        <is>
          <t>three-way</t>
        </is>
      </c>
      <c r="B653" t="inlineStr">
        <is>
          <t>FICO x ASSET_CLASS / SYS_FLAG</t>
        </is>
      </c>
      <c r="C653" t="inlineStr">
        <is>
          <t>496 - 653</t>
        </is>
      </c>
      <c r="D653" t="inlineStr">
        <is>
          <t>4 / SYS_FLAG N</t>
        </is>
      </c>
      <c r="E653" t="inlineStr">
        <is>
          <t>contribution_rate</t>
        </is>
      </c>
      <c r="F653" t="inlineStr">
        <is>
          <t>Contribution before losses per booked dollar</t>
        </is>
      </c>
      <c r="G653" t="n">
        <v>203</v>
      </c>
      <c r="H653" t="n">
        <v>6530674.840000001</v>
      </c>
      <c r="I653" t="b">
        <v>0</v>
      </c>
      <c r="J653" t="b">
        <v>0</v>
      </c>
      <c r="K653" t="n">
        <v>0.1113814960872897</v>
      </c>
      <c r="L653" t="n">
        <v>0.0001814633351479667</v>
      </c>
      <c r="M653" t="n">
        <v>0.005199745247442322</v>
      </c>
      <c r="N653" t="n">
        <v>0.9799190293736585</v>
      </c>
      <c r="O653" t="n">
        <v>-727396.3341388211</v>
      </c>
      <c r="P653" t="n">
        <v>-33957.84546188102</v>
      </c>
      <c r="Q653">
        <f>'_live'!$C$24</f>
        <v/>
      </c>
      <c r="R653" t="inlineStr">
        <is>
          <t>shuffled: 0 of 10,000</t>
        </is>
      </c>
      <c r="S653" t="inlineStr">
        <is>
          <t>shuffled: 6,674 of 10,000</t>
        </is>
      </c>
      <c r="T653" t="n">
        <v>0.166773404364009</v>
      </c>
      <c r="U653" t="n">
        <v>0.2729551552038563</v>
      </c>
      <c r="V653">
        <f>AND(judged_band,NOT($J653))</f>
        <v/>
      </c>
      <c r="W653">
        <f>IF($K653="","",IF(profit_kind="test",IF(OR(NOT(AND(ISNUMBER($L653),$L653&lt;significance_bar)),$K653=0),"in line",IF($K653&lt;0,"worse","better")),IF(OR($K653=0,IF(profit_kind="points",ABS($K653),ABS($K653*$H653))&lt;profit_line*(1-1E-9)),"in line",IF(AND(ISNUMBER($L653),$L653&lt;significance_bar),IF($K653&lt;0,"worse","better"),IF($K653&lt;0,"worse, not significant","better, not significant")))))</f>
        <v/>
      </c>
      <c r="X653">
        <f>IF($M653="","",IF(profit_kind="test",IF(OR(NOT(AND(ISNUMBER($N653),$N653&lt;significance_bar)),$M653=0),"in line",IF($M653&lt;0,"worse","better")),IF(OR($M653=0,IF(profit_kind="points",ABS($M653),ABS($M653*$H653))&lt;profit_line*(1-1E-9)),"in line",IF(AND(ISNUMBER($N653),$N653&lt;significance_bar),IF($M653&lt;0,"worse","better"),IF($M653&lt;0,"worse, not significant","better, not significant")))))</f>
        <v/>
      </c>
      <c r="Y653">
        <f>IF($V653,$X653,$W653)</f>
        <v/>
      </c>
      <c r="Z653">
        <f>IF($V653,IF($P653="","",$P653),IF($O653="","",$O653))</f>
        <v/>
      </c>
      <c r="AA653">
        <f>IF(OR($Q653="",$Z653=""),"",IF(AND($Z653&gt;0,$Z653&gt;=$Q653),"yes","below the line"))</f>
        <v/>
      </c>
      <c r="AB653">
        <f>IF($V653,IF($M653="","",$M653),IF($K653="","",$K653))</f>
        <v/>
      </c>
      <c r="AC653">
        <f>IF($V653,IF($N653="","",$N653),IF($L653="","",$L653))</f>
        <v/>
      </c>
      <c r="AD653">
        <f>IF($Y653="","",IF($Y653="in line",IF(profit_kind="test",IF(ROUND($AB653*100,2)=0,"0.00",TEXT($AB653*100,"+0.00;-0.00"))&amp;" points against "&amp;IF($V653,"its band","the book")&amp;", "&amp;IF($AC653="","not tested","not significant"),IF(profit_kind="points","within "&amp;TEXT(profit_line*100,"0.00")&amp;" points of "&amp;IF($V653,"its band","the book")&amp;" ("&amp;IF(ROUND($AB653*100,2)=0,"0.00",TEXT($AB653*100,"+0.00;-0.00"))&amp;")","within $"&amp;TEXT(profit_line,"#,##0")&amp;" of "&amp;IF($V653,"its band","the book")&amp;" ("&amp;IF(ROUND($AB653*100,2)=0,"0.00",TEXT($AB653*100,"+0.00;-0.00"))&amp;" points)")),IF(LEFT($Y653,5)="worse","short of ","ahead of ")&amp;IF($V653,"its band","the book")&amp;" by "&amp;TEXT(ABS($AB653)*100,"0.00")&amp;" points"&amp;IF($Z653="",""," ($"&amp;TEXT(ABS($Z653),"#,##0")&amp;")")&amp;IF(RIGHT($Y653,15)="not significant"," (not significant)","")))</f>
        <v/>
      </c>
      <c r="AE653">
        <f>IF($V653,IF($S653="","",$S653),IF($R653="","",$R653))</f>
        <v/>
      </c>
      <c r="AF653">
        <f>IF($V653,IF($U653="","",$U653),IF($T653="","",$T653))</f>
        <v/>
      </c>
      <c r="AG653">
        <f>IF($V653,IF($O653="","",$O653),IF($P653="","",$P653))</f>
        <v/>
      </c>
      <c r="AH653" t="n">
        <v>0.2781549004512986</v>
      </c>
      <c r="AI653">
        <f>IF($Y653="worse","Yes",IF($Y653="worse, not significant","Not sure",IF(OR($Y653="too few losses to test",$Y653="too few loans to test"),"Too few losses",IF($Y653="","","No"))))</f>
        <v/>
      </c>
      <c r="AJ653">
        <f>IF($AA653="yes","Yes",IF($AA653="","","No"))</f>
        <v/>
      </c>
    </row>
    <row r="654">
      <c r="A654" t="inlineStr">
        <is>
          <t>three-way</t>
        </is>
      </c>
      <c r="B654" t="inlineStr">
        <is>
          <t>FICO x ASSET_CLASS / SYS_FLAG</t>
        </is>
      </c>
      <c r="C654" t="inlineStr">
        <is>
          <t>686 - 711</t>
        </is>
      </c>
      <c r="D654" t="inlineStr">
        <is>
          <t>4 / SYS_FLAG Y</t>
        </is>
      </c>
      <c r="E654" t="inlineStr">
        <is>
          <t>outcome_loans</t>
        </is>
      </c>
      <c r="F654" t="inlineStr">
        <is>
          <t>Outcome, share of loans</t>
        </is>
      </c>
      <c r="G654" t="n">
        <v>172</v>
      </c>
      <c r="H654" t="n">
        <v>172</v>
      </c>
      <c r="I654" t="b">
        <v>0</v>
      </c>
      <c r="J654" t="b">
        <v>0</v>
      </c>
      <c r="K654" t="n">
        <v>1.130111273679347</v>
      </c>
      <c r="L654" t="n">
        <v>0.707554357141477</v>
      </c>
      <c r="M654" t="n">
        <v>1.496554694229113</v>
      </c>
      <c r="N654" t="n">
        <v>0.3538064683800896</v>
      </c>
      <c r="O654" t="n">
        <v>1.726970742302289</v>
      </c>
      <c r="P654" t="n">
        <v>4.976978417266187</v>
      </c>
      <c r="Q654">
        <f>'_live'!$C$20</f>
        <v/>
      </c>
      <c r="R654" t="inlineStr">
        <is>
          <t>z test</t>
        </is>
      </c>
      <c r="S654" t="inlineStr">
        <is>
          <t>z test</t>
        </is>
      </c>
      <c r="T654" t="n">
        <v>0.07716877475405647</v>
      </c>
      <c r="U654" t="n">
        <v>0.05827338129496403</v>
      </c>
      <c r="V654">
        <f>AND(judged_band,NOT($J654))</f>
        <v/>
      </c>
      <c r="W654">
        <f>IF($K654="","",IF($I654,"too few losses to test",IF(AND($K654&gt;better_at,$K654&lt;worse_at),"in line",IF($K654&gt;=worse_at,IF(AND(ISNUMBER($L654),$L654&lt;significance_bar),"worse","worse, not significant"),IF(AND(ISNUMBER($L654),$L654&lt;significance_bar),"better","better, not significant")))))</f>
        <v/>
      </c>
      <c r="X654">
        <f>IF($M654="","",IF($I654,"too few losses to test",IF(AND($M654&gt;better_at,$M654&lt;worse_at),"in line",IF($M654&gt;=worse_at,IF(AND(ISNUMBER($N654),$N654&lt;significance_bar),"worse","worse, not significant"),IF(AND(ISNUMBER($N654),$N654&lt;significance_bar),"better","better, not significant")))))</f>
        <v/>
      </c>
      <c r="Y654">
        <f>IF($V654,$X654,$W654)</f>
        <v/>
      </c>
      <c r="Z654">
        <f>IF($V654,IF($P654="","",$P654),IF($O654="","",$O654))</f>
        <v/>
      </c>
      <c r="AA654">
        <f>IF(OR($Q654="",$Z654=""),"",IF(AND($Z654&gt;0,$Z654&gt;=$Q654),"yes","below the line"))</f>
        <v/>
      </c>
      <c r="AB654">
        <f>IF($V654,IF($M654="","",$M654),IF($K654="","",$K654))</f>
        <v/>
      </c>
      <c r="AC654">
        <f>IF($V654,IF($N654="","",$N654),IF($L654="","",$L654))</f>
        <v/>
      </c>
      <c r="AD654">
        <f>$Y654</f>
        <v/>
      </c>
      <c r="AE654">
        <f>IF($V654,IF($S654="","",$S654),IF($R654="","",$R654))</f>
        <v/>
      </c>
      <c r="AF654">
        <f>IF($V654,IF($U654="","",$U654),IF($T654="","",$T654))</f>
        <v/>
      </c>
      <c r="AG654">
        <f>IF($V654,IF($O654="","",$O654),IF($P654="","",$P654))</f>
        <v/>
      </c>
      <c r="AH654" t="n">
        <v>0.0872093023255814</v>
      </c>
      <c r="AI654">
        <f>IF($Y654="worse","Yes",IF($Y654="worse, not significant","Not sure",IF(OR($Y654="too few losses to test",$Y654="too few loans to test"),"Too few losses",IF($Y654="","","No"))))</f>
        <v/>
      </c>
      <c r="AJ654">
        <f>IF($AA654="yes","Yes",IF($AA654="","","No"))</f>
        <v/>
      </c>
    </row>
    <row r="655">
      <c r="A655" t="inlineStr">
        <is>
          <t>three-way</t>
        </is>
      </c>
      <c r="B655" t="inlineStr">
        <is>
          <t>FICO x ASSET_CLASS / SYS_FLAG</t>
        </is>
      </c>
      <c r="C655" t="inlineStr">
        <is>
          <t>686 - 711</t>
        </is>
      </c>
      <c r="D655" t="inlineStr">
        <is>
          <t>4 / SYS_FLAG Y</t>
        </is>
      </c>
      <c r="E655" t="inlineStr">
        <is>
          <t>outcome_booked</t>
        </is>
      </c>
      <c r="F655" t="inlineStr">
        <is>
          <t>Outcome, share of booked dollars</t>
        </is>
      </c>
      <c r="G655" t="n">
        <v>172</v>
      </c>
      <c r="H655" t="n">
        <v>5966272.880000001</v>
      </c>
      <c r="I655" t="b">
        <v>0</v>
      </c>
      <c r="J655" t="b">
        <v>0</v>
      </c>
      <c r="K655" t="n">
        <v>0.9957997938986642</v>
      </c>
      <c r="L655" t="n">
        <v>0.9877012298770123</v>
      </c>
      <c r="M655" t="n">
        <v>1.366784097711207</v>
      </c>
      <c r="N655" t="n">
        <v>0.5657034296570344</v>
      </c>
      <c r="O655" t="n">
        <v>-1875.361832461262</v>
      </c>
      <c r="P655" t="n">
        <v>119315.5601517432</v>
      </c>
      <c r="Q655">
        <f>'_live'!$C$21</f>
        <v/>
      </c>
      <c r="R655" t="inlineStr">
        <is>
          <t>shuffled: 9,877 of 10,000</t>
        </is>
      </c>
      <c r="S655" t="inlineStr">
        <is>
          <t>shuffled: 3,263 of 10,000</t>
        </is>
      </c>
      <c r="T655" t="n">
        <v>0.07483613653159982</v>
      </c>
      <c r="U655" t="n">
        <v>0.05452346823403371</v>
      </c>
      <c r="V655">
        <f>AND(judged_band,NOT($J655))</f>
        <v/>
      </c>
      <c r="W655">
        <f>IF($K655="","",IF($I655,"too few losses to test",IF(AND($K655&gt;better_at,$K655&lt;worse_at),"in line",IF($K655&gt;=worse_at,IF(AND(ISNUMBER($L655),$L655&lt;significance_bar),"worse","worse, not significant"),IF(AND(ISNUMBER($L655),$L655&lt;significance_bar),"better","better, not significant")))))</f>
        <v/>
      </c>
      <c r="X655">
        <f>IF($M655="","",IF($I655,"too few losses to test",IF(AND($M655&gt;better_at,$M655&lt;worse_at),"in line",IF($M655&gt;=worse_at,IF(AND(ISNUMBER($N655),$N655&lt;significance_bar),"worse","worse, not significant"),IF(AND(ISNUMBER($N655),$N655&lt;significance_bar),"better","better, not significant")))))</f>
        <v/>
      </c>
      <c r="Y655">
        <f>IF($V655,$X655,$W655)</f>
        <v/>
      </c>
      <c r="Z655">
        <f>IF($V655,IF($P655="","",$P655),IF($O655="","",$O655))</f>
        <v/>
      </c>
      <c r="AA655">
        <f>IF(OR($Q655="",$Z655=""),"",IF(AND($Z655&gt;0,$Z655&gt;=$Q655),"yes","below the line"))</f>
        <v/>
      </c>
      <c r="AB655">
        <f>IF($V655,IF($M655="","",$M655),IF($K655="","",$K655))</f>
        <v/>
      </c>
      <c r="AC655">
        <f>IF($V655,IF($N655="","",$N655),IF($L655="","",$L655))</f>
        <v/>
      </c>
      <c r="AD655">
        <f>$Y655</f>
        <v/>
      </c>
      <c r="AE655">
        <f>IF($V655,IF($S655="","",$S655),IF($R655="","",$R655))</f>
        <v/>
      </c>
      <c r="AF655">
        <f>IF($V655,IF($U655="","",$U655),IF($T655="","",$T655))</f>
        <v/>
      </c>
      <c r="AG655">
        <f>IF($V655,IF($O655="","",$O655),IF($P655="","",$P655))</f>
        <v/>
      </c>
      <c r="AH655" t="n">
        <v>0.0745218093343394</v>
      </c>
      <c r="AI655">
        <f>IF($Y655="worse","Yes",IF($Y655="worse, not significant","Not sure",IF(OR($Y655="too few losses to test",$Y655="too few loans to test"),"Too few losses",IF($Y655="","","No"))))</f>
        <v/>
      </c>
      <c r="AJ655">
        <f>IF($AA655="yes","Yes",IF($AA655="","","No"))</f>
        <v/>
      </c>
    </row>
    <row r="656">
      <c r="A656" t="inlineStr">
        <is>
          <t>three-way</t>
        </is>
      </c>
      <c r="B656" t="inlineStr">
        <is>
          <t>FICO x ASSET_CLASS / SYS_FLAG</t>
        </is>
      </c>
      <c r="C656" t="inlineStr">
        <is>
          <t>686 - 711</t>
        </is>
      </c>
      <c r="D656" t="inlineStr">
        <is>
          <t>4 / SYS_FLAG Y</t>
        </is>
      </c>
      <c r="E656" t="inlineStr">
        <is>
          <t>gco_rate</t>
        </is>
      </c>
      <c r="F656" t="inlineStr">
        <is>
          <t>GCO per booked dollar</t>
        </is>
      </c>
      <c r="G656" t="n">
        <v>172</v>
      </c>
      <c r="H656" t="n">
        <v>5966272.880000001</v>
      </c>
      <c r="I656" t="b">
        <v>0</v>
      </c>
      <c r="J656" t="b">
        <v>0</v>
      </c>
      <c r="K656" t="n">
        <v>1.105712882707915</v>
      </c>
      <c r="L656" t="n">
        <v>0.8618138186181382</v>
      </c>
      <c r="M656" t="n">
        <v>1.549802678879262</v>
      </c>
      <c r="N656" t="n">
        <v>0.4351964803519648</v>
      </c>
      <c r="O656" t="n">
        <v>26176.95060498663</v>
      </c>
      <c r="P656" t="n">
        <v>97132.36241023208</v>
      </c>
      <c r="Q656">
        <f>'_live'!$C$22</f>
        <v/>
      </c>
      <c r="R656" t="inlineStr">
        <is>
          <t>shuffled: 7,292 of 10,000</t>
        </is>
      </c>
      <c r="S656" t="inlineStr">
        <is>
          <t>shuffled: 1,673 of 10,000</t>
        </is>
      </c>
      <c r="T656" t="n">
        <v>0.04150381559400168</v>
      </c>
      <c r="U656" t="n">
        <v>0.02961106223987661</v>
      </c>
      <c r="V656">
        <f>AND(judged_band,NOT($J656))</f>
        <v/>
      </c>
      <c r="W656">
        <f>IF($K656="","",IF($I656,"too few losses to test",IF(AND($K656&gt;better_at,$K656&lt;worse_at),"in line",IF($K656&gt;=worse_at,IF(AND(ISNUMBER($L656),$L656&lt;significance_bar),"worse","worse, not significant"),IF(AND(ISNUMBER($L656),$L656&lt;significance_bar),"better","better, not significant")))))</f>
        <v/>
      </c>
      <c r="X656">
        <f>IF($M656="","",IF($I656,"too few losses to test",IF(AND($M656&gt;better_at,$M656&lt;worse_at),"in line",IF($M656&gt;=worse_at,IF(AND(ISNUMBER($N656),$N656&lt;significance_bar),"worse","worse, not significant"),IF(AND(ISNUMBER($N656),$N656&lt;significance_bar),"better","better, not significant")))))</f>
        <v/>
      </c>
      <c r="Y656">
        <f>IF($V656,$X656,$W656)</f>
        <v/>
      </c>
      <c r="Z656">
        <f>IF($V656,IF($P656="","",$P656),IF($O656="","",$O656))</f>
        <v/>
      </c>
      <c r="AA656">
        <f>IF(OR($Q656="",$Z656=""),"",IF(AND($Z656&gt;0,$Z656&gt;=$Q656),"yes","below the line"))</f>
        <v/>
      </c>
      <c r="AB656">
        <f>IF($V656,IF($M656="","",$M656),IF($K656="","",$K656))</f>
        <v/>
      </c>
      <c r="AC656">
        <f>IF($V656,IF($N656="","",$N656),IF($L656="","",$L656))</f>
        <v/>
      </c>
      <c r="AD656">
        <f>$Y656</f>
        <v/>
      </c>
      <c r="AE656">
        <f>IF($V656,IF($S656="","",$S656),IF($R656="","",$R656))</f>
        <v/>
      </c>
      <c r="AF656">
        <f>IF($V656,IF($U656="","",$U656),IF($T656="","",$T656))</f>
        <v/>
      </c>
      <c r="AG656">
        <f>IF($V656,IF($O656="","",$O656),IF($P656="","",$P656))</f>
        <v/>
      </c>
      <c r="AH656" t="n">
        <v>0.04589130358382132</v>
      </c>
      <c r="AI656">
        <f>IF($Y656="worse","Yes",IF($Y656="worse, not significant","Not sure",IF(OR($Y656="too few losses to test",$Y656="too few loans to test"),"Too few losses",IF($Y656="","","No"))))</f>
        <v/>
      </c>
      <c r="AJ656">
        <f>IF($AA656="yes","Yes",IF($AA656="","","No"))</f>
        <v/>
      </c>
    </row>
    <row r="657">
      <c r="A657" t="inlineStr">
        <is>
          <t>three-way</t>
        </is>
      </c>
      <c r="B657" t="inlineStr">
        <is>
          <t>FICO x ASSET_CLASS / SYS_FLAG</t>
        </is>
      </c>
      <c r="C657" t="inlineStr">
        <is>
          <t>686 - 711</t>
        </is>
      </c>
      <c r="D657" t="inlineStr">
        <is>
          <t>4 / SYS_FLAG Y</t>
        </is>
      </c>
      <c r="E657" t="inlineStr">
        <is>
          <t>ranr_rate</t>
        </is>
      </c>
      <c r="F657" t="inlineStr">
        <is>
          <t>Profit after losses: RANR per booked dollar</t>
        </is>
      </c>
      <c r="G657" t="n">
        <v>172</v>
      </c>
      <c r="H657" t="n">
        <v>5966272.880000001</v>
      </c>
      <c r="I657" t="b">
        <v>0</v>
      </c>
      <c r="J657" t="b">
        <v>0</v>
      </c>
      <c r="K657" t="n">
        <v>-0.001617130080056151</v>
      </c>
      <c r="L657" t="n">
        <v>0.9443805619438056</v>
      </c>
      <c r="M657" t="n">
        <v>-0.01756183126682659</v>
      </c>
      <c r="N657" t="n">
        <v>0.5190338109046239</v>
      </c>
      <c r="O657" t="n">
        <v>9648.239340071217</v>
      </c>
      <c r="P657" t="n">
        <v>104778.6776104035</v>
      </c>
      <c r="Q657">
        <f>'_live'!$C$23</f>
        <v/>
      </c>
      <c r="R657" t="inlineStr">
        <is>
          <t>shuffled: 9,165 of 10,000</t>
        </is>
      </c>
      <c r="S657" t="inlineStr">
        <is>
          <t>shuffled: 2,270 of 10,000</t>
        </is>
      </c>
      <c r="T657" t="n">
        <v>0.1280274360062577</v>
      </c>
      <c r="U657" t="n">
        <v>0.1439721371930281</v>
      </c>
      <c r="V657">
        <f>AND(judged_band,NOT($J657))</f>
        <v/>
      </c>
      <c r="W657">
        <f>IF($K657="","",IF(profit_kind="test",IF(OR(NOT(AND(ISNUMBER($L657),$L657&lt;significance_bar)),$K657=0),"in line",IF($K657&lt;0,"worse","better")),IF(OR($K657=0,IF(profit_kind="points",ABS($K657),ABS($K657*$H657))&lt;profit_line*(1-1E-9)),"in line",IF(AND(ISNUMBER($L657),$L657&lt;significance_bar),IF($K657&lt;0,"worse","better"),IF($K657&lt;0,"worse, not significant","better, not significant")))))</f>
        <v/>
      </c>
      <c r="X657">
        <f>IF($M657="","",IF(profit_kind="test",IF(OR(NOT(AND(ISNUMBER($N657),$N657&lt;significance_bar)),$M657=0),"in line",IF($M657&lt;0,"worse","better")),IF(OR($M657=0,IF(profit_kind="points",ABS($M657),ABS($M657*$H657))&lt;profit_line*(1-1E-9)),"in line",IF(AND(ISNUMBER($N657),$N657&lt;significance_bar),IF($M657&lt;0,"worse","better"),IF($M657&lt;0,"worse, not significant","better, not significant")))))</f>
        <v/>
      </c>
      <c r="Y657">
        <f>IF($V657,$X657,$W657)</f>
        <v/>
      </c>
      <c r="Z657">
        <f>IF($V657,IF($P657="","",$P657),IF($O657="","",$O657))</f>
        <v/>
      </c>
      <c r="AA657">
        <f>IF(OR($Q657="",$Z657=""),"",IF(AND($Z657&gt;0,$Z657&gt;=$Q657),"yes","below the line"))</f>
        <v/>
      </c>
      <c r="AB657">
        <f>IF($V657,IF($M657="","",$M657),IF($K657="","",$K657))</f>
        <v/>
      </c>
      <c r="AC657">
        <f>IF($V657,IF($N657="","",$N657),IF($L657="","",$L657))</f>
        <v/>
      </c>
      <c r="AD657">
        <f>IF($Y657="","",IF($Y657="in line",IF(profit_kind="test",IF(ROUND($AB657*100,2)=0,"0.00",TEXT($AB657*100,"+0.00;-0.00"))&amp;" points against "&amp;IF($V657,"its band","the book")&amp;", "&amp;IF($AC657="","not tested","not significant"),IF(profit_kind="points","within "&amp;TEXT(profit_line*100,"0.00")&amp;" points of "&amp;IF($V657,"its band","the book")&amp;" ("&amp;IF(ROUND($AB657*100,2)=0,"0.00",TEXT($AB657*100,"+0.00;-0.00"))&amp;")","within $"&amp;TEXT(profit_line,"#,##0")&amp;" of "&amp;IF($V657,"its band","the book")&amp;" ("&amp;IF(ROUND($AB657*100,2)=0,"0.00",TEXT($AB657*100,"+0.00;-0.00"))&amp;" points)")),IF(LEFT($Y657,5)="worse","short of ","ahead of ")&amp;IF($V657,"its band","the book")&amp;" by "&amp;TEXT(ABS($AB657)*100,"0.00")&amp;" points"&amp;IF($Z657="",""," ($"&amp;TEXT(ABS($Z657),"#,##0")&amp;")")&amp;IF(RIGHT($Y657,15)="not significant"," (not significant)","")))</f>
        <v/>
      </c>
      <c r="AE657">
        <f>IF($V657,IF($S657="","",$S657),IF($R657="","",$R657))</f>
        <v/>
      </c>
      <c r="AF657">
        <f>IF($V657,IF($U657="","",$U657),IF($T657="","",$T657))</f>
        <v/>
      </c>
      <c r="AG657">
        <f>IF($V657,IF($O657="","",$O657),IF($P657="","",$P657))</f>
        <v/>
      </c>
      <c r="AH657" t="n">
        <v>0.1264103059262016</v>
      </c>
      <c r="AI657">
        <f>IF($Y657="worse","Yes",IF($Y657="worse, not significant","Not sure",IF(OR($Y657="too few losses to test",$Y657="too few loans to test"),"Too few losses",IF($Y657="","","No"))))</f>
        <v/>
      </c>
      <c r="AJ657">
        <f>IF($AA657="yes","Yes",IF($AA657="","","No"))</f>
        <v/>
      </c>
    </row>
    <row r="658">
      <c r="A658" t="inlineStr">
        <is>
          <t>three-way</t>
        </is>
      </c>
      <c r="B658" t="inlineStr">
        <is>
          <t>FICO x ASSET_CLASS / SYS_FLAG</t>
        </is>
      </c>
      <c r="C658" t="inlineStr">
        <is>
          <t>686 - 711</t>
        </is>
      </c>
      <c r="D658" t="inlineStr">
        <is>
          <t>4 / SYS_FLAG Y</t>
        </is>
      </c>
      <c r="E658" t="inlineStr">
        <is>
          <t>contribution_rate</t>
        </is>
      </c>
      <c r="F658" t="inlineStr">
        <is>
          <t>Contribution before losses per booked dollar</t>
        </is>
      </c>
      <c r="G658" t="n">
        <v>172</v>
      </c>
      <c r="H658" t="n">
        <v>5966272.880000001</v>
      </c>
      <c r="I658" t="b">
        <v>0</v>
      </c>
      <c r="J658" t="b">
        <v>0</v>
      </c>
      <c r="K658" t="n">
        <v>0.002773278948040553</v>
      </c>
      <c r="L658" t="n">
        <v>0.8485951404859514</v>
      </c>
      <c r="M658" t="n">
        <v>-0.001281589922881965</v>
      </c>
      <c r="N658" t="n">
        <v>0.9799190293736585</v>
      </c>
      <c r="O658" t="n">
        <v>-16546.13897636917</v>
      </c>
      <c r="P658" t="n">
        <v>7646.315200172015</v>
      </c>
      <c r="Q658">
        <f>'_live'!$C$24</f>
        <v/>
      </c>
      <c r="R658" t="inlineStr">
        <is>
          <t>shuffled: 7,793 of 10,000</t>
        </is>
      </c>
      <c r="S658" t="inlineStr">
        <is>
          <t>shuffled: 8,738 of 10,000</t>
        </is>
      </c>
      <c r="T658" t="n">
        <v>0.1695283305619823</v>
      </c>
      <c r="U658" t="n">
        <v>0.1735831994329048</v>
      </c>
      <c r="V658">
        <f>AND(judged_band,NOT($J658))</f>
        <v/>
      </c>
      <c r="W658">
        <f>IF($K658="","",IF(profit_kind="test",IF(OR(NOT(AND(ISNUMBER($L658),$L658&lt;significance_bar)),$K658=0),"in line",IF($K658&lt;0,"worse","better")),IF(OR($K658=0,IF(profit_kind="points",ABS($K658),ABS($K658*$H658))&lt;profit_line*(1-1E-9)),"in line",IF(AND(ISNUMBER($L658),$L658&lt;significance_bar),IF($K658&lt;0,"worse","better"),IF($K658&lt;0,"worse, not significant","better, not significant")))))</f>
        <v/>
      </c>
      <c r="X658">
        <f>IF($M658="","",IF(profit_kind="test",IF(OR(NOT(AND(ISNUMBER($N658),$N658&lt;significance_bar)),$M658=0),"in line",IF($M658&lt;0,"worse","better")),IF(OR($M658=0,IF(profit_kind="points",ABS($M658),ABS($M658*$H658))&lt;profit_line*(1-1E-9)),"in line",IF(AND(ISNUMBER($N658),$N658&lt;significance_bar),IF($M658&lt;0,"worse","better"),IF($M658&lt;0,"worse, not significant","better, not significant")))))</f>
        <v/>
      </c>
      <c r="Y658">
        <f>IF($V658,$X658,$W658)</f>
        <v/>
      </c>
      <c r="Z658">
        <f>IF($V658,IF($P658="","",$P658),IF($O658="","",$O658))</f>
        <v/>
      </c>
      <c r="AA658">
        <f>IF(OR($Q658="",$Z658=""),"",IF(AND($Z658&gt;0,$Z658&gt;=$Q658),"yes","below the line"))</f>
        <v/>
      </c>
      <c r="AB658">
        <f>IF($V658,IF($M658="","",$M658),IF($K658="","",$K658))</f>
        <v/>
      </c>
      <c r="AC658">
        <f>IF($V658,IF($N658="","",$N658),IF($L658="","",$L658))</f>
        <v/>
      </c>
      <c r="AD658">
        <f>IF($Y658="","",IF($Y658="in line",IF(profit_kind="test",IF(ROUND($AB658*100,2)=0,"0.00",TEXT($AB658*100,"+0.00;-0.00"))&amp;" points against "&amp;IF($V658,"its band","the book")&amp;", "&amp;IF($AC658="","not tested","not significant"),IF(profit_kind="points","within "&amp;TEXT(profit_line*100,"0.00")&amp;" points of "&amp;IF($V658,"its band","the book")&amp;" ("&amp;IF(ROUND($AB658*100,2)=0,"0.00",TEXT($AB658*100,"+0.00;-0.00"))&amp;")","within $"&amp;TEXT(profit_line,"#,##0")&amp;" of "&amp;IF($V658,"its band","the book")&amp;" ("&amp;IF(ROUND($AB658*100,2)=0,"0.00",TEXT($AB658*100,"+0.00;-0.00"))&amp;" points)")),IF(LEFT($Y658,5)="worse","short of ","ahead of ")&amp;IF($V658,"its band","the book")&amp;" by "&amp;TEXT(ABS($AB658)*100,"0.00")&amp;" points"&amp;IF($Z658="",""," ($"&amp;TEXT(ABS($Z658),"#,##0")&amp;")")&amp;IF(RIGHT($Y658,15)="not significant"," (not significant)","")))</f>
        <v/>
      </c>
      <c r="AE658">
        <f>IF($V658,IF($S658="","",$S658),IF($R658="","",$R658))</f>
        <v/>
      </c>
      <c r="AF658">
        <f>IF($V658,IF($U658="","",$U658),IF($T658="","",$T658))</f>
        <v/>
      </c>
      <c r="AG658">
        <f>IF($V658,IF($O658="","",$O658),IF($P658="","",$P658))</f>
        <v/>
      </c>
      <c r="AH658" t="n">
        <v>0.1723016095100228</v>
      </c>
      <c r="AI658">
        <f>IF($Y658="worse","Yes",IF($Y658="worse, not significant","Not sure",IF(OR($Y658="too few losses to test",$Y658="too few loans to test"),"Too few losses",IF($Y658="","","No"))))</f>
        <v/>
      </c>
      <c r="AJ658">
        <f>IF($AA658="yes","Yes",IF($AA658="","","No"))</f>
        <v/>
      </c>
    </row>
    <row r="659">
      <c r="A659" t="inlineStr">
        <is>
          <t>three-way</t>
        </is>
      </c>
      <c r="B659" t="inlineStr">
        <is>
          <t>FICO x ASSET_CLASS / SYS_FLAG</t>
        </is>
      </c>
      <c r="C659" t="inlineStr">
        <is>
          <t>654 - 685</t>
        </is>
      </c>
      <c r="D659" t="inlineStr">
        <is>
          <t>2 / SYS_FLAG N</t>
        </is>
      </c>
      <c r="E659" t="inlineStr">
        <is>
          <t>outcome_loans</t>
        </is>
      </c>
      <c r="F659" t="inlineStr">
        <is>
          <t>Outcome, share of loans</t>
        </is>
      </c>
      <c r="G659" t="n">
        <v>192</v>
      </c>
      <c r="H659" t="n">
        <v>192</v>
      </c>
      <c r="I659" t="b">
        <v>1</v>
      </c>
      <c r="J659" t="b">
        <v>0</v>
      </c>
      <c r="K659" t="n">
        <v>0.2644647696476965</v>
      </c>
      <c r="M659" t="n">
        <v>0.222718253968254</v>
      </c>
      <c r="O659" t="n">
        <v>-11.12488792109645</v>
      </c>
      <c r="P659" t="n">
        <v>-13.95991091314031</v>
      </c>
      <c r="Q659">
        <f>'_live'!$C$20</f>
        <v/>
      </c>
      <c r="T659" t="n">
        <v>0.07877545792237735</v>
      </c>
      <c r="U659" t="n">
        <v>0.09354120267260579</v>
      </c>
      <c r="V659">
        <f>AND(judged_band,NOT($J659))</f>
        <v/>
      </c>
      <c r="W659">
        <f>IF($K659="","",IF($I659,"too few losses to test",IF(AND($K659&gt;better_at,$K659&lt;worse_at),"in line",IF($K659&gt;=worse_at,IF(AND(ISNUMBER($L659),$L659&lt;significance_bar),"worse","worse, not significant"),IF(AND(ISNUMBER($L659),$L659&lt;significance_bar),"better","better, not significant")))))</f>
        <v/>
      </c>
      <c r="X659">
        <f>IF($M659="","",IF($I659,"too few losses to test",IF(AND($M659&gt;better_at,$M659&lt;worse_at),"in line",IF($M659&gt;=worse_at,IF(AND(ISNUMBER($N659),$N659&lt;significance_bar),"worse","worse, not significant"),IF(AND(ISNUMBER($N659),$N659&lt;significance_bar),"better","better, not significant")))))</f>
        <v/>
      </c>
      <c r="Y659">
        <f>IF($V659,$X659,$W659)</f>
        <v/>
      </c>
      <c r="Z659">
        <f>IF($V659,IF($P659="","",$P659),IF($O659="","",$O659))</f>
        <v/>
      </c>
      <c r="AA659">
        <f>IF(OR($Q659="",$Z659=""),"",IF(AND($Z659&gt;0,$Z659&gt;=$Q659),"yes","below the line"))</f>
        <v/>
      </c>
      <c r="AB659">
        <f>IF($V659,IF($M659="","",$M659),IF($K659="","",$K659))</f>
        <v/>
      </c>
      <c r="AC659">
        <f>IF($V659,IF($N659="","",$N659),IF($L659="","",$L659))</f>
        <v/>
      </c>
      <c r="AD659">
        <f>$Y659</f>
        <v/>
      </c>
      <c r="AE659">
        <f>IF($V659,IF($S659="","",$S659),IF($R659="","",$R659))</f>
        <v/>
      </c>
      <c r="AF659">
        <f>IF($V659,IF($U659="","",$U659),IF($T659="","",$T659))</f>
        <v/>
      </c>
      <c r="AG659">
        <f>IF($V659,IF($O659="","",$O659),IF($P659="","",$P659))</f>
        <v/>
      </c>
      <c r="AH659" t="n">
        <v>0.02083333333333333</v>
      </c>
      <c r="AI659">
        <f>IF($Y659="worse","Yes",IF($Y659="worse, not significant","Not sure",IF(OR($Y659="too few losses to test",$Y659="too few loans to test"),"Too few losses",IF($Y659="","","No"))))</f>
        <v/>
      </c>
      <c r="AJ659">
        <f>IF($AA659="yes","Yes",IF($AA659="","","No"))</f>
        <v/>
      </c>
    </row>
    <row r="660">
      <c r="A660" t="inlineStr">
        <is>
          <t>three-way</t>
        </is>
      </c>
      <c r="B660" t="inlineStr">
        <is>
          <t>FICO x ASSET_CLASS / SYS_FLAG</t>
        </is>
      </c>
      <c r="C660" t="inlineStr">
        <is>
          <t>654 - 685</t>
        </is>
      </c>
      <c r="D660" t="inlineStr">
        <is>
          <t>2 / SYS_FLAG N</t>
        </is>
      </c>
      <c r="E660" t="inlineStr">
        <is>
          <t>outcome_booked</t>
        </is>
      </c>
      <c r="F660" t="inlineStr">
        <is>
          <t>Outcome, share of booked dollars</t>
        </is>
      </c>
      <c r="G660" t="n">
        <v>192</v>
      </c>
      <c r="H660" t="n">
        <v>6057877.170000002</v>
      </c>
      <c r="I660" t="b">
        <v>1</v>
      </c>
      <c r="J660" t="b">
        <v>0</v>
      </c>
      <c r="K660" t="n">
        <v>0.2110902024746771</v>
      </c>
      <c r="M660" t="n">
        <v>0.1812755952941922</v>
      </c>
      <c r="O660" t="n">
        <v>-364364.6049797368</v>
      </c>
      <c r="P660" t="n">
        <v>-440326.9886576746</v>
      </c>
      <c r="Q660">
        <f>'_live'!$C$21</f>
        <v/>
      </c>
      <c r="T660" t="n">
        <v>0.07624096230721969</v>
      </c>
      <c r="U660" t="n">
        <v>0.08878040170921367</v>
      </c>
      <c r="V660">
        <f>AND(judged_band,NOT($J660))</f>
        <v/>
      </c>
      <c r="W660">
        <f>IF($K660="","",IF($I660,"too few losses to test",IF(AND($K660&gt;better_at,$K660&lt;worse_at),"in line",IF($K660&gt;=worse_at,IF(AND(ISNUMBER($L660),$L660&lt;significance_bar),"worse","worse, not significant"),IF(AND(ISNUMBER($L660),$L660&lt;significance_bar),"better","better, not significant")))))</f>
        <v/>
      </c>
      <c r="X660">
        <f>IF($M660="","",IF($I660,"too few losses to test",IF(AND($M660&gt;better_at,$M660&lt;worse_at),"in line",IF($M660&gt;=worse_at,IF(AND(ISNUMBER($N660),$N660&lt;significance_bar),"worse","worse, not significant"),IF(AND(ISNUMBER($N660),$N660&lt;significance_bar),"better","better, not significant")))))</f>
        <v/>
      </c>
      <c r="Y660">
        <f>IF($V660,$X660,$W660)</f>
        <v/>
      </c>
      <c r="Z660">
        <f>IF($V660,IF($P660="","",$P660),IF($O660="","",$O660))</f>
        <v/>
      </c>
      <c r="AA660">
        <f>IF(OR($Q660="",$Z660=""),"",IF(AND($Z660&gt;0,$Z660&gt;=$Q660),"yes","below the line"))</f>
        <v/>
      </c>
      <c r="AB660">
        <f>IF($V660,IF($M660="","",$M660),IF($K660="","",$K660))</f>
        <v/>
      </c>
      <c r="AC660">
        <f>IF($V660,IF($N660="","",$N660),IF($L660="","",$L660))</f>
        <v/>
      </c>
      <c r="AD660">
        <f>$Y660</f>
        <v/>
      </c>
      <c r="AE660">
        <f>IF($V660,IF($S660="","",$S660),IF($R660="","",$R660))</f>
        <v/>
      </c>
      <c r="AF660">
        <f>IF($V660,IF($U660="","",$U660),IF($T660="","",$T660))</f>
        <v/>
      </c>
      <c r="AG660">
        <f>IF($V660,IF($O660="","",$O660),IF($P660="","",$P660))</f>
        <v/>
      </c>
      <c r="AH660" t="n">
        <v>0.01609372017029523</v>
      </c>
      <c r="AI660">
        <f>IF($Y660="worse","Yes",IF($Y660="worse, not significant","Not sure",IF(OR($Y660="too few losses to test",$Y660="too few loans to test"),"Too few losses",IF($Y660="","","No"))))</f>
        <v/>
      </c>
      <c r="AJ660">
        <f>IF($AA660="yes","Yes",IF($AA660="","","No"))</f>
        <v/>
      </c>
    </row>
    <row r="661">
      <c r="A661" t="inlineStr">
        <is>
          <t>three-way</t>
        </is>
      </c>
      <c r="B661" t="inlineStr">
        <is>
          <t>FICO x ASSET_CLASS / SYS_FLAG</t>
        </is>
      </c>
      <c r="C661" t="inlineStr">
        <is>
          <t>654 - 685</t>
        </is>
      </c>
      <c r="D661" t="inlineStr">
        <is>
          <t>2 / SYS_FLAG N</t>
        </is>
      </c>
      <c r="E661" t="inlineStr">
        <is>
          <t>gco_rate</t>
        </is>
      </c>
      <c r="F661" t="inlineStr">
        <is>
          <t>GCO per booked dollar</t>
        </is>
      </c>
      <c r="G661" t="n">
        <v>192</v>
      </c>
      <c r="H661" t="n">
        <v>6057877.170000002</v>
      </c>
      <c r="I661" t="b">
        <v>1</v>
      </c>
      <c r="J661" t="b">
        <v>0</v>
      </c>
      <c r="K661" t="n">
        <v>0.2837204944918056</v>
      </c>
      <c r="M661" t="n">
        <v>0.240790655140238</v>
      </c>
      <c r="O661" t="n">
        <v>-183618.6078033958</v>
      </c>
      <c r="P661" t="n">
        <v>-229322.5645536474</v>
      </c>
      <c r="Q661">
        <f>'_live'!$C$22</f>
        <v/>
      </c>
      <c r="T661" t="n">
        <v>0.04231688603276777</v>
      </c>
      <c r="U661" t="n">
        <v>0.04986143595804325</v>
      </c>
      <c r="V661">
        <f>AND(judged_band,NOT($J661))</f>
        <v/>
      </c>
      <c r="W661">
        <f>IF($K661="","",IF($I661,"too few losses to test",IF(AND($K661&gt;better_at,$K661&lt;worse_at),"in line",IF($K661&gt;=worse_at,IF(AND(ISNUMBER($L661),$L661&lt;significance_bar),"worse","worse, not significant"),IF(AND(ISNUMBER($L661),$L661&lt;significance_bar),"better","better, not significant")))))</f>
        <v/>
      </c>
      <c r="X661">
        <f>IF($M661="","",IF($I661,"too few losses to test",IF(AND($M661&gt;better_at,$M661&lt;worse_at),"in line",IF($M661&gt;=worse_at,IF(AND(ISNUMBER($N661),$N661&lt;significance_bar),"worse","worse, not significant"),IF(AND(ISNUMBER($N661),$N661&lt;significance_bar),"better","better, not significant")))))</f>
        <v/>
      </c>
      <c r="Y661">
        <f>IF($V661,$X661,$W661)</f>
        <v/>
      </c>
      <c r="Z661">
        <f>IF($V661,IF($P661="","",$P661),IF($O661="","",$O661))</f>
        <v/>
      </c>
      <c r="AA661">
        <f>IF(OR($Q661="",$Z661=""),"",IF(AND($Z661&gt;0,$Z661&gt;=$Q661),"yes","below the line"))</f>
        <v/>
      </c>
      <c r="AB661">
        <f>IF($V661,IF($M661="","",$M661),IF($K661="","",$K661))</f>
        <v/>
      </c>
      <c r="AC661">
        <f>IF($V661,IF($N661="","",$N661),IF($L661="","",$L661))</f>
        <v/>
      </c>
      <c r="AD661">
        <f>$Y661</f>
        <v/>
      </c>
      <c r="AE661">
        <f>IF($V661,IF($S661="","",$S661),IF($R661="","",$R661))</f>
        <v/>
      </c>
      <c r="AF661">
        <f>IF($V661,IF($U661="","",$U661),IF($T661="","",$T661))</f>
        <v/>
      </c>
      <c r="AG661">
        <f>IF($V661,IF($O661="","",$O661),IF($P661="","",$P661))</f>
        <v/>
      </c>
      <c r="AH661" t="n">
        <v>0.01200616783057025</v>
      </c>
      <c r="AI661">
        <f>IF($Y661="worse","Yes",IF($Y661="worse, not significant","Not sure",IF(OR($Y661="too few losses to test",$Y661="too few loans to test"),"Too few losses",IF($Y661="","","No"))))</f>
        <v/>
      </c>
      <c r="AJ661">
        <f>IF($AA661="yes","Yes",IF($AA661="","","No"))</f>
        <v/>
      </c>
    </row>
    <row r="662">
      <c r="A662" t="inlineStr">
        <is>
          <t>three-way</t>
        </is>
      </c>
      <c r="B662" t="inlineStr">
        <is>
          <t>FICO x ASSET_CLASS / SYS_FLAG</t>
        </is>
      </c>
      <c r="C662" t="inlineStr">
        <is>
          <t>654 - 685</t>
        </is>
      </c>
      <c r="D662" t="inlineStr">
        <is>
          <t>2 / SYS_FLAG N</t>
        </is>
      </c>
      <c r="E662" t="inlineStr">
        <is>
          <t>ranr_rate</t>
        </is>
      </c>
      <c r="F662" t="inlineStr">
        <is>
          <t>Profit after losses: RANR per booked dollar</t>
        </is>
      </c>
      <c r="G662" t="n">
        <v>192</v>
      </c>
      <c r="H662" t="n">
        <v>6057877.170000002</v>
      </c>
      <c r="I662" t="b">
        <v>0</v>
      </c>
      <c r="J662" t="b">
        <v>0</v>
      </c>
      <c r="K662" t="n">
        <v>0.0756198177217928</v>
      </c>
      <c r="L662" t="n">
        <v>0.0003768853883842385</v>
      </c>
      <c r="M662" t="n">
        <v>0.04418298674093832</v>
      </c>
      <c r="N662" t="n">
        <v>0.07103289671032896</v>
      </c>
      <c r="O662" t="n">
        <v>-458095.5673764101</v>
      </c>
      <c r="P662" t="n">
        <v>-267655.106680343</v>
      </c>
      <c r="Q662">
        <f>'_live'!$C$23</f>
        <v/>
      </c>
      <c r="R662" t="inlineStr">
        <is>
          <t>shuffled: 0 of 10,000</t>
        </is>
      </c>
      <c r="S662" t="inlineStr">
        <is>
          <t>shuffled: 73 of 10,000</t>
        </is>
      </c>
      <c r="T662" t="n">
        <v>0.1262149563563353</v>
      </c>
      <c r="U662" t="n">
        <v>0.1576517873371898</v>
      </c>
      <c r="V662">
        <f>AND(judged_band,NOT($J662))</f>
        <v/>
      </c>
      <c r="W662">
        <f>IF($K662="","",IF(profit_kind="test",IF(OR(NOT(AND(ISNUMBER($L662),$L662&lt;significance_bar)),$K662=0),"in line",IF($K662&lt;0,"worse","better")),IF(OR($K662=0,IF(profit_kind="points",ABS($K662),ABS($K662*$H662))&lt;profit_line*(1-1E-9)),"in line",IF(AND(ISNUMBER($L662),$L662&lt;significance_bar),IF($K662&lt;0,"worse","better"),IF($K662&lt;0,"worse, not significant","better, not significant")))))</f>
        <v/>
      </c>
      <c r="X662">
        <f>IF($M662="","",IF(profit_kind="test",IF(OR(NOT(AND(ISNUMBER($N662),$N662&lt;significance_bar)),$M662=0),"in line",IF($M662&lt;0,"worse","better")),IF(OR($M662=0,IF(profit_kind="points",ABS($M662),ABS($M662*$H662))&lt;profit_line*(1-1E-9)),"in line",IF(AND(ISNUMBER($N662),$N662&lt;significance_bar),IF($M662&lt;0,"worse","better"),IF($M662&lt;0,"worse, not significant","better, not significant")))))</f>
        <v/>
      </c>
      <c r="Y662">
        <f>IF($V662,$X662,$W662)</f>
        <v/>
      </c>
      <c r="Z662">
        <f>IF($V662,IF($P662="","",$P662),IF($O662="","",$O662))</f>
        <v/>
      </c>
      <c r="AA662">
        <f>IF(OR($Q662="",$Z662=""),"",IF(AND($Z662&gt;0,$Z662&gt;=$Q662),"yes","below the line"))</f>
        <v/>
      </c>
      <c r="AB662">
        <f>IF($V662,IF($M662="","",$M662),IF($K662="","",$K662))</f>
        <v/>
      </c>
      <c r="AC662">
        <f>IF($V662,IF($N662="","",$N662),IF($L662="","",$L662))</f>
        <v/>
      </c>
      <c r="AD662">
        <f>IF($Y662="","",IF($Y662="in line",IF(profit_kind="test",IF(ROUND($AB662*100,2)=0,"0.00",TEXT($AB662*100,"+0.00;-0.00"))&amp;" points against "&amp;IF($V662,"its band","the book")&amp;", "&amp;IF($AC662="","not tested","not significant"),IF(profit_kind="points","within "&amp;TEXT(profit_line*100,"0.00")&amp;" points of "&amp;IF($V662,"its band","the book")&amp;" ("&amp;IF(ROUND($AB662*100,2)=0,"0.00",TEXT($AB662*100,"+0.00;-0.00"))&amp;")","within $"&amp;TEXT(profit_line,"#,##0")&amp;" of "&amp;IF($V662,"its band","the book")&amp;" ("&amp;IF(ROUND($AB662*100,2)=0,"0.00",TEXT($AB662*100,"+0.00;-0.00"))&amp;" points)")),IF(LEFT($Y662,5)="worse","short of ","ahead of ")&amp;IF($V662,"its band","the book")&amp;" by "&amp;TEXT(ABS($AB662)*100,"0.00")&amp;" points"&amp;IF($Z662="",""," ($"&amp;TEXT(ABS($Z662),"#,##0")&amp;")")&amp;IF(RIGHT($Y662,15)="not significant"," (not significant)","")))</f>
        <v/>
      </c>
      <c r="AE662">
        <f>IF($V662,IF($S662="","",$S662),IF($R662="","",$R662))</f>
        <v/>
      </c>
      <c r="AF662">
        <f>IF($V662,IF($U662="","",$U662),IF($T662="","",$T662))</f>
        <v/>
      </c>
      <c r="AG662">
        <f>IF($V662,IF($O662="","",$O662),IF($P662="","",$P662))</f>
        <v/>
      </c>
      <c r="AH662" t="n">
        <v>0.2018347740781281</v>
      </c>
      <c r="AI662">
        <f>IF($Y662="worse","Yes",IF($Y662="worse, not significant","Not sure",IF(OR($Y662="too few losses to test",$Y662="too few loans to test"),"Too few losses",IF($Y662="","","No"))))</f>
        <v/>
      </c>
      <c r="AJ662">
        <f>IF($AA662="yes","Yes",IF($AA662="","","No"))</f>
        <v/>
      </c>
    </row>
    <row r="663">
      <c r="A663" t="inlineStr">
        <is>
          <t>three-way</t>
        </is>
      </c>
      <c r="B663" t="inlineStr">
        <is>
          <t>FICO x ASSET_CLASS / SYS_FLAG</t>
        </is>
      </c>
      <c r="C663" t="inlineStr">
        <is>
          <t>654 - 685</t>
        </is>
      </c>
      <c r="D663" t="inlineStr">
        <is>
          <t>2 / SYS_FLAG N</t>
        </is>
      </c>
      <c r="E663" t="inlineStr">
        <is>
          <t>contribution_rate</t>
        </is>
      </c>
      <c r="F663" t="inlineStr">
        <is>
          <t>Contribution before losses per booked dollar</t>
        </is>
      </c>
      <c r="G663" t="n">
        <v>192</v>
      </c>
      <c r="H663" t="n">
        <v>6057877.170000002</v>
      </c>
      <c r="I663" t="b">
        <v>0</v>
      </c>
      <c r="J663" t="b">
        <v>0</v>
      </c>
      <c r="K663" t="n">
        <v>0.04531230707828374</v>
      </c>
      <c r="L663" t="n">
        <v>0.0001814633351479667</v>
      </c>
      <c r="M663" t="n">
        <v>0.006327718613465372</v>
      </c>
      <c r="N663" t="n">
        <v>0.937752378608293</v>
      </c>
      <c r="O663" t="n">
        <v>-274496.3905695645</v>
      </c>
      <c r="P663" t="n">
        <v>-38332.54212669586</v>
      </c>
      <c r="Q663">
        <f>'_live'!$C$24</f>
        <v/>
      </c>
      <c r="R663" t="inlineStr">
        <is>
          <t>shuffled: 0 of 10,000</t>
        </is>
      </c>
      <c r="S663" t="inlineStr">
        <is>
          <t>shuffled: 4,900 of 10,000</t>
        </is>
      </c>
      <c r="T663" t="n">
        <v>0.1685286348304147</v>
      </c>
      <c r="U663" t="n">
        <v>0.2075132232952331</v>
      </c>
      <c r="V663">
        <f>AND(judged_band,NOT($J663))</f>
        <v/>
      </c>
      <c r="W663">
        <f>IF($K663="","",IF(profit_kind="test",IF(OR(NOT(AND(ISNUMBER($L663),$L663&lt;significance_bar)),$K663=0),"in line",IF($K663&lt;0,"worse","better")),IF(OR($K663=0,IF(profit_kind="points",ABS($K663),ABS($K663*$H663))&lt;profit_line*(1-1E-9)),"in line",IF(AND(ISNUMBER($L663),$L663&lt;significance_bar),IF($K663&lt;0,"worse","better"),IF($K663&lt;0,"worse, not significant","better, not significant")))))</f>
        <v/>
      </c>
      <c r="X663">
        <f>IF($M663="","",IF(profit_kind="test",IF(OR(NOT(AND(ISNUMBER($N663),$N663&lt;significance_bar)),$M663=0),"in line",IF($M663&lt;0,"worse","better")),IF(OR($M663=0,IF(profit_kind="points",ABS($M663),ABS($M663*$H663))&lt;profit_line*(1-1E-9)),"in line",IF(AND(ISNUMBER($N663),$N663&lt;significance_bar),IF($M663&lt;0,"worse","better"),IF($M663&lt;0,"worse, not significant","better, not significant")))))</f>
        <v/>
      </c>
      <c r="Y663">
        <f>IF($V663,$X663,$W663)</f>
        <v/>
      </c>
      <c r="Z663">
        <f>IF($V663,IF($P663="","",$P663),IF($O663="","",$O663))</f>
        <v/>
      </c>
      <c r="AA663">
        <f>IF(OR($Q663="",$Z663=""),"",IF(AND($Z663&gt;0,$Z663&gt;=$Q663),"yes","below the line"))</f>
        <v/>
      </c>
      <c r="AB663">
        <f>IF($V663,IF($M663="","",$M663),IF($K663="","",$K663))</f>
        <v/>
      </c>
      <c r="AC663">
        <f>IF($V663,IF($N663="","",$N663),IF($L663="","",$L663))</f>
        <v/>
      </c>
      <c r="AD663">
        <f>IF($Y663="","",IF($Y663="in line",IF(profit_kind="test",IF(ROUND($AB663*100,2)=0,"0.00",TEXT($AB663*100,"+0.00;-0.00"))&amp;" points against "&amp;IF($V663,"its band","the book")&amp;", "&amp;IF($AC663="","not tested","not significant"),IF(profit_kind="points","within "&amp;TEXT(profit_line*100,"0.00")&amp;" points of "&amp;IF($V663,"its band","the book")&amp;" ("&amp;IF(ROUND($AB663*100,2)=0,"0.00",TEXT($AB663*100,"+0.00;-0.00"))&amp;")","within $"&amp;TEXT(profit_line,"#,##0")&amp;" of "&amp;IF($V663,"its band","the book")&amp;" ("&amp;IF(ROUND($AB663*100,2)=0,"0.00",TEXT($AB663*100,"+0.00;-0.00"))&amp;" points)")),IF(LEFT($Y663,5)="worse","short of ","ahead of ")&amp;IF($V663,"its band","the book")&amp;" by "&amp;TEXT(ABS($AB663)*100,"0.00")&amp;" points"&amp;IF($Z663="",""," ($"&amp;TEXT(ABS($Z663),"#,##0")&amp;")")&amp;IF(RIGHT($Y663,15)="not significant"," (not significant)","")))</f>
        <v/>
      </c>
      <c r="AE663">
        <f>IF($V663,IF($S663="","",$S663),IF($R663="","",$R663))</f>
        <v/>
      </c>
      <c r="AF663">
        <f>IF($V663,IF($U663="","",$U663),IF($T663="","",$T663))</f>
        <v/>
      </c>
      <c r="AG663">
        <f>IF($V663,IF($O663="","",$O663),IF($P663="","",$P663))</f>
        <v/>
      </c>
      <c r="AH663" t="n">
        <v>0.2138409419086984</v>
      </c>
      <c r="AI663">
        <f>IF($Y663="worse","Yes",IF($Y663="worse, not significant","Not sure",IF(OR($Y663="too few losses to test",$Y663="too few loans to test"),"Too few losses",IF($Y663="","","No"))))</f>
        <v/>
      </c>
      <c r="AJ663">
        <f>IF($AA663="yes","Yes",IF($AA663="","","No"))</f>
        <v/>
      </c>
    </row>
    <row r="664">
      <c r="A664" t="inlineStr">
        <is>
          <t>three-way</t>
        </is>
      </c>
      <c r="B664" t="inlineStr">
        <is>
          <t>FICO x ASSET_CLASS / SYS_FLAG</t>
        </is>
      </c>
      <c r="C664" t="inlineStr">
        <is>
          <t>746 - 921</t>
        </is>
      </c>
      <c r="D664" t="inlineStr">
        <is>
          <t>4 / SYS_FLAG Y</t>
        </is>
      </c>
      <c r="E664" t="inlineStr">
        <is>
          <t>outcome_loans</t>
        </is>
      </c>
      <c r="F664" t="inlineStr">
        <is>
          <t>Outcome, share of loans</t>
        </is>
      </c>
      <c r="G664" t="n">
        <v>164</v>
      </c>
      <c r="H664" t="n">
        <v>164</v>
      </c>
      <c r="I664" t="b">
        <v>1</v>
      </c>
      <c r="J664" t="b">
        <v>0</v>
      </c>
      <c r="K664" t="n">
        <v>0.625523931180392</v>
      </c>
      <c r="M664" t="n">
        <v>1.2710027100271</v>
      </c>
      <c r="O664" t="n">
        <v>-4.789278876834716</v>
      </c>
      <c r="P664" t="n">
        <v>1.705756929637526</v>
      </c>
      <c r="Q664">
        <f>'_live'!$C$20</f>
        <v/>
      </c>
      <c r="T664" t="n">
        <v>0.07798340778557754</v>
      </c>
      <c r="U664" t="n">
        <v>0.03837953091684435</v>
      </c>
      <c r="V664">
        <f>AND(judged_band,NOT($J664))</f>
        <v/>
      </c>
      <c r="W664">
        <f>IF($K664="","",IF($I664,"too few losses to test",IF(AND($K664&gt;better_at,$K664&lt;worse_at),"in line",IF($K664&gt;=worse_at,IF(AND(ISNUMBER($L664),$L664&lt;significance_bar),"worse","worse, not significant"),IF(AND(ISNUMBER($L664),$L664&lt;significance_bar),"better","better, not significant")))))</f>
        <v/>
      </c>
      <c r="X664">
        <f>IF($M664="","",IF($I664,"too few losses to test",IF(AND($M664&gt;better_at,$M664&lt;worse_at),"in line",IF($M664&gt;=worse_at,IF(AND(ISNUMBER($N664),$N664&lt;significance_bar),"worse","worse, not significant"),IF(AND(ISNUMBER($N664),$N664&lt;significance_bar),"better","better, not significant")))))</f>
        <v/>
      </c>
      <c r="Y664">
        <f>IF($V664,$X664,$W664)</f>
        <v/>
      </c>
      <c r="Z664">
        <f>IF($V664,IF($P664="","",$P664),IF($O664="","",$O664))</f>
        <v/>
      </c>
      <c r="AA664">
        <f>IF(OR($Q664="",$Z664=""),"",IF(AND($Z664&gt;0,$Z664&gt;=$Q664),"yes","below the line"))</f>
        <v/>
      </c>
      <c r="AB664">
        <f>IF($V664,IF($M664="","",$M664),IF($K664="","",$K664))</f>
        <v/>
      </c>
      <c r="AC664">
        <f>IF($V664,IF($N664="","",$N664),IF($L664="","",$L664))</f>
        <v/>
      </c>
      <c r="AD664">
        <f>$Y664</f>
        <v/>
      </c>
      <c r="AE664">
        <f>IF($V664,IF($S664="","",$S664),IF($R664="","",$R664))</f>
        <v/>
      </c>
      <c r="AF664">
        <f>IF($V664,IF($U664="","",$U664),IF($T664="","",$T664))</f>
        <v/>
      </c>
      <c r="AG664">
        <f>IF($V664,IF($O664="","",$O664),IF($P664="","",$P664))</f>
        <v/>
      </c>
      <c r="AH664" t="n">
        <v>0.04878048780487805</v>
      </c>
      <c r="AI664">
        <f>IF($Y664="worse","Yes",IF($Y664="worse, not significant","Not sure",IF(OR($Y664="too few losses to test",$Y664="too few loans to test"),"Too few losses",IF($Y664="","","No"))))</f>
        <v/>
      </c>
      <c r="AJ664">
        <f>IF($AA664="yes","Yes",IF($AA664="","","No"))</f>
        <v/>
      </c>
    </row>
    <row r="665">
      <c r="A665" t="inlineStr">
        <is>
          <t>three-way</t>
        </is>
      </c>
      <c r="B665" t="inlineStr">
        <is>
          <t>FICO x ASSET_CLASS / SYS_FLAG</t>
        </is>
      </c>
      <c r="C665" t="inlineStr">
        <is>
          <t>746 - 921</t>
        </is>
      </c>
      <c r="D665" t="inlineStr">
        <is>
          <t>4 / SYS_FLAG Y</t>
        </is>
      </c>
      <c r="E665" t="inlineStr">
        <is>
          <t>outcome_booked</t>
        </is>
      </c>
      <c r="F665" t="inlineStr">
        <is>
          <t>Outcome, share of booked dollars</t>
        </is>
      </c>
      <c r="G665" t="n">
        <v>164</v>
      </c>
      <c r="H665" t="n">
        <v>4957137.470000002</v>
      </c>
      <c r="I665" t="b">
        <v>1</v>
      </c>
      <c r="J665" t="b">
        <v>0</v>
      </c>
      <c r="K665" t="n">
        <v>0.5137559107388919</v>
      </c>
      <c r="M665" t="n">
        <v>1.059849095695514</v>
      </c>
      <c r="O665" t="n">
        <v>-182066.6783241454</v>
      </c>
      <c r="P665" t="n">
        <v>10862.9185781822</v>
      </c>
      <c r="Q665">
        <f>'_live'!$C$21</f>
        <v/>
      </c>
      <c r="T665" t="n">
        <v>0.07553446733930202</v>
      </c>
      <c r="U665" t="n">
        <v>0.03661490981847185</v>
      </c>
      <c r="V665">
        <f>AND(judged_band,NOT($J665))</f>
        <v/>
      </c>
      <c r="W665">
        <f>IF($K665="","",IF($I665,"too few losses to test",IF(AND($K665&gt;better_at,$K665&lt;worse_at),"in line",IF($K665&gt;=worse_at,IF(AND(ISNUMBER($L665),$L665&lt;significance_bar),"worse","worse, not significant"),IF(AND(ISNUMBER($L665),$L665&lt;significance_bar),"better","better, not significant")))))</f>
        <v/>
      </c>
      <c r="X665">
        <f>IF($M665="","",IF($I665,"too few losses to test",IF(AND($M665&gt;better_at,$M665&lt;worse_at),"in line",IF($M665&gt;=worse_at,IF(AND(ISNUMBER($N665),$N665&lt;significance_bar),"worse","worse, not significant"),IF(AND(ISNUMBER($N665),$N665&lt;significance_bar),"better","better, not significant")))))</f>
        <v/>
      </c>
      <c r="Y665">
        <f>IF($V665,$X665,$W665)</f>
        <v/>
      </c>
      <c r="Z665">
        <f>IF($V665,IF($P665="","",$P665),IF($O665="","",$O665))</f>
        <v/>
      </c>
      <c r="AA665">
        <f>IF(OR($Q665="",$Z665=""),"",IF(AND($Z665&gt;0,$Z665&gt;=$Q665),"yes","below the line"))</f>
        <v/>
      </c>
      <c r="AB665">
        <f>IF($V665,IF($M665="","",$M665),IF($K665="","",$K665))</f>
        <v/>
      </c>
      <c r="AC665">
        <f>IF($V665,IF($N665="","",$N665),IF($L665="","",$L665))</f>
        <v/>
      </c>
      <c r="AD665">
        <f>$Y665</f>
        <v/>
      </c>
      <c r="AE665">
        <f>IF($V665,IF($S665="","",$S665),IF($R665="","",$R665))</f>
        <v/>
      </c>
      <c r="AF665">
        <f>IF($V665,IF($U665="","",$U665),IF($T665="","",$T665))</f>
        <v/>
      </c>
      <c r="AG665">
        <f>IF($V665,IF($O665="","",$O665),IF($P665="","",$P665))</f>
        <v/>
      </c>
      <c r="AH665" t="n">
        <v>0.0388062790600802</v>
      </c>
      <c r="AI665">
        <f>IF($Y665="worse","Yes",IF($Y665="worse, not significant","Not sure",IF(OR($Y665="too few losses to test",$Y665="too few loans to test"),"Too few losses",IF($Y665="","","No"))))</f>
        <v/>
      </c>
      <c r="AJ665">
        <f>IF($AA665="yes","Yes",IF($AA665="","","No"))</f>
        <v/>
      </c>
    </row>
    <row r="666">
      <c r="A666" t="inlineStr">
        <is>
          <t>three-way</t>
        </is>
      </c>
      <c r="B666" t="inlineStr">
        <is>
          <t>FICO x ASSET_CLASS / SYS_FLAG</t>
        </is>
      </c>
      <c r="C666" t="inlineStr">
        <is>
          <t>746 - 921</t>
        </is>
      </c>
      <c r="D666" t="inlineStr">
        <is>
          <t>4 / SYS_FLAG Y</t>
        </is>
      </c>
      <c r="E666" t="inlineStr">
        <is>
          <t>gco_rate</t>
        </is>
      </c>
      <c r="F666" t="inlineStr">
        <is>
          <t>GCO per booked dollar</t>
        </is>
      </c>
      <c r="G666" t="n">
        <v>164</v>
      </c>
      <c r="H666" t="n">
        <v>4957137.470000002</v>
      </c>
      <c r="I666" t="b">
        <v>1</v>
      </c>
      <c r="J666" t="b">
        <v>0</v>
      </c>
      <c r="K666" t="n">
        <v>0.4742338765712008</v>
      </c>
      <c r="M666" t="n">
        <v>1.030001360523514</v>
      </c>
      <c r="O666" t="n">
        <v>-109542.0545197541</v>
      </c>
      <c r="P666" t="n">
        <v>2877.955059804764</v>
      </c>
      <c r="Q666">
        <f>'_live'!$C$22</f>
        <v/>
      </c>
      <c r="T666" t="n">
        <v>0.04202979961331475</v>
      </c>
      <c r="U666" t="n">
        <v>0.01935138686807393</v>
      </c>
      <c r="V666">
        <f>AND(judged_band,NOT($J666))</f>
        <v/>
      </c>
      <c r="W666">
        <f>IF($K666="","",IF($I666,"too few losses to test",IF(AND($K666&gt;better_at,$K666&lt;worse_at),"in line",IF($K666&gt;=worse_at,IF(AND(ISNUMBER($L666),$L666&lt;significance_bar),"worse","worse, not significant"),IF(AND(ISNUMBER($L666),$L666&lt;significance_bar),"better","better, not significant")))))</f>
        <v/>
      </c>
      <c r="X666">
        <f>IF($M666="","",IF($I666,"too few losses to test",IF(AND($M666&gt;better_at,$M666&lt;worse_at),"in line",IF($M666&gt;=worse_at,IF(AND(ISNUMBER($N666),$N666&lt;significance_bar),"worse","worse, not significant"),IF(AND(ISNUMBER($N666),$N666&lt;significance_bar),"better","better, not significant")))))</f>
        <v/>
      </c>
      <c r="Y666">
        <f>IF($V666,$X666,$W666)</f>
        <v/>
      </c>
      <c r="Z666">
        <f>IF($V666,IF($P666="","",$P666),IF($O666="","",$O666))</f>
        <v/>
      </c>
      <c r="AA666">
        <f>IF(OR($Q666="",$Z666=""),"",IF(AND($Z666&gt;0,$Z666&gt;=$Q666),"yes","below the line"))</f>
        <v/>
      </c>
      <c r="AB666">
        <f>IF($V666,IF($M666="","",$M666),IF($K666="","",$K666))</f>
        <v/>
      </c>
      <c r="AC666">
        <f>IF($V666,IF($N666="","",$N666),IF($L666="","",$L666))</f>
        <v/>
      </c>
      <c r="AD666">
        <f>$Y666</f>
        <v/>
      </c>
      <c r="AE666">
        <f>IF($V666,IF($S666="","",$S666),IF($R666="","",$R666))</f>
        <v/>
      </c>
      <c r="AF666">
        <f>IF($V666,IF($U666="","",$U666),IF($T666="","",$T666))</f>
        <v/>
      </c>
      <c r="AG666">
        <f>IF($V666,IF($O666="","",$O666),IF($P666="","",$P666))</f>
        <v/>
      </c>
      <c r="AH666" t="n">
        <v>0.01993195480213301</v>
      </c>
      <c r="AI666">
        <f>IF($Y666="worse","Yes",IF($Y666="worse, not significant","Not sure",IF(OR($Y666="too few losses to test",$Y666="too few loans to test"),"Too few losses",IF($Y666="","","No"))))</f>
        <v/>
      </c>
      <c r="AJ666">
        <f>IF($AA666="yes","Yes",IF($AA666="","","No"))</f>
        <v/>
      </c>
    </row>
    <row r="667">
      <c r="A667" t="inlineStr">
        <is>
          <t>three-way</t>
        </is>
      </c>
      <c r="B667" t="inlineStr">
        <is>
          <t>FICO x ASSET_CLASS / SYS_FLAG</t>
        </is>
      </c>
      <c r="C667" t="inlineStr">
        <is>
          <t>746 - 921</t>
        </is>
      </c>
      <c r="D667" t="inlineStr">
        <is>
          <t>4 / SYS_FLAG Y</t>
        </is>
      </c>
      <c r="E667" t="inlineStr">
        <is>
          <t>ranr_rate</t>
        </is>
      </c>
      <c r="F667" t="inlineStr">
        <is>
          <t>Profit after losses: RANR per booked dollar</t>
        </is>
      </c>
      <c r="G667" t="n">
        <v>164</v>
      </c>
      <c r="H667" t="n">
        <v>4957137.470000002</v>
      </c>
      <c r="I667" t="b">
        <v>0</v>
      </c>
      <c r="J667" t="b">
        <v>0</v>
      </c>
      <c r="K667" t="n">
        <v>-0.08395041505701092</v>
      </c>
      <c r="L667" t="n">
        <v>0.0003768853883842385</v>
      </c>
      <c r="M667" t="n">
        <v>-0.001209918098676391</v>
      </c>
      <c r="N667" t="n">
        <v>0.9703029697030296</v>
      </c>
      <c r="O667" t="n">
        <v>416153.7481011612</v>
      </c>
      <c r="P667" t="n">
        <v>5997.730342579918</v>
      </c>
      <c r="Q667">
        <f>'_live'!$C$23</f>
        <v/>
      </c>
      <c r="R667" t="inlineStr">
        <is>
          <t>shuffled: 0 of 10,000</t>
        </is>
      </c>
      <c r="S667" t="inlineStr">
        <is>
          <t>shuffled: 9,007 of 10,000</t>
        </is>
      </c>
      <c r="T667" t="n">
        <v>0.129602620865215</v>
      </c>
      <c r="U667" t="n">
        <v>0.04686212390688044</v>
      </c>
      <c r="V667">
        <f>AND(judged_band,NOT($J667))</f>
        <v/>
      </c>
      <c r="W667">
        <f>IF($K667="","",IF(profit_kind="test",IF(OR(NOT(AND(ISNUMBER($L667),$L667&lt;significance_bar)),$K667=0),"in line",IF($K667&lt;0,"worse","better")),IF(OR($K667=0,IF(profit_kind="points",ABS($K667),ABS($K667*$H667))&lt;profit_line*(1-1E-9)),"in line",IF(AND(ISNUMBER($L667),$L667&lt;significance_bar),IF($K667&lt;0,"worse","better"),IF($K667&lt;0,"worse, not significant","better, not significant")))))</f>
        <v/>
      </c>
      <c r="X667">
        <f>IF($M667="","",IF(profit_kind="test",IF(OR(NOT(AND(ISNUMBER($N667),$N667&lt;significance_bar)),$M667=0),"in line",IF($M667&lt;0,"worse","better")),IF(OR($M667=0,IF(profit_kind="points",ABS($M667),ABS($M667*$H667))&lt;profit_line*(1-1E-9)),"in line",IF(AND(ISNUMBER($N667),$N667&lt;significance_bar),IF($M667&lt;0,"worse","better"),IF($M667&lt;0,"worse, not significant","better, not significant")))))</f>
        <v/>
      </c>
      <c r="Y667">
        <f>IF($V667,$X667,$W667)</f>
        <v/>
      </c>
      <c r="Z667">
        <f>IF($V667,IF($P667="","",$P667),IF($O667="","",$O667))</f>
        <v/>
      </c>
      <c r="AA667">
        <f>IF(OR($Q667="",$Z667=""),"",IF(AND($Z667&gt;0,$Z667&gt;=$Q667),"yes","below the line"))</f>
        <v/>
      </c>
      <c r="AB667">
        <f>IF($V667,IF($M667="","",$M667),IF($K667="","",$K667))</f>
        <v/>
      </c>
      <c r="AC667">
        <f>IF($V667,IF($N667="","",$N667),IF($L667="","",$L667))</f>
        <v/>
      </c>
      <c r="AD667">
        <f>IF($Y667="","",IF($Y667="in line",IF(profit_kind="test",IF(ROUND($AB667*100,2)=0,"0.00",TEXT($AB667*100,"+0.00;-0.00"))&amp;" points against "&amp;IF($V667,"its band","the book")&amp;", "&amp;IF($AC667="","not tested","not significant"),IF(profit_kind="points","within "&amp;TEXT(profit_line*100,"0.00")&amp;" points of "&amp;IF($V667,"its band","the book")&amp;" ("&amp;IF(ROUND($AB667*100,2)=0,"0.00",TEXT($AB667*100,"+0.00;-0.00"))&amp;")","within $"&amp;TEXT(profit_line,"#,##0")&amp;" of "&amp;IF($V667,"its band","the book")&amp;" ("&amp;IF(ROUND($AB667*100,2)=0,"0.00",TEXT($AB667*100,"+0.00;-0.00"))&amp;" points)")),IF(LEFT($Y667,5)="worse","short of ","ahead of ")&amp;IF($V667,"its band","the book")&amp;" by "&amp;TEXT(ABS($AB667)*100,"0.00")&amp;" points"&amp;IF($Z667="",""," ($"&amp;TEXT(ABS($Z667),"#,##0")&amp;")")&amp;IF(RIGHT($Y667,15)="not significant"," (not significant)","")))</f>
        <v/>
      </c>
      <c r="AE667">
        <f>IF($V667,IF($S667="","",$S667),IF($R667="","",$R667))</f>
        <v/>
      </c>
      <c r="AF667">
        <f>IF($V667,IF($U667="","",$U667),IF($T667="","",$T667))</f>
        <v/>
      </c>
      <c r="AG667">
        <f>IF($V667,IF($O667="","",$O667),IF($P667="","",$P667))</f>
        <v/>
      </c>
      <c r="AH667" t="n">
        <v>0.04565220580820405</v>
      </c>
      <c r="AI667">
        <f>IF($Y667="worse","Yes",IF($Y667="worse, not significant","Not sure",IF(OR($Y667="too few losses to test",$Y667="too few loans to test"),"Too few losses",IF($Y667="","","No"))))</f>
        <v/>
      </c>
      <c r="AJ667">
        <f>IF($AA667="yes","Yes",IF($AA667="","","No"))</f>
        <v/>
      </c>
    </row>
    <row r="668">
      <c r="A668" t="inlineStr">
        <is>
          <t>three-way</t>
        </is>
      </c>
      <c r="B668" t="inlineStr">
        <is>
          <t>FICO x ASSET_CLASS / SYS_FLAG</t>
        </is>
      </c>
      <c r="C668" t="inlineStr">
        <is>
          <t>746 - 921</t>
        </is>
      </c>
      <c r="D668" t="inlineStr">
        <is>
          <t>4 / SYS_FLAG Y</t>
        </is>
      </c>
      <c r="E668" t="inlineStr">
        <is>
          <t>contribution_rate</t>
        </is>
      </c>
      <c r="F668" t="inlineStr">
        <is>
          <t>Contribution before losses per booked dollar</t>
        </is>
      </c>
      <c r="G668" t="n">
        <v>164</v>
      </c>
      <c r="H668" t="n">
        <v>4957137.470000002</v>
      </c>
      <c r="I668" t="b">
        <v>0</v>
      </c>
      <c r="J668" t="b">
        <v>0</v>
      </c>
      <c r="K668" t="n">
        <v>-0.1060455974841074</v>
      </c>
      <c r="L668" t="n">
        <v>0.0001814633351479667</v>
      </c>
      <c r="M668" t="n">
        <v>-0.0006293501646172789</v>
      </c>
      <c r="N668" t="n">
        <v>0.9799190293736585</v>
      </c>
      <c r="O668" t="n">
        <v>525682.6048170069</v>
      </c>
      <c r="P668" t="n">
        <v>3119.775282774935</v>
      </c>
      <c r="Q668">
        <f>'_live'!$C$24</f>
        <v/>
      </c>
      <c r="R668" t="inlineStr">
        <is>
          <t>shuffled: 0 of 10,000</t>
        </is>
      </c>
      <c r="S668" t="inlineStr">
        <is>
          <t>shuffled: 8,312 of 10,000</t>
        </is>
      </c>
      <c r="T668" t="n">
        <v>0.1716297580944445</v>
      </c>
      <c r="U668" t="n">
        <v>0.06621351077495437</v>
      </c>
      <c r="V668">
        <f>AND(judged_band,NOT($J668))</f>
        <v/>
      </c>
      <c r="W668">
        <f>IF($K668="","",IF(profit_kind="test",IF(OR(NOT(AND(ISNUMBER($L668),$L668&lt;significance_bar)),$K668=0),"in line",IF($K668&lt;0,"worse","better")),IF(OR($K668=0,IF(profit_kind="points",ABS($K668),ABS($K668*$H668))&lt;profit_line*(1-1E-9)),"in line",IF(AND(ISNUMBER($L668),$L668&lt;significance_bar),IF($K668&lt;0,"worse","better"),IF($K668&lt;0,"worse, not significant","better, not significant")))))</f>
        <v/>
      </c>
      <c r="X668">
        <f>IF($M668="","",IF(profit_kind="test",IF(OR(NOT(AND(ISNUMBER($N668),$N668&lt;significance_bar)),$M668=0),"in line",IF($M668&lt;0,"worse","better")),IF(OR($M668=0,IF(profit_kind="points",ABS($M668),ABS($M668*$H668))&lt;profit_line*(1-1E-9)),"in line",IF(AND(ISNUMBER($N668),$N668&lt;significance_bar),IF($M668&lt;0,"worse","better"),IF($M668&lt;0,"worse, not significant","better, not significant")))))</f>
        <v/>
      </c>
      <c r="Y668">
        <f>IF($V668,$X668,$W668)</f>
        <v/>
      </c>
      <c r="Z668">
        <f>IF($V668,IF($P668="","",$P668),IF($O668="","",$O668))</f>
        <v/>
      </c>
      <c r="AA668">
        <f>IF(OR($Q668="",$Z668=""),"",IF(AND($Z668&gt;0,$Z668&gt;=$Q668),"yes","below the line"))</f>
        <v/>
      </c>
      <c r="AB668">
        <f>IF($V668,IF($M668="","",$M668),IF($K668="","",$K668))</f>
        <v/>
      </c>
      <c r="AC668">
        <f>IF($V668,IF($N668="","",$N668),IF($L668="","",$L668))</f>
        <v/>
      </c>
      <c r="AD668">
        <f>IF($Y668="","",IF($Y668="in line",IF(profit_kind="test",IF(ROUND($AB668*100,2)=0,"0.00",TEXT($AB668*100,"+0.00;-0.00"))&amp;" points against "&amp;IF($V668,"its band","the book")&amp;", "&amp;IF($AC668="","not tested","not significant"),IF(profit_kind="points","within "&amp;TEXT(profit_line*100,"0.00")&amp;" points of "&amp;IF($V668,"its band","the book")&amp;" ("&amp;IF(ROUND($AB668*100,2)=0,"0.00",TEXT($AB668*100,"+0.00;-0.00"))&amp;")","within $"&amp;TEXT(profit_line,"#,##0")&amp;" of "&amp;IF($V668,"its band","the book")&amp;" ("&amp;IF(ROUND($AB668*100,2)=0,"0.00",TEXT($AB668*100,"+0.00;-0.00"))&amp;" points)")),IF(LEFT($Y668,5)="worse","short of ","ahead of ")&amp;IF($V668,"its band","the book")&amp;" by "&amp;TEXT(ABS($AB668)*100,"0.00")&amp;" points"&amp;IF($Z668="",""," ($"&amp;TEXT(ABS($Z668),"#,##0")&amp;")")&amp;IF(RIGHT($Y668,15)="not significant"," (not significant)","")))</f>
        <v/>
      </c>
      <c r="AE668">
        <f>IF($V668,IF($S668="","",$S668),IF($R668="","",$R668))</f>
        <v/>
      </c>
      <c r="AF668">
        <f>IF($V668,IF($U668="","",$U668),IF($T668="","",$T668))</f>
        <v/>
      </c>
      <c r="AG668">
        <f>IF($V668,IF($O668="","",$O668),IF($P668="","",$P668))</f>
        <v/>
      </c>
      <c r="AH668" t="n">
        <v>0.06558416061033709</v>
      </c>
      <c r="AI668">
        <f>IF($Y668="worse","Yes",IF($Y668="worse, not significant","Not sure",IF(OR($Y668="too few losses to test",$Y668="too few loans to test"),"Too few losses",IF($Y668="","","No"))))</f>
        <v/>
      </c>
      <c r="AJ668">
        <f>IF($AA668="yes","Yes",IF($AA668="","","No"))</f>
        <v/>
      </c>
    </row>
    <row r="669">
      <c r="A669" t="inlineStr">
        <is>
          <t>three-way</t>
        </is>
      </c>
      <c r="B669" t="inlineStr">
        <is>
          <t>FICO x ASSET_CLASS / SYS_FLAG</t>
        </is>
      </c>
      <c r="C669" t="inlineStr">
        <is>
          <t>654 - 685</t>
        </is>
      </c>
      <c r="D669" t="inlineStr">
        <is>
          <t>1 / SYS_FLAG Y</t>
        </is>
      </c>
      <c r="E669" t="inlineStr">
        <is>
          <t>outcome_loans</t>
        </is>
      </c>
      <c r="F669" t="inlineStr">
        <is>
          <t>Outcome, share of loans</t>
        </is>
      </c>
      <c r="G669" t="n">
        <v>187</v>
      </c>
      <c r="H669" t="n">
        <v>187</v>
      </c>
      <c r="I669" t="b">
        <v>0</v>
      </c>
      <c r="J669" t="b">
        <v>0</v>
      </c>
      <c r="K669" t="n">
        <v>1.394838099149206</v>
      </c>
      <c r="L669" t="n">
        <v>0.326876491628326</v>
      </c>
      <c r="M669" t="n">
        <v>1.314535731648031</v>
      </c>
      <c r="N669" t="n">
        <v>0.4764213521112365</v>
      </c>
      <c r="O669" t="n">
        <v>5.66141833077317</v>
      </c>
      <c r="P669" t="n">
        <v>4.785502958579881</v>
      </c>
      <c r="Q669">
        <f>'_live'!$C$20</f>
        <v/>
      </c>
      <c r="R669" t="inlineStr">
        <is>
          <t>z test</t>
        </is>
      </c>
      <c r="S669" t="inlineStr">
        <is>
          <t>z test</t>
        </is>
      </c>
      <c r="T669" t="n">
        <v>0.07667690732206861</v>
      </c>
      <c r="U669" t="n">
        <v>0.08136094674556213</v>
      </c>
      <c r="V669">
        <f>AND(judged_band,NOT($J669))</f>
        <v/>
      </c>
      <c r="W669">
        <f>IF($K669="","",IF($I669,"too few losses to test",IF(AND($K669&gt;better_at,$K669&lt;worse_at),"in line",IF($K669&gt;=worse_at,IF(AND(ISNUMBER($L669),$L669&lt;significance_bar),"worse","worse, not significant"),IF(AND(ISNUMBER($L669),$L669&lt;significance_bar),"better","better, not significant")))))</f>
        <v/>
      </c>
      <c r="X669">
        <f>IF($M669="","",IF($I669,"too few losses to test",IF(AND($M669&gt;better_at,$M669&lt;worse_at),"in line",IF($M669&gt;=worse_at,IF(AND(ISNUMBER($N669),$N669&lt;significance_bar),"worse","worse, not significant"),IF(AND(ISNUMBER($N669),$N669&lt;significance_bar),"better","better, not significant")))))</f>
        <v/>
      </c>
      <c r="Y669">
        <f>IF($V669,$X669,$W669)</f>
        <v/>
      </c>
      <c r="Z669">
        <f>IF($V669,IF($P669="","",$P669),IF($O669="","",$O669))</f>
        <v/>
      </c>
      <c r="AA669">
        <f>IF(OR($Q669="",$Z669=""),"",IF(AND($Z669&gt;0,$Z669&gt;=$Q669),"yes","below the line"))</f>
        <v/>
      </c>
      <c r="AB669">
        <f>IF($V669,IF($M669="","",$M669),IF($K669="","",$K669))</f>
        <v/>
      </c>
      <c r="AC669">
        <f>IF($V669,IF($N669="","",$N669),IF($L669="","",$L669))</f>
        <v/>
      </c>
      <c r="AD669">
        <f>$Y669</f>
        <v/>
      </c>
      <c r="AE669">
        <f>IF($V669,IF($S669="","",$S669),IF($R669="","",$R669))</f>
        <v/>
      </c>
      <c r="AF669">
        <f>IF($V669,IF($U669="","",$U669),IF($T669="","",$T669))</f>
        <v/>
      </c>
      <c r="AG669">
        <f>IF($V669,IF($O669="","",$O669),IF($P669="","",$P669))</f>
        <v/>
      </c>
      <c r="AH669" t="n">
        <v>0.106951871657754</v>
      </c>
      <c r="AI669">
        <f>IF($Y669="worse","Yes",IF($Y669="worse, not significant","Not sure",IF(OR($Y669="too few losses to test",$Y669="too few loans to test"),"Too few losses",IF($Y669="","","No"))))</f>
        <v/>
      </c>
      <c r="AJ669">
        <f>IF($AA669="yes","Yes",IF($AA669="","","No"))</f>
        <v/>
      </c>
    </row>
    <row r="670">
      <c r="A670" t="inlineStr">
        <is>
          <t>three-way</t>
        </is>
      </c>
      <c r="B670" t="inlineStr">
        <is>
          <t>FICO x ASSET_CLASS / SYS_FLAG</t>
        </is>
      </c>
      <c r="C670" t="inlineStr">
        <is>
          <t>654 - 685</t>
        </is>
      </c>
      <c r="D670" t="inlineStr">
        <is>
          <t>1 / SYS_FLAG Y</t>
        </is>
      </c>
      <c r="E670" t="inlineStr">
        <is>
          <t>outcome_booked</t>
        </is>
      </c>
      <c r="F670" t="inlineStr">
        <is>
          <t>Outcome, share of booked dollars</t>
        </is>
      </c>
      <c r="G670" t="n">
        <v>187</v>
      </c>
      <c r="H670" t="n">
        <v>5778557.439999999</v>
      </c>
      <c r="I670" t="b">
        <v>0</v>
      </c>
      <c r="J670" t="b">
        <v>0</v>
      </c>
      <c r="K670" t="n">
        <v>1.230812679438625</v>
      </c>
      <c r="L670" t="n">
        <v>0.5488051194880512</v>
      </c>
      <c r="M670" t="n">
        <v>1.170245990008331</v>
      </c>
      <c r="N670" t="n">
        <v>0.8189181081891811</v>
      </c>
      <c r="O670" t="n">
        <v>99290.84120918933</v>
      </c>
      <c r="P670" t="n">
        <v>77026.68698606506</v>
      </c>
      <c r="Q670">
        <f>'_live'!$C$21</f>
        <v/>
      </c>
      <c r="R670" t="inlineStr">
        <is>
          <t>shuffled: 4,221 of 10,000</t>
        </is>
      </c>
      <c r="S670" t="inlineStr">
        <is>
          <t>shuffled: 5,669 of 10,000</t>
        </is>
      </c>
      <c r="T670" t="n">
        <v>0.07444406727067347</v>
      </c>
      <c r="U670" t="n">
        <v>0.07829695866342984</v>
      </c>
      <c r="V670">
        <f>AND(judged_band,NOT($J670))</f>
        <v/>
      </c>
      <c r="W670">
        <f>IF($K670="","",IF($I670,"too few losses to test",IF(AND($K670&gt;better_at,$K670&lt;worse_at),"in line",IF($K670&gt;=worse_at,IF(AND(ISNUMBER($L670),$L670&lt;significance_bar),"worse","worse, not significant"),IF(AND(ISNUMBER($L670),$L670&lt;significance_bar),"better","better, not significant")))))</f>
        <v/>
      </c>
      <c r="X670">
        <f>IF($M670="","",IF($I670,"too few losses to test",IF(AND($M670&gt;better_at,$M670&lt;worse_at),"in line",IF($M670&gt;=worse_at,IF(AND(ISNUMBER($N670),$N670&lt;significance_bar),"worse","worse, not significant"),IF(AND(ISNUMBER($N670),$N670&lt;significance_bar),"better","better, not significant")))))</f>
        <v/>
      </c>
      <c r="Y670">
        <f>IF($V670,$X670,$W670)</f>
        <v/>
      </c>
      <c r="Z670">
        <f>IF($V670,IF($P670="","",$P670),IF($O670="","",$O670))</f>
        <v/>
      </c>
      <c r="AA670">
        <f>IF(OR($Q670="",$Z670=""),"",IF(AND($Z670&gt;0,$Z670&gt;=$Q670),"yes","below the line"))</f>
        <v/>
      </c>
      <c r="AB670">
        <f>IF($V670,IF($M670="","",$M670),IF($K670="","",$K670))</f>
        <v/>
      </c>
      <c r="AC670">
        <f>IF($V670,IF($N670="","",$N670),IF($L670="","",$L670))</f>
        <v/>
      </c>
      <c r="AD670">
        <f>$Y670</f>
        <v/>
      </c>
      <c r="AE670">
        <f>IF($V670,IF($S670="","",$S670),IF($R670="","",$R670))</f>
        <v/>
      </c>
      <c r="AF670">
        <f>IF($V670,IF($U670="","",$U670),IF($T670="","",$T670))</f>
        <v/>
      </c>
      <c r="AG670">
        <f>IF($V670,IF($O670="","",$O670),IF($P670="","",$P670))</f>
        <v/>
      </c>
      <c r="AH670" t="n">
        <v>0.09162670190572685</v>
      </c>
      <c r="AI670">
        <f>IF($Y670="worse","Yes",IF($Y670="worse, not significant","Not sure",IF(OR($Y670="too few losses to test",$Y670="too few loans to test"),"Too few losses",IF($Y670="","","No"))))</f>
        <v/>
      </c>
      <c r="AJ670">
        <f>IF($AA670="yes","Yes",IF($AA670="","","No"))</f>
        <v/>
      </c>
    </row>
    <row r="671">
      <c r="A671" t="inlineStr">
        <is>
          <t>three-way</t>
        </is>
      </c>
      <c r="B671" t="inlineStr">
        <is>
          <t>FICO x ASSET_CLASS / SYS_FLAG</t>
        </is>
      </c>
      <c r="C671" t="inlineStr">
        <is>
          <t>654 - 685</t>
        </is>
      </c>
      <c r="D671" t="inlineStr">
        <is>
          <t>1 / SYS_FLAG Y</t>
        </is>
      </c>
      <c r="E671" t="inlineStr">
        <is>
          <t>gco_rate</t>
        </is>
      </c>
      <c r="F671" t="inlineStr">
        <is>
          <t>GCO per booked dollar</t>
        </is>
      </c>
      <c r="G671" t="n">
        <v>187</v>
      </c>
      <c r="H671" t="n">
        <v>5778557.439999999</v>
      </c>
      <c r="I671" t="b">
        <v>0</v>
      </c>
      <c r="J671" t="b">
        <v>0</v>
      </c>
      <c r="K671" t="n">
        <v>1.189567683885081</v>
      </c>
      <c r="L671" t="n">
        <v>0.6483256436261137</v>
      </c>
      <c r="M671" t="n">
        <v>1.103147257759286</v>
      </c>
      <c r="N671" t="n">
        <v>0.9513748625137486</v>
      </c>
      <c r="O671" t="n">
        <v>45382.89498264543</v>
      </c>
      <c r="P671" t="n">
        <v>26628.16543165239</v>
      </c>
      <c r="Q671">
        <f>'_live'!$C$22</f>
        <v/>
      </c>
      <c r="R671" t="inlineStr">
        <is>
          <t>shuffled: 5,236 of 10,000</t>
        </is>
      </c>
      <c r="S671" t="inlineStr">
        <is>
          <t>shuffled: 7,318 of 10,000</t>
        </is>
      </c>
      <c r="T671" t="n">
        <v>0.04142938224688732</v>
      </c>
      <c r="U671" t="n">
        <v>0.04467495516810986</v>
      </c>
      <c r="V671">
        <f>AND(judged_band,NOT($J671))</f>
        <v/>
      </c>
      <c r="W671">
        <f>IF($K671="","",IF($I671,"too few losses to test",IF(AND($K671&gt;better_at,$K671&lt;worse_at),"in line",IF($K671&gt;=worse_at,IF(AND(ISNUMBER($L671),$L671&lt;significance_bar),"worse","worse, not significant"),IF(AND(ISNUMBER($L671),$L671&lt;significance_bar),"better","better, not significant")))))</f>
        <v/>
      </c>
      <c r="X671">
        <f>IF($M671="","",IF($I671,"too few losses to test",IF(AND($M671&gt;better_at,$M671&lt;worse_at),"in line",IF($M671&gt;=worse_at,IF(AND(ISNUMBER($N671),$N671&lt;significance_bar),"worse","worse, not significant"),IF(AND(ISNUMBER($N671),$N671&lt;significance_bar),"better","better, not significant")))))</f>
        <v/>
      </c>
      <c r="Y671">
        <f>IF($V671,$X671,$W671)</f>
        <v/>
      </c>
      <c r="Z671">
        <f>IF($V671,IF($P671="","",$P671),IF($O671="","",$O671))</f>
        <v/>
      </c>
      <c r="AA671">
        <f>IF(OR($Q671="",$Z671=""),"",IF(AND($Z671&gt;0,$Z671&gt;=$Q671),"yes","below the line"))</f>
        <v/>
      </c>
      <c r="AB671">
        <f>IF($V671,IF($M671="","",$M671),IF($K671="","",$K671))</f>
        <v/>
      </c>
      <c r="AC671">
        <f>IF($V671,IF($N671="","",$N671),IF($L671="","",$L671))</f>
        <v/>
      </c>
      <c r="AD671">
        <f>$Y671</f>
        <v/>
      </c>
      <c r="AE671">
        <f>IF($V671,IF($S671="","",$S671),IF($R671="","",$R671))</f>
        <v/>
      </c>
      <c r="AF671">
        <f>IF($V671,IF($U671="","",$U671),IF($T671="","",$T671))</f>
        <v/>
      </c>
      <c r="AG671">
        <f>IF($V671,IF($O671="","",$O671),IF($P671="","",$P671))</f>
        <v/>
      </c>
      <c r="AH671" t="n">
        <v>0.04928305428421943</v>
      </c>
      <c r="AI671">
        <f>IF($Y671="worse","Yes",IF($Y671="worse, not significant","Not sure",IF(OR($Y671="too few losses to test",$Y671="too few loans to test"),"Too few losses",IF($Y671="","","No"))))</f>
        <v/>
      </c>
      <c r="AJ671">
        <f>IF($AA671="yes","Yes",IF($AA671="","","No"))</f>
        <v/>
      </c>
    </row>
    <row r="672">
      <c r="A672" t="inlineStr">
        <is>
          <t>three-way</t>
        </is>
      </c>
      <c r="B672" t="inlineStr">
        <is>
          <t>FICO x ASSET_CLASS / SYS_FLAG</t>
        </is>
      </c>
      <c r="C672" t="inlineStr">
        <is>
          <t>654 - 685</t>
        </is>
      </c>
      <c r="D672" t="inlineStr">
        <is>
          <t>1 / SYS_FLAG Y</t>
        </is>
      </c>
      <c r="E672" t="inlineStr">
        <is>
          <t>ranr_rate</t>
        </is>
      </c>
      <c r="F672" t="inlineStr">
        <is>
          <t>Profit after losses: RANR per booked dollar</t>
        </is>
      </c>
      <c r="G672" t="n">
        <v>187</v>
      </c>
      <c r="H672" t="n">
        <v>5778557.439999999</v>
      </c>
      <c r="I672" t="b">
        <v>0</v>
      </c>
      <c r="J672" t="b">
        <v>0</v>
      </c>
      <c r="K672" t="n">
        <v>0.04486649271602502</v>
      </c>
      <c r="L672" t="n">
        <v>0.006124387561243876</v>
      </c>
      <c r="M672" t="n">
        <v>0.009940439376323995</v>
      </c>
      <c r="N672" t="n">
        <v>0.8852631978181492</v>
      </c>
      <c r="O672" t="n">
        <v>-259263.6052908922</v>
      </c>
      <c r="P672" t="n">
        <v>-57441.39991492592</v>
      </c>
      <c r="Q672">
        <f>'_live'!$C$23</f>
        <v/>
      </c>
      <c r="R672" t="inlineStr">
        <is>
          <t>shuffled: 24 of 10,000</t>
        </is>
      </c>
      <c r="S672" t="inlineStr">
        <is>
          <t>shuffled: 5,348 of 10,000</t>
        </is>
      </c>
      <c r="T672" t="n">
        <v>0.1269854184765373</v>
      </c>
      <c r="U672" t="n">
        <v>0.1619114718162383</v>
      </c>
      <c r="V672">
        <f>AND(judged_band,NOT($J672))</f>
        <v/>
      </c>
      <c r="W672">
        <f>IF($K672="","",IF(profit_kind="test",IF(OR(NOT(AND(ISNUMBER($L672),$L672&lt;significance_bar)),$K672=0),"in line",IF($K672&lt;0,"worse","better")),IF(OR($K672=0,IF(profit_kind="points",ABS($K672),ABS($K672*$H672))&lt;profit_line*(1-1E-9)),"in line",IF(AND(ISNUMBER($L672),$L672&lt;significance_bar),IF($K672&lt;0,"worse","better"),IF($K672&lt;0,"worse, not significant","better, not significant")))))</f>
        <v/>
      </c>
      <c r="X672">
        <f>IF($M672="","",IF(profit_kind="test",IF(OR(NOT(AND(ISNUMBER($N672),$N672&lt;significance_bar)),$M672=0),"in line",IF($M672&lt;0,"worse","better")),IF(OR($M672=0,IF(profit_kind="points",ABS($M672),ABS($M672*$H672))&lt;profit_line*(1-1E-9)),"in line",IF(AND(ISNUMBER($N672),$N672&lt;significance_bar),IF($M672&lt;0,"worse","better"),IF($M672&lt;0,"worse, not significant","better, not significant")))))</f>
        <v/>
      </c>
      <c r="Y672">
        <f>IF($V672,$X672,$W672)</f>
        <v/>
      </c>
      <c r="Z672">
        <f>IF($V672,IF($P672="","",$P672),IF($O672="","",$O672))</f>
        <v/>
      </c>
      <c r="AA672">
        <f>IF(OR($Q672="",$Z672=""),"",IF(AND($Z672&gt;0,$Z672&gt;=$Q672),"yes","below the line"))</f>
        <v/>
      </c>
      <c r="AB672">
        <f>IF($V672,IF($M672="","",$M672),IF($K672="","",$K672))</f>
        <v/>
      </c>
      <c r="AC672">
        <f>IF($V672,IF($N672="","",$N672),IF($L672="","",$L672))</f>
        <v/>
      </c>
      <c r="AD672">
        <f>IF($Y672="","",IF($Y672="in line",IF(profit_kind="test",IF(ROUND($AB672*100,2)=0,"0.00",TEXT($AB672*100,"+0.00;-0.00"))&amp;" points against "&amp;IF($V672,"its band","the book")&amp;", "&amp;IF($AC672="","not tested","not significant"),IF(profit_kind="points","within "&amp;TEXT(profit_line*100,"0.00")&amp;" points of "&amp;IF($V672,"its band","the book")&amp;" ("&amp;IF(ROUND($AB672*100,2)=0,"0.00",TEXT($AB672*100,"+0.00;-0.00"))&amp;")","within $"&amp;TEXT(profit_line,"#,##0")&amp;" of "&amp;IF($V672,"its band","the book")&amp;" ("&amp;IF(ROUND($AB672*100,2)=0,"0.00",TEXT($AB672*100,"+0.00;-0.00"))&amp;" points)")),IF(LEFT($Y672,5)="worse","short of ","ahead of ")&amp;IF($V672,"its band","the book")&amp;" by "&amp;TEXT(ABS($AB672)*100,"0.00")&amp;" points"&amp;IF($Z672="",""," ($"&amp;TEXT(ABS($Z672),"#,##0")&amp;")")&amp;IF(RIGHT($Y672,15)="not significant"," (not significant)","")))</f>
        <v/>
      </c>
      <c r="AE672">
        <f>IF($V672,IF($S672="","",$S672),IF($R672="","",$R672))</f>
        <v/>
      </c>
      <c r="AF672">
        <f>IF($V672,IF($U672="","",$U672),IF($T672="","",$T672))</f>
        <v/>
      </c>
      <c r="AG672">
        <f>IF($V672,IF($O672="","",$O672),IF($P672="","",$P672))</f>
        <v/>
      </c>
      <c r="AH672" t="n">
        <v>0.1718519111925623</v>
      </c>
      <c r="AI672">
        <f>IF($Y672="worse","Yes",IF($Y672="worse, not significant","Not sure",IF(OR($Y672="too few losses to test",$Y672="too few loans to test"),"Too few losses",IF($Y672="","","No"))))</f>
        <v/>
      </c>
      <c r="AJ672">
        <f>IF($AA672="yes","Yes",IF($AA672="","","No"))</f>
        <v/>
      </c>
    </row>
    <row r="673">
      <c r="A673" t="inlineStr">
        <is>
          <t>three-way</t>
        </is>
      </c>
      <c r="B673" t="inlineStr">
        <is>
          <t>FICO x ASSET_CLASS / SYS_FLAG</t>
        </is>
      </c>
      <c r="C673" t="inlineStr">
        <is>
          <t>654 - 685</t>
        </is>
      </c>
      <c r="D673" t="inlineStr">
        <is>
          <t>1 / SYS_FLAG Y</t>
        </is>
      </c>
      <c r="E673" t="inlineStr">
        <is>
          <t>contribution_rate</t>
        </is>
      </c>
      <c r="F673" t="inlineStr">
        <is>
          <t>Contribution before losses per booked dollar</t>
        </is>
      </c>
      <c r="G673" t="n">
        <v>187</v>
      </c>
      <c r="H673" t="n">
        <v>5778557.439999999</v>
      </c>
      <c r="I673" t="b">
        <v>0</v>
      </c>
      <c r="J673" t="b">
        <v>0</v>
      </c>
      <c r="K673" t="n">
        <v>0.05272324754986887</v>
      </c>
      <c r="L673" t="n">
        <v>0.0001814633351479667</v>
      </c>
      <c r="M673" t="n">
        <v>0.01454853849243345</v>
      </c>
      <c r="N673" t="n">
        <v>0.5536900855369009</v>
      </c>
      <c r="O673" t="n">
        <v>-304664.3143902564</v>
      </c>
      <c r="P673" t="n">
        <v>-84069.56534657767</v>
      </c>
      <c r="Q673">
        <f>'_live'!$C$24</f>
        <v/>
      </c>
      <c r="R673" t="inlineStr">
        <is>
          <t>shuffled: 0 of 10,000</t>
        </is>
      </c>
      <c r="S673" t="inlineStr">
        <is>
          <t>shuffled: 1,158 of 10,000</t>
        </is>
      </c>
      <c r="T673" t="n">
        <v>0.1684117179269128</v>
      </c>
      <c r="U673" t="n">
        <v>0.2065864269843482</v>
      </c>
      <c r="V673">
        <f>AND(judged_band,NOT($J673))</f>
        <v/>
      </c>
      <c r="W673">
        <f>IF($K673="","",IF(profit_kind="test",IF(OR(NOT(AND(ISNUMBER($L673),$L673&lt;significance_bar)),$K673=0),"in line",IF($K673&lt;0,"worse","better")),IF(OR($K673=0,IF(profit_kind="points",ABS($K673),ABS($K673*$H673))&lt;profit_line*(1-1E-9)),"in line",IF(AND(ISNUMBER($L673),$L673&lt;significance_bar),IF($K673&lt;0,"worse","better"),IF($K673&lt;0,"worse, not significant","better, not significant")))))</f>
        <v/>
      </c>
      <c r="X673">
        <f>IF($M673="","",IF(profit_kind="test",IF(OR(NOT(AND(ISNUMBER($N673),$N673&lt;significance_bar)),$M673=0),"in line",IF($M673&lt;0,"worse","better")),IF(OR($M673=0,IF(profit_kind="points",ABS($M673),ABS($M673*$H673))&lt;profit_line*(1-1E-9)),"in line",IF(AND(ISNUMBER($N673),$N673&lt;significance_bar),IF($M673&lt;0,"worse","better"),IF($M673&lt;0,"worse, not significant","better, not significant")))))</f>
        <v/>
      </c>
      <c r="Y673">
        <f>IF($V673,$X673,$W673)</f>
        <v/>
      </c>
      <c r="Z673">
        <f>IF($V673,IF($P673="","",$P673),IF($O673="","",$O673))</f>
        <v/>
      </c>
      <c r="AA673">
        <f>IF(OR($Q673="",$Z673=""),"",IF(AND($Z673&gt;0,$Z673&gt;=$Q673),"yes","below the line"))</f>
        <v/>
      </c>
      <c r="AB673">
        <f>IF($V673,IF($M673="","",$M673),IF($K673="","",$K673))</f>
        <v/>
      </c>
      <c r="AC673">
        <f>IF($V673,IF($N673="","",$N673),IF($L673="","",$L673))</f>
        <v/>
      </c>
      <c r="AD673">
        <f>IF($Y673="","",IF($Y673="in line",IF(profit_kind="test",IF(ROUND($AB673*100,2)=0,"0.00",TEXT($AB673*100,"+0.00;-0.00"))&amp;" points against "&amp;IF($V673,"its band","the book")&amp;", "&amp;IF($AC673="","not tested","not significant"),IF(profit_kind="points","within "&amp;TEXT(profit_line*100,"0.00")&amp;" points of "&amp;IF($V673,"its band","the book")&amp;" ("&amp;IF(ROUND($AB673*100,2)=0,"0.00",TEXT($AB673*100,"+0.00;-0.00"))&amp;")","within $"&amp;TEXT(profit_line,"#,##0")&amp;" of "&amp;IF($V673,"its band","the book")&amp;" ("&amp;IF(ROUND($AB673*100,2)=0,"0.00",TEXT($AB673*100,"+0.00;-0.00"))&amp;" points)")),IF(LEFT($Y673,5)="worse","short of ","ahead of ")&amp;IF($V673,"its band","the book")&amp;" by "&amp;TEXT(ABS($AB673)*100,"0.00")&amp;" points"&amp;IF($Z673="",""," ($"&amp;TEXT(ABS($Z673),"#,##0")&amp;")")&amp;IF(RIGHT($Y673,15)="not significant"," (not significant)","")))</f>
        <v/>
      </c>
      <c r="AE673">
        <f>IF($V673,IF($S673="","",$S673),IF($R673="","",$R673))</f>
        <v/>
      </c>
      <c r="AF673">
        <f>IF($V673,IF($U673="","",$U673),IF($T673="","",$T673))</f>
        <v/>
      </c>
      <c r="AG673">
        <f>IF($V673,IF($O673="","",$O673),IF($P673="","",$P673))</f>
        <v/>
      </c>
      <c r="AH673" t="n">
        <v>0.2211349654767817</v>
      </c>
      <c r="AI673">
        <f>IF($Y673="worse","Yes",IF($Y673="worse, not significant","Not sure",IF(OR($Y673="too few losses to test",$Y673="too few loans to test"),"Too few losses",IF($Y673="","","No"))))</f>
        <v/>
      </c>
      <c r="AJ673">
        <f>IF($AA673="yes","Yes",IF($AA673="","","No"))</f>
        <v/>
      </c>
    </row>
    <row r="674">
      <c r="A674" t="inlineStr">
        <is>
          <t>three-way</t>
        </is>
      </c>
      <c r="B674" t="inlineStr">
        <is>
          <t>FICO x ASSET_CLASS / SYS_FLAG</t>
        </is>
      </c>
      <c r="C674" t="inlineStr">
        <is>
          <t>496 - 653</t>
        </is>
      </c>
      <c r="D674" t="inlineStr">
        <is>
          <t>3 / SYS_FLAG N</t>
        </is>
      </c>
      <c r="E674" t="inlineStr">
        <is>
          <t>outcome_loans</t>
        </is>
      </c>
      <c r="F674" t="inlineStr">
        <is>
          <t>Outcome, share of loans</t>
        </is>
      </c>
      <c r="G674" t="n">
        <v>184</v>
      </c>
      <c r="H674" t="n">
        <v>184</v>
      </c>
      <c r="I674" t="b">
        <v>0</v>
      </c>
      <c r="J674" t="b">
        <v>0</v>
      </c>
      <c r="K674" t="n">
        <v>1.565162770373607</v>
      </c>
      <c r="L674" t="n">
        <v>0.1124737656379982</v>
      </c>
      <c r="M674" t="n">
        <v>0.7732260049220673</v>
      </c>
      <c r="N674" t="n">
        <v>0.458464728625219</v>
      </c>
      <c r="O674" t="n">
        <v>7.943953934740883</v>
      </c>
      <c r="P674" t="n">
        <v>-6.452224653537566</v>
      </c>
      <c r="Q674">
        <f>'_live'!$C$20</f>
        <v/>
      </c>
      <c r="R674" t="inlineStr">
        <is>
          <t>z test</t>
        </is>
      </c>
      <c r="S674" t="inlineStr">
        <is>
          <t>z test</t>
        </is>
      </c>
      <c r="T674" t="n">
        <v>0.0763915547024952</v>
      </c>
      <c r="U674" t="n">
        <v>0.1546316557257476</v>
      </c>
      <c r="V674">
        <f>AND(judged_band,NOT($J674))</f>
        <v/>
      </c>
      <c r="W674">
        <f>IF($K674="","",IF($I674,"too few losses to test",IF(AND($K674&gt;better_at,$K674&lt;worse_at),"in line",IF($K674&gt;=worse_at,IF(AND(ISNUMBER($L674),$L674&lt;significance_bar),"worse","worse, not significant"),IF(AND(ISNUMBER($L674),$L674&lt;significance_bar),"better","better, not significant")))))</f>
        <v/>
      </c>
      <c r="X674">
        <f>IF($M674="","",IF($I674,"too few losses to test",IF(AND($M674&gt;better_at,$M674&lt;worse_at),"in line",IF($M674&gt;=worse_at,IF(AND(ISNUMBER($N674),$N674&lt;significance_bar),"worse","worse, not significant"),IF(AND(ISNUMBER($N674),$N674&lt;significance_bar),"better","better, not significant")))))</f>
        <v/>
      </c>
      <c r="Y674">
        <f>IF($V674,$X674,$W674)</f>
        <v/>
      </c>
      <c r="Z674">
        <f>IF($V674,IF($P674="","",$P674),IF($O674="","",$O674))</f>
        <v/>
      </c>
      <c r="AA674">
        <f>IF(OR($Q674="",$Z674=""),"",IF(AND($Z674&gt;0,$Z674&gt;=$Q674),"yes","below the line"))</f>
        <v/>
      </c>
      <c r="AB674">
        <f>IF($V674,IF($M674="","",$M674),IF($K674="","",$K674))</f>
        <v/>
      </c>
      <c r="AC674">
        <f>IF($V674,IF($N674="","",$N674),IF($L674="","",$L674))</f>
        <v/>
      </c>
      <c r="AD674">
        <f>$Y674</f>
        <v/>
      </c>
      <c r="AE674">
        <f>IF($V674,IF($S674="","",$S674),IF($R674="","",$R674))</f>
        <v/>
      </c>
      <c r="AF674">
        <f>IF($V674,IF($U674="","",$U674),IF($T674="","",$T674))</f>
        <v/>
      </c>
      <c r="AG674">
        <f>IF($V674,IF($O674="","",$O674),IF($P674="","",$P674))</f>
        <v/>
      </c>
      <c r="AH674" t="n">
        <v>0.1195652173913044</v>
      </c>
      <c r="AI674">
        <f>IF($Y674="worse","Yes",IF($Y674="worse, not significant","Not sure",IF(OR($Y674="too few losses to test",$Y674="too few loans to test"),"Too few losses",IF($Y674="","","No"))))</f>
        <v/>
      </c>
      <c r="AJ674">
        <f>IF($AA674="yes","Yes",IF($AA674="","","No"))</f>
        <v/>
      </c>
    </row>
    <row r="675">
      <c r="A675" t="inlineStr">
        <is>
          <t>three-way</t>
        </is>
      </c>
      <c r="B675" t="inlineStr">
        <is>
          <t>FICO x ASSET_CLASS / SYS_FLAG</t>
        </is>
      </c>
      <c r="C675" t="inlineStr">
        <is>
          <t>496 - 653</t>
        </is>
      </c>
      <c r="D675" t="inlineStr">
        <is>
          <t>3 / SYS_FLAG N</t>
        </is>
      </c>
      <c r="E675" t="inlineStr">
        <is>
          <t>outcome_booked</t>
        </is>
      </c>
      <c r="F675" t="inlineStr">
        <is>
          <t>Outcome, share of booked dollars</t>
        </is>
      </c>
      <c r="G675" t="n">
        <v>184</v>
      </c>
      <c r="H675" t="n">
        <v>6326090.790000003</v>
      </c>
      <c r="I675" t="b">
        <v>0</v>
      </c>
      <c r="J675" t="b">
        <v>0</v>
      </c>
      <c r="K675" t="n">
        <v>1.454057995961855</v>
      </c>
      <c r="L675" t="n">
        <v>0.3267006632670066</v>
      </c>
      <c r="M675" t="n">
        <v>0.6938454510545362</v>
      </c>
      <c r="N675" t="n">
        <v>0.3622304436223044</v>
      </c>
      <c r="O675" t="n">
        <v>212572.9807024834</v>
      </c>
      <c r="P675" t="n">
        <v>-300369.9170360903</v>
      </c>
      <c r="Q675">
        <f>'_live'!$C$21</f>
        <v/>
      </c>
      <c r="R675" t="inlineStr">
        <is>
          <t>shuffled: 1,130 of 10,000</t>
        </is>
      </c>
      <c r="S675" t="inlineStr">
        <is>
          <t>shuffled: 1,253 of 10,000</t>
        </is>
      </c>
      <c r="T675" t="n">
        <v>0.07400504274101896</v>
      </c>
      <c r="U675" t="n">
        <v>0.1550887506368036</v>
      </c>
      <c r="V675">
        <f>AND(judged_band,NOT($J675))</f>
        <v/>
      </c>
      <c r="W675">
        <f>IF($K675="","",IF($I675,"too few losses to test",IF(AND($K675&gt;better_at,$K675&lt;worse_at),"in line",IF($K675&gt;=worse_at,IF(AND(ISNUMBER($L675),$L675&lt;significance_bar),"worse","worse, not significant"),IF(AND(ISNUMBER($L675),$L675&lt;significance_bar),"better","better, not significant")))))</f>
        <v/>
      </c>
      <c r="X675">
        <f>IF($M675="","",IF($I675,"too few losses to test",IF(AND($M675&gt;better_at,$M675&lt;worse_at),"in line",IF($M675&gt;=worse_at,IF(AND(ISNUMBER($N675),$N675&lt;significance_bar),"worse","worse, not significant"),IF(AND(ISNUMBER($N675),$N675&lt;significance_bar),"better","better, not significant")))))</f>
        <v/>
      </c>
      <c r="Y675">
        <f>IF($V675,$X675,$W675)</f>
        <v/>
      </c>
      <c r="Z675">
        <f>IF($V675,IF($P675="","",$P675),IF($O675="","",$O675))</f>
        <v/>
      </c>
      <c r="AA675">
        <f>IF(OR($Q675="",$Z675=""),"",IF(AND($Z675&gt;0,$Z675&gt;=$Q675),"yes","below the line"))</f>
        <v/>
      </c>
      <c r="AB675">
        <f>IF($V675,IF($M675="","",$M675),IF($K675="","",$K675))</f>
        <v/>
      </c>
      <c r="AC675">
        <f>IF($V675,IF($N675="","",$N675),IF($L675="","",$L675))</f>
        <v/>
      </c>
      <c r="AD675">
        <f>$Y675</f>
        <v/>
      </c>
      <c r="AE675">
        <f>IF($V675,IF($S675="","",$S675),IF($R675="","",$R675))</f>
        <v/>
      </c>
      <c r="AF675">
        <f>IF($V675,IF($U675="","",$U675),IF($T675="","",$T675))</f>
        <v/>
      </c>
      <c r="AG675">
        <f>IF($V675,IF($O675="","",$O675),IF($P675="","",$P675))</f>
        <v/>
      </c>
      <c r="AH675" t="n">
        <v>0.1076076241390775</v>
      </c>
      <c r="AI675">
        <f>IF($Y675="worse","Yes",IF($Y675="worse, not significant","Not sure",IF(OR($Y675="too few losses to test",$Y675="too few loans to test"),"Too few losses",IF($Y675="","","No"))))</f>
        <v/>
      </c>
      <c r="AJ675">
        <f>IF($AA675="yes","Yes",IF($AA675="","","No"))</f>
        <v/>
      </c>
    </row>
    <row r="676">
      <c r="A676" t="inlineStr">
        <is>
          <t>three-way</t>
        </is>
      </c>
      <c r="B676" t="inlineStr">
        <is>
          <t>FICO x ASSET_CLASS / SYS_FLAG</t>
        </is>
      </c>
      <c r="C676" t="inlineStr">
        <is>
          <t>496 - 653</t>
        </is>
      </c>
      <c r="D676" t="inlineStr">
        <is>
          <t>3 / SYS_FLAG N</t>
        </is>
      </c>
      <c r="E676" t="inlineStr">
        <is>
          <t>gco_rate</t>
        </is>
      </c>
      <c r="F676" t="inlineStr">
        <is>
          <t>GCO per booked dollar</t>
        </is>
      </c>
      <c r="G676" t="n">
        <v>184</v>
      </c>
      <c r="H676" t="n">
        <v>6326090.790000003</v>
      </c>
      <c r="I676" t="b">
        <v>0</v>
      </c>
      <c r="J676" t="b">
        <v>0</v>
      </c>
      <c r="K676" t="n">
        <v>1.484548022719975</v>
      </c>
      <c r="L676" t="n">
        <v>0.2995478229954782</v>
      </c>
      <c r="M676" t="n">
        <v>0.7044878453041398</v>
      </c>
      <c r="N676" t="n">
        <v>0.4351964803519648</v>
      </c>
      <c r="O676" t="n">
        <v>126035.147700514</v>
      </c>
      <c r="P676" t="n">
        <v>-161976.1021945646</v>
      </c>
      <c r="Q676">
        <f>'_live'!$C$22</f>
        <v/>
      </c>
      <c r="R676" t="inlineStr">
        <is>
          <t>shuffled: 1,018 of 10,000</t>
        </is>
      </c>
      <c r="S676" t="inlineStr">
        <is>
          <t>shuffled: 1,510 of 10,000</t>
        </is>
      </c>
      <c r="T676" t="n">
        <v>0.04111681146129833</v>
      </c>
      <c r="U676" t="n">
        <v>0.08664433540236374</v>
      </c>
      <c r="V676">
        <f>AND(judged_band,NOT($J676))</f>
        <v/>
      </c>
      <c r="W676">
        <f>IF($K676="","",IF($I676,"too few losses to test",IF(AND($K676&gt;better_at,$K676&lt;worse_at),"in line",IF($K676&gt;=worse_at,IF(AND(ISNUMBER($L676),$L676&lt;significance_bar),"worse","worse, not significant"),IF(AND(ISNUMBER($L676),$L676&lt;significance_bar),"better","better, not significant")))))</f>
        <v/>
      </c>
      <c r="X676">
        <f>IF($M676="","",IF($I676,"too few losses to test",IF(AND($M676&gt;better_at,$M676&lt;worse_at),"in line",IF($M676&gt;=worse_at,IF(AND(ISNUMBER($N676),$N676&lt;significance_bar),"worse","worse, not significant"),IF(AND(ISNUMBER($N676),$N676&lt;significance_bar),"better","better, not significant")))))</f>
        <v/>
      </c>
      <c r="Y676">
        <f>IF($V676,$X676,$W676)</f>
        <v/>
      </c>
      <c r="Z676">
        <f>IF($V676,IF($P676="","",$P676),IF($O676="","",$O676))</f>
        <v/>
      </c>
      <c r="AA676">
        <f>IF(OR($Q676="",$Z676=""),"",IF(AND($Z676&gt;0,$Z676&gt;=$Q676),"yes","below the line"))</f>
        <v/>
      </c>
      <c r="AB676">
        <f>IF($V676,IF($M676="","",$M676),IF($K676="","",$K676))</f>
        <v/>
      </c>
      <c r="AC676">
        <f>IF($V676,IF($N676="","",$N676),IF($L676="","",$L676))</f>
        <v/>
      </c>
      <c r="AD676">
        <f>$Y676</f>
        <v/>
      </c>
      <c r="AE676">
        <f>IF($V676,IF($S676="","",$S676),IF($R676="","",$R676))</f>
        <v/>
      </c>
      <c r="AF676">
        <f>IF($V676,IF($U676="","",$U676),IF($T676="","",$T676))</f>
        <v/>
      </c>
      <c r="AG676">
        <f>IF($V676,IF($O676="","",$O676),IF($P676="","",$P676))</f>
        <v/>
      </c>
      <c r="AH676" t="n">
        <v>0.06103988115542043</v>
      </c>
      <c r="AI676">
        <f>IF($Y676="worse","Yes",IF($Y676="worse, not significant","Not sure",IF(OR($Y676="too few losses to test",$Y676="too few loans to test"),"Too few losses",IF($Y676="","","No"))))</f>
        <v/>
      </c>
      <c r="AJ676">
        <f>IF($AA676="yes","Yes",IF($AA676="","","No"))</f>
        <v/>
      </c>
    </row>
    <row r="677">
      <c r="A677" t="inlineStr">
        <is>
          <t>three-way</t>
        </is>
      </c>
      <c r="B677" t="inlineStr">
        <is>
          <t>FICO x ASSET_CLASS / SYS_FLAG</t>
        </is>
      </c>
      <c r="C677" t="inlineStr">
        <is>
          <t>496 - 653</t>
        </is>
      </c>
      <c r="D677" t="inlineStr">
        <is>
          <t>3 / SYS_FLAG N</t>
        </is>
      </c>
      <c r="E677" t="inlineStr">
        <is>
          <t>ranr_rate</t>
        </is>
      </c>
      <c r="F677" t="inlineStr">
        <is>
          <t>Profit after losses: RANR per booked dollar</t>
        </is>
      </c>
      <c r="G677" t="n">
        <v>184</v>
      </c>
      <c r="H677" t="n">
        <v>6326090.790000003</v>
      </c>
      <c r="I677" t="b">
        <v>0</v>
      </c>
      <c r="J677" t="b">
        <v>0</v>
      </c>
      <c r="K677" t="n">
        <v>0.07867581087637532</v>
      </c>
      <c r="L677" t="n">
        <v>0.0003768853883842385</v>
      </c>
      <c r="M677" t="n">
        <v>0.01663978629456031</v>
      </c>
      <c r="N677" t="n">
        <v>0.7878323278783234</v>
      </c>
      <c r="O677" t="n">
        <v>-497710.3225808198</v>
      </c>
      <c r="P677" t="n">
        <v>-105264.7988255862</v>
      </c>
      <c r="Q677">
        <f>'_live'!$C$23</f>
        <v/>
      </c>
      <c r="R677" t="inlineStr">
        <is>
          <t>shuffled: 0 of 10,000</t>
        </is>
      </c>
      <c r="S677" t="inlineStr">
        <is>
          <t>shuffled: 4,363 of 10,000</t>
        </is>
      </c>
      <c r="T677" t="n">
        <v>0.1260614515175461</v>
      </c>
      <c r="U677" t="n">
        <v>0.1880974760993611</v>
      </c>
      <c r="V677">
        <f>AND(judged_band,NOT($J677))</f>
        <v/>
      </c>
      <c r="W677">
        <f>IF($K677="","",IF(profit_kind="test",IF(OR(NOT(AND(ISNUMBER($L677),$L677&lt;significance_bar)),$K677=0),"in line",IF($K677&lt;0,"worse","better")),IF(OR($K677=0,IF(profit_kind="points",ABS($K677),ABS($K677*$H677))&lt;profit_line*(1-1E-9)),"in line",IF(AND(ISNUMBER($L677),$L677&lt;significance_bar),IF($K677&lt;0,"worse","better"),IF($K677&lt;0,"worse, not significant","better, not significant")))))</f>
        <v/>
      </c>
      <c r="X677">
        <f>IF($M677="","",IF(profit_kind="test",IF(OR(NOT(AND(ISNUMBER($N677),$N677&lt;significance_bar)),$M677=0),"in line",IF($M677&lt;0,"worse","better")),IF(OR($M677=0,IF(profit_kind="points",ABS($M677),ABS($M677*$H677))&lt;profit_line*(1-1E-9)),"in line",IF(AND(ISNUMBER($N677),$N677&lt;significance_bar),IF($M677&lt;0,"worse","better"),IF($M677&lt;0,"worse, not significant","better, not significant")))))</f>
        <v/>
      </c>
      <c r="Y677">
        <f>IF($V677,$X677,$W677)</f>
        <v/>
      </c>
      <c r="Z677">
        <f>IF($V677,IF($P677="","",$P677),IF($O677="","",$O677))</f>
        <v/>
      </c>
      <c r="AA677">
        <f>IF(OR($Q677="",$Z677=""),"",IF(AND($Z677&gt;0,$Z677&gt;=$Q677),"yes","below the line"))</f>
        <v/>
      </c>
      <c r="AB677">
        <f>IF($V677,IF($M677="","",$M677),IF($K677="","",$K677))</f>
        <v/>
      </c>
      <c r="AC677">
        <f>IF($V677,IF($N677="","",$N677),IF($L677="","",$L677))</f>
        <v/>
      </c>
      <c r="AD677">
        <f>IF($Y677="","",IF($Y677="in line",IF(profit_kind="test",IF(ROUND($AB677*100,2)=0,"0.00",TEXT($AB677*100,"+0.00;-0.00"))&amp;" points against "&amp;IF($V677,"its band","the book")&amp;", "&amp;IF($AC677="","not tested","not significant"),IF(profit_kind="points","within "&amp;TEXT(profit_line*100,"0.00")&amp;" points of "&amp;IF($V677,"its band","the book")&amp;" ("&amp;IF(ROUND($AB677*100,2)=0,"0.00",TEXT($AB677*100,"+0.00;-0.00"))&amp;")","within $"&amp;TEXT(profit_line,"#,##0")&amp;" of "&amp;IF($V677,"its band","the book")&amp;" ("&amp;IF(ROUND($AB677*100,2)=0,"0.00",TEXT($AB677*100,"+0.00;-0.00"))&amp;" points)")),IF(LEFT($Y677,5)="worse","short of ","ahead of ")&amp;IF($V677,"its band","the book")&amp;" by "&amp;TEXT(ABS($AB677)*100,"0.00")&amp;" points"&amp;IF($Z677="",""," ($"&amp;TEXT(ABS($Z677),"#,##0")&amp;")")&amp;IF(RIGHT($Y677,15)="not significant"," (not significant)","")))</f>
        <v/>
      </c>
      <c r="AE677">
        <f>IF($V677,IF($S677="","",$S677),IF($R677="","",$R677))</f>
        <v/>
      </c>
      <c r="AF677">
        <f>IF($V677,IF($U677="","",$U677),IF($T677="","",$T677))</f>
        <v/>
      </c>
      <c r="AG677">
        <f>IF($V677,IF($O677="","",$O677),IF($P677="","",$P677))</f>
        <v/>
      </c>
      <c r="AH677" t="n">
        <v>0.2047372623939214</v>
      </c>
      <c r="AI677">
        <f>IF($Y677="worse","Yes",IF($Y677="worse, not significant","Not sure",IF(OR($Y677="too few losses to test",$Y677="too few loans to test"),"Too few losses",IF($Y677="","","No"))))</f>
        <v/>
      </c>
      <c r="AJ677">
        <f>IF($AA677="yes","Yes",IF($AA677="","","No"))</f>
        <v/>
      </c>
    </row>
    <row r="678">
      <c r="A678" t="inlineStr">
        <is>
          <t>three-way</t>
        </is>
      </c>
      <c r="B678" t="inlineStr">
        <is>
          <t>FICO x ASSET_CLASS / SYS_FLAG</t>
        </is>
      </c>
      <c r="C678" t="inlineStr">
        <is>
          <t>496 - 653</t>
        </is>
      </c>
      <c r="D678" t="inlineStr">
        <is>
          <t>3 / SYS_FLAG N</t>
        </is>
      </c>
      <c r="E678" t="inlineStr">
        <is>
          <t>contribution_rate</t>
        </is>
      </c>
      <c r="F678" t="inlineStr">
        <is>
          <t>Contribution before losses per booked dollar</t>
        </is>
      </c>
      <c r="G678" t="n">
        <v>184</v>
      </c>
      <c r="H678" t="n">
        <v>6326090.790000003</v>
      </c>
      <c r="I678" t="b">
        <v>0</v>
      </c>
      <c r="J678" t="b">
        <v>0</v>
      </c>
      <c r="K678" t="n">
        <v>0.0986021157493257</v>
      </c>
      <c r="L678" t="n">
        <v>0.0001814633351479667</v>
      </c>
      <c r="M678" t="n">
        <v>-0.008964667952382932</v>
      </c>
      <c r="N678" t="n">
        <v>0.937752378608293</v>
      </c>
      <c r="O678" t="n">
        <v>-623765.9363163235</v>
      </c>
      <c r="P678" t="n">
        <v>56711.30336897797</v>
      </c>
      <c r="Q678">
        <f>'_live'!$C$24</f>
        <v/>
      </c>
      <c r="R678" t="inlineStr">
        <is>
          <t>shuffled: 0 of 10,000</t>
        </is>
      </c>
      <c r="S678" t="inlineStr">
        <is>
          <t>shuffled: 4,728 of 10,000</t>
        </is>
      </c>
      <c r="T678" t="n">
        <v>0.1671750278000163</v>
      </c>
      <c r="U678" t="n">
        <v>0.2747418115017249</v>
      </c>
      <c r="V678">
        <f>AND(judged_band,NOT($J678))</f>
        <v/>
      </c>
      <c r="W678">
        <f>IF($K678="","",IF(profit_kind="test",IF(OR(NOT(AND(ISNUMBER($L678),$L678&lt;significance_bar)),$K678=0),"in line",IF($K678&lt;0,"worse","better")),IF(OR($K678=0,IF(profit_kind="points",ABS($K678),ABS($K678*$H678))&lt;profit_line*(1-1E-9)),"in line",IF(AND(ISNUMBER($L678),$L678&lt;significance_bar),IF($K678&lt;0,"worse","better"),IF($K678&lt;0,"worse, not significant","better, not significant")))))</f>
        <v/>
      </c>
      <c r="X678">
        <f>IF($M678="","",IF(profit_kind="test",IF(OR(NOT(AND(ISNUMBER($N678),$N678&lt;significance_bar)),$M678=0),"in line",IF($M678&lt;0,"worse","better")),IF(OR($M678=0,IF(profit_kind="points",ABS($M678),ABS($M678*$H678))&lt;profit_line*(1-1E-9)),"in line",IF(AND(ISNUMBER($N678),$N678&lt;significance_bar),IF($M678&lt;0,"worse","better"),IF($M678&lt;0,"worse, not significant","better, not significant")))))</f>
        <v/>
      </c>
      <c r="Y678">
        <f>IF($V678,$X678,$W678)</f>
        <v/>
      </c>
      <c r="Z678">
        <f>IF($V678,IF($P678="","",$P678),IF($O678="","",$O678))</f>
        <v/>
      </c>
      <c r="AA678">
        <f>IF(OR($Q678="",$Z678=""),"",IF(AND($Z678&gt;0,$Z678&gt;=$Q678),"yes","below the line"))</f>
        <v/>
      </c>
      <c r="AB678">
        <f>IF($V678,IF($M678="","",$M678),IF($K678="","",$K678))</f>
        <v/>
      </c>
      <c r="AC678">
        <f>IF($V678,IF($N678="","",$N678),IF($L678="","",$L678))</f>
        <v/>
      </c>
      <c r="AD678">
        <f>IF($Y678="","",IF($Y678="in line",IF(profit_kind="test",IF(ROUND($AB678*100,2)=0,"0.00",TEXT($AB678*100,"+0.00;-0.00"))&amp;" points against "&amp;IF($V678,"its band","the book")&amp;", "&amp;IF($AC678="","not tested","not significant"),IF(profit_kind="points","within "&amp;TEXT(profit_line*100,"0.00")&amp;" points of "&amp;IF($V678,"its band","the book")&amp;" ("&amp;IF(ROUND($AB678*100,2)=0,"0.00",TEXT($AB678*100,"+0.00;-0.00"))&amp;")","within $"&amp;TEXT(profit_line,"#,##0")&amp;" of "&amp;IF($V678,"its band","the book")&amp;" ("&amp;IF(ROUND($AB678*100,2)=0,"0.00",TEXT($AB678*100,"+0.00;-0.00"))&amp;" points)")),IF(LEFT($Y678,5)="worse","short of ","ahead of ")&amp;IF($V678,"its band","the book")&amp;" by "&amp;TEXT(ABS($AB678)*100,"0.00")&amp;" points"&amp;IF($Z678="",""," ($"&amp;TEXT(ABS($Z678),"#,##0")&amp;")")&amp;IF(RIGHT($Y678,15)="not significant"," (not significant)","")))</f>
        <v/>
      </c>
      <c r="AE678">
        <f>IF($V678,IF($S678="","",$S678),IF($R678="","",$R678))</f>
        <v/>
      </c>
      <c r="AF678">
        <f>IF($V678,IF($U678="","",$U678),IF($T678="","",$T678))</f>
        <v/>
      </c>
      <c r="AG678">
        <f>IF($V678,IF($O678="","",$O678),IF($P678="","",$P678))</f>
        <v/>
      </c>
      <c r="AH678" t="n">
        <v>0.265777143549342</v>
      </c>
      <c r="AI678">
        <f>IF($Y678="worse","Yes",IF($Y678="worse, not significant","Not sure",IF(OR($Y678="too few losses to test",$Y678="too few loans to test"),"Too few losses",IF($Y678="","","No"))))</f>
        <v/>
      </c>
      <c r="AJ678">
        <f>IF($AA678="yes","Yes",IF($AA678="","","No"))</f>
        <v/>
      </c>
    </row>
    <row r="679">
      <c r="A679" t="inlineStr">
        <is>
          <t>three-way</t>
        </is>
      </c>
      <c r="B679" t="inlineStr">
        <is>
          <t>FICO x ASSET_CLASS / SYS_FLAG</t>
        </is>
      </c>
      <c r="C679" t="inlineStr">
        <is>
          <t>654 - 685</t>
        </is>
      </c>
      <c r="D679" t="inlineStr">
        <is>
          <t>3 / SYS_FLAG N</t>
        </is>
      </c>
      <c r="E679" t="inlineStr">
        <is>
          <t>outcome_loans</t>
        </is>
      </c>
      <c r="F679" t="inlineStr">
        <is>
          <t>Outcome, share of loans</t>
        </is>
      </c>
      <c r="G679" t="n">
        <v>184</v>
      </c>
      <c r="H679" t="n">
        <v>184</v>
      </c>
      <c r="I679" t="b">
        <v>0</v>
      </c>
      <c r="J679" t="b">
        <v>0</v>
      </c>
      <c r="K679" t="n">
        <v>0.9111332328885062</v>
      </c>
      <c r="L679" t="n">
        <v>0.7902998122101369</v>
      </c>
      <c r="M679" t="n">
        <v>0.8182367149758454</v>
      </c>
      <c r="N679" t="n">
        <v>0.6825786161040511</v>
      </c>
      <c r="O679" t="n">
        <v>-1.267946257197696</v>
      </c>
      <c r="P679" t="n">
        <v>-2.887822878228782</v>
      </c>
      <c r="Q679">
        <f>'_live'!$C$20</f>
        <v/>
      </c>
      <c r="R679" t="inlineStr">
        <is>
          <t>z test</t>
        </is>
      </c>
      <c r="S679" t="inlineStr">
        <is>
          <t>z test</t>
        </is>
      </c>
      <c r="T679" t="n">
        <v>0.07754318618042226</v>
      </c>
      <c r="U679" t="n">
        <v>0.08634686346863468</v>
      </c>
      <c r="V679">
        <f>AND(judged_band,NOT($J679))</f>
        <v/>
      </c>
      <c r="W679">
        <f>IF($K679="","",IF($I679,"too few losses to test",IF(AND($K679&gt;better_at,$K679&lt;worse_at),"in line",IF($K679&gt;=worse_at,IF(AND(ISNUMBER($L679),$L679&lt;significance_bar),"worse","worse, not significant"),IF(AND(ISNUMBER($L679),$L679&lt;significance_bar),"better","better, not significant")))))</f>
        <v/>
      </c>
      <c r="X679">
        <f>IF($M679="","",IF($I679,"too few losses to test",IF(AND($M679&gt;better_at,$M679&lt;worse_at),"in line",IF($M679&gt;=worse_at,IF(AND(ISNUMBER($N679),$N679&lt;significance_bar),"worse","worse, not significant"),IF(AND(ISNUMBER($N679),$N679&lt;significance_bar),"better","better, not significant")))))</f>
        <v/>
      </c>
      <c r="Y679">
        <f>IF($V679,$X679,$W679)</f>
        <v/>
      </c>
      <c r="Z679">
        <f>IF($V679,IF($P679="","",$P679),IF($O679="","",$O679))</f>
        <v/>
      </c>
      <c r="AA679">
        <f>IF(OR($Q679="",$Z679=""),"",IF(AND($Z679&gt;0,$Z679&gt;=$Q679),"yes","below the line"))</f>
        <v/>
      </c>
      <c r="AB679">
        <f>IF($V679,IF($M679="","",$M679),IF($K679="","",$K679))</f>
        <v/>
      </c>
      <c r="AC679">
        <f>IF($V679,IF($N679="","",$N679),IF($L679="","",$L679))</f>
        <v/>
      </c>
      <c r="AD679">
        <f>$Y679</f>
        <v/>
      </c>
      <c r="AE679">
        <f>IF($V679,IF($S679="","",$S679),IF($R679="","",$R679))</f>
        <v/>
      </c>
      <c r="AF679">
        <f>IF($V679,IF($U679="","",$U679),IF($T679="","",$T679))</f>
        <v/>
      </c>
      <c r="AG679">
        <f>IF($V679,IF($O679="","",$O679),IF($P679="","",$P679))</f>
        <v/>
      </c>
      <c r="AH679" t="n">
        <v>0.07065217391304347</v>
      </c>
      <c r="AI679">
        <f>IF($Y679="worse","Yes",IF($Y679="worse, not significant","Not sure",IF(OR($Y679="too few losses to test",$Y679="too few loans to test"),"Too few losses",IF($Y679="","","No"))))</f>
        <v/>
      </c>
      <c r="AJ679">
        <f>IF($AA679="yes","Yes",IF($AA679="","","No"))</f>
        <v/>
      </c>
    </row>
    <row r="680">
      <c r="A680" t="inlineStr">
        <is>
          <t>three-way</t>
        </is>
      </c>
      <c r="B680" t="inlineStr">
        <is>
          <t>FICO x ASSET_CLASS / SYS_FLAG</t>
        </is>
      </c>
      <c r="C680" t="inlineStr">
        <is>
          <t>654 - 685</t>
        </is>
      </c>
      <c r="D680" t="inlineStr">
        <is>
          <t>3 / SYS_FLAG N</t>
        </is>
      </c>
      <c r="E680" t="inlineStr">
        <is>
          <t>outcome_booked</t>
        </is>
      </c>
      <c r="F680" t="inlineStr">
        <is>
          <t>Outcome, share of booked dollars</t>
        </is>
      </c>
      <c r="G680" t="n">
        <v>184</v>
      </c>
      <c r="H680" t="n">
        <v>5977387.739999998</v>
      </c>
      <c r="I680" t="b">
        <v>0</v>
      </c>
      <c r="J680" t="b">
        <v>0</v>
      </c>
      <c r="K680" t="n">
        <v>0.8443247401291436</v>
      </c>
      <c r="L680" t="n">
        <v>0.6905135573399181</v>
      </c>
      <c r="M680" t="n">
        <v>0.772099992364923</v>
      </c>
      <c r="N680" t="n">
        <v>0.6894185581441856</v>
      </c>
      <c r="O680" t="n">
        <v>-69882.62676609337</v>
      </c>
      <c r="P680" t="n">
        <v>-111874.19625566</v>
      </c>
      <c r="Q680">
        <f>'_live'!$C$21</f>
        <v/>
      </c>
      <c r="R680" t="inlineStr">
        <is>
          <t>shuffled: 5,909 of 10,000</t>
        </is>
      </c>
      <c r="S680" t="inlineStr">
        <is>
          <t>shuffled: 4,242 of 10,000</t>
        </is>
      </c>
      <c r="T680" t="n">
        <v>0.07509969844554429</v>
      </c>
      <c r="U680" t="n">
        <v>0.08212476881341817</v>
      </c>
      <c r="V680">
        <f>AND(judged_band,NOT($J680))</f>
        <v/>
      </c>
      <c r="W680">
        <f>IF($K680="","",IF($I680,"too few losses to test",IF(AND($K680&gt;better_at,$K680&lt;worse_at),"in line",IF($K680&gt;=worse_at,IF(AND(ISNUMBER($L680),$L680&lt;significance_bar),"worse","worse, not significant"),IF(AND(ISNUMBER($L680),$L680&lt;significance_bar),"better","better, not significant")))))</f>
        <v/>
      </c>
      <c r="X680">
        <f>IF($M680="","",IF($I680,"too few losses to test",IF(AND($M680&gt;better_at,$M680&lt;worse_at),"in line",IF($M680&gt;=worse_at,IF(AND(ISNUMBER($N680),$N680&lt;significance_bar),"worse","worse, not significant"),IF(AND(ISNUMBER($N680),$N680&lt;significance_bar),"better","better, not significant")))))</f>
        <v/>
      </c>
      <c r="Y680">
        <f>IF($V680,$X680,$W680)</f>
        <v/>
      </c>
      <c r="Z680">
        <f>IF($V680,IF($P680="","",$P680),IF($O680="","",$O680))</f>
        <v/>
      </c>
      <c r="AA680">
        <f>IF(OR($Q680="",$Z680=""),"",IF(AND($Z680&gt;0,$Z680&gt;=$Q680),"yes","below the line"))</f>
        <v/>
      </c>
      <c r="AB680">
        <f>IF($V680,IF($M680="","",$M680),IF($K680="","",$K680))</f>
        <v/>
      </c>
      <c r="AC680">
        <f>IF($V680,IF($N680="","",$N680),IF($L680="","",$L680))</f>
        <v/>
      </c>
      <c r="AD680">
        <f>$Y680</f>
        <v/>
      </c>
      <c r="AE680">
        <f>IF($V680,IF($S680="","",$S680),IF($R680="","",$R680))</f>
        <v/>
      </c>
      <c r="AF680">
        <f>IF($V680,IF($U680="","",$U680),IF($T680="","",$T680))</f>
        <v/>
      </c>
      <c r="AG680">
        <f>IF($V680,IF($O680="","",$O680),IF($P680="","",$P680))</f>
        <v/>
      </c>
      <c r="AH680" t="n">
        <v>0.06340853337381124</v>
      </c>
      <c r="AI680">
        <f>IF($Y680="worse","Yes",IF($Y680="worse, not significant","Not sure",IF(OR($Y680="too few losses to test",$Y680="too few loans to test"),"Too few losses",IF($Y680="","","No"))))</f>
        <v/>
      </c>
      <c r="AJ680">
        <f>IF($AA680="yes","Yes",IF($AA680="","","No"))</f>
        <v/>
      </c>
    </row>
    <row r="681">
      <c r="A681" t="inlineStr">
        <is>
          <t>three-way</t>
        </is>
      </c>
      <c r="B681" t="inlineStr">
        <is>
          <t>FICO x ASSET_CLASS / SYS_FLAG</t>
        </is>
      </c>
      <c r="C681" t="inlineStr">
        <is>
          <t>654 - 685</t>
        </is>
      </c>
      <c r="D681" t="inlineStr">
        <is>
          <t>3 / SYS_FLAG N</t>
        </is>
      </c>
      <c r="E681" t="inlineStr">
        <is>
          <t>gco_rate</t>
        </is>
      </c>
      <c r="F681" t="inlineStr">
        <is>
          <t>GCO per booked dollar</t>
        </is>
      </c>
      <c r="G681" t="n">
        <v>184</v>
      </c>
      <c r="H681" t="n">
        <v>5977387.739999998</v>
      </c>
      <c r="I681" t="b">
        <v>0</v>
      </c>
      <c r="J681" t="b">
        <v>0</v>
      </c>
      <c r="K681" t="n">
        <v>0.9751170990151057</v>
      </c>
      <c r="L681" t="n">
        <v>0.9747985201479853</v>
      </c>
      <c r="M681" t="n">
        <v>0.8853252333697138</v>
      </c>
      <c r="N681" t="n">
        <v>0.9513748625137486</v>
      </c>
      <c r="O681" t="n">
        <v>-6191.717698298453</v>
      </c>
      <c r="P681" t="n">
        <v>-31429.09894217912</v>
      </c>
      <c r="Q681">
        <f>'_live'!$C$22</f>
        <v/>
      </c>
      <c r="R681" t="inlineStr">
        <is>
          <t>shuffled: 9,373 of 10,000</t>
        </is>
      </c>
      <c r="S681" t="inlineStr">
        <is>
          <t>shuffled: 7,042 of 10,000</t>
        </is>
      </c>
      <c r="T681" t="n">
        <v>0.04162926156406553</v>
      </c>
      <c r="U681" t="n">
        <v>0.04585140380104892</v>
      </c>
      <c r="V681">
        <f>AND(judged_band,NOT($J681))</f>
        <v/>
      </c>
      <c r="W681">
        <f>IF($K681="","",IF($I681,"too few losses to test",IF(AND($K681&gt;better_at,$K681&lt;worse_at),"in line",IF($K681&gt;=worse_at,IF(AND(ISNUMBER($L681),$L681&lt;significance_bar),"worse","worse, not significant"),IF(AND(ISNUMBER($L681),$L681&lt;significance_bar),"better","better, not significant")))))</f>
        <v/>
      </c>
      <c r="X681">
        <f>IF($M681="","",IF($I681,"too few losses to test",IF(AND($M681&gt;better_at,$M681&lt;worse_at),"in line",IF($M681&gt;=worse_at,IF(AND(ISNUMBER($N681),$N681&lt;significance_bar),"worse","worse, not significant"),IF(AND(ISNUMBER($N681),$N681&lt;significance_bar),"better","better, not significant")))))</f>
        <v/>
      </c>
      <c r="Y681">
        <f>IF($V681,$X681,$W681)</f>
        <v/>
      </c>
      <c r="Z681">
        <f>IF($V681,IF($P681="","",$P681),IF($O681="","",$O681))</f>
        <v/>
      </c>
      <c r="AA681">
        <f>IF(OR($Q681="",$Z681=""),"",IF(AND($Z681&gt;0,$Z681&gt;=$Q681),"yes","below the line"))</f>
        <v/>
      </c>
      <c r="AB681">
        <f>IF($V681,IF($M681="","",$M681),IF($K681="","",$K681))</f>
        <v/>
      </c>
      <c r="AC681">
        <f>IF($V681,IF($N681="","",$N681),IF($L681="","",$L681))</f>
        <v/>
      </c>
      <c r="AD681">
        <f>$Y681</f>
        <v/>
      </c>
      <c r="AE681">
        <f>IF($V681,IF($S681="","",$S681),IF($R681="","",$R681))</f>
        <v/>
      </c>
      <c r="AF681">
        <f>IF($V681,IF($U681="","",$U681),IF($T681="","",$T681))</f>
        <v/>
      </c>
      <c r="AG681">
        <f>IF($V681,IF($O681="","",$O681),IF($P681="","",$P681))</f>
        <v/>
      </c>
      <c r="AH681" t="n">
        <v>0.04059340477049262</v>
      </c>
      <c r="AI681">
        <f>IF($Y681="worse","Yes",IF($Y681="worse, not significant","Not sure",IF(OR($Y681="too few losses to test",$Y681="too few loans to test"),"Too few losses",IF($Y681="","","No"))))</f>
        <v/>
      </c>
      <c r="AJ681">
        <f>IF($AA681="yes","Yes",IF($AA681="","","No"))</f>
        <v/>
      </c>
    </row>
    <row r="682">
      <c r="A682" t="inlineStr">
        <is>
          <t>three-way</t>
        </is>
      </c>
      <c r="B682" t="inlineStr">
        <is>
          <t>FICO x ASSET_CLASS / SYS_FLAG</t>
        </is>
      </c>
      <c r="C682" t="inlineStr">
        <is>
          <t>654 - 685</t>
        </is>
      </c>
      <c r="D682" t="inlineStr">
        <is>
          <t>3 / SYS_FLAG N</t>
        </is>
      </c>
      <c r="E682" t="inlineStr">
        <is>
          <t>ranr_rate</t>
        </is>
      </c>
      <c r="F682" t="inlineStr">
        <is>
          <t>Profit after losses: RANR per booked dollar</t>
        </is>
      </c>
      <c r="G682" t="n">
        <v>184</v>
      </c>
      <c r="H682" t="n">
        <v>5977387.739999998</v>
      </c>
      <c r="I682" t="b">
        <v>0</v>
      </c>
      <c r="J682" t="b">
        <v>0</v>
      </c>
      <c r="K682" t="n">
        <v>0.05461117302000998</v>
      </c>
      <c r="L682" t="n">
        <v>0.001224877512248775</v>
      </c>
      <c r="M682" t="n">
        <v>0.02077751894427801</v>
      </c>
      <c r="N682" t="n">
        <v>0.5190338109046239</v>
      </c>
      <c r="O682" t="n">
        <v>-326432.1560768264</v>
      </c>
      <c r="P682" t="n">
        <v>-124195.2870051451</v>
      </c>
      <c r="Q682">
        <f>'_live'!$C$23</f>
        <v/>
      </c>
      <c r="R682" t="inlineStr">
        <is>
          <t>shuffled: 3 of 10,000</t>
        </is>
      </c>
      <c r="S682" t="inlineStr">
        <is>
          <t>shuffled: 2,080 of 10,000</t>
        </is>
      </c>
      <c r="T682" t="n">
        <v>0.1267251443057922</v>
      </c>
      <c r="U682" t="n">
        <v>0.1605587983815242</v>
      </c>
      <c r="V682">
        <f>AND(judged_band,NOT($J682))</f>
        <v/>
      </c>
      <c r="W682">
        <f>IF($K682="","",IF(profit_kind="test",IF(OR(NOT(AND(ISNUMBER($L682),$L682&lt;significance_bar)),$K682=0),"in line",IF($K682&lt;0,"worse","better")),IF(OR($K682=0,IF(profit_kind="points",ABS($K682),ABS($K682*$H682))&lt;profit_line*(1-1E-9)),"in line",IF(AND(ISNUMBER($L682),$L682&lt;significance_bar),IF($K682&lt;0,"worse","better"),IF($K682&lt;0,"worse, not significant","better, not significant")))))</f>
        <v/>
      </c>
      <c r="X682">
        <f>IF($M682="","",IF(profit_kind="test",IF(OR(NOT(AND(ISNUMBER($N682),$N682&lt;significance_bar)),$M682=0),"in line",IF($M682&lt;0,"worse","better")),IF(OR($M682=0,IF(profit_kind="points",ABS($M682),ABS($M682*$H682))&lt;profit_line*(1-1E-9)),"in line",IF(AND(ISNUMBER($N682),$N682&lt;significance_bar),IF($M682&lt;0,"worse","better"),IF($M682&lt;0,"worse, not significant","better, not significant")))))</f>
        <v/>
      </c>
      <c r="Y682">
        <f>IF($V682,$X682,$W682)</f>
        <v/>
      </c>
      <c r="Z682">
        <f>IF($V682,IF($P682="","",$P682),IF($O682="","",$O682))</f>
        <v/>
      </c>
      <c r="AA682">
        <f>IF(OR($Q682="",$Z682=""),"",IF(AND($Z682&gt;0,$Z682&gt;=$Q682),"yes","below the line"))</f>
        <v/>
      </c>
      <c r="AB682">
        <f>IF($V682,IF($M682="","",$M682),IF($K682="","",$K682))</f>
        <v/>
      </c>
      <c r="AC682">
        <f>IF($V682,IF($N682="","",$N682),IF($L682="","",$L682))</f>
        <v/>
      </c>
      <c r="AD682">
        <f>IF($Y682="","",IF($Y682="in line",IF(profit_kind="test",IF(ROUND($AB682*100,2)=0,"0.00",TEXT($AB682*100,"+0.00;-0.00"))&amp;" points against "&amp;IF($V682,"its band","the book")&amp;", "&amp;IF($AC682="","not tested","not significant"),IF(profit_kind="points","within "&amp;TEXT(profit_line*100,"0.00")&amp;" points of "&amp;IF($V682,"its band","the book")&amp;" ("&amp;IF(ROUND($AB682*100,2)=0,"0.00",TEXT($AB682*100,"+0.00;-0.00"))&amp;")","within $"&amp;TEXT(profit_line,"#,##0")&amp;" of "&amp;IF($V682,"its band","the book")&amp;" ("&amp;IF(ROUND($AB682*100,2)=0,"0.00",TEXT($AB682*100,"+0.00;-0.00"))&amp;" points)")),IF(LEFT($Y682,5)="worse","short of ","ahead of ")&amp;IF($V682,"its band","the book")&amp;" by "&amp;TEXT(ABS($AB682)*100,"0.00")&amp;" points"&amp;IF($Z682="",""," ($"&amp;TEXT(ABS($Z682),"#,##0")&amp;")")&amp;IF(RIGHT($Y682,15)="not significant"," (not significant)","")))</f>
        <v/>
      </c>
      <c r="AE682">
        <f>IF($V682,IF($S682="","",$S682),IF($R682="","",$R682))</f>
        <v/>
      </c>
      <c r="AF682">
        <f>IF($V682,IF($U682="","",$U682),IF($T682="","",$T682))</f>
        <v/>
      </c>
      <c r="AG682">
        <f>IF($V682,IF($O682="","",$O682),IF($P682="","",$P682))</f>
        <v/>
      </c>
      <c r="AH682" t="n">
        <v>0.1813363173258022</v>
      </c>
      <c r="AI682">
        <f>IF($Y682="worse","Yes",IF($Y682="worse, not significant","Not sure",IF(OR($Y682="too few losses to test",$Y682="too few loans to test"),"Too few losses",IF($Y682="","","No"))))</f>
        <v/>
      </c>
      <c r="AJ682">
        <f>IF($AA682="yes","Yes",IF($AA682="","","No"))</f>
        <v/>
      </c>
    </row>
    <row r="683">
      <c r="A683" t="inlineStr">
        <is>
          <t>three-way</t>
        </is>
      </c>
      <c r="B683" t="inlineStr">
        <is>
          <t>FICO x ASSET_CLASS / SYS_FLAG</t>
        </is>
      </c>
      <c r="C683" t="inlineStr">
        <is>
          <t>654 - 685</t>
        </is>
      </c>
      <c r="D683" t="inlineStr">
        <is>
          <t>3 / SYS_FLAG N</t>
        </is>
      </c>
      <c r="E683" t="inlineStr">
        <is>
          <t>contribution_rate</t>
        </is>
      </c>
      <c r="F683" t="inlineStr">
        <is>
          <t>Contribution before losses per booked dollar</t>
        </is>
      </c>
      <c r="G683" t="n">
        <v>184</v>
      </c>
      <c r="H683" t="n">
        <v>5977387.739999998</v>
      </c>
      <c r="I683" t="b">
        <v>0</v>
      </c>
      <c r="J683" t="b">
        <v>0</v>
      </c>
      <c r="K683" t="n">
        <v>0.05357844243388241</v>
      </c>
      <c r="L683" t="n">
        <v>0.0001814633351479667</v>
      </c>
      <c r="M683" t="n">
        <v>0.01551951991372152</v>
      </c>
      <c r="N683" t="n">
        <v>0.5536900855369009</v>
      </c>
      <c r="O683" t="n">
        <v>-320259.1249325844</v>
      </c>
      <c r="P683" t="n">
        <v>-92766.18806296494</v>
      </c>
      <c r="Q683">
        <f>'_live'!$C$24</f>
        <v/>
      </c>
      <c r="R683" t="inlineStr">
        <is>
          <t>shuffled: 0 of 10,000</t>
        </is>
      </c>
      <c r="S683" t="inlineStr">
        <is>
          <t>shuffled: 932 of 10,000</t>
        </is>
      </c>
      <c r="T683" t="n">
        <v>0.1683512796624123</v>
      </c>
      <c r="U683" t="n">
        <v>0.2064102021825732</v>
      </c>
      <c r="V683">
        <f>AND(judged_band,NOT($J683))</f>
        <v/>
      </c>
      <c r="W683">
        <f>IF($K683="","",IF(profit_kind="test",IF(OR(NOT(AND(ISNUMBER($L683),$L683&lt;significance_bar)),$K683=0),"in line",IF($K683&lt;0,"worse","better")),IF(OR($K683=0,IF(profit_kind="points",ABS($K683),ABS($K683*$H683))&lt;profit_line*(1-1E-9)),"in line",IF(AND(ISNUMBER($L683),$L683&lt;significance_bar),IF($K683&lt;0,"worse","better"),IF($K683&lt;0,"worse, not significant","better, not significant")))))</f>
        <v/>
      </c>
      <c r="X683">
        <f>IF($M683="","",IF(profit_kind="test",IF(OR(NOT(AND(ISNUMBER($N683),$N683&lt;significance_bar)),$M683=0),"in line",IF($M683&lt;0,"worse","better")),IF(OR($M683=0,IF(profit_kind="points",ABS($M683),ABS($M683*$H683))&lt;profit_line*(1-1E-9)),"in line",IF(AND(ISNUMBER($N683),$N683&lt;significance_bar),IF($M683&lt;0,"worse","better"),IF($M683&lt;0,"worse, not significant","better, not significant")))))</f>
        <v/>
      </c>
      <c r="Y683">
        <f>IF($V683,$X683,$W683)</f>
        <v/>
      </c>
      <c r="Z683">
        <f>IF($V683,IF($P683="","",$P683),IF($O683="","",$O683))</f>
        <v/>
      </c>
      <c r="AA683">
        <f>IF(OR($Q683="",$Z683=""),"",IF(AND($Z683&gt;0,$Z683&gt;=$Q683),"yes","below the line"))</f>
        <v/>
      </c>
      <c r="AB683">
        <f>IF($V683,IF($M683="","",$M683),IF($K683="","",$K683))</f>
        <v/>
      </c>
      <c r="AC683">
        <f>IF($V683,IF($N683="","",$N683),IF($L683="","",$L683))</f>
        <v/>
      </c>
      <c r="AD683">
        <f>IF($Y683="","",IF($Y683="in line",IF(profit_kind="test",IF(ROUND($AB683*100,2)=0,"0.00",TEXT($AB683*100,"+0.00;-0.00"))&amp;" points against "&amp;IF($V683,"its band","the book")&amp;", "&amp;IF($AC683="","not tested","not significant"),IF(profit_kind="points","within "&amp;TEXT(profit_line*100,"0.00")&amp;" points of "&amp;IF($V683,"its band","the book")&amp;" ("&amp;IF(ROUND($AB683*100,2)=0,"0.00",TEXT($AB683*100,"+0.00;-0.00"))&amp;")","within $"&amp;TEXT(profit_line,"#,##0")&amp;" of "&amp;IF($V683,"its band","the book")&amp;" ("&amp;IF(ROUND($AB683*100,2)=0,"0.00",TEXT($AB683*100,"+0.00;-0.00"))&amp;" points)")),IF(LEFT($Y683,5)="worse","short of ","ahead of ")&amp;IF($V683,"its band","the book")&amp;" by "&amp;TEXT(ABS($AB683)*100,"0.00")&amp;" points"&amp;IF($Z683="",""," ($"&amp;TEXT(ABS($Z683),"#,##0")&amp;")")&amp;IF(RIGHT($Y683,15)="not significant"," (not significant)","")))</f>
        <v/>
      </c>
      <c r="AE683">
        <f>IF($V683,IF($S683="","",$S683),IF($R683="","",$R683))</f>
        <v/>
      </c>
      <c r="AF683">
        <f>IF($V683,IF($U683="","",$U683),IF($T683="","",$T683))</f>
        <v/>
      </c>
      <c r="AG683">
        <f>IF($V683,IF($O683="","",$O683),IF($P683="","",$P683))</f>
        <v/>
      </c>
      <c r="AH683" t="n">
        <v>0.2219297220962947</v>
      </c>
      <c r="AI683">
        <f>IF($Y683="worse","Yes",IF($Y683="worse, not significant","Not sure",IF(OR($Y683="too few losses to test",$Y683="too few loans to test"),"Too few losses",IF($Y683="","","No"))))</f>
        <v/>
      </c>
      <c r="AJ683">
        <f>IF($AA683="yes","Yes",IF($AA683="","","No"))</f>
        <v/>
      </c>
    </row>
    <row r="684">
      <c r="A684" t="inlineStr">
        <is>
          <t>three-way</t>
        </is>
      </c>
      <c r="B684" t="inlineStr">
        <is>
          <t>FICO x ASSET_CLASS / SYS_FLAG</t>
        </is>
      </c>
      <c r="C684" t="inlineStr">
        <is>
          <t>746 - 921</t>
        </is>
      </c>
      <c r="D684" t="inlineStr">
        <is>
          <t>3 / SYS_FLAG N</t>
        </is>
      </c>
      <c r="E684" t="inlineStr">
        <is>
          <t>outcome_loans</t>
        </is>
      </c>
      <c r="F684" t="inlineStr">
        <is>
          <t>Outcome, share of loans</t>
        </is>
      </c>
      <c r="G684" t="n">
        <v>211</v>
      </c>
      <c r="H684" t="n">
        <v>211</v>
      </c>
      <c r="I684" t="b">
        <v>1</v>
      </c>
      <c r="J684" t="b">
        <v>0</v>
      </c>
      <c r="K684" t="n">
        <v>0.4221726605334077</v>
      </c>
      <c r="M684" t="n">
        <v>0.8203360620422232</v>
      </c>
      <c r="O684" t="n">
        <v>-9.580893682588599</v>
      </c>
      <c r="P684" t="n">
        <v>-1.533088235294118</v>
      </c>
      <c r="Q684">
        <f>'_live'!$C$20</f>
        <v/>
      </c>
      <c r="T684" t="n">
        <v>0.07858243451463791</v>
      </c>
      <c r="U684" t="n">
        <v>0.04044117647058824</v>
      </c>
      <c r="V684">
        <f>AND(judged_band,NOT($J684))</f>
        <v/>
      </c>
      <c r="W684">
        <f>IF($K684="","",IF($I684,"too few losses to test",IF(AND($K684&gt;better_at,$K684&lt;worse_at),"in line",IF($K684&gt;=worse_at,IF(AND(ISNUMBER($L684),$L684&lt;significance_bar),"worse","worse, not significant"),IF(AND(ISNUMBER($L684),$L684&lt;significance_bar),"better","better, not significant")))))</f>
        <v/>
      </c>
      <c r="X684">
        <f>IF($M684="","",IF($I684,"too few losses to test",IF(AND($M684&gt;better_at,$M684&lt;worse_at),"in line",IF($M684&gt;=worse_at,IF(AND(ISNUMBER($N684),$N684&lt;significance_bar),"worse","worse, not significant"),IF(AND(ISNUMBER($N684),$N684&lt;significance_bar),"better","better, not significant")))))</f>
        <v/>
      </c>
      <c r="Y684">
        <f>IF($V684,$X684,$W684)</f>
        <v/>
      </c>
      <c r="Z684">
        <f>IF($V684,IF($P684="","",$P684),IF($O684="","",$O684))</f>
        <v/>
      </c>
      <c r="AA684">
        <f>IF(OR($Q684="",$Z684=""),"",IF(AND($Z684&gt;0,$Z684&gt;=$Q684),"yes","below the line"))</f>
        <v/>
      </c>
      <c r="AB684">
        <f>IF($V684,IF($M684="","",$M684),IF($K684="","",$K684))</f>
        <v/>
      </c>
      <c r="AC684">
        <f>IF($V684,IF($N684="","",$N684),IF($L684="","",$L684))</f>
        <v/>
      </c>
      <c r="AD684">
        <f>$Y684</f>
        <v/>
      </c>
      <c r="AE684">
        <f>IF($V684,IF($S684="","",$S684),IF($R684="","",$R684))</f>
        <v/>
      </c>
      <c r="AF684">
        <f>IF($V684,IF($U684="","",$U684),IF($T684="","",$T684))</f>
        <v/>
      </c>
      <c r="AG684">
        <f>IF($V684,IF($O684="","",$O684),IF($P684="","",$P684))</f>
        <v/>
      </c>
      <c r="AH684" t="n">
        <v>0.03317535545023697</v>
      </c>
      <c r="AI684">
        <f>IF($Y684="worse","Yes",IF($Y684="worse, not significant","Not sure",IF(OR($Y684="too few losses to test",$Y684="too few loans to test"),"Too few losses",IF($Y684="","","No"))))</f>
        <v/>
      </c>
      <c r="AJ684">
        <f>IF($AA684="yes","Yes",IF($AA684="","","No"))</f>
        <v/>
      </c>
    </row>
    <row r="685">
      <c r="A685" t="inlineStr">
        <is>
          <t>three-way</t>
        </is>
      </c>
      <c r="B685" t="inlineStr">
        <is>
          <t>FICO x ASSET_CLASS / SYS_FLAG</t>
        </is>
      </c>
      <c r="C685" t="inlineStr">
        <is>
          <t>746 - 921</t>
        </is>
      </c>
      <c r="D685" t="inlineStr">
        <is>
          <t>3 / SYS_FLAG N</t>
        </is>
      </c>
      <c r="E685" t="inlineStr">
        <is>
          <t>outcome_booked</t>
        </is>
      </c>
      <c r="F685" t="inlineStr">
        <is>
          <t>Outcome, share of booked dollars</t>
        </is>
      </c>
      <c r="G685" t="n">
        <v>211</v>
      </c>
      <c r="H685" t="n">
        <v>6998495.059999997</v>
      </c>
      <c r="I685" t="b">
        <v>1</v>
      </c>
      <c r="J685" t="b">
        <v>0</v>
      </c>
      <c r="K685" t="n">
        <v>0.3301034418640931</v>
      </c>
      <c r="M685" t="n">
        <v>0.6499780514257512</v>
      </c>
      <c r="O685" t="n">
        <v>-357309.8648811755</v>
      </c>
      <c r="P685" t="n">
        <v>-94816.49552261442</v>
      </c>
      <c r="Q685">
        <f>'_live'!$C$21</f>
        <v/>
      </c>
      <c r="T685" t="n">
        <v>0.07621362168699962</v>
      </c>
      <c r="U685" t="n">
        <v>0.03870650521293853</v>
      </c>
      <c r="V685">
        <f>AND(judged_band,NOT($J685))</f>
        <v/>
      </c>
      <c r="W685">
        <f>IF($K685="","",IF($I685,"too few losses to test",IF(AND($K685&gt;better_at,$K685&lt;worse_at),"in line",IF($K685&gt;=worse_at,IF(AND(ISNUMBER($L685),$L685&lt;significance_bar),"worse","worse, not significant"),IF(AND(ISNUMBER($L685),$L685&lt;significance_bar),"better","better, not significant")))))</f>
        <v/>
      </c>
      <c r="X685">
        <f>IF($M685="","",IF($I685,"too few losses to test",IF(AND($M685&gt;better_at,$M685&lt;worse_at),"in line",IF($M685&gt;=worse_at,IF(AND(ISNUMBER($N685),$N685&lt;significance_bar),"worse","worse, not significant"),IF(AND(ISNUMBER($N685),$N685&lt;significance_bar),"better","better, not significant")))))</f>
        <v/>
      </c>
      <c r="Y685">
        <f>IF($V685,$X685,$W685)</f>
        <v/>
      </c>
      <c r="Z685">
        <f>IF($V685,IF($P685="","",$P685),IF($O685="","",$O685))</f>
        <v/>
      </c>
      <c r="AA685">
        <f>IF(OR($Q685="",$Z685=""),"",IF(AND($Z685&gt;0,$Z685&gt;=$Q685),"yes","below the line"))</f>
        <v/>
      </c>
      <c r="AB685">
        <f>IF($V685,IF($M685="","",$M685),IF($K685="","",$K685))</f>
        <v/>
      </c>
      <c r="AC685">
        <f>IF($V685,IF($N685="","",$N685),IF($L685="","",$L685))</f>
        <v/>
      </c>
      <c r="AD685">
        <f>$Y685</f>
        <v/>
      </c>
      <c r="AE685">
        <f>IF($V685,IF($S685="","",$S685),IF($R685="","",$R685))</f>
        <v/>
      </c>
      <c r="AF685">
        <f>IF($V685,IF($U685="","",$U685),IF($T685="","",$T685))</f>
        <v/>
      </c>
      <c r="AG685">
        <f>IF($V685,IF($O685="","",$O685),IF($P685="","",$P685))</f>
        <v/>
      </c>
      <c r="AH685" t="n">
        <v>0.02515837883580646</v>
      </c>
      <c r="AI685">
        <f>IF($Y685="worse","Yes",IF($Y685="worse, not significant","Not sure",IF(OR($Y685="too few losses to test",$Y685="too few loans to test"),"Too few losses",IF($Y685="","","No"))))</f>
        <v/>
      </c>
      <c r="AJ685">
        <f>IF($AA685="yes","Yes",IF($AA685="","","No"))</f>
        <v/>
      </c>
    </row>
    <row r="686">
      <c r="A686" t="inlineStr">
        <is>
          <t>three-way</t>
        </is>
      </c>
      <c r="B686" t="inlineStr">
        <is>
          <t>FICO x ASSET_CLASS / SYS_FLAG</t>
        </is>
      </c>
      <c r="C686" t="inlineStr">
        <is>
          <t>746 - 921</t>
        </is>
      </c>
      <c r="D686" t="inlineStr">
        <is>
          <t>3 / SYS_FLAG N</t>
        </is>
      </c>
      <c r="E686" t="inlineStr">
        <is>
          <t>gco_rate</t>
        </is>
      </c>
      <c r="F686" t="inlineStr">
        <is>
          <t>GCO per booked dollar</t>
        </is>
      </c>
      <c r="G686" t="n">
        <v>211</v>
      </c>
      <c r="H686" t="n">
        <v>6998495.059999997</v>
      </c>
      <c r="I686" t="b">
        <v>1</v>
      </c>
      <c r="J686" t="b">
        <v>0</v>
      </c>
      <c r="K686" t="n">
        <v>0.255809723457713</v>
      </c>
      <c r="M686" t="n">
        <v>0.5226668860013807</v>
      </c>
      <c r="O686" t="n">
        <v>-221152.9284644031</v>
      </c>
      <c r="P686" t="n">
        <v>-69426.02962764894</v>
      </c>
      <c r="Q686">
        <f>'_live'!$C$22</f>
        <v/>
      </c>
      <c r="T686" t="n">
        <v>0.04246235167941995</v>
      </c>
      <c r="U686" t="n">
        <v>0.02078241941741815</v>
      </c>
      <c r="V686">
        <f>AND(judged_band,NOT($J686))</f>
        <v/>
      </c>
      <c r="W686">
        <f>IF($K686="","",IF($I686,"too few losses to test",IF(AND($K686&gt;better_at,$K686&lt;worse_at),"in line",IF($K686&gt;=worse_at,IF(AND(ISNUMBER($L686),$L686&lt;significance_bar),"worse","worse, not significant"),IF(AND(ISNUMBER($L686),$L686&lt;significance_bar),"better","better, not significant")))))</f>
        <v/>
      </c>
      <c r="X686">
        <f>IF($M686="","",IF($I686,"too few losses to test",IF(AND($M686&gt;better_at,$M686&lt;worse_at),"in line",IF($M686&gt;=worse_at,IF(AND(ISNUMBER($N686),$N686&lt;significance_bar),"worse","worse, not significant"),IF(AND(ISNUMBER($N686),$N686&lt;significance_bar),"better","better, not significant")))))</f>
        <v/>
      </c>
      <c r="Y686">
        <f>IF($V686,$X686,$W686)</f>
        <v/>
      </c>
      <c r="Z686">
        <f>IF($V686,IF($P686="","",$P686),IF($O686="","",$O686))</f>
        <v/>
      </c>
      <c r="AA686">
        <f>IF(OR($Q686="",$Z686=""),"",IF(AND($Z686&gt;0,$Z686&gt;=$Q686),"yes","below the line"))</f>
        <v/>
      </c>
      <c r="AB686">
        <f>IF($V686,IF($M686="","",$M686),IF($K686="","",$K686))</f>
        <v/>
      </c>
      <c r="AC686">
        <f>IF($V686,IF($N686="","",$N686),IF($L686="","",$L686))</f>
        <v/>
      </c>
      <c r="AD686">
        <f>$Y686</f>
        <v/>
      </c>
      <c r="AE686">
        <f>IF($V686,IF($S686="","",$S686),IF($R686="","",$R686))</f>
        <v/>
      </c>
      <c r="AF686">
        <f>IF($V686,IF($U686="","",$U686),IF($T686="","",$T686))</f>
        <v/>
      </c>
      <c r="AG686">
        <f>IF($V686,IF($O686="","",$O686),IF($P686="","",$P686))</f>
        <v/>
      </c>
      <c r="AH686" t="n">
        <v>0.01086228244047657</v>
      </c>
      <c r="AI686">
        <f>IF($Y686="worse","Yes",IF($Y686="worse, not significant","Not sure",IF(OR($Y686="too few losses to test",$Y686="too few loans to test"),"Too few losses",IF($Y686="","","No"))))</f>
        <v/>
      </c>
      <c r="AJ686">
        <f>IF($AA686="yes","Yes",IF($AA686="","","No"))</f>
        <v/>
      </c>
    </row>
    <row r="687">
      <c r="A687" t="inlineStr">
        <is>
          <t>three-way</t>
        </is>
      </c>
      <c r="B687" t="inlineStr">
        <is>
          <t>FICO x ASSET_CLASS / SYS_FLAG</t>
        </is>
      </c>
      <c r="C687" t="inlineStr">
        <is>
          <t>746 - 921</t>
        </is>
      </c>
      <c r="D687" t="inlineStr">
        <is>
          <t>3 / SYS_FLAG N</t>
        </is>
      </c>
      <c r="E687" t="inlineStr">
        <is>
          <t>ranr_rate</t>
        </is>
      </c>
      <c r="F687" t="inlineStr">
        <is>
          <t>Profit after losses: RANR per booked dollar</t>
        </is>
      </c>
      <c r="G687" t="n">
        <v>211</v>
      </c>
      <c r="H687" t="n">
        <v>6998495.059999997</v>
      </c>
      <c r="I687" t="b">
        <v>0</v>
      </c>
      <c r="J687" t="b">
        <v>0</v>
      </c>
      <c r="K687" t="n">
        <v>-0.07298570146941186</v>
      </c>
      <c r="L687" t="n">
        <v>0.0003768853883842385</v>
      </c>
      <c r="M687" t="n">
        <v>0.01188667664712955</v>
      </c>
      <c r="N687" t="n">
        <v>0.5135486451354865</v>
      </c>
      <c r="O687" t="n">
        <v>510790.0711843134</v>
      </c>
      <c r="P687" t="n">
        <v>-83188.84779475344</v>
      </c>
      <c r="Q687">
        <f>'_live'!$C$23</f>
        <v/>
      </c>
      <c r="R687" t="inlineStr">
        <is>
          <t>shuffled: 0 of 10,000</t>
        </is>
      </c>
      <c r="S687" t="inlineStr">
        <is>
          <t>shuffled: 1,604 of 10,000</t>
        </is>
      </c>
      <c r="T687" t="n">
        <v>0.1299693310327655</v>
      </c>
      <c r="U687" t="n">
        <v>0.04509695291622407</v>
      </c>
      <c r="V687">
        <f>AND(judged_band,NOT($J687))</f>
        <v/>
      </c>
      <c r="W687">
        <f>IF($K687="","",IF(profit_kind="test",IF(OR(NOT(AND(ISNUMBER($L687),$L687&lt;significance_bar)),$K687=0),"in line",IF($K687&lt;0,"worse","better")),IF(OR($K687=0,IF(profit_kind="points",ABS($K687),ABS($K687*$H687))&lt;profit_line*(1-1E-9)),"in line",IF(AND(ISNUMBER($L687),$L687&lt;significance_bar),IF($K687&lt;0,"worse","better"),IF($K687&lt;0,"worse, not significant","better, not significant")))))</f>
        <v/>
      </c>
      <c r="X687">
        <f>IF($M687="","",IF(profit_kind="test",IF(OR(NOT(AND(ISNUMBER($N687),$N687&lt;significance_bar)),$M687=0),"in line",IF($M687&lt;0,"worse","better")),IF(OR($M687=0,IF(profit_kind="points",ABS($M687),ABS($M687*$H687))&lt;profit_line*(1-1E-9)),"in line",IF(AND(ISNUMBER($N687),$N687&lt;significance_bar),IF($M687&lt;0,"worse","better"),IF($M687&lt;0,"worse, not significant","better, not significant")))))</f>
        <v/>
      </c>
      <c r="Y687">
        <f>IF($V687,$X687,$W687)</f>
        <v/>
      </c>
      <c r="Z687">
        <f>IF($V687,IF($P687="","",$P687),IF($O687="","",$O687))</f>
        <v/>
      </c>
      <c r="AA687">
        <f>IF(OR($Q687="",$Z687=""),"",IF(AND($Z687&gt;0,$Z687&gt;=$Q687),"yes","below the line"))</f>
        <v/>
      </c>
      <c r="AB687">
        <f>IF($V687,IF($M687="","",$M687),IF($K687="","",$K687))</f>
        <v/>
      </c>
      <c r="AC687">
        <f>IF($V687,IF($N687="","",$N687),IF($L687="","",$L687))</f>
        <v/>
      </c>
      <c r="AD687">
        <f>IF($Y687="","",IF($Y687="in line",IF(profit_kind="test",IF(ROUND($AB687*100,2)=0,"0.00",TEXT($AB687*100,"+0.00;-0.00"))&amp;" points against "&amp;IF($V687,"its band","the book")&amp;", "&amp;IF($AC687="","not tested","not significant"),IF(profit_kind="points","within "&amp;TEXT(profit_line*100,"0.00")&amp;" points of "&amp;IF($V687,"its band","the book")&amp;" ("&amp;IF(ROUND($AB687*100,2)=0,"0.00",TEXT($AB687*100,"+0.00;-0.00"))&amp;")","within $"&amp;TEXT(profit_line,"#,##0")&amp;" of "&amp;IF($V687,"its band","the book")&amp;" ("&amp;IF(ROUND($AB687*100,2)=0,"0.00",TEXT($AB687*100,"+0.00;-0.00"))&amp;" points)")),IF(LEFT($Y687,5)="worse","short of ","ahead of ")&amp;IF($V687,"its band","the book")&amp;" by "&amp;TEXT(ABS($AB687)*100,"0.00")&amp;" points"&amp;IF($Z687="",""," ($"&amp;TEXT(ABS($Z687),"#,##0")&amp;")")&amp;IF(RIGHT($Y687,15)="not significant"," (not significant)","")))</f>
        <v/>
      </c>
      <c r="AE687">
        <f>IF($V687,IF($S687="","",$S687),IF($R687="","",$R687))</f>
        <v/>
      </c>
      <c r="AF687">
        <f>IF($V687,IF($U687="","",$U687),IF($T687="","",$T687))</f>
        <v/>
      </c>
      <c r="AG687">
        <f>IF($V687,IF($O687="","",$O687),IF($P687="","",$P687))</f>
        <v/>
      </c>
      <c r="AH687" t="n">
        <v>0.05698362956335362</v>
      </c>
      <c r="AI687">
        <f>IF($Y687="worse","Yes",IF($Y687="worse, not significant","Not sure",IF(OR($Y687="too few losses to test",$Y687="too few loans to test"),"Too few losses",IF($Y687="","","No"))))</f>
        <v/>
      </c>
      <c r="AJ687">
        <f>IF($AA687="yes","Yes",IF($AA687="","","No"))</f>
        <v/>
      </c>
    </row>
    <row r="688">
      <c r="A688" t="inlineStr">
        <is>
          <t>three-way</t>
        </is>
      </c>
      <c r="B688" t="inlineStr">
        <is>
          <t>FICO x ASSET_CLASS / SYS_FLAG</t>
        </is>
      </c>
      <c r="C688" t="inlineStr">
        <is>
          <t>746 - 921</t>
        </is>
      </c>
      <c r="D688" t="inlineStr">
        <is>
          <t>3 / SYS_FLAG N</t>
        </is>
      </c>
      <c r="E688" t="inlineStr">
        <is>
          <t>contribution_rate</t>
        </is>
      </c>
      <c r="F688" t="inlineStr">
        <is>
          <t>Contribution before losses per booked dollar</t>
        </is>
      </c>
      <c r="G688" t="n">
        <v>211</v>
      </c>
      <c r="H688" t="n">
        <v>6998495.059999997</v>
      </c>
      <c r="I688" t="b">
        <v>0</v>
      </c>
      <c r="J688" t="b">
        <v>0</v>
      </c>
      <c r="K688" t="n">
        <v>-0.1045831446458106</v>
      </c>
      <c r="L688" t="n">
        <v>0.0001814633351479667</v>
      </c>
      <c r="M688" t="n">
        <v>0.001966539670187992</v>
      </c>
      <c r="N688" t="n">
        <v>0.937752378608293</v>
      </c>
      <c r="O688" t="n">
        <v>731924.6211629706</v>
      </c>
      <c r="P688" t="n">
        <v>-13762.81816710468</v>
      </c>
      <c r="Q688">
        <f>'_live'!$C$24</f>
        <v/>
      </c>
      <c r="R688" t="inlineStr">
        <is>
          <t>shuffled: 0 of 10,000</t>
        </is>
      </c>
      <c r="S688" t="inlineStr">
        <is>
          <t>shuffled: 4,301 of 10,000</t>
        </is>
      </c>
      <c r="T688" t="n">
        <v>0.1724290566496408</v>
      </c>
      <c r="U688" t="n">
        <v>0.06587937233364222</v>
      </c>
      <c r="V688">
        <f>AND(judged_band,NOT($J688))</f>
        <v/>
      </c>
      <c r="W688">
        <f>IF($K688="","",IF(profit_kind="test",IF(OR(NOT(AND(ISNUMBER($L688),$L688&lt;significance_bar)),$K688=0),"in line",IF($K688&lt;0,"worse","better")),IF(OR($K688=0,IF(profit_kind="points",ABS($K688),ABS($K688*$H688))&lt;profit_line*(1-1E-9)),"in line",IF(AND(ISNUMBER($L688),$L688&lt;significance_bar),IF($K688&lt;0,"worse","better"),IF($K688&lt;0,"worse, not significant","better, not significant")))))</f>
        <v/>
      </c>
      <c r="X688">
        <f>IF($M688="","",IF(profit_kind="test",IF(OR(NOT(AND(ISNUMBER($N688),$N688&lt;significance_bar)),$M688=0),"in line",IF($M688&lt;0,"worse","better")),IF(OR($M688=0,IF(profit_kind="points",ABS($M688),ABS($M688*$H688))&lt;profit_line*(1-1E-9)),"in line",IF(AND(ISNUMBER($N688),$N688&lt;significance_bar),IF($M688&lt;0,"worse","better"),IF($M688&lt;0,"worse, not significant","better, not significant")))))</f>
        <v/>
      </c>
      <c r="Y688">
        <f>IF($V688,$X688,$W688)</f>
        <v/>
      </c>
      <c r="Z688">
        <f>IF($V688,IF($P688="","",$P688),IF($O688="","",$O688))</f>
        <v/>
      </c>
      <c r="AA688">
        <f>IF(OR($Q688="",$Z688=""),"",IF(AND($Z688&gt;0,$Z688&gt;=$Q688),"yes","below the line"))</f>
        <v/>
      </c>
      <c r="AB688">
        <f>IF($V688,IF($M688="","",$M688),IF($K688="","",$K688))</f>
        <v/>
      </c>
      <c r="AC688">
        <f>IF($V688,IF($N688="","",$N688),IF($L688="","",$L688))</f>
        <v/>
      </c>
      <c r="AD688">
        <f>IF($Y688="","",IF($Y688="in line",IF(profit_kind="test",IF(ROUND($AB688*100,2)=0,"0.00",TEXT($AB688*100,"+0.00;-0.00"))&amp;" points against "&amp;IF($V688,"its band","the book")&amp;", "&amp;IF($AC688="","not tested","not significant"),IF(profit_kind="points","within "&amp;TEXT(profit_line*100,"0.00")&amp;" points of "&amp;IF($V688,"its band","the book")&amp;" ("&amp;IF(ROUND($AB688*100,2)=0,"0.00",TEXT($AB688*100,"+0.00;-0.00"))&amp;")","within $"&amp;TEXT(profit_line,"#,##0")&amp;" of "&amp;IF($V688,"its band","the book")&amp;" ("&amp;IF(ROUND($AB688*100,2)=0,"0.00",TEXT($AB688*100,"+0.00;-0.00"))&amp;" points)")),IF(LEFT($Y688,5)="worse","short of ","ahead of ")&amp;IF($V688,"its band","the book")&amp;" by "&amp;TEXT(ABS($AB688)*100,"0.00")&amp;" points"&amp;IF($Z688="",""," ($"&amp;TEXT(ABS($Z688),"#,##0")&amp;")")&amp;IF(RIGHT($Y688,15)="not significant"," (not significant)","")))</f>
        <v/>
      </c>
      <c r="AE688">
        <f>IF($V688,IF($S688="","",$S688),IF($R688="","",$R688))</f>
        <v/>
      </c>
      <c r="AF688">
        <f>IF($V688,IF($U688="","",$U688),IF($T688="","",$T688))</f>
        <v/>
      </c>
      <c r="AG688">
        <f>IF($V688,IF($O688="","",$O688),IF($P688="","",$P688))</f>
        <v/>
      </c>
      <c r="AH688" t="n">
        <v>0.06784591200383021</v>
      </c>
      <c r="AI688">
        <f>IF($Y688="worse","Yes",IF($Y688="worse, not significant","Not sure",IF(OR($Y688="too few losses to test",$Y688="too few loans to test"),"Too few losses",IF($Y688="","","No"))))</f>
        <v/>
      </c>
      <c r="AJ688">
        <f>IF($AA688="yes","Yes",IF($AA688="","","No"))</f>
        <v/>
      </c>
    </row>
    <row r="689">
      <c r="A689" t="inlineStr">
        <is>
          <t>three-way</t>
        </is>
      </c>
      <c r="B689" t="inlineStr">
        <is>
          <t>FICO x ASSET_CLASS / SYS_FLAG</t>
        </is>
      </c>
      <c r="C689" t="inlineStr">
        <is>
          <t>496 - 653</t>
        </is>
      </c>
      <c r="D689" t="inlineStr">
        <is>
          <t>3 / SYS_FLAG Y</t>
        </is>
      </c>
      <c r="E689" t="inlineStr">
        <is>
          <t>outcome_loans</t>
        </is>
      </c>
      <c r="F689" t="inlineStr">
        <is>
          <t>Outcome, share of loans</t>
        </is>
      </c>
      <c r="G689" t="n">
        <v>166</v>
      </c>
      <c r="H689" t="n">
        <v>166</v>
      </c>
      <c r="I689" t="b">
        <v>0</v>
      </c>
      <c r="J689" t="b">
        <v>0</v>
      </c>
      <c r="K689" t="n">
        <v>2.487736660929432</v>
      </c>
      <c r="L689" t="n">
        <v>8.563396010369054e-07</v>
      </c>
      <c r="M689" t="n">
        <v>1.277790966822957</v>
      </c>
      <c r="N689" t="n">
        <v>0.394164206818677</v>
      </c>
      <c r="O689" t="n">
        <v>18.53887399463807</v>
      </c>
      <c r="P689" t="n">
        <v>6.739380849532036</v>
      </c>
      <c r="Q689">
        <f>'_live'!$C$20</f>
        <v/>
      </c>
      <c r="R689" t="inlineStr">
        <is>
          <t>z test</t>
        </is>
      </c>
      <c r="S689" t="inlineStr">
        <is>
          <t>z test</t>
        </is>
      </c>
      <c r="T689" t="n">
        <v>0.07506702412868632</v>
      </c>
      <c r="U689" t="n">
        <v>0.1461483081353492</v>
      </c>
      <c r="V689">
        <f>AND(judged_band,NOT($J689))</f>
        <v/>
      </c>
      <c r="W689">
        <f>IF($K689="","",IF($I689,"too few losses to test",IF(AND($K689&gt;better_at,$K689&lt;worse_at),"in line",IF($K689&gt;=worse_at,IF(AND(ISNUMBER($L689),$L689&lt;significance_bar),"worse","worse, not significant"),IF(AND(ISNUMBER($L689),$L689&lt;significance_bar),"better","better, not significant")))))</f>
        <v/>
      </c>
      <c r="X689">
        <f>IF($M689="","",IF($I689,"too few losses to test",IF(AND($M689&gt;better_at,$M689&lt;worse_at),"in line",IF($M689&gt;=worse_at,IF(AND(ISNUMBER($N689),$N689&lt;significance_bar),"worse","worse, not significant"),IF(AND(ISNUMBER($N689),$N689&lt;significance_bar),"better","better, not significant")))))</f>
        <v/>
      </c>
      <c r="Y689">
        <f>IF($V689,$X689,$W689)</f>
        <v/>
      </c>
      <c r="Z689">
        <f>IF($V689,IF($P689="","",$P689),IF($O689="","",$O689))</f>
        <v/>
      </c>
      <c r="AA689">
        <f>IF(OR($Q689="",$Z689=""),"",IF(AND($Z689&gt;0,$Z689&gt;=$Q689),"yes","below the line"))</f>
        <v/>
      </c>
      <c r="AB689">
        <f>IF($V689,IF($M689="","",$M689),IF($K689="","",$K689))</f>
        <v/>
      </c>
      <c r="AC689">
        <f>IF($V689,IF($N689="","",$N689),IF($L689="","",$L689))</f>
        <v/>
      </c>
      <c r="AD689">
        <f>$Y689</f>
        <v/>
      </c>
      <c r="AE689">
        <f>IF($V689,IF($S689="","",$S689),IF($R689="","",$R689))</f>
        <v/>
      </c>
      <c r="AF689">
        <f>IF($V689,IF($U689="","",$U689),IF($T689="","",$T689))</f>
        <v/>
      </c>
      <c r="AG689">
        <f>IF($V689,IF($O689="","",$O689),IF($P689="","",$P689))</f>
        <v/>
      </c>
      <c r="AH689" t="n">
        <v>0.1867469879518072</v>
      </c>
      <c r="AI689">
        <f>IF($Y689="worse","Yes",IF($Y689="worse, not significant","Not sure",IF(OR($Y689="too few losses to test",$Y689="too few loans to test"),"Too few losses",IF($Y689="","","No"))))</f>
        <v/>
      </c>
      <c r="AJ689">
        <f>IF($AA689="yes","Yes",IF($AA689="","","No"))</f>
        <v/>
      </c>
    </row>
    <row r="690">
      <c r="A690" t="inlineStr">
        <is>
          <t>three-way</t>
        </is>
      </c>
      <c r="B690" t="inlineStr">
        <is>
          <t>FICO x ASSET_CLASS / SYS_FLAG</t>
        </is>
      </c>
      <c r="C690" t="inlineStr">
        <is>
          <t>496 - 653</t>
        </is>
      </c>
      <c r="D690" t="inlineStr">
        <is>
          <t>3 / SYS_FLAG Y</t>
        </is>
      </c>
      <c r="E690" t="inlineStr">
        <is>
          <t>outcome_booked</t>
        </is>
      </c>
      <c r="F690" t="inlineStr">
        <is>
          <t>Outcome, share of booked dollars</t>
        </is>
      </c>
      <c r="G690" t="n">
        <v>166</v>
      </c>
      <c r="H690" t="n">
        <v>5398152.510000002</v>
      </c>
      <c r="I690" t="b">
        <v>0</v>
      </c>
      <c r="J690" t="b">
        <v>0</v>
      </c>
      <c r="K690" t="n">
        <v>2.478193167051229</v>
      </c>
      <c r="L690" t="n">
        <v>0.0017331600173316</v>
      </c>
      <c r="M690" t="n">
        <v>1.236215332643209</v>
      </c>
      <c r="N690" t="n">
        <v>0.5657034296570344</v>
      </c>
      <c r="O690" t="n">
        <v>579186.7640920214</v>
      </c>
      <c r="P690" t="n">
        <v>185539.5724994264</v>
      </c>
      <c r="Q690">
        <f>'_live'!$C$21</f>
        <v/>
      </c>
      <c r="R690" t="inlineStr">
        <is>
          <t>shuffled: 1 of 10,000</t>
        </is>
      </c>
      <c r="S690" t="inlineStr">
        <is>
          <t>shuffled: 2,987 of 10,000</t>
        </is>
      </c>
      <c r="T690" t="n">
        <v>0.07258423232432504</v>
      </c>
      <c r="U690" t="n">
        <v>0.1455068092362165</v>
      </c>
      <c r="V690">
        <f>AND(judged_band,NOT($J690))</f>
        <v/>
      </c>
      <c r="W690">
        <f>IF($K690="","",IF($I690,"too few losses to test",IF(AND($K690&gt;better_at,$K690&lt;worse_at),"in line",IF($K690&gt;=worse_at,IF(AND(ISNUMBER($L690),$L690&lt;significance_bar),"worse","worse, not significant"),IF(AND(ISNUMBER($L690),$L690&lt;significance_bar),"better","better, not significant")))))</f>
        <v/>
      </c>
      <c r="X690">
        <f>IF($M690="","",IF($I690,"too few losses to test",IF(AND($M690&gt;better_at,$M690&lt;worse_at),"in line",IF($M690&gt;=worse_at,IF(AND(ISNUMBER($N690),$N690&lt;significance_bar),"worse","worse, not significant"),IF(AND(ISNUMBER($N690),$N690&lt;significance_bar),"better","better, not significant")))))</f>
        <v/>
      </c>
      <c r="Y690">
        <f>IF($V690,$X690,$W690)</f>
        <v/>
      </c>
      <c r="Z690">
        <f>IF($V690,IF($P690="","",$P690),IF($O690="","",$O690))</f>
        <v/>
      </c>
      <c r="AA690">
        <f>IF(OR($Q690="",$Z690=""),"",IF(AND($Z690&gt;0,$Z690&gt;=$Q690),"yes","below the line"))</f>
        <v/>
      </c>
      <c r="AB690">
        <f>IF($V690,IF($M690="","",$M690),IF($K690="","",$K690))</f>
        <v/>
      </c>
      <c r="AC690">
        <f>IF($V690,IF($N690="","",$N690),IF($L690="","",$L690))</f>
        <v/>
      </c>
      <c r="AD690">
        <f>$Y690</f>
        <v/>
      </c>
      <c r="AE690">
        <f>IF($V690,IF($S690="","",$S690),IF($R690="","",$R690))</f>
        <v/>
      </c>
      <c r="AF690">
        <f>IF($V690,IF($U690="","",$U690),IF($T690="","",$T690))</f>
        <v/>
      </c>
      <c r="AG690">
        <f>IF($V690,IF($O690="","",$O690),IF($P690="","",$P690))</f>
        <v/>
      </c>
      <c r="AH690" t="n">
        <v>0.1798777485818013</v>
      </c>
      <c r="AI690">
        <f>IF($Y690="worse","Yes",IF($Y690="worse, not significant","Not sure",IF(OR($Y690="too few losses to test",$Y690="too few loans to test"),"Too few losses",IF($Y690="","","No"))))</f>
        <v/>
      </c>
      <c r="AJ690">
        <f>IF($AA690="yes","Yes",IF($AA690="","","No"))</f>
        <v/>
      </c>
    </row>
    <row r="691">
      <c r="A691" t="inlineStr">
        <is>
          <t>three-way</t>
        </is>
      </c>
      <c r="B691" t="inlineStr">
        <is>
          <t>FICO x ASSET_CLASS / SYS_FLAG</t>
        </is>
      </c>
      <c r="C691" t="inlineStr">
        <is>
          <t>496 - 653</t>
        </is>
      </c>
      <c r="D691" t="inlineStr">
        <is>
          <t>3 / SYS_FLAG Y</t>
        </is>
      </c>
      <c r="E691" t="inlineStr">
        <is>
          <t>gco_rate</t>
        </is>
      </c>
      <c r="F691" t="inlineStr">
        <is>
          <t>GCO per booked dollar</t>
        </is>
      </c>
      <c r="G691" t="n">
        <v>166</v>
      </c>
      <c r="H691" t="n">
        <v>5398152.510000002</v>
      </c>
      <c r="I691" t="b">
        <v>0</v>
      </c>
      <c r="J691" t="b">
        <v>0</v>
      </c>
      <c r="K691" t="n">
        <v>2.55988296400229</v>
      </c>
      <c r="L691" t="n">
        <v>0.0006499350064993501</v>
      </c>
      <c r="M691" t="n">
        <v>1.271603510104168</v>
      </c>
      <c r="N691" t="n">
        <v>0.5435623104356231</v>
      </c>
      <c r="O691" t="n">
        <v>339265.0175723843</v>
      </c>
      <c r="P691" t="n">
        <v>118918.8870872047</v>
      </c>
      <c r="Q691">
        <f>'_live'!$C$22</f>
        <v/>
      </c>
      <c r="R691" t="inlineStr">
        <is>
          <t>shuffled: 0 of 10,000</t>
        </is>
      </c>
      <c r="S691" t="inlineStr">
        <is>
          <t>shuffled: 2,508 of 10,000</t>
        </is>
      </c>
      <c r="T691" t="n">
        <v>0.04029043122155427</v>
      </c>
      <c r="U691" t="n">
        <v>0.08110923544707244</v>
      </c>
      <c r="V691">
        <f>AND(judged_band,NOT($J691))</f>
        <v/>
      </c>
      <c r="W691">
        <f>IF($K691="","",IF($I691,"too few losses to test",IF(AND($K691&gt;better_at,$K691&lt;worse_at),"in line",IF($K691&gt;=worse_at,IF(AND(ISNUMBER($L691),$L691&lt;significance_bar),"worse","worse, not significant"),IF(AND(ISNUMBER($L691),$L691&lt;significance_bar),"better","better, not significant")))))</f>
        <v/>
      </c>
      <c r="X691">
        <f>IF($M691="","",IF($I691,"too few losses to test",IF(AND($M691&gt;better_at,$M691&lt;worse_at),"in line",IF($M691&gt;=worse_at,IF(AND(ISNUMBER($N691),$N691&lt;significance_bar),"worse","worse, not significant"),IF(AND(ISNUMBER($N691),$N691&lt;significance_bar),"better","better, not significant")))))</f>
        <v/>
      </c>
      <c r="Y691">
        <f>IF($V691,$X691,$W691)</f>
        <v/>
      </c>
      <c r="Z691">
        <f>IF($V691,IF($P691="","",$P691),IF($O691="","",$O691))</f>
        <v/>
      </c>
      <c r="AA691">
        <f>IF(OR($Q691="",$Z691=""),"",IF(AND($Z691&gt;0,$Z691&gt;=$Q691),"yes","below the line"))</f>
        <v/>
      </c>
      <c r="AB691">
        <f>IF($V691,IF($M691="","",$M691),IF($K691="","",$K691))</f>
        <v/>
      </c>
      <c r="AC691">
        <f>IF($V691,IF($N691="","",$N691),IF($L691="","",$L691))</f>
        <v/>
      </c>
      <c r="AD691">
        <f>$Y691</f>
        <v/>
      </c>
      <c r="AE691">
        <f>IF($V691,IF($S691="","",$S691),IF($R691="","",$R691))</f>
        <v/>
      </c>
      <c r="AF691">
        <f>IF($V691,IF($U691="","",$U691),IF($T691="","",$T691))</f>
        <v/>
      </c>
      <c r="AG691">
        <f>IF($V691,IF($O691="","",$O691),IF($P691="","",$P691))</f>
        <v/>
      </c>
      <c r="AH691" t="n">
        <v>0.1031387884963628</v>
      </c>
      <c r="AI691">
        <f>IF($Y691="worse","Yes",IF($Y691="worse, not significant","Not sure",IF(OR($Y691="too few losses to test",$Y691="too few loans to test"),"Too few losses",IF($Y691="","","No"))))</f>
        <v/>
      </c>
      <c r="AJ691">
        <f>IF($AA691="yes","Yes",IF($AA691="","","No"))</f>
        <v/>
      </c>
    </row>
    <row r="692">
      <c r="A692" t="inlineStr">
        <is>
          <t>three-way</t>
        </is>
      </c>
      <c r="B692" t="inlineStr">
        <is>
          <t>FICO x ASSET_CLASS / SYS_FLAG</t>
        </is>
      </c>
      <c r="C692" t="inlineStr">
        <is>
          <t>496 - 653</t>
        </is>
      </c>
      <c r="D692" t="inlineStr">
        <is>
          <t>3 / SYS_FLAG Y</t>
        </is>
      </c>
      <c r="E692" t="inlineStr">
        <is>
          <t>ranr_rate</t>
        </is>
      </c>
      <c r="F692" t="inlineStr">
        <is>
          <t>Profit after losses: RANR per booked dollar</t>
        </is>
      </c>
      <c r="G692" t="n">
        <v>166</v>
      </c>
      <c r="H692" t="n">
        <v>5398152.510000002</v>
      </c>
      <c r="I692" t="b">
        <v>0</v>
      </c>
      <c r="J692" t="b">
        <v>0</v>
      </c>
      <c r="K692" t="n">
        <v>0.0495684385293991</v>
      </c>
      <c r="L692" t="n">
        <v>0.005157378998942211</v>
      </c>
      <c r="M692" t="n">
        <v>-0.01527492552678061</v>
      </c>
      <c r="N692" t="n">
        <v>0.8613424371848529</v>
      </c>
      <c r="O692" t="n">
        <v>-267577.9908642565</v>
      </c>
      <c r="P692" t="n">
        <v>82456.37757245393</v>
      </c>
      <c r="Q692">
        <f>'_live'!$C$23</f>
        <v/>
      </c>
      <c r="R692" t="inlineStr">
        <is>
          <t>shuffled: 19 of 10,000</t>
        </is>
      </c>
      <c r="S692" t="inlineStr">
        <is>
          <t>shuffled: 5,024 of 10,000</t>
        </is>
      </c>
      <c r="T692" t="n">
        <v>0.1269532007230643</v>
      </c>
      <c r="U692" t="n">
        <v>0.191796564779244</v>
      </c>
      <c r="V692">
        <f>AND(judged_band,NOT($J692))</f>
        <v/>
      </c>
      <c r="W692">
        <f>IF($K692="","",IF(profit_kind="test",IF(OR(NOT(AND(ISNUMBER($L692),$L692&lt;significance_bar)),$K692=0),"in line",IF($K692&lt;0,"worse","better")),IF(OR($K692=0,IF(profit_kind="points",ABS($K692),ABS($K692*$H692))&lt;profit_line*(1-1E-9)),"in line",IF(AND(ISNUMBER($L692),$L692&lt;significance_bar),IF($K692&lt;0,"worse","better"),IF($K692&lt;0,"worse, not significant","better, not significant")))))</f>
        <v/>
      </c>
      <c r="X692">
        <f>IF($M692="","",IF(profit_kind="test",IF(OR(NOT(AND(ISNUMBER($N692),$N692&lt;significance_bar)),$M692=0),"in line",IF($M692&lt;0,"worse","better")),IF(OR($M692=0,IF(profit_kind="points",ABS($M692),ABS($M692*$H692))&lt;profit_line*(1-1E-9)),"in line",IF(AND(ISNUMBER($N692),$N692&lt;significance_bar),IF($M692&lt;0,"worse","better"),IF($M692&lt;0,"worse, not significant","better, not significant")))))</f>
        <v/>
      </c>
      <c r="Y692">
        <f>IF($V692,$X692,$W692)</f>
        <v/>
      </c>
      <c r="Z692">
        <f>IF($V692,IF($P692="","",$P692),IF($O692="","",$O692))</f>
        <v/>
      </c>
      <c r="AA692">
        <f>IF(OR($Q692="",$Z692=""),"",IF(AND($Z692&gt;0,$Z692&gt;=$Q692),"yes","below the line"))</f>
        <v/>
      </c>
      <c r="AB692">
        <f>IF($V692,IF($M692="","",$M692),IF($K692="","",$K692))</f>
        <v/>
      </c>
      <c r="AC692">
        <f>IF($V692,IF($N692="","",$N692),IF($L692="","",$L692))</f>
        <v/>
      </c>
      <c r="AD692">
        <f>IF($Y692="","",IF($Y692="in line",IF(profit_kind="test",IF(ROUND($AB692*100,2)=0,"0.00",TEXT($AB692*100,"+0.00;-0.00"))&amp;" points against "&amp;IF($V692,"its band","the book")&amp;", "&amp;IF($AC692="","not tested","not significant"),IF(profit_kind="points","within "&amp;TEXT(profit_line*100,"0.00")&amp;" points of "&amp;IF($V692,"its band","the book")&amp;" ("&amp;IF(ROUND($AB692*100,2)=0,"0.00",TEXT($AB692*100,"+0.00;-0.00"))&amp;")","within $"&amp;TEXT(profit_line,"#,##0")&amp;" of "&amp;IF($V692,"its band","the book")&amp;" ("&amp;IF(ROUND($AB692*100,2)=0,"0.00",TEXT($AB692*100,"+0.00;-0.00"))&amp;" points)")),IF(LEFT($Y692,5)="worse","short of ","ahead of ")&amp;IF($V692,"its band","the book")&amp;" by "&amp;TEXT(ABS($AB692)*100,"0.00")&amp;" points"&amp;IF($Z692="",""," ($"&amp;TEXT(ABS($Z692),"#,##0")&amp;")")&amp;IF(RIGHT($Y692,15)="not significant"," (not significant)","")))</f>
        <v/>
      </c>
      <c r="AE692">
        <f>IF($V692,IF($S692="","",$S692),IF($R692="","",$R692))</f>
        <v/>
      </c>
      <c r="AF692">
        <f>IF($V692,IF($U692="","",$U692),IF($T692="","",$T692))</f>
        <v/>
      </c>
      <c r="AG692">
        <f>IF($V692,IF($O692="","",$O692),IF($P692="","",$P692))</f>
        <v/>
      </c>
      <c r="AH692" t="n">
        <v>0.1765216392524634</v>
      </c>
      <c r="AI692">
        <f>IF($Y692="worse","Yes",IF($Y692="worse, not significant","Not sure",IF(OR($Y692="too few losses to test",$Y692="too few loans to test"),"Too few losses",IF($Y692="","","No"))))</f>
        <v/>
      </c>
      <c r="AJ692">
        <f>IF($AA692="yes","Yes",IF($AA692="","","No"))</f>
        <v/>
      </c>
    </row>
    <row r="693">
      <c r="A693" t="inlineStr">
        <is>
          <t>three-way</t>
        </is>
      </c>
      <c r="B693" t="inlineStr">
        <is>
          <t>FICO x ASSET_CLASS / SYS_FLAG</t>
        </is>
      </c>
      <c r="C693" t="inlineStr">
        <is>
          <t>496 - 653</t>
        </is>
      </c>
      <c r="D693" t="inlineStr">
        <is>
          <t>3 / SYS_FLAG Y</t>
        </is>
      </c>
      <c r="E693" t="inlineStr">
        <is>
          <t>contribution_rate</t>
        </is>
      </c>
      <c r="F693" t="inlineStr">
        <is>
          <t>Contribution before losses per booked dollar</t>
        </is>
      </c>
      <c r="G693" t="n">
        <v>166</v>
      </c>
      <c r="H693" t="n">
        <v>5398152.510000002</v>
      </c>
      <c r="I693" t="b">
        <v>0</v>
      </c>
      <c r="J693" t="b">
        <v>0</v>
      </c>
      <c r="K693" t="n">
        <v>0.1124198790196402</v>
      </c>
      <c r="L693" t="n">
        <v>0.0001814633351479667</v>
      </c>
      <c r="M693" t="n">
        <v>0.006754627522509771</v>
      </c>
      <c r="N693" t="n">
        <v>0.9799190293736585</v>
      </c>
      <c r="O693" t="n">
        <v>-606859.6521037674</v>
      </c>
      <c r="P693" t="n">
        <v>-36462.50951475115</v>
      </c>
      <c r="Q693">
        <f>'_live'!$C$24</f>
        <v/>
      </c>
      <c r="R693" t="inlineStr">
        <is>
          <t>shuffled: 0 of 10,000</t>
        </is>
      </c>
      <c r="S693" t="inlineStr">
        <is>
          <t>shuffled: 6,092 of 10,000</t>
        </is>
      </c>
      <c r="T693" t="n">
        <v>0.167240548729186</v>
      </c>
      <c r="U693" t="n">
        <v>0.2729058002263164</v>
      </c>
      <c r="V693">
        <f>AND(judged_band,NOT($J693))</f>
        <v/>
      </c>
      <c r="W693">
        <f>IF($K693="","",IF(profit_kind="test",IF(OR(NOT(AND(ISNUMBER($L693),$L693&lt;significance_bar)),$K693=0),"in line",IF($K693&lt;0,"worse","better")),IF(OR($K693=0,IF(profit_kind="points",ABS($K693),ABS($K693*$H693))&lt;profit_line*(1-1E-9)),"in line",IF(AND(ISNUMBER($L693),$L693&lt;significance_bar),IF($K693&lt;0,"worse","better"),IF($K693&lt;0,"worse, not significant","better, not significant")))))</f>
        <v/>
      </c>
      <c r="X693">
        <f>IF($M693="","",IF(profit_kind="test",IF(OR(NOT(AND(ISNUMBER($N693),$N693&lt;significance_bar)),$M693=0),"in line",IF($M693&lt;0,"worse","better")),IF(OR($M693=0,IF(profit_kind="points",ABS($M693),ABS($M693*$H693))&lt;profit_line*(1-1E-9)),"in line",IF(AND(ISNUMBER($N693),$N693&lt;significance_bar),IF($M693&lt;0,"worse","better"),IF($M693&lt;0,"worse, not significant","better, not significant")))))</f>
        <v/>
      </c>
      <c r="Y693">
        <f>IF($V693,$X693,$W693)</f>
        <v/>
      </c>
      <c r="Z693">
        <f>IF($V693,IF($P693="","",$P693),IF($O693="","",$O693))</f>
        <v/>
      </c>
      <c r="AA693">
        <f>IF(OR($Q693="",$Z693=""),"",IF(AND($Z693&gt;0,$Z693&gt;=$Q693),"yes","below the line"))</f>
        <v/>
      </c>
      <c r="AB693">
        <f>IF($V693,IF($M693="","",$M693),IF($K693="","",$K693))</f>
        <v/>
      </c>
      <c r="AC693">
        <f>IF($V693,IF($N693="","",$N693),IF($L693="","",$L693))</f>
        <v/>
      </c>
      <c r="AD693">
        <f>IF($Y693="","",IF($Y693="in line",IF(profit_kind="test",IF(ROUND($AB693*100,2)=0,"0.00",TEXT($AB693*100,"+0.00;-0.00"))&amp;" points against "&amp;IF($V693,"its band","the book")&amp;", "&amp;IF($AC693="","not tested","not significant"),IF(profit_kind="points","within "&amp;TEXT(profit_line*100,"0.00")&amp;" points of "&amp;IF($V693,"its band","the book")&amp;" ("&amp;IF(ROUND($AB693*100,2)=0,"0.00",TEXT($AB693*100,"+0.00;-0.00"))&amp;")","within $"&amp;TEXT(profit_line,"#,##0")&amp;" of "&amp;IF($V693,"its band","the book")&amp;" ("&amp;IF(ROUND($AB693*100,2)=0,"0.00",TEXT($AB693*100,"+0.00;-0.00"))&amp;" points)")),IF(LEFT($Y693,5)="worse","short of ","ahead of ")&amp;IF($V693,"its band","the book")&amp;" by "&amp;TEXT(ABS($AB693)*100,"0.00")&amp;" points"&amp;IF($Z693="",""," ($"&amp;TEXT(ABS($Z693),"#,##0")&amp;")")&amp;IF(RIGHT($Y693,15)="not significant"," (not significant)","")))</f>
        <v/>
      </c>
      <c r="AE693">
        <f>IF($V693,IF($S693="","",$S693),IF($R693="","",$R693))</f>
        <v/>
      </c>
      <c r="AF693">
        <f>IF($V693,IF($U693="","",$U693),IF($T693="","",$T693))</f>
        <v/>
      </c>
      <c r="AG693">
        <f>IF($V693,IF($O693="","",$O693),IF($P693="","",$P693))</f>
        <v/>
      </c>
      <c r="AH693" t="n">
        <v>0.2796604277488262</v>
      </c>
      <c r="AI693">
        <f>IF($Y693="worse","Yes",IF($Y693="worse, not significant","Not sure",IF(OR($Y693="too few losses to test",$Y693="too few loans to test"),"Too few losses",IF($Y693="","","No"))))</f>
        <v/>
      </c>
      <c r="AJ693">
        <f>IF($AA693="yes","Yes",IF($AA693="","","No"))</f>
        <v/>
      </c>
    </row>
    <row r="694">
      <c r="A694" t="inlineStr">
        <is>
          <t>three-way</t>
        </is>
      </c>
      <c r="B694" t="inlineStr">
        <is>
          <t>FICO x ASSET_CLASS / SYS_FLAG</t>
        </is>
      </c>
      <c r="C694" t="inlineStr">
        <is>
          <t>686 - 711</t>
        </is>
      </c>
      <c r="D694" t="inlineStr">
        <is>
          <t>4 / SYS_FLAG N</t>
        </is>
      </c>
      <c r="E694" t="inlineStr">
        <is>
          <t>outcome_loans</t>
        </is>
      </c>
      <c r="F694" t="inlineStr">
        <is>
          <t>Outcome, share of loans</t>
        </is>
      </c>
      <c r="G694" t="n">
        <v>235</v>
      </c>
      <c r="H694" t="n">
        <v>235</v>
      </c>
      <c r="I694" t="b">
        <v>0</v>
      </c>
      <c r="J694" t="b">
        <v>0</v>
      </c>
      <c r="K694" t="n">
        <v>0.9894997698870677</v>
      </c>
      <c r="L694" t="n">
        <v>0.9633565709174763</v>
      </c>
      <c r="M694" t="n">
        <v>1.303109656301146</v>
      </c>
      <c r="N694" t="n">
        <v>0.5470425365470847</v>
      </c>
      <c r="O694" t="n">
        <v>-0.1910097887686746</v>
      </c>
      <c r="P694" t="n">
        <v>4.186887716654107</v>
      </c>
      <c r="Q694">
        <f>'_live'!$C$20</f>
        <v/>
      </c>
      <c r="R694" t="inlineStr">
        <is>
          <t>z test</t>
        </is>
      </c>
      <c r="S694" t="inlineStr">
        <is>
          <t>z test</t>
        </is>
      </c>
      <c r="T694" t="n">
        <v>0.07740855229263266</v>
      </c>
      <c r="U694" t="n">
        <v>0.0587792012057272</v>
      </c>
      <c r="V694">
        <f>AND(judged_band,NOT($J694))</f>
        <v/>
      </c>
      <c r="W694">
        <f>IF($K694="","",IF($I694,"too few losses to test",IF(AND($K694&gt;better_at,$K694&lt;worse_at),"in line",IF($K694&gt;=worse_at,IF(AND(ISNUMBER($L694),$L694&lt;significance_bar),"worse","worse, not significant"),IF(AND(ISNUMBER($L694),$L694&lt;significance_bar),"better","better, not significant")))))</f>
        <v/>
      </c>
      <c r="X694">
        <f>IF($M694="","",IF($I694,"too few losses to test",IF(AND($M694&gt;better_at,$M694&lt;worse_at),"in line",IF($M694&gt;=worse_at,IF(AND(ISNUMBER($N694),$N694&lt;significance_bar),"worse","worse, not significant"),IF(AND(ISNUMBER($N694),$N694&lt;significance_bar),"better","better, not significant")))))</f>
        <v/>
      </c>
      <c r="Y694">
        <f>IF($V694,$X694,$W694)</f>
        <v/>
      </c>
      <c r="Z694">
        <f>IF($V694,IF($P694="","",$P694),IF($O694="","",$O694))</f>
        <v/>
      </c>
      <c r="AA694">
        <f>IF(OR($Q694="",$Z694=""),"",IF(AND($Z694&gt;0,$Z694&gt;=$Q694),"yes","below the line"))</f>
        <v/>
      </c>
      <c r="AB694">
        <f>IF($V694,IF($M694="","",$M694),IF($K694="","",$K694))</f>
        <v/>
      </c>
      <c r="AC694">
        <f>IF($V694,IF($N694="","",$N694),IF($L694="","",$L694))</f>
        <v/>
      </c>
      <c r="AD694">
        <f>$Y694</f>
        <v/>
      </c>
      <c r="AE694">
        <f>IF($V694,IF($S694="","",$S694),IF($R694="","",$R694))</f>
        <v/>
      </c>
      <c r="AF694">
        <f>IF($V694,IF($U694="","",$U694),IF($T694="","",$T694))</f>
        <v/>
      </c>
      <c r="AG694">
        <f>IF($V694,IF($O694="","",$O694),IF($P694="","",$P694))</f>
        <v/>
      </c>
      <c r="AH694" t="n">
        <v>0.07659574468085106</v>
      </c>
      <c r="AI694">
        <f>IF($Y694="worse","Yes",IF($Y694="worse, not significant","Not sure",IF(OR($Y694="too few losses to test",$Y694="too few loans to test"),"Too few losses",IF($Y694="","","No"))))</f>
        <v/>
      </c>
      <c r="AJ694">
        <f>IF($AA694="yes","Yes",IF($AA694="","","No"))</f>
        <v/>
      </c>
    </row>
    <row r="695">
      <c r="A695" t="inlineStr">
        <is>
          <t>three-way</t>
        </is>
      </c>
      <c r="B695" t="inlineStr">
        <is>
          <t>FICO x ASSET_CLASS / SYS_FLAG</t>
        </is>
      </c>
      <c r="C695" t="inlineStr">
        <is>
          <t>686 - 711</t>
        </is>
      </c>
      <c r="D695" t="inlineStr">
        <is>
          <t>4 / SYS_FLAG N</t>
        </is>
      </c>
      <c r="E695" t="inlineStr">
        <is>
          <t>outcome_booked</t>
        </is>
      </c>
      <c r="F695" t="inlineStr">
        <is>
          <t>Outcome, share of booked dollars</t>
        </is>
      </c>
      <c r="G695" t="n">
        <v>235</v>
      </c>
      <c r="H695" t="n">
        <v>7510224.44</v>
      </c>
      <c r="I695" t="b">
        <v>0</v>
      </c>
      <c r="J695" t="b">
        <v>0</v>
      </c>
      <c r="K695" t="n">
        <v>0.7529165971835473</v>
      </c>
      <c r="L695" t="n">
        <v>0.4745969847459698</v>
      </c>
      <c r="M695" t="n">
        <v>0.9976451176835937</v>
      </c>
      <c r="N695" t="n">
        <v>0.9947005299470053</v>
      </c>
      <c r="O695" t="n">
        <v>-139862.1542028822</v>
      </c>
      <c r="P695" t="n">
        <v>-1005.996887430374</v>
      </c>
      <c r="Q695">
        <f>'_live'!$C$21</f>
        <v/>
      </c>
      <c r="R695" t="inlineStr">
        <is>
          <t>shuffled: 3,285 of 10,000</t>
        </is>
      </c>
      <c r="S695" t="inlineStr">
        <is>
          <t>shuffled: 9,947 of 10,000</t>
        </is>
      </c>
      <c r="T695" t="n">
        <v>0.07537090385582168</v>
      </c>
      <c r="U695" t="n">
        <v>0.05688195476717742</v>
      </c>
      <c r="V695">
        <f>AND(judged_band,NOT($J695))</f>
        <v/>
      </c>
      <c r="W695">
        <f>IF($K695="","",IF($I695,"too few losses to test",IF(AND($K695&gt;better_at,$K695&lt;worse_at),"in line",IF($K695&gt;=worse_at,IF(AND(ISNUMBER($L695),$L695&lt;significance_bar),"worse","worse, not significant"),IF(AND(ISNUMBER($L695),$L695&lt;significance_bar),"better","better, not significant")))))</f>
        <v/>
      </c>
      <c r="X695">
        <f>IF($M695="","",IF($I695,"too few losses to test",IF(AND($M695&gt;better_at,$M695&lt;worse_at),"in line",IF($M695&gt;=worse_at,IF(AND(ISNUMBER($N695),$N695&lt;significance_bar),"worse","worse, not significant"),IF(AND(ISNUMBER($N695),$N695&lt;significance_bar),"better","better, not significant")))))</f>
        <v/>
      </c>
      <c r="Y695">
        <f>IF($V695,$X695,$W695)</f>
        <v/>
      </c>
      <c r="Z695">
        <f>IF($V695,IF($P695="","",$P695),IF($O695="","",$O695))</f>
        <v/>
      </c>
      <c r="AA695">
        <f>IF(OR($Q695="",$Z695=""),"",IF(AND($Z695&gt;0,$Z695&gt;=$Q695),"yes","below the line"))</f>
        <v/>
      </c>
      <c r="AB695">
        <f>IF($V695,IF($M695="","",$M695),IF($K695="","",$K695))</f>
        <v/>
      </c>
      <c r="AC695">
        <f>IF($V695,IF($N695="","",$N695),IF($L695="","",$L695))</f>
        <v/>
      </c>
      <c r="AD695">
        <f>$Y695</f>
        <v/>
      </c>
      <c r="AE695">
        <f>IF($V695,IF($S695="","",$S695),IF($R695="","",$R695))</f>
        <v/>
      </c>
      <c r="AF695">
        <f>IF($V695,IF($U695="","",$U695),IF($T695="","",$T695))</f>
        <v/>
      </c>
      <c r="AG695">
        <f>IF($V695,IF($O695="","",$O695),IF($P695="","",$P695))</f>
        <v/>
      </c>
      <c r="AH695" t="n">
        <v>0.05674800445777357</v>
      </c>
      <c r="AI695">
        <f>IF($Y695="worse","Yes",IF($Y695="worse, not significant","Not sure",IF(OR($Y695="too few losses to test",$Y695="too few loans to test"),"Too few losses",IF($Y695="","","No"))))</f>
        <v/>
      </c>
      <c r="AJ695">
        <f>IF($AA695="yes","Yes",IF($AA695="","","No"))</f>
        <v/>
      </c>
    </row>
    <row r="696">
      <c r="A696" t="inlineStr">
        <is>
          <t>three-way</t>
        </is>
      </c>
      <c r="B696" t="inlineStr">
        <is>
          <t>FICO x ASSET_CLASS / SYS_FLAG</t>
        </is>
      </c>
      <c r="C696" t="inlineStr">
        <is>
          <t>686 - 711</t>
        </is>
      </c>
      <c r="D696" t="inlineStr">
        <is>
          <t>4 / SYS_FLAG N</t>
        </is>
      </c>
      <c r="E696" t="inlineStr">
        <is>
          <t>gco_rate</t>
        </is>
      </c>
      <c r="F696" t="inlineStr">
        <is>
          <t>GCO per booked dollar</t>
        </is>
      </c>
      <c r="G696" t="n">
        <v>235</v>
      </c>
      <c r="H696" t="n">
        <v>7510224.44</v>
      </c>
      <c r="I696" t="b">
        <v>0</v>
      </c>
      <c r="J696" t="b">
        <v>0</v>
      </c>
      <c r="K696" t="n">
        <v>0.7600621709835806</v>
      </c>
      <c r="L696" t="n">
        <v>0.5079071040264393</v>
      </c>
      <c r="M696" t="n">
        <v>1.012300197648462</v>
      </c>
      <c r="N696" t="n">
        <v>0.9754024597540246</v>
      </c>
      <c r="O696" t="n">
        <v>-75499.40780325813</v>
      </c>
      <c r="P696" t="n">
        <v>2906.007336585404</v>
      </c>
      <c r="Q696">
        <f>'_live'!$C$22</f>
        <v/>
      </c>
      <c r="R696" t="inlineStr">
        <is>
          <t>shuffled: 3,627 of 10,000</t>
        </is>
      </c>
      <c r="S696" t="inlineStr">
        <is>
          <t>shuffled: 9,683 of 10,000</t>
        </is>
      </c>
      <c r="T696" t="n">
        <v>0.04189786607805533</v>
      </c>
      <c r="U696" t="n">
        <v>0.03145804290549466</v>
      </c>
      <c r="V696">
        <f>AND(judged_band,NOT($J696))</f>
        <v/>
      </c>
      <c r="W696">
        <f>IF($K696="","",IF($I696,"too few losses to test",IF(AND($K696&gt;better_at,$K696&lt;worse_at),"in line",IF($K696&gt;=worse_at,IF(AND(ISNUMBER($L696),$L696&lt;significance_bar),"worse","worse, not significant"),IF(AND(ISNUMBER($L696),$L696&lt;significance_bar),"better","better, not significant")))))</f>
        <v/>
      </c>
      <c r="X696">
        <f>IF($M696="","",IF($I696,"too few losses to test",IF(AND($M696&gt;better_at,$M696&lt;worse_at),"in line",IF($M696&gt;=worse_at,IF(AND(ISNUMBER($N696),$N696&lt;significance_bar),"worse","worse, not significant"),IF(AND(ISNUMBER($N696),$N696&lt;significance_bar),"better","better, not significant")))))</f>
        <v/>
      </c>
      <c r="Y696">
        <f>IF($V696,$X696,$W696)</f>
        <v/>
      </c>
      <c r="Z696">
        <f>IF($V696,IF($P696="","",$P696),IF($O696="","",$O696))</f>
        <v/>
      </c>
      <c r="AA696">
        <f>IF(OR($Q696="",$Z696=""),"",IF(AND($Z696&gt;0,$Z696&gt;=$Q696),"yes","below the line"))</f>
        <v/>
      </c>
      <c r="AB696">
        <f>IF($V696,IF($M696="","",$M696),IF($K696="","",$K696))</f>
        <v/>
      </c>
      <c r="AC696">
        <f>IF($V696,IF($N696="","",$N696),IF($L696="","",$L696))</f>
        <v/>
      </c>
      <c r="AD696">
        <f>$Y696</f>
        <v/>
      </c>
      <c r="AE696">
        <f>IF($V696,IF($S696="","",$S696),IF($R696="","",$R696))</f>
        <v/>
      </c>
      <c r="AF696">
        <f>IF($V696,IF($U696="","",$U696),IF($T696="","",$T696))</f>
        <v/>
      </c>
      <c r="AG696">
        <f>IF($V696,IF($O696="","",$O696),IF($P696="","",$P696))</f>
        <v/>
      </c>
      <c r="AH696" t="n">
        <v>0.03184498305086605</v>
      </c>
      <c r="AI696">
        <f>IF($Y696="worse","Yes",IF($Y696="worse, not significant","Not sure",IF(OR($Y696="too few losses to test",$Y696="too few loans to test"),"Too few losses",IF($Y696="","","No"))))</f>
        <v/>
      </c>
      <c r="AJ696">
        <f>IF($AA696="yes","Yes",IF($AA696="","","No"))</f>
        <v/>
      </c>
    </row>
    <row r="697">
      <c r="A697" t="inlineStr">
        <is>
          <t>three-way</t>
        </is>
      </c>
      <c r="B697" t="inlineStr">
        <is>
          <t>FICO x ASSET_CLASS / SYS_FLAG</t>
        </is>
      </c>
      <c r="C697" t="inlineStr">
        <is>
          <t>686 - 711</t>
        </is>
      </c>
      <c r="D697" t="inlineStr">
        <is>
          <t>4 / SYS_FLAG N</t>
        </is>
      </c>
      <c r="E697" t="inlineStr">
        <is>
          <t>ranr_rate</t>
        </is>
      </c>
      <c r="F697" t="inlineStr">
        <is>
          <t>Profit after losses: RANR per booked dollar</t>
        </is>
      </c>
      <c r="G697" t="n">
        <v>235</v>
      </c>
      <c r="H697" t="n">
        <v>7510224.44</v>
      </c>
      <c r="I697" t="b">
        <v>0</v>
      </c>
      <c r="J697" t="b">
        <v>0</v>
      </c>
      <c r="K697" t="n">
        <v>0.02814039732451851</v>
      </c>
      <c r="L697" t="n">
        <v>0.06999300069993002</v>
      </c>
      <c r="M697" t="n">
        <v>0.01570518998476877</v>
      </c>
      <c r="N697" t="n">
        <v>0.5190338109046239</v>
      </c>
      <c r="O697" t="n">
        <v>-211340.6997379094</v>
      </c>
      <c r="P697" t="n">
        <v>-117949.5016584536</v>
      </c>
      <c r="Q697">
        <f>'_live'!$C$23</f>
        <v/>
      </c>
      <c r="R697" t="inlineStr">
        <is>
          <t>shuffled: 385 of 10,000</t>
        </is>
      </c>
      <c r="S697" t="inlineStr">
        <is>
          <t>shuffled: 2,180 of 10,000</t>
        </is>
      </c>
      <c r="T697" t="n">
        <v>0.1271711169076714</v>
      </c>
      <c r="U697" t="n">
        <v>0.1396063242474211</v>
      </c>
      <c r="V697">
        <f>AND(judged_band,NOT($J697))</f>
        <v/>
      </c>
      <c r="W697">
        <f>IF($K697="","",IF(profit_kind="test",IF(OR(NOT(AND(ISNUMBER($L697),$L697&lt;significance_bar)),$K697=0),"in line",IF($K697&lt;0,"worse","better")),IF(OR($K697=0,IF(profit_kind="points",ABS($K697),ABS($K697*$H697))&lt;profit_line*(1-1E-9)),"in line",IF(AND(ISNUMBER($L697),$L697&lt;significance_bar),IF($K697&lt;0,"worse","better"),IF($K697&lt;0,"worse, not significant","better, not significant")))))</f>
        <v/>
      </c>
      <c r="X697">
        <f>IF($M697="","",IF(profit_kind="test",IF(OR(NOT(AND(ISNUMBER($N697),$N697&lt;significance_bar)),$M697=0),"in line",IF($M697&lt;0,"worse","better")),IF(OR($M697=0,IF(profit_kind="points",ABS($M697),ABS($M697*$H697))&lt;profit_line*(1-1E-9)),"in line",IF(AND(ISNUMBER($N697),$N697&lt;significance_bar),IF($M697&lt;0,"worse","better"),IF($M697&lt;0,"worse, not significant","better, not significant")))))</f>
        <v/>
      </c>
      <c r="Y697">
        <f>IF($V697,$X697,$W697)</f>
        <v/>
      </c>
      <c r="Z697">
        <f>IF($V697,IF($P697="","",$P697),IF($O697="","",$O697))</f>
        <v/>
      </c>
      <c r="AA697">
        <f>IF(OR($Q697="",$Z697=""),"",IF(AND($Z697&gt;0,$Z697&gt;=$Q697),"yes","below the line"))</f>
        <v/>
      </c>
      <c r="AB697">
        <f>IF($V697,IF($M697="","",$M697),IF($K697="","",$K697))</f>
        <v/>
      </c>
      <c r="AC697">
        <f>IF($V697,IF($N697="","",$N697),IF($L697="","",$L697))</f>
        <v/>
      </c>
      <c r="AD697">
        <f>IF($Y697="","",IF($Y697="in line",IF(profit_kind="test",IF(ROUND($AB697*100,2)=0,"0.00",TEXT($AB697*100,"+0.00;-0.00"))&amp;" points against "&amp;IF($V697,"its band","the book")&amp;", "&amp;IF($AC697="","not tested","not significant"),IF(profit_kind="points","within "&amp;TEXT(profit_line*100,"0.00")&amp;" points of "&amp;IF($V697,"its band","the book")&amp;" ("&amp;IF(ROUND($AB697*100,2)=0,"0.00",TEXT($AB697*100,"+0.00;-0.00"))&amp;")","within $"&amp;TEXT(profit_line,"#,##0")&amp;" of "&amp;IF($V697,"its band","the book")&amp;" ("&amp;IF(ROUND($AB697*100,2)=0,"0.00",TEXT($AB697*100,"+0.00;-0.00"))&amp;" points)")),IF(LEFT($Y697,5)="worse","short of ","ahead of ")&amp;IF($V697,"its band","the book")&amp;" by "&amp;TEXT(ABS($AB697)*100,"0.00")&amp;" points"&amp;IF($Z697="",""," ($"&amp;TEXT(ABS($Z697),"#,##0")&amp;")")&amp;IF(RIGHT($Y697,15)="not significant"," (not significant)","")))</f>
        <v/>
      </c>
      <c r="AE697">
        <f>IF($V697,IF($S697="","",$S697),IF($R697="","",$R697))</f>
        <v/>
      </c>
      <c r="AF697">
        <f>IF($V697,IF($U697="","",$U697),IF($T697="","",$T697))</f>
        <v/>
      </c>
      <c r="AG697">
        <f>IF($V697,IF($O697="","",$O697),IF($P697="","",$P697))</f>
        <v/>
      </c>
      <c r="AH697" t="n">
        <v>0.1553115142321899</v>
      </c>
      <c r="AI697">
        <f>IF($Y697="worse","Yes",IF($Y697="worse, not significant","Not sure",IF(OR($Y697="too few losses to test",$Y697="too few loans to test"),"Too few losses",IF($Y697="","","No"))))</f>
        <v/>
      </c>
      <c r="AJ697">
        <f>IF($AA697="yes","Yes",IF($AA697="","","No"))</f>
        <v/>
      </c>
    </row>
    <row r="698">
      <c r="A698" t="inlineStr">
        <is>
          <t>three-way</t>
        </is>
      </c>
      <c r="B698" t="inlineStr">
        <is>
          <t>FICO x ASSET_CLASS / SYS_FLAG</t>
        </is>
      </c>
      <c r="C698" t="inlineStr">
        <is>
          <t>686 - 711</t>
        </is>
      </c>
      <c r="D698" t="inlineStr">
        <is>
          <t>4 / SYS_FLAG N</t>
        </is>
      </c>
      <c r="E698" t="inlineStr">
        <is>
          <t>contribution_rate</t>
        </is>
      </c>
      <c r="F698" t="inlineStr">
        <is>
          <t>Contribution before losses per booked dollar</t>
        </is>
      </c>
      <c r="G698" t="n">
        <v>235</v>
      </c>
      <c r="H698" t="n">
        <v>7510224.44</v>
      </c>
      <c r="I698" t="b">
        <v>0</v>
      </c>
      <c r="J698" t="b">
        <v>0</v>
      </c>
      <c r="K698" t="n">
        <v>0.01809058898681845</v>
      </c>
      <c r="L698" t="n">
        <v>0.06441414682061206</v>
      </c>
      <c r="M698" t="n">
        <v>0.01609213013014005</v>
      </c>
      <c r="N698" t="n">
        <v>0.3827617238276173</v>
      </c>
      <c r="O698" t="n">
        <v>-135864.3835427987</v>
      </c>
      <c r="P698" t="n">
        <v>-120855.5089950382</v>
      </c>
      <c r="Q698">
        <f>'_live'!$C$24</f>
        <v/>
      </c>
      <c r="R698" t="inlineStr">
        <is>
          <t>shuffled: 446 of 10,000</t>
        </is>
      </c>
      <c r="S698" t="inlineStr">
        <is>
          <t>shuffled: 249 of 10,000</t>
        </is>
      </c>
      <c r="T698" t="n">
        <v>0.1690659082962374</v>
      </c>
      <c r="U698" t="n">
        <v>0.1710643671529158</v>
      </c>
      <c r="V698">
        <f>AND(judged_band,NOT($J698))</f>
        <v/>
      </c>
      <c r="W698">
        <f>IF($K698="","",IF(profit_kind="test",IF(OR(NOT(AND(ISNUMBER($L698),$L698&lt;significance_bar)),$K698=0),"in line",IF($K698&lt;0,"worse","better")),IF(OR($K698=0,IF(profit_kind="points",ABS($K698),ABS($K698*$H698))&lt;profit_line*(1-1E-9)),"in line",IF(AND(ISNUMBER($L698),$L698&lt;significance_bar),IF($K698&lt;0,"worse","better"),IF($K698&lt;0,"worse, not significant","better, not significant")))))</f>
        <v/>
      </c>
      <c r="X698">
        <f>IF($M698="","",IF(profit_kind="test",IF(OR(NOT(AND(ISNUMBER($N698),$N698&lt;significance_bar)),$M698=0),"in line",IF($M698&lt;0,"worse","better")),IF(OR($M698=0,IF(profit_kind="points",ABS($M698),ABS($M698*$H698))&lt;profit_line*(1-1E-9)),"in line",IF(AND(ISNUMBER($N698),$N698&lt;significance_bar),IF($M698&lt;0,"worse","better"),IF($M698&lt;0,"worse, not significant","better, not significant")))))</f>
        <v/>
      </c>
      <c r="Y698">
        <f>IF($V698,$X698,$W698)</f>
        <v/>
      </c>
      <c r="Z698">
        <f>IF($V698,IF($P698="","",$P698),IF($O698="","",$O698))</f>
        <v/>
      </c>
      <c r="AA698">
        <f>IF(OR($Q698="",$Z698=""),"",IF(AND($Z698&gt;0,$Z698&gt;=$Q698),"yes","below the line"))</f>
        <v/>
      </c>
      <c r="AB698">
        <f>IF($V698,IF($M698="","",$M698),IF($K698="","",$K698))</f>
        <v/>
      </c>
      <c r="AC698">
        <f>IF($V698,IF($N698="","",$N698),IF($L698="","",$L698))</f>
        <v/>
      </c>
      <c r="AD698">
        <f>IF($Y698="","",IF($Y698="in line",IF(profit_kind="test",IF(ROUND($AB698*100,2)=0,"0.00",TEXT($AB698*100,"+0.00;-0.00"))&amp;" points against "&amp;IF($V698,"its band","the book")&amp;", "&amp;IF($AC698="","not tested","not significant"),IF(profit_kind="points","within "&amp;TEXT(profit_line*100,"0.00")&amp;" points of "&amp;IF($V698,"its band","the book")&amp;" ("&amp;IF(ROUND($AB698*100,2)=0,"0.00",TEXT($AB698*100,"+0.00;-0.00"))&amp;")","within $"&amp;TEXT(profit_line,"#,##0")&amp;" of "&amp;IF($V698,"its band","the book")&amp;" ("&amp;IF(ROUND($AB698*100,2)=0,"0.00",TEXT($AB698*100,"+0.00;-0.00"))&amp;" points)")),IF(LEFT($Y698,5)="worse","short of ","ahead of ")&amp;IF($V698,"its band","the book")&amp;" by "&amp;TEXT(ABS($AB698)*100,"0.00")&amp;" points"&amp;IF($Z698="",""," ($"&amp;TEXT(ABS($Z698),"#,##0")&amp;")")&amp;IF(RIGHT($Y698,15)="not significant"," (not significant)","")))</f>
        <v/>
      </c>
      <c r="AE698">
        <f>IF($V698,IF($S698="","",$S698),IF($R698="","",$R698))</f>
        <v/>
      </c>
      <c r="AF698">
        <f>IF($V698,IF($U698="","",$U698),IF($T698="","",$T698))</f>
        <v/>
      </c>
      <c r="AG698">
        <f>IF($V698,IF($O698="","",$O698),IF($P698="","",$P698))</f>
        <v/>
      </c>
      <c r="AH698" t="n">
        <v>0.1871564972830558</v>
      </c>
      <c r="AI698">
        <f>IF($Y698="worse","Yes",IF($Y698="worse, not significant","Not sure",IF(OR($Y698="too few losses to test",$Y698="too few loans to test"),"Too few losses",IF($Y698="","","No"))))</f>
        <v/>
      </c>
      <c r="AJ698">
        <f>IF($AA698="yes","Yes",IF($AA698="","","No"))</f>
        <v/>
      </c>
    </row>
    <row r="699">
      <c r="A699" t="inlineStr">
        <is>
          <t>three-way</t>
        </is>
      </c>
      <c r="B699" t="inlineStr">
        <is>
          <t>FICO x ASSET_CLASS / SYS_FLAG</t>
        </is>
      </c>
      <c r="C699" t="inlineStr">
        <is>
          <t>654 - 685</t>
        </is>
      </c>
      <c r="D699" t="inlineStr">
        <is>
          <t>4 / SYS_FLAG N</t>
        </is>
      </c>
      <c r="E699" t="inlineStr">
        <is>
          <t>outcome_loans</t>
        </is>
      </c>
      <c r="F699" t="inlineStr">
        <is>
          <t>Outcome, share of loans</t>
        </is>
      </c>
      <c r="G699" t="n">
        <v>219</v>
      </c>
      <c r="H699" t="n">
        <v>219</v>
      </c>
      <c r="I699" t="b">
        <v>0</v>
      </c>
      <c r="J699" t="b">
        <v>0</v>
      </c>
      <c r="K699" t="n">
        <v>1.186147384148619</v>
      </c>
      <c r="L699" t="n">
        <v>0.563854801876237</v>
      </c>
      <c r="M699" t="n">
        <v>1.095890410958904</v>
      </c>
      <c r="N699" t="n">
        <v>0.7481717174350578</v>
      </c>
      <c r="O699" t="n">
        <v>3.138688946015424</v>
      </c>
      <c r="P699" t="n">
        <v>1.75</v>
      </c>
      <c r="Q699">
        <f>'_live'!$C$20</f>
        <v/>
      </c>
      <c r="R699" t="inlineStr">
        <is>
          <t>z test</t>
        </is>
      </c>
      <c r="S699" t="inlineStr">
        <is>
          <t>z test</t>
        </is>
      </c>
      <c r="T699" t="n">
        <v>0.0769922879177378</v>
      </c>
      <c r="U699" t="n">
        <v>0.08333333333333333</v>
      </c>
      <c r="V699">
        <f>AND(judged_band,NOT($J699))</f>
        <v/>
      </c>
      <c r="W699">
        <f>IF($K699="","",IF($I699,"too few losses to test",IF(AND($K699&gt;better_at,$K699&lt;worse_at),"in line",IF($K699&gt;=worse_at,IF(AND(ISNUMBER($L699),$L699&lt;significance_bar),"worse","worse, not significant"),IF(AND(ISNUMBER($L699),$L699&lt;significance_bar),"better","better, not significant")))))</f>
        <v/>
      </c>
      <c r="X699">
        <f>IF($M699="","",IF($I699,"too few losses to test",IF(AND($M699&gt;better_at,$M699&lt;worse_at),"in line",IF($M699&gt;=worse_at,IF(AND(ISNUMBER($N699),$N699&lt;significance_bar),"worse","worse, not significant"),IF(AND(ISNUMBER($N699),$N699&lt;significance_bar),"better","better, not significant")))))</f>
        <v/>
      </c>
      <c r="Y699">
        <f>IF($V699,$X699,$W699)</f>
        <v/>
      </c>
      <c r="Z699">
        <f>IF($V699,IF($P699="","",$P699),IF($O699="","",$O699))</f>
        <v/>
      </c>
      <c r="AA699">
        <f>IF(OR($Q699="",$Z699=""),"",IF(AND($Z699&gt;0,$Z699&gt;=$Q699),"yes","below the line"))</f>
        <v/>
      </c>
      <c r="AB699">
        <f>IF($V699,IF($M699="","",$M699),IF($K699="","",$K699))</f>
        <v/>
      </c>
      <c r="AC699">
        <f>IF($V699,IF($N699="","",$N699),IF($L699="","",$L699))</f>
        <v/>
      </c>
      <c r="AD699">
        <f>$Y699</f>
        <v/>
      </c>
      <c r="AE699">
        <f>IF($V699,IF($S699="","",$S699),IF($R699="","",$R699))</f>
        <v/>
      </c>
      <c r="AF699">
        <f>IF($V699,IF($U699="","",$U699),IF($T699="","",$T699))</f>
        <v/>
      </c>
      <c r="AG699">
        <f>IF($V699,IF($O699="","",$O699),IF($P699="","",$P699))</f>
        <v/>
      </c>
      <c r="AH699" t="n">
        <v>0.091324200913242</v>
      </c>
      <c r="AI699">
        <f>IF($Y699="worse","Yes",IF($Y699="worse, not significant","Not sure",IF(OR($Y699="too few losses to test",$Y699="too few loans to test"),"Too few losses",IF($Y699="","","No"))))</f>
        <v/>
      </c>
      <c r="AJ699">
        <f>IF($AA699="yes","Yes",IF($AA699="","","No"))</f>
        <v/>
      </c>
    </row>
    <row r="700">
      <c r="A700" t="inlineStr">
        <is>
          <t>three-way</t>
        </is>
      </c>
      <c r="B700" t="inlineStr">
        <is>
          <t>FICO x ASSET_CLASS / SYS_FLAG</t>
        </is>
      </c>
      <c r="C700" t="inlineStr">
        <is>
          <t>654 - 685</t>
        </is>
      </c>
      <c r="D700" t="inlineStr">
        <is>
          <t>4 / SYS_FLAG N</t>
        </is>
      </c>
      <c r="E700" t="inlineStr">
        <is>
          <t>outcome_booked</t>
        </is>
      </c>
      <c r="F700" t="inlineStr">
        <is>
          <t>Outcome, share of booked dollars</t>
        </is>
      </c>
      <c r="G700" t="n">
        <v>219</v>
      </c>
      <c r="H700" t="n">
        <v>7355987.799999998</v>
      </c>
      <c r="I700" t="b">
        <v>0</v>
      </c>
      <c r="J700" t="b">
        <v>0</v>
      </c>
      <c r="K700" t="n">
        <v>1.133529696902214</v>
      </c>
      <c r="L700" t="n">
        <v>0.6905135573399181</v>
      </c>
      <c r="M700" t="n">
        <v>1.069002639029308</v>
      </c>
      <c r="N700" t="n">
        <v>0.9609584496095845</v>
      </c>
      <c r="O700" t="n">
        <v>73221.38869493315</v>
      </c>
      <c r="P700" t="n">
        <v>40121.7552293007</v>
      </c>
      <c r="Q700">
        <f>'_live'!$C$21</f>
        <v/>
      </c>
      <c r="R700" t="inlineStr">
        <is>
          <t>shuffled: 6,108 of 10,000</t>
        </is>
      </c>
      <c r="S700" t="inlineStr">
        <is>
          <t>shuffled: 7,974 of 10,000</t>
        </is>
      </c>
      <c r="T700" t="n">
        <v>0.0745450993413919</v>
      </c>
      <c r="U700" t="n">
        <v>0.07904478508932537</v>
      </c>
      <c r="V700">
        <f>AND(judged_band,NOT($J700))</f>
        <v/>
      </c>
      <c r="W700">
        <f>IF($K700="","",IF($I700,"too few losses to test",IF(AND($K700&gt;better_at,$K700&lt;worse_at),"in line",IF($K700&gt;=worse_at,IF(AND(ISNUMBER($L700),$L700&lt;significance_bar),"worse","worse, not significant"),IF(AND(ISNUMBER($L700),$L700&lt;significance_bar),"better","better, not significant")))))</f>
        <v/>
      </c>
      <c r="X700">
        <f>IF($M700="","",IF($I700,"too few losses to test",IF(AND($M700&gt;better_at,$M700&lt;worse_at),"in line",IF($M700&gt;=worse_at,IF(AND(ISNUMBER($N700),$N700&lt;significance_bar),"worse","worse, not significant"),IF(AND(ISNUMBER($N700),$N700&lt;significance_bar),"better","better, not significant")))))</f>
        <v/>
      </c>
      <c r="Y700">
        <f>IF($V700,$X700,$W700)</f>
        <v/>
      </c>
      <c r="Z700">
        <f>IF($V700,IF($P700="","",$P700),IF($O700="","",$O700))</f>
        <v/>
      </c>
      <c r="AA700">
        <f>IF(OR($Q700="",$Z700=""),"",IF(AND($Z700&gt;0,$Z700&gt;=$Q700),"yes","below the line"))</f>
        <v/>
      </c>
      <c r="AB700">
        <f>IF($V700,IF($M700="","",$M700),IF($K700="","",$K700))</f>
        <v/>
      </c>
      <c r="AC700">
        <f>IF($V700,IF($N700="","",$N700),IF($L700="","",$L700))</f>
        <v/>
      </c>
      <c r="AD700">
        <f>$Y700</f>
        <v/>
      </c>
      <c r="AE700">
        <f>IF($V700,IF($S700="","",$S700),IF($R700="","",$R700))</f>
        <v/>
      </c>
      <c r="AF700">
        <f>IF($V700,IF($U700="","",$U700),IF($T700="","",$T700))</f>
        <v/>
      </c>
      <c r="AG700">
        <f>IF($V700,IF($O700="","",$O700),IF($P700="","",$P700))</f>
        <v/>
      </c>
      <c r="AH700" t="n">
        <v>0.08449908386199335</v>
      </c>
      <c r="AI700">
        <f>IF($Y700="worse","Yes",IF($Y700="worse, not significant","Not sure",IF(OR($Y700="too few losses to test",$Y700="too few loans to test"),"Too few losses",IF($Y700="","","No"))))</f>
        <v/>
      </c>
      <c r="AJ700">
        <f>IF($AA700="yes","Yes",IF($AA700="","","No"))</f>
        <v/>
      </c>
    </row>
    <row r="701">
      <c r="A701" t="inlineStr">
        <is>
          <t>three-way</t>
        </is>
      </c>
      <c r="B701" t="inlineStr">
        <is>
          <t>FICO x ASSET_CLASS / SYS_FLAG</t>
        </is>
      </c>
      <c r="C701" t="inlineStr">
        <is>
          <t>654 - 685</t>
        </is>
      </c>
      <c r="D701" t="inlineStr">
        <is>
          <t>4 / SYS_FLAG N</t>
        </is>
      </c>
      <c r="E701" t="inlineStr">
        <is>
          <t>gco_rate</t>
        </is>
      </c>
      <c r="F701" t="inlineStr">
        <is>
          <t>GCO per booked dollar</t>
        </is>
      </c>
      <c r="G701" t="n">
        <v>219</v>
      </c>
      <c r="H701" t="n">
        <v>7355987.799999998</v>
      </c>
      <c r="I701" t="b">
        <v>0</v>
      </c>
      <c r="J701" t="b">
        <v>0</v>
      </c>
      <c r="K701" t="n">
        <v>1.053024850593748</v>
      </c>
      <c r="L701" t="n">
        <v>0.9226910642269107</v>
      </c>
      <c r="M701" t="n">
        <v>0.962027973946098</v>
      </c>
      <c r="N701" t="n">
        <v>0.9754024597540246</v>
      </c>
      <c r="O701" t="n">
        <v>16203.64585058141</v>
      </c>
      <c r="P701" t="n">
        <v>-12701.29429491778</v>
      </c>
      <c r="Q701">
        <f>'_live'!$C$22</f>
        <v/>
      </c>
      <c r="R701" t="inlineStr">
        <is>
          <t>shuffled: 8,464 of 10,000</t>
        </is>
      </c>
      <c r="S701" t="inlineStr">
        <is>
          <t>shuffled: 8,910 of 10,000</t>
        </is>
      </c>
      <c r="T701" t="n">
        <v>0.04154246750510091</v>
      </c>
      <c r="U701" t="n">
        <v>0.04547191123602977</v>
      </c>
      <c r="V701">
        <f>AND(judged_band,NOT($J701))</f>
        <v/>
      </c>
      <c r="W701">
        <f>IF($K701="","",IF($I701,"too few losses to test",IF(AND($K701&gt;better_at,$K701&lt;worse_at),"in line",IF($K701&gt;=worse_at,IF(AND(ISNUMBER($L701),$L701&lt;significance_bar),"worse","worse, not significant"),IF(AND(ISNUMBER($L701),$L701&lt;significance_bar),"better","better, not significant")))))</f>
        <v/>
      </c>
      <c r="X701">
        <f>IF($M701="","",IF($I701,"too few losses to test",IF(AND($M701&gt;better_at,$M701&lt;worse_at),"in line",IF($M701&gt;=worse_at,IF(AND(ISNUMBER($N701),$N701&lt;significance_bar),"worse","worse, not significant"),IF(AND(ISNUMBER($N701),$N701&lt;significance_bar),"better","better, not significant")))))</f>
        <v/>
      </c>
      <c r="Y701">
        <f>IF($V701,$X701,$W701)</f>
        <v/>
      </c>
      <c r="Z701">
        <f>IF($V701,IF($P701="","",$P701),IF($O701="","",$O701))</f>
        <v/>
      </c>
      <c r="AA701">
        <f>IF(OR($Q701="",$Z701=""),"",IF(AND($Z701&gt;0,$Z701&gt;=$Q701),"yes","below the line"))</f>
        <v/>
      </c>
      <c r="AB701">
        <f>IF($V701,IF($M701="","",$M701),IF($K701="","",$K701))</f>
        <v/>
      </c>
      <c r="AC701">
        <f>IF($V701,IF($N701="","",$N701),IF($L701="","",$L701))</f>
        <v/>
      </c>
      <c r="AD701">
        <f>$Y701</f>
        <v/>
      </c>
      <c r="AE701">
        <f>IF($V701,IF($S701="","",$S701),IF($R701="","",$R701))</f>
        <v/>
      </c>
      <c r="AF701">
        <f>IF($V701,IF($U701="","",$U701),IF($T701="","",$T701))</f>
        <v/>
      </c>
      <c r="AG701">
        <f>IF($V701,IF($O701="","",$O701),IF($P701="","",$P701))</f>
        <v/>
      </c>
      <c r="AH701" t="n">
        <v>0.04374525063785453</v>
      </c>
      <c r="AI701">
        <f>IF($Y701="worse","Yes",IF($Y701="worse, not significant","Not sure",IF(OR($Y701="too few losses to test",$Y701="too few loans to test"),"Too few losses",IF($Y701="","","No"))))</f>
        <v/>
      </c>
      <c r="AJ701">
        <f>IF($AA701="yes","Yes",IF($AA701="","","No"))</f>
        <v/>
      </c>
    </row>
    <row r="702">
      <c r="A702" t="inlineStr">
        <is>
          <t>three-way</t>
        </is>
      </c>
      <c r="B702" t="inlineStr">
        <is>
          <t>FICO x ASSET_CLASS / SYS_FLAG</t>
        </is>
      </c>
      <c r="C702" t="inlineStr">
        <is>
          <t>654 - 685</t>
        </is>
      </c>
      <c r="D702" t="inlineStr">
        <is>
          <t>4 / SYS_FLAG N</t>
        </is>
      </c>
      <c r="E702" t="inlineStr">
        <is>
          <t>ranr_rate</t>
        </is>
      </c>
      <c r="F702" t="inlineStr">
        <is>
          <t>Profit after losses: RANR per booked dollar</t>
        </is>
      </c>
      <c r="G702" t="n">
        <v>219</v>
      </c>
      <c r="H702" t="n">
        <v>7355987.799999998</v>
      </c>
      <c r="I702" t="b">
        <v>0</v>
      </c>
      <c r="J702" t="b">
        <v>0</v>
      </c>
      <c r="K702" t="n">
        <v>0.03520169782963906</v>
      </c>
      <c r="L702" t="n">
        <v>0.02854497158979754</v>
      </c>
      <c r="M702" t="n">
        <v>-0.001042472875189049</v>
      </c>
      <c r="N702" t="n">
        <v>0.9703029697030296</v>
      </c>
      <c r="O702" t="n">
        <v>-258943.2597741113</v>
      </c>
      <c r="P702" t="n">
        <v>7668.417751721572</v>
      </c>
      <c r="Q702">
        <f>'_live'!$C$23</f>
        <v/>
      </c>
      <c r="R702" t="inlineStr">
        <is>
          <t>shuffled: 133 of 10,000</t>
        </is>
      </c>
      <c r="S702" t="inlineStr">
        <is>
          <t>shuffled: 9,466 of 10,000</t>
        </is>
      </c>
      <c r="T702" t="n">
        <v>0.1269866597965116</v>
      </c>
      <c r="U702" t="n">
        <v>0.1632308305013397</v>
      </c>
      <c r="V702">
        <f>AND(judged_band,NOT($J702))</f>
        <v/>
      </c>
      <c r="W702">
        <f>IF($K702="","",IF(profit_kind="test",IF(OR(NOT(AND(ISNUMBER($L702),$L702&lt;significance_bar)),$K702=0),"in line",IF($K702&lt;0,"worse","better")),IF(OR($K702=0,IF(profit_kind="points",ABS($K702),ABS($K702*$H702))&lt;profit_line*(1-1E-9)),"in line",IF(AND(ISNUMBER($L702),$L702&lt;significance_bar),IF($K702&lt;0,"worse","better"),IF($K702&lt;0,"worse, not significant","better, not significant")))))</f>
        <v/>
      </c>
      <c r="X702">
        <f>IF($M702="","",IF(profit_kind="test",IF(OR(NOT(AND(ISNUMBER($N702),$N702&lt;significance_bar)),$M702=0),"in line",IF($M702&lt;0,"worse","better")),IF(OR($M702=0,IF(profit_kind="points",ABS($M702),ABS($M702*$H702))&lt;profit_line*(1-1E-9)),"in line",IF(AND(ISNUMBER($N702),$N702&lt;significance_bar),IF($M702&lt;0,"worse","better"),IF($M702&lt;0,"worse, not significant","better, not significant")))))</f>
        <v/>
      </c>
      <c r="Y702">
        <f>IF($V702,$X702,$W702)</f>
        <v/>
      </c>
      <c r="Z702">
        <f>IF($V702,IF($P702="","",$P702),IF($O702="","",$O702))</f>
        <v/>
      </c>
      <c r="AA702">
        <f>IF(OR($Q702="",$Z702=""),"",IF(AND($Z702&gt;0,$Z702&gt;=$Q702),"yes","below the line"))</f>
        <v/>
      </c>
      <c r="AB702">
        <f>IF($V702,IF($M702="","",$M702),IF($K702="","",$K702))</f>
        <v/>
      </c>
      <c r="AC702">
        <f>IF($V702,IF($N702="","",$N702),IF($L702="","",$L702))</f>
        <v/>
      </c>
      <c r="AD702">
        <f>IF($Y702="","",IF($Y702="in line",IF(profit_kind="test",IF(ROUND($AB702*100,2)=0,"0.00",TEXT($AB702*100,"+0.00;-0.00"))&amp;" points against "&amp;IF($V702,"its band","the book")&amp;", "&amp;IF($AC702="","not tested","not significant"),IF(profit_kind="points","within "&amp;TEXT(profit_line*100,"0.00")&amp;" points of "&amp;IF($V702,"its band","the book")&amp;" ("&amp;IF(ROUND($AB702*100,2)=0,"0.00",TEXT($AB702*100,"+0.00;-0.00"))&amp;")","within $"&amp;TEXT(profit_line,"#,##0")&amp;" of "&amp;IF($V702,"its band","the book")&amp;" ("&amp;IF(ROUND($AB702*100,2)=0,"0.00",TEXT($AB702*100,"+0.00;-0.00"))&amp;" points)")),IF(LEFT($Y702,5)="worse","short of ","ahead of ")&amp;IF($V702,"its band","the book")&amp;" by "&amp;TEXT(ABS($AB702)*100,"0.00")&amp;" points"&amp;IF($Z702="",""," ($"&amp;TEXT(ABS($Z702),"#,##0")&amp;")")&amp;IF(RIGHT($Y702,15)="not significant"," (not significant)","")))</f>
        <v/>
      </c>
      <c r="AE702">
        <f>IF($V702,IF($S702="","",$S702),IF($R702="","",$R702))</f>
        <v/>
      </c>
      <c r="AF702">
        <f>IF($V702,IF($U702="","",$U702),IF($T702="","",$T702))</f>
        <v/>
      </c>
      <c r="AG702">
        <f>IF($V702,IF($O702="","",$O702),IF($P702="","",$P702))</f>
        <v/>
      </c>
      <c r="AH702" t="n">
        <v>0.1621883576261506</v>
      </c>
      <c r="AI702">
        <f>IF($Y702="worse","Yes",IF($Y702="worse, not significant","Not sure",IF(OR($Y702="too few losses to test",$Y702="too few loans to test"),"Too few losses",IF($Y702="","","No"))))</f>
        <v/>
      </c>
      <c r="AJ702">
        <f>IF($AA702="yes","Yes",IF($AA702="","","No"))</f>
        <v/>
      </c>
    </row>
    <row r="703">
      <c r="A703" t="inlineStr">
        <is>
          <t>three-way</t>
        </is>
      </c>
      <c r="B703" t="inlineStr">
        <is>
          <t>FICO x ASSET_CLASS / SYS_FLAG</t>
        </is>
      </c>
      <c r="C703" t="inlineStr">
        <is>
          <t>654 - 685</t>
        </is>
      </c>
      <c r="D703" t="inlineStr">
        <is>
          <t>4 / SYS_FLAG N</t>
        </is>
      </c>
      <c r="E703" t="inlineStr">
        <is>
          <t>contribution_rate</t>
        </is>
      </c>
      <c r="F703" t="inlineStr">
        <is>
          <t>Contribution before losses per booked dollar</t>
        </is>
      </c>
      <c r="G703" t="n">
        <v>219</v>
      </c>
      <c r="H703" t="n">
        <v>7355987.799999998</v>
      </c>
      <c r="I703" t="b">
        <v>0</v>
      </c>
      <c r="J703" t="b">
        <v>0</v>
      </c>
      <c r="K703" t="n">
        <v>0.03740758296177066</v>
      </c>
      <c r="L703" t="n">
        <v>0.0001814633351479667</v>
      </c>
      <c r="M703" t="n">
        <v>-0.002769133473364327</v>
      </c>
      <c r="N703" t="n">
        <v>0.9799190293736585</v>
      </c>
      <c r="O703" t="n">
        <v>-275169.7238942727</v>
      </c>
      <c r="P703" t="n">
        <v>20369.71204663976</v>
      </c>
      <c r="Q703">
        <f>'_live'!$C$24</f>
        <v/>
      </c>
      <c r="R703" t="inlineStr">
        <is>
          <t>shuffled: 0 of 10,000</t>
        </is>
      </c>
      <c r="S703" t="inlineStr">
        <is>
          <t>shuffled: 7,497 of 10,000</t>
        </is>
      </c>
      <c r="T703" t="n">
        <v>0.1685260253022345</v>
      </c>
      <c r="U703" t="n">
        <v>0.2087027417373694</v>
      </c>
      <c r="V703">
        <f>AND(judged_band,NOT($J703))</f>
        <v/>
      </c>
      <c r="W703">
        <f>IF($K703="","",IF(profit_kind="test",IF(OR(NOT(AND(ISNUMBER($L703),$L703&lt;significance_bar)),$K703=0),"in line",IF($K703&lt;0,"worse","better")),IF(OR($K703=0,IF(profit_kind="points",ABS($K703),ABS($K703*$H703))&lt;profit_line*(1-1E-9)),"in line",IF(AND(ISNUMBER($L703),$L703&lt;significance_bar),IF($K703&lt;0,"worse","better"),IF($K703&lt;0,"worse, not significant","better, not significant")))))</f>
        <v/>
      </c>
      <c r="X703">
        <f>IF($M703="","",IF(profit_kind="test",IF(OR(NOT(AND(ISNUMBER($N703),$N703&lt;significance_bar)),$M703=0),"in line",IF($M703&lt;0,"worse","better")),IF(OR($M703=0,IF(profit_kind="points",ABS($M703),ABS($M703*$H703))&lt;profit_line*(1-1E-9)),"in line",IF(AND(ISNUMBER($N703),$N703&lt;significance_bar),IF($M703&lt;0,"worse","better"),IF($M703&lt;0,"worse, not significant","better, not significant")))))</f>
        <v/>
      </c>
      <c r="Y703">
        <f>IF($V703,$X703,$W703)</f>
        <v/>
      </c>
      <c r="Z703">
        <f>IF($V703,IF($P703="","",$P703),IF($O703="","",$O703))</f>
        <v/>
      </c>
      <c r="AA703">
        <f>IF(OR($Q703="",$Z703=""),"",IF(AND($Z703&gt;0,$Z703&gt;=$Q703),"yes","below the line"))</f>
        <v/>
      </c>
      <c r="AB703">
        <f>IF($V703,IF($M703="","",$M703),IF($K703="","",$K703))</f>
        <v/>
      </c>
      <c r="AC703">
        <f>IF($V703,IF($N703="","",$N703),IF($L703="","",$L703))</f>
        <v/>
      </c>
      <c r="AD703">
        <f>IF($Y703="","",IF($Y703="in line",IF(profit_kind="test",IF(ROUND($AB703*100,2)=0,"0.00",TEXT($AB703*100,"+0.00;-0.00"))&amp;" points against "&amp;IF($V703,"its band","the book")&amp;", "&amp;IF($AC703="","not tested","not significant"),IF(profit_kind="points","within "&amp;TEXT(profit_line*100,"0.00")&amp;" points of "&amp;IF($V703,"its band","the book")&amp;" ("&amp;IF(ROUND($AB703*100,2)=0,"0.00",TEXT($AB703*100,"+0.00;-0.00"))&amp;")","within $"&amp;TEXT(profit_line,"#,##0")&amp;" of "&amp;IF($V703,"its band","the book")&amp;" ("&amp;IF(ROUND($AB703*100,2)=0,"0.00",TEXT($AB703*100,"+0.00;-0.00"))&amp;" points)")),IF(LEFT($Y703,5)="worse","short of ","ahead of ")&amp;IF($V703,"its band","the book")&amp;" by "&amp;TEXT(ABS($AB703)*100,"0.00")&amp;" points"&amp;IF($Z703="",""," ($"&amp;TEXT(ABS($Z703),"#,##0")&amp;")")&amp;IF(RIGHT($Y703,15)="not significant"," (not significant)","")))</f>
        <v/>
      </c>
      <c r="AE703">
        <f>IF($V703,IF($S703="","",$S703),IF($R703="","",$R703))</f>
        <v/>
      </c>
      <c r="AF703">
        <f>IF($V703,IF($U703="","",$U703),IF($T703="","",$T703))</f>
        <v/>
      </c>
      <c r="AG703">
        <f>IF($V703,IF($O703="","",$O703),IF($P703="","",$P703))</f>
        <v/>
      </c>
      <c r="AH703" t="n">
        <v>0.2059336082640051</v>
      </c>
      <c r="AI703">
        <f>IF($Y703="worse","Yes",IF($Y703="worse, not significant","Not sure",IF(OR($Y703="too few losses to test",$Y703="too few loans to test"),"Too few losses",IF($Y703="","","No"))))</f>
        <v/>
      </c>
      <c r="AJ703">
        <f>IF($AA703="yes","Yes",IF($AA703="","","No"))</f>
        <v/>
      </c>
    </row>
    <row r="704">
      <c r="A704" t="inlineStr">
        <is>
          <t>three-way</t>
        </is>
      </c>
      <c r="B704" t="inlineStr">
        <is>
          <t>FICO x ASSET_CLASS / SYS_FLAG</t>
        </is>
      </c>
      <c r="C704" t="inlineStr">
        <is>
          <t>746 - 921</t>
        </is>
      </c>
      <c r="D704" t="inlineStr">
        <is>
          <t>2 / SYS_FLAG N</t>
        </is>
      </c>
      <c r="E704" t="inlineStr">
        <is>
          <t>outcome_loans</t>
        </is>
      </c>
      <c r="F704" t="inlineStr">
        <is>
          <t>Outcome, share of loans</t>
        </is>
      </c>
      <c r="G704" t="n">
        <v>219</v>
      </c>
      <c r="H704" t="n">
        <v>219</v>
      </c>
      <c r="I704" t="b">
        <v>1</v>
      </c>
      <c r="J704" t="b">
        <v>0</v>
      </c>
      <c r="K704" t="n">
        <v>0.4063330050437222</v>
      </c>
      <c r="M704" t="n">
        <v>0.7857202158572021</v>
      </c>
      <c r="O704" t="n">
        <v>-10.22724935732648</v>
      </c>
      <c r="P704" t="n">
        <v>-1.909023668639053</v>
      </c>
      <c r="Q704">
        <f>'_live'!$C$20</f>
        <v/>
      </c>
      <c r="T704" t="n">
        <v>0.07866323907455013</v>
      </c>
      <c r="U704" t="n">
        <v>0.04068047337278106</v>
      </c>
      <c r="V704">
        <f>AND(judged_band,NOT($J704))</f>
        <v/>
      </c>
      <c r="W704">
        <f>IF($K704="","",IF($I704,"too few losses to test",IF(AND($K704&gt;better_at,$K704&lt;worse_at),"in line",IF($K704&gt;=worse_at,IF(AND(ISNUMBER($L704),$L704&lt;significance_bar),"worse","worse, not significant"),IF(AND(ISNUMBER($L704),$L704&lt;significance_bar),"better","better, not significant")))))</f>
        <v/>
      </c>
      <c r="X704">
        <f>IF($M704="","",IF($I704,"too few losses to test",IF(AND($M704&gt;better_at,$M704&lt;worse_at),"in line",IF($M704&gt;=worse_at,IF(AND(ISNUMBER($N704),$N704&lt;significance_bar),"worse","worse, not significant"),IF(AND(ISNUMBER($N704),$N704&lt;significance_bar),"better","better, not significant")))))</f>
        <v/>
      </c>
      <c r="Y704">
        <f>IF($V704,$X704,$W704)</f>
        <v/>
      </c>
      <c r="Z704">
        <f>IF($V704,IF($P704="","",$P704),IF($O704="","",$O704))</f>
        <v/>
      </c>
      <c r="AA704">
        <f>IF(OR($Q704="",$Z704=""),"",IF(AND($Z704&gt;0,$Z704&gt;=$Q704),"yes","below the line"))</f>
        <v/>
      </c>
      <c r="AB704">
        <f>IF($V704,IF($M704="","",$M704),IF($K704="","",$K704))</f>
        <v/>
      </c>
      <c r="AC704">
        <f>IF($V704,IF($N704="","",$N704),IF($L704="","",$L704))</f>
        <v/>
      </c>
      <c r="AD704">
        <f>$Y704</f>
        <v/>
      </c>
      <c r="AE704">
        <f>IF($V704,IF($S704="","",$S704),IF($R704="","",$R704))</f>
        <v/>
      </c>
      <c r="AF704">
        <f>IF($V704,IF($U704="","",$U704),IF($T704="","",$T704))</f>
        <v/>
      </c>
      <c r="AG704">
        <f>IF($V704,IF($O704="","",$O704),IF($P704="","",$P704))</f>
        <v/>
      </c>
      <c r="AH704" t="n">
        <v>0.0319634703196347</v>
      </c>
      <c r="AI704">
        <f>IF($Y704="worse","Yes",IF($Y704="worse, not significant","Not sure",IF(OR($Y704="too few losses to test",$Y704="too few loans to test"),"Too few losses",IF($Y704="","","No"))))</f>
        <v/>
      </c>
      <c r="AJ704">
        <f>IF($AA704="yes","Yes",IF($AA704="","","No"))</f>
        <v/>
      </c>
    </row>
    <row r="705">
      <c r="A705" t="inlineStr">
        <is>
          <t>three-way</t>
        </is>
      </c>
      <c r="B705" t="inlineStr">
        <is>
          <t>FICO x ASSET_CLASS / SYS_FLAG</t>
        </is>
      </c>
      <c r="C705" t="inlineStr">
        <is>
          <t>746 - 921</t>
        </is>
      </c>
      <c r="D705" t="inlineStr">
        <is>
          <t>2 / SYS_FLAG N</t>
        </is>
      </c>
      <c r="E705" t="inlineStr">
        <is>
          <t>outcome_booked</t>
        </is>
      </c>
      <c r="F705" t="inlineStr">
        <is>
          <t>Outcome, share of booked dollars</t>
        </is>
      </c>
      <c r="G705" t="n">
        <v>219</v>
      </c>
      <c r="H705" t="n">
        <v>6929596.490000001</v>
      </c>
      <c r="I705" t="b">
        <v>1</v>
      </c>
      <c r="J705" t="b">
        <v>0</v>
      </c>
      <c r="K705" t="n">
        <v>0.4627822161760499</v>
      </c>
      <c r="M705" t="n">
        <v>0.9470958070268721</v>
      </c>
      <c r="O705" t="n">
        <v>-282643.4006487695</v>
      </c>
      <c r="P705" t="n">
        <v>-13600.70153499313</v>
      </c>
      <c r="Q705">
        <f>'_live'!$C$21</f>
        <v/>
      </c>
      <c r="T705" t="n">
        <v>0.07592425206980116</v>
      </c>
      <c r="U705" t="n">
        <v>0.03709909110955941</v>
      </c>
      <c r="V705">
        <f>AND(judged_band,NOT($J705))</f>
        <v/>
      </c>
      <c r="W705">
        <f>IF($K705="","",IF($I705,"too few losses to test",IF(AND($K705&gt;better_at,$K705&lt;worse_at),"in line",IF($K705&gt;=worse_at,IF(AND(ISNUMBER($L705),$L705&lt;significance_bar),"worse","worse, not significant"),IF(AND(ISNUMBER($L705),$L705&lt;significance_bar),"better","better, not significant")))))</f>
        <v/>
      </c>
      <c r="X705">
        <f>IF($M705="","",IF($I705,"too few losses to test",IF(AND($M705&gt;better_at,$M705&lt;worse_at),"in line",IF($M705&gt;=worse_at,IF(AND(ISNUMBER($N705),$N705&lt;significance_bar),"worse","worse, not significant"),IF(AND(ISNUMBER($N705),$N705&lt;significance_bar),"better","better, not significant")))))</f>
        <v/>
      </c>
      <c r="Y705">
        <f>IF($V705,$X705,$W705)</f>
        <v/>
      </c>
      <c r="Z705">
        <f>IF($V705,IF($P705="","",$P705),IF($O705="","",$O705))</f>
        <v/>
      </c>
      <c r="AA705">
        <f>IF(OR($Q705="",$Z705=""),"",IF(AND($Z705&gt;0,$Z705&gt;=$Q705),"yes","below the line"))</f>
        <v/>
      </c>
      <c r="AB705">
        <f>IF($V705,IF($M705="","",$M705),IF($K705="","",$K705))</f>
        <v/>
      </c>
      <c r="AC705">
        <f>IF($V705,IF($N705="","",$N705),IF($L705="","",$L705))</f>
        <v/>
      </c>
      <c r="AD705">
        <f>$Y705</f>
        <v/>
      </c>
      <c r="AE705">
        <f>IF($V705,IF($S705="","",$S705),IF($R705="","",$R705))</f>
        <v/>
      </c>
      <c r="AF705">
        <f>IF($V705,IF($U705="","",$U705),IF($T705="","",$T705))</f>
        <v/>
      </c>
      <c r="AG705">
        <f>IF($V705,IF($O705="","",$O705),IF($P705="","",$P705))</f>
        <v/>
      </c>
      <c r="AH705" t="n">
        <v>0.03513639363437163</v>
      </c>
      <c r="AI705">
        <f>IF($Y705="worse","Yes",IF($Y705="worse, not significant","Not sure",IF(OR($Y705="too few losses to test",$Y705="too few loans to test"),"Too few losses",IF($Y705="","","No"))))</f>
        <v/>
      </c>
      <c r="AJ705">
        <f>IF($AA705="yes","Yes",IF($AA705="","","No"))</f>
        <v/>
      </c>
    </row>
    <row r="706">
      <c r="A706" t="inlineStr">
        <is>
          <t>three-way</t>
        </is>
      </c>
      <c r="B706" t="inlineStr">
        <is>
          <t>FICO x ASSET_CLASS / SYS_FLAG</t>
        </is>
      </c>
      <c r="C706" t="inlineStr">
        <is>
          <t>746 - 921</t>
        </is>
      </c>
      <c r="D706" t="inlineStr">
        <is>
          <t>2 / SYS_FLAG N</t>
        </is>
      </c>
      <c r="E706" t="inlineStr">
        <is>
          <t>gco_rate</t>
        </is>
      </c>
      <c r="F706" t="inlineStr">
        <is>
          <t>GCO per booked dollar</t>
        </is>
      </c>
      <c r="G706" t="n">
        <v>219</v>
      </c>
      <c r="H706" t="n">
        <v>6929596.490000001</v>
      </c>
      <c r="I706" t="b">
        <v>1</v>
      </c>
      <c r="J706" t="b">
        <v>0</v>
      </c>
      <c r="K706" t="n">
        <v>0.4492944391098902</v>
      </c>
      <c r="M706" t="n">
        <v>0.9741333199675201</v>
      </c>
      <c r="O706" t="n">
        <v>-161156.1040016393</v>
      </c>
      <c r="P706" t="n">
        <v>-3491.247466460773</v>
      </c>
      <c r="Q706">
        <f>'_live'!$C$22</f>
        <v/>
      </c>
      <c r="T706" t="n">
        <v>0.04222983176927222</v>
      </c>
      <c r="U706" t="n">
        <v>0.01947744542719554</v>
      </c>
      <c r="V706">
        <f>AND(judged_band,NOT($J706))</f>
        <v/>
      </c>
      <c r="W706">
        <f>IF($K706="","",IF($I706,"too few losses to test",IF(AND($K706&gt;better_at,$K706&lt;worse_at),"in line",IF($K706&gt;=worse_at,IF(AND(ISNUMBER($L706),$L706&lt;significance_bar),"worse","worse, not significant"),IF(AND(ISNUMBER($L706),$L706&lt;significance_bar),"better","better, not significant")))))</f>
        <v/>
      </c>
      <c r="X706">
        <f>IF($M706="","",IF($I706,"too few losses to test",IF(AND($M706&gt;better_at,$M706&lt;worse_at),"in line",IF($M706&gt;=worse_at,IF(AND(ISNUMBER($N706),$N706&lt;significance_bar),"worse","worse, not significant"),IF(AND(ISNUMBER($N706),$N706&lt;significance_bar),"better","better, not significant")))))</f>
        <v/>
      </c>
      <c r="Y706">
        <f>IF($V706,$X706,$W706)</f>
        <v/>
      </c>
      <c r="Z706">
        <f>IF($V706,IF($P706="","",$P706),IF($O706="","",$O706))</f>
        <v/>
      </c>
      <c r="AA706">
        <f>IF(OR($Q706="",$Z706=""),"",IF(AND($Z706&gt;0,$Z706&gt;=$Q706),"yes","below the line"))</f>
        <v/>
      </c>
      <c r="AB706">
        <f>IF($V706,IF($M706="","",$M706),IF($K706="","",$K706))</f>
        <v/>
      </c>
      <c r="AC706">
        <f>IF($V706,IF($N706="","",$N706),IF($L706="","",$L706))</f>
        <v/>
      </c>
      <c r="AD706">
        <f>$Y706</f>
        <v/>
      </c>
      <c r="AE706">
        <f>IF($V706,IF($S706="","",$S706),IF($R706="","",$R706))</f>
        <v/>
      </c>
      <c r="AF706">
        <f>IF($V706,IF($U706="","",$U706),IF($T706="","",$T706))</f>
        <v/>
      </c>
      <c r="AG706">
        <f>IF($V706,IF($O706="","",$O706),IF($P706="","",$P706))</f>
        <v/>
      </c>
      <c r="AH706" t="n">
        <v>0.01897362857848018</v>
      </c>
      <c r="AI706">
        <f>IF($Y706="worse","Yes",IF($Y706="worse, not significant","Not sure",IF(OR($Y706="too few losses to test",$Y706="too few loans to test"),"Too few losses",IF($Y706="","","No"))))</f>
        <v/>
      </c>
      <c r="AJ706">
        <f>IF($AA706="yes","Yes",IF($AA706="","","No"))</f>
        <v/>
      </c>
    </row>
    <row r="707">
      <c r="A707" t="inlineStr">
        <is>
          <t>three-way</t>
        </is>
      </c>
      <c r="B707" t="inlineStr">
        <is>
          <t>FICO x ASSET_CLASS / SYS_FLAG</t>
        </is>
      </c>
      <c r="C707" t="inlineStr">
        <is>
          <t>746 - 921</t>
        </is>
      </c>
      <c r="D707" t="inlineStr">
        <is>
          <t>2 / SYS_FLAG N</t>
        </is>
      </c>
      <c r="E707" t="inlineStr">
        <is>
          <t>ranr_rate</t>
        </is>
      </c>
      <c r="F707" t="inlineStr">
        <is>
          <t>Profit after losses: RANR per booked dollar</t>
        </is>
      </c>
      <c r="G707" t="n">
        <v>219</v>
      </c>
      <c r="H707" t="n">
        <v>6929596.490000001</v>
      </c>
      <c r="I707" t="b">
        <v>0</v>
      </c>
      <c r="J707" t="b">
        <v>0</v>
      </c>
      <c r="K707" t="n">
        <v>-0.08315291183689313</v>
      </c>
      <c r="L707" t="n">
        <v>0.0003768853883842385</v>
      </c>
      <c r="M707" t="n">
        <v>0.0003784246891440218</v>
      </c>
      <c r="N707" t="n">
        <v>0.9703029697030296</v>
      </c>
      <c r="O707" t="n">
        <v>576216.1259982141</v>
      </c>
      <c r="P707" t="n">
        <v>-2622.330397621787</v>
      </c>
      <c r="Q707">
        <f>'_live'!$C$23</f>
        <v/>
      </c>
      <c r="R707" t="inlineStr">
        <is>
          <t>shuffled: 0 of 10,000</t>
        </is>
      </c>
      <c r="S707" t="inlineStr">
        <is>
          <t>shuffled: 9,638 of 10,000</t>
        </is>
      </c>
      <c r="T707" t="n">
        <v>0.1302228531344419</v>
      </c>
      <c r="U707" t="n">
        <v>0.04669151660840478</v>
      </c>
      <c r="V707">
        <f>AND(judged_band,NOT($J707))</f>
        <v/>
      </c>
      <c r="W707">
        <f>IF($K707="","",IF(profit_kind="test",IF(OR(NOT(AND(ISNUMBER($L707),$L707&lt;significance_bar)),$K707=0),"in line",IF($K707&lt;0,"worse","better")),IF(OR($K707=0,IF(profit_kind="points",ABS($K707),ABS($K707*$H707))&lt;profit_line*(1-1E-9)),"in line",IF(AND(ISNUMBER($L707),$L707&lt;significance_bar),IF($K707&lt;0,"worse","better"),IF($K707&lt;0,"worse, not significant","better, not significant")))))</f>
        <v/>
      </c>
      <c r="X707">
        <f>IF($M707="","",IF(profit_kind="test",IF(OR(NOT(AND(ISNUMBER($N707),$N707&lt;significance_bar)),$M707=0),"in line",IF($M707&lt;0,"worse","better")),IF(OR($M707=0,IF(profit_kind="points",ABS($M707),ABS($M707*$H707))&lt;profit_line*(1-1E-9)),"in line",IF(AND(ISNUMBER($N707),$N707&lt;significance_bar),IF($M707&lt;0,"worse","better"),IF($M707&lt;0,"worse, not significant","better, not significant")))))</f>
        <v/>
      </c>
      <c r="Y707">
        <f>IF($V707,$X707,$W707)</f>
        <v/>
      </c>
      <c r="Z707">
        <f>IF($V707,IF($P707="","",$P707),IF($O707="","",$O707))</f>
        <v/>
      </c>
      <c r="AA707">
        <f>IF(OR($Q707="",$Z707=""),"",IF(AND($Z707&gt;0,$Z707&gt;=$Q707),"yes","below the line"))</f>
        <v/>
      </c>
      <c r="AB707">
        <f>IF($V707,IF($M707="","",$M707),IF($K707="","",$K707))</f>
        <v/>
      </c>
      <c r="AC707">
        <f>IF($V707,IF($N707="","",$N707),IF($L707="","",$L707))</f>
        <v/>
      </c>
      <c r="AD707">
        <f>IF($Y707="","",IF($Y707="in line",IF(profit_kind="test",IF(ROUND($AB707*100,2)=0,"0.00",TEXT($AB707*100,"+0.00;-0.00"))&amp;" points against "&amp;IF($V707,"its band","the book")&amp;", "&amp;IF($AC707="","not tested","not significant"),IF(profit_kind="points","within "&amp;TEXT(profit_line*100,"0.00")&amp;" points of "&amp;IF($V707,"its band","the book")&amp;" ("&amp;IF(ROUND($AB707*100,2)=0,"0.00",TEXT($AB707*100,"+0.00;-0.00"))&amp;")","within $"&amp;TEXT(profit_line,"#,##0")&amp;" of "&amp;IF($V707,"its band","the book")&amp;" ("&amp;IF(ROUND($AB707*100,2)=0,"0.00",TEXT($AB707*100,"+0.00;-0.00"))&amp;" points)")),IF(LEFT($Y707,5)="worse","short of ","ahead of ")&amp;IF($V707,"its band","the book")&amp;" by "&amp;TEXT(ABS($AB707)*100,"0.00")&amp;" points"&amp;IF($Z707="",""," ($"&amp;TEXT(ABS($Z707),"#,##0")&amp;")")&amp;IF(RIGHT($Y707,15)="not significant"," (not significant)","")))</f>
        <v/>
      </c>
      <c r="AE707">
        <f>IF($V707,IF($S707="","",$S707),IF($R707="","",$R707))</f>
        <v/>
      </c>
      <c r="AF707">
        <f>IF($V707,IF($U707="","",$U707),IF($T707="","",$T707))</f>
        <v/>
      </c>
      <c r="AG707">
        <f>IF($V707,IF($O707="","",$O707),IF($P707="","",$P707))</f>
        <v/>
      </c>
      <c r="AH707" t="n">
        <v>0.0470699412975488</v>
      </c>
      <c r="AI707">
        <f>IF($Y707="worse","Yes",IF($Y707="worse, not significant","Not sure",IF(OR($Y707="too few losses to test",$Y707="too few loans to test"),"Too few losses",IF($Y707="","","No"))))</f>
        <v/>
      </c>
      <c r="AJ707">
        <f>IF($AA707="yes","Yes",IF($AA707="","","No"))</f>
        <v/>
      </c>
    </row>
    <row r="708">
      <c r="A708" t="inlineStr">
        <is>
          <t>three-way</t>
        </is>
      </c>
      <c r="B708" t="inlineStr">
        <is>
          <t>FICO x ASSET_CLASS / SYS_FLAG</t>
        </is>
      </c>
      <c r="C708" t="inlineStr">
        <is>
          <t>746 - 921</t>
        </is>
      </c>
      <c r="D708" t="inlineStr">
        <is>
          <t>2 / SYS_FLAG N</t>
        </is>
      </c>
      <c r="E708" t="inlineStr">
        <is>
          <t>contribution_rate</t>
        </is>
      </c>
      <c r="F708" t="inlineStr">
        <is>
          <t>Contribution before losses per booked dollar</t>
        </is>
      </c>
      <c r="G708" t="n">
        <v>219</v>
      </c>
      <c r="H708" t="n">
        <v>6929596.490000001</v>
      </c>
      <c r="I708" t="b">
        <v>0</v>
      </c>
      <c r="J708" t="b">
        <v>0</v>
      </c>
      <c r="K708" t="n">
        <v>-0.1064065297530581</v>
      </c>
      <c r="L708" t="n">
        <v>0.0001814633351479667</v>
      </c>
      <c r="M708" t="n">
        <v>-0.0001253921595713303</v>
      </c>
      <c r="N708" t="n">
        <v>0.9799190293736585</v>
      </c>
      <c r="O708" t="n">
        <v>737354.3150898723</v>
      </c>
      <c r="P708" t="n">
        <v>868.917068839015</v>
      </c>
      <c r="Q708">
        <f>'_live'!$C$24</f>
        <v/>
      </c>
      <c r="R708" t="inlineStr">
        <is>
          <t>shuffled: 0 of 10,000</t>
        </is>
      </c>
      <c r="S708" t="inlineStr">
        <is>
          <t>shuffled: 9,570 of 10,000</t>
        </is>
      </c>
      <c r="T708" t="n">
        <v>0.1724500996290871</v>
      </c>
      <c r="U708" t="n">
        <v>0.06616896203560031</v>
      </c>
      <c r="V708">
        <f>AND(judged_band,NOT($J708))</f>
        <v/>
      </c>
      <c r="W708">
        <f>IF($K708="","",IF(profit_kind="test",IF(OR(NOT(AND(ISNUMBER($L708),$L708&lt;significance_bar)),$K708=0),"in line",IF($K708&lt;0,"worse","better")),IF(OR($K708=0,IF(profit_kind="points",ABS($K708),ABS($K708*$H708))&lt;profit_line*(1-1E-9)),"in line",IF(AND(ISNUMBER($L708),$L708&lt;significance_bar),IF($K708&lt;0,"worse","better"),IF($K708&lt;0,"worse, not significant","better, not significant")))))</f>
        <v/>
      </c>
      <c r="X708">
        <f>IF($M708="","",IF(profit_kind="test",IF(OR(NOT(AND(ISNUMBER($N708),$N708&lt;significance_bar)),$M708=0),"in line",IF($M708&lt;0,"worse","better")),IF(OR($M708=0,IF(profit_kind="points",ABS($M708),ABS($M708*$H708))&lt;profit_line*(1-1E-9)),"in line",IF(AND(ISNUMBER($N708),$N708&lt;significance_bar),IF($M708&lt;0,"worse","better"),IF($M708&lt;0,"worse, not significant","better, not significant")))))</f>
        <v/>
      </c>
      <c r="Y708">
        <f>IF($V708,$X708,$W708)</f>
        <v/>
      </c>
      <c r="Z708">
        <f>IF($V708,IF($P708="","",$P708),IF($O708="","",$O708))</f>
        <v/>
      </c>
      <c r="AA708">
        <f>IF(OR($Q708="",$Z708=""),"",IF(AND($Z708&gt;0,$Z708&gt;=$Q708),"yes","below the line"))</f>
        <v/>
      </c>
      <c r="AB708">
        <f>IF($V708,IF($M708="","",$M708),IF($K708="","",$K708))</f>
        <v/>
      </c>
      <c r="AC708">
        <f>IF($V708,IF($N708="","",$N708),IF($L708="","",$L708))</f>
        <v/>
      </c>
      <c r="AD708">
        <f>IF($Y708="","",IF($Y708="in line",IF(profit_kind="test",IF(ROUND($AB708*100,2)=0,"0.00",TEXT($AB708*100,"+0.00;-0.00"))&amp;" points against "&amp;IF($V708,"its band","the book")&amp;", "&amp;IF($AC708="","not tested","not significant"),IF(profit_kind="points","within "&amp;TEXT(profit_line*100,"0.00")&amp;" points of "&amp;IF($V708,"its band","the book")&amp;" ("&amp;IF(ROUND($AB708*100,2)=0,"0.00",TEXT($AB708*100,"+0.00;-0.00"))&amp;")","within $"&amp;TEXT(profit_line,"#,##0")&amp;" of "&amp;IF($V708,"its band","the book")&amp;" ("&amp;IF(ROUND($AB708*100,2)=0,"0.00",TEXT($AB708*100,"+0.00;-0.00"))&amp;" points)")),IF(LEFT($Y708,5)="worse","short of ","ahead of ")&amp;IF($V708,"its band","the book")&amp;" by "&amp;TEXT(ABS($AB708)*100,"0.00")&amp;" points"&amp;IF($Z708="",""," ($"&amp;TEXT(ABS($Z708),"#,##0")&amp;")")&amp;IF(RIGHT($Y708,15)="not significant"," (not significant)","")))</f>
        <v/>
      </c>
      <c r="AE708">
        <f>IF($V708,IF($S708="","",$S708),IF($R708="","",$R708))</f>
        <v/>
      </c>
      <c r="AF708">
        <f>IF($V708,IF($U708="","",$U708),IF($T708="","",$T708))</f>
        <v/>
      </c>
      <c r="AG708">
        <f>IF($V708,IF($O708="","",$O708),IF($P708="","",$P708))</f>
        <v/>
      </c>
      <c r="AH708" t="n">
        <v>0.06604356987602898</v>
      </c>
      <c r="AI708">
        <f>IF($Y708="worse","Yes",IF($Y708="worse, not significant","Not sure",IF(OR($Y708="too few losses to test",$Y708="too few loans to test"),"Too few losses",IF($Y708="","","No"))))</f>
        <v/>
      </c>
      <c r="AJ708">
        <f>IF($AA708="yes","Yes",IF($AA708="","","No"))</f>
        <v/>
      </c>
    </row>
    <row r="709">
      <c r="A709" t="inlineStr">
        <is>
          <t>three-way</t>
        </is>
      </c>
      <c r="B709" t="inlineStr">
        <is>
          <t>FICO x ASSET_CLASS / SYS_FLAG</t>
        </is>
      </c>
      <c r="C709" t="inlineStr">
        <is>
          <t>712 - 745</t>
        </is>
      </c>
      <c r="D709" t="inlineStr">
        <is>
          <t>2 / SYS_FLAG N</t>
        </is>
      </c>
      <c r="E709" t="inlineStr">
        <is>
          <t>outcome_loans</t>
        </is>
      </c>
      <c r="F709" t="inlineStr">
        <is>
          <t>Outcome, share of loans</t>
        </is>
      </c>
      <c r="G709" t="n">
        <v>247</v>
      </c>
      <c r="H709" t="n">
        <v>247</v>
      </c>
      <c r="I709" t="b">
        <v>1</v>
      </c>
      <c r="J709" t="b">
        <v>0</v>
      </c>
      <c r="K709" t="n">
        <v>0.4630517023959647</v>
      </c>
      <c r="M709" t="n">
        <v>0.6371846776705076</v>
      </c>
      <c r="O709" t="n">
        <v>-10.43627450980392</v>
      </c>
      <c r="P709" t="n">
        <v>-5.124633431085044</v>
      </c>
      <c r="Q709">
        <f>'_live'!$C$20</f>
        <v/>
      </c>
      <c r="T709" t="n">
        <v>0.07868937048503612</v>
      </c>
      <c r="U709" t="n">
        <v>0.05718475073313783</v>
      </c>
      <c r="V709">
        <f>AND(judged_band,NOT($J709))</f>
        <v/>
      </c>
      <c r="W709">
        <f>IF($K709="","",IF($I709,"too few losses to test",IF(AND($K709&gt;better_at,$K709&lt;worse_at),"in line",IF($K709&gt;=worse_at,IF(AND(ISNUMBER($L709),$L709&lt;significance_bar),"worse","worse, not significant"),IF(AND(ISNUMBER($L709),$L709&lt;significance_bar),"better","better, not significant")))))</f>
        <v/>
      </c>
      <c r="X709">
        <f>IF($M709="","",IF($I709,"too few losses to test",IF(AND($M709&gt;better_at,$M709&lt;worse_at),"in line",IF($M709&gt;=worse_at,IF(AND(ISNUMBER($N709),$N709&lt;significance_bar),"worse","worse, not significant"),IF(AND(ISNUMBER($N709),$N709&lt;significance_bar),"better","better, not significant")))))</f>
        <v/>
      </c>
      <c r="Y709">
        <f>IF($V709,$X709,$W709)</f>
        <v/>
      </c>
      <c r="Z709">
        <f>IF($V709,IF($P709="","",$P709),IF($O709="","",$O709))</f>
        <v/>
      </c>
      <c r="AA709">
        <f>IF(OR($Q709="",$Z709=""),"",IF(AND($Z709&gt;0,$Z709&gt;=$Q709),"yes","below the line"))</f>
        <v/>
      </c>
      <c r="AB709">
        <f>IF($V709,IF($M709="","",$M709),IF($K709="","",$K709))</f>
        <v/>
      </c>
      <c r="AC709">
        <f>IF($V709,IF($N709="","",$N709),IF($L709="","",$L709))</f>
        <v/>
      </c>
      <c r="AD709">
        <f>$Y709</f>
        <v/>
      </c>
      <c r="AE709">
        <f>IF($V709,IF($S709="","",$S709),IF($R709="","",$R709))</f>
        <v/>
      </c>
      <c r="AF709">
        <f>IF($V709,IF($U709="","",$U709),IF($T709="","",$T709))</f>
        <v/>
      </c>
      <c r="AG709">
        <f>IF($V709,IF($O709="","",$O709),IF($P709="","",$P709))</f>
        <v/>
      </c>
      <c r="AH709" t="n">
        <v>0.03643724696356275</v>
      </c>
      <c r="AI709">
        <f>IF($Y709="worse","Yes",IF($Y709="worse, not significant","Not sure",IF(OR($Y709="too few losses to test",$Y709="too few loans to test"),"Too few losses",IF($Y709="","","No"))))</f>
        <v/>
      </c>
      <c r="AJ709">
        <f>IF($AA709="yes","Yes",IF($AA709="","","No"))</f>
        <v/>
      </c>
    </row>
    <row r="710">
      <c r="A710" t="inlineStr">
        <is>
          <t>three-way</t>
        </is>
      </c>
      <c r="B710" t="inlineStr">
        <is>
          <t>FICO x ASSET_CLASS / SYS_FLAG</t>
        </is>
      </c>
      <c r="C710" t="inlineStr">
        <is>
          <t>712 - 745</t>
        </is>
      </c>
      <c r="D710" t="inlineStr">
        <is>
          <t>2 / SYS_FLAG N</t>
        </is>
      </c>
      <c r="E710" t="inlineStr">
        <is>
          <t>outcome_booked</t>
        </is>
      </c>
      <c r="F710" t="inlineStr">
        <is>
          <t>Outcome, share of booked dollars</t>
        </is>
      </c>
      <c r="G710" t="n">
        <v>247</v>
      </c>
      <c r="H710" t="n">
        <v>7611989.880000005</v>
      </c>
      <c r="I710" t="b">
        <v>1</v>
      </c>
      <c r="J710" t="b">
        <v>0</v>
      </c>
      <c r="K710" t="n">
        <v>0.4798278515672451</v>
      </c>
      <c r="M710" t="n">
        <v>0.6322249607186298</v>
      </c>
      <c r="O710" t="n">
        <v>-300905.7418459901</v>
      </c>
      <c r="P710" t="n">
        <v>-161465.3897691786</v>
      </c>
      <c r="Q710">
        <f>'_live'!$C$21</f>
        <v/>
      </c>
      <c r="T710" t="n">
        <v>0.07599502770831189</v>
      </c>
      <c r="U710" t="n">
        <v>0.05767651254013206</v>
      </c>
      <c r="V710">
        <f>AND(judged_band,NOT($J710))</f>
        <v/>
      </c>
      <c r="W710">
        <f>IF($K710="","",IF($I710,"too few losses to test",IF(AND($K710&gt;better_at,$K710&lt;worse_at),"in line",IF($K710&gt;=worse_at,IF(AND(ISNUMBER($L710),$L710&lt;significance_bar),"worse","worse, not significant"),IF(AND(ISNUMBER($L710),$L710&lt;significance_bar),"better","better, not significant")))))</f>
        <v/>
      </c>
      <c r="X710">
        <f>IF($M710="","",IF($I710,"too few losses to test",IF(AND($M710&gt;better_at,$M710&lt;worse_at),"in line",IF($M710&gt;=worse_at,IF(AND(ISNUMBER($N710),$N710&lt;significance_bar),"worse","worse, not significant"),IF(AND(ISNUMBER($N710),$N710&lt;significance_bar),"better","better, not significant")))))</f>
        <v/>
      </c>
      <c r="Y710">
        <f>IF($V710,$X710,$W710)</f>
        <v/>
      </c>
      <c r="Z710">
        <f>IF($V710,IF($P710="","",$P710),IF($O710="","",$O710))</f>
        <v/>
      </c>
      <c r="AA710">
        <f>IF(OR($Q710="",$Z710=""),"",IF(AND($Z710&gt;0,$Z710&gt;=$Q710),"yes","below the line"))</f>
        <v/>
      </c>
      <c r="AB710">
        <f>IF($V710,IF($M710="","",$M710),IF($K710="","",$K710))</f>
        <v/>
      </c>
      <c r="AC710">
        <f>IF($V710,IF($N710="","",$N710),IF($L710="","",$L710))</f>
        <v/>
      </c>
      <c r="AD710">
        <f>$Y710</f>
        <v/>
      </c>
      <c r="AE710">
        <f>IF($V710,IF($S710="","",$S710),IF($R710="","",$R710))</f>
        <v/>
      </c>
      <c r="AF710">
        <f>IF($V710,IF($U710="","",$U710),IF($T710="","",$T710))</f>
        <v/>
      </c>
      <c r="AG710">
        <f>IF($V710,IF($O710="","",$O710),IF($P710="","",$P710))</f>
        <v/>
      </c>
      <c r="AH710" t="n">
        <v>0.03646453087507255</v>
      </c>
      <c r="AI710">
        <f>IF($Y710="worse","Yes",IF($Y710="worse, not significant","Not sure",IF(OR($Y710="too few losses to test",$Y710="too few loans to test"),"Too few losses",IF($Y710="","","No"))))</f>
        <v/>
      </c>
      <c r="AJ710">
        <f>IF($AA710="yes","Yes",IF($AA710="","","No"))</f>
        <v/>
      </c>
    </row>
    <row r="711">
      <c r="A711" t="inlineStr">
        <is>
          <t>three-way</t>
        </is>
      </c>
      <c r="B711" t="inlineStr">
        <is>
          <t>FICO x ASSET_CLASS / SYS_FLAG</t>
        </is>
      </c>
      <c r="C711" t="inlineStr">
        <is>
          <t>712 - 745</t>
        </is>
      </c>
      <c r="D711" t="inlineStr">
        <is>
          <t>2 / SYS_FLAG N</t>
        </is>
      </c>
      <c r="E711" t="inlineStr">
        <is>
          <t>gco_rate</t>
        </is>
      </c>
      <c r="F711" t="inlineStr">
        <is>
          <t>GCO per booked dollar</t>
        </is>
      </c>
      <c r="G711" t="n">
        <v>247</v>
      </c>
      <c r="H711" t="n">
        <v>7611989.880000005</v>
      </c>
      <c r="I711" t="b">
        <v>1</v>
      </c>
      <c r="J711" t="b">
        <v>0</v>
      </c>
      <c r="K711" t="n">
        <v>0.5620520599764369</v>
      </c>
      <c r="M711" t="n">
        <v>0.7541036535433436</v>
      </c>
      <c r="O711" t="n">
        <v>-140512.9991553733</v>
      </c>
      <c r="P711" t="n">
        <v>-58801.93134891219</v>
      </c>
      <c r="Q711">
        <f>'_live'!$C$22</f>
        <v/>
      </c>
      <c r="T711" t="n">
        <v>0.04214982865365727</v>
      </c>
      <c r="U711" t="n">
        <v>0.03141530731369181</v>
      </c>
      <c r="V711">
        <f>AND(judged_band,NOT($J711))</f>
        <v/>
      </c>
      <c r="W711">
        <f>IF($K711="","",IF($I711,"too few losses to test",IF(AND($K711&gt;better_at,$K711&lt;worse_at),"in line",IF($K711&gt;=worse_at,IF(AND(ISNUMBER($L711),$L711&lt;significance_bar),"worse","worse, not significant"),IF(AND(ISNUMBER($L711),$L711&lt;significance_bar),"better","better, not significant")))))</f>
        <v/>
      </c>
      <c r="X711">
        <f>IF($M711="","",IF($I711,"too few losses to test",IF(AND($M711&gt;better_at,$M711&lt;worse_at),"in line",IF($M711&gt;=worse_at,IF(AND(ISNUMBER($N711),$N711&lt;significance_bar),"worse","worse, not significant"),IF(AND(ISNUMBER($N711),$N711&lt;significance_bar),"better","better, not significant")))))</f>
        <v/>
      </c>
      <c r="Y711">
        <f>IF($V711,$X711,$W711)</f>
        <v/>
      </c>
      <c r="Z711">
        <f>IF($V711,IF($P711="","",$P711),IF($O711="","",$O711))</f>
        <v/>
      </c>
      <c r="AA711">
        <f>IF(OR($Q711="",$Z711=""),"",IF(AND($Z711&gt;0,$Z711&gt;=$Q711),"yes","below the line"))</f>
        <v/>
      </c>
      <c r="AB711">
        <f>IF($V711,IF($M711="","",$M711),IF($K711="","",$K711))</f>
        <v/>
      </c>
      <c r="AC711">
        <f>IF($V711,IF($N711="","",$N711),IF($L711="","",$L711))</f>
        <v/>
      </c>
      <c r="AD711">
        <f>$Y711</f>
        <v/>
      </c>
      <c r="AE711">
        <f>IF($V711,IF($S711="","",$S711),IF($R711="","",$R711))</f>
        <v/>
      </c>
      <c r="AF711">
        <f>IF($V711,IF($U711="","",$U711),IF($T711="","",$T711))</f>
        <v/>
      </c>
      <c r="AG711">
        <f>IF($V711,IF($O711="","",$O711),IF($P711="","",$P711))</f>
        <v/>
      </c>
      <c r="AH711" t="n">
        <v>0.02369039802244191</v>
      </c>
      <c r="AI711">
        <f>IF($Y711="worse","Yes",IF($Y711="worse, not significant","Not sure",IF(OR($Y711="too few losses to test",$Y711="too few loans to test"),"Too few losses",IF($Y711="","","No"))))</f>
        <v/>
      </c>
      <c r="AJ711">
        <f>IF($AA711="yes","Yes",IF($AA711="","","No"))</f>
        <v/>
      </c>
    </row>
    <row r="712">
      <c r="A712" t="inlineStr">
        <is>
          <t>three-way</t>
        </is>
      </c>
      <c r="B712" t="inlineStr">
        <is>
          <t>FICO x ASSET_CLASS / SYS_FLAG</t>
        </is>
      </c>
      <c r="C712" t="inlineStr">
        <is>
          <t>712 - 745</t>
        </is>
      </c>
      <c r="D712" t="inlineStr">
        <is>
          <t>2 / SYS_FLAG N</t>
        </is>
      </c>
      <c r="E712" t="inlineStr">
        <is>
          <t>ranr_rate</t>
        </is>
      </c>
      <c r="F712" t="inlineStr">
        <is>
          <t>Profit after losses: RANR per booked dollar</t>
        </is>
      </c>
      <c r="G712" t="n">
        <v>247</v>
      </c>
      <c r="H712" t="n">
        <v>7611989.880000005</v>
      </c>
      <c r="I712" t="b">
        <v>0</v>
      </c>
      <c r="J712" t="b">
        <v>0</v>
      </c>
      <c r="K712" t="n">
        <v>-0.0377368765358735</v>
      </c>
      <c r="L712" t="n">
        <v>0.01180336511803365</v>
      </c>
      <c r="M712" t="n">
        <v>-0.005408442054877949</v>
      </c>
      <c r="N712" t="n">
        <v>0.8858714128587142</v>
      </c>
      <c r="O712" t="n">
        <v>287252.7222938788</v>
      </c>
      <c r="P712" t="n">
        <v>41169.00618829741</v>
      </c>
      <c r="Q712">
        <f>'_live'!$C$23</f>
        <v/>
      </c>
      <c r="R712" t="inlineStr">
        <is>
          <t>shuffled: 52 of 10,000</t>
        </is>
      </c>
      <c r="S712" t="inlineStr">
        <is>
          <t>shuffled: 6,397 of 10,000</t>
        </is>
      </c>
      <c r="T712" t="n">
        <v>0.1291031369965351</v>
      </c>
      <c r="U712" t="n">
        <v>0.0967747025155395</v>
      </c>
      <c r="V712">
        <f>AND(judged_band,NOT($J712))</f>
        <v/>
      </c>
      <c r="W712">
        <f>IF($K712="","",IF(profit_kind="test",IF(OR(NOT(AND(ISNUMBER($L712),$L712&lt;significance_bar)),$K712=0),"in line",IF($K712&lt;0,"worse","better")),IF(OR($K712=0,IF(profit_kind="points",ABS($K712),ABS($K712*$H712))&lt;profit_line*(1-1E-9)),"in line",IF(AND(ISNUMBER($L712),$L712&lt;significance_bar),IF($K712&lt;0,"worse","better"),IF($K712&lt;0,"worse, not significant","better, not significant")))))</f>
        <v/>
      </c>
      <c r="X712">
        <f>IF($M712="","",IF(profit_kind="test",IF(OR(NOT(AND(ISNUMBER($N712),$N712&lt;significance_bar)),$M712=0),"in line",IF($M712&lt;0,"worse","better")),IF(OR($M712=0,IF(profit_kind="points",ABS($M712),ABS($M712*$H712))&lt;profit_line*(1-1E-9)),"in line",IF(AND(ISNUMBER($N712),$N712&lt;significance_bar),IF($M712&lt;0,"worse","better"),IF($M712&lt;0,"worse, not significant","better, not significant")))))</f>
        <v/>
      </c>
      <c r="Y712">
        <f>IF($V712,$X712,$W712)</f>
        <v/>
      </c>
      <c r="Z712">
        <f>IF($V712,IF($P712="","",$P712),IF($O712="","",$O712))</f>
        <v/>
      </c>
      <c r="AA712">
        <f>IF(OR($Q712="",$Z712=""),"",IF(AND($Z712&gt;0,$Z712&gt;=$Q712),"yes","below the line"))</f>
        <v/>
      </c>
      <c r="AB712">
        <f>IF($V712,IF($M712="","",$M712),IF($K712="","",$K712))</f>
        <v/>
      </c>
      <c r="AC712">
        <f>IF($V712,IF($N712="","",$N712),IF($L712="","",$L712))</f>
        <v/>
      </c>
      <c r="AD712">
        <f>IF($Y712="","",IF($Y712="in line",IF(profit_kind="test",IF(ROUND($AB712*100,2)=0,"0.00",TEXT($AB712*100,"+0.00;-0.00"))&amp;" points against "&amp;IF($V712,"its band","the book")&amp;", "&amp;IF($AC712="","not tested","not significant"),IF(profit_kind="points","within "&amp;TEXT(profit_line*100,"0.00")&amp;" points of "&amp;IF($V712,"its band","the book")&amp;" ("&amp;IF(ROUND($AB712*100,2)=0,"0.00",TEXT($AB712*100,"+0.00;-0.00"))&amp;")","within $"&amp;TEXT(profit_line,"#,##0")&amp;" of "&amp;IF($V712,"its band","the book")&amp;" ("&amp;IF(ROUND($AB712*100,2)=0,"0.00",TEXT($AB712*100,"+0.00;-0.00"))&amp;" points)")),IF(LEFT($Y712,5)="worse","short of ","ahead of ")&amp;IF($V712,"its band","the book")&amp;" by "&amp;TEXT(ABS($AB712)*100,"0.00")&amp;" points"&amp;IF($Z712="",""," ($"&amp;TEXT(ABS($Z712),"#,##0")&amp;")")&amp;IF(RIGHT($Y712,15)="not significant"," (not significant)","")))</f>
        <v/>
      </c>
      <c r="AE712">
        <f>IF($V712,IF($S712="","",$S712),IF($R712="","",$R712))</f>
        <v/>
      </c>
      <c r="AF712">
        <f>IF($V712,IF($U712="","",$U712),IF($T712="","",$T712))</f>
        <v/>
      </c>
      <c r="AG712">
        <f>IF($V712,IF($O712="","",$O712),IF($P712="","",$P712))</f>
        <v/>
      </c>
      <c r="AH712" t="n">
        <v>0.09136626046066156</v>
      </c>
      <c r="AI712">
        <f>IF($Y712="worse","Yes",IF($Y712="worse, not significant","Not sure",IF(OR($Y712="too few losses to test",$Y712="too few loans to test"),"Too few losses",IF($Y712="","","No"))))</f>
        <v/>
      </c>
      <c r="AJ712">
        <f>IF($AA712="yes","Yes",IF($AA712="","","No"))</f>
        <v/>
      </c>
    </row>
    <row r="713">
      <c r="A713" t="inlineStr">
        <is>
          <t>three-way</t>
        </is>
      </c>
      <c r="B713" t="inlineStr">
        <is>
          <t>FICO x ASSET_CLASS / SYS_FLAG</t>
        </is>
      </c>
      <c r="C713" t="inlineStr">
        <is>
          <t>712 - 745</t>
        </is>
      </c>
      <c r="D713" t="inlineStr">
        <is>
          <t>2 / SYS_FLAG N</t>
        </is>
      </c>
      <c r="E713" t="inlineStr">
        <is>
          <t>contribution_rate</t>
        </is>
      </c>
      <c r="F713" t="inlineStr">
        <is>
          <t>Contribution before losses per booked dollar</t>
        </is>
      </c>
      <c r="G713" t="n">
        <v>247</v>
      </c>
      <c r="H713" t="n">
        <v>7611989.880000005</v>
      </c>
      <c r="I713" t="b">
        <v>0</v>
      </c>
      <c r="J713" t="b">
        <v>0</v>
      </c>
      <c r="K713" t="n">
        <v>-0.05619353740213918</v>
      </c>
      <c r="L713" t="n">
        <v>0.0001814633351479667</v>
      </c>
      <c r="M713" t="n">
        <v>-0.01308787287690498</v>
      </c>
      <c r="N713" t="n">
        <v>0.3827617238276173</v>
      </c>
      <c r="O713" t="n">
        <v>427744.6380264853</v>
      </c>
      <c r="P713" t="n">
        <v>99624.75588972727</v>
      </c>
      <c r="Q713">
        <f>'_live'!$C$24</f>
        <v/>
      </c>
      <c r="R713" t="inlineStr">
        <is>
          <t>shuffled: 0 of 10,000</t>
        </is>
      </c>
      <c r="S713" t="inlineStr">
        <is>
          <t>shuffled: 192 of 10,000</t>
        </is>
      </c>
      <c r="T713" t="n">
        <v>0.1712501958852427</v>
      </c>
      <c r="U713" t="n">
        <v>0.1281445313600084</v>
      </c>
      <c r="V713">
        <f>AND(judged_band,NOT($J713))</f>
        <v/>
      </c>
      <c r="W713">
        <f>IF($K713="","",IF(profit_kind="test",IF(OR(NOT(AND(ISNUMBER($L713),$L713&lt;significance_bar)),$K713=0),"in line",IF($K713&lt;0,"worse","better")),IF(OR($K713=0,IF(profit_kind="points",ABS($K713),ABS($K713*$H713))&lt;profit_line*(1-1E-9)),"in line",IF(AND(ISNUMBER($L713),$L713&lt;significance_bar),IF($K713&lt;0,"worse","better"),IF($K713&lt;0,"worse, not significant","better, not significant")))))</f>
        <v/>
      </c>
      <c r="X713">
        <f>IF($M713="","",IF(profit_kind="test",IF(OR(NOT(AND(ISNUMBER($N713),$N713&lt;significance_bar)),$M713=0),"in line",IF($M713&lt;0,"worse","better")),IF(OR($M713=0,IF(profit_kind="points",ABS($M713),ABS($M713*$H713))&lt;profit_line*(1-1E-9)),"in line",IF(AND(ISNUMBER($N713),$N713&lt;significance_bar),IF($M713&lt;0,"worse","better"),IF($M713&lt;0,"worse, not significant","better, not significant")))))</f>
        <v/>
      </c>
      <c r="Y713">
        <f>IF($V713,$X713,$W713)</f>
        <v/>
      </c>
      <c r="Z713">
        <f>IF($V713,IF($P713="","",$P713),IF($O713="","",$O713))</f>
        <v/>
      </c>
      <c r="AA713">
        <f>IF(OR($Q713="",$Z713=""),"",IF(AND($Z713&gt;0,$Z713&gt;=$Q713),"yes","below the line"))</f>
        <v/>
      </c>
      <c r="AB713">
        <f>IF($V713,IF($M713="","",$M713),IF($K713="","",$K713))</f>
        <v/>
      </c>
      <c r="AC713">
        <f>IF($V713,IF($N713="","",$N713),IF($L713="","",$L713))</f>
        <v/>
      </c>
      <c r="AD713">
        <f>IF($Y713="","",IF($Y713="in line",IF(profit_kind="test",IF(ROUND($AB713*100,2)=0,"0.00",TEXT($AB713*100,"+0.00;-0.00"))&amp;" points against "&amp;IF($V713,"its band","the book")&amp;", "&amp;IF($AC713="","not tested","not significant"),IF(profit_kind="points","within "&amp;TEXT(profit_line*100,"0.00")&amp;" points of "&amp;IF($V713,"its band","the book")&amp;" ("&amp;IF(ROUND($AB713*100,2)=0,"0.00",TEXT($AB713*100,"+0.00;-0.00"))&amp;")","within $"&amp;TEXT(profit_line,"#,##0")&amp;" of "&amp;IF($V713,"its band","the book")&amp;" ("&amp;IF(ROUND($AB713*100,2)=0,"0.00",TEXT($AB713*100,"+0.00;-0.00"))&amp;" points)")),IF(LEFT($Y713,5)="worse","short of ","ahead of ")&amp;IF($V713,"its band","the book")&amp;" by "&amp;TEXT(ABS($AB713)*100,"0.00")&amp;" points"&amp;IF($Z713="",""," ($"&amp;TEXT(ABS($Z713),"#,##0")&amp;")")&amp;IF(RIGHT($Y713,15)="not significant"," (not significant)","")))</f>
        <v/>
      </c>
      <c r="AE713">
        <f>IF($V713,IF($S713="","",$S713),IF($R713="","",$R713))</f>
        <v/>
      </c>
      <c r="AF713">
        <f>IF($V713,IF($U713="","",$U713),IF($T713="","",$T713))</f>
        <v/>
      </c>
      <c r="AG713">
        <f>IF($V713,IF($O713="","",$O713),IF($P713="","",$P713))</f>
        <v/>
      </c>
      <c r="AH713" t="n">
        <v>0.1150566584831035</v>
      </c>
      <c r="AI713">
        <f>IF($Y713="worse","Yes",IF($Y713="worse, not significant","Not sure",IF(OR($Y713="too few losses to test",$Y713="too few loans to test"),"Too few losses",IF($Y713="","","No"))))</f>
        <v/>
      </c>
      <c r="AJ713">
        <f>IF($AA713="yes","Yes",IF($AA713="","","No"))</f>
        <v/>
      </c>
    </row>
    <row r="714">
      <c r="A714" t="inlineStr">
        <is>
          <t>three-way</t>
        </is>
      </c>
      <c r="B714" t="inlineStr">
        <is>
          <t>FICO x ASSET_CLASS / SYS_FLAG</t>
        </is>
      </c>
      <c r="C714" t="inlineStr">
        <is>
          <t>654 - 685</t>
        </is>
      </c>
      <c r="D714" t="inlineStr">
        <is>
          <t>2 / SYS_FLAG Y</t>
        </is>
      </c>
      <c r="E714" t="inlineStr">
        <is>
          <t>outcome_loans</t>
        </is>
      </c>
      <c r="F714" t="inlineStr">
        <is>
          <t>Outcome, share of loans</t>
        </is>
      </c>
      <c r="G714" t="n">
        <v>163</v>
      </c>
      <c r="H714" t="n">
        <v>163</v>
      </c>
      <c r="I714" t="b">
        <v>0</v>
      </c>
      <c r="J714" t="b">
        <v>0</v>
      </c>
      <c r="K714" t="n">
        <v>1.35756068727962</v>
      </c>
      <c r="L714" t="n">
        <v>0.3955168456979902</v>
      </c>
      <c r="M714" t="n">
        <v>1.269992942070688</v>
      </c>
      <c r="N714" t="n">
        <v>0.5666368538444249</v>
      </c>
      <c r="O714" t="n">
        <v>4.47753956100051</v>
      </c>
      <c r="P714" t="n">
        <v>3.614098837209303</v>
      </c>
      <c r="Q714">
        <f>'_live'!$C$20</f>
        <v/>
      </c>
      <c r="R714" t="inlineStr">
        <is>
          <t>z test</t>
        </is>
      </c>
      <c r="S714" t="inlineStr">
        <is>
          <t>z test</t>
        </is>
      </c>
      <c r="T714" t="n">
        <v>0.07682491066870853</v>
      </c>
      <c r="U714" t="n">
        <v>0.08212209302325581</v>
      </c>
      <c r="V714">
        <f>AND(judged_band,NOT($J714))</f>
        <v/>
      </c>
      <c r="W714">
        <f>IF($K714="","",IF($I714,"too few losses to test",IF(AND($K714&gt;better_at,$K714&lt;worse_at),"in line",IF($K714&gt;=worse_at,IF(AND(ISNUMBER($L714),$L714&lt;significance_bar),"worse","worse, not significant"),IF(AND(ISNUMBER($L714),$L714&lt;significance_bar),"better","better, not significant")))))</f>
        <v/>
      </c>
      <c r="X714">
        <f>IF($M714="","",IF($I714,"too few losses to test",IF(AND($M714&gt;better_at,$M714&lt;worse_at),"in line",IF($M714&gt;=worse_at,IF(AND(ISNUMBER($N714),$N714&lt;significance_bar),"worse","worse, not significant"),IF(AND(ISNUMBER($N714),$N714&lt;significance_bar),"better","better, not significant")))))</f>
        <v/>
      </c>
      <c r="Y714">
        <f>IF($V714,$X714,$W714)</f>
        <v/>
      </c>
      <c r="Z714">
        <f>IF($V714,IF($P714="","",$P714),IF($O714="","",$O714))</f>
        <v/>
      </c>
      <c r="AA714">
        <f>IF(OR($Q714="",$Z714=""),"",IF(AND($Z714&gt;0,$Z714&gt;=$Q714),"yes","below the line"))</f>
        <v/>
      </c>
      <c r="AB714">
        <f>IF($V714,IF($M714="","",$M714),IF($K714="","",$K714))</f>
        <v/>
      </c>
      <c r="AC714">
        <f>IF($V714,IF($N714="","",$N714),IF($L714="","",$L714))</f>
        <v/>
      </c>
      <c r="AD714">
        <f>$Y714</f>
        <v/>
      </c>
      <c r="AE714">
        <f>IF($V714,IF($S714="","",$S714),IF($R714="","",$R714))</f>
        <v/>
      </c>
      <c r="AF714">
        <f>IF($V714,IF($U714="","",$U714),IF($T714="","",$T714))</f>
        <v/>
      </c>
      <c r="AG714">
        <f>IF($V714,IF($O714="","",$O714),IF($P714="","",$P714))</f>
        <v/>
      </c>
      <c r="AH714" t="n">
        <v>0.1042944785276074</v>
      </c>
      <c r="AI714">
        <f>IF($Y714="worse","Yes",IF($Y714="worse, not significant","Not sure",IF(OR($Y714="too few losses to test",$Y714="too few loans to test"),"Too few losses",IF($Y714="","","No"))))</f>
        <v/>
      </c>
      <c r="AJ714">
        <f>IF($AA714="yes","Yes",IF($AA714="","","No"))</f>
        <v/>
      </c>
    </row>
    <row r="715">
      <c r="A715" t="inlineStr">
        <is>
          <t>three-way</t>
        </is>
      </c>
      <c r="B715" t="inlineStr">
        <is>
          <t>FICO x ASSET_CLASS / SYS_FLAG</t>
        </is>
      </c>
      <c r="C715" t="inlineStr">
        <is>
          <t>654 - 685</t>
        </is>
      </c>
      <c r="D715" t="inlineStr">
        <is>
          <t>2 / SYS_FLAG Y</t>
        </is>
      </c>
      <c r="E715" t="inlineStr">
        <is>
          <t>outcome_booked</t>
        </is>
      </c>
      <c r="F715" t="inlineStr">
        <is>
          <t>Outcome, share of booked dollars</t>
        </is>
      </c>
      <c r="G715" t="n">
        <v>163</v>
      </c>
      <c r="H715" t="n">
        <v>5110584.88</v>
      </c>
      <c r="I715" t="b">
        <v>0</v>
      </c>
      <c r="J715" t="b">
        <v>0</v>
      </c>
      <c r="K715" t="n">
        <v>1.378718208532519</v>
      </c>
      <c r="L715" t="n">
        <v>0.4569543045695431</v>
      </c>
      <c r="M715" t="n">
        <v>1.325500812679238</v>
      </c>
      <c r="N715" t="n">
        <v>0.5657034296570344</v>
      </c>
      <c r="O715" t="n">
        <v>143750.8833776566</v>
      </c>
      <c r="P715" t="n">
        <v>128511.4802867969</v>
      </c>
      <c r="Q715">
        <f>'_live'!$C$21</f>
        <v/>
      </c>
      <c r="R715" t="inlineStr">
        <is>
          <t>shuffled: 2,284 of 10,000</t>
        </is>
      </c>
      <c r="S715" t="inlineStr">
        <is>
          <t>shuffled: 3,048 of 10,000</t>
        </is>
      </c>
      <c r="T715" t="n">
        <v>0.07427176253500428</v>
      </c>
      <c r="U715" t="n">
        <v>0.07725369189312888</v>
      </c>
      <c r="V715">
        <f>AND(judged_band,NOT($J715))</f>
        <v/>
      </c>
      <c r="W715">
        <f>IF($K715="","",IF($I715,"too few losses to test",IF(AND($K715&gt;better_at,$K715&lt;worse_at),"in line",IF($K715&gt;=worse_at,IF(AND(ISNUMBER($L715),$L715&lt;significance_bar),"worse","worse, not significant"),IF(AND(ISNUMBER($L715),$L715&lt;significance_bar),"better","better, not significant")))))</f>
        <v/>
      </c>
      <c r="X715">
        <f>IF($M715="","",IF($I715,"too few losses to test",IF(AND($M715&gt;better_at,$M715&lt;worse_at),"in line",IF($M715&gt;=worse_at,IF(AND(ISNUMBER($N715),$N715&lt;significance_bar),"worse","worse, not significant"),IF(AND(ISNUMBER($N715),$N715&lt;significance_bar),"better","better, not significant")))))</f>
        <v/>
      </c>
      <c r="Y715">
        <f>IF($V715,$X715,$W715)</f>
        <v/>
      </c>
      <c r="Z715">
        <f>IF($V715,IF($P715="","",$P715),IF($O715="","",$O715))</f>
        <v/>
      </c>
      <c r="AA715">
        <f>IF(OR($Q715="",$Z715=""),"",IF(AND($Z715&gt;0,$Z715&gt;=$Q715),"yes","below the line"))</f>
        <v/>
      </c>
      <c r="AB715">
        <f>IF($V715,IF($M715="","",$M715),IF($K715="","",$K715))</f>
        <v/>
      </c>
      <c r="AC715">
        <f>IF($V715,IF($N715="","",$N715),IF($L715="","",$L715))</f>
        <v/>
      </c>
      <c r="AD715">
        <f>$Y715</f>
        <v/>
      </c>
      <c r="AE715">
        <f>IF($V715,IF($S715="","",$S715),IF($R715="","",$R715))</f>
        <v/>
      </c>
      <c r="AF715">
        <f>IF($V715,IF($U715="","",$U715),IF($T715="","",$T715))</f>
        <v/>
      </c>
      <c r="AG715">
        <f>IF($V715,IF($O715="","",$O715),IF($P715="","",$P715))</f>
        <v/>
      </c>
      <c r="AH715" t="n">
        <v>0.1023998313868138</v>
      </c>
      <c r="AI715">
        <f>IF($Y715="worse","Yes",IF($Y715="worse, not significant","Not sure",IF(OR($Y715="too few losses to test",$Y715="too few loans to test"),"Too few losses",IF($Y715="","","No"))))</f>
        <v/>
      </c>
      <c r="AJ715">
        <f>IF($AA715="yes","Yes",IF($AA715="","","No"))</f>
        <v/>
      </c>
    </row>
    <row r="716">
      <c r="A716" t="inlineStr">
        <is>
          <t>three-way</t>
        </is>
      </c>
      <c r="B716" t="inlineStr">
        <is>
          <t>FICO x ASSET_CLASS / SYS_FLAG</t>
        </is>
      </c>
      <c r="C716" t="inlineStr">
        <is>
          <t>654 - 685</t>
        </is>
      </c>
      <c r="D716" t="inlineStr">
        <is>
          <t>2 / SYS_FLAG Y</t>
        </is>
      </c>
      <c r="E716" t="inlineStr">
        <is>
          <t>gco_rate</t>
        </is>
      </c>
      <c r="F716" t="inlineStr">
        <is>
          <t>GCO per booked dollar</t>
        </is>
      </c>
      <c r="G716" t="n">
        <v>163</v>
      </c>
      <c r="H716" t="n">
        <v>5110584.88</v>
      </c>
      <c r="I716" t="b">
        <v>0</v>
      </c>
      <c r="J716" t="b">
        <v>0</v>
      </c>
      <c r="K716" t="n">
        <v>1.359344081656749</v>
      </c>
      <c r="L716" t="n">
        <v>0.4714195247141952</v>
      </c>
      <c r="M716" t="n">
        <v>1.27771354909067</v>
      </c>
      <c r="N716" t="n">
        <v>0.6916933306669333</v>
      </c>
      <c r="O716" t="n">
        <v>75866.37933467116</v>
      </c>
      <c r="P716" t="n">
        <v>62378.05527433535</v>
      </c>
      <c r="Q716">
        <f>'_live'!$C$22</f>
        <v/>
      </c>
      <c r="R716" t="inlineStr">
        <is>
          <t>shuffled: 2,719 of 10,000</t>
        </is>
      </c>
      <c r="S716" t="inlineStr">
        <is>
          <t>shuffled: 4,005 of 10,000</t>
        </is>
      </c>
      <c r="T716" t="n">
        <v>0.04131124237688601</v>
      </c>
      <c r="U716" t="n">
        <v>0.04395053403861374</v>
      </c>
      <c r="V716">
        <f>AND(judged_band,NOT($J716))</f>
        <v/>
      </c>
      <c r="W716">
        <f>IF($K716="","",IF($I716,"too few losses to test",IF(AND($K716&gt;better_at,$K716&lt;worse_at),"in line",IF($K716&gt;=worse_at,IF(AND(ISNUMBER($L716),$L716&lt;significance_bar),"worse","worse, not significant"),IF(AND(ISNUMBER($L716),$L716&lt;significance_bar),"better","better, not significant")))))</f>
        <v/>
      </c>
      <c r="X716">
        <f>IF($M716="","",IF($I716,"too few losses to test",IF(AND($M716&gt;better_at,$M716&lt;worse_at),"in line",IF($M716&gt;=worse_at,IF(AND(ISNUMBER($N716),$N716&lt;significance_bar),"worse","worse, not significant"),IF(AND(ISNUMBER($N716),$N716&lt;significance_bar),"better","better, not significant")))))</f>
        <v/>
      </c>
      <c r="Y716">
        <f>IF($V716,$X716,$W716)</f>
        <v/>
      </c>
      <c r="Z716">
        <f>IF($V716,IF($P716="","",$P716),IF($O716="","",$O716))</f>
        <v/>
      </c>
      <c r="AA716">
        <f>IF(OR($Q716="",$Z716=""),"",IF(AND($Z716&gt;0,$Z716&gt;=$Q716),"yes","below the line"))</f>
        <v/>
      </c>
      <c r="AB716">
        <f>IF($V716,IF($M716="","",$M716),IF($K716="","",$K716))</f>
        <v/>
      </c>
      <c r="AC716">
        <f>IF($V716,IF($N716="","",$N716),IF($L716="","",$L716))</f>
        <v/>
      </c>
      <c r="AD716">
        <f>$Y716</f>
        <v/>
      </c>
      <c r="AE716">
        <f>IF($V716,IF($S716="","",$S716),IF($R716="","",$R716))</f>
        <v/>
      </c>
      <c r="AF716">
        <f>IF($V716,IF($U716="","",$U716),IF($T716="","",$T716))</f>
        <v/>
      </c>
      <c r="AG716">
        <f>IF($V716,IF($O716="","",$O716),IF($P716="","",$P716))</f>
        <v/>
      </c>
      <c r="AH716" t="n">
        <v>0.05615619283090746</v>
      </c>
      <c r="AI716">
        <f>IF($Y716="worse","Yes",IF($Y716="worse, not significant","Not sure",IF(OR($Y716="too few losses to test",$Y716="too few loans to test"),"Too few losses",IF($Y716="","","No"))))</f>
        <v/>
      </c>
      <c r="AJ716">
        <f>IF($AA716="yes","Yes",IF($AA716="","","No"))</f>
        <v/>
      </c>
    </row>
    <row r="717">
      <c r="A717" t="inlineStr">
        <is>
          <t>three-way</t>
        </is>
      </c>
      <c r="B717" t="inlineStr">
        <is>
          <t>FICO x ASSET_CLASS / SYS_FLAG</t>
        </is>
      </c>
      <c r="C717" t="inlineStr">
        <is>
          <t>654 - 685</t>
        </is>
      </c>
      <c r="D717" t="inlineStr">
        <is>
          <t>2 / SYS_FLAG Y</t>
        </is>
      </c>
      <c r="E717" t="inlineStr">
        <is>
          <t>ranr_rate</t>
        </is>
      </c>
      <c r="F717" t="inlineStr">
        <is>
          <t>Profit after losses: RANR per booked dollar</t>
        </is>
      </c>
      <c r="G717" t="n">
        <v>163</v>
      </c>
      <c r="H717" t="n">
        <v>5110584.88</v>
      </c>
      <c r="I717" t="b">
        <v>0</v>
      </c>
      <c r="J717" t="b">
        <v>0</v>
      </c>
      <c r="K717" t="n">
        <v>0.02224761400112404</v>
      </c>
      <c r="L717" t="n">
        <v>0.2593678132186781</v>
      </c>
      <c r="M717" t="n">
        <v>-0.01481229493432029</v>
      </c>
      <c r="N717" t="n">
        <v>0.7598600139986001</v>
      </c>
      <c r="O717" t="n">
        <v>-113698.3197302209</v>
      </c>
      <c r="P717" t="n">
        <v>75699.49052943778</v>
      </c>
      <c r="Q717">
        <f>'_live'!$C$23</f>
        <v/>
      </c>
      <c r="R717" t="inlineStr">
        <is>
          <t>shuffled: 1,693 of 10,000</t>
        </is>
      </c>
      <c r="S717" t="inlineStr">
        <is>
          <t>shuffled: 3,957 of 10,000</t>
        </is>
      </c>
      <c r="T717" t="n">
        <v>0.12754947536842</v>
      </c>
      <c r="U717" t="n">
        <v>0.1646093843038643</v>
      </c>
      <c r="V717">
        <f>AND(judged_band,NOT($J717))</f>
        <v/>
      </c>
      <c r="W717">
        <f>IF($K717="","",IF(profit_kind="test",IF(OR(NOT(AND(ISNUMBER($L717),$L717&lt;significance_bar)),$K717=0),"in line",IF($K717&lt;0,"worse","better")),IF(OR($K717=0,IF(profit_kind="points",ABS($K717),ABS($K717*$H717))&lt;profit_line*(1-1E-9)),"in line",IF(AND(ISNUMBER($L717),$L717&lt;significance_bar),IF($K717&lt;0,"worse","better"),IF($K717&lt;0,"worse, not significant","better, not significant")))))</f>
        <v/>
      </c>
      <c r="X717">
        <f>IF($M717="","",IF(profit_kind="test",IF(OR(NOT(AND(ISNUMBER($N717),$N717&lt;significance_bar)),$M717=0),"in line",IF($M717&lt;0,"worse","better")),IF(OR($M717=0,IF(profit_kind="points",ABS($M717),ABS($M717*$H717))&lt;profit_line*(1-1E-9)),"in line",IF(AND(ISNUMBER($N717),$N717&lt;significance_bar),IF($M717&lt;0,"worse","better"),IF($M717&lt;0,"worse, not significant","better, not significant")))))</f>
        <v/>
      </c>
      <c r="Y717">
        <f>IF($V717,$X717,$W717)</f>
        <v/>
      </c>
      <c r="Z717">
        <f>IF($V717,IF($P717="","",$P717),IF($O717="","",$O717))</f>
        <v/>
      </c>
      <c r="AA717">
        <f>IF(OR($Q717="",$Z717=""),"",IF(AND($Z717&gt;0,$Z717&gt;=$Q717),"yes","below the line"))</f>
        <v/>
      </c>
      <c r="AB717">
        <f>IF($V717,IF($M717="","",$M717),IF($K717="","",$K717))</f>
        <v/>
      </c>
      <c r="AC717">
        <f>IF($V717,IF($N717="","",$N717),IF($L717="","",$L717))</f>
        <v/>
      </c>
      <c r="AD717">
        <f>IF($Y717="","",IF($Y717="in line",IF(profit_kind="test",IF(ROUND($AB717*100,2)=0,"0.00",TEXT($AB717*100,"+0.00;-0.00"))&amp;" points against "&amp;IF($V717,"its band","the book")&amp;", "&amp;IF($AC717="","not tested","not significant"),IF(profit_kind="points","within "&amp;TEXT(profit_line*100,"0.00")&amp;" points of "&amp;IF($V717,"its band","the book")&amp;" ("&amp;IF(ROUND($AB717*100,2)=0,"0.00",TEXT($AB717*100,"+0.00;-0.00"))&amp;")","within $"&amp;TEXT(profit_line,"#,##0")&amp;" of "&amp;IF($V717,"its band","the book")&amp;" ("&amp;IF(ROUND($AB717*100,2)=0,"0.00",TEXT($AB717*100,"+0.00;-0.00"))&amp;" points)")),IF(LEFT($Y717,5)="worse","short of ","ahead of ")&amp;IF($V717,"its band","the book")&amp;" by "&amp;TEXT(ABS($AB717)*100,"0.00")&amp;" points"&amp;IF($Z717="",""," ($"&amp;TEXT(ABS($Z717),"#,##0")&amp;")")&amp;IF(RIGHT($Y717,15)="not significant"," (not significant)","")))</f>
        <v/>
      </c>
      <c r="AE717">
        <f>IF($V717,IF($S717="","",$S717),IF($R717="","",$R717))</f>
        <v/>
      </c>
      <c r="AF717">
        <f>IF($V717,IF($U717="","",$U717),IF($T717="","",$T717))</f>
        <v/>
      </c>
      <c r="AG717">
        <f>IF($V717,IF($O717="","",$O717),IF($P717="","",$P717))</f>
        <v/>
      </c>
      <c r="AH717" t="n">
        <v>0.149797089369544</v>
      </c>
      <c r="AI717">
        <f>IF($Y717="worse","Yes",IF($Y717="worse, not significant","Not sure",IF(OR($Y717="too few losses to test",$Y717="too few loans to test"),"Too few losses",IF($Y717="","","No"))))</f>
        <v/>
      </c>
      <c r="AJ717">
        <f>IF($AA717="yes","Yes",IF($AA717="","","No"))</f>
        <v/>
      </c>
    </row>
    <row r="718">
      <c r="A718" t="inlineStr">
        <is>
          <t>three-way</t>
        </is>
      </c>
      <c r="B718" t="inlineStr">
        <is>
          <t>FICO x ASSET_CLASS / SYS_FLAG</t>
        </is>
      </c>
      <c r="C718" t="inlineStr">
        <is>
          <t>654 - 685</t>
        </is>
      </c>
      <c r="D718" t="inlineStr">
        <is>
          <t>2 / SYS_FLAG Y</t>
        </is>
      </c>
      <c r="E718" t="inlineStr">
        <is>
          <t>contribution_rate</t>
        </is>
      </c>
      <c r="F718" t="inlineStr">
        <is>
          <t>Contribution before losses per booked dollar</t>
        </is>
      </c>
      <c r="G718" t="n">
        <v>163</v>
      </c>
      <c r="H718" t="n">
        <v>5110584.88</v>
      </c>
      <c r="I718" t="b">
        <v>0</v>
      </c>
      <c r="J718" t="b">
        <v>0</v>
      </c>
      <c r="K718" t="n">
        <v>0.03709555060577741</v>
      </c>
      <c r="L718" t="n">
        <v>0.00114321901143219</v>
      </c>
      <c r="M718" t="n">
        <v>-0.002606636142026608</v>
      </c>
      <c r="N718" t="n">
        <v>0.9799190293736585</v>
      </c>
      <c r="O718" t="n">
        <v>-189579.9600411608</v>
      </c>
      <c r="P718" t="n">
        <v>13321.43525510281</v>
      </c>
      <c r="Q718">
        <f>'_live'!$C$24</f>
        <v/>
      </c>
      <c r="R718" t="inlineStr">
        <is>
          <t>shuffled: 6 of 10,000</t>
        </is>
      </c>
      <c r="S718" t="inlineStr">
        <is>
          <t>shuffled: 7,886 of 10,000</t>
        </is>
      </c>
      <c r="T718" t="n">
        <v>0.168857731594674</v>
      </c>
      <c r="U718" t="n">
        <v>0.2085599183424781</v>
      </c>
      <c r="V718">
        <f>AND(judged_band,NOT($J718))</f>
        <v/>
      </c>
      <c r="W718">
        <f>IF($K718="","",IF(profit_kind="test",IF(OR(NOT(AND(ISNUMBER($L718),$L718&lt;significance_bar)),$K718=0),"in line",IF($K718&lt;0,"worse","better")),IF(OR($K718=0,IF(profit_kind="points",ABS($K718),ABS($K718*$H718))&lt;profit_line*(1-1E-9)),"in line",IF(AND(ISNUMBER($L718),$L718&lt;significance_bar),IF($K718&lt;0,"worse","better"),IF($K718&lt;0,"worse, not significant","better, not significant")))))</f>
        <v/>
      </c>
      <c r="X718">
        <f>IF($M718="","",IF(profit_kind="test",IF(OR(NOT(AND(ISNUMBER($N718),$N718&lt;significance_bar)),$M718=0),"in line",IF($M718&lt;0,"worse","better")),IF(OR($M718=0,IF(profit_kind="points",ABS($M718),ABS($M718*$H718))&lt;profit_line*(1-1E-9)),"in line",IF(AND(ISNUMBER($N718),$N718&lt;significance_bar),IF($M718&lt;0,"worse","better"),IF($M718&lt;0,"worse, not significant","better, not significant")))))</f>
        <v/>
      </c>
      <c r="Y718">
        <f>IF($V718,$X718,$W718)</f>
        <v/>
      </c>
      <c r="Z718">
        <f>IF($V718,IF($P718="","",$P718),IF($O718="","",$O718))</f>
        <v/>
      </c>
      <c r="AA718">
        <f>IF(OR($Q718="",$Z718=""),"",IF(AND($Z718&gt;0,$Z718&gt;=$Q718),"yes","below the line"))</f>
        <v/>
      </c>
      <c r="AB718">
        <f>IF($V718,IF($M718="","",$M718),IF($K718="","",$K718))</f>
        <v/>
      </c>
      <c r="AC718">
        <f>IF($V718,IF($N718="","",$N718),IF($L718="","",$L718))</f>
        <v/>
      </c>
      <c r="AD718">
        <f>IF($Y718="","",IF($Y718="in line",IF(profit_kind="test",IF(ROUND($AB718*100,2)=0,"0.00",TEXT($AB718*100,"+0.00;-0.00"))&amp;" points against "&amp;IF($V718,"its band","the book")&amp;", "&amp;IF($AC718="","not tested","not significant"),IF(profit_kind="points","within "&amp;TEXT(profit_line*100,"0.00")&amp;" points of "&amp;IF($V718,"its band","the book")&amp;" ("&amp;IF(ROUND($AB718*100,2)=0,"0.00",TEXT($AB718*100,"+0.00;-0.00"))&amp;")","within $"&amp;TEXT(profit_line,"#,##0")&amp;" of "&amp;IF($V718,"its band","the book")&amp;" ("&amp;IF(ROUND($AB718*100,2)=0,"0.00",TEXT($AB718*100,"+0.00;-0.00"))&amp;" points)")),IF(LEFT($Y718,5)="worse","short of ","ahead of ")&amp;IF($V718,"its band","the book")&amp;" by "&amp;TEXT(ABS($AB718)*100,"0.00")&amp;" points"&amp;IF($Z718="",""," ($"&amp;TEXT(ABS($Z718),"#,##0")&amp;")")&amp;IF(RIGHT($Y718,15)="not significant"," (not significant)","")))</f>
        <v/>
      </c>
      <c r="AE718">
        <f>IF($V718,IF($S718="","",$S718),IF($R718="","",$R718))</f>
        <v/>
      </c>
      <c r="AF718">
        <f>IF($V718,IF($U718="","",$U718),IF($T718="","",$T718))</f>
        <v/>
      </c>
      <c r="AG718">
        <f>IF($V718,IF($O718="","",$O718),IF($P718="","",$P718))</f>
        <v/>
      </c>
      <c r="AH718" t="n">
        <v>0.2059532822004514</v>
      </c>
      <c r="AI718">
        <f>IF($Y718="worse","Yes",IF($Y718="worse, not significant","Not sure",IF(OR($Y718="too few losses to test",$Y718="too few loans to test"),"Too few losses",IF($Y718="","","No"))))</f>
        <v/>
      </c>
      <c r="AJ718">
        <f>IF($AA718="yes","Yes",IF($AA718="","","No"))</f>
        <v/>
      </c>
    </row>
    <row r="719">
      <c r="A719" t="inlineStr">
        <is>
          <t>three-way</t>
        </is>
      </c>
      <c r="B719" t="inlineStr">
        <is>
          <t>FICO x ASSET_CLASS / SYS_FLAG</t>
        </is>
      </c>
      <c r="C719" t="inlineStr">
        <is>
          <t>686 - 711</t>
        </is>
      </c>
      <c r="D719" t="inlineStr">
        <is>
          <t>2 / SYS_FLAG N</t>
        </is>
      </c>
      <c r="E719" t="inlineStr">
        <is>
          <t>outcome_loans</t>
        </is>
      </c>
      <c r="F719" t="inlineStr">
        <is>
          <t>Outcome, share of loans</t>
        </is>
      </c>
      <c r="G719" t="n">
        <v>216</v>
      </c>
      <c r="H719" t="n">
        <v>216</v>
      </c>
      <c r="I719" t="b">
        <v>1</v>
      </c>
      <c r="J719" t="b">
        <v>0</v>
      </c>
      <c r="K719" t="n">
        <v>0.2934235130896368</v>
      </c>
      <c r="M719" t="n">
        <v>0.3423890923890924</v>
      </c>
      <c r="O719" t="n">
        <v>-12.04021585506874</v>
      </c>
      <c r="P719" t="n">
        <v>-9.603268945022288</v>
      </c>
      <c r="Q719">
        <f>'_live'!$C$20</f>
        <v/>
      </c>
      <c r="T719" t="n">
        <v>0.07888988821791083</v>
      </c>
      <c r="U719" t="n">
        <v>0.0676077265973254</v>
      </c>
      <c r="V719">
        <f>AND(judged_band,NOT($J719))</f>
        <v/>
      </c>
      <c r="W719">
        <f>IF($K719="","",IF($I719,"too few losses to test",IF(AND($K719&gt;better_at,$K719&lt;worse_at),"in line",IF($K719&gt;=worse_at,IF(AND(ISNUMBER($L719),$L719&lt;significance_bar),"worse","worse, not significant"),IF(AND(ISNUMBER($L719),$L719&lt;significance_bar),"better","better, not significant")))))</f>
        <v/>
      </c>
      <c r="X719">
        <f>IF($M719="","",IF($I719,"too few losses to test",IF(AND($M719&gt;better_at,$M719&lt;worse_at),"in line",IF($M719&gt;=worse_at,IF(AND(ISNUMBER($N719),$N719&lt;significance_bar),"worse","worse, not significant"),IF(AND(ISNUMBER($N719),$N719&lt;significance_bar),"better","better, not significant")))))</f>
        <v/>
      </c>
      <c r="Y719">
        <f>IF($V719,$X719,$W719)</f>
        <v/>
      </c>
      <c r="Z719">
        <f>IF($V719,IF($P719="","",$P719),IF($O719="","",$O719))</f>
        <v/>
      </c>
      <c r="AA719">
        <f>IF(OR($Q719="",$Z719=""),"",IF(AND($Z719&gt;0,$Z719&gt;=$Q719),"yes","below the line"))</f>
        <v/>
      </c>
      <c r="AB719">
        <f>IF($V719,IF($M719="","",$M719),IF($K719="","",$K719))</f>
        <v/>
      </c>
      <c r="AC719">
        <f>IF($V719,IF($N719="","",$N719),IF($L719="","",$L719))</f>
        <v/>
      </c>
      <c r="AD719">
        <f>$Y719</f>
        <v/>
      </c>
      <c r="AE719">
        <f>IF($V719,IF($S719="","",$S719),IF($R719="","",$R719))</f>
        <v/>
      </c>
      <c r="AF719">
        <f>IF($V719,IF($U719="","",$U719),IF($T719="","",$T719))</f>
        <v/>
      </c>
      <c r="AG719">
        <f>IF($V719,IF($O719="","",$O719),IF($P719="","",$P719))</f>
        <v/>
      </c>
      <c r="AH719" t="n">
        <v>0.02314814814814815</v>
      </c>
      <c r="AI719">
        <f>IF($Y719="worse","Yes",IF($Y719="worse, not significant","Not sure",IF(OR($Y719="too few losses to test",$Y719="too few loans to test"),"Too few losses",IF($Y719="","","No"))))</f>
        <v/>
      </c>
      <c r="AJ719">
        <f>IF($AA719="yes","Yes",IF($AA719="","","No"))</f>
        <v/>
      </c>
    </row>
    <row r="720">
      <c r="A720" t="inlineStr">
        <is>
          <t>three-way</t>
        </is>
      </c>
      <c r="B720" t="inlineStr">
        <is>
          <t>FICO x ASSET_CLASS / SYS_FLAG</t>
        </is>
      </c>
      <c r="C720" t="inlineStr">
        <is>
          <t>686 - 711</t>
        </is>
      </c>
      <c r="D720" t="inlineStr">
        <is>
          <t>2 / SYS_FLAG N</t>
        </is>
      </c>
      <c r="E720" t="inlineStr">
        <is>
          <t>outcome_booked</t>
        </is>
      </c>
      <c r="F720" t="inlineStr">
        <is>
          <t>Outcome, share of booked dollars</t>
        </is>
      </c>
      <c r="G720" t="n">
        <v>216</v>
      </c>
      <c r="H720" t="n">
        <v>7044506.669999999</v>
      </c>
      <c r="I720" t="b">
        <v>1</v>
      </c>
      <c r="J720" t="b">
        <v>0</v>
      </c>
      <c r="K720" t="n">
        <v>0.219683097780328</v>
      </c>
      <c r="M720" t="n">
        <v>0.26542674778927</v>
      </c>
      <c r="O720" t="n">
        <v>-420283.8465104643</v>
      </c>
      <c r="P720" t="n">
        <v>-327460.3735057174</v>
      </c>
      <c r="Q720">
        <f>'_live'!$C$21</f>
        <v/>
      </c>
      <c r="T720" t="n">
        <v>0.07645767712935737</v>
      </c>
      <c r="U720" t="n">
        <v>0.06328095981570238</v>
      </c>
      <c r="V720">
        <f>AND(judged_band,NOT($J720))</f>
        <v/>
      </c>
      <c r="W720">
        <f>IF($K720="","",IF($I720,"too few losses to test",IF(AND($K720&gt;better_at,$K720&lt;worse_at),"in line",IF($K720&gt;=worse_at,IF(AND(ISNUMBER($L720),$L720&lt;significance_bar),"worse","worse, not significant"),IF(AND(ISNUMBER($L720),$L720&lt;significance_bar),"better","better, not significant")))))</f>
        <v/>
      </c>
      <c r="X720">
        <f>IF($M720="","",IF($I720,"too few losses to test",IF(AND($M720&gt;better_at,$M720&lt;worse_at),"in line",IF($M720&gt;=worse_at,IF(AND(ISNUMBER($N720),$N720&lt;significance_bar),"worse","worse, not significant"),IF(AND(ISNUMBER($N720),$N720&lt;significance_bar),"better","better, not significant")))))</f>
        <v/>
      </c>
      <c r="Y720">
        <f>IF($V720,$X720,$W720)</f>
        <v/>
      </c>
      <c r="Z720">
        <f>IF($V720,IF($P720="","",$P720),IF($O720="","",$O720))</f>
        <v/>
      </c>
      <c r="AA720">
        <f>IF(OR($Q720="",$Z720=""),"",IF(AND($Z720&gt;0,$Z720&gt;=$Q720),"yes","below the line"))</f>
        <v/>
      </c>
      <c r="AB720">
        <f>IF($V720,IF($M720="","",$M720),IF($K720="","",$K720))</f>
        <v/>
      </c>
      <c r="AC720">
        <f>IF($V720,IF($N720="","",$N720),IF($L720="","",$L720))</f>
        <v/>
      </c>
      <c r="AD720">
        <f>$Y720</f>
        <v/>
      </c>
      <c r="AE720">
        <f>IF($V720,IF($S720="","",$S720),IF($R720="","",$R720))</f>
        <v/>
      </c>
      <c r="AF720">
        <f>IF($V720,IF($U720="","",$U720),IF($T720="","",$T720))</f>
        <v/>
      </c>
      <c r="AG720">
        <f>IF($V720,IF($O720="","",$O720),IF($P720="","",$P720))</f>
        <v/>
      </c>
      <c r="AH720" t="n">
        <v>0.01679645936086537</v>
      </c>
      <c r="AI720">
        <f>IF($Y720="worse","Yes",IF($Y720="worse, not significant","Not sure",IF(OR($Y720="too few losses to test",$Y720="too few loans to test"),"Too few losses",IF($Y720="","","No"))))</f>
        <v/>
      </c>
      <c r="AJ720">
        <f>IF($AA720="yes","Yes",IF($AA720="","","No"))</f>
        <v/>
      </c>
    </row>
    <row r="721">
      <c r="A721" t="inlineStr">
        <is>
          <t>three-way</t>
        </is>
      </c>
      <c r="B721" t="inlineStr">
        <is>
          <t>FICO x ASSET_CLASS / SYS_FLAG</t>
        </is>
      </c>
      <c r="C721" t="inlineStr">
        <is>
          <t>686 - 711</t>
        </is>
      </c>
      <c r="D721" t="inlineStr">
        <is>
          <t>2 / SYS_FLAG N</t>
        </is>
      </c>
      <c r="E721" t="inlineStr">
        <is>
          <t>gco_rate</t>
        </is>
      </c>
      <c r="F721" t="inlineStr">
        <is>
          <t>GCO per booked dollar</t>
        </is>
      </c>
      <c r="G721" t="n">
        <v>216</v>
      </c>
      <c r="H721" t="n">
        <v>7044506.669999999</v>
      </c>
      <c r="I721" t="b">
        <v>1</v>
      </c>
      <c r="J721" t="b">
        <v>0</v>
      </c>
      <c r="K721" t="n">
        <v>0.2029611771279296</v>
      </c>
      <c r="M721" t="n">
        <v>0.2453625615504314</v>
      </c>
      <c r="O721" t="n">
        <v>-238799.276928227</v>
      </c>
      <c r="P721" t="n">
        <v>-187023.6613263212</v>
      </c>
      <c r="Q721">
        <f>'_live'!$C$22</f>
        <v/>
      </c>
      <c r="T721" t="n">
        <v>0.04253074075494161</v>
      </c>
      <c r="U721" t="n">
        <v>0.03518095488244051</v>
      </c>
      <c r="V721">
        <f>AND(judged_band,NOT($J721))</f>
        <v/>
      </c>
      <c r="W721">
        <f>IF($K721="","",IF($I721,"too few losses to test",IF(AND($K721&gt;better_at,$K721&lt;worse_at),"in line",IF($K721&gt;=worse_at,IF(AND(ISNUMBER($L721),$L721&lt;significance_bar),"worse","worse, not significant"),IF(AND(ISNUMBER($L721),$L721&lt;significance_bar),"better","better, not significant")))))</f>
        <v/>
      </c>
      <c r="X721">
        <f>IF($M721="","",IF($I721,"too few losses to test",IF(AND($M721&gt;better_at,$M721&lt;worse_at),"in line",IF($M721&gt;=worse_at,IF(AND(ISNUMBER($N721),$N721&lt;significance_bar),"worse","worse, not significant"),IF(AND(ISNUMBER($N721),$N721&lt;significance_bar),"better","better, not significant")))))</f>
        <v/>
      </c>
      <c r="Y721">
        <f>IF($V721,$X721,$W721)</f>
        <v/>
      </c>
      <c r="Z721">
        <f>IF($V721,IF($P721="","",$P721),IF($O721="","",$O721))</f>
        <v/>
      </c>
      <c r="AA721">
        <f>IF(OR($Q721="",$Z721=""),"",IF(AND($Z721&gt;0,$Z721&gt;=$Q721),"yes","below the line"))</f>
        <v/>
      </c>
      <c r="AB721">
        <f>IF($V721,IF($M721="","",$M721),IF($K721="","",$K721))</f>
        <v/>
      </c>
      <c r="AC721">
        <f>IF($V721,IF($N721="","",$N721),IF($L721="","",$L721))</f>
        <v/>
      </c>
      <c r="AD721">
        <f>$Y721</f>
        <v/>
      </c>
      <c r="AE721">
        <f>IF($V721,IF($S721="","",$S721),IF($R721="","",$R721))</f>
        <v/>
      </c>
      <c r="AF721">
        <f>IF($V721,IF($U721="","",$U721),IF($T721="","",$T721))</f>
        <v/>
      </c>
      <c r="AG721">
        <f>IF($V721,IF($O721="","",$O721),IF($P721="","",$P721))</f>
        <v/>
      </c>
      <c r="AH721" t="n">
        <v>0.008632089207745759</v>
      </c>
      <c r="AI721">
        <f>IF($Y721="worse","Yes",IF($Y721="worse, not significant","Not sure",IF(OR($Y721="too few losses to test",$Y721="too few loans to test"),"Too few losses",IF($Y721="","","No"))))</f>
        <v/>
      </c>
      <c r="AJ721">
        <f>IF($AA721="yes","Yes",IF($AA721="","","No"))</f>
        <v/>
      </c>
    </row>
    <row r="722">
      <c r="A722" t="inlineStr">
        <is>
          <t>three-way</t>
        </is>
      </c>
      <c r="B722" t="inlineStr">
        <is>
          <t>FICO x ASSET_CLASS / SYS_FLAG</t>
        </is>
      </c>
      <c r="C722" t="inlineStr">
        <is>
          <t>686 - 711</t>
        </is>
      </c>
      <c r="D722" t="inlineStr">
        <is>
          <t>2 / SYS_FLAG N</t>
        </is>
      </c>
      <c r="E722" t="inlineStr">
        <is>
          <t>ranr_rate</t>
        </is>
      </c>
      <c r="F722" t="inlineStr">
        <is>
          <t>Profit after losses: RANR per booked dollar</t>
        </is>
      </c>
      <c r="G722" t="n">
        <v>216</v>
      </c>
      <c r="H722" t="n">
        <v>7044506.669999999</v>
      </c>
      <c r="I722" t="b">
        <v>0</v>
      </c>
      <c r="J722" t="b">
        <v>0</v>
      </c>
      <c r="K722" t="n">
        <v>0.04715249338683092</v>
      </c>
      <c r="L722" t="n">
        <v>0.0016331700163317</v>
      </c>
      <c r="M722" t="n">
        <v>0.03705357728679617</v>
      </c>
      <c r="N722" t="n">
        <v>0.06119388061193881</v>
      </c>
      <c r="O722" t="n">
        <v>-332166.0541706613</v>
      </c>
      <c r="P722" t="n">
        <v>-261024.1723441961</v>
      </c>
      <c r="Q722">
        <f>'_live'!$C$23</f>
        <v/>
      </c>
      <c r="R722" t="inlineStr">
        <is>
          <t>shuffled: 5 of 10,000</t>
        </is>
      </c>
      <c r="S722" t="inlineStr">
        <is>
          <t>shuffled: 50 of 10,000</t>
        </is>
      </c>
      <c r="T722" t="n">
        <v>0.1267029257890303</v>
      </c>
      <c r="U722" t="n">
        <v>0.1368018418890651</v>
      </c>
      <c r="V722">
        <f>AND(judged_band,NOT($J722))</f>
        <v/>
      </c>
      <c r="W722">
        <f>IF($K722="","",IF(profit_kind="test",IF(OR(NOT(AND(ISNUMBER($L722),$L722&lt;significance_bar)),$K722=0),"in line",IF($K722&lt;0,"worse","better")),IF(OR($K722=0,IF(profit_kind="points",ABS($K722),ABS($K722*$H722))&lt;profit_line*(1-1E-9)),"in line",IF(AND(ISNUMBER($L722),$L722&lt;significance_bar),IF($K722&lt;0,"worse","better"),IF($K722&lt;0,"worse, not significant","better, not significant")))))</f>
        <v/>
      </c>
      <c r="X722">
        <f>IF($M722="","",IF(profit_kind="test",IF(OR(NOT(AND(ISNUMBER($N722),$N722&lt;significance_bar)),$M722=0),"in line",IF($M722&lt;0,"worse","better")),IF(OR($M722=0,IF(profit_kind="points",ABS($M722),ABS($M722*$H722))&lt;profit_line*(1-1E-9)),"in line",IF(AND(ISNUMBER($N722),$N722&lt;significance_bar),IF($M722&lt;0,"worse","better"),IF($M722&lt;0,"worse, not significant","better, not significant")))))</f>
        <v/>
      </c>
      <c r="Y722">
        <f>IF($V722,$X722,$W722)</f>
        <v/>
      </c>
      <c r="Z722">
        <f>IF($V722,IF($P722="","",$P722),IF($O722="","",$O722))</f>
        <v/>
      </c>
      <c r="AA722">
        <f>IF(OR($Q722="",$Z722=""),"",IF(AND($Z722&gt;0,$Z722&gt;=$Q722),"yes","below the line"))</f>
        <v/>
      </c>
      <c r="AB722">
        <f>IF($V722,IF($M722="","",$M722),IF($K722="","",$K722))</f>
        <v/>
      </c>
      <c r="AC722">
        <f>IF($V722,IF($N722="","",$N722),IF($L722="","",$L722))</f>
        <v/>
      </c>
      <c r="AD722">
        <f>IF($Y722="","",IF($Y722="in line",IF(profit_kind="test",IF(ROUND($AB722*100,2)=0,"0.00",TEXT($AB722*100,"+0.00;-0.00"))&amp;" points against "&amp;IF($V722,"its band","the book")&amp;", "&amp;IF($AC722="","not tested","not significant"),IF(profit_kind="points","within "&amp;TEXT(profit_line*100,"0.00")&amp;" points of "&amp;IF($V722,"its band","the book")&amp;" ("&amp;IF(ROUND($AB722*100,2)=0,"0.00",TEXT($AB722*100,"+0.00;-0.00"))&amp;")","within $"&amp;TEXT(profit_line,"#,##0")&amp;" of "&amp;IF($V722,"its band","the book")&amp;" ("&amp;IF(ROUND($AB722*100,2)=0,"0.00",TEXT($AB722*100,"+0.00;-0.00"))&amp;" points)")),IF(LEFT($Y722,5)="worse","short of ","ahead of ")&amp;IF($V722,"its band","the book")&amp;" by "&amp;TEXT(ABS($AB722)*100,"0.00")&amp;" points"&amp;IF($Z722="",""," ($"&amp;TEXT(ABS($Z722),"#,##0")&amp;")")&amp;IF(RIGHT($Y722,15)="not significant"," (not significant)","")))</f>
        <v/>
      </c>
      <c r="AE722">
        <f>IF($V722,IF($S722="","",$S722),IF($R722="","",$R722))</f>
        <v/>
      </c>
      <c r="AF722">
        <f>IF($V722,IF($U722="","",$U722),IF($T722="","",$T722))</f>
        <v/>
      </c>
      <c r="AG722">
        <f>IF($V722,IF($O722="","",$O722),IF($P722="","",$P722))</f>
        <v/>
      </c>
      <c r="AH722" t="n">
        <v>0.1738554191758612</v>
      </c>
      <c r="AI722">
        <f>IF($Y722="worse","Yes",IF($Y722="worse, not significant","Not sure",IF(OR($Y722="too few losses to test",$Y722="too few loans to test"),"Too few losses",IF($Y722="","","No"))))</f>
        <v/>
      </c>
      <c r="AJ722">
        <f>IF($AA722="yes","Yes",IF($AA722="","","No"))</f>
        <v/>
      </c>
    </row>
    <row r="723">
      <c r="A723" t="inlineStr">
        <is>
          <t>three-way</t>
        </is>
      </c>
      <c r="B723" t="inlineStr">
        <is>
          <t>FICO x ASSET_CLASS / SYS_FLAG</t>
        </is>
      </c>
      <c r="C723" t="inlineStr">
        <is>
          <t>686 - 711</t>
        </is>
      </c>
      <c r="D723" t="inlineStr">
        <is>
          <t>2 / SYS_FLAG N</t>
        </is>
      </c>
      <c r="E723" t="inlineStr">
        <is>
          <t>contribution_rate</t>
        </is>
      </c>
      <c r="F723" t="inlineStr">
        <is>
          <t>Contribution before losses per booked dollar</t>
        </is>
      </c>
      <c r="G723" t="n">
        <v>216</v>
      </c>
      <c r="H723" t="n">
        <v>7044506.669999999</v>
      </c>
      <c r="I723" t="b">
        <v>0</v>
      </c>
      <c r="J723" t="b">
        <v>0</v>
      </c>
      <c r="K723" t="n">
        <v>0.01325698485197663</v>
      </c>
      <c r="L723" t="n">
        <v>0.2049395060493951</v>
      </c>
      <c r="M723" t="n">
        <v>0.01050471161210145</v>
      </c>
      <c r="N723" t="n">
        <v>0.6095390460953904</v>
      </c>
      <c r="O723" t="n">
        <v>-93388.91821383825</v>
      </c>
      <c r="P723" t="n">
        <v>-74000.51101787505</v>
      </c>
      <c r="Q723">
        <f>'_live'!$C$24</f>
        <v/>
      </c>
      <c r="R723" t="inlineStr">
        <is>
          <t>shuffled: 1,463 of 10,000</t>
        </is>
      </c>
      <c r="S723" t="inlineStr">
        <is>
          <t>shuffled: 1,523 of 10,000</t>
        </is>
      </c>
      <c r="T723" t="n">
        <v>0.1692305235316304</v>
      </c>
      <c r="U723" t="n">
        <v>0.1719827967715056</v>
      </c>
      <c r="V723">
        <f>AND(judged_band,NOT($J723))</f>
        <v/>
      </c>
      <c r="W723">
        <f>IF($K723="","",IF(profit_kind="test",IF(OR(NOT(AND(ISNUMBER($L723),$L723&lt;significance_bar)),$K723=0),"in line",IF($K723&lt;0,"worse","better")),IF(OR($K723=0,IF(profit_kind="points",ABS($K723),ABS($K723*$H723))&lt;profit_line*(1-1E-9)),"in line",IF(AND(ISNUMBER($L723),$L723&lt;significance_bar),IF($K723&lt;0,"worse","better"),IF($K723&lt;0,"worse, not significant","better, not significant")))))</f>
        <v/>
      </c>
      <c r="X723">
        <f>IF($M723="","",IF(profit_kind="test",IF(OR(NOT(AND(ISNUMBER($N723),$N723&lt;significance_bar)),$M723=0),"in line",IF($M723&lt;0,"worse","better")),IF(OR($M723=0,IF(profit_kind="points",ABS($M723),ABS($M723*$H723))&lt;profit_line*(1-1E-9)),"in line",IF(AND(ISNUMBER($N723),$N723&lt;significance_bar),IF($M723&lt;0,"worse","better"),IF($M723&lt;0,"worse, not significant","better, not significant")))))</f>
        <v/>
      </c>
      <c r="Y723">
        <f>IF($V723,$X723,$W723)</f>
        <v/>
      </c>
      <c r="Z723">
        <f>IF($V723,IF($P723="","",$P723),IF($O723="","",$O723))</f>
        <v/>
      </c>
      <c r="AA723">
        <f>IF(OR($Q723="",$Z723=""),"",IF(AND($Z723&gt;0,$Z723&gt;=$Q723),"yes","below the line"))</f>
        <v/>
      </c>
      <c r="AB723">
        <f>IF($V723,IF($M723="","",$M723),IF($K723="","",$K723))</f>
        <v/>
      </c>
      <c r="AC723">
        <f>IF($V723,IF($N723="","",$N723),IF($L723="","",$L723))</f>
        <v/>
      </c>
      <c r="AD723">
        <f>IF($Y723="","",IF($Y723="in line",IF(profit_kind="test",IF(ROUND($AB723*100,2)=0,"0.00",TEXT($AB723*100,"+0.00;-0.00"))&amp;" points against "&amp;IF($V723,"its band","the book")&amp;", "&amp;IF($AC723="","not tested","not significant"),IF(profit_kind="points","within "&amp;TEXT(profit_line*100,"0.00")&amp;" points of "&amp;IF($V723,"its band","the book")&amp;" ("&amp;IF(ROUND($AB723*100,2)=0,"0.00",TEXT($AB723*100,"+0.00;-0.00"))&amp;")","within $"&amp;TEXT(profit_line,"#,##0")&amp;" of "&amp;IF($V723,"its band","the book")&amp;" ("&amp;IF(ROUND($AB723*100,2)=0,"0.00",TEXT($AB723*100,"+0.00;-0.00"))&amp;" points)")),IF(LEFT($Y723,5)="worse","short of ","ahead of ")&amp;IF($V723,"its band","the book")&amp;" by "&amp;TEXT(ABS($AB723)*100,"0.00")&amp;" points"&amp;IF($Z723="",""," ($"&amp;TEXT(ABS($Z723),"#,##0")&amp;")")&amp;IF(RIGHT($Y723,15)="not significant"," (not significant)","")))</f>
        <v/>
      </c>
      <c r="AE723">
        <f>IF($V723,IF($S723="","",$S723),IF($R723="","",$R723))</f>
        <v/>
      </c>
      <c r="AF723">
        <f>IF($V723,IF($U723="","",$U723),IF($T723="","",$T723))</f>
        <v/>
      </c>
      <c r="AG723">
        <f>IF($V723,IF($O723="","",$O723),IF($P723="","",$P723))</f>
        <v/>
      </c>
      <c r="AH723" t="n">
        <v>0.182487508383607</v>
      </c>
      <c r="AI723">
        <f>IF($Y723="worse","Yes",IF($Y723="worse, not significant","Not sure",IF(OR($Y723="too few losses to test",$Y723="too few loans to test"),"Too few losses",IF($Y723="","","No"))))</f>
        <v/>
      </c>
      <c r="AJ723">
        <f>IF($AA723="yes","Yes",IF($AA723="","","No"))</f>
        <v/>
      </c>
    </row>
    <row r="724">
      <c r="A724" t="inlineStr">
        <is>
          <t>three-way</t>
        </is>
      </c>
      <c r="B724" t="inlineStr">
        <is>
          <t>FICO x ASSET_CLASS / SYS_FLAG</t>
        </is>
      </c>
      <c r="C724" t="inlineStr">
        <is>
          <t>746 - 921</t>
        </is>
      </c>
      <c r="D724" t="inlineStr">
        <is>
          <t>1 / SYS_FLAG Y</t>
        </is>
      </c>
      <c r="E724" t="inlineStr">
        <is>
          <t>outcome_loans</t>
        </is>
      </c>
      <c r="F724" t="inlineStr">
        <is>
          <t>Outcome, share of loans</t>
        </is>
      </c>
      <c r="G724" t="n">
        <v>183</v>
      </c>
      <c r="H724" t="n">
        <v>183</v>
      </c>
      <c r="I724" t="b">
        <v>0</v>
      </c>
      <c r="J724" t="b">
        <v>0</v>
      </c>
      <c r="K724" t="n">
        <v>0.7727207362668967</v>
      </c>
      <c r="L724" t="n">
        <v>0.563854801876237</v>
      </c>
      <c r="M724" t="n">
        <v>1.635915568413158</v>
      </c>
      <c r="N724" t="n">
        <v>0.3538064683800896</v>
      </c>
      <c r="O724" t="n">
        <v>-3.235414534288637</v>
      </c>
      <c r="P724" t="n">
        <v>4.275936599423631</v>
      </c>
      <c r="Q724">
        <f>'_live'!$C$20</f>
        <v/>
      </c>
      <c r="R724" t="inlineStr">
        <is>
          <t>z test</t>
        </is>
      </c>
      <c r="S724" t="inlineStr">
        <is>
          <t>z test</t>
        </is>
      </c>
      <c r="T724" t="n">
        <v>0.07778915046059365</v>
      </c>
      <c r="U724" t="n">
        <v>0.03674351585014409</v>
      </c>
      <c r="V724">
        <f>AND(judged_band,NOT($J724))</f>
        <v/>
      </c>
      <c r="W724">
        <f>IF($K724="","",IF($I724,"too few losses to test",IF(AND($K724&gt;better_at,$K724&lt;worse_at),"in line",IF($K724&gt;=worse_at,IF(AND(ISNUMBER($L724),$L724&lt;significance_bar),"worse","worse, not significant"),IF(AND(ISNUMBER($L724),$L724&lt;significance_bar),"better","better, not significant")))))</f>
        <v/>
      </c>
      <c r="X724">
        <f>IF($M724="","",IF($I724,"too few losses to test",IF(AND($M724&gt;better_at,$M724&lt;worse_at),"in line",IF($M724&gt;=worse_at,IF(AND(ISNUMBER($N724),$N724&lt;significance_bar),"worse","worse, not significant"),IF(AND(ISNUMBER($N724),$N724&lt;significance_bar),"better","better, not significant")))))</f>
        <v/>
      </c>
      <c r="Y724">
        <f>IF($V724,$X724,$W724)</f>
        <v/>
      </c>
      <c r="Z724">
        <f>IF($V724,IF($P724="","",$P724),IF($O724="","",$O724))</f>
        <v/>
      </c>
      <c r="AA724">
        <f>IF(OR($Q724="",$Z724=""),"",IF(AND($Z724&gt;0,$Z724&gt;=$Q724),"yes","below the line"))</f>
        <v/>
      </c>
      <c r="AB724">
        <f>IF($V724,IF($M724="","",$M724),IF($K724="","",$K724))</f>
        <v/>
      </c>
      <c r="AC724">
        <f>IF($V724,IF($N724="","",$N724),IF($L724="","",$L724))</f>
        <v/>
      </c>
      <c r="AD724">
        <f>$Y724</f>
        <v/>
      </c>
      <c r="AE724">
        <f>IF($V724,IF($S724="","",$S724),IF($R724="","",$R724))</f>
        <v/>
      </c>
      <c r="AF724">
        <f>IF($V724,IF($U724="","",$U724),IF($T724="","",$T724))</f>
        <v/>
      </c>
      <c r="AG724">
        <f>IF($V724,IF($O724="","",$O724),IF($P724="","",$P724))</f>
        <v/>
      </c>
      <c r="AH724" t="n">
        <v>0.06010928961748634</v>
      </c>
      <c r="AI724">
        <f>IF($Y724="worse","Yes",IF($Y724="worse, not significant","Not sure",IF(OR($Y724="too few losses to test",$Y724="too few loans to test"),"Too few losses",IF($Y724="","","No"))))</f>
        <v/>
      </c>
      <c r="AJ724">
        <f>IF($AA724="yes","Yes",IF($AA724="","","No"))</f>
        <v/>
      </c>
    </row>
    <row r="725">
      <c r="A725" t="inlineStr">
        <is>
          <t>three-way</t>
        </is>
      </c>
      <c r="B725" t="inlineStr">
        <is>
          <t>FICO x ASSET_CLASS / SYS_FLAG</t>
        </is>
      </c>
      <c r="C725" t="inlineStr">
        <is>
          <t>746 - 921</t>
        </is>
      </c>
      <c r="D725" t="inlineStr">
        <is>
          <t>1 / SYS_FLAG Y</t>
        </is>
      </c>
      <c r="E725" t="inlineStr">
        <is>
          <t>outcome_booked</t>
        </is>
      </c>
      <c r="F725" t="inlineStr">
        <is>
          <t>Outcome, share of booked dollars</t>
        </is>
      </c>
      <c r="G725" t="n">
        <v>183</v>
      </c>
      <c r="H725" t="n">
        <v>5999485.120000003</v>
      </c>
      <c r="I725" t="b">
        <v>0</v>
      </c>
      <c r="J725" t="b">
        <v>0</v>
      </c>
      <c r="K725" t="n">
        <v>0.7020289060889486</v>
      </c>
      <c r="L725" t="n">
        <v>0.4745969847459698</v>
      </c>
      <c r="M725" t="n">
        <v>1.526000150101828</v>
      </c>
      <c r="N725" t="n">
        <v>0.5657034296570344</v>
      </c>
      <c r="O725" t="n">
        <v>-134702.7960128641</v>
      </c>
      <c r="P725" t="n">
        <v>109392.8057515304</v>
      </c>
      <c r="Q725">
        <f>'_live'!$C$21</f>
        <v/>
      </c>
      <c r="R725" t="inlineStr">
        <is>
          <t>shuffled: 3,047 of 10,000</t>
        </is>
      </c>
      <c r="S725" t="inlineStr">
        <is>
          <t>shuffled: 2,549 of 10,000</t>
        </is>
      </c>
      <c r="T725" t="n">
        <v>0.07535090878146289</v>
      </c>
      <c r="U725" t="n">
        <v>0.0346648170782478</v>
      </c>
      <c r="V725">
        <f>AND(judged_band,NOT($J725))</f>
        <v/>
      </c>
      <c r="W725">
        <f>IF($K725="","",IF($I725,"too few losses to test",IF(AND($K725&gt;better_at,$K725&lt;worse_at),"in line",IF($K725&gt;=worse_at,IF(AND(ISNUMBER($L725),$L725&lt;significance_bar),"worse","worse, not significant"),IF(AND(ISNUMBER($L725),$L725&lt;significance_bar),"better","better, not significant")))))</f>
        <v/>
      </c>
      <c r="X725">
        <f>IF($M725="","",IF($I725,"too few losses to test",IF(AND($M725&gt;better_at,$M725&lt;worse_at),"in line",IF($M725&gt;=worse_at,IF(AND(ISNUMBER($N725),$N725&lt;significance_bar),"worse","worse, not significant"),IF(AND(ISNUMBER($N725),$N725&lt;significance_bar),"better","better, not significant")))))</f>
        <v/>
      </c>
      <c r="Y725">
        <f>IF($V725,$X725,$W725)</f>
        <v/>
      </c>
      <c r="Z725">
        <f>IF($V725,IF($P725="","",$P725),IF($O725="","",$O725))</f>
        <v/>
      </c>
      <c r="AA725">
        <f>IF(OR($Q725="",$Z725=""),"",IF(AND($Z725&gt;0,$Z725&gt;=$Q725),"yes","below the line"))</f>
        <v/>
      </c>
      <c r="AB725">
        <f>IF($V725,IF($M725="","",$M725),IF($K725="","",$K725))</f>
        <v/>
      </c>
      <c r="AC725">
        <f>IF($V725,IF($N725="","",$N725),IF($L725="","",$L725))</f>
        <v/>
      </c>
      <c r="AD725">
        <f>$Y725</f>
        <v/>
      </c>
      <c r="AE725">
        <f>IF($V725,IF($S725="","",$S725),IF($R725="","",$R725))</f>
        <v/>
      </c>
      <c r="AF725">
        <f>IF($V725,IF($U725="","",$U725),IF($T725="","",$T725))</f>
        <v/>
      </c>
      <c r="AG725">
        <f>IF($V725,IF($O725="","",$O725),IF($P725="","",$P725))</f>
        <v/>
      </c>
      <c r="AH725" t="n">
        <v>0.05289851606465854</v>
      </c>
      <c r="AI725">
        <f>IF($Y725="worse","Yes",IF($Y725="worse, not significant","Not sure",IF(OR($Y725="too few losses to test",$Y725="too few loans to test"),"Too few losses",IF($Y725="","","No"))))</f>
        <v/>
      </c>
      <c r="AJ725">
        <f>IF($AA725="yes","Yes",IF($AA725="","","No"))</f>
        <v/>
      </c>
    </row>
    <row r="726">
      <c r="A726" t="inlineStr">
        <is>
          <t>three-way</t>
        </is>
      </c>
      <c r="B726" t="inlineStr">
        <is>
          <t>FICO x ASSET_CLASS / SYS_FLAG</t>
        </is>
      </c>
      <c r="C726" t="inlineStr">
        <is>
          <t>746 - 921</t>
        </is>
      </c>
      <c r="D726" t="inlineStr">
        <is>
          <t>1 / SYS_FLAG Y</t>
        </is>
      </c>
      <c r="E726" t="inlineStr">
        <is>
          <t>gco_rate</t>
        </is>
      </c>
      <c r="F726" t="inlineStr">
        <is>
          <t>GCO per booked dollar</t>
        </is>
      </c>
      <c r="G726" t="n">
        <v>183</v>
      </c>
      <c r="H726" t="n">
        <v>5999485.120000003</v>
      </c>
      <c r="I726" t="b">
        <v>0</v>
      </c>
      <c r="J726" t="b">
        <v>0</v>
      </c>
      <c r="K726" t="n">
        <v>0.6051113422279496</v>
      </c>
      <c r="L726" t="n">
        <v>0.3444655534446555</v>
      </c>
      <c r="M726" t="n">
        <v>1.36609607492471</v>
      </c>
      <c r="N726" t="n">
        <v>0.6916933306669333</v>
      </c>
      <c r="O726" t="n">
        <v>-99481.63017382941</v>
      </c>
      <c r="P726" t="n">
        <v>40852.3793462178</v>
      </c>
      <c r="Q726">
        <f>'_live'!$C$22</f>
        <v/>
      </c>
      <c r="R726" t="inlineStr">
        <is>
          <t>shuffled: 1,854 of 10,000</t>
        </is>
      </c>
      <c r="S726" t="inlineStr">
        <is>
          <t>shuffled: 4,256 of 10,000</t>
        </is>
      </c>
      <c r="T726" t="n">
        <v>0.04199081006701944</v>
      </c>
      <c r="U726" t="n">
        <v>0.01859980121990571</v>
      </c>
      <c r="V726">
        <f>AND(judged_band,NOT($J726))</f>
        <v/>
      </c>
      <c r="W726">
        <f>IF($K726="","",IF($I726,"too few losses to test",IF(AND($K726&gt;better_at,$K726&lt;worse_at),"in line",IF($K726&gt;=worse_at,IF(AND(ISNUMBER($L726),$L726&lt;significance_bar),"worse","worse, not significant"),IF(AND(ISNUMBER($L726),$L726&lt;significance_bar),"better","better, not significant")))))</f>
        <v/>
      </c>
      <c r="X726">
        <f>IF($M726="","",IF($I726,"too few losses to test",IF(AND($M726&gt;better_at,$M726&lt;worse_at),"in line",IF($M726&gt;=worse_at,IF(AND(ISNUMBER($N726),$N726&lt;significance_bar),"worse","worse, not significant"),IF(AND(ISNUMBER($N726),$N726&lt;significance_bar),"better","better, not significant")))))</f>
        <v/>
      </c>
      <c r="Y726">
        <f>IF($V726,$X726,$W726)</f>
        <v/>
      </c>
      <c r="Z726">
        <f>IF($V726,IF($P726="","",$P726),IF($O726="","",$O726))</f>
        <v/>
      </c>
      <c r="AA726">
        <f>IF(OR($Q726="",$Z726=""),"",IF(AND($Z726&gt;0,$Z726&gt;=$Q726),"yes","below the line"))</f>
        <v/>
      </c>
      <c r="AB726">
        <f>IF($V726,IF($M726="","",$M726),IF($K726="","",$K726))</f>
        <v/>
      </c>
      <c r="AC726">
        <f>IF($V726,IF($N726="","",$N726),IF($L726="","",$L726))</f>
        <v/>
      </c>
      <c r="AD726">
        <f>$Y726</f>
        <v/>
      </c>
      <c r="AE726">
        <f>IF($V726,IF($S726="","",$S726),IF($R726="","",$R726))</f>
        <v/>
      </c>
      <c r="AF726">
        <f>IF($V726,IF($U726="","",$U726),IF($T726="","",$T726))</f>
        <v/>
      </c>
      <c r="AG726">
        <f>IF($V726,IF($O726="","",$O726),IF($P726="","",$P726))</f>
        <v/>
      </c>
      <c r="AH726" t="n">
        <v>0.02540911544089303</v>
      </c>
      <c r="AI726">
        <f>IF($Y726="worse","Yes",IF($Y726="worse, not significant","Not sure",IF(OR($Y726="too few losses to test",$Y726="too few loans to test"),"Too few losses",IF($Y726="","","No"))))</f>
        <v/>
      </c>
      <c r="AJ726">
        <f>IF($AA726="yes","Yes",IF($AA726="","","No"))</f>
        <v/>
      </c>
    </row>
    <row r="727">
      <c r="A727" t="inlineStr">
        <is>
          <t>three-way</t>
        </is>
      </c>
      <c r="B727" t="inlineStr">
        <is>
          <t>FICO x ASSET_CLASS / SYS_FLAG</t>
        </is>
      </c>
      <c r="C727" t="inlineStr">
        <is>
          <t>746 - 921</t>
        </is>
      </c>
      <c r="D727" t="inlineStr">
        <is>
          <t>1 / SYS_FLAG Y</t>
        </is>
      </c>
      <c r="E727" t="inlineStr">
        <is>
          <t>ranr_rate</t>
        </is>
      </c>
      <c r="F727" t="inlineStr">
        <is>
          <t>Profit after losses: RANR per booked dollar</t>
        </is>
      </c>
      <c r="G727" t="n">
        <v>183</v>
      </c>
      <c r="H727" t="n">
        <v>5999485.120000003</v>
      </c>
      <c r="I727" t="b">
        <v>0</v>
      </c>
      <c r="J727" t="b">
        <v>0</v>
      </c>
      <c r="K727" t="n">
        <v>-0.08944483753323812</v>
      </c>
      <c r="L727" t="n">
        <v>0.0003768853883842385</v>
      </c>
      <c r="M727" t="n">
        <v>-0.006943275563182999</v>
      </c>
      <c r="N727" t="n">
        <v>0.7878323278783234</v>
      </c>
      <c r="O727" t="n">
        <v>536622.9718414799</v>
      </c>
      <c r="P727" t="n">
        <v>41656.07842537604</v>
      </c>
      <c r="Q727">
        <f>'_live'!$C$23</f>
        <v/>
      </c>
      <c r="R727" t="inlineStr">
        <is>
          <t>shuffled: 0 of 10,000</t>
        </is>
      </c>
      <c r="S727" t="inlineStr">
        <is>
          <t>shuffled: 4,431 of 10,000</t>
        </is>
      </c>
      <c r="T727" t="n">
        <v>0.1300694319984378</v>
      </c>
      <c r="U727" t="n">
        <v>0.04756787002838269</v>
      </c>
      <c r="V727">
        <f>AND(judged_band,NOT($J727))</f>
        <v/>
      </c>
      <c r="W727">
        <f>IF($K727="","",IF(profit_kind="test",IF(OR(NOT(AND(ISNUMBER($L727),$L727&lt;significance_bar)),$K727=0),"in line",IF($K727&lt;0,"worse","better")),IF(OR($K727=0,IF(profit_kind="points",ABS($K727),ABS($K727*$H727))&lt;profit_line*(1-1E-9)),"in line",IF(AND(ISNUMBER($L727),$L727&lt;significance_bar),IF($K727&lt;0,"worse","better"),IF($K727&lt;0,"worse, not significant","better, not significant")))))</f>
        <v/>
      </c>
      <c r="X727">
        <f>IF($M727="","",IF(profit_kind="test",IF(OR(NOT(AND(ISNUMBER($N727),$N727&lt;significance_bar)),$M727=0),"in line",IF($M727&lt;0,"worse","better")),IF(OR($M727=0,IF(profit_kind="points",ABS($M727),ABS($M727*$H727))&lt;profit_line*(1-1E-9)),"in line",IF(AND(ISNUMBER($N727),$N727&lt;significance_bar),IF($M727&lt;0,"worse","better"),IF($M727&lt;0,"worse, not significant","better, not significant")))))</f>
        <v/>
      </c>
      <c r="Y727">
        <f>IF($V727,$X727,$W727)</f>
        <v/>
      </c>
      <c r="Z727">
        <f>IF($V727,IF($P727="","",$P727),IF($O727="","",$O727))</f>
        <v/>
      </c>
      <c r="AA727">
        <f>IF(OR($Q727="",$Z727=""),"",IF(AND($Z727&gt;0,$Z727&gt;=$Q727),"yes","below the line"))</f>
        <v/>
      </c>
      <c r="AB727">
        <f>IF($V727,IF($M727="","",$M727),IF($K727="","",$K727))</f>
        <v/>
      </c>
      <c r="AC727">
        <f>IF($V727,IF($N727="","",$N727),IF($L727="","",$L727))</f>
        <v/>
      </c>
      <c r="AD727">
        <f>IF($Y727="","",IF($Y727="in line",IF(profit_kind="test",IF(ROUND($AB727*100,2)=0,"0.00",TEXT($AB727*100,"+0.00;-0.00"))&amp;" points against "&amp;IF($V727,"its band","the book")&amp;", "&amp;IF($AC727="","not tested","not significant"),IF(profit_kind="points","within "&amp;TEXT(profit_line*100,"0.00")&amp;" points of "&amp;IF($V727,"its band","the book")&amp;" ("&amp;IF(ROUND($AB727*100,2)=0,"0.00",TEXT($AB727*100,"+0.00;-0.00"))&amp;")","within $"&amp;TEXT(profit_line,"#,##0")&amp;" of "&amp;IF($V727,"its band","the book")&amp;" ("&amp;IF(ROUND($AB727*100,2)=0,"0.00",TEXT($AB727*100,"+0.00;-0.00"))&amp;" points)")),IF(LEFT($Y727,5)="worse","short of ","ahead of ")&amp;IF($V727,"its band","the book")&amp;" by "&amp;TEXT(ABS($AB727)*100,"0.00")&amp;" points"&amp;IF($Z727="",""," ($"&amp;TEXT(ABS($Z727),"#,##0")&amp;")")&amp;IF(RIGHT($Y727,15)="not significant"," (not significant)","")))</f>
        <v/>
      </c>
      <c r="AE727">
        <f>IF($V727,IF($S727="","",$S727),IF($R727="","",$R727))</f>
        <v/>
      </c>
      <c r="AF727">
        <f>IF($V727,IF($U727="","",$U727),IF($T727="","",$T727))</f>
        <v/>
      </c>
      <c r="AG727">
        <f>IF($V727,IF($O727="","",$O727),IF($P727="","",$P727))</f>
        <v/>
      </c>
      <c r="AH727" t="n">
        <v>0.04062459446519969</v>
      </c>
      <c r="AI727">
        <f>IF($Y727="worse","Yes",IF($Y727="worse, not significant","Not sure",IF(OR($Y727="too few losses to test",$Y727="too few loans to test"),"Too few losses",IF($Y727="","","No"))))</f>
        <v/>
      </c>
      <c r="AJ727">
        <f>IF($AA727="yes","Yes",IF($AA727="","","No"))</f>
        <v/>
      </c>
    </row>
    <row r="728">
      <c r="A728" t="inlineStr">
        <is>
          <t>three-way</t>
        </is>
      </c>
      <c r="B728" t="inlineStr">
        <is>
          <t>FICO x ASSET_CLASS / SYS_FLAG</t>
        </is>
      </c>
      <c r="C728" t="inlineStr">
        <is>
          <t>746 - 921</t>
        </is>
      </c>
      <c r="D728" t="inlineStr">
        <is>
          <t>1 / SYS_FLAG Y</t>
        </is>
      </c>
      <c r="E728" t="inlineStr">
        <is>
          <t>contribution_rate</t>
        </is>
      </c>
      <c r="F728" t="inlineStr">
        <is>
          <t>Contribution before losses per booked dollar</t>
        </is>
      </c>
      <c r="G728" t="n">
        <v>183</v>
      </c>
      <c r="H728" t="n">
        <v>5999485.120000003</v>
      </c>
      <c r="I728" t="b">
        <v>0</v>
      </c>
      <c r="J728" t="b">
        <v>0</v>
      </c>
      <c r="K728" t="n">
        <v>-0.1060239322680348</v>
      </c>
      <c r="L728" t="n">
        <v>0.0001814633351479667</v>
      </c>
      <c r="M728" t="n">
        <v>-0.0001339613421957042</v>
      </c>
      <c r="N728" t="n">
        <v>0.9799190293736585</v>
      </c>
      <c r="O728" t="n">
        <v>636089.0040059632</v>
      </c>
      <c r="P728" t="n">
        <v>803.6990791583085</v>
      </c>
      <c r="Q728">
        <f>'_live'!$C$24</f>
        <v/>
      </c>
      <c r="R728" t="inlineStr">
        <is>
          <t>shuffled: 0 of 10,000</t>
        </is>
      </c>
      <c r="S728" t="inlineStr">
        <is>
          <t>shuffled: 9,595 of 10,000</t>
        </is>
      </c>
      <c r="T728" t="n">
        <v>0.1720576421741275</v>
      </c>
      <c r="U728" t="n">
        <v>0.0661676712482884</v>
      </c>
      <c r="V728">
        <f>AND(judged_band,NOT($J728))</f>
        <v/>
      </c>
      <c r="W728">
        <f>IF($K728="","",IF(profit_kind="test",IF(OR(NOT(AND(ISNUMBER($L728),$L728&lt;significance_bar)),$K728=0),"in line",IF($K728&lt;0,"worse","better")),IF(OR($K728=0,IF(profit_kind="points",ABS($K728),ABS($K728*$H728))&lt;profit_line*(1-1E-9)),"in line",IF(AND(ISNUMBER($L728),$L728&lt;significance_bar),IF($K728&lt;0,"worse","better"),IF($K728&lt;0,"worse, not significant","better, not significant")))))</f>
        <v/>
      </c>
      <c r="X728">
        <f>IF($M728="","",IF(profit_kind="test",IF(OR(NOT(AND(ISNUMBER($N728),$N728&lt;significance_bar)),$M728=0),"in line",IF($M728&lt;0,"worse","better")),IF(OR($M728=0,IF(profit_kind="points",ABS($M728),ABS($M728*$H728))&lt;profit_line*(1-1E-9)),"in line",IF(AND(ISNUMBER($N728),$N728&lt;significance_bar),IF($M728&lt;0,"worse","better"),IF($M728&lt;0,"worse, not significant","better, not significant")))))</f>
        <v/>
      </c>
      <c r="Y728">
        <f>IF($V728,$X728,$W728)</f>
        <v/>
      </c>
      <c r="Z728">
        <f>IF($V728,IF($P728="","",$P728),IF($O728="","",$O728))</f>
        <v/>
      </c>
      <c r="AA728">
        <f>IF(OR($Q728="",$Z728=""),"",IF(AND($Z728&gt;0,$Z728&gt;=$Q728),"yes","below the line"))</f>
        <v/>
      </c>
      <c r="AB728">
        <f>IF($V728,IF($M728="","",$M728),IF($K728="","",$K728))</f>
        <v/>
      </c>
      <c r="AC728">
        <f>IF($V728,IF($N728="","",$N728),IF($L728="","",$L728))</f>
        <v/>
      </c>
      <c r="AD728">
        <f>IF($Y728="","",IF($Y728="in line",IF(profit_kind="test",IF(ROUND($AB728*100,2)=0,"0.00",TEXT($AB728*100,"+0.00;-0.00"))&amp;" points against "&amp;IF($V728,"its band","the book")&amp;", "&amp;IF($AC728="","not tested","not significant"),IF(profit_kind="points","within "&amp;TEXT(profit_line*100,"0.00")&amp;" points of "&amp;IF($V728,"its band","the book")&amp;" ("&amp;IF(ROUND($AB728*100,2)=0,"0.00",TEXT($AB728*100,"+0.00;-0.00"))&amp;")","within $"&amp;TEXT(profit_line,"#,##0")&amp;" of "&amp;IF($V728,"its band","the book")&amp;" ("&amp;IF(ROUND($AB728*100,2)=0,"0.00",TEXT($AB728*100,"+0.00;-0.00"))&amp;" points)")),IF(LEFT($Y728,5)="worse","short of ","ahead of ")&amp;IF($V728,"its band","the book")&amp;" by "&amp;TEXT(ABS($AB728)*100,"0.00")&amp;" points"&amp;IF($Z728="",""," ($"&amp;TEXT(ABS($Z728),"#,##0")&amp;")")&amp;IF(RIGHT($Y728,15)="not significant"," (not significant)","")))</f>
        <v/>
      </c>
      <c r="AE728">
        <f>IF($V728,IF($S728="","",$S728),IF($R728="","",$R728))</f>
        <v/>
      </c>
      <c r="AF728">
        <f>IF($V728,IF($U728="","",$U728),IF($T728="","",$T728))</f>
        <v/>
      </c>
      <c r="AG728">
        <f>IF($V728,IF($O728="","",$O728),IF($P728="","",$P728))</f>
        <v/>
      </c>
      <c r="AH728" t="n">
        <v>0.0660337099060927</v>
      </c>
      <c r="AI728">
        <f>IF($Y728="worse","Yes",IF($Y728="worse, not significant","Not sure",IF(OR($Y728="too few losses to test",$Y728="too few loans to test"),"Too few losses",IF($Y728="","","No"))))</f>
        <v/>
      </c>
      <c r="AJ728">
        <f>IF($AA728="yes","Yes",IF($AA728="","","No"))</f>
        <v/>
      </c>
    </row>
    <row r="729">
      <c r="A729" t="inlineStr">
        <is>
          <t>three-way</t>
        </is>
      </c>
      <c r="B729" t="inlineStr">
        <is>
          <t>FICO x ASSET_CLASS / SYS_FLAG</t>
        </is>
      </c>
      <c r="C729" t="inlineStr">
        <is>
          <t>712 - 745</t>
        </is>
      </c>
      <c r="D729" t="inlineStr">
        <is>
          <t>1 / SYS_FLAG Y</t>
        </is>
      </c>
      <c r="E729" t="inlineStr">
        <is>
          <t>outcome_loans</t>
        </is>
      </c>
      <c r="F729" t="inlineStr">
        <is>
          <t>Outcome, share of loans</t>
        </is>
      </c>
      <c r="G729" t="n">
        <v>167</v>
      </c>
      <c r="H729" t="n">
        <v>167</v>
      </c>
      <c r="I729" t="b">
        <v>1</v>
      </c>
      <c r="J729" t="b">
        <v>0</v>
      </c>
      <c r="K729" t="n">
        <v>0.614051765536031</v>
      </c>
      <c r="M729" t="n">
        <v>0.8756158568938074</v>
      </c>
      <c r="O729" t="n">
        <v>-5.028217568947907</v>
      </c>
      <c r="P729" t="n">
        <v>-1.136426592797784</v>
      </c>
      <c r="Q729">
        <f>'_live'!$C$20</f>
        <v/>
      </c>
      <c r="T729" t="n">
        <v>0.07801327885597549</v>
      </c>
      <c r="U729" t="n">
        <v>0.05470914127423823</v>
      </c>
      <c r="V729">
        <f>AND(judged_band,NOT($J729))</f>
        <v/>
      </c>
      <c r="W729">
        <f>IF($K729="","",IF($I729,"too few losses to test",IF(AND($K729&gt;better_at,$K729&lt;worse_at),"in line",IF($K729&gt;=worse_at,IF(AND(ISNUMBER($L729),$L729&lt;significance_bar),"worse","worse, not significant"),IF(AND(ISNUMBER($L729),$L729&lt;significance_bar),"better","better, not significant")))))</f>
        <v/>
      </c>
      <c r="X729">
        <f>IF($M729="","",IF($I729,"too few losses to test",IF(AND($M729&gt;better_at,$M729&lt;worse_at),"in line",IF($M729&gt;=worse_at,IF(AND(ISNUMBER($N729),$N729&lt;significance_bar),"worse","worse, not significant"),IF(AND(ISNUMBER($N729),$N729&lt;significance_bar),"better","better, not significant")))))</f>
        <v/>
      </c>
      <c r="Y729">
        <f>IF($V729,$X729,$W729)</f>
        <v/>
      </c>
      <c r="Z729">
        <f>IF($V729,IF($P729="","",$P729),IF($O729="","",$O729))</f>
        <v/>
      </c>
      <c r="AA729">
        <f>IF(OR($Q729="",$Z729=""),"",IF(AND($Z729&gt;0,$Z729&gt;=$Q729),"yes","below the line"))</f>
        <v/>
      </c>
      <c r="AB729">
        <f>IF($V729,IF($M729="","",$M729),IF($K729="","",$K729))</f>
        <v/>
      </c>
      <c r="AC729">
        <f>IF($V729,IF($N729="","",$N729),IF($L729="","",$L729))</f>
        <v/>
      </c>
      <c r="AD729">
        <f>$Y729</f>
        <v/>
      </c>
      <c r="AE729">
        <f>IF($V729,IF($S729="","",$S729),IF($R729="","",$R729))</f>
        <v/>
      </c>
      <c r="AF729">
        <f>IF($V729,IF($U729="","",$U729),IF($T729="","",$T729))</f>
        <v/>
      </c>
      <c r="AG729">
        <f>IF($V729,IF($O729="","",$O729),IF($P729="","",$P729))</f>
        <v/>
      </c>
      <c r="AH729" t="n">
        <v>0.04790419161676647</v>
      </c>
      <c r="AI729">
        <f>IF($Y729="worse","Yes",IF($Y729="worse, not significant","Not sure",IF(OR($Y729="too few losses to test",$Y729="too few loans to test"),"Too few losses",IF($Y729="","","No"))))</f>
        <v/>
      </c>
      <c r="AJ729">
        <f>IF($AA729="yes","Yes",IF($AA729="","","No"))</f>
        <v/>
      </c>
    </row>
    <row r="730">
      <c r="A730" t="inlineStr">
        <is>
          <t>three-way</t>
        </is>
      </c>
      <c r="B730" t="inlineStr">
        <is>
          <t>FICO x ASSET_CLASS / SYS_FLAG</t>
        </is>
      </c>
      <c r="C730" t="inlineStr">
        <is>
          <t>712 - 745</t>
        </is>
      </c>
      <c r="D730" t="inlineStr">
        <is>
          <t>1 / SYS_FLAG Y</t>
        </is>
      </c>
      <c r="E730" t="inlineStr">
        <is>
          <t>outcome_booked</t>
        </is>
      </c>
      <c r="F730" t="inlineStr">
        <is>
          <t>Outcome, share of booked dollars</t>
        </is>
      </c>
      <c r="G730" t="n">
        <v>167</v>
      </c>
      <c r="H730" t="n">
        <v>5418888.979999998</v>
      </c>
      <c r="I730" t="b">
        <v>1</v>
      </c>
      <c r="J730" t="b">
        <v>0</v>
      </c>
      <c r="K730" t="n">
        <v>0.7260914570685971</v>
      </c>
      <c r="M730" t="n">
        <v>1.002656953952929</v>
      </c>
      <c r="O730" t="n">
        <v>-111709.5813720694</v>
      </c>
      <c r="P730" t="n">
        <v>784.7075501992949</v>
      </c>
      <c r="Q730">
        <f>'_live'!$C$21</f>
        <v/>
      </c>
      <c r="T730" t="n">
        <v>0.07526179865970783</v>
      </c>
      <c r="U730" t="n">
        <v>0.05450213937577308</v>
      </c>
      <c r="V730">
        <f>AND(judged_band,NOT($J730))</f>
        <v/>
      </c>
      <c r="W730">
        <f>IF($K730="","",IF($I730,"too few losses to test",IF(AND($K730&gt;better_at,$K730&lt;worse_at),"in line",IF($K730&gt;=worse_at,IF(AND(ISNUMBER($L730),$L730&lt;significance_bar),"worse","worse, not significant"),IF(AND(ISNUMBER($L730),$L730&lt;significance_bar),"better","better, not significant")))))</f>
        <v/>
      </c>
      <c r="X730">
        <f>IF($M730="","",IF($I730,"too few losses to test",IF(AND($M730&gt;better_at,$M730&lt;worse_at),"in line",IF($M730&gt;=worse_at,IF(AND(ISNUMBER($N730),$N730&lt;significance_bar),"worse","worse, not significant"),IF(AND(ISNUMBER($N730),$N730&lt;significance_bar),"better","better, not significant")))))</f>
        <v/>
      </c>
      <c r="Y730">
        <f>IF($V730,$X730,$W730)</f>
        <v/>
      </c>
      <c r="Z730">
        <f>IF($V730,IF($P730="","",$P730),IF($O730="","",$O730))</f>
        <v/>
      </c>
      <c r="AA730">
        <f>IF(OR($Q730="",$Z730=""),"",IF(AND($Z730&gt;0,$Z730&gt;=$Q730),"yes","below the line"))</f>
        <v/>
      </c>
      <c r="AB730">
        <f>IF($V730,IF($M730="","",$M730),IF($K730="","",$K730))</f>
        <v/>
      </c>
      <c r="AC730">
        <f>IF($V730,IF($N730="","",$N730),IF($L730="","",$L730))</f>
        <v/>
      </c>
      <c r="AD730">
        <f>$Y730</f>
        <v/>
      </c>
      <c r="AE730">
        <f>IF($V730,IF($S730="","",$S730),IF($R730="","",$R730))</f>
        <v/>
      </c>
      <c r="AF730">
        <f>IF($V730,IF($U730="","",$U730),IF($T730="","",$T730))</f>
        <v/>
      </c>
      <c r="AG730">
        <f>IF($V730,IF($O730="","",$O730),IF($P730="","",$P730))</f>
        <v/>
      </c>
      <c r="AH730" t="n">
        <v>0.05464694905043065</v>
      </c>
      <c r="AI730">
        <f>IF($Y730="worse","Yes",IF($Y730="worse, not significant","Not sure",IF(OR($Y730="too few losses to test",$Y730="too few loans to test"),"Too few losses",IF($Y730="","","No"))))</f>
        <v/>
      </c>
      <c r="AJ730">
        <f>IF($AA730="yes","Yes",IF($AA730="","","No"))</f>
        <v/>
      </c>
    </row>
    <row r="731">
      <c r="A731" t="inlineStr">
        <is>
          <t>three-way</t>
        </is>
      </c>
      <c r="B731" t="inlineStr">
        <is>
          <t>FICO x ASSET_CLASS / SYS_FLAG</t>
        </is>
      </c>
      <c r="C731" t="inlineStr">
        <is>
          <t>712 - 745</t>
        </is>
      </c>
      <c r="D731" t="inlineStr">
        <is>
          <t>1 / SYS_FLAG Y</t>
        </is>
      </c>
      <c r="E731" t="inlineStr">
        <is>
          <t>gco_rate</t>
        </is>
      </c>
      <c r="F731" t="inlineStr">
        <is>
          <t>GCO per booked dollar</t>
        </is>
      </c>
      <c r="G731" t="n">
        <v>167</v>
      </c>
      <c r="H731" t="n">
        <v>5418888.979999998</v>
      </c>
      <c r="I731" t="b">
        <v>1</v>
      </c>
      <c r="J731" t="b">
        <v>0</v>
      </c>
      <c r="K731" t="n">
        <v>0.7422387489993825</v>
      </c>
      <c r="M731" t="n">
        <v>1.029112224094525</v>
      </c>
      <c r="O731" t="n">
        <v>-58429.68167408582</v>
      </c>
      <c r="P731" t="n">
        <v>4759.618690992647</v>
      </c>
      <c r="Q731">
        <f>'_live'!$C$22</f>
        <v/>
      </c>
      <c r="T731" t="n">
        <v>0.04183171172369837</v>
      </c>
      <c r="U731" t="n">
        <v>0.03017077890180496</v>
      </c>
      <c r="V731">
        <f>AND(judged_band,NOT($J731))</f>
        <v/>
      </c>
      <c r="W731">
        <f>IF($K731="","",IF($I731,"too few losses to test",IF(AND($K731&gt;better_at,$K731&lt;worse_at),"in line",IF($K731&gt;=worse_at,IF(AND(ISNUMBER($L731),$L731&lt;significance_bar),"worse","worse, not significant"),IF(AND(ISNUMBER($L731),$L731&lt;significance_bar),"better","better, not significant")))))</f>
        <v/>
      </c>
      <c r="X731">
        <f>IF($M731="","",IF($I731,"too few losses to test",IF(AND($M731&gt;better_at,$M731&lt;worse_at),"in line",IF($M731&gt;=worse_at,IF(AND(ISNUMBER($N731),$N731&lt;significance_bar),"worse","worse, not significant"),IF(AND(ISNUMBER($N731),$N731&lt;significance_bar),"better","better, not significant")))))</f>
        <v/>
      </c>
      <c r="Y731">
        <f>IF($V731,$X731,$W731)</f>
        <v/>
      </c>
      <c r="Z731">
        <f>IF($V731,IF($P731="","",$P731),IF($O731="","",$O731))</f>
        <v/>
      </c>
      <c r="AA731">
        <f>IF(OR($Q731="",$Z731=""),"",IF(AND($Z731&gt;0,$Z731&gt;=$Q731),"yes","below the line"))</f>
        <v/>
      </c>
      <c r="AB731">
        <f>IF($V731,IF($M731="","",$M731),IF($K731="","",$K731))</f>
        <v/>
      </c>
      <c r="AC731">
        <f>IF($V731,IF($N731="","",$N731),IF($L731="","",$L731))</f>
        <v/>
      </c>
      <c r="AD731">
        <f>$Y731</f>
        <v/>
      </c>
      <c r="AE731">
        <f>IF($V731,IF($S731="","",$S731),IF($R731="","",$R731))</f>
        <v/>
      </c>
      <c r="AF731">
        <f>IF($V731,IF($U731="","",$U731),IF($T731="","",$T731))</f>
        <v/>
      </c>
      <c r="AG731">
        <f>IF($V731,IF($O731="","",$O731),IF($P731="","",$P731))</f>
        <v/>
      </c>
      <c r="AH731" t="n">
        <v>0.03104911737830068</v>
      </c>
      <c r="AI731">
        <f>IF($Y731="worse","Yes",IF($Y731="worse, not significant","Not sure",IF(OR($Y731="too few losses to test",$Y731="too few loans to test"),"Too few losses",IF($Y731="","","No"))))</f>
        <v/>
      </c>
      <c r="AJ731">
        <f>IF($AA731="yes","Yes",IF($AA731="","","No"))</f>
        <v/>
      </c>
    </row>
    <row r="732">
      <c r="A732" t="inlineStr">
        <is>
          <t>three-way</t>
        </is>
      </c>
      <c r="B732" t="inlineStr">
        <is>
          <t>FICO x ASSET_CLASS / SYS_FLAG</t>
        </is>
      </c>
      <c r="C732" t="inlineStr">
        <is>
          <t>712 - 745</t>
        </is>
      </c>
      <c r="D732" t="inlineStr">
        <is>
          <t>1 / SYS_FLAG Y</t>
        </is>
      </c>
      <c r="E732" t="inlineStr">
        <is>
          <t>ranr_rate</t>
        </is>
      </c>
      <c r="F732" t="inlineStr">
        <is>
          <t>Profit after losses: RANR per booked dollar</t>
        </is>
      </c>
      <c r="G732" t="n">
        <v>167</v>
      </c>
      <c r="H732" t="n">
        <v>5418888.979999998</v>
      </c>
      <c r="I732" t="b">
        <v>0</v>
      </c>
      <c r="J732" t="b">
        <v>0</v>
      </c>
      <c r="K732" t="n">
        <v>-0.03777606549219627</v>
      </c>
      <c r="L732" t="n">
        <v>0.03135686431356864</v>
      </c>
      <c r="M732" t="n">
        <v>-0.005550500226713093</v>
      </c>
      <c r="N732" t="n">
        <v>0.8858714128587142</v>
      </c>
      <c r="O732" t="n">
        <v>204704.3050034206</v>
      </c>
      <c r="P732" t="n">
        <v>30077.54451202304</v>
      </c>
      <c r="Q732">
        <f>'_live'!$C$23</f>
        <v/>
      </c>
      <c r="R732" t="inlineStr">
        <is>
          <t>shuffled: 159 of 10,000</t>
        </is>
      </c>
      <c r="S732" t="inlineStr">
        <is>
          <t>shuffled: 6,812 of 10,000</t>
        </is>
      </c>
      <c r="T732" t="n">
        <v>0.1287832667506358</v>
      </c>
      <c r="U732" t="n">
        <v>0.09655770148515261</v>
      </c>
      <c r="V732">
        <f>AND(judged_band,NOT($J732))</f>
        <v/>
      </c>
      <c r="W732">
        <f>IF($K732="","",IF(profit_kind="test",IF(OR(NOT(AND(ISNUMBER($L732),$L732&lt;significance_bar)),$K732=0),"in line",IF($K732&lt;0,"worse","better")),IF(OR($K732=0,IF(profit_kind="points",ABS($K732),ABS($K732*$H732))&lt;profit_line*(1-1E-9)),"in line",IF(AND(ISNUMBER($L732),$L732&lt;significance_bar),IF($K732&lt;0,"worse","better"),IF($K732&lt;0,"worse, not significant","better, not significant")))))</f>
        <v/>
      </c>
      <c r="X732">
        <f>IF($M732="","",IF(profit_kind="test",IF(OR(NOT(AND(ISNUMBER($N732),$N732&lt;significance_bar)),$M732=0),"in line",IF($M732&lt;0,"worse","better")),IF(OR($M732=0,IF(profit_kind="points",ABS($M732),ABS($M732*$H732))&lt;profit_line*(1-1E-9)),"in line",IF(AND(ISNUMBER($N732),$N732&lt;significance_bar),IF($M732&lt;0,"worse","better"),IF($M732&lt;0,"worse, not significant","better, not significant")))))</f>
        <v/>
      </c>
      <c r="Y732">
        <f>IF($V732,$X732,$W732)</f>
        <v/>
      </c>
      <c r="Z732">
        <f>IF($V732,IF($P732="","",$P732),IF($O732="","",$O732))</f>
        <v/>
      </c>
      <c r="AA732">
        <f>IF(OR($Q732="",$Z732=""),"",IF(AND($Z732&gt;0,$Z732&gt;=$Q732),"yes","below the line"))</f>
        <v/>
      </c>
      <c r="AB732">
        <f>IF($V732,IF($M732="","",$M732),IF($K732="","",$K732))</f>
        <v/>
      </c>
      <c r="AC732">
        <f>IF($V732,IF($N732="","",$N732),IF($L732="","",$L732))</f>
        <v/>
      </c>
      <c r="AD732">
        <f>IF($Y732="","",IF($Y732="in line",IF(profit_kind="test",IF(ROUND($AB732*100,2)=0,"0.00",TEXT($AB732*100,"+0.00;-0.00"))&amp;" points against "&amp;IF($V732,"its band","the book")&amp;", "&amp;IF($AC732="","not tested","not significant"),IF(profit_kind="points","within "&amp;TEXT(profit_line*100,"0.00")&amp;" points of "&amp;IF($V732,"its band","the book")&amp;" ("&amp;IF(ROUND($AB732*100,2)=0,"0.00",TEXT($AB732*100,"+0.00;-0.00"))&amp;")","within $"&amp;TEXT(profit_line,"#,##0")&amp;" of "&amp;IF($V732,"its band","the book")&amp;" ("&amp;IF(ROUND($AB732*100,2)=0,"0.00",TEXT($AB732*100,"+0.00;-0.00"))&amp;" points)")),IF(LEFT($Y732,5)="worse","short of ","ahead of ")&amp;IF($V732,"its band","the book")&amp;" by "&amp;TEXT(ABS($AB732)*100,"0.00")&amp;" points"&amp;IF($Z732="",""," ($"&amp;TEXT(ABS($Z732),"#,##0")&amp;")")&amp;IF(RIGHT($Y732,15)="not significant"," (not significant)","")))</f>
        <v/>
      </c>
      <c r="AE732">
        <f>IF($V732,IF($S732="","",$S732),IF($R732="","",$R732))</f>
        <v/>
      </c>
      <c r="AF732">
        <f>IF($V732,IF($U732="","",$U732),IF($T732="","",$T732))</f>
        <v/>
      </c>
      <c r="AG732">
        <f>IF($V732,IF($O732="","",$O732),IF($P732="","",$P732))</f>
        <v/>
      </c>
      <c r="AH732" t="n">
        <v>0.09100720125843952</v>
      </c>
      <c r="AI732">
        <f>IF($Y732="worse","Yes",IF($Y732="worse, not significant","Not sure",IF(OR($Y732="too few losses to test",$Y732="too few loans to test"),"Too few losses",IF($Y732="","","No"))))</f>
        <v/>
      </c>
      <c r="AJ732">
        <f>IF($AA732="yes","Yes",IF($AA732="","","No"))</f>
        <v/>
      </c>
    </row>
    <row r="733">
      <c r="A733" t="inlineStr">
        <is>
          <t>three-way</t>
        </is>
      </c>
      <c r="B733" t="inlineStr">
        <is>
          <t>FICO x ASSET_CLASS / SYS_FLAG</t>
        </is>
      </c>
      <c r="C733" t="inlineStr">
        <is>
          <t>712 - 745</t>
        </is>
      </c>
      <c r="D733" t="inlineStr">
        <is>
          <t>1 / SYS_FLAG Y</t>
        </is>
      </c>
      <c r="E733" t="inlineStr">
        <is>
          <t>contribution_rate</t>
        </is>
      </c>
      <c r="F733" t="inlineStr">
        <is>
          <t>Contribution before losses per booked dollar</t>
        </is>
      </c>
      <c r="G733" t="n">
        <v>167</v>
      </c>
      <c r="H733" t="n">
        <v>5418888.979999998</v>
      </c>
      <c r="I733" t="b">
        <v>0</v>
      </c>
      <c r="J733" t="b">
        <v>0</v>
      </c>
      <c r="K733" t="n">
        <v>-0.04855586386822744</v>
      </c>
      <c r="L733" t="n">
        <v>0.0001814633351479667</v>
      </c>
      <c r="M733" t="n">
        <v>-0.004628679327084717</v>
      </c>
      <c r="N733" t="n">
        <v>0.937752378608293</v>
      </c>
      <c r="O733" t="n">
        <v>263118.8356299177</v>
      </c>
      <c r="P733" t="n">
        <v>25082.29939749313</v>
      </c>
      <c r="Q733">
        <f>'_live'!$C$24</f>
        <v/>
      </c>
      <c r="R733" t="inlineStr">
        <is>
          <t>shuffled: 0 of 10,000</t>
        </is>
      </c>
      <c r="S733" t="inlineStr">
        <is>
          <t>shuffled: 4,859 of 10,000</t>
        </is>
      </c>
      <c r="T733" t="n">
        <v>0.1706121825049677</v>
      </c>
      <c r="U733" t="n">
        <v>0.126684997963825</v>
      </c>
      <c r="V733">
        <f>AND(judged_band,NOT($J733))</f>
        <v/>
      </c>
      <c r="W733">
        <f>IF($K733="","",IF(profit_kind="test",IF(OR(NOT(AND(ISNUMBER($L733),$L733&lt;significance_bar)),$K733=0),"in line",IF($K733&lt;0,"worse","better")),IF(OR($K733=0,IF(profit_kind="points",ABS($K733),ABS($K733*$H733))&lt;profit_line*(1-1E-9)),"in line",IF(AND(ISNUMBER($L733),$L733&lt;significance_bar),IF($K733&lt;0,"worse","better"),IF($K733&lt;0,"worse, not significant","better, not significant")))))</f>
        <v/>
      </c>
      <c r="X733">
        <f>IF($M733="","",IF(profit_kind="test",IF(OR(NOT(AND(ISNUMBER($N733),$N733&lt;significance_bar)),$M733=0),"in line",IF($M733&lt;0,"worse","better")),IF(OR($M733=0,IF(profit_kind="points",ABS($M733),ABS($M733*$H733))&lt;profit_line*(1-1E-9)),"in line",IF(AND(ISNUMBER($N733),$N733&lt;significance_bar),IF($M733&lt;0,"worse","better"),IF($M733&lt;0,"worse, not significant","better, not significant")))))</f>
        <v/>
      </c>
      <c r="Y733">
        <f>IF($V733,$X733,$W733)</f>
        <v/>
      </c>
      <c r="Z733">
        <f>IF($V733,IF($P733="","",$P733),IF($O733="","",$O733))</f>
        <v/>
      </c>
      <c r="AA733">
        <f>IF(OR($Q733="",$Z733=""),"",IF(AND($Z733&gt;0,$Z733&gt;=$Q733),"yes","below the line"))</f>
        <v/>
      </c>
      <c r="AB733">
        <f>IF($V733,IF($M733="","",$M733),IF($K733="","",$K733))</f>
        <v/>
      </c>
      <c r="AC733">
        <f>IF($V733,IF($N733="","",$N733),IF($L733="","",$L733))</f>
        <v/>
      </c>
      <c r="AD733">
        <f>IF($Y733="","",IF($Y733="in line",IF(profit_kind="test",IF(ROUND($AB733*100,2)=0,"0.00",TEXT($AB733*100,"+0.00;-0.00"))&amp;" points against "&amp;IF($V733,"its band","the book")&amp;", "&amp;IF($AC733="","not tested","not significant"),IF(profit_kind="points","within "&amp;TEXT(profit_line*100,"0.00")&amp;" points of "&amp;IF($V733,"its band","the book")&amp;" ("&amp;IF(ROUND($AB733*100,2)=0,"0.00",TEXT($AB733*100,"+0.00;-0.00"))&amp;")","within $"&amp;TEXT(profit_line,"#,##0")&amp;" of "&amp;IF($V733,"its band","the book")&amp;" ("&amp;IF(ROUND($AB733*100,2)=0,"0.00",TEXT($AB733*100,"+0.00;-0.00"))&amp;" points)")),IF(LEFT($Y733,5)="worse","short of ","ahead of ")&amp;IF($V733,"its band","the book")&amp;" by "&amp;TEXT(ABS($AB733)*100,"0.00")&amp;" points"&amp;IF($Z733="",""," ($"&amp;TEXT(ABS($Z733),"#,##0")&amp;")")&amp;IF(RIGHT($Y733,15)="not significant"," (not significant)","")))</f>
        <v/>
      </c>
      <c r="AE733">
        <f>IF($V733,IF($S733="","",$S733),IF($R733="","",$R733))</f>
        <v/>
      </c>
      <c r="AF733">
        <f>IF($V733,IF($U733="","",$U733),IF($T733="","",$T733))</f>
        <v/>
      </c>
      <c r="AG733">
        <f>IF($V733,IF($O733="","",$O733),IF($P733="","",$P733))</f>
        <v/>
      </c>
      <c r="AH733" t="n">
        <v>0.1220563186367403</v>
      </c>
      <c r="AI733">
        <f>IF($Y733="worse","Yes",IF($Y733="worse, not significant","Not sure",IF(OR($Y733="too few losses to test",$Y733="too few loans to test"),"Too few losses",IF($Y733="","","No"))))</f>
        <v/>
      </c>
      <c r="AJ733">
        <f>IF($AA733="yes","Yes",IF($AA733="","","No"))</f>
        <v/>
      </c>
    </row>
    <row r="734">
      <c r="A734" t="inlineStr">
        <is>
          <t>three-way</t>
        </is>
      </c>
      <c r="B734" t="inlineStr">
        <is>
          <t>FICO x ASSET_CLASS / SYS_FLAG</t>
        </is>
      </c>
      <c r="C734" t="inlineStr">
        <is>
          <t>(marked missing)</t>
        </is>
      </c>
      <c r="D734" t="inlineStr">
        <is>
          <t>3 / SYS_FLAG Y</t>
        </is>
      </c>
      <c r="E734" t="inlineStr">
        <is>
          <t>outcome_loans</t>
        </is>
      </c>
      <c r="F734" t="inlineStr">
        <is>
          <t>Outcome, share of loans</t>
        </is>
      </c>
      <c r="G734" t="n">
        <v>22</v>
      </c>
      <c r="H734" t="n">
        <v>22</v>
      </c>
      <c r="I734" t="b">
        <v>1</v>
      </c>
      <c r="J734" t="b">
        <v>0</v>
      </c>
      <c r="K734" t="n">
        <v>1.175335199646383</v>
      </c>
      <c r="M734" t="n">
        <v>1.568181818181818</v>
      </c>
      <c r="O734" t="n">
        <v>0.2983577786135136</v>
      </c>
      <c r="P734" t="n">
        <v>0.7246376811594202</v>
      </c>
      <c r="Q734">
        <f>'_live'!$C$20</f>
        <v/>
      </c>
      <c r="T734" t="n">
        <v>0.07734737369938574</v>
      </c>
      <c r="U734" t="n">
        <v>0.05797101449275362</v>
      </c>
      <c r="V734">
        <f>AND(judged_band,NOT($J734))</f>
        <v/>
      </c>
      <c r="W734">
        <f>IF($K734="","",IF($I734,"too few losses to test",IF(AND($K734&gt;better_at,$K734&lt;worse_at),"in line",IF($K734&gt;=worse_at,IF(AND(ISNUMBER($L734),$L734&lt;significance_bar),"worse","worse, not significant"),IF(AND(ISNUMBER($L734),$L734&lt;significance_bar),"better","better, not significant")))))</f>
        <v/>
      </c>
      <c r="X734">
        <f>IF($M734="","",IF($I734,"too few losses to test",IF(AND($M734&gt;better_at,$M734&lt;worse_at),"in line",IF($M734&gt;=worse_at,IF(AND(ISNUMBER($N734),$N734&lt;significance_bar),"worse","worse, not significant"),IF(AND(ISNUMBER($N734),$N734&lt;significance_bar),"better","better, not significant")))))</f>
        <v/>
      </c>
      <c r="Y734">
        <f>IF($V734,$X734,$W734)</f>
        <v/>
      </c>
      <c r="Z734">
        <f>IF($V734,IF($P734="","",$P734),IF($O734="","",$O734))</f>
        <v/>
      </c>
      <c r="AA734">
        <f>IF(OR($Q734="",$Z734=""),"",IF(AND($Z734&gt;0,$Z734&gt;=$Q734),"yes","below the line"))</f>
        <v/>
      </c>
      <c r="AB734">
        <f>IF($V734,IF($M734="","",$M734),IF($K734="","",$K734))</f>
        <v/>
      </c>
      <c r="AC734">
        <f>IF($V734,IF($N734="","",$N734),IF($L734="","",$L734))</f>
        <v/>
      </c>
      <c r="AD734">
        <f>$Y734</f>
        <v/>
      </c>
      <c r="AE734">
        <f>IF($V734,IF($S734="","",$S734),IF($R734="","",$R734))</f>
        <v/>
      </c>
      <c r="AF734">
        <f>IF($V734,IF($U734="","",$U734),IF($T734="","",$T734))</f>
        <v/>
      </c>
      <c r="AG734">
        <f>IF($V734,IF($O734="","",$O734),IF($P734="","",$P734))</f>
        <v/>
      </c>
      <c r="AH734" t="n">
        <v>0.09090909090909091</v>
      </c>
      <c r="AI734">
        <f>IF($Y734="worse","Yes",IF($Y734="worse, not significant","Not sure",IF(OR($Y734="too few losses to test",$Y734="too few loans to test"),"Too few losses",IF($Y734="","","No"))))</f>
        <v/>
      </c>
      <c r="AJ734">
        <f>IF($AA734="yes","Yes",IF($AA734="","","No"))</f>
        <v/>
      </c>
    </row>
    <row r="735">
      <c r="A735" t="inlineStr">
        <is>
          <t>three-way</t>
        </is>
      </c>
      <c r="B735" t="inlineStr">
        <is>
          <t>FICO x ASSET_CLASS / SYS_FLAG</t>
        </is>
      </c>
      <c r="C735" t="inlineStr">
        <is>
          <t>(marked missing)</t>
        </is>
      </c>
      <c r="D735" t="inlineStr">
        <is>
          <t>3 / SYS_FLAG Y</t>
        </is>
      </c>
      <c r="E735" t="inlineStr">
        <is>
          <t>outcome_booked</t>
        </is>
      </c>
      <c r="F735" t="inlineStr">
        <is>
          <t>Outcome, share of booked dollars</t>
        </is>
      </c>
      <c r="G735" t="n">
        <v>22</v>
      </c>
      <c r="H735" t="n">
        <v>814026.7399999999</v>
      </c>
      <c r="I735" t="b">
        <v>1</v>
      </c>
      <c r="J735" t="b">
        <v>0</v>
      </c>
      <c r="K735" t="n">
        <v>0.8931443546959213</v>
      </c>
      <c r="M735" t="n">
        <v>1.494071112480917</v>
      </c>
      <c r="O735" t="n">
        <v>-6511.060762103341</v>
      </c>
      <c r="P735" t="n">
        <v>17996.75182233345</v>
      </c>
      <c r="Q735">
        <f>'_live'!$C$21</f>
        <v/>
      </c>
      <c r="T735" t="n">
        <v>0.0748541021663531</v>
      </c>
      <c r="U735" t="n">
        <v>0.04474721331349208</v>
      </c>
      <c r="V735">
        <f>AND(judged_band,NOT($J735))</f>
        <v/>
      </c>
      <c r="W735">
        <f>IF($K735="","",IF($I735,"too few losses to test",IF(AND($K735&gt;better_at,$K735&lt;worse_at),"in line",IF($K735&gt;=worse_at,IF(AND(ISNUMBER($L735),$L735&lt;significance_bar),"worse","worse, not significant"),IF(AND(ISNUMBER($L735),$L735&lt;significance_bar),"better","better, not significant")))))</f>
        <v/>
      </c>
      <c r="X735">
        <f>IF($M735="","",IF($I735,"too few losses to test",IF(AND($M735&gt;better_at,$M735&lt;worse_at),"in line",IF($M735&gt;=worse_at,IF(AND(ISNUMBER($N735),$N735&lt;significance_bar),"worse","worse, not significant"),IF(AND(ISNUMBER($N735),$N735&lt;significance_bar),"better","better, not significant")))))</f>
        <v/>
      </c>
      <c r="Y735">
        <f>IF($V735,$X735,$W735)</f>
        <v/>
      </c>
      <c r="Z735">
        <f>IF($V735,IF($P735="","",$P735),IF($O735="","",$O735))</f>
        <v/>
      </c>
      <c r="AA735">
        <f>IF(OR($Q735="",$Z735=""),"",IF(AND($Z735&gt;0,$Z735&gt;=$Q735),"yes","below the line"))</f>
        <v/>
      </c>
      <c r="AB735">
        <f>IF($V735,IF($M735="","",$M735),IF($K735="","",$K735))</f>
        <v/>
      </c>
      <c r="AC735">
        <f>IF($V735,IF($N735="","",$N735),IF($L735="","",$L735))</f>
        <v/>
      </c>
      <c r="AD735">
        <f>$Y735</f>
        <v/>
      </c>
      <c r="AE735">
        <f>IF($V735,IF($S735="","",$S735),IF($R735="","",$R735))</f>
        <v/>
      </c>
      <c r="AF735">
        <f>IF($V735,IF($U735="","",$U735),IF($T735="","",$T735))</f>
        <v/>
      </c>
      <c r="AG735">
        <f>IF($V735,IF($O735="","",$O735),IF($P735="","",$P735))</f>
        <v/>
      </c>
      <c r="AH735" t="n">
        <v>0.06685551877571001</v>
      </c>
      <c r="AI735">
        <f>IF($Y735="worse","Yes",IF($Y735="worse, not significant","Not sure",IF(OR($Y735="too few losses to test",$Y735="too few loans to test"),"Too few losses",IF($Y735="","","No"))))</f>
        <v/>
      </c>
      <c r="AJ735">
        <f>IF($AA735="yes","Yes",IF($AA735="","","No"))</f>
        <v/>
      </c>
    </row>
    <row r="736">
      <c r="A736" t="inlineStr">
        <is>
          <t>three-way</t>
        </is>
      </c>
      <c r="B736" t="inlineStr">
        <is>
          <t>FICO x ASSET_CLASS / SYS_FLAG</t>
        </is>
      </c>
      <c r="C736" t="inlineStr">
        <is>
          <t>(marked missing)</t>
        </is>
      </c>
      <c r="D736" t="inlineStr">
        <is>
          <t>3 / SYS_FLAG Y</t>
        </is>
      </c>
      <c r="E736" t="inlineStr">
        <is>
          <t>gco_rate</t>
        </is>
      </c>
      <c r="F736" t="inlineStr">
        <is>
          <t>GCO per booked dollar</t>
        </is>
      </c>
      <c r="G736" t="n">
        <v>22</v>
      </c>
      <c r="H736" t="n">
        <v>814026.7399999999</v>
      </c>
      <c r="I736" t="b">
        <v>1</v>
      </c>
      <c r="J736" t="b">
        <v>0</v>
      </c>
      <c r="K736" t="n">
        <v>1.069811728669332</v>
      </c>
      <c r="M736" t="n">
        <v>2.017345647826413</v>
      </c>
      <c r="O736" t="n">
        <v>2363.848942553508</v>
      </c>
      <c r="P736" t="n">
        <v>18267.82737120125</v>
      </c>
      <c r="Q736">
        <f>'_live'!$C$22</f>
        <v/>
      </c>
      <c r="T736" t="n">
        <v>0.04159610414941221</v>
      </c>
      <c r="U736" t="n">
        <v>0.02205868891825194</v>
      </c>
      <c r="V736">
        <f>AND(judged_band,NOT($J736))</f>
        <v/>
      </c>
      <c r="W736">
        <f>IF($K736="","",IF($I736,"too few losses to test",IF(AND($K736&gt;better_at,$K736&lt;worse_at),"in line",IF($K736&gt;=worse_at,IF(AND(ISNUMBER($L736),$L736&lt;significance_bar),"worse","worse, not significant"),IF(AND(ISNUMBER($L736),$L736&lt;significance_bar),"better","better, not significant")))))</f>
        <v/>
      </c>
      <c r="X736">
        <f>IF($M736="","",IF($I736,"too few losses to test",IF(AND($M736&gt;better_at,$M736&lt;worse_at),"in line",IF($M736&gt;=worse_at,IF(AND(ISNUMBER($N736),$N736&lt;significance_bar),"worse","worse, not significant"),IF(AND(ISNUMBER($N736),$N736&lt;significance_bar),"better","better, not significant")))))</f>
        <v/>
      </c>
      <c r="Y736">
        <f>IF($V736,$X736,$W736)</f>
        <v/>
      </c>
      <c r="Z736">
        <f>IF($V736,IF($P736="","",$P736),IF($O736="","",$O736))</f>
        <v/>
      </c>
      <c r="AA736">
        <f>IF(OR($Q736="",$Z736=""),"",IF(AND($Z736&gt;0,$Z736&gt;=$Q736),"yes","below the line"))</f>
        <v/>
      </c>
      <c r="AB736">
        <f>IF($V736,IF($M736="","",$M736),IF($K736="","",$K736))</f>
        <v/>
      </c>
      <c r="AC736">
        <f>IF($V736,IF($N736="","",$N736),IF($L736="","",$L736))</f>
        <v/>
      </c>
      <c r="AD736">
        <f>$Y736</f>
        <v/>
      </c>
      <c r="AE736">
        <f>IF($V736,IF($S736="","",$S736),IF($R736="","",$R736))</f>
        <v/>
      </c>
      <c r="AF736">
        <f>IF($V736,IF($U736="","",$U736),IF($T736="","",$T736))</f>
        <v/>
      </c>
      <c r="AG736">
        <f>IF($V736,IF($O736="","",$O736),IF($P736="","",$P736))</f>
        <v/>
      </c>
      <c r="AH736" t="n">
        <v>0.04450000008599227</v>
      </c>
      <c r="AI736">
        <f>IF($Y736="worse","Yes",IF($Y736="worse, not significant","Not sure",IF(OR($Y736="too few losses to test",$Y736="too few loans to test"),"Too few losses",IF($Y736="","","No"))))</f>
        <v/>
      </c>
      <c r="AJ736">
        <f>IF($AA736="yes","Yes",IF($AA736="","","No"))</f>
        <v/>
      </c>
    </row>
    <row r="737">
      <c r="A737" t="inlineStr">
        <is>
          <t>three-way</t>
        </is>
      </c>
      <c r="B737" t="inlineStr">
        <is>
          <t>FICO x ASSET_CLASS / SYS_FLAG</t>
        </is>
      </c>
      <c r="C737" t="inlineStr">
        <is>
          <t>(marked missing)</t>
        </is>
      </c>
      <c r="D737" t="inlineStr">
        <is>
          <t>3 / SYS_FLAG Y</t>
        </is>
      </c>
      <c r="E737" t="inlineStr">
        <is>
          <t>ranr_rate</t>
        </is>
      </c>
      <c r="F737" t="inlineStr">
        <is>
          <t>Profit after losses: RANR per booked dollar</t>
        </is>
      </c>
      <c r="G737" t="n">
        <v>22</v>
      </c>
      <c r="H737" t="n">
        <v>814026.7399999999</v>
      </c>
      <c r="I737" t="b">
        <v>0</v>
      </c>
      <c r="J737" t="b">
        <v>0</v>
      </c>
      <c r="K737" t="n">
        <v>-0.03573962584434744</v>
      </c>
      <c r="L737" t="n">
        <v>0.4848065193480652</v>
      </c>
      <c r="M737" t="n">
        <v>-0.07423753000526438</v>
      </c>
      <c r="N737" t="n">
        <v>0.3162883711628837</v>
      </c>
      <c r="O737" t="n">
        <v>29093.01111489389</v>
      </c>
      <c r="P737" t="n">
        <v>60431.33453583754</v>
      </c>
      <c r="Q737">
        <f>'_live'!$C$23</f>
        <v/>
      </c>
      <c r="R737" t="inlineStr">
        <is>
          <t>shuffled: 3,957 of 10,000</t>
        </is>
      </c>
      <c r="S737" t="inlineStr">
        <is>
          <t>shuffled: 571 of 10,000</t>
        </is>
      </c>
      <c r="T737" t="n">
        <v>0.1281027833494682</v>
      </c>
      <c r="U737" t="n">
        <v>0.1666006875103852</v>
      </c>
      <c r="V737">
        <f>AND(judged_band,NOT($J737))</f>
        <v/>
      </c>
      <c r="W737">
        <f>IF($K737="","",IF(profit_kind="test",IF(OR(NOT(AND(ISNUMBER($L737),$L737&lt;significance_bar)),$K737=0),"in line",IF($K737&lt;0,"worse","better")),IF(OR($K737=0,IF(profit_kind="points",ABS($K737),ABS($K737*$H737))&lt;profit_line*(1-1E-9)),"in line",IF(AND(ISNUMBER($L737),$L737&lt;significance_bar),IF($K737&lt;0,"worse","better"),IF($K737&lt;0,"worse, not significant","better, not significant")))))</f>
        <v/>
      </c>
      <c r="X737">
        <f>IF($M737="","",IF(profit_kind="test",IF(OR(NOT(AND(ISNUMBER($N737),$N737&lt;significance_bar)),$M737=0),"in line",IF($M737&lt;0,"worse","better")),IF(OR($M737=0,IF(profit_kind="points",ABS($M737),ABS($M737*$H737))&lt;profit_line*(1-1E-9)),"in line",IF(AND(ISNUMBER($N737),$N737&lt;significance_bar),IF($M737&lt;0,"worse","better"),IF($M737&lt;0,"worse, not significant","better, not significant")))))</f>
        <v/>
      </c>
      <c r="Y737">
        <f>IF($V737,$X737,$W737)</f>
        <v/>
      </c>
      <c r="Z737">
        <f>IF($V737,IF($P737="","",$P737),IF($O737="","",$O737))</f>
        <v/>
      </c>
      <c r="AA737">
        <f>IF(OR($Q737="",$Z737=""),"",IF(AND($Z737&gt;0,$Z737&gt;=$Q737),"yes","below the line"))</f>
        <v/>
      </c>
      <c r="AB737">
        <f>IF($V737,IF($M737="","",$M737),IF($K737="","",$K737))</f>
        <v/>
      </c>
      <c r="AC737">
        <f>IF($V737,IF($N737="","",$N737),IF($L737="","",$L737))</f>
        <v/>
      </c>
      <c r="AD737">
        <f>IF($Y737="","",IF($Y737="in line",IF(profit_kind="test",IF(ROUND($AB737*100,2)=0,"0.00",TEXT($AB737*100,"+0.00;-0.00"))&amp;" points against "&amp;IF($V737,"its band","the book")&amp;", "&amp;IF($AC737="","not tested","not significant"),IF(profit_kind="points","within "&amp;TEXT(profit_line*100,"0.00")&amp;" points of "&amp;IF($V737,"its band","the book")&amp;" ("&amp;IF(ROUND($AB737*100,2)=0,"0.00",TEXT($AB737*100,"+0.00;-0.00"))&amp;")","within $"&amp;TEXT(profit_line,"#,##0")&amp;" of "&amp;IF($V737,"its band","the book")&amp;" ("&amp;IF(ROUND($AB737*100,2)=0,"0.00",TEXT($AB737*100,"+0.00;-0.00"))&amp;" points)")),IF(LEFT($Y737,5)="worse","short of ","ahead of ")&amp;IF($V737,"its band","the book")&amp;" by "&amp;TEXT(ABS($AB737)*100,"0.00")&amp;" points"&amp;IF($Z737="",""," ($"&amp;TEXT(ABS($Z737),"#,##0")&amp;")")&amp;IF(RIGHT($Y737,15)="not significant"," (not significant)","")))</f>
        <v/>
      </c>
      <c r="AE737">
        <f>IF($V737,IF($S737="","",$S737),IF($R737="","",$R737))</f>
        <v/>
      </c>
      <c r="AF737">
        <f>IF($V737,IF($U737="","",$U737),IF($T737="","",$T737))</f>
        <v/>
      </c>
      <c r="AG737">
        <f>IF($V737,IF($O737="","",$O737),IF($P737="","",$P737))</f>
        <v/>
      </c>
      <c r="AH737" t="n">
        <v>0.09236315750512079</v>
      </c>
      <c r="AI737">
        <f>IF($Y737="worse","Yes",IF($Y737="worse, not significant","Not sure",IF(OR($Y737="too few losses to test",$Y737="too few loans to test"),"Too few losses",IF($Y737="","","No"))))</f>
        <v/>
      </c>
      <c r="AJ737">
        <f>IF($AA737="yes","Yes",IF($AA737="","","No"))</f>
        <v/>
      </c>
    </row>
    <row r="738">
      <c r="A738" t="inlineStr">
        <is>
          <t>three-way</t>
        </is>
      </c>
      <c r="B738" t="inlineStr">
        <is>
          <t>FICO x ASSET_CLASS / SYS_FLAG</t>
        </is>
      </c>
      <c r="C738" t="inlineStr">
        <is>
          <t>(marked missing)</t>
        </is>
      </c>
      <c r="D738" t="inlineStr">
        <is>
          <t>3 / SYS_FLAG Y</t>
        </is>
      </c>
      <c r="E738" t="inlineStr">
        <is>
          <t>contribution_rate</t>
        </is>
      </c>
      <c r="F738" t="inlineStr">
        <is>
          <t>Contribution before losses per booked dollar</t>
        </is>
      </c>
      <c r="G738" t="n">
        <v>22</v>
      </c>
      <c r="H738" t="n">
        <v>814026.7399999999</v>
      </c>
      <c r="I738" t="b">
        <v>0</v>
      </c>
      <c r="J738" t="b">
        <v>0</v>
      </c>
      <c r="K738" t="n">
        <v>-0.03283287900553655</v>
      </c>
      <c r="L738" t="n">
        <v>0.3454154584541546</v>
      </c>
      <c r="M738" t="n">
        <v>-0.05179621883752403</v>
      </c>
      <c r="N738" t="n">
        <v>0.5536900855369009</v>
      </c>
      <c r="O738" t="n">
        <v>26726.84146169135</v>
      </c>
      <c r="P738" t="n">
        <v>42163.50716463626</v>
      </c>
      <c r="Q738">
        <f>'_live'!$C$24</f>
        <v/>
      </c>
      <c r="R738" t="inlineStr">
        <is>
          <t>shuffled: 2,537 of 10,000</t>
        </is>
      </c>
      <c r="S738" t="inlineStr">
        <is>
          <t>shuffled: 958 of 10,000</t>
        </is>
      </c>
      <c r="T738" t="n">
        <v>0.1696960365966496</v>
      </c>
      <c r="U738" t="n">
        <v>0.1886593764286371</v>
      </c>
      <c r="V738">
        <f>AND(judged_band,NOT($J738))</f>
        <v/>
      </c>
      <c r="W738">
        <f>IF($K738="","",IF(profit_kind="test",IF(OR(NOT(AND(ISNUMBER($L738),$L738&lt;significance_bar)),$K738=0),"in line",IF($K738&lt;0,"worse","better")),IF(OR($K738=0,IF(profit_kind="points",ABS($K738),ABS($K738*$H738))&lt;profit_line*(1-1E-9)),"in line",IF(AND(ISNUMBER($L738),$L738&lt;significance_bar),IF($K738&lt;0,"worse","better"),IF($K738&lt;0,"worse, not significant","better, not significant")))))</f>
        <v/>
      </c>
      <c r="X738">
        <f>IF($M738="","",IF(profit_kind="test",IF(OR(NOT(AND(ISNUMBER($N738),$N738&lt;significance_bar)),$M738=0),"in line",IF($M738&lt;0,"worse","better")),IF(OR($M738=0,IF(profit_kind="points",ABS($M738),ABS($M738*$H738))&lt;profit_line*(1-1E-9)),"in line",IF(AND(ISNUMBER($N738),$N738&lt;significance_bar),IF($M738&lt;0,"worse","better"),IF($M738&lt;0,"worse, not significant","better, not significant")))))</f>
        <v/>
      </c>
      <c r="Y738">
        <f>IF($V738,$X738,$W738)</f>
        <v/>
      </c>
      <c r="Z738">
        <f>IF($V738,IF($P738="","",$P738),IF($O738="","",$O738))</f>
        <v/>
      </c>
      <c r="AA738">
        <f>IF(OR($Q738="",$Z738=""),"",IF(AND($Z738&gt;0,$Z738&gt;=$Q738),"yes","below the line"))</f>
        <v/>
      </c>
      <c r="AB738">
        <f>IF($V738,IF($M738="","",$M738),IF($K738="","",$K738))</f>
        <v/>
      </c>
      <c r="AC738">
        <f>IF($V738,IF($N738="","",$N738),IF($L738="","",$L738))</f>
        <v/>
      </c>
      <c r="AD738">
        <f>IF($Y738="","",IF($Y738="in line",IF(profit_kind="test",IF(ROUND($AB738*100,2)=0,"0.00",TEXT($AB738*100,"+0.00;-0.00"))&amp;" points against "&amp;IF($V738,"its band","the book")&amp;", "&amp;IF($AC738="","not tested","not significant"),IF(profit_kind="points","within "&amp;TEXT(profit_line*100,"0.00")&amp;" points of "&amp;IF($V738,"its band","the book")&amp;" ("&amp;IF(ROUND($AB738*100,2)=0,"0.00",TEXT($AB738*100,"+0.00;-0.00"))&amp;")","within $"&amp;TEXT(profit_line,"#,##0")&amp;" of "&amp;IF($V738,"its band","the book")&amp;" ("&amp;IF(ROUND($AB738*100,2)=0,"0.00",TEXT($AB738*100,"+0.00;-0.00"))&amp;" points)")),IF(LEFT($Y738,5)="worse","short of ","ahead of ")&amp;IF($V738,"its band","the book")&amp;" by "&amp;TEXT(ABS($AB738)*100,"0.00")&amp;" points"&amp;IF($Z738="",""," ($"&amp;TEXT(ABS($Z738),"#,##0")&amp;")")&amp;IF(RIGHT($Y738,15)="not significant"," (not significant)","")))</f>
        <v/>
      </c>
      <c r="AE738">
        <f>IF($V738,IF($S738="","",$S738),IF($R738="","",$R738))</f>
        <v/>
      </c>
      <c r="AF738">
        <f>IF($V738,IF($U738="","",$U738),IF($T738="","",$T738))</f>
        <v/>
      </c>
      <c r="AG738">
        <f>IF($V738,IF($O738="","",$O738),IF($P738="","",$P738))</f>
        <v/>
      </c>
      <c r="AH738" t="n">
        <v>0.1368631575911131</v>
      </c>
      <c r="AI738">
        <f>IF($Y738="worse","Yes",IF($Y738="worse, not significant","Not sure",IF(OR($Y738="too few losses to test",$Y738="too few loans to test"),"Too few losses",IF($Y738="","","No"))))</f>
        <v/>
      </c>
      <c r="AJ738">
        <f>IF($AA738="yes","Yes",IF($AA738="","","No"))</f>
        <v/>
      </c>
    </row>
    <row r="739">
      <c r="A739" t="inlineStr">
        <is>
          <t>three-way</t>
        </is>
      </c>
      <c r="B739" t="inlineStr">
        <is>
          <t>FICO x ASSET_CLASS / SYS_FLAG</t>
        </is>
      </c>
      <c r="C739" t="inlineStr">
        <is>
          <t>712 - 745</t>
        </is>
      </c>
      <c r="D739" t="inlineStr">
        <is>
          <t>3 / SYS_FLAG Y</t>
        </is>
      </c>
      <c r="E739" t="inlineStr">
        <is>
          <t>outcome_loans</t>
        </is>
      </c>
      <c r="F739" t="inlineStr">
        <is>
          <t>Outcome, share of loans</t>
        </is>
      </c>
      <c r="G739" t="n">
        <v>169</v>
      </c>
      <c r="H739" t="n">
        <v>169</v>
      </c>
      <c r="I739" t="b">
        <v>0</v>
      </c>
      <c r="J739" t="b">
        <v>0</v>
      </c>
      <c r="K739" t="n">
        <v>0.8382318592338835</v>
      </c>
      <c r="L739" t="n">
        <v>0.6752722432492424</v>
      </c>
      <c r="M739" t="n">
        <v>1.234973528495796</v>
      </c>
      <c r="N739" t="n">
        <v>0.684732370093894</v>
      </c>
      <c r="O739" t="n">
        <v>-2.122860791826309</v>
      </c>
      <c r="P739" t="n">
        <v>2.092926490984745</v>
      </c>
      <c r="Q739">
        <f>'_live'!$C$20</f>
        <v/>
      </c>
      <c r="R739" t="inlineStr">
        <is>
          <t>z test</t>
        </is>
      </c>
      <c r="S739" t="inlineStr">
        <is>
          <t>z test</t>
        </is>
      </c>
      <c r="T739" t="n">
        <v>0.07765006385696041</v>
      </c>
      <c r="U739" t="n">
        <v>0.05270457697642163</v>
      </c>
      <c r="V739">
        <f>AND(judged_band,NOT($J739))</f>
        <v/>
      </c>
      <c r="W739">
        <f>IF($K739="","",IF($I739,"too few losses to test",IF(AND($K739&gt;better_at,$K739&lt;worse_at),"in line",IF($K739&gt;=worse_at,IF(AND(ISNUMBER($L739),$L739&lt;significance_bar),"worse","worse, not significant"),IF(AND(ISNUMBER($L739),$L739&lt;significance_bar),"better","better, not significant")))))</f>
        <v/>
      </c>
      <c r="X739">
        <f>IF($M739="","",IF($I739,"too few losses to test",IF(AND($M739&gt;better_at,$M739&lt;worse_at),"in line",IF($M739&gt;=worse_at,IF(AND(ISNUMBER($N739),$N739&lt;significance_bar),"worse","worse, not significant"),IF(AND(ISNUMBER($N739),$N739&lt;significance_bar),"better","better, not significant")))))</f>
        <v/>
      </c>
      <c r="Y739">
        <f>IF($V739,$X739,$W739)</f>
        <v/>
      </c>
      <c r="Z739">
        <f>IF($V739,IF($P739="","",$P739),IF($O739="","",$O739))</f>
        <v/>
      </c>
      <c r="AA739">
        <f>IF(OR($Q739="",$Z739=""),"",IF(AND($Z739&gt;0,$Z739&gt;=$Q739),"yes","below the line"))</f>
        <v/>
      </c>
      <c r="AB739">
        <f>IF($V739,IF($M739="","",$M739),IF($K739="","",$K739))</f>
        <v/>
      </c>
      <c r="AC739">
        <f>IF($V739,IF($N739="","",$N739),IF($L739="","",$L739))</f>
        <v/>
      </c>
      <c r="AD739">
        <f>$Y739</f>
        <v/>
      </c>
      <c r="AE739">
        <f>IF($V739,IF($S739="","",$S739),IF($R739="","",$R739))</f>
        <v/>
      </c>
      <c r="AF739">
        <f>IF($V739,IF($U739="","",$U739),IF($T739="","",$T739))</f>
        <v/>
      </c>
      <c r="AG739">
        <f>IF($V739,IF($O739="","",$O739),IF($P739="","",$P739))</f>
        <v/>
      </c>
      <c r="AH739" t="n">
        <v>0.0650887573964497</v>
      </c>
      <c r="AI739">
        <f>IF($Y739="worse","Yes",IF($Y739="worse, not significant","Not sure",IF(OR($Y739="too few losses to test",$Y739="too few loans to test"),"Too few losses",IF($Y739="","","No"))))</f>
        <v/>
      </c>
      <c r="AJ739">
        <f>IF($AA739="yes","Yes",IF($AA739="","","No"))</f>
        <v/>
      </c>
    </row>
    <row r="740">
      <c r="A740" t="inlineStr">
        <is>
          <t>three-way</t>
        </is>
      </c>
      <c r="B740" t="inlineStr">
        <is>
          <t>FICO x ASSET_CLASS / SYS_FLAG</t>
        </is>
      </c>
      <c r="C740" t="inlineStr">
        <is>
          <t>712 - 745</t>
        </is>
      </c>
      <c r="D740" t="inlineStr">
        <is>
          <t>3 / SYS_FLAG Y</t>
        </is>
      </c>
      <c r="E740" t="inlineStr">
        <is>
          <t>outcome_booked</t>
        </is>
      </c>
      <c r="F740" t="inlineStr">
        <is>
          <t>Outcome, share of booked dollars</t>
        </is>
      </c>
      <c r="G740" t="n">
        <v>169</v>
      </c>
      <c r="H740" t="n">
        <v>5174041.010000001</v>
      </c>
      <c r="I740" t="b">
        <v>0</v>
      </c>
      <c r="J740" t="b">
        <v>0</v>
      </c>
      <c r="K740" t="n">
        <v>0.6795619215450962</v>
      </c>
      <c r="L740" t="n">
        <v>0.4745969847459698</v>
      </c>
      <c r="M740" t="n">
        <v>0.9323466120987248</v>
      </c>
      <c r="N740" t="n">
        <v>0.9677814827212931</v>
      </c>
      <c r="O740" t="n">
        <v>-124865.5662657639</v>
      </c>
      <c r="P740" t="n">
        <v>-19214.97221008583</v>
      </c>
      <c r="Q740">
        <f>'_live'!$C$21</f>
        <v/>
      </c>
      <c r="R740" t="inlineStr">
        <is>
          <t>shuffled: 2,828 of 10,000</t>
        </is>
      </c>
      <c r="S740" t="inlineStr">
        <is>
          <t>shuffled: 8,561 of 10,000</t>
        </is>
      </c>
      <c r="T740" t="n">
        <v>0.07531278463248281</v>
      </c>
      <c r="U740" t="n">
        <v>0.05489342694832753</v>
      </c>
      <c r="V740">
        <f>AND(judged_band,NOT($J740))</f>
        <v/>
      </c>
      <c r="W740">
        <f>IF($K740="","",IF($I740,"too few losses to test",IF(AND($K740&gt;better_at,$K740&lt;worse_at),"in line",IF($K740&gt;=worse_at,IF(AND(ISNUMBER($L740),$L740&lt;significance_bar),"worse","worse, not significant"),IF(AND(ISNUMBER($L740),$L740&lt;significance_bar),"better","better, not significant")))))</f>
        <v/>
      </c>
      <c r="X740">
        <f>IF($M740="","",IF($I740,"too few losses to test",IF(AND($M740&gt;better_at,$M740&lt;worse_at),"in line",IF($M740&gt;=worse_at,IF(AND(ISNUMBER($N740),$N740&lt;significance_bar),"worse","worse, not significant"),IF(AND(ISNUMBER($N740),$N740&lt;significance_bar),"better","better, not significant")))))</f>
        <v/>
      </c>
      <c r="Y740">
        <f>IF($V740,$X740,$W740)</f>
        <v/>
      </c>
      <c r="Z740">
        <f>IF($V740,IF($P740="","",$P740),IF($O740="","",$O740))</f>
        <v/>
      </c>
      <c r="AA740">
        <f>IF(OR($Q740="",$Z740=""),"",IF(AND($Z740&gt;0,$Z740&gt;=$Q740),"yes","below the line"))</f>
        <v/>
      </c>
      <c r="AB740">
        <f>IF($V740,IF($M740="","",$M740),IF($K740="","",$K740))</f>
        <v/>
      </c>
      <c r="AC740">
        <f>IF($V740,IF($N740="","",$N740),IF($L740="","",$L740))</f>
        <v/>
      </c>
      <c r="AD740">
        <f>$Y740</f>
        <v/>
      </c>
      <c r="AE740">
        <f>IF($V740,IF($S740="","",$S740),IF($R740="","",$R740))</f>
        <v/>
      </c>
      <c r="AF740">
        <f>IF($V740,IF($U740="","",$U740),IF($T740="","",$T740))</f>
        <v/>
      </c>
      <c r="AG740">
        <f>IF($V740,IF($O740="","",$O740),IF($P740="","",$P740))</f>
        <v/>
      </c>
      <c r="AH740" t="n">
        <v>0.05117970064176201</v>
      </c>
      <c r="AI740">
        <f>IF($Y740="worse","Yes",IF($Y740="worse, not significant","Not sure",IF(OR($Y740="too few losses to test",$Y740="too few loans to test"),"Too few losses",IF($Y740="","","No"))))</f>
        <v/>
      </c>
      <c r="AJ740">
        <f>IF($AA740="yes","Yes",IF($AA740="","","No"))</f>
        <v/>
      </c>
    </row>
    <row r="741">
      <c r="A741" t="inlineStr">
        <is>
          <t>three-way</t>
        </is>
      </c>
      <c r="B741" t="inlineStr">
        <is>
          <t>FICO x ASSET_CLASS / SYS_FLAG</t>
        </is>
      </c>
      <c r="C741" t="inlineStr">
        <is>
          <t>712 - 745</t>
        </is>
      </c>
      <c r="D741" t="inlineStr">
        <is>
          <t>3 / SYS_FLAG Y</t>
        </is>
      </c>
      <c r="E741" t="inlineStr">
        <is>
          <t>gco_rate</t>
        </is>
      </c>
      <c r="F741" t="inlineStr">
        <is>
          <t>GCO per booked dollar</t>
        </is>
      </c>
      <c r="G741" t="n">
        <v>169</v>
      </c>
      <c r="H741" t="n">
        <v>5174041.010000001</v>
      </c>
      <c r="I741" t="b">
        <v>0</v>
      </c>
      <c r="J741" t="b">
        <v>0</v>
      </c>
      <c r="K741" t="n">
        <v>0.7153297774151447</v>
      </c>
      <c r="L741" t="n">
        <v>0.5079071040264393</v>
      </c>
      <c r="M741" t="n">
        <v>0.9878220603616421</v>
      </c>
      <c r="N741" t="n">
        <v>0.9754024597540246</v>
      </c>
      <c r="O741" t="n">
        <v>-61632.01577961884</v>
      </c>
      <c r="P741" t="n">
        <v>-1909.262891790655</v>
      </c>
      <c r="Q741">
        <f>'_live'!$C$22</f>
        <v/>
      </c>
      <c r="R741" t="inlineStr">
        <is>
          <t>shuffled: 3,577 of 10,000</t>
        </is>
      </c>
      <c r="S741" t="inlineStr">
        <is>
          <t>shuffled: 9,754 of 10,000</t>
        </is>
      </c>
      <c r="T741" t="n">
        <v>0.0418441224878538</v>
      </c>
      <c r="U741" t="n">
        <v>0.03030135489625557</v>
      </c>
      <c r="V741">
        <f>AND(judged_band,NOT($J741))</f>
        <v/>
      </c>
      <c r="W741">
        <f>IF($K741="","",IF($I741,"too few losses to test",IF(AND($K741&gt;better_at,$K741&lt;worse_at),"in line",IF($K741&gt;=worse_at,IF(AND(ISNUMBER($L741),$L741&lt;significance_bar),"worse","worse, not significant"),IF(AND(ISNUMBER($L741),$L741&lt;significance_bar),"better","better, not significant")))))</f>
        <v/>
      </c>
      <c r="X741">
        <f>IF($M741="","",IF($I741,"too few losses to test",IF(AND($M741&gt;better_at,$M741&lt;worse_at),"in line",IF($M741&gt;=worse_at,IF(AND(ISNUMBER($N741),$N741&lt;significance_bar),"worse","worse, not significant"),IF(AND(ISNUMBER($N741),$N741&lt;significance_bar),"better","better, not significant")))))</f>
        <v/>
      </c>
      <c r="Y741">
        <f>IF($V741,$X741,$W741)</f>
        <v/>
      </c>
      <c r="Z741">
        <f>IF($V741,IF($P741="","",$P741),IF($O741="","",$O741))</f>
        <v/>
      </c>
      <c r="AA741">
        <f>IF(OR($Q741="",$Z741=""),"",IF(AND($Z741&gt;0,$Z741&gt;=$Q741),"yes","below the line"))</f>
        <v/>
      </c>
      <c r="AB741">
        <f>IF($V741,IF($M741="","",$M741),IF($K741="","",$K741))</f>
        <v/>
      </c>
      <c r="AC741">
        <f>IF($V741,IF($N741="","",$N741),IF($L741="","",$L741))</f>
        <v/>
      </c>
      <c r="AD741">
        <f>$Y741</f>
        <v/>
      </c>
      <c r="AE741">
        <f>IF($V741,IF($S741="","",$S741),IF($R741="","",$R741))</f>
        <v/>
      </c>
      <c r="AF741">
        <f>IF($V741,IF($U741="","",$U741),IF($T741="","",$T741))</f>
        <v/>
      </c>
      <c r="AG741">
        <f>IF($V741,IF($O741="","",$O741),IF($P741="","",$P741))</f>
        <v/>
      </c>
      <c r="AH741" t="n">
        <v>0.02993234682536851</v>
      </c>
      <c r="AI741">
        <f>IF($Y741="worse","Yes",IF($Y741="worse, not significant","Not sure",IF(OR($Y741="too few losses to test",$Y741="too few loans to test"),"Too few losses",IF($Y741="","","No"))))</f>
        <v/>
      </c>
      <c r="AJ741">
        <f>IF($AA741="yes","Yes",IF($AA741="","","No"))</f>
        <v/>
      </c>
    </row>
    <row r="742">
      <c r="A742" t="inlineStr">
        <is>
          <t>three-way</t>
        </is>
      </c>
      <c r="B742" t="inlineStr">
        <is>
          <t>FICO x ASSET_CLASS / SYS_FLAG</t>
        </is>
      </c>
      <c r="C742" t="inlineStr">
        <is>
          <t>712 - 745</t>
        </is>
      </c>
      <c r="D742" t="inlineStr">
        <is>
          <t>3 / SYS_FLAG Y</t>
        </is>
      </c>
      <c r="E742" t="inlineStr">
        <is>
          <t>ranr_rate</t>
        </is>
      </c>
      <c r="F742" t="inlineStr">
        <is>
          <t>Profit after losses: RANR per booked dollar</t>
        </is>
      </c>
      <c r="G742" t="n">
        <v>169</v>
      </c>
      <c r="H742" t="n">
        <v>5174041.010000001</v>
      </c>
      <c r="I742" t="b">
        <v>0</v>
      </c>
      <c r="J742" t="b">
        <v>0</v>
      </c>
      <c r="K742" t="n">
        <v>-0.0388699342530622</v>
      </c>
      <c r="L742" t="n">
        <v>0.02960120654601206</v>
      </c>
      <c r="M742" t="n">
        <v>-0.006753464015078869</v>
      </c>
      <c r="N742" t="n">
        <v>0.8858714128587142</v>
      </c>
      <c r="O742" t="n">
        <v>201114.6338813476</v>
      </c>
      <c r="P742" t="n">
        <v>34942.69977357739</v>
      </c>
      <c r="Q742">
        <f>'_live'!$C$23</f>
        <v/>
      </c>
      <c r="R742" t="inlineStr">
        <is>
          <t>shuffled: 144 of 10,000</t>
        </is>
      </c>
      <c r="S742" t="inlineStr">
        <is>
          <t>shuffled: 6,177 of 10,000</t>
        </is>
      </c>
      <c r="T742" t="n">
        <v>0.1287693569868607</v>
      </c>
      <c r="U742" t="n">
        <v>0.0966528867488774</v>
      </c>
      <c r="V742">
        <f>AND(judged_band,NOT($J742))</f>
        <v/>
      </c>
      <c r="W742">
        <f>IF($K742="","",IF(profit_kind="test",IF(OR(NOT(AND(ISNUMBER($L742),$L742&lt;significance_bar)),$K742=0),"in line",IF($K742&lt;0,"worse","better")),IF(OR($K742=0,IF(profit_kind="points",ABS($K742),ABS($K742*$H742))&lt;profit_line*(1-1E-9)),"in line",IF(AND(ISNUMBER($L742),$L742&lt;significance_bar),IF($K742&lt;0,"worse","better"),IF($K742&lt;0,"worse, not significant","better, not significant")))))</f>
        <v/>
      </c>
      <c r="X742">
        <f>IF($M742="","",IF(profit_kind="test",IF(OR(NOT(AND(ISNUMBER($N742),$N742&lt;significance_bar)),$M742=0),"in line",IF($M742&lt;0,"worse","better")),IF(OR($M742=0,IF(profit_kind="points",ABS($M742),ABS($M742*$H742))&lt;profit_line*(1-1E-9)),"in line",IF(AND(ISNUMBER($N742),$N742&lt;significance_bar),IF($M742&lt;0,"worse","better"),IF($M742&lt;0,"worse, not significant","better, not significant")))))</f>
        <v/>
      </c>
      <c r="Y742">
        <f>IF($V742,$X742,$W742)</f>
        <v/>
      </c>
      <c r="Z742">
        <f>IF($V742,IF($P742="","",$P742),IF($O742="","",$O742))</f>
        <v/>
      </c>
      <c r="AA742">
        <f>IF(OR($Q742="",$Z742=""),"",IF(AND($Z742&gt;0,$Z742&gt;=$Q742),"yes","below the line"))</f>
        <v/>
      </c>
      <c r="AB742">
        <f>IF($V742,IF($M742="","",$M742),IF($K742="","",$K742))</f>
        <v/>
      </c>
      <c r="AC742">
        <f>IF($V742,IF($N742="","",$N742),IF($L742="","",$L742))</f>
        <v/>
      </c>
      <c r="AD742">
        <f>IF($Y742="","",IF($Y742="in line",IF(profit_kind="test",IF(ROUND($AB742*100,2)=0,"0.00",TEXT($AB742*100,"+0.00;-0.00"))&amp;" points against "&amp;IF($V742,"its band","the book")&amp;", "&amp;IF($AC742="","not tested","not significant"),IF(profit_kind="points","within "&amp;TEXT(profit_line*100,"0.00")&amp;" points of "&amp;IF($V742,"its band","the book")&amp;" ("&amp;IF(ROUND($AB742*100,2)=0,"0.00",TEXT($AB742*100,"+0.00;-0.00"))&amp;")","within $"&amp;TEXT(profit_line,"#,##0")&amp;" of "&amp;IF($V742,"its band","the book")&amp;" ("&amp;IF(ROUND($AB742*100,2)=0,"0.00",TEXT($AB742*100,"+0.00;-0.00"))&amp;" points)")),IF(LEFT($Y742,5)="worse","short of ","ahead of ")&amp;IF($V742,"its band","the book")&amp;" by "&amp;TEXT(ABS($AB742)*100,"0.00")&amp;" points"&amp;IF($Z742="",""," ($"&amp;TEXT(ABS($Z742),"#,##0")&amp;")")&amp;IF(RIGHT($Y742,15)="not significant"," (not significant)","")))</f>
        <v/>
      </c>
      <c r="AE742">
        <f>IF($V742,IF($S742="","",$S742),IF($R742="","",$R742))</f>
        <v/>
      </c>
      <c r="AF742">
        <f>IF($V742,IF($U742="","",$U742),IF($T742="","",$T742))</f>
        <v/>
      </c>
      <c r="AG742">
        <f>IF($V742,IF($O742="","",$O742),IF($P742="","",$P742))</f>
        <v/>
      </c>
      <c r="AH742" t="n">
        <v>0.08989942273379853</v>
      </c>
      <c r="AI742">
        <f>IF($Y742="worse","Yes",IF($Y742="worse, not significant","Not sure",IF(OR($Y742="too few losses to test",$Y742="too few loans to test"),"Too few losses",IF($Y742="","","No"))))</f>
        <v/>
      </c>
      <c r="AJ742">
        <f>IF($AA742="yes","Yes",IF($AA742="","","No"))</f>
        <v/>
      </c>
    </row>
    <row r="743">
      <c r="A743" t="inlineStr">
        <is>
          <t>three-way</t>
        </is>
      </c>
      <c r="B743" t="inlineStr">
        <is>
          <t>FICO x ASSET_CLASS / SYS_FLAG</t>
        </is>
      </c>
      <c r="C743" t="inlineStr">
        <is>
          <t>712 - 745</t>
        </is>
      </c>
      <c r="D743" t="inlineStr">
        <is>
          <t>3 / SYS_FLAG Y</t>
        </is>
      </c>
      <c r="E743" t="inlineStr">
        <is>
          <t>contribution_rate</t>
        </is>
      </c>
      <c r="F743" t="inlineStr">
        <is>
          <t>Contribution before losses per booked dollar</t>
        </is>
      </c>
      <c r="G743" t="n">
        <v>169</v>
      </c>
      <c r="H743" t="n">
        <v>5174041.010000001</v>
      </c>
      <c r="I743" t="b">
        <v>0</v>
      </c>
      <c r="J743" t="b">
        <v>0</v>
      </c>
      <c r="K743" t="n">
        <v>-0.05077891447053895</v>
      </c>
      <c r="L743" t="n">
        <v>0.0001814633351479667</v>
      </c>
      <c r="M743" t="n">
        <v>-0.007079303918740232</v>
      </c>
      <c r="N743" t="n">
        <v>0.8981501849815018</v>
      </c>
      <c r="O743" t="n">
        <v>262732.185913851</v>
      </c>
      <c r="P743" t="n">
        <v>36628.60879781574</v>
      </c>
      <c r="Q743">
        <f>'_live'!$C$24</f>
        <v/>
      </c>
      <c r="R743" t="inlineStr">
        <is>
          <t>shuffled: 0 of 10,000</t>
        </is>
      </c>
      <c r="S743" t="inlineStr">
        <is>
          <t>shuffled: 2,806 of 10,000</t>
        </is>
      </c>
      <c r="T743" t="n">
        <v>0.170610684029706</v>
      </c>
      <c r="U743" t="n">
        <v>0.1269110734779073</v>
      </c>
      <c r="V743">
        <f>AND(judged_band,NOT($J743))</f>
        <v/>
      </c>
      <c r="W743">
        <f>IF($K743="","",IF(profit_kind="test",IF(OR(NOT(AND(ISNUMBER($L743),$L743&lt;significance_bar)),$K743=0),"in line",IF($K743&lt;0,"worse","better")),IF(OR($K743=0,IF(profit_kind="points",ABS($K743),ABS($K743*$H743))&lt;profit_line*(1-1E-9)),"in line",IF(AND(ISNUMBER($L743),$L743&lt;significance_bar),IF($K743&lt;0,"worse","better"),IF($K743&lt;0,"worse, not significant","better, not significant")))))</f>
        <v/>
      </c>
      <c r="X743">
        <f>IF($M743="","",IF(profit_kind="test",IF(OR(NOT(AND(ISNUMBER($N743),$N743&lt;significance_bar)),$M743=0),"in line",IF($M743&lt;0,"worse","better")),IF(OR($M743=0,IF(profit_kind="points",ABS($M743),ABS($M743*$H743))&lt;profit_line*(1-1E-9)),"in line",IF(AND(ISNUMBER($N743),$N743&lt;significance_bar),IF($M743&lt;0,"worse","better"),IF($M743&lt;0,"worse, not significant","better, not significant")))))</f>
        <v/>
      </c>
      <c r="Y743">
        <f>IF($V743,$X743,$W743)</f>
        <v/>
      </c>
      <c r="Z743">
        <f>IF($V743,IF($P743="","",$P743),IF($O743="","",$O743))</f>
        <v/>
      </c>
      <c r="AA743">
        <f>IF(OR($Q743="",$Z743=""),"",IF(AND($Z743&gt;0,$Z743&gt;=$Q743),"yes","below the line"))</f>
        <v/>
      </c>
      <c r="AB743">
        <f>IF($V743,IF($M743="","",$M743),IF($K743="","",$K743))</f>
        <v/>
      </c>
      <c r="AC743">
        <f>IF($V743,IF($N743="","",$N743),IF($L743="","",$L743))</f>
        <v/>
      </c>
      <c r="AD743">
        <f>IF($Y743="","",IF($Y743="in line",IF(profit_kind="test",IF(ROUND($AB743*100,2)=0,"0.00",TEXT($AB743*100,"+0.00;-0.00"))&amp;" points against "&amp;IF($V743,"its band","the book")&amp;", "&amp;IF($AC743="","not tested","not significant"),IF(profit_kind="points","within "&amp;TEXT(profit_line*100,"0.00")&amp;" points of "&amp;IF($V743,"its band","the book")&amp;" ("&amp;IF(ROUND($AB743*100,2)=0,"0.00",TEXT($AB743*100,"+0.00;-0.00"))&amp;")","within $"&amp;TEXT(profit_line,"#,##0")&amp;" of "&amp;IF($V743,"its band","the book")&amp;" ("&amp;IF(ROUND($AB743*100,2)=0,"0.00",TEXT($AB743*100,"+0.00;-0.00"))&amp;" points)")),IF(LEFT($Y743,5)="worse","short of ","ahead of ")&amp;IF($V743,"its band","the book")&amp;" by "&amp;TEXT(ABS($AB743)*100,"0.00")&amp;" points"&amp;IF($Z743="",""," ($"&amp;TEXT(ABS($Z743),"#,##0")&amp;")")&amp;IF(RIGHT($Y743,15)="not significant"," (not significant)","")))</f>
        <v/>
      </c>
      <c r="AE743">
        <f>IF($V743,IF($S743="","",$S743),IF($R743="","",$R743))</f>
        <v/>
      </c>
      <c r="AF743">
        <f>IF($V743,IF($U743="","",$U743),IF($T743="","",$T743))</f>
        <v/>
      </c>
      <c r="AG743">
        <f>IF($V743,IF($O743="","",$O743),IF($P743="","",$P743))</f>
        <v/>
      </c>
      <c r="AH743" t="n">
        <v>0.1198317695591671</v>
      </c>
      <c r="AI743">
        <f>IF($Y743="worse","Yes",IF($Y743="worse, not significant","Not sure",IF(OR($Y743="too few losses to test",$Y743="too few loans to test"),"Too few losses",IF($Y743="","","No"))))</f>
        <v/>
      </c>
      <c r="AJ743">
        <f>IF($AA743="yes","Yes",IF($AA743="","","No"))</f>
        <v/>
      </c>
    </row>
    <row r="744">
      <c r="A744" t="inlineStr">
        <is>
          <t>three-way</t>
        </is>
      </c>
      <c r="B744" t="inlineStr">
        <is>
          <t>FICO x ASSET_CLASS / SYS_FLAG</t>
        </is>
      </c>
      <c r="C744" t="inlineStr">
        <is>
          <t>746 - 921</t>
        </is>
      </c>
      <c r="D744" t="inlineStr">
        <is>
          <t>4 / SYS_FLAG N</t>
        </is>
      </c>
      <c r="E744" t="inlineStr">
        <is>
          <t>outcome_loans</t>
        </is>
      </c>
      <c r="F744" t="inlineStr">
        <is>
          <t>Outcome, share of loans</t>
        </is>
      </c>
      <c r="G744" t="n">
        <v>209</v>
      </c>
      <c r="H744" t="n">
        <v>209</v>
      </c>
      <c r="I744" t="b">
        <v>1</v>
      </c>
      <c r="J744" t="b">
        <v>0</v>
      </c>
      <c r="K744" t="n">
        <v>0.4263220439691028</v>
      </c>
      <c r="M744" t="n">
        <v>0.8294040887342323</v>
      </c>
      <c r="O744" t="n">
        <v>-9.41951219512195</v>
      </c>
      <c r="P744" t="n">
        <v>-1.439794419970632</v>
      </c>
      <c r="Q744">
        <f>'_live'!$C$20</f>
        <v/>
      </c>
      <c r="T744" t="n">
        <v>0.07856225930680359</v>
      </c>
      <c r="U744" t="n">
        <v>0.04038179148311307</v>
      </c>
      <c r="V744">
        <f>AND(judged_band,NOT($J744))</f>
        <v/>
      </c>
      <c r="W744">
        <f>IF($K744="","",IF($I744,"too few losses to test",IF(AND($K744&gt;better_at,$K744&lt;worse_at),"in line",IF($K744&gt;=worse_at,IF(AND(ISNUMBER($L744),$L744&lt;significance_bar),"worse","worse, not significant"),IF(AND(ISNUMBER($L744),$L744&lt;significance_bar),"better","better, not significant")))))</f>
        <v/>
      </c>
      <c r="X744">
        <f>IF($M744="","",IF($I744,"too few losses to test",IF(AND($M744&gt;better_at,$M744&lt;worse_at),"in line",IF($M744&gt;=worse_at,IF(AND(ISNUMBER($N744),$N744&lt;significance_bar),"worse","worse, not significant"),IF(AND(ISNUMBER($N744),$N744&lt;significance_bar),"better","better, not significant")))))</f>
        <v/>
      </c>
      <c r="Y744">
        <f>IF($V744,$X744,$W744)</f>
        <v/>
      </c>
      <c r="Z744">
        <f>IF($V744,IF($P744="","",$P744),IF($O744="","",$O744))</f>
        <v/>
      </c>
      <c r="AA744">
        <f>IF(OR($Q744="",$Z744=""),"",IF(AND($Z744&gt;0,$Z744&gt;=$Q744),"yes","below the line"))</f>
        <v/>
      </c>
      <c r="AB744">
        <f>IF($V744,IF($M744="","",$M744),IF($K744="","",$K744))</f>
        <v/>
      </c>
      <c r="AC744">
        <f>IF($V744,IF($N744="","",$N744),IF($L744="","",$L744))</f>
        <v/>
      </c>
      <c r="AD744">
        <f>$Y744</f>
        <v/>
      </c>
      <c r="AE744">
        <f>IF($V744,IF($S744="","",$S744),IF($R744="","",$R744))</f>
        <v/>
      </c>
      <c r="AF744">
        <f>IF($V744,IF($U744="","",$U744),IF($T744="","",$T744))</f>
        <v/>
      </c>
      <c r="AG744">
        <f>IF($V744,IF($O744="","",$O744),IF($P744="","",$P744))</f>
        <v/>
      </c>
      <c r="AH744" t="n">
        <v>0.03349282296650718</v>
      </c>
      <c r="AI744">
        <f>IF($Y744="worse","Yes",IF($Y744="worse, not significant","Not sure",IF(OR($Y744="too few losses to test",$Y744="too few loans to test"),"Too few losses",IF($Y744="","","No"))))</f>
        <v/>
      </c>
      <c r="AJ744">
        <f>IF($AA744="yes","Yes",IF($AA744="","","No"))</f>
        <v/>
      </c>
    </row>
    <row r="745">
      <c r="A745" t="inlineStr">
        <is>
          <t>three-way</t>
        </is>
      </c>
      <c r="B745" t="inlineStr">
        <is>
          <t>FICO x ASSET_CLASS / SYS_FLAG</t>
        </is>
      </c>
      <c r="C745" t="inlineStr">
        <is>
          <t>746 - 921</t>
        </is>
      </c>
      <c r="D745" t="inlineStr">
        <is>
          <t>4 / SYS_FLAG N</t>
        </is>
      </c>
      <c r="E745" t="inlineStr">
        <is>
          <t>outcome_booked</t>
        </is>
      </c>
      <c r="F745" t="inlineStr">
        <is>
          <t>Outcome, share of booked dollars</t>
        </is>
      </c>
      <c r="G745" t="n">
        <v>209</v>
      </c>
      <c r="H745" t="n">
        <v>6624955.080000004</v>
      </c>
      <c r="I745" t="b">
        <v>1</v>
      </c>
      <c r="J745" t="b">
        <v>0</v>
      </c>
      <c r="K745" t="n">
        <v>0.3767934536462674</v>
      </c>
      <c r="M745" t="n">
        <v>0.7527760570881014</v>
      </c>
      <c r="O745" t="n">
        <v>-313970.892481607</v>
      </c>
      <c r="P745" t="n">
        <v>-62342.67899194884</v>
      </c>
      <c r="Q745">
        <f>'_live'!$C$21</f>
        <v/>
      </c>
      <c r="T745" t="n">
        <v>0.07604566165324199</v>
      </c>
      <c r="U745" t="n">
        <v>0.03806378699128458</v>
      </c>
      <c r="V745">
        <f>AND(judged_band,NOT($J745))</f>
        <v/>
      </c>
      <c r="W745">
        <f>IF($K745="","",IF($I745,"too few losses to test",IF(AND($K745&gt;better_at,$K745&lt;worse_at),"in line",IF($K745&gt;=worse_at,IF(AND(ISNUMBER($L745),$L745&lt;significance_bar),"worse","worse, not significant"),IF(AND(ISNUMBER($L745),$L745&lt;significance_bar),"better","better, not significant")))))</f>
        <v/>
      </c>
      <c r="X745">
        <f>IF($M745="","",IF($I745,"too few losses to test",IF(AND($M745&gt;better_at,$M745&lt;worse_at),"in line",IF($M745&gt;=worse_at,IF(AND(ISNUMBER($N745),$N745&lt;significance_bar),"worse","worse, not significant"),IF(AND(ISNUMBER($N745),$N745&lt;significance_bar),"better","better, not significant")))))</f>
        <v/>
      </c>
      <c r="Y745">
        <f>IF($V745,$X745,$W745)</f>
        <v/>
      </c>
      <c r="Z745">
        <f>IF($V745,IF($P745="","",$P745),IF($O745="","",$O745))</f>
        <v/>
      </c>
      <c r="AA745">
        <f>IF(OR($Q745="",$Z745=""),"",IF(AND($Z745&gt;0,$Z745&gt;=$Q745),"yes","below the line"))</f>
        <v/>
      </c>
      <c r="AB745">
        <f>IF($V745,IF($M745="","",$M745),IF($K745="","",$K745))</f>
        <v/>
      </c>
      <c r="AC745">
        <f>IF($V745,IF($N745="","",$N745),IF($L745="","",$L745))</f>
        <v/>
      </c>
      <c r="AD745">
        <f>$Y745</f>
        <v/>
      </c>
      <c r="AE745">
        <f>IF($V745,IF($S745="","",$S745),IF($R745="","",$R745))</f>
        <v/>
      </c>
      <c r="AF745">
        <f>IF($V745,IF($U745="","",$U745),IF($T745="","",$T745))</f>
        <v/>
      </c>
      <c r="AG745">
        <f>IF($V745,IF($O745="","",$O745),IF($P745="","",$P745))</f>
        <v/>
      </c>
      <c r="AH745" t="n">
        <v>0.02865350748914057</v>
      </c>
      <c r="AI745">
        <f>IF($Y745="worse","Yes",IF($Y745="worse, not significant","Not sure",IF(OR($Y745="too few losses to test",$Y745="too few loans to test"),"Too few losses",IF($Y745="","","No"))))</f>
        <v/>
      </c>
      <c r="AJ745">
        <f>IF($AA745="yes","Yes",IF($AA745="","","No"))</f>
        <v/>
      </c>
    </row>
    <row r="746">
      <c r="A746" t="inlineStr">
        <is>
          <t>three-way</t>
        </is>
      </c>
      <c r="B746" t="inlineStr">
        <is>
          <t>FICO x ASSET_CLASS / SYS_FLAG</t>
        </is>
      </c>
      <c r="C746" t="inlineStr">
        <is>
          <t>746 - 921</t>
        </is>
      </c>
      <c r="D746" t="inlineStr">
        <is>
          <t>4 / SYS_FLAG N</t>
        </is>
      </c>
      <c r="E746" t="inlineStr">
        <is>
          <t>gco_rate</t>
        </is>
      </c>
      <c r="F746" t="inlineStr">
        <is>
          <t>GCO per booked dollar</t>
        </is>
      </c>
      <c r="G746" t="n">
        <v>209</v>
      </c>
      <c r="H746" t="n">
        <v>6624955.080000004</v>
      </c>
      <c r="I746" t="b">
        <v>1</v>
      </c>
      <c r="J746" t="b">
        <v>0</v>
      </c>
      <c r="K746" t="n">
        <v>0.3825114070245904</v>
      </c>
      <c r="M746" t="n">
        <v>0.8127325612134406</v>
      </c>
      <c r="O746" t="n">
        <v>-172942.0969188095</v>
      </c>
      <c r="P746" t="n">
        <v>-24684.86653413883</v>
      </c>
      <c r="Q746">
        <f>'_live'!$C$22</f>
        <v/>
      </c>
      <c r="T746" t="n">
        <v>0.04227550882032687</v>
      </c>
      <c r="U746" t="n">
        <v>0.019896907215579</v>
      </c>
      <c r="V746">
        <f>AND(judged_band,NOT($J746))</f>
        <v/>
      </c>
      <c r="W746">
        <f>IF($K746="","",IF($I746,"too few losses to test",IF(AND($K746&gt;better_at,$K746&lt;worse_at),"in line",IF($K746&gt;=worse_at,IF(AND(ISNUMBER($L746),$L746&lt;significance_bar),"worse","worse, not significant"),IF(AND(ISNUMBER($L746),$L746&lt;significance_bar),"better","better, not significant")))))</f>
        <v/>
      </c>
      <c r="X746">
        <f>IF($M746="","",IF($I746,"too few losses to test",IF(AND($M746&gt;better_at,$M746&lt;worse_at),"in line",IF($M746&gt;=worse_at,IF(AND(ISNUMBER($N746),$N746&lt;significance_bar),"worse","worse, not significant"),IF(AND(ISNUMBER($N746),$N746&lt;significance_bar),"better","better, not significant")))))</f>
        <v/>
      </c>
      <c r="Y746">
        <f>IF($V746,$X746,$W746)</f>
        <v/>
      </c>
      <c r="Z746">
        <f>IF($V746,IF($P746="","",$P746),IF($O746="","",$O746))</f>
        <v/>
      </c>
      <c r="AA746">
        <f>IF(OR($Q746="",$Z746=""),"",IF(AND($Z746&gt;0,$Z746&gt;=$Q746),"yes","below the line"))</f>
        <v/>
      </c>
      <c r="AB746">
        <f>IF($V746,IF($M746="","",$M746),IF($K746="","",$K746))</f>
        <v/>
      </c>
      <c r="AC746">
        <f>IF($V746,IF($N746="","",$N746),IF($L746="","",$L746))</f>
        <v/>
      </c>
      <c r="AD746">
        <f>$Y746</f>
        <v/>
      </c>
      <c r="AE746">
        <f>IF($V746,IF($S746="","",$S746),IF($R746="","",$R746))</f>
        <v/>
      </c>
      <c r="AF746">
        <f>IF($V746,IF($U746="","",$U746),IF($T746="","",$T746))</f>
        <v/>
      </c>
      <c r="AG746">
        <f>IF($V746,IF($O746="","",$O746),IF($P746="","",$P746))</f>
        <v/>
      </c>
      <c r="AH746" t="n">
        <v>0.01617086436154371</v>
      </c>
      <c r="AI746">
        <f>IF($Y746="worse","Yes",IF($Y746="worse, not significant","Not sure",IF(OR($Y746="too few losses to test",$Y746="too few loans to test"),"Too few losses",IF($Y746="","","No"))))</f>
        <v/>
      </c>
      <c r="AJ746">
        <f>IF($AA746="yes","Yes",IF($AA746="","","No"))</f>
        <v/>
      </c>
    </row>
    <row r="747">
      <c r="A747" t="inlineStr">
        <is>
          <t>three-way</t>
        </is>
      </c>
      <c r="B747" t="inlineStr">
        <is>
          <t>FICO x ASSET_CLASS / SYS_FLAG</t>
        </is>
      </c>
      <c r="C747" t="inlineStr">
        <is>
          <t>746 - 921</t>
        </is>
      </c>
      <c r="D747" t="inlineStr">
        <is>
          <t>4 / SYS_FLAG N</t>
        </is>
      </c>
      <c r="E747" t="inlineStr">
        <is>
          <t>ranr_rate</t>
        </is>
      </c>
      <c r="F747" t="inlineStr">
        <is>
          <t>Profit after losses: RANR per booked dollar</t>
        </is>
      </c>
      <c r="G747" t="n">
        <v>209</v>
      </c>
      <c r="H747" t="n">
        <v>6624955.080000004</v>
      </c>
      <c r="I747" t="b">
        <v>0</v>
      </c>
      <c r="J747" t="b">
        <v>0</v>
      </c>
      <c r="K747" t="n">
        <v>-0.08083892218964239</v>
      </c>
      <c r="L747" t="n">
        <v>0.0003768853883842385</v>
      </c>
      <c r="M747" t="n">
        <v>0.002857646749703548</v>
      </c>
      <c r="N747" t="n">
        <v>0.8858714128587142</v>
      </c>
      <c r="O747" t="n">
        <v>535554.2282219965</v>
      </c>
      <c r="P747" t="n">
        <v>-18931.78135129402</v>
      </c>
      <c r="Q747">
        <f>'_live'!$C$23</f>
        <v/>
      </c>
      <c r="R747" t="inlineStr">
        <is>
          <t>shuffled: 0 of 10,000</t>
        </is>
      </c>
      <c r="S747" t="inlineStr">
        <is>
          <t>shuffled: 7,382 of 10,000</t>
        </is>
      </c>
      <c r="T747" t="n">
        <v>0.1300652906799779</v>
      </c>
      <c r="U747" t="n">
        <v>0.04636872174063191</v>
      </c>
      <c r="V747">
        <f>AND(judged_band,NOT($J747))</f>
        <v/>
      </c>
      <c r="W747">
        <f>IF($K747="","",IF(profit_kind="test",IF(OR(NOT(AND(ISNUMBER($L747),$L747&lt;significance_bar)),$K747=0),"in line",IF($K747&lt;0,"worse","better")),IF(OR($K747=0,IF(profit_kind="points",ABS($K747),ABS($K747*$H747))&lt;profit_line*(1-1E-9)),"in line",IF(AND(ISNUMBER($L747),$L747&lt;significance_bar),IF($K747&lt;0,"worse","better"),IF($K747&lt;0,"worse, not significant","better, not significant")))))</f>
        <v/>
      </c>
      <c r="X747">
        <f>IF($M747="","",IF(profit_kind="test",IF(OR(NOT(AND(ISNUMBER($N747),$N747&lt;significance_bar)),$M747=0),"in line",IF($M747&lt;0,"worse","better")),IF(OR($M747=0,IF(profit_kind="points",ABS($M747),ABS($M747*$H747))&lt;profit_line*(1-1E-9)),"in line",IF(AND(ISNUMBER($N747),$N747&lt;significance_bar),IF($M747&lt;0,"worse","better"),IF($M747&lt;0,"worse, not significant","better, not significant")))))</f>
        <v/>
      </c>
      <c r="Y747">
        <f>IF($V747,$X747,$W747)</f>
        <v/>
      </c>
      <c r="Z747">
        <f>IF($V747,IF($P747="","",$P747),IF($O747="","",$O747))</f>
        <v/>
      </c>
      <c r="AA747">
        <f>IF(OR($Q747="",$Z747=""),"",IF(AND($Z747&gt;0,$Z747&gt;=$Q747),"yes","below the line"))</f>
        <v/>
      </c>
      <c r="AB747">
        <f>IF($V747,IF($M747="","",$M747),IF($K747="","",$K747))</f>
        <v/>
      </c>
      <c r="AC747">
        <f>IF($V747,IF($N747="","",$N747),IF($L747="","",$L747))</f>
        <v/>
      </c>
      <c r="AD747">
        <f>IF($Y747="","",IF($Y747="in line",IF(profit_kind="test",IF(ROUND($AB747*100,2)=0,"0.00",TEXT($AB747*100,"+0.00;-0.00"))&amp;" points against "&amp;IF($V747,"its band","the book")&amp;", "&amp;IF($AC747="","not tested","not significant"),IF(profit_kind="points","within "&amp;TEXT(profit_line*100,"0.00")&amp;" points of "&amp;IF($V747,"its band","the book")&amp;" ("&amp;IF(ROUND($AB747*100,2)=0,"0.00",TEXT($AB747*100,"+0.00;-0.00"))&amp;")","within $"&amp;TEXT(profit_line,"#,##0")&amp;" of "&amp;IF($V747,"its band","the book")&amp;" ("&amp;IF(ROUND($AB747*100,2)=0,"0.00",TEXT($AB747*100,"+0.00;-0.00"))&amp;" points)")),IF(LEFT($Y747,5)="worse","short of ","ahead of ")&amp;IF($V747,"its band","the book")&amp;" by "&amp;TEXT(ABS($AB747)*100,"0.00")&amp;" points"&amp;IF($Z747="",""," ($"&amp;TEXT(ABS($Z747),"#,##0")&amp;")")&amp;IF(RIGHT($Y747,15)="not significant"," (not significant)","")))</f>
        <v/>
      </c>
      <c r="AE747">
        <f>IF($V747,IF($S747="","",$S747),IF($R747="","",$R747))</f>
        <v/>
      </c>
      <c r="AF747">
        <f>IF($V747,IF($U747="","",$U747),IF($T747="","",$T747))</f>
        <v/>
      </c>
      <c r="AG747">
        <f>IF($V747,IF($O747="","",$O747),IF($P747="","",$P747))</f>
        <v/>
      </c>
      <c r="AH747" t="n">
        <v>0.04922636849033546</v>
      </c>
      <c r="AI747">
        <f>IF($Y747="worse","Yes",IF($Y747="worse, not significant","Not sure",IF(OR($Y747="too few losses to test",$Y747="too few loans to test"),"Too few losses",IF($Y747="","","No"))))</f>
        <v/>
      </c>
      <c r="AJ747">
        <f>IF($AA747="yes","Yes",IF($AA747="","","No"))</f>
        <v/>
      </c>
    </row>
    <row r="748">
      <c r="A748" t="inlineStr">
        <is>
          <t>three-way</t>
        </is>
      </c>
      <c r="B748" t="inlineStr">
        <is>
          <t>FICO x ASSET_CLASS / SYS_FLAG</t>
        </is>
      </c>
      <c r="C748" t="inlineStr">
        <is>
          <t>746 - 921</t>
        </is>
      </c>
      <c r="D748" t="inlineStr">
        <is>
          <t>4 / SYS_FLAG N</t>
        </is>
      </c>
      <c r="E748" t="inlineStr">
        <is>
          <t>contribution_rate</t>
        </is>
      </c>
      <c r="F748" t="inlineStr">
        <is>
          <t>Contribution before losses per booked dollar</t>
        </is>
      </c>
      <c r="G748" t="n">
        <v>209</v>
      </c>
      <c r="H748" t="n">
        <v>6624955.080000004</v>
      </c>
      <c r="I748" t="b">
        <v>0</v>
      </c>
      <c r="J748" t="b">
        <v>0</v>
      </c>
      <c r="K748" t="n">
        <v>-0.1069409596350884</v>
      </c>
      <c r="L748" t="n">
        <v>0.0001814633351479667</v>
      </c>
      <c r="M748" t="n">
        <v>-0.0008683961043317728</v>
      </c>
      <c r="N748" t="n">
        <v>0.9799190293736585</v>
      </c>
      <c r="O748" t="n">
        <v>708479.0537945541</v>
      </c>
      <c r="P748" t="n">
        <v>5753.085182844952</v>
      </c>
      <c r="Q748">
        <f>'_live'!$C$24</f>
        <v/>
      </c>
      <c r="R748" t="inlineStr">
        <is>
          <t>shuffled: 0 of 10,000</t>
        </is>
      </c>
      <c r="S748" t="inlineStr">
        <is>
          <t>shuffled: 7,335 of 10,000</t>
        </is>
      </c>
      <c r="T748" t="n">
        <v>0.1723381924869675</v>
      </c>
      <c r="U748" t="n">
        <v>0.06626562895621091</v>
      </c>
      <c r="V748">
        <f>AND(judged_band,NOT($J748))</f>
        <v/>
      </c>
      <c r="W748">
        <f>IF($K748="","",IF(profit_kind="test",IF(OR(NOT(AND(ISNUMBER($L748),$L748&lt;significance_bar)),$K748=0),"in line",IF($K748&lt;0,"worse","better")),IF(OR($K748=0,IF(profit_kind="points",ABS($K748),ABS($K748*$H748))&lt;profit_line*(1-1E-9)),"in line",IF(AND(ISNUMBER($L748),$L748&lt;significance_bar),IF($K748&lt;0,"worse","better"),IF($K748&lt;0,"worse, not significant","better, not significant")))))</f>
        <v/>
      </c>
      <c r="X748">
        <f>IF($M748="","",IF(profit_kind="test",IF(OR(NOT(AND(ISNUMBER($N748),$N748&lt;significance_bar)),$M748=0),"in line",IF($M748&lt;0,"worse","better")),IF(OR($M748=0,IF(profit_kind="points",ABS($M748),ABS($M748*$H748))&lt;profit_line*(1-1E-9)),"in line",IF(AND(ISNUMBER($N748),$N748&lt;significance_bar),IF($M748&lt;0,"worse","better"),IF($M748&lt;0,"worse, not significant","better, not significant")))))</f>
        <v/>
      </c>
      <c r="Y748">
        <f>IF($V748,$X748,$W748)</f>
        <v/>
      </c>
      <c r="Z748">
        <f>IF($V748,IF($P748="","",$P748),IF($O748="","",$O748))</f>
        <v/>
      </c>
      <c r="AA748">
        <f>IF(OR($Q748="",$Z748=""),"",IF(AND($Z748&gt;0,$Z748&gt;=$Q748),"yes","below the line"))</f>
        <v/>
      </c>
      <c r="AB748">
        <f>IF($V748,IF($M748="","",$M748),IF($K748="","",$K748))</f>
        <v/>
      </c>
      <c r="AC748">
        <f>IF($V748,IF($N748="","",$N748),IF($L748="","",$L748))</f>
        <v/>
      </c>
      <c r="AD748">
        <f>IF($Y748="","",IF($Y748="in line",IF(profit_kind="test",IF(ROUND($AB748*100,2)=0,"0.00",TEXT($AB748*100,"+0.00;-0.00"))&amp;" points against "&amp;IF($V748,"its band","the book")&amp;", "&amp;IF($AC748="","not tested","not significant"),IF(profit_kind="points","within "&amp;TEXT(profit_line*100,"0.00")&amp;" points of "&amp;IF($V748,"its band","the book")&amp;" ("&amp;IF(ROUND($AB748*100,2)=0,"0.00",TEXT($AB748*100,"+0.00;-0.00"))&amp;")","within $"&amp;TEXT(profit_line,"#,##0")&amp;" of "&amp;IF($V748,"its band","the book")&amp;" ("&amp;IF(ROUND($AB748*100,2)=0,"0.00",TEXT($AB748*100,"+0.00;-0.00"))&amp;" points)")),IF(LEFT($Y748,5)="worse","short of ","ahead of ")&amp;IF($V748,"its band","the book")&amp;" by "&amp;TEXT(ABS($AB748)*100,"0.00")&amp;" points"&amp;IF($Z748="",""," ($"&amp;TEXT(ABS($Z748),"#,##0")&amp;")")&amp;IF(RIGHT($Y748,15)="not significant"," (not significant)","")))</f>
        <v/>
      </c>
      <c r="AE748">
        <f>IF($V748,IF($S748="","",$S748),IF($R748="","",$R748))</f>
        <v/>
      </c>
      <c r="AF748">
        <f>IF($V748,IF($U748="","",$U748),IF($T748="","",$T748))</f>
        <v/>
      </c>
      <c r="AG748">
        <f>IF($V748,IF($O748="","",$O748),IF($P748="","",$P748))</f>
        <v/>
      </c>
      <c r="AH748" t="n">
        <v>0.06539723285187914</v>
      </c>
      <c r="AI748">
        <f>IF($Y748="worse","Yes",IF($Y748="worse, not significant","Not sure",IF(OR($Y748="too few losses to test",$Y748="too few loans to test"),"Too few losses",IF($Y748="","","No"))))</f>
        <v/>
      </c>
      <c r="AJ748">
        <f>IF($AA748="yes","Yes",IF($AA748="","","No"))</f>
        <v/>
      </c>
    </row>
    <row r="749">
      <c r="A749" t="inlineStr">
        <is>
          <t>three-way</t>
        </is>
      </c>
      <c r="B749" t="inlineStr">
        <is>
          <t>FICO x ASSET_CLASS / SYS_FLAG</t>
        </is>
      </c>
      <c r="C749" t="inlineStr">
        <is>
          <t>686 - 711</t>
        </is>
      </c>
      <c r="D749" t="inlineStr">
        <is>
          <t>1 / SYS_FLAG N</t>
        </is>
      </c>
      <c r="E749" t="inlineStr">
        <is>
          <t>outcome_loans</t>
        </is>
      </c>
      <c r="F749" t="inlineStr">
        <is>
          <t>Outcome, share of loans</t>
        </is>
      </c>
      <c r="G749" t="n">
        <v>205</v>
      </c>
      <c r="H749" t="n">
        <v>205</v>
      </c>
      <c r="I749" t="b">
        <v>0</v>
      </c>
      <c r="J749" t="b">
        <v>0</v>
      </c>
      <c r="K749" t="n">
        <v>0.6878530166880616</v>
      </c>
      <c r="L749" t="n">
        <v>0.3955168456979902</v>
      </c>
      <c r="M749" t="n">
        <v>0.8566427546628408</v>
      </c>
      <c r="N749" t="n">
        <v>0.7481717174350578</v>
      </c>
      <c r="O749" t="n">
        <v>-4.991788555298948</v>
      </c>
      <c r="P749" t="n">
        <v>-1.840825350036845</v>
      </c>
      <c r="Q749">
        <f>'_live'!$C$20</f>
        <v/>
      </c>
      <c r="R749" t="inlineStr">
        <is>
          <t>z test</t>
        </is>
      </c>
      <c r="S749" t="inlineStr">
        <is>
          <t>z test</t>
        </is>
      </c>
      <c r="T749" t="n">
        <v>0.07800872465999487</v>
      </c>
      <c r="U749" t="n">
        <v>0.06263817243920412</v>
      </c>
      <c r="V749">
        <f>AND(judged_band,NOT($J749))</f>
        <v/>
      </c>
      <c r="W749">
        <f>IF($K749="","",IF($I749,"too few losses to test",IF(AND($K749&gt;better_at,$K749&lt;worse_at),"in line",IF($K749&gt;=worse_at,IF(AND(ISNUMBER($L749),$L749&lt;significance_bar),"worse","worse, not significant"),IF(AND(ISNUMBER($L749),$L749&lt;significance_bar),"better","better, not significant")))))</f>
        <v/>
      </c>
      <c r="X749">
        <f>IF($M749="","",IF($I749,"too few losses to test",IF(AND($M749&gt;better_at,$M749&lt;worse_at),"in line",IF($M749&gt;=worse_at,IF(AND(ISNUMBER($N749),$N749&lt;significance_bar),"worse","worse, not significant"),IF(AND(ISNUMBER($N749),$N749&lt;significance_bar),"better","better, not significant")))))</f>
        <v/>
      </c>
      <c r="Y749">
        <f>IF($V749,$X749,$W749)</f>
        <v/>
      </c>
      <c r="Z749">
        <f>IF($V749,IF($P749="","",$P749),IF($O749="","",$O749))</f>
        <v/>
      </c>
      <c r="AA749">
        <f>IF(OR($Q749="",$Z749=""),"",IF(AND($Z749&gt;0,$Z749&gt;=$Q749),"yes","below the line"))</f>
        <v/>
      </c>
      <c r="AB749">
        <f>IF($V749,IF($M749="","",$M749),IF($K749="","",$K749))</f>
        <v/>
      </c>
      <c r="AC749">
        <f>IF($V749,IF($N749="","",$N749),IF($L749="","",$L749))</f>
        <v/>
      </c>
      <c r="AD749">
        <f>$Y749</f>
        <v/>
      </c>
      <c r="AE749">
        <f>IF($V749,IF($S749="","",$S749),IF($R749="","",$R749))</f>
        <v/>
      </c>
      <c r="AF749">
        <f>IF($V749,IF($U749="","",$U749),IF($T749="","",$T749))</f>
        <v/>
      </c>
      <c r="AG749">
        <f>IF($V749,IF($O749="","",$O749),IF($P749="","",$P749))</f>
        <v/>
      </c>
      <c r="AH749" t="n">
        <v>0.05365853658536585</v>
      </c>
      <c r="AI749">
        <f>IF($Y749="worse","Yes",IF($Y749="worse, not significant","Not sure",IF(OR($Y749="too few losses to test",$Y749="too few loans to test"),"Too few losses",IF($Y749="","","No"))))</f>
        <v/>
      </c>
      <c r="AJ749">
        <f>IF($AA749="yes","Yes",IF($AA749="","","No"))</f>
        <v/>
      </c>
    </row>
    <row r="750">
      <c r="A750" t="inlineStr">
        <is>
          <t>three-way</t>
        </is>
      </c>
      <c r="B750" t="inlineStr">
        <is>
          <t>FICO x ASSET_CLASS / SYS_FLAG</t>
        </is>
      </c>
      <c r="C750" t="inlineStr">
        <is>
          <t>686 - 711</t>
        </is>
      </c>
      <c r="D750" t="inlineStr">
        <is>
          <t>1 / SYS_FLAG N</t>
        </is>
      </c>
      <c r="E750" t="inlineStr">
        <is>
          <t>outcome_booked</t>
        </is>
      </c>
      <c r="F750" t="inlineStr">
        <is>
          <t>Outcome, share of booked dollars</t>
        </is>
      </c>
      <c r="G750" t="n">
        <v>205</v>
      </c>
      <c r="H750" t="n">
        <v>6222482.109999998</v>
      </c>
      <c r="I750" t="b">
        <v>0</v>
      </c>
      <c r="J750" t="b">
        <v>0</v>
      </c>
      <c r="K750" t="n">
        <v>0.7021106066644298</v>
      </c>
      <c r="L750" t="n">
        <v>0.4745969847459698</v>
      </c>
      <c r="M750" t="n">
        <v>0.9217591828761249</v>
      </c>
      <c r="N750" t="n">
        <v>0.9609584496095845</v>
      </c>
      <c r="O750" t="n">
        <v>-139707.2554416364</v>
      </c>
      <c r="P750" t="n">
        <v>-27950.22829184349</v>
      </c>
      <c r="Q750">
        <f>'_live'!$C$21</f>
        <v/>
      </c>
      <c r="R750" t="inlineStr">
        <is>
          <t>shuffled: 2,853 of 10,000</t>
        </is>
      </c>
      <c r="S750" t="inlineStr">
        <is>
          <t>shuffled: 8,131 of 10,000</t>
        </is>
      </c>
      <c r="T750" t="n">
        <v>0.07537030354622209</v>
      </c>
      <c r="U750" t="n">
        <v>0.05741010291017833</v>
      </c>
      <c r="V750">
        <f>AND(judged_band,NOT($J750))</f>
        <v/>
      </c>
      <c r="W750">
        <f>IF($K750="","",IF($I750,"too few losses to test",IF(AND($K750&gt;better_at,$K750&lt;worse_at),"in line",IF($K750&gt;=worse_at,IF(AND(ISNUMBER($L750),$L750&lt;significance_bar),"worse","worse, not significant"),IF(AND(ISNUMBER($L750),$L750&lt;significance_bar),"better","better, not significant")))))</f>
        <v/>
      </c>
      <c r="X750">
        <f>IF($M750="","",IF($I750,"too few losses to test",IF(AND($M750&gt;better_at,$M750&lt;worse_at),"in line",IF($M750&gt;=worse_at,IF(AND(ISNUMBER($N750),$N750&lt;significance_bar),"worse","worse, not significant"),IF(AND(ISNUMBER($N750),$N750&lt;significance_bar),"better","better, not significant")))))</f>
        <v/>
      </c>
      <c r="Y750">
        <f>IF($V750,$X750,$W750)</f>
        <v/>
      </c>
      <c r="Z750">
        <f>IF($V750,IF($P750="","",$P750),IF($O750="","",$O750))</f>
        <v/>
      </c>
      <c r="AA750">
        <f>IF(OR($Q750="",$Z750=""),"",IF(AND($Z750&gt;0,$Z750&gt;=$Q750),"yes","below the line"))</f>
        <v/>
      </c>
      <c r="AB750">
        <f>IF($V750,IF($M750="","",$M750),IF($K750="","",$K750))</f>
        <v/>
      </c>
      <c r="AC750">
        <f>IF($V750,IF($N750="","",$N750),IF($L750="","",$L750))</f>
        <v/>
      </c>
      <c r="AD750">
        <f>$Y750</f>
        <v/>
      </c>
      <c r="AE750">
        <f>IF($V750,IF($S750="","",$S750),IF($R750="","",$R750))</f>
        <v/>
      </c>
      <c r="AF750">
        <f>IF($V750,IF($U750="","",$U750),IF($T750="","",$T750))</f>
        <v/>
      </c>
      <c r="AG750">
        <f>IF($V750,IF($O750="","",$O750),IF($P750="","",$P750))</f>
        <v/>
      </c>
      <c r="AH750" t="n">
        <v>0.05291828954732022</v>
      </c>
      <c r="AI750">
        <f>IF($Y750="worse","Yes",IF($Y750="worse, not significant","Not sure",IF(OR($Y750="too few losses to test",$Y750="too few loans to test"),"Too few losses",IF($Y750="","","No"))))</f>
        <v/>
      </c>
      <c r="AJ750">
        <f>IF($AA750="yes","Yes",IF($AA750="","","No"))</f>
        <v/>
      </c>
    </row>
    <row r="751">
      <c r="A751" t="inlineStr">
        <is>
          <t>three-way</t>
        </is>
      </c>
      <c r="B751" t="inlineStr">
        <is>
          <t>FICO x ASSET_CLASS / SYS_FLAG</t>
        </is>
      </c>
      <c r="C751" t="inlineStr">
        <is>
          <t>686 - 711</t>
        </is>
      </c>
      <c r="D751" t="inlineStr">
        <is>
          <t>1 / SYS_FLAG N</t>
        </is>
      </c>
      <c r="E751" t="inlineStr">
        <is>
          <t>gco_rate</t>
        </is>
      </c>
      <c r="F751" t="inlineStr">
        <is>
          <t>GCO per booked dollar</t>
        </is>
      </c>
      <c r="G751" t="n">
        <v>205</v>
      </c>
      <c r="H751" t="n">
        <v>6222482.109999998</v>
      </c>
      <c r="I751" t="b">
        <v>0</v>
      </c>
      <c r="J751" t="b">
        <v>0</v>
      </c>
      <c r="K751" t="n">
        <v>0.7895469717923604</v>
      </c>
      <c r="L751" t="n">
        <v>0.6122387761223878</v>
      </c>
      <c r="M751" t="n">
        <v>1.05463752334596</v>
      </c>
      <c r="N751" t="n">
        <v>0.9754024597540246</v>
      </c>
      <c r="O751" t="n">
        <v>-54761.69258975214</v>
      </c>
      <c r="P751" t="n">
        <v>10643.57296772252</v>
      </c>
      <c r="Q751">
        <f>'_live'!$C$22</f>
        <v/>
      </c>
      <c r="R751" t="inlineStr">
        <is>
          <t>shuffled: 4,709 of 10,000</t>
        </is>
      </c>
      <c r="S751" t="inlineStr">
        <is>
          <t>shuffled: 8,754 of 10,000</t>
        </is>
      </c>
      <c r="T751" t="n">
        <v>0.0418174962964662</v>
      </c>
      <c r="U751" t="n">
        <v>0.03130637478558818</v>
      </c>
      <c r="V751">
        <f>AND(judged_band,NOT($J751))</f>
        <v/>
      </c>
      <c r="W751">
        <f>IF($K751="","",IF($I751,"too few losses to test",IF(AND($K751&gt;better_at,$K751&lt;worse_at),"in line",IF($K751&gt;=worse_at,IF(AND(ISNUMBER($L751),$L751&lt;significance_bar),"worse","worse, not significant"),IF(AND(ISNUMBER($L751),$L751&lt;significance_bar),"better","better, not significant")))))</f>
        <v/>
      </c>
      <c r="X751">
        <f>IF($M751="","",IF($I751,"too few losses to test",IF(AND($M751&gt;better_at,$M751&lt;worse_at),"in line",IF($M751&gt;=worse_at,IF(AND(ISNUMBER($N751),$N751&lt;significance_bar),"worse","worse, not significant"),IF(AND(ISNUMBER($N751),$N751&lt;significance_bar),"better","better, not significant")))))</f>
        <v/>
      </c>
      <c r="Y751">
        <f>IF($V751,$X751,$W751)</f>
        <v/>
      </c>
      <c r="Z751">
        <f>IF($V751,IF($P751="","",$P751),IF($O751="","",$O751))</f>
        <v/>
      </c>
      <c r="AA751">
        <f>IF(OR($Q751="",$Z751=""),"",IF(AND($Z751&gt;0,$Z751&gt;=$Q751),"yes","below the line"))</f>
        <v/>
      </c>
      <c r="AB751">
        <f>IF($V751,IF($M751="","",$M751),IF($K751="","",$K751))</f>
        <v/>
      </c>
      <c r="AC751">
        <f>IF($V751,IF($N751="","",$N751),IF($L751="","",$L751))</f>
        <v/>
      </c>
      <c r="AD751">
        <f>$Y751</f>
        <v/>
      </c>
      <c r="AE751">
        <f>IF($V751,IF($S751="","",$S751),IF($R751="","",$R751))</f>
        <v/>
      </c>
      <c r="AF751">
        <f>IF($V751,IF($U751="","",$U751),IF($T751="","",$T751))</f>
        <v/>
      </c>
      <c r="AG751">
        <f>IF($V751,IF($O751="","",$O751),IF($P751="","",$P751))</f>
        <v/>
      </c>
      <c r="AH751" t="n">
        <v>0.03301687756881314</v>
      </c>
      <c r="AI751">
        <f>IF($Y751="worse","Yes",IF($Y751="worse, not significant","Not sure",IF(OR($Y751="too few losses to test",$Y751="too few loans to test"),"Too few losses",IF($Y751="","","No"))))</f>
        <v/>
      </c>
      <c r="AJ751">
        <f>IF($AA751="yes","Yes",IF($AA751="","","No"))</f>
        <v/>
      </c>
    </row>
    <row r="752">
      <c r="A752" t="inlineStr">
        <is>
          <t>three-way</t>
        </is>
      </c>
      <c r="B752" t="inlineStr">
        <is>
          <t>FICO x ASSET_CLASS / SYS_FLAG</t>
        </is>
      </c>
      <c r="C752" t="inlineStr">
        <is>
          <t>686 - 711</t>
        </is>
      </c>
      <c r="D752" t="inlineStr">
        <is>
          <t>1 / SYS_FLAG N</t>
        </is>
      </c>
      <c r="E752" t="inlineStr">
        <is>
          <t>ranr_rate</t>
        </is>
      </c>
      <c r="F752" t="inlineStr">
        <is>
          <t>Profit after losses: RANR per booked dollar</t>
        </is>
      </c>
      <c r="G752" t="n">
        <v>205</v>
      </c>
      <c r="H752" t="n">
        <v>6222482.109999998</v>
      </c>
      <c r="I752" t="b">
        <v>0</v>
      </c>
      <c r="J752" t="b">
        <v>0</v>
      </c>
      <c r="K752" t="n">
        <v>0.01379843470838021</v>
      </c>
      <c r="L752" t="n">
        <v>0.4524763739842232</v>
      </c>
      <c r="M752" t="n">
        <v>-0.0005267872623559988</v>
      </c>
      <c r="N752" t="n">
        <v>0.9703029697030296</v>
      </c>
      <c r="O752" t="n">
        <v>-85860.51311889896</v>
      </c>
      <c r="P752" t="n">
        <v>3277.924315785989</v>
      </c>
      <c r="Q752">
        <f>'_live'!$C$23</f>
        <v/>
      </c>
      <c r="R752" t="inlineStr">
        <is>
          <t>shuffled: 3,416 of 10,000</t>
        </is>
      </c>
      <c r="S752" t="inlineStr">
        <is>
          <t>shuffled: 9,703 of 10,000</t>
        </is>
      </c>
      <c r="T752" t="n">
        <v>0.1276573452263571</v>
      </c>
      <c r="U752" t="n">
        <v>0.1419825671970933</v>
      </c>
      <c r="V752">
        <f>AND(judged_band,NOT($J752))</f>
        <v/>
      </c>
      <c r="W752">
        <f>IF($K752="","",IF(profit_kind="test",IF(OR(NOT(AND(ISNUMBER($L752),$L752&lt;significance_bar)),$K752=0),"in line",IF($K752&lt;0,"worse","better")),IF(OR($K752=0,IF(profit_kind="points",ABS($K752),ABS($K752*$H752))&lt;profit_line*(1-1E-9)),"in line",IF(AND(ISNUMBER($L752),$L752&lt;significance_bar),IF($K752&lt;0,"worse","better"),IF($K752&lt;0,"worse, not significant","better, not significant")))))</f>
        <v/>
      </c>
      <c r="X752">
        <f>IF($M752="","",IF(profit_kind="test",IF(OR(NOT(AND(ISNUMBER($N752),$N752&lt;significance_bar)),$M752=0),"in line",IF($M752&lt;0,"worse","better")),IF(OR($M752=0,IF(profit_kind="points",ABS($M752),ABS($M752*$H752))&lt;profit_line*(1-1E-9)),"in line",IF(AND(ISNUMBER($N752),$N752&lt;significance_bar),IF($M752&lt;0,"worse","better"),IF($M752&lt;0,"worse, not significant","better, not significant")))))</f>
        <v/>
      </c>
      <c r="Y752">
        <f>IF($V752,$X752,$W752)</f>
        <v/>
      </c>
      <c r="Z752">
        <f>IF($V752,IF($P752="","",$P752),IF($O752="","",$O752))</f>
        <v/>
      </c>
      <c r="AA752">
        <f>IF(OR($Q752="",$Z752=""),"",IF(AND($Z752&gt;0,$Z752&gt;=$Q752),"yes","below the line"))</f>
        <v/>
      </c>
      <c r="AB752">
        <f>IF($V752,IF($M752="","",$M752),IF($K752="","",$K752))</f>
        <v/>
      </c>
      <c r="AC752">
        <f>IF($V752,IF($N752="","",$N752),IF($L752="","",$L752))</f>
        <v/>
      </c>
      <c r="AD752">
        <f>IF($Y752="","",IF($Y752="in line",IF(profit_kind="test",IF(ROUND($AB752*100,2)=0,"0.00",TEXT($AB752*100,"+0.00;-0.00"))&amp;" points against "&amp;IF($V752,"its band","the book")&amp;", "&amp;IF($AC752="","not tested","not significant"),IF(profit_kind="points","within "&amp;TEXT(profit_line*100,"0.00")&amp;" points of "&amp;IF($V752,"its band","the book")&amp;" ("&amp;IF(ROUND($AB752*100,2)=0,"0.00",TEXT($AB752*100,"+0.00;-0.00"))&amp;")","within $"&amp;TEXT(profit_line,"#,##0")&amp;" of "&amp;IF($V752,"its band","the book")&amp;" ("&amp;IF(ROUND($AB752*100,2)=0,"0.00",TEXT($AB752*100,"+0.00;-0.00"))&amp;" points)")),IF(LEFT($Y752,5)="worse","short of ","ahead of ")&amp;IF($V752,"its band","the book")&amp;" by "&amp;TEXT(ABS($AB752)*100,"0.00")&amp;" points"&amp;IF($Z752="",""," ($"&amp;TEXT(ABS($Z752),"#,##0")&amp;")")&amp;IF(RIGHT($Y752,15)="not significant"," (not significant)","")))</f>
        <v/>
      </c>
      <c r="AE752">
        <f>IF($V752,IF($S752="","",$S752),IF($R752="","",$R752))</f>
        <v/>
      </c>
      <c r="AF752">
        <f>IF($V752,IF($U752="","",$U752),IF($T752="","",$T752))</f>
        <v/>
      </c>
      <c r="AG752">
        <f>IF($V752,IF($O752="","",$O752),IF($P752="","",$P752))</f>
        <v/>
      </c>
      <c r="AH752" t="n">
        <v>0.1414557799347373</v>
      </c>
      <c r="AI752">
        <f>IF($Y752="worse","Yes",IF($Y752="worse, not significant","Not sure",IF(OR($Y752="too few losses to test",$Y752="too few loans to test"),"Too few losses",IF($Y752="","","No"))))</f>
        <v/>
      </c>
      <c r="AJ752">
        <f>IF($AA752="yes","Yes",IF($AA752="","","No"))</f>
        <v/>
      </c>
    </row>
    <row r="753">
      <c r="A753" t="inlineStr">
        <is>
          <t>three-way</t>
        </is>
      </c>
      <c r="B753" t="inlineStr">
        <is>
          <t>FICO x ASSET_CLASS / SYS_FLAG</t>
        </is>
      </c>
      <c r="C753" t="inlineStr">
        <is>
          <t>686 - 711</t>
        </is>
      </c>
      <c r="D753" t="inlineStr">
        <is>
          <t>1 / SYS_FLAG N</t>
        </is>
      </c>
      <c r="E753" t="inlineStr">
        <is>
          <t>contribution_rate</t>
        </is>
      </c>
      <c r="F753" t="inlineStr">
        <is>
          <t>Contribution before losses per booked dollar</t>
        </is>
      </c>
      <c r="G753" t="n">
        <v>205</v>
      </c>
      <c r="H753" t="n">
        <v>6222482.109999998</v>
      </c>
      <c r="I753" t="b">
        <v>0</v>
      </c>
      <c r="J753" t="b">
        <v>0</v>
      </c>
      <c r="K753" t="n">
        <v>0.005000798317073091</v>
      </c>
      <c r="L753" t="n">
        <v>0.7245299860257877</v>
      </c>
      <c r="M753" t="n">
        <v>0.0011837155208691</v>
      </c>
      <c r="N753" t="n">
        <v>0.9799190293736585</v>
      </c>
      <c r="O753" t="n">
        <v>-31117.37806370528</v>
      </c>
      <c r="P753" t="n">
        <v>-7365.648651937256</v>
      </c>
      <c r="Q753">
        <f>'_live'!$C$24</f>
        <v/>
      </c>
      <c r="R753" t="inlineStr">
        <is>
          <t>shuffled: 5,929 of 10,000</t>
        </is>
      </c>
      <c r="S753" t="inlineStr">
        <is>
          <t>shuffled: 8,717 of 10,000</t>
        </is>
      </c>
      <c r="T753" t="n">
        <v>0.1694718591864775</v>
      </c>
      <c r="U753" t="n">
        <v>0.1732889419826815</v>
      </c>
      <c r="V753">
        <f>AND(judged_band,NOT($J753))</f>
        <v/>
      </c>
      <c r="W753">
        <f>IF($K753="","",IF(profit_kind="test",IF(OR(NOT(AND(ISNUMBER($L753),$L753&lt;significance_bar)),$K753=0),"in line",IF($K753&lt;0,"worse","better")),IF(OR($K753=0,IF(profit_kind="points",ABS($K753),ABS($K753*$H753))&lt;profit_line*(1-1E-9)),"in line",IF(AND(ISNUMBER($L753),$L753&lt;significance_bar),IF($K753&lt;0,"worse","better"),IF($K753&lt;0,"worse, not significant","better, not significant")))))</f>
        <v/>
      </c>
      <c r="X753">
        <f>IF($M753="","",IF(profit_kind="test",IF(OR(NOT(AND(ISNUMBER($N753),$N753&lt;significance_bar)),$M753=0),"in line",IF($M753&lt;0,"worse","better")),IF(OR($M753=0,IF(profit_kind="points",ABS($M753),ABS($M753*$H753))&lt;profit_line*(1-1E-9)),"in line",IF(AND(ISNUMBER($N753),$N753&lt;significance_bar),IF($M753&lt;0,"worse","better"),IF($M753&lt;0,"worse, not significant","better, not significant")))))</f>
        <v/>
      </c>
      <c r="Y753">
        <f>IF($V753,$X753,$W753)</f>
        <v/>
      </c>
      <c r="Z753">
        <f>IF($V753,IF($P753="","",$P753),IF($O753="","",$O753))</f>
        <v/>
      </c>
      <c r="AA753">
        <f>IF(OR($Q753="",$Z753=""),"",IF(AND($Z753&gt;0,$Z753&gt;=$Q753),"yes","below the line"))</f>
        <v/>
      </c>
      <c r="AB753">
        <f>IF($V753,IF($M753="","",$M753),IF($K753="","",$K753))</f>
        <v/>
      </c>
      <c r="AC753">
        <f>IF($V753,IF($N753="","",$N753),IF($L753="","",$L753))</f>
        <v/>
      </c>
      <c r="AD753">
        <f>IF($Y753="","",IF($Y753="in line",IF(profit_kind="test",IF(ROUND($AB753*100,2)=0,"0.00",TEXT($AB753*100,"+0.00;-0.00"))&amp;" points against "&amp;IF($V753,"its band","the book")&amp;", "&amp;IF($AC753="","not tested","not significant"),IF(profit_kind="points","within "&amp;TEXT(profit_line*100,"0.00")&amp;" points of "&amp;IF($V753,"its band","the book")&amp;" ("&amp;IF(ROUND($AB753*100,2)=0,"0.00",TEXT($AB753*100,"+0.00;-0.00"))&amp;")","within $"&amp;TEXT(profit_line,"#,##0")&amp;" of "&amp;IF($V753,"its band","the book")&amp;" ("&amp;IF(ROUND($AB753*100,2)=0,"0.00",TEXT($AB753*100,"+0.00;-0.00"))&amp;" points)")),IF(LEFT($Y753,5)="worse","short of ","ahead of ")&amp;IF($V753,"its band","the book")&amp;" by "&amp;TEXT(ABS($AB753)*100,"0.00")&amp;" points"&amp;IF($Z753="",""," ($"&amp;TEXT(ABS($Z753),"#,##0")&amp;")")&amp;IF(RIGHT($Y753,15)="not significant"," (not significant)","")))</f>
        <v/>
      </c>
      <c r="AE753">
        <f>IF($V753,IF($S753="","",$S753),IF($R753="","",$R753))</f>
        <v/>
      </c>
      <c r="AF753">
        <f>IF($V753,IF($U753="","",$U753),IF($T753="","",$T753))</f>
        <v/>
      </c>
      <c r="AG753">
        <f>IF($V753,IF($O753="","",$O753),IF($P753="","",$P753))</f>
        <v/>
      </c>
      <c r="AH753" t="n">
        <v>0.1744726575035506</v>
      </c>
      <c r="AI753">
        <f>IF($Y753="worse","Yes",IF($Y753="worse, not significant","Not sure",IF(OR($Y753="too few losses to test",$Y753="too few loans to test"),"Too few losses",IF($Y753="","","No"))))</f>
        <v/>
      </c>
      <c r="AJ753">
        <f>IF($AA753="yes","Yes",IF($AA753="","","No"))</f>
        <v/>
      </c>
    </row>
    <row r="754">
      <c r="A754" t="inlineStr">
        <is>
          <t>three-way</t>
        </is>
      </c>
      <c r="B754" t="inlineStr">
        <is>
          <t>FICO x ASSET_CLASS / SYS_FLAG</t>
        </is>
      </c>
      <c r="C754" t="inlineStr">
        <is>
          <t>654 - 685</t>
        </is>
      </c>
      <c r="D754" t="inlineStr">
        <is>
          <t>1 / SYS_FLAG N</t>
        </is>
      </c>
      <c r="E754" t="inlineStr">
        <is>
          <t>outcome_loans</t>
        </is>
      </c>
      <c r="F754" t="inlineStr">
        <is>
          <t>Outcome, share of loans</t>
        </is>
      </c>
      <c r="G754" t="n">
        <v>210</v>
      </c>
      <c r="H754" t="n">
        <v>210</v>
      </c>
      <c r="I754" t="b">
        <v>0</v>
      </c>
      <c r="J754" t="b">
        <v>0</v>
      </c>
      <c r="K754" t="n">
        <v>0.6090390179060129</v>
      </c>
      <c r="L754" t="n">
        <v>0.326876491628326</v>
      </c>
      <c r="M754" t="n">
        <v>0.5273809523809523</v>
      </c>
      <c r="N754" t="n">
        <v>0.1440508832300698</v>
      </c>
      <c r="O754" t="n">
        <v>-6.419309282321223</v>
      </c>
      <c r="P754" t="n">
        <v>-8.961625282167045</v>
      </c>
      <c r="Q754">
        <f>'_live'!$C$20</f>
        <v/>
      </c>
      <c r="R754" t="inlineStr">
        <is>
          <t>z test</t>
        </is>
      </c>
      <c r="S754" t="inlineStr">
        <is>
          <t>z test</t>
        </is>
      </c>
      <c r="T754" t="n">
        <v>0.07818718705867249</v>
      </c>
      <c r="U754" t="n">
        <v>0.09029345372460497</v>
      </c>
      <c r="V754">
        <f>AND(judged_band,NOT($J754))</f>
        <v/>
      </c>
      <c r="W754">
        <f>IF($K754="","",IF($I754,"too few losses to test",IF(AND($K754&gt;better_at,$K754&lt;worse_at),"in line",IF($K754&gt;=worse_at,IF(AND(ISNUMBER($L754),$L754&lt;significance_bar),"worse","worse, not significant"),IF(AND(ISNUMBER($L754),$L754&lt;significance_bar),"better","better, not significant")))))</f>
        <v/>
      </c>
      <c r="X754">
        <f>IF($M754="","",IF($I754,"too few losses to test",IF(AND($M754&gt;better_at,$M754&lt;worse_at),"in line",IF($M754&gt;=worse_at,IF(AND(ISNUMBER($N754),$N754&lt;significance_bar),"worse","worse, not significant"),IF(AND(ISNUMBER($N754),$N754&lt;significance_bar),"better","better, not significant")))))</f>
        <v/>
      </c>
      <c r="Y754">
        <f>IF($V754,$X754,$W754)</f>
        <v/>
      </c>
      <c r="Z754">
        <f>IF($V754,IF($P754="","",$P754),IF($O754="","",$O754))</f>
        <v/>
      </c>
      <c r="AA754">
        <f>IF(OR($Q754="",$Z754=""),"",IF(AND($Z754&gt;0,$Z754&gt;=$Q754),"yes","below the line"))</f>
        <v/>
      </c>
      <c r="AB754">
        <f>IF($V754,IF($M754="","",$M754),IF($K754="","",$K754))</f>
        <v/>
      </c>
      <c r="AC754">
        <f>IF($V754,IF($N754="","",$N754),IF($L754="","",$L754))</f>
        <v/>
      </c>
      <c r="AD754">
        <f>$Y754</f>
        <v/>
      </c>
      <c r="AE754">
        <f>IF($V754,IF($S754="","",$S754),IF($R754="","",$R754))</f>
        <v/>
      </c>
      <c r="AF754">
        <f>IF($V754,IF($U754="","",$U754),IF($T754="","",$T754))</f>
        <v/>
      </c>
      <c r="AG754">
        <f>IF($V754,IF($O754="","",$O754),IF($P754="","",$P754))</f>
        <v/>
      </c>
      <c r="AH754" t="n">
        <v>0.04761904761904762</v>
      </c>
      <c r="AI754">
        <f>IF($Y754="worse","Yes",IF($Y754="worse, not significant","Not sure",IF(OR($Y754="too few losses to test",$Y754="too few loans to test"),"Too few losses",IF($Y754="","","No"))))</f>
        <v/>
      </c>
      <c r="AJ754">
        <f>IF($AA754="yes","Yes",IF($AA754="","","No"))</f>
        <v/>
      </c>
    </row>
    <row r="755">
      <c r="A755" t="inlineStr">
        <is>
          <t>three-way</t>
        </is>
      </c>
      <c r="B755" t="inlineStr">
        <is>
          <t>FICO x ASSET_CLASS / SYS_FLAG</t>
        </is>
      </c>
      <c r="C755" t="inlineStr">
        <is>
          <t>654 - 685</t>
        </is>
      </c>
      <c r="D755" t="inlineStr">
        <is>
          <t>1 / SYS_FLAG N</t>
        </is>
      </c>
      <c r="E755" t="inlineStr">
        <is>
          <t>outcome_booked</t>
        </is>
      </c>
      <c r="F755" t="inlineStr">
        <is>
          <t>Outcome, share of booked dollars</t>
        </is>
      </c>
      <c r="G755" t="n">
        <v>210</v>
      </c>
      <c r="H755" t="n">
        <v>6852251.330000001</v>
      </c>
      <c r="I755" t="b">
        <v>0</v>
      </c>
      <c r="J755" t="b">
        <v>0</v>
      </c>
      <c r="K755" t="n">
        <v>0.524578339067009</v>
      </c>
      <c r="L755" t="n">
        <v>0.2326767323267673</v>
      </c>
      <c r="M755" t="n">
        <v>0.4605392252685241</v>
      </c>
      <c r="N755" t="n">
        <v>0.1679432056794321</v>
      </c>
      <c r="O755" t="n">
        <v>-246887.6725531065</v>
      </c>
      <c r="P755" t="n">
        <v>-319097.9689911994</v>
      </c>
      <c r="Q755">
        <f>'_live'!$C$21</f>
        <v/>
      </c>
      <c r="R755" t="inlineStr">
        <is>
          <t>shuffled: 715 of 10,000</t>
        </is>
      </c>
      <c r="S755" t="inlineStr">
        <is>
          <t>shuffled: 322 of 10,000</t>
        </is>
      </c>
      <c r="T755" t="n">
        <v>0.07578568087243619</v>
      </c>
      <c r="U755" t="n">
        <v>0.08632386649355421</v>
      </c>
      <c r="V755">
        <f>AND(judged_band,NOT($J755))</f>
        <v/>
      </c>
      <c r="W755">
        <f>IF($K755="","",IF($I755,"too few losses to test",IF(AND($K755&gt;better_at,$K755&lt;worse_at),"in line",IF($K755&gt;=worse_at,IF(AND(ISNUMBER($L755),$L755&lt;significance_bar),"worse","worse, not significant"),IF(AND(ISNUMBER($L755),$L755&lt;significance_bar),"better","better, not significant")))))</f>
        <v/>
      </c>
      <c r="X755">
        <f>IF($M755="","",IF($I755,"too few losses to test",IF(AND($M755&gt;better_at,$M755&lt;worse_at),"in line",IF($M755&gt;=worse_at,IF(AND(ISNUMBER($N755),$N755&lt;significance_bar),"worse","worse, not significant"),IF(AND(ISNUMBER($N755),$N755&lt;significance_bar),"better","better, not significant")))))</f>
        <v/>
      </c>
      <c r="Y755">
        <f>IF($V755,$X755,$W755)</f>
        <v/>
      </c>
      <c r="Z755">
        <f>IF($V755,IF($P755="","",$P755),IF($O755="","",$O755))</f>
        <v/>
      </c>
      <c r="AA755">
        <f>IF(OR($Q755="",$Z755=""),"",IF(AND($Z755&gt;0,$Z755&gt;=$Q755),"yes","below the line"))</f>
        <v/>
      </c>
      <c r="AB755">
        <f>IF($V755,IF($M755="","",$M755),IF($K755="","",$K755))</f>
        <v/>
      </c>
      <c r="AC755">
        <f>IF($V755,IF($N755="","",$N755),IF($L755="","",$L755))</f>
        <v/>
      </c>
      <c r="AD755">
        <f>$Y755</f>
        <v/>
      </c>
      <c r="AE755">
        <f>IF($V755,IF($S755="","",$S755),IF($R755="","",$R755))</f>
        <v/>
      </c>
      <c r="AF755">
        <f>IF($V755,IF($U755="","",$U755),IF($T755="","",$T755))</f>
        <v/>
      </c>
      <c r="AG755">
        <f>IF($V755,IF($O755="","",$O755),IF($P755="","",$P755))</f>
        <v/>
      </c>
      <c r="AH755" t="n">
        <v>0.03975552659712497</v>
      </c>
      <c r="AI755">
        <f>IF($Y755="worse","Yes",IF($Y755="worse, not significant","Not sure",IF(OR($Y755="too few losses to test",$Y755="too few loans to test"),"Too few losses",IF($Y755="","","No"))))</f>
        <v/>
      </c>
      <c r="AJ755">
        <f>IF($AA755="yes","Yes",IF($AA755="","","No"))</f>
        <v/>
      </c>
    </row>
    <row r="756">
      <c r="A756" t="inlineStr">
        <is>
          <t>three-way</t>
        </is>
      </c>
      <c r="B756" t="inlineStr">
        <is>
          <t>FICO x ASSET_CLASS / SYS_FLAG</t>
        </is>
      </c>
      <c r="C756" t="inlineStr">
        <is>
          <t>654 - 685</t>
        </is>
      </c>
      <c r="D756" t="inlineStr">
        <is>
          <t>1 / SYS_FLAG N</t>
        </is>
      </c>
      <c r="E756" t="inlineStr">
        <is>
          <t>gco_rate</t>
        </is>
      </c>
      <c r="F756" t="inlineStr">
        <is>
          <t>GCO per booked dollar</t>
        </is>
      </c>
      <c r="G756" t="n">
        <v>210</v>
      </c>
      <c r="H756" t="n">
        <v>6852251.330000001</v>
      </c>
      <c r="I756" t="b">
        <v>0</v>
      </c>
      <c r="J756" t="b">
        <v>0</v>
      </c>
      <c r="K756" t="n">
        <v>0.4400423109697138</v>
      </c>
      <c r="L756" t="n">
        <v>0.1511563129401346</v>
      </c>
      <c r="M756" t="n">
        <v>0.3753796869342567</v>
      </c>
      <c r="N756" t="n">
        <v>0.08891110888911108</v>
      </c>
      <c r="O756" t="n">
        <v>-162047.8934026513</v>
      </c>
      <c r="P756" t="n">
        <v>-211898.5328887914</v>
      </c>
      <c r="Q756">
        <f>'_live'!$C$22</f>
        <v/>
      </c>
      <c r="R756" t="inlineStr">
        <is>
          <t>shuffled: 406 of 10,000</t>
        </is>
      </c>
      <c r="S756" t="inlineStr">
        <is>
          <t>shuffled: 170 of 10,000</t>
        </is>
      </c>
      <c r="T756" t="n">
        <v>0.04223328793204834</v>
      </c>
      <c r="U756" t="n">
        <v>0.04950836251489207</v>
      </c>
      <c r="V756">
        <f>AND(judged_band,NOT($J756))</f>
        <v/>
      </c>
      <c r="W756">
        <f>IF($K756="","",IF($I756,"too few losses to test",IF(AND($K756&gt;better_at,$K756&lt;worse_at),"in line",IF($K756&gt;=worse_at,IF(AND(ISNUMBER($L756),$L756&lt;significance_bar),"worse","worse, not significant"),IF(AND(ISNUMBER($L756),$L756&lt;significance_bar),"better","better, not significant")))))</f>
        <v/>
      </c>
      <c r="X756">
        <f>IF($M756="","",IF($I756,"too few losses to test",IF(AND($M756&gt;better_at,$M756&lt;worse_at),"in line",IF($M756&gt;=worse_at,IF(AND(ISNUMBER($N756),$N756&lt;significance_bar),"worse","worse, not significant"),IF(AND(ISNUMBER($N756),$N756&lt;significance_bar),"better","better, not significant")))))</f>
        <v/>
      </c>
      <c r="Y756">
        <f>IF($V756,$X756,$W756)</f>
        <v/>
      </c>
      <c r="Z756">
        <f>IF($V756,IF($P756="","",$P756),IF($O756="","",$O756))</f>
        <v/>
      </c>
      <c r="AA756">
        <f>IF(OR($Q756="",$Z756=""),"",IF(AND($Z756&gt;0,$Z756&gt;=$Q756),"yes","below the line"))</f>
        <v/>
      </c>
      <c r="AB756">
        <f>IF($V756,IF($M756="","",$M756),IF($K756="","",$K756))</f>
        <v/>
      </c>
      <c r="AC756">
        <f>IF($V756,IF($N756="","",$N756),IF($L756="","",$L756))</f>
        <v/>
      </c>
      <c r="AD756">
        <f>$Y756</f>
        <v/>
      </c>
      <c r="AE756">
        <f>IF($V756,IF($S756="","",$S756),IF($R756="","",$R756))</f>
        <v/>
      </c>
      <c r="AF756">
        <f>IF($V756,IF($U756="","",$U756),IF($T756="","",$T756))</f>
        <v/>
      </c>
      <c r="AG756">
        <f>IF($V756,IF($O756="","",$O756),IF($P756="","",$P756))</f>
        <v/>
      </c>
      <c r="AH756" t="n">
        <v>0.01858443362146788</v>
      </c>
      <c r="AI756">
        <f>IF($Y756="worse","Yes",IF($Y756="worse, not significant","Not sure",IF(OR($Y756="too few losses to test",$Y756="too few loans to test"),"Too few losses",IF($Y756="","","No"))))</f>
        <v/>
      </c>
      <c r="AJ756">
        <f>IF($AA756="yes","Yes",IF($AA756="","","No"))</f>
        <v/>
      </c>
    </row>
    <row r="757">
      <c r="A757" t="inlineStr">
        <is>
          <t>three-way</t>
        </is>
      </c>
      <c r="B757" t="inlineStr">
        <is>
          <t>FICO x ASSET_CLASS / SYS_FLAG</t>
        </is>
      </c>
      <c r="C757" t="inlineStr">
        <is>
          <t>654 - 685</t>
        </is>
      </c>
      <c r="D757" t="inlineStr">
        <is>
          <t>1 / SYS_FLAG N</t>
        </is>
      </c>
      <c r="E757" t="inlineStr">
        <is>
          <t>ranr_rate</t>
        </is>
      </c>
      <c r="F757" t="inlineStr">
        <is>
          <t>Profit after losses: RANR per booked dollar</t>
        </is>
      </c>
      <c r="G757" t="n">
        <v>210</v>
      </c>
      <c r="H757" t="n">
        <v>6852251.330000001</v>
      </c>
      <c r="I757" t="b">
        <v>0</v>
      </c>
      <c r="J757" t="b">
        <v>0</v>
      </c>
      <c r="K757" t="n">
        <v>0.05646545349026377</v>
      </c>
      <c r="L757" t="n">
        <v>0.0006999300069993001</v>
      </c>
      <c r="M757" t="n">
        <v>0.02308635629139039</v>
      </c>
      <c r="N757" t="n">
        <v>0.5135486451354865</v>
      </c>
      <c r="O757" t="n">
        <v>-386915.4787777133</v>
      </c>
      <c r="P757" t="n">
        <v>-158193.5156025337</v>
      </c>
      <c r="Q757">
        <f>'_live'!$C$23</f>
        <v/>
      </c>
      <c r="R757" t="inlineStr">
        <is>
          <t>shuffled: 1 of 10,000</t>
        </is>
      </c>
      <c r="S757" t="inlineStr">
        <is>
          <t>shuffled: 1,445 of 10,000</t>
        </is>
      </c>
      <c r="T757" t="n">
        <v>0.1264907749993879</v>
      </c>
      <c r="U757" t="n">
        <v>0.1598698721982613</v>
      </c>
      <c r="V757">
        <f>AND(judged_band,NOT($J757))</f>
        <v/>
      </c>
      <c r="W757">
        <f>IF($K757="","",IF(profit_kind="test",IF(OR(NOT(AND(ISNUMBER($L757),$L757&lt;significance_bar)),$K757=0),"in line",IF($K757&lt;0,"worse","better")),IF(OR($K757=0,IF(profit_kind="points",ABS($K757),ABS($K757*$H757))&lt;profit_line*(1-1E-9)),"in line",IF(AND(ISNUMBER($L757),$L757&lt;significance_bar),IF($K757&lt;0,"worse","better"),IF($K757&lt;0,"worse, not significant","better, not significant")))))</f>
        <v/>
      </c>
      <c r="X757">
        <f>IF($M757="","",IF(profit_kind="test",IF(OR(NOT(AND(ISNUMBER($N757),$N757&lt;significance_bar)),$M757=0),"in line",IF($M757&lt;0,"worse","better")),IF(OR($M757=0,IF(profit_kind="points",ABS($M757),ABS($M757*$H757))&lt;profit_line*(1-1E-9)),"in line",IF(AND(ISNUMBER($N757),$N757&lt;significance_bar),IF($M757&lt;0,"worse","better"),IF($M757&lt;0,"worse, not significant","better, not significant")))))</f>
        <v/>
      </c>
      <c r="Y757">
        <f>IF($V757,$X757,$W757)</f>
        <v/>
      </c>
      <c r="Z757">
        <f>IF($V757,IF($P757="","",$P757),IF($O757="","",$O757))</f>
        <v/>
      </c>
      <c r="AA757">
        <f>IF(OR($Q757="",$Z757=""),"",IF(AND($Z757&gt;0,$Z757&gt;=$Q757),"yes","below the line"))</f>
        <v/>
      </c>
      <c r="AB757">
        <f>IF($V757,IF($M757="","",$M757),IF($K757="","",$K757))</f>
        <v/>
      </c>
      <c r="AC757">
        <f>IF($V757,IF($N757="","",$N757),IF($L757="","",$L757))</f>
        <v/>
      </c>
      <c r="AD757">
        <f>IF($Y757="","",IF($Y757="in line",IF(profit_kind="test",IF(ROUND($AB757*100,2)=0,"0.00",TEXT($AB757*100,"+0.00;-0.00"))&amp;" points against "&amp;IF($V757,"its band","the book")&amp;", "&amp;IF($AC757="","not tested","not significant"),IF(profit_kind="points","within "&amp;TEXT(profit_line*100,"0.00")&amp;" points of "&amp;IF($V757,"its band","the book")&amp;" ("&amp;IF(ROUND($AB757*100,2)=0,"0.00",TEXT($AB757*100,"+0.00;-0.00"))&amp;")","within $"&amp;TEXT(profit_line,"#,##0")&amp;" of "&amp;IF($V757,"its band","the book")&amp;" ("&amp;IF(ROUND($AB757*100,2)=0,"0.00",TEXT($AB757*100,"+0.00;-0.00"))&amp;" points)")),IF(LEFT($Y757,5)="worse","short of ","ahead of ")&amp;IF($V757,"its band","the book")&amp;" by "&amp;TEXT(ABS($AB757)*100,"0.00")&amp;" points"&amp;IF($Z757="",""," ($"&amp;TEXT(ABS($Z757),"#,##0")&amp;")")&amp;IF(RIGHT($Y757,15)="not significant"," (not significant)","")))</f>
        <v/>
      </c>
      <c r="AE757">
        <f>IF($V757,IF($S757="","",$S757),IF($R757="","",$R757))</f>
        <v/>
      </c>
      <c r="AF757">
        <f>IF($V757,IF($U757="","",$U757),IF($T757="","",$T757))</f>
        <v/>
      </c>
      <c r="AG757">
        <f>IF($V757,IF($O757="","",$O757),IF($P757="","",$P757))</f>
        <v/>
      </c>
      <c r="AH757" t="n">
        <v>0.1829562284896517</v>
      </c>
      <c r="AI757">
        <f>IF($Y757="worse","Yes",IF($Y757="worse, not significant","Not sure",IF(OR($Y757="too few losses to test",$Y757="too few loans to test"),"Too few losses",IF($Y757="","","No"))))</f>
        <v/>
      </c>
      <c r="AJ757">
        <f>IF($AA757="yes","Yes",IF($AA757="","","No"))</f>
        <v/>
      </c>
    </row>
    <row r="758">
      <c r="A758" t="inlineStr">
        <is>
          <t>three-way</t>
        </is>
      </c>
      <c r="B758" t="inlineStr">
        <is>
          <t>FICO x ASSET_CLASS / SYS_FLAG</t>
        </is>
      </c>
      <c r="C758" t="inlineStr">
        <is>
          <t>654 - 685</t>
        </is>
      </c>
      <c r="D758" t="inlineStr">
        <is>
          <t>1 / SYS_FLAG N</t>
        </is>
      </c>
      <c r="E758" t="inlineStr">
        <is>
          <t>contribution_rate</t>
        </is>
      </c>
      <c r="F758" t="inlineStr">
        <is>
          <t>Contribution before losses per booked dollar</t>
        </is>
      </c>
      <c r="G758" t="n">
        <v>210</v>
      </c>
      <c r="H758" t="n">
        <v>6852251.330000001</v>
      </c>
      <c r="I758" t="b">
        <v>0</v>
      </c>
      <c r="J758" t="b">
        <v>0</v>
      </c>
      <c r="K758" t="n">
        <v>0.03281977330489547</v>
      </c>
      <c r="L758" t="n">
        <v>0.00034996500349965</v>
      </c>
      <c r="M758" t="n">
        <v>-0.007837572602033799</v>
      </c>
      <c r="N758" t="n">
        <v>0.937752378608293</v>
      </c>
      <c r="O758" t="n">
        <v>-224889.3352787686</v>
      </c>
      <c r="P758" t="n">
        <v>53705.01728625759</v>
      </c>
      <c r="Q758">
        <f>'_live'!$C$24</f>
        <v/>
      </c>
      <c r="R758" t="inlineStr">
        <is>
          <t>shuffled: 1 of 10,000</t>
        </is>
      </c>
      <c r="S758" t="inlineStr">
        <is>
          <t>shuffled: 3,765 of 10,000</t>
        </is>
      </c>
      <c r="T758" t="n">
        <v>0.1687208888062242</v>
      </c>
      <c r="U758" t="n">
        <v>0.2093782347131534</v>
      </c>
      <c r="V758">
        <f>AND(judged_band,NOT($J758))</f>
        <v/>
      </c>
      <c r="W758">
        <f>IF($K758="","",IF(profit_kind="test",IF(OR(NOT(AND(ISNUMBER($L758),$L758&lt;significance_bar)),$K758=0),"in line",IF($K758&lt;0,"worse","better")),IF(OR($K758=0,IF(profit_kind="points",ABS($K758),ABS($K758*$H758))&lt;profit_line*(1-1E-9)),"in line",IF(AND(ISNUMBER($L758),$L758&lt;significance_bar),IF($K758&lt;0,"worse","better"),IF($K758&lt;0,"worse, not significant","better, not significant")))))</f>
        <v/>
      </c>
      <c r="X758">
        <f>IF($M758="","",IF(profit_kind="test",IF(OR(NOT(AND(ISNUMBER($N758),$N758&lt;significance_bar)),$M758=0),"in line",IF($M758&lt;0,"worse","better")),IF(OR($M758=0,IF(profit_kind="points",ABS($M758),ABS($M758*$H758))&lt;profit_line*(1-1E-9)),"in line",IF(AND(ISNUMBER($N758),$N758&lt;significance_bar),IF($M758&lt;0,"worse","better"),IF($M758&lt;0,"worse, not significant","better, not significant")))))</f>
        <v/>
      </c>
      <c r="Y758">
        <f>IF($V758,$X758,$W758)</f>
        <v/>
      </c>
      <c r="Z758">
        <f>IF($V758,IF($P758="","",$P758),IF($O758="","",$O758))</f>
        <v/>
      </c>
      <c r="AA758">
        <f>IF(OR($Q758="",$Z758=""),"",IF(AND($Z758&gt;0,$Z758&gt;=$Q758),"yes","below the line"))</f>
        <v/>
      </c>
      <c r="AB758">
        <f>IF($V758,IF($M758="","",$M758),IF($K758="","",$K758))</f>
        <v/>
      </c>
      <c r="AC758">
        <f>IF($V758,IF($N758="","",$N758),IF($L758="","",$L758))</f>
        <v/>
      </c>
      <c r="AD758">
        <f>IF($Y758="","",IF($Y758="in line",IF(profit_kind="test",IF(ROUND($AB758*100,2)=0,"0.00",TEXT($AB758*100,"+0.00;-0.00"))&amp;" points against "&amp;IF($V758,"its band","the book")&amp;", "&amp;IF($AC758="","not tested","not significant"),IF(profit_kind="points","within "&amp;TEXT(profit_line*100,"0.00")&amp;" points of "&amp;IF($V758,"its band","the book")&amp;" ("&amp;IF(ROUND($AB758*100,2)=0,"0.00",TEXT($AB758*100,"+0.00;-0.00"))&amp;")","within $"&amp;TEXT(profit_line,"#,##0")&amp;" of "&amp;IF($V758,"its band","the book")&amp;" ("&amp;IF(ROUND($AB758*100,2)=0,"0.00",TEXT($AB758*100,"+0.00;-0.00"))&amp;" points)")),IF(LEFT($Y758,5)="worse","short of ","ahead of ")&amp;IF($V758,"its band","the book")&amp;" by "&amp;TEXT(ABS($AB758)*100,"0.00")&amp;" points"&amp;IF($Z758="",""," ($"&amp;TEXT(ABS($Z758),"#,##0")&amp;")")&amp;IF(RIGHT($Y758,15)="not significant"," (not significant)","")))</f>
        <v/>
      </c>
      <c r="AE758">
        <f>IF($V758,IF($S758="","",$S758),IF($R758="","",$R758))</f>
        <v/>
      </c>
      <c r="AF758">
        <f>IF($V758,IF($U758="","",$U758),IF($T758="","",$T758))</f>
        <v/>
      </c>
      <c r="AG758">
        <f>IF($V758,IF($O758="","",$O758),IF($P758="","",$P758))</f>
        <v/>
      </c>
      <c r="AH758" t="n">
        <v>0.2015406621111196</v>
      </c>
      <c r="AI758">
        <f>IF($Y758="worse","Yes",IF($Y758="worse, not significant","Not sure",IF(OR($Y758="too few losses to test",$Y758="too few loans to test"),"Too few losses",IF($Y758="","","No"))))</f>
        <v/>
      </c>
      <c r="AJ758">
        <f>IF($AA758="yes","Yes",IF($AA758="","","No"))</f>
        <v/>
      </c>
    </row>
    <row r="759">
      <c r="A759" t="inlineStr">
        <is>
          <t>three-way</t>
        </is>
      </c>
      <c r="B759" t="inlineStr">
        <is>
          <t>FICO x ASSET_CLASS / SYS_FLAG</t>
        </is>
      </c>
      <c r="C759" t="inlineStr">
        <is>
          <t>496 - 653</t>
        </is>
      </c>
      <c r="D759" t="inlineStr">
        <is>
          <t>1 / SYS_FLAG Y</t>
        </is>
      </c>
      <c r="E759" t="inlineStr">
        <is>
          <t>outcome_loans</t>
        </is>
      </c>
      <c r="F759" t="inlineStr">
        <is>
          <t>Outcome, share of loans</t>
        </is>
      </c>
      <c r="G759" t="n">
        <v>186</v>
      </c>
      <c r="H759" t="n">
        <v>186</v>
      </c>
      <c r="I759" t="b">
        <v>0</v>
      </c>
      <c r="J759" t="b">
        <v>0</v>
      </c>
      <c r="K759" t="n">
        <v>2.747339588769826</v>
      </c>
      <c r="L759" t="n">
        <v>7.253475791758204e-10</v>
      </c>
      <c r="M759" t="n">
        <v>1.426980469607198</v>
      </c>
      <c r="N759" t="n">
        <v>0.1242709320909982</v>
      </c>
      <c r="O759" t="n">
        <v>24.16843722001792</v>
      </c>
      <c r="P759" t="n">
        <v>11.37034331628926</v>
      </c>
      <c r="Q759">
        <f>'_live'!$C$20</f>
        <v/>
      </c>
      <c r="R759" t="inlineStr">
        <is>
          <t>z test</t>
        </is>
      </c>
      <c r="S759" t="inlineStr">
        <is>
          <t>z test</t>
        </is>
      </c>
      <c r="T759" t="n">
        <v>0.07436324075259183</v>
      </c>
      <c r="U759" t="n">
        <v>0.1431701972242513</v>
      </c>
      <c r="V759">
        <f>AND(judged_band,NOT($J759))</f>
        <v/>
      </c>
      <c r="W759">
        <f>IF($K759="","",IF($I759,"too few losses to test",IF(AND($K759&gt;better_at,$K759&lt;worse_at),"in line",IF($K759&gt;=worse_at,IF(AND(ISNUMBER($L759),$L759&lt;significance_bar),"worse","worse, not significant"),IF(AND(ISNUMBER($L759),$L759&lt;significance_bar),"better","better, not significant")))))</f>
        <v/>
      </c>
      <c r="X759">
        <f>IF($M759="","",IF($I759,"too few losses to test",IF(AND($M759&gt;better_at,$M759&lt;worse_at),"in line",IF($M759&gt;=worse_at,IF(AND(ISNUMBER($N759),$N759&lt;significance_bar),"worse","worse, not significant"),IF(AND(ISNUMBER($N759),$N759&lt;significance_bar),"better","better, not significant")))))</f>
        <v/>
      </c>
      <c r="Y759">
        <f>IF($V759,$X759,$W759)</f>
        <v/>
      </c>
      <c r="Z759">
        <f>IF($V759,IF($P759="","",$P759),IF($O759="","",$O759))</f>
        <v/>
      </c>
      <c r="AA759">
        <f>IF(OR($Q759="",$Z759=""),"",IF(AND($Z759&gt;0,$Z759&gt;=$Q759),"yes","below the line"))</f>
        <v/>
      </c>
      <c r="AB759">
        <f>IF($V759,IF($M759="","",$M759),IF($K759="","",$K759))</f>
        <v/>
      </c>
      <c r="AC759">
        <f>IF($V759,IF($N759="","",$N759),IF($L759="","",$L759))</f>
        <v/>
      </c>
      <c r="AD759">
        <f>$Y759</f>
        <v/>
      </c>
      <c r="AE759">
        <f>IF($V759,IF($S759="","",$S759),IF($R759="","",$R759))</f>
        <v/>
      </c>
      <c r="AF759">
        <f>IF($V759,IF($U759="","",$U759),IF($T759="","",$T759))</f>
        <v/>
      </c>
      <c r="AG759">
        <f>IF($V759,IF($O759="","",$O759),IF($P759="","",$P759))</f>
        <v/>
      </c>
      <c r="AH759" t="n">
        <v>0.2043010752688172</v>
      </c>
      <c r="AI759">
        <f>IF($Y759="worse","Yes",IF($Y759="worse, not significant","Not sure",IF(OR($Y759="too few losses to test",$Y759="too few loans to test"),"Too few losses",IF($Y759="","","No"))))</f>
        <v/>
      </c>
      <c r="AJ759">
        <f>IF($AA759="yes","Yes",IF($AA759="","","No"))</f>
        <v/>
      </c>
    </row>
    <row r="760">
      <c r="A760" t="inlineStr">
        <is>
          <t>three-way</t>
        </is>
      </c>
      <c r="B760" t="inlineStr">
        <is>
          <t>FICO x ASSET_CLASS / SYS_FLAG</t>
        </is>
      </c>
      <c r="C760" t="inlineStr">
        <is>
          <t>496 - 653</t>
        </is>
      </c>
      <c r="D760" t="inlineStr">
        <is>
          <t>1 / SYS_FLAG Y</t>
        </is>
      </c>
      <c r="E760" t="inlineStr">
        <is>
          <t>outcome_booked</t>
        </is>
      </c>
      <c r="F760" t="inlineStr">
        <is>
          <t>Outcome, share of booked dollars</t>
        </is>
      </c>
      <c r="G760" t="n">
        <v>186</v>
      </c>
      <c r="H760" t="n">
        <v>6238094.25</v>
      </c>
      <c r="I760" t="b">
        <v>0</v>
      </c>
      <c r="J760" t="b">
        <v>0</v>
      </c>
      <c r="K760" t="n">
        <v>2.751978004187269</v>
      </c>
      <c r="L760" t="n">
        <v>0.0012998700129987</v>
      </c>
      <c r="M760" t="n">
        <v>1.38757708065876</v>
      </c>
      <c r="N760" t="n">
        <v>0.2867141857242847</v>
      </c>
      <c r="O760" t="n">
        <v>784574.113122609</v>
      </c>
      <c r="P760" t="n">
        <v>344232.0101918504</v>
      </c>
      <c r="Q760">
        <f>'_live'!$C$21</f>
        <v/>
      </c>
      <c r="R760" t="inlineStr">
        <is>
          <t>shuffled: 0 of 10,000</t>
        </is>
      </c>
      <c r="S760" t="inlineStr">
        <is>
          <t>shuffled: 771 of 10,000</t>
        </is>
      </c>
      <c r="T760" t="n">
        <v>0.07178825438191978</v>
      </c>
      <c r="U760" t="n">
        <v>0.1423774576359037</v>
      </c>
      <c r="V760">
        <f>AND(judged_band,NOT($J760))</f>
        <v/>
      </c>
      <c r="W760">
        <f>IF($K760="","",IF($I760,"too few losses to test",IF(AND($K760&gt;better_at,$K760&lt;worse_at),"in line",IF($K760&gt;=worse_at,IF(AND(ISNUMBER($L760),$L760&lt;significance_bar),"worse","worse, not significant"),IF(AND(ISNUMBER($L760),$L760&lt;significance_bar),"better","better, not significant")))))</f>
        <v/>
      </c>
      <c r="X760">
        <f>IF($M760="","",IF($I760,"too few losses to test",IF(AND($M760&gt;better_at,$M760&lt;worse_at),"in line",IF($M760&gt;=worse_at,IF(AND(ISNUMBER($N760),$N760&lt;significance_bar),"worse","worse, not significant"),IF(AND(ISNUMBER($N760),$N760&lt;significance_bar),"better","better, not significant")))))</f>
        <v/>
      </c>
      <c r="Y760">
        <f>IF($V760,$X760,$W760)</f>
        <v/>
      </c>
      <c r="Z760">
        <f>IF($V760,IF($P760="","",$P760),IF($O760="","",$O760))</f>
        <v/>
      </c>
      <c r="AA760">
        <f>IF(OR($Q760="",$Z760=""),"",IF(AND($Z760&gt;0,$Z760&gt;=$Q760),"yes","below the line"))</f>
        <v/>
      </c>
      <c r="AB760">
        <f>IF($V760,IF($M760="","",$M760),IF($K760="","",$K760))</f>
        <v/>
      </c>
      <c r="AC760">
        <f>IF($V760,IF($N760="","",$N760),IF($L760="","",$L760))</f>
        <v/>
      </c>
      <c r="AD760">
        <f>$Y760</f>
        <v/>
      </c>
      <c r="AE760">
        <f>IF($V760,IF($S760="","",$S760),IF($R760="","",$R760))</f>
        <v/>
      </c>
      <c r="AF760">
        <f>IF($V760,IF($U760="","",$U760),IF($T760="","",$T760))</f>
        <v/>
      </c>
      <c r="AG760">
        <f>IF($V760,IF($O760="","",$O760),IF($P760="","",$P760))</f>
        <v/>
      </c>
      <c r="AH760" t="n">
        <v>0.1975596970180436</v>
      </c>
      <c r="AI760">
        <f>IF($Y760="worse","Yes",IF($Y760="worse, not significant","Not sure",IF(OR($Y760="too few losses to test",$Y760="too few loans to test"),"Too few losses",IF($Y760="","","No"))))</f>
        <v/>
      </c>
      <c r="AJ760">
        <f>IF($AA760="yes","Yes",IF($AA760="","","No"))</f>
        <v/>
      </c>
    </row>
    <row r="761">
      <c r="A761" t="inlineStr">
        <is>
          <t>three-way</t>
        </is>
      </c>
      <c r="B761" t="inlineStr">
        <is>
          <t>FICO x ASSET_CLASS / SYS_FLAG</t>
        </is>
      </c>
      <c r="C761" t="inlineStr">
        <is>
          <t>496 - 653</t>
        </is>
      </c>
      <c r="D761" t="inlineStr">
        <is>
          <t>1 / SYS_FLAG Y</t>
        </is>
      </c>
      <c r="E761" t="inlineStr">
        <is>
          <t>gco_rate</t>
        </is>
      </c>
      <c r="F761" t="inlineStr">
        <is>
          <t>GCO per booked dollar</t>
        </is>
      </c>
      <c r="G761" t="n">
        <v>186</v>
      </c>
      <c r="H761" t="n">
        <v>6238094.25</v>
      </c>
      <c r="I761" t="b">
        <v>0</v>
      </c>
      <c r="J761" t="b">
        <v>0</v>
      </c>
      <c r="K761" t="n">
        <v>2.768205026641029</v>
      </c>
      <c r="L761" t="n">
        <v>0.0006499350064993501</v>
      </c>
      <c r="M761" t="n">
        <v>1.386369242731153</v>
      </c>
      <c r="N761" t="n">
        <v>0.3219963717913923</v>
      </c>
      <c r="O761" t="n">
        <v>440102.1168258276</v>
      </c>
      <c r="P761" t="n">
        <v>192018.3446797997</v>
      </c>
      <c r="Q761">
        <f>'_live'!$C$22</f>
        <v/>
      </c>
      <c r="R761" t="inlineStr">
        <is>
          <t>shuffled: 0 of 10,000</t>
        </is>
      </c>
      <c r="S761" t="inlineStr">
        <is>
          <t>shuffled: 866 of 10,000</t>
        </is>
      </c>
      <c r="T761" t="n">
        <v>0.0398996333173665</v>
      </c>
      <c r="U761" t="n">
        <v>0.0796687939301655</v>
      </c>
      <c r="V761">
        <f>AND(judged_band,NOT($J761))</f>
        <v/>
      </c>
      <c r="W761">
        <f>IF($K761="","",IF($I761,"too few losses to test",IF(AND($K761&gt;better_at,$K761&lt;worse_at),"in line",IF($K761&gt;=worse_at,IF(AND(ISNUMBER($L761),$L761&lt;significance_bar),"worse","worse, not significant"),IF(AND(ISNUMBER($L761),$L761&lt;significance_bar),"better","better, not significant")))))</f>
        <v/>
      </c>
      <c r="X761">
        <f>IF($M761="","",IF($I761,"too few losses to test",IF(AND($M761&gt;better_at,$M761&lt;worse_at),"in line",IF($M761&gt;=worse_at,IF(AND(ISNUMBER($N761),$N761&lt;significance_bar),"worse","worse, not significant"),IF(AND(ISNUMBER($N761),$N761&lt;significance_bar),"better","better, not significant")))))</f>
        <v/>
      </c>
      <c r="Y761">
        <f>IF($V761,$X761,$W761)</f>
        <v/>
      </c>
      <c r="Z761">
        <f>IF($V761,IF($P761="","",$P761),IF($O761="","",$O761))</f>
        <v/>
      </c>
      <c r="AA761">
        <f>IF(OR($Q761="",$Z761=""),"",IF(AND($Z761&gt;0,$Z761&gt;=$Q761),"yes","below the line"))</f>
        <v/>
      </c>
      <c r="AB761">
        <f>IF($V761,IF($M761="","",$M761),IF($K761="","",$K761))</f>
        <v/>
      </c>
      <c r="AC761">
        <f>IF($V761,IF($N761="","",$N761),IF($L761="","",$L761))</f>
        <v/>
      </c>
      <c r="AD761">
        <f>$Y761</f>
        <v/>
      </c>
      <c r="AE761">
        <f>IF($V761,IF($S761="","",$S761),IF($R761="","",$R761))</f>
        <v/>
      </c>
      <c r="AF761">
        <f>IF($V761,IF($U761="","",$U761),IF($T761="","",$T761))</f>
        <v/>
      </c>
      <c r="AG761">
        <f>IF($V761,IF($O761="","",$O761),IF($P761="","",$P761))</f>
        <v/>
      </c>
      <c r="AH761" t="n">
        <v>0.1104503655102678</v>
      </c>
      <c r="AI761">
        <f>IF($Y761="worse","Yes",IF($Y761="worse, not significant","Not sure",IF(OR($Y761="too few losses to test",$Y761="too few loans to test"),"Too few losses",IF($Y761="","","No"))))</f>
        <v/>
      </c>
      <c r="AJ761">
        <f>IF($AA761="yes","Yes",IF($AA761="","","No"))</f>
        <v/>
      </c>
    </row>
    <row r="762">
      <c r="A762" t="inlineStr">
        <is>
          <t>three-way</t>
        </is>
      </c>
      <c r="B762" t="inlineStr">
        <is>
          <t>FICO x ASSET_CLASS / SYS_FLAG</t>
        </is>
      </c>
      <c r="C762" t="inlineStr">
        <is>
          <t>496 - 653</t>
        </is>
      </c>
      <c r="D762" t="inlineStr">
        <is>
          <t>1 / SYS_FLAG Y</t>
        </is>
      </c>
      <c r="E762" t="inlineStr">
        <is>
          <t>ranr_rate</t>
        </is>
      </c>
      <c r="F762" t="inlineStr">
        <is>
          <t>Profit after losses: RANR per booked dollar</t>
        </is>
      </c>
      <c r="G762" t="n">
        <v>186</v>
      </c>
      <c r="H762" t="n">
        <v>6238094.25</v>
      </c>
      <c r="I762" t="b">
        <v>0</v>
      </c>
      <c r="J762" t="b">
        <v>0</v>
      </c>
      <c r="K762" t="n">
        <v>0.04355559245097157</v>
      </c>
      <c r="L762" t="n">
        <v>0.0114321901143219</v>
      </c>
      <c r="M762" t="n">
        <v>-0.0224369571806238</v>
      </c>
      <c r="N762" t="n">
        <v>0.623937606239376</v>
      </c>
      <c r="O762" t="n">
        <v>-271703.8908237492</v>
      </c>
      <c r="P762" t="n">
        <v>139963.8535759454</v>
      </c>
      <c r="Q762">
        <f>'_live'!$C$23</f>
        <v/>
      </c>
      <c r="R762" t="inlineStr">
        <is>
          <t>shuffled: 48 of 10,000</t>
        </is>
      </c>
      <c r="S762" t="inlineStr">
        <is>
          <t>shuffled: 2,989 of 10,000</t>
        </is>
      </c>
      <c r="T762" t="n">
        <v>0.1269372131041865</v>
      </c>
      <c r="U762" t="n">
        <v>0.1929297627357819</v>
      </c>
      <c r="V762">
        <f>AND(judged_band,NOT($J762))</f>
        <v/>
      </c>
      <c r="W762">
        <f>IF($K762="","",IF(profit_kind="test",IF(OR(NOT(AND(ISNUMBER($L762),$L762&lt;significance_bar)),$K762=0),"in line",IF($K762&lt;0,"worse","better")),IF(OR($K762=0,IF(profit_kind="points",ABS($K762),ABS($K762*$H762))&lt;profit_line*(1-1E-9)),"in line",IF(AND(ISNUMBER($L762),$L762&lt;significance_bar),IF($K762&lt;0,"worse","better"),IF($K762&lt;0,"worse, not significant","better, not significant")))))</f>
        <v/>
      </c>
      <c r="X762">
        <f>IF($M762="","",IF(profit_kind="test",IF(OR(NOT(AND(ISNUMBER($N762),$N762&lt;significance_bar)),$M762=0),"in line",IF($M762&lt;0,"worse","better")),IF(OR($M762=0,IF(profit_kind="points",ABS($M762),ABS($M762*$H762))&lt;profit_line*(1-1E-9)),"in line",IF(AND(ISNUMBER($N762),$N762&lt;significance_bar),IF($M762&lt;0,"worse","better"),IF($M762&lt;0,"worse, not significant","better, not significant")))))</f>
        <v/>
      </c>
      <c r="Y762">
        <f>IF($V762,$X762,$W762)</f>
        <v/>
      </c>
      <c r="Z762">
        <f>IF($V762,IF($P762="","",$P762),IF($O762="","",$O762))</f>
        <v/>
      </c>
      <c r="AA762">
        <f>IF(OR($Q762="",$Z762=""),"",IF(AND($Z762&gt;0,$Z762&gt;=$Q762),"yes","below the line"))</f>
        <v/>
      </c>
      <c r="AB762">
        <f>IF($V762,IF($M762="","",$M762),IF($K762="","",$K762))</f>
        <v/>
      </c>
      <c r="AC762">
        <f>IF($V762,IF($N762="","",$N762),IF($L762="","",$L762))</f>
        <v/>
      </c>
      <c r="AD762">
        <f>IF($Y762="","",IF($Y762="in line",IF(profit_kind="test",IF(ROUND($AB762*100,2)=0,"0.00",TEXT($AB762*100,"+0.00;-0.00"))&amp;" points against "&amp;IF($V762,"its band","the book")&amp;", "&amp;IF($AC762="","not tested","not significant"),IF(profit_kind="points","within "&amp;TEXT(profit_line*100,"0.00")&amp;" points of "&amp;IF($V762,"its band","the book")&amp;" ("&amp;IF(ROUND($AB762*100,2)=0,"0.00",TEXT($AB762*100,"+0.00;-0.00"))&amp;")","within $"&amp;TEXT(profit_line,"#,##0")&amp;" of "&amp;IF($V762,"its band","the book")&amp;" ("&amp;IF(ROUND($AB762*100,2)=0,"0.00",TEXT($AB762*100,"+0.00;-0.00"))&amp;" points)")),IF(LEFT($Y762,5)="worse","short of ","ahead of ")&amp;IF($V762,"its band","the book")&amp;" by "&amp;TEXT(ABS($AB762)*100,"0.00")&amp;" points"&amp;IF($Z762="",""," ($"&amp;TEXT(ABS($Z762),"#,##0")&amp;")")&amp;IF(RIGHT($Y762,15)="not significant"," (not significant)","")))</f>
        <v/>
      </c>
      <c r="AE762">
        <f>IF($V762,IF($S762="","",$S762),IF($R762="","",$R762))</f>
        <v/>
      </c>
      <c r="AF762">
        <f>IF($V762,IF($U762="","",$U762),IF($T762="","",$T762))</f>
        <v/>
      </c>
      <c r="AG762">
        <f>IF($V762,IF($O762="","",$O762),IF($P762="","",$P762))</f>
        <v/>
      </c>
      <c r="AH762" t="n">
        <v>0.1704928055551581</v>
      </c>
      <c r="AI762">
        <f>IF($Y762="worse","Yes",IF($Y762="worse, not significant","Not sure",IF(OR($Y762="too few losses to test",$Y762="too few loans to test"),"Too few losses",IF($Y762="","","No"))))</f>
        <v/>
      </c>
      <c r="AJ762">
        <f>IF($AA762="yes","Yes",IF($AA762="","","No"))</f>
        <v/>
      </c>
    </row>
    <row r="763">
      <c r="A763" t="inlineStr">
        <is>
          <t>three-way</t>
        </is>
      </c>
      <c r="B763" t="inlineStr">
        <is>
          <t>FICO x ASSET_CLASS / SYS_FLAG</t>
        </is>
      </c>
      <c r="C763" t="inlineStr">
        <is>
          <t>496 - 653</t>
        </is>
      </c>
      <c r="D763" t="inlineStr">
        <is>
          <t>1 / SYS_FLAG Y</t>
        </is>
      </c>
      <c r="E763" t="inlineStr">
        <is>
          <t>contribution_rate</t>
        </is>
      </c>
      <c r="F763" t="inlineStr">
        <is>
          <t>Contribution before losses per booked dollar</t>
        </is>
      </c>
      <c r="G763" t="n">
        <v>186</v>
      </c>
      <c r="H763" t="n">
        <v>6238094.25</v>
      </c>
      <c r="I763" t="b">
        <v>0</v>
      </c>
      <c r="J763" t="b">
        <v>0</v>
      </c>
      <c r="K763" t="n">
        <v>0.1141094206643109</v>
      </c>
      <c r="L763" t="n">
        <v>0.0001814633351479667</v>
      </c>
      <c r="M763" t="n">
        <v>0.008344614399478534</v>
      </c>
      <c r="N763" t="n">
        <v>0.937752378608293</v>
      </c>
      <c r="O763" t="n">
        <v>-711825.3209168692</v>
      </c>
      <c r="P763" t="n">
        <v>-52054.49110385426</v>
      </c>
      <c r="Q763">
        <f>'_live'!$C$24</f>
        <v/>
      </c>
      <c r="R763" t="inlineStr">
        <is>
          <t>shuffled: 0 of 10,000</t>
        </is>
      </c>
      <c r="S763" t="inlineStr">
        <is>
          <t>shuffled: 5,079 of 10,000</t>
        </is>
      </c>
      <c r="T763" t="n">
        <v>0.1668337504011151</v>
      </c>
      <c r="U763" t="n">
        <v>0.2725985566659475</v>
      </c>
      <c r="V763">
        <f>AND(judged_band,NOT($J763))</f>
        <v/>
      </c>
      <c r="W763">
        <f>IF($K763="","",IF(profit_kind="test",IF(OR(NOT(AND(ISNUMBER($L763),$L763&lt;significance_bar)),$K763=0),"in line",IF($K763&lt;0,"worse","better")),IF(OR($K763=0,IF(profit_kind="points",ABS($K763),ABS($K763*$H763))&lt;profit_line*(1-1E-9)),"in line",IF(AND(ISNUMBER($L763),$L763&lt;significance_bar),IF($K763&lt;0,"worse","better"),IF($K763&lt;0,"worse, not significant","better, not significant")))))</f>
        <v/>
      </c>
      <c r="X763">
        <f>IF($M763="","",IF(profit_kind="test",IF(OR(NOT(AND(ISNUMBER($N763),$N763&lt;significance_bar)),$M763=0),"in line",IF($M763&lt;0,"worse","better")),IF(OR($M763=0,IF(profit_kind="points",ABS($M763),ABS($M763*$H763))&lt;profit_line*(1-1E-9)),"in line",IF(AND(ISNUMBER($N763),$N763&lt;significance_bar),IF($M763&lt;0,"worse","better"),IF($M763&lt;0,"worse, not significant","better, not significant")))))</f>
        <v/>
      </c>
      <c r="Y763">
        <f>IF($V763,$X763,$W763)</f>
        <v/>
      </c>
      <c r="Z763">
        <f>IF($V763,IF($P763="","",$P763),IF($O763="","",$O763))</f>
        <v/>
      </c>
      <c r="AA763">
        <f>IF(OR($Q763="",$Z763=""),"",IF(AND($Z763&gt;0,$Z763&gt;=$Q763),"yes","below the line"))</f>
        <v/>
      </c>
      <c r="AB763">
        <f>IF($V763,IF($M763="","",$M763),IF($K763="","",$K763))</f>
        <v/>
      </c>
      <c r="AC763">
        <f>IF($V763,IF($N763="","",$N763),IF($L763="","",$L763))</f>
        <v/>
      </c>
      <c r="AD763">
        <f>IF($Y763="","",IF($Y763="in line",IF(profit_kind="test",IF(ROUND($AB763*100,2)=0,"0.00",TEXT($AB763*100,"+0.00;-0.00"))&amp;" points against "&amp;IF($V763,"its band","the book")&amp;", "&amp;IF($AC763="","not tested","not significant"),IF(profit_kind="points","within "&amp;TEXT(profit_line*100,"0.00")&amp;" points of "&amp;IF($V763,"its band","the book")&amp;" ("&amp;IF(ROUND($AB763*100,2)=0,"0.00",TEXT($AB763*100,"+0.00;-0.00"))&amp;")","within $"&amp;TEXT(profit_line,"#,##0")&amp;" of "&amp;IF($V763,"its band","the book")&amp;" ("&amp;IF(ROUND($AB763*100,2)=0,"0.00",TEXT($AB763*100,"+0.00;-0.00"))&amp;" points)")),IF(LEFT($Y763,5)="worse","short of ","ahead of ")&amp;IF($V763,"its band","the book")&amp;" by "&amp;TEXT(ABS($AB763)*100,"0.00")&amp;" points"&amp;IF($Z763="",""," ($"&amp;TEXT(ABS($Z763),"#,##0")&amp;")")&amp;IF(RIGHT($Y763,15)="not significant"," (not significant)","")))</f>
        <v/>
      </c>
      <c r="AE763">
        <f>IF($V763,IF($S763="","",$S763),IF($R763="","",$R763))</f>
        <v/>
      </c>
      <c r="AF763">
        <f>IF($V763,IF($U763="","",$U763),IF($T763="","",$T763))</f>
        <v/>
      </c>
      <c r="AG763">
        <f>IF($V763,IF($O763="","",$O763),IF($P763="","",$P763))</f>
        <v/>
      </c>
      <c r="AH763" t="n">
        <v>0.280943171065426</v>
      </c>
      <c r="AI763">
        <f>IF($Y763="worse","Yes",IF($Y763="worse, not significant","Not sure",IF(OR($Y763="too few losses to test",$Y763="too few loans to test"),"Too few losses",IF($Y763="","","No"))))</f>
        <v/>
      </c>
      <c r="AJ763">
        <f>IF($AA763="yes","Yes",IF($AA763="","","No"))</f>
        <v/>
      </c>
    </row>
    <row r="764">
      <c r="A764" t="inlineStr">
        <is>
          <t>three-way</t>
        </is>
      </c>
      <c r="B764" t="inlineStr">
        <is>
          <t>FICO x ASSET_CLASS / SYS_FLAG</t>
        </is>
      </c>
      <c r="C764" t="inlineStr">
        <is>
          <t>746 - 921</t>
        </is>
      </c>
      <c r="D764" t="inlineStr">
        <is>
          <t>3 / SYS_FLAG Y</t>
        </is>
      </c>
      <c r="E764" t="inlineStr">
        <is>
          <t>outcome_loans</t>
        </is>
      </c>
      <c r="F764" t="inlineStr">
        <is>
          <t>Outcome, share of loans</t>
        </is>
      </c>
      <c r="G764" t="n">
        <v>174</v>
      </c>
      <c r="H764" t="n">
        <v>174</v>
      </c>
      <c r="I764" t="b">
        <v>1</v>
      </c>
      <c r="J764" t="b">
        <v>0</v>
      </c>
      <c r="K764" t="n">
        <v>0.6635104578858111</v>
      </c>
      <c r="M764" t="n">
        <v>1.363370201691607</v>
      </c>
      <c r="O764" t="n">
        <v>-4.564217252396167</v>
      </c>
      <c r="P764" t="n">
        <v>2.398711524695777</v>
      </c>
      <c r="Q764">
        <f>'_live'!$C$20</f>
        <v/>
      </c>
      <c r="T764" t="n">
        <v>0.07795527156549521</v>
      </c>
      <c r="U764" t="n">
        <v>0.03793843951324266</v>
      </c>
      <c r="V764">
        <f>AND(judged_band,NOT($J764))</f>
        <v/>
      </c>
      <c r="W764">
        <f>IF($K764="","",IF($I764,"too few losses to test",IF(AND($K764&gt;better_at,$K764&lt;worse_at),"in line",IF($K764&gt;=worse_at,IF(AND(ISNUMBER($L764),$L764&lt;significance_bar),"worse","worse, not significant"),IF(AND(ISNUMBER($L764),$L764&lt;significance_bar),"better","better, not significant")))))</f>
        <v/>
      </c>
      <c r="X764">
        <f>IF($M764="","",IF($I764,"too few losses to test",IF(AND($M764&gt;better_at,$M764&lt;worse_at),"in line",IF($M764&gt;=worse_at,IF(AND(ISNUMBER($N764),$N764&lt;significance_bar),"worse","worse, not significant"),IF(AND(ISNUMBER($N764),$N764&lt;significance_bar),"better","better, not significant")))))</f>
        <v/>
      </c>
      <c r="Y764">
        <f>IF($V764,$X764,$W764)</f>
        <v/>
      </c>
      <c r="Z764">
        <f>IF($V764,IF($P764="","",$P764),IF($O764="","",$O764))</f>
        <v/>
      </c>
      <c r="AA764">
        <f>IF(OR($Q764="",$Z764=""),"",IF(AND($Z764&gt;0,$Z764&gt;=$Q764),"yes","below the line"))</f>
        <v/>
      </c>
      <c r="AB764">
        <f>IF($V764,IF($M764="","",$M764),IF($K764="","",$K764))</f>
        <v/>
      </c>
      <c r="AC764">
        <f>IF($V764,IF($N764="","",$N764),IF($L764="","",$L764))</f>
        <v/>
      </c>
      <c r="AD764">
        <f>$Y764</f>
        <v/>
      </c>
      <c r="AE764">
        <f>IF($V764,IF($S764="","",$S764),IF($R764="","",$R764))</f>
        <v/>
      </c>
      <c r="AF764">
        <f>IF($V764,IF($U764="","",$U764),IF($T764="","",$T764))</f>
        <v/>
      </c>
      <c r="AG764">
        <f>IF($V764,IF($O764="","",$O764),IF($P764="","",$P764))</f>
        <v/>
      </c>
      <c r="AH764" t="n">
        <v>0.05172413793103448</v>
      </c>
      <c r="AI764">
        <f>IF($Y764="worse","Yes",IF($Y764="worse, not significant","Not sure",IF(OR($Y764="too few losses to test",$Y764="too few loans to test"),"Too few losses",IF($Y764="","","No"))))</f>
        <v/>
      </c>
      <c r="AJ764">
        <f>IF($AA764="yes","Yes",IF($AA764="","","No"))</f>
        <v/>
      </c>
    </row>
    <row r="765">
      <c r="A765" t="inlineStr">
        <is>
          <t>three-way</t>
        </is>
      </c>
      <c r="B765" t="inlineStr">
        <is>
          <t>FICO x ASSET_CLASS / SYS_FLAG</t>
        </is>
      </c>
      <c r="C765" t="inlineStr">
        <is>
          <t>746 - 921</t>
        </is>
      </c>
      <c r="D765" t="inlineStr">
        <is>
          <t>3 / SYS_FLAG Y</t>
        </is>
      </c>
      <c r="E765" t="inlineStr">
        <is>
          <t>outcome_booked</t>
        </is>
      </c>
      <c r="F765" t="inlineStr">
        <is>
          <t>Outcome, share of booked dollars</t>
        </is>
      </c>
      <c r="G765" t="n">
        <v>174</v>
      </c>
      <c r="H765" t="n">
        <v>5546204.250000002</v>
      </c>
      <c r="I765" t="b">
        <v>1</v>
      </c>
      <c r="J765" t="b">
        <v>0</v>
      </c>
      <c r="K765" t="n">
        <v>0.5793243499743836</v>
      </c>
      <c r="M765" t="n">
        <v>1.215931212209672</v>
      </c>
      <c r="O765" t="n">
        <v>-176180.2491338483</v>
      </c>
      <c r="P765" t="n">
        <v>43086.18526027515</v>
      </c>
      <c r="Q765">
        <f>'_live'!$C$21</f>
        <v/>
      </c>
      <c r="T765" t="n">
        <v>0.07551165450386148</v>
      </c>
      <c r="U765" t="n">
        <v>0.03597715045199152</v>
      </c>
      <c r="V765">
        <f>AND(judged_band,NOT($J765))</f>
        <v/>
      </c>
      <c r="W765">
        <f>IF($K765="","",IF($I765,"too few losses to test",IF(AND($K765&gt;better_at,$K765&lt;worse_at),"in line",IF($K765&gt;=worse_at,IF(AND(ISNUMBER($L765),$L765&lt;significance_bar),"worse","worse, not significant"),IF(AND(ISNUMBER($L765),$L765&lt;significance_bar),"better","better, not significant")))))</f>
        <v/>
      </c>
      <c r="X765">
        <f>IF($M765="","",IF($I765,"too few losses to test",IF(AND($M765&gt;better_at,$M765&lt;worse_at),"in line",IF($M765&gt;=worse_at,IF(AND(ISNUMBER($N765),$N765&lt;significance_bar),"worse","worse, not significant"),IF(AND(ISNUMBER($N765),$N765&lt;significance_bar),"better","better, not significant")))))</f>
        <v/>
      </c>
      <c r="Y765">
        <f>IF($V765,$X765,$W765)</f>
        <v/>
      </c>
      <c r="Z765">
        <f>IF($V765,IF($P765="","",$P765),IF($O765="","",$O765))</f>
        <v/>
      </c>
      <c r="AA765">
        <f>IF(OR($Q765="",$Z765=""),"",IF(AND($Z765&gt;0,$Z765&gt;=$Q765),"yes","below the line"))</f>
        <v/>
      </c>
      <c r="AB765">
        <f>IF($V765,IF($M765="","",$M765),IF($K765="","",$K765))</f>
        <v/>
      </c>
      <c r="AC765">
        <f>IF($V765,IF($N765="","",$N765),IF($L765="","",$L765))</f>
        <v/>
      </c>
      <c r="AD765">
        <f>$Y765</f>
        <v/>
      </c>
      <c r="AE765">
        <f>IF($V765,IF($S765="","",$S765),IF($R765="","",$R765))</f>
        <v/>
      </c>
      <c r="AF765">
        <f>IF($V765,IF($U765="","",$U765),IF($T765="","",$T765))</f>
        <v/>
      </c>
      <c r="AG765">
        <f>IF($V765,IF($O765="","",$O765),IF($P765="","",$P765))</f>
        <v/>
      </c>
      <c r="AH765" t="n">
        <v>0.04374574016093979</v>
      </c>
      <c r="AI765">
        <f>IF($Y765="worse","Yes",IF($Y765="worse, not significant","Not sure",IF(OR($Y765="too few losses to test",$Y765="too few loans to test"),"Too few losses",IF($Y765="","","No"))))</f>
        <v/>
      </c>
      <c r="AJ765">
        <f>IF($AA765="yes","Yes",IF($AA765="","","No"))</f>
        <v/>
      </c>
    </row>
    <row r="766">
      <c r="A766" t="inlineStr">
        <is>
          <t>three-way</t>
        </is>
      </c>
      <c r="B766" t="inlineStr">
        <is>
          <t>FICO x ASSET_CLASS / SYS_FLAG</t>
        </is>
      </c>
      <c r="C766" t="inlineStr">
        <is>
          <t>746 - 921</t>
        </is>
      </c>
      <c r="D766" t="inlineStr">
        <is>
          <t>3 / SYS_FLAG Y</t>
        </is>
      </c>
      <c r="E766" t="inlineStr">
        <is>
          <t>gco_rate</t>
        </is>
      </c>
      <c r="F766" t="inlineStr">
        <is>
          <t>GCO per booked dollar</t>
        </is>
      </c>
      <c r="G766" t="n">
        <v>174</v>
      </c>
      <c r="H766" t="n">
        <v>5546204.250000002</v>
      </c>
      <c r="I766" t="b">
        <v>1</v>
      </c>
      <c r="J766" t="b">
        <v>0</v>
      </c>
      <c r="K766" t="n">
        <v>0.5801271756396373</v>
      </c>
      <c r="M766" t="n">
        <v>1.295660477866712</v>
      </c>
      <c r="O766" t="n">
        <v>-97768.55758241011</v>
      </c>
      <c r="P766" t="n">
        <v>30825.25760129382</v>
      </c>
      <c r="Q766">
        <f>'_live'!$C$22</f>
        <v/>
      </c>
      <c r="T766" t="n">
        <v>0.04198417099089165</v>
      </c>
      <c r="U766" t="n">
        <v>0.01879825691574668</v>
      </c>
      <c r="V766">
        <f>AND(judged_band,NOT($J766))</f>
        <v/>
      </c>
      <c r="W766">
        <f>IF($K766="","",IF($I766,"too few losses to test",IF(AND($K766&gt;better_at,$K766&lt;worse_at),"in line",IF($K766&gt;=worse_at,IF(AND(ISNUMBER($L766),$L766&lt;significance_bar),"worse","worse, not significant"),IF(AND(ISNUMBER($L766),$L766&lt;significance_bar),"better","better, not significant")))))</f>
        <v/>
      </c>
      <c r="X766">
        <f>IF($M766="","",IF($I766,"too few losses to test",IF(AND($M766&gt;better_at,$M766&lt;worse_at),"in line",IF($M766&gt;=worse_at,IF(AND(ISNUMBER($N766),$N766&lt;significance_bar),"worse","worse, not significant"),IF(AND(ISNUMBER($N766),$N766&lt;significance_bar),"better","better, not significant")))))</f>
        <v/>
      </c>
      <c r="Y766">
        <f>IF($V766,$X766,$W766)</f>
        <v/>
      </c>
      <c r="Z766">
        <f>IF($V766,IF($P766="","",$P766),IF($O766="","",$O766))</f>
        <v/>
      </c>
      <c r="AA766">
        <f>IF(OR($Q766="",$Z766=""),"",IF(AND($Z766&gt;0,$Z766&gt;=$Q766),"yes","below the line"))</f>
        <v/>
      </c>
      <c r="AB766">
        <f>IF($V766,IF($M766="","",$M766),IF($K766="","",$K766))</f>
        <v/>
      </c>
      <c r="AC766">
        <f>IF($V766,IF($N766="","",$N766),IF($L766="","",$L766))</f>
        <v/>
      </c>
      <c r="AD766">
        <f>$Y766</f>
        <v/>
      </c>
      <c r="AE766">
        <f>IF($V766,IF($S766="","",$S766),IF($R766="","",$R766))</f>
        <v/>
      </c>
      <c r="AF766">
        <f>IF($V766,IF($U766="","",$U766),IF($T766="","",$T766))</f>
        <v/>
      </c>
      <c r="AG766">
        <f>IF($V766,IF($O766="","",$O766),IF($P766="","",$P766))</f>
        <v/>
      </c>
      <c r="AH766" t="n">
        <v>0.02435615853851757</v>
      </c>
      <c r="AI766">
        <f>IF($Y766="worse","Yes",IF($Y766="worse, not significant","Not sure",IF(OR($Y766="too few losses to test",$Y766="too few loans to test"),"Too few losses",IF($Y766="","","No"))))</f>
        <v/>
      </c>
      <c r="AJ766">
        <f>IF($AA766="yes","Yes",IF($AA766="","","No"))</f>
        <v/>
      </c>
    </row>
    <row r="767">
      <c r="A767" t="inlineStr">
        <is>
          <t>three-way</t>
        </is>
      </c>
      <c r="B767" t="inlineStr">
        <is>
          <t>FICO x ASSET_CLASS / SYS_FLAG</t>
        </is>
      </c>
      <c r="C767" t="inlineStr">
        <is>
          <t>746 - 921</t>
        </is>
      </c>
      <c r="D767" t="inlineStr">
        <is>
          <t>3 / SYS_FLAG Y</t>
        </is>
      </c>
      <c r="E767" t="inlineStr">
        <is>
          <t>ranr_rate</t>
        </is>
      </c>
      <c r="F767" t="inlineStr">
        <is>
          <t>Profit after losses: RANR per booked dollar</t>
        </is>
      </c>
      <c r="G767" t="n">
        <v>174</v>
      </c>
      <c r="H767" t="n">
        <v>5546204.250000002</v>
      </c>
      <c r="I767" t="b">
        <v>0</v>
      </c>
      <c r="J767" t="b">
        <v>0</v>
      </c>
      <c r="K767" t="n">
        <v>-0.08594906824487364</v>
      </c>
      <c r="L767" t="n">
        <v>0.0003768853883842385</v>
      </c>
      <c r="M767" t="n">
        <v>-0.003207357447476578</v>
      </c>
      <c r="N767" t="n">
        <v>0.8858714128587142</v>
      </c>
      <c r="O767" t="n">
        <v>476691.0875832584</v>
      </c>
      <c r="P767" t="n">
        <v>17788.65950646374</v>
      </c>
      <c r="Q767">
        <f>'_live'!$C$23</f>
        <v/>
      </c>
      <c r="R767" t="inlineStr">
        <is>
          <t>shuffled: 0 of 10,000</t>
        </is>
      </c>
      <c r="S767" t="inlineStr">
        <is>
          <t>shuffled: 7,360 of 10,000</t>
        </is>
      </c>
      <c r="T767" t="n">
        <v>0.129837199483459</v>
      </c>
      <c r="U767" t="n">
        <v>0.04709548868606194</v>
      </c>
      <c r="V767">
        <f>AND(judged_band,NOT($J767))</f>
        <v/>
      </c>
      <c r="W767">
        <f>IF($K767="","",IF(profit_kind="test",IF(OR(NOT(AND(ISNUMBER($L767),$L767&lt;significance_bar)),$K767=0),"in line",IF($K767&lt;0,"worse","better")),IF(OR($K767=0,IF(profit_kind="points",ABS($K767),ABS($K767*$H767))&lt;profit_line*(1-1E-9)),"in line",IF(AND(ISNUMBER($L767),$L767&lt;significance_bar),IF($K767&lt;0,"worse","better"),IF($K767&lt;0,"worse, not significant","better, not significant")))))</f>
        <v/>
      </c>
      <c r="X767">
        <f>IF($M767="","",IF(profit_kind="test",IF(OR(NOT(AND(ISNUMBER($N767),$N767&lt;significance_bar)),$M767=0),"in line",IF($M767&lt;0,"worse","better")),IF(OR($M767=0,IF(profit_kind="points",ABS($M767),ABS($M767*$H767))&lt;profit_line*(1-1E-9)),"in line",IF(AND(ISNUMBER($N767),$N767&lt;significance_bar),IF($M767&lt;0,"worse","better"),IF($M767&lt;0,"worse, not significant","better, not significant")))))</f>
        <v/>
      </c>
      <c r="Y767">
        <f>IF($V767,$X767,$W767)</f>
        <v/>
      </c>
      <c r="Z767">
        <f>IF($V767,IF($P767="","",$P767),IF($O767="","",$O767))</f>
        <v/>
      </c>
      <c r="AA767">
        <f>IF(OR($Q767="",$Z767=""),"",IF(AND($Z767&gt;0,$Z767&gt;=$Q767),"yes","below the line"))</f>
        <v/>
      </c>
      <c r="AB767">
        <f>IF($V767,IF($M767="","",$M767),IF($K767="","",$K767))</f>
        <v/>
      </c>
      <c r="AC767">
        <f>IF($V767,IF($N767="","",$N767),IF($L767="","",$L767))</f>
        <v/>
      </c>
      <c r="AD767">
        <f>IF($Y767="","",IF($Y767="in line",IF(profit_kind="test",IF(ROUND($AB767*100,2)=0,"0.00",TEXT($AB767*100,"+0.00;-0.00"))&amp;" points against "&amp;IF($V767,"its band","the book")&amp;", "&amp;IF($AC767="","not tested","not significant"),IF(profit_kind="points","within "&amp;TEXT(profit_line*100,"0.00")&amp;" points of "&amp;IF($V767,"its band","the book")&amp;" ("&amp;IF(ROUND($AB767*100,2)=0,"0.00",TEXT($AB767*100,"+0.00;-0.00"))&amp;")","within $"&amp;TEXT(profit_line,"#,##0")&amp;" of "&amp;IF($V767,"its band","the book")&amp;" ("&amp;IF(ROUND($AB767*100,2)=0,"0.00",TEXT($AB767*100,"+0.00;-0.00"))&amp;" points)")),IF(LEFT($Y767,5)="worse","short of ","ahead of ")&amp;IF($V767,"its band","the book")&amp;" by "&amp;TEXT(ABS($AB767)*100,"0.00")&amp;" points"&amp;IF($Z767="",""," ($"&amp;TEXT(ABS($Z767),"#,##0")&amp;")")&amp;IF(RIGHT($Y767,15)="not significant"," (not significant)","")))</f>
        <v/>
      </c>
      <c r="AE767">
        <f>IF($V767,IF($S767="","",$S767),IF($R767="","",$R767))</f>
        <v/>
      </c>
      <c r="AF767">
        <f>IF($V767,IF($U767="","",$U767),IF($T767="","",$T767))</f>
        <v/>
      </c>
      <c r="AG767">
        <f>IF($V767,IF($O767="","",$O767),IF($P767="","",$P767))</f>
        <v/>
      </c>
      <c r="AH767" t="n">
        <v>0.04388813123858536</v>
      </c>
      <c r="AI767">
        <f>IF($Y767="worse","Yes",IF($Y767="worse, not significant","Not sure",IF(OR($Y767="too few losses to test",$Y767="too few loans to test"),"Too few losses",IF($Y767="","","No"))))</f>
        <v/>
      </c>
      <c r="AJ767">
        <f>IF($AA767="yes","Yes",IF($AA767="","","No"))</f>
        <v/>
      </c>
    </row>
    <row r="768">
      <c r="A768" t="inlineStr">
        <is>
          <t>three-way</t>
        </is>
      </c>
      <c r="B768" t="inlineStr">
        <is>
          <t>FICO x ASSET_CLASS / SYS_FLAG</t>
        </is>
      </c>
      <c r="C768" t="inlineStr">
        <is>
          <t>746 - 921</t>
        </is>
      </c>
      <c r="D768" t="inlineStr">
        <is>
          <t>3 / SYS_FLAG Y</t>
        </is>
      </c>
      <c r="E768" t="inlineStr">
        <is>
          <t>contribution_rate</t>
        </is>
      </c>
      <c r="F768" t="inlineStr">
        <is>
          <t>Contribution before losses per booked dollar</t>
        </is>
      </c>
      <c r="G768" t="n">
        <v>174</v>
      </c>
      <c r="H768" t="n">
        <v>5546204.250000002</v>
      </c>
      <c r="I768" t="b">
        <v>0</v>
      </c>
      <c r="J768" t="b">
        <v>0</v>
      </c>
      <c r="K768" t="n">
        <v>-0.1035744489719011</v>
      </c>
      <c r="L768" t="n">
        <v>0.0001814633351479667</v>
      </c>
      <c r="M768" t="n">
        <v>0.002350544175294317</v>
      </c>
      <c r="N768" t="n">
        <v>0.937752378608293</v>
      </c>
      <c r="O768" t="n">
        <v>574445.0490793664</v>
      </c>
      <c r="P768" t="n">
        <v>-13036.59809483011</v>
      </c>
      <c r="Q768">
        <f>'_live'!$C$24</f>
        <v/>
      </c>
      <c r="R768" t="inlineStr">
        <is>
          <t>shuffled: 0 of 10,000</t>
        </is>
      </c>
      <c r="S768" t="inlineStr">
        <is>
          <t>shuffled: 3,906 of 10,000</t>
        </is>
      </c>
      <c r="T768" t="n">
        <v>0.1718187387490041</v>
      </c>
      <c r="U768" t="n">
        <v>0.06589374560180862</v>
      </c>
      <c r="V768">
        <f>AND(judged_band,NOT($J768))</f>
        <v/>
      </c>
      <c r="W768">
        <f>IF($K768="","",IF(profit_kind="test",IF(OR(NOT(AND(ISNUMBER($L768),$L768&lt;significance_bar)),$K768=0),"in line",IF($K768&lt;0,"worse","better")),IF(OR($K768=0,IF(profit_kind="points",ABS($K768),ABS($K768*$H768))&lt;profit_line*(1-1E-9)),"in line",IF(AND(ISNUMBER($L768),$L768&lt;significance_bar),IF($K768&lt;0,"worse","better"),IF($K768&lt;0,"worse, not significant","better, not significant")))))</f>
        <v/>
      </c>
      <c r="X768">
        <f>IF($M768="","",IF(profit_kind="test",IF(OR(NOT(AND(ISNUMBER($N768),$N768&lt;significance_bar)),$M768=0),"in line",IF($M768&lt;0,"worse","better")),IF(OR($M768=0,IF(profit_kind="points",ABS($M768),ABS($M768*$H768))&lt;profit_line*(1-1E-9)),"in line",IF(AND(ISNUMBER($N768),$N768&lt;significance_bar),IF($M768&lt;0,"worse","better"),IF($M768&lt;0,"worse, not significant","better, not significant")))))</f>
        <v/>
      </c>
      <c r="Y768">
        <f>IF($V768,$X768,$W768)</f>
        <v/>
      </c>
      <c r="Z768">
        <f>IF($V768,IF($P768="","",$P768),IF($O768="","",$O768))</f>
        <v/>
      </c>
      <c r="AA768">
        <f>IF(OR($Q768="",$Z768=""),"",IF(AND($Z768&gt;0,$Z768&gt;=$Q768),"yes","below the line"))</f>
        <v/>
      </c>
      <c r="AB768">
        <f>IF($V768,IF($M768="","",$M768),IF($K768="","",$K768))</f>
        <v/>
      </c>
      <c r="AC768">
        <f>IF($V768,IF($N768="","",$N768),IF($L768="","",$L768))</f>
        <v/>
      </c>
      <c r="AD768">
        <f>IF($Y768="","",IF($Y768="in line",IF(profit_kind="test",IF(ROUND($AB768*100,2)=0,"0.00",TEXT($AB768*100,"+0.00;-0.00"))&amp;" points against "&amp;IF($V768,"its band","the book")&amp;", "&amp;IF($AC768="","not tested","not significant"),IF(profit_kind="points","within "&amp;TEXT(profit_line*100,"0.00")&amp;" points of "&amp;IF($V768,"its band","the book")&amp;" ("&amp;IF(ROUND($AB768*100,2)=0,"0.00",TEXT($AB768*100,"+0.00;-0.00"))&amp;")","within $"&amp;TEXT(profit_line,"#,##0")&amp;" of "&amp;IF($V768,"its band","the book")&amp;" ("&amp;IF(ROUND($AB768*100,2)=0,"0.00",TEXT($AB768*100,"+0.00;-0.00"))&amp;" points)")),IF(LEFT($Y768,5)="worse","short of ","ahead of ")&amp;IF($V768,"its band","the book")&amp;" by "&amp;TEXT(ABS($AB768)*100,"0.00")&amp;" points"&amp;IF($Z768="",""," ($"&amp;TEXT(ABS($Z768),"#,##0")&amp;")")&amp;IF(RIGHT($Y768,15)="not significant"," (not significant)","")))</f>
        <v/>
      </c>
      <c r="AE768">
        <f>IF($V768,IF($S768="","",$S768),IF($R768="","",$R768))</f>
        <v/>
      </c>
      <c r="AF768">
        <f>IF($V768,IF($U768="","",$U768),IF($T768="","",$T768))</f>
        <v/>
      </c>
      <c r="AG768">
        <f>IF($V768,IF($O768="","",$O768),IF($P768="","",$P768))</f>
        <v/>
      </c>
      <c r="AH768" t="n">
        <v>0.06824428977710294</v>
      </c>
      <c r="AI768">
        <f>IF($Y768="worse","Yes",IF($Y768="worse, not significant","Not sure",IF(OR($Y768="too few losses to test",$Y768="too few loans to test"),"Too few losses",IF($Y768="","","No"))))</f>
        <v/>
      </c>
      <c r="AJ768">
        <f>IF($AA768="yes","Yes",IF($AA768="","","No"))</f>
        <v/>
      </c>
    </row>
    <row r="769">
      <c r="A769" t="inlineStr">
        <is>
          <t>three-way</t>
        </is>
      </c>
      <c r="B769" t="inlineStr">
        <is>
          <t>FICO x ASSET_CLASS / SYS_FLAG</t>
        </is>
      </c>
      <c r="C769" t="inlineStr">
        <is>
          <t>686 - 711</t>
        </is>
      </c>
      <c r="D769" t="inlineStr">
        <is>
          <t>2 / SYS_FLAG Y</t>
        </is>
      </c>
      <c r="E769" t="inlineStr">
        <is>
          <t>outcome_loans</t>
        </is>
      </c>
      <c r="F769" t="inlineStr">
        <is>
          <t>Outcome, share of loans</t>
        </is>
      </c>
      <c r="G769" t="n">
        <v>179</v>
      </c>
      <c r="H769" t="n">
        <v>179</v>
      </c>
      <c r="I769" t="b">
        <v>0</v>
      </c>
      <c r="J769" t="b">
        <v>0</v>
      </c>
      <c r="K769" t="n">
        <v>0.7903925316083504</v>
      </c>
      <c r="L769" t="n">
        <v>0.563854801876237</v>
      </c>
      <c r="M769" t="n">
        <v>0.9998685507722642</v>
      </c>
      <c r="N769" t="n">
        <v>0.999662113880052</v>
      </c>
      <c r="O769" t="n">
        <v>-2.917135549872123</v>
      </c>
      <c r="P769" t="n">
        <v>-0.001446131597974798</v>
      </c>
      <c r="Q769">
        <f>'_live'!$C$20</f>
        <v/>
      </c>
      <c r="R769" t="inlineStr">
        <is>
          <t>z test</t>
        </is>
      </c>
      <c r="S769" t="inlineStr">
        <is>
          <t>z test</t>
        </is>
      </c>
      <c r="T769" t="n">
        <v>0.07774936061381074</v>
      </c>
      <c r="U769" t="n">
        <v>0.06146059291395517</v>
      </c>
      <c r="V769">
        <f>AND(judged_band,NOT($J769))</f>
        <v/>
      </c>
      <c r="W769">
        <f>IF($K769="","",IF($I769,"too few losses to test",IF(AND($K769&gt;better_at,$K769&lt;worse_at),"in line",IF($K769&gt;=worse_at,IF(AND(ISNUMBER($L769),$L769&lt;significance_bar),"worse","worse, not significant"),IF(AND(ISNUMBER($L769),$L769&lt;significance_bar),"better","better, not significant")))))</f>
        <v/>
      </c>
      <c r="X769">
        <f>IF($M769="","",IF($I769,"too few losses to test",IF(AND($M769&gt;better_at,$M769&lt;worse_at),"in line",IF($M769&gt;=worse_at,IF(AND(ISNUMBER($N769),$N769&lt;significance_bar),"worse","worse, not significant"),IF(AND(ISNUMBER($N769),$N769&lt;significance_bar),"better","better, not significant")))))</f>
        <v/>
      </c>
      <c r="Y769">
        <f>IF($V769,$X769,$W769)</f>
        <v/>
      </c>
      <c r="Z769">
        <f>IF($V769,IF($P769="","",$P769),IF($O769="","",$O769))</f>
        <v/>
      </c>
      <c r="AA769">
        <f>IF(OR($Q769="",$Z769=""),"",IF(AND($Z769&gt;0,$Z769&gt;=$Q769),"yes","below the line"))</f>
        <v/>
      </c>
      <c r="AB769">
        <f>IF($V769,IF($M769="","",$M769),IF($K769="","",$K769))</f>
        <v/>
      </c>
      <c r="AC769">
        <f>IF($V769,IF($N769="","",$N769),IF($L769="","",$L769))</f>
        <v/>
      </c>
      <c r="AD769">
        <f>$Y769</f>
        <v/>
      </c>
      <c r="AE769">
        <f>IF($V769,IF($S769="","",$S769),IF($R769="","",$R769))</f>
        <v/>
      </c>
      <c r="AF769">
        <f>IF($V769,IF($U769="","",$U769),IF($T769="","",$T769))</f>
        <v/>
      </c>
      <c r="AG769">
        <f>IF($V769,IF($O769="","",$O769),IF($P769="","",$P769))</f>
        <v/>
      </c>
      <c r="AH769" t="n">
        <v>0.06145251396648044</v>
      </c>
      <c r="AI769">
        <f>IF($Y769="worse","Yes",IF($Y769="worse, not significant","Not sure",IF(OR($Y769="too few losses to test",$Y769="too few loans to test"),"Too few losses",IF($Y769="","","No"))))</f>
        <v/>
      </c>
      <c r="AJ769">
        <f>IF($AA769="yes","Yes",IF($AA769="","","No"))</f>
        <v/>
      </c>
    </row>
    <row r="770">
      <c r="A770" t="inlineStr">
        <is>
          <t>three-way</t>
        </is>
      </c>
      <c r="B770" t="inlineStr">
        <is>
          <t>FICO x ASSET_CLASS / SYS_FLAG</t>
        </is>
      </c>
      <c r="C770" t="inlineStr">
        <is>
          <t>686 - 711</t>
        </is>
      </c>
      <c r="D770" t="inlineStr">
        <is>
          <t>2 / SYS_FLAG Y</t>
        </is>
      </c>
      <c r="E770" t="inlineStr">
        <is>
          <t>outcome_booked</t>
        </is>
      </c>
      <c r="F770" t="inlineStr">
        <is>
          <t>Outcome, share of booked dollars</t>
        </is>
      </c>
      <c r="G770" t="n">
        <v>179</v>
      </c>
      <c r="H770" t="n">
        <v>5904363.450000001</v>
      </c>
      <c r="I770" t="b">
        <v>0</v>
      </c>
      <c r="J770" t="b">
        <v>0</v>
      </c>
      <c r="K770" t="n">
        <v>0.8483773933230204</v>
      </c>
      <c r="L770" t="n">
        <v>0.6905135573399181</v>
      </c>
      <c r="M770" t="n">
        <v>1.13824972568137</v>
      </c>
      <c r="N770" t="n">
        <v>0.9193980601939806</v>
      </c>
      <c r="O770" t="n">
        <v>-67222.6480720875</v>
      </c>
      <c r="P770" t="n">
        <v>45684.35198940849</v>
      </c>
      <c r="Q770">
        <f>'_live'!$C$21</f>
        <v/>
      </c>
      <c r="R770" t="inlineStr">
        <is>
          <t>shuffled: 6,023 of 10,000</t>
        </is>
      </c>
      <c r="S770" t="inlineStr">
        <is>
          <t>shuffled: 7,072 of 10,000</t>
        </is>
      </c>
      <c r="T770" t="n">
        <v>0.0750893897075539</v>
      </c>
      <c r="U770" t="n">
        <v>0.05596675252276204</v>
      </c>
      <c r="V770">
        <f>AND(judged_band,NOT($J770))</f>
        <v/>
      </c>
      <c r="W770">
        <f>IF($K770="","",IF($I770,"too few losses to test",IF(AND($K770&gt;better_at,$K770&lt;worse_at),"in line",IF($K770&gt;=worse_at,IF(AND(ISNUMBER($L770),$L770&lt;significance_bar),"worse","worse, not significant"),IF(AND(ISNUMBER($L770),$L770&lt;significance_bar),"better","better, not significant")))))</f>
        <v/>
      </c>
      <c r="X770">
        <f>IF($M770="","",IF($I770,"too few losses to test",IF(AND($M770&gt;better_at,$M770&lt;worse_at),"in line",IF($M770&gt;=worse_at,IF(AND(ISNUMBER($N770),$N770&lt;significance_bar),"worse","worse, not significant"),IF(AND(ISNUMBER($N770),$N770&lt;significance_bar),"better","better, not significant")))))</f>
        <v/>
      </c>
      <c r="Y770">
        <f>IF($V770,$X770,$W770)</f>
        <v/>
      </c>
      <c r="Z770">
        <f>IF($V770,IF($P770="","",$P770),IF($O770="","",$O770))</f>
        <v/>
      </c>
      <c r="AA770">
        <f>IF(OR($Q770="",$Z770=""),"",IF(AND($Z770&gt;0,$Z770&gt;=$Q770),"yes","below the line"))</f>
        <v/>
      </c>
      <c r="AB770">
        <f>IF($V770,IF($M770="","",$M770),IF($K770="","",$K770))</f>
        <v/>
      </c>
      <c r="AC770">
        <f>IF($V770,IF($N770="","",$N770),IF($L770="","",$L770))</f>
        <v/>
      </c>
      <c r="AD770">
        <f>$Y770</f>
        <v/>
      </c>
      <c r="AE770">
        <f>IF($V770,IF($S770="","",$S770),IF($R770="","",$R770))</f>
        <v/>
      </c>
      <c r="AF770">
        <f>IF($V770,IF($U770="","",$U770),IF($T770="","",$T770))</f>
        <v/>
      </c>
      <c r="AG770">
        <f>IF($V770,IF($O770="","",$O770),IF($P770="","",$P770))</f>
        <v/>
      </c>
      <c r="AH770" t="n">
        <v>0.06370414070631102</v>
      </c>
      <c r="AI770">
        <f>IF($Y770="worse","Yes",IF($Y770="worse, not significant","Not sure",IF(OR($Y770="too few losses to test",$Y770="too few loans to test"),"Too few losses",IF($Y770="","","No"))))</f>
        <v/>
      </c>
      <c r="AJ770">
        <f>IF($AA770="yes","Yes",IF($AA770="","","No"))</f>
        <v/>
      </c>
    </row>
    <row r="771">
      <c r="A771" t="inlineStr">
        <is>
          <t>three-way</t>
        </is>
      </c>
      <c r="B771" t="inlineStr">
        <is>
          <t>FICO x ASSET_CLASS / SYS_FLAG</t>
        </is>
      </c>
      <c r="C771" t="inlineStr">
        <is>
          <t>686 - 711</t>
        </is>
      </c>
      <c r="D771" t="inlineStr">
        <is>
          <t>2 / SYS_FLAG Y</t>
        </is>
      </c>
      <c r="E771" t="inlineStr">
        <is>
          <t>gco_rate</t>
        </is>
      </c>
      <c r="F771" t="inlineStr">
        <is>
          <t>GCO per booked dollar</t>
        </is>
      </c>
      <c r="G771" t="n">
        <v>179</v>
      </c>
      <c r="H771" t="n">
        <v>5904363.450000001</v>
      </c>
      <c r="I771" t="b">
        <v>0</v>
      </c>
      <c r="J771" t="b">
        <v>0</v>
      </c>
      <c r="K771" t="n">
        <v>0.7340595763407219</v>
      </c>
      <c r="L771" t="n">
        <v>0.5079071040264393</v>
      </c>
      <c r="M771" t="n">
        <v>0.9718416893173684</v>
      </c>
      <c r="N771" t="n">
        <v>0.9754024597540246</v>
      </c>
      <c r="O771" t="n">
        <v>-65728.94573687483</v>
      </c>
      <c r="P771" t="n">
        <v>-5256.718126803957</v>
      </c>
      <c r="Q771">
        <f>'_live'!$C$22</f>
        <v/>
      </c>
      <c r="R771" t="inlineStr">
        <is>
          <t>shuffled: 3,711 of 10,000</t>
        </is>
      </c>
      <c r="S771" t="inlineStr">
        <is>
          <t>shuffled: 9,375 of 10,000</t>
        </is>
      </c>
      <c r="T771" t="n">
        <v>0.04186000029128877</v>
      </c>
      <c r="U771" t="n">
        <v>0.03161804480833644</v>
      </c>
      <c r="V771">
        <f>AND(judged_band,NOT($J771))</f>
        <v/>
      </c>
      <c r="W771">
        <f>IF($K771="","",IF($I771,"too few losses to test",IF(AND($K771&gt;better_at,$K771&lt;worse_at),"in line",IF($K771&gt;=worse_at,IF(AND(ISNUMBER($L771),$L771&lt;significance_bar),"worse","worse, not significant"),IF(AND(ISNUMBER($L771),$L771&lt;significance_bar),"better","better, not significant")))))</f>
        <v/>
      </c>
      <c r="X771">
        <f>IF($M771="","",IF($I771,"too few losses to test",IF(AND($M771&gt;better_at,$M771&lt;worse_at),"in line",IF($M771&gt;=worse_at,IF(AND(ISNUMBER($N771),$N771&lt;significance_bar),"worse","worse, not significant"),IF(AND(ISNUMBER($N771),$N771&lt;significance_bar),"better","better, not significant")))))</f>
        <v/>
      </c>
      <c r="Y771">
        <f>IF($V771,$X771,$W771)</f>
        <v/>
      </c>
      <c r="Z771">
        <f>IF($V771,IF($P771="","",$P771),IF($O771="","",$O771))</f>
        <v/>
      </c>
      <c r="AA771">
        <f>IF(OR($Q771="",$Z771=""),"",IF(AND($Z771&gt;0,$Z771&gt;=$Q771),"yes","below the line"))</f>
        <v/>
      </c>
      <c r="AB771">
        <f>IF($V771,IF($M771="","",$M771),IF($K771="","",$K771))</f>
        <v/>
      </c>
      <c r="AC771">
        <f>IF($V771,IF($N771="","",$N771),IF($L771="","",$L771))</f>
        <v/>
      </c>
      <c r="AD771">
        <f>$Y771</f>
        <v/>
      </c>
      <c r="AE771">
        <f>IF($V771,IF($S771="","",$S771),IF($R771="","",$R771))</f>
        <v/>
      </c>
      <c r="AF771">
        <f>IF($V771,IF($U771="","",$U771),IF($T771="","",$T771))</f>
        <v/>
      </c>
      <c r="AG771">
        <f>IF($V771,IF($O771="","",$O771),IF($P771="","",$P771))</f>
        <v/>
      </c>
      <c r="AH771" t="n">
        <v>0.03072773407944593</v>
      </c>
      <c r="AI771">
        <f>IF($Y771="worse","Yes",IF($Y771="worse, not significant","Not sure",IF(OR($Y771="too few losses to test",$Y771="too few loans to test"),"Too few losses",IF($Y771="","","No"))))</f>
        <v/>
      </c>
      <c r="AJ771">
        <f>IF($AA771="yes","Yes",IF($AA771="","","No"))</f>
        <v/>
      </c>
    </row>
    <row r="772">
      <c r="A772" t="inlineStr">
        <is>
          <t>three-way</t>
        </is>
      </c>
      <c r="B772" t="inlineStr">
        <is>
          <t>FICO x ASSET_CLASS / SYS_FLAG</t>
        </is>
      </c>
      <c r="C772" t="inlineStr">
        <is>
          <t>686 - 711</t>
        </is>
      </c>
      <c r="D772" t="inlineStr">
        <is>
          <t>2 / SYS_FLAG Y</t>
        </is>
      </c>
      <c r="E772" t="inlineStr">
        <is>
          <t>ranr_rate</t>
        </is>
      </c>
      <c r="F772" t="inlineStr">
        <is>
          <t>Profit after losses: RANR per booked dollar</t>
        </is>
      </c>
      <c r="G772" t="n">
        <v>179</v>
      </c>
      <c r="H772" t="n">
        <v>5904363.450000001</v>
      </c>
      <c r="I772" t="b">
        <v>0</v>
      </c>
      <c r="J772" t="b">
        <v>0</v>
      </c>
      <c r="K772" t="n">
        <v>0.0001027163155592203</v>
      </c>
      <c r="L772" t="n">
        <v>0.9959004099590041</v>
      </c>
      <c r="M772" t="n">
        <v>-0.01563772395671753</v>
      </c>
      <c r="N772" t="n">
        <v>0.5953586459535866</v>
      </c>
      <c r="O772" t="n">
        <v>-606.4744593065698</v>
      </c>
      <c r="P772" t="n">
        <v>92330.80577123235</v>
      </c>
      <c r="Q772">
        <f>'_live'!$C$23</f>
        <v/>
      </c>
      <c r="R772" t="inlineStr">
        <is>
          <t>shuffled: 9,959 of 10,000</t>
        </is>
      </c>
      <c r="S772" t="inlineStr">
        <is>
          <t>shuffled: 2,728 of 10,000</t>
        </is>
      </c>
      <c r="T772" t="n">
        <v>0.1279876995954057</v>
      </c>
      <c r="U772" t="n">
        <v>0.1437281398676825</v>
      </c>
      <c r="V772">
        <f>AND(judged_band,NOT($J772))</f>
        <v/>
      </c>
      <c r="W772">
        <f>IF($K772="","",IF(profit_kind="test",IF(OR(NOT(AND(ISNUMBER($L772),$L772&lt;significance_bar)),$K772=0),"in line",IF($K772&lt;0,"worse","better")),IF(OR($K772=0,IF(profit_kind="points",ABS($K772),ABS($K772*$H772))&lt;profit_line*(1-1E-9)),"in line",IF(AND(ISNUMBER($L772),$L772&lt;significance_bar),IF($K772&lt;0,"worse","better"),IF($K772&lt;0,"worse, not significant","better, not significant")))))</f>
        <v/>
      </c>
      <c r="X772">
        <f>IF($M772="","",IF(profit_kind="test",IF(OR(NOT(AND(ISNUMBER($N772),$N772&lt;significance_bar)),$M772=0),"in line",IF($M772&lt;0,"worse","better")),IF(OR($M772=0,IF(profit_kind="points",ABS($M772),ABS($M772*$H772))&lt;profit_line*(1-1E-9)),"in line",IF(AND(ISNUMBER($N772),$N772&lt;significance_bar),IF($M772&lt;0,"worse","better"),IF($M772&lt;0,"worse, not significant","better, not significant")))))</f>
        <v/>
      </c>
      <c r="Y772">
        <f>IF($V772,$X772,$W772)</f>
        <v/>
      </c>
      <c r="Z772">
        <f>IF($V772,IF($P772="","",$P772),IF($O772="","",$O772))</f>
        <v/>
      </c>
      <c r="AA772">
        <f>IF(OR($Q772="",$Z772=""),"",IF(AND($Z772&gt;0,$Z772&gt;=$Q772),"yes","below the line"))</f>
        <v/>
      </c>
      <c r="AB772">
        <f>IF($V772,IF($M772="","",$M772),IF($K772="","",$K772))</f>
        <v/>
      </c>
      <c r="AC772">
        <f>IF($V772,IF($N772="","",$N772),IF($L772="","",$L772))</f>
        <v/>
      </c>
      <c r="AD772">
        <f>IF($Y772="","",IF($Y772="in line",IF(profit_kind="test",IF(ROUND($AB772*100,2)=0,"0.00",TEXT($AB772*100,"+0.00;-0.00"))&amp;" points against "&amp;IF($V772,"its band","the book")&amp;", "&amp;IF($AC772="","not tested","not significant"),IF(profit_kind="points","within "&amp;TEXT(profit_line*100,"0.00")&amp;" points of "&amp;IF($V772,"its band","the book")&amp;" ("&amp;IF(ROUND($AB772*100,2)=0,"0.00",TEXT($AB772*100,"+0.00;-0.00"))&amp;")","within $"&amp;TEXT(profit_line,"#,##0")&amp;" of "&amp;IF($V772,"its band","the book")&amp;" ("&amp;IF(ROUND($AB772*100,2)=0,"0.00",TEXT($AB772*100,"+0.00;-0.00"))&amp;" points)")),IF(LEFT($Y772,5)="worse","short of ","ahead of ")&amp;IF($V772,"its band","the book")&amp;" by "&amp;TEXT(ABS($AB772)*100,"0.00")&amp;" points"&amp;IF($Z772="",""," ($"&amp;TEXT(ABS($Z772),"#,##0")&amp;")")&amp;IF(RIGHT($Y772,15)="not significant"," (not significant)","")))</f>
        <v/>
      </c>
      <c r="AE772">
        <f>IF($V772,IF($S772="","",$S772),IF($R772="","",$R772))</f>
        <v/>
      </c>
      <c r="AF772">
        <f>IF($V772,IF($U772="","",$U772),IF($T772="","",$T772))</f>
        <v/>
      </c>
      <c r="AG772">
        <f>IF($V772,IF($O772="","",$O772),IF($P772="","",$P772))</f>
        <v/>
      </c>
      <c r="AH772" t="n">
        <v>0.128090415910965</v>
      </c>
      <c r="AI772">
        <f>IF($Y772="worse","Yes",IF($Y772="worse, not significant","Not sure",IF(OR($Y772="too few losses to test",$Y772="too few loans to test"),"Too few losses",IF($Y772="","","No"))))</f>
        <v/>
      </c>
      <c r="AJ772">
        <f>IF($AA772="yes","Yes",IF($AA772="","","No"))</f>
        <v/>
      </c>
    </row>
    <row r="773">
      <c r="A773" t="inlineStr">
        <is>
          <t>three-way</t>
        </is>
      </c>
      <c r="B773" t="inlineStr">
        <is>
          <t>FICO x ASSET_CLASS / SYS_FLAG</t>
        </is>
      </c>
      <c r="C773" t="inlineStr">
        <is>
          <t>686 - 711</t>
        </is>
      </c>
      <c r="D773" t="inlineStr">
        <is>
          <t>2 / SYS_FLAG Y</t>
        </is>
      </c>
      <c r="E773" t="inlineStr">
        <is>
          <t>contribution_rate</t>
        </is>
      </c>
      <c r="F773" t="inlineStr">
        <is>
          <t>Contribution before losses per booked dollar</t>
        </is>
      </c>
      <c r="G773" t="n">
        <v>179</v>
      </c>
      <c r="H773" t="n">
        <v>5904363.450000001</v>
      </c>
      <c r="I773" t="b">
        <v>0</v>
      </c>
      <c r="J773" t="b">
        <v>0</v>
      </c>
      <c r="K773" t="n">
        <v>-0.01102662332075188</v>
      </c>
      <c r="L773" t="n">
        <v>0.3579290719576691</v>
      </c>
      <c r="M773" t="n">
        <v>-0.01652803468560807</v>
      </c>
      <c r="N773" t="n">
        <v>0.3858814118588141</v>
      </c>
      <c r="O773" t="n">
        <v>65105.19171196502</v>
      </c>
      <c r="P773" t="n">
        <v>97587.52389803645</v>
      </c>
      <c r="Q773">
        <f>'_live'!$C$24</f>
        <v/>
      </c>
      <c r="R773" t="inlineStr">
        <is>
          <t>shuffled: 2,702 of 10,000</t>
        </is>
      </c>
      <c r="S773" t="inlineStr">
        <is>
          <t>shuffled: 401 of 10,000</t>
        </is>
      </c>
      <c r="T773" t="n">
        <v>0.1698447733111627</v>
      </c>
      <c r="U773" t="n">
        <v>0.1753461846760189</v>
      </c>
      <c r="V773">
        <f>AND(judged_band,NOT($J773))</f>
        <v/>
      </c>
      <c r="W773">
        <f>IF($K773="","",IF(profit_kind="test",IF(OR(NOT(AND(ISNUMBER($L773),$L773&lt;significance_bar)),$K773=0),"in line",IF($K773&lt;0,"worse","better")),IF(OR($K773=0,IF(profit_kind="points",ABS($K773),ABS($K773*$H773))&lt;profit_line*(1-1E-9)),"in line",IF(AND(ISNUMBER($L773),$L773&lt;significance_bar),IF($K773&lt;0,"worse","better"),IF($K773&lt;0,"worse, not significant","better, not significant")))))</f>
        <v/>
      </c>
      <c r="X773">
        <f>IF($M773="","",IF(profit_kind="test",IF(OR(NOT(AND(ISNUMBER($N773),$N773&lt;significance_bar)),$M773=0),"in line",IF($M773&lt;0,"worse","better")),IF(OR($M773=0,IF(profit_kind="points",ABS($M773),ABS($M773*$H773))&lt;profit_line*(1-1E-9)),"in line",IF(AND(ISNUMBER($N773),$N773&lt;significance_bar),IF($M773&lt;0,"worse","better"),IF($M773&lt;0,"worse, not significant","better, not significant")))))</f>
        <v/>
      </c>
      <c r="Y773">
        <f>IF($V773,$X773,$W773)</f>
        <v/>
      </c>
      <c r="Z773">
        <f>IF($V773,IF($P773="","",$P773),IF($O773="","",$O773))</f>
        <v/>
      </c>
      <c r="AA773">
        <f>IF(OR($Q773="",$Z773=""),"",IF(AND($Z773&gt;0,$Z773&gt;=$Q773),"yes","below the line"))</f>
        <v/>
      </c>
      <c r="AB773">
        <f>IF($V773,IF($M773="","",$M773),IF($K773="","",$K773))</f>
        <v/>
      </c>
      <c r="AC773">
        <f>IF($V773,IF($N773="","",$N773),IF($L773="","",$L773))</f>
        <v/>
      </c>
      <c r="AD773">
        <f>IF($Y773="","",IF($Y773="in line",IF(profit_kind="test",IF(ROUND($AB773*100,2)=0,"0.00",TEXT($AB773*100,"+0.00;-0.00"))&amp;" points against "&amp;IF($V773,"its band","the book")&amp;", "&amp;IF($AC773="","not tested","not significant"),IF(profit_kind="points","within "&amp;TEXT(profit_line*100,"0.00")&amp;" points of "&amp;IF($V773,"its band","the book")&amp;" ("&amp;IF(ROUND($AB773*100,2)=0,"0.00",TEXT($AB773*100,"+0.00;-0.00"))&amp;")","within $"&amp;TEXT(profit_line,"#,##0")&amp;" of "&amp;IF($V773,"its band","the book")&amp;" ("&amp;IF(ROUND($AB773*100,2)=0,"0.00",TEXT($AB773*100,"+0.00;-0.00"))&amp;" points)")),IF(LEFT($Y773,5)="worse","short of ","ahead of ")&amp;IF($V773,"its band","the book")&amp;" by "&amp;TEXT(ABS($AB773)*100,"0.00")&amp;" points"&amp;IF($Z773="",""," ($"&amp;TEXT(ABS($Z773),"#,##0")&amp;")")&amp;IF(RIGHT($Y773,15)="not significant"," (not significant)","")))</f>
        <v/>
      </c>
      <c r="AE773">
        <f>IF($V773,IF($S773="","",$S773),IF($R773="","",$R773))</f>
        <v/>
      </c>
      <c r="AF773">
        <f>IF($V773,IF($U773="","",$U773),IF($T773="","",$T773))</f>
        <v/>
      </c>
      <c r="AG773">
        <f>IF($V773,IF($O773="","",$O773),IF($P773="","",$P773))</f>
        <v/>
      </c>
      <c r="AH773" t="n">
        <v>0.1588181499904109</v>
      </c>
      <c r="AI773">
        <f>IF($Y773="worse","Yes",IF($Y773="worse, not significant","Not sure",IF(OR($Y773="too few losses to test",$Y773="too few loans to test"),"Too few losses",IF($Y773="","","No"))))</f>
        <v/>
      </c>
      <c r="AJ773">
        <f>IF($AA773="yes","Yes",IF($AA773="","","No"))</f>
        <v/>
      </c>
    </row>
    <row r="774">
      <c r="A774" t="inlineStr">
        <is>
          <t>three-way</t>
        </is>
      </c>
      <c r="B774" t="inlineStr">
        <is>
          <t>FICO x ASSET_CLASS / SYS_FLAG</t>
        </is>
      </c>
      <c r="C774" t="inlineStr">
        <is>
          <t>712 - 745</t>
        </is>
      </c>
      <c r="D774" t="inlineStr">
        <is>
          <t>3 / SYS_FLAG N</t>
        </is>
      </c>
      <c r="E774" t="inlineStr">
        <is>
          <t>outcome_loans</t>
        </is>
      </c>
      <c r="F774" t="inlineStr">
        <is>
          <t>Outcome, share of loans</t>
        </is>
      </c>
      <c r="G774" t="n">
        <v>223</v>
      </c>
      <c r="H774" t="n">
        <v>223</v>
      </c>
      <c r="I774" t="b">
        <v>1</v>
      </c>
      <c r="J774" t="b">
        <v>0</v>
      </c>
      <c r="K774" t="n">
        <v>0.4565624243135931</v>
      </c>
      <c r="M774" t="n">
        <v>0.6303002781404325</v>
      </c>
      <c r="O774" t="n">
        <v>-9.522247942386834</v>
      </c>
      <c r="P774" t="n">
        <v>-4.692363112391931</v>
      </c>
      <c r="Q774">
        <f>'_live'!$C$20</f>
        <v/>
      </c>
      <c r="T774" t="n">
        <v>0.07857510288065844</v>
      </c>
      <c r="U774" t="n">
        <v>0.0569164265129683</v>
      </c>
      <c r="V774">
        <f>AND(judged_band,NOT($J774))</f>
        <v/>
      </c>
      <c r="W774">
        <f>IF($K774="","",IF($I774,"too few losses to test",IF(AND($K774&gt;better_at,$K774&lt;worse_at),"in line",IF($K774&gt;=worse_at,IF(AND(ISNUMBER($L774),$L774&lt;significance_bar),"worse","worse, not significant"),IF(AND(ISNUMBER($L774),$L774&lt;significance_bar),"better","better, not significant")))))</f>
        <v/>
      </c>
      <c r="X774">
        <f>IF($M774="","",IF($I774,"too few losses to test",IF(AND($M774&gt;better_at,$M774&lt;worse_at),"in line",IF($M774&gt;=worse_at,IF(AND(ISNUMBER($N774),$N774&lt;significance_bar),"worse","worse, not significant"),IF(AND(ISNUMBER($N774),$N774&lt;significance_bar),"better","better, not significant")))))</f>
        <v/>
      </c>
      <c r="Y774">
        <f>IF($V774,$X774,$W774)</f>
        <v/>
      </c>
      <c r="Z774">
        <f>IF($V774,IF($P774="","",$P774),IF($O774="","",$O774))</f>
        <v/>
      </c>
      <c r="AA774">
        <f>IF(OR($Q774="",$Z774=""),"",IF(AND($Z774&gt;0,$Z774&gt;=$Q774),"yes","below the line"))</f>
        <v/>
      </c>
      <c r="AB774">
        <f>IF($V774,IF($M774="","",$M774),IF($K774="","",$K774))</f>
        <v/>
      </c>
      <c r="AC774">
        <f>IF($V774,IF($N774="","",$N774),IF($L774="","",$L774))</f>
        <v/>
      </c>
      <c r="AD774">
        <f>$Y774</f>
        <v/>
      </c>
      <c r="AE774">
        <f>IF($V774,IF($S774="","",$S774),IF($R774="","",$R774))</f>
        <v/>
      </c>
      <c r="AF774">
        <f>IF($V774,IF($U774="","",$U774),IF($T774="","",$T774))</f>
        <v/>
      </c>
      <c r="AG774">
        <f>IF($V774,IF($O774="","",$O774),IF($P774="","",$P774))</f>
        <v/>
      </c>
      <c r="AH774" t="n">
        <v>0.03587443946188341</v>
      </c>
      <c r="AI774">
        <f>IF($Y774="worse","Yes",IF($Y774="worse, not significant","Not sure",IF(OR($Y774="too few losses to test",$Y774="too few loans to test"),"Too few losses",IF($Y774="","","No"))))</f>
        <v/>
      </c>
      <c r="AJ774">
        <f>IF($AA774="yes","Yes",IF($AA774="","","No"))</f>
        <v/>
      </c>
    </row>
    <row r="775">
      <c r="A775" t="inlineStr">
        <is>
          <t>three-way</t>
        </is>
      </c>
      <c r="B775" t="inlineStr">
        <is>
          <t>FICO x ASSET_CLASS / SYS_FLAG</t>
        </is>
      </c>
      <c r="C775" t="inlineStr">
        <is>
          <t>712 - 745</t>
        </is>
      </c>
      <c r="D775" t="inlineStr">
        <is>
          <t>3 / SYS_FLAG N</t>
        </is>
      </c>
      <c r="E775" t="inlineStr">
        <is>
          <t>outcome_booked</t>
        </is>
      </c>
      <c r="F775" t="inlineStr">
        <is>
          <t>Outcome, share of booked dollars</t>
        </is>
      </c>
      <c r="G775" t="n">
        <v>223</v>
      </c>
      <c r="H775" t="n">
        <v>7126313.329999999</v>
      </c>
      <c r="I775" t="b">
        <v>1</v>
      </c>
      <c r="J775" t="b">
        <v>0</v>
      </c>
      <c r="K775" t="n">
        <v>0.4724527132022914</v>
      </c>
      <c r="M775" t="n">
        <v>0.6235184574081195</v>
      </c>
      <c r="O775" t="n">
        <v>-285476.0106233158</v>
      </c>
      <c r="P775" t="n">
        <v>-154369.3046922571</v>
      </c>
      <c r="Q775">
        <f>'_live'!$C$21</f>
        <v/>
      </c>
      <c r="T775" t="n">
        <v>0.07593522983970674</v>
      </c>
      <c r="U775" t="n">
        <v>0.05753767982192514</v>
      </c>
      <c r="V775">
        <f>AND(judged_band,NOT($J775))</f>
        <v/>
      </c>
      <c r="W775">
        <f>IF($K775="","",IF($I775,"too few losses to test",IF(AND($K775&gt;better_at,$K775&lt;worse_at),"in line",IF($K775&gt;=worse_at,IF(AND(ISNUMBER($L775),$L775&lt;significance_bar),"worse","worse, not significant"),IF(AND(ISNUMBER($L775),$L775&lt;significance_bar),"better","better, not significant")))))</f>
        <v/>
      </c>
      <c r="X775">
        <f>IF($M775="","",IF($I775,"too few losses to test",IF(AND($M775&gt;better_at,$M775&lt;worse_at),"in line",IF($M775&gt;=worse_at,IF(AND(ISNUMBER($N775),$N775&lt;significance_bar),"worse","worse, not significant"),IF(AND(ISNUMBER($N775),$N775&lt;significance_bar),"better","better, not significant")))))</f>
        <v/>
      </c>
      <c r="Y775">
        <f>IF($V775,$X775,$W775)</f>
        <v/>
      </c>
      <c r="Z775">
        <f>IF($V775,IF($P775="","",$P775),IF($O775="","",$O775))</f>
        <v/>
      </c>
      <c r="AA775">
        <f>IF(OR($Q775="",$Z775=""),"",IF(AND($Z775&gt;0,$Z775&gt;=$Q775),"yes","below the line"))</f>
        <v/>
      </c>
      <c r="AB775">
        <f>IF($V775,IF($M775="","",$M775),IF($K775="","",$K775))</f>
        <v/>
      </c>
      <c r="AC775">
        <f>IF($V775,IF($N775="","",$N775),IF($L775="","",$L775))</f>
        <v/>
      </c>
      <c r="AD775">
        <f>$Y775</f>
        <v/>
      </c>
      <c r="AE775">
        <f>IF($V775,IF($S775="","",$S775),IF($R775="","",$R775))</f>
        <v/>
      </c>
      <c r="AF775">
        <f>IF($V775,IF($U775="","",$U775),IF($T775="","",$T775))</f>
        <v/>
      </c>
      <c r="AG775">
        <f>IF($V775,IF($O775="","",$O775),IF($P775="","",$P775))</f>
        <v/>
      </c>
      <c r="AH775" t="n">
        <v>0.03587580536540905</v>
      </c>
      <c r="AI775">
        <f>IF($Y775="worse","Yes",IF($Y775="worse, not significant","Not sure",IF(OR($Y775="too few losses to test",$Y775="too few loans to test"),"Too few losses",IF($Y775="","","No"))))</f>
        <v/>
      </c>
      <c r="AJ775">
        <f>IF($AA775="yes","Yes",IF($AA775="","","No"))</f>
        <v/>
      </c>
    </row>
    <row r="776">
      <c r="A776" t="inlineStr">
        <is>
          <t>three-way</t>
        </is>
      </c>
      <c r="B776" t="inlineStr">
        <is>
          <t>FICO x ASSET_CLASS / SYS_FLAG</t>
        </is>
      </c>
      <c r="C776" t="inlineStr">
        <is>
          <t>712 - 745</t>
        </is>
      </c>
      <c r="D776" t="inlineStr">
        <is>
          <t>3 / SYS_FLAG N</t>
        </is>
      </c>
      <c r="E776" t="inlineStr">
        <is>
          <t>gco_rate</t>
        </is>
      </c>
      <c r="F776" t="inlineStr">
        <is>
          <t>GCO per booked dollar</t>
        </is>
      </c>
      <c r="G776" t="n">
        <v>223</v>
      </c>
      <c r="H776" t="n">
        <v>7126313.329999999</v>
      </c>
      <c r="I776" t="b">
        <v>1</v>
      </c>
      <c r="J776" t="b">
        <v>0</v>
      </c>
      <c r="K776" t="n">
        <v>0.4343746149555488</v>
      </c>
      <c r="M776" t="n">
        <v>0.5702555874162759</v>
      </c>
      <c r="O776" t="n">
        <v>-170364.8632503384</v>
      </c>
      <c r="P776" t="n">
        <v>-98595.31147991888</v>
      </c>
      <c r="Q776">
        <f>'_live'!$C$22</f>
        <v/>
      </c>
      <c r="T776" t="n">
        <v>0.04226552065601336</v>
      </c>
      <c r="U776" t="n">
        <v>0.03219445747832686</v>
      </c>
      <c r="V776">
        <f>AND(judged_band,NOT($J776))</f>
        <v/>
      </c>
      <c r="W776">
        <f>IF($K776="","",IF($I776,"too few losses to test",IF(AND($K776&gt;better_at,$K776&lt;worse_at),"in line",IF($K776&gt;=worse_at,IF(AND(ISNUMBER($L776),$L776&lt;significance_bar),"worse","worse, not significant"),IF(AND(ISNUMBER($L776),$L776&lt;significance_bar),"better","better, not significant")))))</f>
        <v/>
      </c>
      <c r="X776">
        <f>IF($M776="","",IF($I776,"too few losses to test",IF(AND($M776&gt;better_at,$M776&lt;worse_at),"in line",IF($M776&gt;=worse_at,IF(AND(ISNUMBER($N776),$N776&lt;significance_bar),"worse","worse, not significant"),IF(AND(ISNUMBER($N776),$N776&lt;significance_bar),"better","better, not significant")))))</f>
        <v/>
      </c>
      <c r="Y776">
        <f>IF($V776,$X776,$W776)</f>
        <v/>
      </c>
      <c r="Z776">
        <f>IF($V776,IF($P776="","",$P776),IF($O776="","",$O776))</f>
        <v/>
      </c>
      <c r="AA776">
        <f>IF(OR($Q776="",$Z776=""),"",IF(AND($Z776&gt;0,$Z776&gt;=$Q776),"yes","below the line"))</f>
        <v/>
      </c>
      <c r="AB776">
        <f>IF($V776,IF($M776="","",$M776),IF($K776="","",$K776))</f>
        <v/>
      </c>
      <c r="AC776">
        <f>IF($V776,IF($N776="","",$N776),IF($L776="","",$L776))</f>
        <v/>
      </c>
      <c r="AD776">
        <f>$Y776</f>
        <v/>
      </c>
      <c r="AE776">
        <f>IF($V776,IF($S776="","",$S776),IF($R776="","",$R776))</f>
        <v/>
      </c>
      <c r="AF776">
        <f>IF($V776,IF($U776="","",$U776),IF($T776="","",$T776))</f>
        <v/>
      </c>
      <c r="AG776">
        <f>IF($V776,IF($O776="","",$O776),IF($P776="","",$P776))</f>
        <v/>
      </c>
      <c r="AH776" t="n">
        <v>0.0183590692608516</v>
      </c>
      <c r="AI776">
        <f>IF($Y776="worse","Yes",IF($Y776="worse, not significant","Not sure",IF(OR($Y776="too few losses to test",$Y776="too few loans to test"),"Too few losses",IF($Y776="","","No"))))</f>
        <v/>
      </c>
      <c r="AJ776">
        <f>IF($AA776="yes","Yes",IF($AA776="","","No"))</f>
        <v/>
      </c>
    </row>
    <row r="777">
      <c r="A777" t="inlineStr">
        <is>
          <t>three-way</t>
        </is>
      </c>
      <c r="B777" t="inlineStr">
        <is>
          <t>FICO x ASSET_CLASS / SYS_FLAG</t>
        </is>
      </c>
      <c r="C777" t="inlineStr">
        <is>
          <t>712 - 745</t>
        </is>
      </c>
      <c r="D777" t="inlineStr">
        <is>
          <t>3 / SYS_FLAG N</t>
        </is>
      </c>
      <c r="E777" t="inlineStr">
        <is>
          <t>ranr_rate</t>
        </is>
      </c>
      <c r="F777" t="inlineStr">
        <is>
          <t>Profit after losses: RANR per booked dollar</t>
        </is>
      </c>
      <c r="G777" t="n">
        <v>223</v>
      </c>
      <c r="H777" t="n">
        <v>7126313.329999999</v>
      </c>
      <c r="I777" t="b">
        <v>0</v>
      </c>
      <c r="J777" t="b">
        <v>0</v>
      </c>
      <c r="K777" t="n">
        <v>-0.01971839158156656</v>
      </c>
      <c r="L777" t="n">
        <v>0.2440272101822076</v>
      </c>
      <c r="M777" t="n">
        <v>0.01492828159215731</v>
      </c>
      <c r="N777" t="n">
        <v>0.5190338109046239</v>
      </c>
      <c r="O777" t="n">
        <v>140519.4367738775</v>
      </c>
      <c r="P777" t="n">
        <v>-106383.6121041843</v>
      </c>
      <c r="Q777">
        <f>'_live'!$C$23</f>
        <v/>
      </c>
      <c r="R777" t="inlineStr">
        <is>
          <t>shuffled: 1,543 of 10,000</t>
        </is>
      </c>
      <c r="S777" t="inlineStr">
        <is>
          <t>shuffled: 2,067 of 10,000</t>
        </is>
      </c>
      <c r="T777" t="n">
        <v>0.1285345541737325</v>
      </c>
      <c r="U777" t="n">
        <v>0.09388788100000865</v>
      </c>
      <c r="V777">
        <f>AND(judged_band,NOT($J777))</f>
        <v/>
      </c>
      <c r="W777">
        <f>IF($K777="","",IF(profit_kind="test",IF(OR(NOT(AND(ISNUMBER($L777),$L777&lt;significance_bar)),$K777=0),"in line",IF($K777&lt;0,"worse","better")),IF(OR($K777=0,IF(profit_kind="points",ABS($K777),ABS($K777*$H777))&lt;profit_line*(1-1E-9)),"in line",IF(AND(ISNUMBER($L777),$L777&lt;significance_bar),IF($K777&lt;0,"worse","better"),IF($K777&lt;0,"worse, not significant","better, not significant")))))</f>
        <v/>
      </c>
      <c r="X777">
        <f>IF($M777="","",IF(profit_kind="test",IF(OR(NOT(AND(ISNUMBER($N777),$N777&lt;significance_bar)),$M777=0),"in line",IF($M777&lt;0,"worse","better")),IF(OR($M777=0,IF(profit_kind="points",ABS($M777),ABS($M777*$H777))&lt;profit_line*(1-1E-9)),"in line",IF(AND(ISNUMBER($N777),$N777&lt;significance_bar),IF($M777&lt;0,"worse","better"),IF($M777&lt;0,"worse, not significant","better, not significant")))))</f>
        <v/>
      </c>
      <c r="Y777">
        <f>IF($V777,$X777,$W777)</f>
        <v/>
      </c>
      <c r="Z777">
        <f>IF($V777,IF($P777="","",$P777),IF($O777="","",$O777))</f>
        <v/>
      </c>
      <c r="AA777">
        <f>IF(OR($Q777="",$Z777=""),"",IF(AND($Z777&gt;0,$Z777&gt;=$Q777),"yes","below the line"))</f>
        <v/>
      </c>
      <c r="AB777">
        <f>IF($V777,IF($M777="","",$M777),IF($K777="","",$K777))</f>
        <v/>
      </c>
      <c r="AC777">
        <f>IF($V777,IF($N777="","",$N777),IF($L777="","",$L777))</f>
        <v/>
      </c>
      <c r="AD777">
        <f>IF($Y777="","",IF($Y777="in line",IF(profit_kind="test",IF(ROUND($AB777*100,2)=0,"0.00",TEXT($AB777*100,"+0.00;-0.00"))&amp;" points against "&amp;IF($V777,"its band","the book")&amp;", "&amp;IF($AC777="","not tested","not significant"),IF(profit_kind="points","within "&amp;TEXT(profit_line*100,"0.00")&amp;" points of "&amp;IF($V777,"its band","the book")&amp;" ("&amp;IF(ROUND($AB777*100,2)=0,"0.00",TEXT($AB777*100,"+0.00;-0.00"))&amp;")","within $"&amp;TEXT(profit_line,"#,##0")&amp;" of "&amp;IF($V777,"its band","the book")&amp;" ("&amp;IF(ROUND($AB777*100,2)=0,"0.00",TEXT($AB777*100,"+0.00;-0.00"))&amp;" points)")),IF(LEFT($Y777,5)="worse","short of ","ahead of ")&amp;IF($V777,"its band","the book")&amp;" by "&amp;TEXT(ABS($AB777)*100,"0.00")&amp;" points"&amp;IF($Z777="",""," ($"&amp;TEXT(ABS($Z777),"#,##0")&amp;")")&amp;IF(RIGHT($Y777,15)="not significant"," (not significant)","")))</f>
        <v/>
      </c>
      <c r="AE777">
        <f>IF($V777,IF($S777="","",$S777),IF($R777="","",$R777))</f>
        <v/>
      </c>
      <c r="AF777">
        <f>IF($V777,IF($U777="","",$U777),IF($T777="","",$T777))</f>
        <v/>
      </c>
      <c r="AG777">
        <f>IF($V777,IF($O777="","",$O777),IF($P777="","",$P777))</f>
        <v/>
      </c>
      <c r="AH777" t="n">
        <v>0.108816162592166</v>
      </c>
      <c r="AI777">
        <f>IF($Y777="worse","Yes",IF($Y777="worse, not significant","Not sure",IF(OR($Y777="too few losses to test",$Y777="too few loans to test"),"Too few losses",IF($Y777="","","No"))))</f>
        <v/>
      </c>
      <c r="AJ777">
        <f>IF($AA777="yes","Yes",IF($AA777="","","No"))</f>
        <v/>
      </c>
    </row>
    <row r="778">
      <c r="A778" t="inlineStr">
        <is>
          <t>three-way</t>
        </is>
      </c>
      <c r="B778" t="inlineStr">
        <is>
          <t>FICO x ASSET_CLASS / SYS_FLAG</t>
        </is>
      </c>
      <c r="C778" t="inlineStr">
        <is>
          <t>712 - 745</t>
        </is>
      </c>
      <c r="D778" t="inlineStr">
        <is>
          <t>3 / SYS_FLAG N</t>
        </is>
      </c>
      <c r="E778" t="inlineStr">
        <is>
          <t>contribution_rate</t>
        </is>
      </c>
      <c r="F778" t="inlineStr">
        <is>
          <t>Contribution before losses per booked dollar</t>
        </is>
      </c>
      <c r="G778" t="n">
        <v>223</v>
      </c>
      <c r="H778" t="n">
        <v>7126313.329999999</v>
      </c>
      <c r="I778" t="b">
        <v>0</v>
      </c>
      <c r="J778" t="b">
        <v>0</v>
      </c>
      <c r="K778" t="n">
        <v>-0.04362198864235536</v>
      </c>
      <c r="L778" t="n">
        <v>0.0001814633351479667</v>
      </c>
      <c r="M778" t="n">
        <v>0.001140476085868453</v>
      </c>
      <c r="N778" t="n">
        <v>0.9799190293736585</v>
      </c>
      <c r="O778" t="n">
        <v>310863.9591431257</v>
      </c>
      <c r="P778" t="n">
        <v>-8127.389933270519</v>
      </c>
      <c r="Q778">
        <f>'_live'!$C$24</f>
        <v/>
      </c>
      <c r="R778" t="inlineStr">
        <is>
          <t>shuffled: 0 of 10,000</t>
        </is>
      </c>
      <c r="S778" t="inlineStr">
        <is>
          <t>shuffled: 8,346 of 10,000</t>
        </is>
      </c>
      <c r="T778" t="n">
        <v>0.170797220495373</v>
      </c>
      <c r="U778" t="n">
        <v>0.1260347557671491</v>
      </c>
      <c r="V778">
        <f>AND(judged_band,NOT($J778))</f>
        <v/>
      </c>
      <c r="W778">
        <f>IF($K778="","",IF(profit_kind="test",IF(OR(NOT(AND(ISNUMBER($L778),$L778&lt;significance_bar)),$K778=0),"in line",IF($K778&lt;0,"worse","better")),IF(OR($K778=0,IF(profit_kind="points",ABS($K778),ABS($K778*$H778))&lt;profit_line*(1-1E-9)),"in line",IF(AND(ISNUMBER($L778),$L778&lt;significance_bar),IF($K778&lt;0,"worse","better"),IF($K778&lt;0,"worse, not significant","better, not significant")))))</f>
        <v/>
      </c>
      <c r="X778">
        <f>IF($M778="","",IF(profit_kind="test",IF(OR(NOT(AND(ISNUMBER($N778),$N778&lt;significance_bar)),$M778=0),"in line",IF($M778&lt;0,"worse","better")),IF(OR($M778=0,IF(profit_kind="points",ABS($M778),ABS($M778*$H778))&lt;profit_line*(1-1E-9)),"in line",IF(AND(ISNUMBER($N778),$N778&lt;significance_bar),IF($M778&lt;0,"worse","better"),IF($M778&lt;0,"worse, not significant","better, not significant")))))</f>
        <v/>
      </c>
      <c r="Y778">
        <f>IF($V778,$X778,$W778)</f>
        <v/>
      </c>
      <c r="Z778">
        <f>IF($V778,IF($P778="","",$P778),IF($O778="","",$O778))</f>
        <v/>
      </c>
      <c r="AA778">
        <f>IF(OR($Q778="",$Z778=""),"",IF(AND($Z778&gt;0,$Z778&gt;=$Q778),"yes","below the line"))</f>
        <v/>
      </c>
      <c r="AB778">
        <f>IF($V778,IF($M778="","",$M778),IF($K778="","",$K778))</f>
        <v/>
      </c>
      <c r="AC778">
        <f>IF($V778,IF($N778="","",$N778),IF($L778="","",$L778))</f>
        <v/>
      </c>
      <c r="AD778">
        <f>IF($Y778="","",IF($Y778="in line",IF(profit_kind="test",IF(ROUND($AB778*100,2)=0,"0.00",TEXT($AB778*100,"+0.00;-0.00"))&amp;" points against "&amp;IF($V778,"its band","the book")&amp;", "&amp;IF($AC778="","not tested","not significant"),IF(profit_kind="points","within "&amp;TEXT(profit_line*100,"0.00")&amp;" points of "&amp;IF($V778,"its band","the book")&amp;" ("&amp;IF(ROUND($AB778*100,2)=0,"0.00",TEXT($AB778*100,"+0.00;-0.00"))&amp;")","within $"&amp;TEXT(profit_line,"#,##0")&amp;" of "&amp;IF($V778,"its band","the book")&amp;" ("&amp;IF(ROUND($AB778*100,2)=0,"0.00",TEXT($AB778*100,"+0.00;-0.00"))&amp;" points)")),IF(LEFT($Y778,5)="worse","short of ","ahead of ")&amp;IF($V778,"its band","the book")&amp;" by "&amp;TEXT(ABS($AB778)*100,"0.00")&amp;" points"&amp;IF($Z778="",""," ($"&amp;TEXT(ABS($Z778),"#,##0")&amp;")")&amp;IF(RIGHT($Y778,15)="not significant"," (not significant)","")))</f>
        <v/>
      </c>
      <c r="AE778">
        <f>IF($V778,IF($S778="","",$S778),IF($R778="","",$R778))</f>
        <v/>
      </c>
      <c r="AF778">
        <f>IF($V778,IF($U778="","",$U778),IF($T778="","",$T778))</f>
        <v/>
      </c>
      <c r="AG778">
        <f>IF($V778,IF($O778="","",$O778),IF($P778="","",$P778))</f>
        <v/>
      </c>
      <c r="AH778" t="n">
        <v>0.1271752318530176</v>
      </c>
      <c r="AI778">
        <f>IF($Y778="worse","Yes",IF($Y778="worse, not significant","Not sure",IF(OR($Y778="too few losses to test",$Y778="too few loans to test"),"Too few losses",IF($Y778="","","No"))))</f>
        <v/>
      </c>
      <c r="AJ778">
        <f>IF($AA778="yes","Yes",IF($AA778="","","No"))</f>
        <v/>
      </c>
    </row>
    <row r="779">
      <c r="A779" t="inlineStr">
        <is>
          <t>three-way</t>
        </is>
      </c>
      <c r="B779" t="inlineStr">
        <is>
          <t>FICO x ASSET_CLASS / SYS_FLAG</t>
        </is>
      </c>
      <c r="C779" t="inlineStr">
        <is>
          <t>654 - 685</t>
        </is>
      </c>
      <c r="D779" t="inlineStr">
        <is>
          <t>3 / SYS_FLAG Y</t>
        </is>
      </c>
      <c r="E779" t="inlineStr">
        <is>
          <t>outcome_loans</t>
        </is>
      </c>
      <c r="F779" t="inlineStr">
        <is>
          <t>Outcome, share of loans</t>
        </is>
      </c>
      <c r="G779" t="n">
        <v>193</v>
      </c>
      <c r="H779" t="n">
        <v>193</v>
      </c>
      <c r="I779" t="b">
        <v>0</v>
      </c>
      <c r="J779" t="b">
        <v>0</v>
      </c>
      <c r="K779" t="n">
        <v>1.211348960713146</v>
      </c>
      <c r="L779" t="n">
        <v>0.563854801876237</v>
      </c>
      <c r="M779" t="n">
        <v>1.120836417468542</v>
      </c>
      <c r="N779" t="n">
        <v>0.7481717174350578</v>
      </c>
      <c r="O779" t="n">
        <v>3.140532923392261</v>
      </c>
      <c r="P779" t="n">
        <v>1.940564635958395</v>
      </c>
      <c r="Q779">
        <f>'_live'!$C$20</f>
        <v/>
      </c>
      <c r="R779" t="inlineStr">
        <is>
          <t>z test</t>
        </is>
      </c>
      <c r="S779" t="inlineStr">
        <is>
          <t>z test</t>
        </is>
      </c>
      <c r="T779" t="n">
        <v>0.07699205739174994</v>
      </c>
      <c r="U779" t="n">
        <v>0.08320950965824665</v>
      </c>
      <c r="V779">
        <f>AND(judged_band,NOT($J779))</f>
        <v/>
      </c>
      <c r="W779">
        <f>IF($K779="","",IF($I779,"too few losses to test",IF(AND($K779&gt;better_at,$K779&lt;worse_at),"in line",IF($K779&gt;=worse_at,IF(AND(ISNUMBER($L779),$L779&lt;significance_bar),"worse","worse, not significant"),IF(AND(ISNUMBER($L779),$L779&lt;significance_bar),"better","better, not significant")))))</f>
        <v/>
      </c>
      <c r="X779">
        <f>IF($M779="","",IF($I779,"too few losses to test",IF(AND($M779&gt;better_at,$M779&lt;worse_at),"in line",IF($M779&gt;=worse_at,IF(AND(ISNUMBER($N779),$N779&lt;significance_bar),"worse","worse, not significant"),IF(AND(ISNUMBER($N779),$N779&lt;significance_bar),"better","better, not significant")))))</f>
        <v/>
      </c>
      <c r="Y779">
        <f>IF($V779,$X779,$W779)</f>
        <v/>
      </c>
      <c r="Z779">
        <f>IF($V779,IF($P779="","",$P779),IF($O779="","",$O779))</f>
        <v/>
      </c>
      <c r="AA779">
        <f>IF(OR($Q779="",$Z779=""),"",IF(AND($Z779&gt;0,$Z779&gt;=$Q779),"yes","below the line"))</f>
        <v/>
      </c>
      <c r="AB779">
        <f>IF($V779,IF($M779="","",$M779),IF($K779="","",$K779))</f>
        <v/>
      </c>
      <c r="AC779">
        <f>IF($V779,IF($N779="","",$N779),IF($L779="","",$L779))</f>
        <v/>
      </c>
      <c r="AD779">
        <f>$Y779</f>
        <v/>
      </c>
      <c r="AE779">
        <f>IF($V779,IF($S779="","",$S779),IF($R779="","",$R779))</f>
        <v/>
      </c>
      <c r="AF779">
        <f>IF($V779,IF($U779="","",$U779),IF($T779="","",$T779))</f>
        <v/>
      </c>
      <c r="AG779">
        <f>IF($V779,IF($O779="","",$O779),IF($P779="","",$P779))</f>
        <v/>
      </c>
      <c r="AH779" t="n">
        <v>0.09326424870466321</v>
      </c>
      <c r="AI779">
        <f>IF($Y779="worse","Yes",IF($Y779="worse, not significant","Not sure",IF(OR($Y779="too few losses to test",$Y779="too few loans to test"),"Too few losses",IF($Y779="","","No"))))</f>
        <v/>
      </c>
      <c r="AJ779">
        <f>IF($AA779="yes","Yes",IF($AA779="","","No"))</f>
        <v/>
      </c>
    </row>
    <row r="780">
      <c r="A780" t="inlineStr">
        <is>
          <t>three-way</t>
        </is>
      </c>
      <c r="B780" t="inlineStr">
        <is>
          <t>FICO x ASSET_CLASS / SYS_FLAG</t>
        </is>
      </c>
      <c r="C780" t="inlineStr">
        <is>
          <t>654 - 685</t>
        </is>
      </c>
      <c r="D780" t="inlineStr">
        <is>
          <t>3 / SYS_FLAG Y</t>
        </is>
      </c>
      <c r="E780" t="inlineStr">
        <is>
          <t>outcome_booked</t>
        </is>
      </c>
      <c r="F780" t="inlineStr">
        <is>
          <t>Outcome, share of booked dollars</t>
        </is>
      </c>
      <c r="G780" t="n">
        <v>193</v>
      </c>
      <c r="H780" t="n">
        <v>6009933.279999998</v>
      </c>
      <c r="I780" t="b">
        <v>0</v>
      </c>
      <c r="J780" t="b">
        <v>0</v>
      </c>
      <c r="K780" t="n">
        <v>1.393627052271366</v>
      </c>
      <c r="L780" t="n">
        <v>0.38996100389961</v>
      </c>
      <c r="M780" t="n">
        <v>1.348999716263114</v>
      </c>
      <c r="N780" t="n">
        <v>0.5657034296570344</v>
      </c>
      <c r="O780" t="n">
        <v>175412.37543046</v>
      </c>
      <c r="P780" t="n">
        <v>160670.1042291708</v>
      </c>
      <c r="Q780">
        <f>'_live'!$C$21</f>
        <v/>
      </c>
      <c r="R780" t="inlineStr">
        <is>
          <t>shuffled: 1,649 of 10,000</t>
        </is>
      </c>
      <c r="S780" t="inlineStr">
        <is>
          <t>shuffled: 2,501 of 10,000</t>
        </is>
      </c>
      <c r="T780" t="n">
        <v>0.0741490585348961</v>
      </c>
      <c r="U780" t="n">
        <v>0.07660204270534421</v>
      </c>
      <c r="V780">
        <f>AND(judged_band,NOT($J780))</f>
        <v/>
      </c>
      <c r="W780">
        <f>IF($K780="","",IF($I780,"too few losses to test",IF(AND($K780&gt;better_at,$K780&lt;worse_at),"in line",IF($K780&gt;=worse_at,IF(AND(ISNUMBER($L780),$L780&lt;significance_bar),"worse","worse, not significant"),IF(AND(ISNUMBER($L780),$L780&lt;significance_bar),"better","better, not significant")))))</f>
        <v/>
      </c>
      <c r="X780">
        <f>IF($M780="","",IF($I780,"too few losses to test",IF(AND($M780&gt;better_at,$M780&lt;worse_at),"in line",IF($M780&gt;=worse_at,IF(AND(ISNUMBER($N780),$N780&lt;significance_bar),"worse","worse, not significant"),IF(AND(ISNUMBER($N780),$N780&lt;significance_bar),"better","better, not significant")))))</f>
        <v/>
      </c>
      <c r="Y780">
        <f>IF($V780,$X780,$W780)</f>
        <v/>
      </c>
      <c r="Z780">
        <f>IF($V780,IF($P780="","",$P780),IF($O780="","",$O780))</f>
        <v/>
      </c>
      <c r="AA780">
        <f>IF(OR($Q780="",$Z780=""),"",IF(AND($Z780&gt;0,$Z780&gt;=$Q780),"yes","below the line"))</f>
        <v/>
      </c>
      <c r="AB780">
        <f>IF($V780,IF($M780="","",$M780),IF($K780="","",$K780))</f>
        <v/>
      </c>
      <c r="AC780">
        <f>IF($V780,IF($N780="","",$N780),IF($L780="","",$L780))</f>
        <v/>
      </c>
      <c r="AD780">
        <f>$Y780</f>
        <v/>
      </c>
      <c r="AE780">
        <f>IF($V780,IF($S780="","",$S780),IF($R780="","",$R780))</f>
        <v/>
      </c>
      <c r="AF780">
        <f>IF($V780,IF($U780="","",$U780),IF($T780="","",$T780))</f>
        <v/>
      </c>
      <c r="AG780">
        <f>IF($V780,IF($O780="","",$O780),IF($P780="","",$P780))</f>
        <v/>
      </c>
      <c r="AH780" t="n">
        <v>0.1033361338746842</v>
      </c>
      <c r="AI780">
        <f>IF($Y780="worse","Yes",IF($Y780="worse, not significant","Not sure",IF(OR($Y780="too few losses to test",$Y780="too few loans to test"),"Too few losses",IF($Y780="","","No"))))</f>
        <v/>
      </c>
      <c r="AJ780">
        <f>IF($AA780="yes","Yes",IF($AA780="","","No"))</f>
        <v/>
      </c>
    </row>
    <row r="781">
      <c r="A781" t="inlineStr">
        <is>
          <t>three-way</t>
        </is>
      </c>
      <c r="B781" t="inlineStr">
        <is>
          <t>FICO x ASSET_CLASS / SYS_FLAG</t>
        </is>
      </c>
      <c r="C781" t="inlineStr">
        <is>
          <t>654 - 685</t>
        </is>
      </c>
      <c r="D781" t="inlineStr">
        <is>
          <t>3 / SYS_FLAG Y</t>
        </is>
      </c>
      <c r="E781" t="inlineStr">
        <is>
          <t>gco_rate</t>
        </is>
      </c>
      <c r="F781" t="inlineStr">
        <is>
          <t>GCO per booked dollar</t>
        </is>
      </c>
      <c r="G781" t="n">
        <v>193</v>
      </c>
      <c r="H781" t="n">
        <v>6009933.279999998</v>
      </c>
      <c r="I781" t="b">
        <v>0</v>
      </c>
      <c r="J781" t="b">
        <v>0</v>
      </c>
      <c r="K781" t="n">
        <v>1.39356660826046</v>
      </c>
      <c r="L781" t="n">
        <v>0.3444655534446555</v>
      </c>
      <c r="M781" t="n">
        <v>1.320231051482872</v>
      </c>
      <c r="N781" t="n">
        <v>0.6096390360963904</v>
      </c>
      <c r="O781" t="n">
        <v>97515.40255566227</v>
      </c>
      <c r="P781" t="n">
        <v>83752.19610563168</v>
      </c>
      <c r="Q781">
        <f>'_live'!$C$22</f>
        <v/>
      </c>
      <c r="R781" t="inlineStr">
        <is>
          <t>shuffled: 1,815 of 10,000</t>
        </is>
      </c>
      <c r="S781" t="inlineStr">
        <is>
          <t>shuffled: 3,083 of 10,000</t>
        </is>
      </c>
      <c r="T781" t="n">
        <v>0.04122734078744013</v>
      </c>
      <c r="U781" t="n">
        <v>0.04351741720073944</v>
      </c>
      <c r="V781">
        <f>AND(judged_band,NOT($J781))</f>
        <v/>
      </c>
      <c r="W781">
        <f>IF($K781="","",IF($I781,"too few losses to test",IF(AND($K781&gt;better_at,$K781&lt;worse_at),"in line",IF($K781&gt;=worse_at,IF(AND(ISNUMBER($L781),$L781&lt;significance_bar),"worse","worse, not significant"),IF(AND(ISNUMBER($L781),$L781&lt;significance_bar),"better","better, not significant")))))</f>
        <v/>
      </c>
      <c r="X781">
        <f>IF($M781="","",IF($I781,"too few losses to test",IF(AND($M781&gt;better_at,$M781&lt;worse_at),"in line",IF($M781&gt;=worse_at,IF(AND(ISNUMBER($N781),$N781&lt;significance_bar),"worse","worse, not significant"),IF(AND(ISNUMBER($N781),$N781&lt;significance_bar),"better","better, not significant")))))</f>
        <v/>
      </c>
      <c r="Y781">
        <f>IF($V781,$X781,$W781)</f>
        <v/>
      </c>
      <c r="Z781">
        <f>IF($V781,IF($P781="","",$P781),IF($O781="","",$O781))</f>
        <v/>
      </c>
      <c r="AA781">
        <f>IF(OR($Q781="",$Z781=""),"",IF(AND($Z781&gt;0,$Z781&gt;=$Q781),"yes","below the line"))</f>
        <v/>
      </c>
      <c r="AB781">
        <f>IF($V781,IF($M781="","",$M781),IF($K781="","",$K781))</f>
        <v/>
      </c>
      <c r="AC781">
        <f>IF($V781,IF($N781="","",$N781),IF($L781="","",$L781))</f>
        <v/>
      </c>
      <c r="AD781">
        <f>$Y781</f>
        <v/>
      </c>
      <c r="AE781">
        <f>IF($V781,IF($S781="","",$S781),IF($R781="","",$R781))</f>
        <v/>
      </c>
      <c r="AF781">
        <f>IF($V781,IF($U781="","",$U781),IF($T781="","",$T781))</f>
        <v/>
      </c>
      <c r="AG781">
        <f>IF($V781,IF($O781="","",$O781),IF($P781="","",$P781))</f>
        <v/>
      </c>
      <c r="AH781" t="n">
        <v>0.05745304546875105</v>
      </c>
      <c r="AI781">
        <f>IF($Y781="worse","Yes",IF($Y781="worse, not significant","Not sure",IF(OR($Y781="too few losses to test",$Y781="too few loans to test"),"Too few losses",IF($Y781="","","No"))))</f>
        <v/>
      </c>
      <c r="AJ781">
        <f>IF($AA781="yes","Yes",IF($AA781="","","No"))</f>
        <v/>
      </c>
    </row>
    <row r="782">
      <c r="A782" t="inlineStr">
        <is>
          <t>three-way</t>
        </is>
      </c>
      <c r="B782" t="inlineStr">
        <is>
          <t>FICO x ASSET_CLASS / SYS_FLAG</t>
        </is>
      </c>
      <c r="C782" t="inlineStr">
        <is>
          <t>654 - 685</t>
        </is>
      </c>
      <c r="D782" t="inlineStr">
        <is>
          <t>3 / SYS_FLAG Y</t>
        </is>
      </c>
      <c r="E782" t="inlineStr">
        <is>
          <t>ranr_rate</t>
        </is>
      </c>
      <c r="F782" t="inlineStr">
        <is>
          <t>Profit after losses: RANR per booked dollar</t>
        </is>
      </c>
      <c r="G782" t="n">
        <v>193</v>
      </c>
      <c r="H782" t="n">
        <v>6009933.279999998</v>
      </c>
      <c r="I782" t="b">
        <v>0</v>
      </c>
      <c r="J782" t="b">
        <v>0</v>
      </c>
      <c r="K782" t="n">
        <v>0.01049598860685427</v>
      </c>
      <c r="L782" t="n">
        <v>0.5667896624971649</v>
      </c>
      <c r="M782" t="n">
        <v>-0.02827755520510067</v>
      </c>
      <c r="N782" t="n">
        <v>0.3207679232076792</v>
      </c>
      <c r="O782" t="n">
        <v>-63080.19123483438</v>
      </c>
      <c r="P782" t="n">
        <v>169946.2201041717</v>
      </c>
      <c r="Q782">
        <f>'_live'!$C$23</f>
        <v/>
      </c>
      <c r="R782" t="inlineStr">
        <is>
          <t>shuffled: 4,742 of 10,000</t>
        </is>
      </c>
      <c r="S782" t="inlineStr">
        <is>
          <t>shuffled: 789 of 10,000</t>
        </is>
      </c>
      <c r="T782" t="n">
        <v>0.1277456176294134</v>
      </c>
      <c r="U782" t="n">
        <v>0.1665191614413684</v>
      </c>
      <c r="V782">
        <f>AND(judged_band,NOT($J782))</f>
        <v/>
      </c>
      <c r="W782">
        <f>IF($K782="","",IF(profit_kind="test",IF(OR(NOT(AND(ISNUMBER($L782),$L782&lt;significance_bar)),$K782=0),"in line",IF($K782&lt;0,"worse","better")),IF(OR($K782=0,IF(profit_kind="points",ABS($K782),ABS($K782*$H782))&lt;profit_line*(1-1E-9)),"in line",IF(AND(ISNUMBER($L782),$L782&lt;significance_bar),IF($K782&lt;0,"worse","better"),IF($K782&lt;0,"worse, not significant","better, not significant")))))</f>
        <v/>
      </c>
      <c r="X782">
        <f>IF($M782="","",IF(profit_kind="test",IF(OR(NOT(AND(ISNUMBER($N782),$N782&lt;significance_bar)),$M782=0),"in line",IF($M782&lt;0,"worse","better")),IF(OR($M782=0,IF(profit_kind="points",ABS($M782),ABS($M782*$H782))&lt;profit_line*(1-1E-9)),"in line",IF(AND(ISNUMBER($N782),$N782&lt;significance_bar),IF($M782&lt;0,"worse","better"),IF($M782&lt;0,"worse, not significant","better, not significant")))))</f>
        <v/>
      </c>
      <c r="Y782">
        <f>IF($V782,$X782,$W782)</f>
        <v/>
      </c>
      <c r="Z782">
        <f>IF($V782,IF($P782="","",$P782),IF($O782="","",$O782))</f>
        <v/>
      </c>
      <c r="AA782">
        <f>IF(OR($Q782="",$Z782=""),"",IF(AND($Z782&gt;0,$Z782&gt;=$Q782),"yes","below the line"))</f>
        <v/>
      </c>
      <c r="AB782">
        <f>IF($V782,IF($M782="","",$M782),IF($K782="","",$K782))</f>
        <v/>
      </c>
      <c r="AC782">
        <f>IF($V782,IF($N782="","",$N782),IF($L782="","",$L782))</f>
        <v/>
      </c>
      <c r="AD782">
        <f>IF($Y782="","",IF($Y782="in line",IF(profit_kind="test",IF(ROUND($AB782*100,2)=0,"0.00",TEXT($AB782*100,"+0.00;-0.00"))&amp;" points against "&amp;IF($V782,"its band","the book")&amp;", "&amp;IF($AC782="","not tested","not significant"),IF(profit_kind="points","within "&amp;TEXT(profit_line*100,"0.00")&amp;" points of "&amp;IF($V782,"its band","the book")&amp;" ("&amp;IF(ROUND($AB782*100,2)=0,"0.00",TEXT($AB782*100,"+0.00;-0.00"))&amp;")","within $"&amp;TEXT(profit_line,"#,##0")&amp;" of "&amp;IF($V782,"its band","the book")&amp;" ("&amp;IF(ROUND($AB782*100,2)=0,"0.00",TEXT($AB782*100,"+0.00;-0.00"))&amp;" points)")),IF(LEFT($Y782,5)="worse","short of ","ahead of ")&amp;IF($V782,"its band","the book")&amp;" by "&amp;TEXT(ABS($AB782)*100,"0.00")&amp;" points"&amp;IF($Z782="",""," ($"&amp;TEXT(ABS($Z782),"#,##0")&amp;")")&amp;IF(RIGHT($Y782,15)="not significant"," (not significant)","")))</f>
        <v/>
      </c>
      <c r="AE782">
        <f>IF($V782,IF($S782="","",$S782),IF($R782="","",$R782))</f>
        <v/>
      </c>
      <c r="AF782">
        <f>IF($V782,IF($U782="","",$U782),IF($T782="","",$T782))</f>
        <v/>
      </c>
      <c r="AG782">
        <f>IF($V782,IF($O782="","",$O782),IF($P782="","",$P782))</f>
        <v/>
      </c>
      <c r="AH782" t="n">
        <v>0.1382416062362677</v>
      </c>
      <c r="AI782">
        <f>IF($Y782="worse","Yes",IF($Y782="worse, not significant","Not sure",IF(OR($Y782="too few losses to test",$Y782="too few loans to test"),"Too few losses",IF($Y782="","","No"))))</f>
        <v/>
      </c>
      <c r="AJ782">
        <f>IF($AA782="yes","Yes",IF($AA782="","","No"))</f>
        <v/>
      </c>
    </row>
    <row r="783">
      <c r="A783" t="inlineStr">
        <is>
          <t>three-way</t>
        </is>
      </c>
      <c r="B783" t="inlineStr">
        <is>
          <t>FICO x ASSET_CLASS / SYS_FLAG</t>
        </is>
      </c>
      <c r="C783" t="inlineStr">
        <is>
          <t>654 - 685</t>
        </is>
      </c>
      <c r="D783" t="inlineStr">
        <is>
          <t>3 / SYS_FLAG Y</t>
        </is>
      </c>
      <c r="E783" t="inlineStr">
        <is>
          <t>contribution_rate</t>
        </is>
      </c>
      <c r="F783" t="inlineStr">
        <is>
          <t>Contribution before losses per booked dollar</t>
        </is>
      </c>
      <c r="G783" t="n">
        <v>193</v>
      </c>
      <c r="H783" t="n">
        <v>6009933.279999998</v>
      </c>
      <c r="I783" t="b">
        <v>0</v>
      </c>
      <c r="J783" t="b">
        <v>0</v>
      </c>
      <c r="K783" t="n">
        <v>0.02672465920934033</v>
      </c>
      <c r="L783" t="n">
        <v>0.01071767823217678</v>
      </c>
      <c r="M783" t="n">
        <v>-0.01434192693708902</v>
      </c>
      <c r="N783" t="n">
        <v>0.5536900855369009</v>
      </c>
      <c r="O783" t="n">
        <v>-160613.4187788728</v>
      </c>
      <c r="P783" t="n">
        <v>86194.02399853989</v>
      </c>
      <c r="Q783">
        <f>'_live'!$C$24</f>
        <v/>
      </c>
      <c r="R783" t="inlineStr">
        <is>
          <t>shuffled: 69 of 10,000</t>
        </is>
      </c>
      <c r="S783" t="inlineStr">
        <is>
          <t>shuffled: 1,173 of 10,000</t>
        </is>
      </c>
      <c r="T783" t="n">
        <v>0.1689699924956785</v>
      </c>
      <c r="U783" t="n">
        <v>0.2100365786421078</v>
      </c>
      <c r="V783">
        <f>AND(judged_band,NOT($J783))</f>
        <v/>
      </c>
      <c r="W783">
        <f>IF($K783="","",IF(profit_kind="test",IF(OR(NOT(AND(ISNUMBER($L783),$L783&lt;significance_bar)),$K783=0),"in line",IF($K783&lt;0,"worse","better")),IF(OR($K783=0,IF(profit_kind="points",ABS($K783),ABS($K783*$H783))&lt;profit_line*(1-1E-9)),"in line",IF(AND(ISNUMBER($L783),$L783&lt;significance_bar),IF($K783&lt;0,"worse","better"),IF($K783&lt;0,"worse, not significant","better, not significant")))))</f>
        <v/>
      </c>
      <c r="X783">
        <f>IF($M783="","",IF(profit_kind="test",IF(OR(NOT(AND(ISNUMBER($N783),$N783&lt;significance_bar)),$M783=0),"in line",IF($M783&lt;0,"worse","better")),IF(OR($M783=0,IF(profit_kind="points",ABS($M783),ABS($M783*$H783))&lt;profit_line*(1-1E-9)),"in line",IF(AND(ISNUMBER($N783),$N783&lt;significance_bar),IF($M783&lt;0,"worse","better"),IF($M783&lt;0,"worse, not significant","better, not significant")))))</f>
        <v/>
      </c>
      <c r="Y783">
        <f>IF($V783,$X783,$W783)</f>
        <v/>
      </c>
      <c r="Z783">
        <f>IF($V783,IF($P783="","",$P783),IF($O783="","",$O783))</f>
        <v/>
      </c>
      <c r="AA783">
        <f>IF(OR($Q783="",$Z783=""),"",IF(AND($Z783&gt;0,$Z783&gt;=$Q783),"yes","below the line"))</f>
        <v/>
      </c>
      <c r="AB783">
        <f>IF($V783,IF($M783="","",$M783),IF($K783="","",$K783))</f>
        <v/>
      </c>
      <c r="AC783">
        <f>IF($V783,IF($N783="","",$N783),IF($L783="","",$L783))</f>
        <v/>
      </c>
      <c r="AD783">
        <f>IF($Y783="","",IF($Y783="in line",IF(profit_kind="test",IF(ROUND($AB783*100,2)=0,"0.00",TEXT($AB783*100,"+0.00;-0.00"))&amp;" points against "&amp;IF($V783,"its band","the book")&amp;", "&amp;IF($AC783="","not tested","not significant"),IF(profit_kind="points","within "&amp;TEXT(profit_line*100,"0.00")&amp;" points of "&amp;IF($V783,"its band","the book")&amp;" ("&amp;IF(ROUND($AB783*100,2)=0,"0.00",TEXT($AB783*100,"+0.00;-0.00"))&amp;")","within $"&amp;TEXT(profit_line,"#,##0")&amp;" of "&amp;IF($V783,"its band","the book")&amp;" ("&amp;IF(ROUND($AB783*100,2)=0,"0.00",TEXT($AB783*100,"+0.00;-0.00"))&amp;" points)")),IF(LEFT($Y783,5)="worse","short of ","ahead of ")&amp;IF($V783,"its band","the book")&amp;" by "&amp;TEXT(ABS($AB783)*100,"0.00")&amp;" points"&amp;IF($Z783="",""," ($"&amp;TEXT(ABS($Z783),"#,##0")&amp;")")&amp;IF(RIGHT($Y783,15)="not significant"," (not significant)","")))</f>
        <v/>
      </c>
      <c r="AE783">
        <f>IF($V783,IF($S783="","",$S783),IF($R783="","",$R783))</f>
        <v/>
      </c>
      <c r="AF783">
        <f>IF($V783,IF($U783="","",$U783),IF($T783="","",$T783))</f>
        <v/>
      </c>
      <c r="AG783">
        <f>IF($V783,IF($O783="","",$O783),IF($P783="","",$P783))</f>
        <v/>
      </c>
      <c r="AH783" t="n">
        <v>0.1956946517050188</v>
      </c>
      <c r="AI783">
        <f>IF($Y783="worse","Yes",IF($Y783="worse, not significant","Not sure",IF(OR($Y783="too few losses to test",$Y783="too few loans to test"),"Too few losses",IF($Y783="","","No"))))</f>
        <v/>
      </c>
      <c r="AJ783">
        <f>IF($AA783="yes","Yes",IF($AA783="","","No"))</f>
        <v/>
      </c>
    </row>
    <row r="784">
      <c r="A784" t="inlineStr">
        <is>
          <t>three-way</t>
        </is>
      </c>
      <c r="B784" t="inlineStr">
        <is>
          <t>FICO x ASSET_CLASS / SYS_FLAG</t>
        </is>
      </c>
      <c r="C784" t="inlineStr">
        <is>
          <t>496 - 653</t>
        </is>
      </c>
      <c r="D784" t="inlineStr">
        <is>
          <t>4 / SYS_FLAG Y</t>
        </is>
      </c>
      <c r="E784" t="inlineStr">
        <is>
          <t>outcome_loans</t>
        </is>
      </c>
      <c r="F784" t="inlineStr">
        <is>
          <t>Outcome, share of loans</t>
        </is>
      </c>
      <c r="G784" t="n">
        <v>189</v>
      </c>
      <c r="H784" t="n">
        <v>189</v>
      </c>
      <c r="I784" t="b">
        <v>0</v>
      </c>
      <c r="J784" t="b">
        <v>0</v>
      </c>
      <c r="K784" t="n">
        <v>3.317358744932916</v>
      </c>
      <c r="L784" t="n">
        <v>1.415463694111075e-16</v>
      </c>
      <c r="M784" t="n">
        <v>1.768434087583024</v>
      </c>
      <c r="N784" t="n">
        <v>0.003593834123270396</v>
      </c>
      <c r="O784" t="n">
        <v>32.13354673495519</v>
      </c>
      <c r="P784" t="n">
        <v>19.98828696925329</v>
      </c>
      <c r="Q784">
        <f>'_live'!$C$20</f>
        <v/>
      </c>
      <c r="R784" t="inlineStr">
        <is>
          <t>z test</t>
        </is>
      </c>
      <c r="S784" t="inlineStr">
        <is>
          <t>z test</t>
        </is>
      </c>
      <c r="T784" t="n">
        <v>0.0733674775928297</v>
      </c>
      <c r="U784" t="n">
        <v>0.1376281112737921</v>
      </c>
      <c r="V784">
        <f>AND(judged_band,NOT($J784))</f>
        <v/>
      </c>
      <c r="W784">
        <f>IF($K784="","",IF($I784,"too few losses to test",IF(AND($K784&gt;better_at,$K784&lt;worse_at),"in line",IF($K784&gt;=worse_at,IF(AND(ISNUMBER($L784),$L784&lt;significance_bar),"worse","worse, not significant"),IF(AND(ISNUMBER($L784),$L784&lt;significance_bar),"better","better, not significant")))))</f>
        <v/>
      </c>
      <c r="X784">
        <f>IF($M784="","",IF($I784,"too few losses to test",IF(AND($M784&gt;better_at,$M784&lt;worse_at),"in line",IF($M784&gt;=worse_at,IF(AND(ISNUMBER($N784),$N784&lt;significance_bar),"worse","worse, not significant"),IF(AND(ISNUMBER($N784),$N784&lt;significance_bar),"better","better, not significant")))))</f>
        <v/>
      </c>
      <c r="Y784">
        <f>IF($V784,$X784,$W784)</f>
        <v/>
      </c>
      <c r="Z784">
        <f>IF($V784,IF($P784="","",$P784),IF($O784="","",$O784))</f>
        <v/>
      </c>
      <c r="AA784">
        <f>IF(OR($Q784="",$Z784=""),"",IF(AND($Z784&gt;0,$Z784&gt;=$Q784),"yes","below the line"))</f>
        <v/>
      </c>
      <c r="AB784">
        <f>IF($V784,IF($M784="","",$M784),IF($K784="","",$K784))</f>
        <v/>
      </c>
      <c r="AC784">
        <f>IF($V784,IF($N784="","",$N784),IF($L784="","",$L784))</f>
        <v/>
      </c>
      <c r="AD784">
        <f>$Y784</f>
        <v/>
      </c>
      <c r="AE784">
        <f>IF($V784,IF($S784="","",$S784),IF($R784="","",$R784))</f>
        <v/>
      </c>
      <c r="AF784">
        <f>IF($V784,IF($U784="","",$U784),IF($T784="","",$T784))</f>
        <v/>
      </c>
      <c r="AG784">
        <f>IF($V784,IF($O784="","",$O784),IF($P784="","",$P784))</f>
        <v/>
      </c>
      <c r="AH784" t="n">
        <v>0.2433862433862434</v>
      </c>
      <c r="AI784">
        <f>IF($Y784="worse","Yes",IF($Y784="worse, not significant","Not sure",IF(OR($Y784="too few losses to test",$Y784="too few loans to test"),"Too few losses",IF($Y784="","","No"))))</f>
        <v/>
      </c>
      <c r="AJ784">
        <f>IF($AA784="yes","Yes",IF($AA784="","","No"))</f>
        <v/>
      </c>
    </row>
    <row r="785">
      <c r="A785" t="inlineStr">
        <is>
          <t>three-way</t>
        </is>
      </c>
      <c r="B785" t="inlineStr">
        <is>
          <t>FICO x ASSET_CLASS / SYS_FLAG</t>
        </is>
      </c>
      <c r="C785" t="inlineStr">
        <is>
          <t>496 - 653</t>
        </is>
      </c>
      <c r="D785" t="inlineStr">
        <is>
          <t>4 / SYS_FLAG Y</t>
        </is>
      </c>
      <c r="E785" t="inlineStr">
        <is>
          <t>outcome_booked</t>
        </is>
      </c>
      <c r="F785" t="inlineStr">
        <is>
          <t>Outcome, share of booked dollars</t>
        </is>
      </c>
      <c r="G785" t="n">
        <v>189</v>
      </c>
      <c r="H785" t="n">
        <v>5755233.75</v>
      </c>
      <c r="I785" t="b">
        <v>0</v>
      </c>
      <c r="J785" t="b">
        <v>0</v>
      </c>
      <c r="K785" t="n">
        <v>4.248427364120097</v>
      </c>
      <c r="L785" t="n">
        <v>0.0012998700129987</v>
      </c>
      <c r="M785" t="n">
        <v>2.274733849473625</v>
      </c>
      <c r="N785" t="n">
        <v>0.002599740025997401</v>
      </c>
      <c r="O785" t="n">
        <v>1304447.360127758</v>
      </c>
      <c r="P785" t="n">
        <v>956027.8050857573</v>
      </c>
      <c r="Q785">
        <f>'_live'!$C$21</f>
        <v/>
      </c>
      <c r="R785" t="inlineStr">
        <is>
          <t>shuffled: 0 of 10,000</t>
        </is>
      </c>
      <c r="S785" t="inlineStr">
        <is>
          <t>shuffled: 0 of 10,000</t>
        </is>
      </c>
      <c r="T785" t="n">
        <v>0.06977348745778431</v>
      </c>
      <c r="U785" t="n">
        <v>0.1303130884847626</v>
      </c>
      <c r="V785">
        <f>AND(judged_band,NOT($J785))</f>
        <v/>
      </c>
      <c r="W785">
        <f>IF($K785="","",IF($I785,"too few losses to test",IF(AND($K785&gt;better_at,$K785&lt;worse_at),"in line",IF($K785&gt;=worse_at,IF(AND(ISNUMBER($L785),$L785&lt;significance_bar),"worse","worse, not significant"),IF(AND(ISNUMBER($L785),$L785&lt;significance_bar),"better","better, not significant")))))</f>
        <v/>
      </c>
      <c r="X785">
        <f>IF($M785="","",IF($I785,"too few losses to test",IF(AND($M785&gt;better_at,$M785&lt;worse_at),"in line",IF($M785&gt;=worse_at,IF(AND(ISNUMBER($N785),$N785&lt;significance_bar),"worse","worse, not significant"),IF(AND(ISNUMBER($N785),$N785&lt;significance_bar),"better","better, not significant")))))</f>
        <v/>
      </c>
      <c r="Y785">
        <f>IF($V785,$X785,$W785)</f>
        <v/>
      </c>
      <c r="Z785">
        <f>IF($V785,IF($P785="","",$P785),IF($O785="","",$O785))</f>
        <v/>
      </c>
      <c r="AA785">
        <f>IF(OR($Q785="",$Z785=""),"",IF(AND($Z785&gt;0,$Z785&gt;=$Q785),"yes","below the line"))</f>
        <v/>
      </c>
      <c r="AB785">
        <f>IF($V785,IF($M785="","",$M785),IF($K785="","",$K785))</f>
        <v/>
      </c>
      <c r="AC785">
        <f>IF($V785,IF($N785="","",$N785),IF($L785="","",$L785))</f>
        <v/>
      </c>
      <c r="AD785">
        <f>$Y785</f>
        <v/>
      </c>
      <c r="AE785">
        <f>IF($V785,IF($S785="","",$S785),IF($R785="","",$R785))</f>
        <v/>
      </c>
      <c r="AF785">
        <f>IF($V785,IF($U785="","",$U785),IF($T785="","",$T785))</f>
        <v/>
      </c>
      <c r="AG785">
        <f>IF($V785,IF($O785="","",$O785),IF($P785="","",$P785))</f>
        <v/>
      </c>
      <c r="AH785" t="n">
        <v>0.2964275934057412</v>
      </c>
      <c r="AI785">
        <f>IF($Y785="worse","Yes",IF($Y785="worse, not significant","Not sure",IF(OR($Y785="too few losses to test",$Y785="too few loans to test"),"Too few losses",IF($Y785="","","No"))))</f>
        <v/>
      </c>
      <c r="AJ785">
        <f>IF($AA785="yes","Yes",IF($AA785="","","No"))</f>
        <v/>
      </c>
    </row>
    <row r="786">
      <c r="A786" t="inlineStr">
        <is>
          <t>three-way</t>
        </is>
      </c>
      <c r="B786" t="inlineStr">
        <is>
          <t>FICO x ASSET_CLASS / SYS_FLAG</t>
        </is>
      </c>
      <c r="C786" t="inlineStr">
        <is>
          <t>496 - 653</t>
        </is>
      </c>
      <c r="D786" t="inlineStr">
        <is>
          <t>4 / SYS_FLAG Y</t>
        </is>
      </c>
      <c r="E786" t="inlineStr">
        <is>
          <t>gco_rate</t>
        </is>
      </c>
      <c r="F786" t="inlineStr">
        <is>
          <t>GCO per booked dollar</t>
        </is>
      </c>
      <c r="G786" t="n">
        <v>189</v>
      </c>
      <c r="H786" t="n">
        <v>5755233.75</v>
      </c>
      <c r="I786" t="b">
        <v>0</v>
      </c>
      <c r="J786" t="b">
        <v>0</v>
      </c>
      <c r="K786" t="n">
        <v>3.878325437378352</v>
      </c>
      <c r="L786" t="n">
        <v>0.0006499350064993501</v>
      </c>
      <c r="M786" t="n">
        <v>2.028899747601855</v>
      </c>
      <c r="N786" t="n">
        <v>0.005199480051994801</v>
      </c>
      <c r="O786" t="n">
        <v>647631.4365546019</v>
      </c>
      <c r="P786" t="n">
        <v>442532.0678318283</v>
      </c>
      <c r="Q786">
        <f>'_live'!$C$22</f>
        <v/>
      </c>
      <c r="R786" t="inlineStr">
        <is>
          <t>shuffled: 0 of 10,000</t>
        </is>
      </c>
      <c r="S786" t="inlineStr">
        <is>
          <t>shuffled: 1 of 10,000</t>
        </is>
      </c>
      <c r="T786" t="n">
        <v>0.03909534577034302</v>
      </c>
      <c r="U786" t="n">
        <v>0.07473236376683597</v>
      </c>
      <c r="V786">
        <f>AND(judged_band,NOT($J786))</f>
        <v/>
      </c>
      <c r="W786">
        <f>IF($K786="","",IF($I786,"too few losses to test",IF(AND($K786&gt;better_at,$K786&lt;worse_at),"in line",IF($K786&gt;=worse_at,IF(AND(ISNUMBER($L786),$L786&lt;significance_bar),"worse","worse, not significant"),IF(AND(ISNUMBER($L786),$L786&lt;significance_bar),"better","better, not significant")))))</f>
        <v/>
      </c>
      <c r="X786">
        <f>IF($M786="","",IF($I786,"too few losses to test",IF(AND($M786&gt;better_at,$M786&lt;worse_at),"in line",IF($M786&gt;=worse_at,IF(AND(ISNUMBER($N786),$N786&lt;significance_bar),"worse","worse, not significant"),IF(AND(ISNUMBER($N786),$N786&lt;significance_bar),"better","better, not significant")))))</f>
        <v/>
      </c>
      <c r="Y786">
        <f>IF($V786,$X786,$W786)</f>
        <v/>
      </c>
      <c r="Z786">
        <f>IF($V786,IF($P786="","",$P786),IF($O786="","",$O786))</f>
        <v/>
      </c>
      <c r="AA786">
        <f>IF(OR($Q786="",$Z786=""),"",IF(AND($Z786&gt;0,$Z786&gt;=$Q786),"yes","below the line"))</f>
        <v/>
      </c>
      <c r="AB786">
        <f>IF($V786,IF($M786="","",$M786),IF($K786="","",$K786))</f>
        <v/>
      </c>
      <c r="AC786">
        <f>IF($V786,IF($N786="","",$N786),IF($L786="","",$L786))</f>
        <v/>
      </c>
      <c r="AD786">
        <f>$Y786</f>
        <v/>
      </c>
      <c r="AE786">
        <f>IF($V786,IF($S786="","",$S786),IF($R786="","",$R786))</f>
        <v/>
      </c>
      <c r="AF786">
        <f>IF($V786,IF($U786="","",$U786),IF($T786="","",$T786))</f>
        <v/>
      </c>
      <c r="AG786">
        <f>IF($V786,IF($O786="","",$O786),IF($P786="","",$P786))</f>
        <v/>
      </c>
      <c r="AH786" t="n">
        <v>0.1516244739842235</v>
      </c>
      <c r="AI786">
        <f>IF($Y786="worse","Yes",IF($Y786="worse, not significant","Not sure",IF(OR($Y786="too few losses to test",$Y786="too few loans to test"),"Too few losses",IF($Y786="","","No"))))</f>
        <v/>
      </c>
      <c r="AJ786">
        <f>IF($AA786="yes","Yes",IF($AA786="","","No"))</f>
        <v/>
      </c>
    </row>
    <row r="787">
      <c r="A787" t="inlineStr">
        <is>
          <t>three-way</t>
        </is>
      </c>
      <c r="B787" t="inlineStr">
        <is>
          <t>FICO x ASSET_CLASS / SYS_FLAG</t>
        </is>
      </c>
      <c r="C787" t="inlineStr">
        <is>
          <t>496 - 653</t>
        </is>
      </c>
      <c r="D787" t="inlineStr">
        <is>
          <t>4 / SYS_FLAG Y</t>
        </is>
      </c>
      <c r="E787" t="inlineStr">
        <is>
          <t>ranr_rate</t>
        </is>
      </c>
      <c r="F787" t="inlineStr">
        <is>
          <t>Profit after losses: RANR per booked dollar</t>
        </is>
      </c>
      <c r="G787" t="n">
        <v>189</v>
      </c>
      <c r="H787" t="n">
        <v>5755233.75</v>
      </c>
      <c r="I787" t="b">
        <v>0</v>
      </c>
      <c r="J787" t="b">
        <v>0</v>
      </c>
      <c r="K787" t="n">
        <v>-0.006303639092055696</v>
      </c>
      <c r="L787" t="n">
        <v>0.7254541212545411</v>
      </c>
      <c r="M787" t="n">
        <v>-0.07708705800213783</v>
      </c>
      <c r="N787" t="n">
        <v>0.007199280071992801</v>
      </c>
      <c r="O787" t="n">
        <v>36278.9164504183</v>
      </c>
      <c r="P787" t="n">
        <v>443654.0379021113</v>
      </c>
      <c r="Q787">
        <f>'_live'!$C$23</f>
        <v/>
      </c>
      <c r="R787" t="inlineStr">
        <is>
          <t>shuffled: 6,662 of 10,000</t>
        </is>
      </c>
      <c r="S787" t="inlineStr">
        <is>
          <t>shuffled: 2 of 10,000</t>
        </is>
      </c>
      <c r="T787" t="n">
        <v>0.1281306283086101</v>
      </c>
      <c r="U787" t="n">
        <v>0.1989140472186923</v>
      </c>
      <c r="V787">
        <f>AND(judged_band,NOT($J787))</f>
        <v/>
      </c>
      <c r="W787">
        <f>IF($K787="","",IF(profit_kind="test",IF(OR(NOT(AND(ISNUMBER($L787),$L787&lt;significance_bar)),$K787=0),"in line",IF($K787&lt;0,"worse","better")),IF(OR($K787=0,IF(profit_kind="points",ABS($K787),ABS($K787*$H787))&lt;profit_line*(1-1E-9)),"in line",IF(AND(ISNUMBER($L787),$L787&lt;significance_bar),IF($K787&lt;0,"worse","better"),IF($K787&lt;0,"worse, not significant","better, not significant")))))</f>
        <v/>
      </c>
      <c r="X787">
        <f>IF($M787="","",IF(profit_kind="test",IF(OR(NOT(AND(ISNUMBER($N787),$N787&lt;significance_bar)),$M787=0),"in line",IF($M787&lt;0,"worse","better")),IF(OR($M787=0,IF(profit_kind="points",ABS($M787),ABS($M787*$H787))&lt;profit_line*(1-1E-9)),"in line",IF(AND(ISNUMBER($N787),$N787&lt;significance_bar),IF($M787&lt;0,"worse","better"),IF($M787&lt;0,"worse, not significant","better, not significant")))))</f>
        <v/>
      </c>
      <c r="Y787">
        <f>IF($V787,$X787,$W787)</f>
        <v/>
      </c>
      <c r="Z787">
        <f>IF($V787,IF($P787="","",$P787),IF($O787="","",$O787))</f>
        <v/>
      </c>
      <c r="AA787">
        <f>IF(OR($Q787="",$Z787=""),"",IF(AND($Z787&gt;0,$Z787&gt;=$Q787),"yes","below the line"))</f>
        <v/>
      </c>
      <c r="AB787">
        <f>IF($V787,IF($M787="","",$M787),IF($K787="","",$K787))</f>
        <v/>
      </c>
      <c r="AC787">
        <f>IF($V787,IF($N787="","",$N787),IF($L787="","",$L787))</f>
        <v/>
      </c>
      <c r="AD787">
        <f>IF($Y787="","",IF($Y787="in line",IF(profit_kind="test",IF(ROUND($AB787*100,2)=0,"0.00",TEXT($AB787*100,"+0.00;-0.00"))&amp;" points against "&amp;IF($V787,"its band","the book")&amp;", "&amp;IF($AC787="","not tested","not significant"),IF(profit_kind="points","within "&amp;TEXT(profit_line*100,"0.00")&amp;" points of "&amp;IF($V787,"its band","the book")&amp;" ("&amp;IF(ROUND($AB787*100,2)=0,"0.00",TEXT($AB787*100,"+0.00;-0.00"))&amp;")","within $"&amp;TEXT(profit_line,"#,##0")&amp;" of "&amp;IF($V787,"its band","the book")&amp;" ("&amp;IF(ROUND($AB787*100,2)=0,"0.00",TEXT($AB787*100,"+0.00;-0.00"))&amp;" points)")),IF(LEFT($Y787,5)="worse","short of ","ahead of ")&amp;IF($V787,"its band","the book")&amp;" by "&amp;TEXT(ABS($AB787)*100,"0.00")&amp;" points"&amp;IF($Z787="",""," ($"&amp;TEXT(ABS($Z787),"#,##0")&amp;")")&amp;IF(RIGHT($Y787,15)="not significant"," (not significant)","")))</f>
        <v/>
      </c>
      <c r="AE787">
        <f>IF($V787,IF($S787="","",$S787),IF($R787="","",$R787))</f>
        <v/>
      </c>
      <c r="AF787">
        <f>IF($V787,IF($U787="","",$U787),IF($T787="","",$T787))</f>
        <v/>
      </c>
      <c r="AG787">
        <f>IF($V787,IF($O787="","",$O787),IF($P787="","",$P787))</f>
        <v/>
      </c>
      <c r="AH787" t="n">
        <v>0.1218269892165544</v>
      </c>
      <c r="AI787">
        <f>IF($Y787="worse","Yes",IF($Y787="worse, not significant","Not sure",IF(OR($Y787="too few losses to test",$Y787="too few loans to test"),"Too few losses",IF($Y787="","","No"))))</f>
        <v/>
      </c>
      <c r="AJ787">
        <f>IF($AA787="yes","Yes",IF($AA787="","","No"))</f>
        <v/>
      </c>
    </row>
    <row r="788">
      <c r="A788" t="inlineStr">
        <is>
          <t>three-way</t>
        </is>
      </c>
      <c r="B788" t="inlineStr">
        <is>
          <t>FICO x ASSET_CLASS / SYS_FLAG</t>
        </is>
      </c>
      <c r="C788" t="inlineStr">
        <is>
          <t>496 - 653</t>
        </is>
      </c>
      <c r="D788" t="inlineStr">
        <is>
          <t>4 / SYS_FLAG Y</t>
        </is>
      </c>
      <c r="E788" t="inlineStr">
        <is>
          <t>contribution_rate</t>
        </is>
      </c>
      <c r="F788" t="inlineStr">
        <is>
          <t>Contribution before losses per booked dollar</t>
        </is>
      </c>
      <c r="G788" t="n">
        <v>189</v>
      </c>
      <c r="H788" t="n">
        <v>5755233.75</v>
      </c>
      <c r="I788" t="b">
        <v>0</v>
      </c>
      <c r="J788" t="b">
        <v>0</v>
      </c>
      <c r="K788" t="n">
        <v>0.1062283914836235</v>
      </c>
      <c r="L788" t="n">
        <v>0.0001814633351479667</v>
      </c>
      <c r="M788" t="n">
        <v>-0.0001949477847504322</v>
      </c>
      <c r="N788" t="n">
        <v>0.9857014298570143</v>
      </c>
      <c r="O788" t="n">
        <v>-611369.2238747624</v>
      </c>
      <c r="P788" t="n">
        <v>1121.970070283627</v>
      </c>
      <c r="Q788">
        <f>'_live'!$C$24</f>
        <v/>
      </c>
      <c r="R788" t="inlineStr">
        <is>
          <t>shuffled: 0 of 10,000</t>
        </is>
      </c>
      <c r="S788" t="inlineStr">
        <is>
          <t>shuffled: 9,857 of 10,000</t>
        </is>
      </c>
      <c r="T788" t="n">
        <v>0.1672230717171544</v>
      </c>
      <c r="U788" t="n">
        <v>0.2736464109855283</v>
      </c>
      <c r="V788">
        <f>AND(judged_band,NOT($J788))</f>
        <v/>
      </c>
      <c r="W788">
        <f>IF($K788="","",IF(profit_kind="test",IF(OR(NOT(AND(ISNUMBER($L788),$L788&lt;significance_bar)),$K788=0),"in line",IF($K788&lt;0,"worse","better")),IF(OR($K788=0,IF(profit_kind="points",ABS($K788),ABS($K788*$H788))&lt;profit_line*(1-1E-9)),"in line",IF(AND(ISNUMBER($L788),$L788&lt;significance_bar),IF($K788&lt;0,"worse","better"),IF($K788&lt;0,"worse, not significant","better, not significant")))))</f>
        <v/>
      </c>
      <c r="X788">
        <f>IF($M788="","",IF(profit_kind="test",IF(OR(NOT(AND(ISNUMBER($N788),$N788&lt;significance_bar)),$M788=0),"in line",IF($M788&lt;0,"worse","better")),IF(OR($M788=0,IF(profit_kind="points",ABS($M788),ABS($M788*$H788))&lt;profit_line*(1-1E-9)),"in line",IF(AND(ISNUMBER($N788),$N788&lt;significance_bar),IF($M788&lt;0,"worse","better"),IF($M788&lt;0,"worse, not significant","better, not significant")))))</f>
        <v/>
      </c>
      <c r="Y788">
        <f>IF($V788,$X788,$W788)</f>
        <v/>
      </c>
      <c r="Z788">
        <f>IF($V788,IF($P788="","",$P788),IF($O788="","",$O788))</f>
        <v/>
      </c>
      <c r="AA788">
        <f>IF(OR($Q788="",$Z788=""),"",IF(AND($Z788&gt;0,$Z788&gt;=$Q788),"yes","below the line"))</f>
        <v/>
      </c>
      <c r="AB788">
        <f>IF($V788,IF($M788="","",$M788),IF($K788="","",$K788))</f>
        <v/>
      </c>
      <c r="AC788">
        <f>IF($V788,IF($N788="","",$N788),IF($L788="","",$L788))</f>
        <v/>
      </c>
      <c r="AD788">
        <f>IF($Y788="","",IF($Y788="in line",IF(profit_kind="test",IF(ROUND($AB788*100,2)=0,"0.00",TEXT($AB788*100,"+0.00;-0.00"))&amp;" points against "&amp;IF($V788,"its band","the book")&amp;", "&amp;IF($AC788="","not tested","not significant"),IF(profit_kind="points","within "&amp;TEXT(profit_line*100,"0.00")&amp;" points of "&amp;IF($V788,"its band","the book")&amp;" ("&amp;IF(ROUND($AB788*100,2)=0,"0.00",TEXT($AB788*100,"+0.00;-0.00"))&amp;")","within $"&amp;TEXT(profit_line,"#,##0")&amp;" of "&amp;IF($V788,"its band","the book")&amp;" ("&amp;IF(ROUND($AB788*100,2)=0,"0.00",TEXT($AB788*100,"+0.00;-0.00"))&amp;" points)")),IF(LEFT($Y788,5)="worse","short of ","ahead of ")&amp;IF($V788,"its band","the book")&amp;" by "&amp;TEXT(ABS($AB788)*100,"0.00")&amp;" points"&amp;IF($Z788="",""," ($"&amp;TEXT(ABS($Z788),"#,##0")&amp;")")&amp;IF(RIGHT($Y788,15)="not significant"," (not significant)","")))</f>
        <v/>
      </c>
      <c r="AE788">
        <f>IF($V788,IF($S788="","",$S788),IF($R788="","",$R788))</f>
        <v/>
      </c>
      <c r="AF788">
        <f>IF($V788,IF($U788="","",$U788),IF($T788="","",$T788))</f>
        <v/>
      </c>
      <c r="AG788">
        <f>IF($V788,IF($O788="","",$O788),IF($P788="","",$P788))</f>
        <v/>
      </c>
      <c r="AH788" t="n">
        <v>0.2734514632007779</v>
      </c>
      <c r="AI788">
        <f>IF($Y788="worse","Yes",IF($Y788="worse, not significant","Not sure",IF(OR($Y788="too few losses to test",$Y788="too few loans to test"),"Too few losses",IF($Y788="","","No"))))</f>
        <v/>
      </c>
      <c r="AJ788">
        <f>IF($AA788="yes","Yes",IF($AA788="","","No"))</f>
        <v/>
      </c>
    </row>
    <row r="789">
      <c r="A789" t="inlineStr">
        <is>
          <t>three-way</t>
        </is>
      </c>
      <c r="B789" t="inlineStr">
        <is>
          <t>FICO x ASSET_CLASS / SYS_FLAG</t>
        </is>
      </c>
      <c r="C789" t="inlineStr">
        <is>
          <t>686 - 711</t>
        </is>
      </c>
      <c r="D789" t="inlineStr">
        <is>
          <t>3 / SYS_FLAG N</t>
        </is>
      </c>
      <c r="E789" t="inlineStr">
        <is>
          <t>outcome_loans</t>
        </is>
      </c>
      <c r="F789" t="inlineStr">
        <is>
          <t>Outcome, share of loans</t>
        </is>
      </c>
      <c r="G789" t="n">
        <v>192</v>
      </c>
      <c r="H789" t="n">
        <v>192</v>
      </c>
      <c r="I789" t="b">
        <v>0</v>
      </c>
      <c r="J789" t="b">
        <v>0</v>
      </c>
      <c r="K789" t="n">
        <v>0.6676758347016968</v>
      </c>
      <c r="L789" t="n">
        <v>0.3955168456979902</v>
      </c>
      <c r="M789" t="n">
        <v>0.8296996124031008</v>
      </c>
      <c r="N789" t="n">
        <v>0.7325767837628765</v>
      </c>
      <c r="O789" t="n">
        <v>-4.977328038939413</v>
      </c>
      <c r="P789" t="n">
        <v>-2.052554744525548</v>
      </c>
      <c r="Q789">
        <f>'_live'!$C$20</f>
        <v/>
      </c>
      <c r="R789" t="inlineStr">
        <is>
          <t>z test</t>
        </is>
      </c>
      <c r="S789" t="inlineStr">
        <is>
          <t>z test</t>
        </is>
      </c>
      <c r="T789" t="n">
        <v>0.07800691686947611</v>
      </c>
      <c r="U789" t="n">
        <v>0.06277372262773723</v>
      </c>
      <c r="V789">
        <f>AND(judged_band,NOT($J789))</f>
        <v/>
      </c>
      <c r="W789">
        <f>IF($K789="","",IF($I789,"too few losses to test",IF(AND($K789&gt;better_at,$K789&lt;worse_at),"in line",IF($K789&gt;=worse_at,IF(AND(ISNUMBER($L789),$L789&lt;significance_bar),"worse","worse, not significant"),IF(AND(ISNUMBER($L789),$L789&lt;significance_bar),"better","better, not significant")))))</f>
        <v/>
      </c>
      <c r="X789">
        <f>IF($M789="","",IF($I789,"too few losses to test",IF(AND($M789&gt;better_at,$M789&lt;worse_at),"in line",IF($M789&gt;=worse_at,IF(AND(ISNUMBER($N789),$N789&lt;significance_bar),"worse","worse, not significant"),IF(AND(ISNUMBER($N789),$N789&lt;significance_bar),"better","better, not significant")))))</f>
        <v/>
      </c>
      <c r="Y789">
        <f>IF($V789,$X789,$W789)</f>
        <v/>
      </c>
      <c r="Z789">
        <f>IF($V789,IF($P789="","",$P789),IF($O789="","",$O789))</f>
        <v/>
      </c>
      <c r="AA789">
        <f>IF(OR($Q789="",$Z789=""),"",IF(AND($Z789&gt;0,$Z789&gt;=$Q789),"yes","below the line"))</f>
        <v/>
      </c>
      <c r="AB789">
        <f>IF($V789,IF($M789="","",$M789),IF($K789="","",$K789))</f>
        <v/>
      </c>
      <c r="AC789">
        <f>IF($V789,IF($N789="","",$N789),IF($L789="","",$L789))</f>
        <v/>
      </c>
      <c r="AD789">
        <f>$Y789</f>
        <v/>
      </c>
      <c r="AE789">
        <f>IF($V789,IF($S789="","",$S789),IF($R789="","",$R789))</f>
        <v/>
      </c>
      <c r="AF789">
        <f>IF($V789,IF($U789="","",$U789),IF($T789="","",$T789))</f>
        <v/>
      </c>
      <c r="AG789">
        <f>IF($V789,IF($O789="","",$O789),IF($P789="","",$P789))</f>
        <v/>
      </c>
      <c r="AH789" t="n">
        <v>0.05208333333333334</v>
      </c>
      <c r="AI789">
        <f>IF($Y789="worse","Yes",IF($Y789="worse, not significant","Not sure",IF(OR($Y789="too few losses to test",$Y789="too few loans to test"),"Too few losses",IF($Y789="","","No"))))</f>
        <v/>
      </c>
      <c r="AJ789">
        <f>IF($AA789="yes","Yes",IF($AA789="","","No"))</f>
        <v/>
      </c>
    </row>
    <row r="790">
      <c r="A790" t="inlineStr">
        <is>
          <t>three-way</t>
        </is>
      </c>
      <c r="B790" t="inlineStr">
        <is>
          <t>FICO x ASSET_CLASS / SYS_FLAG</t>
        </is>
      </c>
      <c r="C790" t="inlineStr">
        <is>
          <t>686 - 711</t>
        </is>
      </c>
      <c r="D790" t="inlineStr">
        <is>
          <t>3 / SYS_FLAG N</t>
        </is>
      </c>
      <c r="E790" t="inlineStr">
        <is>
          <t>outcome_booked</t>
        </is>
      </c>
      <c r="F790" t="inlineStr">
        <is>
          <t>Outcome, share of booked dollars</t>
        </is>
      </c>
      <c r="G790" t="n">
        <v>192</v>
      </c>
      <c r="H790" t="n">
        <v>6314930.580000002</v>
      </c>
      <c r="I790" t="b">
        <v>0</v>
      </c>
      <c r="J790" t="b">
        <v>0</v>
      </c>
      <c r="K790" t="n">
        <v>0.5836763747125797</v>
      </c>
      <c r="L790" t="n">
        <v>0.3392660733926607</v>
      </c>
      <c r="M790" t="n">
        <v>0.7522036532990173</v>
      </c>
      <c r="N790" t="n">
        <v>0.7066705094196463</v>
      </c>
      <c r="O790" t="n">
        <v>-198754.2815533444</v>
      </c>
      <c r="P790" t="n">
        <v>-91794.57427639992</v>
      </c>
      <c r="Q790">
        <f>'_live'!$C$21</f>
        <v/>
      </c>
      <c r="R790" t="inlineStr">
        <is>
          <t>shuffled: 1,304 of 10,000</t>
        </is>
      </c>
      <c r="S790" t="inlineStr">
        <is>
          <t>shuffled: 4,620 of 10,000</t>
        </is>
      </c>
      <c r="T790" t="n">
        <v>0.07559914008640524</v>
      </c>
      <c r="U790" t="n">
        <v>0.05866154973257043</v>
      </c>
      <c r="V790">
        <f>AND(judged_band,NOT($J790))</f>
        <v/>
      </c>
      <c r="W790">
        <f>IF($K790="","",IF($I790,"too few losses to test",IF(AND($K790&gt;better_at,$K790&lt;worse_at),"in line",IF($K790&gt;=worse_at,IF(AND(ISNUMBER($L790),$L790&lt;significance_bar),"worse","worse, not significant"),IF(AND(ISNUMBER($L790),$L790&lt;significance_bar),"better","better, not significant")))))</f>
        <v/>
      </c>
      <c r="X790">
        <f>IF($M790="","",IF($I790,"too few losses to test",IF(AND($M790&gt;better_at,$M790&lt;worse_at),"in line",IF($M790&gt;=worse_at,IF(AND(ISNUMBER($N790),$N790&lt;significance_bar),"worse","worse, not significant"),IF(AND(ISNUMBER($N790),$N790&lt;significance_bar),"better","better, not significant")))))</f>
        <v/>
      </c>
      <c r="Y790">
        <f>IF($V790,$X790,$W790)</f>
        <v/>
      </c>
      <c r="Z790">
        <f>IF($V790,IF($P790="","",$P790),IF($O790="","",$O790))</f>
        <v/>
      </c>
      <c r="AA790">
        <f>IF(OR($Q790="",$Z790=""),"",IF(AND($Z790&gt;0,$Z790&gt;=$Q790),"yes","below the line"))</f>
        <v/>
      </c>
      <c r="AB790">
        <f>IF($V790,IF($M790="","",$M790),IF($K790="","",$K790))</f>
        <v/>
      </c>
      <c r="AC790">
        <f>IF($V790,IF($N790="","",$N790),IF($L790="","",$L790))</f>
        <v/>
      </c>
      <c r="AD790">
        <f>$Y790</f>
        <v/>
      </c>
      <c r="AE790">
        <f>IF($V790,IF($S790="","",$S790),IF($R790="","",$R790))</f>
        <v/>
      </c>
      <c r="AF790">
        <f>IF($V790,IF($U790="","",$U790),IF($T790="","",$T790))</f>
        <v/>
      </c>
      <c r="AG790">
        <f>IF($V790,IF($O790="","",$O790),IF($P790="","",$P790))</f>
        <v/>
      </c>
      <c r="AH790" t="n">
        <v>0.04412543201702147</v>
      </c>
      <c r="AI790">
        <f>IF($Y790="worse","Yes",IF($Y790="worse, not significant","Not sure",IF(OR($Y790="too few losses to test",$Y790="too few loans to test"),"Too few losses",IF($Y790="","","No"))))</f>
        <v/>
      </c>
      <c r="AJ790">
        <f>IF($AA790="yes","Yes",IF($AA790="","","No"))</f>
        <v/>
      </c>
    </row>
    <row r="791">
      <c r="A791" t="inlineStr">
        <is>
          <t>three-way</t>
        </is>
      </c>
      <c r="B791" t="inlineStr">
        <is>
          <t>FICO x ASSET_CLASS / SYS_FLAG</t>
        </is>
      </c>
      <c r="C791" t="inlineStr">
        <is>
          <t>686 - 711</t>
        </is>
      </c>
      <c r="D791" t="inlineStr">
        <is>
          <t>3 / SYS_FLAG N</t>
        </is>
      </c>
      <c r="E791" t="inlineStr">
        <is>
          <t>gco_rate</t>
        </is>
      </c>
      <c r="F791" t="inlineStr">
        <is>
          <t>GCO per booked dollar</t>
        </is>
      </c>
      <c r="G791" t="n">
        <v>192</v>
      </c>
      <c r="H791" t="n">
        <v>6314930.580000002</v>
      </c>
      <c r="I791" t="b">
        <v>0</v>
      </c>
      <c r="J791" t="b">
        <v>0</v>
      </c>
      <c r="K791" t="n">
        <v>0.5886399173778718</v>
      </c>
      <c r="L791" t="n">
        <v>0.3444655534446555</v>
      </c>
      <c r="M791" t="n">
        <v>0.7618706475931187</v>
      </c>
      <c r="N791" t="n">
        <v>0.7543833851908927</v>
      </c>
      <c r="O791" t="n">
        <v>-109177.5767118055</v>
      </c>
      <c r="P791" t="n">
        <v>-48830.67216850162</v>
      </c>
      <c r="Q791">
        <f>'_live'!$C$22</f>
        <v/>
      </c>
      <c r="R791" t="inlineStr">
        <is>
          <t>shuffled: 1,483 of 10,000</t>
        </is>
      </c>
      <c r="S791" t="inlineStr">
        <is>
          <t>shuffled: 4,932 of 10,000</t>
        </is>
      </c>
      <c r="T791" t="n">
        <v>0.04202838706610223</v>
      </c>
      <c r="U791" t="n">
        <v>0.03247216094788829</v>
      </c>
      <c r="V791">
        <f>AND(judged_band,NOT($J791))</f>
        <v/>
      </c>
      <c r="W791">
        <f>IF($K791="","",IF($I791,"too few losses to test",IF(AND($K791&gt;better_at,$K791&lt;worse_at),"in line",IF($K791&gt;=worse_at,IF(AND(ISNUMBER($L791),$L791&lt;significance_bar),"worse","worse, not significant"),IF(AND(ISNUMBER($L791),$L791&lt;significance_bar),"better","better, not significant")))))</f>
        <v/>
      </c>
      <c r="X791">
        <f>IF($M791="","",IF($I791,"too few losses to test",IF(AND($M791&gt;better_at,$M791&lt;worse_at),"in line",IF($M791&gt;=worse_at,IF(AND(ISNUMBER($N791),$N791&lt;significance_bar),"worse","worse, not significant"),IF(AND(ISNUMBER($N791),$N791&lt;significance_bar),"better","better, not significant")))))</f>
        <v/>
      </c>
      <c r="Y791">
        <f>IF($V791,$X791,$W791)</f>
        <v/>
      </c>
      <c r="Z791">
        <f>IF($V791,IF($P791="","",$P791),IF($O791="","",$O791))</f>
        <v/>
      </c>
      <c r="AA791">
        <f>IF(OR($Q791="",$Z791=""),"",IF(AND($Z791&gt;0,$Z791&gt;=$Q791),"yes","below the line"))</f>
        <v/>
      </c>
      <c r="AB791">
        <f>IF($V791,IF($M791="","",$M791),IF($K791="","",$K791))</f>
        <v/>
      </c>
      <c r="AC791">
        <f>IF($V791,IF($N791="","",$N791),IF($L791="","",$L791))</f>
        <v/>
      </c>
      <c r="AD791">
        <f>$Y791</f>
        <v/>
      </c>
      <c r="AE791">
        <f>IF($V791,IF($S791="","",$S791),IF($R791="","",$R791))</f>
        <v/>
      </c>
      <c r="AF791">
        <f>IF($V791,IF($U791="","",$U791),IF($T791="","",$T791))</f>
        <v/>
      </c>
      <c r="AG791">
        <f>IF($V791,IF($O791="","",$O791),IF($P791="","",$P791))</f>
        <v/>
      </c>
      <c r="AH791" t="n">
        <v>0.02473958629011563</v>
      </c>
      <c r="AI791">
        <f>IF($Y791="worse","Yes",IF($Y791="worse, not significant","Not sure",IF(OR($Y791="too few losses to test",$Y791="too few loans to test"),"Too few losses",IF($Y791="","","No"))))</f>
        <v/>
      </c>
      <c r="AJ791">
        <f>IF($AA791="yes","Yes",IF($AA791="","","No"))</f>
        <v/>
      </c>
    </row>
    <row r="792">
      <c r="A792" t="inlineStr">
        <is>
          <t>three-way</t>
        </is>
      </c>
      <c r="B792" t="inlineStr">
        <is>
          <t>FICO x ASSET_CLASS / SYS_FLAG</t>
        </is>
      </c>
      <c r="C792" t="inlineStr">
        <is>
          <t>686 - 711</t>
        </is>
      </c>
      <c r="D792" t="inlineStr">
        <is>
          <t>3 / SYS_FLAG N</t>
        </is>
      </c>
      <c r="E792" t="inlineStr">
        <is>
          <t>ranr_rate</t>
        </is>
      </c>
      <c r="F792" t="inlineStr">
        <is>
          <t>Profit after losses: RANR per booked dollar</t>
        </is>
      </c>
      <c r="G792" t="n">
        <v>192</v>
      </c>
      <c r="H792" t="n">
        <v>6314930.580000002</v>
      </c>
      <c r="I792" t="b">
        <v>0</v>
      </c>
      <c r="J792" t="b">
        <v>0</v>
      </c>
      <c r="K792" t="n">
        <v>0.01637058155225721</v>
      </c>
      <c r="L792" t="n">
        <v>0.3892228424216402</v>
      </c>
      <c r="M792" t="n">
        <v>0.002330161178315027</v>
      </c>
      <c r="N792" t="n">
        <v>0.9703029697030296</v>
      </c>
      <c r="O792" t="n">
        <v>-103379.0860567329</v>
      </c>
      <c r="P792" t="n">
        <v>-14714.80608127045</v>
      </c>
      <c r="Q792">
        <f>'_live'!$C$23</f>
        <v/>
      </c>
      <c r="R792" t="inlineStr">
        <is>
          <t>shuffled: 2,700 of 10,000</t>
        </is>
      </c>
      <c r="S792" t="inlineStr">
        <is>
          <t>shuffled: 8,681 of 10,000</t>
        </is>
      </c>
      <c r="T792" t="n">
        <v>0.1275894617899769</v>
      </c>
      <c r="U792" t="n">
        <v>0.1416298821639191</v>
      </c>
      <c r="V792">
        <f>AND(judged_band,NOT($J792))</f>
        <v/>
      </c>
      <c r="W792">
        <f>IF($K792="","",IF(profit_kind="test",IF(OR(NOT(AND(ISNUMBER($L792),$L792&lt;significance_bar)),$K792=0),"in line",IF($K792&lt;0,"worse","better")),IF(OR($K792=0,IF(profit_kind="points",ABS($K792),ABS($K792*$H792))&lt;profit_line*(1-1E-9)),"in line",IF(AND(ISNUMBER($L792),$L792&lt;significance_bar),IF($K792&lt;0,"worse","better"),IF($K792&lt;0,"worse, not significant","better, not significant")))))</f>
        <v/>
      </c>
      <c r="X792">
        <f>IF($M792="","",IF(profit_kind="test",IF(OR(NOT(AND(ISNUMBER($N792),$N792&lt;significance_bar)),$M792=0),"in line",IF($M792&lt;0,"worse","better")),IF(OR($M792=0,IF(profit_kind="points",ABS($M792),ABS($M792*$H792))&lt;profit_line*(1-1E-9)),"in line",IF(AND(ISNUMBER($N792),$N792&lt;significance_bar),IF($M792&lt;0,"worse","better"),IF($M792&lt;0,"worse, not significant","better, not significant")))))</f>
        <v/>
      </c>
      <c r="Y792">
        <f>IF($V792,$X792,$W792)</f>
        <v/>
      </c>
      <c r="Z792">
        <f>IF($V792,IF($P792="","",$P792),IF($O792="","",$O792))</f>
        <v/>
      </c>
      <c r="AA792">
        <f>IF(OR($Q792="",$Z792=""),"",IF(AND($Z792&gt;0,$Z792&gt;=$Q792),"yes","below the line"))</f>
        <v/>
      </c>
      <c r="AB792">
        <f>IF($V792,IF($M792="","",$M792),IF($K792="","",$K792))</f>
        <v/>
      </c>
      <c r="AC792">
        <f>IF($V792,IF($N792="","",$N792),IF($L792="","",$L792))</f>
        <v/>
      </c>
      <c r="AD792">
        <f>IF($Y792="","",IF($Y792="in line",IF(profit_kind="test",IF(ROUND($AB792*100,2)=0,"0.00",TEXT($AB792*100,"+0.00;-0.00"))&amp;" points against "&amp;IF($V792,"its band","the book")&amp;", "&amp;IF($AC792="","not tested","not significant"),IF(profit_kind="points","within "&amp;TEXT(profit_line*100,"0.00")&amp;" points of "&amp;IF($V792,"its band","the book")&amp;" ("&amp;IF(ROUND($AB792*100,2)=0,"0.00",TEXT($AB792*100,"+0.00;-0.00"))&amp;")","within $"&amp;TEXT(profit_line,"#,##0")&amp;" of "&amp;IF($V792,"its band","the book")&amp;" ("&amp;IF(ROUND($AB792*100,2)=0,"0.00",TEXT($AB792*100,"+0.00;-0.00"))&amp;" points)")),IF(LEFT($Y792,5)="worse","short of ","ahead of ")&amp;IF($V792,"its band","the book")&amp;" by "&amp;TEXT(ABS($AB792)*100,"0.00")&amp;" points"&amp;IF($Z792="",""," ($"&amp;TEXT(ABS($Z792),"#,##0")&amp;")")&amp;IF(RIGHT($Y792,15)="not significant"," (not significant)","")))</f>
        <v/>
      </c>
      <c r="AE792">
        <f>IF($V792,IF($S792="","",$S792),IF($R792="","",$R792))</f>
        <v/>
      </c>
      <c r="AF792">
        <f>IF($V792,IF($U792="","",$U792),IF($T792="","",$T792))</f>
        <v/>
      </c>
      <c r="AG792">
        <f>IF($V792,IF($O792="","",$O792),IF($P792="","",$P792))</f>
        <v/>
      </c>
      <c r="AH792" t="n">
        <v>0.1439600433422341</v>
      </c>
      <c r="AI792">
        <f>IF($Y792="worse","Yes",IF($Y792="worse, not significant","Not sure",IF(OR($Y792="too few losses to test",$Y792="too few loans to test"),"Too few losses",IF($Y792="","","No"))))</f>
        <v/>
      </c>
      <c r="AJ792">
        <f>IF($AA792="yes","Yes",IF($AA792="","","No"))</f>
        <v/>
      </c>
    </row>
    <row r="793">
      <c r="A793" t="inlineStr">
        <is>
          <t>three-way</t>
        </is>
      </c>
      <c r="B793" t="inlineStr">
        <is>
          <t>FICO x ASSET_CLASS / SYS_FLAG</t>
        </is>
      </c>
      <c r="C793" t="inlineStr">
        <is>
          <t>686 - 711</t>
        </is>
      </c>
      <c r="D793" t="inlineStr">
        <is>
          <t>3 / SYS_FLAG N</t>
        </is>
      </c>
      <c r="E793" t="inlineStr">
        <is>
          <t>contribution_rate</t>
        </is>
      </c>
      <c r="F793" t="inlineStr">
        <is>
          <t>Contribution before losses per booked dollar</t>
        </is>
      </c>
      <c r="G793" t="n">
        <v>192</v>
      </c>
      <c r="H793" t="n">
        <v>6314930.580000002</v>
      </c>
      <c r="I793" t="b">
        <v>0</v>
      </c>
      <c r="J793" t="b">
        <v>0</v>
      </c>
      <c r="K793" t="n">
        <v>-0.0009152250897485059</v>
      </c>
      <c r="L793" t="n">
        <v>0.9452992200779922</v>
      </c>
      <c r="M793" t="n">
        <v>-0.005402413479457607</v>
      </c>
      <c r="N793" t="n">
        <v>0.937752378608293</v>
      </c>
      <c r="O793" t="n">
        <v>5779.582906835945</v>
      </c>
      <c r="P793" t="n">
        <v>34115.86608723109</v>
      </c>
      <c r="Q793">
        <f>'_live'!$C$24</f>
        <v/>
      </c>
      <c r="R793" t="inlineStr">
        <is>
          <t>shuffled: 9,260 of 10,000</t>
        </is>
      </c>
      <c r="S793" t="inlineStr">
        <is>
          <t>shuffled: 4,801 of 10,000</t>
        </is>
      </c>
      <c r="T793" t="n">
        <v>0.1696148547220983</v>
      </c>
      <c r="U793" t="n">
        <v>0.1741020431118074</v>
      </c>
      <c r="V793">
        <f>AND(judged_band,NOT($J793))</f>
        <v/>
      </c>
      <c r="W793">
        <f>IF($K793="","",IF(profit_kind="test",IF(OR(NOT(AND(ISNUMBER($L793),$L793&lt;significance_bar)),$K793=0),"in line",IF($K793&lt;0,"worse","better")),IF(OR($K793=0,IF(profit_kind="points",ABS($K793),ABS($K793*$H793))&lt;profit_line*(1-1E-9)),"in line",IF(AND(ISNUMBER($L793),$L793&lt;significance_bar),IF($K793&lt;0,"worse","better"),IF($K793&lt;0,"worse, not significant","better, not significant")))))</f>
        <v/>
      </c>
      <c r="X793">
        <f>IF($M793="","",IF(profit_kind="test",IF(OR(NOT(AND(ISNUMBER($N793),$N793&lt;significance_bar)),$M793=0),"in line",IF($M793&lt;0,"worse","better")),IF(OR($M793=0,IF(profit_kind="points",ABS($M793),ABS($M793*$H793))&lt;profit_line*(1-1E-9)),"in line",IF(AND(ISNUMBER($N793),$N793&lt;significance_bar),IF($M793&lt;0,"worse","better"),IF($M793&lt;0,"worse, not significant","better, not significant")))))</f>
        <v/>
      </c>
      <c r="Y793">
        <f>IF($V793,$X793,$W793)</f>
        <v/>
      </c>
      <c r="Z793">
        <f>IF($V793,IF($P793="","",$P793),IF($O793="","",$O793))</f>
        <v/>
      </c>
      <c r="AA793">
        <f>IF(OR($Q793="",$Z793=""),"",IF(AND($Z793&gt;0,$Z793&gt;=$Q793),"yes","below the line"))</f>
        <v/>
      </c>
      <c r="AB793">
        <f>IF($V793,IF($M793="","",$M793),IF($K793="","",$K793))</f>
        <v/>
      </c>
      <c r="AC793">
        <f>IF($V793,IF($N793="","",$N793),IF($L793="","",$L793))</f>
        <v/>
      </c>
      <c r="AD793">
        <f>IF($Y793="","",IF($Y793="in line",IF(profit_kind="test",IF(ROUND($AB793*100,2)=0,"0.00",TEXT($AB793*100,"+0.00;-0.00"))&amp;" points against "&amp;IF($V793,"its band","the book")&amp;", "&amp;IF($AC793="","not tested","not significant"),IF(profit_kind="points","within "&amp;TEXT(profit_line*100,"0.00")&amp;" points of "&amp;IF($V793,"its band","the book")&amp;" ("&amp;IF(ROUND($AB793*100,2)=0,"0.00",TEXT($AB793*100,"+0.00;-0.00"))&amp;")","within $"&amp;TEXT(profit_line,"#,##0")&amp;" of "&amp;IF($V793,"its band","the book")&amp;" ("&amp;IF(ROUND($AB793*100,2)=0,"0.00",TEXT($AB793*100,"+0.00;-0.00"))&amp;" points)")),IF(LEFT($Y793,5)="worse","short of ","ahead of ")&amp;IF($V793,"its band","the book")&amp;" by "&amp;TEXT(ABS($AB793)*100,"0.00")&amp;" points"&amp;IF($Z793="",""," ($"&amp;TEXT(ABS($Z793),"#,##0")&amp;")")&amp;IF(RIGHT($Y793,15)="not significant"," (not significant)","")))</f>
        <v/>
      </c>
      <c r="AE793">
        <f>IF($V793,IF($S793="","",$S793),IF($R793="","",$R793))</f>
        <v/>
      </c>
      <c r="AF793">
        <f>IF($V793,IF($U793="","",$U793),IF($T793="","",$T793))</f>
        <v/>
      </c>
      <c r="AG793">
        <f>IF($V793,IF($O793="","",$O793),IF($P793="","",$P793))</f>
        <v/>
      </c>
      <c r="AH793" t="n">
        <v>0.1686996296323497</v>
      </c>
      <c r="AI793">
        <f>IF($Y793="worse","Yes",IF($Y793="worse, not significant","Not sure",IF(OR($Y793="too few losses to test",$Y793="too few loans to test"),"Too few losses",IF($Y793="","","No"))))</f>
        <v/>
      </c>
      <c r="AJ793">
        <f>IF($AA793="yes","Yes",IF($AA793="","","No"))</f>
        <v/>
      </c>
    </row>
    <row r="794">
      <c r="A794" t="inlineStr">
        <is>
          <t>three-way</t>
        </is>
      </c>
      <c r="B794" t="inlineStr">
        <is>
          <t>FICO x ASSET_CLASS / SYS_FLAG</t>
        </is>
      </c>
      <c r="C794" t="inlineStr">
        <is>
          <t>496 - 653</t>
        </is>
      </c>
      <c r="D794" t="inlineStr">
        <is>
          <t>2 / SYS_FLAG Y</t>
        </is>
      </c>
      <c r="E794" t="inlineStr">
        <is>
          <t>outcome_loans</t>
        </is>
      </c>
      <c r="F794" t="inlineStr">
        <is>
          <t>Outcome, share of loans</t>
        </is>
      </c>
      <c r="G794" t="n">
        <v>181</v>
      </c>
      <c r="H794" t="n">
        <v>181</v>
      </c>
      <c r="I794" t="b">
        <v>0</v>
      </c>
      <c r="J794" t="b">
        <v>0</v>
      </c>
      <c r="K794" t="n">
        <v>1.666858244651266</v>
      </c>
      <c r="L794" t="n">
        <v>0.04934912884530373</v>
      </c>
      <c r="M794" t="n">
        <v>0.8274724411510567</v>
      </c>
      <c r="N794" t="n">
        <v>0.5666368538444249</v>
      </c>
      <c r="O794" t="n">
        <v>9.201586083397288</v>
      </c>
      <c r="P794" t="n">
        <v>-4.795487627365354</v>
      </c>
      <c r="Q794">
        <f>'_live'!$C$20</f>
        <v/>
      </c>
      <c r="R794" t="inlineStr">
        <is>
          <t>z test</t>
        </is>
      </c>
      <c r="S794" t="inlineStr">
        <is>
          <t>z test</t>
        </is>
      </c>
      <c r="T794" t="n">
        <v>0.07623433103095421</v>
      </c>
      <c r="U794" t="n">
        <v>0.1535662299854439</v>
      </c>
      <c r="V794">
        <f>AND(judged_band,NOT($J794))</f>
        <v/>
      </c>
      <c r="W794">
        <f>IF($K794="","",IF($I794,"too few losses to test",IF(AND($K794&gt;better_at,$K794&lt;worse_at),"in line",IF($K794&gt;=worse_at,IF(AND(ISNUMBER($L794),$L794&lt;significance_bar),"worse","worse, not significant"),IF(AND(ISNUMBER($L794),$L794&lt;significance_bar),"better","better, not significant")))))</f>
        <v/>
      </c>
      <c r="X794">
        <f>IF($M794="","",IF($I794,"too few losses to test",IF(AND($M794&gt;better_at,$M794&lt;worse_at),"in line",IF($M794&gt;=worse_at,IF(AND(ISNUMBER($N794),$N794&lt;significance_bar),"worse","worse, not significant"),IF(AND(ISNUMBER($N794),$N794&lt;significance_bar),"better","better, not significant")))))</f>
        <v/>
      </c>
      <c r="Y794">
        <f>IF($V794,$X794,$W794)</f>
        <v/>
      </c>
      <c r="Z794">
        <f>IF($V794,IF($P794="","",$P794),IF($O794="","",$O794))</f>
        <v/>
      </c>
      <c r="AA794">
        <f>IF(OR($Q794="",$Z794=""),"",IF(AND($Z794&gt;0,$Z794&gt;=$Q794),"yes","below the line"))</f>
        <v/>
      </c>
      <c r="AB794">
        <f>IF($V794,IF($M794="","",$M794),IF($K794="","",$K794))</f>
        <v/>
      </c>
      <c r="AC794">
        <f>IF($V794,IF($N794="","",$N794),IF($L794="","",$L794))</f>
        <v/>
      </c>
      <c r="AD794">
        <f>$Y794</f>
        <v/>
      </c>
      <c r="AE794">
        <f>IF($V794,IF($S794="","",$S794),IF($R794="","",$R794))</f>
        <v/>
      </c>
      <c r="AF794">
        <f>IF($V794,IF($U794="","",$U794),IF($T794="","",$T794))</f>
        <v/>
      </c>
      <c r="AG794">
        <f>IF($V794,IF($O794="","",$O794),IF($P794="","",$P794))</f>
        <v/>
      </c>
      <c r="AH794" t="n">
        <v>0.1270718232044199</v>
      </c>
      <c r="AI794">
        <f>IF($Y794="worse","Yes",IF($Y794="worse, not significant","Not sure",IF(OR($Y794="too few losses to test",$Y794="too few loans to test"),"Too few losses",IF($Y794="","","No"))))</f>
        <v/>
      </c>
      <c r="AJ794">
        <f>IF($AA794="yes","Yes",IF($AA794="","","No"))</f>
        <v/>
      </c>
    </row>
    <row r="795">
      <c r="A795" t="inlineStr">
        <is>
          <t>three-way</t>
        </is>
      </c>
      <c r="B795" t="inlineStr">
        <is>
          <t>FICO x ASSET_CLASS / SYS_FLAG</t>
        </is>
      </c>
      <c r="C795" t="inlineStr">
        <is>
          <t>496 - 653</t>
        </is>
      </c>
      <c r="D795" t="inlineStr">
        <is>
          <t>2 / SYS_FLAG Y</t>
        </is>
      </c>
      <c r="E795" t="inlineStr">
        <is>
          <t>outcome_booked</t>
        </is>
      </c>
      <c r="F795" t="inlineStr">
        <is>
          <t>Outcome, share of booked dollars</t>
        </is>
      </c>
      <c r="G795" t="n">
        <v>181</v>
      </c>
      <c r="H795" t="n">
        <v>6306217.74</v>
      </c>
      <c r="I795" t="b">
        <v>0</v>
      </c>
      <c r="J795" t="b">
        <v>0</v>
      </c>
      <c r="K795" t="n">
        <v>1.608998492284683</v>
      </c>
      <c r="L795" t="n">
        <v>0.1381576128101476</v>
      </c>
      <c r="M795" t="n">
        <v>0.7728507248388223</v>
      </c>
      <c r="N795" t="n">
        <v>0.5657034296570344</v>
      </c>
      <c r="O795" t="n">
        <v>283164.0119717853</v>
      </c>
      <c r="P795" t="n">
        <v>-219883.7896752504</v>
      </c>
      <c r="Q795">
        <f>'_live'!$C$21</f>
        <v/>
      </c>
      <c r="R795" t="inlineStr">
        <is>
          <t>shuffled: 371 of 10,000</t>
        </is>
      </c>
      <c r="S795" t="inlineStr">
        <is>
          <t>shuffled: 2,670 of 10,000</t>
        </is>
      </c>
      <c r="T795" t="n">
        <v>0.07373146744980844</v>
      </c>
      <c r="U795" t="n">
        <v>0.1535015962952225</v>
      </c>
      <c r="V795">
        <f>AND(judged_band,NOT($J795))</f>
        <v/>
      </c>
      <c r="W795">
        <f>IF($K795="","",IF($I795,"too few losses to test",IF(AND($K795&gt;better_at,$K795&lt;worse_at),"in line",IF($K795&gt;=worse_at,IF(AND(ISNUMBER($L795),$L795&lt;significance_bar),"worse","worse, not significant"),IF(AND(ISNUMBER($L795),$L795&lt;significance_bar),"better","better, not significant")))))</f>
        <v/>
      </c>
      <c r="X795">
        <f>IF($M795="","",IF($I795,"too few losses to test",IF(AND($M795&gt;better_at,$M795&lt;worse_at),"in line",IF($M795&gt;=worse_at,IF(AND(ISNUMBER($N795),$N795&lt;significance_bar),"worse","worse, not significant"),IF(AND(ISNUMBER($N795),$N795&lt;significance_bar),"better","better, not significant")))))</f>
        <v/>
      </c>
      <c r="Y795">
        <f>IF($V795,$X795,$W795)</f>
        <v/>
      </c>
      <c r="Z795">
        <f>IF($V795,IF($P795="","",$P795),IF($O795="","",$O795))</f>
        <v/>
      </c>
      <c r="AA795">
        <f>IF(OR($Q795="",$Z795=""),"",IF(AND($Z795&gt;0,$Z795&gt;=$Q795),"yes","below the line"))</f>
        <v/>
      </c>
      <c r="AB795">
        <f>IF($V795,IF($M795="","",$M795),IF($K795="","",$K795))</f>
        <v/>
      </c>
      <c r="AC795">
        <f>IF($V795,IF($N795="","",$N795),IF($L795="","",$L795))</f>
        <v/>
      </c>
      <c r="AD795">
        <f>$Y795</f>
        <v/>
      </c>
      <c r="AE795">
        <f>IF($V795,IF($S795="","",$S795),IF($R795="","",$R795))</f>
        <v/>
      </c>
      <c r="AF795">
        <f>IF($V795,IF($U795="","",$U795),IF($T795="","",$T795))</f>
        <v/>
      </c>
      <c r="AG795">
        <f>IF($V795,IF($O795="","",$O795),IF($P795="","",$P795))</f>
        <v/>
      </c>
      <c r="AH795" t="n">
        <v>0.118633819960679</v>
      </c>
      <c r="AI795">
        <f>IF($Y795="worse","Yes",IF($Y795="worse, not significant","Not sure",IF(OR($Y795="too few losses to test",$Y795="too few loans to test"),"Too few losses",IF($Y795="","","No"))))</f>
        <v/>
      </c>
      <c r="AJ795">
        <f>IF($AA795="yes","Yes",IF($AA795="","","No"))</f>
        <v/>
      </c>
    </row>
    <row r="796">
      <c r="A796" t="inlineStr">
        <is>
          <t>three-way</t>
        </is>
      </c>
      <c r="B796" t="inlineStr">
        <is>
          <t>FICO x ASSET_CLASS / SYS_FLAG</t>
        </is>
      </c>
      <c r="C796" t="inlineStr">
        <is>
          <t>496 - 653</t>
        </is>
      </c>
      <c r="D796" t="inlineStr">
        <is>
          <t>2 / SYS_FLAG Y</t>
        </is>
      </c>
      <c r="E796" t="inlineStr">
        <is>
          <t>gco_rate</t>
        </is>
      </c>
      <c r="F796" t="inlineStr">
        <is>
          <t>GCO per booked dollar</t>
        </is>
      </c>
      <c r="G796" t="n">
        <v>181</v>
      </c>
      <c r="H796" t="n">
        <v>6306217.74</v>
      </c>
      <c r="I796" t="b">
        <v>0</v>
      </c>
      <c r="J796" t="b">
        <v>0</v>
      </c>
      <c r="K796" t="n">
        <v>1.488032517090986</v>
      </c>
      <c r="L796" t="n">
        <v>0.2995478229954782</v>
      </c>
      <c r="M796" t="n">
        <v>0.7063637520003889</v>
      </c>
      <c r="N796" t="n">
        <v>0.4351964803519648</v>
      </c>
      <c r="O796" t="n">
        <v>126536.7328822717</v>
      </c>
      <c r="P796" t="n">
        <v>-160384.1846114515</v>
      </c>
      <c r="Q796">
        <f>'_live'!$C$22</f>
        <v/>
      </c>
      <c r="R796" t="inlineStr">
        <is>
          <t>shuffled: 1,036 of 10,000</t>
        </is>
      </c>
      <c r="S796" t="inlineStr">
        <is>
          <t>shuffled: 1,594 of 10,000</t>
        </is>
      </c>
      <c r="T796" t="n">
        <v>0.04111486754939235</v>
      </c>
      <c r="U796" t="n">
        <v>0.08661296630259574</v>
      </c>
      <c r="V796">
        <f>AND(judged_band,NOT($J796))</f>
        <v/>
      </c>
      <c r="W796">
        <f>IF($K796="","",IF($I796,"too few losses to test",IF(AND($K796&gt;better_at,$K796&lt;worse_at),"in line",IF($K796&gt;=worse_at,IF(AND(ISNUMBER($L796),$L796&lt;significance_bar),"worse","worse, not significant"),IF(AND(ISNUMBER($L796),$L796&lt;significance_bar),"better","better, not significant")))))</f>
        <v/>
      </c>
      <c r="X796">
        <f>IF($M796="","",IF($I796,"too few losses to test",IF(AND($M796&gt;better_at,$M796&lt;worse_at),"in line",IF($M796&gt;=worse_at,IF(AND(ISNUMBER($N796),$N796&lt;significance_bar),"worse","worse, not significant"),IF(AND(ISNUMBER($N796),$N796&lt;significance_bar),"better","better, not significant")))))</f>
        <v/>
      </c>
      <c r="Y796">
        <f>IF($V796,$X796,$W796)</f>
        <v/>
      </c>
      <c r="Z796">
        <f>IF($V796,IF($P796="","",$P796),IF($O796="","",$O796))</f>
        <v/>
      </c>
      <c r="AA796">
        <f>IF(OR($Q796="",$Z796=""),"",IF(AND($Z796&gt;0,$Z796&gt;=$Q796),"yes","below the line"))</f>
        <v/>
      </c>
      <c r="AB796">
        <f>IF($V796,IF($M796="","",$M796),IF($K796="","",$K796))</f>
        <v/>
      </c>
      <c r="AC796">
        <f>IF($V796,IF($N796="","",$N796),IF($L796="","",$L796))</f>
        <v/>
      </c>
      <c r="AD796">
        <f>$Y796</f>
        <v/>
      </c>
      <c r="AE796">
        <f>IF($V796,IF($S796="","",$S796),IF($R796="","",$R796))</f>
        <v/>
      </c>
      <c r="AF796">
        <f>IF($V796,IF($U796="","",$U796),IF($T796="","",$T796))</f>
        <v/>
      </c>
      <c r="AG796">
        <f>IF($V796,IF($O796="","",$O796),IF($P796="","",$P796))</f>
        <v/>
      </c>
      <c r="AH796" t="n">
        <v>0.06118025984938478</v>
      </c>
      <c r="AI796">
        <f>IF($Y796="worse","Yes",IF($Y796="worse, not significant","Not sure",IF(OR($Y796="too few losses to test",$Y796="too few loans to test"),"Too few losses",IF($Y796="","","No"))))</f>
        <v/>
      </c>
      <c r="AJ796">
        <f>IF($AA796="yes","Yes",IF($AA796="","","No"))</f>
        <v/>
      </c>
    </row>
    <row r="797">
      <c r="A797" t="inlineStr">
        <is>
          <t>three-way</t>
        </is>
      </c>
      <c r="B797" t="inlineStr">
        <is>
          <t>FICO x ASSET_CLASS / SYS_FLAG</t>
        </is>
      </c>
      <c r="C797" t="inlineStr">
        <is>
          <t>496 - 653</t>
        </is>
      </c>
      <c r="D797" t="inlineStr">
        <is>
          <t>2 / SYS_FLAG Y</t>
        </is>
      </c>
      <c r="E797" t="inlineStr">
        <is>
          <t>ranr_rate</t>
        </is>
      </c>
      <c r="F797" t="inlineStr">
        <is>
          <t>Profit after losses: RANR per booked dollar</t>
        </is>
      </c>
      <c r="G797" t="n">
        <v>181</v>
      </c>
      <c r="H797" t="n">
        <v>6306217.74</v>
      </c>
      <c r="I797" t="b">
        <v>0</v>
      </c>
      <c r="J797" t="b">
        <v>0</v>
      </c>
      <c r="K797" t="n">
        <v>0.06907402224717418</v>
      </c>
      <c r="L797" t="n">
        <v>0.0003768853883842385</v>
      </c>
      <c r="M797" t="n">
        <v>0.005942920526824491</v>
      </c>
      <c r="N797" t="n">
        <v>0.9201031116400554</v>
      </c>
      <c r="O797" t="n">
        <v>-435595.8244682845</v>
      </c>
      <c r="P797" t="n">
        <v>-37477.35085367085</v>
      </c>
      <c r="Q797">
        <f>'_live'!$C$23</f>
        <v/>
      </c>
      <c r="R797" t="inlineStr">
        <is>
          <t>shuffled: 0 of 10,000</t>
        </is>
      </c>
      <c r="S797" t="inlineStr">
        <is>
          <t>shuffled: 7,859 of 10,000</t>
        </is>
      </c>
      <c r="T797" t="n">
        <v>0.1263021415324165</v>
      </c>
      <c r="U797" t="n">
        <v>0.1894332432527662</v>
      </c>
      <c r="V797">
        <f>AND(judged_band,NOT($J797))</f>
        <v/>
      </c>
      <c r="W797">
        <f>IF($K797="","",IF(profit_kind="test",IF(OR(NOT(AND(ISNUMBER($L797),$L797&lt;significance_bar)),$K797=0),"in line",IF($K797&lt;0,"worse","better")),IF(OR($K797=0,IF(profit_kind="points",ABS($K797),ABS($K797*$H797))&lt;profit_line*(1-1E-9)),"in line",IF(AND(ISNUMBER($L797),$L797&lt;significance_bar),IF($K797&lt;0,"worse","better"),IF($K797&lt;0,"worse, not significant","better, not significant")))))</f>
        <v/>
      </c>
      <c r="X797">
        <f>IF($M797="","",IF(profit_kind="test",IF(OR(NOT(AND(ISNUMBER($N797),$N797&lt;significance_bar)),$M797=0),"in line",IF($M797&lt;0,"worse","better")),IF(OR($M797=0,IF(profit_kind="points",ABS($M797),ABS($M797*$H797))&lt;profit_line*(1-1E-9)),"in line",IF(AND(ISNUMBER($N797),$N797&lt;significance_bar),IF($M797&lt;0,"worse","better"),IF($M797&lt;0,"worse, not significant","better, not significant")))))</f>
        <v/>
      </c>
      <c r="Y797">
        <f>IF($V797,$X797,$W797)</f>
        <v/>
      </c>
      <c r="Z797">
        <f>IF($V797,IF($P797="","",$P797),IF($O797="","",$O797))</f>
        <v/>
      </c>
      <c r="AA797">
        <f>IF(OR($Q797="",$Z797=""),"",IF(AND($Z797&gt;0,$Z797&gt;=$Q797),"yes","below the line"))</f>
        <v/>
      </c>
      <c r="AB797">
        <f>IF($V797,IF($M797="","",$M797),IF($K797="","",$K797))</f>
        <v/>
      </c>
      <c r="AC797">
        <f>IF($V797,IF($N797="","",$N797),IF($L797="","",$L797))</f>
        <v/>
      </c>
      <c r="AD797">
        <f>IF($Y797="","",IF($Y797="in line",IF(profit_kind="test",IF(ROUND($AB797*100,2)=0,"0.00",TEXT($AB797*100,"+0.00;-0.00"))&amp;" points against "&amp;IF($V797,"its band","the book")&amp;", "&amp;IF($AC797="","not tested","not significant"),IF(profit_kind="points","within "&amp;TEXT(profit_line*100,"0.00")&amp;" points of "&amp;IF($V797,"its band","the book")&amp;" ("&amp;IF(ROUND($AB797*100,2)=0,"0.00",TEXT($AB797*100,"+0.00;-0.00"))&amp;")","within $"&amp;TEXT(profit_line,"#,##0")&amp;" of "&amp;IF($V797,"its band","the book")&amp;" ("&amp;IF(ROUND($AB797*100,2)=0,"0.00",TEXT($AB797*100,"+0.00;-0.00"))&amp;" points)")),IF(LEFT($Y797,5)="worse","short of ","ahead of ")&amp;IF($V797,"its band","the book")&amp;" by "&amp;TEXT(ABS($AB797)*100,"0.00")&amp;" points"&amp;IF($Z797="",""," ($"&amp;TEXT(ABS($Z797),"#,##0")&amp;")")&amp;IF(RIGHT($Y797,15)="not significant"," (not significant)","")))</f>
        <v/>
      </c>
      <c r="AE797">
        <f>IF($V797,IF($S797="","",$S797),IF($R797="","",$R797))</f>
        <v/>
      </c>
      <c r="AF797">
        <f>IF($V797,IF($U797="","",$U797),IF($T797="","",$T797))</f>
        <v/>
      </c>
      <c r="AG797">
        <f>IF($V797,IF($O797="","",$O797),IF($P797="","",$P797))</f>
        <v/>
      </c>
      <c r="AH797" t="n">
        <v>0.1953761637795907</v>
      </c>
      <c r="AI797">
        <f>IF($Y797="worse","Yes",IF($Y797="worse, not significant","Not sure",IF(OR($Y797="too few losses to test",$Y797="too few loans to test"),"Too few losses",IF($Y797="","","No"))))</f>
        <v/>
      </c>
      <c r="AJ797">
        <f>IF($AA797="yes","Yes",IF($AA797="","","No"))</f>
        <v/>
      </c>
    </row>
    <row r="798">
      <c r="A798" t="inlineStr">
        <is>
          <t>three-way</t>
        </is>
      </c>
      <c r="B798" t="inlineStr">
        <is>
          <t>FICO x ASSET_CLASS / SYS_FLAG</t>
        </is>
      </c>
      <c r="C798" t="inlineStr">
        <is>
          <t>496 - 653</t>
        </is>
      </c>
      <c r="D798" t="inlineStr">
        <is>
          <t>2 / SYS_FLAG Y</t>
        </is>
      </c>
      <c r="E798" t="inlineStr">
        <is>
          <t>contribution_rate</t>
        </is>
      </c>
      <c r="F798" t="inlineStr">
        <is>
          <t>Contribution before losses per booked dollar</t>
        </is>
      </c>
      <c r="G798" t="n">
        <v>181</v>
      </c>
      <c r="H798" t="n">
        <v>6306217.74</v>
      </c>
      <c r="I798" t="b">
        <v>0</v>
      </c>
      <c r="J798" t="b">
        <v>0</v>
      </c>
      <c r="K798" t="n">
        <v>0.08914261152544761</v>
      </c>
      <c r="L798" t="n">
        <v>0.0001814633351479667</v>
      </c>
      <c r="M798" t="n">
        <v>-0.0194897859263865</v>
      </c>
      <c r="N798" t="n">
        <v>0.5536900855369009</v>
      </c>
      <c r="O798" t="n">
        <v>-562152.7181917061</v>
      </c>
      <c r="P798" t="n">
        <v>122906.833757781</v>
      </c>
      <c r="Q798">
        <f>'_live'!$C$24</f>
        <v/>
      </c>
      <c r="R798" t="inlineStr">
        <is>
          <t>shuffled: 0 of 10,000</t>
        </is>
      </c>
      <c r="S798" t="inlineStr">
        <is>
          <t>shuffled: 1,268 of 10,000</t>
        </is>
      </c>
      <c r="T798" t="n">
        <v>0.1674138121035278</v>
      </c>
      <c r="U798" t="n">
        <v>0.276046209555362</v>
      </c>
      <c r="V798">
        <f>AND(judged_band,NOT($J798))</f>
        <v/>
      </c>
      <c r="W798">
        <f>IF($K798="","",IF(profit_kind="test",IF(OR(NOT(AND(ISNUMBER($L798),$L798&lt;significance_bar)),$K798=0),"in line",IF($K798&lt;0,"worse","better")),IF(OR($K798=0,IF(profit_kind="points",ABS($K798),ABS($K798*$H798))&lt;profit_line*(1-1E-9)),"in line",IF(AND(ISNUMBER($L798),$L798&lt;significance_bar),IF($K798&lt;0,"worse","better"),IF($K798&lt;0,"worse, not significant","better, not significant")))))</f>
        <v/>
      </c>
      <c r="X798">
        <f>IF($M798="","",IF(profit_kind="test",IF(OR(NOT(AND(ISNUMBER($N798),$N798&lt;significance_bar)),$M798=0),"in line",IF($M798&lt;0,"worse","better")),IF(OR($M798=0,IF(profit_kind="points",ABS($M798),ABS($M798*$H798))&lt;profit_line*(1-1E-9)),"in line",IF(AND(ISNUMBER($N798),$N798&lt;significance_bar),IF($M798&lt;0,"worse","better"),IF($M798&lt;0,"worse, not significant","better, not significant")))))</f>
        <v/>
      </c>
      <c r="Y798">
        <f>IF($V798,$X798,$W798)</f>
        <v/>
      </c>
      <c r="Z798">
        <f>IF($V798,IF($P798="","",$P798),IF($O798="","",$O798))</f>
        <v/>
      </c>
      <c r="AA798">
        <f>IF(OR($Q798="",$Z798=""),"",IF(AND($Z798&gt;0,$Z798&gt;=$Q798),"yes","below the line"))</f>
        <v/>
      </c>
      <c r="AB798">
        <f>IF($V798,IF($M798="","",$M798),IF($K798="","",$K798))</f>
        <v/>
      </c>
      <c r="AC798">
        <f>IF($V798,IF($N798="","",$N798),IF($L798="","",$L798))</f>
        <v/>
      </c>
      <c r="AD798">
        <f>IF($Y798="","",IF($Y798="in line",IF(profit_kind="test",IF(ROUND($AB798*100,2)=0,"0.00",TEXT($AB798*100,"+0.00;-0.00"))&amp;" points against "&amp;IF($V798,"its band","the book")&amp;", "&amp;IF($AC798="","not tested","not significant"),IF(profit_kind="points","within "&amp;TEXT(profit_line*100,"0.00")&amp;" points of "&amp;IF($V798,"its band","the book")&amp;" ("&amp;IF(ROUND($AB798*100,2)=0,"0.00",TEXT($AB798*100,"+0.00;-0.00"))&amp;")","within $"&amp;TEXT(profit_line,"#,##0")&amp;" of "&amp;IF($V798,"its band","the book")&amp;" ("&amp;IF(ROUND($AB798*100,2)=0,"0.00",TEXT($AB798*100,"+0.00;-0.00"))&amp;" points)")),IF(LEFT($Y798,5)="worse","short of ","ahead of ")&amp;IF($V798,"its band","the book")&amp;" by "&amp;TEXT(ABS($AB798)*100,"0.00")&amp;" points"&amp;IF($Z798="",""," ($"&amp;TEXT(ABS($Z798),"#,##0")&amp;")")&amp;IF(RIGHT($Y798,15)="not significant"," (not significant)","")))</f>
        <v/>
      </c>
      <c r="AE798">
        <f>IF($V798,IF($S798="","",$S798),IF($R798="","",$R798))</f>
        <v/>
      </c>
      <c r="AF798">
        <f>IF($V798,IF($U798="","",$U798),IF($T798="","",$T798))</f>
        <v/>
      </c>
      <c r="AG798">
        <f>IF($V798,IF($O798="","",$O798),IF($P798="","",$P798))</f>
        <v/>
      </c>
      <c r="AH798" t="n">
        <v>0.2565564236289755</v>
      </c>
      <c r="AI798">
        <f>IF($Y798="worse","Yes",IF($Y798="worse, not significant","Not sure",IF(OR($Y798="too few losses to test",$Y798="too few loans to test"),"Too few losses",IF($Y798="","","No"))))</f>
        <v/>
      </c>
      <c r="AJ798">
        <f>IF($AA798="yes","Yes",IF($AA798="","","No"))</f>
        <v/>
      </c>
    </row>
    <row r="799">
      <c r="A799" t="inlineStr">
        <is>
          <t>three-way</t>
        </is>
      </c>
      <c r="B799" t="inlineStr">
        <is>
          <t>FICO x ASSET_CLASS / SYS_FLAG</t>
        </is>
      </c>
      <c r="C799" t="inlineStr">
        <is>
          <t>(marked missing)</t>
        </is>
      </c>
      <c r="D799" t="inlineStr">
        <is>
          <t>3 / SYS_FLAG N</t>
        </is>
      </c>
      <c r="E799" t="inlineStr">
        <is>
          <t>outcome_loans</t>
        </is>
      </c>
      <c r="F799" t="inlineStr">
        <is>
          <t>Outcome, share of loans</t>
        </is>
      </c>
      <c r="G799" t="n">
        <v>21</v>
      </c>
      <c r="H799" t="n">
        <v>21</v>
      </c>
      <c r="I799" t="b">
        <v>1</v>
      </c>
      <c r="J799" t="b">
        <v>0</v>
      </c>
      <c r="K799" t="n">
        <v>0</v>
      </c>
      <c r="M799" t="n">
        <v>0</v>
      </c>
      <c r="O799" t="n">
        <v>-1.629355728252695</v>
      </c>
      <c r="P799" t="n">
        <v>-1.510791366906475</v>
      </c>
      <c r="Q799">
        <f>'_live'!$C$20</f>
        <v/>
      </c>
      <c r="T799" t="n">
        <v>0.07758836801203309</v>
      </c>
      <c r="U799" t="n">
        <v>0.07194244604316546</v>
      </c>
      <c r="V799">
        <f>AND(judged_band,NOT($J799))</f>
        <v/>
      </c>
      <c r="W799">
        <f>IF($K799="","",IF($I799,"too few losses to test",IF(AND($K799&gt;better_at,$K799&lt;worse_at),"in line",IF($K799&gt;=worse_at,IF(AND(ISNUMBER($L799),$L799&lt;significance_bar),"worse","worse, not significant"),IF(AND(ISNUMBER($L799),$L799&lt;significance_bar),"better","better, not significant")))))</f>
        <v/>
      </c>
      <c r="X799">
        <f>IF($M799="","",IF($I799,"too few losses to test",IF(AND($M799&gt;better_at,$M799&lt;worse_at),"in line",IF($M799&gt;=worse_at,IF(AND(ISNUMBER($N799),$N799&lt;significance_bar),"worse","worse, not significant"),IF(AND(ISNUMBER($N799),$N799&lt;significance_bar),"better","better, not significant")))))</f>
        <v/>
      </c>
      <c r="Y799">
        <f>IF($V799,$X799,$W799)</f>
        <v/>
      </c>
      <c r="Z799">
        <f>IF($V799,IF($P799="","",$P799),IF($O799="","",$O799))</f>
        <v/>
      </c>
      <c r="AA799">
        <f>IF(OR($Q799="",$Z799=""),"",IF(AND($Z799&gt;0,$Z799&gt;=$Q799),"yes","below the line"))</f>
        <v/>
      </c>
      <c r="AB799">
        <f>IF($V799,IF($M799="","",$M799),IF($K799="","",$K799))</f>
        <v/>
      </c>
      <c r="AC799">
        <f>IF($V799,IF($N799="","",$N799),IF($L799="","",$L799))</f>
        <v/>
      </c>
      <c r="AD799">
        <f>$Y799</f>
        <v/>
      </c>
      <c r="AE799">
        <f>IF($V799,IF($S799="","",$S799),IF($R799="","",$R799))</f>
        <v/>
      </c>
      <c r="AF799">
        <f>IF($V799,IF($U799="","",$U799),IF($T799="","",$T799))</f>
        <v/>
      </c>
      <c r="AG799">
        <f>IF($V799,IF($O799="","",$O799),IF($P799="","",$P799))</f>
        <v/>
      </c>
      <c r="AH799" t="n">
        <v>0</v>
      </c>
      <c r="AI799">
        <f>IF($Y799="worse","Yes",IF($Y799="worse, not significant","Not sure",IF(OR($Y799="too few losses to test",$Y799="too few loans to test"),"Too few losses",IF($Y799="","","No"))))</f>
        <v/>
      </c>
      <c r="AJ799">
        <f>IF($AA799="yes","Yes",IF($AA799="","","No"))</f>
        <v/>
      </c>
    </row>
    <row r="800">
      <c r="A800" t="inlineStr">
        <is>
          <t>three-way</t>
        </is>
      </c>
      <c r="B800" t="inlineStr">
        <is>
          <t>FICO x ASSET_CLASS / SYS_FLAG</t>
        </is>
      </c>
      <c r="C800" t="inlineStr">
        <is>
          <t>(marked missing)</t>
        </is>
      </c>
      <c r="D800" t="inlineStr">
        <is>
          <t>3 / SYS_FLAG N</t>
        </is>
      </c>
      <c r="E800" t="inlineStr">
        <is>
          <t>outcome_booked</t>
        </is>
      </c>
      <c r="F800" t="inlineStr">
        <is>
          <t>Outcome, share of booked dollars</t>
        </is>
      </c>
      <c r="G800" t="n">
        <v>21</v>
      </c>
      <c r="H800" t="n">
        <v>659110.4</v>
      </c>
      <c r="I800" t="b">
        <v>1</v>
      </c>
      <c r="J800" t="b">
        <v>0</v>
      </c>
      <c r="K800" t="n">
        <v>0</v>
      </c>
      <c r="M800" t="n">
        <v>0</v>
      </c>
      <c r="O800" t="n">
        <v>-49446.79139282369</v>
      </c>
      <c r="P800" t="n">
        <v>-36255.14395131654</v>
      </c>
      <c r="Q800">
        <f>'_live'!$C$21</f>
        <v/>
      </c>
      <c r="T800" t="n">
        <v>0.07502049943806635</v>
      </c>
      <c r="U800" t="n">
        <v>0.05500617795033508</v>
      </c>
      <c r="V800">
        <f>AND(judged_band,NOT($J800))</f>
        <v/>
      </c>
      <c r="W800">
        <f>IF($K800="","",IF($I800,"too few losses to test",IF(AND($K800&gt;better_at,$K800&lt;worse_at),"in line",IF($K800&gt;=worse_at,IF(AND(ISNUMBER($L800),$L800&lt;significance_bar),"worse","worse, not significant"),IF(AND(ISNUMBER($L800),$L800&lt;significance_bar),"better","better, not significant")))))</f>
        <v/>
      </c>
      <c r="X800">
        <f>IF($M800="","",IF($I800,"too few losses to test",IF(AND($M800&gt;better_at,$M800&lt;worse_at),"in line",IF($M800&gt;=worse_at,IF(AND(ISNUMBER($N800),$N800&lt;significance_bar),"worse","worse, not significant"),IF(AND(ISNUMBER($N800),$N800&lt;significance_bar),"better","better, not significant")))))</f>
        <v/>
      </c>
      <c r="Y800">
        <f>IF($V800,$X800,$W800)</f>
        <v/>
      </c>
      <c r="Z800">
        <f>IF($V800,IF($P800="","",$P800),IF($O800="","",$O800))</f>
        <v/>
      </c>
      <c r="AA800">
        <f>IF(OR($Q800="",$Z800=""),"",IF(AND($Z800&gt;0,$Z800&gt;=$Q800),"yes","below the line"))</f>
        <v/>
      </c>
      <c r="AB800">
        <f>IF($V800,IF($M800="","",$M800),IF($K800="","",$K800))</f>
        <v/>
      </c>
      <c r="AC800">
        <f>IF($V800,IF($N800="","",$N800),IF($L800="","",$L800))</f>
        <v/>
      </c>
      <c r="AD800">
        <f>$Y800</f>
        <v/>
      </c>
      <c r="AE800">
        <f>IF($V800,IF($S800="","",$S800),IF($R800="","",$R800))</f>
        <v/>
      </c>
      <c r="AF800">
        <f>IF($V800,IF($U800="","",$U800),IF($T800="","",$T800))</f>
        <v/>
      </c>
      <c r="AG800">
        <f>IF($V800,IF($O800="","",$O800),IF($P800="","",$P800))</f>
        <v/>
      </c>
      <c r="AH800" t="n">
        <v>0</v>
      </c>
      <c r="AI800">
        <f>IF($Y800="worse","Yes",IF($Y800="worse, not significant","Not sure",IF(OR($Y800="too few losses to test",$Y800="too few loans to test"),"Too few losses",IF($Y800="","","No"))))</f>
        <v/>
      </c>
      <c r="AJ800">
        <f>IF($AA800="yes","Yes",IF($AA800="","","No"))</f>
        <v/>
      </c>
    </row>
    <row r="801">
      <c r="A801" t="inlineStr">
        <is>
          <t>three-way</t>
        </is>
      </c>
      <c r="B801" t="inlineStr">
        <is>
          <t>FICO x ASSET_CLASS / SYS_FLAG</t>
        </is>
      </c>
      <c r="C801" t="inlineStr">
        <is>
          <t>(marked missing)</t>
        </is>
      </c>
      <c r="D801" t="inlineStr">
        <is>
          <t>3 / SYS_FLAG N</t>
        </is>
      </c>
      <c r="E801" t="inlineStr">
        <is>
          <t>gco_rate</t>
        </is>
      </c>
      <c r="F801" t="inlineStr">
        <is>
          <t>GCO per booked dollar</t>
        </is>
      </c>
      <c r="G801" t="n">
        <v>21</v>
      </c>
      <c r="H801" t="n">
        <v>659110.4</v>
      </c>
      <c r="I801" t="b">
        <v>1</v>
      </c>
      <c r="J801" t="b">
        <v>0</v>
      </c>
      <c r="K801" t="n">
        <v>0</v>
      </c>
      <c r="M801" t="n">
        <v>0</v>
      </c>
      <c r="O801" t="n">
        <v>-27492.69058927777</v>
      </c>
      <c r="P801" t="n">
        <v>-19210.26617821833</v>
      </c>
      <c r="Q801">
        <f>'_live'!$C$22</f>
        <v/>
      </c>
      <c r="T801" t="n">
        <v>0.04171181427159663</v>
      </c>
      <c r="U801" t="n">
        <v>0.02914574884301375</v>
      </c>
      <c r="V801">
        <f>AND(judged_band,NOT($J801))</f>
        <v/>
      </c>
      <c r="W801">
        <f>IF($K801="","",IF($I801,"too few losses to test",IF(AND($K801&gt;better_at,$K801&lt;worse_at),"in line",IF($K801&gt;=worse_at,IF(AND(ISNUMBER($L801),$L801&lt;significance_bar),"worse","worse, not significant"),IF(AND(ISNUMBER($L801),$L801&lt;significance_bar),"better","better, not significant")))))</f>
        <v/>
      </c>
      <c r="X801">
        <f>IF($M801="","",IF($I801,"too few losses to test",IF(AND($M801&gt;better_at,$M801&lt;worse_at),"in line",IF($M801&gt;=worse_at,IF(AND(ISNUMBER($N801),$N801&lt;significance_bar),"worse","worse, not significant"),IF(AND(ISNUMBER($N801),$N801&lt;significance_bar),"better","better, not significant")))))</f>
        <v/>
      </c>
      <c r="Y801">
        <f>IF($V801,$X801,$W801)</f>
        <v/>
      </c>
      <c r="Z801">
        <f>IF($V801,IF($P801="","",$P801),IF($O801="","",$O801))</f>
        <v/>
      </c>
      <c r="AA801">
        <f>IF(OR($Q801="",$Z801=""),"",IF(AND($Z801&gt;0,$Z801&gt;=$Q801),"yes","below the line"))</f>
        <v/>
      </c>
      <c r="AB801">
        <f>IF($V801,IF($M801="","",$M801),IF($K801="","",$K801))</f>
        <v/>
      </c>
      <c r="AC801">
        <f>IF($V801,IF($N801="","",$N801),IF($L801="","",$L801))</f>
        <v/>
      </c>
      <c r="AD801">
        <f>$Y801</f>
        <v/>
      </c>
      <c r="AE801">
        <f>IF($V801,IF($S801="","",$S801),IF($R801="","",$R801))</f>
        <v/>
      </c>
      <c r="AF801">
        <f>IF($V801,IF($U801="","",$U801),IF($T801="","",$T801))</f>
        <v/>
      </c>
      <c r="AG801">
        <f>IF($V801,IF($O801="","",$O801),IF($P801="","",$P801))</f>
        <v/>
      </c>
      <c r="AH801" t="n">
        <v>0</v>
      </c>
      <c r="AI801">
        <f>IF($Y801="worse","Yes",IF($Y801="worse, not significant","Not sure",IF(OR($Y801="too few losses to test",$Y801="too few loans to test"),"Too few losses",IF($Y801="","","No"))))</f>
        <v/>
      </c>
      <c r="AJ801">
        <f>IF($AA801="yes","Yes",IF($AA801="","","No"))</f>
        <v/>
      </c>
    </row>
    <row r="802">
      <c r="A802" t="inlineStr">
        <is>
          <t>three-way</t>
        </is>
      </c>
      <c r="B802" t="inlineStr">
        <is>
          <t>FICO x ASSET_CLASS / SYS_FLAG</t>
        </is>
      </c>
      <c r="C802" t="inlineStr">
        <is>
          <t>(marked missing)</t>
        </is>
      </c>
      <c r="D802" t="inlineStr">
        <is>
          <t>3 / SYS_FLAG N</t>
        </is>
      </c>
      <c r="E802" t="inlineStr">
        <is>
          <t>ranr_rate</t>
        </is>
      </c>
      <c r="F802" t="inlineStr">
        <is>
          <t>Profit after losses: RANR per booked dollar</t>
        </is>
      </c>
      <c r="G802" t="n">
        <v>21</v>
      </c>
      <c r="H802" t="n">
        <v>659110.4</v>
      </c>
      <c r="I802" t="b">
        <v>0</v>
      </c>
      <c r="J802" t="b">
        <v>0</v>
      </c>
      <c r="K802" t="n">
        <v>0.1024472904781341</v>
      </c>
      <c r="L802" t="n">
        <v>0.05012575665510372</v>
      </c>
      <c r="M802" t="n">
        <v>0.08568157935111237</v>
      </c>
      <c r="N802" t="n">
        <v>0.2543745625437456</v>
      </c>
      <c r="O802" t="n">
        <v>-67524.07460595918</v>
      </c>
      <c r="P802" t="n">
        <v>-56473.62003874342</v>
      </c>
      <c r="Q802">
        <f>'_live'!$C$23</f>
        <v/>
      </c>
      <c r="R802" t="inlineStr">
        <is>
          <t>shuffled: 265 of 10,000</t>
        </is>
      </c>
      <c r="S802" t="inlineStr">
        <is>
          <t>shuffled: 317 of 10,000</t>
        </is>
      </c>
      <c r="T802" t="n">
        <v>0.1277283978435795</v>
      </c>
      <c r="U802" t="n">
        <v>0.1444941089706012</v>
      </c>
      <c r="V802">
        <f>AND(judged_band,NOT($J802))</f>
        <v/>
      </c>
      <c r="W802">
        <f>IF($K802="","",IF(profit_kind="test",IF(OR(NOT(AND(ISNUMBER($L802),$L802&lt;significance_bar)),$K802=0),"in line",IF($K802&lt;0,"worse","better")),IF(OR($K802=0,IF(profit_kind="points",ABS($K802),ABS($K802*$H802))&lt;profit_line*(1-1E-9)),"in line",IF(AND(ISNUMBER($L802),$L802&lt;significance_bar),IF($K802&lt;0,"worse","better"),IF($K802&lt;0,"worse, not significant","better, not significant")))))</f>
        <v/>
      </c>
      <c r="X802">
        <f>IF($M802="","",IF(profit_kind="test",IF(OR(NOT(AND(ISNUMBER($N802),$N802&lt;significance_bar)),$M802=0),"in line",IF($M802&lt;0,"worse","better")),IF(OR($M802=0,IF(profit_kind="points",ABS($M802),ABS($M802*$H802))&lt;profit_line*(1-1E-9)),"in line",IF(AND(ISNUMBER($N802),$N802&lt;significance_bar),IF($M802&lt;0,"worse","better"),IF($M802&lt;0,"worse, not significant","better, not significant")))))</f>
        <v/>
      </c>
      <c r="Y802">
        <f>IF($V802,$X802,$W802)</f>
        <v/>
      </c>
      <c r="Z802">
        <f>IF($V802,IF($P802="","",$P802),IF($O802="","",$O802))</f>
        <v/>
      </c>
      <c r="AA802">
        <f>IF(OR($Q802="",$Z802=""),"",IF(AND($Z802&gt;0,$Z802&gt;=$Q802),"yes","below the line"))</f>
        <v/>
      </c>
      <c r="AB802">
        <f>IF($V802,IF($M802="","",$M802),IF($K802="","",$K802))</f>
        <v/>
      </c>
      <c r="AC802">
        <f>IF($V802,IF($N802="","",$N802),IF($L802="","",$L802))</f>
        <v/>
      </c>
      <c r="AD802">
        <f>IF($Y802="","",IF($Y802="in line",IF(profit_kind="test",IF(ROUND($AB802*100,2)=0,"0.00",TEXT($AB802*100,"+0.00;-0.00"))&amp;" points against "&amp;IF($V802,"its band","the book")&amp;", "&amp;IF($AC802="","not tested","not significant"),IF(profit_kind="points","within "&amp;TEXT(profit_line*100,"0.00")&amp;" points of "&amp;IF($V802,"its band","the book")&amp;" ("&amp;IF(ROUND($AB802*100,2)=0,"0.00",TEXT($AB802*100,"+0.00;-0.00"))&amp;")","within $"&amp;TEXT(profit_line,"#,##0")&amp;" of "&amp;IF($V802,"its band","the book")&amp;" ("&amp;IF(ROUND($AB802*100,2)=0,"0.00",TEXT($AB802*100,"+0.00;-0.00"))&amp;" points)")),IF(LEFT($Y802,5)="worse","short of ","ahead of ")&amp;IF($V802,"its band","the book")&amp;" by "&amp;TEXT(ABS($AB802)*100,"0.00")&amp;" points"&amp;IF($Z802="",""," ($"&amp;TEXT(ABS($Z802),"#,##0")&amp;")")&amp;IF(RIGHT($Y802,15)="not significant"," (not significant)","")))</f>
        <v/>
      </c>
      <c r="AE802">
        <f>IF($V802,IF($S802="","",$S802),IF($R802="","",$R802))</f>
        <v/>
      </c>
      <c r="AF802">
        <f>IF($V802,IF($U802="","",$U802),IF($T802="","",$T802))</f>
        <v/>
      </c>
      <c r="AG802">
        <f>IF($V802,IF($O802="","",$O802),IF($P802="","",$P802))</f>
        <v/>
      </c>
      <c r="AH802" t="n">
        <v>0.2301756883217136</v>
      </c>
      <c r="AI802">
        <f>IF($Y802="worse","Yes",IF($Y802="worse, not significant","Not sure",IF(OR($Y802="too few losses to test",$Y802="too few loans to test"),"Too few losses",IF($Y802="","","No"))))</f>
        <v/>
      </c>
      <c r="AJ802">
        <f>IF($AA802="yes","Yes",IF($AA802="","","No"))</f>
        <v/>
      </c>
    </row>
    <row r="803">
      <c r="A803" t="inlineStr">
        <is>
          <t>three-way</t>
        </is>
      </c>
      <c r="B803" t="inlineStr">
        <is>
          <t>FICO x ASSET_CLASS / SYS_FLAG</t>
        </is>
      </c>
      <c r="C803" t="inlineStr">
        <is>
          <t>(marked missing)</t>
        </is>
      </c>
      <c r="D803" t="inlineStr">
        <is>
          <t>3 / SYS_FLAG N</t>
        </is>
      </c>
      <c r="E803" t="inlineStr">
        <is>
          <t>contribution_rate</t>
        </is>
      </c>
      <c r="F803" t="inlineStr">
        <is>
          <t>Contribution before losses per booked dollar</t>
        </is>
      </c>
      <c r="G803" t="n">
        <v>21</v>
      </c>
      <c r="H803" t="n">
        <v>659110.4</v>
      </c>
      <c r="I803" t="b">
        <v>0</v>
      </c>
      <c r="J803" t="b">
        <v>0</v>
      </c>
      <c r="K803" t="n">
        <v>0.06073838312012778</v>
      </c>
      <c r="L803" t="n">
        <v>0.05805177058051771</v>
      </c>
      <c r="M803" t="n">
        <v>0.05653583050809863</v>
      </c>
      <c r="N803" t="n">
        <v>0.5536900855369009</v>
      </c>
      <c r="O803" t="n">
        <v>-40033.29999366068</v>
      </c>
      <c r="P803" t="n">
        <v>-37263.35386052509</v>
      </c>
      <c r="Q803">
        <f>'_live'!$C$24</f>
        <v/>
      </c>
      <c r="R803" t="inlineStr">
        <is>
          <t>shuffled: 390 of 10,000</t>
        </is>
      </c>
      <c r="S803" t="inlineStr">
        <is>
          <t>shuffled: 790 of 10,000</t>
        </is>
      </c>
      <c r="T803" t="n">
        <v>0.1694373052015858</v>
      </c>
      <c r="U803" t="n">
        <v>0.173639857813615</v>
      </c>
      <c r="V803">
        <f>AND(judged_band,NOT($J803))</f>
        <v/>
      </c>
      <c r="W803">
        <f>IF($K803="","",IF(profit_kind="test",IF(OR(NOT(AND(ISNUMBER($L803),$L803&lt;significance_bar)),$K803=0),"in line",IF($K803&lt;0,"worse","better")),IF(OR($K803=0,IF(profit_kind="points",ABS($K803),ABS($K803*$H803))&lt;profit_line*(1-1E-9)),"in line",IF(AND(ISNUMBER($L803),$L803&lt;significance_bar),IF($K803&lt;0,"worse","better"),IF($K803&lt;0,"worse, not significant","better, not significant")))))</f>
        <v/>
      </c>
      <c r="X803">
        <f>IF($M803="","",IF(profit_kind="test",IF(OR(NOT(AND(ISNUMBER($N803),$N803&lt;significance_bar)),$M803=0),"in line",IF($M803&lt;0,"worse","better")),IF(OR($M803=0,IF(profit_kind="points",ABS($M803),ABS($M803*$H803))&lt;profit_line*(1-1E-9)),"in line",IF(AND(ISNUMBER($N803),$N803&lt;significance_bar),IF($M803&lt;0,"worse","better"),IF($M803&lt;0,"worse, not significant","better, not significant")))))</f>
        <v/>
      </c>
      <c r="Y803">
        <f>IF($V803,$X803,$W803)</f>
        <v/>
      </c>
      <c r="Z803">
        <f>IF($V803,IF($P803="","",$P803),IF($O803="","",$O803))</f>
        <v/>
      </c>
      <c r="AA803">
        <f>IF(OR($Q803="",$Z803=""),"",IF(AND($Z803&gt;0,$Z803&gt;=$Q803),"yes","below the line"))</f>
        <v/>
      </c>
      <c r="AB803">
        <f>IF($V803,IF($M803="","",$M803),IF($K803="","",$K803))</f>
        <v/>
      </c>
      <c r="AC803">
        <f>IF($V803,IF($N803="","",$N803),IF($L803="","",$L803))</f>
        <v/>
      </c>
      <c r="AD803">
        <f>IF($Y803="","",IF($Y803="in line",IF(profit_kind="test",IF(ROUND($AB803*100,2)=0,"0.00",TEXT($AB803*100,"+0.00;-0.00"))&amp;" points against "&amp;IF($V803,"its band","the book")&amp;", "&amp;IF($AC803="","not tested","not significant"),IF(profit_kind="points","within "&amp;TEXT(profit_line*100,"0.00")&amp;" points of "&amp;IF($V803,"its band","the book")&amp;" ("&amp;IF(ROUND($AB803*100,2)=0,"0.00",TEXT($AB803*100,"+0.00;-0.00"))&amp;")","within $"&amp;TEXT(profit_line,"#,##0")&amp;" of "&amp;IF($V803,"its band","the book")&amp;" ("&amp;IF(ROUND($AB803*100,2)=0,"0.00",TEXT($AB803*100,"+0.00;-0.00"))&amp;" points)")),IF(LEFT($Y803,5)="worse","short of ","ahead of ")&amp;IF($V803,"its band","the book")&amp;" by "&amp;TEXT(ABS($AB803)*100,"0.00")&amp;" points"&amp;IF($Z803="",""," ($"&amp;TEXT(ABS($Z803),"#,##0")&amp;")")&amp;IF(RIGHT($Y803,15)="not significant"," (not significant)","")))</f>
        <v/>
      </c>
      <c r="AE803">
        <f>IF($V803,IF($S803="","",$S803),IF($R803="","",$R803))</f>
        <v/>
      </c>
      <c r="AF803">
        <f>IF($V803,IF($U803="","",$U803),IF($T803="","",$T803))</f>
        <v/>
      </c>
      <c r="AG803">
        <f>IF($V803,IF($O803="","",$O803),IF($P803="","",$P803))</f>
        <v/>
      </c>
      <c r="AH803" t="n">
        <v>0.2301756883217136</v>
      </c>
      <c r="AI803">
        <f>IF($Y803="worse","Yes",IF($Y803="worse, not significant","Not sure",IF(OR($Y803="too few losses to test",$Y803="too few loans to test"),"Too few losses",IF($Y803="","","No"))))</f>
        <v/>
      </c>
      <c r="AJ803">
        <f>IF($AA803="yes","Yes",IF($AA803="","","No"))</f>
        <v/>
      </c>
    </row>
    <row r="804">
      <c r="A804" t="inlineStr">
        <is>
          <t>three-way</t>
        </is>
      </c>
      <c r="B804" t="inlineStr">
        <is>
          <t>FICO x ASSET_CLASS / SYS_FLAG</t>
        </is>
      </c>
      <c r="C804" t="inlineStr">
        <is>
          <t>654 - 685</t>
        </is>
      </c>
      <c r="D804" t="inlineStr">
        <is>
          <t>4 / SYS_FLAG Y</t>
        </is>
      </c>
      <c r="E804" t="inlineStr">
        <is>
          <t>outcome_loans</t>
        </is>
      </c>
      <c r="F804" t="inlineStr">
        <is>
          <t>Outcome, share of loans</t>
        </is>
      </c>
      <c r="G804" t="n">
        <v>191</v>
      </c>
      <c r="H804" t="n">
        <v>191</v>
      </c>
      <c r="I804" t="b">
        <v>0</v>
      </c>
      <c r="J804" t="b">
        <v>0</v>
      </c>
      <c r="K804" t="n">
        <v>1.936765266076665</v>
      </c>
      <c r="L804" t="n">
        <v>0.001512265832803381</v>
      </c>
      <c r="M804" t="n">
        <v>1.937378092598296</v>
      </c>
      <c r="N804" t="n">
        <v>0.008410048543366326</v>
      </c>
      <c r="O804" t="n">
        <v>13.54290471311475</v>
      </c>
      <c r="P804" t="n">
        <v>13.54747774480712</v>
      </c>
      <c r="Q804">
        <f>'_live'!$C$20</f>
        <v/>
      </c>
      <c r="R804" t="inlineStr">
        <is>
          <t>z test</t>
        </is>
      </c>
      <c r="S804" t="inlineStr">
        <is>
          <t>z test</t>
        </is>
      </c>
      <c r="T804" t="n">
        <v>0.07569159836065574</v>
      </c>
      <c r="U804" t="n">
        <v>0.07566765578635015</v>
      </c>
      <c r="V804">
        <f>AND(judged_band,NOT($J804))</f>
        <v/>
      </c>
      <c r="W804">
        <f>IF($K804="","",IF($I804,"too few losses to test",IF(AND($K804&gt;better_at,$K804&lt;worse_at),"in line",IF($K804&gt;=worse_at,IF(AND(ISNUMBER($L804),$L804&lt;significance_bar),"worse","worse, not significant"),IF(AND(ISNUMBER($L804),$L804&lt;significance_bar),"better","better, not significant")))))</f>
        <v/>
      </c>
      <c r="X804">
        <f>IF($M804="","",IF($I804,"too few losses to test",IF(AND($M804&gt;better_at,$M804&lt;worse_at),"in line",IF($M804&gt;=worse_at,IF(AND(ISNUMBER($N804),$N804&lt;significance_bar),"worse","worse, not significant"),IF(AND(ISNUMBER($N804),$N804&lt;significance_bar),"better","better, not significant")))))</f>
        <v/>
      </c>
      <c r="Y804">
        <f>IF($V804,$X804,$W804)</f>
        <v/>
      </c>
      <c r="Z804">
        <f>IF($V804,IF($P804="","",$P804),IF($O804="","",$O804))</f>
        <v/>
      </c>
      <c r="AA804">
        <f>IF(OR($Q804="",$Z804=""),"",IF(AND($Z804&gt;0,$Z804&gt;=$Q804),"yes","below the line"))</f>
        <v/>
      </c>
      <c r="AB804">
        <f>IF($V804,IF($M804="","",$M804),IF($K804="","",$K804))</f>
        <v/>
      </c>
      <c r="AC804">
        <f>IF($V804,IF($N804="","",$N804),IF($L804="","",$L804))</f>
        <v/>
      </c>
      <c r="AD804">
        <f>$Y804</f>
        <v/>
      </c>
      <c r="AE804">
        <f>IF($V804,IF($S804="","",$S804),IF($R804="","",$R804))</f>
        <v/>
      </c>
      <c r="AF804">
        <f>IF($V804,IF($U804="","",$U804),IF($T804="","",$T804))</f>
        <v/>
      </c>
      <c r="AG804">
        <f>IF($V804,IF($O804="","",$O804),IF($P804="","",$P804))</f>
        <v/>
      </c>
      <c r="AH804" t="n">
        <v>0.1465968586387434</v>
      </c>
      <c r="AI804">
        <f>IF($Y804="worse","Yes",IF($Y804="worse, not significant","Not sure",IF(OR($Y804="too few losses to test",$Y804="too few loans to test"),"Too few losses",IF($Y804="","","No"))))</f>
        <v/>
      </c>
      <c r="AJ804">
        <f>IF($AA804="yes","Yes",IF($AA804="","","No"))</f>
        <v/>
      </c>
    </row>
    <row r="805">
      <c r="A805" t="inlineStr">
        <is>
          <t>three-way</t>
        </is>
      </c>
      <c r="B805" t="inlineStr">
        <is>
          <t>FICO x ASSET_CLASS / SYS_FLAG</t>
        </is>
      </c>
      <c r="C805" t="inlineStr">
        <is>
          <t>654 - 685</t>
        </is>
      </c>
      <c r="D805" t="inlineStr">
        <is>
          <t>4 / SYS_FLAG Y</t>
        </is>
      </c>
      <c r="E805" t="inlineStr">
        <is>
          <t>outcome_booked</t>
        </is>
      </c>
      <c r="F805" t="inlineStr">
        <is>
          <t>Outcome, share of booked dollars</t>
        </is>
      </c>
      <c r="G805" t="n">
        <v>191</v>
      </c>
      <c r="H805" t="n">
        <v>6207016.039999996</v>
      </c>
      <c r="I805" t="b">
        <v>0</v>
      </c>
      <c r="J805" t="b">
        <v>0</v>
      </c>
      <c r="K805" t="n">
        <v>1.975735861220163</v>
      </c>
      <c r="L805" t="n">
        <v>0.007279272072792721</v>
      </c>
      <c r="M805" t="n">
        <v>2.047084140712379</v>
      </c>
      <c r="N805" t="n">
        <v>0.01364863513648635</v>
      </c>
      <c r="O805" t="n">
        <v>442800.9277807987</v>
      </c>
      <c r="P805" t="n">
        <v>458617.9260264064</v>
      </c>
      <c r="Q805">
        <f>'_live'!$C$21</f>
        <v/>
      </c>
      <c r="R805" t="inlineStr">
        <is>
          <t>shuffled: 13 of 10,000</t>
        </is>
      </c>
      <c r="S805" t="inlineStr">
        <is>
          <t>shuffled: 20 of 10,000</t>
        </is>
      </c>
      <c r="T805" t="n">
        <v>0.07311279514902005</v>
      </c>
      <c r="U805" t="n">
        <v>0.07056455004321109</v>
      </c>
      <c r="V805">
        <f>AND(judged_band,NOT($J805))</f>
        <v/>
      </c>
      <c r="W805">
        <f>IF($K805="","",IF($I805,"too few losses to test",IF(AND($K805&gt;better_at,$K805&lt;worse_at),"in line",IF($K805&gt;=worse_at,IF(AND(ISNUMBER($L805),$L805&lt;significance_bar),"worse","worse, not significant"),IF(AND(ISNUMBER($L805),$L805&lt;significance_bar),"better","better, not significant")))))</f>
        <v/>
      </c>
      <c r="X805">
        <f>IF($M805="","",IF($I805,"too few losses to test",IF(AND($M805&gt;better_at,$M805&lt;worse_at),"in line",IF($M805&gt;=worse_at,IF(AND(ISNUMBER($N805),$N805&lt;significance_bar),"worse","worse, not significant"),IF(AND(ISNUMBER($N805),$N805&lt;significance_bar),"better","better, not significant")))))</f>
        <v/>
      </c>
      <c r="Y805">
        <f>IF($V805,$X805,$W805)</f>
        <v/>
      </c>
      <c r="Z805">
        <f>IF($V805,IF($P805="","",$P805),IF($O805="","",$O805))</f>
        <v/>
      </c>
      <c r="AA805">
        <f>IF(OR($Q805="",$Z805=""),"",IF(AND($Z805&gt;0,$Z805&gt;=$Q805),"yes","below the line"))</f>
        <v/>
      </c>
      <c r="AB805">
        <f>IF($V805,IF($M805="","",$M805),IF($K805="","",$K805))</f>
        <v/>
      </c>
      <c r="AC805">
        <f>IF($V805,IF($N805="","",$N805),IF($L805="","",$L805))</f>
        <v/>
      </c>
      <c r="AD805">
        <f>$Y805</f>
        <v/>
      </c>
      <c r="AE805">
        <f>IF($V805,IF($S805="","",$S805),IF($R805="","",$R805))</f>
        <v/>
      </c>
      <c r="AF805">
        <f>IF($V805,IF($U805="","",$U805),IF($T805="","",$T805))</f>
        <v/>
      </c>
      <c r="AG805">
        <f>IF($V805,IF($O805="","",$O805),IF($P805="","",$P805))</f>
        <v/>
      </c>
      <c r="AH805" t="n">
        <v>0.1444515712899625</v>
      </c>
      <c r="AI805">
        <f>IF($Y805="worse","Yes",IF($Y805="worse, not significant","Not sure",IF(OR($Y805="too few losses to test",$Y805="too few loans to test"),"Too few losses",IF($Y805="","","No"))))</f>
        <v/>
      </c>
      <c r="AJ805">
        <f>IF($AA805="yes","Yes",IF($AA805="","","No"))</f>
        <v/>
      </c>
    </row>
    <row r="806">
      <c r="A806" t="inlineStr">
        <is>
          <t>three-way</t>
        </is>
      </c>
      <c r="B806" t="inlineStr">
        <is>
          <t>FICO x ASSET_CLASS / SYS_FLAG</t>
        </is>
      </c>
      <c r="C806" t="inlineStr">
        <is>
          <t>654 - 685</t>
        </is>
      </c>
      <c r="D806" t="inlineStr">
        <is>
          <t>4 / SYS_FLAG Y</t>
        </is>
      </c>
      <c r="E806" t="inlineStr">
        <is>
          <t>gco_rate</t>
        </is>
      </c>
      <c r="F806" t="inlineStr">
        <is>
          <t>GCO per booked dollar</t>
        </is>
      </c>
      <c r="G806" t="n">
        <v>191</v>
      </c>
      <c r="H806" t="n">
        <v>6207016.039999996</v>
      </c>
      <c r="I806" t="b">
        <v>0</v>
      </c>
      <c r="J806" t="b">
        <v>0</v>
      </c>
      <c r="K806" t="n">
        <v>2.189700217718221</v>
      </c>
      <c r="L806" t="n">
        <v>0.00207979202079792</v>
      </c>
      <c r="M806" t="n">
        <v>2.272315250881231</v>
      </c>
      <c r="N806" t="n">
        <v>0.006932640069326402</v>
      </c>
      <c r="O806" t="n">
        <v>298685.5571261956</v>
      </c>
      <c r="P806" t="n">
        <v>307813.3794976359</v>
      </c>
      <c r="Q806">
        <f>'_live'!$C$22</f>
        <v/>
      </c>
      <c r="R806" t="inlineStr">
        <is>
          <t>shuffled: 3 of 10,000</t>
        </is>
      </c>
      <c r="S806" t="inlineStr">
        <is>
          <t>shuffled: 7 of 10,000</t>
        </is>
      </c>
      <c r="T806" t="n">
        <v>0.04044769841996487</v>
      </c>
      <c r="U806" t="n">
        <v>0.03897713312536636</v>
      </c>
      <c r="V806">
        <f>AND(judged_band,NOT($J806))</f>
        <v/>
      </c>
      <c r="W806">
        <f>IF($K806="","",IF($I806,"too few losses to test",IF(AND($K806&gt;better_at,$K806&lt;worse_at),"in line",IF($K806&gt;=worse_at,IF(AND(ISNUMBER($L806),$L806&lt;significance_bar),"worse","worse, not significant"),IF(AND(ISNUMBER($L806),$L806&lt;significance_bar),"better","better, not significant")))))</f>
        <v/>
      </c>
      <c r="X806">
        <f>IF($M806="","",IF($I806,"too few losses to test",IF(AND($M806&gt;better_at,$M806&lt;worse_at),"in line",IF($M806&gt;=worse_at,IF(AND(ISNUMBER($N806),$N806&lt;significance_bar),"worse","worse, not significant"),IF(AND(ISNUMBER($N806),$N806&lt;significance_bar),"better","better, not significant")))))</f>
        <v/>
      </c>
      <c r="Y806">
        <f>IF($V806,$X806,$W806)</f>
        <v/>
      </c>
      <c r="Z806">
        <f>IF($V806,IF($P806="","",$P806),IF($O806="","",$O806))</f>
        <v/>
      </c>
      <c r="AA806">
        <f>IF(OR($Q806="",$Z806=""),"",IF(AND($Z806&gt;0,$Z806&gt;=$Q806),"yes","below the line"))</f>
        <v/>
      </c>
      <c r="AB806">
        <f>IF($V806,IF($M806="","",$M806),IF($K806="","",$K806))</f>
        <v/>
      </c>
      <c r="AC806">
        <f>IF($V806,IF($N806="","",$N806),IF($L806="","",$L806))</f>
        <v/>
      </c>
      <c r="AD806">
        <f>$Y806</f>
        <v/>
      </c>
      <c r="AE806">
        <f>IF($V806,IF($S806="","",$S806),IF($R806="","",$R806))</f>
        <v/>
      </c>
      <c r="AF806">
        <f>IF($V806,IF($U806="","",$U806),IF($T806="","",$T806))</f>
        <v/>
      </c>
      <c r="AG806">
        <f>IF($V806,IF($O806="","",$O806),IF($P806="","",$P806))</f>
        <v/>
      </c>
      <c r="AH806" t="n">
        <v>0.08856833403639801</v>
      </c>
      <c r="AI806">
        <f>IF($Y806="worse","Yes",IF($Y806="worse, not significant","Not sure",IF(OR($Y806="too few losses to test",$Y806="too few loans to test"),"Too few losses",IF($Y806="","","No"))))</f>
        <v/>
      </c>
      <c r="AJ806">
        <f>IF($AA806="yes","Yes",IF($AA806="","","No"))</f>
        <v/>
      </c>
    </row>
    <row r="807">
      <c r="A807" t="inlineStr">
        <is>
          <t>three-way</t>
        </is>
      </c>
      <c r="B807" t="inlineStr">
        <is>
          <t>FICO x ASSET_CLASS / SYS_FLAG</t>
        </is>
      </c>
      <c r="C807" t="inlineStr">
        <is>
          <t>654 - 685</t>
        </is>
      </c>
      <c r="D807" t="inlineStr">
        <is>
          <t>4 / SYS_FLAG Y</t>
        </is>
      </c>
      <c r="E807" t="inlineStr">
        <is>
          <t>ranr_rate</t>
        </is>
      </c>
      <c r="F807" t="inlineStr">
        <is>
          <t>Profit after losses: RANR per booked dollar</t>
        </is>
      </c>
      <c r="G807" t="n">
        <v>191</v>
      </c>
      <c r="H807" t="n">
        <v>6207016.039999996</v>
      </c>
      <c r="I807" t="b">
        <v>0</v>
      </c>
      <c r="J807" t="b">
        <v>0</v>
      </c>
      <c r="K807" t="n">
        <v>-0.01477193275121283</v>
      </c>
      <c r="L807" t="n">
        <v>0.4435417569354176</v>
      </c>
      <c r="M807" t="n">
        <v>-0.05662399622857589</v>
      </c>
      <c r="N807" t="n">
        <v>0.007199280071992801</v>
      </c>
      <c r="O807" t="n">
        <v>91689.62352857925</v>
      </c>
      <c r="P807" t="n">
        <v>351466.0528396699</v>
      </c>
      <c r="Q807">
        <f>'_live'!$C$23</f>
        <v/>
      </c>
      <c r="R807" t="inlineStr">
        <is>
          <t>shuffled: 3,258 of 10,000</t>
        </is>
      </c>
      <c r="S807" t="inlineStr">
        <is>
          <t>shuffled: 1 of 10,000</t>
        </is>
      </c>
      <c r="T807" t="n">
        <v>0.1283453415288064</v>
      </c>
      <c r="U807" t="n">
        <v>0.1701974050061695</v>
      </c>
      <c r="V807">
        <f>AND(judged_band,NOT($J807))</f>
        <v/>
      </c>
      <c r="W807">
        <f>IF($K807="","",IF(profit_kind="test",IF(OR(NOT(AND(ISNUMBER($L807),$L807&lt;significance_bar)),$K807=0),"in line",IF($K807&lt;0,"worse","better")),IF(OR($K807=0,IF(profit_kind="points",ABS($K807),ABS($K807*$H807))&lt;profit_line*(1-1E-9)),"in line",IF(AND(ISNUMBER($L807),$L807&lt;significance_bar),IF($K807&lt;0,"worse","better"),IF($K807&lt;0,"worse, not significant","better, not significant")))))</f>
        <v/>
      </c>
      <c r="X807">
        <f>IF($M807="","",IF(profit_kind="test",IF(OR(NOT(AND(ISNUMBER($N807),$N807&lt;significance_bar)),$M807=0),"in line",IF($M807&lt;0,"worse","better")),IF(OR($M807=0,IF(profit_kind="points",ABS($M807),ABS($M807*$H807))&lt;profit_line*(1-1E-9)),"in line",IF(AND(ISNUMBER($N807),$N807&lt;significance_bar),IF($M807&lt;0,"worse","better"),IF($M807&lt;0,"worse, not significant","better, not significant")))))</f>
        <v/>
      </c>
      <c r="Y807">
        <f>IF($V807,$X807,$W807)</f>
        <v/>
      </c>
      <c r="Z807">
        <f>IF($V807,IF($P807="","",$P807),IF($O807="","",$O807))</f>
        <v/>
      </c>
      <c r="AA807">
        <f>IF(OR($Q807="",$Z807=""),"",IF(AND($Z807&gt;0,$Z807&gt;=$Q807),"yes","below the line"))</f>
        <v/>
      </c>
      <c r="AB807">
        <f>IF($V807,IF($M807="","",$M807),IF($K807="","",$K807))</f>
        <v/>
      </c>
      <c r="AC807">
        <f>IF($V807,IF($N807="","",$N807),IF($L807="","",$L807))</f>
        <v/>
      </c>
      <c r="AD807">
        <f>IF($Y807="","",IF($Y807="in line",IF(profit_kind="test",IF(ROUND($AB807*100,2)=0,"0.00",TEXT($AB807*100,"+0.00;-0.00"))&amp;" points against "&amp;IF($V807,"its band","the book")&amp;", "&amp;IF($AC807="","not tested","not significant"),IF(profit_kind="points","within "&amp;TEXT(profit_line*100,"0.00")&amp;" points of "&amp;IF($V807,"its band","the book")&amp;" ("&amp;IF(ROUND($AB807*100,2)=0,"0.00",TEXT($AB807*100,"+0.00;-0.00"))&amp;")","within $"&amp;TEXT(profit_line,"#,##0")&amp;" of "&amp;IF($V807,"its band","the book")&amp;" ("&amp;IF(ROUND($AB807*100,2)=0,"0.00",TEXT($AB807*100,"+0.00;-0.00"))&amp;" points)")),IF(LEFT($Y807,5)="worse","short of ","ahead of ")&amp;IF($V807,"its band","the book")&amp;" by "&amp;TEXT(ABS($AB807)*100,"0.00")&amp;" points"&amp;IF($Z807="",""," ($"&amp;TEXT(ABS($Z807),"#,##0")&amp;")")&amp;IF(RIGHT($Y807,15)="not significant"," (not significant)","")))</f>
        <v/>
      </c>
      <c r="AE807">
        <f>IF($V807,IF($S807="","",$S807),IF($R807="","",$R807))</f>
        <v/>
      </c>
      <c r="AF807">
        <f>IF($V807,IF($U807="","",$U807),IF($T807="","",$T807))</f>
        <v/>
      </c>
      <c r="AG807">
        <f>IF($V807,IF($O807="","",$O807),IF($P807="","",$P807))</f>
        <v/>
      </c>
      <c r="AH807" t="n">
        <v>0.1135734087775936</v>
      </c>
      <c r="AI807">
        <f>IF($Y807="worse","Yes",IF($Y807="worse, not significant","Not sure",IF(OR($Y807="too few losses to test",$Y807="too few loans to test"),"Too few losses",IF($Y807="","","No"))))</f>
        <v/>
      </c>
      <c r="AJ807">
        <f>IF($AA807="yes","Yes",IF($AA807="","","No"))</f>
        <v/>
      </c>
    </row>
    <row r="808">
      <c r="A808" t="inlineStr">
        <is>
          <t>three-way</t>
        </is>
      </c>
      <c r="B808" t="inlineStr">
        <is>
          <t>FICO x ASSET_CLASS / SYS_FLAG</t>
        </is>
      </c>
      <c r="C808" t="inlineStr">
        <is>
          <t>654 - 685</t>
        </is>
      </c>
      <c r="D808" t="inlineStr">
        <is>
          <t>4 / SYS_FLAG Y</t>
        </is>
      </c>
      <c r="E808" t="inlineStr">
        <is>
          <t>contribution_rate</t>
        </is>
      </c>
      <c r="F808" t="inlineStr">
        <is>
          <t>Contribution before losses per booked dollar</t>
        </is>
      </c>
      <c r="G808" t="n">
        <v>191</v>
      </c>
      <c r="H808" t="n">
        <v>6207016.039999996</v>
      </c>
      <c r="I808" t="b">
        <v>0</v>
      </c>
      <c r="J808" t="b">
        <v>0</v>
      </c>
      <c r="K808" t="n">
        <v>0.03335157659749755</v>
      </c>
      <c r="L808" t="n">
        <v>0.00114321901143219</v>
      </c>
      <c r="M808" t="n">
        <v>-0.007032795317544221</v>
      </c>
      <c r="N808" t="n">
        <v>0.937752378608293</v>
      </c>
      <c r="O808" t="n">
        <v>-207013.7708999558</v>
      </c>
      <c r="P808" t="n">
        <v>43652.67334203376</v>
      </c>
      <c r="Q808">
        <f>'_live'!$C$24</f>
        <v/>
      </c>
      <c r="R808" t="inlineStr">
        <is>
          <t>shuffled: 6 of 10,000</t>
        </is>
      </c>
      <c r="S808" t="inlineStr">
        <is>
          <t>shuffled: 4,505 of 10,000</t>
        </is>
      </c>
      <c r="T808" t="n">
        <v>0.1687901662164941</v>
      </c>
      <c r="U808" t="n">
        <v>0.2091745381315359</v>
      </c>
      <c r="V808">
        <f>AND(judged_band,NOT($J808))</f>
        <v/>
      </c>
      <c r="W808">
        <f>IF($K808="","",IF(profit_kind="test",IF(OR(NOT(AND(ISNUMBER($L808),$L808&lt;significance_bar)),$K808=0),"in line",IF($K808&lt;0,"worse","better")),IF(OR($K808=0,IF(profit_kind="points",ABS($K808),ABS($K808*$H808))&lt;profit_line*(1-1E-9)),"in line",IF(AND(ISNUMBER($L808),$L808&lt;significance_bar),IF($K808&lt;0,"worse","better"),IF($K808&lt;0,"worse, not significant","better, not significant")))))</f>
        <v/>
      </c>
      <c r="X808">
        <f>IF($M808="","",IF(profit_kind="test",IF(OR(NOT(AND(ISNUMBER($N808),$N808&lt;significance_bar)),$M808=0),"in line",IF($M808&lt;0,"worse","better")),IF(OR($M808=0,IF(profit_kind="points",ABS($M808),ABS($M808*$H808))&lt;profit_line*(1-1E-9)),"in line",IF(AND(ISNUMBER($N808),$N808&lt;significance_bar),IF($M808&lt;0,"worse","better"),IF($M808&lt;0,"worse, not significant","better, not significant")))))</f>
        <v/>
      </c>
      <c r="Y808">
        <f>IF($V808,$X808,$W808)</f>
        <v/>
      </c>
      <c r="Z808">
        <f>IF($V808,IF($P808="","",$P808),IF($O808="","",$O808))</f>
        <v/>
      </c>
      <c r="AA808">
        <f>IF(OR($Q808="",$Z808=""),"",IF(AND($Z808&gt;0,$Z808&gt;=$Q808),"yes","below the line"))</f>
        <v/>
      </c>
      <c r="AB808">
        <f>IF($V808,IF($M808="","",$M808),IF($K808="","",$K808))</f>
        <v/>
      </c>
      <c r="AC808">
        <f>IF($V808,IF($N808="","",$N808),IF($L808="","",$L808))</f>
        <v/>
      </c>
      <c r="AD808">
        <f>IF($Y808="","",IF($Y808="in line",IF(profit_kind="test",IF(ROUND($AB808*100,2)=0,"0.00",TEXT($AB808*100,"+0.00;-0.00"))&amp;" points against "&amp;IF($V808,"its band","the book")&amp;", "&amp;IF($AC808="","not tested","not significant"),IF(profit_kind="points","within "&amp;TEXT(profit_line*100,"0.00")&amp;" points of "&amp;IF($V808,"its band","the book")&amp;" ("&amp;IF(ROUND($AB808*100,2)=0,"0.00",TEXT($AB808*100,"+0.00;-0.00"))&amp;")","within $"&amp;TEXT(profit_line,"#,##0")&amp;" of "&amp;IF($V808,"its band","the book")&amp;" ("&amp;IF(ROUND($AB808*100,2)=0,"0.00",TEXT($AB808*100,"+0.00;-0.00"))&amp;" points)")),IF(LEFT($Y808,5)="worse","short of ","ahead of ")&amp;IF($V808,"its band","the book")&amp;" by "&amp;TEXT(ABS($AB808)*100,"0.00")&amp;" points"&amp;IF($Z808="",""," ($"&amp;TEXT(ABS($Z808),"#,##0")&amp;")")&amp;IF(RIGHT($Y808,15)="not significant"," (not significant)","")))</f>
        <v/>
      </c>
      <c r="AE808">
        <f>IF($V808,IF($S808="","",$S808),IF($R808="","",$R808))</f>
        <v/>
      </c>
      <c r="AF808">
        <f>IF($V808,IF($U808="","",$U808),IF($T808="","",$T808))</f>
        <v/>
      </c>
      <c r="AG808">
        <f>IF($V808,IF($O808="","",$O808),IF($P808="","",$P808))</f>
        <v/>
      </c>
      <c r="AH808" t="n">
        <v>0.2021417428139917</v>
      </c>
      <c r="AI808">
        <f>IF($Y808="worse","Yes",IF($Y808="worse, not significant","Not sure",IF(OR($Y808="too few losses to test",$Y808="too few loans to test"),"Too few losses",IF($Y808="","","No"))))</f>
        <v/>
      </c>
      <c r="AJ808">
        <f>IF($AA808="yes","Yes",IF($AA808="","","No"))</f>
        <v/>
      </c>
    </row>
    <row r="809">
      <c r="A809" t="inlineStr">
        <is>
          <t>three-way</t>
        </is>
      </c>
      <c r="B809" t="inlineStr">
        <is>
          <t>FICO x ASSET_CLASS / SYS_FLAG</t>
        </is>
      </c>
      <c r="C809" t="inlineStr">
        <is>
          <t>(marked missing)</t>
        </is>
      </c>
      <c r="D809" t="inlineStr">
        <is>
          <t>4 / SYS_FLAG Y</t>
        </is>
      </c>
      <c r="E809" t="inlineStr">
        <is>
          <t>outcome_loans</t>
        </is>
      </c>
      <c r="F809" t="inlineStr">
        <is>
          <t>Outcome, share of loans</t>
        </is>
      </c>
      <c r="G809" t="n">
        <v>17</v>
      </c>
      <c r="H809" t="n">
        <v>17</v>
      </c>
      <c r="I809" t="b">
        <v>1</v>
      </c>
      <c r="J809" t="b">
        <v>0</v>
      </c>
      <c r="K809" t="n">
        <v>0.7597563297163525</v>
      </c>
      <c r="M809" t="n">
        <v>0.9346405228758169</v>
      </c>
      <c r="O809" t="n">
        <v>-0.3162114758205963</v>
      </c>
      <c r="P809" t="n">
        <v>-0.06993006993007</v>
      </c>
      <c r="Q809">
        <f>'_live'!$C$20</f>
        <v/>
      </c>
      <c r="T809" t="n">
        <v>0.07742420446003508</v>
      </c>
      <c r="U809" t="n">
        <v>0.06293706293706294</v>
      </c>
      <c r="V809">
        <f>AND(judged_band,NOT($J809))</f>
        <v/>
      </c>
      <c r="W809">
        <f>IF($K809="","",IF($I809,"too few losses to test",IF(AND($K809&gt;better_at,$K809&lt;worse_at),"in line",IF($K809&gt;=worse_at,IF(AND(ISNUMBER($L809),$L809&lt;significance_bar),"worse","worse, not significant"),IF(AND(ISNUMBER($L809),$L809&lt;significance_bar),"better","better, not significant")))))</f>
        <v/>
      </c>
      <c r="X809">
        <f>IF($M809="","",IF($I809,"too few losses to test",IF(AND($M809&gt;better_at,$M809&lt;worse_at),"in line",IF($M809&gt;=worse_at,IF(AND(ISNUMBER($N809),$N809&lt;significance_bar),"worse","worse, not significant"),IF(AND(ISNUMBER($N809),$N809&lt;significance_bar),"better","better, not significant")))))</f>
        <v/>
      </c>
      <c r="Y809">
        <f>IF($V809,$X809,$W809)</f>
        <v/>
      </c>
      <c r="Z809">
        <f>IF($V809,IF($P809="","",$P809),IF($O809="","",$O809))</f>
        <v/>
      </c>
      <c r="AA809">
        <f>IF(OR($Q809="",$Z809=""),"",IF(AND($Z809&gt;0,$Z809&gt;=$Q809),"yes","below the line"))</f>
        <v/>
      </c>
      <c r="AB809">
        <f>IF($V809,IF($M809="","",$M809),IF($K809="","",$K809))</f>
        <v/>
      </c>
      <c r="AC809">
        <f>IF($V809,IF($N809="","",$N809),IF($L809="","",$L809))</f>
        <v/>
      </c>
      <c r="AD809">
        <f>$Y809</f>
        <v/>
      </c>
      <c r="AE809">
        <f>IF($V809,IF($S809="","",$S809),IF($R809="","",$R809))</f>
        <v/>
      </c>
      <c r="AF809">
        <f>IF($V809,IF($U809="","",$U809),IF($T809="","",$T809))</f>
        <v/>
      </c>
      <c r="AG809">
        <f>IF($V809,IF($O809="","",$O809),IF($P809="","",$P809))</f>
        <v/>
      </c>
      <c r="AH809" t="n">
        <v>0.05882352941176471</v>
      </c>
      <c r="AI809">
        <f>IF($Y809="worse","Yes",IF($Y809="worse, not significant","Not sure",IF(OR($Y809="too few losses to test",$Y809="too few loans to test"),"Too few losses",IF($Y809="","","No"))))</f>
        <v/>
      </c>
      <c r="AJ809">
        <f>IF($AA809="yes","Yes",IF($AA809="","","No"))</f>
        <v/>
      </c>
    </row>
    <row r="810">
      <c r="A810" t="inlineStr">
        <is>
          <t>three-way</t>
        </is>
      </c>
      <c r="B810" t="inlineStr">
        <is>
          <t>FICO x ASSET_CLASS / SYS_FLAG</t>
        </is>
      </c>
      <c r="C810" t="inlineStr">
        <is>
          <t>(marked missing)</t>
        </is>
      </c>
      <c r="D810" t="inlineStr">
        <is>
          <t>4 / SYS_FLAG Y</t>
        </is>
      </c>
      <c r="E810" t="inlineStr">
        <is>
          <t>outcome_booked</t>
        </is>
      </c>
      <c r="F810" t="inlineStr">
        <is>
          <t>Outcome, share of booked dollars</t>
        </is>
      </c>
      <c r="G810" t="n">
        <v>17</v>
      </c>
      <c r="H810" t="n">
        <v>519117.1900000001</v>
      </c>
      <c r="I810" t="b">
        <v>1</v>
      </c>
      <c r="J810" t="b">
        <v>0</v>
      </c>
      <c r="K810" t="n">
        <v>0.7874037848406108</v>
      </c>
      <c r="M810" t="n">
        <v>1.254824122081057</v>
      </c>
      <c r="O810" t="n">
        <v>-8261.823425373004</v>
      </c>
      <c r="P810" t="n">
        <v>6214.061630181288</v>
      </c>
      <c r="Q810">
        <f>'_live'!$C$21</f>
        <v/>
      </c>
      <c r="T810" t="n">
        <v>0.07486088724084247</v>
      </c>
      <c r="U810" t="n">
        <v>0.0469753050747919</v>
      </c>
      <c r="V810">
        <f>AND(judged_band,NOT($J810))</f>
        <v/>
      </c>
      <c r="W810">
        <f>IF($K810="","",IF($I810,"too few losses to test",IF(AND($K810&gt;better_at,$K810&lt;worse_at),"in line",IF($K810&gt;=worse_at,IF(AND(ISNUMBER($L810),$L810&lt;significance_bar),"worse","worse, not significant"),IF(AND(ISNUMBER($L810),$L810&lt;significance_bar),"better","better, not significant")))))</f>
        <v/>
      </c>
      <c r="X810">
        <f>IF($M810="","",IF($I810,"too few losses to test",IF(AND($M810&gt;better_at,$M810&lt;worse_at),"in line",IF($M810&gt;=worse_at,IF(AND(ISNUMBER($N810),$N810&lt;significance_bar),"worse","worse, not significant"),IF(AND(ISNUMBER($N810),$N810&lt;significance_bar),"better","better, not significant")))))</f>
        <v/>
      </c>
      <c r="Y810">
        <f>IF($V810,$X810,$W810)</f>
        <v/>
      </c>
      <c r="Z810">
        <f>IF($V810,IF($P810="","",$P810),IF($O810="","",$O810))</f>
        <v/>
      </c>
      <c r="AA810">
        <f>IF(OR($Q810="",$Z810=""),"",IF(AND($Z810&gt;0,$Z810&gt;=$Q810),"yes","below the line"))</f>
        <v/>
      </c>
      <c r="AB810">
        <f>IF($V810,IF($M810="","",$M810),IF($K810="","",$K810))</f>
        <v/>
      </c>
      <c r="AC810">
        <f>IF($V810,IF($N810="","",$N810),IF($L810="","",$L810))</f>
        <v/>
      </c>
      <c r="AD810">
        <f>$Y810</f>
        <v/>
      </c>
      <c r="AE810">
        <f>IF($V810,IF($S810="","",$S810),IF($R810="","",$R810))</f>
        <v/>
      </c>
      <c r="AF810">
        <f>IF($V810,IF($U810="","",$U810),IF($T810="","",$T810))</f>
        <v/>
      </c>
      <c r="AG810">
        <f>IF($V810,IF($O810="","",$O810),IF($P810="","",$P810))</f>
        <v/>
      </c>
      <c r="AH810" t="n">
        <v>0.05894574594996555</v>
      </c>
      <c r="AI810">
        <f>IF($Y810="worse","Yes",IF($Y810="worse, not significant","Not sure",IF(OR($Y810="too few losses to test",$Y810="too few loans to test"),"Too few losses",IF($Y810="","","No"))))</f>
        <v/>
      </c>
      <c r="AJ810">
        <f>IF($AA810="yes","Yes",IF($AA810="","","No"))</f>
        <v/>
      </c>
    </row>
    <row r="811">
      <c r="A811" t="inlineStr">
        <is>
          <t>three-way</t>
        </is>
      </c>
      <c r="B811" t="inlineStr">
        <is>
          <t>FICO x ASSET_CLASS / SYS_FLAG</t>
        </is>
      </c>
      <c r="C811" t="inlineStr">
        <is>
          <t>(marked missing)</t>
        </is>
      </c>
      <c r="D811" t="inlineStr">
        <is>
          <t>4 / SYS_FLAG Y</t>
        </is>
      </c>
      <c r="E811" t="inlineStr">
        <is>
          <t>gco_rate</t>
        </is>
      </c>
      <c r="F811" t="inlineStr">
        <is>
          <t>GCO per booked dollar</t>
        </is>
      </c>
      <c r="G811" t="n">
        <v>17</v>
      </c>
      <c r="H811" t="n">
        <v>519117.1900000001</v>
      </c>
      <c r="I811" t="b">
        <v>1</v>
      </c>
      <c r="J811" t="b">
        <v>0</v>
      </c>
      <c r="K811" t="n">
        <v>0.712647035207282</v>
      </c>
      <c r="M811" t="n">
        <v>1.183794191027647</v>
      </c>
      <c r="O811" t="n">
        <v>-6209.841747924249</v>
      </c>
      <c r="P811" t="n">
        <v>2391.084419441733</v>
      </c>
      <c r="Q811">
        <f>'_live'!$C$22</f>
        <v/>
      </c>
      <c r="T811" t="n">
        <v>0.04162933180448955</v>
      </c>
      <c r="U811" t="n">
        <v>0.02506096086041432</v>
      </c>
      <c r="V811">
        <f>AND(judged_band,NOT($J811))</f>
        <v/>
      </c>
      <c r="W811">
        <f>IF($K811="","",IF($I811,"too few losses to test",IF(AND($K811&gt;better_at,$K811&lt;worse_at),"in line",IF($K811&gt;=worse_at,IF(AND(ISNUMBER($L811),$L811&lt;significance_bar),"worse","worse, not significant"),IF(AND(ISNUMBER($L811),$L811&lt;significance_bar),"better","better, not significant")))))</f>
        <v/>
      </c>
      <c r="X811">
        <f>IF($M811="","",IF($I811,"too few losses to test",IF(AND($M811&gt;better_at,$M811&lt;worse_at),"in line",IF($M811&gt;=worse_at,IF(AND(ISNUMBER($N811),$N811&lt;significance_bar),"worse","worse, not significant"),IF(AND(ISNUMBER($N811),$N811&lt;significance_bar),"better","better, not significant")))))</f>
        <v/>
      </c>
      <c r="Y811">
        <f>IF($V811,$X811,$W811)</f>
        <v/>
      </c>
      <c r="Z811">
        <f>IF($V811,IF($P811="","",$P811),IF($O811="","",$O811))</f>
        <v/>
      </c>
      <c r="AA811">
        <f>IF(OR($Q811="",$Z811=""),"",IF(AND($Z811&gt;0,$Z811&gt;=$Q811),"yes","below the line"))</f>
        <v/>
      </c>
      <c r="AB811">
        <f>IF($V811,IF($M811="","",$M811),IF($K811="","",$K811))</f>
        <v/>
      </c>
      <c r="AC811">
        <f>IF($V811,IF($N811="","",$N811),IF($L811="","",$L811))</f>
        <v/>
      </c>
      <c r="AD811">
        <f>$Y811</f>
        <v/>
      </c>
      <c r="AE811">
        <f>IF($V811,IF($S811="","",$S811),IF($R811="","",$R811))</f>
        <v/>
      </c>
      <c r="AF811">
        <f>IF($V811,IF($U811="","",$U811),IF($T811="","",$T811))</f>
        <v/>
      </c>
      <c r="AG811">
        <f>IF($V811,IF($O811="","",$O811),IF($P811="","",$P811))</f>
        <v/>
      </c>
      <c r="AH811" t="n">
        <v>0.02966701988812969</v>
      </c>
      <c r="AI811">
        <f>IF($Y811="worse","Yes",IF($Y811="worse, not significant","Not sure",IF(OR($Y811="too few losses to test",$Y811="too few loans to test"),"Too few losses",IF($Y811="","","No"))))</f>
        <v/>
      </c>
      <c r="AJ811">
        <f>IF($AA811="yes","Yes",IF($AA811="","","No"))</f>
        <v/>
      </c>
    </row>
    <row r="812">
      <c r="A812" t="inlineStr">
        <is>
          <t>three-way</t>
        </is>
      </c>
      <c r="B812" t="inlineStr">
        <is>
          <t>FICO x ASSET_CLASS / SYS_FLAG</t>
        </is>
      </c>
      <c r="C812" t="inlineStr">
        <is>
          <t>(marked missing)</t>
        </is>
      </c>
      <c r="D812" t="inlineStr">
        <is>
          <t>4 / SYS_FLAG Y</t>
        </is>
      </c>
      <c r="E812" t="inlineStr">
        <is>
          <t>ranr_rate</t>
        </is>
      </c>
      <c r="F812" t="inlineStr">
        <is>
          <t>Profit after losses: RANR per booked dollar</t>
        </is>
      </c>
      <c r="G812" t="n">
        <v>17</v>
      </c>
      <c r="H812" t="n">
        <v>519117.1900000001</v>
      </c>
      <c r="I812" t="b">
        <v>0</v>
      </c>
      <c r="J812" t="b">
        <v>0</v>
      </c>
      <c r="K812" t="n">
        <v>0.04682835608773117</v>
      </c>
      <c r="L812" t="n">
        <v>0.4435417569354176</v>
      </c>
      <c r="M812" t="n">
        <v>0.02167912801398694</v>
      </c>
      <c r="N812" t="n">
        <v>0.8858714128587142</v>
      </c>
      <c r="O812" t="n">
        <v>-24309.4046245824</v>
      </c>
      <c r="P812" t="n">
        <v>-11254.00801627118</v>
      </c>
      <c r="Q812">
        <f>'_live'!$C$23</f>
        <v/>
      </c>
      <c r="R812" t="inlineStr">
        <is>
          <t>shuffled: 3,186 of 10,000</t>
        </is>
      </c>
      <c r="S812" t="inlineStr">
        <is>
          <t>shuffled: 5,962 of 10,000</t>
        </is>
      </c>
      <c r="T812" t="n">
        <v>0.127895852139702</v>
      </c>
      <c r="U812" t="n">
        <v>0.1530450802134462</v>
      </c>
      <c r="V812">
        <f>AND(judged_band,NOT($J812))</f>
        <v/>
      </c>
      <c r="W812">
        <f>IF($K812="","",IF(profit_kind="test",IF(OR(NOT(AND(ISNUMBER($L812),$L812&lt;significance_bar)),$K812=0),"in line",IF($K812&lt;0,"worse","better")),IF(OR($K812=0,IF(profit_kind="points",ABS($K812),ABS($K812*$H812))&lt;profit_line*(1-1E-9)),"in line",IF(AND(ISNUMBER($L812),$L812&lt;significance_bar),IF($K812&lt;0,"worse","better"),IF($K812&lt;0,"worse, not significant","better, not significant")))))</f>
        <v/>
      </c>
      <c r="X812">
        <f>IF($M812="","",IF(profit_kind="test",IF(OR(NOT(AND(ISNUMBER($N812),$N812&lt;significance_bar)),$M812=0),"in line",IF($M812&lt;0,"worse","better")),IF(OR($M812=0,IF(profit_kind="points",ABS($M812),ABS($M812*$H812))&lt;profit_line*(1-1E-9)),"in line",IF(AND(ISNUMBER($N812),$N812&lt;significance_bar),IF($M812&lt;0,"worse","better"),IF($M812&lt;0,"worse, not significant","better, not significant")))))</f>
        <v/>
      </c>
      <c r="Y812">
        <f>IF($V812,$X812,$W812)</f>
        <v/>
      </c>
      <c r="Z812">
        <f>IF($V812,IF($P812="","",$P812),IF($O812="","",$O812))</f>
        <v/>
      </c>
      <c r="AA812">
        <f>IF(OR($Q812="",$Z812=""),"",IF(AND($Z812&gt;0,$Z812&gt;=$Q812),"yes","below the line"))</f>
        <v/>
      </c>
      <c r="AB812">
        <f>IF($V812,IF($M812="","",$M812),IF($K812="","",$K812))</f>
        <v/>
      </c>
      <c r="AC812">
        <f>IF($V812,IF($N812="","",$N812),IF($L812="","",$L812))</f>
        <v/>
      </c>
      <c r="AD812">
        <f>IF($Y812="","",IF($Y812="in line",IF(profit_kind="test",IF(ROUND($AB812*100,2)=0,"0.00",TEXT($AB812*100,"+0.00;-0.00"))&amp;" points against "&amp;IF($V812,"its band","the book")&amp;", "&amp;IF($AC812="","not tested","not significant"),IF(profit_kind="points","within "&amp;TEXT(profit_line*100,"0.00")&amp;" points of "&amp;IF($V812,"its band","the book")&amp;" ("&amp;IF(ROUND($AB812*100,2)=0,"0.00",TEXT($AB812*100,"+0.00;-0.00"))&amp;")","within $"&amp;TEXT(profit_line,"#,##0")&amp;" of "&amp;IF($V812,"its band","the book")&amp;" ("&amp;IF(ROUND($AB812*100,2)=0,"0.00",TEXT($AB812*100,"+0.00;-0.00"))&amp;" points)")),IF(LEFT($Y812,5)="worse","short of ","ahead of ")&amp;IF($V812,"its band","the book")&amp;" by "&amp;TEXT(ABS($AB812)*100,"0.00")&amp;" points"&amp;IF($Z812="",""," ($"&amp;TEXT(ABS($Z812),"#,##0")&amp;")")&amp;IF(RIGHT($Y812,15)="not significant"," (not significant)","")))</f>
        <v/>
      </c>
      <c r="AE812">
        <f>IF($V812,IF($S812="","",$S812),IF($R812="","",$R812))</f>
        <v/>
      </c>
      <c r="AF812">
        <f>IF($V812,IF($U812="","",$U812),IF($T812="","",$T812))</f>
        <v/>
      </c>
      <c r="AG812">
        <f>IF($V812,IF($O812="","",$O812),IF($P812="","",$P812))</f>
        <v/>
      </c>
      <c r="AH812" t="n">
        <v>0.1747242082274332</v>
      </c>
      <c r="AI812">
        <f>IF($Y812="worse","Yes",IF($Y812="worse, not significant","Not sure",IF(OR($Y812="too few losses to test",$Y812="too few loans to test"),"Too few losses",IF($Y812="","","No"))))</f>
        <v/>
      </c>
      <c r="AJ812">
        <f>IF($AA812="yes","Yes",IF($AA812="","","No"))</f>
        <v/>
      </c>
    </row>
    <row r="813">
      <c r="A813" t="inlineStr">
        <is>
          <t>three-way</t>
        </is>
      </c>
      <c r="B813" t="inlineStr">
        <is>
          <t>FICO x ASSET_CLASS / SYS_FLAG</t>
        </is>
      </c>
      <c r="C813" t="inlineStr">
        <is>
          <t>(marked missing)</t>
        </is>
      </c>
      <c r="D813" t="inlineStr">
        <is>
          <t>4 / SYS_FLAG Y</t>
        </is>
      </c>
      <c r="E813" t="inlineStr">
        <is>
          <t>contribution_rate</t>
        </is>
      </c>
      <c r="F813" t="inlineStr">
        <is>
          <t>Contribution before losses per booked dollar</t>
        </is>
      </c>
      <c r="G813" t="n">
        <v>17</v>
      </c>
      <c r="H813" t="n">
        <v>519117.1900000001</v>
      </c>
      <c r="I813" t="b">
        <v>0</v>
      </c>
      <c r="J813" t="b">
        <v>0</v>
      </c>
      <c r="K813" t="n">
        <v>0.034868923698506</v>
      </c>
      <c r="L813" t="n">
        <v>0.3686236639493946</v>
      </c>
      <c r="M813" t="n">
        <v>0.02628518704170235</v>
      </c>
      <c r="N813" t="n">
        <v>0.937752378608293</v>
      </c>
      <c r="O813" t="n">
        <v>-18101.05768869283</v>
      </c>
      <c r="P813" t="n">
        <v>-13645.09243571293</v>
      </c>
      <c r="Q813">
        <f>'_live'!$C$24</f>
        <v/>
      </c>
      <c r="R813" t="inlineStr">
        <is>
          <t>shuffled: 2,858 of 10,000</t>
        </is>
      </c>
      <c r="S813" t="inlineStr">
        <is>
          <t>shuffled: 4,598 of 10,000</t>
        </is>
      </c>
      <c r="T813" t="n">
        <v>0.1695223044170569</v>
      </c>
      <c r="U813" t="n">
        <v>0.1781060410738605</v>
      </c>
      <c r="V813">
        <f>AND(judged_band,NOT($J813))</f>
        <v/>
      </c>
      <c r="W813">
        <f>IF($K813="","",IF(profit_kind="test",IF(OR(NOT(AND(ISNUMBER($L813),$L813&lt;significance_bar)),$K813=0),"in line",IF($K813&lt;0,"worse","better")),IF(OR($K813=0,IF(profit_kind="points",ABS($K813),ABS($K813*$H813))&lt;profit_line*(1-1E-9)),"in line",IF(AND(ISNUMBER($L813),$L813&lt;significance_bar),IF($K813&lt;0,"worse","better"),IF($K813&lt;0,"worse, not significant","better, not significant")))))</f>
        <v/>
      </c>
      <c r="X813">
        <f>IF($M813="","",IF(profit_kind="test",IF(OR(NOT(AND(ISNUMBER($N813),$N813&lt;significance_bar)),$M813=0),"in line",IF($M813&lt;0,"worse","better")),IF(OR($M813=0,IF(profit_kind="points",ABS($M813),ABS($M813*$H813))&lt;profit_line*(1-1E-9)),"in line",IF(AND(ISNUMBER($N813),$N813&lt;significance_bar),IF($M813&lt;0,"worse","better"),IF($M813&lt;0,"worse, not significant","better, not significant")))))</f>
        <v/>
      </c>
      <c r="Y813">
        <f>IF($V813,$X813,$W813)</f>
        <v/>
      </c>
      <c r="Z813">
        <f>IF($V813,IF($P813="","",$P813),IF($O813="","",$O813))</f>
        <v/>
      </c>
      <c r="AA813">
        <f>IF(OR($Q813="",$Z813=""),"",IF(AND($Z813&gt;0,$Z813&gt;=$Q813),"yes","below the line"))</f>
        <v/>
      </c>
      <c r="AB813">
        <f>IF($V813,IF($M813="","",$M813),IF($K813="","",$K813))</f>
        <v/>
      </c>
      <c r="AC813">
        <f>IF($V813,IF($N813="","",$N813),IF($L813="","",$L813))</f>
        <v/>
      </c>
      <c r="AD813">
        <f>IF($Y813="","",IF($Y813="in line",IF(profit_kind="test",IF(ROUND($AB813*100,2)=0,"0.00",TEXT($AB813*100,"+0.00;-0.00"))&amp;" points against "&amp;IF($V813,"its band","the book")&amp;", "&amp;IF($AC813="","not tested","not significant"),IF(profit_kind="points","within "&amp;TEXT(profit_line*100,"0.00")&amp;" points of "&amp;IF($V813,"its band","the book")&amp;" ("&amp;IF(ROUND($AB813*100,2)=0,"0.00",TEXT($AB813*100,"+0.00;-0.00"))&amp;")","within $"&amp;TEXT(profit_line,"#,##0")&amp;" of "&amp;IF($V813,"its band","the book")&amp;" ("&amp;IF(ROUND($AB813*100,2)=0,"0.00",TEXT($AB813*100,"+0.00;-0.00"))&amp;" points)")),IF(LEFT($Y813,5)="worse","short of ","ahead of ")&amp;IF($V813,"its band","the book")&amp;" by "&amp;TEXT(ABS($AB813)*100,"0.00")&amp;" points"&amp;IF($Z813="",""," ($"&amp;TEXT(ABS($Z813),"#,##0")&amp;")")&amp;IF(RIGHT($Y813,15)="not significant"," (not significant)","")))</f>
        <v/>
      </c>
      <c r="AE813">
        <f>IF($V813,IF($S813="","",$S813),IF($R813="","",$R813))</f>
        <v/>
      </c>
      <c r="AF813">
        <f>IF($V813,IF($U813="","",$U813),IF($T813="","",$T813))</f>
        <v/>
      </c>
      <c r="AG813">
        <f>IF($V813,IF($O813="","",$O813),IF($P813="","",$P813))</f>
        <v/>
      </c>
      <c r="AH813" t="n">
        <v>0.2043912281155629</v>
      </c>
      <c r="AI813">
        <f>IF($Y813="worse","Yes",IF($Y813="worse, not significant","Not sure",IF(OR($Y813="too few losses to test",$Y813="too few loans to test"),"Too few losses",IF($Y813="","","No"))))</f>
        <v/>
      </c>
      <c r="AJ813">
        <f>IF($AA813="yes","Yes",IF($AA813="","","No"))</f>
        <v/>
      </c>
    </row>
    <row r="814">
      <c r="A814" t="inlineStr">
        <is>
          <t>three-way</t>
        </is>
      </c>
      <c r="B814" t="inlineStr">
        <is>
          <t>FICO x ASSET_CLASS / SYS_FLAG</t>
        </is>
      </c>
      <c r="C814" t="inlineStr">
        <is>
          <t>686 - 711</t>
        </is>
      </c>
      <c r="D814" t="inlineStr">
        <is>
          <t>3 / SYS_FLAG Y</t>
        </is>
      </c>
      <c r="E814" t="inlineStr">
        <is>
          <t>outcome_loans</t>
        </is>
      </c>
      <c r="F814" t="inlineStr">
        <is>
          <t>Outcome, share of loans</t>
        </is>
      </c>
      <c r="G814" t="n">
        <v>196</v>
      </c>
      <c r="H814" t="n">
        <v>196</v>
      </c>
      <c r="I814" t="b">
        <v>0</v>
      </c>
      <c r="J814" t="b">
        <v>0</v>
      </c>
      <c r="K814" t="n">
        <v>1.124237236422808</v>
      </c>
      <c r="L814" t="n">
        <v>0.707554357141477</v>
      </c>
      <c r="M814" t="n">
        <v>1.499741668819426</v>
      </c>
      <c r="N814" t="n">
        <v>0.3538064683800896</v>
      </c>
      <c r="O814" t="n">
        <v>1.878636421889016</v>
      </c>
      <c r="P814" t="n">
        <v>5.664714494875549</v>
      </c>
      <c r="Q814">
        <f>'_live'!$C$20</f>
        <v/>
      </c>
      <c r="R814" t="inlineStr">
        <is>
          <t>z test</t>
        </is>
      </c>
      <c r="S814" t="inlineStr">
        <is>
          <t>z test</t>
        </is>
      </c>
      <c r="T814" t="n">
        <v>0.07714981417403563</v>
      </c>
      <c r="U814" t="n">
        <v>0.05783308931185945</v>
      </c>
      <c r="V814">
        <f>AND(judged_band,NOT($J814))</f>
        <v/>
      </c>
      <c r="W814">
        <f>IF($K814="","",IF($I814,"too few losses to test",IF(AND($K814&gt;better_at,$K814&lt;worse_at),"in line",IF($K814&gt;=worse_at,IF(AND(ISNUMBER($L814),$L814&lt;significance_bar),"worse","worse, not significant"),IF(AND(ISNUMBER($L814),$L814&lt;significance_bar),"better","better, not significant")))))</f>
        <v/>
      </c>
      <c r="X814">
        <f>IF($M814="","",IF($I814,"too few losses to test",IF(AND($M814&gt;better_at,$M814&lt;worse_at),"in line",IF($M814&gt;=worse_at,IF(AND(ISNUMBER($N814),$N814&lt;significance_bar),"worse","worse, not significant"),IF(AND(ISNUMBER($N814),$N814&lt;significance_bar),"better","better, not significant")))))</f>
        <v/>
      </c>
      <c r="Y814">
        <f>IF($V814,$X814,$W814)</f>
        <v/>
      </c>
      <c r="Z814">
        <f>IF($V814,IF($P814="","",$P814),IF($O814="","",$O814))</f>
        <v/>
      </c>
      <c r="AA814">
        <f>IF(OR($Q814="",$Z814=""),"",IF(AND($Z814&gt;0,$Z814&gt;=$Q814),"yes","below the line"))</f>
        <v/>
      </c>
      <c r="AB814">
        <f>IF($V814,IF($M814="","",$M814),IF($K814="","",$K814))</f>
        <v/>
      </c>
      <c r="AC814">
        <f>IF($V814,IF($N814="","",$N814),IF($L814="","",$L814))</f>
        <v/>
      </c>
      <c r="AD814">
        <f>$Y814</f>
        <v/>
      </c>
      <c r="AE814">
        <f>IF($V814,IF($S814="","",$S814),IF($R814="","",$R814))</f>
        <v/>
      </c>
      <c r="AF814">
        <f>IF($V814,IF($U814="","",$U814),IF($T814="","",$T814))</f>
        <v/>
      </c>
      <c r="AG814">
        <f>IF($V814,IF($O814="","",$O814),IF($P814="","",$P814))</f>
        <v/>
      </c>
      <c r="AH814" t="n">
        <v>0.08673469387755102</v>
      </c>
      <c r="AI814">
        <f>IF($Y814="worse","Yes",IF($Y814="worse, not significant","Not sure",IF(OR($Y814="too few losses to test",$Y814="too few loans to test"),"Too few losses",IF($Y814="","","No"))))</f>
        <v/>
      </c>
      <c r="AJ814">
        <f>IF($AA814="yes","Yes",IF($AA814="","","No"))</f>
        <v/>
      </c>
    </row>
    <row r="815">
      <c r="A815" t="inlineStr">
        <is>
          <t>three-way</t>
        </is>
      </c>
      <c r="B815" t="inlineStr">
        <is>
          <t>FICO x ASSET_CLASS / SYS_FLAG</t>
        </is>
      </c>
      <c r="C815" t="inlineStr">
        <is>
          <t>686 - 711</t>
        </is>
      </c>
      <c r="D815" t="inlineStr">
        <is>
          <t>3 / SYS_FLAG Y</t>
        </is>
      </c>
      <c r="E815" t="inlineStr">
        <is>
          <t>outcome_booked</t>
        </is>
      </c>
      <c r="F815" t="inlineStr">
        <is>
          <t>Outcome, share of booked dollars</t>
        </is>
      </c>
      <c r="G815" t="n">
        <v>196</v>
      </c>
      <c r="H815" t="n">
        <v>6476116.959999999</v>
      </c>
      <c r="I815" t="b">
        <v>0</v>
      </c>
      <c r="J815" t="b">
        <v>0</v>
      </c>
      <c r="K815" t="n">
        <v>1.125066341501795</v>
      </c>
      <c r="L815" t="n">
        <v>0.7099456720994568</v>
      </c>
      <c r="M815" t="n">
        <v>1.585641490454097</v>
      </c>
      <c r="N815" t="n">
        <v>0.3587641235876413</v>
      </c>
      <c r="O815" t="n">
        <v>60417.56535732036</v>
      </c>
      <c r="P815" t="n">
        <v>200737.1449148832</v>
      </c>
      <c r="Q815">
        <f>'_live'!$C$21</f>
        <v/>
      </c>
      <c r="R815" t="inlineStr">
        <is>
          <t>shuffled: 6,553 of 10,000</t>
        </is>
      </c>
      <c r="S815" t="inlineStr">
        <is>
          <t>shuffled: 1,103 of 10,000</t>
        </is>
      </c>
      <c r="T815" t="n">
        <v>0.07459472051330583</v>
      </c>
      <c r="U815" t="n">
        <v>0.05292748064962634</v>
      </c>
      <c r="V815">
        <f>AND(judged_band,NOT($J815))</f>
        <v/>
      </c>
      <c r="W815">
        <f>IF($K815="","",IF($I815,"too few losses to test",IF(AND($K815&gt;better_at,$K815&lt;worse_at),"in line",IF($K815&gt;=worse_at,IF(AND(ISNUMBER($L815),$L815&lt;significance_bar),"worse","worse, not significant"),IF(AND(ISNUMBER($L815),$L815&lt;significance_bar),"better","better, not significant")))))</f>
        <v/>
      </c>
      <c r="X815">
        <f>IF($M815="","",IF($I815,"too few losses to test",IF(AND($M815&gt;better_at,$M815&lt;worse_at),"in line",IF($M815&gt;=worse_at,IF(AND(ISNUMBER($N815),$N815&lt;significance_bar),"worse","worse, not significant"),IF(AND(ISNUMBER($N815),$N815&lt;significance_bar),"better","better, not significant")))))</f>
        <v/>
      </c>
      <c r="Y815">
        <f>IF($V815,$X815,$W815)</f>
        <v/>
      </c>
      <c r="Z815">
        <f>IF($V815,IF($P815="","",$P815),IF($O815="","",$O815))</f>
        <v/>
      </c>
      <c r="AA815">
        <f>IF(OR($Q815="",$Z815=""),"",IF(AND($Z815&gt;0,$Z815&gt;=$Q815),"yes","below the line"))</f>
        <v/>
      </c>
      <c r="AB815">
        <f>IF($V815,IF($M815="","",$M815),IF($K815="","",$K815))</f>
        <v/>
      </c>
      <c r="AC815">
        <f>IF($V815,IF($N815="","",$N815),IF($L815="","",$L815))</f>
        <v/>
      </c>
      <c r="AD815">
        <f>$Y815</f>
        <v/>
      </c>
      <c r="AE815">
        <f>IF($V815,IF($S815="","",$S815),IF($R815="","",$R815))</f>
        <v/>
      </c>
      <c r="AF815">
        <f>IF($V815,IF($U815="","",$U815),IF($T815="","",$T815))</f>
        <v/>
      </c>
      <c r="AG815">
        <f>IF($V815,IF($O815="","",$O815),IF($P815="","",$P815))</f>
        <v/>
      </c>
      <c r="AH815" t="n">
        <v>0.08392400930325386</v>
      </c>
      <c r="AI815">
        <f>IF($Y815="worse","Yes",IF($Y815="worse, not significant","Not sure",IF(OR($Y815="too few losses to test",$Y815="too few loans to test"),"Too few losses",IF($Y815="","","No"))))</f>
        <v/>
      </c>
      <c r="AJ815">
        <f>IF($AA815="yes","Yes",IF($AA815="","","No"))</f>
        <v/>
      </c>
    </row>
    <row r="816">
      <c r="A816" t="inlineStr">
        <is>
          <t>three-way</t>
        </is>
      </c>
      <c r="B816" t="inlineStr">
        <is>
          <t>FICO x ASSET_CLASS / SYS_FLAG</t>
        </is>
      </c>
      <c r="C816" t="inlineStr">
        <is>
          <t>686 - 711</t>
        </is>
      </c>
      <c r="D816" t="inlineStr">
        <is>
          <t>3 / SYS_FLAG Y</t>
        </is>
      </c>
      <c r="E816" t="inlineStr">
        <is>
          <t>gco_rate</t>
        </is>
      </c>
      <c r="F816" t="inlineStr">
        <is>
          <t>GCO per booked dollar</t>
        </is>
      </c>
      <c r="G816" t="n">
        <v>196</v>
      </c>
      <c r="H816" t="n">
        <v>6476116.959999999</v>
      </c>
      <c r="I816" t="b">
        <v>0</v>
      </c>
      <c r="J816" t="b">
        <v>0</v>
      </c>
      <c r="K816" t="n">
        <v>1.053700806976072</v>
      </c>
      <c r="L816" t="n">
        <v>0.9226910642269107</v>
      </c>
      <c r="M816" t="n">
        <v>1.472523231559712</v>
      </c>
      <c r="N816" t="n">
        <v>0.4894601448946014</v>
      </c>
      <c r="O816" t="n">
        <v>14449.70035059925</v>
      </c>
      <c r="P816" t="n">
        <v>90982.18277104077</v>
      </c>
      <c r="Q816">
        <f>'_live'!$C$22</f>
        <v/>
      </c>
      <c r="R816" t="inlineStr">
        <is>
          <t>shuffled: 8,517 of 10,000</t>
        </is>
      </c>
      <c r="S816" t="inlineStr">
        <is>
          <t>shuffled: 2,070 of 10,000</t>
        </is>
      </c>
      <c r="T816" t="n">
        <v>0.04154926498569611</v>
      </c>
      <c r="U816" t="n">
        <v>0.02973161516665369</v>
      </c>
      <c r="V816">
        <f>AND(judged_band,NOT($J816))</f>
        <v/>
      </c>
      <c r="W816">
        <f>IF($K816="","",IF($I816,"too few losses to test",IF(AND($K816&gt;better_at,$K816&lt;worse_at),"in line",IF($K816&gt;=worse_at,IF(AND(ISNUMBER($L816),$L816&lt;significance_bar),"worse","worse, not significant"),IF(AND(ISNUMBER($L816),$L816&lt;significance_bar),"better","better, not significant")))))</f>
        <v/>
      </c>
      <c r="X816">
        <f>IF($M816="","",IF($I816,"too few losses to test",IF(AND($M816&gt;better_at,$M816&lt;worse_at),"in line",IF($M816&gt;=worse_at,IF(AND(ISNUMBER($N816),$N816&lt;significance_bar),"worse","worse, not significant"),IF(AND(ISNUMBER($N816),$N816&lt;significance_bar),"better","better, not significant")))))</f>
        <v/>
      </c>
      <c r="Y816">
        <f>IF($V816,$X816,$W816)</f>
        <v/>
      </c>
      <c r="Z816">
        <f>IF($V816,IF($P816="","",$P816),IF($O816="","",$O816))</f>
        <v/>
      </c>
      <c r="AA816">
        <f>IF(OR($Q816="",$Z816=""),"",IF(AND($Z816&gt;0,$Z816&gt;=$Q816),"yes","below the line"))</f>
        <v/>
      </c>
      <c r="AB816">
        <f>IF($V816,IF($M816="","",$M816),IF($K816="","",$K816))</f>
        <v/>
      </c>
      <c r="AC816">
        <f>IF($V816,IF($N816="","",$N816),IF($L816="","",$L816))</f>
        <v/>
      </c>
      <c r="AD816">
        <f>$Y816</f>
        <v/>
      </c>
      <c r="AE816">
        <f>IF($V816,IF($S816="","",$S816),IF($R816="","",$R816))</f>
        <v/>
      </c>
      <c r="AF816">
        <f>IF($V816,IF($U816="","",$U816),IF($T816="","",$T816))</f>
        <v/>
      </c>
      <c r="AG816">
        <f>IF($V816,IF($O816="","",$O816),IF($P816="","",$P816))</f>
        <v/>
      </c>
      <c r="AH816" t="n">
        <v>0.04378049404469063</v>
      </c>
      <c r="AI816">
        <f>IF($Y816="worse","Yes",IF($Y816="worse, not significant","Not sure",IF(OR($Y816="too few losses to test",$Y816="too few loans to test"),"Too few losses",IF($Y816="","","No"))))</f>
        <v/>
      </c>
      <c r="AJ816">
        <f>IF($AA816="yes","Yes",IF($AA816="","","No"))</f>
        <v/>
      </c>
    </row>
    <row r="817">
      <c r="A817" t="inlineStr">
        <is>
          <t>three-way</t>
        </is>
      </c>
      <c r="B817" t="inlineStr">
        <is>
          <t>FICO x ASSET_CLASS / SYS_FLAG</t>
        </is>
      </c>
      <c r="C817" t="inlineStr">
        <is>
          <t>686 - 711</t>
        </is>
      </c>
      <c r="D817" t="inlineStr">
        <is>
          <t>3 / SYS_FLAG Y</t>
        </is>
      </c>
      <c r="E817" t="inlineStr">
        <is>
          <t>ranr_rate</t>
        </is>
      </c>
      <c r="F817" t="inlineStr">
        <is>
          <t>Profit after losses: RANR per booked dollar</t>
        </is>
      </c>
      <c r="G817" t="n">
        <v>196</v>
      </c>
      <c r="H817" t="n">
        <v>6476116.959999999</v>
      </c>
      <c r="I817" t="b">
        <v>0</v>
      </c>
      <c r="J817" t="b">
        <v>0</v>
      </c>
      <c r="K817" t="n">
        <v>-0.007167832915165762</v>
      </c>
      <c r="L817" t="n">
        <v>0.705640799556408</v>
      </c>
      <c r="M817" t="n">
        <v>-0.02395742272828941</v>
      </c>
      <c r="N817" t="n">
        <v>0.3207679232076792</v>
      </c>
      <c r="O817" t="n">
        <v>46419.72430835117</v>
      </c>
      <c r="P817" t="n">
        <v>155151.0716485644</v>
      </c>
      <c r="Q817">
        <f>'_live'!$C$23</f>
        <v/>
      </c>
      <c r="R817" t="inlineStr">
        <is>
          <t>shuffled: 6,336 of 10,000</t>
        </is>
      </c>
      <c r="S817" t="inlineStr">
        <is>
          <t>shuffled: 801 of 10,000</t>
        </is>
      </c>
      <c r="T817" t="n">
        <v>0.1281699233406605</v>
      </c>
      <c r="U817" t="n">
        <v>0.1449595131537841</v>
      </c>
      <c r="V817">
        <f>AND(judged_band,NOT($J817))</f>
        <v/>
      </c>
      <c r="W817">
        <f>IF($K817="","",IF(profit_kind="test",IF(OR(NOT(AND(ISNUMBER($L817),$L817&lt;significance_bar)),$K817=0),"in line",IF($K817&lt;0,"worse","better")),IF(OR($K817=0,IF(profit_kind="points",ABS($K817),ABS($K817*$H817))&lt;profit_line*(1-1E-9)),"in line",IF(AND(ISNUMBER($L817),$L817&lt;significance_bar),IF($K817&lt;0,"worse","better"),IF($K817&lt;0,"worse, not significant","better, not significant")))))</f>
        <v/>
      </c>
      <c r="X817">
        <f>IF($M817="","",IF(profit_kind="test",IF(OR(NOT(AND(ISNUMBER($N817),$N817&lt;significance_bar)),$M817=0),"in line",IF($M817&lt;0,"worse","better")),IF(OR($M817=0,IF(profit_kind="points",ABS($M817),ABS($M817*$H817))&lt;profit_line*(1-1E-9)),"in line",IF(AND(ISNUMBER($N817),$N817&lt;significance_bar),IF($M817&lt;0,"worse","better"),IF($M817&lt;0,"worse, not significant","better, not significant")))))</f>
        <v/>
      </c>
      <c r="Y817">
        <f>IF($V817,$X817,$W817)</f>
        <v/>
      </c>
      <c r="Z817">
        <f>IF($V817,IF($P817="","",$P817),IF($O817="","",$O817))</f>
        <v/>
      </c>
      <c r="AA817">
        <f>IF(OR($Q817="",$Z817=""),"",IF(AND($Z817&gt;0,$Z817&gt;=$Q817),"yes","below the line"))</f>
        <v/>
      </c>
      <c r="AB817">
        <f>IF($V817,IF($M817="","",$M817),IF($K817="","",$K817))</f>
        <v/>
      </c>
      <c r="AC817">
        <f>IF($V817,IF($N817="","",$N817),IF($L817="","",$L817))</f>
        <v/>
      </c>
      <c r="AD817">
        <f>IF($Y817="","",IF($Y817="in line",IF(profit_kind="test",IF(ROUND($AB817*100,2)=0,"0.00",TEXT($AB817*100,"+0.00;-0.00"))&amp;" points against "&amp;IF($V817,"its band","the book")&amp;", "&amp;IF($AC817="","not tested","not significant"),IF(profit_kind="points","within "&amp;TEXT(profit_line*100,"0.00")&amp;" points of "&amp;IF($V817,"its band","the book")&amp;" ("&amp;IF(ROUND($AB817*100,2)=0,"0.00",TEXT($AB817*100,"+0.00;-0.00"))&amp;")","within $"&amp;TEXT(profit_line,"#,##0")&amp;" of "&amp;IF($V817,"its band","the book")&amp;" ("&amp;IF(ROUND($AB817*100,2)=0,"0.00",TEXT($AB817*100,"+0.00;-0.00"))&amp;" points)")),IF(LEFT($Y817,5)="worse","short of ","ahead of ")&amp;IF($V817,"its band","the book")&amp;" by "&amp;TEXT(ABS($AB817)*100,"0.00")&amp;" points"&amp;IF($Z817="",""," ($"&amp;TEXT(ABS($Z817),"#,##0")&amp;")")&amp;IF(RIGHT($Y817,15)="not significant"," (not significant)","")))</f>
        <v/>
      </c>
      <c r="AE817">
        <f>IF($V817,IF($S817="","",$S817),IF($R817="","",$R817))</f>
        <v/>
      </c>
      <c r="AF817">
        <f>IF($V817,IF($U817="","",$U817),IF($T817="","",$T817))</f>
        <v/>
      </c>
      <c r="AG817">
        <f>IF($V817,IF($O817="","",$O817),IF($P817="","",$P817))</f>
        <v/>
      </c>
      <c r="AH817" t="n">
        <v>0.1210020904254947</v>
      </c>
      <c r="AI817">
        <f>IF($Y817="worse","Yes",IF($Y817="worse, not significant","Not sure",IF(OR($Y817="too few losses to test",$Y817="too few loans to test"),"Too few losses",IF($Y817="","","No"))))</f>
        <v/>
      </c>
      <c r="AJ817">
        <f>IF($AA817="yes","Yes",IF($AA817="","","No"))</f>
        <v/>
      </c>
    </row>
    <row r="818">
      <c r="A818" t="inlineStr">
        <is>
          <t>three-way</t>
        </is>
      </c>
      <c r="B818" t="inlineStr">
        <is>
          <t>FICO x ASSET_CLASS / SYS_FLAG</t>
        </is>
      </c>
      <c r="C818" t="inlineStr">
        <is>
          <t>686 - 711</t>
        </is>
      </c>
      <c r="D818" t="inlineStr">
        <is>
          <t>3 / SYS_FLAG Y</t>
        </is>
      </c>
      <c r="E818" t="inlineStr">
        <is>
          <t>contribution_rate</t>
        </is>
      </c>
      <c r="F818" t="inlineStr">
        <is>
          <t>Contribution before losses per booked dollar</t>
        </is>
      </c>
      <c r="G818" t="n">
        <v>196</v>
      </c>
      <c r="H818" t="n">
        <v>6476116.959999999</v>
      </c>
      <c r="I818" t="b">
        <v>0</v>
      </c>
      <c r="J818" t="b">
        <v>0</v>
      </c>
      <c r="K818" t="n">
        <v>-0.004933699376076517</v>
      </c>
      <c r="L818" t="n">
        <v>0.7245299860257877</v>
      </c>
      <c r="M818" t="n">
        <v>-0.009908543850252444</v>
      </c>
      <c r="N818" t="n">
        <v>0.7435564135894103</v>
      </c>
      <c r="O818" t="n">
        <v>31951.21420495072</v>
      </c>
      <c r="P818" t="n">
        <v>64168.8888775236</v>
      </c>
      <c r="Q818">
        <f>'_live'!$C$24</f>
        <v/>
      </c>
      <c r="R818" t="inlineStr">
        <is>
          <t>shuffled: 6,062 of 10,000</t>
        </is>
      </c>
      <c r="S818" t="inlineStr">
        <is>
          <t>shuffled: 2,013 of 10,000</t>
        </is>
      </c>
      <c r="T818" t="n">
        <v>0.1697162838462619</v>
      </c>
      <c r="U818" t="n">
        <v>0.1746911283204378</v>
      </c>
      <c r="V818">
        <f>AND(judged_band,NOT($J818))</f>
        <v/>
      </c>
      <c r="W818">
        <f>IF($K818="","",IF(profit_kind="test",IF(OR(NOT(AND(ISNUMBER($L818),$L818&lt;significance_bar)),$K818=0),"in line",IF($K818&lt;0,"worse","better")),IF(OR($K818=0,IF(profit_kind="points",ABS($K818),ABS($K818*$H818))&lt;profit_line*(1-1E-9)),"in line",IF(AND(ISNUMBER($L818),$L818&lt;significance_bar),IF($K818&lt;0,"worse","better"),IF($K818&lt;0,"worse, not significant","better, not significant")))))</f>
        <v/>
      </c>
      <c r="X818">
        <f>IF($M818="","",IF(profit_kind="test",IF(OR(NOT(AND(ISNUMBER($N818),$N818&lt;significance_bar)),$M818=0),"in line",IF($M818&lt;0,"worse","better")),IF(OR($M818=0,IF(profit_kind="points",ABS($M818),ABS($M818*$H818))&lt;profit_line*(1-1E-9)),"in line",IF(AND(ISNUMBER($N818),$N818&lt;significance_bar),IF($M818&lt;0,"worse","better"),IF($M818&lt;0,"worse, not significant","better, not significant")))))</f>
        <v/>
      </c>
      <c r="Y818">
        <f>IF($V818,$X818,$W818)</f>
        <v/>
      </c>
      <c r="Z818">
        <f>IF($V818,IF($P818="","",$P818),IF($O818="","",$O818))</f>
        <v/>
      </c>
      <c r="AA818">
        <f>IF(OR($Q818="",$Z818=""),"",IF(AND($Z818&gt;0,$Z818&gt;=$Q818),"yes","below the line"))</f>
        <v/>
      </c>
      <c r="AB818">
        <f>IF($V818,IF($M818="","",$M818),IF($K818="","",$K818))</f>
        <v/>
      </c>
      <c r="AC818">
        <f>IF($V818,IF($N818="","",$N818),IF($L818="","",$L818))</f>
        <v/>
      </c>
      <c r="AD818">
        <f>IF($Y818="","",IF($Y818="in line",IF(profit_kind="test",IF(ROUND($AB818*100,2)=0,"0.00",TEXT($AB818*100,"+0.00;-0.00"))&amp;" points against "&amp;IF($V818,"its band","the book")&amp;", "&amp;IF($AC818="","not tested","not significant"),IF(profit_kind="points","within "&amp;TEXT(profit_line*100,"0.00")&amp;" points of "&amp;IF($V818,"its band","the book")&amp;" ("&amp;IF(ROUND($AB818*100,2)=0,"0.00",TEXT($AB818*100,"+0.00;-0.00"))&amp;")","within $"&amp;TEXT(profit_line,"#,##0")&amp;" of "&amp;IF($V818,"its band","the book")&amp;" ("&amp;IF(ROUND($AB818*100,2)=0,"0.00",TEXT($AB818*100,"+0.00;-0.00"))&amp;" points)")),IF(LEFT($Y818,5)="worse","short of ","ahead of ")&amp;IF($V818,"its band","the book")&amp;" by "&amp;TEXT(ABS($AB818)*100,"0.00")&amp;" points"&amp;IF($Z818="",""," ($"&amp;TEXT(ABS($Z818),"#,##0")&amp;")")&amp;IF(RIGHT($Y818,15)="not significant"," (not significant)","")))</f>
        <v/>
      </c>
      <c r="AE818">
        <f>IF($V818,IF($S818="","",$S818),IF($R818="","",$R818))</f>
        <v/>
      </c>
      <c r="AF818">
        <f>IF($V818,IF($U818="","",$U818),IF($T818="","",$T818))</f>
        <v/>
      </c>
      <c r="AG818">
        <f>IF($V818,IF($O818="","",$O818),IF($P818="","",$P818))</f>
        <v/>
      </c>
      <c r="AH818" t="n">
        <v>0.1647825844701854</v>
      </c>
      <c r="AI818">
        <f>IF($Y818="worse","Yes",IF($Y818="worse, not significant","Not sure",IF(OR($Y818="too few losses to test",$Y818="too few loans to test"),"Too few losses",IF($Y818="","","No"))))</f>
        <v/>
      </c>
      <c r="AJ818">
        <f>IF($AA818="yes","Yes",IF($AA818="","","No"))</f>
        <v/>
      </c>
    </row>
    <row r="819">
      <c r="A819" t="inlineStr">
        <is>
          <t>three-way</t>
        </is>
      </c>
      <c r="B819" t="inlineStr">
        <is>
          <t>FICO x ASSET_CLASS / SYS_FLAG</t>
        </is>
      </c>
      <c r="C819" t="inlineStr">
        <is>
          <t>(marked missing)</t>
        </is>
      </c>
      <c r="D819" t="inlineStr">
        <is>
          <t>4 / SYS_FLAG N</t>
        </is>
      </c>
      <c r="E819" t="inlineStr">
        <is>
          <t>outcome_loans</t>
        </is>
      </c>
      <c r="F819" t="inlineStr">
        <is>
          <t>Outcome, share of loans</t>
        </is>
      </c>
      <c r="G819" t="n">
        <v>22</v>
      </c>
      <c r="H819" t="n">
        <v>22</v>
      </c>
      <c r="I819" t="b">
        <v>1</v>
      </c>
      <c r="J819" t="b">
        <v>0</v>
      </c>
      <c r="K819" t="n">
        <v>0.5867166813768756</v>
      </c>
      <c r="M819" t="n">
        <v>0.696969696969697</v>
      </c>
      <c r="O819" t="n">
        <v>-0.7044001504324933</v>
      </c>
      <c r="P819" t="n">
        <v>-0.4347826086956521</v>
      </c>
      <c r="Q819">
        <f>'_live'!$C$20</f>
        <v/>
      </c>
      <c r="T819" t="n">
        <v>0.07747273411056788</v>
      </c>
      <c r="U819" t="n">
        <v>0.06521739130434782</v>
      </c>
      <c r="V819">
        <f>AND(judged_band,NOT($J819))</f>
        <v/>
      </c>
      <c r="W819">
        <f>IF($K819="","",IF($I819,"too few losses to test",IF(AND($K819&gt;better_at,$K819&lt;worse_at),"in line",IF($K819&gt;=worse_at,IF(AND(ISNUMBER($L819),$L819&lt;significance_bar),"worse","worse, not significant"),IF(AND(ISNUMBER($L819),$L819&lt;significance_bar),"better","better, not significant")))))</f>
        <v/>
      </c>
      <c r="X819">
        <f>IF($M819="","",IF($I819,"too few losses to test",IF(AND($M819&gt;better_at,$M819&lt;worse_at),"in line",IF($M819&gt;=worse_at,IF(AND(ISNUMBER($N819),$N819&lt;significance_bar),"worse","worse, not significant"),IF(AND(ISNUMBER($N819),$N819&lt;significance_bar),"better","better, not significant")))))</f>
        <v/>
      </c>
      <c r="Y819">
        <f>IF($V819,$X819,$W819)</f>
        <v/>
      </c>
      <c r="Z819">
        <f>IF($V819,IF($P819="","",$P819),IF($O819="","",$O819))</f>
        <v/>
      </c>
      <c r="AA819">
        <f>IF(OR($Q819="",$Z819=""),"",IF(AND($Z819&gt;0,$Z819&gt;=$Q819),"yes","below the line"))</f>
        <v/>
      </c>
      <c r="AB819">
        <f>IF($V819,IF($M819="","",$M819),IF($K819="","",$K819))</f>
        <v/>
      </c>
      <c r="AC819">
        <f>IF($V819,IF($N819="","",$N819),IF($L819="","",$L819))</f>
        <v/>
      </c>
      <c r="AD819">
        <f>$Y819</f>
        <v/>
      </c>
      <c r="AE819">
        <f>IF($V819,IF($S819="","",$S819),IF($R819="","",$R819))</f>
        <v/>
      </c>
      <c r="AF819">
        <f>IF($V819,IF($U819="","",$U819),IF($T819="","",$T819))</f>
        <v/>
      </c>
      <c r="AG819">
        <f>IF($V819,IF($O819="","",$O819),IF($P819="","",$P819))</f>
        <v/>
      </c>
      <c r="AH819" t="n">
        <v>0.04545454545454546</v>
      </c>
      <c r="AI819">
        <f>IF($Y819="worse","Yes",IF($Y819="worse, not significant","Not sure",IF(OR($Y819="too few losses to test",$Y819="too few loans to test"),"Too few losses",IF($Y819="","","No"))))</f>
        <v/>
      </c>
      <c r="AJ819">
        <f>IF($AA819="yes","Yes",IF($AA819="","","No"))</f>
        <v/>
      </c>
    </row>
    <row r="820">
      <c r="A820" t="inlineStr">
        <is>
          <t>three-way</t>
        </is>
      </c>
      <c r="B820" t="inlineStr">
        <is>
          <t>FICO x ASSET_CLASS / SYS_FLAG</t>
        </is>
      </c>
      <c r="C820" t="inlineStr">
        <is>
          <t>(marked missing)</t>
        </is>
      </c>
      <c r="D820" t="inlineStr">
        <is>
          <t>4 / SYS_FLAG N</t>
        </is>
      </c>
      <c r="E820" t="inlineStr">
        <is>
          <t>outcome_booked</t>
        </is>
      </c>
      <c r="F820" t="inlineStr">
        <is>
          <t>Outcome, share of booked dollars</t>
        </is>
      </c>
      <c r="G820" t="n">
        <v>22</v>
      </c>
      <c r="H820" t="n">
        <v>693910.76</v>
      </c>
      <c r="I820" t="b">
        <v>1</v>
      </c>
      <c r="J820" t="b">
        <v>0</v>
      </c>
      <c r="K820" t="n">
        <v>0.5610934919140377</v>
      </c>
      <c r="M820" t="n">
        <v>0.8565771800299427</v>
      </c>
      <c r="O820" t="n">
        <v>-22816.95753487817</v>
      </c>
      <c r="P820" t="n">
        <v>-4883.96678819714</v>
      </c>
      <c r="Q820">
        <f>'_live'!$C$21</f>
        <v/>
      </c>
      <c r="T820" t="n">
        <v>0.07491729561143881</v>
      </c>
      <c r="U820" t="n">
        <v>0.04907392816361161</v>
      </c>
      <c r="V820">
        <f>AND(judged_band,NOT($J820))</f>
        <v/>
      </c>
      <c r="W820">
        <f>IF($K820="","",IF($I820,"too few losses to test",IF(AND($K820&gt;better_at,$K820&lt;worse_at),"in line",IF($K820&gt;=worse_at,IF(AND(ISNUMBER($L820),$L820&lt;significance_bar),"worse","worse, not significant"),IF(AND(ISNUMBER($L820),$L820&lt;significance_bar),"better","better, not significant")))))</f>
        <v/>
      </c>
      <c r="X820">
        <f>IF($M820="","",IF($I820,"too few losses to test",IF(AND($M820&gt;better_at,$M820&lt;worse_at),"in line",IF($M820&gt;=worse_at,IF(AND(ISNUMBER($N820),$N820&lt;significance_bar),"worse","worse, not significant"),IF(AND(ISNUMBER($N820),$N820&lt;significance_bar),"better","better, not significant")))))</f>
        <v/>
      </c>
      <c r="Y820">
        <f>IF($V820,$X820,$W820)</f>
        <v/>
      </c>
      <c r="Z820">
        <f>IF($V820,IF($P820="","",$P820),IF($O820="","",$O820))</f>
        <v/>
      </c>
      <c r="AA820">
        <f>IF(OR($Q820="",$Z820=""),"",IF(AND($Z820&gt;0,$Z820&gt;=$Q820),"yes","below the line"))</f>
        <v/>
      </c>
      <c r="AB820">
        <f>IF($V820,IF($M820="","",$M820),IF($K820="","",$K820))</f>
        <v/>
      </c>
      <c r="AC820">
        <f>IF($V820,IF($N820="","",$N820),IF($L820="","",$L820))</f>
        <v/>
      </c>
      <c r="AD820">
        <f>$Y820</f>
        <v/>
      </c>
      <c r="AE820">
        <f>IF($V820,IF($S820="","",$S820),IF($R820="","",$R820))</f>
        <v/>
      </c>
      <c r="AF820">
        <f>IF($V820,IF($U820="","",$U820),IF($T820="","",$T820))</f>
        <v/>
      </c>
      <c r="AG820">
        <f>IF($V820,IF($O820="","",$O820),IF($P820="","",$P820))</f>
        <v/>
      </c>
      <c r="AH820" t="n">
        <v>0.04203560699937842</v>
      </c>
      <c r="AI820">
        <f>IF($Y820="worse","Yes",IF($Y820="worse, not significant","Not sure",IF(OR($Y820="too few losses to test",$Y820="too few loans to test"),"Too few losses",IF($Y820="","","No"))))</f>
        <v/>
      </c>
      <c r="AJ820">
        <f>IF($AA820="yes","Yes",IF($AA820="","","No"))</f>
        <v/>
      </c>
    </row>
    <row r="821">
      <c r="A821" t="inlineStr">
        <is>
          <t>three-way</t>
        </is>
      </c>
      <c r="B821" t="inlineStr">
        <is>
          <t>FICO x ASSET_CLASS / SYS_FLAG</t>
        </is>
      </c>
      <c r="C821" t="inlineStr">
        <is>
          <t>(marked missing)</t>
        </is>
      </c>
      <c r="D821" t="inlineStr">
        <is>
          <t>4 / SYS_FLAG N</t>
        </is>
      </c>
      <c r="E821" t="inlineStr">
        <is>
          <t>gco_rate</t>
        </is>
      </c>
      <c r="F821" t="inlineStr">
        <is>
          <t>GCO per booked dollar</t>
        </is>
      </c>
      <c r="G821" t="n">
        <v>22</v>
      </c>
      <c r="H821" t="n">
        <v>693910.76</v>
      </c>
      <c r="I821" t="b">
        <v>1</v>
      </c>
      <c r="J821" t="b">
        <v>0</v>
      </c>
      <c r="K821" t="n">
        <v>0.3669549093339217</v>
      </c>
      <c r="M821" t="n">
        <v>0.5652317591024328</v>
      </c>
      <c r="O821" t="n">
        <v>-18307.39493977312</v>
      </c>
      <c r="P821" t="n">
        <v>-8162.738127126737</v>
      </c>
      <c r="Q821">
        <f>'_live'!$C$22</f>
        <v/>
      </c>
      <c r="T821" t="n">
        <v>0.04167621631890118</v>
      </c>
      <c r="U821" t="n">
        <v>0.02705667530955528</v>
      </c>
      <c r="V821">
        <f>AND(judged_band,NOT($J821))</f>
        <v/>
      </c>
      <c r="W821">
        <f>IF($K821="","",IF($I821,"too few losses to test",IF(AND($K821&gt;better_at,$K821&lt;worse_at),"in line",IF($K821&gt;=worse_at,IF(AND(ISNUMBER($L821),$L821&lt;significance_bar),"worse","worse, not significant"),IF(AND(ISNUMBER($L821),$L821&lt;significance_bar),"better","better, not significant")))))</f>
        <v/>
      </c>
      <c r="X821">
        <f>IF($M821="","",IF($I821,"too few losses to test",IF(AND($M821&gt;better_at,$M821&lt;worse_at),"in line",IF($M821&gt;=worse_at,IF(AND(ISNUMBER($N821),$N821&lt;significance_bar),"worse","worse, not significant"),IF(AND(ISNUMBER($N821),$N821&lt;significance_bar),"better","better, not significant")))))</f>
        <v/>
      </c>
      <c r="Y821">
        <f>IF($V821,$X821,$W821)</f>
        <v/>
      </c>
      <c r="Z821">
        <f>IF($V821,IF($P821="","",$P821),IF($O821="","",$O821))</f>
        <v/>
      </c>
      <c r="AA821">
        <f>IF(OR($Q821="",$Z821=""),"",IF(AND($Z821&gt;0,$Z821&gt;=$Q821),"yes","below the line"))</f>
        <v/>
      </c>
      <c r="AB821">
        <f>IF($V821,IF($M821="","",$M821),IF($K821="","",$K821))</f>
        <v/>
      </c>
      <c r="AC821">
        <f>IF($V821,IF($N821="","",$N821),IF($L821="","",$L821))</f>
        <v/>
      </c>
      <c r="AD821">
        <f>$Y821</f>
        <v/>
      </c>
      <c r="AE821">
        <f>IF($V821,IF($S821="","",$S821),IF($R821="","",$R821))</f>
        <v/>
      </c>
      <c r="AF821">
        <f>IF($V821,IF($U821="","",$U821),IF($T821="","",$T821))</f>
        <v/>
      </c>
      <c r="AG821">
        <f>IF($V821,IF($O821="","",$O821),IF($P821="","",$P821))</f>
        <v/>
      </c>
      <c r="AH821" t="n">
        <v>0.01529329218068329</v>
      </c>
      <c r="AI821">
        <f>IF($Y821="worse","Yes",IF($Y821="worse, not significant","Not sure",IF(OR($Y821="too few losses to test",$Y821="too few loans to test"),"Too few losses",IF($Y821="","","No"))))</f>
        <v/>
      </c>
      <c r="AJ821">
        <f>IF($AA821="yes","Yes",IF($AA821="","","No"))</f>
        <v/>
      </c>
    </row>
    <row r="822">
      <c r="A822" t="inlineStr">
        <is>
          <t>three-way</t>
        </is>
      </c>
      <c r="B822" t="inlineStr">
        <is>
          <t>FICO x ASSET_CLASS / SYS_FLAG</t>
        </is>
      </c>
      <c r="C822" t="inlineStr">
        <is>
          <t>(marked missing)</t>
        </is>
      </c>
      <c r="D822" t="inlineStr">
        <is>
          <t>4 / SYS_FLAG N</t>
        </is>
      </c>
      <c r="E822" t="inlineStr">
        <is>
          <t>ranr_rate</t>
        </is>
      </c>
      <c r="F822" t="inlineStr">
        <is>
          <t>Profit after losses: RANR per booked dollar</t>
        </is>
      </c>
      <c r="G822" t="n">
        <v>22</v>
      </c>
      <c r="H822" t="n">
        <v>693910.76</v>
      </c>
      <c r="I822" t="b">
        <v>0</v>
      </c>
      <c r="J822" t="b">
        <v>0</v>
      </c>
      <c r="K822" t="n">
        <v>0.02914853723362151</v>
      </c>
      <c r="L822" t="n">
        <v>0.5801253208012531</v>
      </c>
      <c r="M822" t="n">
        <v>0.002172018793949931</v>
      </c>
      <c r="N822" t="n">
        <v>0.9703029697030296</v>
      </c>
      <c r="O822" t="n">
        <v>-20226.48362467061</v>
      </c>
      <c r="P822" t="n">
        <v>-1507.187212044082</v>
      </c>
      <c r="Q822">
        <f>'_live'!$C$23</f>
        <v/>
      </c>
      <c r="R822" t="inlineStr">
        <is>
          <t>shuffled: 4,972 of 10,000</t>
        </is>
      </c>
      <c r="S822" t="inlineStr">
        <is>
          <t>shuffled: 9,553 of 10,000</t>
        </is>
      </c>
      <c r="T822" t="n">
        <v>0.1279116732176475</v>
      </c>
      <c r="U822" t="n">
        <v>0.1548881916573191</v>
      </c>
      <c r="V822">
        <f>AND(judged_band,NOT($J822))</f>
        <v/>
      </c>
      <c r="W822">
        <f>IF($K822="","",IF(profit_kind="test",IF(OR(NOT(AND(ISNUMBER($L822),$L822&lt;significance_bar)),$K822=0),"in line",IF($K822&lt;0,"worse","better")),IF(OR($K822=0,IF(profit_kind="points",ABS($K822),ABS($K822*$H822))&lt;profit_line*(1-1E-9)),"in line",IF(AND(ISNUMBER($L822),$L822&lt;significance_bar),IF($K822&lt;0,"worse","better"),IF($K822&lt;0,"worse, not significant","better, not significant")))))</f>
        <v/>
      </c>
      <c r="X822">
        <f>IF($M822="","",IF(profit_kind="test",IF(OR(NOT(AND(ISNUMBER($N822),$N822&lt;significance_bar)),$M822=0),"in line",IF($M822&lt;0,"worse","better")),IF(OR($M822=0,IF(profit_kind="points",ABS($M822),ABS($M822*$H822))&lt;profit_line*(1-1E-9)),"in line",IF(AND(ISNUMBER($N822),$N822&lt;significance_bar),IF($M822&lt;0,"worse","better"),IF($M822&lt;0,"worse, not significant","better, not significant")))))</f>
        <v/>
      </c>
      <c r="Y822">
        <f>IF($V822,$X822,$W822)</f>
        <v/>
      </c>
      <c r="Z822">
        <f>IF($V822,IF($P822="","",$P822),IF($O822="","",$O822))</f>
        <v/>
      </c>
      <c r="AA822">
        <f>IF(OR($Q822="",$Z822=""),"",IF(AND($Z822&gt;0,$Z822&gt;=$Q822),"yes","below the line"))</f>
        <v/>
      </c>
      <c r="AB822">
        <f>IF($V822,IF($M822="","",$M822),IF($K822="","",$K822))</f>
        <v/>
      </c>
      <c r="AC822">
        <f>IF($V822,IF($N822="","",$N822),IF($L822="","",$L822))</f>
        <v/>
      </c>
      <c r="AD822">
        <f>IF($Y822="","",IF($Y822="in line",IF(profit_kind="test",IF(ROUND($AB822*100,2)=0,"0.00",TEXT($AB822*100,"+0.00;-0.00"))&amp;" points against "&amp;IF($V822,"its band","the book")&amp;", "&amp;IF($AC822="","not tested","not significant"),IF(profit_kind="points","within "&amp;TEXT(profit_line*100,"0.00")&amp;" points of "&amp;IF($V822,"its band","the book")&amp;" ("&amp;IF(ROUND($AB822*100,2)=0,"0.00",TEXT($AB822*100,"+0.00;-0.00"))&amp;")","within $"&amp;TEXT(profit_line,"#,##0")&amp;" of "&amp;IF($V822,"its band","the book")&amp;" ("&amp;IF(ROUND($AB822*100,2)=0,"0.00",TEXT($AB822*100,"+0.00;-0.00"))&amp;" points)")),IF(LEFT($Y822,5)="worse","short of ","ahead of ")&amp;IF($V822,"its band","the book")&amp;" by "&amp;TEXT(ABS($AB822)*100,"0.00")&amp;" points"&amp;IF($Z822="",""," ($"&amp;TEXT(ABS($Z822),"#,##0")&amp;")")&amp;IF(RIGHT($Y822,15)="not significant"," (not significant)","")))</f>
        <v/>
      </c>
      <c r="AE822">
        <f>IF($V822,IF($S822="","",$S822),IF($R822="","",$R822))</f>
        <v/>
      </c>
      <c r="AF822">
        <f>IF($V822,IF($U822="","",$U822),IF($T822="","",$T822))</f>
        <v/>
      </c>
      <c r="AG822">
        <f>IF($V822,IF($O822="","",$O822),IF($P822="","",$P822))</f>
        <v/>
      </c>
      <c r="AH822" t="n">
        <v>0.157060210451269</v>
      </c>
      <c r="AI822">
        <f>IF($Y822="worse","Yes",IF($Y822="worse, not significant","Not sure",IF(OR($Y822="too few losses to test",$Y822="too few loans to test"),"Too few losses",IF($Y822="","","No"))))</f>
        <v/>
      </c>
      <c r="AJ822">
        <f>IF($AA822="yes","Yes",IF($AA822="","","No"))</f>
        <v/>
      </c>
    </row>
    <row r="823">
      <c r="A823" t="inlineStr">
        <is>
          <t>three-way</t>
        </is>
      </c>
      <c r="B823" t="inlineStr">
        <is>
          <t>FICO x ASSET_CLASS / SYS_FLAG</t>
        </is>
      </c>
      <c r="C823" t="inlineStr">
        <is>
          <t>(marked missing)</t>
        </is>
      </c>
      <c r="D823" t="inlineStr">
        <is>
          <t>4 / SYS_FLAG N</t>
        </is>
      </c>
      <c r="E823" t="inlineStr">
        <is>
          <t>contribution_rate</t>
        </is>
      </c>
      <c r="F823" t="inlineStr">
        <is>
          <t>Contribution before losses per booked dollar</t>
        </is>
      </c>
      <c r="G823" t="n">
        <v>22</v>
      </c>
      <c r="H823" t="n">
        <v>693910.76</v>
      </c>
      <c r="I823" t="b">
        <v>0</v>
      </c>
      <c r="J823" t="b">
        <v>0</v>
      </c>
      <c r="K823" t="n">
        <v>0.002768492138625483</v>
      </c>
      <c r="L823" t="n">
        <v>0.9452992200779922</v>
      </c>
      <c r="M823" t="n">
        <v>-0.009591364334922053</v>
      </c>
      <c r="N823" t="n">
        <v>0.9799190293736585</v>
      </c>
      <c r="O823" t="n">
        <v>-1921.086483967636</v>
      </c>
      <c r="P823" t="n">
        <v>6655.550915082655</v>
      </c>
      <c r="Q823">
        <f>'_live'!$C$24</f>
        <v/>
      </c>
      <c r="R823" t="inlineStr">
        <is>
          <t>shuffled: 9,239 of 10,000</t>
        </is>
      </c>
      <c r="S823" t="inlineStr">
        <is>
          <t>shuffled: 7,633 of 10,000</t>
        </is>
      </c>
      <c r="T823" t="n">
        <v>0.1695850104933268</v>
      </c>
      <c r="U823" t="n">
        <v>0.1819448669668743</v>
      </c>
      <c r="V823">
        <f>AND(judged_band,NOT($J823))</f>
        <v/>
      </c>
      <c r="W823">
        <f>IF($K823="","",IF(profit_kind="test",IF(OR(NOT(AND(ISNUMBER($L823),$L823&lt;significance_bar)),$K823=0),"in line",IF($K823&lt;0,"worse","better")),IF(OR($K823=0,IF(profit_kind="points",ABS($K823),ABS($K823*$H823))&lt;profit_line*(1-1E-9)),"in line",IF(AND(ISNUMBER($L823),$L823&lt;significance_bar),IF($K823&lt;0,"worse","better"),IF($K823&lt;0,"worse, not significant","better, not significant")))))</f>
        <v/>
      </c>
      <c r="X823">
        <f>IF($M823="","",IF(profit_kind="test",IF(OR(NOT(AND(ISNUMBER($N823),$N823&lt;significance_bar)),$M823=0),"in line",IF($M823&lt;0,"worse","better")),IF(OR($M823=0,IF(profit_kind="points",ABS($M823),ABS($M823*$H823))&lt;profit_line*(1-1E-9)),"in line",IF(AND(ISNUMBER($N823),$N823&lt;significance_bar),IF($M823&lt;0,"worse","better"),IF($M823&lt;0,"worse, not significant","better, not significant")))))</f>
        <v/>
      </c>
      <c r="Y823">
        <f>IF($V823,$X823,$W823)</f>
        <v/>
      </c>
      <c r="Z823">
        <f>IF($V823,IF($P823="","",$P823),IF($O823="","",$O823))</f>
        <v/>
      </c>
      <c r="AA823">
        <f>IF(OR($Q823="",$Z823=""),"",IF(AND($Z823&gt;0,$Z823&gt;=$Q823),"yes","below the line"))</f>
        <v/>
      </c>
      <c r="AB823">
        <f>IF($V823,IF($M823="","",$M823),IF($K823="","",$K823))</f>
        <v/>
      </c>
      <c r="AC823">
        <f>IF($V823,IF($N823="","",$N823),IF($L823="","",$L823))</f>
        <v/>
      </c>
      <c r="AD823">
        <f>IF($Y823="","",IF($Y823="in line",IF(profit_kind="test",IF(ROUND($AB823*100,2)=0,"0.00",TEXT($AB823*100,"+0.00;-0.00"))&amp;" points against "&amp;IF($V823,"its band","the book")&amp;", "&amp;IF($AC823="","not tested","not significant"),IF(profit_kind="points","within "&amp;TEXT(profit_line*100,"0.00")&amp;" points of "&amp;IF($V823,"its band","the book")&amp;" ("&amp;IF(ROUND($AB823*100,2)=0,"0.00",TEXT($AB823*100,"+0.00;-0.00"))&amp;")","within $"&amp;TEXT(profit_line,"#,##0")&amp;" of "&amp;IF($V823,"its band","the book")&amp;" ("&amp;IF(ROUND($AB823*100,2)=0,"0.00",TEXT($AB823*100,"+0.00;-0.00"))&amp;" points)")),IF(LEFT($Y823,5)="worse","short of ","ahead of ")&amp;IF($V823,"its band","the book")&amp;" by "&amp;TEXT(ABS($AB823)*100,"0.00")&amp;" points"&amp;IF($Z823="",""," ($"&amp;TEXT(ABS($Z823),"#,##0")&amp;")")&amp;IF(RIGHT($Y823,15)="not significant"," (not significant)","")))</f>
        <v/>
      </c>
      <c r="AE823">
        <f>IF($V823,IF($S823="","",$S823),IF($R823="","",$R823))</f>
        <v/>
      </c>
      <c r="AF823">
        <f>IF($V823,IF($U823="","",$U823),IF($T823="","",$T823))</f>
        <v/>
      </c>
      <c r="AG823">
        <f>IF($V823,IF($O823="","",$O823),IF($P823="","",$P823))</f>
        <v/>
      </c>
      <c r="AH823" t="n">
        <v>0.1723535026319523</v>
      </c>
      <c r="AI823">
        <f>IF($Y823="worse","Yes",IF($Y823="worse, not significant","Not sure",IF(OR($Y823="too few losses to test",$Y823="too few loans to test"),"Too few losses",IF($Y823="","","No"))))</f>
        <v/>
      </c>
      <c r="AJ823">
        <f>IF($AA823="yes","Yes",IF($AA823="","","No"))</f>
        <v/>
      </c>
    </row>
    <row r="824">
      <c r="A824" t="inlineStr">
        <is>
          <t>three-way</t>
        </is>
      </c>
      <c r="B824" t="inlineStr">
        <is>
          <t>FICO x ASSET_CLASS / SYS_FLAG</t>
        </is>
      </c>
      <c r="C824" t="inlineStr">
        <is>
          <t>(marked missing)</t>
        </is>
      </c>
      <c r="D824" t="inlineStr">
        <is>
          <t>2 / SYS_FLAG N</t>
        </is>
      </c>
      <c r="E824" t="inlineStr">
        <is>
          <t>outcome_loans</t>
        </is>
      </c>
      <c r="F824" t="inlineStr">
        <is>
          <t>Outcome, share of loans</t>
        </is>
      </c>
      <c r="G824" t="n">
        <v>18</v>
      </c>
      <c r="H824" t="n">
        <v>18</v>
      </c>
      <c r="I824" t="b">
        <v>1</v>
      </c>
      <c r="J824" t="b">
        <v>0</v>
      </c>
      <c r="K824" t="n">
        <v>0.717457749011147</v>
      </c>
      <c r="M824" t="n">
        <v>0.8765432098765432</v>
      </c>
      <c r="O824" t="n">
        <v>-0.3938102994612205</v>
      </c>
      <c r="P824" t="n">
        <v>-0.1408450704225352</v>
      </c>
      <c r="Q824">
        <f>'_live'!$C$20</f>
        <v/>
      </c>
      <c r="T824" t="n">
        <v>0.07743390552562336</v>
      </c>
      <c r="U824" t="n">
        <v>0.06338028169014084</v>
      </c>
      <c r="V824">
        <f>AND(judged_band,NOT($J824))</f>
        <v/>
      </c>
      <c r="W824">
        <f>IF($K824="","",IF($I824,"too few losses to test",IF(AND($K824&gt;better_at,$K824&lt;worse_at),"in line",IF($K824&gt;=worse_at,IF(AND(ISNUMBER($L824),$L824&lt;significance_bar),"worse","worse, not significant"),IF(AND(ISNUMBER($L824),$L824&lt;significance_bar),"better","better, not significant")))))</f>
        <v/>
      </c>
      <c r="X824">
        <f>IF($M824="","",IF($I824,"too few losses to test",IF(AND($M824&gt;better_at,$M824&lt;worse_at),"in line",IF($M824&gt;=worse_at,IF(AND(ISNUMBER($N824),$N824&lt;significance_bar),"worse","worse, not significant"),IF(AND(ISNUMBER($N824),$N824&lt;significance_bar),"better","better, not significant")))))</f>
        <v/>
      </c>
      <c r="Y824">
        <f>IF($V824,$X824,$W824)</f>
        <v/>
      </c>
      <c r="Z824">
        <f>IF($V824,IF($P824="","",$P824),IF($O824="","",$O824))</f>
        <v/>
      </c>
      <c r="AA824">
        <f>IF(OR($Q824="",$Z824=""),"",IF(AND($Z824&gt;0,$Z824&gt;=$Q824),"yes","below the line"))</f>
        <v/>
      </c>
      <c r="AB824">
        <f>IF($V824,IF($M824="","",$M824),IF($K824="","",$K824))</f>
        <v/>
      </c>
      <c r="AC824">
        <f>IF($V824,IF($N824="","",$N824),IF($L824="","",$L824))</f>
        <v/>
      </c>
      <c r="AD824">
        <f>$Y824</f>
        <v/>
      </c>
      <c r="AE824">
        <f>IF($V824,IF($S824="","",$S824),IF($R824="","",$R824))</f>
        <v/>
      </c>
      <c r="AF824">
        <f>IF($V824,IF($U824="","",$U824),IF($T824="","",$T824))</f>
        <v/>
      </c>
      <c r="AG824">
        <f>IF($V824,IF($O824="","",$O824),IF($P824="","",$P824))</f>
        <v/>
      </c>
      <c r="AH824" t="n">
        <v>0.05555555555555555</v>
      </c>
      <c r="AI824">
        <f>IF($Y824="worse","Yes",IF($Y824="worse, not significant","Not sure",IF(OR($Y824="too few losses to test",$Y824="too few loans to test"),"Too few losses",IF($Y824="","","No"))))</f>
        <v/>
      </c>
      <c r="AJ824">
        <f>IF($AA824="yes","Yes",IF($AA824="","","No"))</f>
        <v/>
      </c>
    </row>
    <row r="825">
      <c r="A825" t="inlineStr">
        <is>
          <t>three-way</t>
        </is>
      </c>
      <c r="B825" t="inlineStr">
        <is>
          <t>FICO x ASSET_CLASS / SYS_FLAG</t>
        </is>
      </c>
      <c r="C825" t="inlineStr">
        <is>
          <t>(marked missing)</t>
        </is>
      </c>
      <c r="D825" t="inlineStr">
        <is>
          <t>2 / SYS_FLAG N</t>
        </is>
      </c>
      <c r="E825" t="inlineStr">
        <is>
          <t>outcome_booked</t>
        </is>
      </c>
      <c r="F825" t="inlineStr">
        <is>
          <t>Outcome, share of booked dollars</t>
        </is>
      </c>
      <c r="G825" t="n">
        <v>18</v>
      </c>
      <c r="H825" t="n">
        <v>513125.23</v>
      </c>
      <c r="I825" t="b">
        <v>1</v>
      </c>
      <c r="J825" t="b">
        <v>0</v>
      </c>
      <c r="K825" t="n">
        <v>0.4506423790906154</v>
      </c>
      <c r="M825" t="n">
        <v>0.6792757156133565</v>
      </c>
      <c r="O825" t="n">
        <v>-21116.52303202474</v>
      </c>
      <c r="P825" t="n">
        <v>-8178.714419877633</v>
      </c>
      <c r="Q825">
        <f>'_live'!$C$21</f>
        <v/>
      </c>
      <c r="T825" t="n">
        <v>0.07491070558355654</v>
      </c>
      <c r="U825" t="n">
        <v>0.04969696075922369</v>
      </c>
      <c r="V825">
        <f>AND(judged_band,NOT($J825))</f>
        <v/>
      </c>
      <c r="W825">
        <f>IF($K825="","",IF($I825,"too few losses to test",IF(AND($K825&gt;better_at,$K825&lt;worse_at),"in line",IF($K825&gt;=worse_at,IF(AND(ISNUMBER($L825),$L825&lt;significance_bar),"worse","worse, not significant"),IF(AND(ISNUMBER($L825),$L825&lt;significance_bar),"better","better, not significant")))))</f>
        <v/>
      </c>
      <c r="X825">
        <f>IF($M825="","",IF($I825,"too few losses to test",IF(AND($M825&gt;better_at,$M825&lt;worse_at),"in line",IF($M825&gt;=worse_at,IF(AND(ISNUMBER($N825),$N825&lt;significance_bar),"worse","worse, not significant"),IF(AND(ISNUMBER($N825),$N825&lt;significance_bar),"better","better, not significant")))))</f>
        <v/>
      </c>
      <c r="Y825">
        <f>IF($V825,$X825,$W825)</f>
        <v/>
      </c>
      <c r="Z825">
        <f>IF($V825,IF($P825="","",$P825),IF($O825="","",$O825))</f>
        <v/>
      </c>
      <c r="AA825">
        <f>IF(OR($Q825="",$Z825=""),"",IF(AND($Z825&gt;0,$Z825&gt;=$Q825),"yes","below the line"))</f>
        <v/>
      </c>
      <c r="AB825">
        <f>IF($V825,IF($M825="","",$M825),IF($K825="","",$K825))</f>
        <v/>
      </c>
      <c r="AC825">
        <f>IF($V825,IF($N825="","",$N825),IF($L825="","",$L825))</f>
        <v/>
      </c>
      <c r="AD825">
        <f>$Y825</f>
        <v/>
      </c>
      <c r="AE825">
        <f>IF($V825,IF($S825="","",$S825),IF($R825="","",$R825))</f>
        <v/>
      </c>
      <c r="AF825">
        <f>IF($V825,IF($U825="","",$U825),IF($T825="","",$T825))</f>
        <v/>
      </c>
      <c r="AG825">
        <f>IF($V825,IF($O825="","",$O825),IF($P825="","",$P825))</f>
        <v/>
      </c>
      <c r="AH825" t="n">
        <v>0.03375793858353057</v>
      </c>
      <c r="AI825">
        <f>IF($Y825="worse","Yes",IF($Y825="worse, not significant","Not sure",IF(OR($Y825="too few losses to test",$Y825="too few loans to test"),"Too few losses",IF($Y825="","","No"))))</f>
        <v/>
      </c>
      <c r="AJ825">
        <f>IF($AA825="yes","Yes",IF($AA825="","","No"))</f>
        <v/>
      </c>
    </row>
    <row r="826">
      <c r="A826" t="inlineStr">
        <is>
          <t>three-way</t>
        </is>
      </c>
      <c r="B826" t="inlineStr">
        <is>
          <t>FICO x ASSET_CLASS / SYS_FLAG</t>
        </is>
      </c>
      <c r="C826" t="inlineStr">
        <is>
          <t>(marked missing)</t>
        </is>
      </c>
      <c r="D826" t="inlineStr">
        <is>
          <t>2 / SYS_FLAG N</t>
        </is>
      </c>
      <c r="E826" t="inlineStr">
        <is>
          <t>gco_rate</t>
        </is>
      </c>
      <c r="F826" t="inlineStr">
        <is>
          <t>GCO per booked dollar</t>
        </is>
      </c>
      <c r="G826" t="n">
        <v>18</v>
      </c>
      <c r="H826" t="n">
        <v>513125.23</v>
      </c>
      <c r="I826" t="b">
        <v>1</v>
      </c>
      <c r="J826" t="b">
        <v>0</v>
      </c>
      <c r="K826" t="n">
        <v>0.6176389752376923</v>
      </c>
      <c r="M826" t="n">
        <v>1.008839935943176</v>
      </c>
      <c r="O826" t="n">
        <v>-8169.126761224006</v>
      </c>
      <c r="P826" t="n">
        <v>115.6281465086704</v>
      </c>
      <c r="Q826">
        <f>'_live'!$C$22</f>
        <v/>
      </c>
      <c r="T826" t="n">
        <v>0.04163692508595612</v>
      </c>
      <c r="U826" t="n">
        <v>0.0254912467537239</v>
      </c>
      <c r="V826">
        <f>AND(judged_band,NOT($J826))</f>
        <v/>
      </c>
      <c r="W826">
        <f>IF($K826="","",IF($I826,"too few losses to test",IF(AND($K826&gt;better_at,$K826&lt;worse_at),"in line",IF($K826&gt;=worse_at,IF(AND(ISNUMBER($L826),$L826&lt;significance_bar),"worse","worse, not significant"),IF(AND(ISNUMBER($L826),$L826&lt;significance_bar),"better","better, not significant")))))</f>
        <v/>
      </c>
      <c r="X826">
        <f>IF($M826="","",IF($I826,"too few losses to test",IF(AND($M826&gt;better_at,$M826&lt;worse_at),"in line",IF($M826&gt;=worse_at,IF(AND(ISNUMBER($N826),$N826&lt;significance_bar),"worse","worse, not significant"),IF(AND(ISNUMBER($N826),$N826&lt;significance_bar),"better","better, not significant")))))</f>
        <v/>
      </c>
      <c r="Y826">
        <f>IF($V826,$X826,$W826)</f>
        <v/>
      </c>
      <c r="Z826">
        <f>IF($V826,IF($P826="","",$P826),IF($O826="","",$O826))</f>
        <v/>
      </c>
      <c r="AA826">
        <f>IF(OR($Q826="",$Z826=""),"",IF(AND($Z826&gt;0,$Z826&gt;=$Q826),"yes","below the line"))</f>
        <v/>
      </c>
      <c r="AB826">
        <f>IF($V826,IF($M826="","",$M826),IF($K826="","",$K826))</f>
        <v/>
      </c>
      <c r="AC826">
        <f>IF($V826,IF($N826="","",$N826),IF($L826="","",$L826))</f>
        <v/>
      </c>
      <c r="AD826">
        <f>$Y826</f>
        <v/>
      </c>
      <c r="AE826">
        <f>IF($V826,IF($S826="","",$S826),IF($R826="","",$R826))</f>
        <v/>
      </c>
      <c r="AF826">
        <f>IF($V826,IF($U826="","",$U826),IF($T826="","",$T826))</f>
        <v/>
      </c>
      <c r="AG826">
        <f>IF($V826,IF($O826="","",$O826),IF($P826="","",$P826))</f>
        <v/>
      </c>
      <c r="AH826" t="n">
        <v>0.0257165877421385</v>
      </c>
      <c r="AI826">
        <f>IF($Y826="worse","Yes",IF($Y826="worse, not significant","Not sure",IF(OR($Y826="too few losses to test",$Y826="too few loans to test"),"Too few losses",IF($Y826="","","No"))))</f>
        <v/>
      </c>
      <c r="AJ826">
        <f>IF($AA826="yes","Yes",IF($AA826="","","No"))</f>
        <v/>
      </c>
    </row>
    <row r="827">
      <c r="A827" t="inlineStr">
        <is>
          <t>three-way</t>
        </is>
      </c>
      <c r="B827" t="inlineStr">
        <is>
          <t>FICO x ASSET_CLASS / SYS_FLAG</t>
        </is>
      </c>
      <c r="C827" t="inlineStr">
        <is>
          <t>(marked missing)</t>
        </is>
      </c>
      <c r="D827" t="inlineStr">
        <is>
          <t>2 / SYS_FLAG N</t>
        </is>
      </c>
      <c r="E827" t="inlineStr">
        <is>
          <t>ranr_rate</t>
        </is>
      </c>
      <c r="F827" t="inlineStr">
        <is>
          <t>Profit after losses: RANR per booked dollar</t>
        </is>
      </c>
      <c r="G827" t="n">
        <v>18</v>
      </c>
      <c r="H827" t="n">
        <v>513125.23</v>
      </c>
      <c r="I827" t="b">
        <v>0</v>
      </c>
      <c r="J827" t="b">
        <v>0</v>
      </c>
      <c r="K827" t="n">
        <v>0.01382247152986169</v>
      </c>
      <c r="L827" t="n">
        <v>0.8159814453337274</v>
      </c>
      <c r="M827" t="n">
        <v>-0.01482682815486494</v>
      </c>
      <c r="N827" t="n">
        <v>0.8858714128587142</v>
      </c>
      <c r="O827" t="n">
        <v>-7092.658882928736</v>
      </c>
      <c r="P827" t="n">
        <v>7608.019607135546</v>
      </c>
      <c r="Q827">
        <f>'_live'!$C$23</f>
        <v/>
      </c>
      <c r="R827" t="inlineStr">
        <is>
          <t>shuffled: 7,660 of 10,000</t>
        </is>
      </c>
      <c r="S827" t="inlineStr">
        <is>
          <t>shuffled: 7,116 of 10,000</t>
        </is>
      </c>
      <c r="T827" t="n">
        <v>0.1279625660135076</v>
      </c>
      <c r="U827" t="n">
        <v>0.1566118656982342</v>
      </c>
      <c r="V827">
        <f>AND(judged_band,NOT($J827))</f>
        <v/>
      </c>
      <c r="W827">
        <f>IF($K827="","",IF(profit_kind="test",IF(OR(NOT(AND(ISNUMBER($L827),$L827&lt;significance_bar)),$K827=0),"in line",IF($K827&lt;0,"worse","better")),IF(OR($K827=0,IF(profit_kind="points",ABS($K827),ABS($K827*$H827))&lt;profit_line*(1-1E-9)),"in line",IF(AND(ISNUMBER($L827),$L827&lt;significance_bar),IF($K827&lt;0,"worse","better"),IF($K827&lt;0,"worse, not significant","better, not significant")))))</f>
        <v/>
      </c>
      <c r="X827">
        <f>IF($M827="","",IF(profit_kind="test",IF(OR(NOT(AND(ISNUMBER($N827),$N827&lt;significance_bar)),$M827=0),"in line",IF($M827&lt;0,"worse","better")),IF(OR($M827=0,IF(profit_kind="points",ABS($M827),ABS($M827*$H827))&lt;profit_line*(1-1E-9)),"in line",IF(AND(ISNUMBER($N827),$N827&lt;significance_bar),IF($M827&lt;0,"worse","better"),IF($M827&lt;0,"worse, not significant","better, not significant")))))</f>
        <v/>
      </c>
      <c r="Y827">
        <f>IF($V827,$X827,$W827)</f>
        <v/>
      </c>
      <c r="Z827">
        <f>IF($V827,IF($P827="","",$P827),IF($O827="","",$O827))</f>
        <v/>
      </c>
      <c r="AA827">
        <f>IF(OR($Q827="",$Z827=""),"",IF(AND($Z827&gt;0,$Z827&gt;=$Q827),"yes","below the line"))</f>
        <v/>
      </c>
      <c r="AB827">
        <f>IF($V827,IF($M827="","",$M827),IF($K827="","",$K827))</f>
        <v/>
      </c>
      <c r="AC827">
        <f>IF($V827,IF($N827="","",$N827),IF($L827="","",$L827))</f>
        <v/>
      </c>
      <c r="AD827">
        <f>IF($Y827="","",IF($Y827="in line",IF(profit_kind="test",IF(ROUND($AB827*100,2)=0,"0.00",TEXT($AB827*100,"+0.00;-0.00"))&amp;" points against "&amp;IF($V827,"its band","the book")&amp;", "&amp;IF($AC827="","not tested","not significant"),IF(profit_kind="points","within "&amp;TEXT(profit_line*100,"0.00")&amp;" points of "&amp;IF($V827,"its band","the book")&amp;" ("&amp;IF(ROUND($AB827*100,2)=0,"0.00",TEXT($AB827*100,"+0.00;-0.00"))&amp;")","within $"&amp;TEXT(profit_line,"#,##0")&amp;" of "&amp;IF($V827,"its band","the book")&amp;" ("&amp;IF(ROUND($AB827*100,2)=0,"0.00",TEXT($AB827*100,"+0.00;-0.00"))&amp;" points)")),IF(LEFT($Y827,5)="worse","short of ","ahead of ")&amp;IF($V827,"its band","the book")&amp;" by "&amp;TEXT(ABS($AB827)*100,"0.00")&amp;" points"&amp;IF($Z827="",""," ($"&amp;TEXT(ABS($Z827),"#,##0")&amp;")")&amp;IF(RIGHT($Y827,15)="not significant"," (not significant)","")))</f>
        <v/>
      </c>
      <c r="AE827">
        <f>IF($V827,IF($S827="","",$S827),IF($R827="","",$R827))</f>
        <v/>
      </c>
      <c r="AF827">
        <f>IF($V827,IF($U827="","",$U827),IF($T827="","",$T827))</f>
        <v/>
      </c>
      <c r="AG827">
        <f>IF($V827,IF($O827="","",$O827),IF($P827="","",$P827))</f>
        <v/>
      </c>
      <c r="AH827" t="n">
        <v>0.1417850375433693</v>
      </c>
      <c r="AI827">
        <f>IF($Y827="worse","Yes",IF($Y827="worse, not significant","Not sure",IF(OR($Y827="too few losses to test",$Y827="too few loans to test"),"Too few losses",IF($Y827="","","No"))))</f>
        <v/>
      </c>
      <c r="AJ827">
        <f>IF($AA827="yes","Yes",IF($AA827="","","No"))</f>
        <v/>
      </c>
    </row>
    <row r="828">
      <c r="A828" t="inlineStr">
        <is>
          <t>three-way</t>
        </is>
      </c>
      <c r="B828" t="inlineStr">
        <is>
          <t>FICO x ASSET_CLASS / SYS_FLAG</t>
        </is>
      </c>
      <c r="C828" t="inlineStr">
        <is>
          <t>(marked missing)</t>
        </is>
      </c>
      <c r="D828" t="inlineStr">
        <is>
          <t>2 / SYS_FLAG N</t>
        </is>
      </c>
      <c r="E828" t="inlineStr">
        <is>
          <t>contribution_rate</t>
        </is>
      </c>
      <c r="F828" t="inlineStr">
        <is>
          <t>Contribution before losses per booked dollar</t>
        </is>
      </c>
      <c r="G828" t="n">
        <v>18</v>
      </c>
      <c r="H828" t="n">
        <v>513125.23</v>
      </c>
      <c r="I828" t="b">
        <v>0</v>
      </c>
      <c r="J828" t="b">
        <v>0</v>
      </c>
      <c r="K828" t="n">
        <v>-0.002094996634760121</v>
      </c>
      <c r="L828" t="n">
        <v>0.9493050694930507</v>
      </c>
      <c r="M828" t="n">
        <v>-0.01460148716645029</v>
      </c>
      <c r="N828" t="n">
        <v>0.9799190293736585</v>
      </c>
      <c r="O828" t="n">
        <v>1074.995630060512</v>
      </c>
      <c r="P828" t="n">
        <v>7492.391460626852</v>
      </c>
      <c r="Q828">
        <f>'_live'!$C$24</f>
        <v/>
      </c>
      <c r="R828" t="inlineStr">
        <is>
          <t>shuffled: 9,493 of 10,000</t>
        </is>
      </c>
      <c r="S828" t="inlineStr">
        <is>
          <t>shuffled: 6,669 of 10,000</t>
        </is>
      </c>
      <c r="T828" t="n">
        <v>0.1695966219202679</v>
      </c>
      <c r="U828" t="n">
        <v>0.1821031124519581</v>
      </c>
      <c r="V828">
        <f>AND(judged_band,NOT($J828))</f>
        <v/>
      </c>
      <c r="W828">
        <f>IF($K828="","",IF(profit_kind="test",IF(OR(NOT(AND(ISNUMBER($L828),$L828&lt;significance_bar)),$K828=0),"in line",IF($K828&lt;0,"worse","better")),IF(OR($K828=0,IF(profit_kind="points",ABS($K828),ABS($K828*$H828))&lt;profit_line*(1-1E-9)),"in line",IF(AND(ISNUMBER($L828),$L828&lt;significance_bar),IF($K828&lt;0,"worse","better"),IF($K828&lt;0,"worse, not significant","better, not significant")))))</f>
        <v/>
      </c>
      <c r="X828">
        <f>IF($M828="","",IF(profit_kind="test",IF(OR(NOT(AND(ISNUMBER($N828),$N828&lt;significance_bar)),$M828=0),"in line",IF($M828&lt;0,"worse","better")),IF(OR($M828=0,IF(profit_kind="points",ABS($M828),ABS($M828*$H828))&lt;profit_line*(1-1E-9)),"in line",IF(AND(ISNUMBER($N828),$N828&lt;significance_bar),IF($M828&lt;0,"worse","better"),IF($M828&lt;0,"worse, not significant","better, not significant")))))</f>
        <v/>
      </c>
      <c r="Y828">
        <f>IF($V828,$X828,$W828)</f>
        <v/>
      </c>
      <c r="Z828">
        <f>IF($V828,IF($P828="","",$P828),IF($O828="","",$O828))</f>
        <v/>
      </c>
      <c r="AA828">
        <f>IF(OR($Q828="",$Z828=""),"",IF(AND($Z828&gt;0,$Z828&gt;=$Q828),"yes","below the line"))</f>
        <v/>
      </c>
      <c r="AB828">
        <f>IF($V828,IF($M828="","",$M828),IF($K828="","",$K828))</f>
        <v/>
      </c>
      <c r="AC828">
        <f>IF($V828,IF($N828="","",$N828),IF($L828="","",$L828))</f>
        <v/>
      </c>
      <c r="AD828">
        <f>IF($Y828="","",IF($Y828="in line",IF(profit_kind="test",IF(ROUND($AB828*100,2)=0,"0.00",TEXT($AB828*100,"+0.00;-0.00"))&amp;" points against "&amp;IF($V828,"its band","the book")&amp;", "&amp;IF($AC828="","not tested","not significant"),IF(profit_kind="points","within "&amp;TEXT(profit_line*100,"0.00")&amp;" points of "&amp;IF($V828,"its band","the book")&amp;" ("&amp;IF(ROUND($AB828*100,2)=0,"0.00",TEXT($AB828*100,"+0.00;-0.00"))&amp;")","within $"&amp;TEXT(profit_line,"#,##0")&amp;" of "&amp;IF($V828,"its band","the book")&amp;" ("&amp;IF(ROUND($AB828*100,2)=0,"0.00",TEXT($AB828*100,"+0.00;-0.00"))&amp;" points)")),IF(LEFT($Y828,5)="worse","short of ","ahead of ")&amp;IF($V828,"its band","the book")&amp;" by "&amp;TEXT(ABS($AB828)*100,"0.00")&amp;" points"&amp;IF($Z828="",""," ($"&amp;TEXT(ABS($Z828),"#,##0")&amp;")")&amp;IF(RIGHT($Y828,15)="not significant"," (not significant)","")))</f>
        <v/>
      </c>
      <c r="AE828">
        <f>IF($V828,IF($S828="","",$S828),IF($R828="","",$R828))</f>
        <v/>
      </c>
      <c r="AF828">
        <f>IF($V828,IF($U828="","",$U828),IF($T828="","",$T828))</f>
        <v/>
      </c>
      <c r="AG828">
        <f>IF($V828,IF($O828="","",$O828),IF($P828="","",$P828))</f>
        <v/>
      </c>
      <c r="AH828" t="n">
        <v>0.1675016252855078</v>
      </c>
      <c r="AI828">
        <f>IF($Y828="worse","Yes",IF($Y828="worse, not significant","Not sure",IF(OR($Y828="too few losses to test",$Y828="too few loans to test"),"Too few losses",IF($Y828="","","No"))))</f>
        <v/>
      </c>
      <c r="AJ828">
        <f>IF($AA828="yes","Yes",IF($AA828="","","No"))</f>
        <v/>
      </c>
    </row>
    <row r="829">
      <c r="A829" t="inlineStr">
        <is>
          <t>three-way</t>
        </is>
      </c>
      <c r="B829" t="inlineStr">
        <is>
          <t>FICO x ASSET_CLASS / SYS_FLAG</t>
        </is>
      </c>
      <c r="C829" t="inlineStr">
        <is>
          <t>(marked missing)</t>
        </is>
      </c>
      <c r="D829" t="inlineStr">
        <is>
          <t>1 / SYS_FLAG Y</t>
        </is>
      </c>
      <c r="E829" t="inlineStr">
        <is>
          <t>outcome_loans</t>
        </is>
      </c>
      <c r="F829" t="inlineStr">
        <is>
          <t>Outcome, share of loans</t>
        </is>
      </c>
      <c r="G829" t="n">
        <v>15</v>
      </c>
      <c r="H829" t="n">
        <v>15</v>
      </c>
      <c r="I829" t="b">
        <v>1</v>
      </c>
      <c r="J829" t="b">
        <v>0</v>
      </c>
      <c r="K829" t="n">
        <v>0.8612729234088458</v>
      </c>
      <c r="M829" t="n">
        <v>1.074074074074074</v>
      </c>
      <c r="O829" t="n">
        <v>-0.161072144288577</v>
      </c>
      <c r="P829" t="n">
        <v>0.06896551724137934</v>
      </c>
      <c r="Q829">
        <f>'_live'!$C$20</f>
        <v/>
      </c>
      <c r="T829" t="n">
        <v>0.07740480961923847</v>
      </c>
      <c r="U829" t="n">
        <v>0.06206896551724138</v>
      </c>
      <c r="V829">
        <f>AND(judged_band,NOT($J829))</f>
        <v/>
      </c>
      <c r="W829">
        <f>IF($K829="","",IF($I829,"too few losses to test",IF(AND($K829&gt;better_at,$K829&lt;worse_at),"in line",IF($K829&gt;=worse_at,IF(AND(ISNUMBER($L829),$L829&lt;significance_bar),"worse","worse, not significant"),IF(AND(ISNUMBER($L829),$L829&lt;significance_bar),"better","better, not significant")))))</f>
        <v/>
      </c>
      <c r="X829">
        <f>IF($M829="","",IF($I829,"too few losses to test",IF(AND($M829&gt;better_at,$M829&lt;worse_at),"in line",IF($M829&gt;=worse_at,IF(AND(ISNUMBER($N829),$N829&lt;significance_bar),"worse","worse, not significant"),IF(AND(ISNUMBER($N829),$N829&lt;significance_bar),"better","better, not significant")))))</f>
        <v/>
      </c>
      <c r="Y829">
        <f>IF($V829,$X829,$W829)</f>
        <v/>
      </c>
      <c r="Z829">
        <f>IF($V829,IF($P829="","",$P829),IF($O829="","",$O829))</f>
        <v/>
      </c>
      <c r="AA829">
        <f>IF(OR($Q829="",$Z829=""),"",IF(AND($Z829&gt;0,$Z829&gt;=$Q829),"yes","below the line"))</f>
        <v/>
      </c>
      <c r="AB829">
        <f>IF($V829,IF($M829="","",$M829),IF($K829="","",$K829))</f>
        <v/>
      </c>
      <c r="AC829">
        <f>IF($V829,IF($N829="","",$N829),IF($L829="","",$L829))</f>
        <v/>
      </c>
      <c r="AD829">
        <f>$Y829</f>
        <v/>
      </c>
      <c r="AE829">
        <f>IF($V829,IF($S829="","",$S829),IF($R829="","",$R829))</f>
        <v/>
      </c>
      <c r="AF829">
        <f>IF($V829,IF($U829="","",$U829),IF($T829="","",$T829))</f>
        <v/>
      </c>
      <c r="AG829">
        <f>IF($V829,IF($O829="","",$O829),IF($P829="","",$P829))</f>
        <v/>
      </c>
      <c r="AH829" t="n">
        <v>0.06666666666666667</v>
      </c>
      <c r="AI829">
        <f>IF($Y829="worse","Yes",IF($Y829="worse, not significant","Not sure",IF(OR($Y829="too few losses to test",$Y829="too few loans to test"),"Too few losses",IF($Y829="","","No"))))</f>
        <v/>
      </c>
      <c r="AJ829">
        <f>IF($AA829="yes","Yes",IF($AA829="","","No"))</f>
        <v/>
      </c>
    </row>
    <row r="830">
      <c r="A830" t="inlineStr">
        <is>
          <t>three-way</t>
        </is>
      </c>
      <c r="B830" t="inlineStr">
        <is>
          <t>FICO x ASSET_CLASS / SYS_FLAG</t>
        </is>
      </c>
      <c r="C830" t="inlineStr">
        <is>
          <t>(marked missing)</t>
        </is>
      </c>
      <c r="D830" t="inlineStr">
        <is>
          <t>1 / SYS_FLAG Y</t>
        </is>
      </c>
      <c r="E830" t="inlineStr">
        <is>
          <t>outcome_booked</t>
        </is>
      </c>
      <c r="F830" t="inlineStr">
        <is>
          <t>Outcome, share of booked dollars</t>
        </is>
      </c>
      <c r="G830" t="n">
        <v>15</v>
      </c>
      <c r="H830" t="n">
        <v>524928.42</v>
      </c>
      <c r="I830" t="b">
        <v>1</v>
      </c>
      <c r="J830" t="b">
        <v>0</v>
      </c>
      <c r="K830" t="n">
        <v>0.3694023848344493</v>
      </c>
      <c r="M830" t="n">
        <v>0.5490848924021987</v>
      </c>
      <c r="O830" t="n">
        <v>-24801.56501855153</v>
      </c>
      <c r="P830" t="n">
        <v>-11931.13470294938</v>
      </c>
      <c r="Q830">
        <f>'_live'!$C$21</f>
        <v/>
      </c>
      <c r="T830" t="n">
        <v>0.07492498695069992</v>
      </c>
      <c r="U830" t="n">
        <v>0.05040653867235723</v>
      </c>
      <c r="V830">
        <f>AND(judged_band,NOT($J830))</f>
        <v/>
      </c>
      <c r="W830">
        <f>IF($K830="","",IF($I830,"too few losses to test",IF(AND($K830&gt;better_at,$K830&lt;worse_at),"in line",IF($K830&gt;=worse_at,IF(AND(ISNUMBER($L830),$L830&lt;significance_bar),"worse","worse, not significant"),IF(AND(ISNUMBER($L830),$L830&lt;significance_bar),"better","better, not significant")))))</f>
        <v/>
      </c>
      <c r="X830">
        <f>IF($M830="","",IF($I830,"too few losses to test",IF(AND($M830&gt;better_at,$M830&lt;worse_at),"in line",IF($M830&gt;=worse_at,IF(AND(ISNUMBER($N830),$N830&lt;significance_bar),"worse","worse, not significant"),IF(AND(ISNUMBER($N830),$N830&lt;significance_bar),"better","better, not significant")))))</f>
        <v/>
      </c>
      <c r="Y830">
        <f>IF($V830,$X830,$W830)</f>
        <v/>
      </c>
      <c r="Z830">
        <f>IF($V830,IF($P830="","",$P830),IF($O830="","",$O830))</f>
        <v/>
      </c>
      <c r="AA830">
        <f>IF(OR($Q830="",$Z830=""),"",IF(AND($Z830&gt;0,$Z830&gt;=$Q830),"yes","below the line"))</f>
        <v/>
      </c>
      <c r="AB830">
        <f>IF($V830,IF($M830="","",$M830),IF($K830="","",$K830))</f>
        <v/>
      </c>
      <c r="AC830">
        <f>IF($V830,IF($N830="","",$N830),IF($L830="","",$L830))</f>
        <v/>
      </c>
      <c r="AD830">
        <f>$Y830</f>
        <v/>
      </c>
      <c r="AE830">
        <f>IF($V830,IF($S830="","",$S830),IF($R830="","",$R830))</f>
        <v/>
      </c>
      <c r="AF830">
        <f>IF($V830,IF($U830="","",$U830),IF($T830="","",$T830))</f>
        <v/>
      </c>
      <c r="AG830">
        <f>IF($V830,IF($O830="","",$O830),IF($P830="","",$P830))</f>
        <v/>
      </c>
      <c r="AH830" t="n">
        <v>0.02767746886327854</v>
      </c>
      <c r="AI830">
        <f>IF($Y830="worse","Yes",IF($Y830="worse, not significant","Not sure",IF(OR($Y830="too few losses to test",$Y830="too few loans to test"),"Too few losses",IF($Y830="","","No"))))</f>
        <v/>
      </c>
      <c r="AJ830">
        <f>IF($AA830="yes","Yes",IF($AA830="","","No"))</f>
        <v/>
      </c>
    </row>
    <row r="831">
      <c r="A831" t="inlineStr">
        <is>
          <t>three-way</t>
        </is>
      </c>
      <c r="B831" t="inlineStr">
        <is>
          <t>FICO x ASSET_CLASS / SYS_FLAG</t>
        </is>
      </c>
      <c r="C831" t="inlineStr">
        <is>
          <t>(marked missing)</t>
        </is>
      </c>
      <c r="D831" t="inlineStr">
        <is>
          <t>1 / SYS_FLAG Y</t>
        </is>
      </c>
      <c r="E831" t="inlineStr">
        <is>
          <t>gco_rate</t>
        </is>
      </c>
      <c r="F831" t="inlineStr">
        <is>
          <t>GCO per booked dollar</t>
        </is>
      </c>
      <c r="G831" t="n">
        <v>15</v>
      </c>
      <c r="H831" t="n">
        <v>524928.42</v>
      </c>
      <c r="I831" t="b">
        <v>1</v>
      </c>
      <c r="J831" t="b">
        <v>0</v>
      </c>
      <c r="K831" t="n">
        <v>0.2860025199079107</v>
      </c>
      <c r="M831" t="n">
        <v>0.4411648803949176</v>
      </c>
      <c r="O831" t="n">
        <v>-15616.23554438519</v>
      </c>
      <c r="P831" t="n">
        <v>-7923.777833899254</v>
      </c>
      <c r="Q831">
        <f>'_live'!$C$22</f>
        <v/>
      </c>
      <c r="T831" t="n">
        <v>0.04166578663122333</v>
      </c>
      <c r="U831" t="n">
        <v>0.02701148822138312</v>
      </c>
      <c r="V831">
        <f>AND(judged_band,NOT($J831))</f>
        <v/>
      </c>
      <c r="W831">
        <f>IF($K831="","",IF($I831,"too few losses to test",IF(AND($K831&gt;better_at,$K831&lt;worse_at),"in line",IF($K831&gt;=worse_at,IF(AND(ISNUMBER($L831),$L831&lt;significance_bar),"worse","worse, not significant"),IF(AND(ISNUMBER($L831),$L831&lt;significance_bar),"better","better, not significant")))))</f>
        <v/>
      </c>
      <c r="X831">
        <f>IF($M831="","",IF($I831,"too few losses to test",IF(AND($M831&gt;better_at,$M831&lt;worse_at),"in line",IF($M831&gt;=worse_at,IF(AND(ISNUMBER($N831),$N831&lt;significance_bar),"worse","worse, not significant"),IF(AND(ISNUMBER($N831),$N831&lt;significance_bar),"better","better, not significant")))))</f>
        <v/>
      </c>
      <c r="Y831">
        <f>IF($V831,$X831,$W831)</f>
        <v/>
      </c>
      <c r="Z831">
        <f>IF($V831,IF($P831="","",$P831),IF($O831="","",$O831))</f>
        <v/>
      </c>
      <c r="AA831">
        <f>IF(OR($Q831="",$Z831=""),"",IF(AND($Z831&gt;0,$Z831&gt;=$Q831),"yes","below the line"))</f>
        <v/>
      </c>
      <c r="AB831">
        <f>IF($V831,IF($M831="","",$M831),IF($K831="","",$K831))</f>
        <v/>
      </c>
      <c r="AC831">
        <f>IF($V831,IF($N831="","",$N831),IF($L831="","",$L831))</f>
        <v/>
      </c>
      <c r="AD831">
        <f>$Y831</f>
        <v/>
      </c>
      <c r="AE831">
        <f>IF($V831,IF($S831="","",$S831),IF($R831="","",$R831))</f>
        <v/>
      </c>
      <c r="AF831">
        <f>IF($V831,IF($U831="","",$U831),IF($T831="","",$T831))</f>
        <v/>
      </c>
      <c r="AG831">
        <f>IF($V831,IF($O831="","",$O831),IF($P831="","",$P831))</f>
        <v/>
      </c>
      <c r="AH831" t="n">
        <v>0.01191651997047521</v>
      </c>
      <c r="AI831">
        <f>IF($Y831="worse","Yes",IF($Y831="worse, not significant","Not sure",IF(OR($Y831="too few losses to test",$Y831="too few loans to test"),"Too few losses",IF($Y831="","","No"))))</f>
        <v/>
      </c>
      <c r="AJ831">
        <f>IF($AA831="yes","Yes",IF($AA831="","","No"))</f>
        <v/>
      </c>
    </row>
    <row r="832">
      <c r="A832" t="inlineStr">
        <is>
          <t>three-way</t>
        </is>
      </c>
      <c r="B832" t="inlineStr">
        <is>
          <t>FICO x ASSET_CLASS / SYS_FLAG</t>
        </is>
      </c>
      <c r="C832" t="inlineStr">
        <is>
          <t>(marked missing)</t>
        </is>
      </c>
      <c r="D832" t="inlineStr">
        <is>
          <t>1 / SYS_FLAG Y</t>
        </is>
      </c>
      <c r="E832" t="inlineStr">
        <is>
          <t>ranr_rate</t>
        </is>
      </c>
      <c r="F832" t="inlineStr">
        <is>
          <t>Profit after losses: RANR per booked dollar</t>
        </is>
      </c>
      <c r="G832" t="n">
        <v>15</v>
      </c>
      <c r="H832" t="n">
        <v>524928.42</v>
      </c>
      <c r="I832" t="b">
        <v>0</v>
      </c>
      <c r="J832" t="b">
        <v>0</v>
      </c>
      <c r="K832" t="n">
        <v>0.0442264447785356</v>
      </c>
      <c r="L832" t="n">
        <v>0.4812826409666726</v>
      </c>
      <c r="M832" t="n">
        <v>0.01882163345454543</v>
      </c>
      <c r="N832" t="n">
        <v>0.8858714128587142</v>
      </c>
      <c r="O832" t="n">
        <v>-23215.71777981395</v>
      </c>
      <c r="P832" t="n">
        <v>-9880.01031111367</v>
      </c>
      <c r="Q832">
        <f>'_live'!$C$23</f>
        <v/>
      </c>
      <c r="R832" t="inlineStr">
        <is>
          <t>shuffled: 3,830 of 10,000</t>
        </is>
      </c>
      <c r="S832" t="inlineStr">
        <is>
          <t>shuffled: 6,503 of 10,000</t>
        </is>
      </c>
      <c r="T832" t="n">
        <v>0.1279000901116881</v>
      </c>
      <c r="U832" t="n">
        <v>0.1533049014356782</v>
      </c>
      <c r="V832">
        <f>AND(judged_band,NOT($J832))</f>
        <v/>
      </c>
      <c r="W832">
        <f>IF($K832="","",IF(profit_kind="test",IF(OR(NOT(AND(ISNUMBER($L832),$L832&lt;significance_bar)),$K832=0),"in line",IF($K832&lt;0,"worse","better")),IF(OR($K832=0,IF(profit_kind="points",ABS($K832),ABS($K832*$H832))&lt;profit_line*(1-1E-9)),"in line",IF(AND(ISNUMBER($L832),$L832&lt;significance_bar),IF($K832&lt;0,"worse","better"),IF($K832&lt;0,"worse, not significant","better, not significant")))))</f>
        <v/>
      </c>
      <c r="X832">
        <f>IF($M832="","",IF(profit_kind="test",IF(OR(NOT(AND(ISNUMBER($N832),$N832&lt;significance_bar)),$M832=0),"in line",IF($M832&lt;0,"worse","better")),IF(OR($M832=0,IF(profit_kind="points",ABS($M832),ABS($M832*$H832))&lt;profit_line*(1-1E-9)),"in line",IF(AND(ISNUMBER($N832),$N832&lt;significance_bar),IF($M832&lt;0,"worse","better"),IF($M832&lt;0,"worse, not significant","better, not significant")))))</f>
        <v/>
      </c>
      <c r="Y832">
        <f>IF($V832,$X832,$W832)</f>
        <v/>
      </c>
      <c r="Z832">
        <f>IF($V832,IF($P832="","",$P832),IF($O832="","",$O832))</f>
        <v/>
      </c>
      <c r="AA832">
        <f>IF(OR($Q832="",$Z832=""),"",IF(AND($Z832&gt;0,$Z832&gt;=$Q832),"yes","below the line"))</f>
        <v/>
      </c>
      <c r="AB832">
        <f>IF($V832,IF($M832="","",$M832),IF($K832="","",$K832))</f>
        <v/>
      </c>
      <c r="AC832">
        <f>IF($V832,IF($N832="","",$N832),IF($L832="","",$L832))</f>
        <v/>
      </c>
      <c r="AD832">
        <f>IF($Y832="","",IF($Y832="in line",IF(profit_kind="test",IF(ROUND($AB832*100,2)=0,"0.00",TEXT($AB832*100,"+0.00;-0.00"))&amp;" points against "&amp;IF($V832,"its band","the book")&amp;", "&amp;IF($AC832="","not tested","not significant"),IF(profit_kind="points","within "&amp;TEXT(profit_line*100,"0.00")&amp;" points of "&amp;IF($V832,"its band","the book")&amp;" ("&amp;IF(ROUND($AB832*100,2)=0,"0.00",TEXT($AB832*100,"+0.00;-0.00"))&amp;")","within $"&amp;TEXT(profit_line,"#,##0")&amp;" of "&amp;IF($V832,"its band","the book")&amp;" ("&amp;IF(ROUND($AB832*100,2)=0,"0.00",TEXT($AB832*100,"+0.00;-0.00"))&amp;" points)")),IF(LEFT($Y832,5)="worse","short of ","ahead of ")&amp;IF($V832,"its band","the book")&amp;" by "&amp;TEXT(ABS($AB832)*100,"0.00")&amp;" points"&amp;IF($Z832="",""," ($"&amp;TEXT(ABS($Z832),"#,##0")&amp;")")&amp;IF(RIGHT($Y832,15)="not significant"," (not significant)","")))</f>
        <v/>
      </c>
      <c r="AE832">
        <f>IF($V832,IF($S832="","",$S832),IF($R832="","",$R832))</f>
        <v/>
      </c>
      <c r="AF832">
        <f>IF($V832,IF($U832="","",$U832),IF($T832="","",$T832))</f>
        <v/>
      </c>
      <c r="AG832">
        <f>IF($V832,IF($O832="","",$O832),IF($P832="","",$P832))</f>
        <v/>
      </c>
      <c r="AH832" t="n">
        <v>0.1721265348902237</v>
      </c>
      <c r="AI832">
        <f>IF($Y832="worse","Yes",IF($Y832="worse, not significant","Not sure",IF(OR($Y832="too few losses to test",$Y832="too few loans to test"),"Too few losses",IF($Y832="","","No"))))</f>
        <v/>
      </c>
      <c r="AJ832">
        <f>IF($AA832="yes","Yes",IF($AA832="","","No"))</f>
        <v/>
      </c>
    </row>
    <row r="833">
      <c r="A833" t="inlineStr">
        <is>
          <t>three-way</t>
        </is>
      </c>
      <c r="B833" t="inlineStr">
        <is>
          <t>FICO x ASSET_CLASS / SYS_FLAG</t>
        </is>
      </c>
      <c r="C833" t="inlineStr">
        <is>
          <t>(marked missing)</t>
        </is>
      </c>
      <c r="D833" t="inlineStr">
        <is>
          <t>1 / SYS_FLAG Y</t>
        </is>
      </c>
      <c r="E833" t="inlineStr">
        <is>
          <t>contribution_rate</t>
        </is>
      </c>
      <c r="F833" t="inlineStr">
        <is>
          <t>Contribution before losses per booked dollar</t>
        </is>
      </c>
      <c r="G833" t="n">
        <v>15</v>
      </c>
      <c r="H833" t="n">
        <v>524928.42</v>
      </c>
      <c r="I833" t="b">
        <v>0</v>
      </c>
      <c r="J833" t="b">
        <v>0</v>
      </c>
      <c r="K833" t="n">
        <v>0.01448005705678365</v>
      </c>
      <c r="L833" t="n">
        <v>0.7710461511988337</v>
      </c>
      <c r="M833" t="n">
        <v>0.003726665203637514</v>
      </c>
      <c r="N833" t="n">
        <v>0.9799190293736585</v>
      </c>
      <c r="O833" t="n">
        <v>-7600.993472327289</v>
      </c>
      <c r="P833" t="n">
        <v>-1956.23247721442</v>
      </c>
      <c r="Q833">
        <f>'_live'!$C$24</f>
        <v/>
      </c>
      <c r="R833" t="inlineStr">
        <is>
          <t>shuffled: 6,766 of 10,000</t>
        </is>
      </c>
      <c r="S833" t="inlineStr">
        <is>
          <t>shuffled: 9,180 of 10,000</t>
        </is>
      </c>
      <c r="T833" t="n">
        <v>0.1695629978039152</v>
      </c>
      <c r="U833" t="n">
        <v>0.1803163896570613</v>
      </c>
      <c r="V833">
        <f>AND(judged_band,NOT($J833))</f>
        <v/>
      </c>
      <c r="W833">
        <f>IF($K833="","",IF(profit_kind="test",IF(OR(NOT(AND(ISNUMBER($L833),$L833&lt;significance_bar)),$K833=0),"in line",IF($K833&lt;0,"worse","better")),IF(OR($K833=0,IF(profit_kind="points",ABS($K833),ABS($K833*$H833))&lt;profit_line*(1-1E-9)),"in line",IF(AND(ISNUMBER($L833),$L833&lt;significance_bar),IF($K833&lt;0,"worse","better"),IF($K833&lt;0,"worse, not significant","better, not significant")))))</f>
        <v/>
      </c>
      <c r="X833">
        <f>IF($M833="","",IF(profit_kind="test",IF(OR(NOT(AND(ISNUMBER($N833),$N833&lt;significance_bar)),$M833=0),"in line",IF($M833&lt;0,"worse","better")),IF(OR($M833=0,IF(profit_kind="points",ABS($M833),ABS($M833*$H833))&lt;profit_line*(1-1E-9)),"in line",IF(AND(ISNUMBER($N833),$N833&lt;significance_bar),IF($M833&lt;0,"worse","better"),IF($M833&lt;0,"worse, not significant","better, not significant")))))</f>
        <v/>
      </c>
      <c r="Y833">
        <f>IF($V833,$X833,$W833)</f>
        <v/>
      </c>
      <c r="Z833">
        <f>IF($V833,IF($P833="","",$P833),IF($O833="","",$O833))</f>
        <v/>
      </c>
      <c r="AA833">
        <f>IF(OR($Q833="",$Z833=""),"",IF(AND($Z833&gt;0,$Z833&gt;=$Q833),"yes","below the line"))</f>
        <v/>
      </c>
      <c r="AB833">
        <f>IF($V833,IF($M833="","",$M833),IF($K833="","",$K833))</f>
        <v/>
      </c>
      <c r="AC833">
        <f>IF($V833,IF($N833="","",$N833),IF($L833="","",$L833))</f>
        <v/>
      </c>
      <c r="AD833">
        <f>IF($Y833="","",IF($Y833="in line",IF(profit_kind="test",IF(ROUND($AB833*100,2)=0,"0.00",TEXT($AB833*100,"+0.00;-0.00"))&amp;" points against "&amp;IF($V833,"its band","the book")&amp;", "&amp;IF($AC833="","not tested","not significant"),IF(profit_kind="points","within "&amp;TEXT(profit_line*100,"0.00")&amp;" points of "&amp;IF($V833,"its band","the book")&amp;" ("&amp;IF(ROUND($AB833*100,2)=0,"0.00",TEXT($AB833*100,"+0.00;-0.00"))&amp;")","within $"&amp;TEXT(profit_line,"#,##0")&amp;" of "&amp;IF($V833,"its band","the book")&amp;" ("&amp;IF(ROUND($AB833*100,2)=0,"0.00",TEXT($AB833*100,"+0.00;-0.00"))&amp;" points)")),IF(LEFT($Y833,5)="worse","short of ","ahead of ")&amp;IF($V833,"its band","the book")&amp;" by "&amp;TEXT(ABS($AB833)*100,"0.00")&amp;" points"&amp;IF($Z833="",""," ($"&amp;TEXT(ABS($Z833),"#,##0")&amp;")")&amp;IF(RIGHT($Y833,15)="not significant"," (not significant)","")))</f>
        <v/>
      </c>
      <c r="AE833">
        <f>IF($V833,IF($S833="","",$S833),IF($R833="","",$R833))</f>
        <v/>
      </c>
      <c r="AF833">
        <f>IF($V833,IF($U833="","",$U833),IF($T833="","",$T833))</f>
        <v/>
      </c>
      <c r="AG833">
        <f>IF($V833,IF($O833="","",$O833),IF($P833="","",$P833))</f>
        <v/>
      </c>
      <c r="AH833" t="n">
        <v>0.1840430548606989</v>
      </c>
      <c r="AI833">
        <f>IF($Y833="worse","Yes",IF($Y833="worse, not significant","Not sure",IF(OR($Y833="too few losses to test",$Y833="too few loans to test"),"Too few losses",IF($Y833="","","No"))))</f>
        <v/>
      </c>
      <c r="AJ833">
        <f>IF($AA833="yes","Yes",IF($AA833="","","No"))</f>
        <v/>
      </c>
    </row>
    <row r="834">
      <c r="A834" t="inlineStr">
        <is>
          <t>three-way</t>
        </is>
      </c>
      <c r="B834" t="inlineStr">
        <is>
          <t>FICO x ASSET_CLASS / SYS_FLAG</t>
        </is>
      </c>
      <c r="C834" t="inlineStr">
        <is>
          <t>(marked missing)</t>
        </is>
      </c>
      <c r="D834" t="inlineStr">
        <is>
          <t>2 / SYS_FLAG Y</t>
        </is>
      </c>
      <c r="E834" t="inlineStr">
        <is>
          <t>outcome_loans</t>
        </is>
      </c>
      <c r="F834" t="inlineStr">
        <is>
          <t>Outcome, share of loans</t>
        </is>
      </c>
      <c r="G834" t="n">
        <v>18</v>
      </c>
      <c r="H834" t="n">
        <v>18</v>
      </c>
      <c r="I834" t="b">
        <v>1</v>
      </c>
      <c r="J834" t="b">
        <v>0</v>
      </c>
      <c r="K834" t="n">
        <v>2.88383017163505</v>
      </c>
      <c r="M834" t="n">
        <v>5.259259259259259</v>
      </c>
      <c r="O834" t="n">
        <v>2.61295576995364</v>
      </c>
      <c r="P834" t="n">
        <v>3.23943661971831</v>
      </c>
      <c r="Q834">
        <f>'_live'!$C$20</f>
        <v/>
      </c>
      <c r="T834" t="n">
        <v>0.07705801278035333</v>
      </c>
      <c r="U834" t="n">
        <v>0.04225352112676056</v>
      </c>
      <c r="V834">
        <f>AND(judged_band,NOT($J834))</f>
        <v/>
      </c>
      <c r="W834">
        <f>IF($K834="","",IF($I834,"too few losses to test",IF(AND($K834&gt;better_at,$K834&lt;worse_at),"in line",IF($K834&gt;=worse_at,IF(AND(ISNUMBER($L834),$L834&lt;significance_bar),"worse","worse, not significant"),IF(AND(ISNUMBER($L834),$L834&lt;significance_bar),"better","better, not significant")))))</f>
        <v/>
      </c>
      <c r="X834">
        <f>IF($M834="","",IF($I834,"too few losses to test",IF(AND($M834&gt;better_at,$M834&lt;worse_at),"in line",IF($M834&gt;=worse_at,IF(AND(ISNUMBER($N834),$N834&lt;significance_bar),"worse","worse, not significant"),IF(AND(ISNUMBER($N834),$N834&lt;significance_bar),"better","better, not significant")))))</f>
        <v/>
      </c>
      <c r="Y834">
        <f>IF($V834,$X834,$W834)</f>
        <v/>
      </c>
      <c r="Z834">
        <f>IF($V834,IF($P834="","",$P834),IF($O834="","",$O834))</f>
        <v/>
      </c>
      <c r="AA834">
        <f>IF(OR($Q834="",$Z834=""),"",IF(AND($Z834&gt;0,$Z834&gt;=$Q834),"yes","below the line"))</f>
        <v/>
      </c>
      <c r="AB834">
        <f>IF($V834,IF($M834="","",$M834),IF($K834="","",$K834))</f>
        <v/>
      </c>
      <c r="AC834">
        <f>IF($V834,IF($N834="","",$N834),IF($L834="","",$L834))</f>
        <v/>
      </c>
      <c r="AD834">
        <f>$Y834</f>
        <v/>
      </c>
      <c r="AE834">
        <f>IF($V834,IF($S834="","",$S834),IF($R834="","",$R834))</f>
        <v/>
      </c>
      <c r="AF834">
        <f>IF($V834,IF($U834="","",$U834),IF($T834="","",$T834))</f>
        <v/>
      </c>
      <c r="AG834">
        <f>IF($V834,IF($O834="","",$O834),IF($P834="","",$P834))</f>
        <v/>
      </c>
      <c r="AH834" t="n">
        <v>0.2222222222222222</v>
      </c>
      <c r="AI834">
        <f>IF($Y834="worse","Yes",IF($Y834="worse, not significant","Not sure",IF(OR($Y834="too few losses to test",$Y834="too few loans to test"),"Too few losses",IF($Y834="","","No"))))</f>
        <v/>
      </c>
      <c r="AJ834">
        <f>IF($AA834="yes","Yes",IF($AA834="","","No"))</f>
        <v/>
      </c>
    </row>
    <row r="835">
      <c r="A835" t="inlineStr">
        <is>
          <t>three-way</t>
        </is>
      </c>
      <c r="B835" t="inlineStr">
        <is>
          <t>FICO x ASSET_CLASS / SYS_FLAG</t>
        </is>
      </c>
      <c r="C835" t="inlineStr">
        <is>
          <t>(marked missing)</t>
        </is>
      </c>
      <c r="D835" t="inlineStr">
        <is>
          <t>2 / SYS_FLAG Y</t>
        </is>
      </c>
      <c r="E835" t="inlineStr">
        <is>
          <t>outcome_booked</t>
        </is>
      </c>
      <c r="F835" t="inlineStr">
        <is>
          <t>Outcome, share of booked dollars</t>
        </is>
      </c>
      <c r="G835" t="n">
        <v>18</v>
      </c>
      <c r="H835" t="n">
        <v>573474.61</v>
      </c>
      <c r="I835" t="b">
        <v>1</v>
      </c>
      <c r="J835" t="b">
        <v>0</v>
      </c>
      <c r="K835" t="n">
        <v>2.539139324022673</v>
      </c>
      <c r="M835" t="n">
        <v>6.113026959536921</v>
      </c>
      <c r="O835" t="n">
        <v>65823.0855077083</v>
      </c>
      <c r="P835" t="n">
        <v>90825.66892653686</v>
      </c>
      <c r="Q835">
        <f>'_live'!$C$21</f>
        <v/>
      </c>
      <c r="T835" t="n">
        <v>0.07457377143914307</v>
      </c>
      <c r="U835" t="n">
        <v>0.03097535752012307</v>
      </c>
      <c r="V835">
        <f>AND(judged_band,NOT($J835))</f>
        <v/>
      </c>
      <c r="W835">
        <f>IF($K835="","",IF($I835,"too few losses to test",IF(AND($K835&gt;better_at,$K835&lt;worse_at),"in line",IF($K835&gt;=worse_at,IF(AND(ISNUMBER($L835),$L835&lt;significance_bar),"worse","worse, not significant"),IF(AND(ISNUMBER($L835),$L835&lt;significance_bar),"better","better, not significant")))))</f>
        <v/>
      </c>
      <c r="X835">
        <f>IF($M835="","",IF($I835,"too few losses to test",IF(AND($M835&gt;better_at,$M835&lt;worse_at),"in line",IF($M835&gt;=worse_at,IF(AND(ISNUMBER($N835),$N835&lt;significance_bar),"worse","worse, not significant"),IF(AND(ISNUMBER($N835),$N835&lt;significance_bar),"better","better, not significant")))))</f>
        <v/>
      </c>
      <c r="Y835">
        <f>IF($V835,$X835,$W835)</f>
        <v/>
      </c>
      <c r="Z835">
        <f>IF($V835,IF($P835="","",$P835),IF($O835="","",$O835))</f>
        <v/>
      </c>
      <c r="AA835">
        <f>IF(OR($Q835="",$Z835=""),"",IF(AND($Z835&gt;0,$Z835&gt;=$Q835),"yes","below the line"))</f>
        <v/>
      </c>
      <c r="AB835">
        <f>IF($V835,IF($M835="","",$M835),IF($K835="","",$K835))</f>
        <v/>
      </c>
      <c r="AC835">
        <f>IF($V835,IF($N835="","",$N835),IF($L835="","",$L835))</f>
        <v/>
      </c>
      <c r="AD835">
        <f>$Y835</f>
        <v/>
      </c>
      <c r="AE835">
        <f>IF($V835,IF($S835="","",$S835),IF($R835="","",$R835))</f>
        <v/>
      </c>
      <c r="AF835">
        <f>IF($V835,IF($U835="","",$U835),IF($T835="","",$T835))</f>
        <v/>
      </c>
      <c r="AG835">
        <f>IF($V835,IF($O835="","",$O835),IF($P835="","",$P835))</f>
        <v/>
      </c>
      <c r="AH835" t="n">
        <v>0.189353195601807</v>
      </c>
      <c r="AI835">
        <f>IF($Y835="worse","Yes",IF($Y835="worse, not significant","Not sure",IF(OR($Y835="too few losses to test",$Y835="too few loans to test"),"Too few losses",IF($Y835="","","No"))))</f>
        <v/>
      </c>
      <c r="AJ835">
        <f>IF($AA835="yes","Yes",IF($AA835="","","No"))</f>
        <v/>
      </c>
    </row>
    <row r="836">
      <c r="A836" t="inlineStr">
        <is>
          <t>three-way</t>
        </is>
      </c>
      <c r="B836" t="inlineStr">
        <is>
          <t>FICO x ASSET_CLASS / SYS_FLAG</t>
        </is>
      </c>
      <c r="C836" t="inlineStr">
        <is>
          <t>(marked missing)</t>
        </is>
      </c>
      <c r="D836" t="inlineStr">
        <is>
          <t>2 / SYS_FLAG Y</t>
        </is>
      </c>
      <c r="E836" t="inlineStr">
        <is>
          <t>gco_rate</t>
        </is>
      </c>
      <c r="F836" t="inlineStr">
        <is>
          <t>GCO per booked dollar</t>
        </is>
      </c>
      <c r="G836" t="n">
        <v>18</v>
      </c>
      <c r="H836" t="n">
        <v>573474.61</v>
      </c>
      <c r="I836" t="b">
        <v>1</v>
      </c>
      <c r="J836" t="b">
        <v>0</v>
      </c>
      <c r="K836" t="n">
        <v>2.237162320065655</v>
      </c>
      <c r="M836" t="n">
        <v>5.357404145390562</v>
      </c>
      <c r="O836" t="n">
        <v>29437.21154050825</v>
      </c>
      <c r="P836" t="n">
        <v>43295.31595153279</v>
      </c>
      <c r="Q836">
        <f>'_live'!$C$22</f>
        <v/>
      </c>
      <c r="T836" t="n">
        <v>0.04149118033227619</v>
      </c>
      <c r="U836" t="n">
        <v>0.01732602259142251</v>
      </c>
      <c r="V836">
        <f>AND(judged_band,NOT($J836))</f>
        <v/>
      </c>
      <c r="W836">
        <f>IF($K836="","",IF($I836,"too few losses to test",IF(AND($K836&gt;better_at,$K836&lt;worse_at),"in line",IF($K836&gt;=worse_at,IF(AND(ISNUMBER($L836),$L836&lt;significance_bar),"worse","worse, not significant"),IF(AND(ISNUMBER($L836),$L836&lt;significance_bar),"better","better, not significant")))))</f>
        <v/>
      </c>
      <c r="X836">
        <f>IF($M836="","",IF($I836,"too few losses to test",IF(AND($M836&gt;better_at,$M836&lt;worse_at),"in line",IF($M836&gt;=worse_at,IF(AND(ISNUMBER($N836),$N836&lt;significance_bar),"worse","worse, not significant"),IF(AND(ISNUMBER($N836),$N836&lt;significance_bar),"better","better, not significant")))))</f>
        <v/>
      </c>
      <c r="Y836">
        <f>IF($V836,$X836,$W836)</f>
        <v/>
      </c>
      <c r="Z836">
        <f>IF($V836,IF($P836="","",$P836),IF($O836="","",$O836))</f>
        <v/>
      </c>
      <c r="AA836">
        <f>IF(OR($Q836="",$Z836=""),"",IF(AND($Z836&gt;0,$Z836&gt;=$Q836),"yes","below the line"))</f>
        <v/>
      </c>
      <c r="AB836">
        <f>IF($V836,IF($M836="","",$M836),IF($K836="","",$K836))</f>
        <v/>
      </c>
      <c r="AC836">
        <f>IF($V836,IF($N836="","",$N836),IF($L836="","",$L836))</f>
        <v/>
      </c>
      <c r="AD836">
        <f>$Y836</f>
        <v/>
      </c>
      <c r="AE836">
        <f>IF($V836,IF($S836="","",$S836),IF($R836="","",$R836))</f>
        <v/>
      </c>
      <c r="AF836">
        <f>IF($V836,IF($U836="","",$U836),IF($T836="","",$T836))</f>
        <v/>
      </c>
      <c r="AG836">
        <f>IF($V836,IF($O836="","",$O836),IF($P836="","",$P836))</f>
        <v/>
      </c>
      <c r="AH836" t="n">
        <v>0.09282250525441747</v>
      </c>
      <c r="AI836">
        <f>IF($Y836="worse","Yes",IF($Y836="worse, not significant","Not sure",IF(OR($Y836="too few losses to test",$Y836="too few loans to test"),"Too few losses",IF($Y836="","","No"))))</f>
        <v/>
      </c>
      <c r="AJ836">
        <f>IF($AA836="yes","Yes",IF($AA836="","","No"))</f>
        <v/>
      </c>
    </row>
    <row r="837">
      <c r="A837" t="inlineStr">
        <is>
          <t>three-way</t>
        </is>
      </c>
      <c r="B837" t="inlineStr">
        <is>
          <t>FICO x ASSET_CLASS / SYS_FLAG</t>
        </is>
      </c>
      <c r="C837" t="inlineStr">
        <is>
          <t>(marked missing)</t>
        </is>
      </c>
      <c r="D837" t="inlineStr">
        <is>
          <t>2 / SYS_FLAG Y</t>
        </is>
      </c>
      <c r="E837" t="inlineStr">
        <is>
          <t>ranr_rate</t>
        </is>
      </c>
      <c r="F837" t="inlineStr">
        <is>
          <t>Profit after losses: RANR per booked dollar</t>
        </is>
      </c>
      <c r="G837" t="n">
        <v>18</v>
      </c>
      <c r="H837" t="n">
        <v>573474.61</v>
      </c>
      <c r="I837" t="b">
        <v>0</v>
      </c>
      <c r="J837" t="b">
        <v>0</v>
      </c>
      <c r="K837" t="n">
        <v>-0.04266197712258703</v>
      </c>
      <c r="L837" t="n">
        <v>0.4619722238302485</v>
      </c>
      <c r="M837" t="n">
        <v>-0.07823431235914181</v>
      </c>
      <c r="N837" t="n">
        <v>0.3162883711628837</v>
      </c>
      <c r="O837" t="n">
        <v>24465.56069220452</v>
      </c>
      <c r="P837" t="n">
        <v>44865.39176877704</v>
      </c>
      <c r="Q837">
        <f>'_live'!$C$23</f>
        <v/>
      </c>
      <c r="R837" t="inlineStr">
        <is>
          <t>shuffled: 3,582 of 10,000</t>
        </is>
      </c>
      <c r="S837" t="inlineStr">
        <is>
          <t>shuffled: 658 of 10,000</t>
        </is>
      </c>
      <c r="T837" t="n">
        <v>0.1280848522521416</v>
      </c>
      <c r="U837" t="n">
        <v>0.1636571874886964</v>
      </c>
      <c r="V837">
        <f>AND(judged_band,NOT($J837))</f>
        <v/>
      </c>
      <c r="W837">
        <f>IF($K837="","",IF(profit_kind="test",IF(OR(NOT(AND(ISNUMBER($L837),$L837&lt;significance_bar)),$K837=0),"in line",IF($K837&lt;0,"worse","better")),IF(OR($K837=0,IF(profit_kind="points",ABS($K837),ABS($K837*$H837))&lt;profit_line*(1-1E-9)),"in line",IF(AND(ISNUMBER($L837),$L837&lt;significance_bar),IF($K837&lt;0,"worse","better"),IF($K837&lt;0,"worse, not significant","better, not significant")))))</f>
        <v/>
      </c>
      <c r="X837">
        <f>IF($M837="","",IF(profit_kind="test",IF(OR(NOT(AND(ISNUMBER($N837),$N837&lt;significance_bar)),$M837=0),"in line",IF($M837&lt;0,"worse","better")),IF(OR($M837=0,IF(profit_kind="points",ABS($M837),ABS($M837*$H837))&lt;profit_line*(1-1E-9)),"in line",IF(AND(ISNUMBER($N837),$N837&lt;significance_bar),IF($M837&lt;0,"worse","better"),IF($M837&lt;0,"worse, not significant","better, not significant")))))</f>
        <v/>
      </c>
      <c r="Y837">
        <f>IF($V837,$X837,$W837)</f>
        <v/>
      </c>
      <c r="Z837">
        <f>IF($V837,IF($P837="","",$P837),IF($O837="","",$O837))</f>
        <v/>
      </c>
      <c r="AA837">
        <f>IF(OR($Q837="",$Z837=""),"",IF(AND($Z837&gt;0,$Z837&gt;=$Q837),"yes","below the line"))</f>
        <v/>
      </c>
      <c r="AB837">
        <f>IF($V837,IF($M837="","",$M837),IF($K837="","",$K837))</f>
        <v/>
      </c>
      <c r="AC837">
        <f>IF($V837,IF($N837="","",$N837),IF($L837="","",$L837))</f>
        <v/>
      </c>
      <c r="AD837">
        <f>IF($Y837="","",IF($Y837="in line",IF(profit_kind="test",IF(ROUND($AB837*100,2)=0,"0.00",TEXT($AB837*100,"+0.00;-0.00"))&amp;" points against "&amp;IF($V837,"its band","the book")&amp;", "&amp;IF($AC837="","not tested","not significant"),IF(profit_kind="points","within "&amp;TEXT(profit_line*100,"0.00")&amp;" points of "&amp;IF($V837,"its band","the book")&amp;" ("&amp;IF(ROUND($AB837*100,2)=0,"0.00",TEXT($AB837*100,"+0.00;-0.00"))&amp;")","within $"&amp;TEXT(profit_line,"#,##0")&amp;" of "&amp;IF($V837,"its band","the book")&amp;" ("&amp;IF(ROUND($AB837*100,2)=0,"0.00",TEXT($AB837*100,"+0.00;-0.00"))&amp;" points)")),IF(LEFT($Y837,5)="worse","short of ","ahead of ")&amp;IF($V837,"its band","the book")&amp;" by "&amp;TEXT(ABS($AB837)*100,"0.00")&amp;" points"&amp;IF($Z837="",""," ($"&amp;TEXT(ABS($Z837),"#,##0")&amp;")")&amp;IF(RIGHT($Y837,15)="not significant"," (not significant)","")))</f>
        <v/>
      </c>
      <c r="AE837">
        <f>IF($V837,IF($S837="","",$S837),IF($R837="","",$R837))</f>
        <v/>
      </c>
      <c r="AF837">
        <f>IF($V837,IF($U837="","",$U837),IF($T837="","",$T837))</f>
        <v/>
      </c>
      <c r="AG837">
        <f>IF($V837,IF($O837="","",$O837),IF($P837="","",$P837))</f>
        <v/>
      </c>
      <c r="AH837" t="n">
        <v>0.08542287512955458</v>
      </c>
      <c r="AI837">
        <f>IF($Y837="worse","Yes",IF($Y837="worse, not significant","Not sure",IF(OR($Y837="too few losses to test",$Y837="too few loans to test"),"Too few losses",IF($Y837="","","No"))))</f>
        <v/>
      </c>
      <c r="AJ837">
        <f>IF($AA837="yes","Yes",IF($AA837="","","No"))</f>
        <v/>
      </c>
    </row>
    <row r="838">
      <c r="A838" t="inlineStr">
        <is>
          <t>three-way</t>
        </is>
      </c>
      <c r="B838" t="inlineStr">
        <is>
          <t>FICO x ASSET_CLASS / SYS_FLAG</t>
        </is>
      </c>
      <c r="C838" t="inlineStr">
        <is>
          <t>(marked missing)</t>
        </is>
      </c>
      <c r="D838" t="inlineStr">
        <is>
          <t>2 / SYS_FLAG Y</t>
        </is>
      </c>
      <c r="E838" t="inlineStr">
        <is>
          <t>contribution_rate</t>
        </is>
      </c>
      <c r="F838" t="inlineStr">
        <is>
          <t>Contribution before losses per booked dollar</t>
        </is>
      </c>
      <c r="G838" t="n">
        <v>18</v>
      </c>
      <c r="H838" t="n">
        <v>573474.61</v>
      </c>
      <c r="I838" t="b">
        <v>0</v>
      </c>
      <c r="J838" t="b">
        <v>0</v>
      </c>
      <c r="K838" t="n">
        <v>0.008672198801976255</v>
      </c>
      <c r="L838" t="n">
        <v>0.8485951404859514</v>
      </c>
      <c r="M838" t="n">
        <v>-0.002737829696146915</v>
      </c>
      <c r="N838" t="n">
        <v>0.9799190293736585</v>
      </c>
      <c r="O838" t="n">
        <v>-4973.285825805797</v>
      </c>
      <c r="P838" t="n">
        <v>1570.075817244273</v>
      </c>
      <c r="Q838">
        <f>'_live'!$C$24</f>
        <v/>
      </c>
      <c r="R838" t="inlineStr">
        <is>
          <t>shuffled: 7,772 of 10,000</t>
        </is>
      </c>
      <c r="S838" t="inlineStr">
        <is>
          <t>shuffled: 9,377 of 10,000</t>
        </is>
      </c>
      <c r="T838" t="n">
        <v>0.1695731815819957</v>
      </c>
      <c r="U838" t="n">
        <v>0.1809832100801189</v>
      </c>
      <c r="V838">
        <f>AND(judged_band,NOT($J838))</f>
        <v/>
      </c>
      <c r="W838">
        <f>IF($K838="","",IF(profit_kind="test",IF(OR(NOT(AND(ISNUMBER($L838),$L838&lt;significance_bar)),$K838=0),"in line",IF($K838&lt;0,"worse","better")),IF(OR($K838=0,IF(profit_kind="points",ABS($K838),ABS($K838*$H838))&lt;profit_line*(1-1E-9)),"in line",IF(AND(ISNUMBER($L838),$L838&lt;significance_bar),IF($K838&lt;0,"worse","better"),IF($K838&lt;0,"worse, not significant","better, not significant")))))</f>
        <v/>
      </c>
      <c r="X838">
        <f>IF($M838="","",IF(profit_kind="test",IF(OR(NOT(AND(ISNUMBER($N838),$N838&lt;significance_bar)),$M838=0),"in line",IF($M838&lt;0,"worse","better")),IF(OR($M838=0,IF(profit_kind="points",ABS($M838),ABS($M838*$H838))&lt;profit_line*(1-1E-9)),"in line",IF(AND(ISNUMBER($N838),$N838&lt;significance_bar),IF($M838&lt;0,"worse","better"),IF($M838&lt;0,"worse, not significant","better, not significant")))))</f>
        <v/>
      </c>
      <c r="Y838">
        <f>IF($V838,$X838,$W838)</f>
        <v/>
      </c>
      <c r="Z838">
        <f>IF($V838,IF($P838="","",$P838),IF($O838="","",$O838))</f>
        <v/>
      </c>
      <c r="AA838">
        <f>IF(OR($Q838="",$Z838=""),"",IF(AND($Z838&gt;0,$Z838&gt;=$Q838),"yes","below the line"))</f>
        <v/>
      </c>
      <c r="AB838">
        <f>IF($V838,IF($M838="","",$M838),IF($K838="","",$K838))</f>
        <v/>
      </c>
      <c r="AC838">
        <f>IF($V838,IF($N838="","",$N838),IF($L838="","",$L838))</f>
        <v/>
      </c>
      <c r="AD838">
        <f>IF($Y838="","",IF($Y838="in line",IF(profit_kind="test",IF(ROUND($AB838*100,2)=0,"0.00",TEXT($AB838*100,"+0.00;-0.00"))&amp;" points against "&amp;IF($V838,"its band","the book")&amp;", "&amp;IF($AC838="","not tested","not significant"),IF(profit_kind="points","within "&amp;TEXT(profit_line*100,"0.00")&amp;" points of "&amp;IF($V838,"its band","the book")&amp;" ("&amp;IF(ROUND($AB838*100,2)=0,"0.00",TEXT($AB838*100,"+0.00;-0.00"))&amp;")","within $"&amp;TEXT(profit_line,"#,##0")&amp;" of "&amp;IF($V838,"its band","the book")&amp;" ("&amp;IF(ROUND($AB838*100,2)=0,"0.00",TEXT($AB838*100,"+0.00;-0.00"))&amp;" points)")),IF(LEFT($Y838,5)="worse","short of ","ahead of ")&amp;IF($V838,"its band","the book")&amp;" by "&amp;TEXT(ABS($AB838)*100,"0.00")&amp;" points"&amp;IF($Z838="",""," ($"&amp;TEXT(ABS($Z838),"#,##0")&amp;")")&amp;IF(RIGHT($Y838,15)="not significant"," (not significant)","")))</f>
        <v/>
      </c>
      <c r="AE838">
        <f>IF($V838,IF($S838="","",$S838),IF($R838="","",$R838))</f>
        <v/>
      </c>
      <c r="AF838">
        <f>IF($V838,IF($U838="","",$U838),IF($T838="","",$T838))</f>
        <v/>
      </c>
      <c r="AG838">
        <f>IF($V838,IF($O838="","",$O838),IF($P838="","",$P838))</f>
        <v/>
      </c>
      <c r="AH838" t="n">
        <v>0.178245380383972</v>
      </c>
      <c r="AI838">
        <f>IF($Y838="worse","Yes",IF($Y838="worse, not significant","Not sure",IF(OR($Y838="too few losses to test",$Y838="too few loans to test"),"Too few losses",IF($Y838="","","No"))))</f>
        <v/>
      </c>
      <c r="AJ838">
        <f>IF($AA838="yes","Yes",IF($AA838="","","No"))</f>
        <v/>
      </c>
    </row>
    <row r="839">
      <c r="A839" t="inlineStr">
        <is>
          <t>three-way</t>
        </is>
      </c>
      <c r="B839" t="inlineStr">
        <is>
          <t>ORIG_BAL x CHANNEL / SYS_FLAG</t>
        </is>
      </c>
      <c r="C839" t="inlineStr">
        <is>
          <t>5,005 - 15,448</t>
        </is>
      </c>
      <c r="D839" t="inlineStr">
        <is>
          <t>Online / SYS_FLAG N</t>
        </is>
      </c>
      <c r="E839" t="inlineStr">
        <is>
          <t>outcome_loans</t>
        </is>
      </c>
      <c r="F839" t="inlineStr">
        <is>
          <t>Outcome, share of loans</t>
        </is>
      </c>
      <c r="G839" t="n">
        <v>302</v>
      </c>
      <c r="H839" t="n">
        <v>302</v>
      </c>
      <c r="I839" t="b">
        <v>0</v>
      </c>
      <c r="J839" t="b">
        <v>0</v>
      </c>
      <c r="K839" t="n">
        <v>0.7197256385998109</v>
      </c>
      <c r="L839" t="n">
        <v>0.3584896983353595</v>
      </c>
      <c r="M839" t="n">
        <v>0.6893040109958767</v>
      </c>
      <c r="N839" t="n">
        <v>0.2808242493725803</v>
      </c>
      <c r="O839" t="n">
        <v>-6.620111731843576</v>
      </c>
      <c r="P839" t="n">
        <v>-7.662557781201848</v>
      </c>
      <c r="Q839">
        <f>'_live'!$C$20</f>
        <v/>
      </c>
      <c r="R839" t="inlineStr">
        <is>
          <t>z test</t>
        </is>
      </c>
      <c r="S839" t="inlineStr">
        <is>
          <t>z test</t>
        </is>
      </c>
      <c r="T839" t="n">
        <v>0.0782122905027933</v>
      </c>
      <c r="U839" t="n">
        <v>0.08166409861325115</v>
      </c>
      <c r="V839">
        <f>AND(judged_band,NOT($J839))</f>
        <v/>
      </c>
      <c r="W839">
        <f>IF($K839="","",IF($I839,"too few losses to test",IF(AND($K839&gt;better_at,$K839&lt;worse_at),"in line",IF($K839&gt;=worse_at,IF(AND(ISNUMBER($L839),$L839&lt;significance_bar),"worse","worse, not significant"),IF(AND(ISNUMBER($L839),$L839&lt;significance_bar),"better","better, not significant")))))</f>
        <v/>
      </c>
      <c r="X839">
        <f>IF($M839="","",IF($I839,"too few losses to test",IF(AND($M839&gt;better_at,$M839&lt;worse_at),"in line",IF($M839&gt;=worse_at,IF(AND(ISNUMBER($N839),$N839&lt;significance_bar),"worse","worse, not significant"),IF(AND(ISNUMBER($N839),$N839&lt;significance_bar),"better","better, not significant")))))</f>
        <v/>
      </c>
      <c r="Y839">
        <f>IF($V839,$X839,$W839)</f>
        <v/>
      </c>
      <c r="Z839">
        <f>IF($V839,IF($P839="","",$P839),IF($O839="","",$O839))</f>
        <v/>
      </c>
      <c r="AA839">
        <f>IF(OR($Q839="",$Z839=""),"",IF(AND($Z839&gt;0,$Z839&gt;=$Q839),"yes","below the line"))</f>
        <v/>
      </c>
      <c r="AB839">
        <f>IF($V839,IF($M839="","",$M839),IF($K839="","",$K839))</f>
        <v/>
      </c>
      <c r="AC839">
        <f>IF($V839,IF($N839="","",$N839),IF($L839="","",$L839))</f>
        <v/>
      </c>
      <c r="AD839">
        <f>$Y839</f>
        <v/>
      </c>
      <c r="AE839">
        <f>IF($V839,IF($S839="","",$S839),IF($R839="","",$R839))</f>
        <v/>
      </c>
      <c r="AF839">
        <f>IF($V839,IF($U839="","",$U839),IF($T839="","",$T839))</f>
        <v/>
      </c>
      <c r="AG839">
        <f>IF($V839,IF($O839="","",$O839),IF($P839="","",$P839))</f>
        <v/>
      </c>
      <c r="AH839" t="n">
        <v>0.05629139072847682</v>
      </c>
      <c r="AI839">
        <f>IF($Y839="worse","Yes",IF($Y839="worse, not significant","Not sure",IF(OR($Y839="too few losses to test",$Y839="too few loans to test"),"Too few losses",IF($Y839="","","No"))))</f>
        <v/>
      </c>
      <c r="AJ839">
        <f>IF($AA839="yes","Yes",IF($AA839="","","No"))</f>
        <v/>
      </c>
    </row>
    <row r="840">
      <c r="A840" t="inlineStr">
        <is>
          <t>three-way</t>
        </is>
      </c>
      <c r="B840" t="inlineStr">
        <is>
          <t>ORIG_BAL x CHANNEL / SYS_FLAG</t>
        </is>
      </c>
      <c r="C840" t="inlineStr">
        <is>
          <t>5,005 - 15,448</t>
        </is>
      </c>
      <c r="D840" t="inlineStr">
        <is>
          <t>Online / SYS_FLAG N</t>
        </is>
      </c>
      <c r="E840" t="inlineStr">
        <is>
          <t>outcome_booked</t>
        </is>
      </c>
      <c r="F840" t="inlineStr">
        <is>
          <t>Outcome, share of booked dollars</t>
        </is>
      </c>
      <c r="G840" t="n">
        <v>302</v>
      </c>
      <c r="H840" t="n">
        <v>3023084.910000002</v>
      </c>
      <c r="I840" t="b">
        <v>0</v>
      </c>
      <c r="J840" t="b">
        <v>0</v>
      </c>
      <c r="K840" t="n">
        <v>0.6488649911115907</v>
      </c>
      <c r="L840" t="n">
        <v>0.362963703629637</v>
      </c>
      <c r="M840" t="n">
        <v>0.596659463068807</v>
      </c>
      <c r="N840" t="n">
        <v>0.1547481615474816</v>
      </c>
      <c r="O840" t="n">
        <v>-79759.78546151926</v>
      </c>
      <c r="P840" t="n">
        <v>-99634.44992530847</v>
      </c>
      <c r="Q840">
        <f>'_live'!$C$21</f>
        <v/>
      </c>
      <c r="R840" t="inlineStr">
        <is>
          <t>shuffled: 1,179 of 10,000</t>
        </is>
      </c>
      <c r="S840" t="inlineStr">
        <is>
          <t>shuffled: 607 of 10,000</t>
        </is>
      </c>
      <c r="T840" t="n">
        <v>0.07513797733902192</v>
      </c>
      <c r="U840" t="n">
        <v>0.08171227645911815</v>
      </c>
      <c r="V840">
        <f>AND(judged_band,NOT($J840))</f>
        <v/>
      </c>
      <c r="W840">
        <f>IF($K840="","",IF($I840,"too few losses to test",IF(AND($K840&gt;better_at,$K840&lt;worse_at),"in line",IF($K840&gt;=worse_at,IF(AND(ISNUMBER($L840),$L840&lt;significance_bar),"worse","worse, not significant"),IF(AND(ISNUMBER($L840),$L840&lt;significance_bar),"better","better, not significant")))))</f>
        <v/>
      </c>
      <c r="X840">
        <f>IF($M840="","",IF($I840,"too few losses to test",IF(AND($M840&gt;better_at,$M840&lt;worse_at),"in line",IF($M840&gt;=worse_at,IF(AND(ISNUMBER($N840),$N840&lt;significance_bar),"worse","worse, not significant"),IF(AND(ISNUMBER($N840),$N840&lt;significance_bar),"better","better, not significant")))))</f>
        <v/>
      </c>
      <c r="Y840">
        <f>IF($V840,$X840,$W840)</f>
        <v/>
      </c>
      <c r="Z840">
        <f>IF($V840,IF($P840="","",$P840),IF($O840="","",$O840))</f>
        <v/>
      </c>
      <c r="AA840">
        <f>IF(OR($Q840="",$Z840=""),"",IF(AND($Z840&gt;0,$Z840&gt;=$Q840),"yes","below the line"))</f>
        <v/>
      </c>
      <c r="AB840">
        <f>IF($V840,IF($M840="","",$M840),IF($K840="","",$K840))</f>
        <v/>
      </c>
      <c r="AC840">
        <f>IF($V840,IF($N840="","",$N840),IF($L840="","",$L840))</f>
        <v/>
      </c>
      <c r="AD840">
        <f>$Y840</f>
        <v/>
      </c>
      <c r="AE840">
        <f>IF($V840,IF($S840="","",$S840),IF($R840="","",$R840))</f>
        <v/>
      </c>
      <c r="AF840">
        <f>IF($V840,IF($U840="","",$U840),IF($T840="","",$T840))</f>
        <v/>
      </c>
      <c r="AG840">
        <f>IF($V840,IF($O840="","",$O840),IF($P840="","",$P840))</f>
        <v/>
      </c>
      <c r="AH840" t="n">
        <v>0.04875440299822736</v>
      </c>
      <c r="AI840">
        <f>IF($Y840="worse","Yes",IF($Y840="worse, not significant","Not sure",IF(OR($Y840="too few losses to test",$Y840="too few loans to test"),"Too few losses",IF($Y840="","","No"))))</f>
        <v/>
      </c>
      <c r="AJ840">
        <f>IF($AA840="yes","Yes",IF($AA840="","","No"))</f>
        <v/>
      </c>
    </row>
    <row r="841">
      <c r="A841" t="inlineStr">
        <is>
          <t>three-way</t>
        </is>
      </c>
      <c r="B841" t="inlineStr">
        <is>
          <t>ORIG_BAL x CHANNEL / SYS_FLAG</t>
        </is>
      </c>
      <c r="C841" t="inlineStr">
        <is>
          <t>5,005 - 15,448</t>
        </is>
      </c>
      <c r="D841" t="inlineStr">
        <is>
          <t>Online / SYS_FLAG N</t>
        </is>
      </c>
      <c r="E841" t="inlineStr">
        <is>
          <t>gco_rate</t>
        </is>
      </c>
      <c r="F841" t="inlineStr">
        <is>
          <t>GCO per booked dollar</t>
        </is>
      </c>
      <c r="G841" t="n">
        <v>302</v>
      </c>
      <c r="H841" t="n">
        <v>3023084.910000002</v>
      </c>
      <c r="I841" t="b">
        <v>0</v>
      </c>
      <c r="J841" t="b">
        <v>0</v>
      </c>
      <c r="K841" t="n">
        <v>0.620613887858802</v>
      </c>
      <c r="L841" t="n">
        <v>0.3604639536046395</v>
      </c>
      <c r="M841" t="n">
        <v>0.5771815099473148</v>
      </c>
      <c r="N841" t="n">
        <v>0.1640635936406359</v>
      </c>
      <c r="O841" t="n">
        <v>-47930.81088997907</v>
      </c>
      <c r="P841" t="n">
        <v>-57437.61499322284</v>
      </c>
      <c r="Q841">
        <f>'_live'!$C$22</f>
        <v/>
      </c>
      <c r="R841" t="inlineStr">
        <is>
          <t>shuffled: 1,029 of 10,000</t>
        </is>
      </c>
      <c r="S841" t="inlineStr">
        <is>
          <t>shuffled: 585 of 10,000</t>
        </is>
      </c>
      <c r="T841" t="n">
        <v>0.04179102296203086</v>
      </c>
      <c r="U841" t="n">
        <v>0.04493575901353786</v>
      </c>
      <c r="V841">
        <f>AND(judged_band,NOT($J841))</f>
        <v/>
      </c>
      <c r="W841">
        <f>IF($K841="","",IF($I841,"too few losses to test",IF(AND($K841&gt;better_at,$K841&lt;worse_at),"in line",IF($K841&gt;=worse_at,IF(AND(ISNUMBER($L841),$L841&lt;significance_bar),"worse","worse, not significant"),IF(AND(ISNUMBER($L841),$L841&lt;significance_bar),"better","better, not significant")))))</f>
        <v/>
      </c>
      <c r="X841">
        <f>IF($M841="","",IF($I841,"too few losses to test",IF(AND($M841&gt;better_at,$M841&lt;worse_at),"in line",IF($M841&gt;=worse_at,IF(AND(ISNUMBER($N841),$N841&lt;significance_bar),"worse","worse, not significant"),IF(AND(ISNUMBER($N841),$N841&lt;significance_bar),"better","better, not significant")))))</f>
        <v/>
      </c>
      <c r="Y841">
        <f>IF($V841,$X841,$W841)</f>
        <v/>
      </c>
      <c r="Z841">
        <f>IF($V841,IF($P841="","",$P841),IF($O841="","",$O841))</f>
        <v/>
      </c>
      <c r="AA841">
        <f>IF(OR($Q841="",$Z841=""),"",IF(AND($Z841&gt;0,$Z841&gt;=$Q841),"yes","below the line"))</f>
        <v/>
      </c>
      <c r="AB841">
        <f>IF($V841,IF($M841="","",$M841),IF($K841="","",$K841))</f>
        <v/>
      </c>
      <c r="AC841">
        <f>IF($V841,IF($N841="","",$N841),IF($L841="","",$L841))</f>
        <v/>
      </c>
      <c r="AD841">
        <f>$Y841</f>
        <v/>
      </c>
      <c r="AE841">
        <f>IF($V841,IF($S841="","",$S841),IF($R841="","",$R841))</f>
        <v/>
      </c>
      <c r="AF841">
        <f>IF($V841,IF($U841="","",$U841),IF($T841="","",$T841))</f>
        <v/>
      </c>
      <c r="AG841">
        <f>IF($V841,IF($O841="","",$O841),IF($P841="","",$P841))</f>
        <v/>
      </c>
      <c r="AH841" t="n">
        <v>0.02593608923806244</v>
      </c>
      <c r="AI841">
        <f>IF($Y841="worse","Yes",IF($Y841="worse, not significant","Not sure",IF(OR($Y841="too few losses to test",$Y841="too few loans to test"),"Too few losses",IF($Y841="","","No"))))</f>
        <v/>
      </c>
      <c r="AJ841">
        <f>IF($AA841="yes","Yes",IF($AA841="","","No"))</f>
        <v/>
      </c>
    </row>
    <row r="842">
      <c r="A842" t="inlineStr">
        <is>
          <t>three-way</t>
        </is>
      </c>
      <c r="B842" t="inlineStr">
        <is>
          <t>ORIG_BAL x CHANNEL / SYS_FLAG</t>
        </is>
      </c>
      <c r="C842" t="inlineStr">
        <is>
          <t>5,005 - 15,448</t>
        </is>
      </c>
      <c r="D842" t="inlineStr">
        <is>
          <t>Online / SYS_FLAG N</t>
        </is>
      </c>
      <c r="E842" t="inlineStr">
        <is>
          <t>ranr_rate</t>
        </is>
      </c>
      <c r="F842" t="inlineStr">
        <is>
          <t>Profit after losses: RANR per booked dollar</t>
        </is>
      </c>
      <c r="G842" t="n">
        <v>302</v>
      </c>
      <c r="H842" t="n">
        <v>3023084.910000002</v>
      </c>
      <c r="I842" t="b">
        <v>0</v>
      </c>
      <c r="J842" t="b">
        <v>0</v>
      </c>
      <c r="K842" t="n">
        <v>0.0422467347950537</v>
      </c>
      <c r="L842" t="n">
        <v>0.005999400059994</v>
      </c>
      <c r="M842" t="n">
        <v>0.02833969779440454</v>
      </c>
      <c r="N842" t="n">
        <v>0.08699130086991301</v>
      </c>
      <c r="O842" t="n">
        <v>-127715.4664556989</v>
      </c>
      <c r="P842" t="n">
        <v>-85673.31275622471</v>
      </c>
      <c r="Q842">
        <f>'_live'!$C$23</f>
        <v/>
      </c>
      <c r="R842" t="inlineStr">
        <is>
          <t>shuffled: 4 of 10,000</t>
        </is>
      </c>
      <c r="S842" t="inlineStr">
        <is>
          <t>shuffled: 202 of 10,000</t>
        </is>
      </c>
      <c r="T842" t="n">
        <v>0.1274951597519969</v>
      </c>
      <c r="U842" t="n">
        <v>0.141402196752646</v>
      </c>
      <c r="V842">
        <f>AND(judged_band,NOT($J842))</f>
        <v/>
      </c>
      <c r="W842">
        <f>IF($K842="","",IF(profit_kind="test",IF(OR(NOT(AND(ISNUMBER($L842),$L842&lt;significance_bar)),$K842=0),"in line",IF($K842&lt;0,"worse","better")),IF(OR($K842=0,IF(profit_kind="points",ABS($K842),ABS($K842*$H842))&lt;profit_line*(1-1E-9)),"in line",IF(AND(ISNUMBER($L842),$L842&lt;significance_bar),IF($K842&lt;0,"worse","better"),IF($K842&lt;0,"worse, not significant","better, not significant")))))</f>
        <v/>
      </c>
      <c r="X842">
        <f>IF($M842="","",IF(profit_kind="test",IF(OR(NOT(AND(ISNUMBER($N842),$N842&lt;significance_bar)),$M842=0),"in line",IF($M842&lt;0,"worse","better")),IF(OR($M842=0,IF(profit_kind="points",ABS($M842),ABS($M842*$H842))&lt;profit_line*(1-1E-9)),"in line",IF(AND(ISNUMBER($N842),$N842&lt;significance_bar),IF($M842&lt;0,"worse","better"),IF($M842&lt;0,"worse, not significant","better, not significant")))))</f>
        <v/>
      </c>
      <c r="Y842">
        <f>IF($V842,$X842,$W842)</f>
        <v/>
      </c>
      <c r="Z842">
        <f>IF($V842,IF($P842="","",$P842),IF($O842="","",$O842))</f>
        <v/>
      </c>
      <c r="AA842">
        <f>IF(OR($Q842="",$Z842=""),"",IF(AND($Z842&gt;0,$Z842&gt;=$Q842),"yes","below the line"))</f>
        <v/>
      </c>
      <c r="AB842">
        <f>IF($V842,IF($M842="","",$M842),IF($K842="","",$K842))</f>
        <v/>
      </c>
      <c r="AC842">
        <f>IF($V842,IF($N842="","",$N842),IF($L842="","",$L842))</f>
        <v/>
      </c>
      <c r="AD842">
        <f>IF($Y842="","",IF($Y842="in line",IF(profit_kind="test",IF(ROUND($AB842*100,2)=0,"0.00",TEXT($AB842*100,"+0.00;-0.00"))&amp;" points against "&amp;IF($V842,"its band","the book")&amp;", "&amp;IF($AC842="","not tested","not significant"),IF(profit_kind="points","within "&amp;TEXT(profit_line*100,"0.00")&amp;" points of "&amp;IF($V842,"its band","the book")&amp;" ("&amp;IF(ROUND($AB842*100,2)=0,"0.00",TEXT($AB842*100,"+0.00;-0.00"))&amp;")","within $"&amp;TEXT(profit_line,"#,##0")&amp;" of "&amp;IF($V842,"its band","the book")&amp;" ("&amp;IF(ROUND($AB842*100,2)=0,"0.00",TEXT($AB842*100,"+0.00;-0.00"))&amp;" points)")),IF(LEFT($Y842,5)="worse","short of ","ahead of ")&amp;IF($V842,"its band","the book")&amp;" by "&amp;TEXT(ABS($AB842)*100,"0.00")&amp;" points"&amp;IF($Z842="",""," ($"&amp;TEXT(ABS($Z842),"#,##0")&amp;")")&amp;IF(RIGHT($Y842,15)="not significant"," (not significant)","")))</f>
        <v/>
      </c>
      <c r="AE842">
        <f>IF($V842,IF($S842="","",$S842),IF($R842="","",$R842))</f>
        <v/>
      </c>
      <c r="AF842">
        <f>IF($V842,IF($U842="","",$U842),IF($T842="","",$T842))</f>
        <v/>
      </c>
      <c r="AG842">
        <f>IF($V842,IF($O842="","",$O842),IF($P842="","",$P842))</f>
        <v/>
      </c>
      <c r="AH842" t="n">
        <v>0.1697418945470505</v>
      </c>
      <c r="AI842">
        <f>IF($Y842="worse","Yes",IF($Y842="worse, not significant","Not sure",IF(OR($Y842="too few losses to test",$Y842="too few loans to test"),"Too few losses",IF($Y842="","","No"))))</f>
        <v/>
      </c>
      <c r="AJ842">
        <f>IF($AA842="yes","Yes",IF($AA842="","","No"))</f>
        <v/>
      </c>
    </row>
    <row r="843">
      <c r="A843" t="inlineStr">
        <is>
          <t>three-way</t>
        </is>
      </c>
      <c r="B843" t="inlineStr">
        <is>
          <t>ORIG_BAL x CHANNEL / SYS_FLAG</t>
        </is>
      </c>
      <c r="C843" t="inlineStr">
        <is>
          <t>5,005 - 15,448</t>
        </is>
      </c>
      <c r="D843" t="inlineStr">
        <is>
          <t>Online / SYS_FLAG N</t>
        </is>
      </c>
      <c r="E843" t="inlineStr">
        <is>
          <t>contribution_rate</t>
        </is>
      </c>
      <c r="F843" t="inlineStr">
        <is>
          <t>Contribution before losses per booked dollar</t>
        </is>
      </c>
      <c r="G843" t="n">
        <v>302</v>
      </c>
      <c r="H843" t="n">
        <v>3023084.910000002</v>
      </c>
      <c r="I843" t="b">
        <v>0</v>
      </c>
      <c r="J843" t="b">
        <v>0</v>
      </c>
      <c r="K843" t="n">
        <v>0.02639477122950443</v>
      </c>
      <c r="L843" t="n">
        <v>0.007999200079992002</v>
      </c>
      <c r="M843" t="n">
        <v>0.00934002801892922</v>
      </c>
      <c r="N843" t="n">
        <v>0.3970655566022345</v>
      </c>
      <c r="O843" t="n">
        <v>-79793.63460681704</v>
      </c>
      <c r="P843" t="n">
        <v>-28235.69776300213</v>
      </c>
      <c r="Q843">
        <f>'_live'!$C$24</f>
        <v/>
      </c>
      <c r="R843" t="inlineStr">
        <is>
          <t>shuffled: 7 of 10,000</t>
        </is>
      </c>
      <c r="S843" t="inlineStr">
        <is>
          <t>shuffled: 2,442 of 10,000</t>
        </is>
      </c>
      <c r="T843" t="n">
        <v>0.1692832125556087</v>
      </c>
      <c r="U843" t="n">
        <v>0.1863379557661839</v>
      </c>
      <c r="V843">
        <f>AND(judged_band,NOT($J843))</f>
        <v/>
      </c>
      <c r="W843">
        <f>IF($K843="","",IF(profit_kind="test",IF(OR(NOT(AND(ISNUMBER($L843),$L843&lt;significance_bar)),$K843=0),"in line",IF($K843&lt;0,"worse","better")),IF(OR($K843=0,IF(profit_kind="points",ABS($K843),ABS($K843*$H843))&lt;profit_line*(1-1E-9)),"in line",IF(AND(ISNUMBER($L843),$L843&lt;significance_bar),IF($K843&lt;0,"worse","better"),IF($K843&lt;0,"worse, not significant","better, not significant")))))</f>
        <v/>
      </c>
      <c r="X843">
        <f>IF($M843="","",IF(profit_kind="test",IF(OR(NOT(AND(ISNUMBER($N843),$N843&lt;significance_bar)),$M843=0),"in line",IF($M843&lt;0,"worse","better")),IF(OR($M843=0,IF(profit_kind="points",ABS($M843),ABS($M843*$H843))&lt;profit_line*(1-1E-9)),"in line",IF(AND(ISNUMBER($N843),$N843&lt;significance_bar),IF($M843&lt;0,"worse","better"),IF($M843&lt;0,"worse, not significant","better, not significant")))))</f>
        <v/>
      </c>
      <c r="Y843">
        <f>IF($V843,$X843,$W843)</f>
        <v/>
      </c>
      <c r="Z843">
        <f>IF($V843,IF($P843="","",$P843),IF($O843="","",$O843))</f>
        <v/>
      </c>
      <c r="AA843">
        <f>IF(OR($Q843="",$Z843=""),"",IF(AND($Z843&gt;0,$Z843&gt;=$Q843),"yes","below the line"))</f>
        <v/>
      </c>
      <c r="AB843">
        <f>IF($V843,IF($M843="","",$M843),IF($K843="","",$K843))</f>
        <v/>
      </c>
      <c r="AC843">
        <f>IF($V843,IF($N843="","",$N843),IF($L843="","",$L843))</f>
        <v/>
      </c>
      <c r="AD843">
        <f>IF($Y843="","",IF($Y843="in line",IF(profit_kind="test",IF(ROUND($AB843*100,2)=0,"0.00",TEXT($AB843*100,"+0.00;-0.00"))&amp;" points against "&amp;IF($V843,"its band","the book")&amp;", "&amp;IF($AC843="","not tested","not significant"),IF(profit_kind="points","within "&amp;TEXT(profit_line*100,"0.00")&amp;" points of "&amp;IF($V843,"its band","the book")&amp;" ("&amp;IF(ROUND($AB843*100,2)=0,"0.00",TEXT($AB843*100,"+0.00;-0.00"))&amp;")","within $"&amp;TEXT(profit_line,"#,##0")&amp;" of "&amp;IF($V843,"its band","the book")&amp;" ("&amp;IF(ROUND($AB843*100,2)=0,"0.00",TEXT($AB843*100,"+0.00;-0.00"))&amp;" points)")),IF(LEFT($Y843,5)="worse","short of ","ahead of ")&amp;IF($V843,"its band","the book")&amp;" by "&amp;TEXT(ABS($AB843)*100,"0.00")&amp;" points"&amp;IF($Z843="",""," ($"&amp;TEXT(ABS($Z843),"#,##0")&amp;")")&amp;IF(RIGHT($Y843,15)="not significant"," (not significant)","")))</f>
        <v/>
      </c>
      <c r="AE843">
        <f>IF($V843,IF($S843="","",$S843),IF($R843="","",$R843))</f>
        <v/>
      </c>
      <c r="AF843">
        <f>IF($V843,IF($U843="","",$U843),IF($T843="","",$T843))</f>
        <v/>
      </c>
      <c r="AG843">
        <f>IF($V843,IF($O843="","",$O843),IF($P843="","",$P843))</f>
        <v/>
      </c>
      <c r="AH843" t="n">
        <v>0.1956779837851131</v>
      </c>
      <c r="AI843">
        <f>IF($Y843="worse","Yes",IF($Y843="worse, not significant","Not sure",IF(OR($Y843="too few losses to test",$Y843="too few loans to test"),"Too few losses",IF($Y843="","","No"))))</f>
        <v/>
      </c>
      <c r="AJ843">
        <f>IF($AA843="yes","Yes",IF($AA843="","","No"))</f>
        <v/>
      </c>
    </row>
    <row r="844">
      <c r="A844" t="inlineStr">
        <is>
          <t>three-way</t>
        </is>
      </c>
      <c r="B844" t="inlineStr">
        <is>
          <t>ORIG_BAL x CHANNEL / SYS_FLAG</t>
        </is>
      </c>
      <c r="C844" t="inlineStr">
        <is>
          <t>26,324 - 37,950</t>
        </is>
      </c>
      <c r="D844" t="inlineStr">
        <is>
          <t>Broker / SYS_FLAG Y</t>
        </is>
      </c>
      <c r="E844" t="inlineStr">
        <is>
          <t>outcome_loans</t>
        </is>
      </c>
      <c r="F844" t="inlineStr">
        <is>
          <t>Outcome, share of loans</t>
        </is>
      </c>
      <c r="G844" t="n">
        <v>248</v>
      </c>
      <c r="H844" t="n">
        <v>248</v>
      </c>
      <c r="I844" t="b">
        <v>0</v>
      </c>
      <c r="J844" t="b">
        <v>0</v>
      </c>
      <c r="K844" t="n">
        <v>1.097549627791563</v>
      </c>
      <c r="L844" t="n">
        <v>0.7855005659686514</v>
      </c>
      <c r="M844" t="n">
        <v>1.284432765494744</v>
      </c>
      <c r="N844" t="n">
        <v>0.4461345440320933</v>
      </c>
      <c r="O844" t="n">
        <v>1.866468842729972</v>
      </c>
      <c r="P844" t="n">
        <v>4.650370370370368</v>
      </c>
      <c r="Q844">
        <f>'_live'!$C$20</f>
        <v/>
      </c>
      <c r="R844" t="inlineStr">
        <is>
          <t>z test</t>
        </is>
      </c>
      <c r="S844" t="inlineStr">
        <is>
          <t>z test</t>
        </is>
      </c>
      <c r="T844" t="n">
        <v>0.0771513353115727</v>
      </c>
      <c r="U844" t="n">
        <v>0.06592592592592593</v>
      </c>
      <c r="V844">
        <f>AND(judged_band,NOT($J844))</f>
        <v/>
      </c>
      <c r="W844">
        <f>IF($K844="","",IF($I844,"too few losses to test",IF(AND($K844&gt;better_at,$K844&lt;worse_at),"in line",IF($K844&gt;=worse_at,IF(AND(ISNUMBER($L844),$L844&lt;significance_bar),"worse","worse, not significant"),IF(AND(ISNUMBER($L844),$L844&lt;significance_bar),"better","better, not significant")))))</f>
        <v/>
      </c>
      <c r="X844">
        <f>IF($M844="","",IF($I844,"too few losses to test",IF(AND($M844&gt;better_at,$M844&lt;worse_at),"in line",IF($M844&gt;=worse_at,IF(AND(ISNUMBER($N844),$N844&lt;significance_bar),"worse","worse, not significant"),IF(AND(ISNUMBER($N844),$N844&lt;significance_bar),"better","better, not significant")))))</f>
        <v/>
      </c>
      <c r="Y844">
        <f>IF($V844,$X844,$W844)</f>
        <v/>
      </c>
      <c r="Z844">
        <f>IF($V844,IF($P844="","",$P844),IF($O844="","",$O844))</f>
        <v/>
      </c>
      <c r="AA844">
        <f>IF(OR($Q844="",$Z844=""),"",IF(AND($Z844&gt;0,$Z844&gt;=$Q844),"yes","below the line"))</f>
        <v/>
      </c>
      <c r="AB844">
        <f>IF($V844,IF($M844="","",$M844),IF($K844="","",$K844))</f>
        <v/>
      </c>
      <c r="AC844">
        <f>IF($V844,IF($N844="","",$N844),IF($L844="","",$L844))</f>
        <v/>
      </c>
      <c r="AD844">
        <f>$Y844</f>
        <v/>
      </c>
      <c r="AE844">
        <f>IF($V844,IF($S844="","",$S844),IF($R844="","",$R844))</f>
        <v/>
      </c>
      <c r="AF844">
        <f>IF($V844,IF($U844="","",$U844),IF($T844="","",$T844))</f>
        <v/>
      </c>
      <c r="AG844">
        <f>IF($V844,IF($O844="","",$O844),IF($P844="","",$P844))</f>
        <v/>
      </c>
      <c r="AH844" t="n">
        <v>0.0846774193548387</v>
      </c>
      <c r="AI844">
        <f>IF($Y844="worse","Yes",IF($Y844="worse, not significant","Not sure",IF(OR($Y844="too few losses to test",$Y844="too few loans to test"),"Too few losses",IF($Y844="","","No"))))</f>
        <v/>
      </c>
      <c r="AJ844">
        <f>IF($AA844="yes","Yes",IF($AA844="","","No"))</f>
        <v/>
      </c>
    </row>
    <row r="845">
      <c r="A845" t="inlineStr">
        <is>
          <t>three-way</t>
        </is>
      </c>
      <c r="B845" t="inlineStr">
        <is>
          <t>ORIG_BAL x CHANNEL / SYS_FLAG</t>
        </is>
      </c>
      <c r="C845" t="inlineStr">
        <is>
          <t>26,324 - 37,950</t>
        </is>
      </c>
      <c r="D845" t="inlineStr">
        <is>
          <t>Broker / SYS_FLAG Y</t>
        </is>
      </c>
      <c r="E845" t="inlineStr">
        <is>
          <t>outcome_booked</t>
        </is>
      </c>
      <c r="F845" t="inlineStr">
        <is>
          <t>Outcome, share of booked dollars</t>
        </is>
      </c>
      <c r="G845" t="n">
        <v>248</v>
      </c>
      <c r="H845" t="n">
        <v>8129736.889999999</v>
      </c>
      <c r="I845" t="b">
        <v>0</v>
      </c>
      <c r="J845" t="b">
        <v>0</v>
      </c>
      <c r="K845" t="n">
        <v>1.12025787579392</v>
      </c>
      <c r="L845" t="n">
        <v>0.8386716883867168</v>
      </c>
      <c r="M845" t="n">
        <v>1.278055599734882</v>
      </c>
      <c r="N845" t="n">
        <v>0.4684864846848649</v>
      </c>
      <c r="O845" t="n">
        <v>72881.41442566377</v>
      </c>
      <c r="P845" t="n">
        <v>147707.7110753374</v>
      </c>
      <c r="Q845">
        <f>'_live'!$C$21</f>
        <v/>
      </c>
      <c r="R845" t="inlineStr">
        <is>
          <t>shuffled: 6,373 of 10,000</t>
        </is>
      </c>
      <c r="S845" t="inlineStr">
        <is>
          <t>shuffled: 3,011 of 10,000</t>
        </is>
      </c>
      <c r="T845" t="n">
        <v>0.07454641691046614</v>
      </c>
      <c r="U845" t="n">
        <v>0.06534239251679679</v>
      </c>
      <c r="V845">
        <f>AND(judged_band,NOT($J845))</f>
        <v/>
      </c>
      <c r="W845">
        <f>IF($K845="","",IF($I845,"too few losses to test",IF(AND($K845&gt;better_at,$K845&lt;worse_at),"in line",IF($K845&gt;=worse_at,IF(AND(ISNUMBER($L845),$L845&lt;significance_bar),"worse","worse, not significant"),IF(AND(ISNUMBER($L845),$L845&lt;significance_bar),"better","better, not significant")))))</f>
        <v/>
      </c>
      <c r="X845">
        <f>IF($M845="","",IF($I845,"too few losses to test",IF(AND($M845&gt;better_at,$M845&lt;worse_at),"in line",IF($M845&gt;=worse_at,IF(AND(ISNUMBER($N845),$N845&lt;significance_bar),"worse","worse, not significant"),IF(AND(ISNUMBER($N845),$N845&lt;significance_bar),"better","better, not significant")))))</f>
        <v/>
      </c>
      <c r="Y845">
        <f>IF($V845,$X845,$W845)</f>
        <v/>
      </c>
      <c r="Z845">
        <f>IF($V845,IF($P845="","",$P845),IF($O845="","",$O845))</f>
        <v/>
      </c>
      <c r="AA845">
        <f>IF(OR($Q845="",$Z845=""),"",IF(AND($Z845&gt;0,$Z845&gt;=$Q845),"yes","below the line"))</f>
        <v/>
      </c>
      <c r="AB845">
        <f>IF($V845,IF($M845="","",$M845),IF($K845="","",$K845))</f>
        <v/>
      </c>
      <c r="AC845">
        <f>IF($V845,IF($N845="","",$N845),IF($L845="","",$L845))</f>
        <v/>
      </c>
      <c r="AD845">
        <f>$Y845</f>
        <v/>
      </c>
      <c r="AE845">
        <f>IF($V845,IF($S845="","",$S845),IF($R845="","",$R845))</f>
        <v/>
      </c>
      <c r="AF845">
        <f>IF($V845,IF($U845="","",$U845),IF($T845="","",$T845))</f>
        <v/>
      </c>
      <c r="AG845">
        <f>IF($V845,IF($O845="","",$O845),IF($P845="","",$P845))</f>
        <v/>
      </c>
      <c r="AH845" t="n">
        <v>0.08351121065616678</v>
      </c>
      <c r="AI845">
        <f>IF($Y845="worse","Yes",IF($Y845="worse, not significant","Not sure",IF(OR($Y845="too few losses to test",$Y845="too few loans to test"),"Too few losses",IF($Y845="","","No"))))</f>
        <v/>
      </c>
      <c r="AJ845">
        <f>IF($AA845="yes","Yes",IF($AA845="","","No"))</f>
        <v/>
      </c>
    </row>
    <row r="846">
      <c r="A846" t="inlineStr">
        <is>
          <t>three-way</t>
        </is>
      </c>
      <c r="B846" t="inlineStr">
        <is>
          <t>ORIG_BAL x CHANNEL / SYS_FLAG</t>
        </is>
      </c>
      <c r="C846" t="inlineStr">
        <is>
          <t>26,324 - 37,950</t>
        </is>
      </c>
      <c r="D846" t="inlineStr">
        <is>
          <t>Broker / SYS_FLAG Y</t>
        </is>
      </c>
      <c r="E846" t="inlineStr">
        <is>
          <t>gco_rate</t>
        </is>
      </c>
      <c r="F846" t="inlineStr">
        <is>
          <t>GCO per booked dollar</t>
        </is>
      </c>
      <c r="G846" t="n">
        <v>248</v>
      </c>
      <c r="H846" t="n">
        <v>8129736.889999999</v>
      </c>
      <c r="I846" t="b">
        <v>0</v>
      </c>
      <c r="J846" t="b">
        <v>0</v>
      </c>
      <c r="K846" t="n">
        <v>0.9904765969454947</v>
      </c>
      <c r="L846" t="n">
        <v>0.9822017798220178</v>
      </c>
      <c r="M846" t="n">
        <v>1.121925465097013</v>
      </c>
      <c r="N846" t="n">
        <v>0.7890341400642543</v>
      </c>
      <c r="O846" t="n">
        <v>-3222.161344562308</v>
      </c>
      <c r="P846" t="n">
        <v>36419.14550706383</v>
      </c>
      <c r="Q846">
        <f>'_live'!$C$22</f>
        <v/>
      </c>
      <c r="R846" t="inlineStr">
        <is>
          <t>shuffled: 9,703 of 10,000</t>
        </is>
      </c>
      <c r="S846" t="inlineStr">
        <is>
          <t>shuffled: 6,481 of 10,000</t>
        </is>
      </c>
      <c r="T846" t="n">
        <v>0.04161775293868856</v>
      </c>
      <c r="U846" t="n">
        <v>0.03674166563254375</v>
      </c>
      <c r="V846">
        <f>AND(judged_band,NOT($J846))</f>
        <v/>
      </c>
      <c r="W846">
        <f>IF($K846="","",IF($I846,"too few losses to test",IF(AND($K846&gt;better_at,$K846&lt;worse_at),"in line",IF($K846&gt;=worse_at,IF(AND(ISNUMBER($L846),$L846&lt;significance_bar),"worse","worse, not significant"),IF(AND(ISNUMBER($L846),$L846&lt;significance_bar),"better","better, not significant")))))</f>
        <v/>
      </c>
      <c r="X846">
        <f>IF($M846="","",IF($I846,"too few losses to test",IF(AND($M846&gt;better_at,$M846&lt;worse_at),"in line",IF($M846&gt;=worse_at,IF(AND(ISNUMBER($N846),$N846&lt;significance_bar),"worse","worse, not significant"),IF(AND(ISNUMBER($N846),$N846&lt;significance_bar),"better","better, not significant")))))</f>
        <v/>
      </c>
      <c r="Y846">
        <f>IF($V846,$X846,$W846)</f>
        <v/>
      </c>
      <c r="Z846">
        <f>IF($V846,IF($P846="","",$P846),IF($O846="","",$O846))</f>
        <v/>
      </c>
      <c r="AA846">
        <f>IF(OR($Q846="",$Z846=""),"",IF(AND($Z846&gt;0,$Z846&gt;=$Q846),"yes","below the line"))</f>
        <v/>
      </c>
      <c r="AB846">
        <f>IF($V846,IF($M846="","",$M846),IF($K846="","",$K846))</f>
        <v/>
      </c>
      <c r="AC846">
        <f>IF($V846,IF($N846="","",$N846),IF($L846="","",$L846))</f>
        <v/>
      </c>
      <c r="AD846">
        <f>$Y846</f>
        <v/>
      </c>
      <c r="AE846">
        <f>IF($V846,IF($S846="","",$S846),IF($R846="","",$R846))</f>
        <v/>
      </c>
      <c r="AF846">
        <f>IF($V846,IF($U846="","",$U846),IF($T846="","",$T846))</f>
        <v/>
      </c>
      <c r="AG846">
        <f>IF($V846,IF($O846="","",$O846),IF($P846="","",$P846))</f>
        <v/>
      </c>
      <c r="AH846" t="n">
        <v>0.04122141030323061</v>
      </c>
      <c r="AI846">
        <f>IF($Y846="worse","Yes",IF($Y846="worse, not significant","Not sure",IF(OR($Y846="too few losses to test",$Y846="too few loans to test"),"Too few losses",IF($Y846="","","No"))))</f>
        <v/>
      </c>
      <c r="AJ846">
        <f>IF($AA846="yes","Yes",IF($AA846="","","No"))</f>
        <v/>
      </c>
    </row>
    <row r="847">
      <c r="A847" t="inlineStr">
        <is>
          <t>three-way</t>
        </is>
      </c>
      <c r="B847" t="inlineStr">
        <is>
          <t>ORIG_BAL x CHANNEL / SYS_FLAG</t>
        </is>
      </c>
      <c r="C847" t="inlineStr">
        <is>
          <t>26,324 - 37,950</t>
        </is>
      </c>
      <c r="D847" t="inlineStr">
        <is>
          <t>Broker / SYS_FLAG Y</t>
        </is>
      </c>
      <c r="E847" t="inlineStr">
        <is>
          <t>ranr_rate</t>
        </is>
      </c>
      <c r="F847" t="inlineStr">
        <is>
          <t>Profit after losses: RANR per booked dollar</t>
        </is>
      </c>
      <c r="G847" t="n">
        <v>248</v>
      </c>
      <c r="H847" t="n">
        <v>8129736.889999999</v>
      </c>
      <c r="I847" t="b">
        <v>0</v>
      </c>
      <c r="J847" t="b">
        <v>0</v>
      </c>
      <c r="K847" t="n">
        <v>-0.006321801544047045</v>
      </c>
      <c r="L847" t="n">
        <v>0.7475021728596372</v>
      </c>
      <c r="M847" t="n">
        <v>-0.01120571039278256</v>
      </c>
      <c r="N847" t="n">
        <v>0.4786477873951736</v>
      </c>
      <c r="O847" t="n">
        <v>51394.5832238982</v>
      </c>
      <c r="P847" t="n">
        <v>91099.47715886077</v>
      </c>
      <c r="Q847">
        <f>'_live'!$C$23</f>
        <v/>
      </c>
      <c r="R847" t="inlineStr">
        <is>
          <t>shuffled: 6,343 of 10,000</t>
        </is>
      </c>
      <c r="S847" t="inlineStr">
        <is>
          <t>shuffled: 3,669 of 10,000</t>
        </is>
      </c>
      <c r="T847" t="n">
        <v>0.1281892006253967</v>
      </c>
      <c r="U847" t="n">
        <v>0.1330731094741322</v>
      </c>
      <c r="V847">
        <f>AND(judged_band,NOT($J847))</f>
        <v/>
      </c>
      <c r="W847">
        <f>IF($K847="","",IF(profit_kind="test",IF(OR(NOT(AND(ISNUMBER($L847),$L847&lt;significance_bar)),$K847=0),"in line",IF($K847&lt;0,"worse","better")),IF(OR($K847=0,IF(profit_kind="points",ABS($K847),ABS($K847*$H847))&lt;profit_line*(1-1E-9)),"in line",IF(AND(ISNUMBER($L847),$L847&lt;significance_bar),IF($K847&lt;0,"worse","better"),IF($K847&lt;0,"worse, not significant","better, not significant")))))</f>
        <v/>
      </c>
      <c r="X847">
        <f>IF($M847="","",IF(profit_kind="test",IF(OR(NOT(AND(ISNUMBER($N847),$N847&lt;significance_bar)),$M847=0),"in line",IF($M847&lt;0,"worse","better")),IF(OR($M847=0,IF(profit_kind="points",ABS($M847),ABS($M847*$H847))&lt;profit_line*(1-1E-9)),"in line",IF(AND(ISNUMBER($N847),$N847&lt;significance_bar),IF($M847&lt;0,"worse","better"),IF($M847&lt;0,"worse, not significant","better, not significant")))))</f>
        <v/>
      </c>
      <c r="Y847">
        <f>IF($V847,$X847,$W847)</f>
        <v/>
      </c>
      <c r="Z847">
        <f>IF($V847,IF($P847="","",$P847),IF($O847="","",$O847))</f>
        <v/>
      </c>
      <c r="AA847">
        <f>IF(OR($Q847="",$Z847=""),"",IF(AND($Z847&gt;0,$Z847&gt;=$Q847),"yes","below the line"))</f>
        <v/>
      </c>
      <c r="AB847">
        <f>IF($V847,IF($M847="","",$M847),IF($K847="","",$K847))</f>
        <v/>
      </c>
      <c r="AC847">
        <f>IF($V847,IF($N847="","",$N847),IF($L847="","",$L847))</f>
        <v/>
      </c>
      <c r="AD847">
        <f>IF($Y847="","",IF($Y847="in line",IF(profit_kind="test",IF(ROUND($AB847*100,2)=0,"0.00",TEXT($AB847*100,"+0.00;-0.00"))&amp;" points against "&amp;IF($V847,"its band","the book")&amp;", "&amp;IF($AC847="","not tested","not significant"),IF(profit_kind="points","within "&amp;TEXT(profit_line*100,"0.00")&amp;" points of "&amp;IF($V847,"its band","the book")&amp;" ("&amp;IF(ROUND($AB847*100,2)=0,"0.00",TEXT($AB847*100,"+0.00;-0.00"))&amp;")","within $"&amp;TEXT(profit_line,"#,##0")&amp;" of "&amp;IF($V847,"its band","the book")&amp;" ("&amp;IF(ROUND($AB847*100,2)=0,"0.00",TEXT($AB847*100,"+0.00;-0.00"))&amp;" points)")),IF(LEFT($Y847,5)="worse","short of ","ahead of ")&amp;IF($V847,"its band","the book")&amp;" by "&amp;TEXT(ABS($AB847)*100,"0.00")&amp;" points"&amp;IF($Z847="",""," ($"&amp;TEXT(ABS($Z847),"#,##0")&amp;")")&amp;IF(RIGHT($Y847,15)="not significant"," (not significant)","")))</f>
        <v/>
      </c>
      <c r="AE847">
        <f>IF($V847,IF($S847="","",$S847),IF($R847="","",$R847))</f>
        <v/>
      </c>
      <c r="AF847">
        <f>IF($V847,IF($U847="","",$U847),IF($T847="","",$T847))</f>
        <v/>
      </c>
      <c r="AG847">
        <f>IF($V847,IF($O847="","",$O847),IF($P847="","",$P847))</f>
        <v/>
      </c>
      <c r="AH847" t="n">
        <v>0.1218673990813496</v>
      </c>
      <c r="AI847">
        <f>IF($Y847="worse","Yes",IF($Y847="worse, not significant","Not sure",IF(OR($Y847="too few losses to test",$Y847="too few loans to test"),"Too few losses",IF($Y847="","","No"))))</f>
        <v/>
      </c>
      <c r="AJ847">
        <f>IF($AA847="yes","Yes",IF($AA847="","","No"))</f>
        <v/>
      </c>
    </row>
    <row r="848">
      <c r="A848" t="inlineStr">
        <is>
          <t>three-way</t>
        </is>
      </c>
      <c r="B848" t="inlineStr">
        <is>
          <t>ORIG_BAL x CHANNEL / SYS_FLAG</t>
        </is>
      </c>
      <c r="C848" t="inlineStr">
        <is>
          <t>26,324 - 37,950</t>
        </is>
      </c>
      <c r="D848" t="inlineStr">
        <is>
          <t>Broker / SYS_FLAG Y</t>
        </is>
      </c>
      <c r="E848" t="inlineStr">
        <is>
          <t>contribution_rate</t>
        </is>
      </c>
      <c r="F848" t="inlineStr">
        <is>
          <t>Contribution before losses per booked dollar</t>
        </is>
      </c>
      <c r="G848" t="n">
        <v>248</v>
      </c>
      <c r="H848" t="n">
        <v>8129736.889999999</v>
      </c>
      <c r="I848" t="b">
        <v>0</v>
      </c>
      <c r="J848" t="b">
        <v>0</v>
      </c>
      <c r="K848" t="n">
        <v>-0.006715223541291587</v>
      </c>
      <c r="L848" t="n">
        <v>0.5619872795329163</v>
      </c>
      <c r="M848" t="n">
        <v>-0.006725965722095717</v>
      </c>
      <c r="N848" t="n">
        <v>0.4777300047773</v>
      </c>
      <c r="O848" t="n">
        <v>54593.00054823468</v>
      </c>
      <c r="P848" t="n">
        <v>54680.33165179705</v>
      </c>
      <c r="Q848">
        <f>'_live'!$C$24</f>
        <v/>
      </c>
      <c r="R848" t="inlineStr">
        <is>
          <t>shuffled: 4,308 of 10,000</t>
        </is>
      </c>
      <c r="S848" t="inlineStr">
        <is>
          <t>shuffled: 4,259 of 10,000</t>
        </is>
      </c>
      <c r="T848" t="n">
        <v>0.1698040329258718</v>
      </c>
      <c r="U848" t="n">
        <v>0.1698147751066759</v>
      </c>
      <c r="V848">
        <f>AND(judged_band,NOT($J848))</f>
        <v/>
      </c>
      <c r="W848">
        <f>IF($K848="","",IF(profit_kind="test",IF(OR(NOT(AND(ISNUMBER($L848),$L848&lt;significance_bar)),$K848=0),"in line",IF($K848&lt;0,"worse","better")),IF(OR($K848=0,IF(profit_kind="points",ABS($K848),ABS($K848*$H848))&lt;profit_line*(1-1E-9)),"in line",IF(AND(ISNUMBER($L848),$L848&lt;significance_bar),IF($K848&lt;0,"worse","better"),IF($K848&lt;0,"worse, not significant","better, not significant")))))</f>
        <v/>
      </c>
      <c r="X848">
        <f>IF($M848="","",IF(profit_kind="test",IF(OR(NOT(AND(ISNUMBER($N848),$N848&lt;significance_bar)),$M848=0),"in line",IF($M848&lt;0,"worse","better")),IF(OR($M848=0,IF(profit_kind="points",ABS($M848),ABS($M848*$H848))&lt;profit_line*(1-1E-9)),"in line",IF(AND(ISNUMBER($N848),$N848&lt;significance_bar),IF($M848&lt;0,"worse","better"),IF($M848&lt;0,"worse, not significant","better, not significant")))))</f>
        <v/>
      </c>
      <c r="Y848">
        <f>IF($V848,$X848,$W848)</f>
        <v/>
      </c>
      <c r="Z848">
        <f>IF($V848,IF($P848="","",$P848),IF($O848="","",$O848))</f>
        <v/>
      </c>
      <c r="AA848">
        <f>IF(OR($Q848="",$Z848=""),"",IF(AND($Z848&gt;0,$Z848&gt;=$Q848),"yes","below the line"))</f>
        <v/>
      </c>
      <c r="AB848">
        <f>IF($V848,IF($M848="","",$M848),IF($K848="","",$K848))</f>
        <v/>
      </c>
      <c r="AC848">
        <f>IF($V848,IF($N848="","",$N848),IF($L848="","",$L848))</f>
        <v/>
      </c>
      <c r="AD848">
        <f>IF($Y848="","",IF($Y848="in line",IF(profit_kind="test",IF(ROUND($AB848*100,2)=0,"0.00",TEXT($AB848*100,"+0.00;-0.00"))&amp;" points against "&amp;IF($V848,"its band","the book")&amp;", "&amp;IF($AC848="","not tested","not significant"),IF(profit_kind="points","within "&amp;TEXT(profit_line*100,"0.00")&amp;" points of "&amp;IF($V848,"its band","the book")&amp;" ("&amp;IF(ROUND($AB848*100,2)=0,"0.00",TEXT($AB848*100,"+0.00;-0.00"))&amp;")","within $"&amp;TEXT(profit_line,"#,##0")&amp;" of "&amp;IF($V848,"its band","the book")&amp;" ("&amp;IF(ROUND($AB848*100,2)=0,"0.00",TEXT($AB848*100,"+0.00;-0.00"))&amp;" points)")),IF(LEFT($Y848,5)="worse","short of ","ahead of ")&amp;IF($V848,"its band","the book")&amp;" by "&amp;TEXT(ABS($AB848)*100,"0.00")&amp;" points"&amp;IF($Z848="",""," ($"&amp;TEXT(ABS($Z848),"#,##0")&amp;")")&amp;IF(RIGHT($Y848,15)="not significant"," (not significant)","")))</f>
        <v/>
      </c>
      <c r="AE848">
        <f>IF($V848,IF($S848="","",$S848),IF($R848="","",$R848))</f>
        <v/>
      </c>
      <c r="AF848">
        <f>IF($V848,IF($U848="","",$U848),IF($T848="","",$T848))</f>
        <v/>
      </c>
      <c r="AG848">
        <f>IF($V848,IF($O848="","",$O848),IF($P848="","",$P848))</f>
        <v/>
      </c>
      <c r="AH848" t="n">
        <v>0.1630888093845802</v>
      </c>
      <c r="AI848">
        <f>IF($Y848="worse","Yes",IF($Y848="worse, not significant","Not sure",IF(OR($Y848="too few losses to test",$Y848="too few loans to test"),"Too few losses",IF($Y848="","","No"))))</f>
        <v/>
      </c>
      <c r="AJ848">
        <f>IF($AA848="yes","Yes",IF($AA848="","","No"))</f>
        <v/>
      </c>
    </row>
    <row r="849">
      <c r="A849" t="inlineStr">
        <is>
          <t>three-way</t>
        </is>
      </c>
      <c r="B849" t="inlineStr">
        <is>
          <t>ORIG_BAL x CHANNEL / SYS_FLAG</t>
        </is>
      </c>
      <c r="C849" t="inlineStr">
        <is>
          <t>37,951 - 49,151</t>
        </is>
      </c>
      <c r="D849" t="inlineStr">
        <is>
          <t>Branch / SYS_FLAG N</t>
        </is>
      </c>
      <c r="E849" t="inlineStr">
        <is>
          <t>outcome_loans</t>
        </is>
      </c>
      <c r="F849" t="inlineStr">
        <is>
          <t>Outcome, share of loans</t>
        </is>
      </c>
      <c r="G849" t="n">
        <v>269</v>
      </c>
      <c r="H849" t="n">
        <v>269</v>
      </c>
      <c r="I849" t="b">
        <v>0</v>
      </c>
      <c r="J849" t="b">
        <v>0</v>
      </c>
      <c r="K849" t="n">
        <v>0.9099752168525405</v>
      </c>
      <c r="L849" t="n">
        <v>0.7855005659686514</v>
      </c>
      <c r="M849" t="n">
        <v>0.8174882818813641</v>
      </c>
      <c r="N849" t="n">
        <v>0.5522400726694103</v>
      </c>
      <c r="O849" t="n">
        <v>-1.879689521345405</v>
      </c>
      <c r="P849" t="n">
        <v>-4.241923365890308</v>
      </c>
      <c r="Q849">
        <f>'_live'!$C$20</f>
        <v/>
      </c>
      <c r="R849" t="inlineStr">
        <is>
          <t>z test</t>
        </is>
      </c>
      <c r="S849" t="inlineStr">
        <is>
          <t>z test</t>
        </is>
      </c>
      <c r="T849" t="n">
        <v>0.07761966364812418</v>
      </c>
      <c r="U849" t="n">
        <v>0.08640120210368145</v>
      </c>
      <c r="V849">
        <f>AND(judged_band,NOT($J849))</f>
        <v/>
      </c>
      <c r="W849">
        <f>IF($K849="","",IF($I849,"too few losses to test",IF(AND($K849&gt;better_at,$K849&lt;worse_at),"in line",IF($K849&gt;=worse_at,IF(AND(ISNUMBER($L849),$L849&lt;significance_bar),"worse","worse, not significant"),IF(AND(ISNUMBER($L849),$L849&lt;significance_bar),"better","better, not significant")))))</f>
        <v/>
      </c>
      <c r="X849">
        <f>IF($M849="","",IF($I849,"too few losses to test",IF(AND($M849&gt;better_at,$M849&lt;worse_at),"in line",IF($M849&gt;=worse_at,IF(AND(ISNUMBER($N849),$N849&lt;significance_bar),"worse","worse, not significant"),IF(AND(ISNUMBER($N849),$N849&lt;significance_bar),"better","better, not significant")))))</f>
        <v/>
      </c>
      <c r="Y849">
        <f>IF($V849,$X849,$W849)</f>
        <v/>
      </c>
      <c r="Z849">
        <f>IF($V849,IF($P849="","",$P849),IF($O849="","",$O849))</f>
        <v/>
      </c>
      <c r="AA849">
        <f>IF(OR($Q849="",$Z849=""),"",IF(AND($Z849&gt;0,$Z849&gt;=$Q849),"yes","below the line"))</f>
        <v/>
      </c>
      <c r="AB849">
        <f>IF($V849,IF($M849="","",$M849),IF($K849="","",$K849))</f>
        <v/>
      </c>
      <c r="AC849">
        <f>IF($V849,IF($N849="","",$N849),IF($L849="","",$L849))</f>
        <v/>
      </c>
      <c r="AD849">
        <f>$Y849</f>
        <v/>
      </c>
      <c r="AE849">
        <f>IF($V849,IF($S849="","",$S849),IF($R849="","",$R849))</f>
        <v/>
      </c>
      <c r="AF849">
        <f>IF($V849,IF($U849="","",$U849),IF($T849="","",$T849))</f>
        <v/>
      </c>
      <c r="AG849">
        <f>IF($V849,IF($O849="","",$O849),IF($P849="","",$P849))</f>
        <v/>
      </c>
      <c r="AH849" t="n">
        <v>0.07063197026022305</v>
      </c>
      <c r="AI849">
        <f>IF($Y849="worse","Yes",IF($Y849="worse, not significant","Not sure",IF(OR($Y849="too few losses to test",$Y849="too few loans to test"),"Too few losses",IF($Y849="","","No"))))</f>
        <v/>
      </c>
      <c r="AJ849">
        <f>IF($AA849="yes","Yes",IF($AA849="","","No"))</f>
        <v/>
      </c>
    </row>
    <row r="850">
      <c r="A850" t="inlineStr">
        <is>
          <t>three-way</t>
        </is>
      </c>
      <c r="B850" t="inlineStr">
        <is>
          <t>ORIG_BAL x CHANNEL / SYS_FLAG</t>
        </is>
      </c>
      <c r="C850" t="inlineStr">
        <is>
          <t>37,951 - 49,151</t>
        </is>
      </c>
      <c r="D850" t="inlineStr">
        <is>
          <t>Branch / SYS_FLAG N</t>
        </is>
      </c>
      <c r="E850" t="inlineStr">
        <is>
          <t>outcome_booked</t>
        </is>
      </c>
      <c r="F850" t="inlineStr">
        <is>
          <t>Outcome, share of booked dollars</t>
        </is>
      </c>
      <c r="G850" t="n">
        <v>269</v>
      </c>
      <c r="H850" t="n">
        <v>11760549.44999999</v>
      </c>
      <c r="I850" t="b">
        <v>0</v>
      </c>
      <c r="J850" t="b">
        <v>0</v>
      </c>
      <c r="K850" t="n">
        <v>0.9410368427849544</v>
      </c>
      <c r="L850" t="n">
        <v>0.8386716883867168</v>
      </c>
      <c r="M850" t="n">
        <v>0.8246190263516815</v>
      </c>
      <c r="N850" t="n">
        <v>0.622864029386535</v>
      </c>
      <c r="O850" t="n">
        <v>-52029.08929537795</v>
      </c>
      <c r="P850" t="n">
        <v>-176604.2891049206</v>
      </c>
      <c r="Q850">
        <f>'_live'!$C$21</f>
        <v/>
      </c>
      <c r="R850" t="inlineStr">
        <is>
          <t>shuffled: 8,087 of 10,000</t>
        </is>
      </c>
      <c r="S850" t="inlineStr">
        <is>
          <t>shuffled: 4,226 of 10,000</t>
        </is>
      </c>
      <c r="T850" t="n">
        <v>0.07503050712442509</v>
      </c>
      <c r="U850" t="n">
        <v>0.08562314145151792</v>
      </c>
      <c r="V850">
        <f>AND(judged_band,NOT($J850))</f>
        <v/>
      </c>
      <c r="W850">
        <f>IF($K850="","",IF($I850,"too few losses to test",IF(AND($K850&gt;better_at,$K850&lt;worse_at),"in line",IF($K850&gt;=worse_at,IF(AND(ISNUMBER($L850),$L850&lt;significance_bar),"worse","worse, not significant"),IF(AND(ISNUMBER($L850),$L850&lt;significance_bar),"better","better, not significant")))))</f>
        <v/>
      </c>
      <c r="X850">
        <f>IF($M850="","",IF($I850,"too few losses to test",IF(AND($M850&gt;better_at,$M850&lt;worse_at),"in line",IF($M850&gt;=worse_at,IF(AND(ISNUMBER($N850),$N850&lt;significance_bar),"worse","worse, not significant"),IF(AND(ISNUMBER($N850),$N850&lt;significance_bar),"better","better, not significant")))))</f>
        <v/>
      </c>
      <c r="Y850">
        <f>IF($V850,$X850,$W850)</f>
        <v/>
      </c>
      <c r="Z850">
        <f>IF($V850,IF($P850="","",$P850),IF($O850="","",$O850))</f>
        <v/>
      </c>
      <c r="AA850">
        <f>IF(OR($Q850="",$Z850=""),"",IF(AND($Z850&gt;0,$Z850&gt;=$Q850),"yes","below the line"))</f>
        <v/>
      </c>
      <c r="AB850">
        <f>IF($V850,IF($M850="","",$M850),IF($K850="","",$K850))</f>
        <v/>
      </c>
      <c r="AC850">
        <f>IF($V850,IF($N850="","",$N850),IF($L850="","",$L850))</f>
        <v/>
      </c>
      <c r="AD850">
        <f>$Y850</f>
        <v/>
      </c>
      <c r="AE850">
        <f>IF($V850,IF($S850="","",$S850),IF($R850="","",$R850))</f>
        <v/>
      </c>
      <c r="AF850">
        <f>IF($V850,IF($U850="","",$U850),IF($T850="","",$T850))</f>
        <v/>
      </c>
      <c r="AG850">
        <f>IF($V850,IF($O850="","",$O850),IF($P850="","",$P850))</f>
        <v/>
      </c>
      <c r="AH850" t="n">
        <v>0.07060647153692301</v>
      </c>
      <c r="AI850">
        <f>IF($Y850="worse","Yes",IF($Y850="worse, not significant","Not sure",IF(OR($Y850="too few losses to test",$Y850="too few loans to test"),"Too few losses",IF($Y850="","","No"))))</f>
        <v/>
      </c>
      <c r="AJ850">
        <f>IF($AA850="yes","Yes",IF($AA850="","","No"))</f>
        <v/>
      </c>
    </row>
    <row r="851">
      <c r="A851" t="inlineStr">
        <is>
          <t>three-way</t>
        </is>
      </c>
      <c r="B851" t="inlineStr">
        <is>
          <t>ORIG_BAL x CHANNEL / SYS_FLAG</t>
        </is>
      </c>
      <c r="C851" t="inlineStr">
        <is>
          <t>37,951 - 49,151</t>
        </is>
      </c>
      <c r="D851" t="inlineStr">
        <is>
          <t>Branch / SYS_FLAG N</t>
        </is>
      </c>
      <c r="E851" t="inlineStr">
        <is>
          <t>gco_rate</t>
        </is>
      </c>
      <c r="F851" t="inlineStr">
        <is>
          <t>GCO per booked dollar</t>
        </is>
      </c>
      <c r="G851" t="n">
        <v>268</v>
      </c>
      <c r="H851" t="n">
        <v>11720865.01999999</v>
      </c>
      <c r="I851" t="b">
        <v>0</v>
      </c>
      <c r="J851" t="b">
        <v>0</v>
      </c>
      <c r="K851" t="n">
        <v>0.9752716767170218</v>
      </c>
      <c r="L851" t="n">
        <v>0.9822017798220178</v>
      </c>
      <c r="M851" t="n">
        <v>0.8461380484466625</v>
      </c>
      <c r="N851" t="n">
        <v>0.7044095590440955</v>
      </c>
      <c r="O851" t="n">
        <v>-12072.31994706014</v>
      </c>
      <c r="P851" t="n">
        <v>-86578.82570450782</v>
      </c>
      <c r="Q851">
        <f>'_live'!$C$22</f>
        <v/>
      </c>
      <c r="R851" t="inlineStr">
        <is>
          <t>shuffled: 9,196 of 10,000</t>
        </is>
      </c>
      <c r="S851" t="inlineStr">
        <is>
          <t>shuffled: 4,932 of 10,000</t>
        </is>
      </c>
      <c r="T851" t="n">
        <v>0.0416520520553747</v>
      </c>
      <c r="U851" t="n">
        <v>0.04800879327117344</v>
      </c>
      <c r="V851">
        <f>AND(judged_band,NOT($J851))</f>
        <v/>
      </c>
      <c r="W851">
        <f>IF($K851="","",IF($I851,"too few losses to test",IF(AND($K851&gt;better_at,$K851&lt;worse_at),"in line",IF($K851&gt;=worse_at,IF(AND(ISNUMBER($L851),$L851&lt;significance_bar),"worse","worse, not significant"),IF(AND(ISNUMBER($L851),$L851&lt;significance_bar),"better","better, not significant")))))</f>
        <v/>
      </c>
      <c r="X851">
        <f>IF($M851="","",IF($I851,"too few losses to test",IF(AND($M851&gt;better_at,$M851&lt;worse_at),"in line",IF($M851&gt;=worse_at,IF(AND(ISNUMBER($N851),$N851&lt;significance_bar),"worse","worse, not significant"),IF(AND(ISNUMBER($N851),$N851&lt;significance_bar),"better","better, not significant")))))</f>
        <v/>
      </c>
      <c r="Y851">
        <f>IF($V851,$X851,$W851)</f>
        <v/>
      </c>
      <c r="Z851">
        <f>IF($V851,IF($P851="","",$P851),IF($O851="","",$O851))</f>
        <v/>
      </c>
      <c r="AA851">
        <f>IF(OR($Q851="",$Z851=""),"",IF(AND($Z851&gt;0,$Z851&gt;=$Q851),"yes","below the line"))</f>
        <v/>
      </c>
      <c r="AB851">
        <f>IF($V851,IF($M851="","",$M851),IF($K851="","",$K851))</f>
        <v/>
      </c>
      <c r="AC851">
        <f>IF($V851,IF($N851="","",$N851),IF($L851="","",$L851))</f>
        <v/>
      </c>
      <c r="AD851">
        <f>$Y851</f>
        <v/>
      </c>
      <c r="AE851">
        <f>IF($V851,IF($S851="","",$S851),IF($R851="","",$R851))</f>
        <v/>
      </c>
      <c r="AF851">
        <f>IF($V851,IF($U851="","",$U851),IF($T851="","",$T851))</f>
        <v/>
      </c>
      <c r="AG851">
        <f>IF($V851,IF($O851="","",$O851),IF($P851="","",$P851))</f>
        <v/>
      </c>
      <c r="AH851" t="n">
        <v>0.04062206664674996</v>
      </c>
      <c r="AI851">
        <f>IF($Y851="worse","Yes",IF($Y851="worse, not significant","Not sure",IF(OR($Y851="too few losses to test",$Y851="too few loans to test"),"Too few losses",IF($Y851="","","No"))))</f>
        <v/>
      </c>
      <c r="AJ851">
        <f>IF($AA851="yes","Yes",IF($AA851="","","No"))</f>
        <v/>
      </c>
    </row>
    <row r="852">
      <c r="A852" t="inlineStr">
        <is>
          <t>three-way</t>
        </is>
      </c>
      <c r="B852" t="inlineStr">
        <is>
          <t>ORIG_BAL x CHANNEL / SYS_FLAG</t>
        </is>
      </c>
      <c r="C852" t="inlineStr">
        <is>
          <t>37,951 - 49,151</t>
        </is>
      </c>
      <c r="D852" t="inlineStr">
        <is>
          <t>Branch / SYS_FLAG N</t>
        </is>
      </c>
      <c r="E852" t="inlineStr">
        <is>
          <t>ranr_rate</t>
        </is>
      </c>
      <c r="F852" t="inlineStr">
        <is>
          <t>Profit after losses: RANR per booked dollar</t>
        </is>
      </c>
      <c r="G852" t="n">
        <v>269</v>
      </c>
      <c r="H852" t="n">
        <v>11760549.44999999</v>
      </c>
      <c r="I852" t="b">
        <v>0</v>
      </c>
      <c r="J852" t="b">
        <v>0</v>
      </c>
      <c r="K852" t="n">
        <v>-0.01626050082227441</v>
      </c>
      <c r="L852" t="n">
        <v>0.4287428400017141</v>
      </c>
      <c r="M852" t="n">
        <v>-0.0119792419606698</v>
      </c>
      <c r="N852" t="n">
        <v>0.4786477873951736</v>
      </c>
      <c r="O852" t="n">
        <v>191232.4240021238</v>
      </c>
      <c r="P852" t="n">
        <v>140882.467451972</v>
      </c>
      <c r="Q852">
        <f>'_live'!$C$23</f>
        <v/>
      </c>
      <c r="R852" t="inlineStr">
        <is>
          <t>shuffled: 2,000 of 10,000</t>
        </is>
      </c>
      <c r="S852" t="inlineStr">
        <is>
          <t>shuffled: 3,637 of 10,000</t>
        </is>
      </c>
      <c r="T852" t="n">
        <v>0.1287310640067183</v>
      </c>
      <c r="U852" t="n">
        <v>0.1244498051451137</v>
      </c>
      <c r="V852">
        <f>AND(judged_band,NOT($J852))</f>
        <v/>
      </c>
      <c r="W852">
        <f>IF($K852="","",IF(profit_kind="test",IF(OR(NOT(AND(ISNUMBER($L852),$L852&lt;significance_bar)),$K852=0),"in line",IF($K852&lt;0,"worse","better")),IF(OR($K852=0,IF(profit_kind="points",ABS($K852),ABS($K852*$H852))&lt;profit_line*(1-1E-9)),"in line",IF(AND(ISNUMBER($L852),$L852&lt;significance_bar),IF($K852&lt;0,"worse","better"),IF($K852&lt;0,"worse, not significant","better, not significant")))))</f>
        <v/>
      </c>
      <c r="X852">
        <f>IF($M852="","",IF(profit_kind="test",IF(OR(NOT(AND(ISNUMBER($N852),$N852&lt;significance_bar)),$M852=0),"in line",IF($M852&lt;0,"worse","better")),IF(OR($M852=0,IF(profit_kind="points",ABS($M852),ABS($M852*$H852))&lt;profit_line*(1-1E-9)),"in line",IF(AND(ISNUMBER($N852),$N852&lt;significance_bar),IF($M852&lt;0,"worse","better"),IF($M852&lt;0,"worse, not significant","better, not significant")))))</f>
        <v/>
      </c>
      <c r="Y852">
        <f>IF($V852,$X852,$W852)</f>
        <v/>
      </c>
      <c r="Z852">
        <f>IF($V852,IF($P852="","",$P852),IF($O852="","",$O852))</f>
        <v/>
      </c>
      <c r="AA852">
        <f>IF(OR($Q852="",$Z852=""),"",IF(AND($Z852&gt;0,$Z852&gt;=$Q852),"yes","below the line"))</f>
        <v/>
      </c>
      <c r="AB852">
        <f>IF($V852,IF($M852="","",$M852),IF($K852="","",$K852))</f>
        <v/>
      </c>
      <c r="AC852">
        <f>IF($V852,IF($N852="","",$N852),IF($L852="","",$L852))</f>
        <v/>
      </c>
      <c r="AD852">
        <f>IF($Y852="","",IF($Y852="in line",IF(profit_kind="test",IF(ROUND($AB852*100,2)=0,"0.00",TEXT($AB852*100,"+0.00;-0.00"))&amp;" points against "&amp;IF($V852,"its band","the book")&amp;", "&amp;IF($AC852="","not tested","not significant"),IF(profit_kind="points","within "&amp;TEXT(profit_line*100,"0.00")&amp;" points of "&amp;IF($V852,"its band","the book")&amp;" ("&amp;IF(ROUND($AB852*100,2)=0,"0.00",TEXT($AB852*100,"+0.00;-0.00"))&amp;")","within $"&amp;TEXT(profit_line,"#,##0")&amp;" of "&amp;IF($V852,"its band","the book")&amp;" ("&amp;IF(ROUND($AB852*100,2)=0,"0.00",TEXT($AB852*100,"+0.00;-0.00"))&amp;" points)")),IF(LEFT($Y852,5)="worse","short of ","ahead of ")&amp;IF($V852,"its band","the book")&amp;" by "&amp;TEXT(ABS($AB852)*100,"0.00")&amp;" points"&amp;IF($Z852="",""," ($"&amp;TEXT(ABS($Z852),"#,##0")&amp;")")&amp;IF(RIGHT($Y852,15)="not significant"," (not significant)","")))</f>
        <v/>
      </c>
      <c r="AE852">
        <f>IF($V852,IF($S852="","",$S852),IF($R852="","",$R852))</f>
        <v/>
      </c>
      <c r="AF852">
        <f>IF($V852,IF($U852="","",$U852),IF($T852="","",$T852))</f>
        <v/>
      </c>
      <c r="AG852">
        <f>IF($V852,IF($O852="","",$O852),IF($P852="","",$P852))</f>
        <v/>
      </c>
      <c r="AH852" t="n">
        <v>0.1124705631844439</v>
      </c>
      <c r="AI852">
        <f>IF($Y852="worse","Yes",IF($Y852="worse, not significant","Not sure",IF(OR($Y852="too few losses to test",$Y852="too few loans to test"),"Too few losses",IF($Y852="","","No"))))</f>
        <v/>
      </c>
      <c r="AJ852">
        <f>IF($AA852="yes","Yes",IF($AA852="","","No"))</f>
        <v/>
      </c>
    </row>
    <row r="853">
      <c r="A853" t="inlineStr">
        <is>
          <t>three-way</t>
        </is>
      </c>
      <c r="B853" t="inlineStr">
        <is>
          <t>ORIG_BAL x CHANNEL / SYS_FLAG</t>
        </is>
      </c>
      <c r="C853" t="inlineStr">
        <is>
          <t>37,951 - 49,151</t>
        </is>
      </c>
      <c r="D853" t="inlineStr">
        <is>
          <t>Branch / SYS_FLAG N</t>
        </is>
      </c>
      <c r="E853" t="inlineStr">
        <is>
          <t>contribution_rate</t>
        </is>
      </c>
      <c r="F853" t="inlineStr">
        <is>
          <t>Contribution before losses per booked dollar</t>
        </is>
      </c>
      <c r="G853" t="n">
        <v>268</v>
      </c>
      <c r="H853" t="n">
        <v>11720865.01999999</v>
      </c>
      <c r="I853" t="b">
        <v>0</v>
      </c>
      <c r="J853" t="b">
        <v>0</v>
      </c>
      <c r="K853" t="n">
        <v>-0.01740597683726086</v>
      </c>
      <c r="L853" t="n">
        <v>0.1368613138686131</v>
      </c>
      <c r="M853" t="n">
        <v>-0.01948145919145522</v>
      </c>
      <c r="N853" t="n">
        <v>0.0953904609539046</v>
      </c>
      <c r="O853" t="n">
        <v>204013.105050781</v>
      </c>
      <c r="P853" t="n">
        <v>228339.553575685</v>
      </c>
      <c r="Q853">
        <f>'_live'!$C$24</f>
        <v/>
      </c>
      <c r="R853" t="inlineStr">
        <is>
          <t>shuffled: 364 of 10,000</t>
        </is>
      </c>
      <c r="S853" t="inlineStr">
        <is>
          <t>shuffled: 158 of 10,000</t>
        </is>
      </c>
      <c r="T853" t="n">
        <v>0.1703831160620928</v>
      </c>
      <c r="U853" t="n">
        <v>0.1724585984162872</v>
      </c>
      <c r="V853">
        <f>AND(judged_band,NOT($J853))</f>
        <v/>
      </c>
      <c r="W853">
        <f>IF($K853="","",IF(profit_kind="test",IF(OR(NOT(AND(ISNUMBER($L853),$L853&lt;significance_bar)),$K853=0),"in line",IF($K853&lt;0,"worse","better")),IF(OR($K853=0,IF(profit_kind="points",ABS($K853),ABS($K853*$H853))&lt;profit_line*(1-1E-9)),"in line",IF(AND(ISNUMBER($L853),$L853&lt;significance_bar),IF($K853&lt;0,"worse","better"),IF($K853&lt;0,"worse, not significant","better, not significant")))))</f>
        <v/>
      </c>
      <c r="X853">
        <f>IF($M853="","",IF(profit_kind="test",IF(OR(NOT(AND(ISNUMBER($N853),$N853&lt;significance_bar)),$M853=0),"in line",IF($M853&lt;0,"worse","better")),IF(OR($M853=0,IF(profit_kind="points",ABS($M853),ABS($M853*$H853))&lt;profit_line*(1-1E-9)),"in line",IF(AND(ISNUMBER($N853),$N853&lt;significance_bar),IF($M853&lt;0,"worse","better"),IF($M853&lt;0,"worse, not significant","better, not significant")))))</f>
        <v/>
      </c>
      <c r="Y853">
        <f>IF($V853,$X853,$W853)</f>
        <v/>
      </c>
      <c r="Z853">
        <f>IF($V853,IF($P853="","",$P853),IF($O853="","",$O853))</f>
        <v/>
      </c>
      <c r="AA853">
        <f>IF(OR($Q853="",$Z853=""),"",IF(AND($Z853&gt;0,$Z853&gt;=$Q853),"yes","below the line"))</f>
        <v/>
      </c>
      <c r="AB853">
        <f>IF($V853,IF($M853="","",$M853),IF($K853="","",$K853))</f>
        <v/>
      </c>
      <c r="AC853">
        <f>IF($V853,IF($N853="","",$N853),IF($L853="","",$L853))</f>
        <v/>
      </c>
      <c r="AD853">
        <f>IF($Y853="","",IF($Y853="in line",IF(profit_kind="test",IF(ROUND($AB853*100,2)=0,"0.00",TEXT($AB853*100,"+0.00;-0.00"))&amp;" points against "&amp;IF($V853,"its band","the book")&amp;", "&amp;IF($AC853="","not tested","not significant"),IF(profit_kind="points","within "&amp;TEXT(profit_line*100,"0.00")&amp;" points of "&amp;IF($V853,"its band","the book")&amp;" ("&amp;IF(ROUND($AB853*100,2)=0,"0.00",TEXT($AB853*100,"+0.00;-0.00"))&amp;")","within $"&amp;TEXT(profit_line,"#,##0")&amp;" of "&amp;IF($V853,"its band","the book")&amp;" ("&amp;IF(ROUND($AB853*100,2)=0,"0.00",TEXT($AB853*100,"+0.00;-0.00"))&amp;" points)")),IF(LEFT($Y853,5)="worse","short of ","ahead of ")&amp;IF($V853,"its band","the book")&amp;" by "&amp;TEXT(ABS($AB853)*100,"0.00")&amp;" points"&amp;IF($Z853="",""," ($"&amp;TEXT(ABS($Z853),"#,##0")&amp;")")&amp;IF(RIGHT($Y853,15)="not significant"," (not significant)","")))</f>
        <v/>
      </c>
      <c r="AE853">
        <f>IF($V853,IF($S853="","",$S853),IF($R853="","",$R853))</f>
        <v/>
      </c>
      <c r="AF853">
        <f>IF($V853,IF($U853="","",$U853),IF($T853="","",$T853))</f>
        <v/>
      </c>
      <c r="AG853">
        <f>IF($V853,IF($O853="","",$O853),IF($P853="","",$P853))</f>
        <v/>
      </c>
      <c r="AH853" t="n">
        <v>0.1529771392248319</v>
      </c>
      <c r="AI853">
        <f>IF($Y853="worse","Yes",IF($Y853="worse, not significant","Not sure",IF(OR($Y853="too few losses to test",$Y853="too few loans to test"),"Too few losses",IF($Y853="","","No"))))</f>
        <v/>
      </c>
      <c r="AJ853">
        <f>IF($AA853="yes","Yes",IF($AA853="","","No"))</f>
        <v/>
      </c>
    </row>
    <row r="854">
      <c r="A854" t="inlineStr">
        <is>
          <t>three-way</t>
        </is>
      </c>
      <c r="B854" t="inlineStr">
        <is>
          <t>ORIG_BAL x CHANNEL / SYS_FLAG</t>
        </is>
      </c>
      <c r="C854" t="inlineStr">
        <is>
          <t>(blank)</t>
        </is>
      </c>
      <c r="D854" t="inlineStr">
        <is>
          <t>Branch / SYS_FLAG Y</t>
        </is>
      </c>
      <c r="E854" t="inlineStr">
        <is>
          <t>outcome_loans</t>
        </is>
      </c>
      <c r="F854" t="inlineStr">
        <is>
          <t>Outcome, share of loans</t>
        </is>
      </c>
      <c r="G854" t="n">
        <v>1</v>
      </c>
      <c r="H854" t="n">
        <v>1</v>
      </c>
      <c r="I854" t="b">
        <v>1</v>
      </c>
      <c r="J854" t="b">
        <v>1</v>
      </c>
      <c r="K854" t="n">
        <v>0</v>
      </c>
      <c r="O854" t="n">
        <v>-0.07739434858714679</v>
      </c>
      <c r="Q854">
        <f>'_live'!$C$20</f>
        <v/>
      </c>
      <c r="T854" t="n">
        <v>0.07739434858714679</v>
      </c>
      <c r="V854">
        <f>AND(judged_band,NOT($J854))</f>
        <v/>
      </c>
      <c r="W854">
        <f>IF($K854="","",IF($I854,"too few losses to test",IF(AND($K854&gt;better_at,$K854&lt;worse_at),"in line",IF($K854&gt;=worse_at,IF(AND(ISNUMBER($L854),$L854&lt;significance_bar),"worse","worse, not significant"),IF(AND(ISNUMBER($L854),$L854&lt;significance_bar),"better","better, not significant")))))</f>
        <v/>
      </c>
      <c r="X854">
        <f>IF($M854="","",IF($I854,"too few losses to test",IF(AND($M854&gt;better_at,$M854&lt;worse_at),"in line",IF($M854&gt;=worse_at,IF(AND(ISNUMBER($N854),$N854&lt;significance_bar),"worse","worse, not significant"),IF(AND(ISNUMBER($N854),$N854&lt;significance_bar),"better","better, not significant")))))</f>
        <v/>
      </c>
      <c r="Y854">
        <f>IF($V854,$X854,$W854)</f>
        <v/>
      </c>
      <c r="Z854">
        <f>IF($V854,IF($P854="","",$P854),IF($O854="","",$O854))</f>
        <v/>
      </c>
      <c r="AA854">
        <f>IF(OR($Q854="",$Z854=""),"",IF(AND($Z854&gt;0,$Z854&gt;=$Q854),"yes","below the line"))</f>
        <v/>
      </c>
      <c r="AB854">
        <f>IF($V854,IF($M854="","",$M854),IF($K854="","",$K854))</f>
        <v/>
      </c>
      <c r="AC854">
        <f>IF($V854,IF($N854="","",$N854),IF($L854="","",$L854))</f>
        <v/>
      </c>
      <c r="AD854">
        <f>$Y854</f>
        <v/>
      </c>
      <c r="AE854">
        <f>IF($V854,IF($S854="","",$S854),IF($R854="","",$R854))</f>
        <v/>
      </c>
      <c r="AF854">
        <f>IF($V854,IF($U854="","",$U854),IF($T854="","",$T854))</f>
        <v/>
      </c>
      <c r="AG854">
        <f>IF($V854,IF($O854="","",$O854),IF($P854="","",$P854))</f>
        <v/>
      </c>
      <c r="AH854" t="n">
        <v>0</v>
      </c>
      <c r="AI854">
        <f>IF($Y854="worse","Yes",IF($Y854="worse, not significant","Not sure",IF(OR($Y854="too few losses to test",$Y854="too few loans to test"),"Too few losses",IF($Y854="","","No"))))</f>
        <v/>
      </c>
      <c r="AJ854">
        <f>IF($AA854="yes","Yes",IF($AA854="","","No"))</f>
        <v/>
      </c>
    </row>
    <row r="855">
      <c r="A855" t="inlineStr">
        <is>
          <t>three-way</t>
        </is>
      </c>
      <c r="B855" t="inlineStr">
        <is>
          <t>ORIG_BAL x CHANNEL / SYS_FLAG</t>
        </is>
      </c>
      <c r="C855" t="inlineStr">
        <is>
          <t>(blank)</t>
        </is>
      </c>
      <c r="D855" t="inlineStr">
        <is>
          <t>Branch / SYS_FLAG Y</t>
        </is>
      </c>
      <c r="E855" t="inlineStr">
        <is>
          <t>outcome_booked</t>
        </is>
      </c>
      <c r="F855" t="inlineStr">
        <is>
          <t>Outcome, share of booked dollars</t>
        </is>
      </c>
      <c r="G855" t="n">
        <v>0</v>
      </c>
      <c r="H855" t="n">
        <v>0</v>
      </c>
      <c r="I855" t="b">
        <v>1</v>
      </c>
      <c r="J855" t="b">
        <v>1</v>
      </c>
      <c r="O855" t="n">
        <v>0</v>
      </c>
      <c r="Q855">
        <f>'_live'!$C$21</f>
        <v/>
      </c>
      <c r="R855" t="inlineStr"/>
      <c r="S855" t="inlineStr"/>
      <c r="T855" t="n">
        <v>0.07482886857347235</v>
      </c>
      <c r="V855">
        <f>AND(judged_band,NOT($J855))</f>
        <v/>
      </c>
      <c r="W855">
        <f>IF($K855="","",IF($I855,"too few losses to test",IF(AND($K855&gt;better_at,$K855&lt;worse_at),"in line",IF($K855&gt;=worse_at,IF(AND(ISNUMBER($L855),$L855&lt;significance_bar),"worse","worse, not significant"),IF(AND(ISNUMBER($L855),$L855&lt;significance_bar),"better","better, not significant")))))</f>
        <v/>
      </c>
      <c r="X855">
        <f>IF($M855="","",IF($I855,"too few losses to test",IF(AND($M855&gt;better_at,$M855&lt;worse_at),"in line",IF($M855&gt;=worse_at,IF(AND(ISNUMBER($N855),$N855&lt;significance_bar),"worse","worse, not significant"),IF(AND(ISNUMBER($N855),$N855&lt;significance_bar),"better","better, not significant")))))</f>
        <v/>
      </c>
      <c r="Y855">
        <f>IF($V855,$X855,$W855)</f>
        <v/>
      </c>
      <c r="Z855">
        <f>IF($V855,IF($P855="","",$P855),IF($O855="","",$O855))</f>
        <v/>
      </c>
      <c r="AA855">
        <f>IF(OR($Q855="",$Z855=""),"",IF(AND($Z855&gt;0,$Z855&gt;=$Q855),"yes","below the line"))</f>
        <v/>
      </c>
      <c r="AB855">
        <f>IF($V855,IF($M855="","",$M855),IF($K855="","",$K855))</f>
        <v/>
      </c>
      <c r="AC855">
        <f>IF($V855,IF($N855="","",$N855),IF($L855="","",$L855))</f>
        <v/>
      </c>
      <c r="AD855">
        <f>$Y855</f>
        <v/>
      </c>
      <c r="AE855">
        <f>IF($V855,IF($S855="","",$S855),IF($R855="","",$R855))</f>
        <v/>
      </c>
      <c r="AF855">
        <f>IF($V855,IF($U855="","",$U855),IF($T855="","",$T855))</f>
        <v/>
      </c>
      <c r="AG855">
        <f>IF($V855,IF($O855="","",$O855),IF($P855="","",$P855))</f>
        <v/>
      </c>
      <c r="AI855">
        <f>IF($Y855="worse","Yes",IF($Y855="worse, not significant","Not sure",IF(OR($Y855="too few losses to test",$Y855="too few loans to test"),"Too few losses",IF($Y855="","","No"))))</f>
        <v/>
      </c>
      <c r="AJ855">
        <f>IF($AA855="yes","Yes",IF($AA855="","","No"))</f>
        <v/>
      </c>
    </row>
    <row r="856">
      <c r="A856" t="inlineStr">
        <is>
          <t>three-way</t>
        </is>
      </c>
      <c r="B856" t="inlineStr">
        <is>
          <t>ORIG_BAL x CHANNEL / SYS_FLAG</t>
        </is>
      </c>
      <c r="C856" t="inlineStr">
        <is>
          <t>(blank)</t>
        </is>
      </c>
      <c r="D856" t="inlineStr">
        <is>
          <t>Branch / SYS_FLAG Y</t>
        </is>
      </c>
      <c r="E856" t="inlineStr">
        <is>
          <t>gco_rate</t>
        </is>
      </c>
      <c r="F856" t="inlineStr">
        <is>
          <t>GCO per booked dollar</t>
        </is>
      </c>
      <c r="G856" t="n">
        <v>0</v>
      </c>
      <c r="H856" t="n">
        <v>0</v>
      </c>
      <c r="I856" t="b">
        <v>1</v>
      </c>
      <c r="J856" t="b">
        <v>1</v>
      </c>
      <c r="O856" t="n">
        <v>0</v>
      </c>
      <c r="Q856">
        <f>'_live'!$C$22</f>
        <v/>
      </c>
      <c r="R856" t="inlineStr"/>
      <c r="S856" t="inlineStr"/>
      <c r="T856" t="n">
        <v>0.04160526533333565</v>
      </c>
      <c r="V856">
        <f>AND(judged_band,NOT($J856))</f>
        <v/>
      </c>
      <c r="W856">
        <f>IF($K856="","",IF($I856,"too few losses to test",IF(AND($K856&gt;better_at,$K856&lt;worse_at),"in line",IF($K856&gt;=worse_at,IF(AND(ISNUMBER($L856),$L856&lt;significance_bar),"worse","worse, not significant"),IF(AND(ISNUMBER($L856),$L856&lt;significance_bar),"better","better, not significant")))))</f>
        <v/>
      </c>
      <c r="X856">
        <f>IF($M856="","",IF($I856,"too few losses to test",IF(AND($M856&gt;better_at,$M856&lt;worse_at),"in line",IF($M856&gt;=worse_at,IF(AND(ISNUMBER($N856),$N856&lt;significance_bar),"worse","worse, not significant"),IF(AND(ISNUMBER($N856),$N856&lt;significance_bar),"better","better, not significant")))))</f>
        <v/>
      </c>
      <c r="Y856">
        <f>IF($V856,$X856,$W856)</f>
        <v/>
      </c>
      <c r="Z856">
        <f>IF($V856,IF($P856="","",$P856),IF($O856="","",$O856))</f>
        <v/>
      </c>
      <c r="AA856">
        <f>IF(OR($Q856="",$Z856=""),"",IF(AND($Z856&gt;0,$Z856&gt;=$Q856),"yes","below the line"))</f>
        <v/>
      </c>
      <c r="AB856">
        <f>IF($V856,IF($M856="","",$M856),IF($K856="","",$K856))</f>
        <v/>
      </c>
      <c r="AC856">
        <f>IF($V856,IF($N856="","",$N856),IF($L856="","",$L856))</f>
        <v/>
      </c>
      <c r="AD856">
        <f>$Y856</f>
        <v/>
      </c>
      <c r="AE856">
        <f>IF($V856,IF($S856="","",$S856),IF($R856="","",$R856))</f>
        <v/>
      </c>
      <c r="AF856">
        <f>IF($V856,IF($U856="","",$U856),IF($T856="","",$T856))</f>
        <v/>
      </c>
      <c r="AG856">
        <f>IF($V856,IF($O856="","",$O856),IF($P856="","",$P856))</f>
        <v/>
      </c>
      <c r="AI856">
        <f>IF($Y856="worse","Yes",IF($Y856="worse, not significant","Not sure",IF(OR($Y856="too few losses to test",$Y856="too few loans to test"),"Too few losses",IF($Y856="","","No"))))</f>
        <v/>
      </c>
      <c r="AJ856">
        <f>IF($AA856="yes","Yes",IF($AA856="","","No"))</f>
        <v/>
      </c>
    </row>
    <row r="857">
      <c r="A857" t="inlineStr">
        <is>
          <t>three-way</t>
        </is>
      </c>
      <c r="B857" t="inlineStr">
        <is>
          <t>ORIG_BAL x CHANNEL / SYS_FLAG</t>
        </is>
      </c>
      <c r="C857" t="inlineStr">
        <is>
          <t>(blank)</t>
        </is>
      </c>
      <c r="D857" t="inlineStr">
        <is>
          <t>Branch / SYS_FLAG Y</t>
        </is>
      </c>
      <c r="E857" t="inlineStr">
        <is>
          <t>ranr_rate</t>
        </is>
      </c>
      <c r="F857" t="inlineStr">
        <is>
          <t>Profit after losses: RANR per booked dollar</t>
        </is>
      </c>
      <c r="G857" t="n">
        <v>0</v>
      </c>
      <c r="H857" t="n">
        <v>0</v>
      </c>
      <c r="I857" t="b">
        <v>0</v>
      </c>
      <c r="J857" t="b">
        <v>1</v>
      </c>
      <c r="O857" t="n">
        <v>0</v>
      </c>
      <c r="Q857">
        <f>'_live'!$C$23</f>
        <v/>
      </c>
      <c r="R857" t="inlineStr"/>
      <c r="S857" t="inlineStr"/>
      <c r="T857" t="n">
        <v>0.1279900496481481</v>
      </c>
      <c r="V857">
        <f>AND(judged_band,NOT($J857))</f>
        <v/>
      </c>
      <c r="W857">
        <f>IF($K857="","",IF(profit_kind="test",IF(OR(NOT(AND(ISNUMBER($L857),$L857&lt;significance_bar)),$K857=0),"in line",IF($K857&lt;0,"worse","better")),IF(OR($K857=0,IF(profit_kind="points",ABS($K857),ABS($K857*$H857))&lt;profit_line*(1-1E-9)),"in line",IF(AND(ISNUMBER($L857),$L857&lt;significance_bar),IF($K857&lt;0,"worse","better"),IF($K857&lt;0,"worse, not significant","better, not significant")))))</f>
        <v/>
      </c>
      <c r="X857">
        <f>IF($M857="","",IF(profit_kind="test",IF(OR(NOT(AND(ISNUMBER($N857),$N857&lt;significance_bar)),$M857=0),"in line",IF($M857&lt;0,"worse","better")),IF(OR($M857=0,IF(profit_kind="points",ABS($M857),ABS($M857*$H857))&lt;profit_line*(1-1E-9)),"in line",IF(AND(ISNUMBER($N857),$N857&lt;significance_bar),IF($M857&lt;0,"worse","better"),IF($M857&lt;0,"worse, not significant","better, not significant")))))</f>
        <v/>
      </c>
      <c r="Y857">
        <f>IF($V857,$X857,$W857)</f>
        <v/>
      </c>
      <c r="Z857">
        <f>IF($V857,IF($P857="","",$P857),IF($O857="","",$O857))</f>
        <v/>
      </c>
      <c r="AA857">
        <f>IF(OR($Q857="",$Z857=""),"",IF(AND($Z857&gt;0,$Z857&gt;=$Q857),"yes","below the line"))</f>
        <v/>
      </c>
      <c r="AB857">
        <f>IF($V857,IF($M857="","",$M857),IF($K857="","",$K857))</f>
        <v/>
      </c>
      <c r="AC857">
        <f>IF($V857,IF($N857="","",$N857),IF($L857="","",$L857))</f>
        <v/>
      </c>
      <c r="AD857">
        <f>IF($Y857="","",IF($Y857="in line",IF(profit_kind="test",IF(ROUND($AB857*100,2)=0,"0.00",TEXT($AB857*100,"+0.00;-0.00"))&amp;" points against "&amp;IF($V857,"its band","the book")&amp;", "&amp;IF($AC857="","not tested","not significant"),IF(profit_kind="points","within "&amp;TEXT(profit_line*100,"0.00")&amp;" points of "&amp;IF($V857,"its band","the book")&amp;" ("&amp;IF(ROUND($AB857*100,2)=0,"0.00",TEXT($AB857*100,"+0.00;-0.00"))&amp;")","within $"&amp;TEXT(profit_line,"#,##0")&amp;" of "&amp;IF($V857,"its band","the book")&amp;" ("&amp;IF(ROUND($AB857*100,2)=0,"0.00",TEXT($AB857*100,"+0.00;-0.00"))&amp;" points)")),IF(LEFT($Y857,5)="worse","short of ","ahead of ")&amp;IF($V857,"its band","the book")&amp;" by "&amp;TEXT(ABS($AB857)*100,"0.00")&amp;" points"&amp;IF($Z857="",""," ($"&amp;TEXT(ABS($Z857),"#,##0")&amp;")")&amp;IF(RIGHT($Y857,15)="not significant"," (not significant)","")))</f>
        <v/>
      </c>
      <c r="AE857">
        <f>IF($V857,IF($S857="","",$S857),IF($R857="","",$R857))</f>
        <v/>
      </c>
      <c r="AF857">
        <f>IF($V857,IF($U857="","",$U857),IF($T857="","",$T857))</f>
        <v/>
      </c>
      <c r="AG857">
        <f>IF($V857,IF($O857="","",$O857),IF($P857="","",$P857))</f>
        <v/>
      </c>
      <c r="AI857">
        <f>IF($Y857="worse","Yes",IF($Y857="worse, not significant","Not sure",IF(OR($Y857="too few losses to test",$Y857="too few loans to test"),"Too few losses",IF($Y857="","","No"))))</f>
        <v/>
      </c>
      <c r="AJ857">
        <f>IF($AA857="yes","Yes",IF($AA857="","","No"))</f>
        <v/>
      </c>
    </row>
    <row r="858">
      <c r="A858" t="inlineStr">
        <is>
          <t>three-way</t>
        </is>
      </c>
      <c r="B858" t="inlineStr">
        <is>
          <t>ORIG_BAL x CHANNEL / SYS_FLAG</t>
        </is>
      </c>
      <c r="C858" t="inlineStr">
        <is>
          <t>(blank)</t>
        </is>
      </c>
      <c r="D858" t="inlineStr">
        <is>
          <t>Branch / SYS_FLAG Y</t>
        </is>
      </c>
      <c r="E858" t="inlineStr">
        <is>
          <t>contribution_rate</t>
        </is>
      </c>
      <c r="F858" t="inlineStr">
        <is>
          <t>Contribution before losses per booked dollar</t>
        </is>
      </c>
      <c r="G858" t="n">
        <v>0</v>
      </c>
      <c r="H858" t="n">
        <v>0</v>
      </c>
      <c r="I858" t="b">
        <v>0</v>
      </c>
      <c r="J858" t="b">
        <v>1</v>
      </c>
      <c r="O858" t="n">
        <v>0</v>
      </c>
      <c r="Q858">
        <f>'_live'!$C$24</f>
        <v/>
      </c>
      <c r="R858" t="inlineStr"/>
      <c r="S858" t="inlineStr"/>
      <c r="T858" t="n">
        <v>0.1695924557349815</v>
      </c>
      <c r="V858">
        <f>AND(judged_band,NOT($J858))</f>
        <v/>
      </c>
      <c r="W858">
        <f>IF($K858="","",IF(profit_kind="test",IF(OR(NOT(AND(ISNUMBER($L858),$L858&lt;significance_bar)),$K858=0),"in line",IF($K858&lt;0,"worse","better")),IF(OR($K858=0,IF(profit_kind="points",ABS($K858),ABS($K858*$H858))&lt;profit_line*(1-1E-9)),"in line",IF(AND(ISNUMBER($L858),$L858&lt;significance_bar),IF($K858&lt;0,"worse","better"),IF($K858&lt;0,"worse, not significant","better, not significant")))))</f>
        <v/>
      </c>
      <c r="X858">
        <f>IF($M858="","",IF(profit_kind="test",IF(OR(NOT(AND(ISNUMBER($N858),$N858&lt;significance_bar)),$M858=0),"in line",IF($M858&lt;0,"worse","better")),IF(OR($M858=0,IF(profit_kind="points",ABS($M858),ABS($M858*$H858))&lt;profit_line*(1-1E-9)),"in line",IF(AND(ISNUMBER($N858),$N858&lt;significance_bar),IF($M858&lt;0,"worse","better"),IF($M858&lt;0,"worse, not significant","better, not significant")))))</f>
        <v/>
      </c>
      <c r="Y858">
        <f>IF($V858,$X858,$W858)</f>
        <v/>
      </c>
      <c r="Z858">
        <f>IF($V858,IF($P858="","",$P858),IF($O858="","",$O858))</f>
        <v/>
      </c>
      <c r="AA858">
        <f>IF(OR($Q858="",$Z858=""),"",IF(AND($Z858&gt;0,$Z858&gt;=$Q858),"yes","below the line"))</f>
        <v/>
      </c>
      <c r="AB858">
        <f>IF($V858,IF($M858="","",$M858),IF($K858="","",$K858))</f>
        <v/>
      </c>
      <c r="AC858">
        <f>IF($V858,IF($N858="","",$N858),IF($L858="","",$L858))</f>
        <v/>
      </c>
      <c r="AD858">
        <f>IF($Y858="","",IF($Y858="in line",IF(profit_kind="test",IF(ROUND($AB858*100,2)=0,"0.00",TEXT($AB858*100,"+0.00;-0.00"))&amp;" points against "&amp;IF($V858,"its band","the book")&amp;", "&amp;IF($AC858="","not tested","not significant"),IF(profit_kind="points","within "&amp;TEXT(profit_line*100,"0.00")&amp;" points of "&amp;IF($V858,"its band","the book")&amp;" ("&amp;IF(ROUND($AB858*100,2)=0,"0.00",TEXT($AB858*100,"+0.00;-0.00"))&amp;")","within $"&amp;TEXT(profit_line,"#,##0")&amp;" of "&amp;IF($V858,"its band","the book")&amp;" ("&amp;IF(ROUND($AB858*100,2)=0,"0.00",TEXT($AB858*100,"+0.00;-0.00"))&amp;" points)")),IF(LEFT($Y858,5)="worse","short of ","ahead of ")&amp;IF($V858,"its band","the book")&amp;" by "&amp;TEXT(ABS($AB858)*100,"0.00")&amp;" points"&amp;IF($Z858="",""," ($"&amp;TEXT(ABS($Z858),"#,##0")&amp;")")&amp;IF(RIGHT($Y858,15)="not significant"," (not significant)","")))</f>
        <v/>
      </c>
      <c r="AE858">
        <f>IF($V858,IF($S858="","",$S858),IF($R858="","",$R858))</f>
        <v/>
      </c>
      <c r="AF858">
        <f>IF($V858,IF($U858="","",$U858),IF($T858="","",$T858))</f>
        <v/>
      </c>
      <c r="AG858">
        <f>IF($V858,IF($O858="","",$O858),IF($P858="","",$P858))</f>
        <v/>
      </c>
      <c r="AI858">
        <f>IF($Y858="worse","Yes",IF($Y858="worse, not significant","Not sure",IF(OR($Y858="too few losses to test",$Y858="too few loans to test"),"Too few losses",IF($Y858="","","No"))))</f>
        <v/>
      </c>
      <c r="AJ858">
        <f>IF($AA858="yes","Yes",IF($AA858="","","No"))</f>
        <v/>
      </c>
    </row>
    <row r="859">
      <c r="A859" t="inlineStr">
        <is>
          <t>three-way</t>
        </is>
      </c>
      <c r="B859" t="inlineStr">
        <is>
          <t>ORIG_BAL x CHANNEL / SYS_FLAG</t>
        </is>
      </c>
      <c r="C859" t="inlineStr">
        <is>
          <t>26,324 - 37,950</t>
        </is>
      </c>
      <c r="D859" t="inlineStr">
        <is>
          <t>Branch / SYS_FLAG N</t>
        </is>
      </c>
      <c r="E859" t="inlineStr">
        <is>
          <t>outcome_loans</t>
        </is>
      </c>
      <c r="F859" t="inlineStr">
        <is>
          <t>Outcome, share of loans</t>
        </is>
      </c>
      <c r="G859" t="n">
        <v>281</v>
      </c>
      <c r="H859" t="n">
        <v>281</v>
      </c>
      <c r="I859" t="b">
        <v>0</v>
      </c>
      <c r="J859" t="b">
        <v>0</v>
      </c>
      <c r="K859" t="n">
        <v>0.6355813064321637</v>
      </c>
      <c r="L859" t="n">
        <v>0.2437463165666249</v>
      </c>
      <c r="M859" t="n">
        <v>0.6834964412811388</v>
      </c>
      <c r="N859" t="n">
        <v>0.3089623893661799</v>
      </c>
      <c r="O859" t="n">
        <v>-8.027079554288676</v>
      </c>
      <c r="P859" t="n">
        <v>-6.482915717539861</v>
      </c>
      <c r="Q859">
        <f>'_live'!$C$20</f>
        <v/>
      </c>
      <c r="R859" t="inlineStr">
        <is>
          <t>z test</t>
        </is>
      </c>
      <c r="S859" t="inlineStr">
        <is>
          <t>z test</t>
        </is>
      </c>
      <c r="T859" t="n">
        <v>0.07838818346721949</v>
      </c>
      <c r="U859" t="n">
        <v>0.07289293849658314</v>
      </c>
      <c r="V859">
        <f>AND(judged_band,NOT($J859))</f>
        <v/>
      </c>
      <c r="W859">
        <f>IF($K859="","",IF($I859,"too few losses to test",IF(AND($K859&gt;better_at,$K859&lt;worse_at),"in line",IF($K859&gt;=worse_at,IF(AND(ISNUMBER($L859),$L859&lt;significance_bar),"worse","worse, not significant"),IF(AND(ISNUMBER($L859),$L859&lt;significance_bar),"better","better, not significant")))))</f>
        <v/>
      </c>
      <c r="X859">
        <f>IF($M859="","",IF($I859,"too few losses to test",IF(AND($M859&gt;better_at,$M859&lt;worse_at),"in line",IF($M859&gt;=worse_at,IF(AND(ISNUMBER($N859),$N859&lt;significance_bar),"worse","worse, not significant"),IF(AND(ISNUMBER($N859),$N859&lt;significance_bar),"better","better, not significant")))))</f>
        <v/>
      </c>
      <c r="Y859">
        <f>IF($V859,$X859,$W859)</f>
        <v/>
      </c>
      <c r="Z859">
        <f>IF($V859,IF($P859="","",$P859),IF($O859="","",$O859))</f>
        <v/>
      </c>
      <c r="AA859">
        <f>IF(OR($Q859="",$Z859=""),"",IF(AND($Z859&gt;0,$Z859&gt;=$Q859),"yes","below the line"))</f>
        <v/>
      </c>
      <c r="AB859">
        <f>IF($V859,IF($M859="","",$M859),IF($K859="","",$K859))</f>
        <v/>
      </c>
      <c r="AC859">
        <f>IF($V859,IF($N859="","",$N859),IF($L859="","",$L859))</f>
        <v/>
      </c>
      <c r="AD859">
        <f>$Y859</f>
        <v/>
      </c>
      <c r="AE859">
        <f>IF($V859,IF($S859="","",$S859),IF($R859="","",$R859))</f>
        <v/>
      </c>
      <c r="AF859">
        <f>IF($V859,IF($U859="","",$U859),IF($T859="","",$T859))</f>
        <v/>
      </c>
      <c r="AG859">
        <f>IF($V859,IF($O859="","",$O859),IF($P859="","",$P859))</f>
        <v/>
      </c>
      <c r="AH859" t="n">
        <v>0.0498220640569395</v>
      </c>
      <c r="AI859">
        <f>IF($Y859="worse","Yes",IF($Y859="worse, not significant","Not sure",IF(OR($Y859="too few losses to test",$Y859="too few loans to test"),"Too few losses",IF($Y859="","","No"))))</f>
        <v/>
      </c>
      <c r="AJ859">
        <f>IF($AA859="yes","Yes",IF($AA859="","","No"))</f>
        <v/>
      </c>
    </row>
    <row r="860">
      <c r="A860" t="inlineStr">
        <is>
          <t>three-way</t>
        </is>
      </c>
      <c r="B860" t="inlineStr">
        <is>
          <t>ORIG_BAL x CHANNEL / SYS_FLAG</t>
        </is>
      </c>
      <c r="C860" t="inlineStr">
        <is>
          <t>26,324 - 37,950</t>
        </is>
      </c>
      <c r="D860" t="inlineStr">
        <is>
          <t>Branch / SYS_FLAG N</t>
        </is>
      </c>
      <c r="E860" t="inlineStr">
        <is>
          <t>outcome_booked</t>
        </is>
      </c>
      <c r="F860" t="inlineStr">
        <is>
          <t>Outcome, share of booked dollars</t>
        </is>
      </c>
      <c r="G860" t="n">
        <v>281</v>
      </c>
      <c r="H860" t="n">
        <v>8960422.870000003</v>
      </c>
      <c r="I860" t="b">
        <v>0</v>
      </c>
      <c r="J860" t="b">
        <v>0</v>
      </c>
      <c r="K860" t="n">
        <v>0.6631269528011647</v>
      </c>
      <c r="L860" t="n">
        <v>0.362963703629637</v>
      </c>
      <c r="M860" t="n">
        <v>0.6970494253319716</v>
      </c>
      <c r="N860" t="n">
        <v>0.3570576275705762</v>
      </c>
      <c r="O860" t="n">
        <v>-228546.4077499388</v>
      </c>
      <c r="P860" t="n">
        <v>-195529.829625182</v>
      </c>
      <c r="Q860">
        <f>'_live'!$C$21</f>
        <v/>
      </c>
      <c r="R860" t="inlineStr">
        <is>
          <t>shuffled: 1,476 of 10,000</t>
        </is>
      </c>
      <c r="S860" t="inlineStr">
        <is>
          <t>shuffled: 1,912 of 10,000</t>
        </is>
      </c>
      <c r="T860" t="n">
        <v>0.07571459936577063</v>
      </c>
      <c r="U860" t="n">
        <v>0.07202988731548356</v>
      </c>
      <c r="V860">
        <f>AND(judged_band,NOT($J860))</f>
        <v/>
      </c>
      <c r="W860">
        <f>IF($K860="","",IF($I860,"too few losses to test",IF(AND($K860&gt;better_at,$K860&lt;worse_at),"in line",IF($K860&gt;=worse_at,IF(AND(ISNUMBER($L860),$L860&lt;significance_bar),"worse","worse, not significant"),IF(AND(ISNUMBER($L860),$L860&lt;significance_bar),"better","better, not significant")))))</f>
        <v/>
      </c>
      <c r="X860">
        <f>IF($M860="","",IF($I860,"too few losses to test",IF(AND($M860&gt;better_at,$M860&lt;worse_at),"in line",IF($M860&gt;=worse_at,IF(AND(ISNUMBER($N860),$N860&lt;significance_bar),"worse","worse, not significant"),IF(AND(ISNUMBER($N860),$N860&lt;significance_bar),"better","better, not significant")))))</f>
        <v/>
      </c>
      <c r="Y860">
        <f>IF($V860,$X860,$W860)</f>
        <v/>
      </c>
      <c r="Z860">
        <f>IF($V860,IF($P860="","",$P860),IF($O860="","",$O860))</f>
        <v/>
      </c>
      <c r="AA860">
        <f>IF(OR($Q860="",$Z860=""),"",IF(AND($Z860&gt;0,$Z860&gt;=$Q860),"yes","below the line"))</f>
        <v/>
      </c>
      <c r="AB860">
        <f>IF($V860,IF($M860="","",$M860),IF($K860="","",$K860))</f>
        <v/>
      </c>
      <c r="AC860">
        <f>IF($V860,IF($N860="","",$N860),IF($L860="","",$L860))</f>
        <v/>
      </c>
      <c r="AD860">
        <f>$Y860</f>
        <v/>
      </c>
      <c r="AE860">
        <f>IF($V860,IF($S860="","",$S860),IF($R860="","",$R860))</f>
        <v/>
      </c>
      <c r="AF860">
        <f>IF($V860,IF($U860="","",$U860),IF($T860="","",$T860))</f>
        <v/>
      </c>
      <c r="AG860">
        <f>IF($V860,IF($O860="","",$O860),IF($P860="","",$P860))</f>
        <v/>
      </c>
      <c r="AH860" t="n">
        <v>0.05020839155998448</v>
      </c>
      <c r="AI860">
        <f>IF($Y860="worse","Yes",IF($Y860="worse, not significant","Not sure",IF(OR($Y860="too few losses to test",$Y860="too few loans to test"),"Too few losses",IF($Y860="","","No"))))</f>
        <v/>
      </c>
      <c r="AJ860">
        <f>IF($AA860="yes","Yes",IF($AA860="","","No"))</f>
        <v/>
      </c>
    </row>
    <row r="861">
      <c r="A861" t="inlineStr">
        <is>
          <t>three-way</t>
        </is>
      </c>
      <c r="B861" t="inlineStr">
        <is>
          <t>ORIG_BAL x CHANNEL / SYS_FLAG</t>
        </is>
      </c>
      <c r="C861" t="inlineStr">
        <is>
          <t>26,324 - 37,950</t>
        </is>
      </c>
      <c r="D861" t="inlineStr">
        <is>
          <t>Branch / SYS_FLAG N</t>
        </is>
      </c>
      <c r="E861" t="inlineStr">
        <is>
          <t>gco_rate</t>
        </is>
      </c>
      <c r="F861" t="inlineStr">
        <is>
          <t>GCO per booked dollar</t>
        </is>
      </c>
      <c r="G861" t="n">
        <v>282</v>
      </c>
      <c r="H861" t="n">
        <v>8997410.880000003</v>
      </c>
      <c r="I861" t="b">
        <v>0</v>
      </c>
      <c r="J861" t="b">
        <v>0</v>
      </c>
      <c r="K861" t="n">
        <v>0.6603071849497636</v>
      </c>
      <c r="L861" t="n">
        <v>0.4330233643302336</v>
      </c>
      <c r="M861" t="n">
        <v>0.7038369148504119</v>
      </c>
      <c r="N861" t="n">
        <v>0.3725377462253774</v>
      </c>
      <c r="O861" t="n">
        <v>-128684.7689155019</v>
      </c>
      <c r="P861" t="n">
        <v>-105255.7168576085</v>
      </c>
      <c r="Q861">
        <f>'_live'!$C$22</f>
        <v/>
      </c>
      <c r="R861" t="inlineStr">
        <is>
          <t>shuffled: 1,581 of 10,000</t>
        </is>
      </c>
      <c r="S861" t="inlineStr">
        <is>
          <t>shuffled: 2,128 of 10,000</t>
        </is>
      </c>
      <c r="T861" t="n">
        <v>0.04210398791029779</v>
      </c>
      <c r="U861" t="n">
        <v>0.03950001079172772</v>
      </c>
      <c r="V861">
        <f>AND(judged_band,NOT($J861))</f>
        <v/>
      </c>
      <c r="W861">
        <f>IF($K861="","",IF($I861,"too few losses to test",IF(AND($K861&gt;better_at,$K861&lt;worse_at),"in line",IF($K861&gt;=worse_at,IF(AND(ISNUMBER($L861),$L861&lt;significance_bar),"worse","worse, not significant"),IF(AND(ISNUMBER($L861),$L861&lt;significance_bar),"better","better, not significant")))))</f>
        <v/>
      </c>
      <c r="X861">
        <f>IF($M861="","",IF($I861,"too few losses to test",IF(AND($M861&gt;better_at,$M861&lt;worse_at),"in line",IF($M861&gt;=worse_at,IF(AND(ISNUMBER($N861),$N861&lt;significance_bar),"worse","worse, not significant"),IF(AND(ISNUMBER($N861),$N861&lt;significance_bar),"better","better, not significant")))))</f>
        <v/>
      </c>
      <c r="Y861">
        <f>IF($V861,$X861,$W861)</f>
        <v/>
      </c>
      <c r="Z861">
        <f>IF($V861,IF($P861="","",$P861),IF($O861="","",$O861))</f>
        <v/>
      </c>
      <c r="AA861">
        <f>IF(OR($Q861="",$Z861=""),"",IF(AND($Z861&gt;0,$Z861&gt;=$Q861),"yes","below the line"))</f>
        <v/>
      </c>
      <c r="AB861">
        <f>IF($V861,IF($M861="","",$M861),IF($K861="","",$K861))</f>
        <v/>
      </c>
      <c r="AC861">
        <f>IF($V861,IF($N861="","",$N861),IF($L861="","",$L861))</f>
        <v/>
      </c>
      <c r="AD861">
        <f>$Y861</f>
        <v/>
      </c>
      <c r="AE861">
        <f>IF($V861,IF($S861="","",$S861),IF($R861="","",$R861))</f>
        <v/>
      </c>
      <c r="AF861">
        <f>IF($V861,IF($U861="","",$U861),IF($T861="","",$T861))</f>
        <v/>
      </c>
      <c r="AG861">
        <f>IF($V861,IF($O861="","",$O861),IF($P861="","",$P861))</f>
        <v/>
      </c>
      <c r="AH861" t="n">
        <v>0.02780156573220761</v>
      </c>
      <c r="AI861">
        <f>IF($Y861="worse","Yes",IF($Y861="worse, not significant","Not sure",IF(OR($Y861="too few losses to test",$Y861="too few loans to test"),"Too few losses",IF($Y861="","","No"))))</f>
        <v/>
      </c>
      <c r="AJ861">
        <f>IF($AA861="yes","Yes",IF($AA861="","","No"))</f>
        <v/>
      </c>
    </row>
    <row r="862">
      <c r="A862" t="inlineStr">
        <is>
          <t>three-way</t>
        </is>
      </c>
      <c r="B862" t="inlineStr">
        <is>
          <t>ORIG_BAL x CHANNEL / SYS_FLAG</t>
        </is>
      </c>
      <c r="C862" t="inlineStr">
        <is>
          <t>26,324 - 37,950</t>
        </is>
      </c>
      <c r="D862" t="inlineStr">
        <is>
          <t>Branch / SYS_FLAG N</t>
        </is>
      </c>
      <c r="E862" t="inlineStr">
        <is>
          <t>ranr_rate</t>
        </is>
      </c>
      <c r="F862" t="inlineStr">
        <is>
          <t>Profit after losses: RANR per booked dollar</t>
        </is>
      </c>
      <c r="G862" t="n">
        <v>282</v>
      </c>
      <c r="H862" t="n">
        <v>8997410.880000003</v>
      </c>
      <c r="I862" t="b">
        <v>0</v>
      </c>
      <c r="J862" t="b">
        <v>0</v>
      </c>
      <c r="K862" t="n">
        <v>0.006617441220660325</v>
      </c>
      <c r="L862" t="n">
        <v>0.7374262573742625</v>
      </c>
      <c r="M862" t="n">
        <v>0.003730894799131551</v>
      </c>
      <c r="N862" t="n">
        <v>0.7556244375562444</v>
      </c>
      <c r="O862" t="n">
        <v>-59539.8376365297</v>
      </c>
      <c r="P862" t="n">
        <v>-33568.39345784159</v>
      </c>
      <c r="Q862">
        <f>'_live'!$C$23</f>
        <v/>
      </c>
      <c r="R862" t="inlineStr">
        <is>
          <t>shuffled: 5,899 of 10,000</t>
        </is>
      </c>
      <c r="S862" t="inlineStr">
        <is>
          <t>shuffled: 7,556 of 10,000</t>
        </is>
      </c>
      <c r="T862" t="n">
        <v>0.1277593362906941</v>
      </c>
      <c r="U862" t="n">
        <v>0.1306458827122228</v>
      </c>
      <c r="V862">
        <f>AND(judged_band,NOT($J862))</f>
        <v/>
      </c>
      <c r="W862">
        <f>IF($K862="","",IF(profit_kind="test",IF(OR(NOT(AND(ISNUMBER($L862),$L862&lt;significance_bar)),$K862=0),"in line",IF($K862&lt;0,"worse","better")),IF(OR($K862=0,IF(profit_kind="points",ABS($K862),ABS($K862*$H862))&lt;profit_line*(1-1E-9)),"in line",IF(AND(ISNUMBER($L862),$L862&lt;significance_bar),IF($K862&lt;0,"worse","better"),IF($K862&lt;0,"worse, not significant","better, not significant")))))</f>
        <v/>
      </c>
      <c r="X862">
        <f>IF($M862="","",IF(profit_kind="test",IF(OR(NOT(AND(ISNUMBER($N862),$N862&lt;significance_bar)),$M862=0),"in line",IF($M862&lt;0,"worse","better")),IF(OR($M862=0,IF(profit_kind="points",ABS($M862),ABS($M862*$H862))&lt;profit_line*(1-1E-9)),"in line",IF(AND(ISNUMBER($N862),$N862&lt;significance_bar),IF($M862&lt;0,"worse","better"),IF($M862&lt;0,"worse, not significant","better, not significant")))))</f>
        <v/>
      </c>
      <c r="Y862">
        <f>IF($V862,$X862,$W862)</f>
        <v/>
      </c>
      <c r="Z862">
        <f>IF($V862,IF($P862="","",$P862),IF($O862="","",$O862))</f>
        <v/>
      </c>
      <c r="AA862">
        <f>IF(OR($Q862="",$Z862=""),"",IF(AND($Z862&gt;0,$Z862&gt;=$Q862),"yes","below the line"))</f>
        <v/>
      </c>
      <c r="AB862">
        <f>IF($V862,IF($M862="","",$M862),IF($K862="","",$K862))</f>
        <v/>
      </c>
      <c r="AC862">
        <f>IF($V862,IF($N862="","",$N862),IF($L862="","",$L862))</f>
        <v/>
      </c>
      <c r="AD862">
        <f>IF($Y862="","",IF($Y862="in line",IF(profit_kind="test",IF(ROUND($AB862*100,2)=0,"0.00",TEXT($AB862*100,"+0.00;-0.00"))&amp;" points against "&amp;IF($V862,"its band","the book")&amp;", "&amp;IF($AC862="","not tested","not significant"),IF(profit_kind="points","within "&amp;TEXT(profit_line*100,"0.00")&amp;" points of "&amp;IF($V862,"its band","the book")&amp;" ("&amp;IF(ROUND($AB862*100,2)=0,"0.00",TEXT($AB862*100,"+0.00;-0.00"))&amp;")","within $"&amp;TEXT(profit_line,"#,##0")&amp;" of "&amp;IF($V862,"its band","the book")&amp;" ("&amp;IF(ROUND($AB862*100,2)=0,"0.00",TEXT($AB862*100,"+0.00;-0.00"))&amp;" points)")),IF(LEFT($Y862,5)="worse","short of ","ahead of ")&amp;IF($V862,"its band","the book")&amp;" by "&amp;TEXT(ABS($AB862)*100,"0.00")&amp;" points"&amp;IF($Z862="",""," ($"&amp;TEXT(ABS($Z862),"#,##0")&amp;")")&amp;IF(RIGHT($Y862,15)="not significant"," (not significant)","")))</f>
        <v/>
      </c>
      <c r="AE862">
        <f>IF($V862,IF($S862="","",$S862),IF($R862="","",$R862))</f>
        <v/>
      </c>
      <c r="AF862">
        <f>IF($V862,IF($U862="","",$U862),IF($T862="","",$T862))</f>
        <v/>
      </c>
      <c r="AG862">
        <f>IF($V862,IF($O862="","",$O862),IF($P862="","",$P862))</f>
        <v/>
      </c>
      <c r="AH862" t="n">
        <v>0.1343767775113544</v>
      </c>
      <c r="AI862">
        <f>IF($Y862="worse","Yes",IF($Y862="worse, not significant","Not sure",IF(OR($Y862="too few losses to test",$Y862="too few loans to test"),"Too few losses",IF($Y862="","","No"))))</f>
        <v/>
      </c>
      <c r="AJ862">
        <f>IF($AA862="yes","Yes",IF($AA862="","","No"))</f>
        <v/>
      </c>
    </row>
    <row r="863">
      <c r="A863" t="inlineStr">
        <is>
          <t>three-way</t>
        </is>
      </c>
      <c r="B863" t="inlineStr">
        <is>
          <t>ORIG_BAL x CHANNEL / SYS_FLAG</t>
        </is>
      </c>
      <c r="C863" t="inlineStr">
        <is>
          <t>26,324 - 37,950</t>
        </is>
      </c>
      <c r="D863" t="inlineStr">
        <is>
          <t>Branch / SYS_FLAG N</t>
        </is>
      </c>
      <c r="E863" t="inlineStr">
        <is>
          <t>contribution_rate</t>
        </is>
      </c>
      <c r="F863" t="inlineStr">
        <is>
          <t>Contribution before losses per booked dollar</t>
        </is>
      </c>
      <c r="G863" t="n">
        <v>282</v>
      </c>
      <c r="H863" t="n">
        <v>8997410.880000003</v>
      </c>
      <c r="I863" t="b">
        <v>0</v>
      </c>
      <c r="J863" t="b">
        <v>0</v>
      </c>
      <c r="K863" t="n">
        <v>-0.007681981642042424</v>
      </c>
      <c r="L863" t="n">
        <v>0.479380633365235</v>
      </c>
      <c r="M863" t="n">
        <v>-0.007967550260388562</v>
      </c>
      <c r="N863" t="n">
        <v>0.4053344665533447</v>
      </c>
      <c r="O863" t="n">
        <v>69117.94520607288</v>
      </c>
      <c r="P863" t="n">
        <v>71687.32339976681</v>
      </c>
      <c r="Q863">
        <f>'_live'!$C$24</f>
        <v/>
      </c>
      <c r="R863" t="inlineStr">
        <is>
          <t>shuffled: 3,355 of 10,000</t>
        </is>
      </c>
      <c r="S863" t="inlineStr">
        <is>
          <t>shuffled: 3,242 of 10,000</t>
        </is>
      </c>
      <c r="T863" t="n">
        <v>0.1698603248856044</v>
      </c>
      <c r="U863" t="n">
        <v>0.1701458935039505</v>
      </c>
      <c r="V863">
        <f>AND(judged_band,NOT($J863))</f>
        <v/>
      </c>
      <c r="W863">
        <f>IF($K863="","",IF(profit_kind="test",IF(OR(NOT(AND(ISNUMBER($L863),$L863&lt;significance_bar)),$K863=0),"in line",IF($K863&lt;0,"worse","better")),IF(OR($K863=0,IF(profit_kind="points",ABS($K863),ABS($K863*$H863))&lt;profit_line*(1-1E-9)),"in line",IF(AND(ISNUMBER($L863),$L863&lt;significance_bar),IF($K863&lt;0,"worse","better"),IF($K863&lt;0,"worse, not significant","better, not significant")))))</f>
        <v/>
      </c>
      <c r="X863">
        <f>IF($M863="","",IF(profit_kind="test",IF(OR(NOT(AND(ISNUMBER($N863),$N863&lt;significance_bar)),$M863=0),"in line",IF($M863&lt;0,"worse","better")),IF(OR($M863=0,IF(profit_kind="points",ABS($M863),ABS($M863*$H863))&lt;profit_line*(1-1E-9)),"in line",IF(AND(ISNUMBER($N863),$N863&lt;significance_bar),IF($M863&lt;0,"worse","better"),IF($M863&lt;0,"worse, not significant","better, not significant")))))</f>
        <v/>
      </c>
      <c r="Y863">
        <f>IF($V863,$X863,$W863)</f>
        <v/>
      </c>
      <c r="Z863">
        <f>IF($V863,IF($P863="","",$P863),IF($O863="","",$O863))</f>
        <v/>
      </c>
      <c r="AA863">
        <f>IF(OR($Q863="",$Z863=""),"",IF(AND($Z863&gt;0,$Z863&gt;=$Q863),"yes","below the line"))</f>
        <v/>
      </c>
      <c r="AB863">
        <f>IF($V863,IF($M863="","",$M863),IF($K863="","",$K863))</f>
        <v/>
      </c>
      <c r="AC863">
        <f>IF($V863,IF($N863="","",$N863),IF($L863="","",$L863))</f>
        <v/>
      </c>
      <c r="AD863">
        <f>IF($Y863="","",IF($Y863="in line",IF(profit_kind="test",IF(ROUND($AB863*100,2)=0,"0.00",TEXT($AB863*100,"+0.00;-0.00"))&amp;" points against "&amp;IF($V863,"its band","the book")&amp;", "&amp;IF($AC863="","not tested","not significant"),IF(profit_kind="points","within "&amp;TEXT(profit_line*100,"0.00")&amp;" points of "&amp;IF($V863,"its band","the book")&amp;" ("&amp;IF(ROUND($AB863*100,2)=0,"0.00",TEXT($AB863*100,"+0.00;-0.00"))&amp;")","within $"&amp;TEXT(profit_line,"#,##0")&amp;" of "&amp;IF($V863,"its band","the book")&amp;" ("&amp;IF(ROUND($AB863*100,2)=0,"0.00",TEXT($AB863*100,"+0.00;-0.00"))&amp;" points)")),IF(LEFT($Y863,5)="worse","short of ","ahead of ")&amp;IF($V863,"its band","the book")&amp;" by "&amp;TEXT(ABS($AB863)*100,"0.00")&amp;" points"&amp;IF($Z863="",""," ($"&amp;TEXT(ABS($Z863),"#,##0")&amp;")")&amp;IF(RIGHT($Y863,15)="not significant"," (not significant)","")))</f>
        <v/>
      </c>
      <c r="AE863">
        <f>IF($V863,IF($S863="","",$S863),IF($R863="","",$R863))</f>
        <v/>
      </c>
      <c r="AF863">
        <f>IF($V863,IF($U863="","",$U863),IF($T863="","",$T863))</f>
        <v/>
      </c>
      <c r="AG863">
        <f>IF($V863,IF($O863="","",$O863),IF($P863="","",$P863))</f>
        <v/>
      </c>
      <c r="AH863" t="n">
        <v>0.162178343243562</v>
      </c>
      <c r="AI863">
        <f>IF($Y863="worse","Yes",IF($Y863="worse, not significant","Not sure",IF(OR($Y863="too few losses to test",$Y863="too few loans to test"),"Too few losses",IF($Y863="","","No"))))</f>
        <v/>
      </c>
      <c r="AJ863">
        <f>IF($AA863="yes","Yes",IF($AA863="","","No"))</f>
        <v/>
      </c>
    </row>
    <row r="864">
      <c r="A864" t="inlineStr">
        <is>
          <t>three-way</t>
        </is>
      </c>
      <c r="B864" t="inlineStr">
        <is>
          <t>ORIG_BAL x CHANNEL / SYS_FLAG</t>
        </is>
      </c>
      <c r="C864" t="inlineStr">
        <is>
          <t>26,324 - 37,950</t>
        </is>
      </c>
      <c r="D864" t="inlineStr">
        <is>
          <t>Branch / SYS_FLAG Y</t>
        </is>
      </c>
      <c r="E864" t="inlineStr">
        <is>
          <t>outcome_loans</t>
        </is>
      </c>
      <c r="F864" t="inlineStr">
        <is>
          <t>Outcome, share of loans</t>
        </is>
      </c>
      <c r="G864" t="n">
        <v>236</v>
      </c>
      <c r="H864" t="n">
        <v>236</v>
      </c>
      <c r="I864" t="b">
        <v>0</v>
      </c>
      <c r="J864" t="b">
        <v>0</v>
      </c>
      <c r="K864" t="n">
        <v>1.041645480225988</v>
      </c>
      <c r="L864" t="n">
        <v>0.8973066416828898</v>
      </c>
      <c r="M864" t="n">
        <v>1.204972993108586</v>
      </c>
      <c r="N864" t="n">
        <v>0.5906343643372495</v>
      </c>
      <c r="O864" t="n">
        <v>0.7596290094035787</v>
      </c>
      <c r="P864" t="n">
        <v>3.232011747430247</v>
      </c>
      <c r="Q864">
        <f>'_live'!$C$20</f>
        <v/>
      </c>
      <c r="R864" t="inlineStr">
        <is>
          <t>z test</t>
        </is>
      </c>
      <c r="S864" t="inlineStr">
        <is>
          <t>z test</t>
        </is>
      </c>
      <c r="T864" t="n">
        <v>0.07728970758727297</v>
      </c>
      <c r="U864" t="n">
        <v>0.06681350954478708</v>
      </c>
      <c r="V864">
        <f>AND(judged_band,NOT($J864))</f>
        <v/>
      </c>
      <c r="W864">
        <f>IF($K864="","",IF($I864,"too few losses to test",IF(AND($K864&gt;better_at,$K864&lt;worse_at),"in line",IF($K864&gt;=worse_at,IF(AND(ISNUMBER($L864),$L864&lt;significance_bar),"worse","worse, not significant"),IF(AND(ISNUMBER($L864),$L864&lt;significance_bar),"better","better, not significant")))))</f>
        <v/>
      </c>
      <c r="X864">
        <f>IF($M864="","",IF($I864,"too few losses to test",IF(AND($M864&gt;better_at,$M864&lt;worse_at),"in line",IF($M864&gt;=worse_at,IF(AND(ISNUMBER($N864),$N864&lt;significance_bar),"worse","worse, not significant"),IF(AND(ISNUMBER($N864),$N864&lt;significance_bar),"better","better, not significant")))))</f>
        <v/>
      </c>
      <c r="Y864">
        <f>IF($V864,$X864,$W864)</f>
        <v/>
      </c>
      <c r="Z864">
        <f>IF($V864,IF($P864="","",$P864),IF($O864="","",$O864))</f>
        <v/>
      </c>
      <c r="AA864">
        <f>IF(OR($Q864="",$Z864=""),"",IF(AND($Z864&gt;0,$Z864&gt;=$Q864),"yes","below the line"))</f>
        <v/>
      </c>
      <c r="AB864">
        <f>IF($V864,IF($M864="","",$M864),IF($K864="","",$K864))</f>
        <v/>
      </c>
      <c r="AC864">
        <f>IF($V864,IF($N864="","",$N864),IF($L864="","",$L864))</f>
        <v/>
      </c>
      <c r="AD864">
        <f>$Y864</f>
        <v/>
      </c>
      <c r="AE864">
        <f>IF($V864,IF($S864="","",$S864),IF($R864="","",$R864))</f>
        <v/>
      </c>
      <c r="AF864">
        <f>IF($V864,IF($U864="","",$U864),IF($T864="","",$T864))</f>
        <v/>
      </c>
      <c r="AG864">
        <f>IF($V864,IF($O864="","",$O864),IF($P864="","",$P864))</f>
        <v/>
      </c>
      <c r="AH864" t="n">
        <v>0.08050847457627118</v>
      </c>
      <c r="AI864">
        <f>IF($Y864="worse","Yes",IF($Y864="worse, not significant","Not sure",IF(OR($Y864="too few losses to test",$Y864="too few loans to test"),"Too few losses",IF($Y864="","","No"))))</f>
        <v/>
      </c>
      <c r="AJ864">
        <f>IF($AA864="yes","Yes",IF($AA864="","","No"))</f>
        <v/>
      </c>
    </row>
    <row r="865">
      <c r="A865" t="inlineStr">
        <is>
          <t>three-way</t>
        </is>
      </c>
      <c r="B865" t="inlineStr">
        <is>
          <t>ORIG_BAL x CHANNEL / SYS_FLAG</t>
        </is>
      </c>
      <c r="C865" t="inlineStr">
        <is>
          <t>26,324 - 37,950</t>
        </is>
      </c>
      <c r="D865" t="inlineStr">
        <is>
          <t>Branch / SYS_FLAG Y</t>
        </is>
      </c>
      <c r="E865" t="inlineStr">
        <is>
          <t>outcome_booked</t>
        </is>
      </c>
      <c r="F865" t="inlineStr">
        <is>
          <t>Outcome, share of booked dollars</t>
        </is>
      </c>
      <c r="G865" t="n">
        <v>236</v>
      </c>
      <c r="H865" t="n">
        <v>7589959.149999998</v>
      </c>
      <c r="I865" t="b">
        <v>0</v>
      </c>
      <c r="J865" t="b">
        <v>0</v>
      </c>
      <c r="K865" t="n">
        <v>1.027055622856676</v>
      </c>
      <c r="L865" t="n">
        <v>0.9116088391160885</v>
      </c>
      <c r="M865" t="n">
        <v>1.150745468830766</v>
      </c>
      <c r="N865" t="n">
        <v>0.7688564476885644</v>
      </c>
      <c r="O865" t="n">
        <v>15353.96913542517</v>
      </c>
      <c r="P865" t="n">
        <v>76352.29308182176</v>
      </c>
      <c r="Q865">
        <f>'_live'!$C$21</f>
        <v/>
      </c>
      <c r="R865" t="inlineStr">
        <is>
          <t>shuffled: 9,116 of 10,000</t>
        </is>
      </c>
      <c r="S865" t="inlineStr">
        <is>
          <t>shuffled: 5,766 of 10,000</t>
        </is>
      </c>
      <c r="T865" t="n">
        <v>0.07476936432056751</v>
      </c>
      <c r="U865" t="n">
        <v>0.06673265124466161</v>
      </c>
      <c r="V865">
        <f>AND(judged_band,NOT($J865))</f>
        <v/>
      </c>
      <c r="W865">
        <f>IF($K865="","",IF($I865,"too few losses to test",IF(AND($K865&gt;better_at,$K865&lt;worse_at),"in line",IF($K865&gt;=worse_at,IF(AND(ISNUMBER($L865),$L865&lt;significance_bar),"worse","worse, not significant"),IF(AND(ISNUMBER($L865),$L865&lt;significance_bar),"better","better, not significant")))))</f>
        <v/>
      </c>
      <c r="X865">
        <f>IF($M865="","",IF($I865,"too few losses to test",IF(AND($M865&gt;better_at,$M865&lt;worse_at),"in line",IF($M865&gt;=worse_at,IF(AND(ISNUMBER($N865),$N865&lt;significance_bar),"worse","worse, not significant"),IF(AND(ISNUMBER($N865),$N865&lt;significance_bar),"better","better, not significant")))))</f>
        <v/>
      </c>
      <c r="Y865">
        <f>IF($V865,$X865,$W865)</f>
        <v/>
      </c>
      <c r="Z865">
        <f>IF($V865,IF($P865="","",$P865),IF($O865="","",$O865))</f>
        <v/>
      </c>
      <c r="AA865">
        <f>IF(OR($Q865="",$Z865=""),"",IF(AND($Z865&gt;0,$Z865&gt;=$Q865),"yes","below the line"))</f>
        <v/>
      </c>
      <c r="AB865">
        <f>IF($V865,IF($M865="","",$M865),IF($K865="","",$K865))</f>
        <v/>
      </c>
      <c r="AC865">
        <f>IF($V865,IF($N865="","",$N865),IF($L865="","",$L865))</f>
        <v/>
      </c>
      <c r="AD865">
        <f>$Y865</f>
        <v/>
      </c>
      <c r="AE865">
        <f>IF($V865,IF($S865="","",$S865),IF($R865="","",$R865))</f>
        <v/>
      </c>
      <c r="AF865">
        <f>IF($V865,IF($U865="","",$U865),IF($T865="","",$T865))</f>
        <v/>
      </c>
      <c r="AG865">
        <f>IF($V865,IF($O865="","",$O865),IF($P865="","",$P865))</f>
        <v/>
      </c>
      <c r="AH865" t="n">
        <v>0.07679229604285816</v>
      </c>
      <c r="AI865">
        <f>IF($Y865="worse","Yes",IF($Y865="worse, not significant","Not sure",IF(OR($Y865="too few losses to test",$Y865="too few loans to test"),"Too few losses",IF($Y865="","","No"))))</f>
        <v/>
      </c>
      <c r="AJ865">
        <f>IF($AA865="yes","Yes",IF($AA865="","","No"))</f>
        <v/>
      </c>
    </row>
    <row r="866">
      <c r="A866" t="inlineStr">
        <is>
          <t>three-way</t>
        </is>
      </c>
      <c r="B866" t="inlineStr">
        <is>
          <t>ORIG_BAL x CHANNEL / SYS_FLAG</t>
        </is>
      </c>
      <c r="C866" t="inlineStr">
        <is>
          <t>26,324 - 37,950</t>
        </is>
      </c>
      <c r="D866" t="inlineStr">
        <is>
          <t>Branch / SYS_FLAG Y</t>
        </is>
      </c>
      <c r="E866" t="inlineStr">
        <is>
          <t>gco_rate</t>
        </is>
      </c>
      <c r="F866" t="inlineStr">
        <is>
          <t>GCO per booked dollar</t>
        </is>
      </c>
      <c r="G866" t="n">
        <v>236</v>
      </c>
      <c r="H866" t="n">
        <v>7589959.149999998</v>
      </c>
      <c r="I866" t="b">
        <v>0</v>
      </c>
      <c r="J866" t="b">
        <v>0</v>
      </c>
      <c r="K866" t="n">
        <v>1.057939370786628</v>
      </c>
      <c r="L866" t="n">
        <v>0.9822017798220178</v>
      </c>
      <c r="M866" t="n">
        <v>1.209650086485404</v>
      </c>
      <c r="N866" t="n">
        <v>0.7044095590440955</v>
      </c>
      <c r="O866" t="n">
        <v>18265.09656335379</v>
      </c>
      <c r="P866" t="n">
        <v>57802.18593246752</v>
      </c>
      <c r="Q866">
        <f>'_live'!$C$22</f>
        <v/>
      </c>
      <c r="R866" t="inlineStr">
        <is>
          <t>shuffled: 8,223 of 10,000</t>
        </is>
      </c>
      <c r="S866" t="inlineStr">
        <is>
          <t>shuffled: 4,547 of 10,000</t>
        </is>
      </c>
      <c r="T866" t="n">
        <v>0.0415344782766909</v>
      </c>
      <c r="U866" t="n">
        <v>0.03632534755704615</v>
      </c>
      <c r="V866">
        <f>AND(judged_band,NOT($J866))</f>
        <v/>
      </c>
      <c r="W866">
        <f>IF($K866="","",IF($I866,"too few losses to test",IF(AND($K866&gt;better_at,$K866&lt;worse_at),"in line",IF($K866&gt;=worse_at,IF(AND(ISNUMBER($L866),$L866&lt;significance_bar),"worse","worse, not significant"),IF(AND(ISNUMBER($L866),$L866&lt;significance_bar),"better","better, not significant")))))</f>
        <v/>
      </c>
      <c r="X866">
        <f>IF($M866="","",IF($I866,"too few losses to test",IF(AND($M866&gt;better_at,$M866&lt;worse_at),"in line",IF($M866&gt;=worse_at,IF(AND(ISNUMBER($N866),$N866&lt;significance_bar),"worse","worse, not significant"),IF(AND(ISNUMBER($N866),$N866&lt;significance_bar),"better","better, not significant")))))</f>
        <v/>
      </c>
      <c r="Y866">
        <f>IF($V866,$X866,$W866)</f>
        <v/>
      </c>
      <c r="Z866">
        <f>IF($V866,IF($P866="","",$P866),IF($O866="","",$O866))</f>
        <v/>
      </c>
      <c r="AA866">
        <f>IF(OR($Q866="",$Z866=""),"",IF(AND($Z866&gt;0,$Z866&gt;=$Q866),"yes","below the line"))</f>
        <v/>
      </c>
      <c r="AB866">
        <f>IF($V866,IF($M866="","",$M866),IF($K866="","",$K866))</f>
        <v/>
      </c>
      <c r="AC866">
        <f>IF($V866,IF($N866="","",$N866),IF($L866="","",$L866))</f>
        <v/>
      </c>
      <c r="AD866">
        <f>$Y866</f>
        <v/>
      </c>
      <c r="AE866">
        <f>IF($V866,IF($S866="","",$S866),IF($R866="","",$R866))</f>
        <v/>
      </c>
      <c r="AF866">
        <f>IF($V866,IF($U866="","",$U866),IF($T866="","",$T866))</f>
        <v/>
      </c>
      <c r="AG866">
        <f>IF($V866,IF($O866="","",$O866),IF($P866="","",$P866))</f>
        <v/>
      </c>
      <c r="AH866" t="n">
        <v>0.04394095981399322</v>
      </c>
      <c r="AI866">
        <f>IF($Y866="worse","Yes",IF($Y866="worse, not significant","Not sure",IF(OR($Y866="too few losses to test",$Y866="too few loans to test"),"Too few losses",IF($Y866="","","No"))))</f>
        <v/>
      </c>
      <c r="AJ866">
        <f>IF($AA866="yes","Yes",IF($AA866="","","No"))</f>
        <v/>
      </c>
    </row>
    <row r="867">
      <c r="A867" t="inlineStr">
        <is>
          <t>three-way</t>
        </is>
      </c>
      <c r="B867" t="inlineStr">
        <is>
          <t>ORIG_BAL x CHANNEL / SYS_FLAG</t>
        </is>
      </c>
      <c r="C867" t="inlineStr">
        <is>
          <t>26,324 - 37,950</t>
        </is>
      </c>
      <c r="D867" t="inlineStr">
        <is>
          <t>Branch / SYS_FLAG Y</t>
        </is>
      </c>
      <c r="E867" t="inlineStr">
        <is>
          <t>ranr_rate</t>
        </is>
      </c>
      <c r="F867" t="inlineStr">
        <is>
          <t>Profit after losses: RANR per booked dollar</t>
        </is>
      </c>
      <c r="G867" t="n">
        <v>236</v>
      </c>
      <c r="H867" t="n">
        <v>7589959.149999998</v>
      </c>
      <c r="I867" t="b">
        <v>0</v>
      </c>
      <c r="J867" t="b">
        <v>0</v>
      </c>
      <c r="K867" t="n">
        <v>-0.01439304102746682</v>
      </c>
      <c r="L867" t="n">
        <v>0.555944405559444</v>
      </c>
      <c r="M867" t="n">
        <v>-0.0202752646199003</v>
      </c>
      <c r="N867" t="n">
        <v>0.2337623380519091</v>
      </c>
      <c r="O867" t="n">
        <v>109242.5934427471</v>
      </c>
      <c r="P867" t="n">
        <v>153888.4302204835</v>
      </c>
      <c r="Q867">
        <f>'_live'!$C$23</f>
        <v/>
      </c>
      <c r="R867" t="inlineStr">
        <is>
          <t>shuffled: 2,779 of 10,000</t>
        </is>
      </c>
      <c r="S867" t="inlineStr">
        <is>
          <t>shuffled: 1,090 of 10,000</t>
        </is>
      </c>
      <c r="T867" t="n">
        <v>0.1284133582514403</v>
      </c>
      <c r="U867" t="n">
        <v>0.1342955818438738</v>
      </c>
      <c r="V867">
        <f>AND(judged_band,NOT($J867))</f>
        <v/>
      </c>
      <c r="W867">
        <f>IF($K867="","",IF(profit_kind="test",IF(OR(NOT(AND(ISNUMBER($L867),$L867&lt;significance_bar)),$K867=0),"in line",IF($K867&lt;0,"worse","better")),IF(OR($K867=0,IF(profit_kind="points",ABS($K867),ABS($K867*$H867))&lt;profit_line*(1-1E-9)),"in line",IF(AND(ISNUMBER($L867),$L867&lt;significance_bar),IF($K867&lt;0,"worse","better"),IF($K867&lt;0,"worse, not significant","better, not significant")))))</f>
        <v/>
      </c>
      <c r="X867">
        <f>IF($M867="","",IF(profit_kind="test",IF(OR(NOT(AND(ISNUMBER($N867),$N867&lt;significance_bar)),$M867=0),"in line",IF($M867&lt;0,"worse","better")),IF(OR($M867=0,IF(profit_kind="points",ABS($M867),ABS($M867*$H867))&lt;profit_line*(1-1E-9)),"in line",IF(AND(ISNUMBER($N867),$N867&lt;significance_bar),IF($M867&lt;0,"worse","better"),IF($M867&lt;0,"worse, not significant","better, not significant")))))</f>
        <v/>
      </c>
      <c r="Y867">
        <f>IF($V867,$X867,$W867)</f>
        <v/>
      </c>
      <c r="Z867">
        <f>IF($V867,IF($P867="","",$P867),IF($O867="","",$O867))</f>
        <v/>
      </c>
      <c r="AA867">
        <f>IF(OR($Q867="",$Z867=""),"",IF(AND($Z867&gt;0,$Z867&gt;=$Q867),"yes","below the line"))</f>
        <v/>
      </c>
      <c r="AB867">
        <f>IF($V867,IF($M867="","",$M867),IF($K867="","",$K867))</f>
        <v/>
      </c>
      <c r="AC867">
        <f>IF($V867,IF($N867="","",$N867),IF($L867="","",$L867))</f>
        <v/>
      </c>
      <c r="AD867">
        <f>IF($Y867="","",IF($Y867="in line",IF(profit_kind="test",IF(ROUND($AB867*100,2)=0,"0.00",TEXT($AB867*100,"+0.00;-0.00"))&amp;" points against "&amp;IF($V867,"its band","the book")&amp;", "&amp;IF($AC867="","not tested","not significant"),IF(profit_kind="points","within "&amp;TEXT(profit_line*100,"0.00")&amp;" points of "&amp;IF($V867,"its band","the book")&amp;" ("&amp;IF(ROUND($AB867*100,2)=0,"0.00",TEXT($AB867*100,"+0.00;-0.00"))&amp;")","within $"&amp;TEXT(profit_line,"#,##0")&amp;" of "&amp;IF($V867,"its band","the book")&amp;" ("&amp;IF(ROUND($AB867*100,2)=0,"0.00",TEXT($AB867*100,"+0.00;-0.00"))&amp;" points)")),IF(LEFT($Y867,5)="worse","short of ","ahead of ")&amp;IF($V867,"its band","the book")&amp;" by "&amp;TEXT(ABS($AB867)*100,"0.00")&amp;" points"&amp;IF($Z867="",""," ($"&amp;TEXT(ABS($Z867),"#,##0")&amp;")")&amp;IF(RIGHT($Y867,15)="not significant"," (not significant)","")))</f>
        <v/>
      </c>
      <c r="AE867">
        <f>IF($V867,IF($S867="","",$S867),IF($R867="","",$R867))</f>
        <v/>
      </c>
      <c r="AF867">
        <f>IF($V867,IF($U867="","",$U867),IF($T867="","",$T867))</f>
        <v/>
      </c>
      <c r="AG867">
        <f>IF($V867,IF($O867="","",$O867),IF($P867="","",$P867))</f>
        <v/>
      </c>
      <c r="AH867" t="n">
        <v>0.1140203172239735</v>
      </c>
      <c r="AI867">
        <f>IF($Y867="worse","Yes",IF($Y867="worse, not significant","Not sure",IF(OR($Y867="too few losses to test",$Y867="too few loans to test"),"Too few losses",IF($Y867="","","No"))))</f>
        <v/>
      </c>
      <c r="AJ867">
        <f>IF($AA867="yes","Yes",IF($AA867="","","No"))</f>
        <v/>
      </c>
    </row>
    <row r="868">
      <c r="A868" t="inlineStr">
        <is>
          <t>three-way</t>
        </is>
      </c>
      <c r="B868" t="inlineStr">
        <is>
          <t>ORIG_BAL x CHANNEL / SYS_FLAG</t>
        </is>
      </c>
      <c r="C868" t="inlineStr">
        <is>
          <t>26,324 - 37,950</t>
        </is>
      </c>
      <c r="D868" t="inlineStr">
        <is>
          <t>Branch / SYS_FLAG Y</t>
        </is>
      </c>
      <c r="E868" t="inlineStr">
        <is>
          <t>contribution_rate</t>
        </is>
      </c>
      <c r="F868" t="inlineStr">
        <is>
          <t>Contribution before losses per booked dollar</t>
        </is>
      </c>
      <c r="G868" t="n">
        <v>236</v>
      </c>
      <c r="H868" t="n">
        <v>7589959.149999998</v>
      </c>
      <c r="I868" t="b">
        <v>0</v>
      </c>
      <c r="J868" t="b">
        <v>0</v>
      </c>
      <c r="K868" t="n">
        <v>-0.01198368066680963</v>
      </c>
      <c r="L868" t="n">
        <v>0.3228624505970455</v>
      </c>
      <c r="M868" t="n">
        <v>-0.01265965236295316</v>
      </c>
      <c r="N868" t="n">
        <v>0.3046838173325525</v>
      </c>
      <c r="O868" t="n">
        <v>90955.64672772982</v>
      </c>
      <c r="P868" t="n">
        <v>96086.24428801541</v>
      </c>
      <c r="Q868">
        <f>'_live'!$C$24</f>
        <v/>
      </c>
      <c r="R868" t="inlineStr">
        <is>
          <t>shuffled: 1,729 of 10,000</t>
        </is>
      </c>
      <c r="S868" t="inlineStr">
        <is>
          <t>shuffled: 1,421 of 10,000</t>
        </is>
      </c>
      <c r="T868" t="n">
        <v>0.1699449577047764</v>
      </c>
      <c r="U868" t="n">
        <v>0.1706209294009199</v>
      </c>
      <c r="V868">
        <f>AND(judged_band,NOT($J868))</f>
        <v/>
      </c>
      <c r="W868">
        <f>IF($K868="","",IF(profit_kind="test",IF(OR(NOT(AND(ISNUMBER($L868),$L868&lt;significance_bar)),$K868=0),"in line",IF($K868&lt;0,"worse","better")),IF(OR($K868=0,IF(profit_kind="points",ABS($K868),ABS($K868*$H868))&lt;profit_line*(1-1E-9)),"in line",IF(AND(ISNUMBER($L868),$L868&lt;significance_bar),IF($K868&lt;0,"worse","better"),IF($K868&lt;0,"worse, not significant","better, not significant")))))</f>
        <v/>
      </c>
      <c r="X868">
        <f>IF($M868="","",IF(profit_kind="test",IF(OR(NOT(AND(ISNUMBER($N868),$N868&lt;significance_bar)),$M868=0),"in line",IF($M868&lt;0,"worse","better")),IF(OR($M868=0,IF(profit_kind="points",ABS($M868),ABS($M868*$H868))&lt;profit_line*(1-1E-9)),"in line",IF(AND(ISNUMBER($N868),$N868&lt;significance_bar),IF($M868&lt;0,"worse","better"),IF($M868&lt;0,"worse, not significant","better, not significant")))))</f>
        <v/>
      </c>
      <c r="Y868">
        <f>IF($V868,$X868,$W868)</f>
        <v/>
      </c>
      <c r="Z868">
        <f>IF($V868,IF($P868="","",$P868),IF($O868="","",$O868))</f>
        <v/>
      </c>
      <c r="AA868">
        <f>IF(OR($Q868="",$Z868=""),"",IF(AND($Z868&gt;0,$Z868&gt;=$Q868),"yes","below the line"))</f>
        <v/>
      </c>
      <c r="AB868">
        <f>IF($V868,IF($M868="","",$M868),IF($K868="","",$K868))</f>
        <v/>
      </c>
      <c r="AC868">
        <f>IF($V868,IF($N868="","",$N868),IF($L868="","",$L868))</f>
        <v/>
      </c>
      <c r="AD868">
        <f>IF($Y868="","",IF($Y868="in line",IF(profit_kind="test",IF(ROUND($AB868*100,2)=0,"0.00",TEXT($AB868*100,"+0.00;-0.00"))&amp;" points against "&amp;IF($V868,"its band","the book")&amp;", "&amp;IF($AC868="","not tested","not significant"),IF(profit_kind="points","within "&amp;TEXT(profit_line*100,"0.00")&amp;" points of "&amp;IF($V868,"its band","the book")&amp;" ("&amp;IF(ROUND($AB868*100,2)=0,"0.00",TEXT($AB868*100,"+0.00;-0.00"))&amp;")","within $"&amp;TEXT(profit_line,"#,##0")&amp;" of "&amp;IF($V868,"its band","the book")&amp;" ("&amp;IF(ROUND($AB868*100,2)=0,"0.00",TEXT($AB868*100,"+0.00;-0.00"))&amp;" points)")),IF(LEFT($Y868,5)="worse","short of ","ahead of ")&amp;IF($V868,"its band","the book")&amp;" by "&amp;TEXT(ABS($AB868)*100,"0.00")&amp;" points"&amp;IF($Z868="",""," ($"&amp;TEXT(ABS($Z868),"#,##0")&amp;")")&amp;IF(RIGHT($Y868,15)="not significant"," (not significant)","")))</f>
        <v/>
      </c>
      <c r="AE868">
        <f>IF($V868,IF($S868="","",$S868),IF($R868="","",$R868))</f>
        <v/>
      </c>
      <c r="AF868">
        <f>IF($V868,IF($U868="","",$U868),IF($T868="","",$T868))</f>
        <v/>
      </c>
      <c r="AG868">
        <f>IF($V868,IF($O868="","",$O868),IF($P868="","",$P868))</f>
        <v/>
      </c>
      <c r="AH868" t="n">
        <v>0.1579612770379667</v>
      </c>
      <c r="AI868">
        <f>IF($Y868="worse","Yes",IF($Y868="worse, not significant","Not sure",IF(OR($Y868="too few losses to test",$Y868="too few loans to test"),"Too few losses",IF($Y868="","","No"))))</f>
        <v/>
      </c>
      <c r="AJ868">
        <f>IF($AA868="yes","Yes",IF($AA868="","","No"))</f>
        <v/>
      </c>
    </row>
    <row r="869">
      <c r="A869" t="inlineStr">
        <is>
          <t>three-way</t>
        </is>
      </c>
      <c r="B869" t="inlineStr">
        <is>
          <t>ORIG_BAL x CHANNEL / SYS_FLAG</t>
        </is>
      </c>
      <c r="C869" t="inlineStr">
        <is>
          <t>37,951 - 49,151</t>
        </is>
      </c>
      <c r="D869" t="inlineStr">
        <is>
          <t>Branch / SYS_FLAG Y</t>
        </is>
      </c>
      <c r="E869" t="inlineStr">
        <is>
          <t>outcome_loans</t>
        </is>
      </c>
      <c r="F869" t="inlineStr">
        <is>
          <t>Outcome, share of loans</t>
        </is>
      </c>
      <c r="G869" t="n">
        <v>257</v>
      </c>
      <c r="H869" t="n">
        <v>257</v>
      </c>
      <c r="I869" t="b">
        <v>0</v>
      </c>
      <c r="J869" t="b">
        <v>0</v>
      </c>
      <c r="K869" t="n">
        <v>1.162523176559685</v>
      </c>
      <c r="L869" t="n">
        <v>0.6782122212982824</v>
      </c>
      <c r="M869" t="n">
        <v>1.082798752059452</v>
      </c>
      <c r="N869" t="n">
        <v>0.8987489474994704</v>
      </c>
      <c r="O869" t="n">
        <v>3.215448204598296</v>
      </c>
      <c r="P869" t="n">
        <v>1.758749069247951</v>
      </c>
      <c r="Q869">
        <f>'_live'!$C$20</f>
        <v/>
      </c>
      <c r="R869" t="inlineStr">
        <is>
          <t>z test</t>
        </is>
      </c>
      <c r="S869" t="inlineStr">
        <is>
          <t>z test</t>
        </is>
      </c>
      <c r="T869" t="n">
        <v>0.07698269181090157</v>
      </c>
      <c r="U869" t="n">
        <v>0.08265078183172003</v>
      </c>
      <c r="V869">
        <f>AND(judged_band,NOT($J869))</f>
        <v/>
      </c>
      <c r="W869">
        <f>IF($K869="","",IF($I869,"too few losses to test",IF(AND($K869&gt;better_at,$K869&lt;worse_at),"in line",IF($K869&gt;=worse_at,IF(AND(ISNUMBER($L869),$L869&lt;significance_bar),"worse","worse, not significant"),IF(AND(ISNUMBER($L869),$L869&lt;significance_bar),"better","better, not significant")))))</f>
        <v/>
      </c>
      <c r="X869">
        <f>IF($M869="","",IF($I869,"too few losses to test",IF(AND($M869&gt;better_at,$M869&lt;worse_at),"in line",IF($M869&gt;=worse_at,IF(AND(ISNUMBER($N869),$N869&lt;significance_bar),"worse","worse, not significant"),IF(AND(ISNUMBER($N869),$N869&lt;significance_bar),"better","better, not significant")))))</f>
        <v/>
      </c>
      <c r="Y869">
        <f>IF($V869,$X869,$W869)</f>
        <v/>
      </c>
      <c r="Z869">
        <f>IF($V869,IF($P869="","",$P869),IF($O869="","",$O869))</f>
        <v/>
      </c>
      <c r="AA869">
        <f>IF(OR($Q869="",$Z869=""),"",IF(AND($Z869&gt;0,$Z869&gt;=$Q869),"yes","below the line"))</f>
        <v/>
      </c>
      <c r="AB869">
        <f>IF($V869,IF($M869="","",$M869),IF($K869="","",$K869))</f>
        <v/>
      </c>
      <c r="AC869">
        <f>IF($V869,IF($N869="","",$N869),IF($L869="","",$L869))</f>
        <v/>
      </c>
      <c r="AD869">
        <f>$Y869</f>
        <v/>
      </c>
      <c r="AE869">
        <f>IF($V869,IF($S869="","",$S869),IF($R869="","",$R869))</f>
        <v/>
      </c>
      <c r="AF869">
        <f>IF($V869,IF($U869="","",$U869),IF($T869="","",$T869))</f>
        <v/>
      </c>
      <c r="AG869">
        <f>IF($V869,IF($O869="","",$O869),IF($P869="","",$P869))</f>
        <v/>
      </c>
      <c r="AH869" t="n">
        <v>0.08949416342412451</v>
      </c>
      <c r="AI869">
        <f>IF($Y869="worse","Yes",IF($Y869="worse, not significant","Not sure",IF(OR($Y869="too few losses to test",$Y869="too few loans to test"),"Too few losses",IF($Y869="","","No"))))</f>
        <v/>
      </c>
      <c r="AJ869">
        <f>IF($AA869="yes","Yes",IF($AA869="","","No"))</f>
        <v/>
      </c>
    </row>
    <row r="870">
      <c r="A870" t="inlineStr">
        <is>
          <t>three-way</t>
        </is>
      </c>
      <c r="B870" t="inlineStr">
        <is>
          <t>ORIG_BAL x CHANNEL / SYS_FLAG</t>
        </is>
      </c>
      <c r="C870" t="inlineStr">
        <is>
          <t>37,951 - 49,151</t>
        </is>
      </c>
      <c r="D870" t="inlineStr">
        <is>
          <t>Branch / SYS_FLAG Y</t>
        </is>
      </c>
      <c r="E870" t="inlineStr">
        <is>
          <t>outcome_booked</t>
        </is>
      </c>
      <c r="F870" t="inlineStr">
        <is>
          <t>Outcome, share of booked dollars</t>
        </is>
      </c>
      <c r="G870" t="n">
        <v>257</v>
      </c>
      <c r="H870" t="n">
        <v>11195501.51</v>
      </c>
      <c r="I870" t="b">
        <v>0</v>
      </c>
      <c r="J870" t="b">
        <v>0</v>
      </c>
      <c r="K870" t="n">
        <v>1.158969818120893</v>
      </c>
      <c r="L870" t="n">
        <v>0.8179603092322347</v>
      </c>
      <c r="M870" t="n">
        <v>1.04391121631503</v>
      </c>
      <c r="N870" t="n">
        <v>0.9031250721081737</v>
      </c>
      <c r="O870" t="n">
        <v>132264.1631187387</v>
      </c>
      <c r="P870" t="n">
        <v>40561.26959916449</v>
      </c>
      <c r="Q870">
        <f>'_live'!$C$21</f>
        <v/>
      </c>
      <c r="R870" t="inlineStr">
        <is>
          <t>shuffled: 5,287 of 10,000</t>
        </is>
      </c>
      <c r="S870" t="inlineStr">
        <is>
          <t>shuffled: 8,357 of 10,000</t>
        </is>
      </c>
      <c r="T870" t="n">
        <v>0.07431627927861013</v>
      </c>
      <c r="U870" t="n">
        <v>0.08250732757043196</v>
      </c>
      <c r="V870">
        <f>AND(judged_band,NOT($J870))</f>
        <v/>
      </c>
      <c r="W870">
        <f>IF($K870="","",IF($I870,"too few losses to test",IF(AND($K870&gt;better_at,$K870&lt;worse_at),"in line",IF($K870&gt;=worse_at,IF(AND(ISNUMBER($L870),$L870&lt;significance_bar),"worse","worse, not significant"),IF(AND(ISNUMBER($L870),$L870&lt;significance_bar),"better","better, not significant")))))</f>
        <v/>
      </c>
      <c r="X870">
        <f>IF($M870="","",IF($I870,"too few losses to test",IF(AND($M870&gt;better_at,$M870&lt;worse_at),"in line",IF($M870&gt;=worse_at,IF(AND(ISNUMBER($N870),$N870&lt;significance_bar),"worse","worse, not significant"),IF(AND(ISNUMBER($N870),$N870&lt;significance_bar),"better","better, not significant")))))</f>
        <v/>
      </c>
      <c r="Y870">
        <f>IF($V870,$X870,$W870)</f>
        <v/>
      </c>
      <c r="Z870">
        <f>IF($V870,IF($P870="","",$P870),IF($O870="","",$O870))</f>
        <v/>
      </c>
      <c r="AA870">
        <f>IF(OR($Q870="",$Z870=""),"",IF(AND($Z870&gt;0,$Z870&gt;=$Q870),"yes","below the line"))</f>
        <v/>
      </c>
      <c r="AB870">
        <f>IF($V870,IF($M870="","",$M870),IF($K870="","",$K870))</f>
        <v/>
      </c>
      <c r="AC870">
        <f>IF($V870,IF($N870="","",$N870),IF($L870="","",$L870))</f>
        <v/>
      </c>
      <c r="AD870">
        <f>$Y870</f>
        <v/>
      </c>
      <c r="AE870">
        <f>IF($V870,IF($S870="","",$S870),IF($R870="","",$R870))</f>
        <v/>
      </c>
      <c r="AF870">
        <f>IF($V870,IF($U870="","",$U870),IF($T870="","",$T870))</f>
        <v/>
      </c>
      <c r="AG870">
        <f>IF($V870,IF($O870="","",$O870),IF($P870="","",$P870))</f>
        <v/>
      </c>
      <c r="AH870" t="n">
        <v>0.08613032467895225</v>
      </c>
      <c r="AI870">
        <f>IF($Y870="worse","Yes",IF($Y870="worse, not significant","Not sure",IF(OR($Y870="too few losses to test",$Y870="too few loans to test"),"Too few losses",IF($Y870="","","No"))))</f>
        <v/>
      </c>
      <c r="AJ870">
        <f>IF($AA870="yes","Yes",IF($AA870="","","No"))</f>
        <v/>
      </c>
    </row>
    <row r="871">
      <c r="A871" t="inlineStr">
        <is>
          <t>three-way</t>
        </is>
      </c>
      <c r="B871" t="inlineStr">
        <is>
          <t>ORIG_BAL x CHANNEL / SYS_FLAG</t>
        </is>
      </c>
      <c r="C871" t="inlineStr">
        <is>
          <t>37,951 - 49,151</t>
        </is>
      </c>
      <c r="D871" t="inlineStr">
        <is>
          <t>Branch / SYS_FLAG Y</t>
        </is>
      </c>
      <c r="E871" t="inlineStr">
        <is>
          <t>gco_rate</t>
        </is>
      </c>
      <c r="F871" t="inlineStr">
        <is>
          <t>GCO per booked dollar</t>
        </is>
      </c>
      <c r="G871" t="n">
        <v>257</v>
      </c>
      <c r="H871" t="n">
        <v>11195501.51</v>
      </c>
      <c r="I871" t="b">
        <v>0</v>
      </c>
      <c r="J871" t="b">
        <v>0</v>
      </c>
      <c r="K871" t="n">
        <v>1.123014087474663</v>
      </c>
      <c r="L871" t="n">
        <v>0.9594198474889354</v>
      </c>
      <c r="M871" t="n">
        <v>0.9926038513658585</v>
      </c>
      <c r="N871" t="n">
        <v>0.9753024697530247</v>
      </c>
      <c r="O871" t="n">
        <v>56994.75041239365</v>
      </c>
      <c r="P871" t="n">
        <v>-3876.991825606732</v>
      </c>
      <c r="Q871">
        <f>'_live'!$C$22</f>
        <v/>
      </c>
      <c r="R871" t="inlineStr">
        <is>
          <t>shuffled: 6,428 of 10,000</t>
        </is>
      </c>
      <c r="S871" t="inlineStr">
        <is>
          <t>shuffled: 9,753 of 10,000</t>
        </is>
      </c>
      <c r="T871" t="n">
        <v>0.04138438007209973</v>
      </c>
      <c r="U871" t="n">
        <v>0.04682154089813587</v>
      </c>
      <c r="V871">
        <f>AND(judged_band,NOT($J871))</f>
        <v/>
      </c>
      <c r="W871">
        <f>IF($K871="","",IF($I871,"too few losses to test",IF(AND($K871&gt;better_at,$K871&lt;worse_at),"in line",IF($K871&gt;=worse_at,IF(AND(ISNUMBER($L871),$L871&lt;significance_bar),"worse","worse, not significant"),IF(AND(ISNUMBER($L871),$L871&lt;significance_bar),"better","better, not significant")))))</f>
        <v/>
      </c>
      <c r="X871">
        <f>IF($M871="","",IF($I871,"too few losses to test",IF(AND($M871&gt;better_at,$M871&lt;worse_at),"in line",IF($M871&gt;=worse_at,IF(AND(ISNUMBER($N871),$N871&lt;significance_bar),"worse","worse, not significant"),IF(AND(ISNUMBER($N871),$N871&lt;significance_bar),"better","better, not significant")))))</f>
        <v/>
      </c>
      <c r="Y871">
        <f>IF($V871,$X871,$W871)</f>
        <v/>
      </c>
      <c r="Z871">
        <f>IF($V871,IF($P871="","",$P871),IF($O871="","",$O871))</f>
        <v/>
      </c>
      <c r="AA871">
        <f>IF(OR($Q871="",$Z871=""),"",IF(AND($Z871&gt;0,$Z871&gt;=$Q871),"yes","below the line"))</f>
        <v/>
      </c>
      <c r="AB871">
        <f>IF($V871,IF($M871="","",$M871),IF($K871="","",$K871))</f>
        <v/>
      </c>
      <c r="AC871">
        <f>IF($V871,IF($N871="","",$N871),IF($L871="","",$L871))</f>
        <v/>
      </c>
      <c r="AD871">
        <f>$Y871</f>
        <v/>
      </c>
      <c r="AE871">
        <f>IF($V871,IF($S871="","",$S871),IF($R871="","",$R871))</f>
        <v/>
      </c>
      <c r="AF871">
        <f>IF($V871,IF($U871="","",$U871),IF($T871="","",$T871))</f>
        <v/>
      </c>
      <c r="AG871">
        <f>IF($V871,IF($O871="","",$O871),IF($P871="","",$P871))</f>
        <v/>
      </c>
      <c r="AH871" t="n">
        <v>0.04647524182237373</v>
      </c>
      <c r="AI871">
        <f>IF($Y871="worse","Yes",IF($Y871="worse, not significant","Not sure",IF(OR($Y871="too few losses to test",$Y871="too few loans to test"),"Too few losses",IF($Y871="","","No"))))</f>
        <v/>
      </c>
      <c r="AJ871">
        <f>IF($AA871="yes","Yes",IF($AA871="","","No"))</f>
        <v/>
      </c>
    </row>
    <row r="872">
      <c r="A872" t="inlineStr">
        <is>
          <t>three-way</t>
        </is>
      </c>
      <c r="B872" t="inlineStr">
        <is>
          <t>ORIG_BAL x CHANNEL / SYS_FLAG</t>
        </is>
      </c>
      <c r="C872" t="inlineStr">
        <is>
          <t>37,951 - 49,151</t>
        </is>
      </c>
      <c r="D872" t="inlineStr">
        <is>
          <t>Branch / SYS_FLAG Y</t>
        </is>
      </c>
      <c r="E872" t="inlineStr">
        <is>
          <t>ranr_rate</t>
        </is>
      </c>
      <c r="F872" t="inlineStr">
        <is>
          <t>Profit after losses: RANR per booked dollar</t>
        </is>
      </c>
      <c r="G872" t="n">
        <v>257</v>
      </c>
      <c r="H872" t="n">
        <v>11195501.51</v>
      </c>
      <c r="I872" t="b">
        <v>0</v>
      </c>
      <c r="J872" t="b">
        <v>0</v>
      </c>
      <c r="K872" t="n">
        <v>-0.02155837439505322</v>
      </c>
      <c r="L872" t="n">
        <v>0.2312076484659226</v>
      </c>
      <c r="M872" t="n">
        <v>-0.0179438605627862</v>
      </c>
      <c r="N872" t="n">
        <v>0.3054694530546945</v>
      </c>
      <c r="O872" t="n">
        <v>241356.8130929635</v>
      </c>
      <c r="P872" t="n">
        <v>200890.5180259023</v>
      </c>
      <c r="Q872">
        <f>'_live'!$C$23</f>
        <v/>
      </c>
      <c r="R872" t="inlineStr">
        <is>
          <t>shuffled: 1,001 of 10,000</t>
        </is>
      </c>
      <c r="S872" t="inlineStr">
        <is>
          <t>shuffled: 1,832 of 10,000</t>
        </is>
      </c>
      <c r="T872" t="n">
        <v>0.1289252930566542</v>
      </c>
      <c r="U872" t="n">
        <v>0.1253107792243872</v>
      </c>
      <c r="V872">
        <f>AND(judged_band,NOT($J872))</f>
        <v/>
      </c>
      <c r="W872">
        <f>IF($K872="","",IF(profit_kind="test",IF(OR(NOT(AND(ISNUMBER($L872),$L872&lt;significance_bar)),$K872=0),"in line",IF($K872&lt;0,"worse","better")),IF(OR($K872=0,IF(profit_kind="points",ABS($K872),ABS($K872*$H872))&lt;profit_line*(1-1E-9)),"in line",IF(AND(ISNUMBER($L872),$L872&lt;significance_bar),IF($K872&lt;0,"worse","better"),IF($K872&lt;0,"worse, not significant","better, not significant")))))</f>
        <v/>
      </c>
      <c r="X872">
        <f>IF($M872="","",IF(profit_kind="test",IF(OR(NOT(AND(ISNUMBER($N872),$N872&lt;significance_bar)),$M872=0),"in line",IF($M872&lt;0,"worse","better")),IF(OR($M872=0,IF(profit_kind="points",ABS($M872),ABS($M872*$H872))&lt;profit_line*(1-1E-9)),"in line",IF(AND(ISNUMBER($N872),$N872&lt;significance_bar),IF($M872&lt;0,"worse","better"),IF($M872&lt;0,"worse, not significant","better, not significant")))))</f>
        <v/>
      </c>
      <c r="Y872">
        <f>IF($V872,$X872,$W872)</f>
        <v/>
      </c>
      <c r="Z872">
        <f>IF($V872,IF($P872="","",$P872),IF($O872="","",$O872))</f>
        <v/>
      </c>
      <c r="AA872">
        <f>IF(OR($Q872="",$Z872=""),"",IF(AND($Z872&gt;0,$Z872&gt;=$Q872),"yes","below the line"))</f>
        <v/>
      </c>
      <c r="AB872">
        <f>IF($V872,IF($M872="","",$M872),IF($K872="","",$K872))</f>
        <v/>
      </c>
      <c r="AC872">
        <f>IF($V872,IF($N872="","",$N872),IF($L872="","",$L872))</f>
        <v/>
      </c>
      <c r="AD872">
        <f>IF($Y872="","",IF($Y872="in line",IF(profit_kind="test",IF(ROUND($AB872*100,2)=0,"0.00",TEXT($AB872*100,"+0.00;-0.00"))&amp;" points against "&amp;IF($V872,"its band","the book")&amp;", "&amp;IF($AC872="","not tested","not significant"),IF(profit_kind="points","within "&amp;TEXT(profit_line*100,"0.00")&amp;" points of "&amp;IF($V872,"its band","the book")&amp;" ("&amp;IF(ROUND($AB872*100,2)=0,"0.00",TEXT($AB872*100,"+0.00;-0.00"))&amp;")","within $"&amp;TEXT(profit_line,"#,##0")&amp;" of "&amp;IF($V872,"its band","the book")&amp;" ("&amp;IF(ROUND($AB872*100,2)=0,"0.00",TEXT($AB872*100,"+0.00;-0.00"))&amp;" points)")),IF(LEFT($Y872,5)="worse","short of ","ahead of ")&amp;IF($V872,"its band","the book")&amp;" by "&amp;TEXT(ABS($AB872)*100,"0.00")&amp;" points"&amp;IF($Z872="",""," ($"&amp;TEXT(ABS($Z872),"#,##0")&amp;")")&amp;IF(RIGHT($Y872,15)="not significant"," (not significant)","")))</f>
        <v/>
      </c>
      <c r="AE872">
        <f>IF($V872,IF($S872="","",$S872),IF($R872="","",$R872))</f>
        <v/>
      </c>
      <c r="AF872">
        <f>IF($V872,IF($U872="","",$U872),IF($T872="","",$T872))</f>
        <v/>
      </c>
      <c r="AG872">
        <f>IF($V872,IF($O872="","",$O872),IF($P872="","",$P872))</f>
        <v/>
      </c>
      <c r="AH872" t="n">
        <v>0.107366918661601</v>
      </c>
      <c r="AI872">
        <f>IF($Y872="worse","Yes",IF($Y872="worse, not significant","Not sure",IF(OR($Y872="too few losses to test",$Y872="too few loans to test"),"Too few losses",IF($Y872="","","No"))))</f>
        <v/>
      </c>
      <c r="AJ872">
        <f>IF($AA872="yes","Yes",IF($AA872="","","No"))</f>
        <v/>
      </c>
    </row>
    <row r="873">
      <c r="A873" t="inlineStr">
        <is>
          <t>three-way</t>
        </is>
      </c>
      <c r="B873" t="inlineStr">
        <is>
          <t>ORIG_BAL x CHANNEL / SYS_FLAG</t>
        </is>
      </c>
      <c r="C873" t="inlineStr">
        <is>
          <t>37,951 - 49,151</t>
        </is>
      </c>
      <c r="D873" t="inlineStr">
        <is>
          <t>Branch / SYS_FLAG Y</t>
        </is>
      </c>
      <c r="E873" t="inlineStr">
        <is>
          <t>contribution_rate</t>
        </is>
      </c>
      <c r="F873" t="inlineStr">
        <is>
          <t>Contribution before losses per booked dollar</t>
        </is>
      </c>
      <c r="G873" t="n">
        <v>257</v>
      </c>
      <c r="H873" t="n">
        <v>11195501.51</v>
      </c>
      <c r="I873" t="b">
        <v>0</v>
      </c>
      <c r="J873" t="b">
        <v>0</v>
      </c>
      <c r="K873" t="n">
        <v>-0.01646467407581084</v>
      </c>
      <c r="L873" t="n">
        <v>0.1691830816918308</v>
      </c>
      <c r="M873" t="n">
        <v>-0.0182757214834065</v>
      </c>
      <c r="N873" t="n">
        <v>0.1174168297455969</v>
      </c>
      <c r="O873" t="n">
        <v>184330.2834773981</v>
      </c>
      <c r="P873" t="n">
        <v>204605.8674638169</v>
      </c>
      <c r="Q873">
        <f>'_live'!$C$24</f>
        <v/>
      </c>
      <c r="R873" t="inlineStr">
        <is>
          <t>shuffled: 563 of 10,000</t>
        </is>
      </c>
      <c r="S873" t="inlineStr">
        <is>
          <t>shuffled: 273 of 10,000</t>
        </is>
      </c>
      <c r="T873" t="n">
        <v>0.1703068345597853</v>
      </c>
      <c r="U873" t="n">
        <v>0.172117881967381</v>
      </c>
      <c r="V873">
        <f>AND(judged_band,NOT($J873))</f>
        <v/>
      </c>
      <c r="W873">
        <f>IF($K873="","",IF(profit_kind="test",IF(OR(NOT(AND(ISNUMBER($L873),$L873&lt;significance_bar)),$K873=0),"in line",IF($K873&lt;0,"worse","better")),IF(OR($K873=0,IF(profit_kind="points",ABS($K873),ABS($K873*$H873))&lt;profit_line*(1-1E-9)),"in line",IF(AND(ISNUMBER($L873),$L873&lt;significance_bar),IF($K873&lt;0,"worse","better"),IF($K873&lt;0,"worse, not significant","better, not significant")))))</f>
        <v/>
      </c>
      <c r="X873">
        <f>IF($M873="","",IF(profit_kind="test",IF(OR(NOT(AND(ISNUMBER($N873),$N873&lt;significance_bar)),$M873=0),"in line",IF($M873&lt;0,"worse","better")),IF(OR($M873=0,IF(profit_kind="points",ABS($M873),ABS($M873*$H873))&lt;profit_line*(1-1E-9)),"in line",IF(AND(ISNUMBER($N873),$N873&lt;significance_bar),IF($M873&lt;0,"worse","better"),IF($M873&lt;0,"worse, not significant","better, not significant")))))</f>
        <v/>
      </c>
      <c r="Y873">
        <f>IF($V873,$X873,$W873)</f>
        <v/>
      </c>
      <c r="Z873">
        <f>IF($V873,IF($P873="","",$P873),IF($O873="","",$O873))</f>
        <v/>
      </c>
      <c r="AA873">
        <f>IF(OR($Q873="",$Z873=""),"",IF(AND($Z873&gt;0,$Z873&gt;=$Q873),"yes","below the line"))</f>
        <v/>
      </c>
      <c r="AB873">
        <f>IF($V873,IF($M873="","",$M873),IF($K873="","",$K873))</f>
        <v/>
      </c>
      <c r="AC873">
        <f>IF($V873,IF($N873="","",$N873),IF($L873="","",$L873))</f>
        <v/>
      </c>
      <c r="AD873">
        <f>IF($Y873="","",IF($Y873="in line",IF(profit_kind="test",IF(ROUND($AB873*100,2)=0,"0.00",TEXT($AB873*100,"+0.00;-0.00"))&amp;" points against "&amp;IF($V873,"its band","the book")&amp;", "&amp;IF($AC873="","not tested","not significant"),IF(profit_kind="points","within "&amp;TEXT(profit_line*100,"0.00")&amp;" points of "&amp;IF($V873,"its band","the book")&amp;" ("&amp;IF(ROUND($AB873*100,2)=0,"0.00",TEXT($AB873*100,"+0.00;-0.00"))&amp;")","within $"&amp;TEXT(profit_line,"#,##0")&amp;" of "&amp;IF($V873,"its band","the book")&amp;" ("&amp;IF(ROUND($AB873*100,2)=0,"0.00",TEXT($AB873*100,"+0.00;-0.00"))&amp;" points)")),IF(LEFT($Y873,5)="worse","short of ","ahead of ")&amp;IF($V873,"its band","the book")&amp;" by "&amp;TEXT(ABS($AB873)*100,"0.00")&amp;" points"&amp;IF($Z873="",""," ($"&amp;TEXT(ABS($Z873),"#,##0")&amp;")")&amp;IF(RIGHT($Y873,15)="not significant"," (not significant)","")))</f>
        <v/>
      </c>
      <c r="AE873">
        <f>IF($V873,IF($S873="","",$S873),IF($R873="","",$R873))</f>
        <v/>
      </c>
      <c r="AF873">
        <f>IF($V873,IF($U873="","",$U873),IF($T873="","",$T873))</f>
        <v/>
      </c>
      <c r="AG873">
        <f>IF($V873,IF($O873="","",$O873),IF($P873="","",$P873))</f>
        <v/>
      </c>
      <c r="AH873" t="n">
        <v>0.1538421604839745</v>
      </c>
      <c r="AI873">
        <f>IF($Y873="worse","Yes",IF($Y873="worse, not significant","Not sure",IF(OR($Y873="too few losses to test",$Y873="too few loans to test"),"Too few losses",IF($Y873="","","No"))))</f>
        <v/>
      </c>
      <c r="AJ873">
        <f>IF($AA873="yes","Yes",IF($AA873="","","No"))</f>
        <v/>
      </c>
    </row>
    <row r="874">
      <c r="A874" t="inlineStr">
        <is>
          <t>three-way</t>
        </is>
      </c>
      <c r="B874" t="inlineStr">
        <is>
          <t>ORIG_BAL x CHANNEL / SYS_FLAG</t>
        </is>
      </c>
      <c r="C874" t="inlineStr">
        <is>
          <t>15,449 - 26,323</t>
        </is>
      </c>
      <c r="D874" t="inlineStr">
        <is>
          <t>Broker / SYS_FLAG N</t>
        </is>
      </c>
      <c r="E874" t="inlineStr">
        <is>
          <t>outcome_loans</t>
        </is>
      </c>
      <c r="F874" t="inlineStr">
        <is>
          <t>Outcome, share of loans</t>
        </is>
      </c>
      <c r="G874" t="n">
        <v>293</v>
      </c>
      <c r="H874" t="n">
        <v>293</v>
      </c>
      <c r="I874" t="b">
        <v>0</v>
      </c>
      <c r="J874" t="b">
        <v>0</v>
      </c>
      <c r="K874" t="n">
        <v>1.246039858399312</v>
      </c>
      <c r="L874" t="n">
        <v>0.4394822434143357</v>
      </c>
      <c r="M874" t="n">
        <v>1.032239866865992</v>
      </c>
      <c r="N874" t="n">
        <v>0.9230174669468612</v>
      </c>
      <c r="O874" t="n">
        <v>5.528808720477549</v>
      </c>
      <c r="P874" t="n">
        <v>0.8745218056618178</v>
      </c>
      <c r="Q874">
        <f>'_live'!$C$20</f>
        <v/>
      </c>
      <c r="R874" t="inlineStr">
        <is>
          <t>z test</t>
        </is>
      </c>
      <c r="S874" t="inlineStr">
        <is>
          <t>z test</t>
        </is>
      </c>
      <c r="T874" t="n">
        <v>0.07669348559563977</v>
      </c>
      <c r="U874" t="n">
        <v>0.09257842387146137</v>
      </c>
      <c r="V874">
        <f>AND(judged_band,NOT($J874))</f>
        <v/>
      </c>
      <c r="W874">
        <f>IF($K874="","",IF($I874,"too few losses to test",IF(AND($K874&gt;better_at,$K874&lt;worse_at),"in line",IF($K874&gt;=worse_at,IF(AND(ISNUMBER($L874),$L874&lt;significance_bar),"worse","worse, not significant"),IF(AND(ISNUMBER($L874),$L874&lt;significance_bar),"better","better, not significant")))))</f>
        <v/>
      </c>
      <c r="X874">
        <f>IF($M874="","",IF($I874,"too few losses to test",IF(AND($M874&gt;better_at,$M874&lt;worse_at),"in line",IF($M874&gt;=worse_at,IF(AND(ISNUMBER($N874),$N874&lt;significance_bar),"worse","worse, not significant"),IF(AND(ISNUMBER($N874),$N874&lt;significance_bar),"better","better, not significant")))))</f>
        <v/>
      </c>
      <c r="Y874">
        <f>IF($V874,$X874,$W874)</f>
        <v/>
      </c>
      <c r="Z874">
        <f>IF($V874,IF($P874="","",$P874),IF($O874="","",$O874))</f>
        <v/>
      </c>
      <c r="AA874">
        <f>IF(OR($Q874="",$Z874=""),"",IF(AND($Z874&gt;0,$Z874&gt;=$Q874),"yes","below the line"))</f>
        <v/>
      </c>
      <c r="AB874">
        <f>IF($V874,IF($M874="","",$M874),IF($K874="","",$K874))</f>
        <v/>
      </c>
      <c r="AC874">
        <f>IF($V874,IF($N874="","",$N874),IF($L874="","",$L874))</f>
        <v/>
      </c>
      <c r="AD874">
        <f>$Y874</f>
        <v/>
      </c>
      <c r="AE874">
        <f>IF($V874,IF($S874="","",$S874),IF($R874="","",$R874))</f>
        <v/>
      </c>
      <c r="AF874">
        <f>IF($V874,IF($U874="","",$U874),IF($T874="","",$T874))</f>
        <v/>
      </c>
      <c r="AG874">
        <f>IF($V874,IF($O874="","",$O874),IF($P874="","",$P874))</f>
        <v/>
      </c>
      <c r="AH874" t="n">
        <v>0.09556313993174062</v>
      </c>
      <c r="AI874">
        <f>IF($Y874="worse","Yes",IF($Y874="worse, not significant","Not sure",IF(OR($Y874="too few losses to test",$Y874="too few loans to test"),"Too few losses",IF($Y874="","","No"))))</f>
        <v/>
      </c>
      <c r="AJ874">
        <f>IF($AA874="yes","Yes",IF($AA874="","","No"))</f>
        <v/>
      </c>
    </row>
    <row r="875">
      <c r="A875" t="inlineStr">
        <is>
          <t>three-way</t>
        </is>
      </c>
      <c r="B875" t="inlineStr">
        <is>
          <t>ORIG_BAL x CHANNEL / SYS_FLAG</t>
        </is>
      </c>
      <c r="C875" t="inlineStr">
        <is>
          <t>15,449 - 26,323</t>
        </is>
      </c>
      <c r="D875" t="inlineStr">
        <is>
          <t>Broker / SYS_FLAG N</t>
        </is>
      </c>
      <c r="E875" t="inlineStr">
        <is>
          <t>outcome_booked</t>
        </is>
      </c>
      <c r="F875" t="inlineStr">
        <is>
          <t>Outcome, share of booked dollars</t>
        </is>
      </c>
      <c r="G875" t="n">
        <v>293</v>
      </c>
      <c r="H875" t="n">
        <v>6112147.650000003</v>
      </c>
      <c r="I875" t="b">
        <v>0</v>
      </c>
      <c r="J875" t="b">
        <v>0</v>
      </c>
      <c r="K875" t="n">
        <v>1.319592905536388</v>
      </c>
      <c r="L875" t="n">
        <v>0.362963703629637</v>
      </c>
      <c r="M875" t="n">
        <v>1.055673858115572</v>
      </c>
      <c r="N875" t="n">
        <v>0.9031250721081737</v>
      </c>
      <c r="O875" t="n">
        <v>145072.3843555076</v>
      </c>
      <c r="P875" t="n">
        <v>31589.96480697731</v>
      </c>
      <c r="Q875">
        <f>'_live'!$C$21</f>
        <v/>
      </c>
      <c r="R875" t="inlineStr">
        <is>
          <t>shuffled: 1,689 of 10,000</t>
        </is>
      </c>
      <c r="S875" t="inlineStr">
        <is>
          <t>shuffled: 7,857 of 10,000</t>
        </is>
      </c>
      <c r="T875" t="n">
        <v>0.07426664106265364</v>
      </c>
      <c r="U875" t="n">
        <v>0.09283334233475564</v>
      </c>
      <c r="V875">
        <f>AND(judged_band,NOT($J875))</f>
        <v/>
      </c>
      <c r="W875">
        <f>IF($K875="","",IF($I875,"too few losses to test",IF(AND($K875&gt;better_at,$K875&lt;worse_at),"in line",IF($K875&gt;=worse_at,IF(AND(ISNUMBER($L875),$L875&lt;significance_bar),"worse","worse, not significant"),IF(AND(ISNUMBER($L875),$L875&lt;significance_bar),"better","better, not significant")))))</f>
        <v/>
      </c>
      <c r="X875">
        <f>IF($M875="","",IF($I875,"too few losses to test",IF(AND($M875&gt;better_at,$M875&lt;worse_at),"in line",IF($M875&gt;=worse_at,IF(AND(ISNUMBER($N875),$N875&lt;significance_bar),"worse","worse, not significant"),IF(AND(ISNUMBER($N875),$N875&lt;significance_bar),"better","better, not significant")))))</f>
        <v/>
      </c>
      <c r="Y875">
        <f>IF($V875,$X875,$W875)</f>
        <v/>
      </c>
      <c r="Z875">
        <f>IF($V875,IF($P875="","",$P875),IF($O875="","",$O875))</f>
        <v/>
      </c>
      <c r="AA875">
        <f>IF(OR($Q875="",$Z875=""),"",IF(AND($Z875&gt;0,$Z875&gt;=$Q875),"yes","below the line"))</f>
        <v/>
      </c>
      <c r="AB875">
        <f>IF($V875,IF($M875="","",$M875),IF($K875="","",$K875))</f>
        <v/>
      </c>
      <c r="AC875">
        <f>IF($V875,IF($N875="","",$N875),IF($L875="","",$L875))</f>
        <v/>
      </c>
      <c r="AD875">
        <f>$Y875</f>
        <v/>
      </c>
      <c r="AE875">
        <f>IF($V875,IF($S875="","",$S875),IF($R875="","",$R875))</f>
        <v/>
      </c>
      <c r="AF875">
        <f>IF($V875,IF($U875="","",$U875),IF($T875="","",$T875))</f>
        <v/>
      </c>
      <c r="AG875">
        <f>IF($V875,IF($O875="","",$O875),IF($P875="","",$P875))</f>
        <v/>
      </c>
      <c r="AH875" t="n">
        <v>0.0980017326642951</v>
      </c>
      <c r="AI875">
        <f>IF($Y875="worse","Yes",IF($Y875="worse, not significant","Not sure",IF(OR($Y875="too few losses to test",$Y875="too few loans to test"),"Too few losses",IF($Y875="","","No"))))</f>
        <v/>
      </c>
      <c r="AJ875">
        <f>IF($AA875="yes","Yes",IF($AA875="","","No"))</f>
        <v/>
      </c>
    </row>
    <row r="876">
      <c r="A876" t="inlineStr">
        <is>
          <t>three-way</t>
        </is>
      </c>
      <c r="B876" t="inlineStr">
        <is>
          <t>ORIG_BAL x CHANNEL / SYS_FLAG</t>
        </is>
      </c>
      <c r="C876" t="inlineStr">
        <is>
          <t>15,449 - 26,323</t>
        </is>
      </c>
      <c r="D876" t="inlineStr">
        <is>
          <t>Broker / SYS_FLAG N</t>
        </is>
      </c>
      <c r="E876" t="inlineStr">
        <is>
          <t>gco_rate</t>
        </is>
      </c>
      <c r="F876" t="inlineStr">
        <is>
          <t>GCO per booked dollar</t>
        </is>
      </c>
      <c r="G876" t="n">
        <v>293</v>
      </c>
      <c r="H876" t="n">
        <v>6112147.650000003</v>
      </c>
      <c r="I876" t="b">
        <v>0</v>
      </c>
      <c r="J876" t="b">
        <v>0</v>
      </c>
      <c r="K876" t="n">
        <v>1.442064351555421</v>
      </c>
      <c r="L876" t="n">
        <v>0.26997300269973</v>
      </c>
      <c r="M876" t="n">
        <v>1.146947250565406</v>
      </c>
      <c r="N876" t="n">
        <v>0.7044095590440955</v>
      </c>
      <c r="O876" t="n">
        <v>111250.9003577795</v>
      </c>
      <c r="P876" t="n">
        <v>46496.54691730283</v>
      </c>
      <c r="Q876">
        <f>'_live'!$C$22</f>
        <v/>
      </c>
      <c r="R876" t="inlineStr">
        <is>
          <t>shuffled: 674 of 10,000</t>
        </is>
      </c>
      <c r="S876" t="inlineStr">
        <is>
          <t>shuffled: 5,031 of 10,000</t>
        </is>
      </c>
      <c r="T876" t="n">
        <v>0.04117410835816773</v>
      </c>
      <c r="U876" t="n">
        <v>0.05176847831591518</v>
      </c>
      <c r="V876">
        <f>AND(judged_band,NOT($J876))</f>
        <v/>
      </c>
      <c r="W876">
        <f>IF($K876="","",IF($I876,"too few losses to test",IF(AND($K876&gt;better_at,$K876&lt;worse_at),"in line",IF($K876&gt;=worse_at,IF(AND(ISNUMBER($L876),$L876&lt;significance_bar),"worse","worse, not significant"),IF(AND(ISNUMBER($L876),$L876&lt;significance_bar),"better","better, not significant")))))</f>
        <v/>
      </c>
      <c r="X876">
        <f>IF($M876="","",IF($I876,"too few losses to test",IF(AND($M876&gt;better_at,$M876&lt;worse_at),"in line",IF($M876&gt;=worse_at,IF(AND(ISNUMBER($N876),$N876&lt;significance_bar),"worse","worse, not significant"),IF(AND(ISNUMBER($N876),$N876&lt;significance_bar),"better","better, not significant")))))</f>
        <v/>
      </c>
      <c r="Y876">
        <f>IF($V876,$X876,$W876)</f>
        <v/>
      </c>
      <c r="Z876">
        <f>IF($V876,IF($P876="","",$P876),IF($O876="","",$O876))</f>
        <v/>
      </c>
      <c r="AA876">
        <f>IF(OR($Q876="",$Z876=""),"",IF(AND($Z876&gt;0,$Z876&gt;=$Q876),"yes","below the line"))</f>
        <v/>
      </c>
      <c r="AB876">
        <f>IF($V876,IF($M876="","",$M876),IF($K876="","",$K876))</f>
        <v/>
      </c>
      <c r="AC876">
        <f>IF($V876,IF($N876="","",$N876),IF($L876="","",$L876))</f>
        <v/>
      </c>
      <c r="AD876">
        <f>$Y876</f>
        <v/>
      </c>
      <c r="AE876">
        <f>IF($V876,IF($S876="","",$S876),IF($R876="","",$R876))</f>
        <v/>
      </c>
      <c r="AF876">
        <f>IF($V876,IF($U876="","",$U876),IF($T876="","",$T876))</f>
        <v/>
      </c>
      <c r="AG876">
        <f>IF($V876,IF($O876="","",$O876),IF($P876="","",$P876))</f>
        <v/>
      </c>
      <c r="AH876" t="n">
        <v>0.05937571387039377</v>
      </c>
      <c r="AI876">
        <f>IF($Y876="worse","Yes",IF($Y876="worse, not significant","Not sure",IF(OR($Y876="too few losses to test",$Y876="too few loans to test"),"Too few losses",IF($Y876="","","No"))))</f>
        <v/>
      </c>
      <c r="AJ876">
        <f>IF($AA876="yes","Yes",IF($AA876="","","No"))</f>
        <v/>
      </c>
    </row>
    <row r="877">
      <c r="A877" t="inlineStr">
        <is>
          <t>three-way</t>
        </is>
      </c>
      <c r="B877" t="inlineStr">
        <is>
          <t>ORIG_BAL x CHANNEL / SYS_FLAG</t>
        </is>
      </c>
      <c r="C877" t="inlineStr">
        <is>
          <t>15,449 - 26,323</t>
        </is>
      </c>
      <c r="D877" t="inlineStr">
        <is>
          <t>Broker / SYS_FLAG N</t>
        </is>
      </c>
      <c r="E877" t="inlineStr">
        <is>
          <t>ranr_rate</t>
        </is>
      </c>
      <c r="F877" t="inlineStr">
        <is>
          <t>Profit after losses: RANR per booked dollar</t>
        </is>
      </c>
      <c r="G877" t="n">
        <v>293</v>
      </c>
      <c r="H877" t="n">
        <v>6112147.650000003</v>
      </c>
      <c r="I877" t="b">
        <v>0</v>
      </c>
      <c r="J877" t="b">
        <v>0</v>
      </c>
      <c r="K877" t="n">
        <v>-0.02892458337311646</v>
      </c>
      <c r="L877" t="n">
        <v>0.06411858814118587</v>
      </c>
      <c r="M877" t="n">
        <v>-0.02363266834521195</v>
      </c>
      <c r="N877" t="n">
        <v>0.190071901900719</v>
      </c>
      <c r="O877" t="n">
        <v>176791.324291223</v>
      </c>
      <c r="P877" t="n">
        <v>144446.3582894168</v>
      </c>
      <c r="Q877">
        <f>'_live'!$C$23</f>
        <v/>
      </c>
      <c r="R877" t="inlineStr">
        <is>
          <t>shuffled: 170 of 10,000</t>
        </is>
      </c>
      <c r="S877" t="inlineStr">
        <is>
          <t>shuffled: 696 of 10,000</t>
        </is>
      </c>
      <c r="T877" t="n">
        <v>0.1286751055974937</v>
      </c>
      <c r="U877" t="n">
        <v>0.1233831905695892</v>
      </c>
      <c r="V877">
        <f>AND(judged_band,NOT($J877))</f>
        <v/>
      </c>
      <c r="W877">
        <f>IF($K877="","",IF(profit_kind="test",IF(OR(NOT(AND(ISNUMBER($L877),$L877&lt;significance_bar)),$K877=0),"in line",IF($K877&lt;0,"worse","better")),IF(OR($K877=0,IF(profit_kind="points",ABS($K877),ABS($K877*$H877))&lt;profit_line*(1-1E-9)),"in line",IF(AND(ISNUMBER($L877),$L877&lt;significance_bar),IF($K877&lt;0,"worse","better"),IF($K877&lt;0,"worse, not significant","better, not significant")))))</f>
        <v/>
      </c>
      <c r="X877">
        <f>IF($M877="","",IF(profit_kind="test",IF(OR(NOT(AND(ISNUMBER($N877),$N877&lt;significance_bar)),$M877=0),"in line",IF($M877&lt;0,"worse","better")),IF(OR($M877=0,IF(profit_kind="points",ABS($M877),ABS($M877*$H877))&lt;profit_line*(1-1E-9)),"in line",IF(AND(ISNUMBER($N877),$N877&lt;significance_bar),IF($M877&lt;0,"worse","better"),IF($M877&lt;0,"worse, not significant","better, not significant")))))</f>
        <v/>
      </c>
      <c r="Y877">
        <f>IF($V877,$X877,$W877)</f>
        <v/>
      </c>
      <c r="Z877">
        <f>IF($V877,IF($P877="","",$P877),IF($O877="","",$O877))</f>
        <v/>
      </c>
      <c r="AA877">
        <f>IF(OR($Q877="",$Z877=""),"",IF(AND($Z877&gt;0,$Z877&gt;=$Q877),"yes","below the line"))</f>
        <v/>
      </c>
      <c r="AB877">
        <f>IF($V877,IF($M877="","",$M877),IF($K877="","",$K877))</f>
        <v/>
      </c>
      <c r="AC877">
        <f>IF($V877,IF($N877="","",$N877),IF($L877="","",$L877))</f>
        <v/>
      </c>
      <c r="AD877">
        <f>IF($Y877="","",IF($Y877="in line",IF(profit_kind="test",IF(ROUND($AB877*100,2)=0,"0.00",TEXT($AB877*100,"+0.00;-0.00"))&amp;" points against "&amp;IF($V877,"its band","the book")&amp;", "&amp;IF($AC877="","not tested","not significant"),IF(profit_kind="points","within "&amp;TEXT(profit_line*100,"0.00")&amp;" points of "&amp;IF($V877,"its band","the book")&amp;" ("&amp;IF(ROUND($AB877*100,2)=0,"0.00",TEXT($AB877*100,"+0.00;-0.00"))&amp;")","within $"&amp;TEXT(profit_line,"#,##0")&amp;" of "&amp;IF($V877,"its band","the book")&amp;" ("&amp;IF(ROUND($AB877*100,2)=0,"0.00",TEXT($AB877*100,"+0.00;-0.00"))&amp;" points)")),IF(LEFT($Y877,5)="worse","short of ","ahead of ")&amp;IF($V877,"its band","the book")&amp;" by "&amp;TEXT(ABS($AB877)*100,"0.00")&amp;" points"&amp;IF($Z877="",""," ($"&amp;TEXT(ABS($Z877),"#,##0")&amp;")")&amp;IF(RIGHT($Y877,15)="not significant"," (not significant)","")))</f>
        <v/>
      </c>
      <c r="AE877">
        <f>IF($V877,IF($S877="","",$S877),IF($R877="","",$R877))</f>
        <v/>
      </c>
      <c r="AF877">
        <f>IF($V877,IF($U877="","",$U877),IF($T877="","",$T877))</f>
        <v/>
      </c>
      <c r="AG877">
        <f>IF($V877,IF($O877="","",$O877),IF($P877="","",$P877))</f>
        <v/>
      </c>
      <c r="AH877" t="n">
        <v>0.09975052222437722</v>
      </c>
      <c r="AI877">
        <f>IF($Y877="worse","Yes",IF($Y877="worse, not significant","Not sure",IF(OR($Y877="too few losses to test",$Y877="too few loans to test"),"Too few losses",IF($Y877="","","No"))))</f>
        <v/>
      </c>
      <c r="AJ877">
        <f>IF($AA877="yes","Yes",IF($AA877="","","No"))</f>
        <v/>
      </c>
    </row>
    <row r="878">
      <c r="A878" t="inlineStr">
        <is>
          <t>three-way</t>
        </is>
      </c>
      <c r="B878" t="inlineStr">
        <is>
          <t>ORIG_BAL x CHANNEL / SYS_FLAG</t>
        </is>
      </c>
      <c r="C878" t="inlineStr">
        <is>
          <t>15,449 - 26,323</t>
        </is>
      </c>
      <c r="D878" t="inlineStr">
        <is>
          <t>Broker / SYS_FLAG N</t>
        </is>
      </c>
      <c r="E878" t="inlineStr">
        <is>
          <t>contribution_rate</t>
        </is>
      </c>
      <c r="F878" t="inlineStr">
        <is>
          <t>Contribution before losses per booked dollar</t>
        </is>
      </c>
      <c r="G878" t="n">
        <v>293</v>
      </c>
      <c r="H878" t="n">
        <v>6112147.650000003</v>
      </c>
      <c r="I878" t="b">
        <v>0</v>
      </c>
      <c r="J878" t="b">
        <v>0</v>
      </c>
      <c r="K878" t="n">
        <v>-0.01072015715856325</v>
      </c>
      <c r="L878" t="n">
        <v>0.3228624505970455</v>
      </c>
      <c r="M878" t="n">
        <v>-0.01602543279073329</v>
      </c>
      <c r="N878" t="n">
        <v>0.1433856614338566</v>
      </c>
      <c r="O878" t="n">
        <v>65523.18338434317</v>
      </c>
      <c r="P878" t="n">
        <v>97949.81137211353</v>
      </c>
      <c r="Q878">
        <f>'_live'!$C$24</f>
        <v/>
      </c>
      <c r="R878" t="inlineStr">
        <is>
          <t>shuffled: 1,748 of 10,000</t>
        </is>
      </c>
      <c r="S878" t="inlineStr">
        <is>
          <t>shuffled: 466 of 10,000</t>
        </is>
      </c>
      <c r="T878" t="n">
        <v>0.1698463932533343</v>
      </c>
      <c r="U878" t="n">
        <v>0.1751516688855043</v>
      </c>
      <c r="V878">
        <f>AND(judged_band,NOT($J878))</f>
        <v/>
      </c>
      <c r="W878">
        <f>IF($K878="","",IF(profit_kind="test",IF(OR(NOT(AND(ISNUMBER($L878),$L878&lt;significance_bar)),$K878=0),"in line",IF($K878&lt;0,"worse","better")),IF(OR($K878=0,IF(profit_kind="points",ABS($K878),ABS($K878*$H878))&lt;profit_line*(1-1E-9)),"in line",IF(AND(ISNUMBER($L878),$L878&lt;significance_bar),IF($K878&lt;0,"worse","better"),IF($K878&lt;0,"worse, not significant","better, not significant")))))</f>
        <v/>
      </c>
      <c r="X878">
        <f>IF($M878="","",IF(profit_kind="test",IF(OR(NOT(AND(ISNUMBER($N878),$N878&lt;significance_bar)),$M878=0),"in line",IF($M878&lt;0,"worse","better")),IF(OR($M878=0,IF(profit_kind="points",ABS($M878),ABS($M878*$H878))&lt;profit_line*(1-1E-9)),"in line",IF(AND(ISNUMBER($N878),$N878&lt;significance_bar),IF($M878&lt;0,"worse","better"),IF($M878&lt;0,"worse, not significant","better, not significant")))))</f>
        <v/>
      </c>
      <c r="Y878">
        <f>IF($V878,$X878,$W878)</f>
        <v/>
      </c>
      <c r="Z878">
        <f>IF($V878,IF($P878="","",$P878),IF($O878="","",$O878))</f>
        <v/>
      </c>
      <c r="AA878">
        <f>IF(OR($Q878="",$Z878=""),"",IF(AND($Z878&gt;0,$Z878&gt;=$Q878),"yes","below the line"))</f>
        <v/>
      </c>
      <c r="AB878">
        <f>IF($V878,IF($M878="","",$M878),IF($K878="","",$K878))</f>
        <v/>
      </c>
      <c r="AC878">
        <f>IF($V878,IF($N878="","",$N878),IF($L878="","",$L878))</f>
        <v/>
      </c>
      <c r="AD878">
        <f>IF($Y878="","",IF($Y878="in line",IF(profit_kind="test",IF(ROUND($AB878*100,2)=0,"0.00",TEXT($AB878*100,"+0.00;-0.00"))&amp;" points against "&amp;IF($V878,"its band","the book")&amp;", "&amp;IF($AC878="","not tested","not significant"),IF(profit_kind="points","within "&amp;TEXT(profit_line*100,"0.00")&amp;" points of "&amp;IF($V878,"its band","the book")&amp;" ("&amp;IF(ROUND($AB878*100,2)=0,"0.00",TEXT($AB878*100,"+0.00;-0.00"))&amp;")","within $"&amp;TEXT(profit_line,"#,##0")&amp;" of "&amp;IF($V878,"its band","the book")&amp;" ("&amp;IF(ROUND($AB878*100,2)=0,"0.00",TEXT($AB878*100,"+0.00;-0.00"))&amp;" points)")),IF(LEFT($Y878,5)="worse","short of ","ahead of ")&amp;IF($V878,"its band","the book")&amp;" by "&amp;TEXT(ABS($AB878)*100,"0.00")&amp;" points"&amp;IF($Z878="",""," ($"&amp;TEXT(ABS($Z878),"#,##0")&amp;")")&amp;IF(RIGHT($Y878,15)="not significant"," (not significant)","")))</f>
        <v/>
      </c>
      <c r="AE878">
        <f>IF($V878,IF($S878="","",$S878),IF($R878="","",$R878))</f>
        <v/>
      </c>
      <c r="AF878">
        <f>IF($V878,IF($U878="","",$U878),IF($T878="","",$T878))</f>
        <v/>
      </c>
      <c r="AG878">
        <f>IF($V878,IF($O878="","",$O878),IF($P878="","",$P878))</f>
        <v/>
      </c>
      <c r="AH878" t="n">
        <v>0.159126236094771</v>
      </c>
      <c r="AI878">
        <f>IF($Y878="worse","Yes",IF($Y878="worse, not significant","Not sure",IF(OR($Y878="too few losses to test",$Y878="too few loans to test"),"Too few losses",IF($Y878="","","No"))))</f>
        <v/>
      </c>
      <c r="AJ878">
        <f>IF($AA878="yes","Yes",IF($AA878="","","No"))</f>
        <v/>
      </c>
    </row>
    <row r="879">
      <c r="A879" t="inlineStr">
        <is>
          <t>three-way</t>
        </is>
      </c>
      <c r="B879" t="inlineStr">
        <is>
          <t>ORIG_BAL x CHANNEL / SYS_FLAG</t>
        </is>
      </c>
      <c r="C879" t="inlineStr">
        <is>
          <t>15,449 - 26,323</t>
        </is>
      </c>
      <c r="D879" t="inlineStr">
        <is>
          <t>Online / SYS_FLAG N</t>
        </is>
      </c>
      <c r="E879" t="inlineStr">
        <is>
          <t>outcome_loans</t>
        </is>
      </c>
      <c r="F879" t="inlineStr">
        <is>
          <t>Outcome, share of loans</t>
        </is>
      </c>
      <c r="G879" t="n">
        <v>300</v>
      </c>
      <c r="H879" t="n">
        <v>300</v>
      </c>
      <c r="I879" t="b">
        <v>0</v>
      </c>
      <c r="J879" t="b">
        <v>0</v>
      </c>
      <c r="K879" t="n">
        <v>1.215860124083474</v>
      </c>
      <c r="L879" t="n">
        <v>0.5106577122371279</v>
      </c>
      <c r="M879" t="n">
        <v>1.002754820936639</v>
      </c>
      <c r="N879" t="n">
        <v>0.989009253934942</v>
      </c>
      <c r="O879" t="n">
        <v>4.971035199376541</v>
      </c>
      <c r="P879" t="n">
        <v>0.0769230769230802</v>
      </c>
      <c r="Q879">
        <f>'_live'!$C$20</f>
        <v/>
      </c>
      <c r="R879" t="inlineStr">
        <is>
          <t>z test</t>
        </is>
      </c>
      <c r="S879" t="inlineStr">
        <is>
          <t>z test</t>
        </is>
      </c>
      <c r="T879" t="n">
        <v>0.07676321600207819</v>
      </c>
      <c r="U879" t="n">
        <v>0.09307692307692307</v>
      </c>
      <c r="V879">
        <f>AND(judged_band,NOT($J879))</f>
        <v/>
      </c>
      <c r="W879">
        <f>IF($K879="","",IF($I879,"too few losses to test",IF(AND($K879&gt;better_at,$K879&lt;worse_at),"in line",IF($K879&gt;=worse_at,IF(AND(ISNUMBER($L879),$L879&lt;significance_bar),"worse","worse, not significant"),IF(AND(ISNUMBER($L879),$L879&lt;significance_bar),"better","better, not significant")))))</f>
        <v/>
      </c>
      <c r="X879">
        <f>IF($M879="","",IF($I879,"too few losses to test",IF(AND($M879&gt;better_at,$M879&lt;worse_at),"in line",IF($M879&gt;=worse_at,IF(AND(ISNUMBER($N879),$N879&lt;significance_bar),"worse","worse, not significant"),IF(AND(ISNUMBER($N879),$N879&lt;significance_bar),"better","better, not significant")))))</f>
        <v/>
      </c>
      <c r="Y879">
        <f>IF($V879,$X879,$W879)</f>
        <v/>
      </c>
      <c r="Z879">
        <f>IF($V879,IF($P879="","",$P879),IF($O879="","",$O879))</f>
        <v/>
      </c>
      <c r="AA879">
        <f>IF(OR($Q879="",$Z879=""),"",IF(AND($Z879&gt;0,$Z879&gt;=$Q879),"yes","below the line"))</f>
        <v/>
      </c>
      <c r="AB879">
        <f>IF($V879,IF($M879="","",$M879),IF($K879="","",$K879))</f>
        <v/>
      </c>
      <c r="AC879">
        <f>IF($V879,IF($N879="","",$N879),IF($L879="","",$L879))</f>
        <v/>
      </c>
      <c r="AD879">
        <f>$Y879</f>
        <v/>
      </c>
      <c r="AE879">
        <f>IF($V879,IF($S879="","",$S879),IF($R879="","",$R879))</f>
        <v/>
      </c>
      <c r="AF879">
        <f>IF($V879,IF($U879="","",$U879),IF($T879="","",$T879))</f>
        <v/>
      </c>
      <c r="AG879">
        <f>IF($V879,IF($O879="","",$O879),IF($P879="","",$P879))</f>
        <v/>
      </c>
      <c r="AH879" t="n">
        <v>0.09333333333333334</v>
      </c>
      <c r="AI879">
        <f>IF($Y879="worse","Yes",IF($Y879="worse, not significant","Not sure",IF(OR($Y879="too few losses to test",$Y879="too few loans to test"),"Too few losses",IF($Y879="","","No"))))</f>
        <v/>
      </c>
      <c r="AJ879">
        <f>IF($AA879="yes","Yes",IF($AA879="","","No"))</f>
        <v/>
      </c>
    </row>
    <row r="880">
      <c r="A880" t="inlineStr">
        <is>
          <t>three-way</t>
        </is>
      </c>
      <c r="B880" t="inlineStr">
        <is>
          <t>ORIG_BAL x CHANNEL / SYS_FLAG</t>
        </is>
      </c>
      <c r="C880" t="inlineStr">
        <is>
          <t>15,449 - 26,323</t>
        </is>
      </c>
      <c r="D880" t="inlineStr">
        <is>
          <t>Online / SYS_FLAG N</t>
        </is>
      </c>
      <c r="E880" t="inlineStr">
        <is>
          <t>outcome_booked</t>
        </is>
      </c>
      <c r="F880" t="inlineStr">
        <is>
          <t>Outcome, share of booked dollars</t>
        </is>
      </c>
      <c r="G880" t="n">
        <v>300</v>
      </c>
      <c r="H880" t="n">
        <v>6256047.950000001</v>
      </c>
      <c r="I880" t="b">
        <v>0</v>
      </c>
      <c r="J880" t="b">
        <v>0</v>
      </c>
      <c r="K880" t="n">
        <v>1.304732792630595</v>
      </c>
      <c r="L880" t="n">
        <v>0.362963703629637</v>
      </c>
      <c r="M880" t="n">
        <v>1.041474420110449</v>
      </c>
      <c r="N880" t="n">
        <v>0.9031250721081737</v>
      </c>
      <c r="O880" t="n">
        <v>141609.2169222083</v>
      </c>
      <c r="P880" t="n">
        <v>24144.91174820834</v>
      </c>
      <c r="Q880">
        <f>'_live'!$C$21</f>
        <v/>
      </c>
      <c r="R880" t="inlineStr">
        <is>
          <t>shuffled: 1,814 of 10,000</t>
        </is>
      </c>
      <c r="S880" t="inlineStr">
        <is>
          <t>shuffled: 8,386 of 10,000</t>
        </is>
      </c>
      <c r="T880" t="n">
        <v>0.07428006255575324</v>
      </c>
      <c r="U880" t="n">
        <v>0.09305618225828843</v>
      </c>
      <c r="V880">
        <f>AND(judged_band,NOT($J880))</f>
        <v/>
      </c>
      <c r="W880">
        <f>IF($K880="","",IF($I880,"too few losses to test",IF(AND($K880&gt;better_at,$K880&lt;worse_at),"in line",IF($K880&gt;=worse_at,IF(AND(ISNUMBER($L880),$L880&lt;significance_bar),"worse","worse, not significant"),IF(AND(ISNUMBER($L880),$L880&lt;significance_bar),"better","better, not significant")))))</f>
        <v/>
      </c>
      <c r="X880">
        <f>IF($M880="","",IF($I880,"too few losses to test",IF(AND($M880&gt;better_at,$M880&lt;worse_at),"in line",IF($M880&gt;=worse_at,IF(AND(ISNUMBER($N880),$N880&lt;significance_bar),"worse","worse, not significant"),IF(AND(ISNUMBER($N880),$N880&lt;significance_bar),"better","better, not significant")))))</f>
        <v/>
      </c>
      <c r="Y880">
        <f>IF($V880,$X880,$W880)</f>
        <v/>
      </c>
      <c r="Z880">
        <f>IF($V880,IF($P880="","",$P880),IF($O880="","",$O880))</f>
        <v/>
      </c>
      <c r="AA880">
        <f>IF(OR($Q880="",$Z880=""),"",IF(AND($Z880&gt;0,$Z880&gt;=$Q880),"yes","below the line"))</f>
        <v/>
      </c>
      <c r="AB880">
        <f>IF($V880,IF($M880="","",$M880),IF($K880="","",$K880))</f>
        <v/>
      </c>
      <c r="AC880">
        <f>IF($V880,IF($N880="","",$N880),IF($L880="","",$L880))</f>
        <v/>
      </c>
      <c r="AD880">
        <f>$Y880</f>
        <v/>
      </c>
      <c r="AE880">
        <f>IF($V880,IF($S880="","",$S880),IF($R880="","",$R880))</f>
        <v/>
      </c>
      <c r="AF880">
        <f>IF($V880,IF($U880="","",$U880),IF($T880="","",$T880))</f>
        <v/>
      </c>
      <c r="AG880">
        <f>IF($V880,IF($O880="","",$O880),IF($P880="","",$P880))</f>
        <v/>
      </c>
      <c r="AH880" t="n">
        <v>0.09691563345514322</v>
      </c>
      <c r="AI880">
        <f>IF($Y880="worse","Yes",IF($Y880="worse, not significant","Not sure",IF(OR($Y880="too few losses to test",$Y880="too few loans to test"),"Too few losses",IF($Y880="","","No"))))</f>
        <v/>
      </c>
      <c r="AJ880">
        <f>IF($AA880="yes","Yes",IF($AA880="","","No"))</f>
        <v/>
      </c>
    </row>
    <row r="881">
      <c r="A881" t="inlineStr">
        <is>
          <t>three-way</t>
        </is>
      </c>
      <c r="B881" t="inlineStr">
        <is>
          <t>ORIG_BAL x CHANNEL / SYS_FLAG</t>
        </is>
      </c>
      <c r="C881" t="inlineStr">
        <is>
          <t>15,449 - 26,323</t>
        </is>
      </c>
      <c r="D881" t="inlineStr">
        <is>
          <t>Online / SYS_FLAG N</t>
        </is>
      </c>
      <c r="E881" t="inlineStr">
        <is>
          <t>gco_rate</t>
        </is>
      </c>
      <c r="F881" t="inlineStr">
        <is>
          <t>GCO per booked dollar</t>
        </is>
      </c>
      <c r="G881" t="n">
        <v>300</v>
      </c>
      <c r="H881" t="n">
        <v>6256047.950000001</v>
      </c>
      <c r="I881" t="b">
        <v>0</v>
      </c>
      <c r="J881" t="b">
        <v>0</v>
      </c>
      <c r="K881" t="n">
        <v>1.217995700067283</v>
      </c>
      <c r="L881" t="n">
        <v>0.6169265426398536</v>
      </c>
      <c r="M881" t="n">
        <v>0.9370652563834073</v>
      </c>
      <c r="N881" t="n">
        <v>0.8150415727658002</v>
      </c>
      <c r="O881" t="n">
        <v>56442.58636977844</v>
      </c>
      <c r="P881" t="n">
        <v>-21179.97121382633</v>
      </c>
      <c r="Q881">
        <f>'_live'!$C$22</f>
        <v/>
      </c>
      <c r="R881" t="inlineStr">
        <is>
          <t>shuffled: 3,546 of 10,000</t>
        </is>
      </c>
      <c r="S881" t="inlineStr">
        <is>
          <t>shuffled: 7,568 of 10,000</t>
        </is>
      </c>
      <c r="T881" t="n">
        <v>0.0413865200042499</v>
      </c>
      <c r="U881" t="n">
        <v>0.05379412272788388</v>
      </c>
      <c r="V881">
        <f>AND(judged_band,NOT($J881))</f>
        <v/>
      </c>
      <c r="W881">
        <f>IF($K881="","",IF($I881,"too few losses to test",IF(AND($K881&gt;better_at,$K881&lt;worse_at),"in line",IF($K881&gt;=worse_at,IF(AND(ISNUMBER($L881),$L881&lt;significance_bar),"worse","worse, not significant"),IF(AND(ISNUMBER($L881),$L881&lt;significance_bar),"better","better, not significant")))))</f>
        <v/>
      </c>
      <c r="X881">
        <f>IF($M881="","",IF($I881,"too few losses to test",IF(AND($M881&gt;better_at,$M881&lt;worse_at),"in line",IF($M881&gt;=worse_at,IF(AND(ISNUMBER($N881),$N881&lt;significance_bar),"worse","worse, not significant"),IF(AND(ISNUMBER($N881),$N881&lt;significance_bar),"better","better, not significant")))))</f>
        <v/>
      </c>
      <c r="Y881">
        <f>IF($V881,$X881,$W881)</f>
        <v/>
      </c>
      <c r="Z881">
        <f>IF($V881,IF($P881="","",$P881),IF($O881="","",$O881))</f>
        <v/>
      </c>
      <c r="AA881">
        <f>IF(OR($Q881="",$Z881=""),"",IF(AND($Z881&gt;0,$Z881&gt;=$Q881),"yes","below the line"))</f>
        <v/>
      </c>
      <c r="AB881">
        <f>IF($V881,IF($M881="","",$M881),IF($K881="","",$K881))</f>
        <v/>
      </c>
      <c r="AC881">
        <f>IF($V881,IF($N881="","",$N881),IF($L881="","",$L881))</f>
        <v/>
      </c>
      <c r="AD881">
        <f>$Y881</f>
        <v/>
      </c>
      <c r="AE881">
        <f>IF($V881,IF($S881="","",$S881),IF($R881="","",$R881))</f>
        <v/>
      </c>
      <c r="AF881">
        <f>IF($V881,IF($U881="","",$U881),IF($T881="","",$T881))</f>
        <v/>
      </c>
      <c r="AG881">
        <f>IF($V881,IF($O881="","",$O881),IF($P881="","",$P881))</f>
        <v/>
      </c>
      <c r="AH881" t="n">
        <v>0.05040860340592498</v>
      </c>
      <c r="AI881">
        <f>IF($Y881="worse","Yes",IF($Y881="worse, not significant","Not sure",IF(OR($Y881="too few losses to test",$Y881="too few loans to test"),"Too few losses",IF($Y881="","","No"))))</f>
        <v/>
      </c>
      <c r="AJ881">
        <f>IF($AA881="yes","Yes",IF($AA881="","","No"))</f>
        <v/>
      </c>
    </row>
    <row r="882">
      <c r="A882" t="inlineStr">
        <is>
          <t>three-way</t>
        </is>
      </c>
      <c r="B882" t="inlineStr">
        <is>
          <t>ORIG_BAL x CHANNEL / SYS_FLAG</t>
        </is>
      </c>
      <c r="C882" t="inlineStr">
        <is>
          <t>15,449 - 26,323</t>
        </is>
      </c>
      <c r="D882" t="inlineStr">
        <is>
          <t>Online / SYS_FLAG N</t>
        </is>
      </c>
      <c r="E882" t="inlineStr">
        <is>
          <t>ranr_rate</t>
        </is>
      </c>
      <c r="F882" t="inlineStr">
        <is>
          <t>Profit after losses: RANR per booked dollar</t>
        </is>
      </c>
      <c r="G882" t="n">
        <v>300</v>
      </c>
      <c r="H882" t="n">
        <v>6256047.950000001</v>
      </c>
      <c r="I882" t="b">
        <v>0</v>
      </c>
      <c r="J882" t="b">
        <v>0</v>
      </c>
      <c r="K882" t="n">
        <v>0.01116809746291855</v>
      </c>
      <c r="L882" t="n">
        <v>0.617055941464677</v>
      </c>
      <c r="M882" t="n">
        <v>0.02439584294620145</v>
      </c>
      <c r="N882" t="n">
        <v>0.1811818818118188</v>
      </c>
      <c r="O882" t="n">
        <v>-69868.15323829185</v>
      </c>
      <c r="P882" t="n">
        <v>-152621.5632521056</v>
      </c>
      <c r="Q882">
        <f>'_live'!$C$23</f>
        <v/>
      </c>
      <c r="R882" t="inlineStr">
        <is>
          <t>shuffled: 3,496 of 10,000</t>
        </is>
      </c>
      <c r="S882" t="inlineStr">
        <is>
          <t>shuffled: 603 of 10,000</t>
        </is>
      </c>
      <c r="T882" t="n">
        <v>0.127719314677201</v>
      </c>
      <c r="U882" t="n">
        <v>0.1144915691939181</v>
      </c>
      <c r="V882">
        <f>AND(judged_band,NOT($J882))</f>
        <v/>
      </c>
      <c r="W882">
        <f>IF($K882="","",IF(profit_kind="test",IF(OR(NOT(AND(ISNUMBER($L882),$L882&lt;significance_bar)),$K882=0),"in line",IF($K882&lt;0,"worse","better")),IF(OR($K882=0,IF(profit_kind="points",ABS($K882),ABS($K882*$H882))&lt;profit_line*(1-1E-9)),"in line",IF(AND(ISNUMBER($L882),$L882&lt;significance_bar),IF($K882&lt;0,"worse","better"),IF($K882&lt;0,"worse, not significant","better, not significant")))))</f>
        <v/>
      </c>
      <c r="X882">
        <f>IF($M882="","",IF(profit_kind="test",IF(OR(NOT(AND(ISNUMBER($N882),$N882&lt;significance_bar)),$M882=0),"in line",IF($M882&lt;0,"worse","better")),IF(OR($M882=0,IF(profit_kind="points",ABS($M882),ABS($M882*$H882))&lt;profit_line*(1-1E-9)),"in line",IF(AND(ISNUMBER($N882),$N882&lt;significance_bar),IF($M882&lt;0,"worse","better"),IF($M882&lt;0,"worse, not significant","better, not significant")))))</f>
        <v/>
      </c>
      <c r="Y882">
        <f>IF($V882,$X882,$W882)</f>
        <v/>
      </c>
      <c r="Z882">
        <f>IF($V882,IF($P882="","",$P882),IF($O882="","",$O882))</f>
        <v/>
      </c>
      <c r="AA882">
        <f>IF(OR($Q882="",$Z882=""),"",IF(AND($Z882&gt;0,$Z882&gt;=$Q882),"yes","below the line"))</f>
        <v/>
      </c>
      <c r="AB882">
        <f>IF($V882,IF($M882="","",$M882),IF($K882="","",$K882))</f>
        <v/>
      </c>
      <c r="AC882">
        <f>IF($V882,IF($N882="","",$N882),IF($L882="","",$L882))</f>
        <v/>
      </c>
      <c r="AD882">
        <f>IF($Y882="","",IF($Y882="in line",IF(profit_kind="test",IF(ROUND($AB882*100,2)=0,"0.00",TEXT($AB882*100,"+0.00;-0.00"))&amp;" points against "&amp;IF($V882,"its band","the book")&amp;", "&amp;IF($AC882="","not tested","not significant"),IF(profit_kind="points","within "&amp;TEXT(profit_line*100,"0.00")&amp;" points of "&amp;IF($V882,"its band","the book")&amp;" ("&amp;IF(ROUND($AB882*100,2)=0,"0.00",TEXT($AB882*100,"+0.00;-0.00"))&amp;")","within $"&amp;TEXT(profit_line,"#,##0")&amp;" of "&amp;IF($V882,"its band","the book")&amp;" ("&amp;IF(ROUND($AB882*100,2)=0,"0.00",TEXT($AB882*100,"+0.00;-0.00"))&amp;" points)")),IF(LEFT($Y882,5)="worse","short of ","ahead of ")&amp;IF($V882,"its band","the book")&amp;" by "&amp;TEXT(ABS($AB882)*100,"0.00")&amp;" points"&amp;IF($Z882="",""," ($"&amp;TEXT(ABS($Z882),"#,##0")&amp;")")&amp;IF(RIGHT($Y882,15)="not significant"," (not significant)","")))</f>
        <v/>
      </c>
      <c r="AE882">
        <f>IF($V882,IF($S882="","",$S882),IF($R882="","",$R882))</f>
        <v/>
      </c>
      <c r="AF882">
        <f>IF($V882,IF($U882="","",$U882),IF($T882="","",$T882))</f>
        <v/>
      </c>
      <c r="AG882">
        <f>IF($V882,IF($O882="","",$O882),IF($P882="","",$P882))</f>
        <v/>
      </c>
      <c r="AH882" t="n">
        <v>0.1388874121401195</v>
      </c>
      <c r="AI882">
        <f>IF($Y882="worse","Yes",IF($Y882="worse, not significant","Not sure",IF(OR($Y882="too few losses to test",$Y882="too few loans to test"),"Too few losses",IF($Y882="","","No"))))</f>
        <v/>
      </c>
      <c r="AJ882">
        <f>IF($AA882="yes","Yes",IF($AA882="","","No"))</f>
        <v/>
      </c>
    </row>
    <row r="883">
      <c r="A883" t="inlineStr">
        <is>
          <t>three-way</t>
        </is>
      </c>
      <c r="B883" t="inlineStr">
        <is>
          <t>ORIG_BAL x CHANNEL / SYS_FLAG</t>
        </is>
      </c>
      <c r="C883" t="inlineStr">
        <is>
          <t>15,449 - 26,323</t>
        </is>
      </c>
      <c r="D883" t="inlineStr">
        <is>
          <t>Online / SYS_FLAG N</t>
        </is>
      </c>
      <c r="E883" t="inlineStr">
        <is>
          <t>contribution_rate</t>
        </is>
      </c>
      <c r="F883" t="inlineStr">
        <is>
          <t>Contribution before losses per booked dollar</t>
        </is>
      </c>
      <c r="G883" t="n">
        <v>300</v>
      </c>
      <c r="H883" t="n">
        <v>6256047.950000001</v>
      </c>
      <c r="I883" t="b">
        <v>0</v>
      </c>
      <c r="J883" t="b">
        <v>0</v>
      </c>
      <c r="K883" t="n">
        <v>0.02019315383091003</v>
      </c>
      <c r="L883" t="n">
        <v>0.052994700529947</v>
      </c>
      <c r="M883" t="n">
        <v>0.02101032362424252</v>
      </c>
      <c r="N883" t="n">
        <v>0.05474452554744525</v>
      </c>
      <c r="O883" t="n">
        <v>-126329.3386278993</v>
      </c>
      <c r="P883" t="n">
        <v>-131441.5920382789</v>
      </c>
      <c r="Q883">
        <f>'_live'!$C$24</f>
        <v/>
      </c>
      <c r="R883" t="inlineStr">
        <is>
          <t>shuffled: 105 of 10,000</t>
        </is>
      </c>
      <c r="S883" t="inlineStr">
        <is>
          <t>shuffled: 72 of 10,000</t>
        </is>
      </c>
      <c r="T883" t="n">
        <v>0.1691028617151344</v>
      </c>
      <c r="U883" t="n">
        <v>0.1682856919218019</v>
      </c>
      <c r="V883">
        <f>AND(judged_band,NOT($J883))</f>
        <v/>
      </c>
      <c r="W883">
        <f>IF($K883="","",IF(profit_kind="test",IF(OR(NOT(AND(ISNUMBER($L883),$L883&lt;significance_bar)),$K883=0),"in line",IF($K883&lt;0,"worse","better")),IF(OR($K883=0,IF(profit_kind="points",ABS($K883),ABS($K883*$H883))&lt;profit_line*(1-1E-9)),"in line",IF(AND(ISNUMBER($L883),$L883&lt;significance_bar),IF($K883&lt;0,"worse","better"),IF($K883&lt;0,"worse, not significant","better, not significant")))))</f>
        <v/>
      </c>
      <c r="X883">
        <f>IF($M883="","",IF(profit_kind="test",IF(OR(NOT(AND(ISNUMBER($N883),$N883&lt;significance_bar)),$M883=0),"in line",IF($M883&lt;0,"worse","better")),IF(OR($M883=0,IF(profit_kind="points",ABS($M883),ABS($M883*$H883))&lt;profit_line*(1-1E-9)),"in line",IF(AND(ISNUMBER($N883),$N883&lt;significance_bar),IF($M883&lt;0,"worse","better"),IF($M883&lt;0,"worse, not significant","better, not significant")))))</f>
        <v/>
      </c>
      <c r="Y883">
        <f>IF($V883,$X883,$W883)</f>
        <v/>
      </c>
      <c r="Z883">
        <f>IF($V883,IF($P883="","",$P883),IF($O883="","",$O883))</f>
        <v/>
      </c>
      <c r="AA883">
        <f>IF(OR($Q883="",$Z883=""),"",IF(AND($Z883&gt;0,$Z883&gt;=$Q883),"yes","below the line"))</f>
        <v/>
      </c>
      <c r="AB883">
        <f>IF($V883,IF($M883="","",$M883),IF($K883="","",$K883))</f>
        <v/>
      </c>
      <c r="AC883">
        <f>IF($V883,IF($N883="","",$N883),IF($L883="","",$L883))</f>
        <v/>
      </c>
      <c r="AD883">
        <f>IF($Y883="","",IF($Y883="in line",IF(profit_kind="test",IF(ROUND($AB883*100,2)=0,"0.00",TEXT($AB883*100,"+0.00;-0.00"))&amp;" points against "&amp;IF($V883,"its band","the book")&amp;", "&amp;IF($AC883="","not tested","not significant"),IF(profit_kind="points","within "&amp;TEXT(profit_line*100,"0.00")&amp;" points of "&amp;IF($V883,"its band","the book")&amp;" ("&amp;IF(ROUND($AB883*100,2)=0,"0.00",TEXT($AB883*100,"+0.00;-0.00"))&amp;")","within $"&amp;TEXT(profit_line,"#,##0")&amp;" of "&amp;IF($V883,"its band","the book")&amp;" ("&amp;IF(ROUND($AB883*100,2)=0,"0.00",TEXT($AB883*100,"+0.00;-0.00"))&amp;" points)")),IF(LEFT($Y883,5)="worse","short of ","ahead of ")&amp;IF($V883,"its band","the book")&amp;" by "&amp;TEXT(ABS($AB883)*100,"0.00")&amp;" points"&amp;IF($Z883="",""," ($"&amp;TEXT(ABS($Z883),"#,##0")&amp;")")&amp;IF(RIGHT($Y883,15)="not significant"," (not significant)","")))</f>
        <v/>
      </c>
      <c r="AE883">
        <f>IF($V883,IF($S883="","",$S883),IF($R883="","",$R883))</f>
        <v/>
      </c>
      <c r="AF883">
        <f>IF($V883,IF($U883="","",$U883),IF($T883="","",$T883))</f>
        <v/>
      </c>
      <c r="AG883">
        <f>IF($V883,IF($O883="","",$O883),IF($P883="","",$P883))</f>
        <v/>
      </c>
      <c r="AH883" t="n">
        <v>0.1892960155460444</v>
      </c>
      <c r="AI883">
        <f>IF($Y883="worse","Yes",IF($Y883="worse, not significant","Not sure",IF(OR($Y883="too few losses to test",$Y883="too few loans to test"),"Too few losses",IF($Y883="","","No"))))</f>
        <v/>
      </c>
      <c r="AJ883">
        <f>IF($AA883="yes","Yes",IF($AA883="","","No"))</f>
        <v/>
      </c>
    </row>
    <row r="884">
      <c r="A884" t="inlineStr">
        <is>
          <t>three-way</t>
        </is>
      </c>
      <c r="B884" t="inlineStr">
        <is>
          <t>ORIG_BAL x CHANNEL / SYS_FLAG</t>
        </is>
      </c>
      <c r="C884" t="inlineStr">
        <is>
          <t>37,951 - 49,151</t>
        </is>
      </c>
      <c r="D884" t="inlineStr">
        <is>
          <t>Broker / SYS_FLAG N</t>
        </is>
      </c>
      <c r="E884" t="inlineStr">
        <is>
          <t>outcome_loans</t>
        </is>
      </c>
      <c r="F884" t="inlineStr">
        <is>
          <t>Outcome, share of loans</t>
        </is>
      </c>
      <c r="G884" t="n">
        <v>282</v>
      </c>
      <c r="H884" t="n">
        <v>282</v>
      </c>
      <c r="I884" t="b">
        <v>0</v>
      </c>
      <c r="J884" t="b">
        <v>0</v>
      </c>
      <c r="K884" t="n">
        <v>0.6332454135162067</v>
      </c>
      <c r="L884" t="n">
        <v>0.2437463165666249</v>
      </c>
      <c r="M884" t="n">
        <v>0.5452718676122932</v>
      </c>
      <c r="N884" t="n">
        <v>0.07114532450519041</v>
      </c>
      <c r="O884" t="n">
        <v>-8.108332253466372</v>
      </c>
      <c r="P884" t="n">
        <v>-11.6752655538695</v>
      </c>
      <c r="Q884">
        <f>'_live'!$C$20</f>
        <v/>
      </c>
      <c r="R884" t="inlineStr">
        <is>
          <t>z test</t>
        </is>
      </c>
      <c r="S884" t="inlineStr">
        <is>
          <t>z test</t>
        </is>
      </c>
      <c r="T884" t="n">
        <v>0.07839834132434884</v>
      </c>
      <c r="U884" t="n">
        <v>0.09104704097116843</v>
      </c>
      <c r="V884">
        <f>AND(judged_band,NOT($J884))</f>
        <v/>
      </c>
      <c r="W884">
        <f>IF($K884="","",IF($I884,"too few losses to test",IF(AND($K884&gt;better_at,$K884&lt;worse_at),"in line",IF($K884&gt;=worse_at,IF(AND(ISNUMBER($L884),$L884&lt;significance_bar),"worse","worse, not significant"),IF(AND(ISNUMBER($L884),$L884&lt;significance_bar),"better","better, not significant")))))</f>
        <v/>
      </c>
      <c r="X884">
        <f>IF($M884="","",IF($I884,"too few losses to test",IF(AND($M884&gt;better_at,$M884&lt;worse_at),"in line",IF($M884&gt;=worse_at,IF(AND(ISNUMBER($N884),$N884&lt;significance_bar),"worse","worse, not significant"),IF(AND(ISNUMBER($N884),$N884&lt;significance_bar),"better","better, not significant")))))</f>
        <v/>
      </c>
      <c r="Y884">
        <f>IF($V884,$X884,$W884)</f>
        <v/>
      </c>
      <c r="Z884">
        <f>IF($V884,IF($P884="","",$P884),IF($O884="","",$O884))</f>
        <v/>
      </c>
      <c r="AA884">
        <f>IF(OR($Q884="",$Z884=""),"",IF(AND($Z884&gt;0,$Z884&gt;=$Q884),"yes","below the line"))</f>
        <v/>
      </c>
      <c r="AB884">
        <f>IF($V884,IF($M884="","",$M884),IF($K884="","",$K884))</f>
        <v/>
      </c>
      <c r="AC884">
        <f>IF($V884,IF($N884="","",$N884),IF($L884="","",$L884))</f>
        <v/>
      </c>
      <c r="AD884">
        <f>$Y884</f>
        <v/>
      </c>
      <c r="AE884">
        <f>IF($V884,IF($S884="","",$S884),IF($R884="","",$R884))</f>
        <v/>
      </c>
      <c r="AF884">
        <f>IF($V884,IF($U884="","",$U884),IF($T884="","",$T884))</f>
        <v/>
      </c>
      <c r="AG884">
        <f>IF($V884,IF($O884="","",$O884),IF($P884="","",$P884))</f>
        <v/>
      </c>
      <c r="AH884" t="n">
        <v>0.04964539007092199</v>
      </c>
      <c r="AI884">
        <f>IF($Y884="worse","Yes",IF($Y884="worse, not significant","Not sure",IF(OR($Y884="too few losses to test",$Y884="too few loans to test"),"Too few losses",IF($Y884="","","No"))))</f>
        <v/>
      </c>
      <c r="AJ884">
        <f>IF($AA884="yes","Yes",IF($AA884="","","No"))</f>
        <v/>
      </c>
    </row>
    <row r="885">
      <c r="A885" t="inlineStr">
        <is>
          <t>three-way</t>
        </is>
      </c>
      <c r="B885" t="inlineStr">
        <is>
          <t>ORIG_BAL x CHANNEL / SYS_FLAG</t>
        </is>
      </c>
      <c r="C885" t="inlineStr">
        <is>
          <t>37,951 - 49,151</t>
        </is>
      </c>
      <c r="D885" t="inlineStr">
        <is>
          <t>Broker / SYS_FLAG N</t>
        </is>
      </c>
      <c r="E885" t="inlineStr">
        <is>
          <t>outcome_booked</t>
        </is>
      </c>
      <c r="F885" t="inlineStr">
        <is>
          <t>Outcome, share of booked dollars</t>
        </is>
      </c>
      <c r="G885" t="n">
        <v>282</v>
      </c>
      <c r="H885" t="n">
        <v>12242725.38000001</v>
      </c>
      <c r="I885" t="b">
        <v>0</v>
      </c>
      <c r="J885" t="b">
        <v>0</v>
      </c>
      <c r="K885" t="n">
        <v>0.6751232065342381</v>
      </c>
      <c r="L885" t="n">
        <v>0.362963703629637</v>
      </c>
      <c r="M885" t="n">
        <v>0.5709885995395644</v>
      </c>
      <c r="N885" t="n">
        <v>0.09705696097056962</v>
      </c>
      <c r="O885" t="n">
        <v>-302282.1189454013</v>
      </c>
      <c r="P885" t="n">
        <v>-471974.136433129</v>
      </c>
      <c r="Q885">
        <f>'_live'!$C$21</f>
        <v/>
      </c>
      <c r="R885" t="inlineStr">
        <is>
          <t>shuffled: 1,600 of 10,000</t>
        </is>
      </c>
      <c r="S885" t="inlineStr">
        <is>
          <t>shuffled: 311 of 10,000</t>
        </is>
      </c>
      <c r="T885" t="n">
        <v>0.07600036185287695</v>
      </c>
      <c r="U885" t="n">
        <v>0.08986100253709424</v>
      </c>
      <c r="V885">
        <f>AND(judged_band,NOT($J885))</f>
        <v/>
      </c>
      <c r="W885">
        <f>IF($K885="","",IF($I885,"too few losses to test",IF(AND($K885&gt;better_at,$K885&lt;worse_at),"in line",IF($K885&gt;=worse_at,IF(AND(ISNUMBER($L885),$L885&lt;significance_bar),"worse","worse, not significant"),IF(AND(ISNUMBER($L885),$L885&lt;significance_bar),"better","better, not significant")))))</f>
        <v/>
      </c>
      <c r="X885">
        <f>IF($M885="","",IF($I885,"too few losses to test",IF(AND($M885&gt;better_at,$M885&lt;worse_at),"in line",IF($M885&gt;=worse_at,IF(AND(ISNUMBER($N885),$N885&lt;significance_bar),"worse","worse, not significant"),IF(AND(ISNUMBER($N885),$N885&lt;significance_bar),"better","better, not significant")))))</f>
        <v/>
      </c>
      <c r="Y885">
        <f>IF($V885,$X885,$W885)</f>
        <v/>
      </c>
      <c r="Z885">
        <f>IF($V885,IF($P885="","",$P885),IF($O885="","",$O885))</f>
        <v/>
      </c>
      <c r="AA885">
        <f>IF(OR($Q885="",$Z885=""),"",IF(AND($Z885&gt;0,$Z885&gt;=$Q885),"yes","below the line"))</f>
        <v/>
      </c>
      <c r="AB885">
        <f>IF($V885,IF($M885="","",$M885),IF($K885="","",$K885))</f>
        <v/>
      </c>
      <c r="AC885">
        <f>IF($V885,IF($N885="","",$N885),IF($L885="","",$L885))</f>
        <v/>
      </c>
      <c r="AD885">
        <f>$Y885</f>
        <v/>
      </c>
      <c r="AE885">
        <f>IF($V885,IF($S885="","",$S885),IF($R885="","",$R885))</f>
        <v/>
      </c>
      <c r="AF885">
        <f>IF($V885,IF($U885="","",$U885),IF($T885="","",$T885))</f>
        <v/>
      </c>
      <c r="AG885">
        <f>IF($V885,IF($O885="","",$O885),IF($P885="","",$P885))</f>
        <v/>
      </c>
      <c r="AH885" t="n">
        <v>0.05130960799187668</v>
      </c>
      <c r="AI885">
        <f>IF($Y885="worse","Yes",IF($Y885="worse, not significant","Not sure",IF(OR($Y885="too few losses to test",$Y885="too few loans to test"),"Too few losses",IF($Y885="","","No"))))</f>
        <v/>
      </c>
      <c r="AJ885">
        <f>IF($AA885="yes","Yes",IF($AA885="","","No"))</f>
        <v/>
      </c>
    </row>
    <row r="886">
      <c r="A886" t="inlineStr">
        <is>
          <t>three-way</t>
        </is>
      </c>
      <c r="B886" t="inlineStr">
        <is>
          <t>ORIG_BAL x CHANNEL / SYS_FLAG</t>
        </is>
      </c>
      <c r="C886" t="inlineStr">
        <is>
          <t>37,951 - 49,151</t>
        </is>
      </c>
      <c r="D886" t="inlineStr">
        <is>
          <t>Broker / SYS_FLAG N</t>
        </is>
      </c>
      <c r="E886" t="inlineStr">
        <is>
          <t>gco_rate</t>
        </is>
      </c>
      <c r="F886" t="inlineStr">
        <is>
          <t>GCO per booked dollar</t>
        </is>
      </c>
      <c r="G886" t="n">
        <v>282</v>
      </c>
      <c r="H886" t="n">
        <v>12242725.38000001</v>
      </c>
      <c r="I886" t="b">
        <v>0</v>
      </c>
      <c r="J886" t="b">
        <v>0</v>
      </c>
      <c r="K886" t="n">
        <v>0.7362571628448117</v>
      </c>
      <c r="L886" t="n">
        <v>0.5045095490450955</v>
      </c>
      <c r="M886" t="n">
        <v>0.6188808882850518</v>
      </c>
      <c r="N886" t="n">
        <v>0.183254401832544</v>
      </c>
      <c r="O886" t="n">
        <v>-136042.9562955854</v>
      </c>
      <c r="P886" t="n">
        <v>-233872.1866680214</v>
      </c>
      <c r="Q886">
        <f>'_live'!$C$22</f>
        <v/>
      </c>
      <c r="R886" t="inlineStr">
        <is>
          <t>shuffled: 2,702 of 10,000</t>
        </is>
      </c>
      <c r="S886" t="inlineStr">
        <is>
          <t>shuffled: 719 of 10,000</t>
        </is>
      </c>
      <c r="T886" t="n">
        <v>0.04213250483738164</v>
      </c>
      <c r="U886" t="n">
        <v>0.05012330977140818</v>
      </c>
      <c r="V886">
        <f>AND(judged_band,NOT($J886))</f>
        <v/>
      </c>
      <c r="W886">
        <f>IF($K886="","",IF($I886,"too few losses to test",IF(AND($K886&gt;better_at,$K886&lt;worse_at),"in line",IF($K886&gt;=worse_at,IF(AND(ISNUMBER($L886),$L886&lt;significance_bar),"worse","worse, not significant"),IF(AND(ISNUMBER($L886),$L886&lt;significance_bar),"better","better, not significant")))))</f>
        <v/>
      </c>
      <c r="X886">
        <f>IF($M886="","",IF($I886,"too few losses to test",IF(AND($M886&gt;better_at,$M886&lt;worse_at),"in line",IF($M886&gt;=worse_at,IF(AND(ISNUMBER($N886),$N886&lt;significance_bar),"worse","worse, not significant"),IF(AND(ISNUMBER($N886),$N886&lt;significance_bar),"better","better, not significant")))))</f>
        <v/>
      </c>
      <c r="Y886">
        <f>IF($V886,$X886,$W886)</f>
        <v/>
      </c>
      <c r="Z886">
        <f>IF($V886,IF($P886="","",$P886),IF($O886="","",$O886))</f>
        <v/>
      </c>
      <c r="AA886">
        <f>IF(OR($Q886="",$Z886=""),"",IF(AND($Z886&gt;0,$Z886&gt;=$Q886),"yes","below the line"))</f>
        <v/>
      </c>
      <c r="AB886">
        <f>IF($V886,IF($M886="","",$M886),IF($K886="","",$K886))</f>
        <v/>
      </c>
      <c r="AC886">
        <f>IF($V886,IF($N886="","",$N886),IF($L886="","",$L886))</f>
        <v/>
      </c>
      <c r="AD886">
        <f>$Y886</f>
        <v/>
      </c>
      <c r="AE886">
        <f>IF($V886,IF($S886="","",$S886),IF($R886="","",$R886))</f>
        <v/>
      </c>
      <c r="AF886">
        <f>IF($V886,IF($U886="","",$U886),IF($T886="","",$T886))</f>
        <v/>
      </c>
      <c r="AG886">
        <f>IF($V886,IF($O886="","",$O886),IF($P886="","",$P886))</f>
        <v/>
      </c>
      <c r="AH886" t="n">
        <v>0.03102035847511591</v>
      </c>
      <c r="AI886">
        <f>IF($Y886="worse","Yes",IF($Y886="worse, not significant","Not sure",IF(OR($Y886="too few losses to test",$Y886="too few loans to test"),"Too few losses",IF($Y886="","","No"))))</f>
        <v/>
      </c>
      <c r="AJ886">
        <f>IF($AA886="yes","Yes",IF($AA886="","","No"))</f>
        <v/>
      </c>
    </row>
    <row r="887">
      <c r="A887" t="inlineStr">
        <is>
          <t>three-way</t>
        </is>
      </c>
      <c r="B887" t="inlineStr">
        <is>
          <t>ORIG_BAL x CHANNEL / SYS_FLAG</t>
        </is>
      </c>
      <c r="C887" t="inlineStr">
        <is>
          <t>37,951 - 49,151</t>
        </is>
      </c>
      <c r="D887" t="inlineStr">
        <is>
          <t>Broker / SYS_FLAG N</t>
        </is>
      </c>
      <c r="E887" t="inlineStr">
        <is>
          <t>ranr_rate</t>
        </is>
      </c>
      <c r="F887" t="inlineStr">
        <is>
          <t>Profit after losses: RANR per booked dollar</t>
        </is>
      </c>
      <c r="G887" t="n">
        <v>282</v>
      </c>
      <c r="H887" t="n">
        <v>12242725.38000001</v>
      </c>
      <c r="I887" t="b">
        <v>0</v>
      </c>
      <c r="J887" t="b">
        <v>0</v>
      </c>
      <c r="K887" t="n">
        <v>0.008096578423759104</v>
      </c>
      <c r="L887" t="n">
        <v>0.6749325067493251</v>
      </c>
      <c r="M887" t="n">
        <v>0.01610253211148001</v>
      </c>
      <c r="N887" t="n">
        <v>0.3410185297259748</v>
      </c>
      <c r="O887" t="n">
        <v>-99124.18615971622</v>
      </c>
      <c r="P887" t="n">
        <v>-197138.8785634816</v>
      </c>
      <c r="Q887">
        <f>'_live'!$C$23</f>
        <v/>
      </c>
      <c r="R887" t="inlineStr">
        <is>
          <t>shuffled: 5,174 of 10,000</t>
        </is>
      </c>
      <c r="S887" t="inlineStr">
        <is>
          <t>shuffled: 2,159 of 10,000</t>
        </is>
      </c>
      <c r="T887" t="n">
        <v>0.1276059492760003</v>
      </c>
      <c r="U887" t="n">
        <v>0.1195999955882794</v>
      </c>
      <c r="V887">
        <f>AND(judged_band,NOT($J887))</f>
        <v/>
      </c>
      <c r="W887">
        <f>IF($K887="","",IF(profit_kind="test",IF(OR(NOT(AND(ISNUMBER($L887),$L887&lt;significance_bar)),$K887=0),"in line",IF($K887&lt;0,"worse","better")),IF(OR($K887=0,IF(profit_kind="points",ABS($K887),ABS($K887*$H887))&lt;profit_line*(1-1E-9)),"in line",IF(AND(ISNUMBER($L887),$L887&lt;significance_bar),IF($K887&lt;0,"worse","better"),IF($K887&lt;0,"worse, not significant","better, not significant")))))</f>
        <v/>
      </c>
      <c r="X887">
        <f>IF($M887="","",IF(profit_kind="test",IF(OR(NOT(AND(ISNUMBER($N887),$N887&lt;significance_bar)),$M887=0),"in line",IF($M887&lt;0,"worse","better")),IF(OR($M887=0,IF(profit_kind="points",ABS($M887),ABS($M887*$H887))&lt;profit_line*(1-1E-9)),"in line",IF(AND(ISNUMBER($N887),$N887&lt;significance_bar),IF($M887&lt;0,"worse","better"),IF($M887&lt;0,"worse, not significant","better, not significant")))))</f>
        <v/>
      </c>
      <c r="Y887">
        <f>IF($V887,$X887,$W887)</f>
        <v/>
      </c>
      <c r="Z887">
        <f>IF($V887,IF($P887="","",$P887),IF($O887="","",$O887))</f>
        <v/>
      </c>
      <c r="AA887">
        <f>IF(OR($Q887="",$Z887=""),"",IF(AND($Z887&gt;0,$Z887&gt;=$Q887),"yes","below the line"))</f>
        <v/>
      </c>
      <c r="AB887">
        <f>IF($V887,IF($M887="","",$M887),IF($K887="","",$K887))</f>
        <v/>
      </c>
      <c r="AC887">
        <f>IF($V887,IF($N887="","",$N887),IF($L887="","",$L887))</f>
        <v/>
      </c>
      <c r="AD887">
        <f>IF($Y887="","",IF($Y887="in line",IF(profit_kind="test",IF(ROUND($AB887*100,2)=0,"0.00",TEXT($AB887*100,"+0.00;-0.00"))&amp;" points against "&amp;IF($V887,"its band","the book")&amp;", "&amp;IF($AC887="","not tested","not significant"),IF(profit_kind="points","within "&amp;TEXT(profit_line*100,"0.00")&amp;" points of "&amp;IF($V887,"its band","the book")&amp;" ("&amp;IF(ROUND($AB887*100,2)=0,"0.00",TEXT($AB887*100,"+0.00;-0.00"))&amp;")","within $"&amp;TEXT(profit_line,"#,##0")&amp;" of "&amp;IF($V887,"its band","the book")&amp;" ("&amp;IF(ROUND($AB887*100,2)=0,"0.00",TEXT($AB887*100,"+0.00;-0.00"))&amp;" points)")),IF(LEFT($Y887,5)="worse","short of ","ahead of ")&amp;IF($V887,"its band","the book")&amp;" by "&amp;TEXT(ABS($AB887)*100,"0.00")&amp;" points"&amp;IF($Z887="",""," ($"&amp;TEXT(ABS($Z887),"#,##0")&amp;")")&amp;IF(RIGHT($Y887,15)="not significant"," (not significant)","")))</f>
        <v/>
      </c>
      <c r="AE887">
        <f>IF($V887,IF($S887="","",$S887),IF($R887="","",$R887))</f>
        <v/>
      </c>
      <c r="AF887">
        <f>IF($V887,IF($U887="","",$U887),IF($T887="","",$T887))</f>
        <v/>
      </c>
      <c r="AG887">
        <f>IF($V887,IF($O887="","",$O887),IF($P887="","",$P887))</f>
        <v/>
      </c>
      <c r="AH887" t="n">
        <v>0.1357025276997594</v>
      </c>
      <c r="AI887">
        <f>IF($Y887="worse","Yes",IF($Y887="worse, not significant","Not sure",IF(OR($Y887="too few losses to test",$Y887="too few loans to test"),"Too few losses",IF($Y887="","","No"))))</f>
        <v/>
      </c>
      <c r="AJ887">
        <f>IF($AA887="yes","Yes",IF($AA887="","","No"))</f>
        <v/>
      </c>
    </row>
    <row r="888">
      <c r="A888" t="inlineStr">
        <is>
          <t>three-way</t>
        </is>
      </c>
      <c r="B888" t="inlineStr">
        <is>
          <t>ORIG_BAL x CHANNEL / SYS_FLAG</t>
        </is>
      </c>
      <c r="C888" t="inlineStr">
        <is>
          <t>37,951 - 49,151</t>
        </is>
      </c>
      <c r="D888" t="inlineStr">
        <is>
          <t>Broker / SYS_FLAG N</t>
        </is>
      </c>
      <c r="E888" t="inlineStr">
        <is>
          <t>contribution_rate</t>
        </is>
      </c>
      <c r="F888" t="inlineStr">
        <is>
          <t>Contribution before losses per booked dollar</t>
        </is>
      </c>
      <c r="G888" t="n">
        <v>282</v>
      </c>
      <c r="H888" t="n">
        <v>12242725.38000001</v>
      </c>
      <c r="I888" t="b">
        <v>0</v>
      </c>
      <c r="J888" t="b">
        <v>0</v>
      </c>
      <c r="K888" t="n">
        <v>-0.003012504254946674</v>
      </c>
      <c r="L888" t="n">
        <v>0.7192280771922808</v>
      </c>
      <c r="M888" t="n">
        <v>-0.002981770504895676</v>
      </c>
      <c r="N888" t="n">
        <v>0.7119288071192881</v>
      </c>
      <c r="O888" t="n">
        <v>36881.26229939354</v>
      </c>
      <c r="P888" t="n">
        <v>36504.9974376217</v>
      </c>
      <c r="Q888">
        <f>'_live'!$C$24</f>
        <v/>
      </c>
      <c r="R888" t="inlineStr">
        <is>
          <t>shuffled: 7,192 of 10,000</t>
        </is>
      </c>
      <c r="S888" t="inlineStr">
        <is>
          <t>shuffled: 7,119 of 10,000</t>
        </is>
      </c>
      <c r="T888" t="n">
        <v>0.1697353904298221</v>
      </c>
      <c r="U888" t="n">
        <v>0.1697046566797711</v>
      </c>
      <c r="V888">
        <f>AND(judged_band,NOT($J888))</f>
        <v/>
      </c>
      <c r="W888">
        <f>IF($K888="","",IF(profit_kind="test",IF(OR(NOT(AND(ISNUMBER($L888),$L888&lt;significance_bar)),$K888=0),"in line",IF($K888&lt;0,"worse","better")),IF(OR($K888=0,IF(profit_kind="points",ABS($K888),ABS($K888*$H888))&lt;profit_line*(1-1E-9)),"in line",IF(AND(ISNUMBER($L888),$L888&lt;significance_bar),IF($K888&lt;0,"worse","better"),IF($K888&lt;0,"worse, not significant","better, not significant")))))</f>
        <v/>
      </c>
      <c r="X888">
        <f>IF($M888="","",IF(profit_kind="test",IF(OR(NOT(AND(ISNUMBER($N888),$N888&lt;significance_bar)),$M888=0),"in line",IF($M888&lt;0,"worse","better")),IF(OR($M888=0,IF(profit_kind="points",ABS($M888),ABS($M888*$H888))&lt;profit_line*(1-1E-9)),"in line",IF(AND(ISNUMBER($N888),$N888&lt;significance_bar),IF($M888&lt;0,"worse","better"),IF($M888&lt;0,"worse, not significant","better, not significant")))))</f>
        <v/>
      </c>
      <c r="Y888">
        <f>IF($V888,$X888,$W888)</f>
        <v/>
      </c>
      <c r="Z888">
        <f>IF($V888,IF($P888="","",$P888),IF($O888="","",$O888))</f>
        <v/>
      </c>
      <c r="AA888">
        <f>IF(OR($Q888="",$Z888=""),"",IF(AND($Z888&gt;0,$Z888&gt;=$Q888),"yes","below the line"))</f>
        <v/>
      </c>
      <c r="AB888">
        <f>IF($V888,IF($M888="","",$M888),IF($K888="","",$K888))</f>
        <v/>
      </c>
      <c r="AC888">
        <f>IF($V888,IF($N888="","",$N888),IF($L888="","",$L888))</f>
        <v/>
      </c>
      <c r="AD888">
        <f>IF($Y888="","",IF($Y888="in line",IF(profit_kind="test",IF(ROUND($AB888*100,2)=0,"0.00",TEXT($AB888*100,"+0.00;-0.00"))&amp;" points against "&amp;IF($V888,"its band","the book")&amp;", "&amp;IF($AC888="","not tested","not significant"),IF(profit_kind="points","within "&amp;TEXT(profit_line*100,"0.00")&amp;" points of "&amp;IF($V888,"its band","the book")&amp;" ("&amp;IF(ROUND($AB888*100,2)=0,"0.00",TEXT($AB888*100,"+0.00;-0.00"))&amp;")","within $"&amp;TEXT(profit_line,"#,##0")&amp;" of "&amp;IF($V888,"its band","the book")&amp;" ("&amp;IF(ROUND($AB888*100,2)=0,"0.00",TEXT($AB888*100,"+0.00;-0.00"))&amp;" points)")),IF(LEFT($Y888,5)="worse","short of ","ahead of ")&amp;IF($V888,"its band","the book")&amp;" by "&amp;TEXT(ABS($AB888)*100,"0.00")&amp;" points"&amp;IF($Z888="",""," ($"&amp;TEXT(ABS($Z888),"#,##0")&amp;")")&amp;IF(RIGHT($Y888,15)="not significant"," (not significant)","")))</f>
        <v/>
      </c>
      <c r="AE888">
        <f>IF($V888,IF($S888="","",$S888),IF($R888="","",$R888))</f>
        <v/>
      </c>
      <c r="AF888">
        <f>IF($V888,IF($U888="","",$U888),IF($T888="","",$T888))</f>
        <v/>
      </c>
      <c r="AG888">
        <f>IF($V888,IF($O888="","",$O888),IF($P888="","",$P888))</f>
        <v/>
      </c>
      <c r="AH888" t="n">
        <v>0.1667228861748754</v>
      </c>
      <c r="AI888">
        <f>IF($Y888="worse","Yes",IF($Y888="worse, not significant","Not sure",IF(OR($Y888="too few losses to test",$Y888="too few loans to test"),"Too few losses",IF($Y888="","","No"))))</f>
        <v/>
      </c>
      <c r="AJ888">
        <f>IF($AA888="yes","Yes",IF($AA888="","","No"))</f>
        <v/>
      </c>
    </row>
    <row r="889">
      <c r="A889" t="inlineStr">
        <is>
          <t>three-way</t>
        </is>
      </c>
      <c r="B889" t="inlineStr">
        <is>
          <t>ORIG_BAL x CHANNEL / SYS_FLAG</t>
        </is>
      </c>
      <c r="C889" t="inlineStr">
        <is>
          <t>5,005 - 15,448</t>
        </is>
      </c>
      <c r="D889" t="inlineStr">
        <is>
          <t>Broker / SYS_FLAG Y</t>
        </is>
      </c>
      <c r="E889" t="inlineStr">
        <is>
          <t>outcome_loans</t>
        </is>
      </c>
      <c r="F889" t="inlineStr">
        <is>
          <t>Outcome, share of loans</t>
        </is>
      </c>
      <c r="G889" t="n">
        <v>237</v>
      </c>
      <c r="H889" t="n">
        <v>237</v>
      </c>
      <c r="I889" t="b">
        <v>0</v>
      </c>
      <c r="J889" t="b">
        <v>0</v>
      </c>
      <c r="K889" t="n">
        <v>1.43596530549804</v>
      </c>
      <c r="L889" t="n">
        <v>0.2348537441963027</v>
      </c>
      <c r="M889" t="n">
        <v>1.541519857323068</v>
      </c>
      <c r="N889" t="n">
        <v>0.1013732936966139</v>
      </c>
      <c r="O889" t="n">
        <v>7.893712960577169</v>
      </c>
      <c r="P889" t="n">
        <v>9.133528980190757</v>
      </c>
      <c r="Q889">
        <f>'_live'!$C$20</f>
        <v/>
      </c>
      <c r="R889" t="inlineStr">
        <is>
          <t>z test</t>
        </is>
      </c>
      <c r="S889" t="inlineStr">
        <is>
          <t>z test</t>
        </is>
      </c>
      <c r="T889" t="n">
        <v>0.07639783560937903</v>
      </c>
      <c r="U889" t="n">
        <v>0.07116654438738078</v>
      </c>
      <c r="V889">
        <f>AND(judged_band,NOT($J889))</f>
        <v/>
      </c>
      <c r="W889">
        <f>IF($K889="","",IF($I889,"too few losses to test",IF(AND($K889&gt;better_at,$K889&lt;worse_at),"in line",IF($K889&gt;=worse_at,IF(AND(ISNUMBER($L889),$L889&lt;significance_bar),"worse","worse, not significant"),IF(AND(ISNUMBER($L889),$L889&lt;significance_bar),"better","better, not significant")))))</f>
        <v/>
      </c>
      <c r="X889">
        <f>IF($M889="","",IF($I889,"too few losses to test",IF(AND($M889&gt;better_at,$M889&lt;worse_at),"in line",IF($M889&gt;=worse_at,IF(AND(ISNUMBER($N889),$N889&lt;significance_bar),"worse","worse, not significant"),IF(AND(ISNUMBER($N889),$N889&lt;significance_bar),"better","better, not significant")))))</f>
        <v/>
      </c>
      <c r="Y889">
        <f>IF($V889,$X889,$W889)</f>
        <v/>
      </c>
      <c r="Z889">
        <f>IF($V889,IF($P889="","",$P889),IF($O889="","",$O889))</f>
        <v/>
      </c>
      <c r="AA889">
        <f>IF(OR($Q889="",$Z889=""),"",IF(AND($Z889&gt;0,$Z889&gt;=$Q889),"yes","below the line"))</f>
        <v/>
      </c>
      <c r="AB889">
        <f>IF($V889,IF($M889="","",$M889),IF($K889="","",$K889))</f>
        <v/>
      </c>
      <c r="AC889">
        <f>IF($V889,IF($N889="","",$N889),IF($L889="","",$L889))</f>
        <v/>
      </c>
      <c r="AD889">
        <f>$Y889</f>
        <v/>
      </c>
      <c r="AE889">
        <f>IF($V889,IF($S889="","",$S889),IF($R889="","",$R889))</f>
        <v/>
      </c>
      <c r="AF889">
        <f>IF($V889,IF($U889="","",$U889),IF($T889="","",$T889))</f>
        <v/>
      </c>
      <c r="AG889">
        <f>IF($V889,IF($O889="","",$O889),IF($P889="","",$P889))</f>
        <v/>
      </c>
      <c r="AH889" t="n">
        <v>0.109704641350211</v>
      </c>
      <c r="AI889">
        <f>IF($Y889="worse","Yes",IF($Y889="worse, not significant","Not sure",IF(OR($Y889="too few losses to test",$Y889="too few loans to test"),"Too few losses",IF($Y889="","","No"))))</f>
        <v/>
      </c>
      <c r="AJ889">
        <f>IF($AA889="yes","Yes",IF($AA889="","","No"))</f>
        <v/>
      </c>
    </row>
    <row r="890">
      <c r="A890" t="inlineStr">
        <is>
          <t>three-way</t>
        </is>
      </c>
      <c r="B890" t="inlineStr">
        <is>
          <t>ORIG_BAL x CHANNEL / SYS_FLAG</t>
        </is>
      </c>
      <c r="C890" t="inlineStr">
        <is>
          <t>5,005 - 15,448</t>
        </is>
      </c>
      <c r="D890" t="inlineStr">
        <is>
          <t>Broker / SYS_FLAG Y</t>
        </is>
      </c>
      <c r="E890" t="inlineStr">
        <is>
          <t>outcome_booked</t>
        </is>
      </c>
      <c r="F890" t="inlineStr">
        <is>
          <t>Outcome, share of booked dollars</t>
        </is>
      </c>
      <c r="G890" t="n">
        <v>237</v>
      </c>
      <c r="H890" t="n">
        <v>2434424.000000001</v>
      </c>
      <c r="I890" t="b">
        <v>0</v>
      </c>
      <c r="J890" t="b">
        <v>0</v>
      </c>
      <c r="K890" t="n">
        <v>1.323018673949389</v>
      </c>
      <c r="L890" t="n">
        <v>0.378335499783355</v>
      </c>
      <c r="M890" t="n">
        <v>1.380509353887142</v>
      </c>
      <c r="N890" t="n">
        <v>0.3295670432956704</v>
      </c>
      <c r="O890" t="n">
        <v>58663.97770832235</v>
      </c>
      <c r="P890" t="n">
        <v>66227.11472714509</v>
      </c>
      <c r="Q890">
        <f>'_live'!$C$21</f>
        <v/>
      </c>
      <c r="R890" t="inlineStr">
        <is>
          <t>shuffled: 2,026 of 10,000</t>
        </is>
      </c>
      <c r="S890" t="inlineStr">
        <is>
          <t>shuffled: 1,534 of 10,000</t>
        </is>
      </c>
      <c r="T890" t="n">
        <v>0.07460151653601738</v>
      </c>
      <c r="U890" t="n">
        <v>0.07149477053826894</v>
      </c>
      <c r="V890">
        <f>AND(judged_band,NOT($J890))</f>
        <v/>
      </c>
      <c r="W890">
        <f>IF($K890="","",IF($I890,"too few losses to test",IF(AND($K890&gt;better_at,$K890&lt;worse_at),"in line",IF($K890&gt;=worse_at,IF(AND(ISNUMBER($L890),$L890&lt;significance_bar),"worse","worse, not significant"),IF(AND(ISNUMBER($L890),$L890&lt;significance_bar),"better","better, not significant")))))</f>
        <v/>
      </c>
      <c r="X890">
        <f>IF($M890="","",IF($I890,"too few losses to test",IF(AND($M890&gt;better_at,$M890&lt;worse_at),"in line",IF($M890&gt;=worse_at,IF(AND(ISNUMBER($N890),$N890&lt;significance_bar),"worse","worse, not significant"),IF(AND(ISNUMBER($N890),$N890&lt;significance_bar),"better","better, not significant")))))</f>
        <v/>
      </c>
      <c r="Y890">
        <f>IF($V890,$X890,$W890)</f>
        <v/>
      </c>
      <c r="Z890">
        <f>IF($V890,IF($P890="","",$P890),IF($O890="","",$O890))</f>
        <v/>
      </c>
      <c r="AA890">
        <f>IF(OR($Q890="",$Z890=""),"",IF(AND($Z890&gt;0,$Z890&gt;=$Q890),"yes","below the line"))</f>
        <v/>
      </c>
      <c r="AB890">
        <f>IF($V890,IF($M890="","",$M890),IF($K890="","",$K890))</f>
        <v/>
      </c>
      <c r="AC890">
        <f>IF($V890,IF($N890="","",$N890),IF($L890="","",$L890))</f>
        <v/>
      </c>
      <c r="AD890">
        <f>$Y890</f>
        <v/>
      </c>
      <c r="AE890">
        <f>IF($V890,IF($S890="","",$S890),IF($R890="","",$R890))</f>
        <v/>
      </c>
      <c r="AF890">
        <f>IF($V890,IF($U890="","",$U890),IF($T890="","",$T890))</f>
        <v/>
      </c>
      <c r="AG890">
        <f>IF($V890,IF($O890="","",$O890),IF($P890="","",$P890))</f>
        <v/>
      </c>
      <c r="AH890" t="n">
        <v>0.0986991994820951</v>
      </c>
      <c r="AI890">
        <f>IF($Y890="worse","Yes",IF($Y890="worse, not significant","Not sure",IF(OR($Y890="too few losses to test",$Y890="too few loans to test"),"Too few losses",IF($Y890="","","No"))))</f>
        <v/>
      </c>
      <c r="AJ890">
        <f>IF($AA890="yes","Yes",IF($AA890="","","No"))</f>
        <v/>
      </c>
    </row>
    <row r="891">
      <c r="A891" t="inlineStr">
        <is>
          <t>three-way</t>
        </is>
      </c>
      <c r="B891" t="inlineStr">
        <is>
          <t>ORIG_BAL x CHANNEL / SYS_FLAG</t>
        </is>
      </c>
      <c r="C891" t="inlineStr">
        <is>
          <t>5,005 - 15,448</t>
        </is>
      </c>
      <c r="D891" t="inlineStr">
        <is>
          <t>Broker / SYS_FLAG Y</t>
        </is>
      </c>
      <c r="E891" t="inlineStr">
        <is>
          <t>gco_rate</t>
        </is>
      </c>
      <c r="F891" t="inlineStr">
        <is>
          <t>GCO per booked dollar</t>
        </is>
      </c>
      <c r="G891" t="n">
        <v>237</v>
      </c>
      <c r="H891" t="n">
        <v>2434424.000000001</v>
      </c>
      <c r="I891" t="b">
        <v>0</v>
      </c>
      <c r="J891" t="b">
        <v>0</v>
      </c>
      <c r="K891" t="n">
        <v>1.348775623307876</v>
      </c>
      <c r="L891" t="n">
        <v>0.4330233643302336</v>
      </c>
      <c r="M891" t="n">
        <v>1.440317846982329</v>
      </c>
      <c r="N891" t="n">
        <v>0.2569281533385123</v>
      </c>
      <c r="O891" t="n">
        <v>35209.82771354711</v>
      </c>
      <c r="P891" t="n">
        <v>41626.07202442622</v>
      </c>
      <c r="Q891">
        <f>'_live'!$C$22</f>
        <v/>
      </c>
      <c r="R891" t="inlineStr">
        <is>
          <t>shuffled: 1,855 of 10,000</t>
        </is>
      </c>
      <c r="S891" t="inlineStr">
        <is>
          <t>shuffled: 1,192 of 10,000</t>
        </is>
      </c>
      <c r="T891" t="n">
        <v>0.04146880834499366</v>
      </c>
      <c r="U891" t="n">
        <v>0.03883317695503074</v>
      </c>
      <c r="V891">
        <f>AND(judged_band,NOT($J891))</f>
        <v/>
      </c>
      <c r="W891">
        <f>IF($K891="","",IF($I891,"too few losses to test",IF(AND($K891&gt;better_at,$K891&lt;worse_at),"in line",IF($K891&gt;=worse_at,IF(AND(ISNUMBER($L891),$L891&lt;significance_bar),"worse","worse, not significant"),IF(AND(ISNUMBER($L891),$L891&lt;significance_bar),"better","better, not significant")))))</f>
        <v/>
      </c>
      <c r="X891">
        <f>IF($M891="","",IF($I891,"too few losses to test",IF(AND($M891&gt;better_at,$M891&lt;worse_at),"in line",IF($M891&gt;=worse_at,IF(AND(ISNUMBER($N891),$N891&lt;significance_bar),"worse","worse, not significant"),IF(AND(ISNUMBER($N891),$N891&lt;significance_bar),"better","better, not significant")))))</f>
        <v/>
      </c>
      <c r="Y891">
        <f>IF($V891,$X891,$W891)</f>
        <v/>
      </c>
      <c r="Z891">
        <f>IF($V891,IF($P891="","",$P891),IF($O891="","",$O891))</f>
        <v/>
      </c>
      <c r="AA891">
        <f>IF(OR($Q891="",$Z891=""),"",IF(AND($Z891&gt;0,$Z891&gt;=$Q891),"yes","below the line"))</f>
        <v/>
      </c>
      <c r="AB891">
        <f>IF($V891,IF($M891="","",$M891),IF($K891="","",$K891))</f>
        <v/>
      </c>
      <c r="AC891">
        <f>IF($V891,IF($N891="","",$N891),IF($L891="","",$L891))</f>
        <v/>
      </c>
      <c r="AD891">
        <f>$Y891</f>
        <v/>
      </c>
      <c r="AE891">
        <f>IF($V891,IF($S891="","",$S891),IF($R891="","",$R891))</f>
        <v/>
      </c>
      <c r="AF891">
        <f>IF($V891,IF($U891="","",$U891),IF($T891="","",$T891))</f>
        <v/>
      </c>
      <c r="AG891">
        <f>IF($V891,IF($O891="","",$O891),IF($P891="","",$P891))</f>
        <v/>
      </c>
      <c r="AH891" t="n">
        <v>0.05593211782335367</v>
      </c>
      <c r="AI891">
        <f>IF($Y891="worse","Yes",IF($Y891="worse, not significant","Not sure",IF(OR($Y891="too few losses to test",$Y891="too few loans to test"),"Too few losses",IF($Y891="","","No"))))</f>
        <v/>
      </c>
      <c r="AJ891">
        <f>IF($AA891="yes","Yes",IF($AA891="","","No"))</f>
        <v/>
      </c>
    </row>
    <row r="892">
      <c r="A892" t="inlineStr">
        <is>
          <t>three-way</t>
        </is>
      </c>
      <c r="B892" t="inlineStr">
        <is>
          <t>ORIG_BAL x CHANNEL / SYS_FLAG</t>
        </is>
      </c>
      <c r="C892" t="inlineStr">
        <is>
          <t>5,005 - 15,448</t>
        </is>
      </c>
      <c r="D892" t="inlineStr">
        <is>
          <t>Broker / SYS_FLAG Y</t>
        </is>
      </c>
      <c r="E892" t="inlineStr">
        <is>
          <t>ranr_rate</t>
        </is>
      </c>
      <c r="F892" t="inlineStr">
        <is>
          <t>Profit after losses: RANR per booked dollar</t>
        </is>
      </c>
      <c r="G892" t="n">
        <v>237</v>
      </c>
      <c r="H892" t="n">
        <v>2434424.000000001</v>
      </c>
      <c r="I892" t="b">
        <v>0</v>
      </c>
      <c r="J892" t="b">
        <v>0</v>
      </c>
      <c r="K892" t="n">
        <v>-0.003418609652139942</v>
      </c>
      <c r="L892" t="n">
        <v>0.8510577513677203</v>
      </c>
      <c r="M892" t="n">
        <v>-0.02597099770100356</v>
      </c>
      <c r="N892" t="n">
        <v>0.1766073392660734</v>
      </c>
      <c r="O892" t="n">
        <v>8322.345383801148</v>
      </c>
      <c r="P892" t="n">
        <v>63224.42010726791</v>
      </c>
      <c r="Q892">
        <f>'_live'!$C$23</f>
        <v/>
      </c>
      <c r="R892" t="inlineStr">
        <is>
          <t>shuffled: 7,943 of 10,000</t>
        </is>
      </c>
      <c r="S892" t="inlineStr">
        <is>
          <t>shuffled: 470 of 10,000</t>
        </is>
      </c>
      <c r="T892" t="n">
        <v>0.1280222982454169</v>
      </c>
      <c r="U892" t="n">
        <v>0.1505746862942805</v>
      </c>
      <c r="V892">
        <f>AND(judged_band,NOT($J892))</f>
        <v/>
      </c>
      <c r="W892">
        <f>IF($K892="","",IF(profit_kind="test",IF(OR(NOT(AND(ISNUMBER($L892),$L892&lt;significance_bar)),$K892=0),"in line",IF($K892&lt;0,"worse","better")),IF(OR($K892=0,IF(profit_kind="points",ABS($K892),ABS($K892*$H892))&lt;profit_line*(1-1E-9)),"in line",IF(AND(ISNUMBER($L892),$L892&lt;significance_bar),IF($K892&lt;0,"worse","better"),IF($K892&lt;0,"worse, not significant","better, not significant")))))</f>
        <v/>
      </c>
      <c r="X892">
        <f>IF($M892="","",IF(profit_kind="test",IF(OR(NOT(AND(ISNUMBER($N892),$N892&lt;significance_bar)),$M892=0),"in line",IF($M892&lt;0,"worse","better")),IF(OR($M892=0,IF(profit_kind="points",ABS($M892),ABS($M892*$H892))&lt;profit_line*(1-1E-9)),"in line",IF(AND(ISNUMBER($N892),$N892&lt;significance_bar),IF($M892&lt;0,"worse","better"),IF($M892&lt;0,"worse, not significant","better, not significant")))))</f>
        <v/>
      </c>
      <c r="Y892">
        <f>IF($V892,$X892,$W892)</f>
        <v/>
      </c>
      <c r="Z892">
        <f>IF($V892,IF($P892="","",$P892),IF($O892="","",$O892))</f>
        <v/>
      </c>
      <c r="AA892">
        <f>IF(OR($Q892="",$Z892=""),"",IF(AND($Z892&gt;0,$Z892&gt;=$Q892),"yes","below the line"))</f>
        <v/>
      </c>
      <c r="AB892">
        <f>IF($V892,IF($M892="","",$M892),IF($K892="","",$K892))</f>
        <v/>
      </c>
      <c r="AC892">
        <f>IF($V892,IF($N892="","",$N892),IF($L892="","",$L892))</f>
        <v/>
      </c>
      <c r="AD892">
        <f>IF($Y892="","",IF($Y892="in line",IF(profit_kind="test",IF(ROUND($AB892*100,2)=0,"0.00",TEXT($AB892*100,"+0.00;-0.00"))&amp;" points against "&amp;IF($V892,"its band","the book")&amp;", "&amp;IF($AC892="","not tested","not significant"),IF(profit_kind="points","within "&amp;TEXT(profit_line*100,"0.00")&amp;" points of "&amp;IF($V892,"its band","the book")&amp;" ("&amp;IF(ROUND($AB892*100,2)=0,"0.00",TEXT($AB892*100,"+0.00;-0.00"))&amp;")","within $"&amp;TEXT(profit_line,"#,##0")&amp;" of "&amp;IF($V892,"its band","the book")&amp;" ("&amp;IF(ROUND($AB892*100,2)=0,"0.00",TEXT($AB892*100,"+0.00;-0.00"))&amp;" points)")),IF(LEFT($Y892,5)="worse","short of ","ahead of ")&amp;IF($V892,"its band","the book")&amp;" by "&amp;TEXT(ABS($AB892)*100,"0.00")&amp;" points"&amp;IF($Z892="",""," ($"&amp;TEXT(ABS($Z892),"#,##0")&amp;")")&amp;IF(RIGHT($Y892,15)="not significant"," (not significant)","")))</f>
        <v/>
      </c>
      <c r="AE892">
        <f>IF($V892,IF($S892="","",$S892),IF($R892="","",$R892))</f>
        <v/>
      </c>
      <c r="AF892">
        <f>IF($V892,IF($U892="","",$U892),IF($T892="","",$T892))</f>
        <v/>
      </c>
      <c r="AG892">
        <f>IF($V892,IF($O892="","",$O892),IF($P892="","",$P892))</f>
        <v/>
      </c>
      <c r="AH892" t="n">
        <v>0.1246036885932769</v>
      </c>
      <c r="AI892">
        <f>IF($Y892="worse","Yes",IF($Y892="worse, not significant","Not sure",IF(OR($Y892="too few losses to test",$Y892="too few loans to test"),"Too few losses",IF($Y892="","","No"))))</f>
        <v/>
      </c>
      <c r="AJ892">
        <f>IF($AA892="yes","Yes",IF($AA892="","","No"))</f>
        <v/>
      </c>
    </row>
    <row r="893">
      <c r="A893" t="inlineStr">
        <is>
          <t>three-way</t>
        </is>
      </c>
      <c r="B893" t="inlineStr">
        <is>
          <t>ORIG_BAL x CHANNEL / SYS_FLAG</t>
        </is>
      </c>
      <c r="C893" t="inlineStr">
        <is>
          <t>5,005 - 15,448</t>
        </is>
      </c>
      <c r="D893" t="inlineStr">
        <is>
          <t>Broker / SYS_FLAG Y</t>
        </is>
      </c>
      <c r="E893" t="inlineStr">
        <is>
          <t>contribution_rate</t>
        </is>
      </c>
      <c r="F893" t="inlineStr">
        <is>
          <t>Contribution before losses per booked dollar</t>
        </is>
      </c>
      <c r="G893" t="n">
        <v>237</v>
      </c>
      <c r="H893" t="n">
        <v>2434424.000000001</v>
      </c>
      <c r="I893" t="b">
        <v>0</v>
      </c>
      <c r="J893" t="b">
        <v>0</v>
      </c>
      <c r="K893" t="n">
        <v>0.01104758129876679</v>
      </c>
      <c r="L893" t="n">
        <v>0.3228624505970455</v>
      </c>
      <c r="M893" t="n">
        <v>-0.008872056832680636</v>
      </c>
      <c r="N893" t="n">
        <v>0.4010468518365554</v>
      </c>
      <c r="O893" t="n">
        <v>-26894.49705566908</v>
      </c>
      <c r="P893" t="n">
        <v>21598.34808284172</v>
      </c>
      <c r="Q893">
        <f>'_live'!$C$24</f>
        <v/>
      </c>
      <c r="R893" t="inlineStr">
        <is>
          <t>shuffled: 2,044 of 10,000</t>
        </is>
      </c>
      <c r="S893" t="inlineStr">
        <is>
          <t>shuffled: 3,065 of 10,000</t>
        </is>
      </c>
      <c r="T893" t="n">
        <v>0.1694882251178638</v>
      </c>
      <c r="U893" t="n">
        <v>0.1894078632493112</v>
      </c>
      <c r="V893">
        <f>AND(judged_band,NOT($J893))</f>
        <v/>
      </c>
      <c r="W893">
        <f>IF($K893="","",IF(profit_kind="test",IF(OR(NOT(AND(ISNUMBER($L893),$L893&lt;significance_bar)),$K893=0),"in line",IF($K893&lt;0,"worse","better")),IF(OR($K893=0,IF(profit_kind="points",ABS($K893),ABS($K893*$H893))&lt;profit_line*(1-1E-9)),"in line",IF(AND(ISNUMBER($L893),$L893&lt;significance_bar),IF($K893&lt;0,"worse","better"),IF($K893&lt;0,"worse, not significant","better, not significant")))))</f>
        <v/>
      </c>
      <c r="X893">
        <f>IF($M893="","",IF(profit_kind="test",IF(OR(NOT(AND(ISNUMBER($N893),$N893&lt;significance_bar)),$M893=0),"in line",IF($M893&lt;0,"worse","better")),IF(OR($M893=0,IF(profit_kind="points",ABS($M893),ABS($M893*$H893))&lt;profit_line*(1-1E-9)),"in line",IF(AND(ISNUMBER($N893),$N893&lt;significance_bar),IF($M893&lt;0,"worse","better"),IF($M893&lt;0,"worse, not significant","better, not significant")))))</f>
        <v/>
      </c>
      <c r="Y893">
        <f>IF($V893,$X893,$W893)</f>
        <v/>
      </c>
      <c r="Z893">
        <f>IF($V893,IF($P893="","",$P893),IF($O893="","",$O893))</f>
        <v/>
      </c>
      <c r="AA893">
        <f>IF(OR($Q893="",$Z893=""),"",IF(AND($Z893&gt;0,$Z893&gt;=$Q893),"yes","below the line"))</f>
        <v/>
      </c>
      <c r="AB893">
        <f>IF($V893,IF($M893="","",$M893),IF($K893="","",$K893))</f>
        <v/>
      </c>
      <c r="AC893">
        <f>IF($V893,IF($N893="","",$N893),IF($L893="","",$L893))</f>
        <v/>
      </c>
      <c r="AD893">
        <f>IF($Y893="","",IF($Y893="in line",IF(profit_kind="test",IF(ROUND($AB893*100,2)=0,"0.00",TEXT($AB893*100,"+0.00;-0.00"))&amp;" points against "&amp;IF($V893,"its band","the book")&amp;", "&amp;IF($AC893="","not tested","not significant"),IF(profit_kind="points","within "&amp;TEXT(profit_line*100,"0.00")&amp;" points of "&amp;IF($V893,"its band","the book")&amp;" ("&amp;IF(ROUND($AB893*100,2)=0,"0.00",TEXT($AB893*100,"+0.00;-0.00"))&amp;")","within $"&amp;TEXT(profit_line,"#,##0")&amp;" of "&amp;IF($V893,"its band","the book")&amp;" ("&amp;IF(ROUND($AB893*100,2)=0,"0.00",TEXT($AB893*100,"+0.00;-0.00"))&amp;" points)")),IF(LEFT($Y893,5)="worse","short of ","ahead of ")&amp;IF($V893,"its band","the book")&amp;" by "&amp;TEXT(ABS($AB893)*100,"0.00")&amp;" points"&amp;IF($Z893="",""," ($"&amp;TEXT(ABS($Z893),"#,##0")&amp;")")&amp;IF(RIGHT($Y893,15)="not significant"," (not significant)","")))</f>
        <v/>
      </c>
      <c r="AE893">
        <f>IF($V893,IF($S893="","",$S893),IF($R893="","",$R893))</f>
        <v/>
      </c>
      <c r="AF893">
        <f>IF($V893,IF($U893="","",$U893),IF($T893="","",$T893))</f>
        <v/>
      </c>
      <c r="AG893">
        <f>IF($V893,IF($O893="","",$O893),IF($P893="","",$P893))</f>
        <v/>
      </c>
      <c r="AH893" t="n">
        <v>0.1805358064166306</v>
      </c>
      <c r="AI893">
        <f>IF($Y893="worse","Yes",IF($Y893="worse, not significant","Not sure",IF(OR($Y893="too few losses to test",$Y893="too few loans to test"),"Too few losses",IF($Y893="","","No"))))</f>
        <v/>
      </c>
      <c r="AJ893">
        <f>IF($AA893="yes","Yes",IF($AA893="","","No"))</f>
        <v/>
      </c>
    </row>
    <row r="894">
      <c r="A894" t="inlineStr">
        <is>
          <t>three-way</t>
        </is>
      </c>
      <c r="B894" t="inlineStr">
        <is>
          <t>ORIG_BAL x CHANNEL / SYS_FLAG</t>
        </is>
      </c>
      <c r="C894" t="inlineStr">
        <is>
          <t>5,005 - 15,448</t>
        </is>
      </c>
      <c r="D894" t="inlineStr">
        <is>
          <t>Branch / SYS_FLAG N</t>
        </is>
      </c>
      <c r="E894" t="inlineStr">
        <is>
          <t>outcome_loans</t>
        </is>
      </c>
      <c r="F894" t="inlineStr">
        <is>
          <t>Outcome, share of loans</t>
        </is>
      </c>
      <c r="G894" t="n">
        <v>301</v>
      </c>
      <c r="H894" t="n">
        <v>301</v>
      </c>
      <c r="I894" t="b">
        <v>0</v>
      </c>
      <c r="J894" t="b">
        <v>0</v>
      </c>
      <c r="K894" t="n">
        <v>0.7222105716272448</v>
      </c>
      <c r="L894" t="n">
        <v>0.3584896983353595</v>
      </c>
      <c r="M894" t="n">
        <v>0.6921268726885225</v>
      </c>
      <c r="N894" t="n">
        <v>0.2808242493725803</v>
      </c>
      <c r="O894" t="n">
        <v>-6.538841257469471</v>
      </c>
      <c r="P894" t="n">
        <v>-7.561970746728253</v>
      </c>
      <c r="Q894">
        <f>'_live'!$C$20</f>
        <v/>
      </c>
      <c r="R894" t="inlineStr">
        <is>
          <t>z test</t>
        </is>
      </c>
      <c r="S894" t="inlineStr">
        <is>
          <t>z test</t>
        </is>
      </c>
      <c r="T894" t="n">
        <v>0.07820213042348662</v>
      </c>
      <c r="U894" t="n">
        <v>0.08160123171670516</v>
      </c>
      <c r="V894">
        <f>AND(judged_band,NOT($J894))</f>
        <v/>
      </c>
      <c r="W894">
        <f>IF($K894="","",IF($I894,"too few losses to test",IF(AND($K894&gt;better_at,$K894&lt;worse_at),"in line",IF($K894&gt;=worse_at,IF(AND(ISNUMBER($L894),$L894&lt;significance_bar),"worse","worse, not significant"),IF(AND(ISNUMBER($L894),$L894&lt;significance_bar),"better","better, not significant")))))</f>
        <v/>
      </c>
      <c r="X894">
        <f>IF($M894="","",IF($I894,"too few losses to test",IF(AND($M894&gt;better_at,$M894&lt;worse_at),"in line",IF($M894&gt;=worse_at,IF(AND(ISNUMBER($N894),$N894&lt;significance_bar),"worse","worse, not significant"),IF(AND(ISNUMBER($N894),$N894&lt;significance_bar),"better","better, not significant")))))</f>
        <v/>
      </c>
      <c r="Y894">
        <f>IF($V894,$X894,$W894)</f>
        <v/>
      </c>
      <c r="Z894">
        <f>IF($V894,IF($P894="","",$P894),IF($O894="","",$O894))</f>
        <v/>
      </c>
      <c r="AA894">
        <f>IF(OR($Q894="",$Z894=""),"",IF(AND($Z894&gt;0,$Z894&gt;=$Q894),"yes","below the line"))</f>
        <v/>
      </c>
      <c r="AB894">
        <f>IF($V894,IF($M894="","",$M894),IF($K894="","",$K894))</f>
        <v/>
      </c>
      <c r="AC894">
        <f>IF($V894,IF($N894="","",$N894),IF($L894="","",$L894))</f>
        <v/>
      </c>
      <c r="AD894">
        <f>$Y894</f>
        <v/>
      </c>
      <c r="AE894">
        <f>IF($V894,IF($S894="","",$S894),IF($R894="","",$R894))</f>
        <v/>
      </c>
      <c r="AF894">
        <f>IF($V894,IF($U894="","",$U894),IF($T894="","",$T894))</f>
        <v/>
      </c>
      <c r="AG894">
        <f>IF($V894,IF($O894="","",$O894),IF($P894="","",$P894))</f>
        <v/>
      </c>
      <c r="AH894" t="n">
        <v>0.05647840531561462</v>
      </c>
      <c r="AI894">
        <f>IF($Y894="worse","Yes",IF($Y894="worse, not significant","Not sure",IF(OR($Y894="too few losses to test",$Y894="too few loans to test"),"Too few losses",IF($Y894="","","No"))))</f>
        <v/>
      </c>
      <c r="AJ894">
        <f>IF($AA894="yes","Yes",IF($AA894="","","No"))</f>
        <v/>
      </c>
    </row>
    <row r="895">
      <c r="A895" t="inlineStr">
        <is>
          <t>three-way</t>
        </is>
      </c>
      <c r="B895" t="inlineStr">
        <is>
          <t>ORIG_BAL x CHANNEL / SYS_FLAG</t>
        </is>
      </c>
      <c r="C895" t="inlineStr">
        <is>
          <t>5,005 - 15,448</t>
        </is>
      </c>
      <c r="D895" t="inlineStr">
        <is>
          <t>Branch / SYS_FLAG N</t>
        </is>
      </c>
      <c r="E895" t="inlineStr">
        <is>
          <t>outcome_booked</t>
        </is>
      </c>
      <c r="F895" t="inlineStr">
        <is>
          <t>Outcome, share of booked dollars</t>
        </is>
      </c>
      <c r="G895" t="n">
        <v>301</v>
      </c>
      <c r="H895" t="n">
        <v>3094179.669999999</v>
      </c>
      <c r="I895" t="b">
        <v>0</v>
      </c>
      <c r="J895" t="b">
        <v>0</v>
      </c>
      <c r="K895" t="n">
        <v>0.7678692878625953</v>
      </c>
      <c r="L895" t="n">
        <v>0.5414987912973408</v>
      </c>
      <c r="M895" t="n">
        <v>0.7220178946610468</v>
      </c>
      <c r="N895" t="n">
        <v>0.3688631136886312</v>
      </c>
      <c r="O895" t="n">
        <v>-53896.16882538312</v>
      </c>
      <c r="P895" t="n">
        <v>-68640.6625834466</v>
      </c>
      <c r="Q895">
        <f>'_live'!$C$21</f>
        <v/>
      </c>
      <c r="R895" t="inlineStr">
        <is>
          <t>shuffled: 3,103 of 10,000</t>
        </is>
      </c>
      <c r="S895" t="inlineStr">
        <is>
          <t>shuffled: 2,107 of 10,000</t>
        </is>
      </c>
      <c r="T895" t="n">
        <v>0.07503774298451879</v>
      </c>
      <c r="U895" t="n">
        <v>0.07980297814556019</v>
      </c>
      <c r="V895">
        <f>AND(judged_band,NOT($J895))</f>
        <v/>
      </c>
      <c r="W895">
        <f>IF($K895="","",IF($I895,"too few losses to test",IF(AND($K895&gt;better_at,$K895&lt;worse_at),"in line",IF($K895&gt;=worse_at,IF(AND(ISNUMBER($L895),$L895&lt;significance_bar),"worse","worse, not significant"),IF(AND(ISNUMBER($L895),$L895&lt;significance_bar),"better","better, not significant")))))</f>
        <v/>
      </c>
      <c r="X895">
        <f>IF($M895="","",IF($I895,"too few losses to test",IF(AND($M895&gt;better_at,$M895&lt;worse_at),"in line",IF($M895&gt;=worse_at,IF(AND(ISNUMBER($N895),$N895&lt;significance_bar),"worse","worse, not significant"),IF(AND(ISNUMBER($N895),$N895&lt;significance_bar),"better","better, not significant")))))</f>
        <v/>
      </c>
      <c r="Y895">
        <f>IF($V895,$X895,$W895)</f>
        <v/>
      </c>
      <c r="Z895">
        <f>IF($V895,IF($P895="","",$P895),IF($O895="","",$O895))</f>
        <v/>
      </c>
      <c r="AA895">
        <f>IF(OR($Q895="",$Z895=""),"",IF(AND($Z895&gt;0,$Z895&gt;=$Q895),"yes","below the line"))</f>
        <v/>
      </c>
      <c r="AB895">
        <f>IF($V895,IF($M895="","",$M895),IF($K895="","",$K895))</f>
        <v/>
      </c>
      <c r="AC895">
        <f>IF($V895,IF($N895="","",$N895),IF($L895="","",$L895))</f>
        <v/>
      </c>
      <c r="AD895">
        <f>$Y895</f>
        <v/>
      </c>
      <c r="AE895">
        <f>IF($V895,IF($S895="","",$S895),IF($R895="","",$R895))</f>
        <v/>
      </c>
      <c r="AF895">
        <f>IF($V895,IF($U895="","",$U895),IF($T895="","",$T895))</f>
        <v/>
      </c>
      <c r="AG895">
        <f>IF($V895,IF($O895="","",$O895),IF($P895="","",$P895))</f>
        <v/>
      </c>
      <c r="AH895" t="n">
        <v>0.0576191782683389</v>
      </c>
      <c r="AI895">
        <f>IF($Y895="worse","Yes",IF($Y895="worse, not significant","Not sure",IF(OR($Y895="too few losses to test",$Y895="too few loans to test"),"Too few losses",IF($Y895="","","No"))))</f>
        <v/>
      </c>
      <c r="AJ895">
        <f>IF($AA895="yes","Yes",IF($AA895="","","No"))</f>
        <v/>
      </c>
    </row>
    <row r="896">
      <c r="A896" t="inlineStr">
        <is>
          <t>three-way</t>
        </is>
      </c>
      <c r="B896" t="inlineStr">
        <is>
          <t>ORIG_BAL x CHANNEL / SYS_FLAG</t>
        </is>
      </c>
      <c r="C896" t="inlineStr">
        <is>
          <t>5,005 - 15,448</t>
        </is>
      </c>
      <c r="D896" t="inlineStr">
        <is>
          <t>Branch / SYS_FLAG N</t>
        </is>
      </c>
      <c r="E896" t="inlineStr">
        <is>
          <t>gco_rate</t>
        </is>
      </c>
      <c r="F896" t="inlineStr">
        <is>
          <t>GCO per booked dollar</t>
        </is>
      </c>
      <c r="G896" t="n">
        <v>301</v>
      </c>
      <c r="H896" t="n">
        <v>3094179.669999999</v>
      </c>
      <c r="I896" t="b">
        <v>0</v>
      </c>
      <c r="J896" t="b">
        <v>0</v>
      </c>
      <c r="K896" t="n">
        <v>0.6792386678345373</v>
      </c>
      <c r="L896" t="n">
        <v>0.4330233643302336</v>
      </c>
      <c r="M896" t="n">
        <v>0.637999144427607</v>
      </c>
      <c r="N896" t="n">
        <v>0.2536079725360798</v>
      </c>
      <c r="O896" t="n">
        <v>-41452.38691920946</v>
      </c>
      <c r="P896" t="n">
        <v>-49805.7445667545</v>
      </c>
      <c r="Q896">
        <f>'_live'!$C$22</f>
        <v/>
      </c>
      <c r="R896" t="inlineStr">
        <is>
          <t>shuffled: 1,744 of 10,000</t>
        </is>
      </c>
      <c r="S896" t="inlineStr">
        <is>
          <t>shuffled: 1,086 of 10,000</t>
        </is>
      </c>
      <c r="T896" t="n">
        <v>0.04176591559054794</v>
      </c>
      <c r="U896" t="n">
        <v>0.04446561584665654</v>
      </c>
      <c r="V896">
        <f>AND(judged_band,NOT($J896))</f>
        <v/>
      </c>
      <c r="W896">
        <f>IF($K896="","",IF($I896,"too few losses to test",IF(AND($K896&gt;better_at,$K896&lt;worse_at),"in line",IF($K896&gt;=worse_at,IF(AND(ISNUMBER($L896),$L896&lt;significance_bar),"worse","worse, not significant"),IF(AND(ISNUMBER($L896),$L896&lt;significance_bar),"better","better, not significant")))))</f>
        <v/>
      </c>
      <c r="X896">
        <f>IF($M896="","",IF($I896,"too few losses to test",IF(AND($M896&gt;better_at,$M896&lt;worse_at),"in line",IF($M896&gt;=worse_at,IF(AND(ISNUMBER($N896),$N896&lt;significance_bar),"worse","worse, not significant"),IF(AND(ISNUMBER($N896),$N896&lt;significance_bar),"better","better, not significant")))))</f>
        <v/>
      </c>
      <c r="Y896">
        <f>IF($V896,$X896,$W896)</f>
        <v/>
      </c>
      <c r="Z896">
        <f>IF($V896,IF($P896="","",$P896),IF($O896="","",$O896))</f>
        <v/>
      </c>
      <c r="AA896">
        <f>IF(OR($Q896="",$Z896=""),"",IF(AND($Z896&gt;0,$Z896&gt;=$Q896),"yes","below the line"))</f>
        <v/>
      </c>
      <c r="AB896">
        <f>IF($V896,IF($M896="","",$M896),IF($K896="","",$K896))</f>
        <v/>
      </c>
      <c r="AC896">
        <f>IF($V896,IF($N896="","",$N896),IF($L896="","",$L896))</f>
        <v/>
      </c>
      <c r="AD896">
        <f>$Y896</f>
        <v/>
      </c>
      <c r="AE896">
        <f>IF($V896,IF($S896="","",$S896),IF($R896="","",$R896))</f>
        <v/>
      </c>
      <c r="AF896">
        <f>IF($V896,IF($U896="","",$U896),IF($T896="","",$T896))</f>
        <v/>
      </c>
      <c r="AG896">
        <f>IF($V896,IF($O896="","",$O896),IF($P896="","",$P896))</f>
        <v/>
      </c>
      <c r="AH896" t="n">
        <v>0.02836902486661352</v>
      </c>
      <c r="AI896">
        <f>IF($Y896="worse","Yes",IF($Y896="worse, not significant","Not sure",IF(OR($Y896="too few losses to test",$Y896="too few loans to test"),"Too few losses",IF($Y896="","","No"))))</f>
        <v/>
      </c>
      <c r="AJ896">
        <f>IF($AA896="yes","Yes",IF($AA896="","","No"))</f>
        <v/>
      </c>
    </row>
    <row r="897">
      <c r="A897" t="inlineStr">
        <is>
          <t>three-way</t>
        </is>
      </c>
      <c r="B897" t="inlineStr">
        <is>
          <t>ORIG_BAL x CHANNEL / SYS_FLAG</t>
        </is>
      </c>
      <c r="C897" t="inlineStr">
        <is>
          <t>5,005 - 15,448</t>
        </is>
      </c>
      <c r="D897" t="inlineStr">
        <is>
          <t>Branch / SYS_FLAG N</t>
        </is>
      </c>
      <c r="E897" t="inlineStr">
        <is>
          <t>ranr_rate</t>
        </is>
      </c>
      <c r="F897" t="inlineStr">
        <is>
          <t>Profit after losses: RANR per booked dollar</t>
        </is>
      </c>
      <c r="G897" t="n">
        <v>301</v>
      </c>
      <c r="H897" t="n">
        <v>3094179.669999999</v>
      </c>
      <c r="I897" t="b">
        <v>0</v>
      </c>
      <c r="J897" t="b">
        <v>0</v>
      </c>
      <c r="K897" t="n">
        <v>0.02353521415127841</v>
      </c>
      <c r="L897" t="n">
        <v>0.1454854514548545</v>
      </c>
      <c r="M897" t="n">
        <v>0.005637804867833524</v>
      </c>
      <c r="N897" t="n">
        <v>0.682538888968246</v>
      </c>
      <c r="O897" t="n">
        <v>-72822.18115598196</v>
      </c>
      <c r="P897" t="n">
        <v>-17444.38120547758</v>
      </c>
      <c r="Q897">
        <f>'_live'!$C$23</f>
        <v/>
      </c>
      <c r="R897" t="inlineStr">
        <is>
          <t>shuffled: 484 of 10,000</t>
        </is>
      </c>
      <c r="S897" t="inlineStr">
        <is>
          <t>shuffled: 6,370 of 10,000</t>
        </is>
      </c>
      <c r="T897" t="n">
        <v>0.1277078679933343</v>
      </c>
      <c r="U897" t="n">
        <v>0.1456052772767791</v>
      </c>
      <c r="V897">
        <f>AND(judged_band,NOT($J897))</f>
        <v/>
      </c>
      <c r="W897">
        <f>IF($K897="","",IF(profit_kind="test",IF(OR(NOT(AND(ISNUMBER($L897),$L897&lt;significance_bar)),$K897=0),"in line",IF($K897&lt;0,"worse","better")),IF(OR($K897=0,IF(profit_kind="points",ABS($K897),ABS($K897*$H897))&lt;profit_line*(1-1E-9)),"in line",IF(AND(ISNUMBER($L897),$L897&lt;significance_bar),IF($K897&lt;0,"worse","better"),IF($K897&lt;0,"worse, not significant","better, not significant")))))</f>
        <v/>
      </c>
      <c r="X897">
        <f>IF($M897="","",IF(profit_kind="test",IF(OR(NOT(AND(ISNUMBER($N897),$N897&lt;significance_bar)),$M897=0),"in line",IF($M897&lt;0,"worse","better")),IF(OR($M897=0,IF(profit_kind="points",ABS($M897),ABS($M897*$H897))&lt;profit_line*(1-1E-9)),"in line",IF(AND(ISNUMBER($N897),$N897&lt;significance_bar),IF($M897&lt;0,"worse","better"),IF($M897&lt;0,"worse, not significant","better, not significant")))))</f>
        <v/>
      </c>
      <c r="Y897">
        <f>IF($V897,$X897,$W897)</f>
        <v/>
      </c>
      <c r="Z897">
        <f>IF($V897,IF($P897="","",$P897),IF($O897="","",$O897))</f>
        <v/>
      </c>
      <c r="AA897">
        <f>IF(OR($Q897="",$Z897=""),"",IF(AND($Z897&gt;0,$Z897&gt;=$Q897),"yes","below the line"))</f>
        <v/>
      </c>
      <c r="AB897">
        <f>IF($V897,IF($M897="","",$M897),IF($K897="","",$K897))</f>
        <v/>
      </c>
      <c r="AC897">
        <f>IF($V897,IF($N897="","",$N897),IF($L897="","",$L897))</f>
        <v/>
      </c>
      <c r="AD897">
        <f>IF($Y897="","",IF($Y897="in line",IF(profit_kind="test",IF(ROUND($AB897*100,2)=0,"0.00",TEXT($AB897*100,"+0.00;-0.00"))&amp;" points against "&amp;IF($V897,"its band","the book")&amp;", "&amp;IF($AC897="","not tested","not significant"),IF(profit_kind="points","within "&amp;TEXT(profit_line*100,"0.00")&amp;" points of "&amp;IF($V897,"its band","the book")&amp;" ("&amp;IF(ROUND($AB897*100,2)=0,"0.00",TEXT($AB897*100,"+0.00;-0.00"))&amp;")","within $"&amp;TEXT(profit_line,"#,##0")&amp;" of "&amp;IF($V897,"its band","the book")&amp;" ("&amp;IF(ROUND($AB897*100,2)=0,"0.00",TEXT($AB897*100,"+0.00;-0.00"))&amp;" points)")),IF(LEFT($Y897,5)="worse","short of ","ahead of ")&amp;IF($V897,"its band","the book")&amp;" by "&amp;TEXT(ABS($AB897)*100,"0.00")&amp;" points"&amp;IF($Z897="",""," ($"&amp;TEXT(ABS($Z897),"#,##0")&amp;")")&amp;IF(RIGHT($Y897,15)="not significant"," (not significant)","")))</f>
        <v/>
      </c>
      <c r="AE897">
        <f>IF($V897,IF($S897="","",$S897),IF($R897="","",$R897))</f>
        <v/>
      </c>
      <c r="AF897">
        <f>IF($V897,IF($U897="","",$U897),IF($T897="","",$T897))</f>
        <v/>
      </c>
      <c r="AG897">
        <f>IF($V897,IF($O897="","",$O897),IF($P897="","",$P897))</f>
        <v/>
      </c>
      <c r="AH897" t="n">
        <v>0.1512430821446127</v>
      </c>
      <c r="AI897">
        <f>IF($Y897="worse","Yes",IF($Y897="worse, not significant","Not sure",IF(OR($Y897="too few losses to test",$Y897="too few loans to test"),"Too few losses",IF($Y897="","","No"))))</f>
        <v/>
      </c>
      <c r="AJ897">
        <f>IF($AA897="yes","Yes",IF($AA897="","","No"))</f>
        <v/>
      </c>
    </row>
    <row r="898">
      <c r="A898" t="inlineStr">
        <is>
          <t>three-way</t>
        </is>
      </c>
      <c r="B898" t="inlineStr">
        <is>
          <t>ORIG_BAL x CHANNEL / SYS_FLAG</t>
        </is>
      </c>
      <c r="C898" t="inlineStr">
        <is>
          <t>5,005 - 15,448</t>
        </is>
      </c>
      <c r="D898" t="inlineStr">
        <is>
          <t>Branch / SYS_FLAG N</t>
        </is>
      </c>
      <c r="E898" t="inlineStr">
        <is>
          <t>contribution_rate</t>
        </is>
      </c>
      <c r="F898" t="inlineStr">
        <is>
          <t>Contribution before losses per booked dollar</t>
        </is>
      </c>
      <c r="G898" t="n">
        <v>301</v>
      </c>
      <c r="H898" t="n">
        <v>3094179.669999999</v>
      </c>
      <c r="I898" t="b">
        <v>0</v>
      </c>
      <c r="J898" t="b">
        <v>0</v>
      </c>
      <c r="K898" t="n">
        <v>0.01014126130280416</v>
      </c>
      <c r="L898" t="n">
        <v>0.3228624505970455</v>
      </c>
      <c r="M898" t="n">
        <v>-0.01045878611220957</v>
      </c>
      <c r="N898" t="n">
        <v>0.3657759224077592</v>
      </c>
      <c r="O898" t="n">
        <v>-31378.88455129438</v>
      </c>
      <c r="P898" t="n">
        <v>32361.36336127715</v>
      </c>
      <c r="Q898">
        <f>'_live'!$C$24</f>
        <v/>
      </c>
      <c r="R898" t="inlineStr">
        <is>
          <t>shuffled: 1,964 of 10,000</t>
        </is>
      </c>
      <c r="S898" t="inlineStr">
        <is>
          <t>shuffled: 1,950 of 10,000</t>
        </is>
      </c>
      <c r="T898" t="n">
        <v>0.169470845708422</v>
      </c>
      <c r="U898" t="n">
        <v>0.1900708931234357</v>
      </c>
      <c r="V898">
        <f>AND(judged_band,NOT($J898))</f>
        <v/>
      </c>
      <c r="W898">
        <f>IF($K898="","",IF(profit_kind="test",IF(OR(NOT(AND(ISNUMBER($L898),$L898&lt;significance_bar)),$K898=0),"in line",IF($K898&lt;0,"worse","better")),IF(OR($K898=0,IF(profit_kind="points",ABS($K898),ABS($K898*$H898))&lt;profit_line*(1-1E-9)),"in line",IF(AND(ISNUMBER($L898),$L898&lt;significance_bar),IF($K898&lt;0,"worse","better"),IF($K898&lt;0,"worse, not significant","better, not significant")))))</f>
        <v/>
      </c>
      <c r="X898">
        <f>IF($M898="","",IF(profit_kind="test",IF(OR(NOT(AND(ISNUMBER($N898),$N898&lt;significance_bar)),$M898=0),"in line",IF($M898&lt;0,"worse","better")),IF(OR($M898=0,IF(profit_kind="points",ABS($M898),ABS($M898*$H898))&lt;profit_line*(1-1E-9)),"in line",IF(AND(ISNUMBER($N898),$N898&lt;significance_bar),IF($M898&lt;0,"worse","better"),IF($M898&lt;0,"worse, not significant","better, not significant")))))</f>
        <v/>
      </c>
      <c r="Y898">
        <f>IF($V898,$X898,$W898)</f>
        <v/>
      </c>
      <c r="Z898">
        <f>IF($V898,IF($P898="","",$P898),IF($O898="","",$O898))</f>
        <v/>
      </c>
      <c r="AA898">
        <f>IF(OR($Q898="",$Z898=""),"",IF(AND($Z898&gt;0,$Z898&gt;=$Q898),"yes","below the line"))</f>
        <v/>
      </c>
      <c r="AB898">
        <f>IF($V898,IF($M898="","",$M898),IF($K898="","",$K898))</f>
        <v/>
      </c>
      <c r="AC898">
        <f>IF($V898,IF($N898="","",$N898),IF($L898="","",$L898))</f>
        <v/>
      </c>
      <c r="AD898">
        <f>IF($Y898="","",IF($Y898="in line",IF(profit_kind="test",IF(ROUND($AB898*100,2)=0,"0.00",TEXT($AB898*100,"+0.00;-0.00"))&amp;" points against "&amp;IF($V898,"its band","the book")&amp;", "&amp;IF($AC898="","not tested","not significant"),IF(profit_kind="points","within "&amp;TEXT(profit_line*100,"0.00")&amp;" points of "&amp;IF($V898,"its band","the book")&amp;" ("&amp;IF(ROUND($AB898*100,2)=0,"0.00",TEXT($AB898*100,"+0.00;-0.00"))&amp;")","within $"&amp;TEXT(profit_line,"#,##0")&amp;" of "&amp;IF($V898,"its band","the book")&amp;" ("&amp;IF(ROUND($AB898*100,2)=0,"0.00",TEXT($AB898*100,"+0.00;-0.00"))&amp;" points)")),IF(LEFT($Y898,5)="worse","short of ","ahead of ")&amp;IF($V898,"its band","the book")&amp;" by "&amp;TEXT(ABS($AB898)*100,"0.00")&amp;" points"&amp;IF($Z898="",""," ($"&amp;TEXT(ABS($Z898),"#,##0")&amp;")")&amp;IF(RIGHT($Y898,15)="not significant"," (not significant)","")))</f>
        <v/>
      </c>
      <c r="AE898">
        <f>IF($V898,IF($S898="","",$S898),IF($R898="","",$R898))</f>
        <v/>
      </c>
      <c r="AF898">
        <f>IF($V898,IF($U898="","",$U898),IF($T898="","",$T898))</f>
        <v/>
      </c>
      <c r="AG898">
        <f>IF($V898,IF($O898="","",$O898),IF($P898="","",$P898))</f>
        <v/>
      </c>
      <c r="AH898" t="n">
        <v>0.1796121070112261</v>
      </c>
      <c r="AI898">
        <f>IF($Y898="worse","Yes",IF($Y898="worse, not significant","Not sure",IF(OR($Y898="too few losses to test",$Y898="too few loans to test"),"Too few losses",IF($Y898="","","No"))))</f>
        <v/>
      </c>
      <c r="AJ898">
        <f>IF($AA898="yes","Yes",IF($AA898="","","No"))</f>
        <v/>
      </c>
    </row>
    <row r="899">
      <c r="A899" t="inlineStr">
        <is>
          <t>three-way</t>
        </is>
      </c>
      <c r="B899" t="inlineStr">
        <is>
          <t>ORIG_BAL x CHANNEL / SYS_FLAG</t>
        </is>
      </c>
      <c r="C899" t="inlineStr">
        <is>
          <t>49,152 - 59,984</t>
        </is>
      </c>
      <c r="D899" t="inlineStr">
        <is>
          <t>Online / SYS_FLAG Y</t>
        </is>
      </c>
      <c r="E899" t="inlineStr">
        <is>
          <t>outcome_loans</t>
        </is>
      </c>
      <c r="F899" t="inlineStr">
        <is>
          <t>Outcome, share of loans</t>
        </is>
      </c>
      <c r="G899" t="n">
        <v>274</v>
      </c>
      <c r="H899" t="n">
        <v>274</v>
      </c>
      <c r="I899" t="b">
        <v>0</v>
      </c>
      <c r="J899" t="b">
        <v>0</v>
      </c>
      <c r="K899" t="n">
        <v>1.285849033339909</v>
      </c>
      <c r="L899" t="n">
        <v>0.3646634651190109</v>
      </c>
      <c r="M899" t="n">
        <v>1.71926623127161</v>
      </c>
      <c r="N899" t="n">
        <v>0.05303788578062971</v>
      </c>
      <c r="O899" t="n">
        <v>6.002200647249193</v>
      </c>
      <c r="P899" t="n">
        <v>11.29562594268477</v>
      </c>
      <c r="Q899">
        <f>'_live'!$C$20</f>
        <v/>
      </c>
      <c r="R899" t="inlineStr">
        <is>
          <t>z test</t>
        </is>
      </c>
      <c r="S899" t="inlineStr">
        <is>
          <t>z test</t>
        </is>
      </c>
      <c r="T899" t="n">
        <v>0.07663430420711974</v>
      </c>
      <c r="U899" t="n">
        <v>0.05731523378582202</v>
      </c>
      <c r="V899">
        <f>AND(judged_band,NOT($J899))</f>
        <v/>
      </c>
      <c r="W899">
        <f>IF($K899="","",IF($I899,"too few losses to test",IF(AND($K899&gt;better_at,$K899&lt;worse_at),"in line",IF($K899&gt;=worse_at,IF(AND(ISNUMBER($L899),$L899&lt;significance_bar),"worse","worse, not significant"),IF(AND(ISNUMBER($L899),$L899&lt;significance_bar),"better","better, not significant")))))</f>
        <v/>
      </c>
      <c r="X899">
        <f>IF($M899="","",IF($I899,"too few losses to test",IF(AND($M899&gt;better_at,$M899&lt;worse_at),"in line",IF($M899&gt;=worse_at,IF(AND(ISNUMBER($N899),$N899&lt;significance_bar),"worse","worse, not significant"),IF(AND(ISNUMBER($N899),$N899&lt;significance_bar),"better","better, not significant")))))</f>
        <v/>
      </c>
      <c r="Y899">
        <f>IF($V899,$X899,$W899)</f>
        <v/>
      </c>
      <c r="Z899">
        <f>IF($V899,IF($P899="","",$P899),IF($O899="","",$O899))</f>
        <v/>
      </c>
      <c r="AA899">
        <f>IF(OR($Q899="",$Z899=""),"",IF(AND($Z899&gt;0,$Z899&gt;=$Q899),"yes","below the line"))</f>
        <v/>
      </c>
      <c r="AB899">
        <f>IF($V899,IF($M899="","",$M899),IF($K899="","",$K899))</f>
        <v/>
      </c>
      <c r="AC899">
        <f>IF($V899,IF($N899="","",$N899),IF($L899="","",$L899))</f>
        <v/>
      </c>
      <c r="AD899">
        <f>$Y899</f>
        <v/>
      </c>
      <c r="AE899">
        <f>IF($V899,IF($S899="","",$S899),IF($R899="","",$R899))</f>
        <v/>
      </c>
      <c r="AF899">
        <f>IF($V899,IF($U899="","",$U899),IF($T899="","",$T899))</f>
        <v/>
      </c>
      <c r="AG899">
        <f>IF($V899,IF($O899="","",$O899),IF($P899="","",$P899))</f>
        <v/>
      </c>
      <c r="AH899" t="n">
        <v>0.09854014598540146</v>
      </c>
      <c r="AI899">
        <f>IF($Y899="worse","Yes",IF($Y899="worse, not significant","Not sure",IF(OR($Y899="too few losses to test",$Y899="too few loans to test"),"Too few losses",IF($Y899="","","No"))))</f>
        <v/>
      </c>
      <c r="AJ899">
        <f>IF($AA899="yes","Yes",IF($AA899="","","No"))</f>
        <v/>
      </c>
    </row>
    <row r="900">
      <c r="A900" t="inlineStr">
        <is>
          <t>three-way</t>
        </is>
      </c>
      <c r="B900" t="inlineStr">
        <is>
          <t>ORIG_BAL x CHANNEL / SYS_FLAG</t>
        </is>
      </c>
      <c r="C900" t="inlineStr">
        <is>
          <t>49,152 - 59,984</t>
        </is>
      </c>
      <c r="D900" t="inlineStr">
        <is>
          <t>Online / SYS_FLAG Y</t>
        </is>
      </c>
      <c r="E900" t="inlineStr">
        <is>
          <t>outcome_booked</t>
        </is>
      </c>
      <c r="F900" t="inlineStr">
        <is>
          <t>Outcome, share of booked dollars</t>
        </is>
      </c>
      <c r="G900" t="n">
        <v>274</v>
      </c>
      <c r="H900" t="n">
        <v>14879039.92000001</v>
      </c>
      <c r="I900" t="b">
        <v>0</v>
      </c>
      <c r="J900" t="b">
        <v>0</v>
      </c>
      <c r="K900" t="n">
        <v>1.329245613396753</v>
      </c>
      <c r="L900" t="n">
        <v>0.362963703629637</v>
      </c>
      <c r="M900" t="n">
        <v>1.683340468164825</v>
      </c>
      <c r="N900" t="n">
        <v>0.0575942405759424</v>
      </c>
      <c r="O900" t="n">
        <v>359746.0856013082</v>
      </c>
      <c r="P900" t="n">
        <v>589585.0899533553</v>
      </c>
      <c r="Q900">
        <f>'_live'!$C$21</f>
        <v/>
      </c>
      <c r="R900" t="inlineStr">
        <is>
          <t>shuffled: 1,741 of 10,000</t>
        </is>
      </c>
      <c r="S900" t="inlineStr">
        <is>
          <t>shuffled: 143 of 10,000</t>
        </is>
      </c>
      <c r="T900" t="n">
        <v>0.07343467389518848</v>
      </c>
      <c r="U900" t="n">
        <v>0.05798750757344863</v>
      </c>
      <c r="V900">
        <f>AND(judged_band,NOT($J900))</f>
        <v/>
      </c>
      <c r="W900">
        <f>IF($K900="","",IF($I900,"too few losses to test",IF(AND($K900&gt;better_at,$K900&lt;worse_at),"in line",IF($K900&gt;=worse_at,IF(AND(ISNUMBER($L900),$L900&lt;significance_bar),"worse","worse, not significant"),IF(AND(ISNUMBER($L900),$L900&lt;significance_bar),"better","better, not significant")))))</f>
        <v/>
      </c>
      <c r="X900">
        <f>IF($M900="","",IF($I900,"too few losses to test",IF(AND($M900&gt;better_at,$M900&lt;worse_at),"in line",IF($M900&gt;=worse_at,IF(AND(ISNUMBER($N900),$N900&lt;significance_bar),"worse","worse, not significant"),IF(AND(ISNUMBER($N900),$N900&lt;significance_bar),"better","better, not significant")))))</f>
        <v/>
      </c>
      <c r="Y900">
        <f>IF($V900,$X900,$W900)</f>
        <v/>
      </c>
      <c r="Z900">
        <f>IF($V900,IF($P900="","",$P900),IF($O900="","",$O900))</f>
        <v/>
      </c>
      <c r="AA900">
        <f>IF(OR($Q900="",$Z900=""),"",IF(AND($Z900&gt;0,$Z900&gt;=$Q900),"yes","below the line"))</f>
        <v/>
      </c>
      <c r="AB900">
        <f>IF($V900,IF($M900="","",$M900),IF($K900="","",$K900))</f>
        <v/>
      </c>
      <c r="AC900">
        <f>IF($V900,IF($N900="","",$N900),IF($L900="","",$L900))</f>
        <v/>
      </c>
      <c r="AD900">
        <f>$Y900</f>
        <v/>
      </c>
      <c r="AE900">
        <f>IF($V900,IF($S900="","",$S900),IF($R900="","",$R900))</f>
        <v/>
      </c>
      <c r="AF900">
        <f>IF($V900,IF($U900="","",$U900),IF($T900="","",$T900))</f>
        <v/>
      </c>
      <c r="AG900">
        <f>IF($V900,IF($O900="","",$O900),IF($P900="","",$P900))</f>
        <v/>
      </c>
      <c r="AH900" t="n">
        <v>0.09761271814640037</v>
      </c>
      <c r="AI900">
        <f>IF($Y900="worse","Yes",IF($Y900="worse, not significant","Not sure",IF(OR($Y900="too few losses to test",$Y900="too few loans to test"),"Too few losses",IF($Y900="","","No"))))</f>
        <v/>
      </c>
      <c r="AJ900">
        <f>IF($AA900="yes","Yes",IF($AA900="","","No"))</f>
        <v/>
      </c>
    </row>
    <row r="901">
      <c r="A901" t="inlineStr">
        <is>
          <t>three-way</t>
        </is>
      </c>
      <c r="B901" t="inlineStr">
        <is>
          <t>ORIG_BAL x CHANNEL / SYS_FLAG</t>
        </is>
      </c>
      <c r="C901" t="inlineStr">
        <is>
          <t>49,152 - 59,984</t>
        </is>
      </c>
      <c r="D901" t="inlineStr">
        <is>
          <t>Online / SYS_FLAG Y</t>
        </is>
      </c>
      <c r="E901" t="inlineStr">
        <is>
          <t>gco_rate</t>
        </is>
      </c>
      <c r="F901" t="inlineStr">
        <is>
          <t>GCO per booked dollar</t>
        </is>
      </c>
      <c r="G901" t="n">
        <v>274</v>
      </c>
      <c r="H901" t="n">
        <v>14879039.92000001</v>
      </c>
      <c r="I901" t="b">
        <v>0</v>
      </c>
      <c r="J901" t="b">
        <v>0</v>
      </c>
      <c r="K901" t="n">
        <v>1.306894226771702</v>
      </c>
      <c r="L901" t="n">
        <v>0.4776753093921377</v>
      </c>
      <c r="M901" t="n">
        <v>1.675720930609563</v>
      </c>
      <c r="N901" t="n">
        <v>0.07799220077992201</v>
      </c>
      <c r="O901" t="n">
        <v>186678.1556053411</v>
      </c>
      <c r="P901" t="n">
        <v>320561.1588499304</v>
      </c>
      <c r="Q901">
        <f>'_live'!$C$22</f>
        <v/>
      </c>
      <c r="R901" t="inlineStr">
        <is>
          <t>shuffled: 2,217 of 10,000</t>
        </is>
      </c>
      <c r="S901" t="inlineStr">
        <is>
          <t>shuffled: 194 of 10,000</t>
        </is>
      </c>
      <c r="T901" t="n">
        <v>0.04088178724334376</v>
      </c>
      <c r="U901" t="n">
        <v>0.03188369301384799</v>
      </c>
      <c r="V901">
        <f>AND(judged_band,NOT($J901))</f>
        <v/>
      </c>
      <c r="W901">
        <f>IF($K901="","",IF($I901,"too few losses to test",IF(AND($K901&gt;better_at,$K901&lt;worse_at),"in line",IF($K901&gt;=worse_at,IF(AND(ISNUMBER($L901),$L901&lt;significance_bar),"worse","worse, not significant"),IF(AND(ISNUMBER($L901),$L901&lt;significance_bar),"better","better, not significant")))))</f>
        <v/>
      </c>
      <c r="X901">
        <f>IF($M901="","",IF($I901,"too few losses to test",IF(AND($M901&gt;better_at,$M901&lt;worse_at),"in line",IF($M901&gt;=worse_at,IF(AND(ISNUMBER($N901),$N901&lt;significance_bar),"worse","worse, not significant"),IF(AND(ISNUMBER($N901),$N901&lt;significance_bar),"better","better, not significant")))))</f>
        <v/>
      </c>
      <c r="Y901">
        <f>IF($V901,$X901,$W901)</f>
        <v/>
      </c>
      <c r="Z901">
        <f>IF($V901,IF($P901="","",$P901),IF($O901="","",$O901))</f>
        <v/>
      </c>
      <c r="AA901">
        <f>IF(OR($Q901="",$Z901=""),"",IF(AND($Z901&gt;0,$Z901&gt;=$Q901),"yes","below the line"))</f>
        <v/>
      </c>
      <c r="AB901">
        <f>IF($V901,IF($M901="","",$M901),IF($K901="","",$K901))</f>
        <v/>
      </c>
      <c r="AC901">
        <f>IF($V901,IF($N901="","",$N901),IF($L901="","",$L901))</f>
        <v/>
      </c>
      <c r="AD901">
        <f>$Y901</f>
        <v/>
      </c>
      <c r="AE901">
        <f>IF($V901,IF($S901="","",$S901),IF($R901="","",$R901))</f>
        <v/>
      </c>
      <c r="AF901">
        <f>IF($V901,IF($U901="","",$U901),IF($T901="","",$T901))</f>
        <v/>
      </c>
      <c r="AG901">
        <f>IF($V901,IF($O901="","",$O901),IF($P901="","",$P901))</f>
        <v/>
      </c>
      <c r="AH901" t="n">
        <v>0.05342817172843498</v>
      </c>
      <c r="AI901">
        <f>IF($Y901="worse","Yes",IF($Y901="worse, not significant","Not sure",IF(OR($Y901="too few losses to test",$Y901="too few loans to test"),"Too few losses",IF($Y901="","","No"))))</f>
        <v/>
      </c>
      <c r="AJ901">
        <f>IF($AA901="yes","Yes",IF($AA901="","","No"))</f>
        <v/>
      </c>
    </row>
    <row r="902">
      <c r="A902" t="inlineStr">
        <is>
          <t>three-way</t>
        </is>
      </c>
      <c r="B902" t="inlineStr">
        <is>
          <t>ORIG_BAL x CHANNEL / SYS_FLAG</t>
        </is>
      </c>
      <c r="C902" t="inlineStr">
        <is>
          <t>49,152 - 59,984</t>
        </is>
      </c>
      <c r="D902" t="inlineStr">
        <is>
          <t>Online / SYS_FLAG Y</t>
        </is>
      </c>
      <c r="E902" t="inlineStr">
        <is>
          <t>ranr_rate</t>
        </is>
      </c>
      <c r="F902" t="inlineStr">
        <is>
          <t>Profit after losses: RANR per booked dollar</t>
        </is>
      </c>
      <c r="G902" t="n">
        <v>274</v>
      </c>
      <c r="H902" t="n">
        <v>14879039.92000001</v>
      </c>
      <c r="I902" t="b">
        <v>0</v>
      </c>
      <c r="J902" t="b">
        <v>0</v>
      </c>
      <c r="K902" t="n">
        <v>-0.008931702767233263</v>
      </c>
      <c r="L902" t="n">
        <v>0.6483442564834425</v>
      </c>
      <c r="M902" t="n">
        <v>-0.01307765040989978</v>
      </c>
      <c r="N902" t="n">
        <v>0.3710628937106289</v>
      </c>
      <c r="O902" t="n">
        <v>132895.1620272382</v>
      </c>
      <c r="P902" t="n">
        <v>194582.8825087033</v>
      </c>
      <c r="Q902">
        <f>'_live'!$C$23</f>
        <v/>
      </c>
      <c r="R902" t="inlineStr">
        <is>
          <t>shuffled: 4,754 of 10,000</t>
        </is>
      </c>
      <c r="S902" t="inlineStr">
        <is>
          <t>shuffled: 2,473 of 10,000</t>
        </is>
      </c>
      <c r="T902" t="n">
        <v>0.1285050105589903</v>
      </c>
      <c r="U902" t="n">
        <v>0.1326509582016568</v>
      </c>
      <c r="V902">
        <f>AND(judged_band,NOT($J902))</f>
        <v/>
      </c>
      <c r="W902">
        <f>IF($K902="","",IF(profit_kind="test",IF(OR(NOT(AND(ISNUMBER($L902),$L902&lt;significance_bar)),$K902=0),"in line",IF($K902&lt;0,"worse","better")),IF(OR($K902=0,IF(profit_kind="points",ABS($K902),ABS($K902*$H902))&lt;profit_line*(1-1E-9)),"in line",IF(AND(ISNUMBER($L902),$L902&lt;significance_bar),IF($K902&lt;0,"worse","better"),IF($K902&lt;0,"worse, not significant","better, not significant")))))</f>
        <v/>
      </c>
      <c r="X902">
        <f>IF($M902="","",IF(profit_kind="test",IF(OR(NOT(AND(ISNUMBER($N902),$N902&lt;significance_bar)),$M902=0),"in line",IF($M902&lt;0,"worse","better")),IF(OR($M902=0,IF(profit_kind="points",ABS($M902),ABS($M902*$H902))&lt;profit_line*(1-1E-9)),"in line",IF(AND(ISNUMBER($N902),$N902&lt;significance_bar),IF($M902&lt;0,"worse","better"),IF($M902&lt;0,"worse, not significant","better, not significant")))))</f>
        <v/>
      </c>
      <c r="Y902">
        <f>IF($V902,$X902,$W902)</f>
        <v/>
      </c>
      <c r="Z902">
        <f>IF($V902,IF($P902="","",$P902),IF($O902="","",$O902))</f>
        <v/>
      </c>
      <c r="AA902">
        <f>IF(OR($Q902="",$Z902=""),"",IF(AND($Z902&gt;0,$Z902&gt;=$Q902),"yes","below the line"))</f>
        <v/>
      </c>
      <c r="AB902">
        <f>IF($V902,IF($M902="","",$M902),IF($K902="","",$K902))</f>
        <v/>
      </c>
      <c r="AC902">
        <f>IF($V902,IF($N902="","",$N902),IF($L902="","",$L902))</f>
        <v/>
      </c>
      <c r="AD902">
        <f>IF($Y902="","",IF($Y902="in line",IF(profit_kind="test",IF(ROUND($AB902*100,2)=0,"0.00",TEXT($AB902*100,"+0.00;-0.00"))&amp;" points against "&amp;IF($V902,"its band","the book")&amp;", "&amp;IF($AC902="","not tested","not significant"),IF(profit_kind="points","within "&amp;TEXT(profit_line*100,"0.00")&amp;" points of "&amp;IF($V902,"its band","the book")&amp;" ("&amp;IF(ROUND($AB902*100,2)=0,"0.00",TEXT($AB902*100,"+0.00;-0.00"))&amp;")","within $"&amp;TEXT(profit_line,"#,##0")&amp;" of "&amp;IF($V902,"its band","the book")&amp;" ("&amp;IF(ROUND($AB902*100,2)=0,"0.00",TEXT($AB902*100,"+0.00;-0.00"))&amp;" points)")),IF(LEFT($Y902,5)="worse","short of ","ahead of ")&amp;IF($V902,"its band","the book")&amp;" by "&amp;TEXT(ABS($AB902)*100,"0.00")&amp;" points"&amp;IF($Z902="",""," ($"&amp;TEXT(ABS($Z902),"#,##0")&amp;")")&amp;IF(RIGHT($Y902,15)="not significant"," (not significant)","")))</f>
        <v/>
      </c>
      <c r="AE902">
        <f>IF($V902,IF($S902="","",$S902),IF($R902="","",$R902))</f>
        <v/>
      </c>
      <c r="AF902">
        <f>IF($V902,IF($U902="","",$U902),IF($T902="","",$T902))</f>
        <v/>
      </c>
      <c r="AG902">
        <f>IF($V902,IF($O902="","",$O902),IF($P902="","",$P902))</f>
        <v/>
      </c>
      <c r="AH902" t="n">
        <v>0.119573307791757</v>
      </c>
      <c r="AI902">
        <f>IF($Y902="worse","Yes",IF($Y902="worse, not significant","Not sure",IF(OR($Y902="too few losses to test",$Y902="too few loans to test"),"Too few losses",IF($Y902="","","No"))))</f>
        <v/>
      </c>
      <c r="AJ902">
        <f>IF($AA902="yes","Yes",IF($AA902="","","No"))</f>
        <v/>
      </c>
    </row>
    <row r="903">
      <c r="A903" t="inlineStr">
        <is>
          <t>three-way</t>
        </is>
      </c>
      <c r="B903" t="inlineStr">
        <is>
          <t>ORIG_BAL x CHANNEL / SYS_FLAG</t>
        </is>
      </c>
      <c r="C903" t="inlineStr">
        <is>
          <t>49,152 - 59,984</t>
        </is>
      </c>
      <c r="D903" t="inlineStr">
        <is>
          <t>Online / SYS_FLAG Y</t>
        </is>
      </c>
      <c r="E903" t="inlineStr">
        <is>
          <t>contribution_rate</t>
        </is>
      </c>
      <c r="F903" t="inlineStr">
        <is>
          <t>Contribution before losses per booked dollar</t>
        </is>
      </c>
      <c r="G903" t="n">
        <v>274</v>
      </c>
      <c r="H903" t="n">
        <v>14879039.92000001</v>
      </c>
      <c r="I903" t="b">
        <v>0</v>
      </c>
      <c r="J903" t="b">
        <v>0</v>
      </c>
      <c r="K903" t="n">
        <v>0.00361763188329059</v>
      </c>
      <c r="L903" t="n">
        <v>0.7192280771922808</v>
      </c>
      <c r="M903" t="n">
        <v>0.008466828304687146</v>
      </c>
      <c r="N903" t="n">
        <v>0.4010468518365554</v>
      </c>
      <c r="O903" t="n">
        <v>-53826.8892073459</v>
      </c>
      <c r="P903" t="n">
        <v>-125978.2763412264</v>
      </c>
      <c r="Q903">
        <f>'_live'!$C$24</f>
        <v/>
      </c>
      <c r="R903" t="inlineStr">
        <is>
          <t>shuffled: 6,586 of 10,000</t>
        </is>
      </c>
      <c r="S903" t="inlineStr">
        <is>
          <t>shuffled: 2,770 of 10,000</t>
        </is>
      </c>
      <c r="T903" t="n">
        <v>0.1693838476369014</v>
      </c>
      <c r="U903" t="n">
        <v>0.1645346512155048</v>
      </c>
      <c r="V903">
        <f>AND(judged_band,NOT($J903))</f>
        <v/>
      </c>
      <c r="W903">
        <f>IF($K903="","",IF(profit_kind="test",IF(OR(NOT(AND(ISNUMBER($L903),$L903&lt;significance_bar)),$K903=0),"in line",IF($K903&lt;0,"worse","better")),IF(OR($K903=0,IF(profit_kind="points",ABS($K903),ABS($K903*$H903))&lt;profit_line*(1-1E-9)),"in line",IF(AND(ISNUMBER($L903),$L903&lt;significance_bar),IF($K903&lt;0,"worse","better"),IF($K903&lt;0,"worse, not significant","better, not significant")))))</f>
        <v/>
      </c>
      <c r="X903">
        <f>IF($M903="","",IF(profit_kind="test",IF(OR(NOT(AND(ISNUMBER($N903),$N903&lt;significance_bar)),$M903=0),"in line",IF($M903&lt;0,"worse","better")),IF(OR($M903=0,IF(profit_kind="points",ABS($M903),ABS($M903*$H903))&lt;profit_line*(1-1E-9)),"in line",IF(AND(ISNUMBER($N903),$N903&lt;significance_bar),IF($M903&lt;0,"worse","better"),IF($M903&lt;0,"worse, not significant","better, not significant")))))</f>
        <v/>
      </c>
      <c r="Y903">
        <f>IF($V903,$X903,$W903)</f>
        <v/>
      </c>
      <c r="Z903">
        <f>IF($V903,IF($P903="","",$P903),IF($O903="","",$O903))</f>
        <v/>
      </c>
      <c r="AA903">
        <f>IF(OR($Q903="",$Z903=""),"",IF(AND($Z903&gt;0,$Z903&gt;=$Q903),"yes","below the line"))</f>
        <v/>
      </c>
      <c r="AB903">
        <f>IF($V903,IF($M903="","",$M903),IF($K903="","",$K903))</f>
        <v/>
      </c>
      <c r="AC903">
        <f>IF($V903,IF($N903="","",$N903),IF($L903="","",$L903))</f>
        <v/>
      </c>
      <c r="AD903">
        <f>IF($Y903="","",IF($Y903="in line",IF(profit_kind="test",IF(ROUND($AB903*100,2)=0,"0.00",TEXT($AB903*100,"+0.00;-0.00"))&amp;" points against "&amp;IF($V903,"its band","the book")&amp;", "&amp;IF($AC903="","not tested","not significant"),IF(profit_kind="points","within "&amp;TEXT(profit_line*100,"0.00")&amp;" points of "&amp;IF($V903,"its band","the book")&amp;" ("&amp;IF(ROUND($AB903*100,2)=0,"0.00",TEXT($AB903*100,"+0.00;-0.00"))&amp;")","within $"&amp;TEXT(profit_line,"#,##0")&amp;" of "&amp;IF($V903,"its band","the book")&amp;" ("&amp;IF(ROUND($AB903*100,2)=0,"0.00",TEXT($AB903*100,"+0.00;-0.00"))&amp;" points)")),IF(LEFT($Y903,5)="worse","short of ","ahead of ")&amp;IF($V903,"its band","the book")&amp;" by "&amp;TEXT(ABS($AB903)*100,"0.00")&amp;" points"&amp;IF($Z903="",""," ($"&amp;TEXT(ABS($Z903),"#,##0")&amp;")")&amp;IF(RIGHT($Y903,15)="not significant"," (not significant)","")))</f>
        <v/>
      </c>
      <c r="AE903">
        <f>IF($V903,IF($S903="","",$S903),IF($R903="","",$R903))</f>
        <v/>
      </c>
      <c r="AF903">
        <f>IF($V903,IF($U903="","",$U903),IF($T903="","",$T903))</f>
        <v/>
      </c>
      <c r="AG903">
        <f>IF($V903,IF($O903="","",$O903),IF($P903="","",$P903))</f>
        <v/>
      </c>
      <c r="AH903" t="n">
        <v>0.173001479520192</v>
      </c>
      <c r="AI903">
        <f>IF($Y903="worse","Yes",IF($Y903="worse, not significant","Not sure",IF(OR($Y903="too few losses to test",$Y903="too few loans to test"),"Too few losses",IF($Y903="","","No"))))</f>
        <v/>
      </c>
      <c r="AJ903">
        <f>IF($AA903="yes","Yes",IF($AA903="","","No"))</f>
        <v/>
      </c>
    </row>
    <row r="904">
      <c r="A904" t="inlineStr">
        <is>
          <t>three-way</t>
        </is>
      </c>
      <c r="B904" t="inlineStr">
        <is>
          <t>ORIG_BAL x CHANNEL / SYS_FLAG</t>
        </is>
      </c>
      <c r="C904" t="inlineStr">
        <is>
          <t>26,324 - 37,950</t>
        </is>
      </c>
      <c r="D904" t="inlineStr">
        <is>
          <t>Online / SYS_FLAG Y</t>
        </is>
      </c>
      <c r="E904" t="inlineStr">
        <is>
          <t>outcome_loans</t>
        </is>
      </c>
      <c r="F904" t="inlineStr">
        <is>
          <t>Outcome, share of loans</t>
        </is>
      </c>
      <c r="G904" t="n">
        <v>231</v>
      </c>
      <c r="H904" t="n">
        <v>231</v>
      </c>
      <c r="I904" t="b">
        <v>0</v>
      </c>
      <c r="J904" t="b">
        <v>0</v>
      </c>
      <c r="K904" t="n">
        <v>1.356411655571319</v>
      </c>
      <c r="L904" t="n">
        <v>0.3206074867052393</v>
      </c>
      <c r="M904" t="n">
        <v>1.651464814255512</v>
      </c>
      <c r="N904" t="n">
        <v>0.07114532450519041</v>
      </c>
      <c r="O904" t="n">
        <v>6.306256436663233</v>
      </c>
      <c r="P904" t="n">
        <v>9.467446964155084</v>
      </c>
      <c r="Q904">
        <f>'_live'!$C$20</f>
        <v/>
      </c>
      <c r="R904" t="inlineStr">
        <is>
          <t>z test</t>
        </is>
      </c>
      <c r="S904" t="inlineStr">
        <is>
          <t>z test</t>
        </is>
      </c>
      <c r="T904" t="n">
        <v>0.07659629248197734</v>
      </c>
      <c r="U904" t="n">
        <v>0.06291148500365765</v>
      </c>
      <c r="V904">
        <f>AND(judged_band,NOT($J904))</f>
        <v/>
      </c>
      <c r="W904">
        <f>IF($K904="","",IF($I904,"too few losses to test",IF(AND($K904&gt;better_at,$K904&lt;worse_at),"in line",IF($K904&gt;=worse_at,IF(AND(ISNUMBER($L904),$L904&lt;significance_bar),"worse","worse, not significant"),IF(AND(ISNUMBER($L904),$L904&lt;significance_bar),"better","better, not significant")))))</f>
        <v/>
      </c>
      <c r="X904">
        <f>IF($M904="","",IF($I904,"too few losses to test",IF(AND($M904&gt;better_at,$M904&lt;worse_at),"in line",IF($M904&gt;=worse_at,IF(AND(ISNUMBER($N904),$N904&lt;significance_bar),"worse","worse, not significant"),IF(AND(ISNUMBER($N904),$N904&lt;significance_bar),"better","better, not significant")))))</f>
        <v/>
      </c>
      <c r="Y904">
        <f>IF($V904,$X904,$W904)</f>
        <v/>
      </c>
      <c r="Z904">
        <f>IF($V904,IF($P904="","",$P904),IF($O904="","",$O904))</f>
        <v/>
      </c>
      <c r="AA904">
        <f>IF(OR($Q904="",$Z904=""),"",IF(AND($Z904&gt;0,$Z904&gt;=$Q904),"yes","below the line"))</f>
        <v/>
      </c>
      <c r="AB904">
        <f>IF($V904,IF($M904="","",$M904),IF($K904="","",$K904))</f>
        <v/>
      </c>
      <c r="AC904">
        <f>IF($V904,IF($N904="","",$N904),IF($L904="","",$L904))</f>
        <v/>
      </c>
      <c r="AD904">
        <f>$Y904</f>
        <v/>
      </c>
      <c r="AE904">
        <f>IF($V904,IF($S904="","",$S904),IF($R904="","",$R904))</f>
        <v/>
      </c>
      <c r="AF904">
        <f>IF($V904,IF($U904="","",$U904),IF($T904="","",$T904))</f>
        <v/>
      </c>
      <c r="AG904">
        <f>IF($V904,IF($O904="","",$O904),IF($P904="","",$P904))</f>
        <v/>
      </c>
      <c r="AH904" t="n">
        <v>0.1038961038961039</v>
      </c>
      <c r="AI904">
        <f>IF($Y904="worse","Yes",IF($Y904="worse, not significant","Not sure",IF(OR($Y904="too few losses to test",$Y904="too few loans to test"),"Too few losses",IF($Y904="","","No"))))</f>
        <v/>
      </c>
      <c r="AJ904">
        <f>IF($AA904="yes","Yes",IF($AA904="","","No"))</f>
        <v/>
      </c>
    </row>
    <row r="905">
      <c r="A905" t="inlineStr">
        <is>
          <t>three-way</t>
        </is>
      </c>
      <c r="B905" t="inlineStr">
        <is>
          <t>ORIG_BAL x CHANNEL / SYS_FLAG</t>
        </is>
      </c>
      <c r="C905" t="inlineStr">
        <is>
          <t>26,324 - 37,950</t>
        </is>
      </c>
      <c r="D905" t="inlineStr">
        <is>
          <t>Online / SYS_FLAG Y</t>
        </is>
      </c>
      <c r="E905" t="inlineStr">
        <is>
          <t>outcome_booked</t>
        </is>
      </c>
      <c r="F905" t="inlineStr">
        <is>
          <t>Outcome, share of booked dollars</t>
        </is>
      </c>
      <c r="G905" t="n">
        <v>231</v>
      </c>
      <c r="H905" t="n">
        <v>7425958.390000002</v>
      </c>
      <c r="I905" t="b">
        <v>0</v>
      </c>
      <c r="J905" t="b">
        <v>0</v>
      </c>
      <c r="K905" t="n">
        <v>1.383487078733577</v>
      </c>
      <c r="L905" t="n">
        <v>0.362963703629637</v>
      </c>
      <c r="M905" t="n">
        <v>1.639906230989024</v>
      </c>
      <c r="N905" t="n">
        <v>0.09134086591340866</v>
      </c>
      <c r="O905" t="n">
        <v>210768.4488354682</v>
      </c>
      <c r="P905" t="n">
        <v>296706.6597113882</v>
      </c>
      <c r="Q905">
        <f>'_live'!$C$21</f>
        <v/>
      </c>
      <c r="R905" t="inlineStr">
        <is>
          <t>shuffled: 1,400 of 10,000</t>
        </is>
      </c>
      <c r="S905" t="inlineStr">
        <is>
          <t>shuffled: 260 of 10,000</t>
        </is>
      </c>
      <c r="T905" t="n">
        <v>0.07401203619786668</v>
      </c>
      <c r="U905" t="n">
        <v>0.06243936013875399</v>
      </c>
      <c r="V905">
        <f>AND(judged_band,NOT($J905))</f>
        <v/>
      </c>
      <c r="W905">
        <f>IF($K905="","",IF($I905,"too few losses to test",IF(AND($K905&gt;better_at,$K905&lt;worse_at),"in line",IF($K905&gt;=worse_at,IF(AND(ISNUMBER($L905),$L905&lt;significance_bar),"worse","worse, not significant"),IF(AND(ISNUMBER($L905),$L905&lt;significance_bar),"better","better, not significant")))))</f>
        <v/>
      </c>
      <c r="X905">
        <f>IF($M905="","",IF($I905,"too few losses to test",IF(AND($M905&gt;better_at,$M905&lt;worse_at),"in line",IF($M905&gt;=worse_at,IF(AND(ISNUMBER($N905),$N905&lt;significance_bar),"worse","worse, not significant"),IF(AND(ISNUMBER($N905),$N905&lt;significance_bar),"better","better, not significant")))))</f>
        <v/>
      </c>
      <c r="Y905">
        <f>IF($V905,$X905,$W905)</f>
        <v/>
      </c>
      <c r="Z905">
        <f>IF($V905,IF($P905="","",$P905),IF($O905="","",$O905))</f>
        <v/>
      </c>
      <c r="AA905">
        <f>IF(OR($Q905="",$Z905=""),"",IF(AND($Z905&gt;0,$Z905&gt;=$Q905),"yes","below the line"))</f>
        <v/>
      </c>
      <c r="AB905">
        <f>IF($V905,IF($M905="","",$M905),IF($K905="","",$K905))</f>
        <v/>
      </c>
      <c r="AC905">
        <f>IF($V905,IF($N905="","",$N905),IF($L905="","",$L905))</f>
        <v/>
      </c>
      <c r="AD905">
        <f>$Y905</f>
        <v/>
      </c>
      <c r="AE905">
        <f>IF($V905,IF($S905="","",$S905),IF($R905="","",$R905))</f>
        <v/>
      </c>
      <c r="AF905">
        <f>IF($V905,IF($U905="","",$U905),IF($T905="","",$T905))</f>
        <v/>
      </c>
      <c r="AG905">
        <f>IF($V905,IF($O905="","",$O905),IF($P905="","",$P905))</f>
        <v/>
      </c>
      <c r="AH905" t="n">
        <v>0.1023946957505104</v>
      </c>
      <c r="AI905">
        <f>IF($Y905="worse","Yes",IF($Y905="worse, not significant","Not sure",IF(OR($Y905="too few losses to test",$Y905="too few loans to test"),"Too few losses",IF($Y905="","","No"))))</f>
        <v/>
      </c>
      <c r="AJ905">
        <f>IF($AA905="yes","Yes",IF($AA905="","","No"))</f>
        <v/>
      </c>
    </row>
    <row r="906">
      <c r="A906" t="inlineStr">
        <is>
          <t>three-way</t>
        </is>
      </c>
      <c r="B906" t="inlineStr">
        <is>
          <t>ORIG_BAL x CHANNEL / SYS_FLAG</t>
        </is>
      </c>
      <c r="C906" t="inlineStr">
        <is>
          <t>26,324 - 37,950</t>
        </is>
      </c>
      <c r="D906" t="inlineStr">
        <is>
          <t>Online / SYS_FLAG Y</t>
        </is>
      </c>
      <c r="E906" t="inlineStr">
        <is>
          <t>gco_rate</t>
        </is>
      </c>
      <c r="F906" t="inlineStr">
        <is>
          <t>GCO per booked dollar</t>
        </is>
      </c>
      <c r="G906" t="n">
        <v>231</v>
      </c>
      <c r="H906" t="n">
        <v>7425958.390000002</v>
      </c>
      <c r="I906" t="b">
        <v>0</v>
      </c>
      <c r="J906" t="b">
        <v>0</v>
      </c>
      <c r="K906" t="n">
        <v>1.311958162561025</v>
      </c>
      <c r="L906" t="n">
        <v>0.490950904909509</v>
      </c>
      <c r="M906" t="n">
        <v>1.561877160962331</v>
      </c>
      <c r="N906" t="n">
        <v>0.1640635936406359</v>
      </c>
      <c r="O906" t="n">
        <v>95524.64976048074</v>
      </c>
      <c r="P906" t="n">
        <v>144521.8762956091</v>
      </c>
      <c r="Q906">
        <f>'_live'!$C$22</f>
        <v/>
      </c>
      <c r="R906" t="inlineStr">
        <is>
          <t>shuffled: 2,454 of 10,000</t>
        </is>
      </c>
      <c r="S906" t="inlineStr">
        <is>
          <t>shuffled: 532 of 10,000</t>
        </is>
      </c>
      <c r="T906" t="n">
        <v>0.04123505602345816</v>
      </c>
      <c r="U906" t="n">
        <v>0.03463695461191384</v>
      </c>
      <c r="V906">
        <f>AND(judged_band,NOT($J906))</f>
        <v/>
      </c>
      <c r="W906">
        <f>IF($K906="","",IF($I906,"too few losses to test",IF(AND($K906&gt;better_at,$K906&lt;worse_at),"in line",IF($K906&gt;=worse_at,IF(AND(ISNUMBER($L906),$L906&lt;significance_bar),"worse","worse, not significant"),IF(AND(ISNUMBER($L906),$L906&lt;significance_bar),"better","better, not significant")))))</f>
        <v/>
      </c>
      <c r="X906">
        <f>IF($M906="","",IF($I906,"too few losses to test",IF(AND($M906&gt;better_at,$M906&lt;worse_at),"in line",IF($M906&gt;=worse_at,IF(AND(ISNUMBER($N906),$N906&lt;significance_bar),"worse","worse, not significant"),IF(AND(ISNUMBER($N906),$N906&lt;significance_bar),"better","better, not significant")))))</f>
        <v/>
      </c>
      <c r="Y906">
        <f>IF($V906,$X906,$W906)</f>
        <v/>
      </c>
      <c r="Z906">
        <f>IF($V906,IF($P906="","",$P906),IF($O906="","",$O906))</f>
        <v/>
      </c>
      <c r="AA906">
        <f>IF(OR($Q906="",$Z906=""),"",IF(AND($Z906&gt;0,$Z906&gt;=$Q906),"yes","below the line"))</f>
        <v/>
      </c>
      <c r="AB906">
        <f>IF($V906,IF($M906="","",$M906),IF($K906="","",$K906))</f>
        <v/>
      </c>
      <c r="AC906">
        <f>IF($V906,IF($N906="","",$N906),IF($L906="","",$L906))</f>
        <v/>
      </c>
      <c r="AD906">
        <f>$Y906</f>
        <v/>
      </c>
      <c r="AE906">
        <f>IF($V906,IF($S906="","",$S906),IF($R906="","",$R906))</f>
        <v/>
      </c>
      <c r="AF906">
        <f>IF($V906,IF($U906="","",$U906),IF($T906="","",$T906))</f>
        <v/>
      </c>
      <c r="AG906">
        <f>IF($V906,IF($O906="","",$O906),IF($P906="","",$P906))</f>
        <v/>
      </c>
      <c r="AH906" t="n">
        <v>0.05409866833363711</v>
      </c>
      <c r="AI906">
        <f>IF($Y906="worse","Yes",IF($Y906="worse, not significant","Not sure",IF(OR($Y906="too few losses to test",$Y906="too few loans to test"),"Too few losses",IF($Y906="","","No"))))</f>
        <v/>
      </c>
      <c r="AJ906">
        <f>IF($AA906="yes","Yes",IF($AA906="","","No"))</f>
        <v/>
      </c>
    </row>
    <row r="907">
      <c r="A907" t="inlineStr">
        <is>
          <t>three-way</t>
        </is>
      </c>
      <c r="B907" t="inlineStr">
        <is>
          <t>ORIG_BAL x CHANNEL / SYS_FLAG</t>
        </is>
      </c>
      <c r="C907" t="inlineStr">
        <is>
          <t>26,324 - 37,950</t>
        </is>
      </c>
      <c r="D907" t="inlineStr">
        <is>
          <t>Online / SYS_FLAG Y</t>
        </is>
      </c>
      <c r="E907" t="inlineStr">
        <is>
          <t>ranr_rate</t>
        </is>
      </c>
      <c r="F907" t="inlineStr">
        <is>
          <t>Profit after losses: RANR per booked dollar</t>
        </is>
      </c>
      <c r="G907" t="n">
        <v>231</v>
      </c>
      <c r="H907" t="n">
        <v>7425958.390000002</v>
      </c>
      <c r="I907" t="b">
        <v>0</v>
      </c>
      <c r="J907" t="b">
        <v>0</v>
      </c>
      <c r="K907" t="n">
        <v>0.01153438731834311</v>
      </c>
      <c r="L907" t="n">
        <v>0.6242533641372705</v>
      </c>
      <c r="M907" t="n">
        <v>0.0092271509603985</v>
      </c>
      <c r="N907" t="n">
        <v>0.5474452554744526</v>
      </c>
      <c r="O907" t="n">
        <v>-85653.88028015965</v>
      </c>
      <c r="P907" t="n">
        <v>-68520.43909016787</v>
      </c>
      <c r="Q907">
        <f>'_live'!$C$23</f>
        <v/>
      </c>
      <c r="R907" t="inlineStr">
        <is>
          <t>shuffled: 3,953 of 10,000</t>
        </is>
      </c>
      <c r="S907" t="inlineStr">
        <is>
          <t>shuffled: 4,744 of 10,000</t>
        </is>
      </c>
      <c r="T907" t="n">
        <v>0.1276581459164141</v>
      </c>
      <c r="U907" t="n">
        <v>0.1299653822743587</v>
      </c>
      <c r="V907">
        <f>AND(judged_band,NOT($J907))</f>
        <v/>
      </c>
      <c r="W907">
        <f>IF($K907="","",IF(profit_kind="test",IF(OR(NOT(AND(ISNUMBER($L907),$L907&lt;significance_bar)),$K907=0),"in line",IF($K907&lt;0,"worse","better")),IF(OR($K907=0,IF(profit_kind="points",ABS($K907),ABS($K907*$H907))&lt;profit_line*(1-1E-9)),"in line",IF(AND(ISNUMBER($L907),$L907&lt;significance_bar),IF($K907&lt;0,"worse","better"),IF($K907&lt;0,"worse, not significant","better, not significant")))))</f>
        <v/>
      </c>
      <c r="X907">
        <f>IF($M907="","",IF(profit_kind="test",IF(OR(NOT(AND(ISNUMBER($N907),$N907&lt;significance_bar)),$M907=0),"in line",IF($M907&lt;0,"worse","better")),IF(OR($M907=0,IF(profit_kind="points",ABS($M907),ABS($M907*$H907))&lt;profit_line*(1-1E-9)),"in line",IF(AND(ISNUMBER($N907),$N907&lt;significance_bar),IF($M907&lt;0,"worse","better"),IF($M907&lt;0,"worse, not significant","better, not significant")))))</f>
        <v/>
      </c>
      <c r="Y907">
        <f>IF($V907,$X907,$W907)</f>
        <v/>
      </c>
      <c r="Z907">
        <f>IF($V907,IF($P907="","",$P907),IF($O907="","",$O907))</f>
        <v/>
      </c>
      <c r="AA907">
        <f>IF(OR($Q907="",$Z907=""),"",IF(AND($Z907&gt;0,$Z907&gt;=$Q907),"yes","below the line"))</f>
        <v/>
      </c>
      <c r="AB907">
        <f>IF($V907,IF($M907="","",$M907),IF($K907="","",$K907))</f>
        <v/>
      </c>
      <c r="AC907">
        <f>IF($V907,IF($N907="","",$N907),IF($L907="","",$L907))</f>
        <v/>
      </c>
      <c r="AD907">
        <f>IF($Y907="","",IF($Y907="in line",IF(profit_kind="test",IF(ROUND($AB907*100,2)=0,"0.00",TEXT($AB907*100,"+0.00;-0.00"))&amp;" points against "&amp;IF($V907,"its band","the book")&amp;", "&amp;IF($AC907="","not tested","not significant"),IF(profit_kind="points","within "&amp;TEXT(profit_line*100,"0.00")&amp;" points of "&amp;IF($V907,"its band","the book")&amp;" ("&amp;IF(ROUND($AB907*100,2)=0,"0.00",TEXT($AB907*100,"+0.00;-0.00"))&amp;")","within $"&amp;TEXT(profit_line,"#,##0")&amp;" of "&amp;IF($V907,"its band","the book")&amp;" ("&amp;IF(ROUND($AB907*100,2)=0,"0.00",TEXT($AB907*100,"+0.00;-0.00"))&amp;" points)")),IF(LEFT($Y907,5)="worse","short of ","ahead of ")&amp;IF($V907,"its band","the book")&amp;" by "&amp;TEXT(ABS($AB907)*100,"0.00")&amp;" points"&amp;IF($Z907="",""," ($"&amp;TEXT(ABS($Z907),"#,##0")&amp;")")&amp;IF(RIGHT($Y907,15)="not significant"," (not significant)","")))</f>
        <v/>
      </c>
      <c r="AE907">
        <f>IF($V907,IF($S907="","",$S907),IF($R907="","",$R907))</f>
        <v/>
      </c>
      <c r="AF907">
        <f>IF($V907,IF($U907="","",$U907),IF($T907="","",$T907))</f>
        <v/>
      </c>
      <c r="AG907">
        <f>IF($V907,IF($O907="","",$O907),IF($P907="","",$P907))</f>
        <v/>
      </c>
      <c r="AH907" t="n">
        <v>0.1391925332347572</v>
      </c>
      <c r="AI907">
        <f>IF($Y907="worse","Yes",IF($Y907="worse, not significant","Not sure",IF(OR($Y907="too few losses to test",$Y907="too few loans to test"),"Too few losses",IF($Y907="","","No"))))</f>
        <v/>
      </c>
      <c r="AJ907">
        <f>IF($AA907="yes","Yes",IF($AA907="","","No"))</f>
        <v/>
      </c>
    </row>
    <row r="908">
      <c r="A908" t="inlineStr">
        <is>
          <t>three-way</t>
        </is>
      </c>
      <c r="B908" t="inlineStr">
        <is>
          <t>ORIG_BAL x CHANNEL / SYS_FLAG</t>
        </is>
      </c>
      <c r="C908" t="inlineStr">
        <is>
          <t>26,324 - 37,950</t>
        </is>
      </c>
      <c r="D908" t="inlineStr">
        <is>
          <t>Online / SYS_FLAG Y</t>
        </is>
      </c>
      <c r="E908" t="inlineStr">
        <is>
          <t>contribution_rate</t>
        </is>
      </c>
      <c r="F908" t="inlineStr">
        <is>
          <t>Contribution before losses per booked dollar</t>
        </is>
      </c>
      <c r="G908" t="n">
        <v>231</v>
      </c>
      <c r="H908" t="n">
        <v>7425958.390000002</v>
      </c>
      <c r="I908" t="b">
        <v>0</v>
      </c>
      <c r="J908" t="b">
        <v>0</v>
      </c>
      <c r="K908" t="n">
        <v>0.0244009961602244</v>
      </c>
      <c r="L908" t="n">
        <v>0.0407959204079592</v>
      </c>
      <c r="M908" t="n">
        <v>0.0286888646821219</v>
      </c>
      <c r="N908" t="n">
        <v>0.0194980501949805</v>
      </c>
      <c r="O908" t="n">
        <v>-181200.7821603762</v>
      </c>
      <c r="P908" t="n">
        <v>-213042.3153857777</v>
      </c>
      <c r="Q908">
        <f>'_live'!$C$24</f>
        <v/>
      </c>
      <c r="R908" t="inlineStr">
        <is>
          <t>shuffled: 67 of 10,000</t>
        </is>
      </c>
      <c r="S908" t="inlineStr">
        <is>
          <t>shuffled: 12 of 10,000</t>
        </is>
      </c>
      <c r="T908" t="n">
        <v>0.16889020540817</v>
      </c>
      <c r="U908" t="n">
        <v>0.1646023368862725</v>
      </c>
      <c r="V908">
        <f>AND(judged_band,NOT($J908))</f>
        <v/>
      </c>
      <c r="W908">
        <f>IF($K908="","",IF(profit_kind="test",IF(OR(NOT(AND(ISNUMBER($L908),$L908&lt;significance_bar)),$K908=0),"in line",IF($K908&lt;0,"worse","better")),IF(OR($K908=0,IF(profit_kind="points",ABS($K908),ABS($K908*$H908))&lt;profit_line*(1-1E-9)),"in line",IF(AND(ISNUMBER($L908),$L908&lt;significance_bar),IF($K908&lt;0,"worse","better"),IF($K908&lt;0,"worse, not significant","better, not significant")))))</f>
        <v/>
      </c>
      <c r="X908">
        <f>IF($M908="","",IF(profit_kind="test",IF(OR(NOT(AND(ISNUMBER($N908),$N908&lt;significance_bar)),$M908=0),"in line",IF($M908&lt;0,"worse","better")),IF(OR($M908=0,IF(profit_kind="points",ABS($M908),ABS($M908*$H908))&lt;profit_line*(1-1E-9)),"in line",IF(AND(ISNUMBER($N908),$N908&lt;significance_bar),IF($M908&lt;0,"worse","better"),IF($M908&lt;0,"worse, not significant","better, not significant")))))</f>
        <v/>
      </c>
      <c r="Y908">
        <f>IF($V908,$X908,$W908)</f>
        <v/>
      </c>
      <c r="Z908">
        <f>IF($V908,IF($P908="","",$P908),IF($O908="","",$O908))</f>
        <v/>
      </c>
      <c r="AA908">
        <f>IF(OR($Q908="",$Z908=""),"",IF(AND($Z908&gt;0,$Z908&gt;=$Q908),"yes","below the line"))</f>
        <v/>
      </c>
      <c r="AB908">
        <f>IF($V908,IF($M908="","",$M908),IF($K908="","",$K908))</f>
        <v/>
      </c>
      <c r="AC908">
        <f>IF($V908,IF($N908="","",$N908),IF($L908="","",$L908))</f>
        <v/>
      </c>
      <c r="AD908">
        <f>IF($Y908="","",IF($Y908="in line",IF(profit_kind="test",IF(ROUND($AB908*100,2)=0,"0.00",TEXT($AB908*100,"+0.00;-0.00"))&amp;" points against "&amp;IF($V908,"its band","the book")&amp;", "&amp;IF($AC908="","not tested","not significant"),IF(profit_kind="points","within "&amp;TEXT(profit_line*100,"0.00")&amp;" points of "&amp;IF($V908,"its band","the book")&amp;" ("&amp;IF(ROUND($AB908*100,2)=0,"0.00",TEXT($AB908*100,"+0.00;-0.00"))&amp;")","within $"&amp;TEXT(profit_line,"#,##0")&amp;" of "&amp;IF($V908,"its band","the book")&amp;" ("&amp;IF(ROUND($AB908*100,2)=0,"0.00",TEXT($AB908*100,"+0.00;-0.00"))&amp;" points)")),IF(LEFT($Y908,5)="worse","short of ","ahead of ")&amp;IF($V908,"its band","the book")&amp;" by "&amp;TEXT(ABS($AB908)*100,"0.00")&amp;" points"&amp;IF($Z908="",""," ($"&amp;TEXT(ABS($Z908),"#,##0")&amp;")")&amp;IF(RIGHT($Y908,15)="not significant"," (not significant)","")))</f>
        <v/>
      </c>
      <c r="AE908">
        <f>IF($V908,IF($S908="","",$S908),IF($R908="","",$R908))</f>
        <v/>
      </c>
      <c r="AF908">
        <f>IF($V908,IF($U908="","",$U908),IF($T908="","",$T908))</f>
        <v/>
      </c>
      <c r="AG908">
        <f>IF($V908,IF($O908="","",$O908),IF($P908="","",$P908))</f>
        <v/>
      </c>
      <c r="AH908" t="n">
        <v>0.1932912015683944</v>
      </c>
      <c r="AI908">
        <f>IF($Y908="worse","Yes",IF($Y908="worse, not significant","Not sure",IF(OR($Y908="too few losses to test",$Y908="too few loans to test"),"Too few losses",IF($Y908="","","No"))))</f>
        <v/>
      </c>
      <c r="AJ908">
        <f>IF($AA908="yes","Yes",IF($AA908="","","No"))</f>
        <v/>
      </c>
    </row>
    <row r="909">
      <c r="A909" t="inlineStr">
        <is>
          <t>three-way</t>
        </is>
      </c>
      <c r="B909" t="inlineStr">
        <is>
          <t>ORIG_BAL x CHANNEL / SYS_FLAG</t>
        </is>
      </c>
      <c r="C909" t="inlineStr">
        <is>
          <t>49,152 - 59,984</t>
        </is>
      </c>
      <c r="D909" t="inlineStr">
        <is>
          <t>Branch / SYS_FLAG N</t>
        </is>
      </c>
      <c r="E909" t="inlineStr">
        <is>
          <t>outcome_loans</t>
        </is>
      </c>
      <c r="F909" t="inlineStr">
        <is>
          <t>Outcome, share of loans</t>
        </is>
      </c>
      <c r="G909" t="n">
        <v>289</v>
      </c>
      <c r="H909" t="n">
        <v>289</v>
      </c>
      <c r="I909" t="b">
        <v>1</v>
      </c>
      <c r="J909" t="b">
        <v>0</v>
      </c>
      <c r="K909" t="n">
        <v>0.2172491913032698</v>
      </c>
      <c r="M909" t="n">
        <v>0.2314455193842243</v>
      </c>
      <c r="O909" t="n">
        <v>-18.01504539559014</v>
      </c>
      <c r="P909" t="n">
        <v>-16.60335621662853</v>
      </c>
      <c r="Q909">
        <f>'_live'!$C$20</f>
        <v/>
      </c>
      <c r="T909" t="n">
        <v>0.07963683527885862</v>
      </c>
      <c r="U909" t="n">
        <v>0.07475209763539283</v>
      </c>
      <c r="V909">
        <f>AND(judged_band,NOT($J909))</f>
        <v/>
      </c>
      <c r="W909">
        <f>IF($K909="","",IF($I909,"too few losses to test",IF(AND($K909&gt;better_at,$K909&lt;worse_at),"in line",IF($K909&gt;=worse_at,IF(AND(ISNUMBER($L909),$L909&lt;significance_bar),"worse","worse, not significant"),IF(AND(ISNUMBER($L909),$L909&lt;significance_bar),"better","better, not significant")))))</f>
        <v/>
      </c>
      <c r="X909">
        <f>IF($M909="","",IF($I909,"too few losses to test",IF(AND($M909&gt;better_at,$M909&lt;worse_at),"in line",IF($M909&gt;=worse_at,IF(AND(ISNUMBER($N909),$N909&lt;significance_bar),"worse","worse, not significant"),IF(AND(ISNUMBER($N909),$N909&lt;significance_bar),"better","better, not significant")))))</f>
        <v/>
      </c>
      <c r="Y909">
        <f>IF($V909,$X909,$W909)</f>
        <v/>
      </c>
      <c r="Z909">
        <f>IF($V909,IF($P909="","",$P909),IF($O909="","",$O909))</f>
        <v/>
      </c>
      <c r="AA909">
        <f>IF(OR($Q909="",$Z909=""),"",IF(AND($Z909&gt;0,$Z909&gt;=$Q909),"yes","below the line"))</f>
        <v/>
      </c>
      <c r="AB909">
        <f>IF($V909,IF($M909="","",$M909),IF($K909="","",$K909))</f>
        <v/>
      </c>
      <c r="AC909">
        <f>IF($V909,IF($N909="","",$N909),IF($L909="","",$L909))</f>
        <v/>
      </c>
      <c r="AD909">
        <f>$Y909</f>
        <v/>
      </c>
      <c r="AE909">
        <f>IF($V909,IF($S909="","",$S909),IF($R909="","",$R909))</f>
        <v/>
      </c>
      <c r="AF909">
        <f>IF($V909,IF($U909="","",$U909),IF($T909="","",$T909))</f>
        <v/>
      </c>
      <c r="AG909">
        <f>IF($V909,IF($O909="","",$O909),IF($P909="","",$P909))</f>
        <v/>
      </c>
      <c r="AH909" t="n">
        <v>0.01730103806228374</v>
      </c>
      <c r="AI909">
        <f>IF($Y909="worse","Yes",IF($Y909="worse, not significant","Not sure",IF(OR($Y909="too few losses to test",$Y909="too few loans to test"),"Too few losses",IF($Y909="","","No"))))</f>
        <v/>
      </c>
      <c r="AJ909">
        <f>IF($AA909="yes","Yes",IF($AA909="","","No"))</f>
        <v/>
      </c>
    </row>
    <row r="910">
      <c r="A910" t="inlineStr">
        <is>
          <t>three-way</t>
        </is>
      </c>
      <c r="B910" t="inlineStr">
        <is>
          <t>ORIG_BAL x CHANNEL / SYS_FLAG</t>
        </is>
      </c>
      <c r="C910" t="inlineStr">
        <is>
          <t>49,152 - 59,984</t>
        </is>
      </c>
      <c r="D910" t="inlineStr">
        <is>
          <t>Branch / SYS_FLAG N</t>
        </is>
      </c>
      <c r="E910" t="inlineStr">
        <is>
          <t>outcome_booked</t>
        </is>
      </c>
      <c r="F910" t="inlineStr">
        <is>
          <t>Outcome, share of booked dollars</t>
        </is>
      </c>
      <c r="G910" t="n">
        <v>289</v>
      </c>
      <c r="H910" t="n">
        <v>15763128.12</v>
      </c>
      <c r="I910" t="b">
        <v>1</v>
      </c>
      <c r="J910" t="b">
        <v>0</v>
      </c>
      <c r="K910" t="n">
        <v>0.2212404659224225</v>
      </c>
      <c r="M910" t="n">
        <v>0.2312654357112383</v>
      </c>
      <c r="O910" t="n">
        <v>-964459.2680621485</v>
      </c>
      <c r="P910" t="n">
        <v>-910774.2804096546</v>
      </c>
      <c r="Q910">
        <f>'_live'!$C$21</f>
        <v/>
      </c>
      <c r="T910" t="n">
        <v>0.0785666270447181</v>
      </c>
      <c r="U910" t="n">
        <v>0.07516089518465796</v>
      </c>
      <c r="V910">
        <f>AND(judged_band,NOT($J910))</f>
        <v/>
      </c>
      <c r="W910">
        <f>IF($K910="","",IF($I910,"too few losses to test",IF(AND($K910&gt;better_at,$K910&lt;worse_at),"in line",IF($K910&gt;=worse_at,IF(AND(ISNUMBER($L910),$L910&lt;significance_bar),"worse","worse, not significant"),IF(AND(ISNUMBER($L910),$L910&lt;significance_bar),"better","better, not significant")))))</f>
        <v/>
      </c>
      <c r="X910">
        <f>IF($M910="","",IF($I910,"too few losses to test",IF(AND($M910&gt;better_at,$M910&lt;worse_at),"in line",IF($M910&gt;=worse_at,IF(AND(ISNUMBER($N910),$N910&lt;significance_bar),"worse","worse, not significant"),IF(AND(ISNUMBER($N910),$N910&lt;significance_bar),"better","better, not significant")))))</f>
        <v/>
      </c>
      <c r="Y910">
        <f>IF($V910,$X910,$W910)</f>
        <v/>
      </c>
      <c r="Z910">
        <f>IF($V910,IF($P910="","",$P910),IF($O910="","",$O910))</f>
        <v/>
      </c>
      <c r="AA910">
        <f>IF(OR($Q910="",$Z910=""),"",IF(AND($Z910&gt;0,$Z910&gt;=$Q910),"yes","below the line"))</f>
        <v/>
      </c>
      <c r="AB910">
        <f>IF($V910,IF($M910="","",$M910),IF($K910="","",$K910))</f>
        <v/>
      </c>
      <c r="AC910">
        <f>IF($V910,IF($N910="","",$N910),IF($L910="","",$L910))</f>
        <v/>
      </c>
      <c r="AD910">
        <f>$Y910</f>
        <v/>
      </c>
      <c r="AE910">
        <f>IF($V910,IF($S910="","",$S910),IF($R910="","",$R910))</f>
        <v/>
      </c>
      <c r="AF910">
        <f>IF($V910,IF($U910="","",$U910),IF($T910="","",$T910))</f>
        <v/>
      </c>
      <c r="AG910">
        <f>IF($V910,IF($O910="","",$O910),IF($P910="","",$P910))</f>
        <v/>
      </c>
      <c r="AH910" t="n">
        <v>0.01738211717332663</v>
      </c>
      <c r="AI910">
        <f>IF($Y910="worse","Yes",IF($Y910="worse, not significant","Not sure",IF(OR($Y910="too few losses to test",$Y910="too few loans to test"),"Too few losses",IF($Y910="","","No"))))</f>
        <v/>
      </c>
      <c r="AJ910">
        <f>IF($AA910="yes","Yes",IF($AA910="","","No"))</f>
        <v/>
      </c>
    </row>
    <row r="911">
      <c r="A911" t="inlineStr">
        <is>
          <t>three-way</t>
        </is>
      </c>
      <c r="B911" t="inlineStr">
        <is>
          <t>ORIG_BAL x CHANNEL / SYS_FLAG</t>
        </is>
      </c>
      <c r="C911" t="inlineStr">
        <is>
          <t>49,152 - 59,984</t>
        </is>
      </c>
      <c r="D911" t="inlineStr">
        <is>
          <t>Branch / SYS_FLAG N</t>
        </is>
      </c>
      <c r="E911" t="inlineStr">
        <is>
          <t>gco_rate</t>
        </is>
      </c>
      <c r="F911" t="inlineStr">
        <is>
          <t>GCO per booked dollar</t>
        </is>
      </c>
      <c r="G911" t="n">
        <v>289</v>
      </c>
      <c r="H911" t="n">
        <v>15763128.12</v>
      </c>
      <c r="I911" t="b">
        <v>1</v>
      </c>
      <c r="J911" t="b">
        <v>0</v>
      </c>
      <c r="K911" t="n">
        <v>0.204687682798231</v>
      </c>
      <c r="M911" t="n">
        <v>0.2161588222012251</v>
      </c>
      <c r="O911" t="n">
        <v>-548225.1002732376</v>
      </c>
      <c r="P911" t="n">
        <v>-511644.165473187</v>
      </c>
      <c r="Q911">
        <f>'_live'!$C$22</f>
        <v/>
      </c>
      <c r="T911" t="n">
        <v>0.04372993196690693</v>
      </c>
      <c r="U911" t="n">
        <v>0.04140926727893569</v>
      </c>
      <c r="V911">
        <f>AND(judged_band,NOT($J911))</f>
        <v/>
      </c>
      <c r="W911">
        <f>IF($K911="","",IF($I911,"too few losses to test",IF(AND($K911&gt;better_at,$K911&lt;worse_at),"in line",IF($K911&gt;=worse_at,IF(AND(ISNUMBER($L911),$L911&lt;significance_bar),"worse","worse, not significant"),IF(AND(ISNUMBER($L911),$L911&lt;significance_bar),"better","better, not significant")))))</f>
        <v/>
      </c>
      <c r="X911">
        <f>IF($M911="","",IF($I911,"too few losses to test",IF(AND($M911&gt;better_at,$M911&lt;worse_at),"in line",IF($M911&gt;=worse_at,IF(AND(ISNUMBER($N911),$N911&lt;significance_bar),"worse","worse, not significant"),IF(AND(ISNUMBER($N911),$N911&lt;significance_bar),"better","better, not significant")))))</f>
        <v/>
      </c>
      <c r="Y911">
        <f>IF($V911,$X911,$W911)</f>
        <v/>
      </c>
      <c r="Z911">
        <f>IF($V911,IF($P911="","",$P911),IF($O911="","",$O911))</f>
        <v/>
      </c>
      <c r="AA911">
        <f>IF(OR($Q911="",$Z911=""),"",IF(AND($Z911&gt;0,$Z911&gt;=$Q911),"yes","below the line"))</f>
        <v/>
      </c>
      <c r="AB911">
        <f>IF($V911,IF($M911="","",$M911),IF($K911="","",$K911))</f>
        <v/>
      </c>
      <c r="AC911">
        <f>IF($V911,IF($N911="","",$N911),IF($L911="","",$L911))</f>
        <v/>
      </c>
      <c r="AD911">
        <f>$Y911</f>
        <v/>
      </c>
      <c r="AE911">
        <f>IF($V911,IF($S911="","",$S911),IF($R911="","",$R911))</f>
        <v/>
      </c>
      <c r="AF911">
        <f>IF($V911,IF($U911="","",$U911),IF($T911="","",$T911))</f>
        <v/>
      </c>
      <c r="AG911">
        <f>IF($V911,IF($O911="","",$O911),IF($P911="","",$P911))</f>
        <v/>
      </c>
      <c r="AH911" t="n">
        <v>0.008950978443230468</v>
      </c>
      <c r="AI911">
        <f>IF($Y911="worse","Yes",IF($Y911="worse, not significant","Not sure",IF(OR($Y911="too few losses to test",$Y911="too few loans to test"),"Too few losses",IF($Y911="","","No"))))</f>
        <v/>
      </c>
      <c r="AJ911">
        <f>IF($AA911="yes","Yes",IF($AA911="","","No"))</f>
        <v/>
      </c>
    </row>
    <row r="912">
      <c r="A912" t="inlineStr">
        <is>
          <t>three-way</t>
        </is>
      </c>
      <c r="B912" t="inlineStr">
        <is>
          <t>ORIG_BAL x CHANNEL / SYS_FLAG</t>
        </is>
      </c>
      <c r="C912" t="inlineStr">
        <is>
          <t>49,152 - 59,984</t>
        </is>
      </c>
      <c r="D912" t="inlineStr">
        <is>
          <t>Branch / SYS_FLAG N</t>
        </is>
      </c>
      <c r="E912" t="inlineStr">
        <is>
          <t>ranr_rate</t>
        </is>
      </c>
      <c r="F912" t="inlineStr">
        <is>
          <t>Profit after losses: RANR per booked dollar</t>
        </is>
      </c>
      <c r="G912" t="n">
        <v>289</v>
      </c>
      <c r="H912" t="n">
        <v>15763128.12</v>
      </c>
      <c r="I912" t="b">
        <v>0</v>
      </c>
      <c r="J912" t="b">
        <v>0</v>
      </c>
      <c r="K912" t="n">
        <v>0.02080846008762591</v>
      </c>
      <c r="L912" t="n">
        <v>0.2167283271672833</v>
      </c>
      <c r="M912" t="n">
        <v>0.02086914859789091</v>
      </c>
      <c r="N912" t="n">
        <v>0.1811818818118188</v>
      </c>
      <c r="O912" t="n">
        <v>-328006.4223411535</v>
      </c>
      <c r="P912" t="n">
        <v>-328963.0631038726</v>
      </c>
      <c r="Q912">
        <f>'_live'!$C$23</f>
        <v/>
      </c>
      <c r="R912" t="inlineStr">
        <is>
          <t>shuffled: 866 of 10,000</t>
        </is>
      </c>
      <c r="S912" t="inlineStr">
        <is>
          <t>shuffled: 602 of 10,000</t>
        </is>
      </c>
      <c r="T912" t="n">
        <v>0.1267190441169138</v>
      </c>
      <c r="U912" t="n">
        <v>0.1266583556066488</v>
      </c>
      <c r="V912">
        <f>AND(judged_band,NOT($J912))</f>
        <v/>
      </c>
      <c r="W912">
        <f>IF($K912="","",IF(profit_kind="test",IF(OR(NOT(AND(ISNUMBER($L912),$L912&lt;significance_bar)),$K912=0),"in line",IF($K912&lt;0,"worse","better")),IF(OR($K912=0,IF(profit_kind="points",ABS($K912),ABS($K912*$H912))&lt;profit_line*(1-1E-9)),"in line",IF(AND(ISNUMBER($L912),$L912&lt;significance_bar),IF($K912&lt;0,"worse","better"),IF($K912&lt;0,"worse, not significant","better, not significant")))))</f>
        <v/>
      </c>
      <c r="X912">
        <f>IF($M912="","",IF(profit_kind="test",IF(OR(NOT(AND(ISNUMBER($N912),$N912&lt;significance_bar)),$M912=0),"in line",IF($M912&lt;0,"worse","better")),IF(OR($M912=0,IF(profit_kind="points",ABS($M912),ABS($M912*$H912))&lt;profit_line*(1-1E-9)),"in line",IF(AND(ISNUMBER($N912),$N912&lt;significance_bar),IF($M912&lt;0,"worse","better"),IF($M912&lt;0,"worse, not significant","better, not significant")))))</f>
        <v/>
      </c>
      <c r="Y912">
        <f>IF($V912,$X912,$W912)</f>
        <v/>
      </c>
      <c r="Z912">
        <f>IF($V912,IF($P912="","",$P912),IF($O912="","",$O912))</f>
        <v/>
      </c>
      <c r="AA912">
        <f>IF(OR($Q912="",$Z912=""),"",IF(AND($Z912&gt;0,$Z912&gt;=$Q912),"yes","below the line"))</f>
        <v/>
      </c>
      <c r="AB912">
        <f>IF($V912,IF($M912="","",$M912),IF($K912="","",$K912))</f>
        <v/>
      </c>
      <c r="AC912">
        <f>IF($V912,IF($N912="","",$N912),IF($L912="","",$L912))</f>
        <v/>
      </c>
      <c r="AD912">
        <f>IF($Y912="","",IF($Y912="in line",IF(profit_kind="test",IF(ROUND($AB912*100,2)=0,"0.00",TEXT($AB912*100,"+0.00;-0.00"))&amp;" points against "&amp;IF($V912,"its band","the book")&amp;", "&amp;IF($AC912="","not tested","not significant"),IF(profit_kind="points","within "&amp;TEXT(profit_line*100,"0.00")&amp;" points of "&amp;IF($V912,"its band","the book")&amp;" ("&amp;IF(ROUND($AB912*100,2)=0,"0.00",TEXT($AB912*100,"+0.00;-0.00"))&amp;")","within $"&amp;TEXT(profit_line,"#,##0")&amp;" of "&amp;IF($V912,"its band","the book")&amp;" ("&amp;IF(ROUND($AB912*100,2)=0,"0.00",TEXT($AB912*100,"+0.00;-0.00"))&amp;" points)")),IF(LEFT($Y912,5)="worse","short of ","ahead of ")&amp;IF($V912,"its band","the book")&amp;" by "&amp;TEXT(ABS($AB912)*100,"0.00")&amp;" points"&amp;IF($Z912="",""," ($"&amp;TEXT(ABS($Z912),"#,##0")&amp;")")&amp;IF(RIGHT($Y912,15)="not significant"," (not significant)","")))</f>
        <v/>
      </c>
      <c r="AE912">
        <f>IF($V912,IF($S912="","",$S912),IF($R912="","",$R912))</f>
        <v/>
      </c>
      <c r="AF912">
        <f>IF($V912,IF($U912="","",$U912),IF($T912="","",$T912))</f>
        <v/>
      </c>
      <c r="AG912">
        <f>IF($V912,IF($O912="","",$O912),IF($P912="","",$P912))</f>
        <v/>
      </c>
      <c r="AH912" t="n">
        <v>0.1475275042045397</v>
      </c>
      <c r="AI912">
        <f>IF($Y912="worse","Yes",IF($Y912="worse, not significant","Not sure",IF(OR($Y912="too few losses to test",$Y912="too few loans to test"),"Too few losses",IF($Y912="","","No"))))</f>
        <v/>
      </c>
      <c r="AJ912">
        <f>IF($AA912="yes","Yes",IF($AA912="","","No"))</f>
        <v/>
      </c>
    </row>
    <row r="913">
      <c r="A913" t="inlineStr">
        <is>
          <t>three-way</t>
        </is>
      </c>
      <c r="B913" t="inlineStr">
        <is>
          <t>ORIG_BAL x CHANNEL / SYS_FLAG</t>
        </is>
      </c>
      <c r="C913" t="inlineStr">
        <is>
          <t>49,152 - 59,984</t>
        </is>
      </c>
      <c r="D913" t="inlineStr">
        <is>
          <t>Branch / SYS_FLAG N</t>
        </is>
      </c>
      <c r="E913" t="inlineStr">
        <is>
          <t>contribution_rate</t>
        </is>
      </c>
      <c r="F913" t="inlineStr">
        <is>
          <t>Contribution before losses per booked dollar</t>
        </is>
      </c>
      <c r="G913" t="n">
        <v>289</v>
      </c>
      <c r="H913" t="n">
        <v>15763128.12</v>
      </c>
      <c r="I913" t="b">
        <v>0</v>
      </c>
      <c r="J913" t="b">
        <v>0</v>
      </c>
      <c r="K913" t="n">
        <v>-0.01396723995369406</v>
      </c>
      <c r="L913" t="n">
        <v>0.1942305769423057</v>
      </c>
      <c r="M913" t="n">
        <v>-0.01158914023781432</v>
      </c>
      <c r="N913" t="n">
        <v>0.3046838173325525</v>
      </c>
      <c r="O913" t="n">
        <v>220167.3928728625</v>
      </c>
      <c r="P913" t="n">
        <v>182681.1023693145</v>
      </c>
      <c r="Q913">
        <f>'_live'!$C$24</f>
        <v/>
      </c>
      <c r="R913" t="inlineStr">
        <is>
          <t>shuffled: 776 of 10,000</t>
        </is>
      </c>
      <c r="S913" t="inlineStr">
        <is>
          <t>shuffled: 1,363 of 10,000</t>
        </is>
      </c>
      <c r="T913" t="n">
        <v>0.1704457226014643</v>
      </c>
      <c r="U913" t="n">
        <v>0.1680676228855845</v>
      </c>
      <c r="V913">
        <f>AND(judged_band,NOT($J913))</f>
        <v/>
      </c>
      <c r="W913">
        <f>IF($K913="","",IF(profit_kind="test",IF(OR(NOT(AND(ISNUMBER($L913),$L913&lt;significance_bar)),$K913=0),"in line",IF($K913&lt;0,"worse","better")),IF(OR($K913=0,IF(profit_kind="points",ABS($K913),ABS($K913*$H913))&lt;profit_line*(1-1E-9)),"in line",IF(AND(ISNUMBER($L913),$L913&lt;significance_bar),IF($K913&lt;0,"worse","better"),IF($K913&lt;0,"worse, not significant","better, not significant")))))</f>
        <v/>
      </c>
      <c r="X913">
        <f>IF($M913="","",IF(profit_kind="test",IF(OR(NOT(AND(ISNUMBER($N913),$N913&lt;significance_bar)),$M913=0),"in line",IF($M913&lt;0,"worse","better")),IF(OR($M913=0,IF(profit_kind="points",ABS($M913),ABS($M913*$H913))&lt;profit_line*(1-1E-9)),"in line",IF(AND(ISNUMBER($N913),$N913&lt;significance_bar),IF($M913&lt;0,"worse","better"),IF($M913&lt;0,"worse, not significant","better, not significant")))))</f>
        <v/>
      </c>
      <c r="Y913">
        <f>IF($V913,$X913,$W913)</f>
        <v/>
      </c>
      <c r="Z913">
        <f>IF($V913,IF($P913="","",$P913),IF($O913="","",$O913))</f>
        <v/>
      </c>
      <c r="AA913">
        <f>IF(OR($Q913="",$Z913=""),"",IF(AND($Z913&gt;0,$Z913&gt;=$Q913),"yes","below the line"))</f>
        <v/>
      </c>
      <c r="AB913">
        <f>IF($V913,IF($M913="","",$M913),IF($K913="","",$K913))</f>
        <v/>
      </c>
      <c r="AC913">
        <f>IF($V913,IF($N913="","",$N913),IF($L913="","",$L913))</f>
        <v/>
      </c>
      <c r="AD913">
        <f>IF($Y913="","",IF($Y913="in line",IF(profit_kind="test",IF(ROUND($AB913*100,2)=0,"0.00",TEXT($AB913*100,"+0.00;-0.00"))&amp;" points against "&amp;IF($V913,"its band","the book")&amp;", "&amp;IF($AC913="","not tested","not significant"),IF(profit_kind="points","within "&amp;TEXT(profit_line*100,"0.00")&amp;" points of "&amp;IF($V913,"its band","the book")&amp;" ("&amp;IF(ROUND($AB913*100,2)=0,"0.00",TEXT($AB913*100,"+0.00;-0.00"))&amp;")","within $"&amp;TEXT(profit_line,"#,##0")&amp;" of "&amp;IF($V913,"its band","the book")&amp;" ("&amp;IF(ROUND($AB913*100,2)=0,"0.00",TEXT($AB913*100,"+0.00;-0.00"))&amp;" points)")),IF(LEFT($Y913,5)="worse","short of ","ahead of ")&amp;IF($V913,"its band","the book")&amp;" by "&amp;TEXT(ABS($AB913)*100,"0.00")&amp;" points"&amp;IF($Z913="",""," ($"&amp;TEXT(ABS($Z913),"#,##0")&amp;")")&amp;IF(RIGHT($Y913,15)="not significant"," (not significant)","")))</f>
        <v/>
      </c>
      <c r="AE913">
        <f>IF($V913,IF($S913="","",$S913),IF($R913="","",$R913))</f>
        <v/>
      </c>
      <c r="AF913">
        <f>IF($V913,IF($U913="","",$U913),IF($T913="","",$T913))</f>
        <v/>
      </c>
      <c r="AG913">
        <f>IF($V913,IF($O913="","",$O913),IF($P913="","",$P913))</f>
        <v/>
      </c>
      <c r="AH913" t="n">
        <v>0.1564784826477702</v>
      </c>
      <c r="AI913">
        <f>IF($Y913="worse","Yes",IF($Y913="worse, not significant","Not sure",IF(OR($Y913="too few losses to test",$Y913="too few loans to test"),"Too few losses",IF($Y913="","","No"))))</f>
        <v/>
      </c>
      <c r="AJ913">
        <f>IF($AA913="yes","Yes",IF($AA913="","","No"))</f>
        <v/>
      </c>
    </row>
    <row r="914">
      <c r="A914" t="inlineStr">
        <is>
          <t>three-way</t>
        </is>
      </c>
      <c r="B914" t="inlineStr">
        <is>
          <t>ORIG_BAL x CHANNEL / SYS_FLAG</t>
        </is>
      </c>
      <c r="C914" t="inlineStr">
        <is>
          <t>49,152 - 59,984</t>
        </is>
      </c>
      <c r="D914" t="inlineStr">
        <is>
          <t>Online / SYS_FLAG N</t>
        </is>
      </c>
      <c r="E914" t="inlineStr">
        <is>
          <t>outcome_loans</t>
        </is>
      </c>
      <c r="F914" t="inlineStr">
        <is>
          <t>Outcome, share of loans</t>
        </is>
      </c>
      <c r="G914" t="n">
        <v>291</v>
      </c>
      <c r="H914" t="n">
        <v>291</v>
      </c>
      <c r="I914" t="b">
        <v>1</v>
      </c>
      <c r="J914" t="b">
        <v>0</v>
      </c>
      <c r="K914" t="n">
        <v>0.3908061517660977</v>
      </c>
      <c r="M914" t="n">
        <v>0.4306865540688747</v>
      </c>
      <c r="O914" t="n">
        <v>-14.02932018681889</v>
      </c>
      <c r="P914" t="n">
        <v>-11.89686783804431</v>
      </c>
      <c r="Q914">
        <f>'_live'!$C$20</f>
        <v/>
      </c>
      <c r="T914" t="n">
        <v>0.07913855734302024</v>
      </c>
      <c r="U914" t="n">
        <v>0.0718105423987777</v>
      </c>
      <c r="V914">
        <f>AND(judged_band,NOT($J914))</f>
        <v/>
      </c>
      <c r="W914">
        <f>IF($K914="","",IF($I914,"too few losses to test",IF(AND($K914&gt;better_at,$K914&lt;worse_at),"in line",IF($K914&gt;=worse_at,IF(AND(ISNUMBER($L914),$L914&lt;significance_bar),"worse","worse, not significant"),IF(AND(ISNUMBER($L914),$L914&lt;significance_bar),"better","better, not significant")))))</f>
        <v/>
      </c>
      <c r="X914">
        <f>IF($M914="","",IF($I914,"too few losses to test",IF(AND($M914&gt;better_at,$M914&lt;worse_at),"in line",IF($M914&gt;=worse_at,IF(AND(ISNUMBER($N914),$N914&lt;significance_bar),"worse","worse, not significant"),IF(AND(ISNUMBER($N914),$N914&lt;significance_bar),"better","better, not significant")))))</f>
        <v/>
      </c>
      <c r="Y914">
        <f>IF($V914,$X914,$W914)</f>
        <v/>
      </c>
      <c r="Z914">
        <f>IF($V914,IF($P914="","",$P914),IF($O914="","",$O914))</f>
        <v/>
      </c>
      <c r="AA914">
        <f>IF(OR($Q914="",$Z914=""),"",IF(AND($Z914&gt;0,$Z914&gt;=$Q914),"yes","below the line"))</f>
        <v/>
      </c>
      <c r="AB914">
        <f>IF($V914,IF($M914="","",$M914),IF($K914="","",$K914))</f>
        <v/>
      </c>
      <c r="AC914">
        <f>IF($V914,IF($N914="","",$N914),IF($L914="","",$L914))</f>
        <v/>
      </c>
      <c r="AD914">
        <f>$Y914</f>
        <v/>
      </c>
      <c r="AE914">
        <f>IF($V914,IF($S914="","",$S914),IF($R914="","",$R914))</f>
        <v/>
      </c>
      <c r="AF914">
        <f>IF($V914,IF($U914="","",$U914),IF($T914="","",$T914))</f>
        <v/>
      </c>
      <c r="AG914">
        <f>IF($V914,IF($O914="","",$O914),IF($P914="","",$P914))</f>
        <v/>
      </c>
      <c r="AH914" t="n">
        <v>0.03092783505154639</v>
      </c>
      <c r="AI914">
        <f>IF($Y914="worse","Yes",IF($Y914="worse, not significant","Not sure",IF(OR($Y914="too few losses to test",$Y914="too few loans to test"),"Too few losses",IF($Y914="","","No"))))</f>
        <v/>
      </c>
      <c r="AJ914">
        <f>IF($AA914="yes","Yes",IF($AA914="","","No"))</f>
        <v/>
      </c>
    </row>
    <row r="915">
      <c r="A915" t="inlineStr">
        <is>
          <t>three-way</t>
        </is>
      </c>
      <c r="B915" t="inlineStr">
        <is>
          <t>ORIG_BAL x CHANNEL / SYS_FLAG</t>
        </is>
      </c>
      <c r="C915" t="inlineStr">
        <is>
          <t>49,152 - 59,984</t>
        </is>
      </c>
      <c r="D915" t="inlineStr">
        <is>
          <t>Online / SYS_FLAG N</t>
        </is>
      </c>
      <c r="E915" t="inlineStr">
        <is>
          <t>outcome_booked</t>
        </is>
      </c>
      <c r="F915" t="inlineStr">
        <is>
          <t>Outcome, share of booked dollars</t>
        </is>
      </c>
      <c r="G915" t="n">
        <v>291</v>
      </c>
      <c r="H915" t="n">
        <v>15916062.98999999</v>
      </c>
      <c r="I915" t="b">
        <v>1</v>
      </c>
      <c r="J915" t="b">
        <v>0</v>
      </c>
      <c r="K915" t="n">
        <v>0.4076044368427899</v>
      </c>
      <c r="M915" t="n">
        <v>0.4390475675098757</v>
      </c>
      <c r="O915" t="n">
        <v>-732290.117512814</v>
      </c>
      <c r="P915" t="n">
        <v>-643761.1128917946</v>
      </c>
      <c r="Q915">
        <f>'_live'!$C$21</f>
        <v/>
      </c>
      <c r="T915" t="n">
        <v>0.07766685632555509</v>
      </c>
      <c r="U915" t="n">
        <v>0.07210461366060449</v>
      </c>
      <c r="V915">
        <f>AND(judged_band,NOT($J915))</f>
        <v/>
      </c>
      <c r="W915">
        <f>IF($K915="","",IF($I915,"too few losses to test",IF(AND($K915&gt;better_at,$K915&lt;worse_at),"in line",IF($K915&gt;=worse_at,IF(AND(ISNUMBER($L915),$L915&lt;significance_bar),"worse","worse, not significant"),IF(AND(ISNUMBER($L915),$L915&lt;significance_bar),"better","better, not significant")))))</f>
        <v/>
      </c>
      <c r="X915">
        <f>IF($M915="","",IF($I915,"too few losses to test",IF(AND($M915&gt;better_at,$M915&lt;worse_at),"in line",IF($M915&gt;=worse_at,IF(AND(ISNUMBER($N915),$N915&lt;significance_bar),"worse","worse, not significant"),IF(AND(ISNUMBER($N915),$N915&lt;significance_bar),"better","better, not significant")))))</f>
        <v/>
      </c>
      <c r="Y915">
        <f>IF($V915,$X915,$W915)</f>
        <v/>
      </c>
      <c r="Z915">
        <f>IF($V915,IF($P915="","",$P915),IF($O915="","",$O915))</f>
        <v/>
      </c>
      <c r="AA915">
        <f>IF(OR($Q915="",$Z915=""),"",IF(AND($Z915&gt;0,$Z915&gt;=$Q915),"yes","below the line"))</f>
        <v/>
      </c>
      <c r="AB915">
        <f>IF($V915,IF($M915="","",$M915),IF($K915="","",$K915))</f>
        <v/>
      </c>
      <c r="AC915">
        <f>IF($V915,IF($N915="","",$N915),IF($L915="","",$L915))</f>
        <v/>
      </c>
      <c r="AD915">
        <f>$Y915</f>
        <v/>
      </c>
      <c r="AE915">
        <f>IF($V915,IF($S915="","",$S915),IF($R915="","",$R915))</f>
        <v/>
      </c>
      <c r="AF915">
        <f>IF($V915,IF($U915="","",$U915),IF($T915="","",$T915))</f>
        <v/>
      </c>
      <c r="AG915">
        <f>IF($V915,IF($O915="","",$O915),IF($P915="","",$P915))</f>
        <v/>
      </c>
      <c r="AH915" t="n">
        <v>0.03165735523392776</v>
      </c>
      <c r="AI915">
        <f>IF($Y915="worse","Yes",IF($Y915="worse, not significant","Not sure",IF(OR($Y915="too few losses to test",$Y915="too few loans to test"),"Too few losses",IF($Y915="","","No"))))</f>
        <v/>
      </c>
      <c r="AJ915">
        <f>IF($AA915="yes","Yes",IF($AA915="","","No"))</f>
        <v/>
      </c>
    </row>
    <row r="916">
      <c r="A916" t="inlineStr">
        <is>
          <t>three-way</t>
        </is>
      </c>
      <c r="B916" t="inlineStr">
        <is>
          <t>ORIG_BAL x CHANNEL / SYS_FLAG</t>
        </is>
      </c>
      <c r="C916" t="inlineStr">
        <is>
          <t>49,152 - 59,984</t>
        </is>
      </c>
      <c r="D916" t="inlineStr">
        <is>
          <t>Online / SYS_FLAG N</t>
        </is>
      </c>
      <c r="E916" t="inlineStr">
        <is>
          <t>gco_rate</t>
        </is>
      </c>
      <c r="F916" t="inlineStr">
        <is>
          <t>GCO per booked dollar</t>
        </is>
      </c>
      <c r="G916" t="n">
        <v>291</v>
      </c>
      <c r="H916" t="n">
        <v>15916062.98999999</v>
      </c>
      <c r="I916" t="b">
        <v>1</v>
      </c>
      <c r="J916" t="b">
        <v>0</v>
      </c>
      <c r="K916" t="n">
        <v>0.3918277434703837</v>
      </c>
      <c r="M916" t="n">
        <v>0.4266406540775446</v>
      </c>
      <c r="O916" t="n">
        <v>-418423.5873388054</v>
      </c>
      <c r="P916" t="n">
        <v>-362284.2021324878</v>
      </c>
      <c r="Q916">
        <f>'_live'!$C$22</f>
        <v/>
      </c>
      <c r="T916" t="n">
        <v>0.04322688140723462</v>
      </c>
      <c r="U916" t="n">
        <v>0.03969966583629915</v>
      </c>
      <c r="V916">
        <f>AND(judged_band,NOT($J916))</f>
        <v/>
      </c>
      <c r="W916">
        <f>IF($K916="","",IF($I916,"too few losses to test",IF(AND($K916&gt;better_at,$K916&lt;worse_at),"in line",IF($K916&gt;=worse_at,IF(AND(ISNUMBER($L916),$L916&lt;significance_bar),"worse","worse, not significant"),IF(AND(ISNUMBER($L916),$L916&lt;significance_bar),"better","better, not significant")))))</f>
        <v/>
      </c>
      <c r="X916">
        <f>IF($M916="","",IF($I916,"too few losses to test",IF(AND($M916&gt;better_at,$M916&lt;worse_at),"in line",IF($M916&gt;=worse_at,IF(AND(ISNUMBER($N916),$N916&lt;significance_bar),"worse","worse, not significant"),IF(AND(ISNUMBER($N916),$N916&lt;significance_bar),"better","better, not significant")))))</f>
        <v/>
      </c>
      <c r="Y916">
        <f>IF($V916,$X916,$W916)</f>
        <v/>
      </c>
      <c r="Z916">
        <f>IF($V916,IF($P916="","",$P916),IF($O916="","",$O916))</f>
        <v/>
      </c>
      <c r="AA916">
        <f>IF(OR($Q916="",$Z916=""),"",IF(AND($Z916&gt;0,$Z916&gt;=$Q916),"yes","below the line"))</f>
        <v/>
      </c>
      <c r="AB916">
        <f>IF($V916,IF($M916="","",$M916),IF($K916="","",$K916))</f>
        <v/>
      </c>
      <c r="AC916">
        <f>IF($V916,IF($N916="","",$N916),IF($L916="","",$L916))</f>
        <v/>
      </c>
      <c r="AD916">
        <f>$Y916</f>
        <v/>
      </c>
      <c r="AE916">
        <f>IF($V916,IF($S916="","",$S916),IF($R916="","",$R916))</f>
        <v/>
      </c>
      <c r="AF916">
        <f>IF($V916,IF($U916="","",$U916),IF($T916="","",$T916))</f>
        <v/>
      </c>
      <c r="AG916">
        <f>IF($V916,IF($O916="","",$O916),IF($P916="","",$P916))</f>
        <v/>
      </c>
      <c r="AH916" t="n">
        <v>0.01693749139905862</v>
      </c>
      <c r="AI916">
        <f>IF($Y916="worse","Yes",IF($Y916="worse, not significant","Not sure",IF(OR($Y916="too few losses to test",$Y916="too few loans to test"),"Too few losses",IF($Y916="","","No"))))</f>
        <v/>
      </c>
      <c r="AJ916">
        <f>IF($AA916="yes","Yes",IF($AA916="","","No"))</f>
        <v/>
      </c>
    </row>
    <row r="917">
      <c r="A917" t="inlineStr">
        <is>
          <t>three-way</t>
        </is>
      </c>
      <c r="B917" t="inlineStr">
        <is>
          <t>ORIG_BAL x CHANNEL / SYS_FLAG</t>
        </is>
      </c>
      <c r="C917" t="inlineStr">
        <is>
          <t>49,152 - 59,984</t>
        </is>
      </c>
      <c r="D917" t="inlineStr">
        <is>
          <t>Online / SYS_FLAG N</t>
        </is>
      </c>
      <c r="E917" t="inlineStr">
        <is>
          <t>ranr_rate</t>
        </is>
      </c>
      <c r="F917" t="inlineStr">
        <is>
          <t>Profit after losses: RANR per booked dollar</t>
        </is>
      </c>
      <c r="G917" t="n">
        <v>291</v>
      </c>
      <c r="H917" t="n">
        <v>15916062.98999999</v>
      </c>
      <c r="I917" t="b">
        <v>0</v>
      </c>
      <c r="J917" t="b">
        <v>0</v>
      </c>
      <c r="K917" t="n">
        <v>0.04221909846440383</v>
      </c>
      <c r="L917" t="n">
        <v>0.005999400059994</v>
      </c>
      <c r="M917" t="n">
        <v>0.04546419181028684</v>
      </c>
      <c r="N917" t="n">
        <v>0.005999400059994001</v>
      </c>
      <c r="O917" t="n">
        <v>-671961.8305404631</v>
      </c>
      <c r="P917" t="n">
        <v>-723610.9406419669</v>
      </c>
      <c r="Q917">
        <f>'_live'!$C$23</f>
        <v/>
      </c>
      <c r="R917" t="inlineStr">
        <is>
          <t>shuffled: 5 of 10,000</t>
        </is>
      </c>
      <c r="S917" t="inlineStr">
        <is>
          <t>shuffled: 3 of 10,000</t>
        </is>
      </c>
      <c r="T917" t="n">
        <v>0.1253862372066133</v>
      </c>
      <c r="U917" t="n">
        <v>0.1221411438607303</v>
      </c>
      <c r="V917">
        <f>AND(judged_band,NOT($J917))</f>
        <v/>
      </c>
      <c r="W917">
        <f>IF($K917="","",IF(profit_kind="test",IF(OR(NOT(AND(ISNUMBER($L917),$L917&lt;significance_bar)),$K917=0),"in line",IF($K917&lt;0,"worse","better")),IF(OR($K917=0,IF(profit_kind="points",ABS($K917),ABS($K917*$H917))&lt;profit_line*(1-1E-9)),"in line",IF(AND(ISNUMBER($L917),$L917&lt;significance_bar),IF($K917&lt;0,"worse","better"),IF($K917&lt;0,"worse, not significant","better, not significant")))))</f>
        <v/>
      </c>
      <c r="X917">
        <f>IF($M917="","",IF(profit_kind="test",IF(OR(NOT(AND(ISNUMBER($N917),$N917&lt;significance_bar)),$M917=0),"in line",IF($M917&lt;0,"worse","better")),IF(OR($M917=0,IF(profit_kind="points",ABS($M917),ABS($M917*$H917))&lt;profit_line*(1-1E-9)),"in line",IF(AND(ISNUMBER($N917),$N917&lt;significance_bar),IF($M917&lt;0,"worse","better"),IF($M917&lt;0,"worse, not significant","better, not significant")))))</f>
        <v/>
      </c>
      <c r="Y917">
        <f>IF($V917,$X917,$W917)</f>
        <v/>
      </c>
      <c r="Z917">
        <f>IF($V917,IF($P917="","",$P917),IF($O917="","",$O917))</f>
        <v/>
      </c>
      <c r="AA917">
        <f>IF(OR($Q917="",$Z917=""),"",IF(AND($Z917&gt;0,$Z917&gt;=$Q917),"yes","below the line"))</f>
        <v/>
      </c>
      <c r="AB917">
        <f>IF($V917,IF($M917="","",$M917),IF($K917="","",$K917))</f>
        <v/>
      </c>
      <c r="AC917">
        <f>IF($V917,IF($N917="","",$N917),IF($L917="","",$L917))</f>
        <v/>
      </c>
      <c r="AD917">
        <f>IF($Y917="","",IF($Y917="in line",IF(profit_kind="test",IF(ROUND($AB917*100,2)=0,"0.00",TEXT($AB917*100,"+0.00;-0.00"))&amp;" points against "&amp;IF($V917,"its band","the book")&amp;", "&amp;IF($AC917="","not tested","not significant"),IF(profit_kind="points","within "&amp;TEXT(profit_line*100,"0.00")&amp;" points of "&amp;IF($V917,"its band","the book")&amp;" ("&amp;IF(ROUND($AB917*100,2)=0,"0.00",TEXT($AB917*100,"+0.00;-0.00"))&amp;")","within $"&amp;TEXT(profit_line,"#,##0")&amp;" of "&amp;IF($V917,"its band","the book")&amp;" ("&amp;IF(ROUND($AB917*100,2)=0,"0.00",TEXT($AB917*100,"+0.00;-0.00"))&amp;" points)")),IF(LEFT($Y917,5)="worse","short of ","ahead of ")&amp;IF($V917,"its band","the book")&amp;" by "&amp;TEXT(ABS($AB917)*100,"0.00")&amp;" points"&amp;IF($Z917="",""," ($"&amp;TEXT(ABS($Z917),"#,##0")&amp;")")&amp;IF(RIGHT($Y917,15)="not significant"," (not significant)","")))</f>
        <v/>
      </c>
      <c r="AE917">
        <f>IF($V917,IF($S917="","",$S917),IF($R917="","",$R917))</f>
        <v/>
      </c>
      <c r="AF917">
        <f>IF($V917,IF($U917="","",$U917),IF($T917="","",$T917))</f>
        <v/>
      </c>
      <c r="AG917">
        <f>IF($V917,IF($O917="","",$O917),IF($P917="","",$P917))</f>
        <v/>
      </c>
      <c r="AH917" t="n">
        <v>0.1676053356710171</v>
      </c>
      <c r="AI917">
        <f>IF($Y917="worse","Yes",IF($Y917="worse, not significant","Not sure",IF(OR($Y917="too few losses to test",$Y917="too few loans to test"),"Too few losses",IF($Y917="","","No"))))</f>
        <v/>
      </c>
      <c r="AJ917">
        <f>IF($AA917="yes","Yes",IF($AA917="","","No"))</f>
        <v/>
      </c>
    </row>
    <row r="918">
      <c r="A918" t="inlineStr">
        <is>
          <t>three-way</t>
        </is>
      </c>
      <c r="B918" t="inlineStr">
        <is>
          <t>ORIG_BAL x CHANNEL / SYS_FLAG</t>
        </is>
      </c>
      <c r="C918" t="inlineStr">
        <is>
          <t>49,152 - 59,984</t>
        </is>
      </c>
      <c r="D918" t="inlineStr">
        <is>
          <t>Online / SYS_FLAG N</t>
        </is>
      </c>
      <c r="E918" t="inlineStr">
        <is>
          <t>contribution_rate</t>
        </is>
      </c>
      <c r="F918" t="inlineStr">
        <is>
          <t>Contribution before losses per booked dollar</t>
        </is>
      </c>
      <c r="G918" t="n">
        <v>291</v>
      </c>
      <c r="H918" t="n">
        <v>15916062.98999999</v>
      </c>
      <c r="I918" t="b">
        <v>0</v>
      </c>
      <c r="J918" t="b">
        <v>0</v>
      </c>
      <c r="K918" t="n">
        <v>0.01593318245264141</v>
      </c>
      <c r="L918" t="n">
        <v>0.14998500149985</v>
      </c>
      <c r="M918" t="n">
        <v>0.02270201737304633</v>
      </c>
      <c r="N918" t="n">
        <v>0.027997200279972</v>
      </c>
      <c r="O918" t="n">
        <v>-253593.5355474032</v>
      </c>
      <c r="P918" t="n">
        <v>-361326.7385094794</v>
      </c>
      <c r="Q918">
        <f>'_live'!$C$24</f>
        <v/>
      </c>
      <c r="R918" t="inlineStr">
        <is>
          <t>shuffled: 449 of 10,000</t>
        </is>
      </c>
      <c r="S918" t="inlineStr">
        <is>
          <t>shuffled: 27 of 10,000</t>
        </is>
      </c>
      <c r="T918" t="n">
        <v>0.1686096446174344</v>
      </c>
      <c r="U918" t="n">
        <v>0.1618408096970294</v>
      </c>
      <c r="V918">
        <f>AND(judged_band,NOT($J918))</f>
        <v/>
      </c>
      <c r="W918">
        <f>IF($K918="","",IF(profit_kind="test",IF(OR(NOT(AND(ISNUMBER($L918),$L918&lt;significance_bar)),$K918=0),"in line",IF($K918&lt;0,"worse","better")),IF(OR($K918=0,IF(profit_kind="points",ABS($K918),ABS($K918*$H918))&lt;profit_line*(1-1E-9)),"in line",IF(AND(ISNUMBER($L918),$L918&lt;significance_bar),IF($K918&lt;0,"worse","better"),IF($K918&lt;0,"worse, not significant","better, not significant")))))</f>
        <v/>
      </c>
      <c r="X918">
        <f>IF($M918="","",IF(profit_kind="test",IF(OR(NOT(AND(ISNUMBER($N918),$N918&lt;significance_bar)),$M918=0),"in line",IF($M918&lt;0,"worse","better")),IF(OR($M918=0,IF(profit_kind="points",ABS($M918),ABS($M918*$H918))&lt;profit_line*(1-1E-9)),"in line",IF(AND(ISNUMBER($N918),$N918&lt;significance_bar),IF($M918&lt;0,"worse","better"),IF($M918&lt;0,"worse, not significant","better, not significant")))))</f>
        <v/>
      </c>
      <c r="Y918">
        <f>IF($V918,$X918,$W918)</f>
        <v/>
      </c>
      <c r="Z918">
        <f>IF($V918,IF($P918="","",$P918),IF($O918="","",$O918))</f>
        <v/>
      </c>
      <c r="AA918">
        <f>IF(OR($Q918="",$Z918=""),"",IF(AND($Z918&gt;0,$Z918&gt;=$Q918),"yes","below the line"))</f>
        <v/>
      </c>
      <c r="AB918">
        <f>IF($V918,IF($M918="","",$M918),IF($K918="","",$K918))</f>
        <v/>
      </c>
      <c r="AC918">
        <f>IF($V918,IF($N918="","",$N918),IF($L918="","",$L918))</f>
        <v/>
      </c>
      <c r="AD918">
        <f>IF($Y918="","",IF($Y918="in line",IF(profit_kind="test",IF(ROUND($AB918*100,2)=0,"0.00",TEXT($AB918*100,"+0.00;-0.00"))&amp;" points against "&amp;IF($V918,"its band","the book")&amp;", "&amp;IF($AC918="","not tested","not significant"),IF(profit_kind="points","within "&amp;TEXT(profit_line*100,"0.00")&amp;" points of "&amp;IF($V918,"its band","the book")&amp;" ("&amp;IF(ROUND($AB918*100,2)=0,"0.00",TEXT($AB918*100,"+0.00;-0.00"))&amp;")","within $"&amp;TEXT(profit_line,"#,##0")&amp;" of "&amp;IF($V918,"its band","the book")&amp;" ("&amp;IF(ROUND($AB918*100,2)=0,"0.00",TEXT($AB918*100,"+0.00;-0.00"))&amp;" points)")),IF(LEFT($Y918,5)="worse","short of ","ahead of ")&amp;IF($V918,"its band","the book")&amp;" by "&amp;TEXT(ABS($AB918)*100,"0.00")&amp;" points"&amp;IF($Z918="",""," ($"&amp;TEXT(ABS($Z918),"#,##0")&amp;")")&amp;IF(RIGHT($Y918,15)="not significant"," (not significant)","")))</f>
        <v/>
      </c>
      <c r="AE918">
        <f>IF($V918,IF($S918="","",$S918),IF($R918="","",$R918))</f>
        <v/>
      </c>
      <c r="AF918">
        <f>IF($V918,IF($U918="","",$U918),IF($T918="","",$T918))</f>
        <v/>
      </c>
      <c r="AG918">
        <f>IF($V918,IF($O918="","",$O918),IF($P918="","",$P918))</f>
        <v/>
      </c>
      <c r="AH918" t="n">
        <v>0.1845428270700758</v>
      </c>
      <c r="AI918">
        <f>IF($Y918="worse","Yes",IF($Y918="worse, not significant","Not sure",IF(OR($Y918="too few losses to test",$Y918="too few loans to test"),"Too few losses",IF($Y918="","","No"))))</f>
        <v/>
      </c>
      <c r="AJ918">
        <f>IF($AA918="yes","Yes",IF($AA918="","","No"))</f>
        <v/>
      </c>
    </row>
    <row r="919">
      <c r="A919" t="inlineStr">
        <is>
          <t>three-way</t>
        </is>
      </c>
      <c r="B919" t="inlineStr">
        <is>
          <t>ORIG_BAL x CHANNEL / SYS_FLAG</t>
        </is>
      </c>
      <c r="C919" t="inlineStr">
        <is>
          <t>37,951 - 49,151</t>
        </is>
      </c>
      <c r="D919" t="inlineStr">
        <is>
          <t>Online / SYS_FLAG N</t>
        </is>
      </c>
      <c r="E919" t="inlineStr">
        <is>
          <t>outcome_loans</t>
        </is>
      </c>
      <c r="F919" t="inlineStr">
        <is>
          <t>Outcome, share of loans</t>
        </is>
      </c>
      <c r="G919" t="n">
        <v>289</v>
      </c>
      <c r="H919" t="n">
        <v>289</v>
      </c>
      <c r="I919" t="b">
        <v>0</v>
      </c>
      <c r="J919" t="b">
        <v>0</v>
      </c>
      <c r="K919" t="n">
        <v>0.4380656928085637</v>
      </c>
      <c r="L919" t="n">
        <v>0.03894127956810381</v>
      </c>
      <c r="M919" t="n">
        <v>0.3658332403169997</v>
      </c>
      <c r="N919" t="n">
        <v>0.01206861754309516</v>
      </c>
      <c r="O919" t="n">
        <v>-12.82762645914397</v>
      </c>
      <c r="P919" t="n">
        <v>-17.3348588863463</v>
      </c>
      <c r="Q919">
        <f>'_live'!$C$20</f>
        <v/>
      </c>
      <c r="R919" t="inlineStr">
        <is>
          <t>z test</t>
        </is>
      </c>
      <c r="S919" t="inlineStr">
        <is>
          <t>z test</t>
        </is>
      </c>
      <c r="T919" t="n">
        <v>0.07898832684824902</v>
      </c>
      <c r="U919" t="n">
        <v>0.09458428680396644</v>
      </c>
      <c r="V919">
        <f>AND(judged_band,NOT($J919))</f>
        <v/>
      </c>
      <c r="W919">
        <f>IF($K919="","",IF($I919,"too few losses to test",IF(AND($K919&gt;better_at,$K919&lt;worse_at),"in line",IF($K919&gt;=worse_at,IF(AND(ISNUMBER($L919),$L919&lt;significance_bar),"worse","worse, not significant"),IF(AND(ISNUMBER($L919),$L919&lt;significance_bar),"better","better, not significant")))))</f>
        <v/>
      </c>
      <c r="X919">
        <f>IF($M919="","",IF($I919,"too few losses to test",IF(AND($M919&gt;better_at,$M919&lt;worse_at),"in line",IF($M919&gt;=worse_at,IF(AND(ISNUMBER($N919),$N919&lt;significance_bar),"worse","worse, not significant"),IF(AND(ISNUMBER($N919),$N919&lt;significance_bar),"better","better, not significant")))))</f>
        <v/>
      </c>
      <c r="Y919">
        <f>IF($V919,$X919,$W919)</f>
        <v/>
      </c>
      <c r="Z919">
        <f>IF($V919,IF($P919="","",$P919),IF($O919="","",$O919))</f>
        <v/>
      </c>
      <c r="AA919">
        <f>IF(OR($Q919="",$Z919=""),"",IF(AND($Z919&gt;0,$Z919&gt;=$Q919),"yes","below the line"))</f>
        <v/>
      </c>
      <c r="AB919">
        <f>IF($V919,IF($M919="","",$M919),IF($K919="","",$K919))</f>
        <v/>
      </c>
      <c r="AC919">
        <f>IF($V919,IF($N919="","",$N919),IF($L919="","",$L919))</f>
        <v/>
      </c>
      <c r="AD919">
        <f>$Y919</f>
        <v/>
      </c>
      <c r="AE919">
        <f>IF($V919,IF($S919="","",$S919),IF($R919="","",$R919))</f>
        <v/>
      </c>
      <c r="AF919">
        <f>IF($V919,IF($U919="","",$U919),IF($T919="","",$T919))</f>
        <v/>
      </c>
      <c r="AG919">
        <f>IF($V919,IF($O919="","",$O919),IF($P919="","",$P919))</f>
        <v/>
      </c>
      <c r="AH919" t="n">
        <v>0.03460207612456748</v>
      </c>
      <c r="AI919">
        <f>IF($Y919="worse","Yes",IF($Y919="worse, not significant","Not sure",IF(OR($Y919="too few losses to test",$Y919="too few loans to test"),"Too few losses",IF($Y919="","","No"))))</f>
        <v/>
      </c>
      <c r="AJ919">
        <f>IF($AA919="yes","Yes",IF($AA919="","","No"))</f>
        <v/>
      </c>
    </row>
    <row r="920">
      <c r="A920" t="inlineStr">
        <is>
          <t>three-way</t>
        </is>
      </c>
      <c r="B920" t="inlineStr">
        <is>
          <t>ORIG_BAL x CHANNEL / SYS_FLAG</t>
        </is>
      </c>
      <c r="C920" t="inlineStr">
        <is>
          <t>37,951 - 49,151</t>
        </is>
      </c>
      <c r="D920" t="inlineStr">
        <is>
          <t>Online / SYS_FLAG N</t>
        </is>
      </c>
      <c r="E920" t="inlineStr">
        <is>
          <t>outcome_booked</t>
        </is>
      </c>
      <c r="F920" t="inlineStr">
        <is>
          <t>Outcome, share of booked dollars</t>
        </is>
      </c>
      <c r="G920" t="n">
        <v>289</v>
      </c>
      <c r="H920" t="n">
        <v>12588326.39999999</v>
      </c>
      <c r="I920" t="b">
        <v>0</v>
      </c>
      <c r="J920" t="b">
        <v>0</v>
      </c>
      <c r="K920" t="n">
        <v>0.4440611616864288</v>
      </c>
      <c r="L920" t="n">
        <v>0.118988101189881</v>
      </c>
      <c r="M920" t="n">
        <v>0.3638319809342351</v>
      </c>
      <c r="N920" t="n">
        <v>0.0205312802053128</v>
      </c>
      <c r="O920" t="n">
        <v>-538277.0012228955</v>
      </c>
      <c r="P920" t="n">
        <v>-751783.1051067371</v>
      </c>
      <c r="Q920">
        <f>'_live'!$C$21</f>
        <v/>
      </c>
      <c r="R920" t="inlineStr">
        <is>
          <t>shuffled: 169 of 10,000</t>
        </is>
      </c>
      <c r="S920" t="inlineStr">
        <is>
          <t>shuffled: 14 of 10,000</t>
        </is>
      </c>
      <c r="T920" t="n">
        <v>0.07691495918177783</v>
      </c>
      <c r="U920" t="n">
        <v>0.09387560169290955</v>
      </c>
      <c r="V920">
        <f>AND(judged_band,NOT($J920))</f>
        <v/>
      </c>
      <c r="W920">
        <f>IF($K920="","",IF($I920,"too few losses to test",IF(AND($K920&gt;better_at,$K920&lt;worse_at),"in line",IF($K920&gt;=worse_at,IF(AND(ISNUMBER($L920),$L920&lt;significance_bar),"worse","worse, not significant"),IF(AND(ISNUMBER($L920),$L920&lt;significance_bar),"better","better, not significant")))))</f>
        <v/>
      </c>
      <c r="X920">
        <f>IF($M920="","",IF($I920,"too few losses to test",IF(AND($M920&gt;better_at,$M920&lt;worse_at),"in line",IF($M920&gt;=worse_at,IF(AND(ISNUMBER($N920),$N920&lt;significance_bar),"worse","worse, not significant"),IF(AND(ISNUMBER($N920),$N920&lt;significance_bar),"better","better, not significant")))))</f>
        <v/>
      </c>
      <c r="Y920">
        <f>IF($V920,$X920,$W920)</f>
        <v/>
      </c>
      <c r="Z920">
        <f>IF($V920,IF($P920="","",$P920),IF($O920="","",$O920))</f>
        <v/>
      </c>
      <c r="AA920">
        <f>IF(OR($Q920="",$Z920=""),"",IF(AND($Z920&gt;0,$Z920&gt;=$Q920),"yes","below the line"))</f>
        <v/>
      </c>
      <c r="AB920">
        <f>IF($V920,IF($M920="","",$M920),IF($K920="","",$K920))</f>
        <v/>
      </c>
      <c r="AC920">
        <f>IF($V920,IF($N920="","",$N920),IF($L920="","",$L920))</f>
        <v/>
      </c>
      <c r="AD920">
        <f>$Y920</f>
        <v/>
      </c>
      <c r="AE920">
        <f>IF($V920,IF($S920="","",$S920),IF($R920="","",$R920))</f>
        <v/>
      </c>
      <c r="AF920">
        <f>IF($V920,IF($U920="","",$U920),IF($T920="","",$T920))</f>
        <v/>
      </c>
      <c r="AG920">
        <f>IF($V920,IF($O920="","",$O920),IF($P920="","",$P920))</f>
        <v/>
      </c>
      <c r="AH920" t="n">
        <v>0.03415494612532452</v>
      </c>
      <c r="AI920">
        <f>IF($Y920="worse","Yes",IF($Y920="worse, not significant","Not sure",IF(OR($Y920="too few losses to test",$Y920="too few loans to test"),"Too few losses",IF($Y920="","","No"))))</f>
        <v/>
      </c>
      <c r="AJ920">
        <f>IF($AA920="yes","Yes",IF($AA920="","","No"))</f>
        <v/>
      </c>
    </row>
    <row r="921">
      <c r="A921" t="inlineStr">
        <is>
          <t>three-way</t>
        </is>
      </c>
      <c r="B921" t="inlineStr">
        <is>
          <t>ORIG_BAL x CHANNEL / SYS_FLAG</t>
        </is>
      </c>
      <c r="C921" t="inlineStr">
        <is>
          <t>37,951 - 49,151</t>
        </is>
      </c>
      <c r="D921" t="inlineStr">
        <is>
          <t>Online / SYS_FLAG N</t>
        </is>
      </c>
      <c r="E921" t="inlineStr">
        <is>
          <t>gco_rate</t>
        </is>
      </c>
      <c r="F921" t="inlineStr">
        <is>
          <t>GCO per booked dollar</t>
        </is>
      </c>
      <c r="G921" t="n">
        <v>289</v>
      </c>
      <c r="H921" t="n">
        <v>12588326.39999999</v>
      </c>
      <c r="I921" t="b">
        <v>0</v>
      </c>
      <c r="J921" t="b">
        <v>0</v>
      </c>
      <c r="K921" t="n">
        <v>0.478099444075596</v>
      </c>
      <c r="L921" t="n">
        <v>0.1937406259374063</v>
      </c>
      <c r="M921" t="n">
        <v>0.3881987368463066</v>
      </c>
      <c r="N921" t="n">
        <v>0.0363963603639636</v>
      </c>
      <c r="O921" t="n">
        <v>-280482.0965411899</v>
      </c>
      <c r="P921" t="n">
        <v>-404941.1162248698</v>
      </c>
      <c r="Q921">
        <f>'_live'!$C$22</f>
        <v/>
      </c>
      <c r="R921" t="inlineStr">
        <is>
          <t>shuffled: 280 of 10,000</t>
        </is>
      </c>
      <c r="S921" t="inlineStr">
        <is>
          <t>shuffled: 22 of 10,000</t>
        </is>
      </c>
      <c r="T921" t="n">
        <v>0.04269228406257327</v>
      </c>
      <c r="U921" t="n">
        <v>0.05257914397777852</v>
      </c>
      <c r="V921">
        <f>AND(judged_band,NOT($J921))</f>
        <v/>
      </c>
      <c r="W921">
        <f>IF($K921="","",IF($I921,"too few losses to test",IF(AND($K921&gt;better_at,$K921&lt;worse_at),"in line",IF($K921&gt;=worse_at,IF(AND(ISNUMBER($L921),$L921&lt;significance_bar),"worse","worse, not significant"),IF(AND(ISNUMBER($L921),$L921&lt;significance_bar),"better","better, not significant")))))</f>
        <v/>
      </c>
      <c r="X921">
        <f>IF($M921="","",IF($I921,"too few losses to test",IF(AND($M921&gt;better_at,$M921&lt;worse_at),"in line",IF($M921&gt;=worse_at,IF(AND(ISNUMBER($N921),$N921&lt;significance_bar),"worse","worse, not significant"),IF(AND(ISNUMBER($N921),$N921&lt;significance_bar),"better","better, not significant")))))</f>
        <v/>
      </c>
      <c r="Y921">
        <f>IF($V921,$X921,$W921)</f>
        <v/>
      </c>
      <c r="Z921">
        <f>IF($V921,IF($P921="","",$P921),IF($O921="","",$O921))</f>
        <v/>
      </c>
      <c r="AA921">
        <f>IF(OR($Q921="",$Z921=""),"",IF(AND($Z921&gt;0,$Z921&gt;=$Q921),"yes","below the line"))</f>
        <v/>
      </c>
      <c r="AB921">
        <f>IF($V921,IF($M921="","",$M921),IF($K921="","",$K921))</f>
        <v/>
      </c>
      <c r="AC921">
        <f>IF($V921,IF($N921="","",$N921),IF($L921="","",$L921))</f>
        <v/>
      </c>
      <c r="AD921">
        <f>$Y921</f>
        <v/>
      </c>
      <c r="AE921">
        <f>IF($V921,IF($S921="","",$S921),IF($R921="","",$R921))</f>
        <v/>
      </c>
      <c r="AF921">
        <f>IF($V921,IF($U921="","",$U921),IF($T921="","",$T921))</f>
        <v/>
      </c>
      <c r="AG921">
        <f>IF($V921,IF($O921="","",$O921),IF($P921="","",$P921))</f>
        <v/>
      </c>
      <c r="AH921" t="n">
        <v>0.02041115727663371</v>
      </c>
      <c r="AI921">
        <f>IF($Y921="worse","Yes",IF($Y921="worse, not significant","Not sure",IF(OR($Y921="too few losses to test",$Y921="too few loans to test"),"Too few losses",IF($Y921="","","No"))))</f>
        <v/>
      </c>
      <c r="AJ921">
        <f>IF($AA921="yes","Yes",IF($AA921="","","No"))</f>
        <v/>
      </c>
    </row>
    <row r="922">
      <c r="A922" t="inlineStr">
        <is>
          <t>three-way</t>
        </is>
      </c>
      <c r="B922" t="inlineStr">
        <is>
          <t>ORIG_BAL x CHANNEL / SYS_FLAG</t>
        </is>
      </c>
      <c r="C922" t="inlineStr">
        <is>
          <t>37,951 - 49,151</t>
        </is>
      </c>
      <c r="D922" t="inlineStr">
        <is>
          <t>Online / SYS_FLAG N</t>
        </is>
      </c>
      <c r="E922" t="inlineStr">
        <is>
          <t>ranr_rate</t>
        </is>
      </c>
      <c r="F922" t="inlineStr">
        <is>
          <t>Profit after losses: RANR per booked dollar</t>
        </is>
      </c>
      <c r="G922" t="n">
        <v>289</v>
      </c>
      <c r="H922" t="n">
        <v>12588326.39999999</v>
      </c>
      <c r="I922" t="b">
        <v>0</v>
      </c>
      <c r="J922" t="b">
        <v>0</v>
      </c>
      <c r="K922" t="n">
        <v>0.04836952717208409</v>
      </c>
      <c r="L922" t="n">
        <v>0.005999400059994</v>
      </c>
      <c r="M922" t="n">
        <v>0.06293933503688498</v>
      </c>
      <c r="N922" t="n">
        <v>0.002999700029997001</v>
      </c>
      <c r="O922" t="n">
        <v>-608891.3958558629</v>
      </c>
      <c r="P922" t="n">
        <v>-792300.8928432635</v>
      </c>
      <c r="Q922">
        <f>'_live'!$C$23</f>
        <v/>
      </c>
      <c r="R922" t="inlineStr">
        <is>
          <t>shuffled: 1 of 10,000</t>
        </is>
      </c>
      <c r="S922" t="inlineStr">
        <is>
          <t>shuffled: 0 of 10,000</t>
        </is>
      </c>
      <c r="T922" t="n">
        <v>0.1256306314192915</v>
      </c>
      <c r="U922" t="n">
        <v>0.1110608235544907</v>
      </c>
      <c r="V922">
        <f>AND(judged_band,NOT($J922))</f>
        <v/>
      </c>
      <c r="W922">
        <f>IF($K922="","",IF(profit_kind="test",IF(OR(NOT(AND(ISNUMBER($L922),$L922&lt;significance_bar)),$K922=0),"in line",IF($K922&lt;0,"worse","better")),IF(OR($K922=0,IF(profit_kind="points",ABS($K922),ABS($K922*$H922))&lt;profit_line*(1-1E-9)),"in line",IF(AND(ISNUMBER($L922),$L922&lt;significance_bar),IF($K922&lt;0,"worse","better"),IF($K922&lt;0,"worse, not significant","better, not significant")))))</f>
        <v/>
      </c>
      <c r="X922">
        <f>IF($M922="","",IF(profit_kind="test",IF(OR(NOT(AND(ISNUMBER($N922),$N922&lt;significance_bar)),$M922=0),"in line",IF($M922&lt;0,"worse","better")),IF(OR($M922=0,IF(profit_kind="points",ABS($M922),ABS($M922*$H922))&lt;profit_line*(1-1E-9)),"in line",IF(AND(ISNUMBER($N922),$N922&lt;significance_bar),IF($M922&lt;0,"worse","better"),IF($M922&lt;0,"worse, not significant","better, not significant")))))</f>
        <v/>
      </c>
      <c r="Y922">
        <f>IF($V922,$X922,$W922)</f>
        <v/>
      </c>
      <c r="Z922">
        <f>IF($V922,IF($P922="","",$P922),IF($O922="","",$O922))</f>
        <v/>
      </c>
      <c r="AA922">
        <f>IF(OR($Q922="",$Z922=""),"",IF(AND($Z922&gt;0,$Z922&gt;=$Q922),"yes","below the line"))</f>
        <v/>
      </c>
      <c r="AB922">
        <f>IF($V922,IF($M922="","",$M922),IF($K922="","",$K922))</f>
        <v/>
      </c>
      <c r="AC922">
        <f>IF($V922,IF($N922="","",$N922),IF($L922="","",$L922))</f>
        <v/>
      </c>
      <c r="AD922">
        <f>IF($Y922="","",IF($Y922="in line",IF(profit_kind="test",IF(ROUND($AB922*100,2)=0,"0.00",TEXT($AB922*100,"+0.00;-0.00"))&amp;" points against "&amp;IF($V922,"its band","the book")&amp;", "&amp;IF($AC922="","not tested","not significant"),IF(profit_kind="points","within "&amp;TEXT(profit_line*100,"0.00")&amp;" points of "&amp;IF($V922,"its band","the book")&amp;" ("&amp;IF(ROUND($AB922*100,2)=0,"0.00",TEXT($AB922*100,"+0.00;-0.00"))&amp;")","within $"&amp;TEXT(profit_line,"#,##0")&amp;" of "&amp;IF($V922,"its band","the book")&amp;" ("&amp;IF(ROUND($AB922*100,2)=0,"0.00",TEXT($AB922*100,"+0.00;-0.00"))&amp;" points)")),IF(LEFT($Y922,5)="worse","short of ","ahead of ")&amp;IF($V922,"its band","the book")&amp;" by "&amp;TEXT(ABS($AB922)*100,"0.00")&amp;" points"&amp;IF($Z922="",""," ($"&amp;TEXT(ABS($Z922),"#,##0")&amp;")")&amp;IF(RIGHT($Y922,15)="not significant"," (not significant)","")))</f>
        <v/>
      </c>
      <c r="AE922">
        <f>IF($V922,IF($S922="","",$S922),IF($R922="","",$R922))</f>
        <v/>
      </c>
      <c r="AF922">
        <f>IF($V922,IF($U922="","",$U922),IF($T922="","",$T922))</f>
        <v/>
      </c>
      <c r="AG922">
        <f>IF($V922,IF($O922="","",$O922),IF($P922="","",$P922))</f>
        <v/>
      </c>
      <c r="AH922" t="n">
        <v>0.1740001585913756</v>
      </c>
      <c r="AI922">
        <f>IF($Y922="worse","Yes",IF($Y922="worse, not significant","Not sure",IF(OR($Y922="too few losses to test",$Y922="too few loans to test"),"Too few losses",IF($Y922="","","No"))))</f>
        <v/>
      </c>
      <c r="AJ922">
        <f>IF($AA922="yes","Yes",IF($AA922="","","No"))</f>
        <v/>
      </c>
    </row>
    <row r="923">
      <c r="A923" t="inlineStr">
        <is>
          <t>three-way</t>
        </is>
      </c>
      <c r="B923" t="inlineStr">
        <is>
          <t>ORIG_BAL x CHANNEL / SYS_FLAG</t>
        </is>
      </c>
      <c r="C923" t="inlineStr">
        <is>
          <t>37,951 - 49,151</t>
        </is>
      </c>
      <c r="D923" t="inlineStr">
        <is>
          <t>Online / SYS_FLAG N</t>
        </is>
      </c>
      <c r="E923" t="inlineStr">
        <is>
          <t>contribution_rate</t>
        </is>
      </c>
      <c r="F923" t="inlineStr">
        <is>
          <t>Contribution before losses per booked dollar</t>
        </is>
      </c>
      <c r="G923" t="n">
        <v>289</v>
      </c>
      <c r="H923" t="n">
        <v>12588326.39999999</v>
      </c>
      <c r="I923" t="b">
        <v>0</v>
      </c>
      <c r="J923" t="b">
        <v>0</v>
      </c>
      <c r="K923" t="n">
        <v>0.02609178776606424</v>
      </c>
      <c r="L923" t="n">
        <v>0.007999200079992002</v>
      </c>
      <c r="M923" t="n">
        <v>0.03079604779701575</v>
      </c>
      <c r="N923" t="n">
        <v>0.002999700029997001</v>
      </c>
      <c r="O923" t="n">
        <v>-328451.9407587433</v>
      </c>
      <c r="P923" t="n">
        <v>-387670.7014988349</v>
      </c>
      <c r="Q923">
        <f>'_live'!$C$24</f>
        <v/>
      </c>
      <c r="R923" t="inlineStr">
        <is>
          <t>shuffled: 5 of 10,000</t>
        </is>
      </c>
      <c r="S923" t="inlineStr">
        <is>
          <t>shuffled: 0 of 10,000</t>
        </is>
      </c>
      <c r="T923" t="n">
        <v>0.1683195281019453</v>
      </c>
      <c r="U923" t="n">
        <v>0.1636152680709938</v>
      </c>
      <c r="V923">
        <f>AND(judged_band,NOT($J923))</f>
        <v/>
      </c>
      <c r="W923">
        <f>IF($K923="","",IF(profit_kind="test",IF(OR(NOT(AND(ISNUMBER($L923),$L923&lt;significance_bar)),$K923=0),"in line",IF($K923&lt;0,"worse","better")),IF(OR($K923=0,IF(profit_kind="points",ABS($K923),ABS($K923*$H923))&lt;profit_line*(1-1E-9)),"in line",IF(AND(ISNUMBER($L923),$L923&lt;significance_bar),IF($K923&lt;0,"worse","better"),IF($K923&lt;0,"worse, not significant","better, not significant")))))</f>
        <v/>
      </c>
      <c r="X923">
        <f>IF($M923="","",IF(profit_kind="test",IF(OR(NOT(AND(ISNUMBER($N923),$N923&lt;significance_bar)),$M923=0),"in line",IF($M923&lt;0,"worse","better")),IF(OR($M923=0,IF(profit_kind="points",ABS($M923),ABS($M923*$H923))&lt;profit_line*(1-1E-9)),"in line",IF(AND(ISNUMBER($N923),$N923&lt;significance_bar),IF($M923&lt;0,"worse","better"),IF($M923&lt;0,"worse, not significant","better, not significant")))))</f>
        <v/>
      </c>
      <c r="Y923">
        <f>IF($V923,$X923,$W923)</f>
        <v/>
      </c>
      <c r="Z923">
        <f>IF($V923,IF($P923="","",$P923),IF($O923="","",$O923))</f>
        <v/>
      </c>
      <c r="AA923">
        <f>IF(OR($Q923="",$Z923=""),"",IF(AND($Z923&gt;0,$Z923&gt;=$Q923),"yes","below the line"))</f>
        <v/>
      </c>
      <c r="AB923">
        <f>IF($V923,IF($M923="","",$M923),IF($K923="","",$K923))</f>
        <v/>
      </c>
      <c r="AC923">
        <f>IF($V923,IF($N923="","",$N923),IF($L923="","",$L923))</f>
        <v/>
      </c>
      <c r="AD923">
        <f>IF($Y923="","",IF($Y923="in line",IF(profit_kind="test",IF(ROUND($AB923*100,2)=0,"0.00",TEXT($AB923*100,"+0.00;-0.00"))&amp;" points against "&amp;IF($V923,"its band","the book")&amp;", "&amp;IF($AC923="","not tested","not significant"),IF(profit_kind="points","within "&amp;TEXT(profit_line*100,"0.00")&amp;" points of "&amp;IF($V923,"its band","the book")&amp;" ("&amp;IF(ROUND($AB923*100,2)=0,"0.00",TEXT($AB923*100,"+0.00;-0.00"))&amp;")","within $"&amp;TEXT(profit_line,"#,##0")&amp;" of "&amp;IF($V923,"its band","the book")&amp;" ("&amp;IF(ROUND($AB923*100,2)=0,"0.00",TEXT($AB923*100,"+0.00;-0.00"))&amp;" points)")),IF(LEFT($Y923,5)="worse","short of ","ahead of ")&amp;IF($V923,"its band","the book")&amp;" by "&amp;TEXT(ABS($AB923)*100,"0.00")&amp;" points"&amp;IF($Z923="",""," ($"&amp;TEXT(ABS($Z923),"#,##0")&amp;")")&amp;IF(RIGHT($Y923,15)="not significant"," (not significant)","")))</f>
        <v/>
      </c>
      <c r="AE923">
        <f>IF($V923,IF($S923="","",$S923),IF($R923="","",$R923))</f>
        <v/>
      </c>
      <c r="AF923">
        <f>IF($V923,IF($U923="","",$U923),IF($T923="","",$T923))</f>
        <v/>
      </c>
      <c r="AG923">
        <f>IF($V923,IF($O923="","",$O923),IF($P923="","",$P923))</f>
        <v/>
      </c>
      <c r="AH923" t="n">
        <v>0.1944113158680096</v>
      </c>
      <c r="AI923">
        <f>IF($Y923="worse","Yes",IF($Y923="worse, not significant","Not sure",IF(OR($Y923="too few losses to test",$Y923="too few loans to test"),"Too few losses",IF($Y923="","","No"))))</f>
        <v/>
      </c>
      <c r="AJ923">
        <f>IF($AA923="yes","Yes",IF($AA923="","","No"))</f>
        <v/>
      </c>
    </row>
    <row r="924">
      <c r="A924" t="inlineStr">
        <is>
          <t>three-way</t>
        </is>
      </c>
      <c r="B924" t="inlineStr">
        <is>
          <t>ORIG_BAL x CHANNEL / SYS_FLAG</t>
        </is>
      </c>
      <c r="C924" t="inlineStr">
        <is>
          <t>49,152 - 59,984</t>
        </is>
      </c>
      <c r="D924" t="inlineStr">
        <is>
          <t>Branch / SYS_FLAG Y</t>
        </is>
      </c>
      <c r="E924" t="inlineStr">
        <is>
          <t>outcome_loans</t>
        </is>
      </c>
      <c r="F924" t="inlineStr">
        <is>
          <t>Outcome, share of loans</t>
        </is>
      </c>
      <c r="G924" t="n">
        <v>226</v>
      </c>
      <c r="H924" t="n">
        <v>226</v>
      </c>
      <c r="I924" t="b">
        <v>0</v>
      </c>
      <c r="J924" t="b">
        <v>0</v>
      </c>
      <c r="K924" t="n">
        <v>1.030097330408022</v>
      </c>
      <c r="L924" t="n">
        <v>0.8973066416828898</v>
      </c>
      <c r="M924" t="n">
        <v>1.287454450806871</v>
      </c>
      <c r="N924" t="n">
        <v>0.4609168668610952</v>
      </c>
      <c r="O924" t="n">
        <v>0.5259230670268877</v>
      </c>
      <c r="P924" t="n">
        <v>4.018922852983987</v>
      </c>
      <c r="Q924">
        <f>'_live'!$C$20</f>
        <v/>
      </c>
      <c r="R924" t="inlineStr">
        <is>
          <t>z test</t>
        </is>
      </c>
      <c r="S924" t="inlineStr">
        <is>
          <t>z test</t>
        </is>
      </c>
      <c r="T924" t="n">
        <v>0.07731892448218192</v>
      </c>
      <c r="U924" t="n">
        <v>0.06186317321688501</v>
      </c>
      <c r="V924">
        <f>AND(judged_band,NOT($J924))</f>
        <v/>
      </c>
      <c r="W924">
        <f>IF($K924="","",IF($I924,"too few losses to test",IF(AND($K924&gt;better_at,$K924&lt;worse_at),"in line",IF($K924&gt;=worse_at,IF(AND(ISNUMBER($L924),$L924&lt;significance_bar),"worse","worse, not significant"),IF(AND(ISNUMBER($L924),$L924&lt;significance_bar),"better","better, not significant")))))</f>
        <v/>
      </c>
      <c r="X924">
        <f>IF($M924="","",IF($I924,"too few losses to test",IF(AND($M924&gt;better_at,$M924&lt;worse_at),"in line",IF($M924&gt;=worse_at,IF(AND(ISNUMBER($N924),$N924&lt;significance_bar),"worse","worse, not significant"),IF(AND(ISNUMBER($N924),$N924&lt;significance_bar),"better","better, not significant")))))</f>
        <v/>
      </c>
      <c r="Y924">
        <f>IF($V924,$X924,$W924)</f>
        <v/>
      </c>
      <c r="Z924">
        <f>IF($V924,IF($P924="","",$P924),IF($O924="","",$O924))</f>
        <v/>
      </c>
      <c r="AA924">
        <f>IF(OR($Q924="",$Z924=""),"",IF(AND($Z924&gt;0,$Z924&gt;=$Q924),"yes","below the line"))</f>
        <v/>
      </c>
      <c r="AB924">
        <f>IF($V924,IF($M924="","",$M924),IF($K924="","",$K924))</f>
        <v/>
      </c>
      <c r="AC924">
        <f>IF($V924,IF($N924="","",$N924),IF($L924="","",$L924))</f>
        <v/>
      </c>
      <c r="AD924">
        <f>$Y924</f>
        <v/>
      </c>
      <c r="AE924">
        <f>IF($V924,IF($S924="","",$S924),IF($R924="","",$R924))</f>
        <v/>
      </c>
      <c r="AF924">
        <f>IF($V924,IF($U924="","",$U924),IF($T924="","",$T924))</f>
        <v/>
      </c>
      <c r="AG924">
        <f>IF($V924,IF($O924="","",$O924),IF($P924="","",$P924))</f>
        <v/>
      </c>
      <c r="AH924" t="n">
        <v>0.07964601769911504</v>
      </c>
      <c r="AI924">
        <f>IF($Y924="worse","Yes",IF($Y924="worse, not significant","Not sure",IF(OR($Y924="too few losses to test",$Y924="too few loans to test"),"Too few losses",IF($Y924="","","No"))))</f>
        <v/>
      </c>
      <c r="AJ924">
        <f>IF($AA924="yes","Yes",IF($AA924="","","No"))</f>
        <v/>
      </c>
    </row>
    <row r="925">
      <c r="A925" t="inlineStr">
        <is>
          <t>three-way</t>
        </is>
      </c>
      <c r="B925" t="inlineStr">
        <is>
          <t>ORIG_BAL x CHANNEL / SYS_FLAG</t>
        </is>
      </c>
      <c r="C925" t="inlineStr">
        <is>
          <t>49,152 - 59,984</t>
        </is>
      </c>
      <c r="D925" t="inlineStr">
        <is>
          <t>Branch / SYS_FLAG Y</t>
        </is>
      </c>
      <c r="E925" t="inlineStr">
        <is>
          <t>outcome_booked</t>
        </is>
      </c>
      <c r="F925" t="inlineStr">
        <is>
          <t>Outcome, share of booked dollars</t>
        </is>
      </c>
      <c r="G925" t="n">
        <v>226</v>
      </c>
      <c r="H925" t="n">
        <v>12309271.32</v>
      </c>
      <c r="I925" t="b">
        <v>0</v>
      </c>
      <c r="J925" t="b">
        <v>0</v>
      </c>
      <c r="K925" t="n">
        <v>1.080928400241068</v>
      </c>
      <c r="L925" t="n">
        <v>0.8386716883867168</v>
      </c>
      <c r="M925" t="n">
        <v>1.296674616775764</v>
      </c>
      <c r="N925" t="n">
        <v>0.4684864846848649</v>
      </c>
      <c r="O925" t="n">
        <v>74255.57185984461</v>
      </c>
      <c r="P925" t="n">
        <v>226920.8490406007</v>
      </c>
      <c r="Q925">
        <f>'_live'!$C$21</f>
        <v/>
      </c>
      <c r="R925" t="inlineStr">
        <is>
          <t>shuffled: 7,640 of 10,000</t>
        </is>
      </c>
      <c r="S925" t="inlineStr">
        <is>
          <t>shuffled: 3,011 of 10,000</t>
        </is>
      </c>
      <c r="T925" t="n">
        <v>0.0745410913682058</v>
      </c>
      <c r="U925" t="n">
        <v>0.06213862876810803</v>
      </c>
      <c r="V925">
        <f>AND(judged_band,NOT($J925))</f>
        <v/>
      </c>
      <c r="W925">
        <f>IF($K925="","",IF($I925,"too few losses to test",IF(AND($K925&gt;better_at,$K925&lt;worse_at),"in line",IF($K925&gt;=worse_at,IF(AND(ISNUMBER($L925),$L925&lt;significance_bar),"worse","worse, not significant"),IF(AND(ISNUMBER($L925),$L925&lt;significance_bar),"better","better, not significant")))))</f>
        <v/>
      </c>
      <c r="X925">
        <f>IF($M925="","",IF($I925,"too few losses to test",IF(AND($M925&gt;better_at,$M925&lt;worse_at),"in line",IF($M925&gt;=worse_at,IF(AND(ISNUMBER($N925),$N925&lt;significance_bar),"worse","worse, not significant"),IF(AND(ISNUMBER($N925),$N925&lt;significance_bar),"better","better, not significant")))))</f>
        <v/>
      </c>
      <c r="Y925">
        <f>IF($V925,$X925,$W925)</f>
        <v/>
      </c>
      <c r="Z925">
        <f>IF($V925,IF($P925="","",$P925),IF($O925="","",$O925))</f>
        <v/>
      </c>
      <c r="AA925">
        <f>IF(OR($Q925="",$Z925=""),"",IF(AND($Z925&gt;0,$Z925&gt;=$Q925),"yes","below the line"))</f>
        <v/>
      </c>
      <c r="AB925">
        <f>IF($V925,IF($M925="","",$M925),IF($K925="","",$K925))</f>
        <v/>
      </c>
      <c r="AC925">
        <f>IF($V925,IF($N925="","",$N925),IF($L925="","",$L925))</f>
        <v/>
      </c>
      <c r="AD925">
        <f>$Y925</f>
        <v/>
      </c>
      <c r="AE925">
        <f>IF($V925,IF($S925="","",$S925),IF($R925="","",$R925))</f>
        <v/>
      </c>
      <c r="AF925">
        <f>IF($V925,IF($U925="","",$U925),IF($T925="","",$T925))</f>
        <v/>
      </c>
      <c r="AG925">
        <f>IF($V925,IF($O925="","",$O925),IF($P925="","",$P925))</f>
        <v/>
      </c>
      <c r="AH925" t="n">
        <v>0.08057358264485796</v>
      </c>
      <c r="AI925">
        <f>IF($Y925="worse","Yes",IF($Y925="worse, not significant","Not sure",IF(OR($Y925="too few losses to test",$Y925="too few loans to test"),"Too few losses",IF($Y925="","","No"))))</f>
        <v/>
      </c>
      <c r="AJ925">
        <f>IF($AA925="yes","Yes",IF($AA925="","","No"))</f>
        <v/>
      </c>
    </row>
    <row r="926">
      <c r="A926" t="inlineStr">
        <is>
          <t>three-way</t>
        </is>
      </c>
      <c r="B926" t="inlineStr">
        <is>
          <t>ORIG_BAL x CHANNEL / SYS_FLAG</t>
        </is>
      </c>
      <c r="C926" t="inlineStr">
        <is>
          <t>49,152 - 59,984</t>
        </is>
      </c>
      <c r="D926" t="inlineStr">
        <is>
          <t>Branch / SYS_FLAG Y</t>
        </is>
      </c>
      <c r="E926" t="inlineStr">
        <is>
          <t>gco_rate</t>
        </is>
      </c>
      <c r="F926" t="inlineStr">
        <is>
          <t>GCO per booked dollar</t>
        </is>
      </c>
      <c r="G926" t="n">
        <v>226</v>
      </c>
      <c r="H926" t="n">
        <v>12309271.32</v>
      </c>
      <c r="I926" t="b">
        <v>0</v>
      </c>
      <c r="J926" t="b">
        <v>0</v>
      </c>
      <c r="K926" t="n">
        <v>0.9748698860497808</v>
      </c>
      <c r="L926" t="n">
        <v>0.9822017798220178</v>
      </c>
      <c r="M926" t="n">
        <v>1.16946932008331</v>
      </c>
      <c r="N926" t="n">
        <v>0.7616571676165717</v>
      </c>
      <c r="O926" t="n">
        <v>-12885.34518236009</v>
      </c>
      <c r="P926" t="n">
        <v>72435.34093772597</v>
      </c>
      <c r="Q926">
        <f>'_live'!$C$22</f>
        <v/>
      </c>
      <c r="R926" t="inlineStr">
        <is>
          <t>shuffled: 9,271 of 10,000</t>
        </is>
      </c>
      <c r="S926" t="inlineStr">
        <is>
          <t>shuffled: 5,712 of 10,000</t>
        </is>
      </c>
      <c r="T926" t="n">
        <v>0.0416552029647162</v>
      </c>
      <c r="U926" t="n">
        <v>0.03472378648180403</v>
      </c>
      <c r="V926">
        <f>AND(judged_band,NOT($J926))</f>
        <v/>
      </c>
      <c r="W926">
        <f>IF($K926="","",IF($I926,"too few losses to test",IF(AND($K926&gt;better_at,$K926&lt;worse_at),"in line",IF($K926&gt;=worse_at,IF(AND(ISNUMBER($L926),$L926&lt;significance_bar),"worse","worse, not significant"),IF(AND(ISNUMBER($L926),$L926&lt;significance_bar),"better","better, not significant")))))</f>
        <v/>
      </c>
      <c r="X926">
        <f>IF($M926="","",IF($I926,"too few losses to test",IF(AND($M926&gt;better_at,$M926&lt;worse_at),"in line",IF($M926&gt;=worse_at,IF(AND(ISNUMBER($N926),$N926&lt;significance_bar),"worse","worse, not significant"),IF(AND(ISNUMBER($N926),$N926&lt;significance_bar),"better","better, not significant")))))</f>
        <v/>
      </c>
      <c r="Y926">
        <f>IF($V926,$X926,$W926)</f>
        <v/>
      </c>
      <c r="Z926">
        <f>IF($V926,IF($P926="","",$P926),IF($O926="","",$O926))</f>
        <v/>
      </c>
      <c r="AA926">
        <f>IF(OR($Q926="",$Z926=""),"",IF(AND($Z926&gt;0,$Z926&gt;=$Q926),"yes","below the line"))</f>
        <v/>
      </c>
      <c r="AB926">
        <f>IF($V926,IF($M926="","",$M926),IF($K926="","",$K926))</f>
        <v/>
      </c>
      <c r="AC926">
        <f>IF($V926,IF($N926="","",$N926),IF($L926="","",$L926))</f>
        <v/>
      </c>
      <c r="AD926">
        <f>$Y926</f>
        <v/>
      </c>
      <c r="AE926">
        <f>IF($V926,IF($S926="","",$S926),IF($R926="","",$R926))</f>
        <v/>
      </c>
      <c r="AF926">
        <f>IF($V926,IF($U926="","",$U926),IF($T926="","",$T926))</f>
        <v/>
      </c>
      <c r="AG926">
        <f>IF($V926,IF($O926="","",$O926),IF($P926="","",$P926))</f>
        <v/>
      </c>
      <c r="AH926" t="n">
        <v>0.04060840296759337</v>
      </c>
      <c r="AI926">
        <f>IF($Y926="worse","Yes",IF($Y926="worse, not significant","Not sure",IF(OR($Y926="too few losses to test",$Y926="too few loans to test"),"Too few losses",IF($Y926="","","No"))))</f>
        <v/>
      </c>
      <c r="AJ926">
        <f>IF($AA926="yes","Yes",IF($AA926="","","No"))</f>
        <v/>
      </c>
    </row>
    <row r="927">
      <c r="A927" t="inlineStr">
        <is>
          <t>three-way</t>
        </is>
      </c>
      <c r="B927" t="inlineStr">
        <is>
          <t>ORIG_BAL x CHANNEL / SYS_FLAG</t>
        </is>
      </c>
      <c r="C927" t="inlineStr">
        <is>
          <t>49,152 - 59,984</t>
        </is>
      </c>
      <c r="D927" t="inlineStr">
        <is>
          <t>Branch / SYS_FLAG Y</t>
        </is>
      </c>
      <c r="E927" t="inlineStr">
        <is>
          <t>ranr_rate</t>
        </is>
      </c>
      <c r="F927" t="inlineStr">
        <is>
          <t>Profit after losses: RANR per booked dollar</t>
        </is>
      </c>
      <c r="G927" t="n">
        <v>226</v>
      </c>
      <c r="H927" t="n">
        <v>12309271.32</v>
      </c>
      <c r="I927" t="b">
        <v>0</v>
      </c>
      <c r="J927" t="b">
        <v>0</v>
      </c>
      <c r="K927" t="n">
        <v>-0.006227398014643476</v>
      </c>
      <c r="L927" t="n">
        <v>0.7475021728596372</v>
      </c>
      <c r="M927" t="n">
        <v>-0.009735753696358762</v>
      </c>
      <c r="N927" t="n">
        <v>0.5182281771822818</v>
      </c>
      <c r="O927" t="n">
        <v>76654.73177987593</v>
      </c>
      <c r="P927" t="n">
        <v>119840.033753173</v>
      </c>
      <c r="Q927">
        <f>'_live'!$C$23</f>
        <v/>
      </c>
      <c r="R927" t="inlineStr">
        <is>
          <t>shuffled: 6,478 of 10,000</t>
        </is>
      </c>
      <c r="S927" t="inlineStr">
        <is>
          <t>shuffled: 4,244 of 10,000</t>
        </is>
      </c>
      <c r="T927" t="n">
        <v>0.1282870822104745</v>
      </c>
      <c r="U927" t="n">
        <v>0.1317954378921898</v>
      </c>
      <c r="V927">
        <f>AND(judged_band,NOT($J927))</f>
        <v/>
      </c>
      <c r="W927">
        <f>IF($K927="","",IF(profit_kind="test",IF(OR(NOT(AND(ISNUMBER($L927),$L927&lt;significance_bar)),$K927=0),"in line",IF($K927&lt;0,"worse","better")),IF(OR($K927=0,IF(profit_kind="points",ABS($K927),ABS($K927*$H927))&lt;profit_line*(1-1E-9)),"in line",IF(AND(ISNUMBER($L927),$L927&lt;significance_bar),IF($K927&lt;0,"worse","better"),IF($K927&lt;0,"worse, not significant","better, not significant")))))</f>
        <v/>
      </c>
      <c r="X927">
        <f>IF($M927="","",IF(profit_kind="test",IF(OR(NOT(AND(ISNUMBER($N927),$N927&lt;significance_bar)),$M927=0),"in line",IF($M927&lt;0,"worse","better")),IF(OR($M927=0,IF(profit_kind="points",ABS($M927),ABS($M927*$H927))&lt;profit_line*(1-1E-9)),"in line",IF(AND(ISNUMBER($N927),$N927&lt;significance_bar),IF($M927&lt;0,"worse","better"),IF($M927&lt;0,"worse, not significant","better, not significant")))))</f>
        <v/>
      </c>
      <c r="Y927">
        <f>IF($V927,$X927,$W927)</f>
        <v/>
      </c>
      <c r="Z927">
        <f>IF($V927,IF($P927="","",$P927),IF($O927="","",$O927))</f>
        <v/>
      </c>
      <c r="AA927">
        <f>IF(OR($Q927="",$Z927=""),"",IF(AND($Z927&gt;0,$Z927&gt;=$Q927),"yes","below the line"))</f>
        <v/>
      </c>
      <c r="AB927">
        <f>IF($V927,IF($M927="","",$M927),IF($K927="","",$K927))</f>
        <v/>
      </c>
      <c r="AC927">
        <f>IF($V927,IF($N927="","",$N927),IF($L927="","",$L927))</f>
        <v/>
      </c>
      <c r="AD927">
        <f>IF($Y927="","",IF($Y927="in line",IF(profit_kind="test",IF(ROUND($AB927*100,2)=0,"0.00",TEXT($AB927*100,"+0.00;-0.00"))&amp;" points against "&amp;IF($V927,"its band","the book")&amp;", "&amp;IF($AC927="","not tested","not significant"),IF(profit_kind="points","within "&amp;TEXT(profit_line*100,"0.00")&amp;" points of "&amp;IF($V927,"its band","the book")&amp;" ("&amp;IF(ROUND($AB927*100,2)=0,"0.00",TEXT($AB927*100,"+0.00;-0.00"))&amp;")","within $"&amp;TEXT(profit_line,"#,##0")&amp;" of "&amp;IF($V927,"its band","the book")&amp;" ("&amp;IF(ROUND($AB927*100,2)=0,"0.00",TEXT($AB927*100,"+0.00;-0.00"))&amp;" points)")),IF(LEFT($Y927,5)="worse","short of ","ahead of ")&amp;IF($V927,"its band","the book")&amp;" by "&amp;TEXT(ABS($AB927)*100,"0.00")&amp;" points"&amp;IF($Z927="",""," ($"&amp;TEXT(ABS($Z927),"#,##0")&amp;")")&amp;IF(RIGHT($Y927,15)="not significant"," (not significant)","")))</f>
        <v/>
      </c>
      <c r="AE927">
        <f>IF($V927,IF($S927="","",$S927),IF($R927="","",$R927))</f>
        <v/>
      </c>
      <c r="AF927">
        <f>IF($V927,IF($U927="","",$U927),IF($T927="","",$T927))</f>
        <v/>
      </c>
      <c r="AG927">
        <f>IF($V927,IF($O927="","",$O927),IF($P927="","",$P927))</f>
        <v/>
      </c>
      <c r="AH927" t="n">
        <v>0.122059684195831</v>
      </c>
      <c r="AI927">
        <f>IF($Y927="worse","Yes",IF($Y927="worse, not significant","Not sure",IF(OR($Y927="too few losses to test",$Y927="too few loans to test"),"Too few losses",IF($Y927="","","No"))))</f>
        <v/>
      </c>
      <c r="AJ927">
        <f>IF($AA927="yes","Yes",IF($AA927="","","No"))</f>
        <v/>
      </c>
    </row>
    <row r="928">
      <c r="A928" t="inlineStr">
        <is>
          <t>three-way</t>
        </is>
      </c>
      <c r="B928" t="inlineStr">
        <is>
          <t>ORIG_BAL x CHANNEL / SYS_FLAG</t>
        </is>
      </c>
      <c r="C928" t="inlineStr">
        <is>
          <t>49,152 - 59,984</t>
        </is>
      </c>
      <c r="D928" t="inlineStr">
        <is>
          <t>Branch / SYS_FLAG Y</t>
        </is>
      </c>
      <c r="E928" t="inlineStr">
        <is>
          <t>contribution_rate</t>
        </is>
      </c>
      <c r="F928" t="inlineStr">
        <is>
          <t>Contribution before losses per booked dollar</t>
        </is>
      </c>
      <c r="G928" t="n">
        <v>226</v>
      </c>
      <c r="H928" t="n">
        <v>12309271.32</v>
      </c>
      <c r="I928" t="b">
        <v>0</v>
      </c>
      <c r="J928" t="b">
        <v>0</v>
      </c>
      <c r="K928" t="n">
        <v>-0.007271243503496283</v>
      </c>
      <c r="L928" t="n">
        <v>0.5619872795329163</v>
      </c>
      <c r="M928" t="n">
        <v>-0.003851137210569511</v>
      </c>
      <c r="N928" t="n">
        <v>0.6950733498078764</v>
      </c>
      <c r="O928" t="n">
        <v>89503.70911832293</v>
      </c>
      <c r="P928" t="n">
        <v>47404.69281544792</v>
      </c>
      <c r="Q928">
        <f>'_live'!$C$24</f>
        <v/>
      </c>
      <c r="R928" t="inlineStr">
        <is>
          <t>shuffled: 4,244 of 10,000</t>
        </is>
      </c>
      <c r="S928" t="inlineStr">
        <is>
          <t>shuffled: 6,487 of 10,000</t>
        </is>
      </c>
      <c r="T928" t="n">
        <v>0.1699393306669206</v>
      </c>
      <c r="U928" t="n">
        <v>0.1665192243739938</v>
      </c>
      <c r="V928">
        <f>AND(judged_band,NOT($J928))</f>
        <v/>
      </c>
      <c r="W928">
        <f>IF($K928="","",IF(profit_kind="test",IF(OR(NOT(AND(ISNUMBER($L928),$L928&lt;significance_bar)),$K928=0),"in line",IF($K928&lt;0,"worse","better")),IF(OR($K928=0,IF(profit_kind="points",ABS($K928),ABS($K928*$H928))&lt;profit_line*(1-1E-9)),"in line",IF(AND(ISNUMBER($L928),$L928&lt;significance_bar),IF($K928&lt;0,"worse","better"),IF($K928&lt;0,"worse, not significant","better, not significant")))))</f>
        <v/>
      </c>
      <c r="X928">
        <f>IF($M928="","",IF(profit_kind="test",IF(OR(NOT(AND(ISNUMBER($N928),$N928&lt;significance_bar)),$M928=0),"in line",IF($M928&lt;0,"worse","better")),IF(OR($M928=0,IF(profit_kind="points",ABS($M928),ABS($M928*$H928))&lt;profit_line*(1-1E-9)),"in line",IF(AND(ISNUMBER($N928),$N928&lt;significance_bar),IF($M928&lt;0,"worse","better"),IF($M928&lt;0,"worse, not significant","better, not significant")))))</f>
        <v/>
      </c>
      <c r="Y928">
        <f>IF($V928,$X928,$W928)</f>
        <v/>
      </c>
      <c r="Z928">
        <f>IF($V928,IF($P928="","",$P928),IF($O928="","",$O928))</f>
        <v/>
      </c>
      <c r="AA928">
        <f>IF(OR($Q928="",$Z928=""),"",IF(AND($Z928&gt;0,$Z928&gt;=$Q928),"yes","below the line"))</f>
        <v/>
      </c>
      <c r="AB928">
        <f>IF($V928,IF($M928="","",$M928),IF($K928="","",$K928))</f>
        <v/>
      </c>
      <c r="AC928">
        <f>IF($V928,IF($N928="","",$N928),IF($L928="","",$L928))</f>
        <v/>
      </c>
      <c r="AD928">
        <f>IF($Y928="","",IF($Y928="in line",IF(profit_kind="test",IF(ROUND($AB928*100,2)=0,"0.00",TEXT($AB928*100,"+0.00;-0.00"))&amp;" points against "&amp;IF($V928,"its band","the book")&amp;", "&amp;IF($AC928="","not tested","not significant"),IF(profit_kind="points","within "&amp;TEXT(profit_line*100,"0.00")&amp;" points of "&amp;IF($V928,"its band","the book")&amp;" ("&amp;IF(ROUND($AB928*100,2)=0,"0.00",TEXT($AB928*100,"+0.00;-0.00"))&amp;")","within $"&amp;TEXT(profit_line,"#,##0")&amp;" of "&amp;IF($V928,"its band","the book")&amp;" ("&amp;IF(ROUND($AB928*100,2)=0,"0.00",TEXT($AB928*100,"+0.00;-0.00"))&amp;" points)")),IF(LEFT($Y928,5)="worse","short of ","ahead of ")&amp;IF($V928,"its band","the book")&amp;" by "&amp;TEXT(ABS($AB928)*100,"0.00")&amp;" points"&amp;IF($Z928="",""," ($"&amp;TEXT(ABS($Z928),"#,##0")&amp;")")&amp;IF(RIGHT($Y928,15)="not significant"," (not significant)","")))</f>
        <v/>
      </c>
      <c r="AE928">
        <f>IF($V928,IF($S928="","",$S928),IF($R928="","",$R928))</f>
        <v/>
      </c>
      <c r="AF928">
        <f>IF($V928,IF($U928="","",$U928),IF($T928="","",$T928))</f>
        <v/>
      </c>
      <c r="AG928">
        <f>IF($V928,IF($O928="","",$O928),IF($P928="","",$P928))</f>
        <v/>
      </c>
      <c r="AH928" t="n">
        <v>0.1626680871634243</v>
      </c>
      <c r="AI928">
        <f>IF($Y928="worse","Yes",IF($Y928="worse, not significant","Not sure",IF(OR($Y928="too few losses to test",$Y928="too few loans to test"),"Too few losses",IF($Y928="","","No"))))</f>
        <v/>
      </c>
      <c r="AJ928">
        <f>IF($AA928="yes","Yes",IF($AA928="","","No"))</f>
        <v/>
      </c>
    </row>
    <row r="929">
      <c r="A929" t="inlineStr">
        <is>
          <t>three-way</t>
        </is>
      </c>
      <c r="B929" t="inlineStr">
        <is>
          <t>ORIG_BAL x CHANNEL / SYS_FLAG</t>
        </is>
      </c>
      <c r="C929" t="inlineStr">
        <is>
          <t>5,005 - 15,448</t>
        </is>
      </c>
      <c r="D929" t="inlineStr">
        <is>
          <t>Online / SYS_FLAG Y</t>
        </is>
      </c>
      <c r="E929" t="inlineStr">
        <is>
          <t>outcome_loans</t>
        </is>
      </c>
      <c r="F929" t="inlineStr">
        <is>
          <t>Outcome, share of loans</t>
        </is>
      </c>
      <c r="G929" t="n">
        <v>242</v>
      </c>
      <c r="H929" t="n">
        <v>242</v>
      </c>
      <c r="I929" t="b">
        <v>0</v>
      </c>
      <c r="J929" t="b">
        <v>0</v>
      </c>
      <c r="K929" t="n">
        <v>1.518619513081904</v>
      </c>
      <c r="L929" t="n">
        <v>0.1096164623838159</v>
      </c>
      <c r="M929" t="n">
        <v>1.653936494127882</v>
      </c>
      <c r="N929" t="n">
        <v>0.05540040846578676</v>
      </c>
      <c r="O929" t="n">
        <v>9.562201882170942</v>
      </c>
      <c r="P929" t="n">
        <v>11.07069219440353</v>
      </c>
      <c r="Q929">
        <f>'_live'!$C$20</f>
        <v/>
      </c>
      <c r="R929" t="inlineStr">
        <is>
          <t>z test</t>
        </is>
      </c>
      <c r="S929" t="inlineStr">
        <is>
          <t>z test</t>
        </is>
      </c>
      <c r="T929" t="n">
        <v>0.07618924842078123</v>
      </c>
      <c r="U929" t="n">
        <v>0.06995581737849779</v>
      </c>
      <c r="V929">
        <f>AND(judged_band,NOT($J929))</f>
        <v/>
      </c>
      <c r="W929">
        <f>IF($K929="","",IF($I929,"too few losses to test",IF(AND($K929&gt;better_at,$K929&lt;worse_at),"in line",IF($K929&gt;=worse_at,IF(AND(ISNUMBER($L929),$L929&lt;significance_bar),"worse","worse, not significant"),IF(AND(ISNUMBER($L929),$L929&lt;significance_bar),"better","better, not significant")))))</f>
        <v/>
      </c>
      <c r="X929">
        <f>IF($M929="","",IF($I929,"too few losses to test",IF(AND($M929&gt;better_at,$M929&lt;worse_at),"in line",IF($M929&gt;=worse_at,IF(AND(ISNUMBER($N929),$N929&lt;significance_bar),"worse","worse, not significant"),IF(AND(ISNUMBER($N929),$N929&lt;significance_bar),"better","better, not significant")))))</f>
        <v/>
      </c>
      <c r="Y929">
        <f>IF($V929,$X929,$W929)</f>
        <v/>
      </c>
      <c r="Z929">
        <f>IF($V929,IF($P929="","",$P929),IF($O929="","",$O929))</f>
        <v/>
      </c>
      <c r="AA929">
        <f>IF(OR($Q929="",$Z929=""),"",IF(AND($Z929&gt;0,$Z929&gt;=$Q929),"yes","below the line"))</f>
        <v/>
      </c>
      <c r="AB929">
        <f>IF($V929,IF($M929="","",$M929),IF($K929="","",$K929))</f>
        <v/>
      </c>
      <c r="AC929">
        <f>IF($V929,IF($N929="","",$N929),IF($L929="","",$L929))</f>
        <v/>
      </c>
      <c r="AD929">
        <f>$Y929</f>
        <v/>
      </c>
      <c r="AE929">
        <f>IF($V929,IF($S929="","",$S929),IF($R929="","",$R929))</f>
        <v/>
      </c>
      <c r="AF929">
        <f>IF($V929,IF($U929="","",$U929),IF($T929="","",$T929))</f>
        <v/>
      </c>
      <c r="AG929">
        <f>IF($V929,IF($O929="","",$O929),IF($P929="","",$P929))</f>
        <v/>
      </c>
      <c r="AH929" t="n">
        <v>0.115702479338843</v>
      </c>
      <c r="AI929">
        <f>IF($Y929="worse","Yes",IF($Y929="worse, not significant","Not sure",IF(OR($Y929="too few losses to test",$Y929="too few loans to test"),"Too few losses",IF($Y929="","","No"))))</f>
        <v/>
      </c>
      <c r="AJ929">
        <f>IF($AA929="yes","Yes",IF($AA929="","","No"))</f>
        <v/>
      </c>
    </row>
    <row r="930">
      <c r="A930" t="inlineStr">
        <is>
          <t>three-way</t>
        </is>
      </c>
      <c r="B930" t="inlineStr">
        <is>
          <t>ORIG_BAL x CHANNEL / SYS_FLAG</t>
        </is>
      </c>
      <c r="C930" t="inlineStr">
        <is>
          <t>5,005 - 15,448</t>
        </is>
      </c>
      <c r="D930" t="inlineStr">
        <is>
          <t>Online / SYS_FLAG Y</t>
        </is>
      </c>
      <c r="E930" t="inlineStr">
        <is>
          <t>outcome_booked</t>
        </is>
      </c>
      <c r="F930" t="inlineStr">
        <is>
          <t>Outcome, share of booked dollars</t>
        </is>
      </c>
      <c r="G930" t="n">
        <v>242</v>
      </c>
      <c r="H930" t="n">
        <v>2488817.56</v>
      </c>
      <c r="I930" t="b">
        <v>0</v>
      </c>
      <c r="J930" t="b">
        <v>0</v>
      </c>
      <c r="K930" t="n">
        <v>1.568446815039613</v>
      </c>
      <c r="L930" t="n">
        <v>0.1293470652934706</v>
      </c>
      <c r="M930" t="n">
        <v>1.713447224331679</v>
      </c>
      <c r="N930" t="n">
        <v>0.0517948205179482</v>
      </c>
      <c r="O930" t="n">
        <v>105287.6396806286</v>
      </c>
      <c r="P930" t="n">
        <v>120961.8636508496</v>
      </c>
      <c r="Q930">
        <f>'_live'!$C$21</f>
        <v/>
      </c>
      <c r="R930" t="inlineStr">
        <is>
          <t>shuffled: 230 of 10,000</t>
        </is>
      </c>
      <c r="S930" t="inlineStr">
        <is>
          <t>shuffled: 110 of 10,000</t>
        </is>
      </c>
      <c r="T930" t="n">
        <v>0.07442082669947546</v>
      </c>
      <c r="U930" t="n">
        <v>0.06812296693581286</v>
      </c>
      <c r="V930">
        <f>AND(judged_band,NOT($J930))</f>
        <v/>
      </c>
      <c r="W930">
        <f>IF($K930="","",IF($I930,"too few losses to test",IF(AND($K930&gt;better_at,$K930&lt;worse_at),"in line",IF($K930&gt;=worse_at,IF(AND(ISNUMBER($L930),$L930&lt;significance_bar),"worse","worse, not significant"),IF(AND(ISNUMBER($L930),$L930&lt;significance_bar),"better","better, not significant")))))</f>
        <v/>
      </c>
      <c r="X930">
        <f>IF($M930="","",IF($I930,"too few losses to test",IF(AND($M930&gt;better_at,$M930&lt;worse_at),"in line",IF($M930&gt;=worse_at,IF(AND(ISNUMBER($N930),$N930&lt;significance_bar),"worse","worse, not significant"),IF(AND(ISNUMBER($N930),$N930&lt;significance_bar),"better","better, not significant")))))</f>
        <v/>
      </c>
      <c r="Y930">
        <f>IF($V930,$X930,$W930)</f>
        <v/>
      </c>
      <c r="Z930">
        <f>IF($V930,IF($P930="","",$P930),IF($O930="","",$O930))</f>
        <v/>
      </c>
      <c r="AA930">
        <f>IF(OR($Q930="",$Z930=""),"",IF(AND($Z930&gt;0,$Z930&gt;=$Q930),"yes","below the line"))</f>
        <v/>
      </c>
      <c r="AB930">
        <f>IF($V930,IF($M930="","",$M930),IF($K930="","",$K930))</f>
        <v/>
      </c>
      <c r="AC930">
        <f>IF($V930,IF($N930="","",$N930),IF($L930="","",$L930))</f>
        <v/>
      </c>
      <c r="AD930">
        <f>$Y930</f>
        <v/>
      </c>
      <c r="AE930">
        <f>IF($V930,IF($S930="","",$S930),IF($R930="","",$R930))</f>
        <v/>
      </c>
      <c r="AF930">
        <f>IF($V930,IF($U930="","",$U930),IF($T930="","",$T930))</f>
        <v/>
      </c>
      <c r="AG930">
        <f>IF($V930,IF($O930="","",$O930),IF($P930="","",$P930))</f>
        <v/>
      </c>
      <c r="AH930" t="n">
        <v>0.1167251086094073</v>
      </c>
      <c r="AI930">
        <f>IF($Y930="worse","Yes",IF($Y930="worse, not significant","Not sure",IF(OR($Y930="too few losses to test",$Y930="too few loans to test"),"Too few losses",IF($Y930="","","No"))))</f>
        <v/>
      </c>
      <c r="AJ930">
        <f>IF($AA930="yes","Yes",IF($AA930="","","No"))</f>
        <v/>
      </c>
    </row>
    <row r="931">
      <c r="A931" t="inlineStr">
        <is>
          <t>three-way</t>
        </is>
      </c>
      <c r="B931" t="inlineStr">
        <is>
          <t>ORIG_BAL x CHANNEL / SYS_FLAG</t>
        </is>
      </c>
      <c r="C931" t="inlineStr">
        <is>
          <t>5,005 - 15,448</t>
        </is>
      </c>
      <c r="D931" t="inlineStr">
        <is>
          <t>Online / SYS_FLAG Y</t>
        </is>
      </c>
      <c r="E931" t="inlineStr">
        <is>
          <t>gco_rate</t>
        </is>
      </c>
      <c r="F931" t="inlineStr">
        <is>
          <t>GCO per booked dollar</t>
        </is>
      </c>
      <c r="G931" t="n">
        <v>242</v>
      </c>
      <c r="H931" t="n">
        <v>2488817.56</v>
      </c>
      <c r="I931" t="b">
        <v>0</v>
      </c>
      <c r="J931" t="b">
        <v>0</v>
      </c>
      <c r="K931" t="n">
        <v>1.54502448264849</v>
      </c>
      <c r="L931" t="n">
        <v>0.1937406259374063</v>
      </c>
      <c r="M931" t="n">
        <v>1.713675330573663</v>
      </c>
      <c r="N931" t="n">
        <v>0.0751258207512582</v>
      </c>
      <c r="O931" t="n">
        <v>56141.01344313526</v>
      </c>
      <c r="P931" t="n">
        <v>66278.35830514297</v>
      </c>
      <c r="Q931">
        <f>'_live'!$C$22</f>
        <v/>
      </c>
      <c r="R931" t="inlineStr">
        <is>
          <t>shuffled: 345 of 10,000</t>
        </is>
      </c>
      <c r="S931" t="inlineStr">
        <is>
          <t>shuffled: 160 of 10,000</t>
        </is>
      </c>
      <c r="T931" t="n">
        <v>0.04138768876127053</v>
      </c>
      <c r="U931" t="n">
        <v>0.03731453168261037</v>
      </c>
      <c r="V931">
        <f>AND(judged_band,NOT($J931))</f>
        <v/>
      </c>
      <c r="W931">
        <f>IF($K931="","",IF($I931,"too few losses to test",IF(AND($K931&gt;better_at,$K931&lt;worse_at),"in line",IF($K931&gt;=worse_at,IF(AND(ISNUMBER($L931),$L931&lt;significance_bar),"worse","worse, not significant"),IF(AND(ISNUMBER($L931),$L931&lt;significance_bar),"better","better, not significant")))))</f>
        <v/>
      </c>
      <c r="X931">
        <f>IF($M931="","",IF($I931,"too few losses to test",IF(AND($M931&gt;better_at,$M931&lt;worse_at),"in line",IF($M931&gt;=worse_at,IF(AND(ISNUMBER($N931),$N931&lt;significance_bar),"worse","worse, not significant"),IF(AND(ISNUMBER($N931),$N931&lt;significance_bar),"better","better, not significant")))))</f>
        <v/>
      </c>
      <c r="Y931">
        <f>IF($V931,$X931,$W931)</f>
        <v/>
      </c>
      <c r="Z931">
        <f>IF($V931,IF($P931="","",$P931),IF($O931="","",$O931))</f>
        <v/>
      </c>
      <c r="AA931">
        <f>IF(OR($Q931="",$Z931=""),"",IF(AND($Z931&gt;0,$Z931&gt;=$Q931),"yes","below the line"))</f>
        <v/>
      </c>
      <c r="AB931">
        <f>IF($V931,IF($M931="","",$M931),IF($K931="","",$K931))</f>
        <v/>
      </c>
      <c r="AC931">
        <f>IF($V931,IF($N931="","",$N931),IF($L931="","",$L931))</f>
        <v/>
      </c>
      <c r="AD931">
        <f>$Y931</f>
        <v/>
      </c>
      <c r="AE931">
        <f>IF($V931,IF($S931="","",$S931),IF($R931="","",$R931))</f>
        <v/>
      </c>
      <c r="AF931">
        <f>IF($V931,IF($U931="","",$U931),IF($T931="","",$T931))</f>
        <v/>
      </c>
      <c r="AG931">
        <f>IF($V931,IF($O931="","",$O931),IF($P931="","",$P931))</f>
        <v/>
      </c>
      <c r="AH931" t="n">
        <v>0.06394499241639874</v>
      </c>
      <c r="AI931">
        <f>IF($Y931="worse","Yes",IF($Y931="worse, not significant","Not sure",IF(OR($Y931="too few losses to test",$Y931="too few loans to test"),"Too few losses",IF($Y931="","","No"))))</f>
        <v/>
      </c>
      <c r="AJ931">
        <f>IF($AA931="yes","Yes",IF($AA931="","","No"))</f>
        <v/>
      </c>
    </row>
    <row r="932">
      <c r="A932" t="inlineStr">
        <is>
          <t>three-way</t>
        </is>
      </c>
      <c r="B932" t="inlineStr">
        <is>
          <t>ORIG_BAL x CHANNEL / SYS_FLAG</t>
        </is>
      </c>
      <c r="C932" t="inlineStr">
        <is>
          <t>5,005 - 15,448</t>
        </is>
      </c>
      <c r="D932" t="inlineStr">
        <is>
          <t>Online / SYS_FLAG Y</t>
        </is>
      </c>
      <c r="E932" t="inlineStr">
        <is>
          <t>ranr_rate</t>
        </is>
      </c>
      <c r="F932" t="inlineStr">
        <is>
          <t>Profit after losses: RANR per booked dollar</t>
        </is>
      </c>
      <c r="G932" t="n">
        <v>242</v>
      </c>
      <c r="H932" t="n">
        <v>2488817.56</v>
      </c>
      <c r="I932" t="b">
        <v>0</v>
      </c>
      <c r="J932" t="b">
        <v>0</v>
      </c>
      <c r="K932" t="n">
        <v>0.01004879611896975</v>
      </c>
      <c r="L932" t="n">
        <v>0.6483442564834425</v>
      </c>
      <c r="M932" t="n">
        <v>-0.01032023635333337</v>
      </c>
      <c r="N932" t="n">
        <v>0.5182281771822818</v>
      </c>
      <c r="O932" t="n">
        <v>-25009.62023775181</v>
      </c>
      <c r="P932" t="n">
        <v>25685.18545952643</v>
      </c>
      <c r="Q932">
        <f>'_live'!$C$23</f>
        <v/>
      </c>
      <c r="R932" t="inlineStr">
        <is>
          <t>shuffled: 4,546 of 10,000</t>
        </is>
      </c>
      <c r="S932" t="inlineStr">
        <is>
          <t>shuffled: 4,318 of 10,000</t>
        </is>
      </c>
      <c r="T932" t="n">
        <v>0.12789313884552</v>
      </c>
      <c r="U932" t="n">
        <v>0.1482621713178231</v>
      </c>
      <c r="V932">
        <f>AND(judged_band,NOT($J932))</f>
        <v/>
      </c>
      <c r="W932">
        <f>IF($K932="","",IF(profit_kind="test",IF(OR(NOT(AND(ISNUMBER($L932),$L932&lt;significance_bar)),$K932=0),"in line",IF($K932&lt;0,"worse","better")),IF(OR($K932=0,IF(profit_kind="points",ABS($K932),ABS($K932*$H932))&lt;profit_line*(1-1E-9)),"in line",IF(AND(ISNUMBER($L932),$L932&lt;significance_bar),IF($K932&lt;0,"worse","better"),IF($K932&lt;0,"worse, not significant","better, not significant")))))</f>
        <v/>
      </c>
      <c r="X932">
        <f>IF($M932="","",IF(profit_kind="test",IF(OR(NOT(AND(ISNUMBER($N932),$N932&lt;significance_bar)),$M932=0),"in line",IF($M932&lt;0,"worse","better")),IF(OR($M932=0,IF(profit_kind="points",ABS($M932),ABS($M932*$H932))&lt;profit_line*(1-1E-9)),"in line",IF(AND(ISNUMBER($N932),$N932&lt;significance_bar),IF($M932&lt;0,"worse","better"),IF($M932&lt;0,"worse, not significant","better, not significant")))))</f>
        <v/>
      </c>
      <c r="Y932">
        <f>IF($V932,$X932,$W932)</f>
        <v/>
      </c>
      <c r="Z932">
        <f>IF($V932,IF($P932="","",$P932),IF($O932="","",$O932))</f>
        <v/>
      </c>
      <c r="AA932">
        <f>IF(OR($Q932="",$Z932=""),"",IF(AND($Z932&gt;0,$Z932&gt;=$Q932),"yes","below the line"))</f>
        <v/>
      </c>
      <c r="AB932">
        <f>IF($V932,IF($M932="","",$M932),IF($K932="","",$K932))</f>
        <v/>
      </c>
      <c r="AC932">
        <f>IF($V932,IF($N932="","",$N932),IF($L932="","",$L932))</f>
        <v/>
      </c>
      <c r="AD932">
        <f>IF($Y932="","",IF($Y932="in line",IF(profit_kind="test",IF(ROUND($AB932*100,2)=0,"0.00",TEXT($AB932*100,"+0.00;-0.00"))&amp;" points against "&amp;IF($V932,"its band","the book")&amp;", "&amp;IF($AC932="","not tested","not significant"),IF(profit_kind="points","within "&amp;TEXT(profit_line*100,"0.00")&amp;" points of "&amp;IF($V932,"its band","the book")&amp;" ("&amp;IF(ROUND($AB932*100,2)=0,"0.00",TEXT($AB932*100,"+0.00;-0.00"))&amp;")","within $"&amp;TEXT(profit_line,"#,##0")&amp;" of "&amp;IF($V932,"its band","the book")&amp;" ("&amp;IF(ROUND($AB932*100,2)=0,"0.00",TEXT($AB932*100,"+0.00;-0.00"))&amp;" points)")),IF(LEFT($Y932,5)="worse","short of ","ahead of ")&amp;IF($V932,"its band","the book")&amp;" by "&amp;TEXT(ABS($AB932)*100,"0.00")&amp;" points"&amp;IF($Z932="",""," ($"&amp;TEXT(ABS($Z932),"#,##0")&amp;")")&amp;IF(RIGHT($Y932,15)="not significant"," (not significant)","")))</f>
        <v/>
      </c>
      <c r="AE932">
        <f>IF($V932,IF($S932="","",$S932),IF($R932="","",$R932))</f>
        <v/>
      </c>
      <c r="AF932">
        <f>IF($V932,IF($U932="","",$U932),IF($T932="","",$T932))</f>
        <v/>
      </c>
      <c r="AG932">
        <f>IF($V932,IF($O932="","",$O932),IF($P932="","",$P932))</f>
        <v/>
      </c>
      <c r="AH932" t="n">
        <v>0.1379419349644898</v>
      </c>
      <c r="AI932">
        <f>IF($Y932="worse","Yes",IF($Y932="worse, not significant","Not sure",IF(OR($Y932="too few losses to test",$Y932="too few loans to test"),"Too few losses",IF($Y932="","","No"))))</f>
        <v/>
      </c>
      <c r="AJ932">
        <f>IF($AA932="yes","Yes",IF($AA932="","","No"))</f>
        <v/>
      </c>
    </row>
    <row r="933">
      <c r="A933" t="inlineStr">
        <is>
          <t>three-way</t>
        </is>
      </c>
      <c r="B933" t="inlineStr">
        <is>
          <t>ORIG_BAL x CHANNEL / SYS_FLAG</t>
        </is>
      </c>
      <c r="C933" t="inlineStr">
        <is>
          <t>5,005 - 15,448</t>
        </is>
      </c>
      <c r="D933" t="inlineStr">
        <is>
          <t>Online / SYS_FLAG Y</t>
        </is>
      </c>
      <c r="E933" t="inlineStr">
        <is>
          <t>contribution_rate</t>
        </is>
      </c>
      <c r="F933" t="inlineStr">
        <is>
          <t>Contribution before losses per booked dollar</t>
        </is>
      </c>
      <c r="G933" t="n">
        <v>242</v>
      </c>
      <c r="H933" t="n">
        <v>2488817.56</v>
      </c>
      <c r="I933" t="b">
        <v>0</v>
      </c>
      <c r="J933" t="b">
        <v>0</v>
      </c>
      <c r="K933" t="n">
        <v>0.03260900191797542</v>
      </c>
      <c r="L933" t="n">
        <v>0.005999400059994001</v>
      </c>
      <c r="M933" t="n">
        <v>0.01631022438045493</v>
      </c>
      <c r="N933" t="n">
        <v>0.1767323267673233</v>
      </c>
      <c r="O933" t="n">
        <v>-81157.85658753093</v>
      </c>
      <c r="P933" t="n">
        <v>-40593.17284561635</v>
      </c>
      <c r="Q933">
        <f>'_live'!$C$24</f>
        <v/>
      </c>
      <c r="R933" t="inlineStr">
        <is>
          <t>shuffled: 1 of 10,000</t>
        </is>
      </c>
      <c r="S933" t="inlineStr">
        <is>
          <t>shuffled: 667 of 10,000</t>
        </is>
      </c>
      <c r="T933" t="n">
        <v>0.1692779254629131</v>
      </c>
      <c r="U933" t="n">
        <v>0.1855767030004336</v>
      </c>
      <c r="V933">
        <f>AND(judged_band,NOT($J933))</f>
        <v/>
      </c>
      <c r="W933">
        <f>IF($K933="","",IF(profit_kind="test",IF(OR(NOT(AND(ISNUMBER($L933),$L933&lt;significance_bar)),$K933=0),"in line",IF($K933&lt;0,"worse","better")),IF(OR($K933=0,IF(profit_kind="points",ABS($K933),ABS($K933*$H933))&lt;profit_line*(1-1E-9)),"in line",IF(AND(ISNUMBER($L933),$L933&lt;significance_bar),IF($K933&lt;0,"worse","better"),IF($K933&lt;0,"worse, not significant","better, not significant")))))</f>
        <v/>
      </c>
      <c r="X933">
        <f>IF($M933="","",IF(profit_kind="test",IF(OR(NOT(AND(ISNUMBER($N933),$N933&lt;significance_bar)),$M933=0),"in line",IF($M933&lt;0,"worse","better")),IF(OR($M933=0,IF(profit_kind="points",ABS($M933),ABS($M933*$H933))&lt;profit_line*(1-1E-9)),"in line",IF(AND(ISNUMBER($N933),$N933&lt;significance_bar),IF($M933&lt;0,"worse","better"),IF($M933&lt;0,"worse, not significant","better, not significant")))))</f>
        <v/>
      </c>
      <c r="Y933">
        <f>IF($V933,$X933,$W933)</f>
        <v/>
      </c>
      <c r="Z933">
        <f>IF($V933,IF($P933="","",$P933),IF($O933="","",$O933))</f>
        <v/>
      </c>
      <c r="AA933">
        <f>IF(OR($Q933="",$Z933=""),"",IF(AND($Z933&gt;0,$Z933&gt;=$Q933),"yes","below the line"))</f>
        <v/>
      </c>
      <c r="AB933">
        <f>IF($V933,IF($M933="","",$M933),IF($K933="","",$K933))</f>
        <v/>
      </c>
      <c r="AC933">
        <f>IF($V933,IF($N933="","",$N933),IF($L933="","",$L933))</f>
        <v/>
      </c>
      <c r="AD933">
        <f>IF($Y933="","",IF($Y933="in line",IF(profit_kind="test",IF(ROUND($AB933*100,2)=0,"0.00",TEXT($AB933*100,"+0.00;-0.00"))&amp;" points against "&amp;IF($V933,"its band","the book")&amp;", "&amp;IF($AC933="","not tested","not significant"),IF(profit_kind="points","within "&amp;TEXT(profit_line*100,"0.00")&amp;" points of "&amp;IF($V933,"its band","the book")&amp;" ("&amp;IF(ROUND($AB933*100,2)=0,"0.00",TEXT($AB933*100,"+0.00;-0.00"))&amp;")","within $"&amp;TEXT(profit_line,"#,##0")&amp;" of "&amp;IF($V933,"its band","the book")&amp;" ("&amp;IF(ROUND($AB933*100,2)=0,"0.00",TEXT($AB933*100,"+0.00;-0.00"))&amp;" points)")),IF(LEFT($Y933,5)="worse","short of ","ahead of ")&amp;IF($V933,"its band","the book")&amp;" by "&amp;TEXT(ABS($AB933)*100,"0.00")&amp;" points"&amp;IF($Z933="",""," ($"&amp;TEXT(ABS($Z933),"#,##0")&amp;")")&amp;IF(RIGHT($Y933,15)="not significant"," (not significant)","")))</f>
        <v/>
      </c>
      <c r="AE933">
        <f>IF($V933,IF($S933="","",$S933),IF($R933="","",$R933))</f>
        <v/>
      </c>
      <c r="AF933">
        <f>IF($V933,IF($U933="","",$U933),IF($T933="","",$T933))</f>
        <v/>
      </c>
      <c r="AG933">
        <f>IF($V933,IF($O933="","",$O933),IF($P933="","",$P933))</f>
        <v/>
      </c>
      <c r="AH933" t="n">
        <v>0.2018869273808885</v>
      </c>
      <c r="AI933">
        <f>IF($Y933="worse","Yes",IF($Y933="worse, not significant","Not sure",IF(OR($Y933="too few losses to test",$Y933="too few loans to test"),"Too few losses",IF($Y933="","","No"))))</f>
        <v/>
      </c>
      <c r="AJ933">
        <f>IF($AA933="yes","Yes",IF($AA933="","","No"))</f>
        <v/>
      </c>
    </row>
    <row r="934">
      <c r="A934" t="inlineStr">
        <is>
          <t>three-way</t>
        </is>
      </c>
      <c r="B934" t="inlineStr">
        <is>
          <t>ORIG_BAL x CHANNEL / SYS_FLAG</t>
        </is>
      </c>
      <c r="C934" t="inlineStr">
        <is>
          <t>15,449 - 26,323</t>
        </is>
      </c>
      <c r="D934" t="inlineStr">
        <is>
          <t>Online / SYS_FLAG Y</t>
        </is>
      </c>
      <c r="E934" t="inlineStr">
        <is>
          <t>outcome_loans</t>
        </is>
      </c>
      <c r="F934" t="inlineStr">
        <is>
          <t>Outcome, share of loans</t>
        </is>
      </c>
      <c r="G934" t="n">
        <v>238</v>
      </c>
      <c r="H934" t="n">
        <v>238</v>
      </c>
      <c r="I934" t="b">
        <v>0</v>
      </c>
      <c r="J934" t="b">
        <v>0</v>
      </c>
      <c r="K934" t="n">
        <v>1.145140664961637</v>
      </c>
      <c r="L934" t="n">
        <v>0.7202191315944685</v>
      </c>
      <c r="M934" t="n">
        <v>0.9388786764705883</v>
      </c>
      <c r="N934" t="n">
        <v>0.8987489474994704</v>
      </c>
      <c r="O934" t="n">
        <v>2.661641541038527</v>
      </c>
      <c r="P934" t="n">
        <v>-1.367107195301028</v>
      </c>
      <c r="Q934">
        <f>'_live'!$C$20</f>
        <v/>
      </c>
      <c r="R934" t="inlineStr">
        <is>
          <t>z test</t>
        </is>
      </c>
      <c r="S934" t="inlineStr">
        <is>
          <t>z test</t>
        </is>
      </c>
      <c r="T934" t="n">
        <v>0.07705192629815745</v>
      </c>
      <c r="U934" t="n">
        <v>0.09397944199706314</v>
      </c>
      <c r="V934">
        <f>AND(judged_band,NOT($J934))</f>
        <v/>
      </c>
      <c r="W934">
        <f>IF($K934="","",IF($I934,"too few losses to test",IF(AND($K934&gt;better_at,$K934&lt;worse_at),"in line",IF($K934&gt;=worse_at,IF(AND(ISNUMBER($L934),$L934&lt;significance_bar),"worse","worse, not significant"),IF(AND(ISNUMBER($L934),$L934&lt;significance_bar),"better","better, not significant")))))</f>
        <v/>
      </c>
      <c r="X934">
        <f>IF($M934="","",IF($I934,"too few losses to test",IF(AND($M934&gt;better_at,$M934&lt;worse_at),"in line",IF($M934&gt;=worse_at,IF(AND(ISNUMBER($N934),$N934&lt;significance_bar),"worse","worse, not significant"),IF(AND(ISNUMBER($N934),$N934&lt;significance_bar),"better","better, not significant")))))</f>
        <v/>
      </c>
      <c r="Y934">
        <f>IF($V934,$X934,$W934)</f>
        <v/>
      </c>
      <c r="Z934">
        <f>IF($V934,IF($P934="","",$P934),IF($O934="","",$O934))</f>
        <v/>
      </c>
      <c r="AA934">
        <f>IF(OR($Q934="",$Z934=""),"",IF(AND($Z934&gt;0,$Z934&gt;=$Q934),"yes","below the line"))</f>
        <v/>
      </c>
      <c r="AB934">
        <f>IF($V934,IF($M934="","",$M934),IF($K934="","",$K934))</f>
        <v/>
      </c>
      <c r="AC934">
        <f>IF($V934,IF($N934="","",$N934),IF($L934="","",$L934))</f>
        <v/>
      </c>
      <c r="AD934">
        <f>$Y934</f>
        <v/>
      </c>
      <c r="AE934">
        <f>IF($V934,IF($S934="","",$S934),IF($R934="","",$R934))</f>
        <v/>
      </c>
      <c r="AF934">
        <f>IF($V934,IF($U934="","",$U934),IF($T934="","",$T934))</f>
        <v/>
      </c>
      <c r="AG934">
        <f>IF($V934,IF($O934="","",$O934),IF($P934="","",$P934))</f>
        <v/>
      </c>
      <c r="AH934" t="n">
        <v>0.08823529411764706</v>
      </c>
      <c r="AI934">
        <f>IF($Y934="worse","Yes",IF($Y934="worse, not significant","Not sure",IF(OR($Y934="too few losses to test",$Y934="too few loans to test"),"Too few losses",IF($Y934="","","No"))))</f>
        <v/>
      </c>
      <c r="AJ934">
        <f>IF($AA934="yes","Yes",IF($AA934="","","No"))</f>
        <v/>
      </c>
    </row>
    <row r="935">
      <c r="A935" t="inlineStr">
        <is>
          <t>three-way</t>
        </is>
      </c>
      <c r="B935" t="inlineStr">
        <is>
          <t>ORIG_BAL x CHANNEL / SYS_FLAG</t>
        </is>
      </c>
      <c r="C935" t="inlineStr">
        <is>
          <t>15,449 - 26,323</t>
        </is>
      </c>
      <c r="D935" t="inlineStr">
        <is>
          <t>Online / SYS_FLAG Y</t>
        </is>
      </c>
      <c r="E935" t="inlineStr">
        <is>
          <t>outcome_booked</t>
        </is>
      </c>
      <c r="F935" t="inlineStr">
        <is>
          <t>Outcome, share of booked dollars</t>
        </is>
      </c>
      <c r="G935" t="n">
        <v>238</v>
      </c>
      <c r="H935" t="n">
        <v>4902701.809999999</v>
      </c>
      <c r="I935" t="b">
        <v>0</v>
      </c>
      <c r="J935" t="b">
        <v>0</v>
      </c>
      <c r="K935" t="n">
        <v>1.248739249830396</v>
      </c>
      <c r="L935" t="n">
        <v>0.5414987912973408</v>
      </c>
      <c r="M935" t="n">
        <v>0.9903075753207488</v>
      </c>
      <c r="N935" t="n">
        <v>0.9611038896110389</v>
      </c>
      <c r="O935" t="n">
        <v>90824.13583005324</v>
      </c>
      <c r="P935" t="n">
        <v>-4462.631742101978</v>
      </c>
      <c r="Q935">
        <f>'_live'!$C$21</f>
        <v/>
      </c>
      <c r="R935" t="inlineStr">
        <is>
          <t>shuffled: 3,287 of 10,000</t>
        </is>
      </c>
      <c r="S935" t="inlineStr">
        <is>
          <t>shuffled: 9,611 of 10,000</t>
        </is>
      </c>
      <c r="T935" t="n">
        <v>0.07447687995732843</v>
      </c>
      <c r="U935" t="n">
        <v>0.09391244248283216</v>
      </c>
      <c r="V935">
        <f>AND(judged_band,NOT($J935))</f>
        <v/>
      </c>
      <c r="W935">
        <f>IF($K935="","",IF($I935,"too few losses to test",IF(AND($K935&gt;better_at,$K935&lt;worse_at),"in line",IF($K935&gt;=worse_at,IF(AND(ISNUMBER($L935),$L935&lt;significance_bar),"worse","worse, not significant"),IF(AND(ISNUMBER($L935),$L935&lt;significance_bar),"better","better, not significant")))))</f>
        <v/>
      </c>
      <c r="X935">
        <f>IF($M935="","",IF($I935,"too few losses to test",IF(AND($M935&gt;better_at,$M935&lt;worse_at),"in line",IF($M935&gt;=worse_at,IF(AND(ISNUMBER($N935),$N935&lt;significance_bar),"worse","worse, not significant"),IF(AND(ISNUMBER($N935),$N935&lt;significance_bar),"better","better, not significant")))))</f>
        <v/>
      </c>
      <c r="Y935">
        <f>IF($V935,$X935,$W935)</f>
        <v/>
      </c>
      <c r="Z935">
        <f>IF($V935,IF($P935="","",$P935),IF($O935="","",$O935))</f>
        <v/>
      </c>
      <c r="AA935">
        <f>IF(OR($Q935="",$Z935=""),"",IF(AND($Z935&gt;0,$Z935&gt;=$Q935),"yes","below the line"))</f>
        <v/>
      </c>
      <c r="AB935">
        <f>IF($V935,IF($M935="","",$M935),IF($K935="","",$K935))</f>
        <v/>
      </c>
      <c r="AC935">
        <f>IF($V935,IF($N935="","",$N935),IF($L935="","",$L935))</f>
        <v/>
      </c>
      <c r="AD935">
        <f>$Y935</f>
        <v/>
      </c>
      <c r="AE935">
        <f>IF($V935,IF($S935="","",$S935),IF($R935="","",$R935))</f>
        <v/>
      </c>
      <c r="AF935">
        <f>IF($V935,IF($U935="","",$U935),IF($T935="","",$T935))</f>
        <v/>
      </c>
      <c r="AG935">
        <f>IF($V935,IF($O935="","",$O935),IF($P935="","",$P935))</f>
        <v/>
      </c>
      <c r="AH935" t="n">
        <v>0.0930022032076228</v>
      </c>
      <c r="AI935">
        <f>IF($Y935="worse","Yes",IF($Y935="worse, not significant","Not sure",IF(OR($Y935="too few losses to test",$Y935="too few loans to test"),"Too few losses",IF($Y935="","","No"))))</f>
        <v/>
      </c>
      <c r="AJ935">
        <f>IF($AA935="yes","Yes",IF($AA935="","","No"))</f>
        <v/>
      </c>
    </row>
    <row r="936">
      <c r="A936" t="inlineStr">
        <is>
          <t>three-way</t>
        </is>
      </c>
      <c r="B936" t="inlineStr">
        <is>
          <t>ORIG_BAL x CHANNEL / SYS_FLAG</t>
        </is>
      </c>
      <c r="C936" t="inlineStr">
        <is>
          <t>15,449 - 26,323</t>
        </is>
      </c>
      <c r="D936" t="inlineStr">
        <is>
          <t>Online / SYS_FLAG Y</t>
        </is>
      </c>
      <c r="E936" t="inlineStr">
        <is>
          <t>gco_rate</t>
        </is>
      </c>
      <c r="F936" t="inlineStr">
        <is>
          <t>GCO per booked dollar</t>
        </is>
      </c>
      <c r="G936" t="n">
        <v>238</v>
      </c>
      <c r="H936" t="n">
        <v>4902701.809999999</v>
      </c>
      <c r="I936" t="b">
        <v>0</v>
      </c>
      <c r="J936" t="b">
        <v>0</v>
      </c>
      <c r="K936" t="n">
        <v>1.233777496751236</v>
      </c>
      <c r="L936" t="n">
        <v>0.6169265426398536</v>
      </c>
      <c r="M936" t="n">
        <v>0.954982433546816</v>
      </c>
      <c r="N936" t="n">
        <v>0.8724757153914238</v>
      </c>
      <c r="O936" t="n">
        <v>47474.63702916726</v>
      </c>
      <c r="P936" t="n">
        <v>-11810.88456989452</v>
      </c>
      <c r="Q936">
        <f>'_live'!$C$22</f>
        <v/>
      </c>
      <c r="R936" t="inlineStr">
        <is>
          <t>shuffled: 3,745 of 10,000</t>
        </is>
      </c>
      <c r="S936" t="inlineStr">
        <is>
          <t>shuffled: 8,413 of 10,000</t>
        </is>
      </c>
      <c r="T936" t="n">
        <v>0.04142127562329408</v>
      </c>
      <c r="U936" t="n">
        <v>0.05351369402780272</v>
      </c>
      <c r="V936">
        <f>AND(judged_band,NOT($J936))</f>
        <v/>
      </c>
      <c r="W936">
        <f>IF($K936="","",IF($I936,"too few losses to test",IF(AND($K936&gt;better_at,$K936&lt;worse_at),"in line",IF($K936&gt;=worse_at,IF(AND(ISNUMBER($L936),$L936&lt;significance_bar),"worse","worse, not significant"),IF(AND(ISNUMBER($L936),$L936&lt;significance_bar),"better","better, not significant")))))</f>
        <v/>
      </c>
      <c r="X936">
        <f>IF($M936="","",IF($I936,"too few losses to test",IF(AND($M936&gt;better_at,$M936&lt;worse_at),"in line",IF($M936&gt;=worse_at,IF(AND(ISNUMBER($N936),$N936&lt;significance_bar),"worse","worse, not significant"),IF(AND(ISNUMBER($N936),$N936&lt;significance_bar),"better","better, not significant")))))</f>
        <v/>
      </c>
      <c r="Y936">
        <f>IF($V936,$X936,$W936)</f>
        <v/>
      </c>
      <c r="Z936">
        <f>IF($V936,IF($P936="","",$P936),IF($O936="","",$O936))</f>
        <v/>
      </c>
      <c r="AA936">
        <f>IF(OR($Q936="",$Z936=""),"",IF(AND($Z936&gt;0,$Z936&gt;=$Q936),"yes","below the line"))</f>
        <v/>
      </c>
      <c r="AB936">
        <f>IF($V936,IF($M936="","",$M936),IF($K936="","",$K936))</f>
        <v/>
      </c>
      <c r="AC936">
        <f>IF($V936,IF($N936="","",$N936),IF($L936="","",$L936))</f>
        <v/>
      </c>
      <c r="AD936">
        <f>$Y936</f>
        <v/>
      </c>
      <c r="AE936">
        <f>IF($V936,IF($S936="","",$S936),IF($R936="","",$R936))</f>
        <v/>
      </c>
      <c r="AF936">
        <f>IF($V936,IF($U936="","",$U936),IF($T936="","",$T936))</f>
        <v/>
      </c>
      <c r="AG936">
        <f>IF($V936,IF($O936="","",$O936),IF($P936="","",$P936))</f>
        <v/>
      </c>
      <c r="AH936" t="n">
        <v>0.05110463775075075</v>
      </c>
      <c r="AI936">
        <f>IF($Y936="worse","Yes",IF($Y936="worse, not significant","Not sure",IF(OR($Y936="too few losses to test",$Y936="too few loans to test"),"Too few losses",IF($Y936="","","No"))))</f>
        <v/>
      </c>
      <c r="AJ936">
        <f>IF($AA936="yes","Yes",IF($AA936="","","No"))</f>
        <v/>
      </c>
    </row>
    <row r="937">
      <c r="A937" t="inlineStr">
        <is>
          <t>three-way</t>
        </is>
      </c>
      <c r="B937" t="inlineStr">
        <is>
          <t>ORIG_BAL x CHANNEL / SYS_FLAG</t>
        </is>
      </c>
      <c r="C937" t="inlineStr">
        <is>
          <t>15,449 - 26,323</t>
        </is>
      </c>
      <c r="D937" t="inlineStr">
        <is>
          <t>Online / SYS_FLAG Y</t>
        </is>
      </c>
      <c r="E937" t="inlineStr">
        <is>
          <t>ranr_rate</t>
        </is>
      </c>
      <c r="F937" t="inlineStr">
        <is>
          <t>Profit after losses: RANR per booked dollar</t>
        </is>
      </c>
      <c r="G937" t="n">
        <v>238</v>
      </c>
      <c r="H937" t="n">
        <v>4902701.809999999</v>
      </c>
      <c r="I937" t="b">
        <v>0</v>
      </c>
      <c r="J937" t="b">
        <v>0</v>
      </c>
      <c r="K937" t="n">
        <v>0.01004938359189866</v>
      </c>
      <c r="L937" t="n">
        <v>0.6483442564834425</v>
      </c>
      <c r="M937" t="n">
        <v>0.02202011317634187</v>
      </c>
      <c r="N937" t="n">
        <v>0.2465378462153784</v>
      </c>
      <c r="O937" t="n">
        <v>-49269.13112538587</v>
      </c>
      <c r="P937" t="n">
        <v>-107958.048726056</v>
      </c>
      <c r="Q937">
        <f>'_live'!$C$23</f>
        <v/>
      </c>
      <c r="R937" t="inlineStr">
        <is>
          <t>shuffled: 4,523 of 10,000</t>
        </is>
      </c>
      <c r="S937" t="inlineStr">
        <is>
          <t>shuffled: 1,259 of 10,000</t>
        </is>
      </c>
      <c r="T937" t="n">
        <v>0.1277991346723604</v>
      </c>
      <c r="U937" t="n">
        <v>0.1158284050879172</v>
      </c>
      <c r="V937">
        <f>AND(judged_band,NOT($J937))</f>
        <v/>
      </c>
      <c r="W937">
        <f>IF($K937="","",IF(profit_kind="test",IF(OR(NOT(AND(ISNUMBER($L937),$L937&lt;significance_bar)),$K937=0),"in line",IF($K937&lt;0,"worse","better")),IF(OR($K937=0,IF(profit_kind="points",ABS($K937),ABS($K937*$H937))&lt;profit_line*(1-1E-9)),"in line",IF(AND(ISNUMBER($L937),$L937&lt;significance_bar),IF($K937&lt;0,"worse","better"),IF($K937&lt;0,"worse, not significant","better, not significant")))))</f>
        <v/>
      </c>
      <c r="X937">
        <f>IF($M937="","",IF(profit_kind="test",IF(OR(NOT(AND(ISNUMBER($N937),$N937&lt;significance_bar)),$M937=0),"in line",IF($M937&lt;0,"worse","better")),IF(OR($M937=0,IF(profit_kind="points",ABS($M937),ABS($M937*$H937))&lt;profit_line*(1-1E-9)),"in line",IF(AND(ISNUMBER($N937),$N937&lt;significance_bar),IF($M937&lt;0,"worse","better"),IF($M937&lt;0,"worse, not significant","better, not significant")))))</f>
        <v/>
      </c>
      <c r="Y937">
        <f>IF($V937,$X937,$W937)</f>
        <v/>
      </c>
      <c r="Z937">
        <f>IF($V937,IF($P937="","",$P937),IF($O937="","",$O937))</f>
        <v/>
      </c>
      <c r="AA937">
        <f>IF(OR($Q937="",$Z937=""),"",IF(AND($Z937&gt;0,$Z937&gt;=$Q937),"yes","below the line"))</f>
        <v/>
      </c>
      <c r="AB937">
        <f>IF($V937,IF($M937="","",$M937),IF($K937="","",$K937))</f>
        <v/>
      </c>
      <c r="AC937">
        <f>IF($V937,IF($N937="","",$N937),IF($L937="","",$L937))</f>
        <v/>
      </c>
      <c r="AD937">
        <f>IF($Y937="","",IF($Y937="in line",IF(profit_kind="test",IF(ROUND($AB937*100,2)=0,"0.00",TEXT($AB937*100,"+0.00;-0.00"))&amp;" points against "&amp;IF($V937,"its band","the book")&amp;", "&amp;IF($AC937="","not tested","not significant"),IF(profit_kind="points","within "&amp;TEXT(profit_line*100,"0.00")&amp;" points of "&amp;IF($V937,"its band","the book")&amp;" ("&amp;IF(ROUND($AB937*100,2)=0,"0.00",TEXT($AB937*100,"+0.00;-0.00"))&amp;")","within $"&amp;TEXT(profit_line,"#,##0")&amp;" of "&amp;IF($V937,"its band","the book")&amp;" ("&amp;IF(ROUND($AB937*100,2)=0,"0.00",TEXT($AB937*100,"+0.00;-0.00"))&amp;" points)")),IF(LEFT($Y937,5)="worse","short of ","ahead of ")&amp;IF($V937,"its band","the book")&amp;" by "&amp;TEXT(ABS($AB937)*100,"0.00")&amp;" points"&amp;IF($Z937="",""," ($"&amp;TEXT(ABS($Z937),"#,##0")&amp;")")&amp;IF(RIGHT($Y937,15)="not significant"," (not significant)","")))</f>
        <v/>
      </c>
      <c r="AE937">
        <f>IF($V937,IF($S937="","",$S937),IF($R937="","",$R937))</f>
        <v/>
      </c>
      <c r="AF937">
        <f>IF($V937,IF($U937="","",$U937),IF($T937="","",$T937))</f>
        <v/>
      </c>
      <c r="AG937">
        <f>IF($V937,IF($O937="","",$O937),IF($P937="","",$P937))</f>
        <v/>
      </c>
      <c r="AH937" t="n">
        <v>0.1378485182642591</v>
      </c>
      <c r="AI937">
        <f>IF($Y937="worse","Yes",IF($Y937="worse, not significant","Not sure",IF(OR($Y937="too few losses to test",$Y937="too few loans to test"),"Too few losses",IF($Y937="","","No"))))</f>
        <v/>
      </c>
      <c r="AJ937">
        <f>IF($AA937="yes","Yes",IF($AA937="","","No"))</f>
        <v/>
      </c>
    </row>
    <row r="938">
      <c r="A938" t="inlineStr">
        <is>
          <t>three-way</t>
        </is>
      </c>
      <c r="B938" t="inlineStr">
        <is>
          <t>ORIG_BAL x CHANNEL / SYS_FLAG</t>
        </is>
      </c>
      <c r="C938" t="inlineStr">
        <is>
          <t>15,449 - 26,323</t>
        </is>
      </c>
      <c r="D938" t="inlineStr">
        <is>
          <t>Online / SYS_FLAG Y</t>
        </is>
      </c>
      <c r="E938" t="inlineStr">
        <is>
          <t>contribution_rate</t>
        </is>
      </c>
      <c r="F938" t="inlineStr">
        <is>
          <t>Contribution before losses per booked dollar</t>
        </is>
      </c>
      <c r="G938" t="n">
        <v>238</v>
      </c>
      <c r="H938" t="n">
        <v>4902701.809999999</v>
      </c>
      <c r="I938" t="b">
        <v>0</v>
      </c>
      <c r="J938" t="b">
        <v>0</v>
      </c>
      <c r="K938" t="n">
        <v>0.01973569027665092</v>
      </c>
      <c r="L938" t="n">
        <v>0.1058465582013227</v>
      </c>
      <c r="M938" t="n">
        <v>0.01961105689928985</v>
      </c>
      <c r="N938" t="n">
        <v>0.1174168297455969</v>
      </c>
      <c r="O938" t="n">
        <v>-96758.20444093586</v>
      </c>
      <c r="P938" t="n">
        <v>-96147.16415616137</v>
      </c>
      <c r="Q938">
        <f>'_live'!$C$24</f>
        <v/>
      </c>
      <c r="R938" t="inlineStr">
        <is>
          <t>shuffled: 246 of 10,000</t>
        </is>
      </c>
      <c r="S938" t="inlineStr">
        <is>
          <t>shuffled: 258 of 10,000</t>
        </is>
      </c>
      <c r="T938" t="n">
        <v>0.1692174657383588</v>
      </c>
      <c r="U938" t="n">
        <v>0.1693420991157199</v>
      </c>
      <c r="V938">
        <f>AND(judged_band,NOT($J938))</f>
        <v/>
      </c>
      <c r="W938">
        <f>IF($K938="","",IF(profit_kind="test",IF(OR(NOT(AND(ISNUMBER($L938),$L938&lt;significance_bar)),$K938=0),"in line",IF($K938&lt;0,"worse","better")),IF(OR($K938=0,IF(profit_kind="points",ABS($K938),ABS($K938*$H938))&lt;profit_line*(1-1E-9)),"in line",IF(AND(ISNUMBER($L938),$L938&lt;significance_bar),IF($K938&lt;0,"worse","better"),IF($K938&lt;0,"worse, not significant","better, not significant")))))</f>
        <v/>
      </c>
      <c r="X938">
        <f>IF($M938="","",IF(profit_kind="test",IF(OR(NOT(AND(ISNUMBER($N938),$N938&lt;significance_bar)),$M938=0),"in line",IF($M938&lt;0,"worse","better")),IF(OR($M938=0,IF(profit_kind="points",ABS($M938),ABS($M938*$H938))&lt;profit_line*(1-1E-9)),"in line",IF(AND(ISNUMBER($N938),$N938&lt;significance_bar),IF($M938&lt;0,"worse","better"),IF($M938&lt;0,"worse, not significant","better, not significant")))))</f>
        <v/>
      </c>
      <c r="Y938">
        <f>IF($V938,$X938,$W938)</f>
        <v/>
      </c>
      <c r="Z938">
        <f>IF($V938,IF($P938="","",$P938),IF($O938="","",$O938))</f>
        <v/>
      </c>
      <c r="AA938">
        <f>IF(OR($Q938="",$Z938=""),"",IF(AND($Z938&gt;0,$Z938&gt;=$Q938),"yes","below the line"))</f>
        <v/>
      </c>
      <c r="AB938">
        <f>IF($V938,IF($M938="","",$M938),IF($K938="","",$K938))</f>
        <v/>
      </c>
      <c r="AC938">
        <f>IF($V938,IF($N938="","",$N938),IF($L938="","",$L938))</f>
        <v/>
      </c>
      <c r="AD938">
        <f>IF($Y938="","",IF($Y938="in line",IF(profit_kind="test",IF(ROUND($AB938*100,2)=0,"0.00",TEXT($AB938*100,"+0.00;-0.00"))&amp;" points against "&amp;IF($V938,"its band","the book")&amp;", "&amp;IF($AC938="","not tested","not significant"),IF(profit_kind="points","within "&amp;TEXT(profit_line*100,"0.00")&amp;" points of "&amp;IF($V938,"its band","the book")&amp;" ("&amp;IF(ROUND($AB938*100,2)=0,"0.00",TEXT($AB938*100,"+0.00;-0.00"))&amp;")","within $"&amp;TEXT(profit_line,"#,##0")&amp;" of "&amp;IF($V938,"its band","the book")&amp;" ("&amp;IF(ROUND($AB938*100,2)=0,"0.00",TEXT($AB938*100,"+0.00;-0.00"))&amp;" points)")),IF(LEFT($Y938,5)="worse","short of ","ahead of ")&amp;IF($V938,"its band","the book")&amp;" by "&amp;TEXT(ABS($AB938)*100,"0.00")&amp;" points"&amp;IF($Z938="",""," ($"&amp;TEXT(ABS($Z938),"#,##0")&amp;")")&amp;IF(RIGHT($Y938,15)="not significant"," (not significant)","")))</f>
        <v/>
      </c>
      <c r="AE938">
        <f>IF($V938,IF($S938="","",$S938),IF($R938="","",$R938))</f>
        <v/>
      </c>
      <c r="AF938">
        <f>IF($V938,IF($U938="","",$U938),IF($T938="","",$T938))</f>
        <v/>
      </c>
      <c r="AG938">
        <f>IF($V938,IF($O938="","",$O938),IF($P938="","",$P938))</f>
        <v/>
      </c>
      <c r="AH938" t="n">
        <v>0.1889531560150098</v>
      </c>
      <c r="AI938">
        <f>IF($Y938="worse","Yes",IF($Y938="worse, not significant","Not sure",IF(OR($Y938="too few losses to test",$Y938="too few loans to test"),"Too few losses",IF($Y938="","","No"))))</f>
        <v/>
      </c>
      <c r="AJ938">
        <f>IF($AA938="yes","Yes",IF($AA938="","","No"))</f>
        <v/>
      </c>
    </row>
    <row r="939">
      <c r="A939" t="inlineStr">
        <is>
          <t>three-way</t>
        </is>
      </c>
      <c r="B939" t="inlineStr">
        <is>
          <t>ORIG_BAL x CHANNEL / SYS_FLAG</t>
        </is>
      </c>
      <c r="C939" t="inlineStr">
        <is>
          <t>15,449 - 26,323</t>
        </is>
      </c>
      <c r="D939" t="inlineStr">
        <is>
          <t>Branch / SYS_FLAG Y</t>
        </is>
      </c>
      <c r="E939" t="inlineStr">
        <is>
          <t>outcome_loans</t>
        </is>
      </c>
      <c r="F939" t="inlineStr">
        <is>
          <t>Outcome, share of loans</t>
        </is>
      </c>
      <c r="G939" t="n">
        <v>251</v>
      </c>
      <c r="H939" t="n">
        <v>251</v>
      </c>
      <c r="I939" t="b">
        <v>0</v>
      </c>
      <c r="J939" t="b">
        <v>0</v>
      </c>
      <c r="K939" t="n">
        <v>0.8717025585366175</v>
      </c>
      <c r="L939" t="n">
        <v>0.7202191315944685</v>
      </c>
      <c r="M939" t="n">
        <v>0.6921707110950138</v>
      </c>
      <c r="N939" t="n">
        <v>0.2808242493725803</v>
      </c>
      <c r="O939" t="n">
        <v>-2.502065049044916</v>
      </c>
      <c r="P939" t="n">
        <v>-7.560415122312826</v>
      </c>
      <c r="Q939">
        <f>'_live'!$C$20</f>
        <v/>
      </c>
      <c r="R939" t="inlineStr">
        <is>
          <t>z test</t>
        </is>
      </c>
      <c r="S939" t="inlineStr">
        <is>
          <t>z test</t>
        </is>
      </c>
      <c r="T939" t="n">
        <v>0.07769747031491998</v>
      </c>
      <c r="U939" t="n">
        <v>0.09785025945144551</v>
      </c>
      <c r="V939">
        <f>AND(judged_band,NOT($J939))</f>
        <v/>
      </c>
      <c r="W939">
        <f>IF($K939="","",IF($I939,"too few losses to test",IF(AND($K939&gt;better_at,$K939&lt;worse_at),"in line",IF($K939&gt;=worse_at,IF(AND(ISNUMBER($L939),$L939&lt;significance_bar),"worse","worse, not significant"),IF(AND(ISNUMBER($L939),$L939&lt;significance_bar),"better","better, not significant")))))</f>
        <v/>
      </c>
      <c r="X939">
        <f>IF($M939="","",IF($I939,"too few losses to test",IF(AND($M939&gt;better_at,$M939&lt;worse_at),"in line",IF($M939&gt;=worse_at,IF(AND(ISNUMBER($N939),$N939&lt;significance_bar),"worse","worse, not significant"),IF(AND(ISNUMBER($N939),$N939&lt;significance_bar),"better","better, not significant")))))</f>
        <v/>
      </c>
      <c r="Y939">
        <f>IF($V939,$X939,$W939)</f>
        <v/>
      </c>
      <c r="Z939">
        <f>IF($V939,IF($P939="","",$P939),IF($O939="","",$O939))</f>
        <v/>
      </c>
      <c r="AA939">
        <f>IF(OR($Q939="",$Z939=""),"",IF(AND($Z939&gt;0,$Z939&gt;=$Q939),"yes","below the line"))</f>
        <v/>
      </c>
      <c r="AB939">
        <f>IF($V939,IF($M939="","",$M939),IF($K939="","",$K939))</f>
        <v/>
      </c>
      <c r="AC939">
        <f>IF($V939,IF($N939="","",$N939),IF($L939="","",$L939))</f>
        <v/>
      </c>
      <c r="AD939">
        <f>$Y939</f>
        <v/>
      </c>
      <c r="AE939">
        <f>IF($V939,IF($S939="","",$S939),IF($R939="","",$R939))</f>
        <v/>
      </c>
      <c r="AF939">
        <f>IF($V939,IF($U939="","",$U939),IF($T939="","",$T939))</f>
        <v/>
      </c>
      <c r="AG939">
        <f>IF($V939,IF($O939="","",$O939),IF($P939="","",$P939))</f>
        <v/>
      </c>
      <c r="AH939" t="n">
        <v>0.06772908366533864</v>
      </c>
      <c r="AI939">
        <f>IF($Y939="worse","Yes",IF($Y939="worse, not significant","Not sure",IF(OR($Y939="too few losses to test",$Y939="too few loans to test"),"Too few losses",IF($Y939="","","No"))))</f>
        <v/>
      </c>
      <c r="AJ939">
        <f>IF($AA939="yes","Yes",IF($AA939="","","No"))</f>
        <v/>
      </c>
    </row>
    <row r="940">
      <c r="A940" t="inlineStr">
        <is>
          <t>three-way</t>
        </is>
      </c>
      <c r="B940" t="inlineStr">
        <is>
          <t>ORIG_BAL x CHANNEL / SYS_FLAG</t>
        </is>
      </c>
      <c r="C940" t="inlineStr">
        <is>
          <t>15,449 - 26,323</t>
        </is>
      </c>
      <c r="D940" t="inlineStr">
        <is>
          <t>Branch / SYS_FLAG Y</t>
        </is>
      </c>
      <c r="E940" t="inlineStr">
        <is>
          <t>outcome_booked</t>
        </is>
      </c>
      <c r="F940" t="inlineStr">
        <is>
          <t>Outcome, share of booked dollars</t>
        </is>
      </c>
      <c r="G940" t="n">
        <v>251</v>
      </c>
      <c r="H940" t="n">
        <v>5301207.189999996</v>
      </c>
      <c r="I940" t="b">
        <v>0</v>
      </c>
      <c r="J940" t="b">
        <v>0</v>
      </c>
      <c r="K940" t="n">
        <v>0.9359198578826007</v>
      </c>
      <c r="L940" t="n">
        <v>0.8386716883867168</v>
      </c>
      <c r="M940" t="n">
        <v>0.7138269499595352</v>
      </c>
      <c r="N940" t="n">
        <v>0.3295670432956704</v>
      </c>
      <c r="O940" t="n">
        <v>-25453.03383656859</v>
      </c>
      <c r="P940" t="n">
        <v>-149035.7791864333</v>
      </c>
      <c r="Q940">
        <f>'_live'!$C$21</f>
        <v/>
      </c>
      <c r="R940" t="inlineStr">
        <is>
          <t>shuffled: 7,955 of 10,000</t>
        </is>
      </c>
      <c r="S940" t="inlineStr">
        <is>
          <t>shuffled: 1,647 of 10,000</t>
        </is>
      </c>
      <c r="T940" t="n">
        <v>0.07492751171579259</v>
      </c>
      <c r="U940" t="n">
        <v>0.09823970098147282</v>
      </c>
      <c r="V940">
        <f>AND(judged_band,NOT($J940))</f>
        <v/>
      </c>
      <c r="W940">
        <f>IF($K940="","",IF($I940,"too few losses to test",IF(AND($K940&gt;better_at,$K940&lt;worse_at),"in line",IF($K940&gt;=worse_at,IF(AND(ISNUMBER($L940),$L940&lt;significance_bar),"worse","worse, not significant"),IF(AND(ISNUMBER($L940),$L940&lt;significance_bar),"better","better, not significant")))))</f>
        <v/>
      </c>
      <c r="X940">
        <f>IF($M940="","",IF($I940,"too few losses to test",IF(AND($M940&gt;better_at,$M940&lt;worse_at),"in line",IF($M940&gt;=worse_at,IF(AND(ISNUMBER($N940),$N940&lt;significance_bar),"worse","worse, not significant"),IF(AND(ISNUMBER($N940),$N940&lt;significance_bar),"better","better, not significant")))))</f>
        <v/>
      </c>
      <c r="Y940">
        <f>IF($V940,$X940,$W940)</f>
        <v/>
      </c>
      <c r="Z940">
        <f>IF($V940,IF($P940="","",$P940),IF($O940="","",$O940))</f>
        <v/>
      </c>
      <c r="AA940">
        <f>IF(OR($Q940="",$Z940=""),"",IF(AND($Z940&gt;0,$Z940&gt;=$Q940),"yes","below the line"))</f>
        <v/>
      </c>
      <c r="AB940">
        <f>IF($V940,IF($M940="","",$M940),IF($K940="","",$K940))</f>
        <v/>
      </c>
      <c r="AC940">
        <f>IF($V940,IF($N940="","",$N940),IF($L940="","",$L940))</f>
        <v/>
      </c>
      <c r="AD940">
        <f>$Y940</f>
        <v/>
      </c>
      <c r="AE940">
        <f>IF($V940,IF($S940="","",$S940),IF($R940="","",$R940))</f>
        <v/>
      </c>
      <c r="AF940">
        <f>IF($V940,IF($U940="","",$U940),IF($T940="","",$T940))</f>
        <v/>
      </c>
      <c r="AG940">
        <f>IF($V940,IF($O940="","",$O940),IF($P940="","",$P940))</f>
        <v/>
      </c>
      <c r="AH940" t="n">
        <v>0.0701261461165415</v>
      </c>
      <c r="AI940">
        <f>IF($Y940="worse","Yes",IF($Y940="worse, not significant","Not sure",IF(OR($Y940="too few losses to test",$Y940="too few loans to test"),"Too few losses",IF($Y940="","","No"))))</f>
        <v/>
      </c>
      <c r="AJ940">
        <f>IF($AA940="yes","Yes",IF($AA940="","","No"))</f>
        <v/>
      </c>
    </row>
    <row r="941">
      <c r="A941" t="inlineStr">
        <is>
          <t>three-way</t>
        </is>
      </c>
      <c r="B941" t="inlineStr">
        <is>
          <t>ORIG_BAL x CHANNEL / SYS_FLAG</t>
        </is>
      </c>
      <c r="C941" t="inlineStr">
        <is>
          <t>15,449 - 26,323</t>
        </is>
      </c>
      <c r="D941" t="inlineStr">
        <is>
          <t>Branch / SYS_FLAG Y</t>
        </is>
      </c>
      <c r="E941" t="inlineStr">
        <is>
          <t>gco_rate</t>
        </is>
      </c>
      <c r="F941" t="inlineStr">
        <is>
          <t>GCO per booked dollar</t>
        </is>
      </c>
      <c r="G941" t="n">
        <v>251</v>
      </c>
      <c r="H941" t="n">
        <v>5301207.189999996</v>
      </c>
      <c r="I941" t="b">
        <v>0</v>
      </c>
      <c r="J941" t="b">
        <v>0</v>
      </c>
      <c r="K941" t="n">
        <v>0.9670255542799332</v>
      </c>
      <c r="L941" t="n">
        <v>0.9822017798220178</v>
      </c>
      <c r="M941" t="n">
        <v>0.7242032956974487</v>
      </c>
      <c r="N941" t="n">
        <v>0.3703096357030963</v>
      </c>
      <c r="O941" t="n">
        <v>-7277.712507615739</v>
      </c>
      <c r="P941" t="n">
        <v>-81280.04166951851</v>
      </c>
      <c r="Q941">
        <f>'_live'!$C$22</f>
        <v/>
      </c>
      <c r="R941" t="inlineStr">
        <is>
          <t>shuffled: 8,978 of 10,000</t>
        </is>
      </c>
      <c r="S941" t="inlineStr">
        <is>
          <t>shuffled: 1,983 of 10,000</t>
        </is>
      </c>
      <c r="T941" t="n">
        <v>0.04163347037707762</v>
      </c>
      <c r="U941" t="n">
        <v>0.0555929944080376</v>
      </c>
      <c r="V941">
        <f>AND(judged_band,NOT($J941))</f>
        <v/>
      </c>
      <c r="W941">
        <f>IF($K941="","",IF($I941,"too few losses to test",IF(AND($K941&gt;better_at,$K941&lt;worse_at),"in line",IF($K941&gt;=worse_at,IF(AND(ISNUMBER($L941),$L941&lt;significance_bar),"worse","worse, not significant"),IF(AND(ISNUMBER($L941),$L941&lt;significance_bar),"better","better, not significant")))))</f>
        <v/>
      </c>
      <c r="X941">
        <f>IF($M941="","",IF($I941,"too few losses to test",IF(AND($M941&gt;better_at,$M941&lt;worse_at),"in line",IF($M941&gt;=worse_at,IF(AND(ISNUMBER($N941),$N941&lt;significance_bar),"worse","worse, not significant"),IF(AND(ISNUMBER($N941),$N941&lt;significance_bar),"better","better, not significant")))))</f>
        <v/>
      </c>
      <c r="Y941">
        <f>IF($V941,$X941,$W941)</f>
        <v/>
      </c>
      <c r="Z941">
        <f>IF($V941,IF($P941="","",$P941),IF($O941="","",$O941))</f>
        <v/>
      </c>
      <c r="AA941">
        <f>IF(OR($Q941="",$Z941=""),"",IF(AND($Z941&gt;0,$Z941&gt;=$Q941),"yes","below the line"))</f>
        <v/>
      </c>
      <c r="AB941">
        <f>IF($V941,IF($M941="","",$M941),IF($K941="","",$K941))</f>
        <v/>
      </c>
      <c r="AC941">
        <f>IF($V941,IF($N941="","",$N941),IF($L941="","",$L941))</f>
        <v/>
      </c>
      <c r="AD941">
        <f>$Y941</f>
        <v/>
      </c>
      <c r="AE941">
        <f>IF($V941,IF($S941="","",$S941),IF($R941="","",$R941))</f>
        <v/>
      </c>
      <c r="AF941">
        <f>IF($V941,IF($U941="","",$U941),IF($T941="","",$T941))</f>
        <v/>
      </c>
      <c r="AG941">
        <f>IF($V941,IF($O941="","",$O941),IF($P941="","",$P941))</f>
        <v/>
      </c>
      <c r="AH941" t="n">
        <v>0.04026062976799067</v>
      </c>
      <c r="AI941">
        <f>IF($Y941="worse","Yes",IF($Y941="worse, not significant","Not sure",IF(OR($Y941="too few losses to test",$Y941="too few loans to test"),"Too few losses",IF($Y941="","","No"))))</f>
        <v/>
      </c>
      <c r="AJ941">
        <f>IF($AA941="yes","Yes",IF($AA941="","","No"))</f>
        <v/>
      </c>
    </row>
    <row r="942">
      <c r="A942" t="inlineStr">
        <is>
          <t>three-way</t>
        </is>
      </c>
      <c r="B942" t="inlineStr">
        <is>
          <t>ORIG_BAL x CHANNEL / SYS_FLAG</t>
        </is>
      </c>
      <c r="C942" t="inlineStr">
        <is>
          <t>15,449 - 26,323</t>
        </is>
      </c>
      <c r="D942" t="inlineStr">
        <is>
          <t>Branch / SYS_FLAG Y</t>
        </is>
      </c>
      <c r="E942" t="inlineStr">
        <is>
          <t>ranr_rate</t>
        </is>
      </c>
      <c r="F942" t="inlineStr">
        <is>
          <t>Profit after losses: RANR per booked dollar</t>
        </is>
      </c>
      <c r="G942" t="n">
        <v>251</v>
      </c>
      <c r="H942" t="n">
        <v>5301207.189999996</v>
      </c>
      <c r="I942" t="b">
        <v>0</v>
      </c>
      <c r="J942" t="b">
        <v>0</v>
      </c>
      <c r="K942" t="n">
        <v>-0.004302851574771338</v>
      </c>
      <c r="L942" t="n">
        <v>0.831139108311391</v>
      </c>
      <c r="M942" t="n">
        <v>0.005605256207804193</v>
      </c>
      <c r="N942" t="n">
        <v>0.7109289071092891</v>
      </c>
      <c r="O942" t="n">
        <v>22810.30770568061</v>
      </c>
      <c r="P942" t="n">
        <v>-29714.62451060372</v>
      </c>
      <c r="Q942">
        <f>'_live'!$C$23</f>
        <v/>
      </c>
      <c r="R942" t="inlineStr">
        <is>
          <t>shuffled: 7,480 of 10,000</t>
        </is>
      </c>
      <c r="S942" t="inlineStr">
        <is>
          <t>shuffled: 6,872 of 10,000</t>
        </is>
      </c>
      <c r="T942" t="n">
        <v>0.1280784382444937</v>
      </c>
      <c r="U942" t="n">
        <v>0.1181703304619182</v>
      </c>
      <c r="V942">
        <f>AND(judged_band,NOT($J942))</f>
        <v/>
      </c>
      <c r="W942">
        <f>IF($K942="","",IF(profit_kind="test",IF(OR(NOT(AND(ISNUMBER($L942),$L942&lt;significance_bar)),$K942=0),"in line",IF($K942&lt;0,"worse","better")),IF(OR($K942=0,IF(profit_kind="points",ABS($K942),ABS($K942*$H942))&lt;profit_line*(1-1E-9)),"in line",IF(AND(ISNUMBER($L942),$L942&lt;significance_bar),IF($K942&lt;0,"worse","better"),IF($K942&lt;0,"worse, not significant","better, not significant")))))</f>
        <v/>
      </c>
      <c r="X942">
        <f>IF($M942="","",IF(profit_kind="test",IF(OR(NOT(AND(ISNUMBER($N942),$N942&lt;significance_bar)),$M942=0),"in line",IF($M942&lt;0,"worse","better")),IF(OR($M942=0,IF(profit_kind="points",ABS($M942),ABS($M942*$H942))&lt;profit_line*(1-1E-9)),"in line",IF(AND(ISNUMBER($N942),$N942&lt;significance_bar),IF($M942&lt;0,"worse","better"),IF($M942&lt;0,"worse, not significant","better, not significant")))))</f>
        <v/>
      </c>
      <c r="Y942">
        <f>IF($V942,$X942,$W942)</f>
        <v/>
      </c>
      <c r="Z942">
        <f>IF($V942,IF($P942="","",$P942),IF($O942="","",$O942))</f>
        <v/>
      </c>
      <c r="AA942">
        <f>IF(OR($Q942="",$Z942=""),"",IF(AND($Z942&gt;0,$Z942&gt;=$Q942),"yes","below the line"))</f>
        <v/>
      </c>
      <c r="AB942">
        <f>IF($V942,IF($M942="","",$M942),IF($K942="","",$K942))</f>
        <v/>
      </c>
      <c r="AC942">
        <f>IF($V942,IF($N942="","",$N942),IF($L942="","",$L942))</f>
        <v/>
      </c>
      <c r="AD942">
        <f>IF($Y942="","",IF($Y942="in line",IF(profit_kind="test",IF(ROUND($AB942*100,2)=0,"0.00",TEXT($AB942*100,"+0.00;-0.00"))&amp;" points against "&amp;IF($V942,"its band","the book")&amp;", "&amp;IF($AC942="","not tested","not significant"),IF(profit_kind="points","within "&amp;TEXT(profit_line*100,"0.00")&amp;" points of "&amp;IF($V942,"its band","the book")&amp;" ("&amp;IF(ROUND($AB942*100,2)=0,"0.00",TEXT($AB942*100,"+0.00;-0.00"))&amp;")","within $"&amp;TEXT(profit_line,"#,##0")&amp;" of "&amp;IF($V942,"its band","the book")&amp;" ("&amp;IF(ROUND($AB942*100,2)=0,"0.00",TEXT($AB942*100,"+0.00;-0.00"))&amp;" points)")),IF(LEFT($Y942,5)="worse","short of ","ahead of ")&amp;IF($V942,"its band","the book")&amp;" by "&amp;TEXT(ABS($AB942)*100,"0.00")&amp;" points"&amp;IF($Z942="",""," ($"&amp;TEXT(ABS($Z942),"#,##0")&amp;")")&amp;IF(RIGHT($Y942,15)="not significant"," (not significant)","")))</f>
        <v/>
      </c>
      <c r="AE942">
        <f>IF($V942,IF($S942="","",$S942),IF($R942="","",$R942))</f>
        <v/>
      </c>
      <c r="AF942">
        <f>IF($V942,IF($U942="","",$U942),IF($T942="","",$T942))</f>
        <v/>
      </c>
      <c r="AG942">
        <f>IF($V942,IF($O942="","",$O942),IF($P942="","",$P942))</f>
        <v/>
      </c>
      <c r="AH942" t="n">
        <v>0.1237755866697224</v>
      </c>
      <c r="AI942">
        <f>IF($Y942="worse","Yes",IF($Y942="worse, not significant","Not sure",IF(OR($Y942="too few losses to test",$Y942="too few loans to test"),"Too few losses",IF($Y942="","","No"))))</f>
        <v/>
      </c>
      <c r="AJ942">
        <f>IF($AA942="yes","Yes",IF($AA942="","","No"))</f>
        <v/>
      </c>
    </row>
    <row r="943">
      <c r="A943" t="inlineStr">
        <is>
          <t>three-way</t>
        </is>
      </c>
      <c r="B943" t="inlineStr">
        <is>
          <t>ORIG_BAL x CHANNEL / SYS_FLAG</t>
        </is>
      </c>
      <c r="C943" t="inlineStr">
        <is>
          <t>15,449 - 26,323</t>
        </is>
      </c>
      <c r="D943" t="inlineStr">
        <is>
          <t>Branch / SYS_FLAG Y</t>
        </is>
      </c>
      <c r="E943" t="inlineStr">
        <is>
          <t>contribution_rate</t>
        </is>
      </c>
      <c r="F943" t="inlineStr">
        <is>
          <t>Contribution before losses per booked dollar</t>
        </is>
      </c>
      <c r="G943" t="n">
        <v>251</v>
      </c>
      <c r="H943" t="n">
        <v>5301207.189999996</v>
      </c>
      <c r="I943" t="b">
        <v>0</v>
      </c>
      <c r="J943" t="b">
        <v>0</v>
      </c>
      <c r="K943" t="n">
        <v>-0.005672786841048577</v>
      </c>
      <c r="L943" t="n">
        <v>0.6373112688731126</v>
      </c>
      <c r="M943" t="n">
        <v>-0.009727108432242726</v>
      </c>
      <c r="N943" t="n">
        <v>0.3970655566022345</v>
      </c>
      <c r="O943" t="n">
        <v>30072.61838910403</v>
      </c>
      <c r="P943" t="n">
        <v>51565.41715891473</v>
      </c>
      <c r="Q943">
        <f>'_live'!$C$24</f>
        <v/>
      </c>
      <c r="R943" t="inlineStr">
        <is>
          <t>shuffled: 5,098 of 10,000</t>
        </is>
      </c>
      <c r="S943" t="inlineStr">
        <is>
          <t>shuffled: 2,514 of 10,000</t>
        </is>
      </c>
      <c r="T943" t="n">
        <v>0.1697090032787616</v>
      </c>
      <c r="U943" t="n">
        <v>0.1737633248699557</v>
      </c>
      <c r="V943">
        <f>AND(judged_band,NOT($J943))</f>
        <v/>
      </c>
      <c r="W943">
        <f>IF($K943="","",IF(profit_kind="test",IF(OR(NOT(AND(ISNUMBER($L943),$L943&lt;significance_bar)),$K943=0),"in line",IF($K943&lt;0,"worse","better")),IF(OR($K943=0,IF(profit_kind="points",ABS($K943),ABS($K943*$H943))&lt;profit_line*(1-1E-9)),"in line",IF(AND(ISNUMBER($L943),$L943&lt;significance_bar),IF($K943&lt;0,"worse","better"),IF($K943&lt;0,"worse, not significant","better, not significant")))))</f>
        <v/>
      </c>
      <c r="X943">
        <f>IF($M943="","",IF(profit_kind="test",IF(OR(NOT(AND(ISNUMBER($N943),$N943&lt;significance_bar)),$M943=0),"in line",IF($M943&lt;0,"worse","better")),IF(OR($M943=0,IF(profit_kind="points",ABS($M943),ABS($M943*$H943))&lt;profit_line*(1-1E-9)),"in line",IF(AND(ISNUMBER($N943),$N943&lt;significance_bar),IF($M943&lt;0,"worse","better"),IF($M943&lt;0,"worse, not significant","better, not significant")))))</f>
        <v/>
      </c>
      <c r="Y943">
        <f>IF($V943,$X943,$W943)</f>
        <v/>
      </c>
      <c r="Z943">
        <f>IF($V943,IF($P943="","",$P943),IF($O943="","",$O943))</f>
        <v/>
      </c>
      <c r="AA943">
        <f>IF(OR($Q943="",$Z943=""),"",IF(AND($Z943&gt;0,$Z943&gt;=$Q943),"yes","below the line"))</f>
        <v/>
      </c>
      <c r="AB943">
        <f>IF($V943,IF($M943="","",$M943),IF($K943="","",$K943))</f>
        <v/>
      </c>
      <c r="AC943">
        <f>IF($V943,IF($N943="","",$N943),IF($L943="","",$L943))</f>
        <v/>
      </c>
      <c r="AD943">
        <f>IF($Y943="","",IF($Y943="in line",IF(profit_kind="test",IF(ROUND($AB943*100,2)=0,"0.00",TEXT($AB943*100,"+0.00;-0.00"))&amp;" points against "&amp;IF($V943,"its band","the book")&amp;", "&amp;IF($AC943="","not tested","not significant"),IF(profit_kind="points","within "&amp;TEXT(profit_line*100,"0.00")&amp;" points of "&amp;IF($V943,"its band","the book")&amp;" ("&amp;IF(ROUND($AB943*100,2)=0,"0.00",TEXT($AB943*100,"+0.00;-0.00"))&amp;")","within $"&amp;TEXT(profit_line,"#,##0")&amp;" of "&amp;IF($V943,"its band","the book")&amp;" ("&amp;IF(ROUND($AB943*100,2)=0,"0.00",TEXT($AB943*100,"+0.00;-0.00"))&amp;" points)")),IF(LEFT($Y943,5)="worse","short of ","ahead of ")&amp;IF($V943,"its band","the book")&amp;" by "&amp;TEXT(ABS($AB943)*100,"0.00")&amp;" points"&amp;IF($Z943="",""," ($"&amp;TEXT(ABS($Z943),"#,##0")&amp;")")&amp;IF(RIGHT($Y943,15)="not significant"," (not significant)","")))</f>
        <v/>
      </c>
      <c r="AE943">
        <f>IF($V943,IF($S943="","",$S943),IF($R943="","",$R943))</f>
        <v/>
      </c>
      <c r="AF943">
        <f>IF($V943,IF($U943="","",$U943),IF($T943="","",$T943))</f>
        <v/>
      </c>
      <c r="AG943">
        <f>IF($V943,IF($O943="","",$O943),IF($P943="","",$P943))</f>
        <v/>
      </c>
      <c r="AH943" t="n">
        <v>0.164036216437713</v>
      </c>
      <c r="AI943">
        <f>IF($Y943="worse","Yes",IF($Y943="worse, not significant","Not sure",IF(OR($Y943="too few losses to test",$Y943="too few loans to test"),"Too few losses",IF($Y943="","","No"))))</f>
        <v/>
      </c>
      <c r="AJ943">
        <f>IF($AA943="yes","Yes",IF($AA943="","","No"))</f>
        <v/>
      </c>
    </row>
    <row r="944">
      <c r="A944" t="inlineStr">
        <is>
          <t>three-way</t>
        </is>
      </c>
      <c r="B944" t="inlineStr">
        <is>
          <t>ORIG_BAL x CHANNEL / SYS_FLAG</t>
        </is>
      </c>
      <c r="C944" t="inlineStr">
        <is>
          <t>5,005 - 15,448</t>
        </is>
      </c>
      <c r="D944" t="inlineStr">
        <is>
          <t>Broker / SYS_FLAG N</t>
        </is>
      </c>
      <c r="E944" t="inlineStr">
        <is>
          <t>outcome_loans</t>
        </is>
      </c>
      <c r="F944" t="inlineStr">
        <is>
          <t>Outcome, share of loans</t>
        </is>
      </c>
      <c r="G944" t="n">
        <v>277</v>
      </c>
      <c r="H944" t="n">
        <v>277</v>
      </c>
      <c r="I944" t="b">
        <v>0</v>
      </c>
      <c r="J944" t="b">
        <v>0</v>
      </c>
      <c r="K944" t="n">
        <v>0.7872314906988738</v>
      </c>
      <c r="L944" t="n">
        <v>0.5106577122371279</v>
      </c>
      <c r="M944" t="n">
        <v>0.7659900551733533</v>
      </c>
      <c r="N944" t="n">
        <v>0.4461345440320933</v>
      </c>
      <c r="O944" t="n">
        <v>-4.594664594664593</v>
      </c>
      <c r="P944" t="n">
        <v>-5.193499622071052</v>
      </c>
      <c r="Q944">
        <f>'_live'!$C$20</f>
        <v/>
      </c>
      <c r="R944" t="inlineStr">
        <is>
          <t>z test</t>
        </is>
      </c>
      <c r="S944" t="inlineStr">
        <is>
          <t>z test</t>
        </is>
      </c>
      <c r="T944" t="n">
        <v>0.07795907795907796</v>
      </c>
      <c r="U944" t="n">
        <v>0.08012093726379441</v>
      </c>
      <c r="V944">
        <f>AND(judged_band,NOT($J944))</f>
        <v/>
      </c>
      <c r="W944">
        <f>IF($K944="","",IF($I944,"too few losses to test",IF(AND($K944&gt;better_at,$K944&lt;worse_at),"in line",IF($K944&gt;=worse_at,IF(AND(ISNUMBER($L944),$L944&lt;significance_bar),"worse","worse, not significant"),IF(AND(ISNUMBER($L944),$L944&lt;significance_bar),"better","better, not significant")))))</f>
        <v/>
      </c>
      <c r="X944">
        <f>IF($M944="","",IF($I944,"too few losses to test",IF(AND($M944&gt;better_at,$M944&lt;worse_at),"in line",IF($M944&gt;=worse_at,IF(AND(ISNUMBER($N944),$N944&lt;significance_bar),"worse","worse, not significant"),IF(AND(ISNUMBER($N944),$N944&lt;significance_bar),"better","better, not significant")))))</f>
        <v/>
      </c>
      <c r="Y944">
        <f>IF($V944,$X944,$W944)</f>
        <v/>
      </c>
      <c r="Z944">
        <f>IF($V944,IF($P944="","",$P944),IF($O944="","",$O944))</f>
        <v/>
      </c>
      <c r="AA944">
        <f>IF(OR($Q944="",$Z944=""),"",IF(AND($Z944&gt;0,$Z944&gt;=$Q944),"yes","below the line"))</f>
        <v/>
      </c>
      <c r="AB944">
        <f>IF($V944,IF($M944="","",$M944),IF($K944="","",$K944))</f>
        <v/>
      </c>
      <c r="AC944">
        <f>IF($V944,IF($N944="","",$N944),IF($L944="","",$L944))</f>
        <v/>
      </c>
      <c r="AD944">
        <f>$Y944</f>
        <v/>
      </c>
      <c r="AE944">
        <f>IF($V944,IF($S944="","",$S944),IF($R944="","",$R944))</f>
        <v/>
      </c>
      <c r="AF944">
        <f>IF($V944,IF($U944="","",$U944),IF($T944="","",$T944))</f>
        <v/>
      </c>
      <c r="AG944">
        <f>IF($V944,IF($O944="","",$O944),IF($P944="","",$P944))</f>
        <v/>
      </c>
      <c r="AH944" t="n">
        <v>0.06137184115523465</v>
      </c>
      <c r="AI944">
        <f>IF($Y944="worse","Yes",IF($Y944="worse, not significant","Not sure",IF(OR($Y944="too few losses to test",$Y944="too few loans to test"),"Too few losses",IF($Y944="","","No"))))</f>
        <v/>
      </c>
      <c r="AJ944">
        <f>IF($AA944="yes","Yes",IF($AA944="","","No"))</f>
        <v/>
      </c>
    </row>
    <row r="945">
      <c r="A945" t="inlineStr">
        <is>
          <t>three-way</t>
        </is>
      </c>
      <c r="B945" t="inlineStr">
        <is>
          <t>ORIG_BAL x CHANNEL / SYS_FLAG</t>
        </is>
      </c>
      <c r="C945" t="inlineStr">
        <is>
          <t>5,005 - 15,448</t>
        </is>
      </c>
      <c r="D945" t="inlineStr">
        <is>
          <t>Broker / SYS_FLAG N</t>
        </is>
      </c>
      <c r="E945" t="inlineStr">
        <is>
          <t>outcome_booked</t>
        </is>
      </c>
      <c r="F945" t="inlineStr">
        <is>
          <t>Outcome, share of booked dollars</t>
        </is>
      </c>
      <c r="G945" t="n">
        <v>277</v>
      </c>
      <c r="H945" t="n">
        <v>2815673.429999998</v>
      </c>
      <c r="I945" t="b">
        <v>0</v>
      </c>
      <c r="J945" t="b">
        <v>0</v>
      </c>
      <c r="K945" t="n">
        <v>0.8597551955234362</v>
      </c>
      <c r="L945" t="n">
        <v>0.8179603092322347</v>
      </c>
      <c r="M945" t="n">
        <v>0.8269923751813483</v>
      </c>
      <c r="N945" t="n">
        <v>0.6519148085191481</v>
      </c>
      <c r="O945" t="n">
        <v>-29593.98047206606</v>
      </c>
      <c r="P945" t="n">
        <v>-37953.78988544812</v>
      </c>
      <c r="Q945">
        <f>'_live'!$C$21</f>
        <v/>
      </c>
      <c r="R945" t="inlineStr">
        <is>
          <t>shuffled: 5,550 of 10,000</t>
        </is>
      </c>
      <c r="S945" t="inlineStr">
        <is>
          <t>shuffled: 4,656 of 10,000</t>
        </is>
      </c>
      <c r="T945" t="n">
        <v>0.07494355993978541</v>
      </c>
      <c r="U945" t="n">
        <v>0.07791258657629491</v>
      </c>
      <c r="V945">
        <f>AND(judged_band,NOT($J945))</f>
        <v/>
      </c>
      <c r="W945">
        <f>IF($K945="","",IF($I945,"too few losses to test",IF(AND($K945&gt;better_at,$K945&lt;worse_at),"in line",IF($K945&gt;=worse_at,IF(AND(ISNUMBER($L945),$L945&lt;significance_bar),"worse","worse, not significant"),IF(AND(ISNUMBER($L945),$L945&lt;significance_bar),"better","better, not significant")))))</f>
        <v/>
      </c>
      <c r="X945">
        <f>IF($M945="","",IF($I945,"too few losses to test",IF(AND($M945&gt;better_at,$M945&lt;worse_at),"in line",IF($M945&gt;=worse_at,IF(AND(ISNUMBER($N945),$N945&lt;significance_bar),"worse","worse, not significant"),IF(AND(ISNUMBER($N945),$N945&lt;significance_bar),"better","better, not significant")))))</f>
        <v/>
      </c>
      <c r="Y945">
        <f>IF($V945,$X945,$W945)</f>
        <v/>
      </c>
      <c r="Z945">
        <f>IF($V945,IF($P945="","",$P945),IF($O945="","",$O945))</f>
        <v/>
      </c>
      <c r="AA945">
        <f>IF(OR($Q945="",$Z945=""),"",IF(AND($Z945&gt;0,$Z945&gt;=$Q945),"yes","below the line"))</f>
        <v/>
      </c>
      <c r="AB945">
        <f>IF($V945,IF($M945="","",$M945),IF($K945="","",$K945))</f>
        <v/>
      </c>
      <c r="AC945">
        <f>IF($V945,IF($N945="","",$N945),IF($L945="","",$L945))</f>
        <v/>
      </c>
      <c r="AD945">
        <f>$Y945</f>
        <v/>
      </c>
      <c r="AE945">
        <f>IF($V945,IF($S945="","",$S945),IF($R945="","",$R945))</f>
        <v/>
      </c>
      <c r="AF945">
        <f>IF($V945,IF($U945="","",$U945),IF($T945="","",$T945))</f>
        <v/>
      </c>
      <c r="AG945">
        <f>IF($V945,IF($O945="","",$O945),IF($P945="","",$P945))</f>
        <v/>
      </c>
      <c r="AH945" t="n">
        <v>0.06443311502925256</v>
      </c>
      <c r="AI945">
        <f>IF($Y945="worse","Yes",IF($Y945="worse, not significant","Not sure",IF(OR($Y945="too few losses to test",$Y945="too few loans to test"),"Too few losses",IF($Y945="","","No"))))</f>
        <v/>
      </c>
      <c r="AJ945">
        <f>IF($AA945="yes","Yes",IF($AA945="","","No"))</f>
        <v/>
      </c>
    </row>
    <row r="946">
      <c r="A946" t="inlineStr">
        <is>
          <t>three-way</t>
        </is>
      </c>
      <c r="B946" t="inlineStr">
        <is>
          <t>ORIG_BAL x CHANNEL / SYS_FLAG</t>
        </is>
      </c>
      <c r="C946" t="inlineStr">
        <is>
          <t>5,005 - 15,448</t>
        </is>
      </c>
      <c r="D946" t="inlineStr">
        <is>
          <t>Broker / SYS_FLAG N</t>
        </is>
      </c>
      <c r="E946" t="inlineStr">
        <is>
          <t>gco_rate</t>
        </is>
      </c>
      <c r="F946" t="inlineStr">
        <is>
          <t>GCO per booked dollar</t>
        </is>
      </c>
      <c r="G946" t="n">
        <v>277</v>
      </c>
      <c r="H946" t="n">
        <v>2815673.429999998</v>
      </c>
      <c r="I946" t="b">
        <v>0</v>
      </c>
      <c r="J946" t="b">
        <v>0</v>
      </c>
      <c r="K946" t="n">
        <v>0.8899552537872525</v>
      </c>
      <c r="L946" t="n">
        <v>0.9594198474889354</v>
      </c>
      <c r="M946" t="n">
        <v>0.8762813259515931</v>
      </c>
      <c r="N946" t="n">
        <v>0.7890341400642543</v>
      </c>
      <c r="O946" t="n">
        <v>-12906.89334790084</v>
      </c>
      <c r="P946" t="n">
        <v>-14737.1084519021</v>
      </c>
      <c r="Q946">
        <f>'_live'!$C$22</f>
        <v/>
      </c>
      <c r="R946" t="inlineStr">
        <is>
          <t>shuffled: 6,510 of 10,000</t>
        </is>
      </c>
      <c r="S946" t="inlineStr">
        <is>
          <t>shuffled: 6,219 of 10,000</t>
        </is>
      </c>
      <c r="T946" t="n">
        <v>0.04165528647542798</v>
      </c>
      <c r="U946" t="n">
        <v>0.04230529619761415</v>
      </c>
      <c r="V946">
        <f>AND(judged_band,NOT($J946))</f>
        <v/>
      </c>
      <c r="W946">
        <f>IF($K946="","",IF($I946,"too few losses to test",IF(AND($K946&gt;better_at,$K946&lt;worse_at),"in line",IF($K946&gt;=worse_at,IF(AND(ISNUMBER($L946),$L946&lt;significance_bar),"worse","worse, not significant"),IF(AND(ISNUMBER($L946),$L946&lt;significance_bar),"better","better, not significant")))))</f>
        <v/>
      </c>
      <c r="X946">
        <f>IF($M946="","",IF($I946,"too few losses to test",IF(AND($M946&gt;better_at,$M946&lt;worse_at),"in line",IF($M946&gt;=worse_at,IF(AND(ISNUMBER($N946),$N946&lt;significance_bar),"worse","worse, not significant"),IF(AND(ISNUMBER($N946),$N946&lt;significance_bar),"better","better, not significant")))))</f>
        <v/>
      </c>
      <c r="Y946">
        <f>IF($V946,$X946,$W946)</f>
        <v/>
      </c>
      <c r="Z946">
        <f>IF($V946,IF($P946="","",$P946),IF($O946="","",$O946))</f>
        <v/>
      </c>
      <c r="AA946">
        <f>IF(OR($Q946="",$Z946=""),"",IF(AND($Z946&gt;0,$Z946&gt;=$Q946),"yes","below the line"))</f>
        <v/>
      </c>
      <c r="AB946">
        <f>IF($V946,IF($M946="","",$M946),IF($K946="","",$K946))</f>
        <v/>
      </c>
      <c r="AC946">
        <f>IF($V946,IF($N946="","",$N946),IF($L946="","",$L946))</f>
        <v/>
      </c>
      <c r="AD946">
        <f>$Y946</f>
        <v/>
      </c>
      <c r="AE946">
        <f>IF($V946,IF($S946="","",$S946),IF($R946="","",$R946))</f>
        <v/>
      </c>
      <c r="AF946">
        <f>IF($V946,IF($U946="","",$U946),IF($T946="","",$T946))</f>
        <v/>
      </c>
      <c r="AG946">
        <f>IF($V946,IF($O946="","",$O946),IF($P946="","",$P946))</f>
        <v/>
      </c>
      <c r="AH946" t="n">
        <v>0.03707134104682022</v>
      </c>
      <c r="AI946">
        <f>IF($Y946="worse","Yes",IF($Y946="worse, not significant","Not sure",IF(OR($Y946="too few losses to test",$Y946="too few loans to test"),"Too few losses",IF($Y946="","","No"))))</f>
        <v/>
      </c>
      <c r="AJ946">
        <f>IF($AA946="yes","Yes",IF($AA946="","","No"))</f>
        <v/>
      </c>
    </row>
    <row r="947">
      <c r="A947" t="inlineStr">
        <is>
          <t>three-way</t>
        </is>
      </c>
      <c r="B947" t="inlineStr">
        <is>
          <t>ORIG_BAL x CHANNEL / SYS_FLAG</t>
        </is>
      </c>
      <c r="C947" t="inlineStr">
        <is>
          <t>5,005 - 15,448</t>
        </is>
      </c>
      <c r="D947" t="inlineStr">
        <is>
          <t>Broker / SYS_FLAG N</t>
        </is>
      </c>
      <c r="E947" t="inlineStr">
        <is>
          <t>ranr_rate</t>
        </is>
      </c>
      <c r="F947" t="inlineStr">
        <is>
          <t>Profit after losses: RANR per booked dollar</t>
        </is>
      </c>
      <c r="G947" t="n">
        <v>277</v>
      </c>
      <c r="H947" t="n">
        <v>2815673.429999998</v>
      </c>
      <c r="I947" t="b">
        <v>0</v>
      </c>
      <c r="J947" t="b">
        <v>0</v>
      </c>
      <c r="K947" t="n">
        <v>0.03040641367921301</v>
      </c>
      <c r="L947" t="n">
        <v>0.05870841487279843</v>
      </c>
      <c r="M947" t="n">
        <v>0.01377394528498566</v>
      </c>
      <c r="N947" t="n">
        <v>0.3825331752539032</v>
      </c>
      <c r="O947" t="n">
        <v>-85614.53109814855</v>
      </c>
      <c r="P947" t="n">
        <v>-38782.93176520785</v>
      </c>
      <c r="Q947">
        <f>'_live'!$C$23</f>
        <v/>
      </c>
      <c r="R947" t="inlineStr">
        <is>
          <t>shuffled: 136 of 10,000</t>
        </is>
      </c>
      <c r="S947" t="inlineStr">
        <is>
          <t>shuffled: 2,677 of 10,000</t>
        </is>
      </c>
      <c r="T947" t="n">
        <v>0.1276582983921724</v>
      </c>
      <c r="U947" t="n">
        <v>0.1442907667863998</v>
      </c>
      <c r="V947">
        <f>AND(judged_band,NOT($J947))</f>
        <v/>
      </c>
      <c r="W947">
        <f>IF($K947="","",IF(profit_kind="test",IF(OR(NOT(AND(ISNUMBER($L947),$L947&lt;significance_bar)),$K947=0),"in line",IF($K947&lt;0,"worse","better")),IF(OR($K947=0,IF(profit_kind="points",ABS($K947),ABS($K947*$H947))&lt;profit_line*(1-1E-9)),"in line",IF(AND(ISNUMBER($L947),$L947&lt;significance_bar),IF($K947&lt;0,"worse","better"),IF($K947&lt;0,"worse, not significant","better, not significant")))))</f>
        <v/>
      </c>
      <c r="X947">
        <f>IF($M947="","",IF(profit_kind="test",IF(OR(NOT(AND(ISNUMBER($N947),$N947&lt;significance_bar)),$M947=0),"in line",IF($M947&lt;0,"worse","better")),IF(OR($M947=0,IF(profit_kind="points",ABS($M947),ABS($M947*$H947))&lt;profit_line*(1-1E-9)),"in line",IF(AND(ISNUMBER($N947),$N947&lt;significance_bar),IF($M947&lt;0,"worse","better"),IF($M947&lt;0,"worse, not significant","better, not significant")))))</f>
        <v/>
      </c>
      <c r="Y947">
        <f>IF($V947,$X947,$W947)</f>
        <v/>
      </c>
      <c r="Z947">
        <f>IF($V947,IF($P947="","",$P947),IF($O947="","",$O947))</f>
        <v/>
      </c>
      <c r="AA947">
        <f>IF(OR($Q947="",$Z947=""),"",IF(AND($Z947&gt;0,$Z947&gt;=$Q947),"yes","below the line"))</f>
        <v/>
      </c>
      <c r="AB947">
        <f>IF($V947,IF($M947="","",$M947),IF($K947="","",$K947))</f>
        <v/>
      </c>
      <c r="AC947">
        <f>IF($V947,IF($N947="","",$N947),IF($L947="","",$L947))</f>
        <v/>
      </c>
      <c r="AD947">
        <f>IF($Y947="","",IF($Y947="in line",IF(profit_kind="test",IF(ROUND($AB947*100,2)=0,"0.00",TEXT($AB947*100,"+0.00;-0.00"))&amp;" points against "&amp;IF($V947,"its band","the book")&amp;", "&amp;IF($AC947="","not tested","not significant"),IF(profit_kind="points","within "&amp;TEXT(profit_line*100,"0.00")&amp;" points of "&amp;IF($V947,"its band","the book")&amp;" ("&amp;IF(ROUND($AB947*100,2)=0,"0.00",TEXT($AB947*100,"+0.00;-0.00"))&amp;")","within $"&amp;TEXT(profit_line,"#,##0")&amp;" of "&amp;IF($V947,"its band","the book")&amp;" ("&amp;IF(ROUND($AB947*100,2)=0,"0.00",TEXT($AB947*100,"+0.00;-0.00"))&amp;" points)")),IF(LEFT($Y947,5)="worse","short of ","ahead of ")&amp;IF($V947,"its band","the book")&amp;" by "&amp;TEXT(ABS($AB947)*100,"0.00")&amp;" points"&amp;IF($Z947="",""," ($"&amp;TEXT(ABS($Z947),"#,##0")&amp;")")&amp;IF(RIGHT($Y947,15)="not significant"," (not significant)","")))</f>
        <v/>
      </c>
      <c r="AE947">
        <f>IF($V947,IF($S947="","",$S947),IF($R947="","",$R947))</f>
        <v/>
      </c>
      <c r="AF947">
        <f>IF($V947,IF($U947="","",$U947),IF($T947="","",$T947))</f>
        <v/>
      </c>
      <c r="AG947">
        <f>IF($V947,IF($O947="","",$O947),IF($P947="","",$P947))</f>
        <v/>
      </c>
      <c r="AH947" t="n">
        <v>0.1580647120713854</v>
      </c>
      <c r="AI947">
        <f>IF($Y947="worse","Yes",IF($Y947="worse, not significant","Not sure",IF(OR($Y947="too few losses to test",$Y947="too few loans to test"),"Too few losses",IF($Y947="","","No"))))</f>
        <v/>
      </c>
      <c r="AJ947">
        <f>IF($AA947="yes","Yes",IF($AA947="","","No"))</f>
        <v/>
      </c>
    </row>
    <row r="948">
      <c r="A948" t="inlineStr">
        <is>
          <t>three-way</t>
        </is>
      </c>
      <c r="B948" t="inlineStr">
        <is>
          <t>ORIG_BAL x CHANNEL / SYS_FLAG</t>
        </is>
      </c>
      <c r="C948" t="inlineStr">
        <is>
          <t>5,005 - 15,448</t>
        </is>
      </c>
      <c r="D948" t="inlineStr">
        <is>
          <t>Broker / SYS_FLAG N</t>
        </is>
      </c>
      <c r="E948" t="inlineStr">
        <is>
          <t>contribution_rate</t>
        </is>
      </c>
      <c r="F948" t="inlineStr">
        <is>
          <t>Contribution before losses per booked dollar</t>
        </is>
      </c>
      <c r="G948" t="n">
        <v>277</v>
      </c>
      <c r="H948" t="n">
        <v>2815673.429999998</v>
      </c>
      <c r="I948" t="b">
        <v>0</v>
      </c>
      <c r="J948" t="b">
        <v>0</v>
      </c>
      <c r="K948" t="n">
        <v>0.02582541062789065</v>
      </c>
      <c r="L948" t="n">
        <v>0.0104989501049895</v>
      </c>
      <c r="M948" t="n">
        <v>0.008539990134191655</v>
      </c>
      <c r="N948" t="n">
        <v>0.4010468518365554</v>
      </c>
      <c r="O948" t="n">
        <v>-72715.92252379126</v>
      </c>
      <c r="P948" t="n">
        <v>-24045.8233133055</v>
      </c>
      <c r="Q948">
        <f>'_live'!$C$24</f>
        <v/>
      </c>
      <c r="R948" t="inlineStr">
        <is>
          <t>shuffled: 13 of 10,000</t>
        </is>
      </c>
      <c r="S948" t="inlineStr">
        <is>
          <t>shuffled: 3,041 of 10,000</t>
        </is>
      </c>
      <c r="T948" t="n">
        <v>0.1693106424903149</v>
      </c>
      <c r="U948" t="n">
        <v>0.1865960629840139</v>
      </c>
      <c r="V948">
        <f>AND(judged_band,NOT($J948))</f>
        <v/>
      </c>
      <c r="W948">
        <f>IF($K948="","",IF(profit_kind="test",IF(OR(NOT(AND(ISNUMBER($L948),$L948&lt;significance_bar)),$K948=0),"in line",IF($K948&lt;0,"worse","better")),IF(OR($K948=0,IF(profit_kind="points",ABS($K948),ABS($K948*$H948))&lt;profit_line*(1-1E-9)),"in line",IF(AND(ISNUMBER($L948),$L948&lt;significance_bar),IF($K948&lt;0,"worse","better"),IF($K948&lt;0,"worse, not significant","better, not significant")))))</f>
        <v/>
      </c>
      <c r="X948">
        <f>IF($M948="","",IF(profit_kind="test",IF(OR(NOT(AND(ISNUMBER($N948),$N948&lt;significance_bar)),$M948=0),"in line",IF($M948&lt;0,"worse","better")),IF(OR($M948=0,IF(profit_kind="points",ABS($M948),ABS($M948*$H948))&lt;profit_line*(1-1E-9)),"in line",IF(AND(ISNUMBER($N948),$N948&lt;significance_bar),IF($M948&lt;0,"worse","better"),IF($M948&lt;0,"worse, not significant","better, not significant")))))</f>
        <v/>
      </c>
      <c r="Y948">
        <f>IF($V948,$X948,$W948)</f>
        <v/>
      </c>
      <c r="Z948">
        <f>IF($V948,IF($P948="","",$P948),IF($O948="","",$O948))</f>
        <v/>
      </c>
      <c r="AA948">
        <f>IF(OR($Q948="",$Z948=""),"",IF(AND($Z948&gt;0,$Z948&gt;=$Q948),"yes","below the line"))</f>
        <v/>
      </c>
      <c r="AB948">
        <f>IF($V948,IF($M948="","",$M948),IF($K948="","",$K948))</f>
        <v/>
      </c>
      <c r="AC948">
        <f>IF($V948,IF($N948="","",$N948),IF($L948="","",$L948))</f>
        <v/>
      </c>
      <c r="AD948">
        <f>IF($Y948="","",IF($Y948="in line",IF(profit_kind="test",IF(ROUND($AB948*100,2)=0,"0.00",TEXT($AB948*100,"+0.00;-0.00"))&amp;" points against "&amp;IF($V948,"its band","the book")&amp;", "&amp;IF($AC948="","not tested","not significant"),IF(profit_kind="points","within "&amp;TEXT(profit_line*100,"0.00")&amp;" points of "&amp;IF($V948,"its band","the book")&amp;" ("&amp;IF(ROUND($AB948*100,2)=0,"0.00",TEXT($AB948*100,"+0.00;-0.00"))&amp;")","within $"&amp;TEXT(profit_line,"#,##0")&amp;" of "&amp;IF($V948,"its band","the book")&amp;" ("&amp;IF(ROUND($AB948*100,2)=0,"0.00",TEXT($AB948*100,"+0.00;-0.00"))&amp;" points)")),IF(LEFT($Y948,5)="worse","short of ","ahead of ")&amp;IF($V948,"its band","the book")&amp;" by "&amp;TEXT(ABS($AB948)*100,"0.00")&amp;" points"&amp;IF($Z948="",""," ($"&amp;TEXT(ABS($Z948),"#,##0")&amp;")")&amp;IF(RIGHT($Y948,15)="not significant"," (not significant)","")))</f>
        <v/>
      </c>
      <c r="AE948">
        <f>IF($V948,IF($S948="","",$S948),IF($R948="","",$R948))</f>
        <v/>
      </c>
      <c r="AF948">
        <f>IF($V948,IF($U948="","",$U948),IF($T948="","",$T948))</f>
        <v/>
      </c>
      <c r="AG948">
        <f>IF($V948,IF($O948="","",$O948),IF($P948="","",$P948))</f>
        <v/>
      </c>
      <c r="AH948" t="n">
        <v>0.1951360531182056</v>
      </c>
      <c r="AI948">
        <f>IF($Y948="worse","Yes",IF($Y948="worse, not significant","Not sure",IF(OR($Y948="too few losses to test",$Y948="too few loans to test"),"Too few losses",IF($Y948="","","No"))))</f>
        <v/>
      </c>
      <c r="AJ948">
        <f>IF($AA948="yes","Yes",IF($AA948="","","No"))</f>
        <v/>
      </c>
    </row>
    <row r="949">
      <c r="A949" t="inlineStr">
        <is>
          <t>three-way</t>
        </is>
      </c>
      <c r="B949" t="inlineStr">
        <is>
          <t>ORIG_BAL x CHANNEL / SYS_FLAG</t>
        </is>
      </c>
      <c r="C949" t="inlineStr">
        <is>
          <t>49,152 - 59,984</t>
        </is>
      </c>
      <c r="D949" t="inlineStr">
        <is>
          <t>Broker / SYS_FLAG N</t>
        </is>
      </c>
      <c r="E949" t="inlineStr">
        <is>
          <t>outcome_loans</t>
        </is>
      </c>
      <c r="F949" t="inlineStr">
        <is>
          <t>Outcome, share of loans</t>
        </is>
      </c>
      <c r="G949" t="n">
        <v>278</v>
      </c>
      <c r="H949" t="n">
        <v>278</v>
      </c>
      <c r="I949" t="b">
        <v>0</v>
      </c>
      <c r="J949" t="b">
        <v>0</v>
      </c>
      <c r="K949" t="n">
        <v>0.879490407673861</v>
      </c>
      <c r="L949" t="n">
        <v>0.7202191315944685</v>
      </c>
      <c r="M949" t="n">
        <v>1.075625214114423</v>
      </c>
      <c r="N949" t="n">
        <v>0.8987489474994704</v>
      </c>
      <c r="O949" t="n">
        <v>-2.603419246211629</v>
      </c>
      <c r="P949" t="n">
        <v>1.335854765506809</v>
      </c>
      <c r="Q949">
        <f>'_live'!$C$20</f>
        <v/>
      </c>
      <c r="R949" t="inlineStr">
        <is>
          <t>z test</t>
        </is>
      </c>
      <c r="S949" t="inlineStr">
        <is>
          <t>z test</t>
        </is>
      </c>
      <c r="T949" t="n">
        <v>0.07771014117342313</v>
      </c>
      <c r="U949" t="n">
        <v>0.06354009077155824</v>
      </c>
      <c r="V949">
        <f>AND(judged_band,NOT($J949))</f>
        <v/>
      </c>
      <c r="W949">
        <f>IF($K949="","",IF($I949,"too few losses to test",IF(AND($K949&gt;better_at,$K949&lt;worse_at),"in line",IF($K949&gt;=worse_at,IF(AND(ISNUMBER($L949),$L949&lt;significance_bar),"worse","worse, not significant"),IF(AND(ISNUMBER($L949),$L949&lt;significance_bar),"better","better, not significant")))))</f>
        <v/>
      </c>
      <c r="X949">
        <f>IF($M949="","",IF($I949,"too few losses to test",IF(AND($M949&gt;better_at,$M949&lt;worse_at),"in line",IF($M949&gt;=worse_at,IF(AND(ISNUMBER($N949),$N949&lt;significance_bar),"worse","worse, not significant"),IF(AND(ISNUMBER($N949),$N949&lt;significance_bar),"better","better, not significant")))))</f>
        <v/>
      </c>
      <c r="Y949">
        <f>IF($V949,$X949,$W949)</f>
        <v/>
      </c>
      <c r="Z949">
        <f>IF($V949,IF($P949="","",$P949),IF($O949="","",$O949))</f>
        <v/>
      </c>
      <c r="AA949">
        <f>IF(OR($Q949="",$Z949=""),"",IF(AND($Z949&gt;0,$Z949&gt;=$Q949),"yes","below the line"))</f>
        <v/>
      </c>
      <c r="AB949">
        <f>IF($V949,IF($M949="","",$M949),IF($K949="","",$K949))</f>
        <v/>
      </c>
      <c r="AC949">
        <f>IF($V949,IF($N949="","",$N949),IF($L949="","",$L949))</f>
        <v/>
      </c>
      <c r="AD949">
        <f>$Y949</f>
        <v/>
      </c>
      <c r="AE949">
        <f>IF($V949,IF($S949="","",$S949),IF($R949="","",$R949))</f>
        <v/>
      </c>
      <c r="AF949">
        <f>IF($V949,IF($U949="","",$U949),IF($T949="","",$T949))</f>
        <v/>
      </c>
      <c r="AG949">
        <f>IF($V949,IF($O949="","",$O949),IF($P949="","",$P949))</f>
        <v/>
      </c>
      <c r="AH949" t="n">
        <v>0.0683453237410072</v>
      </c>
      <c r="AI949">
        <f>IF($Y949="worse","Yes",IF($Y949="worse, not significant","Not sure",IF(OR($Y949="too few losses to test",$Y949="too few loans to test"),"Too few losses",IF($Y949="","","No"))))</f>
        <v/>
      </c>
      <c r="AJ949">
        <f>IF($AA949="yes","Yes",IF($AA949="","","No"))</f>
        <v/>
      </c>
    </row>
    <row r="950">
      <c r="A950" t="inlineStr">
        <is>
          <t>three-way</t>
        </is>
      </c>
      <c r="B950" t="inlineStr">
        <is>
          <t>ORIG_BAL x CHANNEL / SYS_FLAG</t>
        </is>
      </c>
      <c r="C950" t="inlineStr">
        <is>
          <t>49,152 - 59,984</t>
        </is>
      </c>
      <c r="D950" t="inlineStr">
        <is>
          <t>Broker / SYS_FLAG N</t>
        </is>
      </c>
      <c r="E950" t="inlineStr">
        <is>
          <t>outcome_booked</t>
        </is>
      </c>
      <c r="F950" t="inlineStr">
        <is>
          <t>Outcome, share of booked dollars</t>
        </is>
      </c>
      <c r="G950" t="n">
        <v>278</v>
      </c>
      <c r="H950" t="n">
        <v>15257808.77999999</v>
      </c>
      <c r="I950" t="b">
        <v>0</v>
      </c>
      <c r="J950" t="b">
        <v>0</v>
      </c>
      <c r="K950" t="n">
        <v>0.9162183077654176</v>
      </c>
      <c r="L950" t="n">
        <v>0.8386716883867168</v>
      </c>
      <c r="M950" t="n">
        <v>1.079026362333243</v>
      </c>
      <c r="N950" t="n">
        <v>0.9031250721081737</v>
      </c>
      <c r="O950" t="n">
        <v>-96131.86749534565</v>
      </c>
      <c r="P950" t="n">
        <v>76994.04786402674</v>
      </c>
      <c r="Q950">
        <f>'_live'!$C$21</f>
        <v/>
      </c>
      <c r="R950" t="inlineStr">
        <is>
          <t>shuffled: 7,313 of 10,000</t>
        </is>
      </c>
      <c r="S950" t="inlineStr">
        <is>
          <t>shuffled: 7,363 of 10,000</t>
        </is>
      </c>
      <c r="T950" t="n">
        <v>0.075201427284852</v>
      </c>
      <c r="U950" t="n">
        <v>0.06385471834022906</v>
      </c>
      <c r="V950">
        <f>AND(judged_band,NOT($J950))</f>
        <v/>
      </c>
      <c r="W950">
        <f>IF($K950="","",IF($I950,"too few losses to test",IF(AND($K950&gt;better_at,$K950&lt;worse_at),"in line",IF($K950&gt;=worse_at,IF(AND(ISNUMBER($L950),$L950&lt;significance_bar),"worse","worse, not significant"),IF(AND(ISNUMBER($L950),$L950&lt;significance_bar),"better","better, not significant")))))</f>
        <v/>
      </c>
      <c r="X950">
        <f>IF($M950="","",IF($I950,"too few losses to test",IF(AND($M950&gt;better_at,$M950&lt;worse_at),"in line",IF($M950&gt;=worse_at,IF(AND(ISNUMBER($N950),$N950&lt;significance_bar),"worse","worse, not significant"),IF(AND(ISNUMBER($N950),$N950&lt;significance_bar),"better","better, not significant")))))</f>
        <v/>
      </c>
      <c r="Y950">
        <f>IF($V950,$X950,$W950)</f>
        <v/>
      </c>
      <c r="Z950">
        <f>IF($V950,IF($P950="","",$P950),IF($O950="","",$O950))</f>
        <v/>
      </c>
      <c r="AA950">
        <f>IF(OR($Q950="",$Z950=""),"",IF(AND($Z950&gt;0,$Z950&gt;=$Q950),"yes","below the line"))</f>
        <v/>
      </c>
      <c r="AB950">
        <f>IF($V950,IF($M950="","",$M950),IF($K950="","",$K950))</f>
        <v/>
      </c>
      <c r="AC950">
        <f>IF($V950,IF($N950="","",$N950),IF($L950="","",$L950))</f>
        <v/>
      </c>
      <c r="AD950">
        <f>$Y950</f>
        <v/>
      </c>
      <c r="AE950">
        <f>IF($V950,IF($S950="","",$S950),IF($R950="","",$R950))</f>
        <v/>
      </c>
      <c r="AF950">
        <f>IF($V950,IF($U950="","",$U950),IF($T950="","",$T950))</f>
        <v/>
      </c>
      <c r="AG950">
        <f>IF($V950,IF($O950="","",$O950),IF($P950="","",$P950))</f>
        <v/>
      </c>
      <c r="AH950" t="n">
        <v>0.06890092444847121</v>
      </c>
      <c r="AI950">
        <f>IF($Y950="worse","Yes",IF($Y950="worse, not significant","Not sure",IF(OR($Y950="too few losses to test",$Y950="too few loans to test"),"Too few losses",IF($Y950="","","No"))))</f>
        <v/>
      </c>
      <c r="AJ950">
        <f>IF($AA950="yes","Yes",IF($AA950="","","No"))</f>
        <v/>
      </c>
    </row>
    <row r="951">
      <c r="A951" t="inlineStr">
        <is>
          <t>three-way</t>
        </is>
      </c>
      <c r="B951" t="inlineStr">
        <is>
          <t>ORIG_BAL x CHANNEL / SYS_FLAG</t>
        </is>
      </c>
      <c r="C951" t="inlineStr">
        <is>
          <t>49,152 - 59,984</t>
        </is>
      </c>
      <c r="D951" t="inlineStr">
        <is>
          <t>Broker / SYS_FLAG N</t>
        </is>
      </c>
      <c r="E951" t="inlineStr">
        <is>
          <t>gco_rate</t>
        </is>
      </c>
      <c r="F951" t="inlineStr">
        <is>
          <t>GCO per booked dollar</t>
        </is>
      </c>
      <c r="G951" t="n">
        <v>278</v>
      </c>
      <c r="H951" t="n">
        <v>15257808.77999999</v>
      </c>
      <c r="I951" t="b">
        <v>0</v>
      </c>
      <c r="J951" t="b">
        <v>0</v>
      </c>
      <c r="K951" t="n">
        <v>1.004934833846254</v>
      </c>
      <c r="L951" t="n">
        <v>0.9822017798220178</v>
      </c>
      <c r="M951" t="n">
        <v>1.221055209985458</v>
      </c>
      <c r="N951" t="n">
        <v>0.6811554138703777</v>
      </c>
      <c r="O951" t="n">
        <v>3131.744234612677</v>
      </c>
      <c r="P951" t="n">
        <v>115456.1592722495</v>
      </c>
      <c r="Q951">
        <f>'_live'!$C$22</f>
        <v/>
      </c>
      <c r="R951" t="inlineStr">
        <is>
          <t>shuffled: 9,822 of 10,000</t>
        </is>
      </c>
      <c r="S951" t="inlineStr">
        <is>
          <t>shuffled: 4,135 of 10,000</t>
        </is>
      </c>
      <c r="T951" t="n">
        <v>0.04159312814283334</v>
      </c>
      <c r="U951" t="n">
        <v>0.03423136233116108</v>
      </c>
      <c r="V951">
        <f>AND(judged_band,NOT($J951))</f>
        <v/>
      </c>
      <c r="W951">
        <f>IF($K951="","",IF($I951,"too few losses to test",IF(AND($K951&gt;better_at,$K951&lt;worse_at),"in line",IF($K951&gt;=worse_at,IF(AND(ISNUMBER($L951),$L951&lt;significance_bar),"worse","worse, not significant"),IF(AND(ISNUMBER($L951),$L951&lt;significance_bar),"better","better, not significant")))))</f>
        <v/>
      </c>
      <c r="X951">
        <f>IF($M951="","",IF($I951,"too few losses to test",IF(AND($M951&gt;better_at,$M951&lt;worse_at),"in line",IF($M951&gt;=worse_at,IF(AND(ISNUMBER($N951),$N951&lt;significance_bar),"worse","worse, not significant"),IF(AND(ISNUMBER($N951),$N951&lt;significance_bar),"better","better, not significant")))))</f>
        <v/>
      </c>
      <c r="Y951">
        <f>IF($V951,$X951,$W951)</f>
        <v/>
      </c>
      <c r="Z951">
        <f>IF($V951,IF($P951="","",$P951),IF($O951="","",$O951))</f>
        <v/>
      </c>
      <c r="AA951">
        <f>IF(OR($Q951="",$Z951=""),"",IF(AND($Z951&gt;0,$Z951&gt;=$Q951),"yes","below the line"))</f>
        <v/>
      </c>
      <c r="AB951">
        <f>IF($V951,IF($M951="","",$M951),IF($K951="","",$K951))</f>
        <v/>
      </c>
      <c r="AC951">
        <f>IF($V951,IF($N951="","",$N951),IF($L951="","",$L951))</f>
        <v/>
      </c>
      <c r="AD951">
        <f>$Y951</f>
        <v/>
      </c>
      <c r="AE951">
        <f>IF($V951,IF($S951="","",$S951),IF($R951="","",$R951))</f>
        <v/>
      </c>
      <c r="AF951">
        <f>IF($V951,IF($U951="","",$U951),IF($T951="","",$T951))</f>
        <v/>
      </c>
      <c r="AG951">
        <f>IF($V951,IF($O951="","",$O951),IF($P951="","",$P951))</f>
        <v/>
      </c>
      <c r="AH951" t="n">
        <v>0.04179838331936418</v>
      </c>
      <c r="AI951">
        <f>IF($Y951="worse","Yes",IF($Y951="worse, not significant","Not sure",IF(OR($Y951="too few losses to test",$Y951="too few loans to test"),"Too few losses",IF($Y951="","","No"))))</f>
        <v/>
      </c>
      <c r="AJ951">
        <f>IF($AA951="yes","Yes",IF($AA951="","","No"))</f>
        <v/>
      </c>
    </row>
    <row r="952">
      <c r="A952" t="inlineStr">
        <is>
          <t>three-way</t>
        </is>
      </c>
      <c r="B952" t="inlineStr">
        <is>
          <t>ORIG_BAL x CHANNEL / SYS_FLAG</t>
        </is>
      </c>
      <c r="C952" t="inlineStr">
        <is>
          <t>49,152 - 59,984</t>
        </is>
      </c>
      <c r="D952" t="inlineStr">
        <is>
          <t>Broker / SYS_FLAG N</t>
        </is>
      </c>
      <c r="E952" t="inlineStr">
        <is>
          <t>ranr_rate</t>
        </is>
      </c>
      <c r="F952" t="inlineStr">
        <is>
          <t>Profit after losses: RANR per booked dollar</t>
        </is>
      </c>
      <c r="G952" t="n">
        <v>278</v>
      </c>
      <c r="H952" t="n">
        <v>15257808.77999999</v>
      </c>
      <c r="I952" t="b">
        <v>0</v>
      </c>
      <c r="J952" t="b">
        <v>0</v>
      </c>
      <c r="K952" t="n">
        <v>-0.01100980561407429</v>
      </c>
      <c r="L952" t="n">
        <v>0.6242533641372705</v>
      </c>
      <c r="M952" t="n">
        <v>-0.01549942552228785</v>
      </c>
      <c r="N952" t="n">
        <v>0.288147655822653</v>
      </c>
      <c r="O952" t="n">
        <v>167985.5087645159</v>
      </c>
      <c r="P952" t="n">
        <v>236487.2708189194</v>
      </c>
      <c r="Q952">
        <f>'_live'!$C$23</f>
        <v/>
      </c>
      <c r="R952" t="inlineStr">
        <is>
          <t>shuffled: 3,845 of 10,000</t>
        </is>
      </c>
      <c r="S952" t="inlineStr">
        <is>
          <t>shuffled: 1,632 of 10,000</t>
        </is>
      </c>
      <c r="T952" t="n">
        <v>0.1286409835819503</v>
      </c>
      <c r="U952" t="n">
        <v>0.1331306034901638</v>
      </c>
      <c r="V952">
        <f>AND(judged_band,NOT($J952))</f>
        <v/>
      </c>
      <c r="W952">
        <f>IF($K952="","",IF(profit_kind="test",IF(OR(NOT(AND(ISNUMBER($L952),$L952&lt;significance_bar)),$K952=0),"in line",IF($K952&lt;0,"worse","better")),IF(OR($K952=0,IF(profit_kind="points",ABS($K952),ABS($K952*$H952))&lt;profit_line*(1-1E-9)),"in line",IF(AND(ISNUMBER($L952),$L952&lt;significance_bar),IF($K952&lt;0,"worse","better"),IF($K952&lt;0,"worse, not significant","better, not significant")))))</f>
        <v/>
      </c>
      <c r="X952">
        <f>IF($M952="","",IF(profit_kind="test",IF(OR(NOT(AND(ISNUMBER($N952),$N952&lt;significance_bar)),$M952=0),"in line",IF($M952&lt;0,"worse","better")),IF(OR($M952=0,IF(profit_kind="points",ABS($M952),ABS($M952*$H952))&lt;profit_line*(1-1E-9)),"in line",IF(AND(ISNUMBER($N952),$N952&lt;significance_bar),IF($M952&lt;0,"worse","better"),IF($M952&lt;0,"worse, not significant","better, not significant")))))</f>
        <v/>
      </c>
      <c r="Y952">
        <f>IF($V952,$X952,$W952)</f>
        <v/>
      </c>
      <c r="Z952">
        <f>IF($V952,IF($P952="","",$P952),IF($O952="","",$O952))</f>
        <v/>
      </c>
      <c r="AA952">
        <f>IF(OR($Q952="",$Z952=""),"",IF(AND($Z952&gt;0,$Z952&gt;=$Q952),"yes","below the line"))</f>
        <v/>
      </c>
      <c r="AB952">
        <f>IF($V952,IF($M952="","",$M952),IF($K952="","",$K952))</f>
        <v/>
      </c>
      <c r="AC952">
        <f>IF($V952,IF($N952="","",$N952),IF($L952="","",$L952))</f>
        <v/>
      </c>
      <c r="AD952">
        <f>IF($Y952="","",IF($Y952="in line",IF(profit_kind="test",IF(ROUND($AB952*100,2)=0,"0.00",TEXT($AB952*100,"+0.00;-0.00"))&amp;" points against "&amp;IF($V952,"its band","the book")&amp;", "&amp;IF($AC952="","not tested","not significant"),IF(profit_kind="points","within "&amp;TEXT(profit_line*100,"0.00")&amp;" points of "&amp;IF($V952,"its band","the book")&amp;" ("&amp;IF(ROUND($AB952*100,2)=0,"0.00",TEXT($AB952*100,"+0.00;-0.00"))&amp;")","within $"&amp;TEXT(profit_line,"#,##0")&amp;" of "&amp;IF($V952,"its band","the book")&amp;" ("&amp;IF(ROUND($AB952*100,2)=0,"0.00",TEXT($AB952*100,"+0.00;-0.00"))&amp;" points)")),IF(LEFT($Y952,5)="worse","short of ","ahead of ")&amp;IF($V952,"its band","the book")&amp;" by "&amp;TEXT(ABS($AB952)*100,"0.00")&amp;" points"&amp;IF($Z952="",""," ($"&amp;TEXT(ABS($Z952),"#,##0")&amp;")")&amp;IF(RIGHT($Y952,15)="not significant"," (not significant)","")))</f>
        <v/>
      </c>
      <c r="AE952">
        <f>IF($V952,IF($S952="","",$S952),IF($R952="","",$R952))</f>
        <v/>
      </c>
      <c r="AF952">
        <f>IF($V952,IF($U952="","",$U952),IF($T952="","",$T952))</f>
        <v/>
      </c>
      <c r="AG952">
        <f>IF($V952,IF($O952="","",$O952),IF($P952="","",$P952))</f>
        <v/>
      </c>
      <c r="AH952" t="n">
        <v>0.117631177967876</v>
      </c>
      <c r="AI952">
        <f>IF($Y952="worse","Yes",IF($Y952="worse, not significant","Not sure",IF(OR($Y952="too few losses to test",$Y952="too few loans to test"),"Too few losses",IF($Y952="","","No"))))</f>
        <v/>
      </c>
      <c r="AJ952">
        <f>IF($AA952="yes","Yes",IF($AA952="","","No"))</f>
        <v/>
      </c>
    </row>
    <row r="953">
      <c r="A953" t="inlineStr">
        <is>
          <t>three-way</t>
        </is>
      </c>
      <c r="B953" t="inlineStr">
        <is>
          <t>ORIG_BAL x CHANNEL / SYS_FLAG</t>
        </is>
      </c>
      <c r="C953" t="inlineStr">
        <is>
          <t>49,152 - 59,984</t>
        </is>
      </c>
      <c r="D953" t="inlineStr">
        <is>
          <t>Broker / SYS_FLAG N</t>
        </is>
      </c>
      <c r="E953" t="inlineStr">
        <is>
          <t>contribution_rate</t>
        </is>
      </c>
      <c r="F953" t="inlineStr">
        <is>
          <t>Contribution before losses per booked dollar</t>
        </is>
      </c>
      <c r="G953" t="n">
        <v>278</v>
      </c>
      <c r="H953" t="n">
        <v>15257808.77999999</v>
      </c>
      <c r="I953" t="b">
        <v>0</v>
      </c>
      <c r="J953" t="b">
        <v>0</v>
      </c>
      <c r="K953" t="n">
        <v>-0.01080161789605241</v>
      </c>
      <c r="L953" t="n">
        <v>0.3228624505970455</v>
      </c>
      <c r="M953" t="n">
        <v>-0.007932404534084697</v>
      </c>
      <c r="N953" t="n">
        <v>0.4010468518365554</v>
      </c>
      <c r="O953" t="n">
        <v>164809.0203725938</v>
      </c>
      <c r="P953" t="n">
        <v>121031.1115466692</v>
      </c>
      <c r="Q953">
        <f>'_live'!$C$24</f>
        <v/>
      </c>
      <c r="R953" t="inlineStr">
        <is>
          <t>shuffled: 1,864 of 10,000</t>
        </is>
      </c>
      <c r="S953" t="inlineStr">
        <is>
          <t>shuffled: 3,074 of 10,000</t>
        </is>
      </c>
      <c r="T953" t="n">
        <v>0.1702311791832926</v>
      </c>
      <c r="U953" t="n">
        <v>0.1673619658213249</v>
      </c>
      <c r="V953">
        <f>AND(judged_band,NOT($J953))</f>
        <v/>
      </c>
      <c r="W953">
        <f>IF($K953="","",IF(profit_kind="test",IF(OR(NOT(AND(ISNUMBER($L953),$L953&lt;significance_bar)),$K953=0),"in line",IF($K953&lt;0,"worse","better")),IF(OR($K953=0,IF(profit_kind="points",ABS($K953),ABS($K953*$H953))&lt;profit_line*(1-1E-9)),"in line",IF(AND(ISNUMBER($L953),$L953&lt;significance_bar),IF($K953&lt;0,"worse","better"),IF($K953&lt;0,"worse, not significant","better, not significant")))))</f>
        <v/>
      </c>
      <c r="X953">
        <f>IF($M953="","",IF(profit_kind="test",IF(OR(NOT(AND(ISNUMBER($N953),$N953&lt;significance_bar)),$M953=0),"in line",IF($M953&lt;0,"worse","better")),IF(OR($M953=0,IF(profit_kind="points",ABS($M953),ABS($M953*$H953))&lt;profit_line*(1-1E-9)),"in line",IF(AND(ISNUMBER($N953),$N953&lt;significance_bar),IF($M953&lt;0,"worse","better"),IF($M953&lt;0,"worse, not significant","better, not significant")))))</f>
        <v/>
      </c>
      <c r="Y953">
        <f>IF($V953,$X953,$W953)</f>
        <v/>
      </c>
      <c r="Z953">
        <f>IF($V953,IF($P953="","",$P953),IF($O953="","",$O953))</f>
        <v/>
      </c>
      <c r="AA953">
        <f>IF(OR($Q953="",$Z953=""),"",IF(AND($Z953&gt;0,$Z953&gt;=$Q953),"yes","below the line"))</f>
        <v/>
      </c>
      <c r="AB953">
        <f>IF($V953,IF($M953="","",$M953),IF($K953="","",$K953))</f>
        <v/>
      </c>
      <c r="AC953">
        <f>IF($V953,IF($N953="","",$N953),IF($L953="","",$L953))</f>
        <v/>
      </c>
      <c r="AD953">
        <f>IF($Y953="","",IF($Y953="in line",IF(profit_kind="test",IF(ROUND($AB953*100,2)=0,"0.00",TEXT($AB953*100,"+0.00;-0.00"))&amp;" points against "&amp;IF($V953,"its band","the book")&amp;", "&amp;IF($AC953="","not tested","not significant"),IF(profit_kind="points","within "&amp;TEXT(profit_line*100,"0.00")&amp;" points of "&amp;IF($V953,"its band","the book")&amp;" ("&amp;IF(ROUND($AB953*100,2)=0,"0.00",TEXT($AB953*100,"+0.00;-0.00"))&amp;")","within $"&amp;TEXT(profit_line,"#,##0")&amp;" of "&amp;IF($V953,"its band","the book")&amp;" ("&amp;IF(ROUND($AB953*100,2)=0,"0.00",TEXT($AB953*100,"+0.00;-0.00"))&amp;" points)")),IF(LEFT($Y953,5)="worse","short of ","ahead of ")&amp;IF($V953,"its band","the book")&amp;" by "&amp;TEXT(ABS($AB953)*100,"0.00")&amp;" points"&amp;IF($Z953="",""," ($"&amp;TEXT(ABS($Z953),"#,##0")&amp;")")&amp;IF(RIGHT($Y953,15)="not significant"," (not significant)","")))</f>
        <v/>
      </c>
      <c r="AE953">
        <f>IF($V953,IF($S953="","",$S953),IF($R953="","",$R953))</f>
        <v/>
      </c>
      <c r="AF953">
        <f>IF($V953,IF($U953="","",$U953),IF($T953="","",$T953))</f>
        <v/>
      </c>
      <c r="AG953">
        <f>IF($V953,IF($O953="","",$O953),IF($P953="","",$P953))</f>
        <v/>
      </c>
      <c r="AH953" t="n">
        <v>0.1594295612872402</v>
      </c>
      <c r="AI953">
        <f>IF($Y953="worse","Yes",IF($Y953="worse, not significant","Not sure",IF(OR($Y953="too few losses to test",$Y953="too few loans to test"),"Too few losses",IF($Y953="","","No"))))</f>
        <v/>
      </c>
      <c r="AJ953">
        <f>IF($AA953="yes","Yes",IF($AA953="","","No"))</f>
        <v/>
      </c>
    </row>
    <row r="954">
      <c r="A954" t="inlineStr">
        <is>
          <t>three-way</t>
        </is>
      </c>
      <c r="B954" t="inlineStr">
        <is>
          <t>ORIG_BAL x CHANNEL / SYS_FLAG</t>
        </is>
      </c>
      <c r="C954" t="inlineStr">
        <is>
          <t>49,152 - 59,984</t>
        </is>
      </c>
      <c r="D954" t="inlineStr">
        <is>
          <t>Broker / SYS_FLAG Y</t>
        </is>
      </c>
      <c r="E954" t="inlineStr">
        <is>
          <t>outcome_loans</t>
        </is>
      </c>
      <c r="F954" t="inlineStr">
        <is>
          <t>Outcome, share of loans</t>
        </is>
      </c>
      <c r="G954" t="n">
        <v>242</v>
      </c>
      <c r="H954" t="n">
        <v>242</v>
      </c>
      <c r="I954" t="b">
        <v>0</v>
      </c>
      <c r="J954" t="b">
        <v>0</v>
      </c>
      <c r="K954" t="n">
        <v>1.349062247822578</v>
      </c>
      <c r="L954" t="n">
        <v>0.3206074867052393</v>
      </c>
      <c r="M954" t="n">
        <v>1.798580207671117</v>
      </c>
      <c r="N954" t="n">
        <v>0.04140607832879168</v>
      </c>
      <c r="O954" t="n">
        <v>6.468608998324093</v>
      </c>
      <c r="P954" t="n">
        <v>11.10014727540501</v>
      </c>
      <c r="Q954">
        <f>'_live'!$C$20</f>
        <v/>
      </c>
      <c r="R954" t="inlineStr">
        <is>
          <t>z test</t>
        </is>
      </c>
      <c r="S954" t="inlineStr">
        <is>
          <t>z test</t>
        </is>
      </c>
      <c r="T954" t="n">
        <v>0.07657599587469383</v>
      </c>
      <c r="U954" t="n">
        <v>0.05743740795287187</v>
      </c>
      <c r="V954">
        <f>AND(judged_band,NOT($J954))</f>
        <v/>
      </c>
      <c r="W954">
        <f>IF($K954="","",IF($I954,"too few losses to test",IF(AND($K954&gt;better_at,$K954&lt;worse_at),"in line",IF($K954&gt;=worse_at,IF(AND(ISNUMBER($L954),$L954&lt;significance_bar),"worse","worse, not significant"),IF(AND(ISNUMBER($L954),$L954&lt;significance_bar),"better","better, not significant")))))</f>
        <v/>
      </c>
      <c r="X954">
        <f>IF($M954="","",IF($I954,"too few losses to test",IF(AND($M954&gt;better_at,$M954&lt;worse_at),"in line",IF($M954&gt;=worse_at,IF(AND(ISNUMBER($N954),$N954&lt;significance_bar),"worse","worse, not significant"),IF(AND(ISNUMBER($N954),$N954&lt;significance_bar),"better","better, not significant")))))</f>
        <v/>
      </c>
      <c r="Y954">
        <f>IF($V954,$X954,$W954)</f>
        <v/>
      </c>
      <c r="Z954">
        <f>IF($V954,IF($P954="","",$P954),IF($O954="","",$O954))</f>
        <v/>
      </c>
      <c r="AA954">
        <f>IF(OR($Q954="",$Z954=""),"",IF(AND($Z954&gt;0,$Z954&gt;=$Q954),"yes","below the line"))</f>
        <v/>
      </c>
      <c r="AB954">
        <f>IF($V954,IF($M954="","",$M954),IF($K954="","",$K954))</f>
        <v/>
      </c>
      <c r="AC954">
        <f>IF($V954,IF($N954="","",$N954),IF($L954="","",$L954))</f>
        <v/>
      </c>
      <c r="AD954">
        <f>$Y954</f>
        <v/>
      </c>
      <c r="AE954">
        <f>IF($V954,IF($S954="","",$S954),IF($R954="","",$R954))</f>
        <v/>
      </c>
      <c r="AF954">
        <f>IF($V954,IF($U954="","",$U954),IF($T954="","",$T954))</f>
        <v/>
      </c>
      <c r="AG954">
        <f>IF($V954,IF($O954="","",$O954),IF($P954="","",$P954))</f>
        <v/>
      </c>
      <c r="AH954" t="n">
        <v>0.1033057851239669</v>
      </c>
      <c r="AI954">
        <f>IF($Y954="worse","Yes",IF($Y954="worse, not significant","Not sure",IF(OR($Y954="too few losses to test",$Y954="too few loans to test"),"Too few losses",IF($Y954="","","No"))))</f>
        <v/>
      </c>
      <c r="AJ954">
        <f>IF($AA954="yes","Yes",IF($AA954="","","No"))</f>
        <v/>
      </c>
    </row>
    <row r="955">
      <c r="A955" t="inlineStr">
        <is>
          <t>three-way</t>
        </is>
      </c>
      <c r="B955" t="inlineStr">
        <is>
          <t>ORIG_BAL x CHANNEL / SYS_FLAG</t>
        </is>
      </c>
      <c r="C955" t="inlineStr">
        <is>
          <t>49,152 - 59,984</t>
        </is>
      </c>
      <c r="D955" t="inlineStr">
        <is>
          <t>Broker / SYS_FLAG Y</t>
        </is>
      </c>
      <c r="E955" t="inlineStr">
        <is>
          <t>outcome_booked</t>
        </is>
      </c>
      <c r="F955" t="inlineStr">
        <is>
          <t>Outcome, share of booked dollars</t>
        </is>
      </c>
      <c r="G955" t="n">
        <v>242</v>
      </c>
      <c r="H955" t="n">
        <v>13240059.31</v>
      </c>
      <c r="I955" t="b">
        <v>0</v>
      </c>
      <c r="J955" t="b">
        <v>0</v>
      </c>
      <c r="K955" t="n">
        <v>1.425770584108355</v>
      </c>
      <c r="L955" t="n">
        <v>0.362963703629637</v>
      </c>
      <c r="M955" t="n">
        <v>1.811065135173555</v>
      </c>
      <c r="N955" t="n">
        <v>0.0517948205179482</v>
      </c>
      <c r="O955" t="n">
        <v>412808.7217430359</v>
      </c>
      <c r="P955" t="n">
        <v>619076.793239744</v>
      </c>
      <c r="Q955">
        <f>'_live'!$C$21</f>
        <v/>
      </c>
      <c r="R955" t="inlineStr">
        <is>
          <t>shuffled: 981 of 10,000</t>
        </is>
      </c>
      <c r="S955" t="inlineStr">
        <is>
          <t>shuffled: 84 of 10,000</t>
        </is>
      </c>
      <c r="T955" t="n">
        <v>0.07322902983709999</v>
      </c>
      <c r="U955" t="n">
        <v>0.05764994014669979</v>
      </c>
      <c r="V955">
        <f>AND(judged_band,NOT($J955))</f>
        <v/>
      </c>
      <c r="W955">
        <f>IF($K955="","",IF($I955,"too few losses to test",IF(AND($K955&gt;better_at,$K955&lt;worse_at),"in line",IF($K955&gt;=worse_at,IF(AND(ISNUMBER($L955),$L955&lt;significance_bar),"worse","worse, not significant"),IF(AND(ISNUMBER($L955),$L955&lt;significance_bar),"better","better, not significant")))))</f>
        <v/>
      </c>
      <c r="X955">
        <f>IF($M955="","",IF($I955,"too few losses to test",IF(AND($M955&gt;better_at,$M955&lt;worse_at),"in line",IF($M955&gt;=worse_at,IF(AND(ISNUMBER($N955),$N955&lt;significance_bar),"worse","worse, not significant"),IF(AND(ISNUMBER($N955),$N955&lt;significance_bar),"better","better, not significant")))))</f>
        <v/>
      </c>
      <c r="Y955">
        <f>IF($V955,$X955,$W955)</f>
        <v/>
      </c>
      <c r="Z955">
        <f>IF($V955,IF($P955="","",$P955),IF($O955="","",$O955))</f>
        <v/>
      </c>
      <c r="AA955">
        <f>IF(OR($Q955="",$Z955=""),"",IF(AND($Z955&gt;0,$Z955&gt;=$Q955),"yes","below the line"))</f>
        <v/>
      </c>
      <c r="AB955">
        <f>IF($V955,IF($M955="","",$M955),IF($K955="","",$K955))</f>
        <v/>
      </c>
      <c r="AC955">
        <f>IF($V955,IF($N955="","",$N955),IF($L955="","",$L955))</f>
        <v/>
      </c>
      <c r="AD955">
        <f>$Y955</f>
        <v/>
      </c>
      <c r="AE955">
        <f>IF($V955,IF($S955="","",$S955),IF($R955="","",$R955))</f>
        <v/>
      </c>
      <c r="AF955">
        <f>IF($V955,IF($U955="","",$U955),IF($T955="","",$T955))</f>
        <v/>
      </c>
      <c r="AG955">
        <f>IF($V955,IF($O955="","",$O955),IF($P955="","",$P955))</f>
        <v/>
      </c>
      <c r="AH955" t="n">
        <v>0.1044077966445302</v>
      </c>
      <c r="AI955">
        <f>IF($Y955="worse","Yes",IF($Y955="worse, not significant","Not sure",IF(OR($Y955="too few losses to test",$Y955="too few loans to test"),"Too few losses",IF($Y955="","","No"))))</f>
        <v/>
      </c>
      <c r="AJ955">
        <f>IF($AA955="yes","Yes",IF($AA955="","","No"))</f>
        <v/>
      </c>
    </row>
    <row r="956">
      <c r="A956" t="inlineStr">
        <is>
          <t>three-way</t>
        </is>
      </c>
      <c r="B956" t="inlineStr">
        <is>
          <t>ORIG_BAL x CHANNEL / SYS_FLAG</t>
        </is>
      </c>
      <c r="C956" t="inlineStr">
        <is>
          <t>49,152 - 59,984</t>
        </is>
      </c>
      <c r="D956" t="inlineStr">
        <is>
          <t>Broker / SYS_FLAG Y</t>
        </is>
      </c>
      <c r="E956" t="inlineStr">
        <is>
          <t>gco_rate</t>
        </is>
      </c>
      <c r="F956" t="inlineStr">
        <is>
          <t>GCO per booked dollar</t>
        </is>
      </c>
      <c r="G956" t="n">
        <v>242</v>
      </c>
      <c r="H956" t="n">
        <v>13240059.31</v>
      </c>
      <c r="I956" t="b">
        <v>0</v>
      </c>
      <c r="J956" t="b">
        <v>0</v>
      </c>
      <c r="K956" t="n">
        <v>1.414276461214045</v>
      </c>
      <c r="L956" t="n">
        <v>0.3605417236054172</v>
      </c>
      <c r="M956" t="n">
        <v>1.822620145550827</v>
      </c>
      <c r="N956" t="n">
        <v>0.05459454054594541</v>
      </c>
      <c r="O956" t="n">
        <v>223456.6213023548</v>
      </c>
      <c r="P956" t="n">
        <v>344302.7234013809</v>
      </c>
      <c r="Q956">
        <f>'_live'!$C$22</f>
        <v/>
      </c>
      <c r="R956" t="inlineStr">
        <is>
          <t>shuffled: 1,158 of 10,000</t>
        </is>
      </c>
      <c r="S956" t="inlineStr">
        <is>
          <t>shuffled: 77 of 10,000</t>
        </is>
      </c>
      <c r="T956" t="n">
        <v>0.04073925094053411</v>
      </c>
      <c r="U956" t="n">
        <v>0.03161194272615527</v>
      </c>
      <c r="V956">
        <f>AND(judged_band,NOT($J956))</f>
        <v/>
      </c>
      <c r="W956">
        <f>IF($K956="","",IF($I956,"too few losses to test",IF(AND($K956&gt;better_at,$K956&lt;worse_at),"in line",IF($K956&gt;=worse_at,IF(AND(ISNUMBER($L956),$L956&lt;significance_bar),"worse","worse, not significant"),IF(AND(ISNUMBER($L956),$L956&lt;significance_bar),"better","better, not significant")))))</f>
        <v/>
      </c>
      <c r="X956">
        <f>IF($M956="","",IF($I956,"too few losses to test",IF(AND($M956&gt;better_at,$M956&lt;worse_at),"in line",IF($M956&gt;=worse_at,IF(AND(ISNUMBER($N956),$N956&lt;significance_bar),"worse","worse, not significant"),IF(AND(ISNUMBER($N956),$N956&lt;significance_bar),"better","better, not significant")))))</f>
        <v/>
      </c>
      <c r="Y956">
        <f>IF($V956,$X956,$W956)</f>
        <v/>
      </c>
      <c r="Z956">
        <f>IF($V956,IF($P956="","",$P956),IF($O956="","",$O956))</f>
        <v/>
      </c>
      <c r="AA956">
        <f>IF(OR($Q956="",$Z956=""),"",IF(AND($Z956&gt;0,$Z956&gt;=$Q956),"yes","below the line"))</f>
        <v/>
      </c>
      <c r="AB956">
        <f>IF($V956,IF($M956="","",$M956),IF($K956="","",$K956))</f>
        <v/>
      </c>
      <c r="AC956">
        <f>IF($V956,IF($N956="","",$N956),IF($L956="","",$L956))</f>
        <v/>
      </c>
      <c r="AD956">
        <f>$Y956</f>
        <v/>
      </c>
      <c r="AE956">
        <f>IF($V956,IF($S956="","",$S956),IF($R956="","",$R956))</f>
        <v/>
      </c>
      <c r="AF956">
        <f>IF($V956,IF($U956="","",$U956),IF($T956="","",$T956))</f>
        <v/>
      </c>
      <c r="AG956">
        <f>IF($V956,IF($O956="","",$O956),IF($P956="","",$P956))</f>
        <v/>
      </c>
      <c r="AH956" t="n">
        <v>0.05761656365268954</v>
      </c>
      <c r="AI956">
        <f>IF($Y956="worse","Yes",IF($Y956="worse, not significant","Not sure",IF(OR($Y956="too few losses to test",$Y956="too few loans to test"),"Too few losses",IF($Y956="","","No"))))</f>
        <v/>
      </c>
      <c r="AJ956">
        <f>IF($AA956="yes","Yes",IF($AA956="","","No"))</f>
        <v/>
      </c>
    </row>
    <row r="957">
      <c r="A957" t="inlineStr">
        <is>
          <t>three-way</t>
        </is>
      </c>
      <c r="B957" t="inlineStr">
        <is>
          <t>ORIG_BAL x CHANNEL / SYS_FLAG</t>
        </is>
      </c>
      <c r="C957" t="inlineStr">
        <is>
          <t>49,152 - 59,984</t>
        </is>
      </c>
      <c r="D957" t="inlineStr">
        <is>
          <t>Broker / SYS_FLAG Y</t>
        </is>
      </c>
      <c r="E957" t="inlineStr">
        <is>
          <t>ranr_rate</t>
        </is>
      </c>
      <c r="F957" t="inlineStr">
        <is>
          <t>Profit after losses: RANR per booked dollar</t>
        </is>
      </c>
      <c r="G957" t="n">
        <v>242</v>
      </c>
      <c r="H957" t="n">
        <v>13240059.31</v>
      </c>
      <c r="I957" t="b">
        <v>0</v>
      </c>
      <c r="J957" t="b">
        <v>0</v>
      </c>
      <c r="K957" t="n">
        <v>-0.02942383438543114</v>
      </c>
      <c r="L957" t="n">
        <v>0.078658800786588</v>
      </c>
      <c r="M957" t="n">
        <v>-0.03576860337935639</v>
      </c>
      <c r="N957" t="n">
        <v>0.02399760023997601</v>
      </c>
      <c r="O957" t="n">
        <v>389573.3123907258</v>
      </c>
      <c r="P957" t="n">
        <v>473578.4301785452</v>
      </c>
      <c r="Q957">
        <f>'_live'!$C$23</f>
        <v/>
      </c>
      <c r="R957" t="inlineStr">
        <is>
          <t>shuffled: 235 of 10,000</t>
        </is>
      </c>
      <c r="S957" t="inlineStr">
        <is>
          <t>shuffled: 31 of 10,000</t>
        </is>
      </c>
      <c r="T957" t="n">
        <v>0.1294996232453225</v>
      </c>
      <c r="U957" t="n">
        <v>0.1358443922392478</v>
      </c>
      <c r="V957">
        <f>AND(judged_band,NOT($J957))</f>
        <v/>
      </c>
      <c r="W957">
        <f>IF($K957="","",IF(profit_kind="test",IF(OR(NOT(AND(ISNUMBER($L957),$L957&lt;significance_bar)),$K957=0),"in line",IF($K957&lt;0,"worse","better")),IF(OR($K957=0,IF(profit_kind="points",ABS($K957),ABS($K957*$H957))&lt;profit_line*(1-1E-9)),"in line",IF(AND(ISNUMBER($L957),$L957&lt;significance_bar),IF($K957&lt;0,"worse","better"),IF($K957&lt;0,"worse, not significant","better, not significant")))))</f>
        <v/>
      </c>
      <c r="X957">
        <f>IF($M957="","",IF(profit_kind="test",IF(OR(NOT(AND(ISNUMBER($N957),$N957&lt;significance_bar)),$M957=0),"in line",IF($M957&lt;0,"worse","better")),IF(OR($M957=0,IF(profit_kind="points",ABS($M957),ABS($M957*$H957))&lt;profit_line*(1-1E-9)),"in line",IF(AND(ISNUMBER($N957),$N957&lt;significance_bar),IF($M957&lt;0,"worse","better"),IF($M957&lt;0,"worse, not significant","better, not significant")))))</f>
        <v/>
      </c>
      <c r="Y957">
        <f>IF($V957,$X957,$W957)</f>
        <v/>
      </c>
      <c r="Z957">
        <f>IF($V957,IF($P957="","",$P957),IF($O957="","",$O957))</f>
        <v/>
      </c>
      <c r="AA957">
        <f>IF(OR($Q957="",$Z957=""),"",IF(AND($Z957&gt;0,$Z957&gt;=$Q957),"yes","below the line"))</f>
        <v/>
      </c>
      <c r="AB957">
        <f>IF($V957,IF($M957="","",$M957),IF($K957="","",$K957))</f>
        <v/>
      </c>
      <c r="AC957">
        <f>IF($V957,IF($N957="","",$N957),IF($L957="","",$L957))</f>
        <v/>
      </c>
      <c r="AD957">
        <f>IF($Y957="","",IF($Y957="in line",IF(profit_kind="test",IF(ROUND($AB957*100,2)=0,"0.00",TEXT($AB957*100,"+0.00;-0.00"))&amp;" points against "&amp;IF($V957,"its band","the book")&amp;", "&amp;IF($AC957="","not tested","not significant"),IF(profit_kind="points","within "&amp;TEXT(profit_line*100,"0.00")&amp;" points of "&amp;IF($V957,"its band","the book")&amp;" ("&amp;IF(ROUND($AB957*100,2)=0,"0.00",TEXT($AB957*100,"+0.00;-0.00"))&amp;")","within $"&amp;TEXT(profit_line,"#,##0")&amp;" of "&amp;IF($V957,"its band","the book")&amp;" ("&amp;IF(ROUND($AB957*100,2)=0,"0.00",TEXT($AB957*100,"+0.00;-0.00"))&amp;" points)")),IF(LEFT($Y957,5)="worse","short of ","ahead of ")&amp;IF($V957,"its band","the book")&amp;" by "&amp;TEXT(ABS($AB957)*100,"0.00")&amp;" points"&amp;IF($Z957="",""," ($"&amp;TEXT(ABS($Z957),"#,##0")&amp;")")&amp;IF(RIGHT($Y957,15)="not significant"," (not significant)","")))</f>
        <v/>
      </c>
      <c r="AE957">
        <f>IF($V957,IF($S957="","",$S957),IF($R957="","",$R957))</f>
        <v/>
      </c>
      <c r="AF957">
        <f>IF($V957,IF($U957="","",$U957),IF($T957="","",$T957))</f>
        <v/>
      </c>
      <c r="AG957">
        <f>IF($V957,IF($O957="","",$O957),IF($P957="","",$P957))</f>
        <v/>
      </c>
      <c r="AH957" t="n">
        <v>0.1000757888598914</v>
      </c>
      <c r="AI957">
        <f>IF($Y957="worse","Yes",IF($Y957="worse, not significant","Not sure",IF(OR($Y957="too few losses to test",$Y957="too few loans to test"),"Too few losses",IF($Y957="","","No"))))</f>
        <v/>
      </c>
      <c r="AJ957">
        <f>IF($AA957="yes","Yes",IF($AA957="","","No"))</f>
        <v/>
      </c>
    </row>
    <row r="958">
      <c r="A958" t="inlineStr">
        <is>
          <t>three-way</t>
        </is>
      </c>
      <c r="B958" t="inlineStr">
        <is>
          <t>ORIG_BAL x CHANNEL / SYS_FLAG</t>
        </is>
      </c>
      <c r="C958" t="inlineStr">
        <is>
          <t>49,152 - 59,984</t>
        </is>
      </c>
      <c r="D958" t="inlineStr">
        <is>
          <t>Broker / SYS_FLAG Y</t>
        </is>
      </c>
      <c r="E958" t="inlineStr">
        <is>
          <t>contribution_rate</t>
        </is>
      </c>
      <c r="F958" t="inlineStr">
        <is>
          <t>Contribution before losses per booked dollar</t>
        </is>
      </c>
      <c r="G958" t="n">
        <v>242</v>
      </c>
      <c r="H958" t="n">
        <v>13240059.31</v>
      </c>
      <c r="I958" t="b">
        <v>0</v>
      </c>
      <c r="J958" t="b">
        <v>0</v>
      </c>
      <c r="K958" t="n">
        <v>-0.0125437525043558</v>
      </c>
      <c r="L958" t="n">
        <v>0.3029697030296971</v>
      </c>
      <c r="M958" t="n">
        <v>-0.009763982452822173</v>
      </c>
      <c r="N958" t="n">
        <v>0.3970655566022345</v>
      </c>
      <c r="O958" t="n">
        <v>166080.0271276319</v>
      </c>
      <c r="P958" t="n">
        <v>129275.7067771652</v>
      </c>
      <c r="Q958">
        <f>'_live'!$C$24</f>
        <v/>
      </c>
      <c r="R958" t="inlineStr">
        <is>
          <t>shuffled: 1,413 of 10,000</t>
        </is>
      </c>
      <c r="S958" t="inlineStr">
        <is>
          <t>shuffled: 2,414 of 10,000</t>
        </is>
      </c>
      <c r="T958" t="n">
        <v>0.1702361050169367</v>
      </c>
      <c r="U958" t="n">
        <v>0.1674563349654031</v>
      </c>
      <c r="V958">
        <f>AND(judged_band,NOT($J958))</f>
        <v/>
      </c>
      <c r="W958">
        <f>IF($K958="","",IF(profit_kind="test",IF(OR(NOT(AND(ISNUMBER($L958),$L958&lt;significance_bar)),$K958=0),"in line",IF($K958&lt;0,"worse","better")),IF(OR($K958=0,IF(profit_kind="points",ABS($K958),ABS($K958*$H958))&lt;profit_line*(1-1E-9)),"in line",IF(AND(ISNUMBER($L958),$L958&lt;significance_bar),IF($K958&lt;0,"worse","better"),IF($K958&lt;0,"worse, not significant","better, not significant")))))</f>
        <v/>
      </c>
      <c r="X958">
        <f>IF($M958="","",IF(profit_kind="test",IF(OR(NOT(AND(ISNUMBER($N958),$N958&lt;significance_bar)),$M958=0),"in line",IF($M958&lt;0,"worse","better")),IF(OR($M958=0,IF(profit_kind="points",ABS($M958),ABS($M958*$H958))&lt;profit_line*(1-1E-9)),"in line",IF(AND(ISNUMBER($N958),$N958&lt;significance_bar),IF($M958&lt;0,"worse","better"),IF($M958&lt;0,"worse, not significant","better, not significant")))))</f>
        <v/>
      </c>
      <c r="Y958">
        <f>IF($V958,$X958,$W958)</f>
        <v/>
      </c>
      <c r="Z958">
        <f>IF($V958,IF($P958="","",$P958),IF($O958="","",$O958))</f>
        <v/>
      </c>
      <c r="AA958">
        <f>IF(OR($Q958="",$Z958=""),"",IF(AND($Z958&gt;0,$Z958&gt;=$Q958),"yes","below the line"))</f>
        <v/>
      </c>
      <c r="AB958">
        <f>IF($V958,IF($M958="","",$M958),IF($K958="","",$K958))</f>
        <v/>
      </c>
      <c r="AC958">
        <f>IF($V958,IF($N958="","",$N958),IF($L958="","",$L958))</f>
        <v/>
      </c>
      <c r="AD958">
        <f>IF($Y958="","",IF($Y958="in line",IF(profit_kind="test",IF(ROUND($AB958*100,2)=0,"0.00",TEXT($AB958*100,"+0.00;-0.00"))&amp;" points against "&amp;IF($V958,"its band","the book")&amp;", "&amp;IF($AC958="","not tested","not significant"),IF(profit_kind="points","within "&amp;TEXT(profit_line*100,"0.00")&amp;" points of "&amp;IF($V958,"its band","the book")&amp;" ("&amp;IF(ROUND($AB958*100,2)=0,"0.00",TEXT($AB958*100,"+0.00;-0.00"))&amp;")","within $"&amp;TEXT(profit_line,"#,##0")&amp;" of "&amp;IF($V958,"its band","the book")&amp;" ("&amp;IF(ROUND($AB958*100,2)=0,"0.00",TEXT($AB958*100,"+0.00;-0.00"))&amp;" points)")),IF(LEFT($Y958,5)="worse","short of ","ahead of ")&amp;IF($V958,"its band","the book")&amp;" by "&amp;TEXT(ABS($AB958)*100,"0.00")&amp;" points"&amp;IF($Z958="",""," ($"&amp;TEXT(ABS($Z958),"#,##0")&amp;")")&amp;IF(RIGHT($Y958,15)="not significant"," (not significant)","")))</f>
        <v/>
      </c>
      <c r="AE958">
        <f>IF($V958,IF($S958="","",$S958),IF($R958="","",$R958))</f>
        <v/>
      </c>
      <c r="AF958">
        <f>IF($V958,IF($U958="","",$U958),IF($T958="","",$T958))</f>
        <v/>
      </c>
      <c r="AG958">
        <f>IF($V958,IF($O958="","",$O958),IF($P958="","",$P958))</f>
        <v/>
      </c>
      <c r="AH958" t="n">
        <v>0.1576923525125809</v>
      </c>
      <c r="AI958">
        <f>IF($Y958="worse","Yes",IF($Y958="worse, not significant","Not sure",IF(OR($Y958="too few losses to test",$Y958="too few loans to test"),"Too few losses",IF($Y958="","","No"))))</f>
        <v/>
      </c>
      <c r="AJ958">
        <f>IF($AA958="yes","Yes",IF($AA958="","","No"))</f>
        <v/>
      </c>
    </row>
    <row r="959">
      <c r="A959" t="inlineStr">
        <is>
          <t>three-way</t>
        </is>
      </c>
      <c r="B959" t="inlineStr">
        <is>
          <t>ORIG_BAL x CHANNEL / SYS_FLAG</t>
        </is>
      </c>
      <c r="C959" t="inlineStr">
        <is>
          <t>15,449 - 26,323</t>
        </is>
      </c>
      <c r="D959" t="inlineStr">
        <is>
          <t>Branch / SYS_FLAG N</t>
        </is>
      </c>
      <c r="E959" t="inlineStr">
        <is>
          <t>outcome_loans</t>
        </is>
      </c>
      <c r="F959" t="inlineStr">
        <is>
          <t>Outcome, share of loans</t>
        </is>
      </c>
      <c r="G959" t="n">
        <v>274</v>
      </c>
      <c r="H959" t="n">
        <v>274</v>
      </c>
      <c r="I959" t="b">
        <v>0</v>
      </c>
      <c r="J959" t="b">
        <v>0</v>
      </c>
      <c r="K959" t="n">
        <v>0.9413499384619133</v>
      </c>
      <c r="L959" t="n">
        <v>0.8757111270041525</v>
      </c>
      <c r="M959" t="n">
        <v>0.750297063316924</v>
      </c>
      <c r="N959" t="n">
        <v>0.3636421316566587</v>
      </c>
      <c r="O959" t="n">
        <v>-1.246084142394825</v>
      </c>
      <c r="P959" t="n">
        <v>-6.656108597285069</v>
      </c>
      <c r="Q959">
        <f>'_live'!$C$20</f>
        <v/>
      </c>
      <c r="R959" t="inlineStr">
        <is>
          <t>z test</t>
        </is>
      </c>
      <c r="S959" t="inlineStr">
        <is>
          <t>z test</t>
        </is>
      </c>
      <c r="T959" t="n">
        <v>0.07754045307443366</v>
      </c>
      <c r="U959" t="n">
        <v>0.09728506787330317</v>
      </c>
      <c r="V959">
        <f>AND(judged_band,NOT($J959))</f>
        <v/>
      </c>
      <c r="W959">
        <f>IF($K959="","",IF($I959,"too few losses to test",IF(AND($K959&gt;better_at,$K959&lt;worse_at),"in line",IF($K959&gt;=worse_at,IF(AND(ISNUMBER($L959),$L959&lt;significance_bar),"worse","worse, not significant"),IF(AND(ISNUMBER($L959),$L959&lt;significance_bar),"better","better, not significant")))))</f>
        <v/>
      </c>
      <c r="X959">
        <f>IF($M959="","",IF($I959,"too few losses to test",IF(AND($M959&gt;better_at,$M959&lt;worse_at),"in line",IF($M959&gt;=worse_at,IF(AND(ISNUMBER($N959),$N959&lt;significance_bar),"worse","worse, not significant"),IF(AND(ISNUMBER($N959),$N959&lt;significance_bar),"better","better, not significant")))))</f>
        <v/>
      </c>
      <c r="Y959">
        <f>IF($V959,$X959,$W959)</f>
        <v/>
      </c>
      <c r="Z959">
        <f>IF($V959,IF($P959="","",$P959),IF($O959="","",$O959))</f>
        <v/>
      </c>
      <c r="AA959">
        <f>IF(OR($Q959="",$Z959=""),"",IF(AND($Z959&gt;0,$Z959&gt;=$Q959),"yes","below the line"))</f>
        <v/>
      </c>
      <c r="AB959">
        <f>IF($V959,IF($M959="","",$M959),IF($K959="","",$K959))</f>
        <v/>
      </c>
      <c r="AC959">
        <f>IF($V959,IF($N959="","",$N959),IF($L959="","",$L959))</f>
        <v/>
      </c>
      <c r="AD959">
        <f>$Y959</f>
        <v/>
      </c>
      <c r="AE959">
        <f>IF($V959,IF($S959="","",$S959),IF($R959="","",$R959))</f>
        <v/>
      </c>
      <c r="AF959">
        <f>IF($V959,IF($U959="","",$U959),IF($T959="","",$T959))</f>
        <v/>
      </c>
      <c r="AG959">
        <f>IF($V959,IF($O959="","",$O959),IF($P959="","",$P959))</f>
        <v/>
      </c>
      <c r="AH959" t="n">
        <v>0.072992700729927</v>
      </c>
      <c r="AI959">
        <f>IF($Y959="worse","Yes",IF($Y959="worse, not significant","Not sure",IF(OR($Y959="too few losses to test",$Y959="too few loans to test"),"Too few losses",IF($Y959="","","No"))))</f>
        <v/>
      </c>
      <c r="AJ959">
        <f>IF($AA959="yes","Yes",IF($AA959="","","No"))</f>
        <v/>
      </c>
    </row>
    <row r="960">
      <c r="A960" t="inlineStr">
        <is>
          <t>three-way</t>
        </is>
      </c>
      <c r="B960" t="inlineStr">
        <is>
          <t>ORIG_BAL x CHANNEL / SYS_FLAG</t>
        </is>
      </c>
      <c r="C960" t="inlineStr">
        <is>
          <t>15,449 - 26,323</t>
        </is>
      </c>
      <c r="D960" t="inlineStr">
        <is>
          <t>Branch / SYS_FLAG N</t>
        </is>
      </c>
      <c r="E960" t="inlineStr">
        <is>
          <t>outcome_booked</t>
        </is>
      </c>
      <c r="F960" t="inlineStr">
        <is>
          <t>Outcome, share of booked dollars</t>
        </is>
      </c>
      <c r="G960" t="n">
        <v>274</v>
      </c>
      <c r="H960" t="n">
        <v>5701885.079999999</v>
      </c>
      <c r="I960" t="b">
        <v>0</v>
      </c>
      <c r="J960" t="b">
        <v>0</v>
      </c>
      <c r="K960" t="n">
        <v>0.9052344676471905</v>
      </c>
      <c r="L960" t="n">
        <v>0.8386716883867168</v>
      </c>
      <c r="M960" t="n">
        <v>0.6849040686662522</v>
      </c>
      <c r="N960" t="n">
        <v>0.2690064326900643</v>
      </c>
      <c r="O960" t="n">
        <v>-40518.04219576064</v>
      </c>
      <c r="P960" t="n">
        <v>-178062.381175547</v>
      </c>
      <c r="Q960">
        <f>'_live'!$C$21</f>
        <v/>
      </c>
      <c r="R960" t="inlineStr">
        <is>
          <t>shuffled: 6,848 of 10,000</t>
        </is>
      </c>
      <c r="S960" t="inlineStr">
        <is>
          <t>shuffled: 1,152 of 10,000</t>
        </is>
      </c>
      <c r="T960" t="n">
        <v>0.07498589610223444</v>
      </c>
      <c r="U960" t="n">
        <v>0.09910850416079361</v>
      </c>
      <c r="V960">
        <f>AND(judged_band,NOT($J960))</f>
        <v/>
      </c>
      <c r="W960">
        <f>IF($K960="","",IF($I960,"too few losses to test",IF(AND($K960&gt;better_at,$K960&lt;worse_at),"in line",IF($K960&gt;=worse_at,IF(AND(ISNUMBER($L960),$L960&lt;significance_bar),"worse","worse, not significant"),IF(AND(ISNUMBER($L960),$L960&lt;significance_bar),"better","better, not significant")))))</f>
        <v/>
      </c>
      <c r="X960">
        <f>IF($M960="","",IF($I960,"too few losses to test",IF(AND($M960&gt;better_at,$M960&lt;worse_at),"in line",IF($M960&gt;=worse_at,IF(AND(ISNUMBER($N960),$N960&lt;significance_bar),"worse","worse, not significant"),IF(AND(ISNUMBER($N960),$N960&lt;significance_bar),"better","better, not significant")))))</f>
        <v/>
      </c>
      <c r="Y960">
        <f>IF($V960,$X960,$W960)</f>
        <v/>
      </c>
      <c r="Z960">
        <f>IF($V960,IF($P960="","",$P960),IF($O960="","",$O960))</f>
        <v/>
      </c>
      <c r="AA960">
        <f>IF(OR($Q960="",$Z960=""),"",IF(AND($Z960&gt;0,$Z960&gt;=$Q960),"yes","below the line"))</f>
        <v/>
      </c>
      <c r="AB960">
        <f>IF($V960,IF($M960="","",$M960),IF($K960="","",$K960))</f>
        <v/>
      </c>
      <c r="AC960">
        <f>IF($V960,IF($N960="","",$N960),IF($L960="","",$L960))</f>
        <v/>
      </c>
      <c r="AD960">
        <f>$Y960</f>
        <v/>
      </c>
      <c r="AE960">
        <f>IF($V960,IF($S960="","",$S960),IF($R960="","",$R960))</f>
        <v/>
      </c>
      <c r="AF960">
        <f>IF($V960,IF($U960="","",$U960),IF($T960="","",$T960))</f>
        <v/>
      </c>
      <c r="AG960">
        <f>IF($V960,IF($O960="","",$O960),IF($P960="","",$P960))</f>
        <v/>
      </c>
      <c r="AH960" t="n">
        <v>0.06787981773915373</v>
      </c>
      <c r="AI960">
        <f>IF($Y960="worse","Yes",IF($Y960="worse, not significant","Not sure",IF(OR($Y960="too few losses to test",$Y960="too few loans to test"),"Too few losses",IF($Y960="","","No"))))</f>
        <v/>
      </c>
      <c r="AJ960">
        <f>IF($AA960="yes","Yes",IF($AA960="","","No"))</f>
        <v/>
      </c>
    </row>
    <row r="961">
      <c r="A961" t="inlineStr">
        <is>
          <t>three-way</t>
        </is>
      </c>
      <c r="B961" t="inlineStr">
        <is>
          <t>ORIG_BAL x CHANNEL / SYS_FLAG</t>
        </is>
      </c>
      <c r="C961" t="inlineStr">
        <is>
          <t>15,449 - 26,323</t>
        </is>
      </c>
      <c r="D961" t="inlineStr">
        <is>
          <t>Branch / SYS_FLAG N</t>
        </is>
      </c>
      <c r="E961" t="inlineStr">
        <is>
          <t>gco_rate</t>
        </is>
      </c>
      <c r="F961" t="inlineStr">
        <is>
          <t>GCO per booked dollar</t>
        </is>
      </c>
      <c r="G961" t="n">
        <v>274</v>
      </c>
      <c r="H961" t="n">
        <v>5701885.079999999</v>
      </c>
      <c r="I961" t="b">
        <v>0</v>
      </c>
      <c r="J961" t="b">
        <v>0</v>
      </c>
      <c r="K961" t="n">
        <v>0.9777003064156815</v>
      </c>
      <c r="L961" t="n">
        <v>0.9822017798220178</v>
      </c>
      <c r="M961" t="n">
        <v>0.7303307171362801</v>
      </c>
      <c r="N961" t="n">
        <v>0.3703096357030963</v>
      </c>
      <c r="O961" t="n">
        <v>-5292.729686660139</v>
      </c>
      <c r="P961" t="n">
        <v>-85683.75345197821</v>
      </c>
      <c r="Q961">
        <f>'_live'!$C$22</f>
        <v/>
      </c>
      <c r="R961" t="inlineStr">
        <is>
          <t>shuffled: 9,292 of 10,000</t>
        </is>
      </c>
      <c r="S961" t="inlineStr">
        <is>
          <t>shuffled: 1,934 of 10,000</t>
        </is>
      </c>
      <c r="T961" t="n">
        <v>0.04162577750280792</v>
      </c>
      <c r="U961" t="n">
        <v>0.05572480311230303</v>
      </c>
      <c r="V961">
        <f>AND(judged_band,NOT($J961))</f>
        <v/>
      </c>
      <c r="W961">
        <f>IF($K961="","",IF($I961,"too few losses to test",IF(AND($K961&gt;better_at,$K961&lt;worse_at),"in line",IF($K961&gt;=worse_at,IF(AND(ISNUMBER($L961),$L961&lt;significance_bar),"worse","worse, not significant"),IF(AND(ISNUMBER($L961),$L961&lt;significance_bar),"better","better, not significant")))))</f>
        <v/>
      </c>
      <c r="X961">
        <f>IF($M961="","",IF($I961,"too few losses to test",IF(AND($M961&gt;better_at,$M961&lt;worse_at),"in line",IF($M961&gt;=worse_at,IF(AND(ISNUMBER($N961),$N961&lt;significance_bar),"worse","worse, not significant"),IF(AND(ISNUMBER($N961),$N961&lt;significance_bar),"better","better, not significant")))))</f>
        <v/>
      </c>
      <c r="Y961">
        <f>IF($V961,$X961,$W961)</f>
        <v/>
      </c>
      <c r="Z961">
        <f>IF($V961,IF($P961="","",$P961),IF($O961="","",$O961))</f>
        <v/>
      </c>
      <c r="AA961">
        <f>IF(OR($Q961="",$Z961=""),"",IF(AND($Z961&gt;0,$Z961&gt;=$Q961),"yes","below the line"))</f>
        <v/>
      </c>
      <c r="AB961">
        <f>IF($V961,IF($M961="","",$M961),IF($K961="","",$K961))</f>
        <v/>
      </c>
      <c r="AC961">
        <f>IF($V961,IF($N961="","",$N961),IF($L961="","",$L961))</f>
        <v/>
      </c>
      <c r="AD961">
        <f>$Y961</f>
        <v/>
      </c>
      <c r="AE961">
        <f>IF($V961,IF($S961="","",$S961),IF($R961="","",$R961))</f>
        <v/>
      </c>
      <c r="AF961">
        <f>IF($V961,IF($U961="","",$U961),IF($T961="","",$T961))</f>
        <v/>
      </c>
      <c r="AG961">
        <f>IF($V961,IF($O961="","",$O961),IF($P961="","",$P961))</f>
        <v/>
      </c>
      <c r="AH961" t="n">
        <v>0.04069753541928629</v>
      </c>
      <c r="AI961">
        <f>IF($Y961="worse","Yes",IF($Y961="worse, not significant","Not sure",IF(OR($Y961="too few losses to test",$Y961="too few loans to test"),"Too few losses",IF($Y961="","","No"))))</f>
        <v/>
      </c>
      <c r="AJ961">
        <f>IF($AA961="yes","Yes",IF($AA961="","","No"))</f>
        <v/>
      </c>
    </row>
    <row r="962">
      <c r="A962" t="inlineStr">
        <is>
          <t>three-way</t>
        </is>
      </c>
      <c r="B962" t="inlineStr">
        <is>
          <t>ORIG_BAL x CHANNEL / SYS_FLAG</t>
        </is>
      </c>
      <c r="C962" t="inlineStr">
        <is>
          <t>15,449 - 26,323</t>
        </is>
      </c>
      <c r="D962" t="inlineStr">
        <is>
          <t>Branch / SYS_FLAG N</t>
        </is>
      </c>
      <c r="E962" t="inlineStr">
        <is>
          <t>ranr_rate</t>
        </is>
      </c>
      <c r="F962" t="inlineStr">
        <is>
          <t>Profit after losses: RANR per booked dollar</t>
        </is>
      </c>
      <c r="G962" t="n">
        <v>274</v>
      </c>
      <c r="H962" t="n">
        <v>5701885.079999999</v>
      </c>
      <c r="I962" t="b">
        <v>0</v>
      </c>
      <c r="J962" t="b">
        <v>0</v>
      </c>
      <c r="K962" t="n">
        <v>-0.002803187031654858</v>
      </c>
      <c r="L962" t="n">
        <v>0.8516044947229415</v>
      </c>
      <c r="M962" t="n">
        <v>0.007462687768854739</v>
      </c>
      <c r="N962" t="n">
        <v>0.640269306402693</v>
      </c>
      <c r="O962" t="n">
        <v>15983.45031224238</v>
      </c>
      <c r="P962" t="n">
        <v>-42551.38804593135</v>
      </c>
      <c r="Q962">
        <f>'_live'!$C$23</f>
        <v/>
      </c>
      <c r="R962" t="inlineStr">
        <is>
          <t>shuffled: 8,232 of 10,000</t>
        </is>
      </c>
      <c r="S962" t="inlineStr">
        <is>
          <t>shuffled: 5,762 of 10,000</t>
        </is>
      </c>
      <c r="T962" t="n">
        <v>0.1280519845749403</v>
      </c>
      <c r="U962" t="n">
        <v>0.1177861097744307</v>
      </c>
      <c r="V962">
        <f>AND(judged_band,NOT($J962))</f>
        <v/>
      </c>
      <c r="W962">
        <f>IF($K962="","",IF(profit_kind="test",IF(OR(NOT(AND(ISNUMBER($L962),$L962&lt;significance_bar)),$K962=0),"in line",IF($K962&lt;0,"worse","better")),IF(OR($K962=0,IF(profit_kind="points",ABS($K962),ABS($K962*$H962))&lt;profit_line*(1-1E-9)),"in line",IF(AND(ISNUMBER($L962),$L962&lt;significance_bar),IF($K962&lt;0,"worse","better"),IF($K962&lt;0,"worse, not significant","better, not significant")))))</f>
        <v/>
      </c>
      <c r="X962">
        <f>IF($M962="","",IF(profit_kind="test",IF(OR(NOT(AND(ISNUMBER($N962),$N962&lt;significance_bar)),$M962=0),"in line",IF($M962&lt;0,"worse","better")),IF(OR($M962=0,IF(profit_kind="points",ABS($M962),ABS($M962*$H962))&lt;profit_line*(1-1E-9)),"in line",IF(AND(ISNUMBER($N962),$N962&lt;significance_bar),IF($M962&lt;0,"worse","better"),IF($M962&lt;0,"worse, not significant","better, not significant")))))</f>
        <v/>
      </c>
      <c r="Y962">
        <f>IF($V962,$X962,$W962)</f>
        <v/>
      </c>
      <c r="Z962">
        <f>IF($V962,IF($P962="","",$P962),IF($O962="","",$O962))</f>
        <v/>
      </c>
      <c r="AA962">
        <f>IF(OR($Q962="",$Z962=""),"",IF(AND($Z962&gt;0,$Z962&gt;=$Q962),"yes","below the line"))</f>
        <v/>
      </c>
      <c r="AB962">
        <f>IF($V962,IF($M962="","",$M962),IF($K962="","",$K962))</f>
        <v/>
      </c>
      <c r="AC962">
        <f>IF($V962,IF($N962="","",$N962),IF($L962="","",$L962))</f>
        <v/>
      </c>
      <c r="AD962">
        <f>IF($Y962="","",IF($Y962="in line",IF(profit_kind="test",IF(ROUND($AB962*100,2)=0,"0.00",TEXT($AB962*100,"+0.00;-0.00"))&amp;" points against "&amp;IF($V962,"its band","the book")&amp;", "&amp;IF($AC962="","not tested","not significant"),IF(profit_kind="points","within "&amp;TEXT(profit_line*100,"0.00")&amp;" points of "&amp;IF($V962,"its band","the book")&amp;" ("&amp;IF(ROUND($AB962*100,2)=0,"0.00",TEXT($AB962*100,"+0.00;-0.00"))&amp;")","within $"&amp;TEXT(profit_line,"#,##0")&amp;" of "&amp;IF($V962,"its band","the book")&amp;" ("&amp;IF(ROUND($AB962*100,2)=0,"0.00",TEXT($AB962*100,"+0.00;-0.00"))&amp;" points)")),IF(LEFT($Y962,5)="worse","short of ","ahead of ")&amp;IF($V962,"its band","the book")&amp;" by "&amp;TEXT(ABS($AB962)*100,"0.00")&amp;" points"&amp;IF($Z962="",""," ($"&amp;TEXT(ABS($Z962),"#,##0")&amp;")")&amp;IF(RIGHT($Y962,15)="not significant"," (not significant)","")))</f>
        <v/>
      </c>
      <c r="AE962">
        <f>IF($V962,IF($S962="","",$S962),IF($R962="","",$R962))</f>
        <v/>
      </c>
      <c r="AF962">
        <f>IF($V962,IF($U962="","",$U962),IF($T962="","",$T962))</f>
        <v/>
      </c>
      <c r="AG962">
        <f>IF($V962,IF($O962="","",$O962),IF($P962="","",$P962))</f>
        <v/>
      </c>
      <c r="AH962" t="n">
        <v>0.1252487975432854</v>
      </c>
      <c r="AI962">
        <f>IF($Y962="worse","Yes",IF($Y962="worse, not significant","Not sure",IF(OR($Y962="too few losses to test",$Y962="too few loans to test"),"Too few losses",IF($Y962="","","No"))))</f>
        <v/>
      </c>
      <c r="AJ962">
        <f>IF($AA962="yes","Yes",IF($AA962="","","No"))</f>
        <v/>
      </c>
    </row>
    <row r="963">
      <c r="A963" t="inlineStr">
        <is>
          <t>three-way</t>
        </is>
      </c>
      <c r="B963" t="inlineStr">
        <is>
          <t>ORIG_BAL x CHANNEL / SYS_FLAG</t>
        </is>
      </c>
      <c r="C963" t="inlineStr">
        <is>
          <t>15,449 - 26,323</t>
        </is>
      </c>
      <c r="D963" t="inlineStr">
        <is>
          <t>Branch / SYS_FLAG N</t>
        </is>
      </c>
      <c r="E963" t="inlineStr">
        <is>
          <t>contribution_rate</t>
        </is>
      </c>
      <c r="F963" t="inlineStr">
        <is>
          <t>Contribution before losses per booked dollar</t>
        </is>
      </c>
      <c r="G963" t="n">
        <v>274</v>
      </c>
      <c r="H963" t="n">
        <v>5701885.079999999</v>
      </c>
      <c r="I963" t="b">
        <v>0</v>
      </c>
      <c r="J963" t="b">
        <v>0</v>
      </c>
      <c r="K963" t="n">
        <v>-0.003728514998408761</v>
      </c>
      <c r="L963" t="n">
        <v>0.7192280771922808</v>
      </c>
      <c r="M963" t="n">
        <v>-0.007564579924161957</v>
      </c>
      <c r="N963" t="n">
        <v>0.4235576442355765</v>
      </c>
      <c r="O963" t="n">
        <v>21259.5640399832</v>
      </c>
      <c r="P963" t="n">
        <v>43132.36540604662</v>
      </c>
      <c r="Q963">
        <f>'_live'!$C$24</f>
        <v/>
      </c>
      <c r="R963" t="inlineStr">
        <is>
          <t>shuffled: 6,482 of 10,000</t>
        </is>
      </c>
      <c r="S963" t="inlineStr">
        <is>
          <t>shuffled: 3,529 of 10,000</t>
        </is>
      </c>
      <c r="T963" t="n">
        <v>0.1696748479609805</v>
      </c>
      <c r="U963" t="n">
        <v>0.1735109128867337</v>
      </c>
      <c r="V963">
        <f>AND(judged_band,NOT($J963))</f>
        <v/>
      </c>
      <c r="W963">
        <f>IF($K963="","",IF(profit_kind="test",IF(OR(NOT(AND(ISNUMBER($L963),$L963&lt;significance_bar)),$K963=0),"in line",IF($K963&lt;0,"worse","better")),IF(OR($K963=0,IF(profit_kind="points",ABS($K963),ABS($K963*$H963))&lt;profit_line*(1-1E-9)),"in line",IF(AND(ISNUMBER($L963),$L963&lt;significance_bar),IF($K963&lt;0,"worse","better"),IF($K963&lt;0,"worse, not significant","better, not significant")))))</f>
        <v/>
      </c>
      <c r="X963">
        <f>IF($M963="","",IF(profit_kind="test",IF(OR(NOT(AND(ISNUMBER($N963),$N963&lt;significance_bar)),$M963=0),"in line",IF($M963&lt;0,"worse","better")),IF(OR($M963=0,IF(profit_kind="points",ABS($M963),ABS($M963*$H963))&lt;profit_line*(1-1E-9)),"in line",IF(AND(ISNUMBER($N963),$N963&lt;significance_bar),IF($M963&lt;0,"worse","better"),IF($M963&lt;0,"worse, not significant","better, not significant")))))</f>
        <v/>
      </c>
      <c r="Y963">
        <f>IF($V963,$X963,$W963)</f>
        <v/>
      </c>
      <c r="Z963">
        <f>IF($V963,IF($P963="","",$P963),IF($O963="","",$O963))</f>
        <v/>
      </c>
      <c r="AA963">
        <f>IF(OR($Q963="",$Z963=""),"",IF(AND($Z963&gt;0,$Z963&gt;=$Q963),"yes","below the line"))</f>
        <v/>
      </c>
      <c r="AB963">
        <f>IF($V963,IF($M963="","",$M963),IF($K963="","",$K963))</f>
        <v/>
      </c>
      <c r="AC963">
        <f>IF($V963,IF($N963="","",$N963),IF($L963="","",$L963))</f>
        <v/>
      </c>
      <c r="AD963">
        <f>IF($Y963="","",IF($Y963="in line",IF(profit_kind="test",IF(ROUND($AB963*100,2)=0,"0.00",TEXT($AB963*100,"+0.00;-0.00"))&amp;" points against "&amp;IF($V963,"its band","the book")&amp;", "&amp;IF($AC963="","not tested","not significant"),IF(profit_kind="points","within "&amp;TEXT(profit_line*100,"0.00")&amp;" points of "&amp;IF($V963,"its band","the book")&amp;" ("&amp;IF(ROUND($AB963*100,2)=0,"0.00",TEXT($AB963*100,"+0.00;-0.00"))&amp;")","within $"&amp;TEXT(profit_line,"#,##0")&amp;" of "&amp;IF($V963,"its band","the book")&amp;" ("&amp;IF(ROUND($AB963*100,2)=0,"0.00",TEXT($AB963*100,"+0.00;-0.00"))&amp;" points)")),IF(LEFT($Y963,5)="worse","short of ","ahead of ")&amp;IF($V963,"its band","the book")&amp;" by "&amp;TEXT(ABS($AB963)*100,"0.00")&amp;" points"&amp;IF($Z963="",""," ($"&amp;TEXT(ABS($Z963),"#,##0")&amp;")")&amp;IF(RIGHT($Y963,15)="not significant"," (not significant)","")))</f>
        <v/>
      </c>
      <c r="AE963">
        <f>IF($V963,IF($S963="","",$S963),IF($R963="","",$R963))</f>
        <v/>
      </c>
      <c r="AF963">
        <f>IF($V963,IF($U963="","",$U963),IF($T963="","",$T963))</f>
        <v/>
      </c>
      <c r="AG963">
        <f>IF($V963,IF($O963="","",$O963),IF($P963="","",$P963))</f>
        <v/>
      </c>
      <c r="AH963" t="n">
        <v>0.1659463329625717</v>
      </c>
      <c r="AI963">
        <f>IF($Y963="worse","Yes",IF($Y963="worse, not significant","Not sure",IF(OR($Y963="too few losses to test",$Y963="too few loans to test"),"Too few losses",IF($Y963="","","No"))))</f>
        <v/>
      </c>
      <c r="AJ963">
        <f>IF($AA963="yes","Yes",IF($AA963="","","No"))</f>
        <v/>
      </c>
    </row>
    <row r="964">
      <c r="A964" t="inlineStr">
        <is>
          <t>three-way</t>
        </is>
      </c>
      <c r="B964" t="inlineStr">
        <is>
          <t>ORIG_BAL x CHANNEL / SYS_FLAG</t>
        </is>
      </c>
      <c r="C964" t="inlineStr">
        <is>
          <t>5,005 - 15,448</t>
        </is>
      </c>
      <c r="D964" t="inlineStr">
        <is>
          <t>Branch / SYS_FLAG Y</t>
        </is>
      </c>
      <c r="E964" t="inlineStr">
        <is>
          <t>outcome_loans</t>
        </is>
      </c>
      <c r="F964" t="inlineStr">
        <is>
          <t>Outcome, share of loans</t>
        </is>
      </c>
      <c r="G964" t="n">
        <v>241</v>
      </c>
      <c r="H964" t="n">
        <v>241</v>
      </c>
      <c r="I964" t="b">
        <v>0</v>
      </c>
      <c r="J964" t="b">
        <v>0</v>
      </c>
      <c r="K964" t="n">
        <v>0.9641192756194723</v>
      </c>
      <c r="L964" t="n">
        <v>0.8973066416828898</v>
      </c>
      <c r="M964" t="n">
        <v>0.9666864256075873</v>
      </c>
      <c r="N964" t="n">
        <v>0.9230174669468612</v>
      </c>
      <c r="O964" t="n">
        <v>-0.6698891466872894</v>
      </c>
      <c r="P964" t="n">
        <v>-0.6203090507726294</v>
      </c>
      <c r="Q964">
        <f>'_live'!$C$20</f>
        <v/>
      </c>
      <c r="R964" t="inlineStr">
        <is>
          <t>z test</t>
        </is>
      </c>
      <c r="S964" t="inlineStr">
        <is>
          <t>z test</t>
        </is>
      </c>
      <c r="T964" t="n">
        <v>0.07746841969579789</v>
      </c>
      <c r="U964" t="n">
        <v>0.0772626931567329</v>
      </c>
      <c r="V964">
        <f>AND(judged_band,NOT($J964))</f>
        <v/>
      </c>
      <c r="W964">
        <f>IF($K964="","",IF($I964,"too few losses to test",IF(AND($K964&gt;better_at,$K964&lt;worse_at),"in line",IF($K964&gt;=worse_at,IF(AND(ISNUMBER($L964),$L964&lt;significance_bar),"worse","worse, not significant"),IF(AND(ISNUMBER($L964),$L964&lt;significance_bar),"better","better, not significant")))))</f>
        <v/>
      </c>
      <c r="X964">
        <f>IF($M964="","",IF($I964,"too few losses to test",IF(AND($M964&gt;better_at,$M964&lt;worse_at),"in line",IF($M964&gt;=worse_at,IF(AND(ISNUMBER($N964),$N964&lt;significance_bar),"worse","worse, not significant"),IF(AND(ISNUMBER($N964),$N964&lt;significance_bar),"better","better, not significant")))))</f>
        <v/>
      </c>
      <c r="Y964">
        <f>IF($V964,$X964,$W964)</f>
        <v/>
      </c>
      <c r="Z964">
        <f>IF($V964,IF($P964="","",$P964),IF($O964="","",$O964))</f>
        <v/>
      </c>
      <c r="AA964">
        <f>IF(OR($Q964="",$Z964=""),"",IF(AND($Z964&gt;0,$Z964&gt;=$Q964),"yes","below the line"))</f>
        <v/>
      </c>
      <c r="AB964">
        <f>IF($V964,IF($M964="","",$M964),IF($K964="","",$K964))</f>
        <v/>
      </c>
      <c r="AC964">
        <f>IF($V964,IF($N964="","",$N964),IF($L964="","",$L964))</f>
        <v/>
      </c>
      <c r="AD964">
        <f>$Y964</f>
        <v/>
      </c>
      <c r="AE964">
        <f>IF($V964,IF($S964="","",$S964),IF($R964="","",$R964))</f>
        <v/>
      </c>
      <c r="AF964">
        <f>IF($V964,IF($U964="","",$U964),IF($T964="","",$T964))</f>
        <v/>
      </c>
      <c r="AG964">
        <f>IF($V964,IF($O964="","",$O964),IF($P964="","",$P964))</f>
        <v/>
      </c>
      <c r="AH964" t="n">
        <v>0.07468879668049792</v>
      </c>
      <c r="AI964">
        <f>IF($Y964="worse","Yes",IF($Y964="worse, not significant","Not sure",IF(OR($Y964="too few losses to test",$Y964="too few loans to test"),"Too few losses",IF($Y964="","","No"))))</f>
        <v/>
      </c>
      <c r="AJ964">
        <f>IF($AA964="yes","Yes",IF($AA964="","","No"))</f>
        <v/>
      </c>
    </row>
    <row r="965">
      <c r="A965" t="inlineStr">
        <is>
          <t>three-way</t>
        </is>
      </c>
      <c r="B965" t="inlineStr">
        <is>
          <t>ORIG_BAL x CHANNEL / SYS_FLAG</t>
        </is>
      </c>
      <c r="C965" t="inlineStr">
        <is>
          <t>5,005 - 15,448</t>
        </is>
      </c>
      <c r="D965" t="inlineStr">
        <is>
          <t>Branch / SYS_FLAG Y</t>
        </is>
      </c>
      <c r="E965" t="inlineStr">
        <is>
          <t>outcome_booked</t>
        </is>
      </c>
      <c r="F965" t="inlineStr">
        <is>
          <t>Outcome, share of booked dollars</t>
        </is>
      </c>
      <c r="G965" t="n">
        <v>241</v>
      </c>
      <c r="H965" t="n">
        <v>2376897.850000001</v>
      </c>
      <c r="I965" t="b">
        <v>0</v>
      </c>
      <c r="J965" t="b">
        <v>0</v>
      </c>
      <c r="K965" t="n">
        <v>1.062843905804446</v>
      </c>
      <c r="L965" t="n">
        <v>0.8386716883867168</v>
      </c>
      <c r="M965" t="n">
        <v>1.061168310229191</v>
      </c>
      <c r="N965" t="n">
        <v>0.9031250721081737</v>
      </c>
      <c r="O965" t="n">
        <v>11170.98649007527</v>
      </c>
      <c r="P965" t="n">
        <v>10890.30531223587</v>
      </c>
      <c r="Q965">
        <f>'_live'!$C$21</f>
        <v/>
      </c>
      <c r="R965" t="inlineStr">
        <is>
          <t>shuffled: 7,975 of 10,000</t>
        </is>
      </c>
      <c r="S965" t="inlineStr">
        <is>
          <t>shuffled: 8,140 of 10,000</t>
        </is>
      </c>
      <c r="T965" t="n">
        <v>0.07478557545496735</v>
      </c>
      <c r="U965" t="n">
        <v>0.07490366264068271</v>
      </c>
      <c r="V965">
        <f>AND(judged_band,NOT($J965))</f>
        <v/>
      </c>
      <c r="W965">
        <f>IF($K965="","",IF($I965,"too few losses to test",IF(AND($K965&gt;better_at,$K965&lt;worse_at),"in line",IF($K965&gt;=worse_at,IF(AND(ISNUMBER($L965),$L965&lt;significance_bar),"worse","worse, not significant"),IF(AND(ISNUMBER($L965),$L965&lt;significance_bar),"better","better, not significant")))))</f>
        <v/>
      </c>
      <c r="X965">
        <f>IF($M965="","",IF($I965,"too few losses to test",IF(AND($M965&gt;better_at,$M965&lt;worse_at),"in line",IF($M965&gt;=worse_at,IF(AND(ISNUMBER($N965),$N965&lt;significance_bar),"worse","worse, not significant"),IF(AND(ISNUMBER($N965),$N965&lt;significance_bar),"better","better, not significant")))))</f>
        <v/>
      </c>
      <c r="Y965">
        <f>IF($V965,$X965,$W965)</f>
        <v/>
      </c>
      <c r="Z965">
        <f>IF($V965,IF($P965="","",$P965),IF($O965="","",$O965))</f>
        <v/>
      </c>
      <c r="AA965">
        <f>IF(OR($Q965="",$Z965=""),"",IF(AND($Z965&gt;0,$Z965&gt;=$Q965),"yes","below the line"))</f>
        <v/>
      </c>
      <c r="AB965">
        <f>IF($V965,IF($M965="","",$M965),IF($K965="","",$K965))</f>
        <v/>
      </c>
      <c r="AC965">
        <f>IF($V965,IF($N965="","",$N965),IF($L965="","",$L965))</f>
        <v/>
      </c>
      <c r="AD965">
        <f>$Y965</f>
        <v/>
      </c>
      <c r="AE965">
        <f>IF($V965,IF($S965="","",$S965),IF($R965="","",$R965))</f>
        <v/>
      </c>
      <c r="AF965">
        <f>IF($V965,IF($U965="","",$U965),IF($T965="","",$T965))</f>
        <v/>
      </c>
      <c r="AG965">
        <f>IF($V965,IF($O965="","",$O965),IF($P965="","",$P965))</f>
        <v/>
      </c>
      <c r="AH965" t="n">
        <v>0.07948539311439064</v>
      </c>
      <c r="AI965">
        <f>IF($Y965="worse","Yes",IF($Y965="worse, not significant","Not sure",IF(OR($Y965="too few losses to test",$Y965="too few loans to test"),"Too few losses",IF($Y965="","","No"))))</f>
        <v/>
      </c>
      <c r="AJ965">
        <f>IF($AA965="yes","Yes",IF($AA965="","","No"))</f>
        <v/>
      </c>
    </row>
    <row r="966">
      <c r="A966" t="inlineStr">
        <is>
          <t>three-way</t>
        </is>
      </c>
      <c r="B966" t="inlineStr">
        <is>
          <t>ORIG_BAL x CHANNEL / SYS_FLAG</t>
        </is>
      </c>
      <c r="C966" t="inlineStr">
        <is>
          <t>5,005 - 15,448</t>
        </is>
      </c>
      <c r="D966" t="inlineStr">
        <is>
          <t>Branch / SYS_FLAG Y</t>
        </is>
      </c>
      <c r="E966" t="inlineStr">
        <is>
          <t>gco_rate</t>
        </is>
      </c>
      <c r="F966" t="inlineStr">
        <is>
          <t>GCO per booked dollar</t>
        </is>
      </c>
      <c r="G966" t="n">
        <v>241</v>
      </c>
      <c r="H966" t="n">
        <v>2376897.850000001</v>
      </c>
      <c r="I966" t="b">
        <v>0</v>
      </c>
      <c r="J966" t="b">
        <v>0</v>
      </c>
      <c r="K966" t="n">
        <v>1.073942729762702</v>
      </c>
      <c r="L966" t="n">
        <v>0.9822017798220178</v>
      </c>
      <c r="M966" t="n">
        <v>1.093340664062522</v>
      </c>
      <c r="N966" t="n">
        <v>0.8150415727658002</v>
      </c>
      <c r="O966" t="n">
        <v>7307.327595289578</v>
      </c>
      <c r="P966" t="n">
        <v>9060.655243836954</v>
      </c>
      <c r="Q966">
        <f>'_live'!$C$22</f>
        <v/>
      </c>
      <c r="R966" t="inlineStr">
        <is>
          <t>shuffled: 7,789 of 10,000</t>
        </is>
      </c>
      <c r="S966" t="inlineStr">
        <is>
          <t>shuffled: 7,361 of 10,000</t>
        </is>
      </c>
      <c r="T966" t="n">
        <v>0.04157694551522708</v>
      </c>
      <c r="U966" t="n">
        <v>0.04083929175002746</v>
      </c>
      <c r="V966">
        <f>AND(judged_band,NOT($J966))</f>
        <v/>
      </c>
      <c r="W966">
        <f>IF($K966="","",IF($I966,"too few losses to test",IF(AND($K966&gt;better_at,$K966&lt;worse_at),"in line",IF($K966&gt;=worse_at,IF(AND(ISNUMBER($L966),$L966&lt;significance_bar),"worse","worse, not significant"),IF(AND(ISNUMBER($L966),$L966&lt;significance_bar),"better","better, not significant")))))</f>
        <v/>
      </c>
      <c r="X966">
        <f>IF($M966="","",IF($I966,"too few losses to test",IF(AND($M966&gt;better_at,$M966&lt;worse_at),"in line",IF($M966&gt;=worse_at,IF(AND(ISNUMBER($N966),$N966&lt;significance_bar),"worse","worse, not significant"),IF(AND(ISNUMBER($N966),$N966&lt;significance_bar),"better","better, not significant")))))</f>
        <v/>
      </c>
      <c r="Y966">
        <f>IF($V966,$X966,$W966)</f>
        <v/>
      </c>
      <c r="Z966">
        <f>IF($V966,IF($P966="","",$P966),IF($O966="","",$O966))</f>
        <v/>
      </c>
      <c r="AA966">
        <f>IF(OR($Q966="",$Z966=""),"",IF(AND($Z966&gt;0,$Z966&gt;=$Q966),"yes","below the line"))</f>
        <v/>
      </c>
      <c r="AB966">
        <f>IF($V966,IF($M966="","",$M966),IF($K966="","",$K966))</f>
        <v/>
      </c>
      <c r="AC966">
        <f>IF($V966,IF($N966="","",$N966),IF($L966="","",$L966))</f>
        <v/>
      </c>
      <c r="AD966">
        <f>$Y966</f>
        <v/>
      </c>
      <c r="AE966">
        <f>IF($V966,IF($S966="","",$S966),IF($R966="","",$R966))</f>
        <v/>
      </c>
      <c r="AF966">
        <f>IF($V966,IF($U966="","",$U966),IF($T966="","",$T966))</f>
        <v/>
      </c>
      <c r="AG966">
        <f>IF($V966,IF($O966="","",$O966),IF($P966="","",$P966))</f>
        <v/>
      </c>
      <c r="AH966" t="n">
        <v>0.0446512583618181</v>
      </c>
      <c r="AI966">
        <f>IF($Y966="worse","Yes",IF($Y966="worse, not significant","Not sure",IF(OR($Y966="too few losses to test",$Y966="too few loans to test"),"Too few losses",IF($Y966="","","No"))))</f>
        <v/>
      </c>
      <c r="AJ966">
        <f>IF($AA966="yes","Yes",IF($AA966="","","No"))</f>
        <v/>
      </c>
    </row>
    <row r="967">
      <c r="A967" t="inlineStr">
        <is>
          <t>three-way</t>
        </is>
      </c>
      <c r="B967" t="inlineStr">
        <is>
          <t>ORIG_BAL x CHANNEL / SYS_FLAG</t>
        </is>
      </c>
      <c r="C967" t="inlineStr">
        <is>
          <t>5,005 - 15,448</t>
        </is>
      </c>
      <c r="D967" t="inlineStr">
        <is>
          <t>Branch / SYS_FLAG Y</t>
        </is>
      </c>
      <c r="E967" t="inlineStr">
        <is>
          <t>ranr_rate</t>
        </is>
      </c>
      <c r="F967" t="inlineStr">
        <is>
          <t>Profit after losses: RANR per booked dollar</t>
        </is>
      </c>
      <c r="G967" t="n">
        <v>241</v>
      </c>
      <c r="H967" t="n">
        <v>2376897.850000001</v>
      </c>
      <c r="I967" t="b">
        <v>0</v>
      </c>
      <c r="J967" t="b">
        <v>0</v>
      </c>
      <c r="K967" t="n">
        <v>0.001707123669884847</v>
      </c>
      <c r="L967" t="n">
        <v>0.8973102689731027</v>
      </c>
      <c r="M967" t="n">
        <v>-0.01991437096352439</v>
      </c>
      <c r="N967" t="n">
        <v>0.2465378462153784</v>
      </c>
      <c r="O967" t="n">
        <v>-4057.658580633404</v>
      </c>
      <c r="P967" t="n">
        <v>47334.42552730354</v>
      </c>
      <c r="Q967">
        <f>'_live'!$C$23</f>
        <v/>
      </c>
      <c r="R967" t="inlineStr">
        <is>
          <t>shuffled: 8,973 of 10,000</t>
        </is>
      </c>
      <c r="S967" t="inlineStr">
        <is>
          <t>shuffled: 1,314 of 10,000</t>
        </is>
      </c>
      <c r="T967" t="n">
        <v>0.1279743264605866</v>
      </c>
      <c r="U967" t="n">
        <v>0.1495958210939958</v>
      </c>
      <c r="V967">
        <f>AND(judged_band,NOT($J967))</f>
        <v/>
      </c>
      <c r="W967">
        <f>IF($K967="","",IF(profit_kind="test",IF(OR(NOT(AND(ISNUMBER($L967),$L967&lt;significance_bar)),$K967=0),"in line",IF($K967&lt;0,"worse","better")),IF(OR($K967=0,IF(profit_kind="points",ABS($K967),ABS($K967*$H967))&lt;profit_line*(1-1E-9)),"in line",IF(AND(ISNUMBER($L967),$L967&lt;significance_bar),IF($K967&lt;0,"worse","better"),IF($K967&lt;0,"worse, not significant","better, not significant")))))</f>
        <v/>
      </c>
      <c r="X967">
        <f>IF($M967="","",IF(profit_kind="test",IF(OR(NOT(AND(ISNUMBER($N967),$N967&lt;significance_bar)),$M967=0),"in line",IF($M967&lt;0,"worse","better")),IF(OR($M967=0,IF(profit_kind="points",ABS($M967),ABS($M967*$H967))&lt;profit_line*(1-1E-9)),"in line",IF(AND(ISNUMBER($N967),$N967&lt;significance_bar),IF($M967&lt;0,"worse","better"),IF($M967&lt;0,"worse, not significant","better, not significant")))))</f>
        <v/>
      </c>
      <c r="Y967">
        <f>IF($V967,$X967,$W967)</f>
        <v/>
      </c>
      <c r="Z967">
        <f>IF($V967,IF($P967="","",$P967),IF($O967="","",$O967))</f>
        <v/>
      </c>
      <c r="AA967">
        <f>IF(OR($Q967="",$Z967=""),"",IF(AND($Z967&gt;0,$Z967&gt;=$Q967),"yes","below the line"))</f>
        <v/>
      </c>
      <c r="AB967">
        <f>IF($V967,IF($M967="","",$M967),IF($K967="","",$K967))</f>
        <v/>
      </c>
      <c r="AC967">
        <f>IF($V967,IF($N967="","",$N967),IF($L967="","",$L967))</f>
        <v/>
      </c>
      <c r="AD967">
        <f>IF($Y967="","",IF($Y967="in line",IF(profit_kind="test",IF(ROUND($AB967*100,2)=0,"0.00",TEXT($AB967*100,"+0.00;-0.00"))&amp;" points against "&amp;IF($V967,"its band","the book")&amp;", "&amp;IF($AC967="","not tested","not significant"),IF(profit_kind="points","within "&amp;TEXT(profit_line*100,"0.00")&amp;" points of "&amp;IF($V967,"its band","the book")&amp;" ("&amp;IF(ROUND($AB967*100,2)=0,"0.00",TEXT($AB967*100,"+0.00;-0.00"))&amp;")","within $"&amp;TEXT(profit_line,"#,##0")&amp;" of "&amp;IF($V967,"its band","the book")&amp;" ("&amp;IF(ROUND($AB967*100,2)=0,"0.00",TEXT($AB967*100,"+0.00;-0.00"))&amp;" points)")),IF(LEFT($Y967,5)="worse","short of ","ahead of ")&amp;IF($V967,"its band","the book")&amp;" by "&amp;TEXT(ABS($AB967)*100,"0.00")&amp;" points"&amp;IF($Z967="",""," ($"&amp;TEXT(ABS($Z967),"#,##0")&amp;")")&amp;IF(RIGHT($Y967,15)="not significant"," (not significant)","")))</f>
        <v/>
      </c>
      <c r="AE967">
        <f>IF($V967,IF($S967="","",$S967),IF($R967="","",$R967))</f>
        <v/>
      </c>
      <c r="AF967">
        <f>IF($V967,IF($U967="","",$U967),IF($T967="","",$T967))</f>
        <v/>
      </c>
      <c r="AG967">
        <f>IF($V967,IF($O967="","",$O967),IF($P967="","",$P967))</f>
        <v/>
      </c>
      <c r="AH967" t="n">
        <v>0.1296814501304714</v>
      </c>
      <c r="AI967">
        <f>IF($Y967="worse","Yes",IF($Y967="worse, not significant","Not sure",IF(OR($Y967="too few losses to test",$Y967="too few loans to test"),"Too few losses",IF($Y967="","","No"))))</f>
        <v/>
      </c>
      <c r="AJ967">
        <f>IF($AA967="yes","Yes",IF($AA967="","","No"))</f>
        <v/>
      </c>
    </row>
    <row r="968">
      <c r="A968" t="inlineStr">
        <is>
          <t>three-way</t>
        </is>
      </c>
      <c r="B968" t="inlineStr">
        <is>
          <t>ORIG_BAL x CHANNEL / SYS_FLAG</t>
        </is>
      </c>
      <c r="C968" t="inlineStr">
        <is>
          <t>5,005 - 15,448</t>
        </is>
      </c>
      <c r="D968" t="inlineStr">
        <is>
          <t>Branch / SYS_FLAG Y</t>
        </is>
      </c>
      <c r="E968" t="inlineStr">
        <is>
          <t>contribution_rate</t>
        </is>
      </c>
      <c r="F968" t="inlineStr">
        <is>
          <t>Contribution before losses per booked dollar</t>
        </is>
      </c>
      <c r="G968" t="n">
        <v>241</v>
      </c>
      <c r="H968" t="n">
        <v>2376897.850000001</v>
      </c>
      <c r="I968" t="b">
        <v>0</v>
      </c>
      <c r="J968" t="b">
        <v>0</v>
      </c>
      <c r="K968" t="n">
        <v>0.004784324787224292</v>
      </c>
      <c r="L968" t="n">
        <v>0.7068493150684932</v>
      </c>
      <c r="M968" t="n">
        <v>-0.01610240435173366</v>
      </c>
      <c r="N968" t="n">
        <v>0.1767323267673233</v>
      </c>
      <c r="O968" t="n">
        <v>-11371.85130045516</v>
      </c>
      <c r="P968" t="n">
        <v>38273.77028346638</v>
      </c>
      <c r="Q968">
        <f>'_live'!$C$24</f>
        <v/>
      </c>
      <c r="R968" t="inlineStr">
        <is>
          <t>shuffled: 5,890 of 10,000</t>
        </is>
      </c>
      <c r="S968" t="inlineStr">
        <is>
          <t>shuffled: 706 of 10,000</t>
        </is>
      </c>
      <c r="T968" t="n">
        <v>0.1695483837050654</v>
      </c>
      <c r="U968" t="n">
        <v>0.1904351128440233</v>
      </c>
      <c r="V968">
        <f>AND(judged_band,NOT($J968))</f>
        <v/>
      </c>
      <c r="W968">
        <f>IF($K968="","",IF(profit_kind="test",IF(OR(NOT(AND(ISNUMBER($L968),$L968&lt;significance_bar)),$K968=0),"in line",IF($K968&lt;0,"worse","better")),IF(OR($K968=0,IF(profit_kind="points",ABS($K968),ABS($K968*$H968))&lt;profit_line*(1-1E-9)),"in line",IF(AND(ISNUMBER($L968),$L968&lt;significance_bar),IF($K968&lt;0,"worse","better"),IF($K968&lt;0,"worse, not significant","better, not significant")))))</f>
        <v/>
      </c>
      <c r="X968">
        <f>IF($M968="","",IF(profit_kind="test",IF(OR(NOT(AND(ISNUMBER($N968),$N968&lt;significance_bar)),$M968=0),"in line",IF($M968&lt;0,"worse","better")),IF(OR($M968=0,IF(profit_kind="points",ABS($M968),ABS($M968*$H968))&lt;profit_line*(1-1E-9)),"in line",IF(AND(ISNUMBER($N968),$N968&lt;significance_bar),IF($M968&lt;0,"worse","better"),IF($M968&lt;0,"worse, not significant","better, not significant")))))</f>
        <v/>
      </c>
      <c r="Y968">
        <f>IF($V968,$X968,$W968)</f>
        <v/>
      </c>
      <c r="Z968">
        <f>IF($V968,IF($P968="","",$P968),IF($O968="","",$O968))</f>
        <v/>
      </c>
      <c r="AA968">
        <f>IF(OR($Q968="",$Z968=""),"",IF(AND($Z968&gt;0,$Z968&gt;=$Q968),"yes","below the line"))</f>
        <v/>
      </c>
      <c r="AB968">
        <f>IF($V968,IF($M968="","",$M968),IF($K968="","",$K968))</f>
        <v/>
      </c>
      <c r="AC968">
        <f>IF($V968,IF($N968="","",$N968),IF($L968="","",$L968))</f>
        <v/>
      </c>
      <c r="AD968">
        <f>IF($Y968="","",IF($Y968="in line",IF(profit_kind="test",IF(ROUND($AB968*100,2)=0,"0.00",TEXT($AB968*100,"+0.00;-0.00"))&amp;" points against "&amp;IF($V968,"its band","the book")&amp;", "&amp;IF($AC968="","not tested","not significant"),IF(profit_kind="points","within "&amp;TEXT(profit_line*100,"0.00")&amp;" points of "&amp;IF($V968,"its band","the book")&amp;" ("&amp;IF(ROUND($AB968*100,2)=0,"0.00",TEXT($AB968*100,"+0.00;-0.00"))&amp;")","within $"&amp;TEXT(profit_line,"#,##0")&amp;" of "&amp;IF($V968,"its band","the book")&amp;" ("&amp;IF(ROUND($AB968*100,2)=0,"0.00",TEXT($AB968*100,"+0.00;-0.00"))&amp;" points)")),IF(LEFT($Y968,5)="worse","short of ","ahead of ")&amp;IF($V968,"its band","the book")&amp;" by "&amp;TEXT(ABS($AB968)*100,"0.00")&amp;" points"&amp;IF($Z968="",""," ($"&amp;TEXT(ABS($Z968),"#,##0")&amp;")")&amp;IF(RIGHT($Y968,15)="not significant"," (not significant)","")))</f>
        <v/>
      </c>
      <c r="AE968">
        <f>IF($V968,IF($S968="","",$S968),IF($R968="","",$R968))</f>
        <v/>
      </c>
      <c r="AF968">
        <f>IF($V968,IF($U968="","",$U968),IF($T968="","",$T968))</f>
        <v/>
      </c>
      <c r="AG968">
        <f>IF($V968,IF($O968="","",$O968),IF($P968="","",$P968))</f>
        <v/>
      </c>
      <c r="AH968" t="n">
        <v>0.1743327084922897</v>
      </c>
      <c r="AI968">
        <f>IF($Y968="worse","Yes",IF($Y968="worse, not significant","Not sure",IF(OR($Y968="too few losses to test",$Y968="too few loans to test"),"Too few losses",IF($Y968="","","No"))))</f>
        <v/>
      </c>
      <c r="AJ968">
        <f>IF($AA968="yes","Yes",IF($AA968="","","No"))</f>
        <v/>
      </c>
    </row>
    <row r="969">
      <c r="A969" t="inlineStr">
        <is>
          <t>three-way</t>
        </is>
      </c>
      <c r="B969" t="inlineStr">
        <is>
          <t>ORIG_BAL x CHANNEL / SYS_FLAG</t>
        </is>
      </c>
      <c r="C969" t="inlineStr">
        <is>
          <t>37,951 - 49,151</t>
        </is>
      </c>
      <c r="D969" t="inlineStr">
        <is>
          <t>Broker / SYS_FLAG Y</t>
        </is>
      </c>
      <c r="E969" t="inlineStr">
        <is>
          <t>outcome_loans</t>
        </is>
      </c>
      <c r="F969" t="inlineStr">
        <is>
          <t>Outcome, share of loans</t>
        </is>
      </c>
      <c r="G969" t="n">
        <v>249</v>
      </c>
      <c r="H969" t="n">
        <v>249</v>
      </c>
      <c r="I969" t="b">
        <v>0</v>
      </c>
      <c r="J969" t="b">
        <v>0</v>
      </c>
      <c r="K969" t="n">
        <v>1.865338064587116</v>
      </c>
      <c r="L969" t="n">
        <v>0.002105166892985362</v>
      </c>
      <c r="M969" t="n">
        <v>1.918177761551255</v>
      </c>
      <c r="N969" t="n">
        <v>0.01199793971906374</v>
      </c>
      <c r="O969" t="n">
        <v>16.23664516129032</v>
      </c>
      <c r="P969" t="n">
        <v>16.75351591413767</v>
      </c>
      <c r="Q969">
        <f>'_live'!$C$20</f>
        <v/>
      </c>
      <c r="R969" t="inlineStr">
        <is>
          <t>z test</t>
        </is>
      </c>
      <c r="S969" t="inlineStr">
        <is>
          <t>z test</t>
        </is>
      </c>
      <c r="T969" t="n">
        <v>0.07535483870967742</v>
      </c>
      <c r="U969" t="n">
        <v>0.07327905255366396</v>
      </c>
      <c r="V969">
        <f>AND(judged_band,NOT($J969))</f>
        <v/>
      </c>
      <c r="W969">
        <f>IF($K969="","",IF($I969,"too few losses to test",IF(AND($K969&gt;better_at,$K969&lt;worse_at),"in line",IF($K969&gt;=worse_at,IF(AND(ISNUMBER($L969),$L969&lt;significance_bar),"worse","worse, not significant"),IF(AND(ISNUMBER($L969),$L969&lt;significance_bar),"better","better, not significant")))))</f>
        <v/>
      </c>
      <c r="X969">
        <f>IF($M969="","",IF($I969,"too few losses to test",IF(AND($M969&gt;better_at,$M969&lt;worse_at),"in line",IF($M969&gt;=worse_at,IF(AND(ISNUMBER($N969),$N969&lt;significance_bar),"worse","worse, not significant"),IF(AND(ISNUMBER($N969),$N969&lt;significance_bar),"better","better, not significant")))))</f>
        <v/>
      </c>
      <c r="Y969">
        <f>IF($V969,$X969,$W969)</f>
        <v/>
      </c>
      <c r="Z969">
        <f>IF($V969,IF($P969="","",$P969),IF($O969="","",$O969))</f>
        <v/>
      </c>
      <c r="AA969">
        <f>IF(OR($Q969="",$Z969=""),"",IF(AND($Z969&gt;0,$Z969&gt;=$Q969),"yes","below the line"))</f>
        <v/>
      </c>
      <c r="AB969">
        <f>IF($V969,IF($M969="","",$M969),IF($K969="","",$K969))</f>
        <v/>
      </c>
      <c r="AC969">
        <f>IF($V969,IF($N969="","",$N969),IF($L969="","",$L969))</f>
        <v/>
      </c>
      <c r="AD969">
        <f>$Y969</f>
        <v/>
      </c>
      <c r="AE969">
        <f>IF($V969,IF($S969="","",$S969),IF($R969="","",$R969))</f>
        <v/>
      </c>
      <c r="AF969">
        <f>IF($V969,IF($U969="","",$U969),IF($T969="","",$T969))</f>
        <v/>
      </c>
      <c r="AG969">
        <f>IF($V969,IF($O969="","",$O969),IF($P969="","",$P969))</f>
        <v/>
      </c>
      <c r="AH969" t="n">
        <v>0.1405622489959839</v>
      </c>
      <c r="AI969">
        <f>IF($Y969="worse","Yes",IF($Y969="worse, not significant","Not sure",IF(OR($Y969="too few losses to test",$Y969="too few loans to test"),"Too few losses",IF($Y969="","","No"))))</f>
        <v/>
      </c>
      <c r="AJ969">
        <f>IF($AA969="yes","Yes",IF($AA969="","","No"))</f>
        <v/>
      </c>
    </row>
    <row r="970">
      <c r="A970" t="inlineStr">
        <is>
          <t>three-way</t>
        </is>
      </c>
      <c r="B970" t="inlineStr">
        <is>
          <t>ORIG_BAL x CHANNEL / SYS_FLAG</t>
        </is>
      </c>
      <c r="C970" t="inlineStr">
        <is>
          <t>37,951 - 49,151</t>
        </is>
      </c>
      <c r="D970" t="inlineStr">
        <is>
          <t>Broker / SYS_FLAG Y</t>
        </is>
      </c>
      <c r="E970" t="inlineStr">
        <is>
          <t>outcome_booked</t>
        </is>
      </c>
      <c r="F970" t="inlineStr">
        <is>
          <t>Outcome, share of booked dollars</t>
        </is>
      </c>
      <c r="G970" t="n">
        <v>249</v>
      </c>
      <c r="H970" t="n">
        <v>10835298.16</v>
      </c>
      <c r="I970" t="b">
        <v>0</v>
      </c>
      <c r="J970" t="b">
        <v>0</v>
      </c>
      <c r="K970" t="n">
        <v>1.888042833762509</v>
      </c>
      <c r="L970" t="n">
        <v>0.0111988801119888</v>
      </c>
      <c r="M970" t="n">
        <v>1.85781287340994</v>
      </c>
      <c r="N970" t="n">
        <v>0.0205312802053128</v>
      </c>
      <c r="O970" t="n">
        <v>694134.1604620874</v>
      </c>
      <c r="P970" t="n">
        <v>681415.3904700656</v>
      </c>
      <c r="Q970">
        <f>'_live'!$C$21</f>
        <v/>
      </c>
      <c r="R970" t="inlineStr">
        <is>
          <t>shuffled: 6 of 10,000</t>
        </is>
      </c>
      <c r="S970" t="inlineStr">
        <is>
          <t>shuffled: 10 of 10,000</t>
        </is>
      </c>
      <c r="T970" t="n">
        <v>0.07213875409755334</v>
      </c>
      <c r="U970" t="n">
        <v>0.07331258150905687</v>
      </c>
      <c r="V970">
        <f>AND(judged_band,NOT($J970))</f>
        <v/>
      </c>
      <c r="W970">
        <f>IF($K970="","",IF($I970,"too few losses to test",IF(AND($K970&gt;better_at,$K970&lt;worse_at),"in line",IF($K970&gt;=worse_at,IF(AND(ISNUMBER($L970),$L970&lt;significance_bar),"worse","worse, not significant"),IF(AND(ISNUMBER($L970),$L970&lt;significance_bar),"better","better, not significant")))))</f>
        <v/>
      </c>
      <c r="X970">
        <f>IF($M970="","",IF($I970,"too few losses to test",IF(AND($M970&gt;better_at,$M970&lt;worse_at),"in line",IF($M970&gt;=worse_at,IF(AND(ISNUMBER($N970),$N970&lt;significance_bar),"worse","worse, not significant"),IF(AND(ISNUMBER($N970),$N970&lt;significance_bar),"better","better, not significant")))))</f>
        <v/>
      </c>
      <c r="Y970">
        <f>IF($V970,$X970,$W970)</f>
        <v/>
      </c>
      <c r="Z970">
        <f>IF($V970,IF($P970="","",$P970),IF($O970="","",$O970))</f>
        <v/>
      </c>
      <c r="AA970">
        <f>IF(OR($Q970="",$Z970=""),"",IF(AND($Z970&gt;0,$Z970&gt;=$Q970),"yes","below the line"))</f>
        <v/>
      </c>
      <c r="AB970">
        <f>IF($V970,IF($M970="","",$M970),IF($K970="","",$K970))</f>
        <v/>
      </c>
      <c r="AC970">
        <f>IF($V970,IF($N970="","",$N970),IF($L970="","",$L970))</f>
        <v/>
      </c>
      <c r="AD970">
        <f>$Y970</f>
        <v/>
      </c>
      <c r="AE970">
        <f>IF($V970,IF($S970="","",$S970),IF($R970="","",$R970))</f>
        <v/>
      </c>
      <c r="AF970">
        <f>IF($V970,IF($U970="","",$U970),IF($T970="","",$T970))</f>
        <v/>
      </c>
      <c r="AG970">
        <f>IF($V970,IF($O970="","",$O970),IF($P970="","",$P970))</f>
        <v/>
      </c>
      <c r="AH970" t="n">
        <v>0.1362010577104414</v>
      </c>
      <c r="AI970">
        <f>IF($Y970="worse","Yes",IF($Y970="worse, not significant","Not sure",IF(OR($Y970="too few losses to test",$Y970="too few loans to test"),"Too few losses",IF($Y970="","","No"))))</f>
        <v/>
      </c>
      <c r="AJ970">
        <f>IF($AA970="yes","Yes",IF($AA970="","","No"))</f>
        <v/>
      </c>
    </row>
    <row r="971">
      <c r="A971" t="inlineStr">
        <is>
          <t>three-way</t>
        </is>
      </c>
      <c r="B971" t="inlineStr">
        <is>
          <t>ORIG_BAL x CHANNEL / SYS_FLAG</t>
        </is>
      </c>
      <c r="C971" t="inlineStr">
        <is>
          <t>37,951 - 49,151</t>
        </is>
      </c>
      <c r="D971" t="inlineStr">
        <is>
          <t>Broker / SYS_FLAG Y</t>
        </is>
      </c>
      <c r="E971" t="inlineStr">
        <is>
          <t>gco_rate</t>
        </is>
      </c>
      <c r="F971" t="inlineStr">
        <is>
          <t>GCO per booked dollar</t>
        </is>
      </c>
      <c r="G971" t="n">
        <v>249</v>
      </c>
      <c r="H971" t="n">
        <v>10835298.16</v>
      </c>
      <c r="I971" t="b">
        <v>0</v>
      </c>
      <c r="J971" t="b">
        <v>0</v>
      </c>
      <c r="K971" t="n">
        <v>1.848118714773821</v>
      </c>
      <c r="L971" t="n">
        <v>0.02333100023331</v>
      </c>
      <c r="M971" t="n">
        <v>1.780346860606634</v>
      </c>
      <c r="N971" t="n">
        <v>0.0363963603639636</v>
      </c>
      <c r="O971" t="n">
        <v>369188.0193143846</v>
      </c>
      <c r="P971" t="n">
        <v>352617.5161075343</v>
      </c>
      <c r="Q971">
        <f>'_live'!$C$22</f>
        <v/>
      </c>
      <c r="R971" t="inlineStr">
        <is>
          <t>shuffled: 24 of 10,000</t>
        </is>
      </c>
      <c r="S971" t="inlineStr">
        <is>
          <t>shuffled: 38 of 10,000</t>
        </is>
      </c>
      <c r="T971" t="n">
        <v>0.04017446352261849</v>
      </c>
      <c r="U971" t="n">
        <v>0.04170377106562848</v>
      </c>
      <c r="V971">
        <f>AND(judged_band,NOT($J971))</f>
        <v/>
      </c>
      <c r="W971">
        <f>IF($K971="","",IF($I971,"too few losses to test",IF(AND($K971&gt;better_at,$K971&lt;worse_at),"in line",IF($K971&gt;=worse_at,IF(AND(ISNUMBER($L971),$L971&lt;significance_bar),"worse","worse, not significant"),IF(AND(ISNUMBER($L971),$L971&lt;significance_bar),"better","better, not significant")))))</f>
        <v/>
      </c>
      <c r="X971">
        <f>IF($M971="","",IF($I971,"too few losses to test",IF(AND($M971&gt;better_at,$M971&lt;worse_at),"in line",IF($M971&gt;=worse_at,IF(AND(ISNUMBER($N971),$N971&lt;significance_bar),"worse","worse, not significant"),IF(AND(ISNUMBER($N971),$N971&lt;significance_bar),"better","better, not significant")))))</f>
        <v/>
      </c>
      <c r="Y971">
        <f>IF($V971,$X971,$W971)</f>
        <v/>
      </c>
      <c r="Z971">
        <f>IF($V971,IF($P971="","",$P971),IF($O971="","",$O971))</f>
        <v/>
      </c>
      <c r="AA971">
        <f>IF(OR($Q971="",$Z971=""),"",IF(AND($Z971&gt;0,$Z971&gt;=$Q971),"yes","below the line"))</f>
        <v/>
      </c>
      <c r="AB971">
        <f>IF($V971,IF($M971="","",$M971),IF($K971="","",$K971))</f>
        <v/>
      </c>
      <c r="AC971">
        <f>IF($V971,IF($N971="","",$N971),IF($L971="","",$L971))</f>
        <v/>
      </c>
      <c r="AD971">
        <f>$Y971</f>
        <v/>
      </c>
      <c r="AE971">
        <f>IF($V971,IF($S971="","",$S971),IF($R971="","",$R971))</f>
        <v/>
      </c>
      <c r="AF971">
        <f>IF($V971,IF($U971="","",$U971),IF($T971="","",$T971))</f>
        <v/>
      </c>
      <c r="AG971">
        <f>IF($V971,IF($O971="","",$O971),IF($P971="","",$P971))</f>
        <v/>
      </c>
      <c r="AH971" t="n">
        <v>0.07424717789214945</v>
      </c>
      <c r="AI971">
        <f>IF($Y971="worse","Yes",IF($Y971="worse, not significant","Not sure",IF(OR($Y971="too few losses to test",$Y971="too few loans to test"),"Too few losses",IF($Y971="","","No"))))</f>
        <v/>
      </c>
      <c r="AJ971">
        <f>IF($AA971="yes","Yes",IF($AA971="","","No"))</f>
        <v/>
      </c>
    </row>
    <row r="972">
      <c r="A972" t="inlineStr">
        <is>
          <t>three-way</t>
        </is>
      </c>
      <c r="B972" t="inlineStr">
        <is>
          <t>ORIG_BAL x CHANNEL / SYS_FLAG</t>
        </is>
      </c>
      <c r="C972" t="inlineStr">
        <is>
          <t>37,951 - 49,151</t>
        </is>
      </c>
      <c r="D972" t="inlineStr">
        <is>
          <t>Broker / SYS_FLAG Y</t>
        </is>
      </c>
      <c r="E972" t="inlineStr">
        <is>
          <t>ranr_rate</t>
        </is>
      </c>
      <c r="F972" t="inlineStr">
        <is>
          <t>Profit after losses: RANR per booked dollar</t>
        </is>
      </c>
      <c r="G972" t="n">
        <v>249</v>
      </c>
      <c r="H972" t="n">
        <v>10835298.16</v>
      </c>
      <c r="I972" t="b">
        <v>0</v>
      </c>
      <c r="J972" t="b">
        <v>0</v>
      </c>
      <c r="K972" t="n">
        <v>-0.03724836260681179</v>
      </c>
      <c r="L972" t="n">
        <v>0.0254974502549745</v>
      </c>
      <c r="M972" t="n">
        <v>-0.03566782748606821</v>
      </c>
      <c r="N972" t="n">
        <v>0.0461953804619538</v>
      </c>
      <c r="O972" t="n">
        <v>403597.1148166007</v>
      </c>
      <c r="P972" t="n">
        <v>386471.5455309923</v>
      </c>
      <c r="Q972">
        <f>'_live'!$C$23</f>
        <v/>
      </c>
      <c r="R972" t="inlineStr">
        <is>
          <t>shuffled: 44 of 10,000</t>
        </is>
      </c>
      <c r="S972" t="inlineStr">
        <is>
          <t>shuffled: 76 of 10,000</t>
        </is>
      </c>
      <c r="T972" t="n">
        <v>0.129553964652192</v>
      </c>
      <c r="U972" t="n">
        <v>0.1279734295314484</v>
      </c>
      <c r="V972">
        <f>AND(judged_band,NOT($J972))</f>
        <v/>
      </c>
      <c r="W972">
        <f>IF($K972="","",IF(profit_kind="test",IF(OR(NOT(AND(ISNUMBER($L972),$L972&lt;significance_bar)),$K972=0),"in line",IF($K972&lt;0,"worse","better")),IF(OR($K972=0,IF(profit_kind="points",ABS($K972),ABS($K972*$H972))&lt;profit_line*(1-1E-9)),"in line",IF(AND(ISNUMBER($L972),$L972&lt;significance_bar),IF($K972&lt;0,"worse","better"),IF($K972&lt;0,"worse, not significant","better, not significant")))))</f>
        <v/>
      </c>
      <c r="X972">
        <f>IF($M972="","",IF(profit_kind="test",IF(OR(NOT(AND(ISNUMBER($N972),$N972&lt;significance_bar)),$M972=0),"in line",IF($M972&lt;0,"worse","better")),IF(OR($M972=0,IF(profit_kind="points",ABS($M972),ABS($M972*$H972))&lt;profit_line*(1-1E-9)),"in line",IF(AND(ISNUMBER($N972),$N972&lt;significance_bar),IF($M972&lt;0,"worse","better"),IF($M972&lt;0,"worse, not significant","better, not significant")))))</f>
        <v/>
      </c>
      <c r="Y972">
        <f>IF($V972,$X972,$W972)</f>
        <v/>
      </c>
      <c r="Z972">
        <f>IF($V972,IF($P972="","",$P972),IF($O972="","",$O972))</f>
        <v/>
      </c>
      <c r="AA972">
        <f>IF(OR($Q972="",$Z972=""),"",IF(AND($Z972&gt;0,$Z972&gt;=$Q972),"yes","below the line"))</f>
        <v/>
      </c>
      <c r="AB972">
        <f>IF($V972,IF($M972="","",$M972),IF($K972="","",$K972))</f>
        <v/>
      </c>
      <c r="AC972">
        <f>IF($V972,IF($N972="","",$N972),IF($L972="","",$L972))</f>
        <v/>
      </c>
      <c r="AD972">
        <f>IF($Y972="","",IF($Y972="in line",IF(profit_kind="test",IF(ROUND($AB972*100,2)=0,"0.00",TEXT($AB972*100,"+0.00;-0.00"))&amp;" points against "&amp;IF($V972,"its band","the book")&amp;", "&amp;IF($AC972="","not tested","not significant"),IF(profit_kind="points","within "&amp;TEXT(profit_line*100,"0.00")&amp;" points of "&amp;IF($V972,"its band","the book")&amp;" ("&amp;IF(ROUND($AB972*100,2)=0,"0.00",TEXT($AB972*100,"+0.00;-0.00"))&amp;")","within $"&amp;TEXT(profit_line,"#,##0")&amp;" of "&amp;IF($V972,"its band","the book")&amp;" ("&amp;IF(ROUND($AB972*100,2)=0,"0.00",TEXT($AB972*100,"+0.00;-0.00"))&amp;" points)")),IF(LEFT($Y972,5)="worse","short of ","ahead of ")&amp;IF($V972,"its band","the book")&amp;" by "&amp;TEXT(ABS($AB972)*100,"0.00")&amp;" points"&amp;IF($Z972="",""," ($"&amp;TEXT(ABS($Z972),"#,##0")&amp;")")&amp;IF(RIGHT($Y972,15)="not significant"," (not significant)","")))</f>
        <v/>
      </c>
      <c r="AE972">
        <f>IF($V972,IF($S972="","",$S972),IF($R972="","",$R972))</f>
        <v/>
      </c>
      <c r="AF972">
        <f>IF($V972,IF($U972="","",$U972),IF($T972="","",$T972))</f>
        <v/>
      </c>
      <c r="AG972">
        <f>IF($V972,IF($O972="","",$O972),IF($P972="","",$P972))</f>
        <v/>
      </c>
      <c r="AH972" t="n">
        <v>0.09230560204538017</v>
      </c>
      <c r="AI972">
        <f>IF($Y972="worse","Yes",IF($Y972="worse, not significant","Not sure",IF(OR($Y972="too few losses to test",$Y972="too few loans to test"),"Too few losses",IF($Y972="","","No"))))</f>
        <v/>
      </c>
      <c r="AJ972">
        <f>IF($AA972="yes","Yes",IF($AA972="","","No"))</f>
        <v/>
      </c>
    </row>
    <row r="973">
      <c r="A973" t="inlineStr">
        <is>
          <t>three-way</t>
        </is>
      </c>
      <c r="B973" t="inlineStr">
        <is>
          <t>ORIG_BAL x CHANNEL / SYS_FLAG</t>
        </is>
      </c>
      <c r="C973" t="inlineStr">
        <is>
          <t>37,951 - 49,151</t>
        </is>
      </c>
      <c r="D973" t="inlineStr">
        <is>
          <t>Broker / SYS_FLAG Y</t>
        </is>
      </c>
      <c r="E973" t="inlineStr">
        <is>
          <t>contribution_rate</t>
        </is>
      </c>
      <c r="F973" t="inlineStr">
        <is>
          <t>Contribution before losses per booked dollar</t>
        </is>
      </c>
      <c r="G973" t="n">
        <v>249</v>
      </c>
      <c r="H973" t="n">
        <v>10835298.16</v>
      </c>
      <c r="I973" t="b">
        <v>0</v>
      </c>
      <c r="J973" t="b">
        <v>0</v>
      </c>
      <c r="K973" t="n">
        <v>-0.003172914731511045</v>
      </c>
      <c r="L973" t="n">
        <v>0.7192280771922808</v>
      </c>
      <c r="M973" t="n">
        <v>-0.003111867254642603</v>
      </c>
      <c r="N973" t="n">
        <v>0.7119288071192881</v>
      </c>
      <c r="O973" t="n">
        <v>34379.47715217853</v>
      </c>
      <c r="P973" t="n">
        <v>33718.00953839347</v>
      </c>
      <c r="Q973">
        <f>'_live'!$C$24</f>
        <v/>
      </c>
      <c r="R973" t="inlineStr">
        <is>
          <t>shuffled: 7,073 of 10,000</t>
        </is>
      </c>
      <c r="S973" t="inlineStr">
        <is>
          <t>shuffled: 7,019 of 10,000</t>
        </is>
      </c>
      <c r="T973" t="n">
        <v>0.1697256946690406</v>
      </c>
      <c r="U973" t="n">
        <v>0.1696646471921722</v>
      </c>
      <c r="V973">
        <f>AND(judged_band,NOT($J973))</f>
        <v/>
      </c>
      <c r="W973">
        <f>IF($K973="","",IF(profit_kind="test",IF(OR(NOT(AND(ISNUMBER($L973),$L973&lt;significance_bar)),$K973=0),"in line",IF($K973&lt;0,"worse","better")),IF(OR($K973=0,IF(profit_kind="points",ABS($K973),ABS($K973*$H973))&lt;profit_line*(1-1E-9)),"in line",IF(AND(ISNUMBER($L973),$L973&lt;significance_bar),IF($K973&lt;0,"worse","better"),IF($K973&lt;0,"worse, not significant","better, not significant")))))</f>
        <v/>
      </c>
      <c r="X973">
        <f>IF($M973="","",IF(profit_kind="test",IF(OR(NOT(AND(ISNUMBER($N973),$N973&lt;significance_bar)),$M973=0),"in line",IF($M973&lt;0,"worse","better")),IF(OR($M973=0,IF(profit_kind="points",ABS($M973),ABS($M973*$H973))&lt;profit_line*(1-1E-9)),"in line",IF(AND(ISNUMBER($N973),$N973&lt;significance_bar),IF($M973&lt;0,"worse","better"),IF($M973&lt;0,"worse, not significant","better, not significant")))))</f>
        <v/>
      </c>
      <c r="Y973">
        <f>IF($V973,$X973,$W973)</f>
        <v/>
      </c>
      <c r="Z973">
        <f>IF($V973,IF($P973="","",$P973),IF($O973="","",$O973))</f>
        <v/>
      </c>
      <c r="AA973">
        <f>IF(OR($Q973="",$Z973=""),"",IF(AND($Z973&gt;0,$Z973&gt;=$Q973),"yes","below the line"))</f>
        <v/>
      </c>
      <c r="AB973">
        <f>IF($V973,IF($M973="","",$M973),IF($K973="","",$K973))</f>
        <v/>
      </c>
      <c r="AC973">
        <f>IF($V973,IF($N973="","",$N973),IF($L973="","",$L973))</f>
        <v/>
      </c>
      <c r="AD973">
        <f>IF($Y973="","",IF($Y973="in line",IF(profit_kind="test",IF(ROUND($AB973*100,2)=0,"0.00",TEXT($AB973*100,"+0.00;-0.00"))&amp;" points against "&amp;IF($V973,"its band","the book")&amp;", "&amp;IF($AC973="","not tested","not significant"),IF(profit_kind="points","within "&amp;TEXT(profit_line*100,"0.00")&amp;" points of "&amp;IF($V973,"its band","the book")&amp;" ("&amp;IF(ROUND($AB973*100,2)=0,"0.00",TEXT($AB973*100,"+0.00;-0.00"))&amp;")","within $"&amp;TEXT(profit_line,"#,##0")&amp;" of "&amp;IF($V973,"its band","the book")&amp;" ("&amp;IF(ROUND($AB973*100,2)=0,"0.00",TEXT($AB973*100,"+0.00;-0.00"))&amp;" points)")),IF(LEFT($Y973,5)="worse","short of ","ahead of ")&amp;IF($V973,"its band","the book")&amp;" by "&amp;TEXT(ABS($AB973)*100,"0.00")&amp;" points"&amp;IF($Z973="",""," ($"&amp;TEXT(ABS($Z973),"#,##0")&amp;")")&amp;IF(RIGHT($Y973,15)="not significant"," (not significant)","")))</f>
        <v/>
      </c>
      <c r="AE973">
        <f>IF($V973,IF($S973="","",$S973),IF($R973="","",$R973))</f>
        <v/>
      </c>
      <c r="AF973">
        <f>IF($V973,IF($U973="","",$U973),IF($T973="","",$T973))</f>
        <v/>
      </c>
      <c r="AG973">
        <f>IF($V973,IF($O973="","",$O973),IF($P973="","",$P973))</f>
        <v/>
      </c>
      <c r="AH973" t="n">
        <v>0.1665527799375296</v>
      </c>
      <c r="AI973">
        <f>IF($Y973="worse","Yes",IF($Y973="worse, not significant","Not sure",IF(OR($Y973="too few losses to test",$Y973="too few loans to test"),"Too few losses",IF($Y973="","","No"))))</f>
        <v/>
      </c>
      <c r="AJ973">
        <f>IF($AA973="yes","Yes",IF($AA973="","","No"))</f>
        <v/>
      </c>
    </row>
    <row r="974">
      <c r="A974" t="inlineStr">
        <is>
          <t>three-way</t>
        </is>
      </c>
      <c r="B974" t="inlineStr">
        <is>
          <t>ORIG_BAL x CHANNEL / SYS_FLAG</t>
        </is>
      </c>
      <c r="C974" t="inlineStr">
        <is>
          <t>37,951 - 49,151</t>
        </is>
      </c>
      <c r="D974" t="inlineStr">
        <is>
          <t>Online / SYS_FLAG Y</t>
        </is>
      </c>
      <c r="E974" t="inlineStr">
        <is>
          <t>outcome_loans</t>
        </is>
      </c>
      <c r="F974" t="inlineStr">
        <is>
          <t>Outcome, share of loans</t>
        </is>
      </c>
      <c r="G974" t="n">
        <v>254</v>
      </c>
      <c r="H974" t="n">
        <v>254</v>
      </c>
      <c r="I974" t="b">
        <v>0</v>
      </c>
      <c r="J974" t="b">
        <v>0</v>
      </c>
      <c r="K974" t="n">
        <v>1.717133374539787</v>
      </c>
      <c r="L974" t="n">
        <v>0.01353140857042447</v>
      </c>
      <c r="M974" t="n">
        <v>1.731425898495361</v>
      </c>
      <c r="N974" t="n">
        <v>0.02644088256566899</v>
      </c>
      <c r="O974" t="n">
        <v>13.78192382182053</v>
      </c>
      <c r="P974" t="n">
        <v>13.9405646359584</v>
      </c>
      <c r="Q974">
        <f>'_live'!$C$20</f>
        <v/>
      </c>
      <c r="R974" t="inlineStr">
        <is>
          <t>z test</t>
        </is>
      </c>
      <c r="S974" t="inlineStr">
        <is>
          <t>z test</t>
        </is>
      </c>
      <c r="T974" t="n">
        <v>0.07566171723692705</v>
      </c>
      <c r="U974" t="n">
        <v>0.075037147102526</v>
      </c>
      <c r="V974">
        <f>AND(judged_band,NOT($J974))</f>
        <v/>
      </c>
      <c r="W974">
        <f>IF($K974="","",IF($I974,"too few losses to test",IF(AND($K974&gt;better_at,$K974&lt;worse_at),"in line",IF($K974&gt;=worse_at,IF(AND(ISNUMBER($L974),$L974&lt;significance_bar),"worse","worse, not significant"),IF(AND(ISNUMBER($L974),$L974&lt;significance_bar),"better","better, not significant")))))</f>
        <v/>
      </c>
      <c r="X974">
        <f>IF($M974="","",IF($I974,"too few losses to test",IF(AND($M974&gt;better_at,$M974&lt;worse_at),"in line",IF($M974&gt;=worse_at,IF(AND(ISNUMBER($N974),$N974&lt;significance_bar),"worse","worse, not significant"),IF(AND(ISNUMBER($N974),$N974&lt;significance_bar),"better","better, not significant")))))</f>
        <v/>
      </c>
      <c r="Y974">
        <f>IF($V974,$X974,$W974)</f>
        <v/>
      </c>
      <c r="Z974">
        <f>IF($V974,IF($P974="","",$P974),IF($O974="","",$O974))</f>
        <v/>
      </c>
      <c r="AA974">
        <f>IF(OR($Q974="",$Z974=""),"",IF(AND($Z974&gt;0,$Z974&gt;=$Q974),"yes","below the line"))</f>
        <v/>
      </c>
      <c r="AB974">
        <f>IF($V974,IF($M974="","",$M974),IF($K974="","",$K974))</f>
        <v/>
      </c>
      <c r="AC974">
        <f>IF($V974,IF($N974="","",$N974),IF($L974="","",$L974))</f>
        <v/>
      </c>
      <c r="AD974">
        <f>$Y974</f>
        <v/>
      </c>
      <c r="AE974">
        <f>IF($V974,IF($S974="","",$S974),IF($R974="","",$R974))</f>
        <v/>
      </c>
      <c r="AF974">
        <f>IF($V974,IF($U974="","",$U974),IF($T974="","",$T974))</f>
        <v/>
      </c>
      <c r="AG974">
        <f>IF($V974,IF($O974="","",$O974),IF($P974="","",$P974))</f>
        <v/>
      </c>
      <c r="AH974" t="n">
        <v>0.1299212598425197</v>
      </c>
      <c r="AI974">
        <f>IF($Y974="worse","Yes",IF($Y974="worse, not significant","Not sure",IF(OR($Y974="too few losses to test",$Y974="too few loans to test"),"Too few losses",IF($Y974="","","No"))))</f>
        <v/>
      </c>
      <c r="AJ974">
        <f>IF($AA974="yes","Yes",IF($AA974="","","No"))</f>
        <v/>
      </c>
    </row>
    <row r="975">
      <c r="A975" t="inlineStr">
        <is>
          <t>three-way</t>
        </is>
      </c>
      <c r="B975" t="inlineStr">
        <is>
          <t>ORIG_BAL x CHANNEL / SYS_FLAG</t>
        </is>
      </c>
      <c r="C975" t="inlineStr">
        <is>
          <t>37,951 - 49,151</t>
        </is>
      </c>
      <c r="D975" t="inlineStr">
        <is>
          <t>Online / SYS_FLAG Y</t>
        </is>
      </c>
      <c r="E975" t="inlineStr">
        <is>
          <t>outcome_booked</t>
        </is>
      </c>
      <c r="F975" t="inlineStr">
        <is>
          <t>Outcome, share of booked dollars</t>
        </is>
      </c>
      <c r="G975" t="n">
        <v>254</v>
      </c>
      <c r="H975" t="n">
        <v>11075458.79</v>
      </c>
      <c r="I975" t="b">
        <v>0</v>
      </c>
      <c r="J975" t="b">
        <v>0</v>
      </c>
      <c r="K975" t="n">
        <v>1.827478547228371</v>
      </c>
      <c r="L975" t="n">
        <v>0.0177315601773156</v>
      </c>
      <c r="M975" t="n">
        <v>1.788486021729654</v>
      </c>
      <c r="N975" t="n">
        <v>0.0205312802053128</v>
      </c>
      <c r="O975" t="n">
        <v>662262.3826595702</v>
      </c>
      <c r="P975" t="n">
        <v>644813.4382669386</v>
      </c>
      <c r="Q975">
        <f>'_live'!$C$21</f>
        <v/>
      </c>
      <c r="R975" t="inlineStr">
        <is>
          <t>shuffled: 18 of 10,000</t>
        </is>
      </c>
      <c r="S975" t="inlineStr">
        <is>
          <t>shuffled: 21 of 10,000</t>
        </is>
      </c>
      <c r="T975" t="n">
        <v>0.0722622730593384</v>
      </c>
      <c r="U975" t="n">
        <v>0.07383773324780357</v>
      </c>
      <c r="V975">
        <f>AND(judged_band,NOT($J975))</f>
        <v/>
      </c>
      <c r="W975">
        <f>IF($K975="","",IF($I975,"too few losses to test",IF(AND($K975&gt;better_at,$K975&lt;worse_at),"in line",IF($K975&gt;=worse_at,IF(AND(ISNUMBER($L975),$L975&lt;significance_bar),"worse","worse, not significant"),IF(AND(ISNUMBER($L975),$L975&lt;significance_bar),"better","better, not significant")))))</f>
        <v/>
      </c>
      <c r="X975">
        <f>IF($M975="","",IF($I975,"too few losses to test",IF(AND($M975&gt;better_at,$M975&lt;worse_at),"in line",IF($M975&gt;=worse_at,IF(AND(ISNUMBER($N975),$N975&lt;significance_bar),"worse","worse, not significant"),IF(AND(ISNUMBER($N975),$N975&lt;significance_bar),"better","better, not significant")))))</f>
        <v/>
      </c>
      <c r="Y975">
        <f>IF($V975,$X975,$W975)</f>
        <v/>
      </c>
      <c r="Z975">
        <f>IF($V975,IF($P975="","",$P975),IF($O975="","",$O975))</f>
        <v/>
      </c>
      <c r="AA975">
        <f>IF(OR($Q975="",$Z975=""),"",IF(AND($Z975&gt;0,$Z975&gt;=$Q975),"yes","below the line"))</f>
        <v/>
      </c>
      <c r="AB975">
        <f>IF($V975,IF($M975="","",$M975),IF($K975="","",$K975))</f>
        <v/>
      </c>
      <c r="AC975">
        <f>IF($V975,IF($N975="","",$N975),IF($L975="","",$L975))</f>
        <v/>
      </c>
      <c r="AD975">
        <f>$Y975</f>
        <v/>
      </c>
      <c r="AE975">
        <f>IF($V975,IF($S975="","",$S975),IF($R975="","",$R975))</f>
        <v/>
      </c>
      <c r="AF975">
        <f>IF($V975,IF($U975="","",$U975),IF($T975="","",$T975))</f>
        <v/>
      </c>
      <c r="AG975">
        <f>IF($V975,IF($O975="","",$O975),IF($P975="","",$P975))</f>
        <v/>
      </c>
      <c r="AH975" t="n">
        <v>0.1320577537898996</v>
      </c>
      <c r="AI975">
        <f>IF($Y975="worse","Yes",IF($Y975="worse, not significant","Not sure",IF(OR($Y975="too few losses to test",$Y975="too few loans to test"),"Too few losses",IF($Y975="","","No"))))</f>
        <v/>
      </c>
      <c r="AJ975">
        <f>IF($AA975="yes","Yes",IF($AA975="","","No"))</f>
        <v/>
      </c>
    </row>
    <row r="976">
      <c r="A976" t="inlineStr">
        <is>
          <t>three-way</t>
        </is>
      </c>
      <c r="B976" t="inlineStr">
        <is>
          <t>ORIG_BAL x CHANNEL / SYS_FLAG</t>
        </is>
      </c>
      <c r="C976" t="inlineStr">
        <is>
          <t>37,951 - 49,151</t>
        </is>
      </c>
      <c r="D976" t="inlineStr">
        <is>
          <t>Online / SYS_FLAG Y</t>
        </is>
      </c>
      <c r="E976" t="inlineStr">
        <is>
          <t>gco_rate</t>
        </is>
      </c>
      <c r="F976" t="inlineStr">
        <is>
          <t>GCO per booked dollar</t>
        </is>
      </c>
      <c r="G976" t="n">
        <v>254</v>
      </c>
      <c r="H976" t="n">
        <v>11075458.79</v>
      </c>
      <c r="I976" t="b">
        <v>0</v>
      </c>
      <c r="J976" t="b">
        <v>0</v>
      </c>
      <c r="K976" t="n">
        <v>1.84394274399716</v>
      </c>
      <c r="L976" t="n">
        <v>0.02333100023331</v>
      </c>
      <c r="M976" t="n">
        <v>1.779265011748837</v>
      </c>
      <c r="N976" t="n">
        <v>0.0363963603639636</v>
      </c>
      <c r="O976" t="n">
        <v>375291.7368475758</v>
      </c>
      <c r="P976" t="n">
        <v>359126.9432321162</v>
      </c>
      <c r="Q976">
        <f>'_live'!$C$22</f>
        <v/>
      </c>
      <c r="R976" t="inlineStr">
        <is>
          <t>shuffled: 17 of 10,000</t>
        </is>
      </c>
      <c r="S976" t="inlineStr">
        <is>
          <t>shuffled: 35 of 10,000</t>
        </is>
      </c>
      <c r="T976" t="n">
        <v>0.04015080833978018</v>
      </c>
      <c r="U976" t="n">
        <v>0.04161032292260312</v>
      </c>
      <c r="V976">
        <f>AND(judged_band,NOT($J976))</f>
        <v/>
      </c>
      <c r="W976">
        <f>IF($K976="","",IF($I976,"too few losses to test",IF(AND($K976&gt;better_at,$K976&lt;worse_at),"in line",IF($K976&gt;=worse_at,IF(AND(ISNUMBER($L976),$L976&lt;significance_bar),"worse","worse, not significant"),IF(AND(ISNUMBER($L976),$L976&lt;significance_bar),"better","better, not significant")))))</f>
        <v/>
      </c>
      <c r="X976">
        <f>IF($M976="","",IF($I976,"too few losses to test",IF(AND($M976&gt;better_at,$M976&lt;worse_at),"in line",IF($M976&gt;=worse_at,IF(AND(ISNUMBER($N976),$N976&lt;significance_bar),"worse","worse, not significant"),IF(AND(ISNUMBER($N976),$N976&lt;significance_bar),"better","better, not significant")))))</f>
        <v/>
      </c>
      <c r="Y976">
        <f>IF($V976,$X976,$W976)</f>
        <v/>
      </c>
      <c r="Z976">
        <f>IF($V976,IF($P976="","",$P976),IF($O976="","",$O976))</f>
        <v/>
      </c>
      <c r="AA976">
        <f>IF(OR($Q976="",$Z976=""),"",IF(AND($Z976&gt;0,$Z976&gt;=$Q976),"yes","below the line"))</f>
        <v/>
      </c>
      <c r="AB976">
        <f>IF($V976,IF($M976="","",$M976),IF($K976="","",$K976))</f>
        <v/>
      </c>
      <c r="AC976">
        <f>IF($V976,IF($N976="","",$N976),IF($L976="","",$L976))</f>
        <v/>
      </c>
      <c r="AD976">
        <f>$Y976</f>
        <v/>
      </c>
      <c r="AE976">
        <f>IF($V976,IF($S976="","",$S976),IF($R976="","",$R976))</f>
        <v/>
      </c>
      <c r="AF976">
        <f>IF($V976,IF($U976="","",$U976),IF($T976="","",$T976))</f>
        <v/>
      </c>
      <c r="AG976">
        <f>IF($V976,IF($O976="","",$O976),IF($P976="","",$P976))</f>
        <v/>
      </c>
      <c r="AH976" t="n">
        <v>0.07403579170375833</v>
      </c>
      <c r="AI976">
        <f>IF($Y976="worse","Yes",IF($Y976="worse, not significant","Not sure",IF(OR($Y976="too few losses to test",$Y976="too few loans to test"),"Too few losses",IF($Y976="","","No"))))</f>
        <v/>
      </c>
      <c r="AJ976">
        <f>IF($AA976="yes","Yes",IF($AA976="","","No"))</f>
        <v/>
      </c>
    </row>
    <row r="977">
      <c r="A977" t="inlineStr">
        <is>
          <t>three-way</t>
        </is>
      </c>
      <c r="B977" t="inlineStr">
        <is>
          <t>ORIG_BAL x CHANNEL / SYS_FLAG</t>
        </is>
      </c>
      <c r="C977" t="inlineStr">
        <is>
          <t>37,951 - 49,151</t>
        </is>
      </c>
      <c r="D977" t="inlineStr">
        <is>
          <t>Online / SYS_FLAG Y</t>
        </is>
      </c>
      <c r="E977" t="inlineStr">
        <is>
          <t>ranr_rate</t>
        </is>
      </c>
      <c r="F977" t="inlineStr">
        <is>
          <t>Profit after losses: RANR per booked dollar</t>
        </is>
      </c>
      <c r="G977" t="n">
        <v>254</v>
      </c>
      <c r="H977" t="n">
        <v>11075458.79</v>
      </c>
      <c r="I977" t="b">
        <v>0</v>
      </c>
      <c r="J977" t="b">
        <v>0</v>
      </c>
      <c r="K977" t="n">
        <v>-0.02463990442108085</v>
      </c>
      <c r="L977" t="n">
        <v>0.154075501540755</v>
      </c>
      <c r="M977" t="n">
        <v>-0.02142552386860541</v>
      </c>
      <c r="N977" t="n">
        <v>0.2337623380519091</v>
      </c>
      <c r="O977" t="n">
        <v>272898.2460052199</v>
      </c>
      <c r="P977" t="n">
        <v>237297.5066609008</v>
      </c>
      <c r="Q977">
        <f>'_live'!$C$23</f>
        <v/>
      </c>
      <c r="R977" t="inlineStr">
        <is>
          <t>shuffled: 564 of 10,000</t>
        </is>
      </c>
      <c r="S977" t="inlineStr">
        <is>
          <t>shuffled: 1,073 of 10,000</t>
        </is>
      </c>
      <c r="T977" t="n">
        <v>0.1290475142479601</v>
      </c>
      <c r="U977" t="n">
        <v>0.1258331336954847</v>
      </c>
      <c r="V977">
        <f>AND(judged_band,NOT($J977))</f>
        <v/>
      </c>
      <c r="W977">
        <f>IF($K977="","",IF(profit_kind="test",IF(OR(NOT(AND(ISNUMBER($L977),$L977&lt;significance_bar)),$K977=0),"in line",IF($K977&lt;0,"worse","better")),IF(OR($K977=0,IF(profit_kind="points",ABS($K977),ABS($K977*$H977))&lt;profit_line*(1-1E-9)),"in line",IF(AND(ISNUMBER($L977),$L977&lt;significance_bar),IF($K977&lt;0,"worse","better"),IF($K977&lt;0,"worse, not significant","better, not significant")))))</f>
        <v/>
      </c>
      <c r="X977">
        <f>IF($M977="","",IF(profit_kind="test",IF(OR(NOT(AND(ISNUMBER($N977),$N977&lt;significance_bar)),$M977=0),"in line",IF($M977&lt;0,"worse","better")),IF(OR($M977=0,IF(profit_kind="points",ABS($M977),ABS($M977*$H977))&lt;profit_line*(1-1E-9)),"in line",IF(AND(ISNUMBER($N977),$N977&lt;significance_bar),IF($M977&lt;0,"worse","better"),IF($M977&lt;0,"worse, not significant","better, not significant")))))</f>
        <v/>
      </c>
      <c r="Y977">
        <f>IF($V977,$X977,$W977)</f>
        <v/>
      </c>
      <c r="Z977">
        <f>IF($V977,IF($P977="","",$P977),IF($O977="","",$O977))</f>
        <v/>
      </c>
      <c r="AA977">
        <f>IF(OR($Q977="",$Z977=""),"",IF(AND($Z977&gt;0,$Z977&gt;=$Q977),"yes","below the line"))</f>
        <v/>
      </c>
      <c r="AB977">
        <f>IF($V977,IF($M977="","",$M977),IF($K977="","",$K977))</f>
        <v/>
      </c>
      <c r="AC977">
        <f>IF($V977,IF($N977="","",$N977),IF($L977="","",$L977))</f>
        <v/>
      </c>
      <c r="AD977">
        <f>IF($Y977="","",IF($Y977="in line",IF(profit_kind="test",IF(ROUND($AB977*100,2)=0,"0.00",TEXT($AB977*100,"+0.00;-0.00"))&amp;" points against "&amp;IF($V977,"its band","the book")&amp;", "&amp;IF($AC977="","not tested","not significant"),IF(profit_kind="points","within "&amp;TEXT(profit_line*100,"0.00")&amp;" points of "&amp;IF($V977,"its band","the book")&amp;" ("&amp;IF(ROUND($AB977*100,2)=0,"0.00",TEXT($AB977*100,"+0.00;-0.00"))&amp;")","within $"&amp;TEXT(profit_line,"#,##0")&amp;" of "&amp;IF($V977,"its band","the book")&amp;" ("&amp;IF(ROUND($AB977*100,2)=0,"0.00",TEXT($AB977*100,"+0.00;-0.00"))&amp;" points)")),IF(LEFT($Y977,5)="worse","short of ","ahead of ")&amp;IF($V977,"its band","the book")&amp;" by "&amp;TEXT(ABS($AB977)*100,"0.00")&amp;" points"&amp;IF($Z977="",""," ($"&amp;TEXT(ABS($Z977),"#,##0")&amp;")")&amp;IF(RIGHT($Y977,15)="not significant"," (not significant)","")))</f>
        <v/>
      </c>
      <c r="AE977">
        <f>IF($V977,IF($S977="","",$S977),IF($R977="","",$R977))</f>
        <v/>
      </c>
      <c r="AF977">
        <f>IF($V977,IF($U977="","",$U977),IF($T977="","",$T977))</f>
        <v/>
      </c>
      <c r="AG977">
        <f>IF($V977,IF($O977="","",$O977),IF($P977="","",$P977))</f>
        <v/>
      </c>
      <c r="AH977" t="n">
        <v>0.1044076098268792</v>
      </c>
      <c r="AI977">
        <f>IF($Y977="worse","Yes",IF($Y977="worse, not significant","Not sure",IF(OR($Y977="too few losses to test",$Y977="too few loans to test"),"Too few losses",IF($Y977="","","No"))))</f>
        <v/>
      </c>
      <c r="AJ977">
        <f>IF($AA977="yes","Yes",IF($AA977="","","No"))</f>
        <v/>
      </c>
    </row>
    <row r="978">
      <c r="A978" t="inlineStr">
        <is>
          <t>three-way</t>
        </is>
      </c>
      <c r="B978" t="inlineStr">
        <is>
          <t>ORIG_BAL x CHANNEL / SYS_FLAG</t>
        </is>
      </c>
      <c r="C978" t="inlineStr">
        <is>
          <t>37,951 - 49,151</t>
        </is>
      </c>
      <c r="D978" t="inlineStr">
        <is>
          <t>Online / SYS_FLAG Y</t>
        </is>
      </c>
      <c r="E978" t="inlineStr">
        <is>
          <t>contribution_rate</t>
        </is>
      </c>
      <c r="F978" t="inlineStr">
        <is>
          <t>Contribution before losses per booked dollar</t>
        </is>
      </c>
      <c r="G978" t="n">
        <v>254</v>
      </c>
      <c r="H978" t="n">
        <v>11075458.79</v>
      </c>
      <c r="I978" t="b">
        <v>0</v>
      </c>
      <c r="J978" t="b">
        <v>0</v>
      </c>
      <c r="K978" t="n">
        <v>0.009247896491584723</v>
      </c>
      <c r="L978" t="n">
        <v>0.4120087991200879</v>
      </c>
      <c r="M978" t="n">
        <v>0.01101399963489433</v>
      </c>
      <c r="N978" t="n">
        <v>0.3657759224077592</v>
      </c>
      <c r="O978" t="n">
        <v>-102424.6964867322</v>
      </c>
      <c r="P978" t="n">
        <v>-121985.0990693471</v>
      </c>
      <c r="Q978">
        <f>'_live'!$C$24</f>
        <v/>
      </c>
      <c r="R978" t="inlineStr">
        <is>
          <t>shuffled: 2,746 of 10,000</t>
        </is>
      </c>
      <c r="S978" t="inlineStr">
        <is>
          <t>shuffled: 1,848 of 10,000</t>
        </is>
      </c>
      <c r="T978" t="n">
        <v>0.1691955050390528</v>
      </c>
      <c r="U978" t="n">
        <v>0.1674294018957432</v>
      </c>
      <c r="V978">
        <f>AND(judged_band,NOT($J978))</f>
        <v/>
      </c>
      <c r="W978">
        <f>IF($K978="","",IF(profit_kind="test",IF(OR(NOT(AND(ISNUMBER($L978),$L978&lt;significance_bar)),$K978=0),"in line",IF($K978&lt;0,"worse","better")),IF(OR($K978=0,IF(profit_kind="points",ABS($K978),ABS($K978*$H978))&lt;profit_line*(1-1E-9)),"in line",IF(AND(ISNUMBER($L978),$L978&lt;significance_bar),IF($K978&lt;0,"worse","better"),IF($K978&lt;0,"worse, not significant","better, not significant")))))</f>
        <v/>
      </c>
      <c r="X978">
        <f>IF($M978="","",IF(profit_kind="test",IF(OR(NOT(AND(ISNUMBER($N978),$N978&lt;significance_bar)),$M978=0),"in line",IF($M978&lt;0,"worse","better")),IF(OR($M978=0,IF(profit_kind="points",ABS($M978),ABS($M978*$H978))&lt;profit_line*(1-1E-9)),"in line",IF(AND(ISNUMBER($N978),$N978&lt;significance_bar),IF($M978&lt;0,"worse","better"),IF($M978&lt;0,"worse, not significant","better, not significant")))))</f>
        <v/>
      </c>
      <c r="Y978">
        <f>IF($V978,$X978,$W978)</f>
        <v/>
      </c>
      <c r="Z978">
        <f>IF($V978,IF($P978="","",$P978),IF($O978="","",$O978))</f>
        <v/>
      </c>
      <c r="AA978">
        <f>IF(OR($Q978="",$Z978=""),"",IF(AND($Z978&gt;0,$Z978&gt;=$Q978),"yes","below the line"))</f>
        <v/>
      </c>
      <c r="AB978">
        <f>IF($V978,IF($M978="","",$M978),IF($K978="","",$K978))</f>
        <v/>
      </c>
      <c r="AC978">
        <f>IF($V978,IF($N978="","",$N978),IF($L978="","",$L978))</f>
        <v/>
      </c>
      <c r="AD978">
        <f>IF($Y978="","",IF($Y978="in line",IF(profit_kind="test",IF(ROUND($AB978*100,2)=0,"0.00",TEXT($AB978*100,"+0.00;-0.00"))&amp;" points against "&amp;IF($V978,"its band","the book")&amp;", "&amp;IF($AC978="","not tested","not significant"),IF(profit_kind="points","within "&amp;TEXT(profit_line*100,"0.00")&amp;" points of "&amp;IF($V978,"its band","the book")&amp;" ("&amp;IF(ROUND($AB978*100,2)=0,"0.00",TEXT($AB978*100,"+0.00;-0.00"))&amp;")","within $"&amp;TEXT(profit_line,"#,##0")&amp;" of "&amp;IF($V978,"its band","the book")&amp;" ("&amp;IF(ROUND($AB978*100,2)=0,"0.00",TEXT($AB978*100,"+0.00;-0.00"))&amp;" points)")),IF(LEFT($Y978,5)="worse","short of ","ahead of ")&amp;IF($V978,"its band","the book")&amp;" by "&amp;TEXT(ABS($AB978)*100,"0.00")&amp;" points"&amp;IF($Z978="",""," ($"&amp;TEXT(ABS($Z978),"#,##0")&amp;")")&amp;IF(RIGHT($Y978,15)="not significant"," (not significant)","")))</f>
        <v/>
      </c>
      <c r="AE978">
        <f>IF($V978,IF($S978="","",$S978),IF($R978="","",$R978))</f>
        <v/>
      </c>
      <c r="AF978">
        <f>IF($V978,IF($U978="","",$U978),IF($T978="","",$T978))</f>
        <v/>
      </c>
      <c r="AG978">
        <f>IF($V978,IF($O978="","",$O978),IF($P978="","",$P978))</f>
        <v/>
      </c>
      <c r="AH978" t="n">
        <v>0.1784434015306375</v>
      </c>
      <c r="AI978">
        <f>IF($Y978="worse","Yes",IF($Y978="worse, not significant","Not sure",IF(OR($Y978="too few losses to test",$Y978="too few loans to test"),"Too few losses",IF($Y978="","","No"))))</f>
        <v/>
      </c>
      <c r="AJ978">
        <f>IF($AA978="yes","Yes",IF($AA978="","","No"))</f>
        <v/>
      </c>
    </row>
    <row r="979">
      <c r="A979" t="inlineStr">
        <is>
          <t>three-way</t>
        </is>
      </c>
      <c r="B979" t="inlineStr">
        <is>
          <t>ORIG_BAL x CHANNEL / SYS_FLAG</t>
        </is>
      </c>
      <c r="C979" t="inlineStr">
        <is>
          <t>15,449 - 26,323</t>
        </is>
      </c>
      <c r="D979" t="inlineStr">
        <is>
          <t>Broker / SYS_FLAG Y</t>
        </is>
      </c>
      <c r="E979" t="inlineStr">
        <is>
          <t>outcome_loans</t>
        </is>
      </c>
      <c r="F979" t="inlineStr">
        <is>
          <t>Outcome, share of loans</t>
        </is>
      </c>
      <c r="G979" t="n">
        <v>244</v>
      </c>
      <c r="H979" t="n">
        <v>244</v>
      </c>
      <c r="I979" t="b">
        <v>0</v>
      </c>
      <c r="J979" t="b">
        <v>0</v>
      </c>
      <c r="K979" t="n">
        <v>1.904790309903436</v>
      </c>
      <c r="L979" t="n">
        <v>0.002105166892985362</v>
      </c>
      <c r="M979" t="n">
        <v>1.706212251941329</v>
      </c>
      <c r="N979" t="n">
        <v>0.02644088256566899</v>
      </c>
      <c r="O979" t="n">
        <v>16.62527401676338</v>
      </c>
      <c r="P979" t="n">
        <v>14.48672566371681</v>
      </c>
      <c r="Q979">
        <f>'_live'!$C$20</f>
        <v/>
      </c>
      <c r="R979" t="inlineStr">
        <is>
          <t>z test</t>
        </is>
      </c>
      <c r="S979" t="inlineStr">
        <is>
          <t>z test</t>
        </is>
      </c>
      <c r="T979" t="n">
        <v>0.07530625402965828</v>
      </c>
      <c r="U979" t="n">
        <v>0.084070796460177</v>
      </c>
      <c r="V979">
        <f>AND(judged_band,NOT($J979))</f>
        <v/>
      </c>
      <c r="W979">
        <f>IF($K979="","",IF($I979,"too few losses to test",IF(AND($K979&gt;better_at,$K979&lt;worse_at),"in line",IF($K979&gt;=worse_at,IF(AND(ISNUMBER($L979),$L979&lt;significance_bar),"worse","worse, not significant"),IF(AND(ISNUMBER($L979),$L979&lt;significance_bar),"better","better, not significant")))))</f>
        <v/>
      </c>
      <c r="X979">
        <f>IF($M979="","",IF($I979,"too few losses to test",IF(AND($M979&gt;better_at,$M979&lt;worse_at),"in line",IF($M979&gt;=worse_at,IF(AND(ISNUMBER($N979),$N979&lt;significance_bar),"worse","worse, not significant"),IF(AND(ISNUMBER($N979),$N979&lt;significance_bar),"better","better, not significant")))))</f>
        <v/>
      </c>
      <c r="Y979">
        <f>IF($V979,$X979,$W979)</f>
        <v/>
      </c>
      <c r="Z979">
        <f>IF($V979,IF($P979="","",$P979),IF($O979="","",$O979))</f>
        <v/>
      </c>
      <c r="AA979">
        <f>IF(OR($Q979="",$Z979=""),"",IF(AND($Z979&gt;0,$Z979&gt;=$Q979),"yes","below the line"))</f>
        <v/>
      </c>
      <c r="AB979">
        <f>IF($V979,IF($M979="","",$M979),IF($K979="","",$K979))</f>
        <v/>
      </c>
      <c r="AC979">
        <f>IF($V979,IF($N979="","",$N979),IF($L979="","",$L979))</f>
        <v/>
      </c>
      <c r="AD979">
        <f>$Y979</f>
        <v/>
      </c>
      <c r="AE979">
        <f>IF($V979,IF($S979="","",$S979),IF($R979="","",$R979))</f>
        <v/>
      </c>
      <c r="AF979">
        <f>IF($V979,IF($U979="","",$U979),IF($T979="","",$T979))</f>
        <v/>
      </c>
      <c r="AG979">
        <f>IF($V979,IF($O979="","",$O979),IF($P979="","",$P979))</f>
        <v/>
      </c>
      <c r="AH979" t="n">
        <v>0.1434426229508197</v>
      </c>
      <c r="AI979">
        <f>IF($Y979="worse","Yes",IF($Y979="worse, not significant","Not sure",IF(OR($Y979="too few losses to test",$Y979="too few loans to test"),"Too few losses",IF($Y979="","","No"))))</f>
        <v/>
      </c>
      <c r="AJ979">
        <f>IF($AA979="yes","Yes",IF($AA979="","","No"))</f>
        <v/>
      </c>
    </row>
    <row r="980">
      <c r="A980" t="inlineStr">
        <is>
          <t>three-way</t>
        </is>
      </c>
      <c r="B980" t="inlineStr">
        <is>
          <t>ORIG_BAL x CHANNEL / SYS_FLAG</t>
        </is>
      </c>
      <c r="C980" t="inlineStr">
        <is>
          <t>15,449 - 26,323</t>
        </is>
      </c>
      <c r="D980" t="inlineStr">
        <is>
          <t>Broker / SYS_FLAG Y</t>
        </is>
      </c>
      <c r="E980" t="inlineStr">
        <is>
          <t>outcome_booked</t>
        </is>
      </c>
      <c r="F980" t="inlineStr">
        <is>
          <t>Outcome, share of booked dollars</t>
        </is>
      </c>
      <c r="G980" t="n">
        <v>244</v>
      </c>
      <c r="H980" t="n">
        <v>5135881.139999999</v>
      </c>
      <c r="I980" t="b">
        <v>0</v>
      </c>
      <c r="J980" t="b">
        <v>0</v>
      </c>
      <c r="K980" t="n">
        <v>1.8882535609389</v>
      </c>
      <c r="L980" t="n">
        <v>0.0111988801119888</v>
      </c>
      <c r="M980" t="n">
        <v>1.622100679267581</v>
      </c>
      <c r="N980" t="n">
        <v>0.0517948205179482</v>
      </c>
      <c r="O980" t="n">
        <v>335436.1869296335</v>
      </c>
      <c r="P980" t="n">
        <v>273474.0593092293</v>
      </c>
      <c r="Q980">
        <f>'_live'!$C$21</f>
        <v/>
      </c>
      <c r="R980" t="inlineStr">
        <is>
          <t>shuffled: 7 of 10,000</t>
        </is>
      </c>
      <c r="S980" t="inlineStr">
        <is>
          <t>shuffled: 109 of 10,000</t>
        </is>
      </c>
      <c r="T980" t="n">
        <v>0.07352888682123331</v>
      </c>
      <c r="U980" t="n">
        <v>0.08559344321016957</v>
      </c>
      <c r="V980">
        <f>AND(judged_band,NOT($J980))</f>
        <v/>
      </c>
      <c r="W980">
        <f>IF($K980="","",IF($I980,"too few losses to test",IF(AND($K980&gt;better_at,$K980&lt;worse_at),"in line",IF($K980&gt;=worse_at,IF(AND(ISNUMBER($L980),$L980&lt;significance_bar),"worse","worse, not significant"),IF(AND(ISNUMBER($L980),$L980&lt;significance_bar),"better","better, not significant")))))</f>
        <v/>
      </c>
      <c r="X980">
        <f>IF($M980="","",IF($I980,"too few losses to test",IF(AND($M980&gt;better_at,$M980&lt;worse_at),"in line",IF($M980&gt;=worse_at,IF(AND(ISNUMBER($N980),$N980&lt;significance_bar),"worse","worse, not significant"),IF(AND(ISNUMBER($N980),$N980&lt;significance_bar),"better","better, not significant")))))</f>
        <v/>
      </c>
      <c r="Y980">
        <f>IF($V980,$X980,$W980)</f>
        <v/>
      </c>
      <c r="Z980">
        <f>IF($V980,IF($P980="","",$P980),IF($O980="","",$O980))</f>
        <v/>
      </c>
      <c r="AA980">
        <f>IF(OR($Q980="",$Z980=""),"",IF(AND($Z980&gt;0,$Z980&gt;=$Q980),"yes","below the line"))</f>
        <v/>
      </c>
      <c r="AB980">
        <f>IF($V980,IF($M980="","",$M980),IF($K980="","",$K980))</f>
        <v/>
      </c>
      <c r="AC980">
        <f>IF($V980,IF($N980="","",$N980),IF($L980="","",$L980))</f>
        <v/>
      </c>
      <c r="AD980">
        <f>$Y980</f>
        <v/>
      </c>
      <c r="AE980">
        <f>IF($V980,IF($S980="","",$S980),IF($R980="","",$R980))</f>
        <v/>
      </c>
      <c r="AF980">
        <f>IF($V980,IF($U980="","",$U980),IF($T980="","",$T980))</f>
        <v/>
      </c>
      <c r="AG980">
        <f>IF($V980,IF($O980="","",$O980),IF($P980="","",$P980))</f>
        <v/>
      </c>
      <c r="AH980" t="n">
        <v>0.1388411823720672</v>
      </c>
      <c r="AI980">
        <f>IF($Y980="worse","Yes",IF($Y980="worse, not significant","Not sure",IF(OR($Y980="too few losses to test",$Y980="too few loans to test"),"Too few losses",IF($Y980="","","No"))))</f>
        <v/>
      </c>
      <c r="AJ980">
        <f>IF($AA980="yes","Yes",IF($AA980="","","No"))</f>
        <v/>
      </c>
    </row>
    <row r="981">
      <c r="A981" t="inlineStr">
        <is>
          <t>three-way</t>
        </is>
      </c>
      <c r="B981" t="inlineStr">
        <is>
          <t>ORIG_BAL x CHANNEL / SYS_FLAG</t>
        </is>
      </c>
      <c r="C981" t="inlineStr">
        <is>
          <t>15,449 - 26,323</t>
        </is>
      </c>
      <c r="D981" t="inlineStr">
        <is>
          <t>Broker / SYS_FLAG Y</t>
        </is>
      </c>
      <c r="E981" t="inlineStr">
        <is>
          <t>gco_rate</t>
        </is>
      </c>
      <c r="F981" t="inlineStr">
        <is>
          <t>GCO per booked dollar</t>
        </is>
      </c>
      <c r="G981" t="n">
        <v>244</v>
      </c>
      <c r="H981" t="n">
        <v>5135881.139999999</v>
      </c>
      <c r="I981" t="b">
        <v>0</v>
      </c>
      <c r="J981" t="b">
        <v>0</v>
      </c>
      <c r="K981" t="n">
        <v>1.91446577713994</v>
      </c>
      <c r="L981" t="n">
        <v>0.02333100023331</v>
      </c>
      <c r="M981" t="n">
        <v>1.609407256833963</v>
      </c>
      <c r="N981" t="n">
        <v>0.0751258207512582</v>
      </c>
      <c r="O981" t="n">
        <v>191909.6695351376</v>
      </c>
      <c r="P981" t="n">
        <v>152131.3341984655</v>
      </c>
      <c r="Q981">
        <f>'_live'!$C$22</f>
        <v/>
      </c>
      <c r="R981" t="inlineStr">
        <is>
          <t>shuffled: 9 of 10,000</t>
        </is>
      </c>
      <c r="S981" t="inlineStr">
        <is>
          <t>shuffled: 155 of 10,000</t>
        </is>
      </c>
      <c r="T981" t="n">
        <v>0.04086151231779919</v>
      </c>
      <c r="U981" t="n">
        <v>0.04860669454697205</v>
      </c>
      <c r="V981">
        <f>AND(judged_band,NOT($J981))</f>
        <v/>
      </c>
      <c r="W981">
        <f>IF($K981="","",IF($I981,"too few losses to test",IF(AND($K981&gt;better_at,$K981&lt;worse_at),"in line",IF($K981&gt;=worse_at,IF(AND(ISNUMBER($L981),$L981&lt;significance_bar),"worse","worse, not significant"),IF(AND(ISNUMBER($L981),$L981&lt;significance_bar),"better","better, not significant")))))</f>
        <v/>
      </c>
      <c r="X981">
        <f>IF($M981="","",IF($I981,"too few losses to test",IF(AND($M981&gt;better_at,$M981&lt;worse_at),"in line",IF($M981&gt;=worse_at,IF(AND(ISNUMBER($N981),$N981&lt;significance_bar),"worse","worse, not significant"),IF(AND(ISNUMBER($N981),$N981&lt;significance_bar),"better","better, not significant")))))</f>
        <v/>
      </c>
      <c r="Y981">
        <f>IF($V981,$X981,$W981)</f>
        <v/>
      </c>
      <c r="Z981">
        <f>IF($V981,IF($P981="","",$P981),IF($O981="","",$O981))</f>
        <v/>
      </c>
      <c r="AA981">
        <f>IF(OR($Q981="",$Z981=""),"",IF(AND($Z981&gt;0,$Z981&gt;=$Q981),"yes","below the line"))</f>
        <v/>
      </c>
      <c r="AB981">
        <f>IF($V981,IF($M981="","",$M981),IF($K981="","",$K981))</f>
        <v/>
      </c>
      <c r="AC981">
        <f>IF($V981,IF($N981="","",$N981),IF($L981="","",$L981))</f>
        <v/>
      </c>
      <c r="AD981">
        <f>$Y981</f>
        <v/>
      </c>
      <c r="AE981">
        <f>IF($V981,IF($S981="","",$S981),IF($R981="","",$R981))</f>
        <v/>
      </c>
      <c r="AF981">
        <f>IF($V981,IF($U981="","",$U981),IF($T981="","",$T981))</f>
        <v/>
      </c>
      <c r="AG981">
        <f>IF($V981,IF($O981="","",$O981),IF($P981="","",$P981))</f>
        <v/>
      </c>
      <c r="AH981" t="n">
        <v>0.07822796693460864</v>
      </c>
      <c r="AI981">
        <f>IF($Y981="worse","Yes",IF($Y981="worse, not significant","Not sure",IF(OR($Y981="too few losses to test",$Y981="too few loans to test"),"Too few losses",IF($Y981="","","No"))))</f>
        <v/>
      </c>
      <c r="AJ981">
        <f>IF($AA981="yes","Yes",IF($AA981="","","No"))</f>
        <v/>
      </c>
    </row>
    <row r="982">
      <c r="A982" t="inlineStr">
        <is>
          <t>three-way</t>
        </is>
      </c>
      <c r="B982" t="inlineStr">
        <is>
          <t>ORIG_BAL x CHANNEL / SYS_FLAG</t>
        </is>
      </c>
      <c r="C982" t="inlineStr">
        <is>
          <t>15,449 - 26,323</t>
        </is>
      </c>
      <c r="D982" t="inlineStr">
        <is>
          <t>Broker / SYS_FLAG Y</t>
        </is>
      </c>
      <c r="E982" t="inlineStr">
        <is>
          <t>ranr_rate</t>
        </is>
      </c>
      <c r="F982" t="inlineStr">
        <is>
          <t>Profit after losses: RANR per booked dollar</t>
        </is>
      </c>
      <c r="G982" t="n">
        <v>244</v>
      </c>
      <c r="H982" t="n">
        <v>5135881.139999999</v>
      </c>
      <c r="I982" t="b">
        <v>0</v>
      </c>
      <c r="J982" t="b">
        <v>0</v>
      </c>
      <c r="K982" t="n">
        <v>-0.04058514790036828</v>
      </c>
      <c r="L982" t="n">
        <v>0.01724827517248275</v>
      </c>
      <c r="M982" t="n">
        <v>-0.03645041475546677</v>
      </c>
      <c r="N982" t="n">
        <v>0.0484951504849515</v>
      </c>
      <c r="O982" t="n">
        <v>208440.495665612</v>
      </c>
      <c r="P982" t="n">
        <v>187204.9976877795</v>
      </c>
      <c r="Q982">
        <f>'_live'!$C$23</f>
        <v/>
      </c>
      <c r="R982" t="inlineStr">
        <is>
          <t>shuffled: 22 of 10,000</t>
        </is>
      </c>
      <c r="S982" t="inlineStr">
        <is>
          <t>shuffled: 96 of 10,000</t>
        </is>
      </c>
      <c r="T982" t="n">
        <v>0.1287977442689828</v>
      </c>
      <c r="U982" t="n">
        <v>0.1246630111240813</v>
      </c>
      <c r="V982">
        <f>AND(judged_band,NOT($J982))</f>
        <v/>
      </c>
      <c r="W982">
        <f>IF($K982="","",IF(profit_kind="test",IF(OR(NOT(AND(ISNUMBER($L982),$L982&lt;significance_bar)),$K982=0),"in line",IF($K982&lt;0,"worse","better")),IF(OR($K982=0,IF(profit_kind="points",ABS($K982),ABS($K982*$H982))&lt;profit_line*(1-1E-9)),"in line",IF(AND(ISNUMBER($L982),$L982&lt;significance_bar),IF($K982&lt;0,"worse","better"),IF($K982&lt;0,"worse, not significant","better, not significant")))))</f>
        <v/>
      </c>
      <c r="X982">
        <f>IF($M982="","",IF(profit_kind="test",IF(OR(NOT(AND(ISNUMBER($N982),$N982&lt;significance_bar)),$M982=0),"in line",IF($M982&lt;0,"worse","better")),IF(OR($M982=0,IF(profit_kind="points",ABS($M982),ABS($M982*$H982))&lt;profit_line*(1-1E-9)),"in line",IF(AND(ISNUMBER($N982),$N982&lt;significance_bar),IF($M982&lt;0,"worse","better"),IF($M982&lt;0,"worse, not significant","better, not significant")))))</f>
        <v/>
      </c>
      <c r="Y982">
        <f>IF($V982,$X982,$W982)</f>
        <v/>
      </c>
      <c r="Z982">
        <f>IF($V982,IF($P982="","",$P982),IF($O982="","",$O982))</f>
        <v/>
      </c>
      <c r="AA982">
        <f>IF(OR($Q982="",$Z982=""),"",IF(AND($Z982&gt;0,$Z982&gt;=$Q982),"yes","below the line"))</f>
        <v/>
      </c>
      <c r="AB982">
        <f>IF($V982,IF($M982="","",$M982),IF($K982="","",$K982))</f>
        <v/>
      </c>
      <c r="AC982">
        <f>IF($V982,IF($N982="","",$N982),IF($L982="","",$L982))</f>
        <v/>
      </c>
      <c r="AD982">
        <f>IF($Y982="","",IF($Y982="in line",IF(profit_kind="test",IF(ROUND($AB982*100,2)=0,"0.00",TEXT($AB982*100,"+0.00;-0.00"))&amp;" points against "&amp;IF($V982,"its band","the book")&amp;", "&amp;IF($AC982="","not tested","not significant"),IF(profit_kind="points","within "&amp;TEXT(profit_line*100,"0.00")&amp;" points of "&amp;IF($V982,"its band","the book")&amp;" ("&amp;IF(ROUND($AB982*100,2)=0,"0.00",TEXT($AB982*100,"+0.00;-0.00"))&amp;")","within $"&amp;TEXT(profit_line,"#,##0")&amp;" of "&amp;IF($V982,"its band","the book")&amp;" ("&amp;IF(ROUND($AB982*100,2)=0,"0.00",TEXT($AB982*100,"+0.00;-0.00"))&amp;" points)")),IF(LEFT($Y982,5)="worse","short of ","ahead of ")&amp;IF($V982,"its band","the book")&amp;" by "&amp;TEXT(ABS($AB982)*100,"0.00")&amp;" points"&amp;IF($Z982="",""," ($"&amp;TEXT(ABS($Z982),"#,##0")&amp;")")&amp;IF(RIGHT($Y982,15)="not significant"," (not significant)","")))</f>
        <v/>
      </c>
      <c r="AE982">
        <f>IF($V982,IF($S982="","",$S982),IF($R982="","",$R982))</f>
        <v/>
      </c>
      <c r="AF982">
        <f>IF($V982,IF($U982="","",$U982),IF($T982="","",$T982))</f>
        <v/>
      </c>
      <c r="AG982">
        <f>IF($V982,IF($O982="","",$O982),IF($P982="","",$P982))</f>
        <v/>
      </c>
      <c r="AH982" t="n">
        <v>0.08821259636861455</v>
      </c>
      <c r="AI982">
        <f>IF($Y982="worse","Yes",IF($Y982="worse, not significant","Not sure",IF(OR($Y982="too few losses to test",$Y982="too few loans to test"),"Too few losses",IF($Y982="","","No"))))</f>
        <v/>
      </c>
      <c r="AJ982">
        <f>IF($AA982="yes","Yes",IF($AA982="","","No"))</f>
        <v/>
      </c>
    </row>
    <row r="983">
      <c r="A983" t="inlineStr">
        <is>
          <t>three-way</t>
        </is>
      </c>
      <c r="B983" t="inlineStr">
        <is>
          <t>ORIG_BAL x CHANNEL / SYS_FLAG</t>
        </is>
      </c>
      <c r="C983" t="inlineStr">
        <is>
          <t>15,449 - 26,323</t>
        </is>
      </c>
      <c r="D983" t="inlineStr">
        <is>
          <t>Broker / SYS_FLAG Y</t>
        </is>
      </c>
      <c r="E983" t="inlineStr">
        <is>
          <t>contribution_rate</t>
        </is>
      </c>
      <c r="F983" t="inlineStr">
        <is>
          <t>Contribution before losses per booked dollar</t>
        </is>
      </c>
      <c r="G983" t="n">
        <v>244</v>
      </c>
      <c r="H983" t="n">
        <v>5135881.139999999</v>
      </c>
      <c r="I983" t="b">
        <v>0</v>
      </c>
      <c r="J983" t="b">
        <v>0</v>
      </c>
      <c r="K983" t="n">
        <v>-0.003215902714950702</v>
      </c>
      <c r="L983" t="n">
        <v>0.7192280771922808</v>
      </c>
      <c r="M983" t="n">
        <v>-0.006829142367830221</v>
      </c>
      <c r="N983" t="n">
        <v>0.4777300047773</v>
      </c>
      <c r="O983" t="n">
        <v>16516.49410179013</v>
      </c>
      <c r="P983" t="n">
        <v>35073.66348931426</v>
      </c>
      <c r="Q983">
        <f>'_live'!$C$24</f>
        <v/>
      </c>
      <c r="R983" t="inlineStr">
        <is>
          <t>shuffled: 7,101 of 10,000</t>
        </is>
      </c>
      <c r="S983" t="inlineStr">
        <is>
          <t>shuffled: 4,299 of 10,000</t>
        </is>
      </c>
      <c r="T983" t="n">
        <v>0.1696564660181738</v>
      </c>
      <c r="U983" t="n">
        <v>0.1732697056710533</v>
      </c>
      <c r="V983">
        <f>AND(judged_band,NOT($J983))</f>
        <v/>
      </c>
      <c r="W983">
        <f>IF($K983="","",IF(profit_kind="test",IF(OR(NOT(AND(ISNUMBER($L983),$L983&lt;significance_bar)),$K983=0),"in line",IF($K983&lt;0,"worse","better")),IF(OR($K983=0,IF(profit_kind="points",ABS($K983),ABS($K983*$H983))&lt;profit_line*(1-1E-9)),"in line",IF(AND(ISNUMBER($L983),$L983&lt;significance_bar),IF($K983&lt;0,"worse","better"),IF($K983&lt;0,"worse, not significant","better, not significant")))))</f>
        <v/>
      </c>
      <c r="X983">
        <f>IF($M983="","",IF(profit_kind="test",IF(OR(NOT(AND(ISNUMBER($N983),$N983&lt;significance_bar)),$M983=0),"in line",IF($M983&lt;0,"worse","better")),IF(OR($M983=0,IF(profit_kind="points",ABS($M983),ABS($M983*$H983))&lt;profit_line*(1-1E-9)),"in line",IF(AND(ISNUMBER($N983),$N983&lt;significance_bar),IF($M983&lt;0,"worse","better"),IF($M983&lt;0,"worse, not significant","better, not significant")))))</f>
        <v/>
      </c>
      <c r="Y983">
        <f>IF($V983,$X983,$W983)</f>
        <v/>
      </c>
      <c r="Z983">
        <f>IF($V983,IF($P983="","",$P983),IF($O983="","",$O983))</f>
        <v/>
      </c>
      <c r="AA983">
        <f>IF(OR($Q983="",$Z983=""),"",IF(AND($Z983&gt;0,$Z983&gt;=$Q983),"yes","below the line"))</f>
        <v/>
      </c>
      <c r="AB983">
        <f>IF($V983,IF($M983="","",$M983),IF($K983="","",$K983))</f>
        <v/>
      </c>
      <c r="AC983">
        <f>IF($V983,IF($N983="","",$N983),IF($L983="","",$L983))</f>
        <v/>
      </c>
      <c r="AD983">
        <f>IF($Y983="","",IF($Y983="in line",IF(profit_kind="test",IF(ROUND($AB983*100,2)=0,"0.00",TEXT($AB983*100,"+0.00;-0.00"))&amp;" points against "&amp;IF($V983,"its band","the book")&amp;", "&amp;IF($AC983="","not tested","not significant"),IF(profit_kind="points","within "&amp;TEXT(profit_line*100,"0.00")&amp;" points of "&amp;IF($V983,"its band","the book")&amp;" ("&amp;IF(ROUND($AB983*100,2)=0,"0.00",TEXT($AB983*100,"+0.00;-0.00"))&amp;")","within $"&amp;TEXT(profit_line,"#,##0")&amp;" of "&amp;IF($V983,"its band","the book")&amp;" ("&amp;IF(ROUND($AB983*100,2)=0,"0.00",TEXT($AB983*100,"+0.00;-0.00"))&amp;" points)")),IF(LEFT($Y983,5)="worse","short of ","ahead of ")&amp;IF($V983,"its band","the book")&amp;" by "&amp;TEXT(ABS($AB983)*100,"0.00")&amp;" points"&amp;IF($Z983="",""," ($"&amp;TEXT(ABS($Z983),"#,##0")&amp;")")&amp;IF(RIGHT($Y983,15)="not significant"," (not significant)","")))</f>
        <v/>
      </c>
      <c r="AE983">
        <f>IF($V983,IF($S983="","",$S983),IF($R983="","",$R983))</f>
        <v/>
      </c>
      <c r="AF983">
        <f>IF($V983,IF($U983="","",$U983),IF($T983="","",$T983))</f>
        <v/>
      </c>
      <c r="AG983">
        <f>IF($V983,IF($O983="","",$O983),IF($P983="","",$P983))</f>
        <v/>
      </c>
      <c r="AH983" t="n">
        <v>0.1664405633032231</v>
      </c>
      <c r="AI983">
        <f>IF($Y983="worse","Yes",IF($Y983="worse, not significant","Not sure",IF(OR($Y983="too few losses to test",$Y983="too few loans to test"),"Too few losses",IF($Y983="","","No"))))</f>
        <v/>
      </c>
      <c r="AJ983">
        <f>IF($AA983="yes","Yes",IF($AA983="","","No"))</f>
        <v/>
      </c>
    </row>
    <row r="984">
      <c r="A984" t="inlineStr">
        <is>
          <t>three-way</t>
        </is>
      </c>
      <c r="B984" t="inlineStr">
        <is>
          <t>ORIG_BAL x CHANNEL / SYS_FLAG</t>
        </is>
      </c>
      <c r="C984" t="inlineStr">
        <is>
          <t>26,324 - 37,950</t>
        </is>
      </c>
      <c r="D984" t="inlineStr">
        <is>
          <t>Online / SYS_FLAG N</t>
        </is>
      </c>
      <c r="E984" t="inlineStr">
        <is>
          <t>outcome_loans</t>
        </is>
      </c>
      <c r="F984" t="inlineStr">
        <is>
          <t>Outcome, share of loans</t>
        </is>
      </c>
      <c r="G984" t="n">
        <v>297</v>
      </c>
      <c r="H984" t="n">
        <v>297</v>
      </c>
      <c r="I984" t="b">
        <v>0</v>
      </c>
      <c r="J984" t="b">
        <v>0</v>
      </c>
      <c r="K984" t="n">
        <v>0.5126720250278736</v>
      </c>
      <c r="L984" t="n">
        <v>0.08439091753235686</v>
      </c>
      <c r="M984" t="n">
        <v>0.536384250669965</v>
      </c>
      <c r="N984" t="n">
        <v>0.08948221866944253</v>
      </c>
      <c r="O984" t="n">
        <v>-11.40677746039989</v>
      </c>
      <c r="P984" t="n">
        <v>-10.37202152190623</v>
      </c>
      <c r="Q984">
        <f>'_live'!$C$20</f>
        <v/>
      </c>
      <c r="R984" t="inlineStr">
        <is>
          <t>z test</t>
        </is>
      </c>
      <c r="S984" t="inlineStr">
        <is>
          <t>z test</t>
        </is>
      </c>
      <c r="T984" t="n">
        <v>0.07881069851986497</v>
      </c>
      <c r="U984" t="n">
        <v>0.07532667179093006</v>
      </c>
      <c r="V984">
        <f>AND(judged_band,NOT($J984))</f>
        <v/>
      </c>
      <c r="W984">
        <f>IF($K984="","",IF($I984,"too few losses to test",IF(AND($K984&gt;better_at,$K984&lt;worse_at),"in line",IF($K984&gt;=worse_at,IF(AND(ISNUMBER($L984),$L984&lt;significance_bar),"worse","worse, not significant"),IF(AND(ISNUMBER($L984),$L984&lt;significance_bar),"better","better, not significant")))))</f>
        <v/>
      </c>
      <c r="X984">
        <f>IF($M984="","",IF($I984,"too few losses to test",IF(AND($M984&gt;better_at,$M984&lt;worse_at),"in line",IF($M984&gt;=worse_at,IF(AND(ISNUMBER($N984),$N984&lt;significance_bar),"worse","worse, not significant"),IF(AND(ISNUMBER($N984),$N984&lt;significance_bar),"better","better, not significant")))))</f>
        <v/>
      </c>
      <c r="Y984">
        <f>IF($V984,$X984,$W984)</f>
        <v/>
      </c>
      <c r="Z984">
        <f>IF($V984,IF($P984="","",$P984),IF($O984="","",$O984))</f>
        <v/>
      </c>
      <c r="AA984">
        <f>IF(OR($Q984="",$Z984=""),"",IF(AND($Z984&gt;0,$Z984&gt;=$Q984),"yes","below the line"))</f>
        <v/>
      </c>
      <c r="AB984">
        <f>IF($V984,IF($M984="","",$M984),IF($K984="","",$K984))</f>
        <v/>
      </c>
      <c r="AC984">
        <f>IF($V984,IF($N984="","",$N984),IF($L984="","",$L984))</f>
        <v/>
      </c>
      <c r="AD984">
        <f>$Y984</f>
        <v/>
      </c>
      <c r="AE984">
        <f>IF($V984,IF($S984="","",$S984),IF($R984="","",$R984))</f>
        <v/>
      </c>
      <c r="AF984">
        <f>IF($V984,IF($U984="","",$U984),IF($T984="","",$T984))</f>
        <v/>
      </c>
      <c r="AG984">
        <f>IF($V984,IF($O984="","",$O984),IF($P984="","",$P984))</f>
        <v/>
      </c>
      <c r="AH984" t="n">
        <v>0.04040404040404041</v>
      </c>
      <c r="AI984">
        <f>IF($Y984="worse","Yes",IF($Y984="worse, not significant","Not sure",IF(OR($Y984="too few losses to test",$Y984="too few loans to test"),"Too few losses",IF($Y984="","","No"))))</f>
        <v/>
      </c>
      <c r="AJ984">
        <f>IF($AA984="yes","Yes",IF($AA984="","","No"))</f>
        <v/>
      </c>
    </row>
    <row r="985">
      <c r="A985" t="inlineStr">
        <is>
          <t>three-way</t>
        </is>
      </c>
      <c r="B985" t="inlineStr">
        <is>
          <t>ORIG_BAL x CHANNEL / SYS_FLAG</t>
        </is>
      </c>
      <c r="C985" t="inlineStr">
        <is>
          <t>26,324 - 37,950</t>
        </is>
      </c>
      <c r="D985" t="inlineStr">
        <is>
          <t>Online / SYS_FLAG N</t>
        </is>
      </c>
      <c r="E985" t="inlineStr">
        <is>
          <t>outcome_booked</t>
        </is>
      </c>
      <c r="F985" t="inlineStr">
        <is>
          <t>Outcome, share of booked dollars</t>
        </is>
      </c>
      <c r="G985" t="n">
        <v>297</v>
      </c>
      <c r="H985" t="n">
        <v>9480834.620000005</v>
      </c>
      <c r="I985" t="b">
        <v>0</v>
      </c>
      <c r="J985" t="b">
        <v>0</v>
      </c>
      <c r="K985" t="n">
        <v>0.5358026155979967</v>
      </c>
      <c r="L985" t="n">
        <v>0.1745158817451588</v>
      </c>
      <c r="M985" t="n">
        <v>0.5479811425668315</v>
      </c>
      <c r="N985" t="n">
        <v>0.1013498650134987</v>
      </c>
      <c r="O985" t="n">
        <v>-335034.5940451715</v>
      </c>
      <c r="P985" t="n">
        <v>-318994.1601392981</v>
      </c>
      <c r="Q985">
        <f>'_live'!$C$21</f>
        <v/>
      </c>
      <c r="R985" t="inlineStr">
        <is>
          <t>shuffled: 373 of 10,000</t>
        </is>
      </c>
      <c r="S985" t="inlineStr">
        <is>
          <t>shuffled: 361 of 10,000</t>
        </is>
      </c>
      <c r="T985" t="n">
        <v>0.07612729395391259</v>
      </c>
      <c r="U985" t="n">
        <v>0.07443541401414064</v>
      </c>
      <c r="V985">
        <f>AND(judged_band,NOT($J985))</f>
        <v/>
      </c>
      <c r="W985">
        <f>IF($K985="","",IF($I985,"too few losses to test",IF(AND($K985&gt;better_at,$K985&lt;worse_at),"in line",IF($K985&gt;=worse_at,IF(AND(ISNUMBER($L985),$L985&lt;significance_bar),"worse","worse, not significant"),IF(AND(ISNUMBER($L985),$L985&lt;significance_bar),"better","better, not significant")))))</f>
        <v/>
      </c>
      <c r="X985">
        <f>IF($M985="","",IF($I985,"too few losses to test",IF(AND($M985&gt;better_at,$M985&lt;worse_at),"in line",IF($M985&gt;=worse_at,IF(AND(ISNUMBER($N985),$N985&lt;significance_bar),"worse","worse, not significant"),IF(AND(ISNUMBER($N985),$N985&lt;significance_bar),"better","better, not significant")))))</f>
        <v/>
      </c>
      <c r="Y985">
        <f>IF($V985,$X985,$W985)</f>
        <v/>
      </c>
      <c r="Z985">
        <f>IF($V985,IF($P985="","",$P985),IF($O985="","",$O985))</f>
        <v/>
      </c>
      <c r="AA985">
        <f>IF(OR($Q985="",$Z985=""),"",IF(AND($Z985&gt;0,$Z985&gt;=$Q985),"yes","below the line"))</f>
        <v/>
      </c>
      <c r="AB985">
        <f>IF($V985,IF($M985="","",$M985),IF($K985="","",$K985))</f>
        <v/>
      </c>
      <c r="AC985">
        <f>IF($V985,IF($N985="","",$N985),IF($L985="","",$L985))</f>
        <v/>
      </c>
      <c r="AD985">
        <f>$Y985</f>
        <v/>
      </c>
      <c r="AE985">
        <f>IF($V985,IF($S985="","",$S985),IF($R985="","",$R985))</f>
        <v/>
      </c>
      <c r="AF985">
        <f>IF($V985,IF($U985="","",$U985),IF($T985="","",$T985))</f>
        <v/>
      </c>
      <c r="AG985">
        <f>IF($V985,IF($O985="","",$O985),IF($P985="","",$P985))</f>
        <v/>
      </c>
      <c r="AH985" t="n">
        <v>0.04078920321890393</v>
      </c>
      <c r="AI985">
        <f>IF($Y985="worse","Yes",IF($Y985="worse, not significant","Not sure",IF(OR($Y985="too few losses to test",$Y985="too few loans to test"),"Too few losses",IF($Y985="","","No"))))</f>
        <v/>
      </c>
      <c r="AJ985">
        <f>IF($AA985="yes","Yes",IF($AA985="","","No"))</f>
        <v/>
      </c>
    </row>
    <row r="986">
      <c r="A986" t="inlineStr">
        <is>
          <t>three-way</t>
        </is>
      </c>
      <c r="B986" t="inlineStr">
        <is>
          <t>ORIG_BAL x CHANNEL / SYS_FLAG</t>
        </is>
      </c>
      <c r="C986" t="inlineStr">
        <is>
          <t>26,324 - 37,950</t>
        </is>
      </c>
      <c r="D986" t="inlineStr">
        <is>
          <t>Online / SYS_FLAG N</t>
        </is>
      </c>
      <c r="E986" t="inlineStr">
        <is>
          <t>gco_rate</t>
        </is>
      </c>
      <c r="F986" t="inlineStr">
        <is>
          <t>GCO per booked dollar</t>
        </is>
      </c>
      <c r="G986" t="n">
        <v>297</v>
      </c>
      <c r="H986" t="n">
        <v>9480834.620000005</v>
      </c>
      <c r="I986" t="b">
        <v>0</v>
      </c>
      <c r="J986" t="b">
        <v>0</v>
      </c>
      <c r="K986" t="n">
        <v>0.5304659249738507</v>
      </c>
      <c r="L986" t="n">
        <v>0.2001799820017998</v>
      </c>
      <c r="M986" t="n">
        <v>0.5498285531261965</v>
      </c>
      <c r="N986" t="n">
        <v>0.1508349165083492</v>
      </c>
      <c r="O986" t="n">
        <v>-188460.3186653115</v>
      </c>
      <c r="P986" t="n">
        <v>-174325.5136635317</v>
      </c>
      <c r="Q986">
        <f>'_live'!$C$22</f>
        <v/>
      </c>
      <c r="R986" t="inlineStr">
        <is>
          <t>shuffled: 428 of 10,000</t>
        </is>
      </c>
      <c r="S986" t="inlineStr">
        <is>
          <t>shuffled: 430 of 10,000</t>
        </is>
      </c>
      <c r="T986" t="n">
        <v>0.04233565026211915</v>
      </c>
      <c r="U986" t="n">
        <v>0.0408447683336482</v>
      </c>
      <c r="V986">
        <f>AND(judged_band,NOT($J986))</f>
        <v/>
      </c>
      <c r="W986">
        <f>IF($K986="","",IF($I986,"too few losses to test",IF(AND($K986&gt;better_at,$K986&lt;worse_at),"in line",IF($K986&gt;=worse_at,IF(AND(ISNUMBER($L986),$L986&lt;significance_bar),"worse","worse, not significant"),IF(AND(ISNUMBER($L986),$L986&lt;significance_bar),"better","better, not significant")))))</f>
        <v/>
      </c>
      <c r="X986">
        <f>IF($M986="","",IF($I986,"too few losses to test",IF(AND($M986&gt;better_at,$M986&lt;worse_at),"in line",IF($M986&gt;=worse_at,IF(AND(ISNUMBER($N986),$N986&lt;significance_bar),"worse","worse, not significant"),IF(AND(ISNUMBER($N986),$N986&lt;significance_bar),"better","better, not significant")))))</f>
        <v/>
      </c>
      <c r="Y986">
        <f>IF($V986,$X986,$W986)</f>
        <v/>
      </c>
      <c r="Z986">
        <f>IF($V986,IF($P986="","",$P986),IF($O986="","",$O986))</f>
        <v/>
      </c>
      <c r="AA986">
        <f>IF(OR($Q986="",$Z986=""),"",IF(AND($Z986&gt;0,$Z986&gt;=$Q986),"yes","below the line"))</f>
        <v/>
      </c>
      <c r="AB986">
        <f>IF($V986,IF($M986="","",$M986),IF($K986="","",$K986))</f>
        <v/>
      </c>
      <c r="AC986">
        <f>IF($V986,IF($N986="","",$N986),IF($L986="","",$L986))</f>
        <v/>
      </c>
      <c r="AD986">
        <f>$Y986</f>
        <v/>
      </c>
      <c r="AE986">
        <f>IF($V986,IF($S986="","",$S986),IF($R986="","",$R986))</f>
        <v/>
      </c>
      <c r="AF986">
        <f>IF($V986,IF($U986="","",$U986),IF($T986="","",$T986))</f>
        <v/>
      </c>
      <c r="AG986">
        <f>IF($V986,IF($O986="","",$O986),IF($P986="","",$P986))</f>
        <v/>
      </c>
      <c r="AH986" t="n">
        <v>0.02245761987566448</v>
      </c>
      <c r="AI986">
        <f>IF($Y986="worse","Yes",IF($Y986="worse, not significant","Not sure",IF(OR($Y986="too few losses to test",$Y986="too few loans to test"),"Too few losses",IF($Y986="","","No"))))</f>
        <v/>
      </c>
      <c r="AJ986">
        <f>IF($AA986="yes","Yes",IF($AA986="","","No"))</f>
        <v/>
      </c>
    </row>
    <row r="987">
      <c r="A987" t="inlineStr">
        <is>
          <t>three-way</t>
        </is>
      </c>
      <c r="B987" t="inlineStr">
        <is>
          <t>ORIG_BAL x CHANNEL / SYS_FLAG</t>
        </is>
      </c>
      <c r="C987" t="inlineStr">
        <is>
          <t>26,324 - 37,950</t>
        </is>
      </c>
      <c r="D987" t="inlineStr">
        <is>
          <t>Online / SYS_FLAG N</t>
        </is>
      </c>
      <c r="E987" t="inlineStr">
        <is>
          <t>ranr_rate</t>
        </is>
      </c>
      <c r="F987" t="inlineStr">
        <is>
          <t>Profit after losses: RANR per booked dollar</t>
        </is>
      </c>
      <c r="G987" t="n">
        <v>297</v>
      </c>
      <c r="H987" t="n">
        <v>9480834.620000005</v>
      </c>
      <c r="I987" t="b">
        <v>0</v>
      </c>
      <c r="J987" t="b">
        <v>0</v>
      </c>
      <c r="K987" t="n">
        <v>0.03289723876090131</v>
      </c>
      <c r="L987" t="n">
        <v>0.0254974502549745</v>
      </c>
      <c r="M987" t="n">
        <v>0.03480358427527581</v>
      </c>
      <c r="N987" t="n">
        <v>0.02399760023997601</v>
      </c>
      <c r="O987" t="n">
        <v>-311893.2801467592</v>
      </c>
      <c r="P987" t="n">
        <v>-329967.0266971227</v>
      </c>
      <c r="Q987">
        <f>'_live'!$C$23</f>
        <v/>
      </c>
      <c r="R987" t="inlineStr">
        <is>
          <t>shuffled: 50 of 10,000</t>
        </is>
      </c>
      <c r="S987" t="inlineStr">
        <is>
          <t>shuffled: 25 of 10,000</t>
        </is>
      </c>
      <c r="T987" t="n">
        <v>0.1267814815920964</v>
      </c>
      <c r="U987" t="n">
        <v>0.1248751360777219</v>
      </c>
      <c r="V987">
        <f>AND(judged_band,NOT($J987))</f>
        <v/>
      </c>
      <c r="W987">
        <f>IF($K987="","",IF(profit_kind="test",IF(OR(NOT(AND(ISNUMBER($L987),$L987&lt;significance_bar)),$K987=0),"in line",IF($K987&lt;0,"worse","better")),IF(OR($K987=0,IF(profit_kind="points",ABS($K987),ABS($K987*$H987))&lt;profit_line*(1-1E-9)),"in line",IF(AND(ISNUMBER($L987),$L987&lt;significance_bar),IF($K987&lt;0,"worse","better"),IF($K987&lt;0,"worse, not significant","better, not significant")))))</f>
        <v/>
      </c>
      <c r="X987">
        <f>IF($M987="","",IF(profit_kind="test",IF(OR(NOT(AND(ISNUMBER($N987),$N987&lt;significance_bar)),$M987=0),"in line",IF($M987&lt;0,"worse","better")),IF(OR($M987=0,IF(profit_kind="points",ABS($M987),ABS($M987*$H987))&lt;profit_line*(1-1E-9)),"in line",IF(AND(ISNUMBER($N987),$N987&lt;significance_bar),IF($M987&lt;0,"worse","better"),IF($M987&lt;0,"worse, not significant","better, not significant")))))</f>
        <v/>
      </c>
      <c r="Y987">
        <f>IF($V987,$X987,$W987)</f>
        <v/>
      </c>
      <c r="Z987">
        <f>IF($V987,IF($P987="","",$P987),IF($O987="","",$O987))</f>
        <v/>
      </c>
      <c r="AA987">
        <f>IF(OR($Q987="",$Z987=""),"",IF(AND($Z987&gt;0,$Z987&gt;=$Q987),"yes","below the line"))</f>
        <v/>
      </c>
      <c r="AB987">
        <f>IF($V987,IF($M987="","",$M987),IF($K987="","",$K987))</f>
        <v/>
      </c>
      <c r="AC987">
        <f>IF($V987,IF($N987="","",$N987),IF($L987="","",$L987))</f>
        <v/>
      </c>
      <c r="AD987">
        <f>IF($Y987="","",IF($Y987="in line",IF(profit_kind="test",IF(ROUND($AB987*100,2)=0,"0.00",TEXT($AB987*100,"+0.00;-0.00"))&amp;" points against "&amp;IF($V987,"its band","the book")&amp;", "&amp;IF($AC987="","not tested","not significant"),IF(profit_kind="points","within "&amp;TEXT(profit_line*100,"0.00")&amp;" points of "&amp;IF($V987,"its band","the book")&amp;" ("&amp;IF(ROUND($AB987*100,2)=0,"0.00",TEXT($AB987*100,"+0.00;-0.00"))&amp;")","within $"&amp;TEXT(profit_line,"#,##0")&amp;" of "&amp;IF($V987,"its band","the book")&amp;" ("&amp;IF(ROUND($AB987*100,2)=0,"0.00",TEXT($AB987*100,"+0.00;-0.00"))&amp;" points)")),IF(LEFT($Y987,5)="worse","short of ","ahead of ")&amp;IF($V987,"its band","the book")&amp;" by "&amp;TEXT(ABS($AB987)*100,"0.00")&amp;" points"&amp;IF($Z987="",""," ($"&amp;TEXT(ABS($Z987),"#,##0")&amp;")")&amp;IF(RIGHT($Y987,15)="not significant"," (not significant)","")))</f>
        <v/>
      </c>
      <c r="AE987">
        <f>IF($V987,IF($S987="","",$S987),IF($R987="","",$R987))</f>
        <v/>
      </c>
      <c r="AF987">
        <f>IF($V987,IF($U987="","",$U987),IF($T987="","",$T987))</f>
        <v/>
      </c>
      <c r="AG987">
        <f>IF($V987,IF($O987="","",$O987),IF($P987="","",$P987))</f>
        <v/>
      </c>
      <c r="AH987" t="n">
        <v>0.1596787203529977</v>
      </c>
      <c r="AI987">
        <f>IF($Y987="worse","Yes",IF($Y987="worse, not significant","Not sure",IF(OR($Y987="too few losses to test",$Y987="too few loans to test"),"Too few losses",IF($Y987="","","No"))))</f>
        <v/>
      </c>
      <c r="AJ987">
        <f>IF($AA987="yes","Yes",IF($AA987="","","No"))</f>
        <v/>
      </c>
    </row>
    <row r="988">
      <c r="A988" t="inlineStr">
        <is>
          <t>three-way</t>
        </is>
      </c>
      <c r="B988" t="inlineStr">
        <is>
          <t>ORIG_BAL x CHANNEL / SYS_FLAG</t>
        </is>
      </c>
      <c r="C988" t="inlineStr">
        <is>
          <t>26,324 - 37,950</t>
        </is>
      </c>
      <c r="D988" t="inlineStr">
        <is>
          <t>Online / SYS_FLAG N</t>
        </is>
      </c>
      <c r="E988" t="inlineStr">
        <is>
          <t>contribution_rate</t>
        </is>
      </c>
      <c r="F988" t="inlineStr">
        <is>
          <t>Contribution before losses per booked dollar</t>
        </is>
      </c>
      <c r="G988" t="n">
        <v>297</v>
      </c>
      <c r="H988" t="n">
        <v>9480834.620000005</v>
      </c>
      <c r="I988" t="b">
        <v>0</v>
      </c>
      <c r="J988" t="b">
        <v>0</v>
      </c>
      <c r="K988" t="n">
        <v>0.01302236965274836</v>
      </c>
      <c r="L988" t="n">
        <v>0.2203625791267027</v>
      </c>
      <c r="M988" t="n">
        <v>0.01641643581729205</v>
      </c>
      <c r="N988" t="n">
        <v>0.1331116888311169</v>
      </c>
      <c r="O988" t="n">
        <v>-123462.9330382142</v>
      </c>
      <c r="P988" t="n">
        <v>-155641.5130335905</v>
      </c>
      <c r="Q988">
        <f>'_live'!$C$24</f>
        <v/>
      </c>
      <c r="R988" t="inlineStr">
        <is>
          <t>shuffled: 954 of 10,000</t>
        </is>
      </c>
      <c r="S988" t="inlineStr">
        <is>
          <t>shuffled: 354 of 10,000</t>
        </is>
      </c>
      <c r="T988" t="n">
        <v>0.1691139705759138</v>
      </c>
      <c r="U988" t="n">
        <v>0.1657199044113701</v>
      </c>
      <c r="V988">
        <f>AND(judged_band,NOT($J988))</f>
        <v/>
      </c>
      <c r="W988">
        <f>IF($K988="","",IF(profit_kind="test",IF(OR(NOT(AND(ISNUMBER($L988),$L988&lt;significance_bar)),$K988=0),"in line",IF($K988&lt;0,"worse","better")),IF(OR($K988=0,IF(profit_kind="points",ABS($K988),ABS($K988*$H988))&lt;profit_line*(1-1E-9)),"in line",IF(AND(ISNUMBER($L988),$L988&lt;significance_bar),IF($K988&lt;0,"worse","better"),IF($K988&lt;0,"worse, not significant","better, not significant")))))</f>
        <v/>
      </c>
      <c r="X988">
        <f>IF($M988="","",IF(profit_kind="test",IF(OR(NOT(AND(ISNUMBER($N988),$N988&lt;significance_bar)),$M988=0),"in line",IF($M988&lt;0,"worse","better")),IF(OR($M988=0,IF(profit_kind="points",ABS($M988),ABS($M988*$H988))&lt;profit_line*(1-1E-9)),"in line",IF(AND(ISNUMBER($N988),$N988&lt;significance_bar),IF($M988&lt;0,"worse","better"),IF($M988&lt;0,"worse, not significant","better, not significant")))))</f>
        <v/>
      </c>
      <c r="Y988">
        <f>IF($V988,$X988,$W988)</f>
        <v/>
      </c>
      <c r="Z988">
        <f>IF($V988,IF($P988="","",$P988),IF($O988="","",$O988))</f>
        <v/>
      </c>
      <c r="AA988">
        <f>IF(OR($Q988="",$Z988=""),"",IF(AND($Z988&gt;0,$Z988&gt;=$Q988),"yes","below the line"))</f>
        <v/>
      </c>
      <c r="AB988">
        <f>IF($V988,IF($M988="","",$M988),IF($K988="","",$K988))</f>
        <v/>
      </c>
      <c r="AC988">
        <f>IF($V988,IF($N988="","",$N988),IF($L988="","",$L988))</f>
        <v/>
      </c>
      <c r="AD988">
        <f>IF($Y988="","",IF($Y988="in line",IF(profit_kind="test",IF(ROUND($AB988*100,2)=0,"0.00",TEXT($AB988*100,"+0.00;-0.00"))&amp;" points against "&amp;IF($V988,"its band","the book")&amp;", "&amp;IF($AC988="","not tested","not significant"),IF(profit_kind="points","within "&amp;TEXT(profit_line*100,"0.00")&amp;" points of "&amp;IF($V988,"its band","the book")&amp;" ("&amp;IF(ROUND($AB988*100,2)=0,"0.00",TEXT($AB988*100,"+0.00;-0.00"))&amp;")","within $"&amp;TEXT(profit_line,"#,##0")&amp;" of "&amp;IF($V988,"its band","the book")&amp;" ("&amp;IF(ROUND($AB988*100,2)=0,"0.00",TEXT($AB988*100,"+0.00;-0.00"))&amp;" points)")),IF(LEFT($Y988,5)="worse","short of ","ahead of ")&amp;IF($V988,"its band","the book")&amp;" by "&amp;TEXT(ABS($AB988)*100,"0.00")&amp;" points"&amp;IF($Z988="",""," ($"&amp;TEXT(ABS($Z988),"#,##0")&amp;")")&amp;IF(RIGHT($Y988,15)="not significant"," (not significant)","")))</f>
        <v/>
      </c>
      <c r="AE988">
        <f>IF($V988,IF($S988="","",$S988),IF($R988="","",$R988))</f>
        <v/>
      </c>
      <c r="AF988">
        <f>IF($V988,IF($U988="","",$U988),IF($T988="","",$T988))</f>
        <v/>
      </c>
      <c r="AG988">
        <f>IF($V988,IF($O988="","",$O988),IF($P988="","",$P988))</f>
        <v/>
      </c>
      <c r="AH988" t="n">
        <v>0.1821363402286622</v>
      </c>
      <c r="AI988">
        <f>IF($Y988="worse","Yes",IF($Y988="worse, not significant","Not sure",IF(OR($Y988="too few losses to test",$Y988="too few loans to test"),"Too few losses",IF($Y988="","","No"))))</f>
        <v/>
      </c>
      <c r="AJ988">
        <f>IF($AA988="yes","Yes",IF($AA988="","","No"))</f>
        <v/>
      </c>
    </row>
    <row r="989">
      <c r="A989" t="inlineStr">
        <is>
          <t>three-way</t>
        </is>
      </c>
      <c r="B989" t="inlineStr">
        <is>
          <t>ORIG_BAL x CHANNEL / SYS_FLAG</t>
        </is>
      </c>
      <c r="C989" t="inlineStr">
        <is>
          <t>26,324 - 37,950</t>
        </is>
      </c>
      <c r="D989" t="inlineStr">
        <is>
          <t>Broker / SYS_FLAG N</t>
        </is>
      </c>
      <c r="E989" t="inlineStr">
        <is>
          <t>outcome_loans</t>
        </is>
      </c>
      <c r="F989" t="inlineStr">
        <is>
          <t>Outcome, share of loans</t>
        </is>
      </c>
      <c r="G989" t="n">
        <v>305</v>
      </c>
      <c r="H989" t="n">
        <v>305</v>
      </c>
      <c r="I989" t="b">
        <v>0</v>
      </c>
      <c r="J989" t="b">
        <v>0</v>
      </c>
      <c r="K989" t="n">
        <v>0.8422781137962178</v>
      </c>
      <c r="L989" t="n">
        <v>0.6707802217913028</v>
      </c>
      <c r="M989" t="n">
        <v>0.9420765027322405</v>
      </c>
      <c r="N989" t="n">
        <v>0.8987489474994704</v>
      </c>
      <c r="O989" t="n">
        <v>-3.745126072264103</v>
      </c>
      <c r="P989" t="n">
        <v>-1.229698375870068</v>
      </c>
      <c r="Q989">
        <f>'_live'!$C$20</f>
        <v/>
      </c>
      <c r="R989" t="inlineStr">
        <is>
          <t>z test</t>
        </is>
      </c>
      <c r="S989" t="inlineStr">
        <is>
          <t>z test</t>
        </is>
      </c>
      <c r="T989" t="n">
        <v>0.07785287236807903</v>
      </c>
      <c r="U989" t="n">
        <v>0.06960556844547564</v>
      </c>
      <c r="V989">
        <f>AND(judged_band,NOT($J989))</f>
        <v/>
      </c>
      <c r="W989">
        <f>IF($K989="","",IF($I989,"too few losses to test",IF(AND($K989&gt;better_at,$K989&lt;worse_at),"in line",IF($K989&gt;=worse_at,IF(AND(ISNUMBER($L989),$L989&lt;significance_bar),"worse","worse, not significant"),IF(AND(ISNUMBER($L989),$L989&lt;significance_bar),"better","better, not significant")))))</f>
        <v/>
      </c>
      <c r="X989">
        <f>IF($M989="","",IF($I989,"too few losses to test",IF(AND($M989&gt;better_at,$M989&lt;worse_at),"in line",IF($M989&gt;=worse_at,IF(AND(ISNUMBER($N989),$N989&lt;significance_bar),"worse","worse, not significant"),IF(AND(ISNUMBER($N989),$N989&lt;significance_bar),"better","better, not significant")))))</f>
        <v/>
      </c>
      <c r="Y989">
        <f>IF($V989,$X989,$W989)</f>
        <v/>
      </c>
      <c r="Z989">
        <f>IF($V989,IF($P989="","",$P989),IF($O989="","",$O989))</f>
        <v/>
      </c>
      <c r="AA989">
        <f>IF(OR($Q989="",$Z989=""),"",IF(AND($Z989&gt;0,$Z989&gt;=$Q989),"yes","below the line"))</f>
        <v/>
      </c>
      <c r="AB989">
        <f>IF($V989,IF($M989="","",$M989),IF($K989="","",$K989))</f>
        <v/>
      </c>
      <c r="AC989">
        <f>IF($V989,IF($N989="","",$N989),IF($L989="","",$L989))</f>
        <v/>
      </c>
      <c r="AD989">
        <f>$Y989</f>
        <v/>
      </c>
      <c r="AE989">
        <f>IF($V989,IF($S989="","",$S989),IF($R989="","",$R989))</f>
        <v/>
      </c>
      <c r="AF989">
        <f>IF($V989,IF($U989="","",$U989),IF($T989="","",$T989))</f>
        <v/>
      </c>
      <c r="AG989">
        <f>IF($V989,IF($O989="","",$O989),IF($P989="","",$P989))</f>
        <v/>
      </c>
      <c r="AH989" t="n">
        <v>0.06557377049180328</v>
      </c>
      <c r="AI989">
        <f>IF($Y989="worse","Yes",IF($Y989="worse, not significant","Not sure",IF(OR($Y989="too few losses to test",$Y989="too few loans to test"),"Too few losses",IF($Y989="","","No"))))</f>
        <v/>
      </c>
      <c r="AJ989">
        <f>IF($AA989="yes","Yes",IF($AA989="","","No"))</f>
        <v/>
      </c>
    </row>
    <row r="990">
      <c r="A990" t="inlineStr">
        <is>
          <t>three-way</t>
        </is>
      </c>
      <c r="B990" t="inlineStr">
        <is>
          <t>ORIG_BAL x CHANNEL / SYS_FLAG</t>
        </is>
      </c>
      <c r="C990" t="inlineStr">
        <is>
          <t>26,324 - 37,950</t>
        </is>
      </c>
      <c r="D990" t="inlineStr">
        <is>
          <t>Broker / SYS_FLAG N</t>
        </is>
      </c>
      <c r="E990" t="inlineStr">
        <is>
          <t>outcome_booked</t>
        </is>
      </c>
      <c r="F990" t="inlineStr">
        <is>
          <t>Outcome, share of booked dollars</t>
        </is>
      </c>
      <c r="G990" t="n">
        <v>305</v>
      </c>
      <c r="H990" t="n">
        <v>9738367.730000006</v>
      </c>
      <c r="I990" t="b">
        <v>0</v>
      </c>
      <c r="J990" t="b">
        <v>0</v>
      </c>
      <c r="K990" t="n">
        <v>0.877857294794459</v>
      </c>
      <c r="L990" t="n">
        <v>0.8337566243375661</v>
      </c>
      <c r="M990" t="n">
        <v>0.9600173972912874</v>
      </c>
      <c r="N990" t="n">
        <v>0.9031689423650228</v>
      </c>
      <c r="O990" t="n">
        <v>-89418.94006215455</v>
      </c>
      <c r="P990" t="n">
        <v>-26765.6542578669</v>
      </c>
      <c r="Q990">
        <f>'_live'!$C$21</f>
        <v/>
      </c>
      <c r="R990" t="inlineStr">
        <is>
          <t>shuffled: 5,955 of 10,000</t>
        </is>
      </c>
      <c r="S990" t="inlineStr">
        <is>
          <t>shuffled: 8,709 of 10,000</t>
        </is>
      </c>
      <c r="T990" t="n">
        <v>0.07517541135840372</v>
      </c>
      <c r="U990" t="n">
        <v>0.06874175763517473</v>
      </c>
      <c r="V990">
        <f>AND(judged_band,NOT($J990))</f>
        <v/>
      </c>
      <c r="W990">
        <f>IF($K990="","",IF($I990,"too few losses to test",IF(AND($K990&gt;better_at,$K990&lt;worse_at),"in line",IF($K990&gt;=worse_at,IF(AND(ISNUMBER($L990),$L990&lt;significance_bar),"worse","worse, not significant"),IF(AND(ISNUMBER($L990),$L990&lt;significance_bar),"better","better, not significant")))))</f>
        <v/>
      </c>
      <c r="X990">
        <f>IF($M990="","",IF($I990,"too few losses to test",IF(AND($M990&gt;better_at,$M990&lt;worse_at),"in line",IF($M990&gt;=worse_at,IF(AND(ISNUMBER($N990),$N990&lt;significance_bar),"worse","worse, not significant"),IF(AND(ISNUMBER($N990),$N990&lt;significance_bar),"better","better, not significant")))))</f>
        <v/>
      </c>
      <c r="Y990">
        <f>IF($V990,$X990,$W990)</f>
        <v/>
      </c>
      <c r="Z990">
        <f>IF($V990,IF($P990="","",$P990),IF($O990="","",$O990))</f>
        <v/>
      </c>
      <c r="AA990">
        <f>IF(OR($Q990="",$Z990=""),"",IF(AND($Z990&gt;0,$Z990&gt;=$Q990),"yes","below the line"))</f>
        <v/>
      </c>
      <c r="AB990">
        <f>IF($V990,IF($M990="","",$M990),IF($K990="","",$K990))</f>
        <v/>
      </c>
      <c r="AC990">
        <f>IF($V990,IF($N990="","",$N990),IF($L990="","",$L990))</f>
        <v/>
      </c>
      <c r="AD990">
        <f>$Y990</f>
        <v/>
      </c>
      <c r="AE990">
        <f>IF($V990,IF($S990="","",$S990),IF($R990="","",$R990))</f>
        <v/>
      </c>
      <c r="AF990">
        <f>IF($V990,IF($U990="","",$U990),IF($T990="","",$T990))</f>
        <v/>
      </c>
      <c r="AG990">
        <f>IF($V990,IF($O990="","",$O990),IF($P990="","",$P990))</f>
        <v/>
      </c>
      <c r="AH990" t="n">
        <v>0.06599328325014893</v>
      </c>
      <c r="AI990">
        <f>IF($Y990="worse","Yes",IF($Y990="worse, not significant","Not sure",IF(OR($Y990="too few losses to test",$Y990="too few loans to test"),"Too few losses",IF($Y990="","","No"))))</f>
        <v/>
      </c>
      <c r="AJ990">
        <f>IF($AA990="yes","Yes",IF($AA990="","","No"))</f>
        <v/>
      </c>
    </row>
    <row r="991">
      <c r="A991" t="inlineStr">
        <is>
          <t>three-way</t>
        </is>
      </c>
      <c r="B991" t="inlineStr">
        <is>
          <t>ORIG_BAL x CHANNEL / SYS_FLAG</t>
        </is>
      </c>
      <c r="C991" t="inlineStr">
        <is>
          <t>26,324 - 37,950</t>
        </is>
      </c>
      <c r="D991" t="inlineStr">
        <is>
          <t>Broker / SYS_FLAG N</t>
        </is>
      </c>
      <c r="E991" t="inlineStr">
        <is>
          <t>gco_rate</t>
        </is>
      </c>
      <c r="F991" t="inlineStr">
        <is>
          <t>GCO per booked dollar</t>
        </is>
      </c>
      <c r="G991" t="n">
        <v>305</v>
      </c>
      <c r="H991" t="n">
        <v>9738367.730000006</v>
      </c>
      <c r="I991" t="b">
        <v>0</v>
      </c>
      <c r="J991" t="b">
        <v>0</v>
      </c>
      <c r="K991" t="n">
        <v>0.9614903756153695</v>
      </c>
      <c r="L991" t="n">
        <v>0.9822017798220178</v>
      </c>
      <c r="M991" t="n">
        <v>1.087441088806463</v>
      </c>
      <c r="N991" t="n">
        <v>0.8150415727658002</v>
      </c>
      <c r="O991" t="n">
        <v>-15625.55365307548</v>
      </c>
      <c r="P991" t="n">
        <v>31370.46030437824</v>
      </c>
      <c r="Q991">
        <f>'_live'!$C$22</f>
        <v/>
      </c>
      <c r="R991" t="inlineStr">
        <is>
          <t>shuffled: 8,728 of 10,000</t>
        </is>
      </c>
      <c r="S991" t="inlineStr">
        <is>
          <t>shuffled: 7,346 of 10,000</t>
        </is>
      </c>
      <c r="T991" t="n">
        <v>0.04166582274389788</v>
      </c>
      <c r="U991" t="n">
        <v>0.03683996123810591</v>
      </c>
      <c r="V991">
        <f>AND(judged_band,NOT($J991))</f>
        <v/>
      </c>
      <c r="W991">
        <f>IF($K991="","",IF($I991,"too few losses to test",IF(AND($K991&gt;better_at,$K991&lt;worse_at),"in line",IF($K991&gt;=worse_at,IF(AND(ISNUMBER($L991),$L991&lt;significance_bar),"worse","worse, not significant"),IF(AND(ISNUMBER($L991),$L991&lt;significance_bar),"better","better, not significant")))))</f>
        <v/>
      </c>
      <c r="X991">
        <f>IF($M991="","",IF($I991,"too few losses to test",IF(AND($M991&gt;better_at,$M991&lt;worse_at),"in line",IF($M991&gt;=worse_at,IF(AND(ISNUMBER($N991),$N991&lt;significance_bar),"worse","worse, not significant"),IF(AND(ISNUMBER($N991),$N991&lt;significance_bar),"better","better, not significant")))))</f>
        <v/>
      </c>
      <c r="Y991">
        <f>IF($V991,$X991,$W991)</f>
        <v/>
      </c>
      <c r="Z991">
        <f>IF($V991,IF($P991="","",$P991),IF($O991="","",$O991))</f>
        <v/>
      </c>
      <c r="AA991">
        <f>IF(OR($Q991="",$Z991=""),"",IF(AND($Z991&gt;0,$Z991&gt;=$Q991),"yes","below the line"))</f>
        <v/>
      </c>
      <c r="AB991">
        <f>IF($V991,IF($M991="","",$M991),IF($K991="","",$K991))</f>
        <v/>
      </c>
      <c r="AC991">
        <f>IF($V991,IF($N991="","",$N991),IF($L991="","",$L991))</f>
        <v/>
      </c>
      <c r="AD991">
        <f>$Y991</f>
        <v/>
      </c>
      <c r="AE991">
        <f>IF($V991,IF($S991="","",$S991),IF($R991="","",$R991))</f>
        <v/>
      </c>
      <c r="AF991">
        <f>IF($V991,IF($U991="","",$U991),IF($T991="","",$T991))</f>
        <v/>
      </c>
      <c r="AG991">
        <f>IF($V991,IF($O991="","",$O991),IF($P991="","",$P991))</f>
        <v/>
      </c>
      <c r="AH991" t="n">
        <v>0.04006128756035378</v>
      </c>
      <c r="AI991">
        <f>IF($Y991="worse","Yes",IF($Y991="worse, not significant","Not sure",IF(OR($Y991="too few losses to test",$Y991="too few loans to test"),"Too few losses",IF($Y991="","","No"))))</f>
        <v/>
      </c>
      <c r="AJ991">
        <f>IF($AA991="yes","Yes",IF($AA991="","","No"))</f>
        <v/>
      </c>
    </row>
    <row r="992">
      <c r="A992" t="inlineStr">
        <is>
          <t>three-way</t>
        </is>
      </c>
      <c r="B992" t="inlineStr">
        <is>
          <t>ORIG_BAL x CHANNEL / SYS_FLAG</t>
        </is>
      </c>
      <c r="C992" t="inlineStr">
        <is>
          <t>26,324 - 37,950</t>
        </is>
      </c>
      <c r="D992" t="inlineStr">
        <is>
          <t>Broker / SYS_FLAG N</t>
        </is>
      </c>
      <c r="E992" t="inlineStr">
        <is>
          <t>ranr_rate</t>
        </is>
      </c>
      <c r="F992" t="inlineStr">
        <is>
          <t>Profit after losses: RANR per booked dollar</t>
        </is>
      </c>
      <c r="G992" t="n">
        <v>305</v>
      </c>
      <c r="H992" t="n">
        <v>9738367.730000006</v>
      </c>
      <c r="I992" t="b">
        <v>0</v>
      </c>
      <c r="J992" t="b">
        <v>0</v>
      </c>
      <c r="K992" t="n">
        <v>-0.01230460137439589</v>
      </c>
      <c r="L992" t="n">
        <v>0.5609439056094391</v>
      </c>
      <c r="M992" t="n">
        <v>-0.01869410666824319</v>
      </c>
      <c r="N992" t="n">
        <v>0.2337623380519091</v>
      </c>
      <c r="O992" t="n">
        <v>119826.7329549307</v>
      </c>
      <c r="P992" t="n">
        <v>182050.0851191974</v>
      </c>
      <c r="Q992">
        <f>'_live'!$C$23</f>
        <v/>
      </c>
      <c r="R992" t="inlineStr">
        <is>
          <t>shuffled: 2,991 of 10,000</t>
        </is>
      </c>
      <c r="S992" t="inlineStr">
        <is>
          <t>shuffled: 1,045 of 10,000</t>
        </is>
      </c>
      <c r="T992" t="n">
        <v>0.1284543711674903</v>
      </c>
      <c r="U992" t="n">
        <v>0.1348438764613376</v>
      </c>
      <c r="V992">
        <f>AND(judged_band,NOT($J992))</f>
        <v/>
      </c>
      <c r="W992">
        <f>IF($K992="","",IF(profit_kind="test",IF(OR(NOT(AND(ISNUMBER($L992),$L992&lt;significance_bar)),$K992=0),"in line",IF($K992&lt;0,"worse","better")),IF(OR($K992=0,IF(profit_kind="points",ABS($K992),ABS($K992*$H992))&lt;profit_line*(1-1E-9)),"in line",IF(AND(ISNUMBER($L992),$L992&lt;significance_bar),IF($K992&lt;0,"worse","better"),IF($K992&lt;0,"worse, not significant","better, not significant")))))</f>
        <v/>
      </c>
      <c r="X992">
        <f>IF($M992="","",IF(profit_kind="test",IF(OR(NOT(AND(ISNUMBER($N992),$N992&lt;significance_bar)),$M992=0),"in line",IF($M992&lt;0,"worse","better")),IF(OR($M992=0,IF(profit_kind="points",ABS($M992),ABS($M992*$H992))&lt;profit_line*(1-1E-9)),"in line",IF(AND(ISNUMBER($N992),$N992&lt;significance_bar),IF($M992&lt;0,"worse","better"),IF($M992&lt;0,"worse, not significant","better, not significant")))))</f>
        <v/>
      </c>
      <c r="Y992">
        <f>IF($V992,$X992,$W992)</f>
        <v/>
      </c>
      <c r="Z992">
        <f>IF($V992,IF($P992="","",$P992),IF($O992="","",$O992))</f>
        <v/>
      </c>
      <c r="AA992">
        <f>IF(OR($Q992="",$Z992=""),"",IF(AND($Z992&gt;0,$Z992&gt;=$Q992),"yes","below the line"))</f>
        <v/>
      </c>
      <c r="AB992">
        <f>IF($V992,IF($M992="","",$M992),IF($K992="","",$K992))</f>
        <v/>
      </c>
      <c r="AC992">
        <f>IF($V992,IF($N992="","",$N992),IF($L992="","",$L992))</f>
        <v/>
      </c>
      <c r="AD992">
        <f>IF($Y992="","",IF($Y992="in line",IF(profit_kind="test",IF(ROUND($AB992*100,2)=0,"0.00",TEXT($AB992*100,"+0.00;-0.00"))&amp;" points against "&amp;IF($V992,"its band","the book")&amp;", "&amp;IF($AC992="","not tested","not significant"),IF(profit_kind="points","within "&amp;TEXT(profit_line*100,"0.00")&amp;" points of "&amp;IF($V992,"its band","the book")&amp;" ("&amp;IF(ROUND($AB992*100,2)=0,"0.00",TEXT($AB992*100,"+0.00;-0.00"))&amp;")","within $"&amp;TEXT(profit_line,"#,##0")&amp;" of "&amp;IF($V992,"its band","the book")&amp;" ("&amp;IF(ROUND($AB992*100,2)=0,"0.00",TEXT($AB992*100,"+0.00;-0.00"))&amp;" points)")),IF(LEFT($Y992,5)="worse","short of ","ahead of ")&amp;IF($V992,"its band","the book")&amp;" by "&amp;TEXT(ABS($AB992)*100,"0.00")&amp;" points"&amp;IF($Z992="",""," ($"&amp;TEXT(ABS($Z992),"#,##0")&amp;")")&amp;IF(RIGHT($Y992,15)="not significant"," (not significant)","")))</f>
        <v/>
      </c>
      <c r="AE992">
        <f>IF($V992,IF($S992="","",$S992),IF($R992="","",$R992))</f>
        <v/>
      </c>
      <c r="AF992">
        <f>IF($V992,IF($U992="","",$U992),IF($T992="","",$T992))</f>
        <v/>
      </c>
      <c r="AG992">
        <f>IF($V992,IF($O992="","",$O992),IF($P992="","",$P992))</f>
        <v/>
      </c>
      <c r="AH992" t="n">
        <v>0.1161497697930944</v>
      </c>
      <c r="AI992">
        <f>IF($Y992="worse","Yes",IF($Y992="worse, not significant","Not sure",IF(OR($Y992="too few losses to test",$Y992="too few loans to test"),"Too few losses",IF($Y992="","","No"))))</f>
        <v/>
      </c>
      <c r="AJ992">
        <f>IF($AA992="yes","Yes",IF($AA992="","","No"))</f>
        <v/>
      </c>
    </row>
    <row r="993">
      <c r="A993" t="inlineStr">
        <is>
          <t>three-way</t>
        </is>
      </c>
      <c r="B993" t="inlineStr">
        <is>
          <t>ORIG_BAL x CHANNEL / SYS_FLAG</t>
        </is>
      </c>
      <c r="C993" t="inlineStr">
        <is>
          <t>26,324 - 37,950</t>
        </is>
      </c>
      <c r="D993" t="inlineStr">
        <is>
          <t>Broker / SYS_FLAG N</t>
        </is>
      </c>
      <c r="E993" t="inlineStr">
        <is>
          <t>contribution_rate</t>
        </is>
      </c>
      <c r="F993" t="inlineStr">
        <is>
          <t>Contribution before losses per booked dollar</t>
        </is>
      </c>
      <c r="G993" t="n">
        <v>305</v>
      </c>
      <c r="H993" t="n">
        <v>9738367.730000006</v>
      </c>
      <c r="I993" t="b">
        <v>0</v>
      </c>
      <c r="J993" t="b">
        <v>0</v>
      </c>
      <c r="K993" t="n">
        <v>-0.01390623937980909</v>
      </c>
      <c r="L993" t="n">
        <v>0.1942305769423057</v>
      </c>
      <c r="M993" t="n">
        <v>-0.01547278034599539</v>
      </c>
      <c r="N993" t="n">
        <v>0.1433856614338566</v>
      </c>
      <c r="O993" t="n">
        <v>135424.0728219883</v>
      </c>
      <c r="P993" t="n">
        <v>150679.6248148198</v>
      </c>
      <c r="Q993">
        <f>'_live'!$C$24</f>
        <v/>
      </c>
      <c r="R993" t="inlineStr">
        <is>
          <t>shuffled: 744 of 10,000</t>
        </is>
      </c>
      <c r="S993" t="inlineStr">
        <is>
          <t>shuffled: 477 of 10,000</t>
        </is>
      </c>
      <c r="T993" t="n">
        <v>0.1701172967332572</v>
      </c>
      <c r="U993" t="n">
        <v>0.1716838376994435</v>
      </c>
      <c r="V993">
        <f>AND(judged_band,NOT($J993))</f>
        <v/>
      </c>
      <c r="W993">
        <f>IF($K993="","",IF(profit_kind="test",IF(OR(NOT(AND(ISNUMBER($L993),$L993&lt;significance_bar)),$K993=0),"in line",IF($K993&lt;0,"worse","better")),IF(OR($K993=0,IF(profit_kind="points",ABS($K993),ABS($K993*$H993))&lt;profit_line*(1-1E-9)),"in line",IF(AND(ISNUMBER($L993),$L993&lt;significance_bar),IF($K993&lt;0,"worse","better"),IF($K993&lt;0,"worse, not significant","better, not significant")))))</f>
        <v/>
      </c>
      <c r="X993">
        <f>IF($M993="","",IF(profit_kind="test",IF(OR(NOT(AND(ISNUMBER($N993),$N993&lt;significance_bar)),$M993=0),"in line",IF($M993&lt;0,"worse","better")),IF(OR($M993=0,IF(profit_kind="points",ABS($M993),ABS($M993*$H993))&lt;profit_line*(1-1E-9)),"in line",IF(AND(ISNUMBER($N993),$N993&lt;significance_bar),IF($M993&lt;0,"worse","better"),IF($M993&lt;0,"worse, not significant","better, not significant")))))</f>
        <v/>
      </c>
      <c r="Y993">
        <f>IF($V993,$X993,$W993)</f>
        <v/>
      </c>
      <c r="Z993">
        <f>IF($V993,IF($P993="","",$P993),IF($O993="","",$O993))</f>
        <v/>
      </c>
      <c r="AA993">
        <f>IF(OR($Q993="",$Z993=""),"",IF(AND($Z993&gt;0,$Z993&gt;=$Q993),"yes","below the line"))</f>
        <v/>
      </c>
      <c r="AB993">
        <f>IF($V993,IF($M993="","",$M993),IF($K993="","",$K993))</f>
        <v/>
      </c>
      <c r="AC993">
        <f>IF($V993,IF($N993="","",$N993),IF($L993="","",$L993))</f>
        <v/>
      </c>
      <c r="AD993">
        <f>IF($Y993="","",IF($Y993="in line",IF(profit_kind="test",IF(ROUND($AB993*100,2)=0,"0.00",TEXT($AB993*100,"+0.00;-0.00"))&amp;" points against "&amp;IF($V993,"its band","the book")&amp;", "&amp;IF($AC993="","not tested","not significant"),IF(profit_kind="points","within "&amp;TEXT(profit_line*100,"0.00")&amp;" points of "&amp;IF($V993,"its band","the book")&amp;" ("&amp;IF(ROUND($AB993*100,2)=0,"0.00",TEXT($AB993*100,"+0.00;-0.00"))&amp;")","within $"&amp;TEXT(profit_line,"#,##0")&amp;" of "&amp;IF($V993,"its band","the book")&amp;" ("&amp;IF(ROUND($AB993*100,2)=0,"0.00",TEXT($AB993*100,"+0.00;-0.00"))&amp;" points)")),IF(LEFT($Y993,5)="worse","short of ","ahead of ")&amp;IF($V993,"its band","the book")&amp;" by "&amp;TEXT(ABS($AB993)*100,"0.00")&amp;" points"&amp;IF($Z993="",""," ($"&amp;TEXT(ABS($Z993),"#,##0")&amp;")")&amp;IF(RIGHT($Y993,15)="not significant"," (not significant)","")))</f>
        <v/>
      </c>
      <c r="AE993">
        <f>IF($V993,IF($S993="","",$S993),IF($R993="","",$R993))</f>
        <v/>
      </c>
      <c r="AF993">
        <f>IF($V993,IF($U993="","",$U993),IF($T993="","",$T993))</f>
        <v/>
      </c>
      <c r="AG993">
        <f>IF($V993,IF($O993="","",$O993),IF($P993="","",$P993))</f>
        <v/>
      </c>
      <c r="AH993" t="n">
        <v>0.1562110573534481</v>
      </c>
      <c r="AI993">
        <f>IF($Y993="worse","Yes",IF($Y993="worse, not significant","Not sure",IF(OR($Y993="too few losses to test",$Y993="too few loans to test"),"Too few losses",IF($Y993="","","No"))))</f>
        <v/>
      </c>
      <c r="AJ993">
        <f>IF($AA993="yes","Yes",IF($AA993="","","No"))</f>
        <v/>
      </c>
    </row>
    <row r="994">
      <c r="A994" t="inlineStr">
        <is>
          <t>three-way</t>
        </is>
      </c>
      <c r="B994" t="inlineStr">
        <is>
          <t>ORIG_BAL x ASSET_CLASS / SYS_FLAG</t>
        </is>
      </c>
      <c r="C994" t="inlineStr">
        <is>
          <t>5,005 - 15,448</t>
        </is>
      </c>
      <c r="D994" t="inlineStr">
        <is>
          <t>1 / SYS_FLAG N</t>
        </is>
      </c>
      <c r="E994" t="inlineStr">
        <is>
          <t>outcome_loans</t>
        </is>
      </c>
      <c r="F994" t="inlineStr">
        <is>
          <t>Outcome, share of loans</t>
        </is>
      </c>
      <c r="G994" t="n">
        <v>237</v>
      </c>
      <c r="H994" t="n">
        <v>237</v>
      </c>
      <c r="I994" t="b">
        <v>1</v>
      </c>
      <c r="J994" t="b">
        <v>0</v>
      </c>
      <c r="K994" t="n">
        <v>0.4288190488028893</v>
      </c>
      <c r="M994" t="n">
        <v>0.4000733810310035</v>
      </c>
      <c r="O994" t="n">
        <v>-10.65588765782015</v>
      </c>
      <c r="P994" t="n">
        <v>-11.99633162142333</v>
      </c>
      <c r="Q994">
        <f>'_live'!$C$20</f>
        <v/>
      </c>
      <c r="T994" t="n">
        <v>0.07871682556042257</v>
      </c>
      <c r="U994" t="n">
        <v>0.08437270726338958</v>
      </c>
      <c r="V994">
        <f>AND(judged_band,NOT($J994))</f>
        <v/>
      </c>
      <c r="W994">
        <f>IF($K994="","",IF($I994,"too few losses to test",IF(AND($K994&gt;better_at,$K994&lt;worse_at),"in line",IF($K994&gt;=worse_at,IF(AND(ISNUMBER($L994),$L994&lt;significance_bar),"worse","worse, not significant"),IF(AND(ISNUMBER($L994),$L994&lt;significance_bar),"better","better, not significant")))))</f>
        <v/>
      </c>
      <c r="X994">
        <f>IF($M994="","",IF($I994,"too few losses to test",IF(AND($M994&gt;better_at,$M994&lt;worse_at),"in line",IF($M994&gt;=worse_at,IF(AND(ISNUMBER($N994),$N994&lt;significance_bar),"worse","worse, not significant"),IF(AND(ISNUMBER($N994),$N994&lt;significance_bar),"better","better, not significant")))))</f>
        <v/>
      </c>
      <c r="Y994">
        <f>IF($V994,$X994,$W994)</f>
        <v/>
      </c>
      <c r="Z994">
        <f>IF($V994,IF($P994="","",$P994),IF($O994="","",$O994))</f>
        <v/>
      </c>
      <c r="AA994">
        <f>IF(OR($Q994="",$Z994=""),"",IF(AND($Z994&gt;0,$Z994&gt;=$Q994),"yes","below the line"))</f>
        <v/>
      </c>
      <c r="AB994">
        <f>IF($V994,IF($M994="","",$M994),IF($K994="","",$K994))</f>
        <v/>
      </c>
      <c r="AC994">
        <f>IF($V994,IF($N994="","",$N994),IF($L994="","",$L994))</f>
        <v/>
      </c>
      <c r="AD994">
        <f>$Y994</f>
        <v/>
      </c>
      <c r="AE994">
        <f>IF($V994,IF($S994="","",$S994),IF($R994="","",$R994))</f>
        <v/>
      </c>
      <c r="AF994">
        <f>IF($V994,IF($U994="","",$U994),IF($T994="","",$T994))</f>
        <v/>
      </c>
      <c r="AG994">
        <f>IF($V994,IF($O994="","",$O994),IF($P994="","",$P994))</f>
        <v/>
      </c>
      <c r="AH994" t="n">
        <v>0.03375527426160337</v>
      </c>
      <c r="AI994">
        <f>IF($Y994="worse","Yes",IF($Y994="worse, not significant","Not sure",IF(OR($Y994="too few losses to test",$Y994="too few loans to test"),"Too few losses",IF($Y994="","","No"))))</f>
        <v/>
      </c>
      <c r="AJ994">
        <f>IF($AA994="yes","Yes",IF($AA994="","","No"))</f>
        <v/>
      </c>
    </row>
    <row r="995">
      <c r="A995" t="inlineStr">
        <is>
          <t>three-way</t>
        </is>
      </c>
      <c r="B995" t="inlineStr">
        <is>
          <t>ORIG_BAL x ASSET_CLASS / SYS_FLAG</t>
        </is>
      </c>
      <c r="C995" t="inlineStr">
        <is>
          <t>5,005 - 15,448</t>
        </is>
      </c>
      <c r="D995" t="inlineStr">
        <is>
          <t>1 / SYS_FLAG N</t>
        </is>
      </c>
      <c r="E995" t="inlineStr">
        <is>
          <t>outcome_booked</t>
        </is>
      </c>
      <c r="F995" t="inlineStr">
        <is>
          <t>Outcome, share of booked dollars</t>
        </is>
      </c>
      <c r="G995" t="n">
        <v>237</v>
      </c>
      <c r="H995" t="n">
        <v>2421156.480000001</v>
      </c>
      <c r="I995" t="b">
        <v>1</v>
      </c>
      <c r="J995" t="b">
        <v>0</v>
      </c>
      <c r="K995" t="n">
        <v>0.4894318420269163</v>
      </c>
      <c r="M995" t="n">
        <v>0.4467555303132408</v>
      </c>
      <c r="O995" t="n">
        <v>-92946.14071751722</v>
      </c>
      <c r="P995" t="n">
        <v>-110335.9403093059</v>
      </c>
      <c r="Q995">
        <f>'_live'!$C$21</f>
        <v/>
      </c>
      <c r="T995" t="n">
        <v>0.07518908101202823</v>
      </c>
      <c r="U995" t="n">
        <v>0.08237151623892802</v>
      </c>
      <c r="V995">
        <f>AND(judged_band,NOT($J995))</f>
        <v/>
      </c>
      <c r="W995">
        <f>IF($K995="","",IF($I995,"too few losses to test",IF(AND($K995&gt;better_at,$K995&lt;worse_at),"in line",IF($K995&gt;=worse_at,IF(AND(ISNUMBER($L995),$L995&lt;significance_bar),"worse","worse, not significant"),IF(AND(ISNUMBER($L995),$L995&lt;significance_bar),"better","better, not significant")))))</f>
        <v/>
      </c>
      <c r="X995">
        <f>IF($M995="","",IF($I995,"too few losses to test",IF(AND($M995&gt;better_at,$M995&lt;worse_at),"in line",IF($M995&gt;=worse_at,IF(AND(ISNUMBER($N995),$N995&lt;significance_bar),"worse","worse, not significant"),IF(AND(ISNUMBER($N995),$N995&lt;significance_bar),"better","better, not significant")))))</f>
        <v/>
      </c>
      <c r="Y995">
        <f>IF($V995,$X995,$W995)</f>
        <v/>
      </c>
      <c r="Z995">
        <f>IF($V995,IF($P995="","",$P995),IF($O995="","",$O995))</f>
        <v/>
      </c>
      <c r="AA995">
        <f>IF(OR($Q995="",$Z995=""),"",IF(AND($Z995&gt;0,$Z995&gt;=$Q995),"yes","below the line"))</f>
        <v/>
      </c>
      <c r="AB995">
        <f>IF($V995,IF($M995="","",$M995),IF($K995="","",$K995))</f>
        <v/>
      </c>
      <c r="AC995">
        <f>IF($V995,IF($N995="","",$N995),IF($L995="","",$L995))</f>
        <v/>
      </c>
      <c r="AD995">
        <f>$Y995</f>
        <v/>
      </c>
      <c r="AE995">
        <f>IF($V995,IF($S995="","",$S995),IF($R995="","",$R995))</f>
        <v/>
      </c>
      <c r="AF995">
        <f>IF($V995,IF($U995="","",$U995),IF($T995="","",$T995))</f>
        <v/>
      </c>
      <c r="AG995">
        <f>IF($V995,IF($O995="","",$O995),IF($P995="","",$P995))</f>
        <v/>
      </c>
      <c r="AH995" t="n">
        <v>0.03679993042002801</v>
      </c>
      <c r="AI995">
        <f>IF($Y995="worse","Yes",IF($Y995="worse, not significant","Not sure",IF(OR($Y995="too few losses to test",$Y995="too few loans to test"),"Too few losses",IF($Y995="","","No"))))</f>
        <v/>
      </c>
      <c r="AJ995">
        <f>IF($AA995="yes","Yes",IF($AA995="","","No"))</f>
        <v/>
      </c>
    </row>
    <row r="996">
      <c r="A996" t="inlineStr">
        <is>
          <t>three-way</t>
        </is>
      </c>
      <c r="B996" t="inlineStr">
        <is>
          <t>ORIG_BAL x ASSET_CLASS / SYS_FLAG</t>
        </is>
      </c>
      <c r="C996" t="inlineStr">
        <is>
          <t>5,005 - 15,448</t>
        </is>
      </c>
      <c r="D996" t="inlineStr">
        <is>
          <t>1 / SYS_FLAG N</t>
        </is>
      </c>
      <c r="E996" t="inlineStr">
        <is>
          <t>gco_rate</t>
        </is>
      </c>
      <c r="F996" t="inlineStr">
        <is>
          <t>GCO per booked dollar</t>
        </is>
      </c>
      <c r="G996" t="n">
        <v>237</v>
      </c>
      <c r="H996" t="n">
        <v>2421156.480000001</v>
      </c>
      <c r="I996" t="b">
        <v>1</v>
      </c>
      <c r="J996" t="b">
        <v>0</v>
      </c>
      <c r="K996" t="n">
        <v>0.516383508152929</v>
      </c>
      <c r="M996" t="n">
        <v>0.4809839539991057</v>
      </c>
      <c r="O996" t="n">
        <v>-48938.14817960555</v>
      </c>
      <c r="P996" t="n">
        <v>-56385.70170749817</v>
      </c>
      <c r="Q996">
        <f>'_live'!$C$22</f>
        <v/>
      </c>
      <c r="T996" t="n">
        <v>0.04179492693491892</v>
      </c>
      <c r="U996" t="n">
        <v>0.04487095840558728</v>
      </c>
      <c r="V996">
        <f>AND(judged_band,NOT($J996))</f>
        <v/>
      </c>
      <c r="W996">
        <f>IF($K996="","",IF($I996,"too few losses to test",IF(AND($K996&gt;better_at,$K996&lt;worse_at),"in line",IF($K996&gt;=worse_at,IF(AND(ISNUMBER($L996),$L996&lt;significance_bar),"worse","worse, not significant"),IF(AND(ISNUMBER($L996),$L996&lt;significance_bar),"better","better, not significant")))))</f>
        <v/>
      </c>
      <c r="X996">
        <f>IF($M996="","",IF($I996,"too few losses to test",IF(AND($M996&gt;better_at,$M996&lt;worse_at),"in line",IF($M996&gt;=worse_at,IF(AND(ISNUMBER($N996),$N996&lt;significance_bar),"worse","worse, not significant"),IF(AND(ISNUMBER($N996),$N996&lt;significance_bar),"better","better, not significant")))))</f>
        <v/>
      </c>
      <c r="Y996">
        <f>IF($V996,$X996,$W996)</f>
        <v/>
      </c>
      <c r="Z996">
        <f>IF($V996,IF($P996="","",$P996),IF($O996="","",$O996))</f>
        <v/>
      </c>
      <c r="AA996">
        <f>IF(OR($Q996="",$Z996=""),"",IF(AND($Z996&gt;0,$Z996&gt;=$Q996),"yes","below the line"))</f>
        <v/>
      </c>
      <c r="AB996">
        <f>IF($V996,IF($M996="","",$M996),IF($K996="","",$K996))</f>
        <v/>
      </c>
      <c r="AC996">
        <f>IF($V996,IF($N996="","",$N996),IF($L996="","",$L996))</f>
        <v/>
      </c>
      <c r="AD996">
        <f>$Y996</f>
        <v/>
      </c>
      <c r="AE996">
        <f>IF($V996,IF($S996="","",$S996),IF($R996="","",$R996))</f>
        <v/>
      </c>
      <c r="AF996">
        <f>IF($V996,IF($U996="","",$U996),IF($T996="","",$T996))</f>
        <v/>
      </c>
      <c r="AG996">
        <f>IF($V996,IF($O996="","",$O996),IF($P996="","",$P996))</f>
        <v/>
      </c>
      <c r="AH996" t="n">
        <v>0.02158221099364878</v>
      </c>
      <c r="AI996">
        <f>IF($Y996="worse","Yes",IF($Y996="worse, not significant","Not sure",IF(OR($Y996="too few losses to test",$Y996="too few loans to test"),"Too few losses",IF($Y996="","","No"))))</f>
        <v/>
      </c>
      <c r="AJ996">
        <f>IF($AA996="yes","Yes",IF($AA996="","","No"))</f>
        <v/>
      </c>
    </row>
    <row r="997">
      <c r="A997" t="inlineStr">
        <is>
          <t>three-way</t>
        </is>
      </c>
      <c r="B997" t="inlineStr">
        <is>
          <t>ORIG_BAL x ASSET_CLASS / SYS_FLAG</t>
        </is>
      </c>
      <c r="C997" t="inlineStr">
        <is>
          <t>5,005 - 15,448</t>
        </is>
      </c>
      <c r="D997" t="inlineStr">
        <is>
          <t>1 / SYS_FLAG N</t>
        </is>
      </c>
      <c r="E997" t="inlineStr">
        <is>
          <t>ranr_rate</t>
        </is>
      </c>
      <c r="F997" t="inlineStr">
        <is>
          <t>Profit after losses: RANR per booked dollar</t>
        </is>
      </c>
      <c r="G997" t="n">
        <v>237</v>
      </c>
      <c r="H997" t="n">
        <v>2421156.480000001</v>
      </c>
      <c r="I997" t="b">
        <v>0</v>
      </c>
      <c r="J997" t="b">
        <v>0</v>
      </c>
      <c r="K997" t="n">
        <v>0.04870634033654386</v>
      </c>
      <c r="L997" t="n">
        <v>0.007999200079992001</v>
      </c>
      <c r="M997" t="n">
        <v>0.03474116846948072</v>
      </c>
      <c r="N997" t="n">
        <v>0.169316401693164</v>
      </c>
      <c r="O997" t="n">
        <v>-117925.6715229086</v>
      </c>
      <c r="P997" t="n">
        <v>-84113.80516265496</v>
      </c>
      <c r="Q997">
        <f>'_live'!$C$23</f>
        <v/>
      </c>
      <c r="R997" t="inlineStr">
        <is>
          <t>shuffled: 3 of 10,000</t>
        </is>
      </c>
      <c r="S997" t="inlineStr">
        <is>
          <t>shuffled: 96 of 10,000</t>
        </is>
      </c>
      <c r="T997" t="n">
        <v>0.1275330946296752</v>
      </c>
      <c r="U997" t="n">
        <v>0.1414982664967383</v>
      </c>
      <c r="V997">
        <f>AND(judged_band,NOT($J997))</f>
        <v/>
      </c>
      <c r="W997">
        <f>IF($K997="","",IF(profit_kind="test",IF(OR(NOT(AND(ISNUMBER($L997),$L997&lt;significance_bar)),$K997=0),"in line",IF($K997&lt;0,"worse","better")),IF(OR($K997=0,IF(profit_kind="points",ABS($K997),ABS($K997*$H997))&lt;profit_line*(1-1E-9)),"in line",IF(AND(ISNUMBER($L997),$L997&lt;significance_bar),IF($K997&lt;0,"worse","better"),IF($K997&lt;0,"worse, not significant","better, not significant")))))</f>
        <v/>
      </c>
      <c r="X997">
        <f>IF($M997="","",IF(profit_kind="test",IF(OR(NOT(AND(ISNUMBER($N997),$N997&lt;significance_bar)),$M997=0),"in line",IF($M997&lt;0,"worse","better")),IF(OR($M997=0,IF(profit_kind="points",ABS($M997),ABS($M997*$H997))&lt;profit_line*(1-1E-9)),"in line",IF(AND(ISNUMBER($N997),$N997&lt;significance_bar),IF($M997&lt;0,"worse","better"),IF($M997&lt;0,"worse, not significant","better, not significant")))))</f>
        <v/>
      </c>
      <c r="Y997">
        <f>IF($V997,$X997,$W997)</f>
        <v/>
      </c>
      <c r="Z997">
        <f>IF($V997,IF($P997="","",$P997),IF($O997="","",$O997))</f>
        <v/>
      </c>
      <c r="AA997">
        <f>IF(OR($Q997="",$Z997=""),"",IF(AND($Z997&gt;0,$Z997&gt;=$Q997),"yes","below the line"))</f>
        <v/>
      </c>
      <c r="AB997">
        <f>IF($V997,IF($M997="","",$M997),IF($K997="","",$K997))</f>
        <v/>
      </c>
      <c r="AC997">
        <f>IF($V997,IF($N997="","",$N997),IF($L997="","",$L997))</f>
        <v/>
      </c>
      <c r="AD997">
        <f>IF($Y997="","",IF($Y997="in line",IF(profit_kind="test",IF(ROUND($AB997*100,2)=0,"0.00",TEXT($AB997*100,"+0.00;-0.00"))&amp;" points against "&amp;IF($V997,"its band","the book")&amp;", "&amp;IF($AC997="","not tested","not significant"),IF(profit_kind="points","within "&amp;TEXT(profit_line*100,"0.00")&amp;" points of "&amp;IF($V997,"its band","the book")&amp;" ("&amp;IF(ROUND($AB997*100,2)=0,"0.00",TEXT($AB997*100,"+0.00;-0.00"))&amp;")","within $"&amp;TEXT(profit_line,"#,##0")&amp;" of "&amp;IF($V997,"its band","the book")&amp;" ("&amp;IF(ROUND($AB997*100,2)=0,"0.00",TEXT($AB997*100,"+0.00;-0.00"))&amp;" points)")),IF(LEFT($Y997,5)="worse","short of ","ahead of ")&amp;IF($V997,"its band","the book")&amp;" by "&amp;TEXT(ABS($AB997)*100,"0.00")&amp;" points"&amp;IF($Z997="",""," ($"&amp;TEXT(ABS($Z997),"#,##0")&amp;")")&amp;IF(RIGHT($Y997,15)="not significant"," (not significant)","")))</f>
        <v/>
      </c>
      <c r="AE997">
        <f>IF($V997,IF($S997="","",$S997),IF($R997="","",$R997))</f>
        <v/>
      </c>
      <c r="AF997">
        <f>IF($V997,IF($U997="","",$U997),IF($T997="","",$T997))</f>
        <v/>
      </c>
      <c r="AG997">
        <f>IF($V997,IF($O997="","",$O997),IF($P997="","",$P997))</f>
        <v/>
      </c>
      <c r="AH997" t="n">
        <v>0.176239434966219</v>
      </c>
      <c r="AI997">
        <f>IF($Y997="worse","Yes",IF($Y997="worse, not significant","Not sure",IF(OR($Y997="too few losses to test",$Y997="too few loans to test"),"Too few losses",IF($Y997="","","No"))))</f>
        <v/>
      </c>
      <c r="AJ997">
        <f>IF($AA997="yes","Yes",IF($AA997="","","No"))</f>
        <v/>
      </c>
    </row>
    <row r="998">
      <c r="A998" t="inlineStr">
        <is>
          <t>three-way</t>
        </is>
      </c>
      <c r="B998" t="inlineStr">
        <is>
          <t>ORIG_BAL x ASSET_CLASS / SYS_FLAG</t>
        </is>
      </c>
      <c r="C998" t="inlineStr">
        <is>
          <t>5,005 - 15,448</t>
        </is>
      </c>
      <c r="D998" t="inlineStr">
        <is>
          <t>1 / SYS_FLAG N</t>
        </is>
      </c>
      <c r="E998" t="inlineStr">
        <is>
          <t>contribution_rate</t>
        </is>
      </c>
      <c r="F998" t="inlineStr">
        <is>
          <t>Contribution before losses per booked dollar</t>
        </is>
      </c>
      <c r="G998" t="n">
        <v>237</v>
      </c>
      <c r="H998" t="n">
        <v>2421156.480000001</v>
      </c>
      <c r="I998" t="b">
        <v>0</v>
      </c>
      <c r="J998" t="b">
        <v>0</v>
      </c>
      <c r="K998" t="n">
        <v>0.02849658166969901</v>
      </c>
      <c r="L998" t="n">
        <v>0.051994800519948</v>
      </c>
      <c r="M998" t="n">
        <v>0.01145242105754232</v>
      </c>
      <c r="N998" t="n">
        <v>0.798978925636848</v>
      </c>
      <c r="O998" t="n">
        <v>-68994.68336744106</v>
      </c>
      <c r="P998" t="n">
        <v>-27728.10345515708</v>
      </c>
      <c r="Q998">
        <f>'_live'!$C$24</f>
        <v/>
      </c>
      <c r="R998" t="inlineStr">
        <is>
          <t>shuffled: 12 of 10,000</t>
        </is>
      </c>
      <c r="S998" t="inlineStr">
        <is>
          <t>shuffled: 1,965 of 10,000</t>
        </is>
      </c>
      <c r="T998" t="n">
        <v>0.1693250642901688</v>
      </c>
      <c r="U998" t="n">
        <v>0.1863692249023255</v>
      </c>
      <c r="V998">
        <f>AND(judged_band,NOT($J998))</f>
        <v/>
      </c>
      <c r="W998">
        <f>IF($K998="","",IF(profit_kind="test",IF(OR(NOT(AND(ISNUMBER($L998),$L998&lt;significance_bar)),$K998=0),"in line",IF($K998&lt;0,"worse","better")),IF(OR($K998=0,IF(profit_kind="points",ABS($K998),ABS($K998*$H998))&lt;profit_line*(1-1E-9)),"in line",IF(AND(ISNUMBER($L998),$L998&lt;significance_bar),IF($K998&lt;0,"worse","better"),IF($K998&lt;0,"worse, not significant","better, not significant")))))</f>
        <v/>
      </c>
      <c r="X998">
        <f>IF($M998="","",IF(profit_kind="test",IF(OR(NOT(AND(ISNUMBER($N998),$N998&lt;significance_bar)),$M998=0),"in line",IF($M998&lt;0,"worse","better")),IF(OR($M998=0,IF(profit_kind="points",ABS($M998),ABS($M998*$H998))&lt;profit_line*(1-1E-9)),"in line",IF(AND(ISNUMBER($N998),$N998&lt;significance_bar),IF($M998&lt;0,"worse","better"),IF($M998&lt;0,"worse, not significant","better, not significant")))))</f>
        <v/>
      </c>
      <c r="Y998">
        <f>IF($V998,$X998,$W998)</f>
        <v/>
      </c>
      <c r="Z998">
        <f>IF($V998,IF($P998="","",$P998),IF($O998="","",$O998))</f>
        <v/>
      </c>
      <c r="AA998">
        <f>IF(OR($Q998="",$Z998=""),"",IF(AND($Z998&gt;0,$Z998&gt;=$Q998),"yes","below the line"))</f>
        <v/>
      </c>
      <c r="AB998">
        <f>IF($V998,IF($M998="","",$M998),IF($K998="","",$K998))</f>
        <v/>
      </c>
      <c r="AC998">
        <f>IF($V998,IF($N998="","",$N998),IF($L998="","",$L998))</f>
        <v/>
      </c>
      <c r="AD998">
        <f>IF($Y998="","",IF($Y998="in line",IF(profit_kind="test",IF(ROUND($AB998*100,2)=0,"0.00",TEXT($AB998*100,"+0.00;-0.00"))&amp;" points against "&amp;IF($V998,"its band","the book")&amp;", "&amp;IF($AC998="","not tested","not significant"),IF(profit_kind="points","within "&amp;TEXT(profit_line*100,"0.00")&amp;" points of "&amp;IF($V998,"its band","the book")&amp;" ("&amp;IF(ROUND($AB998*100,2)=0,"0.00",TEXT($AB998*100,"+0.00;-0.00"))&amp;")","within $"&amp;TEXT(profit_line,"#,##0")&amp;" of "&amp;IF($V998,"its band","the book")&amp;" ("&amp;IF(ROUND($AB998*100,2)=0,"0.00",TEXT($AB998*100,"+0.00;-0.00"))&amp;" points)")),IF(LEFT($Y998,5)="worse","short of ","ahead of ")&amp;IF($V998,"its band","the book")&amp;" by "&amp;TEXT(ABS($AB998)*100,"0.00")&amp;" points"&amp;IF($Z998="",""," ($"&amp;TEXT(ABS($Z998),"#,##0")&amp;")")&amp;IF(RIGHT($Y998,15)="not significant"," (not significant)","")))</f>
        <v/>
      </c>
      <c r="AE998">
        <f>IF($V998,IF($S998="","",$S998),IF($R998="","",$R998))</f>
        <v/>
      </c>
      <c r="AF998">
        <f>IF($V998,IF($U998="","",$U998),IF($T998="","",$T998))</f>
        <v/>
      </c>
      <c r="AG998">
        <f>IF($V998,IF($O998="","",$O998),IF($P998="","",$P998))</f>
        <v/>
      </c>
      <c r="AH998" t="n">
        <v>0.1978216459598678</v>
      </c>
      <c r="AI998">
        <f>IF($Y998="worse","Yes",IF($Y998="worse, not significant","Not sure",IF(OR($Y998="too few losses to test",$Y998="too few loans to test"),"Too few losses",IF($Y998="","","No"))))</f>
        <v/>
      </c>
      <c r="AJ998">
        <f>IF($AA998="yes","Yes",IF($AA998="","","No"))</f>
        <v/>
      </c>
    </row>
    <row r="999">
      <c r="A999" t="inlineStr">
        <is>
          <t>three-way</t>
        </is>
      </c>
      <c r="B999" t="inlineStr">
        <is>
          <t>ORIG_BAL x ASSET_CLASS / SYS_FLAG</t>
        </is>
      </c>
      <c r="C999" t="inlineStr">
        <is>
          <t>26,324 - 37,950</t>
        </is>
      </c>
      <c r="D999" t="inlineStr">
        <is>
          <t>2 / SYS_FLAG Y</t>
        </is>
      </c>
      <c r="E999" t="inlineStr">
        <is>
          <t>outcome_loans</t>
        </is>
      </c>
      <c r="F999" t="inlineStr">
        <is>
          <t>Outcome, share of loans</t>
        </is>
      </c>
      <c r="G999" t="n">
        <v>179</v>
      </c>
      <c r="H999" t="n">
        <v>179</v>
      </c>
      <c r="I999" t="b">
        <v>0</v>
      </c>
      <c r="J999" t="b">
        <v>0</v>
      </c>
      <c r="K999" t="n">
        <v>1.084945798956676</v>
      </c>
      <c r="L999" t="n">
        <v>0.8833366391231683</v>
      </c>
      <c r="M999" t="n">
        <v>1.251690679211996</v>
      </c>
      <c r="N999" t="n">
        <v>0.6362547681114774</v>
      </c>
      <c r="O999" t="n">
        <v>1.174424552429668</v>
      </c>
      <c r="P999" t="n">
        <v>3.016208597603946</v>
      </c>
      <c r="Q999">
        <f>'_live'!$C$20</f>
        <v/>
      </c>
      <c r="R999" t="inlineStr">
        <is>
          <t>z test</t>
        </is>
      </c>
      <c r="S999" t="inlineStr">
        <is>
          <t>z test</t>
        </is>
      </c>
      <c r="T999" t="n">
        <v>0.07723785166240409</v>
      </c>
      <c r="U999" t="n">
        <v>0.06694855532064835</v>
      </c>
      <c r="V999">
        <f>AND(judged_band,NOT($J999))</f>
        <v/>
      </c>
      <c r="W999">
        <f>IF($K999="","",IF($I999,"too few losses to test",IF(AND($K999&gt;better_at,$K999&lt;worse_at),"in line",IF($K999&gt;=worse_at,IF(AND(ISNUMBER($L999),$L999&lt;significance_bar),"worse","worse, not significant"),IF(AND(ISNUMBER($L999),$L999&lt;significance_bar),"better","better, not significant")))))</f>
        <v/>
      </c>
      <c r="X999">
        <f>IF($M999="","",IF($I999,"too few losses to test",IF(AND($M999&gt;better_at,$M999&lt;worse_at),"in line",IF($M999&gt;=worse_at,IF(AND(ISNUMBER($N999),$N999&lt;significance_bar),"worse","worse, not significant"),IF(AND(ISNUMBER($N999),$N999&lt;significance_bar),"better","better, not significant")))))</f>
        <v/>
      </c>
      <c r="Y999">
        <f>IF($V999,$X999,$W999)</f>
        <v/>
      </c>
      <c r="Z999">
        <f>IF($V999,IF($P999="","",$P999),IF($O999="","",$O999))</f>
        <v/>
      </c>
      <c r="AA999">
        <f>IF(OR($Q999="",$Z999=""),"",IF(AND($Z999&gt;0,$Z999&gt;=$Q999),"yes","below the line"))</f>
        <v/>
      </c>
      <c r="AB999">
        <f>IF($V999,IF($M999="","",$M999),IF($K999="","",$K999))</f>
        <v/>
      </c>
      <c r="AC999">
        <f>IF($V999,IF($N999="","",$N999),IF($L999="","",$L999))</f>
        <v/>
      </c>
      <c r="AD999">
        <f>$Y999</f>
        <v/>
      </c>
      <c r="AE999">
        <f>IF($V999,IF($S999="","",$S999),IF($R999="","",$R999))</f>
        <v/>
      </c>
      <c r="AF999">
        <f>IF($V999,IF($U999="","",$U999),IF($T999="","",$T999))</f>
        <v/>
      </c>
      <c r="AG999">
        <f>IF($V999,IF($O999="","",$O999),IF($P999="","",$P999))</f>
        <v/>
      </c>
      <c r="AH999" t="n">
        <v>0.08379888268156424</v>
      </c>
      <c r="AI999">
        <f>IF($Y999="worse","Yes",IF($Y999="worse, not significant","Not sure",IF(OR($Y999="too few losses to test",$Y999="too few loans to test"),"Too few losses",IF($Y999="","","No"))))</f>
        <v/>
      </c>
      <c r="AJ999">
        <f>IF($AA999="yes","Yes",IF($AA999="","","No"))</f>
        <v/>
      </c>
    </row>
    <row r="1000">
      <c r="A1000" t="inlineStr">
        <is>
          <t>three-way</t>
        </is>
      </c>
      <c r="B1000" t="inlineStr">
        <is>
          <t>ORIG_BAL x ASSET_CLASS / SYS_FLAG</t>
        </is>
      </c>
      <c r="C1000" t="inlineStr">
        <is>
          <t>26,324 - 37,950</t>
        </is>
      </c>
      <c r="D1000" t="inlineStr">
        <is>
          <t>2 / SYS_FLAG Y</t>
        </is>
      </c>
      <c r="E1000" t="inlineStr">
        <is>
          <t>outcome_booked</t>
        </is>
      </c>
      <c r="F1000" t="inlineStr">
        <is>
          <t>Outcome, share of booked dollars</t>
        </is>
      </c>
      <c r="G1000" t="n">
        <v>179</v>
      </c>
      <c r="H1000" t="n">
        <v>5848463.189999999</v>
      </c>
      <c r="I1000" t="b">
        <v>0</v>
      </c>
      <c r="J1000" t="b">
        <v>0</v>
      </c>
      <c r="K1000" t="n">
        <v>1.119427660971901</v>
      </c>
      <c r="L1000" t="n">
        <v>0.8613995743282814</v>
      </c>
      <c r="M1000" t="n">
        <v>1.260968194832982</v>
      </c>
      <c r="N1000" t="n">
        <v>0.6170582941705829</v>
      </c>
      <c r="O1000" t="n">
        <v>52124.49467109755</v>
      </c>
      <c r="P1000" t="n">
        <v>101115.1927473558</v>
      </c>
      <c r="Q1000">
        <f>'_live'!$C$21</f>
        <v/>
      </c>
      <c r="R1000" t="inlineStr">
        <is>
          <t>shuffled: 6,930 of 10,000</t>
        </is>
      </c>
      <c r="S1000" t="inlineStr">
        <is>
          <t>shuffled: 3,776 of 10,000</t>
        </is>
      </c>
      <c r="T1000" t="n">
        <v>0.07462686027932451</v>
      </c>
      <c r="U1000" t="n">
        <v>0.06625018140067053</v>
      </c>
      <c r="V1000">
        <f>AND(judged_band,NOT($J1000))</f>
        <v/>
      </c>
      <c r="W1000">
        <f>IF($K1000="","",IF($I1000,"too few losses to test",IF(AND($K1000&gt;better_at,$K1000&lt;worse_at),"in line",IF($K1000&gt;=worse_at,IF(AND(ISNUMBER($L1000),$L1000&lt;significance_bar),"worse","worse, not significant"),IF(AND(ISNUMBER($L1000),$L1000&lt;significance_bar),"better","better, not significant")))))</f>
        <v/>
      </c>
      <c r="X1000">
        <f>IF($M1000="","",IF($I1000,"too few losses to test",IF(AND($M1000&gt;better_at,$M1000&lt;worse_at),"in line",IF($M1000&gt;=worse_at,IF(AND(ISNUMBER($N1000),$N1000&lt;significance_bar),"worse","worse, not significant"),IF(AND(ISNUMBER($N1000),$N1000&lt;significance_bar),"better","better, not significant")))))</f>
        <v/>
      </c>
      <c r="Y1000">
        <f>IF($V1000,$X1000,$W1000)</f>
        <v/>
      </c>
      <c r="Z1000">
        <f>IF($V1000,IF($P1000="","",$P1000),IF($O1000="","",$O1000))</f>
        <v/>
      </c>
      <c r="AA1000">
        <f>IF(OR($Q1000="",$Z1000=""),"",IF(AND($Z1000&gt;0,$Z1000&gt;=$Q1000),"yes","below the line"))</f>
        <v/>
      </c>
      <c r="AB1000">
        <f>IF($V1000,IF($M1000="","",$M1000),IF($K1000="","",$K1000))</f>
        <v/>
      </c>
      <c r="AC1000">
        <f>IF($V1000,IF($N1000="","",$N1000),IF($L1000="","",$L1000))</f>
        <v/>
      </c>
      <c r="AD1000">
        <f>$Y1000</f>
        <v/>
      </c>
      <c r="AE1000">
        <f>IF($V1000,IF($S1000="","",$S1000),IF($R1000="","",$R1000))</f>
        <v/>
      </c>
      <c r="AF1000">
        <f>IF($V1000,IF($U1000="","",$U1000),IF($T1000="","",$T1000))</f>
        <v/>
      </c>
      <c r="AG1000">
        <f>IF($V1000,IF($O1000="","",$O1000),IF($P1000="","",$P1000))</f>
        <v/>
      </c>
      <c r="AH1000" t="n">
        <v>0.08353937164816114</v>
      </c>
      <c r="AI1000">
        <f>IF($Y1000="worse","Yes",IF($Y1000="worse, not significant","Not sure",IF(OR($Y1000="too few losses to test",$Y1000="too few loans to test"),"Too few losses",IF($Y1000="","","No"))))</f>
        <v/>
      </c>
      <c r="AJ1000">
        <f>IF($AA1000="yes","Yes",IF($AA1000="","","No"))</f>
        <v/>
      </c>
    </row>
    <row r="1001">
      <c r="A1001" t="inlineStr">
        <is>
          <t>three-way</t>
        </is>
      </c>
      <c r="B1001" t="inlineStr">
        <is>
          <t>ORIG_BAL x ASSET_CLASS / SYS_FLAG</t>
        </is>
      </c>
      <c r="C1001" t="inlineStr">
        <is>
          <t>26,324 - 37,950</t>
        </is>
      </c>
      <c r="D1001" t="inlineStr">
        <is>
          <t>2 / SYS_FLAG Y</t>
        </is>
      </c>
      <c r="E1001" t="inlineStr">
        <is>
          <t>gco_rate</t>
        </is>
      </c>
      <c r="F1001" t="inlineStr">
        <is>
          <t>GCO per booked dollar</t>
        </is>
      </c>
      <c r="G1001" t="n">
        <v>179</v>
      </c>
      <c r="H1001" t="n">
        <v>5848463.189999999</v>
      </c>
      <c r="I1001" t="b">
        <v>0</v>
      </c>
      <c r="J1001" t="b">
        <v>0</v>
      </c>
      <c r="K1001" t="n">
        <v>1.030771234385173</v>
      </c>
      <c r="L1001" t="n">
        <v>0.9867813218678132</v>
      </c>
      <c r="M1001" t="n">
        <v>1.165942362928114</v>
      </c>
      <c r="N1001" t="n">
        <v>0.7896543678965436</v>
      </c>
      <c r="O1001" t="n">
        <v>7482.249367103737</v>
      </c>
      <c r="P1001" t="n">
        <v>35672.18716327971</v>
      </c>
      <c r="Q1001">
        <f>'_live'!$C$22</f>
        <v/>
      </c>
      <c r="R1001" t="inlineStr">
        <is>
          <t>shuffled: 9,251 of 10,000</t>
        </is>
      </c>
      <c r="S1001" t="inlineStr">
        <is>
          <t>shuffled: 5,922 of 10,000</t>
        </is>
      </c>
      <c r="T1001" t="n">
        <v>0.04157626759943689</v>
      </c>
      <c r="U1001" t="n">
        <v>0.03675620857190012</v>
      </c>
      <c r="V1001">
        <f>AND(judged_band,NOT($J1001))</f>
        <v/>
      </c>
      <c r="W1001">
        <f>IF($K1001="","",IF($I1001,"too few losses to test",IF(AND($K1001&gt;better_at,$K1001&lt;worse_at),"in line",IF($K1001&gt;=worse_at,IF(AND(ISNUMBER($L1001),$L1001&lt;significance_bar),"worse","worse, not significant"),IF(AND(ISNUMBER($L1001),$L1001&lt;significance_bar),"better","better, not significant")))))</f>
        <v/>
      </c>
      <c r="X1001">
        <f>IF($M1001="","",IF($I1001,"too few losses to test",IF(AND($M1001&gt;better_at,$M1001&lt;worse_at),"in line",IF($M1001&gt;=worse_at,IF(AND(ISNUMBER($N1001),$N1001&lt;significance_bar),"worse","worse, not significant"),IF(AND(ISNUMBER($N1001),$N1001&lt;significance_bar),"better","better, not significant")))))</f>
        <v/>
      </c>
      <c r="Y1001">
        <f>IF($V1001,$X1001,$W1001)</f>
        <v/>
      </c>
      <c r="Z1001">
        <f>IF($V1001,IF($P1001="","",$P1001),IF($O1001="","",$O1001))</f>
        <v/>
      </c>
      <c r="AA1001">
        <f>IF(OR($Q1001="",$Z1001=""),"",IF(AND($Z1001&gt;0,$Z1001&gt;=$Q1001),"yes","below the line"))</f>
        <v/>
      </c>
      <c r="AB1001">
        <f>IF($V1001,IF($M1001="","",$M1001),IF($K1001="","",$K1001))</f>
        <v/>
      </c>
      <c r="AC1001">
        <f>IF($V1001,IF($N1001="","",$N1001),IF($L1001="","",$L1001))</f>
        <v/>
      </c>
      <c r="AD1001">
        <f>$Y1001</f>
        <v/>
      </c>
      <c r="AE1001">
        <f>IF($V1001,IF($S1001="","",$S1001),IF($R1001="","",$R1001))</f>
        <v/>
      </c>
      <c r="AF1001">
        <f>IF($V1001,IF($U1001="","",$U1001),IF($T1001="","",$T1001))</f>
        <v/>
      </c>
      <c r="AG1001">
        <f>IF($V1001,IF($O1001="","",$O1001),IF($P1001="","",$P1001))</f>
        <v/>
      </c>
      <c r="AH1001" t="n">
        <v>0.04285562067459982</v>
      </c>
      <c r="AI1001">
        <f>IF($Y1001="worse","Yes",IF($Y1001="worse, not significant","Not sure",IF(OR($Y1001="too few losses to test",$Y1001="too few loans to test"),"Too few losses",IF($Y1001="","","No"))))</f>
        <v/>
      </c>
      <c r="AJ1001">
        <f>IF($AA1001="yes","Yes",IF($AA1001="","","No"))</f>
        <v/>
      </c>
    </row>
    <row r="1002">
      <c r="A1002" t="inlineStr">
        <is>
          <t>three-way</t>
        </is>
      </c>
      <c r="B1002" t="inlineStr">
        <is>
          <t>ORIG_BAL x ASSET_CLASS / SYS_FLAG</t>
        </is>
      </c>
      <c r="C1002" t="inlineStr">
        <is>
          <t>26,324 - 37,950</t>
        </is>
      </c>
      <c r="D1002" t="inlineStr">
        <is>
          <t>2 / SYS_FLAG Y</t>
        </is>
      </c>
      <c r="E1002" t="inlineStr">
        <is>
          <t>ranr_rate</t>
        </is>
      </c>
      <c r="F1002" t="inlineStr">
        <is>
          <t>Profit after losses: RANR per booked dollar</t>
        </is>
      </c>
      <c r="G1002" t="n">
        <v>179</v>
      </c>
      <c r="H1002" t="n">
        <v>5848463.189999999</v>
      </c>
      <c r="I1002" t="b">
        <v>0</v>
      </c>
      <c r="J1002" t="b">
        <v>0</v>
      </c>
      <c r="K1002" t="n">
        <v>-0.005209369630206281</v>
      </c>
      <c r="L1002" t="n">
        <v>0.888517208885172</v>
      </c>
      <c r="M1002" t="n">
        <v>-0.009480186621488071</v>
      </c>
      <c r="N1002" t="n">
        <v>0.738148407381484</v>
      </c>
      <c r="O1002" t="n">
        <v>30466.80652536533</v>
      </c>
      <c r="P1002" t="n">
        <v>55444.52249010338</v>
      </c>
      <c r="Q1002">
        <f>'_live'!$C$23</f>
        <v/>
      </c>
      <c r="R1002" t="inlineStr">
        <is>
          <t>shuffled: 7,330 of 10,000</t>
        </is>
      </c>
      <c r="S1002" t="inlineStr">
        <is>
          <t>shuffled: 4,956 of 10,000</t>
        </is>
      </c>
      <c r="T1002" t="n">
        <v>0.1281081067256175</v>
      </c>
      <c r="U1002" t="n">
        <v>0.1323789237168993</v>
      </c>
      <c r="V1002">
        <f>AND(judged_band,NOT($J1002))</f>
        <v/>
      </c>
      <c r="W1002">
        <f>IF($K1002="","",IF(profit_kind="test",IF(OR(NOT(AND(ISNUMBER($L1002),$L1002&lt;significance_bar)),$K1002=0),"in line",IF($K1002&lt;0,"worse","better")),IF(OR($K1002=0,IF(profit_kind="points",ABS($K1002),ABS($K1002*$H1002))&lt;profit_line*(1-1E-9)),"in line",IF(AND(ISNUMBER($L1002),$L1002&lt;significance_bar),IF($K1002&lt;0,"worse","better"),IF($K1002&lt;0,"worse, not significant","better, not significant")))))</f>
        <v/>
      </c>
      <c r="X1002">
        <f>IF($M1002="","",IF(profit_kind="test",IF(OR(NOT(AND(ISNUMBER($N1002),$N1002&lt;significance_bar)),$M1002=0),"in line",IF($M1002&lt;0,"worse","better")),IF(OR($M1002=0,IF(profit_kind="points",ABS($M1002),ABS($M1002*$H1002))&lt;profit_line*(1-1E-9)),"in line",IF(AND(ISNUMBER($N1002),$N1002&lt;significance_bar),IF($M1002&lt;0,"worse","better"),IF($M1002&lt;0,"worse, not significant","better, not significant")))))</f>
        <v/>
      </c>
      <c r="Y1002">
        <f>IF($V1002,$X1002,$W1002)</f>
        <v/>
      </c>
      <c r="Z1002">
        <f>IF($V1002,IF($P1002="","",$P1002),IF($O1002="","",$O1002))</f>
        <v/>
      </c>
      <c r="AA1002">
        <f>IF(OR($Q1002="",$Z1002=""),"",IF(AND($Z1002&gt;0,$Z1002&gt;=$Q1002),"yes","below the line"))</f>
        <v/>
      </c>
      <c r="AB1002">
        <f>IF($V1002,IF($M1002="","",$M1002),IF($K1002="","",$K1002))</f>
        <v/>
      </c>
      <c r="AC1002">
        <f>IF($V1002,IF($N1002="","",$N1002),IF($L1002="","",$L1002))</f>
        <v/>
      </c>
      <c r="AD1002">
        <f>IF($Y1002="","",IF($Y1002="in line",IF(profit_kind="test",IF(ROUND($AB1002*100,2)=0,"0.00",TEXT($AB1002*100,"+0.00;-0.00"))&amp;" points against "&amp;IF($V1002,"its band","the book")&amp;", "&amp;IF($AC1002="","not tested","not significant"),IF(profit_kind="points","within "&amp;TEXT(profit_line*100,"0.00")&amp;" points of "&amp;IF($V1002,"its band","the book")&amp;" ("&amp;IF(ROUND($AB1002*100,2)=0,"0.00",TEXT($AB1002*100,"+0.00;-0.00"))&amp;")","within $"&amp;TEXT(profit_line,"#,##0")&amp;" of "&amp;IF($V1002,"its band","the book")&amp;" ("&amp;IF(ROUND($AB1002*100,2)=0,"0.00",TEXT($AB1002*100,"+0.00;-0.00"))&amp;" points)")),IF(LEFT($Y1002,5)="worse","short of ","ahead of ")&amp;IF($V1002,"its band","the book")&amp;" by "&amp;TEXT(ABS($AB1002)*100,"0.00")&amp;" points"&amp;IF($Z1002="",""," ($"&amp;TEXT(ABS($Z1002),"#,##0")&amp;")")&amp;IF(RIGHT($Y1002,15)="not significant"," (not significant)","")))</f>
        <v/>
      </c>
      <c r="AE1002">
        <f>IF($V1002,IF($S1002="","",$S1002),IF($R1002="","",$R1002))</f>
        <v/>
      </c>
      <c r="AF1002">
        <f>IF($V1002,IF($U1002="","",$U1002),IF($T1002="","",$T1002))</f>
        <v/>
      </c>
      <c r="AG1002">
        <f>IF($V1002,IF($O1002="","",$O1002),IF($P1002="","",$P1002))</f>
        <v/>
      </c>
      <c r="AH1002" t="n">
        <v>0.1228987370954112</v>
      </c>
      <c r="AI1002">
        <f>IF($Y1002="worse","Yes",IF($Y1002="worse, not significant","Not sure",IF(OR($Y1002="too few losses to test",$Y1002="too few loans to test"),"Too few losses",IF($Y1002="","","No"))))</f>
        <v/>
      </c>
      <c r="AJ1002">
        <f>IF($AA1002="yes","Yes",IF($AA1002="","","No"))</f>
        <v/>
      </c>
    </row>
    <row r="1003">
      <c r="A1003" t="inlineStr">
        <is>
          <t>three-way</t>
        </is>
      </c>
      <c r="B1003" t="inlineStr">
        <is>
          <t>ORIG_BAL x ASSET_CLASS / SYS_FLAG</t>
        </is>
      </c>
      <c r="C1003" t="inlineStr">
        <is>
          <t>26,324 - 37,950</t>
        </is>
      </c>
      <c r="D1003" t="inlineStr">
        <is>
          <t>2 / SYS_FLAG Y</t>
        </is>
      </c>
      <c r="E1003" t="inlineStr">
        <is>
          <t>contribution_rate</t>
        </is>
      </c>
      <c r="F1003" t="inlineStr">
        <is>
          <t>Contribution before losses per booked dollar</t>
        </is>
      </c>
      <c r="G1003" t="n">
        <v>179</v>
      </c>
      <c r="H1003" t="n">
        <v>5848463.189999999</v>
      </c>
      <c r="I1003" t="b">
        <v>0</v>
      </c>
      <c r="J1003" t="b">
        <v>0</v>
      </c>
      <c r="K1003" t="n">
        <v>-0.0039271095761442</v>
      </c>
      <c r="L1003" t="n">
        <v>0.9955004499550044</v>
      </c>
      <c r="M1003" t="n">
        <v>-0.003380774518788432</v>
      </c>
      <c r="N1003" t="n">
        <v>0.892759208927592</v>
      </c>
      <c r="O1003" t="n">
        <v>22967.55579917587</v>
      </c>
      <c r="P1003" t="n">
        <v>19772.3353268241</v>
      </c>
      <c r="Q1003">
        <f>'_live'!$C$24</f>
        <v/>
      </c>
      <c r="R1003" t="inlineStr">
        <is>
          <t>shuffled: 6,941 of 10,000</t>
        </is>
      </c>
      <c r="S1003" t="inlineStr">
        <is>
          <t>shuffled: 7,217 of 10,000</t>
        </is>
      </c>
      <c r="T1003" t="n">
        <v>0.1696814673461552</v>
      </c>
      <c r="U1003" t="n">
        <v>0.1691351322887995</v>
      </c>
      <c r="V1003">
        <f>AND(judged_band,NOT($J1003))</f>
        <v/>
      </c>
      <c r="W1003">
        <f>IF($K1003="","",IF(profit_kind="test",IF(OR(NOT(AND(ISNUMBER($L1003),$L1003&lt;significance_bar)),$K1003=0),"in line",IF($K1003&lt;0,"worse","better")),IF(OR($K1003=0,IF(profit_kind="points",ABS($K1003),ABS($K1003*$H1003))&lt;profit_line*(1-1E-9)),"in line",IF(AND(ISNUMBER($L1003),$L1003&lt;significance_bar),IF($K1003&lt;0,"worse","better"),IF($K1003&lt;0,"worse, not significant","better, not significant")))))</f>
        <v/>
      </c>
      <c r="X1003">
        <f>IF($M1003="","",IF(profit_kind="test",IF(OR(NOT(AND(ISNUMBER($N1003),$N1003&lt;significance_bar)),$M1003=0),"in line",IF($M1003&lt;0,"worse","better")),IF(OR($M1003=0,IF(profit_kind="points",ABS($M1003),ABS($M1003*$H1003))&lt;profit_line*(1-1E-9)),"in line",IF(AND(ISNUMBER($N1003),$N1003&lt;significance_bar),IF($M1003&lt;0,"worse","better"),IF($M1003&lt;0,"worse, not significant","better, not significant")))))</f>
        <v/>
      </c>
      <c r="Y1003">
        <f>IF($V1003,$X1003,$W1003)</f>
        <v/>
      </c>
      <c r="Z1003">
        <f>IF($V1003,IF($P1003="","",$P1003),IF($O1003="","",$O1003))</f>
        <v/>
      </c>
      <c r="AA1003">
        <f>IF(OR($Q1003="",$Z1003=""),"",IF(AND($Z1003&gt;0,$Z1003&gt;=$Q1003),"yes","below the line"))</f>
        <v/>
      </c>
      <c r="AB1003">
        <f>IF($V1003,IF($M1003="","",$M1003),IF($K1003="","",$K1003))</f>
        <v/>
      </c>
      <c r="AC1003">
        <f>IF($V1003,IF($N1003="","",$N1003),IF($L1003="","",$L1003))</f>
        <v/>
      </c>
      <c r="AD1003">
        <f>IF($Y1003="","",IF($Y1003="in line",IF(profit_kind="test",IF(ROUND($AB1003*100,2)=0,"0.00",TEXT($AB1003*100,"+0.00;-0.00"))&amp;" points against "&amp;IF($V1003,"its band","the book")&amp;", "&amp;IF($AC1003="","not tested","not significant"),IF(profit_kind="points","within "&amp;TEXT(profit_line*100,"0.00")&amp;" points of "&amp;IF($V1003,"its band","the book")&amp;" ("&amp;IF(ROUND($AB1003*100,2)=0,"0.00",TEXT($AB1003*100,"+0.00;-0.00"))&amp;")","within $"&amp;TEXT(profit_line,"#,##0")&amp;" of "&amp;IF($V1003,"its band","the book")&amp;" ("&amp;IF(ROUND($AB1003*100,2)=0,"0.00",TEXT($AB1003*100,"+0.00;-0.00"))&amp;" points)")),IF(LEFT($Y1003,5)="worse","short of ","ahead of ")&amp;IF($V1003,"its band","the book")&amp;" by "&amp;TEXT(ABS($AB1003)*100,"0.00")&amp;" points"&amp;IF($Z1003="",""," ($"&amp;TEXT(ABS($Z1003),"#,##0")&amp;")")&amp;IF(RIGHT($Y1003,15)="not significant"," (not significant)","")))</f>
        <v/>
      </c>
      <c r="AE1003">
        <f>IF($V1003,IF($S1003="","",$S1003),IF($R1003="","",$R1003))</f>
        <v/>
      </c>
      <c r="AF1003">
        <f>IF($V1003,IF($U1003="","",$U1003),IF($T1003="","",$T1003))</f>
        <v/>
      </c>
      <c r="AG1003">
        <f>IF($V1003,IF($O1003="","",$O1003),IF($P1003="","",$P1003))</f>
        <v/>
      </c>
      <c r="AH1003" t="n">
        <v>0.165754357770011</v>
      </c>
      <c r="AI1003">
        <f>IF($Y1003="worse","Yes",IF($Y1003="worse, not significant","Not sure",IF(OR($Y1003="too few losses to test",$Y1003="too few loans to test"),"Too few losses",IF($Y1003="","","No"))))</f>
        <v/>
      </c>
      <c r="AJ1003">
        <f>IF($AA1003="yes","Yes",IF($AA1003="","","No"))</f>
        <v/>
      </c>
    </row>
    <row r="1004">
      <c r="A1004" t="inlineStr">
        <is>
          <t>three-way</t>
        </is>
      </c>
      <c r="B1004" t="inlineStr">
        <is>
          <t>ORIG_BAL x ASSET_CLASS / SYS_FLAG</t>
        </is>
      </c>
      <c r="C1004" t="inlineStr">
        <is>
          <t>37,951 - 49,151</t>
        </is>
      </c>
      <c r="D1004" t="inlineStr">
        <is>
          <t>1 / SYS_FLAG N</t>
        </is>
      </c>
      <c r="E1004" t="inlineStr">
        <is>
          <t>outcome_loans</t>
        </is>
      </c>
      <c r="F1004" t="inlineStr">
        <is>
          <t>Outcome, share of loans</t>
        </is>
      </c>
      <c r="G1004" t="n">
        <v>207</v>
      </c>
      <c r="H1004" t="n">
        <v>207</v>
      </c>
      <c r="I1004" t="b">
        <v>1</v>
      </c>
      <c r="J1004" t="b">
        <v>0</v>
      </c>
      <c r="K1004" t="n">
        <v>0.3684422063030475</v>
      </c>
      <c r="M1004" t="n">
        <v>0.3154438405797101</v>
      </c>
      <c r="O1004" t="n">
        <v>-10.28477926078029</v>
      </c>
      <c r="P1004" t="n">
        <v>-13.0208183776023</v>
      </c>
      <c r="Q1004">
        <f>'_live'!$C$20</f>
        <v/>
      </c>
      <c r="T1004" t="n">
        <v>0.07867043121149897</v>
      </c>
      <c r="U1004" t="n">
        <v>0.09188801148600144</v>
      </c>
      <c r="V1004">
        <f>AND(judged_band,NOT($J1004))</f>
        <v/>
      </c>
      <c r="W1004">
        <f>IF($K1004="","",IF($I1004,"too few losses to test",IF(AND($K1004&gt;better_at,$K1004&lt;worse_at),"in line",IF($K1004&gt;=worse_at,IF(AND(ISNUMBER($L1004),$L1004&lt;significance_bar),"worse","worse, not significant"),IF(AND(ISNUMBER($L1004),$L1004&lt;significance_bar),"better","better, not significant")))))</f>
        <v/>
      </c>
      <c r="X1004">
        <f>IF($M1004="","",IF($I1004,"too few losses to test",IF(AND($M1004&gt;better_at,$M1004&lt;worse_at),"in line",IF($M1004&gt;=worse_at,IF(AND(ISNUMBER($N1004),$N1004&lt;significance_bar),"worse","worse, not significant"),IF(AND(ISNUMBER($N1004),$N1004&lt;significance_bar),"better","better, not significant")))))</f>
        <v/>
      </c>
      <c r="Y1004">
        <f>IF($V1004,$X1004,$W1004)</f>
        <v/>
      </c>
      <c r="Z1004">
        <f>IF($V1004,IF($P1004="","",$P1004),IF($O1004="","",$O1004))</f>
        <v/>
      </c>
      <c r="AA1004">
        <f>IF(OR($Q1004="",$Z1004=""),"",IF(AND($Z1004&gt;0,$Z1004&gt;=$Q1004),"yes","below the line"))</f>
        <v/>
      </c>
      <c r="AB1004">
        <f>IF($V1004,IF($M1004="","",$M1004),IF($K1004="","",$K1004))</f>
        <v/>
      </c>
      <c r="AC1004">
        <f>IF($V1004,IF($N1004="","",$N1004),IF($L1004="","",$L1004))</f>
        <v/>
      </c>
      <c r="AD1004">
        <f>$Y1004</f>
        <v/>
      </c>
      <c r="AE1004">
        <f>IF($V1004,IF($S1004="","",$S1004),IF($R1004="","",$R1004))</f>
        <v/>
      </c>
      <c r="AF1004">
        <f>IF($V1004,IF($U1004="","",$U1004),IF($T1004="","",$T1004))</f>
        <v/>
      </c>
      <c r="AG1004">
        <f>IF($V1004,IF($O1004="","",$O1004),IF($P1004="","",$P1004))</f>
        <v/>
      </c>
      <c r="AH1004" t="n">
        <v>0.02898550724637681</v>
      </c>
      <c r="AI1004">
        <f>IF($Y1004="worse","Yes",IF($Y1004="worse, not significant","Not sure",IF(OR($Y1004="too few losses to test",$Y1004="too few loans to test"),"Too few losses",IF($Y1004="","","No"))))</f>
        <v/>
      </c>
      <c r="AJ1004">
        <f>IF($AA1004="yes","Yes",IF($AA1004="","","No"))</f>
        <v/>
      </c>
    </row>
    <row r="1005">
      <c r="A1005" t="inlineStr">
        <is>
          <t>three-way</t>
        </is>
      </c>
      <c r="B1005" t="inlineStr">
        <is>
          <t>ORIG_BAL x ASSET_CLASS / SYS_FLAG</t>
        </is>
      </c>
      <c r="C1005" t="inlineStr">
        <is>
          <t>37,951 - 49,151</t>
        </is>
      </c>
      <c r="D1005" t="inlineStr">
        <is>
          <t>1 / SYS_FLAG N</t>
        </is>
      </c>
      <c r="E1005" t="inlineStr">
        <is>
          <t>outcome_booked</t>
        </is>
      </c>
      <c r="F1005" t="inlineStr">
        <is>
          <t>Outcome, share of booked dollars</t>
        </is>
      </c>
      <c r="G1005" t="n">
        <v>207</v>
      </c>
      <c r="H1005" t="n">
        <v>8976766.350000007</v>
      </c>
      <c r="I1005" t="b">
        <v>1</v>
      </c>
      <c r="J1005" t="b">
        <v>0</v>
      </c>
      <c r="K1005" t="n">
        <v>0.3912553829975983</v>
      </c>
      <c r="M1005" t="n">
        <v>0.3288654249826622</v>
      </c>
      <c r="O1005" t="n">
        <v>-417753.8459876639</v>
      </c>
      <c r="P1005" t="n">
        <v>-547945.0968574712</v>
      </c>
      <c r="Q1005">
        <f>'_live'!$C$21</f>
        <v/>
      </c>
      <c r="T1005" t="n">
        <v>0.0764478721213083</v>
      </c>
      <c r="U1005" t="n">
        <v>0.09095100674615091</v>
      </c>
      <c r="V1005">
        <f>AND(judged_band,NOT($J1005))</f>
        <v/>
      </c>
      <c r="W1005">
        <f>IF($K1005="","",IF($I1005,"too few losses to test",IF(AND($K1005&gt;better_at,$K1005&lt;worse_at),"in line",IF($K1005&gt;=worse_at,IF(AND(ISNUMBER($L1005),$L1005&lt;significance_bar),"worse","worse, not significant"),IF(AND(ISNUMBER($L1005),$L1005&lt;significance_bar),"better","better, not significant")))))</f>
        <v/>
      </c>
      <c r="X1005">
        <f>IF($M1005="","",IF($I1005,"too few losses to test",IF(AND($M1005&gt;better_at,$M1005&lt;worse_at),"in line",IF($M1005&gt;=worse_at,IF(AND(ISNUMBER($N1005),$N1005&lt;significance_bar),"worse","worse, not significant"),IF(AND(ISNUMBER($N1005),$N1005&lt;significance_bar),"better","better, not significant")))))</f>
        <v/>
      </c>
      <c r="Y1005">
        <f>IF($V1005,$X1005,$W1005)</f>
        <v/>
      </c>
      <c r="Z1005">
        <f>IF($V1005,IF($P1005="","",$P1005),IF($O1005="","",$O1005))</f>
        <v/>
      </c>
      <c r="AA1005">
        <f>IF(OR($Q1005="",$Z1005=""),"",IF(AND($Z1005&gt;0,$Z1005&gt;=$Q1005),"yes","below the line"))</f>
        <v/>
      </c>
      <c r="AB1005">
        <f>IF($V1005,IF($M1005="","",$M1005),IF($K1005="","",$K1005))</f>
        <v/>
      </c>
      <c r="AC1005">
        <f>IF($V1005,IF($N1005="","",$N1005),IF($L1005="","",$L1005))</f>
        <v/>
      </c>
      <c r="AD1005">
        <f>$Y1005</f>
        <v/>
      </c>
      <c r="AE1005">
        <f>IF($V1005,IF($S1005="","",$S1005),IF($R1005="","",$R1005))</f>
        <v/>
      </c>
      <c r="AF1005">
        <f>IF($V1005,IF($U1005="","",$U1005),IF($T1005="","",$T1005))</f>
        <v/>
      </c>
      <c r="AG1005">
        <f>IF($V1005,IF($O1005="","",$O1005),IF($P1005="","",$P1005))</f>
        <v/>
      </c>
      <c r="AH1005" t="n">
        <v>0.02991064148617389</v>
      </c>
      <c r="AI1005">
        <f>IF($Y1005="worse","Yes",IF($Y1005="worse, not significant","Not sure",IF(OR($Y1005="too few losses to test",$Y1005="too few loans to test"),"Too few losses",IF($Y1005="","","No"))))</f>
        <v/>
      </c>
      <c r="AJ1005">
        <f>IF($AA1005="yes","Yes",IF($AA1005="","","No"))</f>
        <v/>
      </c>
    </row>
    <row r="1006">
      <c r="A1006" t="inlineStr">
        <is>
          <t>three-way</t>
        </is>
      </c>
      <c r="B1006" t="inlineStr">
        <is>
          <t>ORIG_BAL x ASSET_CLASS / SYS_FLAG</t>
        </is>
      </c>
      <c r="C1006" t="inlineStr">
        <is>
          <t>37,951 - 49,151</t>
        </is>
      </c>
      <c r="D1006" t="inlineStr">
        <is>
          <t>1 / SYS_FLAG N</t>
        </is>
      </c>
      <c r="E1006" t="inlineStr">
        <is>
          <t>gco_rate</t>
        </is>
      </c>
      <c r="F1006" t="inlineStr">
        <is>
          <t>GCO per booked dollar</t>
        </is>
      </c>
      <c r="G1006" t="n">
        <v>206</v>
      </c>
      <c r="H1006" t="n">
        <v>8937081.920000007</v>
      </c>
      <c r="I1006" t="b">
        <v>1</v>
      </c>
      <c r="J1006" t="b">
        <v>0</v>
      </c>
      <c r="K1006" t="n">
        <v>0.4650498352088664</v>
      </c>
      <c r="M1006" t="n">
        <v>0.3884683537165003</v>
      </c>
      <c r="O1006" t="n">
        <v>-202665.4327351603</v>
      </c>
      <c r="P1006" t="n">
        <v>-277350.6198255968</v>
      </c>
      <c r="Q1006">
        <f>'_live'!$C$22</f>
        <v/>
      </c>
      <c r="T1006" t="n">
        <v>0.04239070270658993</v>
      </c>
      <c r="U1006" t="n">
        <v>0.05074747819091228</v>
      </c>
      <c r="V1006">
        <f>AND(judged_band,NOT($J1006))</f>
        <v/>
      </c>
      <c r="W1006">
        <f>IF($K1006="","",IF($I1006,"too few losses to test",IF(AND($K1006&gt;better_at,$K1006&lt;worse_at),"in line",IF($K1006&gt;=worse_at,IF(AND(ISNUMBER($L1006),$L1006&lt;significance_bar),"worse","worse, not significant"),IF(AND(ISNUMBER($L1006),$L1006&lt;significance_bar),"better","better, not significant")))))</f>
        <v/>
      </c>
      <c r="X1006">
        <f>IF($M1006="","",IF($I1006,"too few losses to test",IF(AND($M1006&gt;better_at,$M1006&lt;worse_at),"in line",IF($M1006&gt;=worse_at,IF(AND(ISNUMBER($N1006),$N1006&lt;significance_bar),"worse","worse, not significant"),IF(AND(ISNUMBER($N1006),$N1006&lt;significance_bar),"better","better, not significant")))))</f>
        <v/>
      </c>
      <c r="Y1006">
        <f>IF($V1006,$X1006,$W1006)</f>
        <v/>
      </c>
      <c r="Z1006">
        <f>IF($V1006,IF($P1006="","",$P1006),IF($O1006="","",$O1006))</f>
        <v/>
      </c>
      <c r="AA1006">
        <f>IF(OR($Q1006="",$Z1006=""),"",IF(AND($Z1006&gt;0,$Z1006&gt;=$Q1006),"yes","below the line"))</f>
        <v/>
      </c>
      <c r="AB1006">
        <f>IF($V1006,IF($M1006="","",$M1006),IF($K1006="","",$K1006))</f>
        <v/>
      </c>
      <c r="AC1006">
        <f>IF($V1006,IF($N1006="","",$N1006),IF($L1006="","",$L1006))</f>
        <v/>
      </c>
      <c r="AD1006">
        <f>$Y1006</f>
        <v/>
      </c>
      <c r="AE1006">
        <f>IF($V1006,IF($S1006="","",$S1006),IF($R1006="","",$R1006))</f>
        <v/>
      </c>
      <c r="AF1006">
        <f>IF($V1006,IF($U1006="","",$U1006),IF($T1006="","",$T1006))</f>
        <v/>
      </c>
      <c r="AG1006">
        <f>IF($V1006,IF($O1006="","",$O1006),IF($P1006="","",$P1006))</f>
        <v/>
      </c>
      <c r="AH1006" t="n">
        <v>0.0197137893080877</v>
      </c>
      <c r="AI1006">
        <f>IF($Y1006="worse","Yes",IF($Y1006="worse, not significant","Not sure",IF(OR($Y1006="too few losses to test",$Y1006="too few loans to test"),"Too few losses",IF($Y1006="","","No"))))</f>
        <v/>
      </c>
      <c r="AJ1006">
        <f>IF($AA1006="yes","Yes",IF($AA1006="","","No"))</f>
        <v/>
      </c>
    </row>
    <row r="1007">
      <c r="A1007" t="inlineStr">
        <is>
          <t>three-way</t>
        </is>
      </c>
      <c r="B1007" t="inlineStr">
        <is>
          <t>ORIG_BAL x ASSET_CLASS / SYS_FLAG</t>
        </is>
      </c>
      <c r="C1007" t="inlineStr">
        <is>
          <t>37,951 - 49,151</t>
        </is>
      </c>
      <c r="D1007" t="inlineStr">
        <is>
          <t>1 / SYS_FLAG N</t>
        </is>
      </c>
      <c r="E1007" t="inlineStr">
        <is>
          <t>ranr_rate</t>
        </is>
      </c>
      <c r="F1007" t="inlineStr">
        <is>
          <t>Profit after losses: RANR per booked dollar</t>
        </is>
      </c>
      <c r="G1007" t="n">
        <v>207</v>
      </c>
      <c r="H1007" t="n">
        <v>8976766.350000007</v>
      </c>
      <c r="I1007" t="b">
        <v>0</v>
      </c>
      <c r="J1007" t="b">
        <v>0</v>
      </c>
      <c r="K1007" t="n">
        <v>0.01251636873909279</v>
      </c>
      <c r="L1007" t="n">
        <v>0.6950214069502141</v>
      </c>
      <c r="M1007" t="n">
        <v>0.02025077744210883</v>
      </c>
      <c r="N1007" t="n">
        <v>0.4690057310058468</v>
      </c>
      <c r="O1007" t="n">
        <v>-112356.5177212802</v>
      </c>
      <c r="P1007" t="n">
        <v>-181786.4975036618</v>
      </c>
      <c r="Q1007">
        <f>'_live'!$C$23</f>
        <v/>
      </c>
      <c r="R1007" t="inlineStr">
        <is>
          <t>shuffled: 3,742 of 10,000</t>
        </is>
      </c>
      <c r="S1007" t="inlineStr">
        <is>
          <t>shuffled: 1,676 of 10,000</t>
        </is>
      </c>
      <c r="T1007" t="n">
        <v>0.1275546747720262</v>
      </c>
      <c r="U1007" t="n">
        <v>0.1198202660690102</v>
      </c>
      <c r="V1007">
        <f>AND(judged_band,NOT($J1007))</f>
        <v/>
      </c>
      <c r="W1007">
        <f>IF($K1007="","",IF(profit_kind="test",IF(OR(NOT(AND(ISNUMBER($L1007),$L1007&lt;significance_bar)),$K1007=0),"in line",IF($K1007&lt;0,"worse","better")),IF(OR($K1007=0,IF(profit_kind="points",ABS($K1007),ABS($K1007*$H1007))&lt;profit_line*(1-1E-9)),"in line",IF(AND(ISNUMBER($L1007),$L1007&lt;significance_bar),IF($K1007&lt;0,"worse","better"),IF($K1007&lt;0,"worse, not significant","better, not significant")))))</f>
        <v/>
      </c>
      <c r="X1007">
        <f>IF($M1007="","",IF(profit_kind="test",IF(OR(NOT(AND(ISNUMBER($N1007),$N1007&lt;significance_bar)),$M1007=0),"in line",IF($M1007&lt;0,"worse","better")),IF(OR($M1007=0,IF(profit_kind="points",ABS($M1007),ABS($M1007*$H1007))&lt;profit_line*(1-1E-9)),"in line",IF(AND(ISNUMBER($N1007),$N1007&lt;significance_bar),IF($M1007&lt;0,"worse","better"),IF($M1007&lt;0,"worse, not significant","better, not significant")))))</f>
        <v/>
      </c>
      <c r="Y1007">
        <f>IF($V1007,$X1007,$W1007)</f>
        <v/>
      </c>
      <c r="Z1007">
        <f>IF($V1007,IF($P1007="","",$P1007),IF($O1007="","",$O1007))</f>
        <v/>
      </c>
      <c r="AA1007">
        <f>IF(OR($Q1007="",$Z1007=""),"",IF(AND($Z1007&gt;0,$Z1007&gt;=$Q1007),"yes","below the line"))</f>
        <v/>
      </c>
      <c r="AB1007">
        <f>IF($V1007,IF($M1007="","",$M1007),IF($K1007="","",$K1007))</f>
        <v/>
      </c>
      <c r="AC1007">
        <f>IF($V1007,IF($N1007="","",$N1007),IF($L1007="","",$L1007))</f>
        <v/>
      </c>
      <c r="AD1007">
        <f>IF($Y1007="","",IF($Y1007="in line",IF(profit_kind="test",IF(ROUND($AB1007*100,2)=0,"0.00",TEXT($AB1007*100,"+0.00;-0.00"))&amp;" points against "&amp;IF($V1007,"its band","the book")&amp;", "&amp;IF($AC1007="","not tested","not significant"),IF(profit_kind="points","within "&amp;TEXT(profit_line*100,"0.00")&amp;" points of "&amp;IF($V1007,"its band","the book")&amp;" ("&amp;IF(ROUND($AB1007*100,2)=0,"0.00",TEXT($AB1007*100,"+0.00;-0.00"))&amp;")","within $"&amp;TEXT(profit_line,"#,##0")&amp;" of "&amp;IF($V1007,"its band","the book")&amp;" ("&amp;IF(ROUND($AB1007*100,2)=0,"0.00",TEXT($AB1007*100,"+0.00;-0.00"))&amp;" points)")),IF(LEFT($Y1007,5)="worse","short of ","ahead of ")&amp;IF($V1007,"its band","the book")&amp;" by "&amp;TEXT(ABS($AB1007)*100,"0.00")&amp;" points"&amp;IF($Z1007="",""," ($"&amp;TEXT(ABS($Z1007),"#,##0")&amp;")")&amp;IF(RIGHT($Y1007,15)="not significant"," (not significant)","")))</f>
        <v/>
      </c>
      <c r="AE1007">
        <f>IF($V1007,IF($S1007="","",$S1007),IF($R1007="","",$R1007))</f>
        <v/>
      </c>
      <c r="AF1007">
        <f>IF($V1007,IF($U1007="","",$U1007),IF($T1007="","",$T1007))</f>
        <v/>
      </c>
      <c r="AG1007">
        <f>IF($V1007,IF($O1007="","",$O1007),IF($P1007="","",$P1007))</f>
        <v/>
      </c>
      <c r="AH1007" t="n">
        <v>0.140071043511119</v>
      </c>
      <c r="AI1007">
        <f>IF($Y1007="worse","Yes",IF($Y1007="worse, not significant","Not sure",IF(OR($Y1007="too few losses to test",$Y1007="too few loans to test"),"Too few losses",IF($Y1007="","","No"))))</f>
        <v/>
      </c>
      <c r="AJ1007">
        <f>IF($AA1007="yes","Yes",IF($AA1007="","","No"))</f>
        <v/>
      </c>
    </row>
    <row r="1008">
      <c r="A1008" t="inlineStr">
        <is>
          <t>three-way</t>
        </is>
      </c>
      <c r="B1008" t="inlineStr">
        <is>
          <t>ORIG_BAL x ASSET_CLASS / SYS_FLAG</t>
        </is>
      </c>
      <c r="C1008" t="inlineStr">
        <is>
          <t>37,951 - 49,151</t>
        </is>
      </c>
      <c r="D1008" t="inlineStr">
        <is>
          <t>1 / SYS_FLAG N</t>
        </is>
      </c>
      <c r="E1008" t="inlineStr">
        <is>
          <t>contribution_rate</t>
        </is>
      </c>
      <c r="F1008" t="inlineStr">
        <is>
          <t>Contribution before losses per booked dollar</t>
        </is>
      </c>
      <c r="G1008" t="n">
        <v>206</v>
      </c>
      <c r="H1008" t="n">
        <v>8937081.920000007</v>
      </c>
      <c r="I1008" t="b">
        <v>0</v>
      </c>
      <c r="J1008" t="b">
        <v>0</v>
      </c>
      <c r="K1008" t="n">
        <v>-0.01018945123999887</v>
      </c>
      <c r="L1008" t="n">
        <v>0.774705138181834</v>
      </c>
      <c r="M1008" t="n">
        <v>-0.01081181802130526</v>
      </c>
      <c r="N1008" t="n">
        <v>0.798978925636848</v>
      </c>
      <c r="O1008" t="n">
        <v>91063.96045171563</v>
      </c>
      <c r="P1008" t="n">
        <v>96626.10336053744</v>
      </c>
      <c r="Q1008">
        <f>'_live'!$C$24</f>
        <v/>
      </c>
      <c r="R1008" t="inlineStr">
        <is>
          <t>shuffled: 2,814 of 10,000</t>
        </is>
      </c>
      <c r="S1008" t="inlineStr">
        <is>
          <t>shuffled: 2,353 of 10,000</t>
        </is>
      </c>
      <c r="T1008" t="n">
        <v>0.169945377478616</v>
      </c>
      <c r="U1008" t="n">
        <v>0.1705677442599224</v>
      </c>
      <c r="V1008">
        <f>AND(judged_band,NOT($J1008))</f>
        <v/>
      </c>
      <c r="W1008">
        <f>IF($K1008="","",IF(profit_kind="test",IF(OR(NOT(AND(ISNUMBER($L1008),$L1008&lt;significance_bar)),$K1008=0),"in line",IF($K1008&lt;0,"worse","better")),IF(OR($K1008=0,IF(profit_kind="points",ABS($K1008),ABS($K1008*$H1008))&lt;profit_line*(1-1E-9)),"in line",IF(AND(ISNUMBER($L1008),$L1008&lt;significance_bar),IF($K1008&lt;0,"worse","better"),IF($K1008&lt;0,"worse, not significant","better, not significant")))))</f>
        <v/>
      </c>
      <c r="X1008">
        <f>IF($M1008="","",IF(profit_kind="test",IF(OR(NOT(AND(ISNUMBER($N1008),$N1008&lt;significance_bar)),$M1008=0),"in line",IF($M1008&lt;0,"worse","better")),IF(OR($M1008=0,IF(profit_kind="points",ABS($M1008),ABS($M1008*$H1008))&lt;profit_line*(1-1E-9)),"in line",IF(AND(ISNUMBER($N1008),$N1008&lt;significance_bar),IF($M1008&lt;0,"worse","better"),IF($M1008&lt;0,"worse, not significant","better, not significant")))))</f>
        <v/>
      </c>
      <c r="Y1008">
        <f>IF($V1008,$X1008,$W1008)</f>
        <v/>
      </c>
      <c r="Z1008">
        <f>IF($V1008,IF($P1008="","",$P1008),IF($O1008="","",$O1008))</f>
        <v/>
      </c>
      <c r="AA1008">
        <f>IF(OR($Q1008="",$Z1008=""),"",IF(AND($Z1008&gt;0,$Z1008&gt;=$Q1008),"yes","below the line"))</f>
        <v/>
      </c>
      <c r="AB1008">
        <f>IF($V1008,IF($M1008="","",$M1008),IF($K1008="","",$K1008))</f>
        <v/>
      </c>
      <c r="AC1008">
        <f>IF($V1008,IF($N1008="","",$N1008),IF($L1008="","",$L1008))</f>
        <v/>
      </c>
      <c r="AD1008">
        <f>IF($Y1008="","",IF($Y1008="in line",IF(profit_kind="test",IF(ROUND($AB1008*100,2)=0,"0.00",TEXT($AB1008*100,"+0.00;-0.00"))&amp;" points against "&amp;IF($V1008,"its band","the book")&amp;", "&amp;IF($AC1008="","not tested","not significant"),IF(profit_kind="points","within "&amp;TEXT(profit_line*100,"0.00")&amp;" points of "&amp;IF($V1008,"its band","the book")&amp;" ("&amp;IF(ROUND($AB1008*100,2)=0,"0.00",TEXT($AB1008*100,"+0.00;-0.00"))&amp;")","within $"&amp;TEXT(profit_line,"#,##0")&amp;" of "&amp;IF($V1008,"its band","the book")&amp;" ("&amp;IF(ROUND($AB1008*100,2)=0,"0.00",TEXT($AB1008*100,"+0.00;-0.00"))&amp;" points)")),IF(LEFT($Y1008,5)="worse","short of ","ahead of ")&amp;IF($V1008,"its band","the book")&amp;" by "&amp;TEXT(ABS($AB1008)*100,"0.00")&amp;" points"&amp;IF($Z1008="",""," ($"&amp;TEXT(ABS($Z1008),"#,##0")&amp;")")&amp;IF(RIGHT($Y1008,15)="not significant"," (not significant)","")))</f>
        <v/>
      </c>
      <c r="AE1008">
        <f>IF($V1008,IF($S1008="","",$S1008),IF($R1008="","",$R1008))</f>
        <v/>
      </c>
      <c r="AF1008">
        <f>IF($V1008,IF($U1008="","",$U1008),IF($T1008="","",$T1008))</f>
        <v/>
      </c>
      <c r="AG1008">
        <f>IF($V1008,IF($O1008="","",$O1008),IF($P1008="","",$P1008))</f>
        <v/>
      </c>
      <c r="AH1008" t="n">
        <v>0.1597559262386171</v>
      </c>
      <c r="AI1008">
        <f>IF($Y1008="worse","Yes",IF($Y1008="worse, not significant","Not sure",IF(OR($Y1008="too few losses to test",$Y1008="too few loans to test"),"Too few losses",IF($Y1008="","","No"))))</f>
        <v/>
      </c>
      <c r="AJ1008">
        <f>IF($AA1008="yes","Yes",IF($AA1008="","","No"))</f>
        <v/>
      </c>
    </row>
    <row r="1009">
      <c r="A1009" t="inlineStr">
        <is>
          <t>three-way</t>
        </is>
      </c>
      <c r="B1009" t="inlineStr">
        <is>
          <t>ORIG_BAL x ASSET_CLASS / SYS_FLAG</t>
        </is>
      </c>
      <c r="C1009" t="inlineStr">
        <is>
          <t>(blank)</t>
        </is>
      </c>
      <c r="D1009" t="inlineStr">
        <is>
          <t>2 / SYS_FLAG Y</t>
        </is>
      </c>
      <c r="E1009" t="inlineStr">
        <is>
          <t>outcome_loans</t>
        </is>
      </c>
      <c r="F1009" t="inlineStr">
        <is>
          <t>Outcome, share of loans</t>
        </is>
      </c>
      <c r="G1009" t="n">
        <v>1</v>
      </c>
      <c r="H1009" t="n">
        <v>1</v>
      </c>
      <c r="I1009" t="b">
        <v>1</v>
      </c>
      <c r="J1009" t="b">
        <v>1</v>
      </c>
      <c r="K1009" t="n">
        <v>0</v>
      </c>
      <c r="O1009" t="n">
        <v>-0.07739434858714679</v>
      </c>
      <c r="Q1009">
        <f>'_live'!$C$20</f>
        <v/>
      </c>
      <c r="T1009" t="n">
        <v>0.07739434858714679</v>
      </c>
      <c r="V1009">
        <f>AND(judged_band,NOT($J1009))</f>
        <v/>
      </c>
      <c r="W1009">
        <f>IF($K1009="","",IF($I1009,"too few losses to test",IF(AND($K1009&gt;better_at,$K1009&lt;worse_at),"in line",IF($K1009&gt;=worse_at,IF(AND(ISNUMBER($L1009),$L1009&lt;significance_bar),"worse","worse, not significant"),IF(AND(ISNUMBER($L1009),$L1009&lt;significance_bar),"better","better, not significant")))))</f>
        <v/>
      </c>
      <c r="X1009">
        <f>IF($M1009="","",IF($I1009,"too few losses to test",IF(AND($M1009&gt;better_at,$M1009&lt;worse_at),"in line",IF($M1009&gt;=worse_at,IF(AND(ISNUMBER($N1009),$N1009&lt;significance_bar),"worse","worse, not significant"),IF(AND(ISNUMBER($N1009),$N1009&lt;significance_bar),"better","better, not significant")))))</f>
        <v/>
      </c>
      <c r="Y1009">
        <f>IF($V1009,$X1009,$W1009)</f>
        <v/>
      </c>
      <c r="Z1009">
        <f>IF($V1009,IF($P1009="","",$P1009),IF($O1009="","",$O1009))</f>
        <v/>
      </c>
      <c r="AA1009">
        <f>IF(OR($Q1009="",$Z1009=""),"",IF(AND($Z1009&gt;0,$Z1009&gt;=$Q1009),"yes","below the line"))</f>
        <v/>
      </c>
      <c r="AB1009">
        <f>IF($V1009,IF($M1009="","",$M1009),IF($K1009="","",$K1009))</f>
        <v/>
      </c>
      <c r="AC1009">
        <f>IF($V1009,IF($N1009="","",$N1009),IF($L1009="","",$L1009))</f>
        <v/>
      </c>
      <c r="AD1009">
        <f>$Y1009</f>
        <v/>
      </c>
      <c r="AE1009">
        <f>IF($V1009,IF($S1009="","",$S1009),IF($R1009="","",$R1009))</f>
        <v/>
      </c>
      <c r="AF1009">
        <f>IF($V1009,IF($U1009="","",$U1009),IF($T1009="","",$T1009))</f>
        <v/>
      </c>
      <c r="AG1009">
        <f>IF($V1009,IF($O1009="","",$O1009),IF($P1009="","",$P1009))</f>
        <v/>
      </c>
      <c r="AH1009" t="n">
        <v>0</v>
      </c>
      <c r="AI1009">
        <f>IF($Y1009="worse","Yes",IF($Y1009="worse, not significant","Not sure",IF(OR($Y1009="too few losses to test",$Y1009="too few loans to test"),"Too few losses",IF($Y1009="","","No"))))</f>
        <v/>
      </c>
      <c r="AJ1009">
        <f>IF($AA1009="yes","Yes",IF($AA1009="","","No"))</f>
        <v/>
      </c>
    </row>
    <row r="1010">
      <c r="A1010" t="inlineStr">
        <is>
          <t>three-way</t>
        </is>
      </c>
      <c r="B1010" t="inlineStr">
        <is>
          <t>ORIG_BAL x ASSET_CLASS / SYS_FLAG</t>
        </is>
      </c>
      <c r="C1010" t="inlineStr">
        <is>
          <t>(blank)</t>
        </is>
      </c>
      <c r="D1010" t="inlineStr">
        <is>
          <t>2 / SYS_FLAG Y</t>
        </is>
      </c>
      <c r="E1010" t="inlineStr">
        <is>
          <t>outcome_booked</t>
        </is>
      </c>
      <c r="F1010" t="inlineStr">
        <is>
          <t>Outcome, share of booked dollars</t>
        </is>
      </c>
      <c r="G1010" t="n">
        <v>0</v>
      </c>
      <c r="H1010" t="n">
        <v>0</v>
      </c>
      <c r="I1010" t="b">
        <v>1</v>
      </c>
      <c r="J1010" t="b">
        <v>1</v>
      </c>
      <c r="O1010" t="n">
        <v>0</v>
      </c>
      <c r="Q1010">
        <f>'_live'!$C$21</f>
        <v/>
      </c>
      <c r="R1010" t="inlineStr"/>
      <c r="S1010" t="inlineStr"/>
      <c r="T1010" t="n">
        <v>0.07482886857347235</v>
      </c>
      <c r="V1010">
        <f>AND(judged_band,NOT($J1010))</f>
        <v/>
      </c>
      <c r="W1010">
        <f>IF($K1010="","",IF($I1010,"too few losses to test",IF(AND($K1010&gt;better_at,$K1010&lt;worse_at),"in line",IF($K1010&gt;=worse_at,IF(AND(ISNUMBER($L1010),$L1010&lt;significance_bar),"worse","worse, not significant"),IF(AND(ISNUMBER($L1010),$L1010&lt;significance_bar),"better","better, not significant")))))</f>
        <v/>
      </c>
      <c r="X1010">
        <f>IF($M1010="","",IF($I1010,"too few losses to test",IF(AND($M1010&gt;better_at,$M1010&lt;worse_at),"in line",IF($M1010&gt;=worse_at,IF(AND(ISNUMBER($N1010),$N1010&lt;significance_bar),"worse","worse, not significant"),IF(AND(ISNUMBER($N1010),$N1010&lt;significance_bar),"better","better, not significant")))))</f>
        <v/>
      </c>
      <c r="Y1010">
        <f>IF($V1010,$X1010,$W1010)</f>
        <v/>
      </c>
      <c r="Z1010">
        <f>IF($V1010,IF($P1010="","",$P1010),IF($O1010="","",$O1010))</f>
        <v/>
      </c>
      <c r="AA1010">
        <f>IF(OR($Q1010="",$Z1010=""),"",IF(AND($Z1010&gt;0,$Z1010&gt;=$Q1010),"yes","below the line"))</f>
        <v/>
      </c>
      <c r="AB1010">
        <f>IF($V1010,IF($M1010="","",$M1010),IF($K1010="","",$K1010))</f>
        <v/>
      </c>
      <c r="AC1010">
        <f>IF($V1010,IF($N1010="","",$N1010),IF($L1010="","",$L1010))</f>
        <v/>
      </c>
      <c r="AD1010">
        <f>$Y1010</f>
        <v/>
      </c>
      <c r="AE1010">
        <f>IF($V1010,IF($S1010="","",$S1010),IF($R1010="","",$R1010))</f>
        <v/>
      </c>
      <c r="AF1010">
        <f>IF($V1010,IF($U1010="","",$U1010),IF($T1010="","",$T1010))</f>
        <v/>
      </c>
      <c r="AG1010">
        <f>IF($V1010,IF($O1010="","",$O1010),IF($P1010="","",$P1010))</f>
        <v/>
      </c>
      <c r="AI1010">
        <f>IF($Y1010="worse","Yes",IF($Y1010="worse, not significant","Not sure",IF(OR($Y1010="too few losses to test",$Y1010="too few loans to test"),"Too few losses",IF($Y1010="","","No"))))</f>
        <v/>
      </c>
      <c r="AJ1010">
        <f>IF($AA1010="yes","Yes",IF($AA1010="","","No"))</f>
        <v/>
      </c>
    </row>
    <row r="1011">
      <c r="A1011" t="inlineStr">
        <is>
          <t>three-way</t>
        </is>
      </c>
      <c r="B1011" t="inlineStr">
        <is>
          <t>ORIG_BAL x ASSET_CLASS / SYS_FLAG</t>
        </is>
      </c>
      <c r="C1011" t="inlineStr">
        <is>
          <t>(blank)</t>
        </is>
      </c>
      <c r="D1011" t="inlineStr">
        <is>
          <t>2 / SYS_FLAG Y</t>
        </is>
      </c>
      <c r="E1011" t="inlineStr">
        <is>
          <t>gco_rate</t>
        </is>
      </c>
      <c r="F1011" t="inlineStr">
        <is>
          <t>GCO per booked dollar</t>
        </is>
      </c>
      <c r="G1011" t="n">
        <v>0</v>
      </c>
      <c r="H1011" t="n">
        <v>0</v>
      </c>
      <c r="I1011" t="b">
        <v>1</v>
      </c>
      <c r="J1011" t="b">
        <v>1</v>
      </c>
      <c r="O1011" t="n">
        <v>0</v>
      </c>
      <c r="Q1011">
        <f>'_live'!$C$22</f>
        <v/>
      </c>
      <c r="R1011" t="inlineStr"/>
      <c r="S1011" t="inlineStr"/>
      <c r="T1011" t="n">
        <v>0.04160526533333565</v>
      </c>
      <c r="V1011">
        <f>AND(judged_band,NOT($J1011))</f>
        <v/>
      </c>
      <c r="W1011">
        <f>IF($K1011="","",IF($I1011,"too few losses to test",IF(AND($K1011&gt;better_at,$K1011&lt;worse_at),"in line",IF($K1011&gt;=worse_at,IF(AND(ISNUMBER($L1011),$L1011&lt;significance_bar),"worse","worse, not significant"),IF(AND(ISNUMBER($L1011),$L1011&lt;significance_bar),"better","better, not significant")))))</f>
        <v/>
      </c>
      <c r="X1011">
        <f>IF($M1011="","",IF($I1011,"too few losses to test",IF(AND($M1011&gt;better_at,$M1011&lt;worse_at),"in line",IF($M1011&gt;=worse_at,IF(AND(ISNUMBER($N1011),$N1011&lt;significance_bar),"worse","worse, not significant"),IF(AND(ISNUMBER($N1011),$N1011&lt;significance_bar),"better","better, not significant")))))</f>
        <v/>
      </c>
      <c r="Y1011">
        <f>IF($V1011,$X1011,$W1011)</f>
        <v/>
      </c>
      <c r="Z1011">
        <f>IF($V1011,IF($P1011="","",$P1011),IF($O1011="","",$O1011))</f>
        <v/>
      </c>
      <c r="AA1011">
        <f>IF(OR($Q1011="",$Z1011=""),"",IF(AND($Z1011&gt;0,$Z1011&gt;=$Q1011),"yes","below the line"))</f>
        <v/>
      </c>
      <c r="AB1011">
        <f>IF($V1011,IF($M1011="","",$M1011),IF($K1011="","",$K1011))</f>
        <v/>
      </c>
      <c r="AC1011">
        <f>IF($V1011,IF($N1011="","",$N1011),IF($L1011="","",$L1011))</f>
        <v/>
      </c>
      <c r="AD1011">
        <f>$Y1011</f>
        <v/>
      </c>
      <c r="AE1011">
        <f>IF($V1011,IF($S1011="","",$S1011),IF($R1011="","",$R1011))</f>
        <v/>
      </c>
      <c r="AF1011">
        <f>IF($V1011,IF($U1011="","",$U1011),IF($T1011="","",$T1011))</f>
        <v/>
      </c>
      <c r="AG1011">
        <f>IF($V1011,IF($O1011="","",$O1011),IF($P1011="","",$P1011))</f>
        <v/>
      </c>
      <c r="AI1011">
        <f>IF($Y1011="worse","Yes",IF($Y1011="worse, not significant","Not sure",IF(OR($Y1011="too few losses to test",$Y1011="too few loans to test"),"Too few losses",IF($Y1011="","","No"))))</f>
        <v/>
      </c>
      <c r="AJ1011">
        <f>IF($AA1011="yes","Yes",IF($AA1011="","","No"))</f>
        <v/>
      </c>
    </row>
    <row r="1012">
      <c r="A1012" t="inlineStr">
        <is>
          <t>three-way</t>
        </is>
      </c>
      <c r="B1012" t="inlineStr">
        <is>
          <t>ORIG_BAL x ASSET_CLASS / SYS_FLAG</t>
        </is>
      </c>
      <c r="C1012" t="inlineStr">
        <is>
          <t>(blank)</t>
        </is>
      </c>
      <c r="D1012" t="inlineStr">
        <is>
          <t>2 / SYS_FLAG Y</t>
        </is>
      </c>
      <c r="E1012" t="inlineStr">
        <is>
          <t>ranr_rate</t>
        </is>
      </c>
      <c r="F1012" t="inlineStr">
        <is>
          <t>Profit after losses: RANR per booked dollar</t>
        </is>
      </c>
      <c r="G1012" t="n">
        <v>0</v>
      </c>
      <c r="H1012" t="n">
        <v>0</v>
      </c>
      <c r="I1012" t="b">
        <v>0</v>
      </c>
      <c r="J1012" t="b">
        <v>1</v>
      </c>
      <c r="O1012" t="n">
        <v>0</v>
      </c>
      <c r="Q1012">
        <f>'_live'!$C$23</f>
        <v/>
      </c>
      <c r="R1012" t="inlineStr"/>
      <c r="S1012" t="inlineStr"/>
      <c r="T1012" t="n">
        <v>0.1279900496481481</v>
      </c>
      <c r="V1012">
        <f>AND(judged_band,NOT($J1012))</f>
        <v/>
      </c>
      <c r="W1012">
        <f>IF($K1012="","",IF(profit_kind="test",IF(OR(NOT(AND(ISNUMBER($L1012),$L1012&lt;significance_bar)),$K1012=0),"in line",IF($K1012&lt;0,"worse","better")),IF(OR($K1012=0,IF(profit_kind="points",ABS($K1012),ABS($K1012*$H1012))&lt;profit_line*(1-1E-9)),"in line",IF(AND(ISNUMBER($L1012),$L1012&lt;significance_bar),IF($K1012&lt;0,"worse","better"),IF($K1012&lt;0,"worse, not significant","better, not significant")))))</f>
        <v/>
      </c>
      <c r="X1012">
        <f>IF($M1012="","",IF(profit_kind="test",IF(OR(NOT(AND(ISNUMBER($N1012),$N1012&lt;significance_bar)),$M1012=0),"in line",IF($M1012&lt;0,"worse","better")),IF(OR($M1012=0,IF(profit_kind="points",ABS($M1012),ABS($M1012*$H1012))&lt;profit_line*(1-1E-9)),"in line",IF(AND(ISNUMBER($N1012),$N1012&lt;significance_bar),IF($M1012&lt;0,"worse","better"),IF($M1012&lt;0,"worse, not significant","better, not significant")))))</f>
        <v/>
      </c>
      <c r="Y1012">
        <f>IF($V1012,$X1012,$W1012)</f>
        <v/>
      </c>
      <c r="Z1012">
        <f>IF($V1012,IF($P1012="","",$P1012),IF($O1012="","",$O1012))</f>
        <v/>
      </c>
      <c r="AA1012">
        <f>IF(OR($Q1012="",$Z1012=""),"",IF(AND($Z1012&gt;0,$Z1012&gt;=$Q1012),"yes","below the line"))</f>
        <v/>
      </c>
      <c r="AB1012">
        <f>IF($V1012,IF($M1012="","",$M1012),IF($K1012="","",$K1012))</f>
        <v/>
      </c>
      <c r="AC1012">
        <f>IF($V1012,IF($N1012="","",$N1012),IF($L1012="","",$L1012))</f>
        <v/>
      </c>
      <c r="AD1012">
        <f>IF($Y1012="","",IF($Y1012="in line",IF(profit_kind="test",IF(ROUND($AB1012*100,2)=0,"0.00",TEXT($AB1012*100,"+0.00;-0.00"))&amp;" points against "&amp;IF($V1012,"its band","the book")&amp;", "&amp;IF($AC1012="","not tested","not significant"),IF(profit_kind="points","within "&amp;TEXT(profit_line*100,"0.00")&amp;" points of "&amp;IF($V1012,"its band","the book")&amp;" ("&amp;IF(ROUND($AB1012*100,2)=0,"0.00",TEXT($AB1012*100,"+0.00;-0.00"))&amp;")","within $"&amp;TEXT(profit_line,"#,##0")&amp;" of "&amp;IF($V1012,"its band","the book")&amp;" ("&amp;IF(ROUND($AB1012*100,2)=0,"0.00",TEXT($AB1012*100,"+0.00;-0.00"))&amp;" points)")),IF(LEFT($Y1012,5)="worse","short of ","ahead of ")&amp;IF($V1012,"its band","the book")&amp;" by "&amp;TEXT(ABS($AB1012)*100,"0.00")&amp;" points"&amp;IF($Z1012="",""," ($"&amp;TEXT(ABS($Z1012),"#,##0")&amp;")")&amp;IF(RIGHT($Y1012,15)="not significant"," (not significant)","")))</f>
        <v/>
      </c>
      <c r="AE1012">
        <f>IF($V1012,IF($S1012="","",$S1012),IF($R1012="","",$R1012))</f>
        <v/>
      </c>
      <c r="AF1012">
        <f>IF($V1012,IF($U1012="","",$U1012),IF($T1012="","",$T1012))</f>
        <v/>
      </c>
      <c r="AG1012">
        <f>IF($V1012,IF($O1012="","",$O1012),IF($P1012="","",$P1012))</f>
        <v/>
      </c>
      <c r="AI1012">
        <f>IF($Y1012="worse","Yes",IF($Y1012="worse, not significant","Not sure",IF(OR($Y1012="too few losses to test",$Y1012="too few loans to test"),"Too few losses",IF($Y1012="","","No"))))</f>
        <v/>
      </c>
      <c r="AJ1012">
        <f>IF($AA1012="yes","Yes",IF($AA1012="","","No"))</f>
        <v/>
      </c>
    </row>
    <row r="1013">
      <c r="A1013" t="inlineStr">
        <is>
          <t>three-way</t>
        </is>
      </c>
      <c r="B1013" t="inlineStr">
        <is>
          <t>ORIG_BAL x ASSET_CLASS / SYS_FLAG</t>
        </is>
      </c>
      <c r="C1013" t="inlineStr">
        <is>
          <t>(blank)</t>
        </is>
      </c>
      <c r="D1013" t="inlineStr">
        <is>
          <t>2 / SYS_FLAG Y</t>
        </is>
      </c>
      <c r="E1013" t="inlineStr">
        <is>
          <t>contribution_rate</t>
        </is>
      </c>
      <c r="F1013" t="inlineStr">
        <is>
          <t>Contribution before losses per booked dollar</t>
        </is>
      </c>
      <c r="G1013" t="n">
        <v>0</v>
      </c>
      <c r="H1013" t="n">
        <v>0</v>
      </c>
      <c r="I1013" t="b">
        <v>0</v>
      </c>
      <c r="J1013" t="b">
        <v>1</v>
      </c>
      <c r="O1013" t="n">
        <v>0</v>
      </c>
      <c r="Q1013">
        <f>'_live'!$C$24</f>
        <v/>
      </c>
      <c r="R1013" t="inlineStr"/>
      <c r="S1013" t="inlineStr"/>
      <c r="T1013" t="n">
        <v>0.1695924557349815</v>
      </c>
      <c r="V1013">
        <f>AND(judged_band,NOT($J1013))</f>
        <v/>
      </c>
      <c r="W1013">
        <f>IF($K1013="","",IF(profit_kind="test",IF(OR(NOT(AND(ISNUMBER($L1013),$L1013&lt;significance_bar)),$K1013=0),"in line",IF($K1013&lt;0,"worse","better")),IF(OR($K1013=0,IF(profit_kind="points",ABS($K1013),ABS($K1013*$H1013))&lt;profit_line*(1-1E-9)),"in line",IF(AND(ISNUMBER($L1013),$L1013&lt;significance_bar),IF($K1013&lt;0,"worse","better"),IF($K1013&lt;0,"worse, not significant","better, not significant")))))</f>
        <v/>
      </c>
      <c r="X1013">
        <f>IF($M1013="","",IF(profit_kind="test",IF(OR(NOT(AND(ISNUMBER($N1013),$N1013&lt;significance_bar)),$M1013=0),"in line",IF($M1013&lt;0,"worse","better")),IF(OR($M1013=0,IF(profit_kind="points",ABS($M1013),ABS($M1013*$H1013))&lt;profit_line*(1-1E-9)),"in line",IF(AND(ISNUMBER($N1013),$N1013&lt;significance_bar),IF($M1013&lt;0,"worse","better"),IF($M1013&lt;0,"worse, not significant","better, not significant")))))</f>
        <v/>
      </c>
      <c r="Y1013">
        <f>IF($V1013,$X1013,$W1013)</f>
        <v/>
      </c>
      <c r="Z1013">
        <f>IF($V1013,IF($P1013="","",$P1013),IF($O1013="","",$O1013))</f>
        <v/>
      </c>
      <c r="AA1013">
        <f>IF(OR($Q1013="",$Z1013=""),"",IF(AND($Z1013&gt;0,$Z1013&gt;=$Q1013),"yes","below the line"))</f>
        <v/>
      </c>
      <c r="AB1013">
        <f>IF($V1013,IF($M1013="","",$M1013),IF($K1013="","",$K1013))</f>
        <v/>
      </c>
      <c r="AC1013">
        <f>IF($V1013,IF($N1013="","",$N1013),IF($L1013="","",$L1013))</f>
        <v/>
      </c>
      <c r="AD1013">
        <f>IF($Y1013="","",IF($Y1013="in line",IF(profit_kind="test",IF(ROUND($AB1013*100,2)=0,"0.00",TEXT($AB1013*100,"+0.00;-0.00"))&amp;" points against "&amp;IF($V1013,"its band","the book")&amp;", "&amp;IF($AC1013="","not tested","not significant"),IF(profit_kind="points","within "&amp;TEXT(profit_line*100,"0.00")&amp;" points of "&amp;IF($V1013,"its band","the book")&amp;" ("&amp;IF(ROUND($AB1013*100,2)=0,"0.00",TEXT($AB1013*100,"+0.00;-0.00"))&amp;")","within $"&amp;TEXT(profit_line,"#,##0")&amp;" of "&amp;IF($V1013,"its band","the book")&amp;" ("&amp;IF(ROUND($AB1013*100,2)=0,"0.00",TEXT($AB1013*100,"+0.00;-0.00"))&amp;" points)")),IF(LEFT($Y1013,5)="worse","short of ","ahead of ")&amp;IF($V1013,"its band","the book")&amp;" by "&amp;TEXT(ABS($AB1013)*100,"0.00")&amp;" points"&amp;IF($Z1013="",""," ($"&amp;TEXT(ABS($Z1013),"#,##0")&amp;")")&amp;IF(RIGHT($Y1013,15)="not significant"," (not significant)","")))</f>
        <v/>
      </c>
      <c r="AE1013">
        <f>IF($V1013,IF($S1013="","",$S1013),IF($R1013="","",$R1013))</f>
        <v/>
      </c>
      <c r="AF1013">
        <f>IF($V1013,IF($U1013="","",$U1013),IF($T1013="","",$T1013))</f>
        <v/>
      </c>
      <c r="AG1013">
        <f>IF($V1013,IF($O1013="","",$O1013),IF($P1013="","",$P1013))</f>
        <v/>
      </c>
      <c r="AI1013">
        <f>IF($Y1013="worse","Yes",IF($Y1013="worse, not significant","Not sure",IF(OR($Y1013="too few losses to test",$Y1013="too few loans to test"),"Too few losses",IF($Y1013="","","No"))))</f>
        <v/>
      </c>
      <c r="AJ1013">
        <f>IF($AA1013="yes","Yes",IF($AA1013="","","No"))</f>
        <v/>
      </c>
    </row>
    <row r="1014">
      <c r="A1014" t="inlineStr">
        <is>
          <t>three-way</t>
        </is>
      </c>
      <c r="B1014" t="inlineStr">
        <is>
          <t>ORIG_BAL x ASSET_CLASS / SYS_FLAG</t>
        </is>
      </c>
      <c r="C1014" t="inlineStr">
        <is>
          <t>26,324 - 37,950</t>
        </is>
      </c>
      <c r="D1014" t="inlineStr">
        <is>
          <t>2 / SYS_FLAG N</t>
        </is>
      </c>
      <c r="E1014" t="inlineStr">
        <is>
          <t>outcome_loans</t>
        </is>
      </c>
      <c r="F1014" t="inlineStr">
        <is>
          <t>Outcome, share of loans</t>
        </is>
      </c>
      <c r="G1014" t="n">
        <v>252</v>
      </c>
      <c r="H1014" t="n">
        <v>252</v>
      </c>
      <c r="I1014" t="b">
        <v>1</v>
      </c>
      <c r="J1014" t="b">
        <v>0</v>
      </c>
      <c r="K1014" t="n">
        <v>0.4025147429402748</v>
      </c>
      <c r="M1014" t="n">
        <v>0.4189231248054778</v>
      </c>
      <c r="O1014" t="n">
        <v>-11.87504840583452</v>
      </c>
      <c r="P1014" t="n">
        <v>-11.09658246656761</v>
      </c>
      <c r="Q1014">
        <f>'_live'!$C$20</f>
        <v/>
      </c>
      <c r="T1014" t="n">
        <v>0.07886923970569253</v>
      </c>
      <c r="U1014" t="n">
        <v>0.07578008915304606</v>
      </c>
      <c r="V1014">
        <f>AND(judged_band,NOT($J1014))</f>
        <v/>
      </c>
      <c r="W1014">
        <f>IF($K1014="","",IF($I1014,"too few losses to test",IF(AND($K1014&gt;better_at,$K1014&lt;worse_at),"in line",IF($K1014&gt;=worse_at,IF(AND(ISNUMBER($L1014),$L1014&lt;significance_bar),"worse","worse, not significant"),IF(AND(ISNUMBER($L1014),$L1014&lt;significance_bar),"better","better, not significant")))))</f>
        <v/>
      </c>
      <c r="X1014">
        <f>IF($M1014="","",IF($I1014,"too few losses to test",IF(AND($M1014&gt;better_at,$M1014&lt;worse_at),"in line",IF($M1014&gt;=worse_at,IF(AND(ISNUMBER($N1014),$N1014&lt;significance_bar),"worse","worse, not significant"),IF(AND(ISNUMBER($N1014),$N1014&lt;significance_bar),"better","better, not significant")))))</f>
        <v/>
      </c>
      <c r="Y1014">
        <f>IF($V1014,$X1014,$W1014)</f>
        <v/>
      </c>
      <c r="Z1014">
        <f>IF($V1014,IF($P1014="","",$P1014),IF($O1014="","",$O1014))</f>
        <v/>
      </c>
      <c r="AA1014">
        <f>IF(OR($Q1014="",$Z1014=""),"",IF(AND($Z1014&gt;0,$Z1014&gt;=$Q1014),"yes","below the line"))</f>
        <v/>
      </c>
      <c r="AB1014">
        <f>IF($V1014,IF($M1014="","",$M1014),IF($K1014="","",$K1014))</f>
        <v/>
      </c>
      <c r="AC1014">
        <f>IF($V1014,IF($N1014="","",$N1014),IF($L1014="","",$L1014))</f>
        <v/>
      </c>
      <c r="AD1014">
        <f>$Y1014</f>
        <v/>
      </c>
      <c r="AE1014">
        <f>IF($V1014,IF($S1014="","",$S1014),IF($R1014="","",$R1014))</f>
        <v/>
      </c>
      <c r="AF1014">
        <f>IF($V1014,IF($U1014="","",$U1014),IF($T1014="","",$T1014))</f>
        <v/>
      </c>
      <c r="AG1014">
        <f>IF($V1014,IF($O1014="","",$O1014),IF($P1014="","",$P1014))</f>
        <v/>
      </c>
      <c r="AH1014" t="n">
        <v>0.03174603174603174</v>
      </c>
      <c r="AI1014">
        <f>IF($Y1014="worse","Yes",IF($Y1014="worse, not significant","Not sure",IF(OR($Y1014="too few losses to test",$Y1014="too few loans to test"),"Too few losses",IF($Y1014="","","No"))))</f>
        <v/>
      </c>
      <c r="AJ1014">
        <f>IF($AA1014="yes","Yes",IF($AA1014="","","No"))</f>
        <v/>
      </c>
    </row>
    <row r="1015">
      <c r="A1015" t="inlineStr">
        <is>
          <t>three-way</t>
        </is>
      </c>
      <c r="B1015" t="inlineStr">
        <is>
          <t>ORIG_BAL x ASSET_CLASS / SYS_FLAG</t>
        </is>
      </c>
      <c r="C1015" t="inlineStr">
        <is>
          <t>26,324 - 37,950</t>
        </is>
      </c>
      <c r="D1015" t="inlineStr">
        <is>
          <t>2 / SYS_FLAG N</t>
        </is>
      </c>
      <c r="E1015" t="inlineStr">
        <is>
          <t>outcome_booked</t>
        </is>
      </c>
      <c r="F1015" t="inlineStr">
        <is>
          <t>Outcome, share of booked dollars</t>
        </is>
      </c>
      <c r="G1015" t="n">
        <v>252</v>
      </c>
      <c r="H1015" t="n">
        <v>8084379.330000008</v>
      </c>
      <c r="I1015" t="b">
        <v>1</v>
      </c>
      <c r="J1015" t="b">
        <v>0</v>
      </c>
      <c r="K1015" t="n">
        <v>0.4049214684380589</v>
      </c>
      <c r="M1015" t="n">
        <v>0.4105654847760398</v>
      </c>
      <c r="O1015" t="n">
        <v>-366829.0636907824</v>
      </c>
      <c r="P1015" t="n">
        <v>-358354.9306029461</v>
      </c>
      <c r="Q1015">
        <f>'_live'!$C$21</f>
        <v/>
      </c>
      <c r="T1015" t="n">
        <v>0.07625051330820988</v>
      </c>
      <c r="U1015" t="n">
        <v>0.07520230258702439</v>
      </c>
      <c r="V1015">
        <f>AND(judged_band,NOT($J1015))</f>
        <v/>
      </c>
      <c r="W1015">
        <f>IF($K1015="","",IF($I1015,"too few losses to test",IF(AND($K1015&gt;better_at,$K1015&lt;worse_at),"in line",IF($K1015&gt;=worse_at,IF(AND(ISNUMBER($L1015),$L1015&lt;significance_bar),"worse","worse, not significant"),IF(AND(ISNUMBER($L1015),$L1015&lt;significance_bar),"better","better, not significant")))))</f>
        <v/>
      </c>
      <c r="X1015">
        <f>IF($M1015="","",IF($I1015,"too few losses to test",IF(AND($M1015&gt;better_at,$M1015&lt;worse_at),"in line",IF($M1015&gt;=worse_at,IF(AND(ISNUMBER($N1015),$N1015&lt;significance_bar),"worse","worse, not significant"),IF(AND(ISNUMBER($N1015),$N1015&lt;significance_bar),"better","better, not significant")))))</f>
        <v/>
      </c>
      <c r="Y1015">
        <f>IF($V1015,$X1015,$W1015)</f>
        <v/>
      </c>
      <c r="Z1015">
        <f>IF($V1015,IF($P1015="","",$P1015),IF($O1015="","",$O1015))</f>
        <v/>
      </c>
      <c r="AA1015">
        <f>IF(OR($Q1015="",$Z1015=""),"",IF(AND($Z1015&gt;0,$Z1015&gt;=$Q1015),"yes","below the line"))</f>
        <v/>
      </c>
      <c r="AB1015">
        <f>IF($V1015,IF($M1015="","",$M1015),IF($K1015="","",$K1015))</f>
        <v/>
      </c>
      <c r="AC1015">
        <f>IF($V1015,IF($N1015="","",$N1015),IF($L1015="","",$L1015))</f>
        <v/>
      </c>
      <c r="AD1015">
        <f>$Y1015</f>
        <v/>
      </c>
      <c r="AE1015">
        <f>IF($V1015,IF($S1015="","",$S1015),IF($R1015="","",$R1015))</f>
        <v/>
      </c>
      <c r="AF1015">
        <f>IF($V1015,IF($U1015="","",$U1015),IF($T1015="","",$T1015))</f>
        <v/>
      </c>
      <c r="AG1015">
        <f>IF($V1015,IF($O1015="","",$O1015),IF($P1015="","",$P1015))</f>
        <v/>
      </c>
      <c r="AH1015" t="n">
        <v>0.0308754698179161</v>
      </c>
      <c r="AI1015">
        <f>IF($Y1015="worse","Yes",IF($Y1015="worse, not significant","Not sure",IF(OR($Y1015="too few losses to test",$Y1015="too few loans to test"),"Too few losses",IF($Y1015="","","No"))))</f>
        <v/>
      </c>
      <c r="AJ1015">
        <f>IF($AA1015="yes","Yes",IF($AA1015="","","No"))</f>
        <v/>
      </c>
    </row>
    <row r="1016">
      <c r="A1016" t="inlineStr">
        <is>
          <t>three-way</t>
        </is>
      </c>
      <c r="B1016" t="inlineStr">
        <is>
          <t>ORIG_BAL x ASSET_CLASS / SYS_FLAG</t>
        </is>
      </c>
      <c r="C1016" t="inlineStr">
        <is>
          <t>26,324 - 37,950</t>
        </is>
      </c>
      <c r="D1016" t="inlineStr">
        <is>
          <t>2 / SYS_FLAG N</t>
        </is>
      </c>
      <c r="E1016" t="inlineStr">
        <is>
          <t>gco_rate</t>
        </is>
      </c>
      <c r="F1016" t="inlineStr">
        <is>
          <t>GCO per booked dollar</t>
        </is>
      </c>
      <c r="G1016" t="n">
        <v>253</v>
      </c>
      <c r="H1016" t="n">
        <v>8121367.340000007</v>
      </c>
      <c r="I1016" t="b">
        <v>1</v>
      </c>
      <c r="J1016" t="b">
        <v>0</v>
      </c>
      <c r="K1016" t="n">
        <v>0.4136033811584541</v>
      </c>
      <c r="M1016" t="n">
        <v>0.4256095936680659</v>
      </c>
      <c r="O1016" t="n">
        <v>-201864.2515770246</v>
      </c>
      <c r="P1016" t="n">
        <v>-192153.2823992904</v>
      </c>
      <c r="Q1016">
        <f>'_live'!$C$22</f>
        <v/>
      </c>
      <c r="T1016" t="n">
        <v>0.04238759769940714</v>
      </c>
      <c r="U1016" t="n">
        <v>0.04119186688571706</v>
      </c>
      <c r="V1016">
        <f>AND(judged_band,NOT($J1016))</f>
        <v/>
      </c>
      <c r="W1016">
        <f>IF($K1016="","",IF($I1016,"too few losses to test",IF(AND($K1016&gt;better_at,$K1016&lt;worse_at),"in line",IF($K1016&gt;=worse_at,IF(AND(ISNUMBER($L1016),$L1016&lt;significance_bar),"worse","worse, not significant"),IF(AND(ISNUMBER($L1016),$L1016&lt;significance_bar),"better","better, not significant")))))</f>
        <v/>
      </c>
      <c r="X1016">
        <f>IF($M1016="","",IF($I1016,"too few losses to test",IF(AND($M1016&gt;better_at,$M1016&lt;worse_at),"in line",IF($M1016&gt;=worse_at,IF(AND(ISNUMBER($N1016),$N1016&lt;significance_bar),"worse","worse, not significant"),IF(AND(ISNUMBER($N1016),$N1016&lt;significance_bar),"better","better, not significant")))))</f>
        <v/>
      </c>
      <c r="Y1016">
        <f>IF($V1016,$X1016,$W1016)</f>
        <v/>
      </c>
      <c r="Z1016">
        <f>IF($V1016,IF($P1016="","",$P1016),IF($O1016="","",$O1016))</f>
        <v/>
      </c>
      <c r="AA1016">
        <f>IF(OR($Q1016="",$Z1016=""),"",IF(AND($Z1016&gt;0,$Z1016&gt;=$Q1016),"yes","below the line"))</f>
        <v/>
      </c>
      <c r="AB1016">
        <f>IF($V1016,IF($M1016="","",$M1016),IF($K1016="","",$K1016))</f>
        <v/>
      </c>
      <c r="AC1016">
        <f>IF($V1016,IF($N1016="","",$N1016),IF($L1016="","",$L1016))</f>
        <v/>
      </c>
      <c r="AD1016">
        <f>$Y1016</f>
        <v/>
      </c>
      <c r="AE1016">
        <f>IF($V1016,IF($S1016="","",$S1016),IF($R1016="","",$R1016))</f>
        <v/>
      </c>
      <c r="AF1016">
        <f>IF($V1016,IF($U1016="","",$U1016),IF($T1016="","",$T1016))</f>
        <v/>
      </c>
      <c r="AG1016">
        <f>IF($V1016,IF($O1016="","",$O1016),IF($P1016="","",$P1016))</f>
        <v/>
      </c>
      <c r="AH1016" t="n">
        <v>0.0175316537276591</v>
      </c>
      <c r="AI1016">
        <f>IF($Y1016="worse","Yes",IF($Y1016="worse, not significant","Not sure",IF(OR($Y1016="too few losses to test",$Y1016="too few loans to test"),"Too few losses",IF($Y1016="","","No"))))</f>
        <v/>
      </c>
      <c r="AJ1016">
        <f>IF($AA1016="yes","Yes",IF($AA1016="","","No"))</f>
        <v/>
      </c>
    </row>
    <row r="1017">
      <c r="A1017" t="inlineStr">
        <is>
          <t>three-way</t>
        </is>
      </c>
      <c r="B1017" t="inlineStr">
        <is>
          <t>ORIG_BAL x ASSET_CLASS / SYS_FLAG</t>
        </is>
      </c>
      <c r="C1017" t="inlineStr">
        <is>
          <t>26,324 - 37,950</t>
        </is>
      </c>
      <c r="D1017" t="inlineStr">
        <is>
          <t>2 / SYS_FLAG N</t>
        </is>
      </c>
      <c r="E1017" t="inlineStr">
        <is>
          <t>ranr_rate</t>
        </is>
      </c>
      <c r="F1017" t="inlineStr">
        <is>
          <t>Profit after losses: RANR per booked dollar</t>
        </is>
      </c>
      <c r="G1017" t="n">
        <v>253</v>
      </c>
      <c r="H1017" t="n">
        <v>8121367.340000007</v>
      </c>
      <c r="I1017" t="b">
        <v>0</v>
      </c>
      <c r="J1017" t="b">
        <v>0</v>
      </c>
      <c r="K1017" t="n">
        <v>0.01153184462264956</v>
      </c>
      <c r="L1017" t="n">
        <v>0.6950214069502141</v>
      </c>
      <c r="M1017" t="n">
        <v>0.009335699716574747</v>
      </c>
      <c r="N1017" t="n">
        <v>0.7223277672232777</v>
      </c>
      <c r="O1017" t="n">
        <v>-93654.34628834086</v>
      </c>
      <c r="P1017" t="n">
        <v>-75818.64677423751</v>
      </c>
      <c r="Q1017">
        <f>'_live'!$C$23</f>
        <v/>
      </c>
      <c r="R1017" t="inlineStr">
        <is>
          <t>shuffled: 3,765 of 10,000</t>
        </is>
      </c>
      <c r="S1017" t="inlineStr">
        <is>
          <t>shuffled: 4,514 of 10,000</t>
        </is>
      </c>
      <c r="T1017" t="n">
        <v>0.127627144582732</v>
      </c>
      <c r="U1017" t="n">
        <v>0.1298232894888068</v>
      </c>
      <c r="V1017">
        <f>AND(judged_band,NOT($J1017))</f>
        <v/>
      </c>
      <c r="W1017">
        <f>IF($K1017="","",IF(profit_kind="test",IF(OR(NOT(AND(ISNUMBER($L1017),$L1017&lt;significance_bar)),$K1017=0),"in line",IF($K1017&lt;0,"worse","better")),IF(OR($K1017=0,IF(profit_kind="points",ABS($K1017),ABS($K1017*$H1017))&lt;profit_line*(1-1E-9)),"in line",IF(AND(ISNUMBER($L1017),$L1017&lt;significance_bar),IF($K1017&lt;0,"worse","better"),IF($K1017&lt;0,"worse, not significant","better, not significant")))))</f>
        <v/>
      </c>
      <c r="X1017">
        <f>IF($M1017="","",IF(profit_kind="test",IF(OR(NOT(AND(ISNUMBER($N1017),$N1017&lt;significance_bar)),$M1017=0),"in line",IF($M1017&lt;0,"worse","better")),IF(OR($M1017=0,IF(profit_kind="points",ABS($M1017),ABS($M1017*$H1017))&lt;profit_line*(1-1E-9)),"in line",IF(AND(ISNUMBER($N1017),$N1017&lt;significance_bar),IF($M1017&lt;0,"worse","better"),IF($M1017&lt;0,"worse, not significant","better, not significant")))))</f>
        <v/>
      </c>
      <c r="Y1017">
        <f>IF($V1017,$X1017,$W1017)</f>
        <v/>
      </c>
      <c r="Z1017">
        <f>IF($V1017,IF($P1017="","",$P1017),IF($O1017="","",$O1017))</f>
        <v/>
      </c>
      <c r="AA1017">
        <f>IF(OR($Q1017="",$Z1017=""),"",IF(AND($Z1017&gt;0,$Z1017&gt;=$Q1017),"yes","below the line"))</f>
        <v/>
      </c>
      <c r="AB1017">
        <f>IF($V1017,IF($M1017="","",$M1017),IF($K1017="","",$K1017))</f>
        <v/>
      </c>
      <c r="AC1017">
        <f>IF($V1017,IF($N1017="","",$N1017),IF($L1017="","",$L1017))</f>
        <v/>
      </c>
      <c r="AD1017">
        <f>IF($Y1017="","",IF($Y1017="in line",IF(profit_kind="test",IF(ROUND($AB1017*100,2)=0,"0.00",TEXT($AB1017*100,"+0.00;-0.00"))&amp;" points against "&amp;IF($V1017,"its band","the book")&amp;", "&amp;IF($AC1017="","not tested","not significant"),IF(profit_kind="points","within "&amp;TEXT(profit_line*100,"0.00")&amp;" points of "&amp;IF($V1017,"its band","the book")&amp;" ("&amp;IF(ROUND($AB1017*100,2)=0,"0.00",TEXT($AB1017*100,"+0.00;-0.00"))&amp;")","within $"&amp;TEXT(profit_line,"#,##0")&amp;" of "&amp;IF($V1017,"its band","the book")&amp;" ("&amp;IF(ROUND($AB1017*100,2)=0,"0.00",TEXT($AB1017*100,"+0.00;-0.00"))&amp;" points)")),IF(LEFT($Y1017,5)="worse","short of ","ahead of ")&amp;IF($V1017,"its band","the book")&amp;" by "&amp;TEXT(ABS($AB1017)*100,"0.00")&amp;" points"&amp;IF($Z1017="",""," ($"&amp;TEXT(ABS($Z1017),"#,##0")&amp;")")&amp;IF(RIGHT($Y1017,15)="not significant"," (not significant)","")))</f>
        <v/>
      </c>
      <c r="AE1017">
        <f>IF($V1017,IF($S1017="","",$S1017),IF($R1017="","",$R1017))</f>
        <v/>
      </c>
      <c r="AF1017">
        <f>IF($V1017,IF($U1017="","",$U1017),IF($T1017="","",$T1017))</f>
        <v/>
      </c>
      <c r="AG1017">
        <f>IF($V1017,IF($O1017="","",$O1017),IF($P1017="","",$P1017))</f>
        <v/>
      </c>
      <c r="AH1017" t="n">
        <v>0.1391589892053816</v>
      </c>
      <c r="AI1017">
        <f>IF($Y1017="worse","Yes",IF($Y1017="worse, not significant","Not sure",IF(OR($Y1017="too few losses to test",$Y1017="too few loans to test"),"Too few losses",IF($Y1017="","","No"))))</f>
        <v/>
      </c>
      <c r="AJ1017">
        <f>IF($AA1017="yes","Yes",IF($AA1017="","","No"))</f>
        <v/>
      </c>
    </row>
    <row r="1018">
      <c r="A1018" t="inlineStr">
        <is>
          <t>three-way</t>
        </is>
      </c>
      <c r="B1018" t="inlineStr">
        <is>
          <t>ORIG_BAL x ASSET_CLASS / SYS_FLAG</t>
        </is>
      </c>
      <c r="C1018" t="inlineStr">
        <is>
          <t>26,324 - 37,950</t>
        </is>
      </c>
      <c r="D1018" t="inlineStr">
        <is>
          <t>2 / SYS_FLAG N</t>
        </is>
      </c>
      <c r="E1018" t="inlineStr">
        <is>
          <t>contribution_rate</t>
        </is>
      </c>
      <c r="F1018" t="inlineStr">
        <is>
          <t>Contribution before losses per booked dollar</t>
        </is>
      </c>
      <c r="G1018" t="n">
        <v>253</v>
      </c>
      <c r="H1018" t="n">
        <v>8121367.340000007</v>
      </c>
      <c r="I1018" t="b">
        <v>0</v>
      </c>
      <c r="J1018" t="b">
        <v>0</v>
      </c>
      <c r="K1018" t="n">
        <v>-0.013321089556143</v>
      </c>
      <c r="L1018" t="n">
        <v>0.4863513648635137</v>
      </c>
      <c r="M1018" t="n">
        <v>-0.01432451344148325</v>
      </c>
      <c r="N1018" t="n">
        <v>0.5462310911765966</v>
      </c>
      <c r="O1018" t="n">
        <v>108185.461654475</v>
      </c>
      <c r="P1018" t="n">
        <v>116334.6356250532</v>
      </c>
      <c r="Q1018">
        <f>'_live'!$C$24</f>
        <v/>
      </c>
      <c r="R1018" t="inlineStr">
        <is>
          <t>shuffled: 1,215 of 10,000</t>
        </is>
      </c>
      <c r="S1018" t="inlineStr">
        <is>
          <t>shuffled: 880 of 10,000</t>
        </is>
      </c>
      <c r="T1018" t="n">
        <v>0.1700117324891837</v>
      </c>
      <c r="U1018" t="n">
        <v>0.171015156374524</v>
      </c>
      <c r="V1018">
        <f>AND(judged_band,NOT($J1018))</f>
        <v/>
      </c>
      <c r="W1018">
        <f>IF($K1018="","",IF(profit_kind="test",IF(OR(NOT(AND(ISNUMBER($L1018),$L1018&lt;significance_bar)),$K1018=0),"in line",IF($K1018&lt;0,"worse","better")),IF(OR($K1018=0,IF(profit_kind="points",ABS($K1018),ABS($K1018*$H1018))&lt;profit_line*(1-1E-9)),"in line",IF(AND(ISNUMBER($L1018),$L1018&lt;significance_bar),IF($K1018&lt;0,"worse","better"),IF($K1018&lt;0,"worse, not significant","better, not significant")))))</f>
        <v/>
      </c>
      <c r="X1018">
        <f>IF($M1018="","",IF(profit_kind="test",IF(OR(NOT(AND(ISNUMBER($N1018),$N1018&lt;significance_bar)),$M1018=0),"in line",IF($M1018&lt;0,"worse","better")),IF(OR($M1018=0,IF(profit_kind="points",ABS($M1018),ABS($M1018*$H1018))&lt;profit_line*(1-1E-9)),"in line",IF(AND(ISNUMBER($N1018),$N1018&lt;significance_bar),IF($M1018&lt;0,"worse","better"),IF($M1018&lt;0,"worse, not significant","better, not significant")))))</f>
        <v/>
      </c>
      <c r="Y1018">
        <f>IF($V1018,$X1018,$W1018)</f>
        <v/>
      </c>
      <c r="Z1018">
        <f>IF($V1018,IF($P1018="","",$P1018),IF($O1018="","",$O1018))</f>
        <v/>
      </c>
      <c r="AA1018">
        <f>IF(OR($Q1018="",$Z1018=""),"",IF(AND($Z1018&gt;0,$Z1018&gt;=$Q1018),"yes","below the line"))</f>
        <v/>
      </c>
      <c r="AB1018">
        <f>IF($V1018,IF($M1018="","",$M1018),IF($K1018="","",$K1018))</f>
        <v/>
      </c>
      <c r="AC1018">
        <f>IF($V1018,IF($N1018="","",$N1018),IF($L1018="","",$L1018))</f>
        <v/>
      </c>
      <c r="AD1018">
        <f>IF($Y1018="","",IF($Y1018="in line",IF(profit_kind="test",IF(ROUND($AB1018*100,2)=0,"0.00",TEXT($AB1018*100,"+0.00;-0.00"))&amp;" points against "&amp;IF($V1018,"its band","the book")&amp;", "&amp;IF($AC1018="","not tested","not significant"),IF(profit_kind="points","within "&amp;TEXT(profit_line*100,"0.00")&amp;" points of "&amp;IF($V1018,"its band","the book")&amp;" ("&amp;IF(ROUND($AB1018*100,2)=0,"0.00",TEXT($AB1018*100,"+0.00;-0.00"))&amp;")","within $"&amp;TEXT(profit_line,"#,##0")&amp;" of "&amp;IF($V1018,"its band","the book")&amp;" ("&amp;IF(ROUND($AB1018*100,2)=0,"0.00",TEXT($AB1018*100,"+0.00;-0.00"))&amp;" points)")),IF(LEFT($Y1018,5)="worse","short of ","ahead of ")&amp;IF($V1018,"its band","the book")&amp;" by "&amp;TEXT(ABS($AB1018)*100,"0.00")&amp;" points"&amp;IF($Z1018="",""," ($"&amp;TEXT(ABS($Z1018),"#,##0")&amp;")")&amp;IF(RIGHT($Y1018,15)="not significant"," (not significant)","")))</f>
        <v/>
      </c>
      <c r="AE1018">
        <f>IF($V1018,IF($S1018="","",$S1018),IF($R1018="","",$R1018))</f>
        <v/>
      </c>
      <c r="AF1018">
        <f>IF($V1018,IF($U1018="","",$U1018),IF($T1018="","",$T1018))</f>
        <v/>
      </c>
      <c r="AG1018">
        <f>IF($V1018,IF($O1018="","",$O1018),IF($P1018="","",$P1018))</f>
        <v/>
      </c>
      <c r="AH1018" t="n">
        <v>0.1566906429330407</v>
      </c>
      <c r="AI1018">
        <f>IF($Y1018="worse","Yes",IF($Y1018="worse, not significant","Not sure",IF(OR($Y1018="too few losses to test",$Y1018="too few loans to test"),"Too few losses",IF($Y1018="","","No"))))</f>
        <v/>
      </c>
      <c r="AJ1018">
        <f>IF($AA1018="yes","Yes",IF($AA1018="","","No"))</f>
        <v/>
      </c>
    </row>
    <row r="1019">
      <c r="A1019" t="inlineStr">
        <is>
          <t>three-way</t>
        </is>
      </c>
      <c r="B1019" t="inlineStr">
        <is>
          <t>ORIG_BAL x ASSET_CLASS / SYS_FLAG</t>
        </is>
      </c>
      <c r="C1019" t="inlineStr">
        <is>
          <t>26,324 - 37,950</t>
        </is>
      </c>
      <c r="D1019" t="inlineStr">
        <is>
          <t>4 / SYS_FLAG Y</t>
        </is>
      </c>
      <c r="E1019" t="inlineStr">
        <is>
          <t>outcome_loans</t>
        </is>
      </c>
      <c r="F1019" t="inlineStr">
        <is>
          <t>Outcome, share of loans</t>
        </is>
      </c>
      <c r="G1019" t="n">
        <v>194</v>
      </c>
      <c r="H1019" t="n">
        <v>194</v>
      </c>
      <c r="I1019" t="b">
        <v>0</v>
      </c>
      <c r="J1019" t="b">
        <v>0</v>
      </c>
      <c r="K1019" t="n">
        <v>1.622801697998787</v>
      </c>
      <c r="L1019" t="n">
        <v>0.1546376767426414</v>
      </c>
      <c r="M1019" t="n">
        <v>2.019659554063774</v>
      </c>
      <c r="N1019" t="n">
        <v>0.01363633880561689</v>
      </c>
      <c r="O1019" t="n">
        <v>9.210762331838566</v>
      </c>
      <c r="P1019" t="n">
        <v>12.11680911680912</v>
      </c>
      <c r="Q1019">
        <f>'_live'!$C$20</f>
        <v/>
      </c>
      <c r="R1019" t="inlineStr">
        <is>
          <t>z test</t>
        </is>
      </c>
      <c r="S1019" t="inlineStr">
        <is>
          <t>z test</t>
        </is>
      </c>
      <c r="T1019" t="n">
        <v>0.07623318385650224</v>
      </c>
      <c r="U1019" t="n">
        <v>0.06125356125356125</v>
      </c>
      <c r="V1019">
        <f>AND(judged_band,NOT($J1019))</f>
        <v/>
      </c>
      <c r="W1019">
        <f>IF($K1019="","",IF($I1019,"too few losses to test",IF(AND($K1019&gt;better_at,$K1019&lt;worse_at),"in line",IF($K1019&gt;=worse_at,IF(AND(ISNUMBER($L1019),$L1019&lt;significance_bar),"worse","worse, not significant"),IF(AND(ISNUMBER($L1019),$L1019&lt;significance_bar),"better","better, not significant")))))</f>
        <v/>
      </c>
      <c r="X1019">
        <f>IF($M1019="","",IF($I1019,"too few losses to test",IF(AND($M1019&gt;better_at,$M1019&lt;worse_at),"in line",IF($M1019&gt;=worse_at,IF(AND(ISNUMBER($N1019),$N1019&lt;significance_bar),"worse","worse, not significant"),IF(AND(ISNUMBER($N1019),$N1019&lt;significance_bar),"better","better, not significant")))))</f>
        <v/>
      </c>
      <c r="Y1019">
        <f>IF($V1019,$X1019,$W1019)</f>
        <v/>
      </c>
      <c r="Z1019">
        <f>IF($V1019,IF($P1019="","",$P1019),IF($O1019="","",$O1019))</f>
        <v/>
      </c>
      <c r="AA1019">
        <f>IF(OR($Q1019="",$Z1019=""),"",IF(AND($Z1019&gt;0,$Z1019&gt;=$Q1019),"yes","below the line"))</f>
        <v/>
      </c>
      <c r="AB1019">
        <f>IF($V1019,IF($M1019="","",$M1019),IF($K1019="","",$K1019))</f>
        <v/>
      </c>
      <c r="AC1019">
        <f>IF($V1019,IF($N1019="","",$N1019),IF($L1019="","",$L1019))</f>
        <v/>
      </c>
      <c r="AD1019">
        <f>$Y1019</f>
        <v/>
      </c>
      <c r="AE1019">
        <f>IF($V1019,IF($S1019="","",$S1019),IF($R1019="","",$R1019))</f>
        <v/>
      </c>
      <c r="AF1019">
        <f>IF($V1019,IF($U1019="","",$U1019),IF($T1019="","",$T1019))</f>
        <v/>
      </c>
      <c r="AG1019">
        <f>IF($V1019,IF($O1019="","",$O1019),IF($P1019="","",$P1019))</f>
        <v/>
      </c>
      <c r="AH1019" t="n">
        <v>0.1237113402061856</v>
      </c>
      <c r="AI1019">
        <f>IF($Y1019="worse","Yes",IF($Y1019="worse, not significant","Not sure",IF(OR($Y1019="too few losses to test",$Y1019="too few loans to test"),"Too few losses",IF($Y1019="","","No"))))</f>
        <v/>
      </c>
      <c r="AJ1019">
        <f>IF($AA1019="yes","Yes",IF($AA1019="","","No"))</f>
        <v/>
      </c>
    </row>
    <row r="1020">
      <c r="A1020" t="inlineStr">
        <is>
          <t>three-way</t>
        </is>
      </c>
      <c r="B1020" t="inlineStr">
        <is>
          <t>ORIG_BAL x ASSET_CLASS / SYS_FLAG</t>
        </is>
      </c>
      <c r="C1020" t="inlineStr">
        <is>
          <t>26,324 - 37,950</t>
        </is>
      </c>
      <c r="D1020" t="inlineStr">
        <is>
          <t>4 / SYS_FLAG Y</t>
        </is>
      </c>
      <c r="E1020" t="inlineStr">
        <is>
          <t>outcome_booked</t>
        </is>
      </c>
      <c r="F1020" t="inlineStr">
        <is>
          <t>Outcome, share of booked dollars</t>
        </is>
      </c>
      <c r="G1020" t="n">
        <v>194</v>
      </c>
      <c r="H1020" t="n">
        <v>6265985.869999997</v>
      </c>
      <c r="I1020" t="b">
        <v>0</v>
      </c>
      <c r="J1020" t="b">
        <v>0</v>
      </c>
      <c r="K1020" t="n">
        <v>1.612144398112509</v>
      </c>
      <c r="L1020" t="n">
        <v>0.2349479337780508</v>
      </c>
      <c r="M1020" t="n">
        <v>1.94301198795135</v>
      </c>
      <c r="N1020" t="n">
        <v>0.0330633603306336</v>
      </c>
      <c r="O1020" t="n">
        <v>282816.0878635875</v>
      </c>
      <c r="P1020" t="n">
        <v>361489.6797805513</v>
      </c>
      <c r="Q1020">
        <f>'_live'!$C$21</f>
        <v/>
      </c>
      <c r="R1020" t="inlineStr">
        <is>
          <t>shuffled: 333 of 10,000</t>
        </is>
      </c>
      <c r="S1020" t="inlineStr">
        <is>
          <t>shuffled: 30 of 10,000</t>
        </is>
      </c>
      <c r="T1020" t="n">
        <v>0.07373281582845523</v>
      </c>
      <c r="U1020" t="n">
        <v>0.06117715522704313</v>
      </c>
      <c r="V1020">
        <f>AND(judged_band,NOT($J1020))</f>
        <v/>
      </c>
      <c r="W1020">
        <f>IF($K1020="","",IF($I1020,"too few losses to test",IF(AND($K1020&gt;better_at,$K1020&lt;worse_at),"in line",IF($K1020&gt;=worse_at,IF(AND(ISNUMBER($L1020),$L1020&lt;significance_bar),"worse","worse, not significant"),IF(AND(ISNUMBER($L1020),$L1020&lt;significance_bar),"better","better, not significant")))))</f>
        <v/>
      </c>
      <c r="X1020">
        <f>IF($M1020="","",IF($I1020,"too few losses to test",IF(AND($M1020&gt;better_at,$M1020&lt;worse_at),"in line",IF($M1020&gt;=worse_at,IF(AND(ISNUMBER($N1020),$N1020&lt;significance_bar),"worse","worse, not significant"),IF(AND(ISNUMBER($N1020),$N1020&lt;significance_bar),"better","better, not significant")))))</f>
        <v/>
      </c>
      <c r="Y1020">
        <f>IF($V1020,$X1020,$W1020)</f>
        <v/>
      </c>
      <c r="Z1020">
        <f>IF($V1020,IF($P1020="","",$P1020),IF($O1020="","",$O1020))</f>
        <v/>
      </c>
      <c r="AA1020">
        <f>IF(OR($Q1020="",$Z1020=""),"",IF(AND($Z1020&gt;0,$Z1020&gt;=$Q1020),"yes","below the line"))</f>
        <v/>
      </c>
      <c r="AB1020">
        <f>IF($V1020,IF($M1020="","",$M1020),IF($K1020="","",$K1020))</f>
        <v/>
      </c>
      <c r="AC1020">
        <f>IF($V1020,IF($N1020="","",$N1020),IF($L1020="","",$L1020))</f>
        <v/>
      </c>
      <c r="AD1020">
        <f>$Y1020</f>
        <v/>
      </c>
      <c r="AE1020">
        <f>IF($V1020,IF($S1020="","",$S1020),IF($R1020="","",$R1020))</f>
        <v/>
      </c>
      <c r="AF1020">
        <f>IF($V1020,IF($U1020="","",$U1020),IF($T1020="","",$T1020))</f>
        <v/>
      </c>
      <c r="AG1020">
        <f>IF($V1020,IF($O1020="","",$O1020),IF($P1020="","",$P1020))</f>
        <v/>
      </c>
      <c r="AH1020" t="n">
        <v>0.1188679459949054</v>
      </c>
      <c r="AI1020">
        <f>IF($Y1020="worse","Yes",IF($Y1020="worse, not significant","Not sure",IF(OR($Y1020="too few losses to test",$Y1020="too few loans to test"),"Too few losses",IF($Y1020="","","No"))))</f>
        <v/>
      </c>
      <c r="AJ1020">
        <f>IF($AA1020="yes","Yes",IF($AA1020="","","No"))</f>
        <v/>
      </c>
    </row>
    <row r="1021">
      <c r="A1021" t="inlineStr">
        <is>
          <t>three-way</t>
        </is>
      </c>
      <c r="B1021" t="inlineStr">
        <is>
          <t>ORIG_BAL x ASSET_CLASS / SYS_FLAG</t>
        </is>
      </c>
      <c r="C1021" t="inlineStr">
        <is>
          <t>26,324 - 37,950</t>
        </is>
      </c>
      <c r="D1021" t="inlineStr">
        <is>
          <t>4 / SYS_FLAG Y</t>
        </is>
      </c>
      <c r="E1021" t="inlineStr">
        <is>
          <t>gco_rate</t>
        </is>
      </c>
      <c r="F1021" t="inlineStr">
        <is>
          <t>GCO per booked dollar</t>
        </is>
      </c>
      <c r="G1021" t="n">
        <v>194</v>
      </c>
      <c r="H1021" t="n">
        <v>6265985.869999997</v>
      </c>
      <c r="I1021" t="b">
        <v>0</v>
      </c>
      <c r="J1021" t="b">
        <v>0</v>
      </c>
      <c r="K1021" t="n">
        <v>1.586997339335288</v>
      </c>
      <c r="L1021" t="n">
        <v>0.193980601939806</v>
      </c>
      <c r="M1021" t="n">
        <v>1.936964095310002</v>
      </c>
      <c r="N1021" t="n">
        <v>0.0437289604372896</v>
      </c>
      <c r="O1021" t="n">
        <v>150878.3132819968</v>
      </c>
      <c r="P1021" t="n">
        <v>197318.7087039321</v>
      </c>
      <c r="Q1021">
        <f>'_live'!$C$22</f>
        <v/>
      </c>
      <c r="R1021" t="inlineStr">
        <is>
          <t>shuffled: 484 of 10,000</t>
        </is>
      </c>
      <c r="S1021" t="inlineStr">
        <is>
          <t>shuffled: 40 of 10,000</t>
        </is>
      </c>
      <c r="T1021" t="n">
        <v>0.04102053085510763</v>
      </c>
      <c r="U1021" t="n">
        <v>0.0336090242884745</v>
      </c>
      <c r="V1021">
        <f>AND(judged_band,NOT($J1021))</f>
        <v/>
      </c>
      <c r="W1021">
        <f>IF($K1021="","",IF($I1021,"too few losses to test",IF(AND($K1021&gt;better_at,$K1021&lt;worse_at),"in line",IF($K1021&gt;=worse_at,IF(AND(ISNUMBER($L1021),$L1021&lt;significance_bar),"worse","worse, not significant"),IF(AND(ISNUMBER($L1021),$L1021&lt;significance_bar),"better","better, not significant")))))</f>
        <v/>
      </c>
      <c r="X1021">
        <f>IF($M1021="","",IF($I1021,"too few losses to test",IF(AND($M1021&gt;better_at,$M1021&lt;worse_at),"in line",IF($M1021&gt;=worse_at,IF(AND(ISNUMBER($N1021),$N1021&lt;significance_bar),"worse","worse, not significant"),IF(AND(ISNUMBER($N1021),$N1021&lt;significance_bar),"better","better, not significant")))))</f>
        <v/>
      </c>
      <c r="Y1021">
        <f>IF($V1021,$X1021,$W1021)</f>
        <v/>
      </c>
      <c r="Z1021">
        <f>IF($V1021,IF($P1021="","",$P1021),IF($O1021="","",$O1021))</f>
        <v/>
      </c>
      <c r="AA1021">
        <f>IF(OR($Q1021="",$Z1021=""),"",IF(AND($Z1021&gt;0,$Z1021&gt;=$Q1021),"yes","below the line"))</f>
        <v/>
      </c>
      <c r="AB1021">
        <f>IF($V1021,IF($M1021="","",$M1021),IF($K1021="","",$K1021))</f>
        <v/>
      </c>
      <c r="AC1021">
        <f>IF($V1021,IF($N1021="","",$N1021),IF($L1021="","",$L1021))</f>
        <v/>
      </c>
      <c r="AD1021">
        <f>$Y1021</f>
        <v/>
      </c>
      <c r="AE1021">
        <f>IF($V1021,IF($S1021="","",$S1021),IF($R1021="","",$R1021))</f>
        <v/>
      </c>
      <c r="AF1021">
        <f>IF($V1021,IF($U1021="","",$U1021),IF($T1021="","",$T1021))</f>
        <v/>
      </c>
      <c r="AG1021">
        <f>IF($V1021,IF($O1021="","",$O1021),IF($P1021="","",$P1021))</f>
        <v/>
      </c>
      <c r="AH1021" t="n">
        <v>0.06509947332517688</v>
      </c>
      <c r="AI1021">
        <f>IF($Y1021="worse","Yes",IF($Y1021="worse, not significant","Not sure",IF(OR($Y1021="too few losses to test",$Y1021="too few loans to test"),"Too few losses",IF($Y1021="","","No"))))</f>
        <v/>
      </c>
      <c r="AJ1021">
        <f>IF($AA1021="yes","Yes",IF($AA1021="","","No"))</f>
        <v/>
      </c>
    </row>
    <row r="1022">
      <c r="A1022" t="inlineStr">
        <is>
          <t>three-way</t>
        </is>
      </c>
      <c r="B1022" t="inlineStr">
        <is>
          <t>ORIG_BAL x ASSET_CLASS / SYS_FLAG</t>
        </is>
      </c>
      <c r="C1022" t="inlineStr">
        <is>
          <t>26,324 - 37,950</t>
        </is>
      </c>
      <c r="D1022" t="inlineStr">
        <is>
          <t>4 / SYS_FLAG Y</t>
        </is>
      </c>
      <c r="E1022" t="inlineStr">
        <is>
          <t>ranr_rate</t>
        </is>
      </c>
      <c r="F1022" t="inlineStr">
        <is>
          <t>Profit after losses: RANR per booked dollar</t>
        </is>
      </c>
      <c r="G1022" t="n">
        <v>194</v>
      </c>
      <c r="H1022" t="n">
        <v>6265985.869999997</v>
      </c>
      <c r="I1022" t="b">
        <v>0</v>
      </c>
      <c r="J1022" t="b">
        <v>0</v>
      </c>
      <c r="K1022" t="n">
        <v>-0.01666015756725099</v>
      </c>
      <c r="L1022" t="n">
        <v>0.5817196058171961</v>
      </c>
      <c r="M1022" t="n">
        <v>-0.02228353814683399</v>
      </c>
      <c r="N1022" t="n">
        <v>0.384325203843252</v>
      </c>
      <c r="O1022" t="n">
        <v>104392.3119083683</v>
      </c>
      <c r="P1022" t="n">
        <v>139628.3351616678</v>
      </c>
      <c r="Q1022">
        <f>'_live'!$C$23</f>
        <v/>
      </c>
      <c r="R1022" t="inlineStr">
        <is>
          <t>shuffled: 2,568 of 10,000</t>
        </is>
      </c>
      <c r="S1022" t="inlineStr">
        <is>
          <t>shuffled: 1,056 of 10,000</t>
        </is>
      </c>
      <c r="T1022" t="n">
        <v>0.1283945636967049</v>
      </c>
      <c r="U1022" t="n">
        <v>0.1340179442762879</v>
      </c>
      <c r="V1022">
        <f>AND(judged_band,NOT($J1022))</f>
        <v/>
      </c>
      <c r="W1022">
        <f>IF($K1022="","",IF(profit_kind="test",IF(OR(NOT(AND(ISNUMBER($L1022),$L1022&lt;significance_bar)),$K1022=0),"in line",IF($K1022&lt;0,"worse","better")),IF(OR($K1022=0,IF(profit_kind="points",ABS($K1022),ABS($K1022*$H1022))&lt;profit_line*(1-1E-9)),"in line",IF(AND(ISNUMBER($L1022),$L1022&lt;significance_bar),IF($K1022&lt;0,"worse","better"),IF($K1022&lt;0,"worse, not significant","better, not significant")))))</f>
        <v/>
      </c>
      <c r="X1022">
        <f>IF($M1022="","",IF(profit_kind="test",IF(OR(NOT(AND(ISNUMBER($N1022),$N1022&lt;significance_bar)),$M1022=0),"in line",IF($M1022&lt;0,"worse","better")),IF(OR($M1022=0,IF(profit_kind="points",ABS($M1022),ABS($M1022*$H1022))&lt;profit_line*(1-1E-9)),"in line",IF(AND(ISNUMBER($N1022),$N1022&lt;significance_bar),IF($M1022&lt;0,"worse","better"),IF($M1022&lt;0,"worse, not significant","better, not significant")))))</f>
        <v/>
      </c>
      <c r="Y1022">
        <f>IF($V1022,$X1022,$W1022)</f>
        <v/>
      </c>
      <c r="Z1022">
        <f>IF($V1022,IF($P1022="","",$P1022),IF($O1022="","",$O1022))</f>
        <v/>
      </c>
      <c r="AA1022">
        <f>IF(OR($Q1022="",$Z1022=""),"",IF(AND($Z1022&gt;0,$Z1022&gt;=$Q1022),"yes","below the line"))</f>
        <v/>
      </c>
      <c r="AB1022">
        <f>IF($V1022,IF($M1022="","",$M1022),IF($K1022="","",$K1022))</f>
        <v/>
      </c>
      <c r="AC1022">
        <f>IF($V1022,IF($N1022="","",$N1022),IF($L1022="","",$L1022))</f>
        <v/>
      </c>
      <c r="AD1022">
        <f>IF($Y1022="","",IF($Y1022="in line",IF(profit_kind="test",IF(ROUND($AB1022*100,2)=0,"0.00",TEXT($AB1022*100,"+0.00;-0.00"))&amp;" points against "&amp;IF($V1022,"its band","the book")&amp;", "&amp;IF($AC1022="","not tested","not significant"),IF(profit_kind="points","within "&amp;TEXT(profit_line*100,"0.00")&amp;" points of "&amp;IF($V1022,"its band","the book")&amp;" ("&amp;IF(ROUND($AB1022*100,2)=0,"0.00",TEXT($AB1022*100,"+0.00;-0.00"))&amp;")","within $"&amp;TEXT(profit_line,"#,##0")&amp;" of "&amp;IF($V1022,"its band","the book")&amp;" ("&amp;IF(ROUND($AB1022*100,2)=0,"0.00",TEXT($AB1022*100,"+0.00;-0.00"))&amp;" points)")),IF(LEFT($Y1022,5)="worse","short of ","ahead of ")&amp;IF($V1022,"its band","the book")&amp;" by "&amp;TEXT(ABS($AB1022)*100,"0.00")&amp;" points"&amp;IF($Z1022="",""," ($"&amp;TEXT(ABS($Z1022),"#,##0")&amp;")")&amp;IF(RIGHT($Y1022,15)="not significant"," (not significant)","")))</f>
        <v/>
      </c>
      <c r="AE1022">
        <f>IF($V1022,IF($S1022="","",$S1022),IF($R1022="","",$R1022))</f>
        <v/>
      </c>
      <c r="AF1022">
        <f>IF($V1022,IF($U1022="","",$U1022),IF($T1022="","",$T1022))</f>
        <v/>
      </c>
      <c r="AG1022">
        <f>IF($V1022,IF($O1022="","",$O1022),IF($P1022="","",$P1022))</f>
        <v/>
      </c>
      <c r="AH1022" t="n">
        <v>0.1117344061294539</v>
      </c>
      <c r="AI1022">
        <f>IF($Y1022="worse","Yes",IF($Y1022="worse, not significant","Not sure",IF(OR($Y1022="too few losses to test",$Y1022="too few loans to test"),"Too few losses",IF($Y1022="","","No"))))</f>
        <v/>
      </c>
      <c r="AJ1022">
        <f>IF($AA1022="yes","Yes",IF($AA1022="","","No"))</f>
        <v/>
      </c>
    </row>
    <row r="1023">
      <c r="A1023" t="inlineStr">
        <is>
          <t>three-way</t>
        </is>
      </c>
      <c r="B1023" t="inlineStr">
        <is>
          <t>ORIG_BAL x ASSET_CLASS / SYS_FLAG</t>
        </is>
      </c>
      <c r="C1023" t="inlineStr">
        <is>
          <t>26,324 - 37,950</t>
        </is>
      </c>
      <c r="D1023" t="inlineStr">
        <is>
          <t>4 / SYS_FLAG Y</t>
        </is>
      </c>
      <c r="E1023" t="inlineStr">
        <is>
          <t>contribution_rate</t>
        </is>
      </c>
      <c r="F1023" t="inlineStr">
        <is>
          <t>Contribution before losses per booked dollar</t>
        </is>
      </c>
      <c r="G1023" t="n">
        <v>194</v>
      </c>
      <c r="H1023" t="n">
        <v>6265985.869999997</v>
      </c>
      <c r="I1023" t="b">
        <v>0</v>
      </c>
      <c r="J1023" t="b">
        <v>0</v>
      </c>
      <c r="K1023" t="n">
        <v>0.007421651549496033</v>
      </c>
      <c r="L1023" t="n">
        <v>0.774705138181834</v>
      </c>
      <c r="M1023" t="n">
        <v>0.009206910889868303</v>
      </c>
      <c r="N1023" t="n">
        <v>0.798978925636848</v>
      </c>
      <c r="O1023" t="n">
        <v>-46503.96374120563</v>
      </c>
      <c r="P1023" t="n">
        <v>-57690.37354226387</v>
      </c>
      <c r="Q1023">
        <f>'_live'!$C$24</f>
        <v/>
      </c>
      <c r="R1023" t="inlineStr">
        <is>
          <t>shuffled: 4,431 of 10,000</t>
        </is>
      </c>
      <c r="S1023" t="inlineStr">
        <is>
          <t>shuffled: 3,232 of 10,000</t>
        </is>
      </c>
      <c r="T1023" t="n">
        <v>0.1694122279051348</v>
      </c>
      <c r="U1023" t="n">
        <v>0.1676269685647625</v>
      </c>
      <c r="V1023">
        <f>AND(judged_band,NOT($J1023))</f>
        <v/>
      </c>
      <c r="W1023">
        <f>IF($K1023="","",IF(profit_kind="test",IF(OR(NOT(AND(ISNUMBER($L1023),$L1023&lt;significance_bar)),$K1023=0),"in line",IF($K1023&lt;0,"worse","better")),IF(OR($K1023=0,IF(profit_kind="points",ABS($K1023),ABS($K1023*$H1023))&lt;profit_line*(1-1E-9)),"in line",IF(AND(ISNUMBER($L1023),$L1023&lt;significance_bar),IF($K1023&lt;0,"worse","better"),IF($K1023&lt;0,"worse, not significant","better, not significant")))))</f>
        <v/>
      </c>
      <c r="X1023">
        <f>IF($M1023="","",IF(profit_kind="test",IF(OR(NOT(AND(ISNUMBER($N1023),$N1023&lt;significance_bar)),$M1023=0),"in line",IF($M1023&lt;0,"worse","better")),IF(OR($M1023=0,IF(profit_kind="points",ABS($M1023),ABS($M1023*$H1023))&lt;profit_line*(1-1E-9)),"in line",IF(AND(ISNUMBER($N1023),$N1023&lt;significance_bar),IF($M1023&lt;0,"worse","better"),IF($M1023&lt;0,"worse, not significant","better, not significant")))))</f>
        <v/>
      </c>
      <c r="Y1023">
        <f>IF($V1023,$X1023,$W1023)</f>
        <v/>
      </c>
      <c r="Z1023">
        <f>IF($V1023,IF($P1023="","",$P1023),IF($O1023="","",$O1023))</f>
        <v/>
      </c>
      <c r="AA1023">
        <f>IF(OR($Q1023="",$Z1023=""),"",IF(AND($Z1023&gt;0,$Z1023&gt;=$Q1023),"yes","below the line"))</f>
        <v/>
      </c>
      <c r="AB1023">
        <f>IF($V1023,IF($M1023="","",$M1023),IF($K1023="","",$K1023))</f>
        <v/>
      </c>
      <c r="AC1023">
        <f>IF($V1023,IF($N1023="","",$N1023),IF($L1023="","",$L1023))</f>
        <v/>
      </c>
      <c r="AD1023">
        <f>IF($Y1023="","",IF($Y1023="in line",IF(profit_kind="test",IF(ROUND($AB1023*100,2)=0,"0.00",TEXT($AB1023*100,"+0.00;-0.00"))&amp;" points against "&amp;IF($V1023,"its band","the book")&amp;", "&amp;IF($AC1023="","not tested","not significant"),IF(profit_kind="points","within "&amp;TEXT(profit_line*100,"0.00")&amp;" points of "&amp;IF($V1023,"its band","the book")&amp;" ("&amp;IF(ROUND($AB1023*100,2)=0,"0.00",TEXT($AB1023*100,"+0.00;-0.00"))&amp;")","within $"&amp;TEXT(profit_line,"#,##0")&amp;" of "&amp;IF($V1023,"its band","the book")&amp;" ("&amp;IF(ROUND($AB1023*100,2)=0,"0.00",TEXT($AB1023*100,"+0.00;-0.00"))&amp;" points)")),IF(LEFT($Y1023,5)="worse","short of ","ahead of ")&amp;IF($V1023,"its band","the book")&amp;" by "&amp;TEXT(ABS($AB1023)*100,"0.00")&amp;" points"&amp;IF($Z1023="",""," ($"&amp;TEXT(ABS($Z1023),"#,##0")&amp;")")&amp;IF(RIGHT($Y1023,15)="not significant"," (not significant)","")))</f>
        <v/>
      </c>
      <c r="AE1023">
        <f>IF($V1023,IF($S1023="","",$S1023),IF($R1023="","",$R1023))</f>
        <v/>
      </c>
      <c r="AF1023">
        <f>IF($V1023,IF($U1023="","",$U1023),IF($T1023="","",$T1023))</f>
        <v/>
      </c>
      <c r="AG1023">
        <f>IF($V1023,IF($O1023="","",$O1023),IF($P1023="","",$P1023))</f>
        <v/>
      </c>
      <c r="AH1023" t="n">
        <v>0.1768338794546308</v>
      </c>
      <c r="AI1023">
        <f>IF($Y1023="worse","Yes",IF($Y1023="worse, not significant","Not sure",IF(OR($Y1023="too few losses to test",$Y1023="too few loans to test"),"Too few losses",IF($Y1023="","","No"))))</f>
        <v/>
      </c>
      <c r="AJ1023">
        <f>IF($AA1023="yes","Yes",IF($AA1023="","","No"))</f>
        <v/>
      </c>
    </row>
    <row r="1024">
      <c r="A1024" t="inlineStr">
        <is>
          <t>three-way</t>
        </is>
      </c>
      <c r="B1024" t="inlineStr">
        <is>
          <t>ORIG_BAL x ASSET_CLASS / SYS_FLAG</t>
        </is>
      </c>
      <c r="C1024" t="inlineStr">
        <is>
          <t>37,951 - 49,151</t>
        </is>
      </c>
      <c r="D1024" t="inlineStr">
        <is>
          <t>2 / SYS_FLAG Y</t>
        </is>
      </c>
      <c r="E1024" t="inlineStr">
        <is>
          <t>outcome_loans</t>
        </is>
      </c>
      <c r="F1024" t="inlineStr">
        <is>
          <t>Outcome, share of loans</t>
        </is>
      </c>
      <c r="G1024" t="n">
        <v>199</v>
      </c>
      <c r="H1024" t="n">
        <v>199</v>
      </c>
      <c r="I1024" t="b">
        <v>0</v>
      </c>
      <c r="J1024" t="b">
        <v>0</v>
      </c>
      <c r="K1024" t="n">
        <v>1.106863219753251</v>
      </c>
      <c r="L1024" t="n">
        <v>0.8540289775659338</v>
      </c>
      <c r="M1024" t="n">
        <v>1.022935188764334</v>
      </c>
      <c r="N1024" t="n">
        <v>0.9272766844451185</v>
      </c>
      <c r="O1024" t="n">
        <v>1.641282051282051</v>
      </c>
      <c r="P1024" t="n">
        <v>0.3811563169164884</v>
      </c>
      <c r="Q1024">
        <f>'_live'!$C$20</f>
        <v/>
      </c>
      <c r="R1024" t="inlineStr">
        <is>
          <t>z test</t>
        </is>
      </c>
      <c r="S1024" t="inlineStr">
        <is>
          <t>z test</t>
        </is>
      </c>
      <c r="T1024" t="n">
        <v>0.07717948717948718</v>
      </c>
      <c r="U1024" t="n">
        <v>0.0835117773019272</v>
      </c>
      <c r="V1024">
        <f>AND(judged_band,NOT($J1024))</f>
        <v/>
      </c>
      <c r="W1024">
        <f>IF($K1024="","",IF($I1024,"too few losses to test",IF(AND($K1024&gt;better_at,$K1024&lt;worse_at),"in line",IF($K1024&gt;=worse_at,IF(AND(ISNUMBER($L1024),$L1024&lt;significance_bar),"worse","worse, not significant"),IF(AND(ISNUMBER($L1024),$L1024&lt;significance_bar),"better","better, not significant")))))</f>
        <v/>
      </c>
      <c r="X1024">
        <f>IF($M1024="","",IF($I1024,"too few losses to test",IF(AND($M1024&gt;better_at,$M1024&lt;worse_at),"in line",IF($M1024&gt;=worse_at,IF(AND(ISNUMBER($N1024),$N1024&lt;significance_bar),"worse","worse, not significant"),IF(AND(ISNUMBER($N1024),$N1024&lt;significance_bar),"better","better, not significant")))))</f>
        <v/>
      </c>
      <c r="Y1024">
        <f>IF($V1024,$X1024,$W1024)</f>
        <v/>
      </c>
      <c r="Z1024">
        <f>IF($V1024,IF($P1024="","",$P1024),IF($O1024="","",$O1024))</f>
        <v/>
      </c>
      <c r="AA1024">
        <f>IF(OR($Q1024="",$Z1024=""),"",IF(AND($Z1024&gt;0,$Z1024&gt;=$Q1024),"yes","below the line"))</f>
        <v/>
      </c>
      <c r="AB1024">
        <f>IF($V1024,IF($M1024="","",$M1024),IF($K1024="","",$K1024))</f>
        <v/>
      </c>
      <c r="AC1024">
        <f>IF($V1024,IF($N1024="","",$N1024),IF($L1024="","",$L1024))</f>
        <v/>
      </c>
      <c r="AD1024">
        <f>$Y1024</f>
        <v/>
      </c>
      <c r="AE1024">
        <f>IF($V1024,IF($S1024="","",$S1024),IF($R1024="","",$R1024))</f>
        <v/>
      </c>
      <c r="AF1024">
        <f>IF($V1024,IF($U1024="","",$U1024),IF($T1024="","",$T1024))</f>
        <v/>
      </c>
      <c r="AG1024">
        <f>IF($V1024,IF($O1024="","",$O1024),IF($P1024="","",$P1024))</f>
        <v/>
      </c>
      <c r="AH1024" t="n">
        <v>0.08542713567839195</v>
      </c>
      <c r="AI1024">
        <f>IF($Y1024="worse","Yes",IF($Y1024="worse, not significant","Not sure",IF(OR($Y1024="too few losses to test",$Y1024="too few loans to test"),"Too few losses",IF($Y1024="","","No"))))</f>
        <v/>
      </c>
      <c r="AJ1024">
        <f>IF($AA1024="yes","Yes",IF($AA1024="","","No"))</f>
        <v/>
      </c>
    </row>
    <row r="1025">
      <c r="A1025" t="inlineStr">
        <is>
          <t>three-way</t>
        </is>
      </c>
      <c r="B1025" t="inlineStr">
        <is>
          <t>ORIG_BAL x ASSET_CLASS / SYS_FLAG</t>
        </is>
      </c>
      <c r="C1025" t="inlineStr">
        <is>
          <t>37,951 - 49,151</t>
        </is>
      </c>
      <c r="D1025" t="inlineStr">
        <is>
          <t>2 / SYS_FLAG Y</t>
        </is>
      </c>
      <c r="E1025" t="inlineStr">
        <is>
          <t>outcome_booked</t>
        </is>
      </c>
      <c r="F1025" t="inlineStr">
        <is>
          <t>Outcome, share of booked dollars</t>
        </is>
      </c>
      <c r="G1025" t="n">
        <v>199</v>
      </c>
      <c r="H1025" t="n">
        <v>8656683.530000005</v>
      </c>
      <c r="I1025" t="b">
        <v>0</v>
      </c>
      <c r="J1025" t="b">
        <v>0</v>
      </c>
      <c r="K1025" t="n">
        <v>1.142664628888052</v>
      </c>
      <c r="L1025" t="n">
        <v>0.8613995743282814</v>
      </c>
      <c r="M1025" t="n">
        <v>1.027685056142859</v>
      </c>
      <c r="N1025" t="n">
        <v>0.9408059194080592</v>
      </c>
      <c r="O1025" t="n">
        <v>91973.63437248452</v>
      </c>
      <c r="P1025" t="n">
        <v>19845.00388851867</v>
      </c>
      <c r="Q1025">
        <f>'_live'!$C$21</f>
        <v/>
      </c>
      <c r="R1025" t="inlineStr">
        <is>
          <t>shuffled: 6,174 of 10,000</t>
        </is>
      </c>
      <c r="S1025" t="inlineStr">
        <is>
          <t>shuffled: 9,190 of 10,000</t>
        </is>
      </c>
      <c r="T1025" t="n">
        <v>0.07447242507980593</v>
      </c>
      <c r="U1025" t="n">
        <v>0.08280455715255665</v>
      </c>
      <c r="V1025">
        <f>AND(judged_band,NOT($J1025))</f>
        <v/>
      </c>
      <c r="W1025">
        <f>IF($K1025="","",IF($I1025,"too few losses to test",IF(AND($K1025&gt;better_at,$K1025&lt;worse_at),"in line",IF($K1025&gt;=worse_at,IF(AND(ISNUMBER($L1025),$L1025&lt;significance_bar),"worse","worse, not significant"),IF(AND(ISNUMBER($L1025),$L1025&lt;significance_bar),"better","better, not significant")))))</f>
        <v/>
      </c>
      <c r="X1025">
        <f>IF($M1025="","",IF($I1025,"too few losses to test",IF(AND($M1025&gt;better_at,$M1025&lt;worse_at),"in line",IF($M1025&gt;=worse_at,IF(AND(ISNUMBER($N1025),$N1025&lt;significance_bar),"worse","worse, not significant"),IF(AND(ISNUMBER($N1025),$N1025&lt;significance_bar),"better","better, not significant")))))</f>
        <v/>
      </c>
      <c r="Y1025">
        <f>IF($V1025,$X1025,$W1025)</f>
        <v/>
      </c>
      <c r="Z1025">
        <f>IF($V1025,IF($P1025="","",$P1025),IF($O1025="","",$O1025))</f>
        <v/>
      </c>
      <c r="AA1025">
        <f>IF(OR($Q1025="",$Z1025=""),"",IF(AND($Z1025&gt;0,$Z1025&gt;=$Q1025),"yes","below the line"))</f>
        <v/>
      </c>
      <c r="AB1025">
        <f>IF($V1025,IF($M1025="","",$M1025),IF($K1025="","",$K1025))</f>
        <v/>
      </c>
      <c r="AC1025">
        <f>IF($V1025,IF($N1025="","",$N1025),IF($L1025="","",$L1025))</f>
        <v/>
      </c>
      <c r="AD1025">
        <f>$Y1025</f>
        <v/>
      </c>
      <c r="AE1025">
        <f>IF($V1025,IF($S1025="","",$S1025),IF($R1025="","",$R1025))</f>
        <v/>
      </c>
      <c r="AF1025">
        <f>IF($V1025,IF($U1025="","",$U1025),IF($T1025="","",$T1025))</f>
        <v/>
      </c>
      <c r="AG1025">
        <f>IF($V1025,IF($O1025="","",$O1025),IF($P1025="","",$P1025))</f>
        <v/>
      </c>
      <c r="AH1025" t="n">
        <v>0.08509700596620973</v>
      </c>
      <c r="AI1025">
        <f>IF($Y1025="worse","Yes",IF($Y1025="worse, not significant","Not sure",IF(OR($Y1025="too few losses to test",$Y1025="too few loans to test"),"Too few losses",IF($Y1025="","","No"))))</f>
        <v/>
      </c>
      <c r="AJ1025">
        <f>IF($AA1025="yes","Yes",IF($AA1025="","","No"))</f>
        <v/>
      </c>
    </row>
    <row r="1026">
      <c r="A1026" t="inlineStr">
        <is>
          <t>three-way</t>
        </is>
      </c>
      <c r="B1026" t="inlineStr">
        <is>
          <t>ORIG_BAL x ASSET_CLASS / SYS_FLAG</t>
        </is>
      </c>
      <c r="C1026" t="inlineStr">
        <is>
          <t>37,951 - 49,151</t>
        </is>
      </c>
      <c r="D1026" t="inlineStr">
        <is>
          <t>2 / SYS_FLAG Y</t>
        </is>
      </c>
      <c r="E1026" t="inlineStr">
        <is>
          <t>gco_rate</t>
        </is>
      </c>
      <c r="F1026" t="inlineStr">
        <is>
          <t>GCO per booked dollar</t>
        </is>
      </c>
      <c r="G1026" t="n">
        <v>199</v>
      </c>
      <c r="H1026" t="n">
        <v>8656683.530000005</v>
      </c>
      <c r="I1026" t="b">
        <v>0</v>
      </c>
      <c r="J1026" t="b">
        <v>0</v>
      </c>
      <c r="K1026" t="n">
        <v>1.057177222755247</v>
      </c>
      <c r="L1026" t="n">
        <v>0.9412575983780932</v>
      </c>
      <c r="M1026" t="n">
        <v>0.9306236526995691</v>
      </c>
      <c r="N1026" t="n">
        <v>0.8843115688431157</v>
      </c>
      <c r="O1026" t="n">
        <v>20553.72794885916</v>
      </c>
      <c r="P1026" t="n">
        <v>-28330.39883803925</v>
      </c>
      <c r="Q1026">
        <f>'_live'!$C$22</f>
        <v/>
      </c>
      <c r="R1026" t="inlineStr">
        <is>
          <t>shuffled: 8,456 of 10,000</t>
        </is>
      </c>
      <c r="S1026" t="inlineStr">
        <is>
          <t>shuffled: 7,918 of 10,000</t>
        </is>
      </c>
      <c r="T1026" t="n">
        <v>0.04152560860118917</v>
      </c>
      <c r="U1026" t="n">
        <v>0.04717258952841019</v>
      </c>
      <c r="V1026">
        <f>AND(judged_band,NOT($J1026))</f>
        <v/>
      </c>
      <c r="W1026">
        <f>IF($K1026="","",IF($I1026,"too few losses to test",IF(AND($K1026&gt;better_at,$K1026&lt;worse_at),"in line",IF($K1026&gt;=worse_at,IF(AND(ISNUMBER($L1026),$L1026&lt;significance_bar),"worse","worse, not significant"),IF(AND(ISNUMBER($L1026),$L1026&lt;significance_bar),"better","better, not significant")))))</f>
        <v/>
      </c>
      <c r="X1026">
        <f>IF($M1026="","",IF($I1026,"too few losses to test",IF(AND($M1026&gt;better_at,$M1026&lt;worse_at),"in line",IF($M1026&gt;=worse_at,IF(AND(ISNUMBER($N1026),$N1026&lt;significance_bar),"worse","worse, not significant"),IF(AND(ISNUMBER($N1026),$N1026&lt;significance_bar),"better","better, not significant")))))</f>
        <v/>
      </c>
      <c r="Y1026">
        <f>IF($V1026,$X1026,$W1026)</f>
        <v/>
      </c>
      <c r="Z1026">
        <f>IF($V1026,IF($P1026="","",$P1026),IF($O1026="","",$O1026))</f>
        <v/>
      </c>
      <c r="AA1026">
        <f>IF(OR($Q1026="",$Z1026=""),"",IF(AND($Z1026&gt;0,$Z1026&gt;=$Q1026),"yes","below the line"))</f>
        <v/>
      </c>
      <c r="AB1026">
        <f>IF($V1026,IF($M1026="","",$M1026),IF($K1026="","",$K1026))</f>
        <v/>
      </c>
      <c r="AC1026">
        <f>IF($V1026,IF($N1026="","",$N1026),IF($L1026="","",$L1026))</f>
        <v/>
      </c>
      <c r="AD1026">
        <f>$Y1026</f>
        <v/>
      </c>
      <c r="AE1026">
        <f>IF($V1026,IF($S1026="","",$S1026),IF($R1026="","",$R1026))</f>
        <v/>
      </c>
      <c r="AF1026">
        <f>IF($V1026,IF($U1026="","",$U1026),IF($T1026="","",$T1026))</f>
        <v/>
      </c>
      <c r="AG1026">
        <f>IF($V1026,IF($O1026="","",$O1026),IF($P1026="","",$P1026))</f>
        <v/>
      </c>
      <c r="AH1026" t="n">
        <v>0.04389992757422654</v>
      </c>
      <c r="AI1026">
        <f>IF($Y1026="worse","Yes",IF($Y1026="worse, not significant","Not sure",IF(OR($Y1026="too few losses to test",$Y1026="too few loans to test"),"Too few losses",IF($Y1026="","","No"))))</f>
        <v/>
      </c>
      <c r="AJ1026">
        <f>IF($AA1026="yes","Yes",IF($AA1026="","","No"))</f>
        <v/>
      </c>
    </row>
    <row r="1027">
      <c r="A1027" t="inlineStr">
        <is>
          <t>three-way</t>
        </is>
      </c>
      <c r="B1027" t="inlineStr">
        <is>
          <t>ORIG_BAL x ASSET_CLASS / SYS_FLAG</t>
        </is>
      </c>
      <c r="C1027" t="inlineStr">
        <is>
          <t>37,951 - 49,151</t>
        </is>
      </c>
      <c r="D1027" t="inlineStr">
        <is>
          <t>2 / SYS_FLAG Y</t>
        </is>
      </c>
      <c r="E1027" t="inlineStr">
        <is>
          <t>ranr_rate</t>
        </is>
      </c>
      <c r="F1027" t="inlineStr">
        <is>
          <t>Profit after losses: RANR per booked dollar</t>
        </is>
      </c>
      <c r="G1027" t="n">
        <v>199</v>
      </c>
      <c r="H1027" t="n">
        <v>8656683.530000005</v>
      </c>
      <c r="I1027" t="b">
        <v>0</v>
      </c>
      <c r="J1027" t="b">
        <v>0</v>
      </c>
      <c r="K1027" t="n">
        <v>-0.004150044133498149</v>
      </c>
      <c r="L1027" t="n">
        <v>0.9053453628996073</v>
      </c>
      <c r="M1027" t="n">
        <v>0.001770663017938906</v>
      </c>
      <c r="N1027" t="n">
        <v>0.9519048095190481</v>
      </c>
      <c r="O1027" t="n">
        <v>35925.61869922653</v>
      </c>
      <c r="P1027" t="n">
        <v>-15328.06938457186</v>
      </c>
      <c r="Q1027">
        <f>'_live'!$C$23</f>
        <v/>
      </c>
      <c r="R1027" t="inlineStr">
        <is>
          <t>shuffled: 7,754 of 10,000</t>
        </is>
      </c>
      <c r="S1027" t="inlineStr">
        <is>
          <t>shuffled: 9,065 of 10,000</t>
        </is>
      </c>
      <c r="T1027" t="n">
        <v>0.128129259300672</v>
      </c>
      <c r="U1027" t="n">
        <v>0.122208552149235</v>
      </c>
      <c r="V1027">
        <f>AND(judged_band,NOT($J1027))</f>
        <v/>
      </c>
      <c r="W1027">
        <f>IF($K1027="","",IF(profit_kind="test",IF(OR(NOT(AND(ISNUMBER($L1027),$L1027&lt;significance_bar)),$K1027=0),"in line",IF($K1027&lt;0,"worse","better")),IF(OR($K1027=0,IF(profit_kind="points",ABS($K1027),ABS($K1027*$H1027))&lt;profit_line*(1-1E-9)),"in line",IF(AND(ISNUMBER($L1027),$L1027&lt;significance_bar),IF($K1027&lt;0,"worse","better"),IF($K1027&lt;0,"worse, not significant","better, not significant")))))</f>
        <v/>
      </c>
      <c r="X1027">
        <f>IF($M1027="","",IF(profit_kind="test",IF(OR(NOT(AND(ISNUMBER($N1027),$N1027&lt;significance_bar)),$M1027=0),"in line",IF($M1027&lt;0,"worse","better")),IF(OR($M1027=0,IF(profit_kind="points",ABS($M1027),ABS($M1027*$H1027))&lt;profit_line*(1-1E-9)),"in line",IF(AND(ISNUMBER($N1027),$N1027&lt;significance_bar),IF($M1027&lt;0,"worse","better"),IF($M1027&lt;0,"worse, not significant","better, not significant")))))</f>
        <v/>
      </c>
      <c r="Y1027">
        <f>IF($V1027,$X1027,$W1027)</f>
        <v/>
      </c>
      <c r="Z1027">
        <f>IF($V1027,IF($P1027="","",$P1027),IF($O1027="","",$O1027))</f>
        <v/>
      </c>
      <c r="AA1027">
        <f>IF(OR($Q1027="",$Z1027=""),"",IF(AND($Z1027&gt;0,$Z1027&gt;=$Q1027),"yes","below the line"))</f>
        <v/>
      </c>
      <c r="AB1027">
        <f>IF($V1027,IF($M1027="","",$M1027),IF($K1027="","",$K1027))</f>
        <v/>
      </c>
      <c r="AC1027">
        <f>IF($V1027,IF($N1027="","",$N1027),IF($L1027="","",$L1027))</f>
        <v/>
      </c>
      <c r="AD1027">
        <f>IF($Y1027="","",IF($Y1027="in line",IF(profit_kind="test",IF(ROUND($AB1027*100,2)=0,"0.00",TEXT($AB1027*100,"+0.00;-0.00"))&amp;" points against "&amp;IF($V1027,"its band","the book")&amp;", "&amp;IF($AC1027="","not tested","not significant"),IF(profit_kind="points","within "&amp;TEXT(profit_line*100,"0.00")&amp;" points of "&amp;IF($V1027,"its band","the book")&amp;" ("&amp;IF(ROUND($AB1027*100,2)=0,"0.00",TEXT($AB1027*100,"+0.00;-0.00"))&amp;")","within $"&amp;TEXT(profit_line,"#,##0")&amp;" of "&amp;IF($V1027,"its band","the book")&amp;" ("&amp;IF(ROUND($AB1027*100,2)=0,"0.00",TEXT($AB1027*100,"+0.00;-0.00"))&amp;" points)")),IF(LEFT($Y1027,5)="worse","short of ","ahead of ")&amp;IF($V1027,"its band","the book")&amp;" by "&amp;TEXT(ABS($AB1027)*100,"0.00")&amp;" points"&amp;IF($Z1027="",""," ($"&amp;TEXT(ABS($Z1027),"#,##0")&amp;")")&amp;IF(RIGHT($Y1027,15)="not significant"," (not significant)","")))</f>
        <v/>
      </c>
      <c r="AE1027">
        <f>IF($V1027,IF($S1027="","",$S1027),IF($R1027="","",$R1027))</f>
        <v/>
      </c>
      <c r="AF1027">
        <f>IF($V1027,IF($U1027="","",$U1027),IF($T1027="","",$T1027))</f>
        <v/>
      </c>
      <c r="AG1027">
        <f>IF($V1027,IF($O1027="","",$O1027),IF($P1027="","",$P1027))</f>
        <v/>
      </c>
      <c r="AH1027" t="n">
        <v>0.1239792151671739</v>
      </c>
      <c r="AI1027">
        <f>IF($Y1027="worse","Yes",IF($Y1027="worse, not significant","Not sure",IF(OR($Y1027="too few losses to test",$Y1027="too few loans to test"),"Too few losses",IF($Y1027="","","No"))))</f>
        <v/>
      </c>
      <c r="AJ1027">
        <f>IF($AA1027="yes","Yes",IF($AA1027="","","No"))</f>
        <v/>
      </c>
    </row>
    <row r="1028">
      <c r="A1028" t="inlineStr">
        <is>
          <t>three-way</t>
        </is>
      </c>
      <c r="B1028" t="inlineStr">
        <is>
          <t>ORIG_BAL x ASSET_CLASS / SYS_FLAG</t>
        </is>
      </c>
      <c r="C1028" t="inlineStr">
        <is>
          <t>37,951 - 49,151</t>
        </is>
      </c>
      <c r="D1028" t="inlineStr">
        <is>
          <t>2 / SYS_FLAG Y</t>
        </is>
      </c>
      <c r="E1028" t="inlineStr">
        <is>
          <t>contribution_rate</t>
        </is>
      </c>
      <c r="F1028" t="inlineStr">
        <is>
          <t>Contribution before losses per booked dollar</t>
        </is>
      </c>
      <c r="G1028" t="n">
        <v>199</v>
      </c>
      <c r="H1028" t="n">
        <v>8656683.530000005</v>
      </c>
      <c r="I1028" t="b">
        <v>0</v>
      </c>
      <c r="J1028" t="b">
        <v>0</v>
      </c>
      <c r="K1028" t="n">
        <v>-0.001772788811756493</v>
      </c>
      <c r="L1028" t="n">
        <v>0.9955004499550044</v>
      </c>
      <c r="M1028" t="n">
        <v>-0.00148614353272275</v>
      </c>
      <c r="N1028" t="n">
        <v>0.9516886149222916</v>
      </c>
      <c r="O1028" t="n">
        <v>15346.47170890076</v>
      </c>
      <c r="P1028" t="n">
        <v>12865.07424293715</v>
      </c>
      <c r="Q1028">
        <f>'_live'!$C$24</f>
        <v/>
      </c>
      <c r="R1028" t="inlineStr">
        <is>
          <t>shuffled: 8,509 of 10,000</t>
        </is>
      </c>
      <c r="S1028" t="inlineStr">
        <is>
          <t>shuffled: 8,729 of 10,000</t>
        </is>
      </c>
      <c r="T1028" t="n">
        <v>0.1696519315531567</v>
      </c>
      <c r="U1028" t="n">
        <v>0.169365286274123</v>
      </c>
      <c r="V1028">
        <f>AND(judged_band,NOT($J1028))</f>
        <v/>
      </c>
      <c r="W1028">
        <f>IF($K1028="","",IF(profit_kind="test",IF(OR(NOT(AND(ISNUMBER($L1028),$L1028&lt;significance_bar)),$K1028=0),"in line",IF($K1028&lt;0,"worse","better")),IF(OR($K1028=0,IF(profit_kind="points",ABS($K1028),ABS($K1028*$H1028))&lt;profit_line*(1-1E-9)),"in line",IF(AND(ISNUMBER($L1028),$L1028&lt;significance_bar),IF($K1028&lt;0,"worse","better"),IF($K1028&lt;0,"worse, not significant","better, not significant")))))</f>
        <v/>
      </c>
      <c r="X1028">
        <f>IF($M1028="","",IF(profit_kind="test",IF(OR(NOT(AND(ISNUMBER($N1028),$N1028&lt;significance_bar)),$M1028=0),"in line",IF($M1028&lt;0,"worse","better")),IF(OR($M1028=0,IF(profit_kind="points",ABS($M1028),ABS($M1028*$H1028))&lt;profit_line*(1-1E-9)),"in line",IF(AND(ISNUMBER($N1028),$N1028&lt;significance_bar),IF($M1028&lt;0,"worse","better"),IF($M1028&lt;0,"worse, not significant","better, not significant")))))</f>
        <v/>
      </c>
      <c r="Y1028">
        <f>IF($V1028,$X1028,$W1028)</f>
        <v/>
      </c>
      <c r="Z1028">
        <f>IF($V1028,IF($P1028="","",$P1028),IF($O1028="","",$O1028))</f>
        <v/>
      </c>
      <c r="AA1028">
        <f>IF(OR($Q1028="",$Z1028=""),"",IF(AND($Z1028&gt;0,$Z1028&gt;=$Q1028),"yes","below the line"))</f>
        <v/>
      </c>
      <c r="AB1028">
        <f>IF($V1028,IF($M1028="","",$M1028),IF($K1028="","",$K1028))</f>
        <v/>
      </c>
      <c r="AC1028">
        <f>IF($V1028,IF($N1028="","",$N1028),IF($L1028="","",$L1028))</f>
        <v/>
      </c>
      <c r="AD1028">
        <f>IF($Y1028="","",IF($Y1028="in line",IF(profit_kind="test",IF(ROUND($AB1028*100,2)=0,"0.00",TEXT($AB1028*100,"+0.00;-0.00"))&amp;" points against "&amp;IF($V1028,"its band","the book")&amp;", "&amp;IF($AC1028="","not tested","not significant"),IF(profit_kind="points","within "&amp;TEXT(profit_line*100,"0.00")&amp;" points of "&amp;IF($V1028,"its band","the book")&amp;" ("&amp;IF(ROUND($AB1028*100,2)=0,"0.00",TEXT($AB1028*100,"+0.00;-0.00"))&amp;")","within $"&amp;TEXT(profit_line,"#,##0")&amp;" of "&amp;IF($V1028,"its band","the book")&amp;" ("&amp;IF(ROUND($AB1028*100,2)=0,"0.00",TEXT($AB1028*100,"+0.00;-0.00"))&amp;" points)")),IF(LEFT($Y1028,5)="worse","short of ","ahead of ")&amp;IF($V1028,"its band","the book")&amp;" by "&amp;TEXT(ABS($AB1028)*100,"0.00")&amp;" points"&amp;IF($Z1028="",""," ($"&amp;TEXT(ABS($Z1028),"#,##0")&amp;")")&amp;IF(RIGHT($Y1028,15)="not significant"," (not significant)","")))</f>
        <v/>
      </c>
      <c r="AE1028">
        <f>IF($V1028,IF($S1028="","",$S1028),IF($R1028="","",$R1028))</f>
        <v/>
      </c>
      <c r="AF1028">
        <f>IF($V1028,IF($U1028="","",$U1028),IF($T1028="","",$T1028))</f>
        <v/>
      </c>
      <c r="AG1028">
        <f>IF($V1028,IF($O1028="","",$O1028),IF($P1028="","",$P1028))</f>
        <v/>
      </c>
      <c r="AH1028" t="n">
        <v>0.1678791427414002</v>
      </c>
      <c r="AI1028">
        <f>IF($Y1028="worse","Yes",IF($Y1028="worse, not significant","Not sure",IF(OR($Y1028="too few losses to test",$Y1028="too few loans to test"),"Too few losses",IF($Y1028="","","No"))))</f>
        <v/>
      </c>
      <c r="AJ1028">
        <f>IF($AA1028="yes","Yes",IF($AA1028="","","No"))</f>
        <v/>
      </c>
    </row>
    <row r="1029">
      <c r="A1029" t="inlineStr">
        <is>
          <t>three-way</t>
        </is>
      </c>
      <c r="B1029" t="inlineStr">
        <is>
          <t>ORIG_BAL x ASSET_CLASS / SYS_FLAG</t>
        </is>
      </c>
      <c r="C1029" t="inlineStr">
        <is>
          <t>15,449 - 26,323</t>
        </is>
      </c>
      <c r="D1029" t="inlineStr">
        <is>
          <t>1 / SYS_FLAG N</t>
        </is>
      </c>
      <c r="E1029" t="inlineStr">
        <is>
          <t>outcome_loans</t>
        </is>
      </c>
      <c r="F1029" t="inlineStr">
        <is>
          <t>Outcome, share of loans</t>
        </is>
      </c>
      <c r="G1029" t="n">
        <v>224</v>
      </c>
      <c r="H1029" t="n">
        <v>224</v>
      </c>
      <c r="I1029" t="b">
        <v>0</v>
      </c>
      <c r="J1029" t="b">
        <v>0</v>
      </c>
      <c r="K1029" t="n">
        <v>1.039562039458046</v>
      </c>
      <c r="L1029" t="n">
        <v>0.9236193584335483</v>
      </c>
      <c r="M1029" t="n">
        <v>0.8440567066521265</v>
      </c>
      <c r="N1029" t="n">
        <v>0.6654389578645733</v>
      </c>
      <c r="O1029" t="n">
        <v>0.6850160771704168</v>
      </c>
      <c r="P1029" t="n">
        <v>-3.325581395348838</v>
      </c>
      <c r="Q1029">
        <f>'_live'!$C$20</f>
        <v/>
      </c>
      <c r="R1029" t="inlineStr">
        <is>
          <t>z test</t>
        </is>
      </c>
      <c r="S1029" t="inlineStr">
        <is>
          <t>z test</t>
        </is>
      </c>
      <c r="T1029" t="n">
        <v>0.07729903536977492</v>
      </c>
      <c r="U1029" t="n">
        <v>0.09520348837209303</v>
      </c>
      <c r="V1029">
        <f>AND(judged_band,NOT($J1029))</f>
        <v/>
      </c>
      <c r="W1029">
        <f>IF($K1029="","",IF($I1029,"too few losses to test",IF(AND($K1029&gt;better_at,$K1029&lt;worse_at),"in line",IF($K1029&gt;=worse_at,IF(AND(ISNUMBER($L1029),$L1029&lt;significance_bar),"worse","worse, not significant"),IF(AND(ISNUMBER($L1029),$L1029&lt;significance_bar),"better","better, not significant")))))</f>
        <v/>
      </c>
      <c r="X1029">
        <f>IF($M1029="","",IF($I1029,"too few losses to test",IF(AND($M1029&gt;better_at,$M1029&lt;worse_at),"in line",IF($M1029&gt;=worse_at,IF(AND(ISNUMBER($N1029),$N1029&lt;significance_bar),"worse","worse, not significant"),IF(AND(ISNUMBER($N1029),$N1029&lt;significance_bar),"better","better, not significant")))))</f>
        <v/>
      </c>
      <c r="Y1029">
        <f>IF($V1029,$X1029,$W1029)</f>
        <v/>
      </c>
      <c r="Z1029">
        <f>IF($V1029,IF($P1029="","",$P1029),IF($O1029="","",$O1029))</f>
        <v/>
      </c>
      <c r="AA1029">
        <f>IF(OR($Q1029="",$Z1029=""),"",IF(AND($Z1029&gt;0,$Z1029&gt;=$Q1029),"yes","below the line"))</f>
        <v/>
      </c>
      <c r="AB1029">
        <f>IF($V1029,IF($M1029="","",$M1029),IF($K1029="","",$K1029))</f>
        <v/>
      </c>
      <c r="AC1029">
        <f>IF($V1029,IF($N1029="","",$N1029),IF($L1029="","",$L1029))</f>
        <v/>
      </c>
      <c r="AD1029">
        <f>$Y1029</f>
        <v/>
      </c>
      <c r="AE1029">
        <f>IF($V1029,IF($S1029="","",$S1029),IF($R1029="","",$R1029))</f>
        <v/>
      </c>
      <c r="AF1029">
        <f>IF($V1029,IF($U1029="","",$U1029),IF($T1029="","",$T1029))</f>
        <v/>
      </c>
      <c r="AG1029">
        <f>IF($V1029,IF($O1029="","",$O1029),IF($P1029="","",$P1029))</f>
        <v/>
      </c>
      <c r="AH1029" t="n">
        <v>0.08035714285714286</v>
      </c>
      <c r="AI1029">
        <f>IF($Y1029="worse","Yes",IF($Y1029="worse, not significant","Not sure",IF(OR($Y1029="too few losses to test",$Y1029="too few loans to test"),"Too few losses",IF($Y1029="","","No"))))</f>
        <v/>
      </c>
      <c r="AJ1029">
        <f>IF($AA1029="yes","Yes",IF($AA1029="","","No"))</f>
        <v/>
      </c>
    </row>
    <row r="1030">
      <c r="A1030" t="inlineStr">
        <is>
          <t>three-way</t>
        </is>
      </c>
      <c r="B1030" t="inlineStr">
        <is>
          <t>ORIG_BAL x ASSET_CLASS / SYS_FLAG</t>
        </is>
      </c>
      <c r="C1030" t="inlineStr">
        <is>
          <t>15,449 - 26,323</t>
        </is>
      </c>
      <c r="D1030" t="inlineStr">
        <is>
          <t>1 / SYS_FLAG N</t>
        </is>
      </c>
      <c r="E1030" t="inlineStr">
        <is>
          <t>outcome_booked</t>
        </is>
      </c>
      <c r="F1030" t="inlineStr">
        <is>
          <t>Outcome, share of booked dollars</t>
        </is>
      </c>
      <c r="G1030" t="n">
        <v>224</v>
      </c>
      <c r="H1030" t="n">
        <v>4627592.550000002</v>
      </c>
      <c r="I1030" t="b">
        <v>0</v>
      </c>
      <c r="J1030" t="b">
        <v>0</v>
      </c>
      <c r="K1030" t="n">
        <v>1.082675903092729</v>
      </c>
      <c r="L1030" t="n">
        <v>0.8613995743282814</v>
      </c>
      <c r="M1030" t="n">
        <v>0.843977596492075</v>
      </c>
      <c r="N1030" t="n">
        <v>0.6326407359264073</v>
      </c>
      <c r="O1030" t="n">
        <v>28586.42037380795</v>
      </c>
      <c r="P1030" t="n">
        <v>-69204.6608632562</v>
      </c>
      <c r="Q1030">
        <f>'_live'!$C$21</f>
        <v/>
      </c>
      <c r="R1030" t="inlineStr">
        <is>
          <t>shuffled: 7,471 of 10,000</t>
        </is>
      </c>
      <c r="S1030" t="inlineStr">
        <is>
          <t>shuffled: 4,822 of 10,000</t>
        </is>
      </c>
      <c r="T1030" t="n">
        <v>0.07471808200274502</v>
      </c>
      <c r="U1030" t="n">
        <v>0.09585025390000164</v>
      </c>
      <c r="V1030">
        <f>AND(judged_band,NOT($J1030))</f>
        <v/>
      </c>
      <c r="W1030">
        <f>IF($K1030="","",IF($I1030,"too few losses to test",IF(AND($K1030&gt;better_at,$K1030&lt;worse_at),"in line",IF($K1030&gt;=worse_at,IF(AND(ISNUMBER($L1030),$L1030&lt;significance_bar),"worse","worse, not significant"),IF(AND(ISNUMBER($L1030),$L1030&lt;significance_bar),"better","better, not significant")))))</f>
        <v/>
      </c>
      <c r="X1030">
        <f>IF($M1030="","",IF($I1030,"too few losses to test",IF(AND($M1030&gt;better_at,$M1030&lt;worse_at),"in line",IF($M1030&gt;=worse_at,IF(AND(ISNUMBER($N1030),$N1030&lt;significance_bar),"worse","worse, not significant"),IF(AND(ISNUMBER($N1030),$N1030&lt;significance_bar),"better","better, not significant")))))</f>
        <v/>
      </c>
      <c r="Y1030">
        <f>IF($V1030,$X1030,$W1030)</f>
        <v/>
      </c>
      <c r="Z1030">
        <f>IF($V1030,IF($P1030="","",$P1030),IF($O1030="","",$O1030))</f>
        <v/>
      </c>
      <c r="AA1030">
        <f>IF(OR($Q1030="",$Z1030=""),"",IF(AND($Z1030&gt;0,$Z1030&gt;=$Q1030),"yes","below the line"))</f>
        <v/>
      </c>
      <c r="AB1030">
        <f>IF($V1030,IF($M1030="","",$M1030),IF($K1030="","",$K1030))</f>
        <v/>
      </c>
      <c r="AC1030">
        <f>IF($V1030,IF($N1030="","",$N1030),IF($L1030="","",$L1030))</f>
        <v/>
      </c>
      <c r="AD1030">
        <f>$Y1030</f>
        <v/>
      </c>
      <c r="AE1030">
        <f>IF($V1030,IF($S1030="","",$S1030),IF($R1030="","",$R1030))</f>
        <v/>
      </c>
      <c r="AF1030">
        <f>IF($V1030,IF($U1030="","",$U1030),IF($T1030="","",$T1030))</f>
        <v/>
      </c>
      <c r="AG1030">
        <f>IF($V1030,IF($O1030="","",$O1030),IF($P1030="","",$P1030))</f>
        <v/>
      </c>
      <c r="AH1030" t="n">
        <v>0.08089546690967853</v>
      </c>
      <c r="AI1030">
        <f>IF($Y1030="worse","Yes",IF($Y1030="worse, not significant","Not sure",IF(OR($Y1030="too few losses to test",$Y1030="too few loans to test"),"Too few losses",IF($Y1030="","","No"))))</f>
        <v/>
      </c>
      <c r="AJ1030">
        <f>IF($AA1030="yes","Yes",IF($AA1030="","","No"))</f>
        <v/>
      </c>
    </row>
    <row r="1031">
      <c r="A1031" t="inlineStr">
        <is>
          <t>three-way</t>
        </is>
      </c>
      <c r="B1031" t="inlineStr">
        <is>
          <t>ORIG_BAL x ASSET_CLASS / SYS_FLAG</t>
        </is>
      </c>
      <c r="C1031" t="inlineStr">
        <is>
          <t>15,449 - 26,323</t>
        </is>
      </c>
      <c r="D1031" t="inlineStr">
        <is>
          <t>1 / SYS_FLAG N</t>
        </is>
      </c>
      <c r="E1031" t="inlineStr">
        <is>
          <t>gco_rate</t>
        </is>
      </c>
      <c r="F1031" t="inlineStr">
        <is>
          <t>GCO per booked dollar</t>
        </is>
      </c>
      <c r="G1031" t="n">
        <v>224</v>
      </c>
      <c r="H1031" t="n">
        <v>4627592.550000002</v>
      </c>
      <c r="I1031" t="b">
        <v>0</v>
      </c>
      <c r="J1031" t="b">
        <v>0</v>
      </c>
      <c r="K1031" t="n">
        <v>1.086399205838191</v>
      </c>
      <c r="L1031" t="n">
        <v>0.9412575983780932</v>
      </c>
      <c r="M1031" t="n">
        <v>0.8288144805817711</v>
      </c>
      <c r="N1031" t="n">
        <v>0.7733044877330449</v>
      </c>
      <c r="O1031" t="n">
        <v>16608.89476327752</v>
      </c>
      <c r="P1031" t="n">
        <v>-43135.03124522045</v>
      </c>
      <c r="Q1031">
        <f>'_live'!$C$22</f>
        <v/>
      </c>
      <c r="R1031" t="inlineStr">
        <is>
          <t>shuffled: 7,460 of 10,000</t>
        </is>
      </c>
      <c r="S1031" t="inlineStr">
        <is>
          <t>shuffled: 4,596 of 10,000</t>
        </is>
      </c>
      <c r="T1031" t="n">
        <v>0.04154089694796539</v>
      </c>
      <c r="U1031" t="n">
        <v>0.05445126564680383</v>
      </c>
      <c r="V1031">
        <f>AND(judged_band,NOT($J1031))</f>
        <v/>
      </c>
      <c r="W1031">
        <f>IF($K1031="","",IF($I1031,"too few losses to test",IF(AND($K1031&gt;better_at,$K1031&lt;worse_at),"in line",IF($K1031&gt;=worse_at,IF(AND(ISNUMBER($L1031),$L1031&lt;significance_bar),"worse","worse, not significant"),IF(AND(ISNUMBER($L1031),$L1031&lt;significance_bar),"better","better, not significant")))))</f>
        <v/>
      </c>
      <c r="X1031">
        <f>IF($M1031="","",IF($I1031,"too few losses to test",IF(AND($M1031&gt;better_at,$M1031&lt;worse_at),"in line",IF($M1031&gt;=worse_at,IF(AND(ISNUMBER($N1031),$N1031&lt;significance_bar),"worse","worse, not significant"),IF(AND(ISNUMBER($N1031),$N1031&lt;significance_bar),"better","better, not significant")))))</f>
        <v/>
      </c>
      <c r="Y1031">
        <f>IF($V1031,$X1031,$W1031)</f>
        <v/>
      </c>
      <c r="Z1031">
        <f>IF($V1031,IF($P1031="","",$P1031),IF($O1031="","",$O1031))</f>
        <v/>
      </c>
      <c r="AA1031">
        <f>IF(OR($Q1031="",$Z1031=""),"",IF(AND($Z1031&gt;0,$Z1031&gt;=$Q1031),"yes","below the line"))</f>
        <v/>
      </c>
      <c r="AB1031">
        <f>IF($V1031,IF($M1031="","",$M1031),IF($K1031="","",$K1031))</f>
        <v/>
      </c>
      <c r="AC1031">
        <f>IF($V1031,IF($N1031="","",$N1031),IF($L1031="","",$L1031))</f>
        <v/>
      </c>
      <c r="AD1031">
        <f>$Y1031</f>
        <v/>
      </c>
      <c r="AE1031">
        <f>IF($V1031,IF($S1031="","",$S1031),IF($R1031="","",$R1031))</f>
        <v/>
      </c>
      <c r="AF1031">
        <f>IF($V1031,IF($U1031="","",$U1031),IF($T1031="","",$T1031))</f>
        <v/>
      </c>
      <c r="AG1031">
        <f>IF($V1031,IF($O1031="","",$O1031),IF($P1031="","",$P1031))</f>
        <v/>
      </c>
      <c r="AH1031" t="n">
        <v>0.04512999745407575</v>
      </c>
      <c r="AI1031">
        <f>IF($Y1031="worse","Yes",IF($Y1031="worse, not significant","Not sure",IF(OR($Y1031="too few losses to test",$Y1031="too few loans to test"),"Too few losses",IF($Y1031="","","No"))))</f>
        <v/>
      </c>
      <c r="AJ1031">
        <f>IF($AA1031="yes","Yes",IF($AA1031="","","No"))</f>
        <v/>
      </c>
    </row>
    <row r="1032">
      <c r="A1032" t="inlineStr">
        <is>
          <t>three-way</t>
        </is>
      </c>
      <c r="B1032" t="inlineStr">
        <is>
          <t>ORIG_BAL x ASSET_CLASS / SYS_FLAG</t>
        </is>
      </c>
      <c r="C1032" t="inlineStr">
        <is>
          <t>15,449 - 26,323</t>
        </is>
      </c>
      <c r="D1032" t="inlineStr">
        <is>
          <t>1 / SYS_FLAG N</t>
        </is>
      </c>
      <c r="E1032" t="inlineStr">
        <is>
          <t>ranr_rate</t>
        </is>
      </c>
      <c r="F1032" t="inlineStr">
        <is>
          <t>Profit after losses: RANR per booked dollar</t>
        </is>
      </c>
      <c r="G1032" t="n">
        <v>224</v>
      </c>
      <c r="H1032" t="n">
        <v>4627592.550000002</v>
      </c>
      <c r="I1032" t="b">
        <v>0</v>
      </c>
      <c r="J1032" t="b">
        <v>0</v>
      </c>
      <c r="K1032" t="n">
        <v>0.0193448189014859</v>
      </c>
      <c r="L1032" t="n">
        <v>0.5192814051928141</v>
      </c>
      <c r="M1032" t="n">
        <v>0.03241854070619977</v>
      </c>
      <c r="N1032" t="n">
        <v>0.19553600195536</v>
      </c>
      <c r="O1032" t="n">
        <v>-89519.93982961541</v>
      </c>
      <c r="P1032" t="n">
        <v>-150019.7974538819</v>
      </c>
      <c r="Q1032">
        <f>'_live'!$C$23</f>
        <v/>
      </c>
      <c r="R1032" t="inlineStr">
        <is>
          <t>shuffled: 1,557 of 10,000</t>
        </is>
      </c>
      <c r="S1032" t="inlineStr">
        <is>
          <t>shuffled: 245 of 10,000</t>
        </is>
      </c>
      <c r="T1032" t="n">
        <v>0.1276431651637923</v>
      </c>
      <c r="U1032" t="n">
        <v>0.1145694433590784</v>
      </c>
      <c r="V1032">
        <f>AND(judged_band,NOT($J1032))</f>
        <v/>
      </c>
      <c r="W1032">
        <f>IF($K1032="","",IF(profit_kind="test",IF(OR(NOT(AND(ISNUMBER($L1032),$L1032&lt;significance_bar)),$K1032=0),"in line",IF($K1032&lt;0,"worse","better")),IF(OR($K1032=0,IF(profit_kind="points",ABS($K1032),ABS($K1032*$H1032))&lt;profit_line*(1-1E-9)),"in line",IF(AND(ISNUMBER($L1032),$L1032&lt;significance_bar),IF($K1032&lt;0,"worse","better"),IF($K1032&lt;0,"worse, not significant","better, not significant")))))</f>
        <v/>
      </c>
      <c r="X1032">
        <f>IF($M1032="","",IF(profit_kind="test",IF(OR(NOT(AND(ISNUMBER($N1032),$N1032&lt;significance_bar)),$M1032=0),"in line",IF($M1032&lt;0,"worse","better")),IF(OR($M1032=0,IF(profit_kind="points",ABS($M1032),ABS($M1032*$H1032))&lt;profit_line*(1-1E-9)),"in line",IF(AND(ISNUMBER($N1032),$N1032&lt;significance_bar),IF($M1032&lt;0,"worse","better"),IF($M1032&lt;0,"worse, not significant","better, not significant")))))</f>
        <v/>
      </c>
      <c r="Y1032">
        <f>IF($V1032,$X1032,$W1032)</f>
        <v/>
      </c>
      <c r="Z1032">
        <f>IF($V1032,IF($P1032="","",$P1032),IF($O1032="","",$O1032))</f>
        <v/>
      </c>
      <c r="AA1032">
        <f>IF(OR($Q1032="",$Z1032=""),"",IF(AND($Z1032&gt;0,$Z1032&gt;=$Q1032),"yes","below the line"))</f>
        <v/>
      </c>
      <c r="AB1032">
        <f>IF($V1032,IF($M1032="","",$M1032),IF($K1032="","",$K1032))</f>
        <v/>
      </c>
      <c r="AC1032">
        <f>IF($V1032,IF($N1032="","",$N1032),IF($L1032="","",$L1032))</f>
        <v/>
      </c>
      <c r="AD1032">
        <f>IF($Y1032="","",IF($Y1032="in line",IF(profit_kind="test",IF(ROUND($AB1032*100,2)=0,"0.00",TEXT($AB1032*100,"+0.00;-0.00"))&amp;" points against "&amp;IF($V1032,"its band","the book")&amp;", "&amp;IF($AC1032="","not tested","not significant"),IF(profit_kind="points","within "&amp;TEXT(profit_line*100,"0.00")&amp;" points of "&amp;IF($V1032,"its band","the book")&amp;" ("&amp;IF(ROUND($AB1032*100,2)=0,"0.00",TEXT($AB1032*100,"+0.00;-0.00"))&amp;")","within $"&amp;TEXT(profit_line,"#,##0")&amp;" of "&amp;IF($V1032,"its band","the book")&amp;" ("&amp;IF(ROUND($AB1032*100,2)=0,"0.00",TEXT($AB1032*100,"+0.00;-0.00"))&amp;" points)")),IF(LEFT($Y1032,5)="worse","short of ","ahead of ")&amp;IF($V1032,"its band","the book")&amp;" by "&amp;TEXT(ABS($AB1032)*100,"0.00")&amp;" points"&amp;IF($Z1032="",""," ($"&amp;TEXT(ABS($Z1032),"#,##0")&amp;")")&amp;IF(RIGHT($Y1032,15)="not significant"," (not significant)","")))</f>
        <v/>
      </c>
      <c r="AE1032">
        <f>IF($V1032,IF($S1032="","",$S1032),IF($R1032="","",$R1032))</f>
        <v/>
      </c>
      <c r="AF1032">
        <f>IF($V1032,IF($U1032="","",$U1032),IF($T1032="","",$T1032))</f>
        <v/>
      </c>
      <c r="AG1032">
        <f>IF($V1032,IF($O1032="","",$O1032),IF($P1032="","",$P1032))</f>
        <v/>
      </c>
      <c r="AH1032" t="n">
        <v>0.1469879840652782</v>
      </c>
      <c r="AI1032">
        <f>IF($Y1032="worse","Yes",IF($Y1032="worse, not significant","Not sure",IF(OR($Y1032="too few losses to test",$Y1032="too few loans to test"),"Too few losses",IF($Y1032="","","No"))))</f>
        <v/>
      </c>
      <c r="AJ1032">
        <f>IF($AA1032="yes","Yes",IF($AA1032="","","No"))</f>
        <v/>
      </c>
    </row>
    <row r="1033">
      <c r="A1033" t="inlineStr">
        <is>
          <t>three-way</t>
        </is>
      </c>
      <c r="B1033" t="inlineStr">
        <is>
          <t>ORIG_BAL x ASSET_CLASS / SYS_FLAG</t>
        </is>
      </c>
      <c r="C1033" t="inlineStr">
        <is>
          <t>15,449 - 26,323</t>
        </is>
      </c>
      <c r="D1033" t="inlineStr">
        <is>
          <t>1 / SYS_FLAG N</t>
        </is>
      </c>
      <c r="E1033" t="inlineStr">
        <is>
          <t>contribution_rate</t>
        </is>
      </c>
      <c r="F1033" t="inlineStr">
        <is>
          <t>Contribution before losses per booked dollar</t>
        </is>
      </c>
      <c r="G1033" t="n">
        <v>224</v>
      </c>
      <c r="H1033" t="n">
        <v>4627592.550000002</v>
      </c>
      <c r="I1033" t="b">
        <v>0</v>
      </c>
      <c r="J1033" t="b">
        <v>0</v>
      </c>
      <c r="K1033" t="n">
        <v>0.02293688519402076</v>
      </c>
      <c r="L1033" t="n">
        <v>0.137319601373196</v>
      </c>
      <c r="M1033" t="n">
        <v>0.02309727251347168</v>
      </c>
      <c r="N1033" t="n">
        <v>0.377962203779622</v>
      </c>
      <c r="O1033" t="n">
        <v>-106142.5590440559</v>
      </c>
      <c r="P1033" t="n">
        <v>-106884.7662086614</v>
      </c>
      <c r="Q1033">
        <f>'_live'!$C$24</f>
        <v/>
      </c>
      <c r="R1033" t="inlineStr">
        <is>
          <t>shuffled: 102 of 10,000</t>
        </is>
      </c>
      <c r="S1033" t="inlineStr">
        <is>
          <t>shuffled: 100 of 10,000</t>
        </is>
      </c>
      <c r="T1033" t="n">
        <v>0.1691810963253332</v>
      </c>
      <c r="U1033" t="n">
        <v>0.1690207090058823</v>
      </c>
      <c r="V1033">
        <f>AND(judged_band,NOT($J1033))</f>
        <v/>
      </c>
      <c r="W1033">
        <f>IF($K1033="","",IF(profit_kind="test",IF(OR(NOT(AND(ISNUMBER($L1033),$L1033&lt;significance_bar)),$K1033=0),"in line",IF($K1033&lt;0,"worse","better")),IF(OR($K1033=0,IF(profit_kind="points",ABS($K1033),ABS($K1033*$H1033))&lt;profit_line*(1-1E-9)),"in line",IF(AND(ISNUMBER($L1033),$L1033&lt;significance_bar),IF($K1033&lt;0,"worse","better"),IF($K1033&lt;0,"worse, not significant","better, not significant")))))</f>
        <v/>
      </c>
      <c r="X1033">
        <f>IF($M1033="","",IF(profit_kind="test",IF(OR(NOT(AND(ISNUMBER($N1033),$N1033&lt;significance_bar)),$M1033=0),"in line",IF($M1033&lt;0,"worse","better")),IF(OR($M1033=0,IF(profit_kind="points",ABS($M1033),ABS($M1033*$H1033))&lt;profit_line*(1-1E-9)),"in line",IF(AND(ISNUMBER($N1033),$N1033&lt;significance_bar),IF($M1033&lt;0,"worse","better"),IF($M1033&lt;0,"worse, not significant","better, not significant")))))</f>
        <v/>
      </c>
      <c r="Y1033">
        <f>IF($V1033,$X1033,$W1033)</f>
        <v/>
      </c>
      <c r="Z1033">
        <f>IF($V1033,IF($P1033="","",$P1033),IF($O1033="","",$O1033))</f>
        <v/>
      </c>
      <c r="AA1033">
        <f>IF(OR($Q1033="",$Z1033=""),"",IF(AND($Z1033&gt;0,$Z1033&gt;=$Q1033),"yes","below the line"))</f>
        <v/>
      </c>
      <c r="AB1033">
        <f>IF($V1033,IF($M1033="","",$M1033),IF($K1033="","",$K1033))</f>
        <v/>
      </c>
      <c r="AC1033">
        <f>IF($V1033,IF($N1033="","",$N1033),IF($L1033="","",$L1033))</f>
        <v/>
      </c>
      <c r="AD1033">
        <f>IF($Y1033="","",IF($Y1033="in line",IF(profit_kind="test",IF(ROUND($AB1033*100,2)=0,"0.00",TEXT($AB1033*100,"+0.00;-0.00"))&amp;" points against "&amp;IF($V1033,"its band","the book")&amp;", "&amp;IF($AC1033="","not tested","not significant"),IF(profit_kind="points","within "&amp;TEXT(profit_line*100,"0.00")&amp;" points of "&amp;IF($V1033,"its band","the book")&amp;" ("&amp;IF(ROUND($AB1033*100,2)=0,"0.00",TEXT($AB1033*100,"+0.00;-0.00"))&amp;")","within $"&amp;TEXT(profit_line,"#,##0")&amp;" of "&amp;IF($V1033,"its band","the book")&amp;" ("&amp;IF(ROUND($AB1033*100,2)=0,"0.00",TEXT($AB1033*100,"+0.00;-0.00"))&amp;" points)")),IF(LEFT($Y1033,5)="worse","short of ","ahead of ")&amp;IF($V1033,"its band","the book")&amp;" by "&amp;TEXT(ABS($AB1033)*100,"0.00")&amp;" points"&amp;IF($Z1033="",""," ($"&amp;TEXT(ABS($Z1033),"#,##0")&amp;")")&amp;IF(RIGHT($Y1033,15)="not significant"," (not significant)","")))</f>
        <v/>
      </c>
      <c r="AE1033">
        <f>IF($V1033,IF($S1033="","",$S1033),IF($R1033="","",$R1033))</f>
        <v/>
      </c>
      <c r="AF1033">
        <f>IF($V1033,IF($U1033="","",$U1033),IF($T1033="","",$T1033))</f>
        <v/>
      </c>
      <c r="AG1033">
        <f>IF($V1033,IF($O1033="","",$O1033),IF($P1033="","",$P1033))</f>
        <v/>
      </c>
      <c r="AH1033" t="n">
        <v>0.192117981519354</v>
      </c>
      <c r="AI1033">
        <f>IF($Y1033="worse","Yes",IF($Y1033="worse, not significant","Not sure",IF(OR($Y1033="too few losses to test",$Y1033="too few loans to test"),"Too few losses",IF($Y1033="","","No"))))</f>
        <v/>
      </c>
      <c r="AJ1033">
        <f>IF($AA1033="yes","Yes",IF($AA1033="","","No"))</f>
        <v/>
      </c>
    </row>
    <row r="1034">
      <c r="A1034" t="inlineStr">
        <is>
          <t>three-way</t>
        </is>
      </c>
      <c r="B1034" t="inlineStr">
        <is>
          <t>ORIG_BAL x ASSET_CLASS / SYS_FLAG</t>
        </is>
      </c>
      <c r="C1034" t="inlineStr">
        <is>
          <t>26,324 - 37,950</t>
        </is>
      </c>
      <c r="D1034" t="inlineStr">
        <is>
          <t>1 / SYS_FLAG Y</t>
        </is>
      </c>
      <c r="E1034" t="inlineStr">
        <is>
          <t>outcome_loans</t>
        </is>
      </c>
      <c r="F1034" t="inlineStr">
        <is>
          <t>Outcome, share of loans</t>
        </is>
      </c>
      <c r="G1034" t="n">
        <v>173</v>
      </c>
      <c r="H1034" t="n">
        <v>173</v>
      </c>
      <c r="I1034" t="b">
        <v>0</v>
      </c>
      <c r="J1034" t="b">
        <v>0</v>
      </c>
      <c r="K1034" t="n">
        <v>1.046806477810156</v>
      </c>
      <c r="L1034" t="n">
        <v>0.9236193584335483</v>
      </c>
      <c r="M1034" t="n">
        <v>1.201228323699422</v>
      </c>
      <c r="N1034" t="n">
        <v>0.6746753625551811</v>
      </c>
      <c r="O1034" t="n">
        <v>0.6259902887809847</v>
      </c>
      <c r="P1034" t="n">
        <v>2.345263157894736</v>
      </c>
      <c r="Q1034">
        <f>'_live'!$C$20</f>
        <v/>
      </c>
      <c r="R1034" t="inlineStr">
        <is>
          <t>z test</t>
        </is>
      </c>
      <c r="S1034" t="inlineStr">
        <is>
          <t>z test</t>
        </is>
      </c>
      <c r="T1034" t="n">
        <v>0.07730641451571685</v>
      </c>
      <c r="U1034" t="n">
        <v>0.06736842105263158</v>
      </c>
      <c r="V1034">
        <f>AND(judged_band,NOT($J1034))</f>
        <v/>
      </c>
      <c r="W1034">
        <f>IF($K1034="","",IF($I1034,"too few losses to test",IF(AND($K1034&gt;better_at,$K1034&lt;worse_at),"in line",IF($K1034&gt;=worse_at,IF(AND(ISNUMBER($L1034),$L1034&lt;significance_bar),"worse","worse, not significant"),IF(AND(ISNUMBER($L1034),$L1034&lt;significance_bar),"better","better, not significant")))))</f>
        <v/>
      </c>
      <c r="X1034">
        <f>IF($M1034="","",IF($I1034,"too few losses to test",IF(AND($M1034&gt;better_at,$M1034&lt;worse_at),"in line",IF($M1034&gt;=worse_at,IF(AND(ISNUMBER($N1034),$N1034&lt;significance_bar),"worse","worse, not significant"),IF(AND(ISNUMBER($N1034),$N1034&lt;significance_bar),"better","better, not significant")))))</f>
        <v/>
      </c>
      <c r="Y1034">
        <f>IF($V1034,$X1034,$W1034)</f>
        <v/>
      </c>
      <c r="Z1034">
        <f>IF($V1034,IF($P1034="","",$P1034),IF($O1034="","",$O1034))</f>
        <v/>
      </c>
      <c r="AA1034">
        <f>IF(OR($Q1034="",$Z1034=""),"",IF(AND($Z1034&gt;0,$Z1034&gt;=$Q1034),"yes","below the line"))</f>
        <v/>
      </c>
      <c r="AB1034">
        <f>IF($V1034,IF($M1034="","",$M1034),IF($K1034="","",$K1034))</f>
        <v/>
      </c>
      <c r="AC1034">
        <f>IF($V1034,IF($N1034="","",$N1034),IF($L1034="","",$L1034))</f>
        <v/>
      </c>
      <c r="AD1034">
        <f>$Y1034</f>
        <v/>
      </c>
      <c r="AE1034">
        <f>IF($V1034,IF($S1034="","",$S1034),IF($R1034="","",$R1034))</f>
        <v/>
      </c>
      <c r="AF1034">
        <f>IF($V1034,IF($U1034="","",$U1034),IF($T1034="","",$T1034))</f>
        <v/>
      </c>
      <c r="AG1034">
        <f>IF($V1034,IF($O1034="","",$O1034),IF($P1034="","",$P1034))</f>
        <v/>
      </c>
      <c r="AH1034" t="n">
        <v>0.08092485549132948</v>
      </c>
      <c r="AI1034">
        <f>IF($Y1034="worse","Yes",IF($Y1034="worse, not significant","Not sure",IF(OR($Y1034="too few losses to test",$Y1034="too few loans to test"),"Too few losses",IF($Y1034="","","No"))))</f>
        <v/>
      </c>
      <c r="AJ1034">
        <f>IF($AA1034="yes","Yes",IF($AA1034="","","No"))</f>
        <v/>
      </c>
    </row>
    <row r="1035">
      <c r="A1035" t="inlineStr">
        <is>
          <t>three-way</t>
        </is>
      </c>
      <c r="B1035" t="inlineStr">
        <is>
          <t>ORIG_BAL x ASSET_CLASS / SYS_FLAG</t>
        </is>
      </c>
      <c r="C1035" t="inlineStr">
        <is>
          <t>26,324 - 37,950</t>
        </is>
      </c>
      <c r="D1035" t="inlineStr">
        <is>
          <t>1 / SYS_FLAG Y</t>
        </is>
      </c>
      <c r="E1035" t="inlineStr">
        <is>
          <t>outcome_booked</t>
        </is>
      </c>
      <c r="F1035" t="inlineStr">
        <is>
          <t>Outcome, share of booked dollars</t>
        </is>
      </c>
      <c r="G1035" t="n">
        <v>173</v>
      </c>
      <c r="H1035" t="n">
        <v>5589476.359999998</v>
      </c>
      <c r="I1035" t="b">
        <v>0</v>
      </c>
      <c r="J1035" t="b">
        <v>0</v>
      </c>
      <c r="K1035" t="n">
        <v>1.039283631846752</v>
      </c>
      <c r="L1035" t="n">
        <v>0.9198564014566285</v>
      </c>
      <c r="M1035" t="n">
        <v>1.158673135565362</v>
      </c>
      <c r="N1035" t="n">
        <v>0.748109804404175</v>
      </c>
      <c r="O1035" t="n">
        <v>16416.57381609065</v>
      </c>
      <c r="P1035" t="n">
        <v>59476.77956683998</v>
      </c>
      <c r="Q1035">
        <f>'_live'!$C$21</f>
        <v/>
      </c>
      <c r="R1035" t="inlineStr">
        <is>
          <t>shuffled: 8,911 of 10,000</t>
        </is>
      </c>
      <c r="S1035" t="inlineStr">
        <is>
          <t>shuffled: 6,078 of 10,000</t>
        </is>
      </c>
      <c r="T1035" t="n">
        <v>0.07476524619989797</v>
      </c>
      <c r="U1035" t="n">
        <v>0.0670614465991158</v>
      </c>
      <c r="V1035">
        <f>AND(judged_band,NOT($J1035))</f>
        <v/>
      </c>
      <c r="W1035">
        <f>IF($K1035="","",IF($I1035,"too few losses to test",IF(AND($K1035&gt;better_at,$K1035&lt;worse_at),"in line",IF($K1035&gt;=worse_at,IF(AND(ISNUMBER($L1035),$L1035&lt;significance_bar),"worse","worse, not significant"),IF(AND(ISNUMBER($L1035),$L1035&lt;significance_bar),"better","better, not significant")))))</f>
        <v/>
      </c>
      <c r="X1035">
        <f>IF($M1035="","",IF($I1035,"too few losses to test",IF(AND($M1035&gt;better_at,$M1035&lt;worse_at),"in line",IF($M1035&gt;=worse_at,IF(AND(ISNUMBER($N1035),$N1035&lt;significance_bar),"worse","worse, not significant"),IF(AND(ISNUMBER($N1035),$N1035&lt;significance_bar),"better","better, not significant")))))</f>
        <v/>
      </c>
      <c r="Y1035">
        <f>IF($V1035,$X1035,$W1035)</f>
        <v/>
      </c>
      <c r="Z1035">
        <f>IF($V1035,IF($P1035="","",$P1035),IF($O1035="","",$O1035))</f>
        <v/>
      </c>
      <c r="AA1035">
        <f>IF(OR($Q1035="",$Z1035=""),"",IF(AND($Z1035&gt;0,$Z1035&gt;=$Q1035),"yes","below the line"))</f>
        <v/>
      </c>
      <c r="AB1035">
        <f>IF($V1035,IF($M1035="","",$M1035),IF($K1035="","",$K1035))</f>
        <v/>
      </c>
      <c r="AC1035">
        <f>IF($V1035,IF($N1035="","",$N1035),IF($L1035="","",$L1035))</f>
        <v/>
      </c>
      <c r="AD1035">
        <f>$Y1035</f>
        <v/>
      </c>
      <c r="AE1035">
        <f>IF($V1035,IF($S1035="","",$S1035),IF($R1035="","",$R1035))</f>
        <v/>
      </c>
      <c r="AF1035">
        <f>IF($V1035,IF($U1035="","",$U1035),IF($T1035="","",$T1035))</f>
        <v/>
      </c>
      <c r="AG1035">
        <f>IF($V1035,IF($O1035="","",$O1035),IF($P1035="","",$P1035))</f>
        <v/>
      </c>
      <c r="AH1035" t="n">
        <v>0.07770229660654655</v>
      </c>
      <c r="AI1035">
        <f>IF($Y1035="worse","Yes",IF($Y1035="worse, not significant","Not sure",IF(OR($Y1035="too few losses to test",$Y1035="too few loans to test"),"Too few losses",IF($Y1035="","","No"))))</f>
        <v/>
      </c>
      <c r="AJ1035">
        <f>IF($AA1035="yes","Yes",IF($AA1035="","","No"))</f>
        <v/>
      </c>
    </row>
    <row r="1036">
      <c r="A1036" t="inlineStr">
        <is>
          <t>three-way</t>
        </is>
      </c>
      <c r="B1036" t="inlineStr">
        <is>
          <t>ORIG_BAL x ASSET_CLASS / SYS_FLAG</t>
        </is>
      </c>
      <c r="C1036" t="inlineStr">
        <is>
          <t>26,324 - 37,950</t>
        </is>
      </c>
      <c r="D1036" t="inlineStr">
        <is>
          <t>1 / SYS_FLAG Y</t>
        </is>
      </c>
      <c r="E1036" t="inlineStr">
        <is>
          <t>gco_rate</t>
        </is>
      </c>
      <c r="F1036" t="inlineStr">
        <is>
          <t>GCO per booked dollar</t>
        </is>
      </c>
      <c r="G1036" t="n">
        <v>173</v>
      </c>
      <c r="H1036" t="n">
        <v>5589476.359999998</v>
      </c>
      <c r="I1036" t="b">
        <v>0</v>
      </c>
      <c r="J1036" t="b">
        <v>0</v>
      </c>
      <c r="K1036" t="n">
        <v>0.9453794375139248</v>
      </c>
      <c r="L1036" t="n">
        <v>0.9412575983780932</v>
      </c>
      <c r="M1036" t="n">
        <v>1.058151951778807</v>
      </c>
      <c r="N1036" t="n">
        <v>0.8843115688431157</v>
      </c>
      <c r="O1036" t="n">
        <v>-12717.1487334382</v>
      </c>
      <c r="P1036" t="n">
        <v>12096.39591126493</v>
      </c>
      <c r="Q1036">
        <f>'_live'!$C$22</f>
        <v/>
      </c>
      <c r="R1036" t="inlineStr">
        <is>
          <t>shuffled: 8,530 of 10,000</t>
        </is>
      </c>
      <c r="S1036" t="inlineStr">
        <is>
          <t>shuffled: 8,481 of 10,000</t>
        </is>
      </c>
      <c r="T1036" t="n">
        <v>0.04165455111316337</v>
      </c>
      <c r="U1036" t="n">
        <v>0.03721521850907965</v>
      </c>
      <c r="V1036">
        <f>AND(judged_band,NOT($J1036))</f>
        <v/>
      </c>
      <c r="W1036">
        <f>IF($K1036="","",IF($I1036,"too few losses to test",IF(AND($K1036&gt;better_at,$K1036&lt;worse_at),"in line",IF($K1036&gt;=worse_at,IF(AND(ISNUMBER($L1036),$L1036&lt;significance_bar),"worse","worse, not significant"),IF(AND(ISNUMBER($L1036),$L1036&lt;significance_bar),"better","better, not significant")))))</f>
        <v/>
      </c>
      <c r="X1036">
        <f>IF($M1036="","",IF($I1036,"too few losses to test",IF(AND($M1036&gt;better_at,$M1036&lt;worse_at),"in line",IF($M1036&gt;=worse_at,IF(AND(ISNUMBER($N1036),$N1036&lt;significance_bar),"worse","worse, not significant"),IF(AND(ISNUMBER($N1036),$N1036&lt;significance_bar),"better","better, not significant")))))</f>
        <v/>
      </c>
      <c r="Y1036">
        <f>IF($V1036,$X1036,$W1036)</f>
        <v/>
      </c>
      <c r="Z1036">
        <f>IF($V1036,IF($P1036="","",$P1036),IF($O1036="","",$O1036))</f>
        <v/>
      </c>
      <c r="AA1036">
        <f>IF(OR($Q1036="",$Z1036=""),"",IF(AND($Z1036&gt;0,$Z1036&gt;=$Q1036),"yes","below the line"))</f>
        <v/>
      </c>
      <c r="AB1036">
        <f>IF($V1036,IF($M1036="","",$M1036),IF($K1036="","",$K1036))</f>
        <v/>
      </c>
      <c r="AC1036">
        <f>IF($V1036,IF($N1036="","",$N1036),IF($L1036="","",$L1036))</f>
        <v/>
      </c>
      <c r="AD1036">
        <f>$Y1036</f>
        <v/>
      </c>
      <c r="AE1036">
        <f>IF($V1036,IF($S1036="","",$S1036),IF($R1036="","",$R1036))</f>
        <v/>
      </c>
      <c r="AF1036">
        <f>IF($V1036,IF($U1036="","",$U1036),IF($T1036="","",$T1036))</f>
        <v/>
      </c>
      <c r="AG1036">
        <f>IF($V1036,IF($O1036="","",$O1036),IF($P1036="","",$P1036))</f>
        <v/>
      </c>
      <c r="AH1036" t="n">
        <v>0.03937935610125742</v>
      </c>
      <c r="AI1036">
        <f>IF($Y1036="worse","Yes",IF($Y1036="worse, not significant","Not sure",IF(OR($Y1036="too few losses to test",$Y1036="too few loans to test"),"Too few losses",IF($Y1036="","","No"))))</f>
        <v/>
      </c>
      <c r="AJ1036">
        <f>IF($AA1036="yes","Yes",IF($AA1036="","","No"))</f>
        <v/>
      </c>
    </row>
    <row r="1037">
      <c r="A1037" t="inlineStr">
        <is>
          <t>three-way</t>
        </is>
      </c>
      <c r="B1037" t="inlineStr">
        <is>
          <t>ORIG_BAL x ASSET_CLASS / SYS_FLAG</t>
        </is>
      </c>
      <c r="C1037" t="inlineStr">
        <is>
          <t>26,324 - 37,950</t>
        </is>
      </c>
      <c r="D1037" t="inlineStr">
        <is>
          <t>1 / SYS_FLAG Y</t>
        </is>
      </c>
      <c r="E1037" t="inlineStr">
        <is>
          <t>ranr_rate</t>
        </is>
      </c>
      <c r="F1037" t="inlineStr">
        <is>
          <t>Profit after losses: RANR per booked dollar</t>
        </is>
      </c>
      <c r="G1037" t="n">
        <v>173</v>
      </c>
      <c r="H1037" t="n">
        <v>5589476.359999998</v>
      </c>
      <c r="I1037" t="b">
        <v>0</v>
      </c>
      <c r="J1037" t="b">
        <v>0</v>
      </c>
      <c r="K1037" t="n">
        <v>0.002217401986544909</v>
      </c>
      <c r="L1037" t="n">
        <v>0.9053453628996073</v>
      </c>
      <c r="M1037" t="n">
        <v>-0.001279230618396271</v>
      </c>
      <c r="N1037" t="n">
        <v>0.9519048095190481</v>
      </c>
      <c r="O1037" t="n">
        <v>-12394.1159844097</v>
      </c>
      <c r="P1037" t="n">
        <v>7150.229300514213</v>
      </c>
      <c r="Q1037">
        <f>'_live'!$C$23</f>
        <v/>
      </c>
      <c r="R1037" t="inlineStr">
        <is>
          <t>shuffled: 8,827 of 10,000</t>
        </is>
      </c>
      <c r="S1037" t="inlineStr">
        <is>
          <t>shuffled: 9,281 of 10,000</t>
        </is>
      </c>
      <c r="T1037" t="n">
        <v>0.1279420231800731</v>
      </c>
      <c r="U1037" t="n">
        <v>0.1314386557850143</v>
      </c>
      <c r="V1037">
        <f>AND(judged_band,NOT($J1037))</f>
        <v/>
      </c>
      <c r="W1037">
        <f>IF($K1037="","",IF(profit_kind="test",IF(OR(NOT(AND(ISNUMBER($L1037),$L1037&lt;significance_bar)),$K1037=0),"in line",IF($K1037&lt;0,"worse","better")),IF(OR($K1037=0,IF(profit_kind="points",ABS($K1037),ABS($K1037*$H1037))&lt;profit_line*(1-1E-9)),"in line",IF(AND(ISNUMBER($L1037),$L1037&lt;significance_bar),IF($K1037&lt;0,"worse","better"),IF($K1037&lt;0,"worse, not significant","better, not significant")))))</f>
        <v/>
      </c>
      <c r="X1037">
        <f>IF($M1037="","",IF(profit_kind="test",IF(OR(NOT(AND(ISNUMBER($N1037),$N1037&lt;significance_bar)),$M1037=0),"in line",IF($M1037&lt;0,"worse","better")),IF(OR($M1037=0,IF(profit_kind="points",ABS($M1037),ABS($M1037*$H1037))&lt;profit_line*(1-1E-9)),"in line",IF(AND(ISNUMBER($N1037),$N1037&lt;significance_bar),IF($M1037&lt;0,"worse","better"),IF($M1037&lt;0,"worse, not significant","better, not significant")))))</f>
        <v/>
      </c>
      <c r="Y1037">
        <f>IF($V1037,$X1037,$W1037)</f>
        <v/>
      </c>
      <c r="Z1037">
        <f>IF($V1037,IF($P1037="","",$P1037),IF($O1037="","",$O1037))</f>
        <v/>
      </c>
      <c r="AA1037">
        <f>IF(OR($Q1037="",$Z1037=""),"",IF(AND($Z1037&gt;0,$Z1037&gt;=$Q1037),"yes","below the line"))</f>
        <v/>
      </c>
      <c r="AB1037">
        <f>IF($V1037,IF($M1037="","",$M1037),IF($K1037="","",$K1037))</f>
        <v/>
      </c>
      <c r="AC1037">
        <f>IF($V1037,IF($N1037="","",$N1037),IF($L1037="","",$L1037))</f>
        <v/>
      </c>
      <c r="AD1037">
        <f>IF($Y1037="","",IF($Y1037="in line",IF(profit_kind="test",IF(ROUND($AB1037*100,2)=0,"0.00",TEXT($AB1037*100,"+0.00;-0.00"))&amp;" points against "&amp;IF($V1037,"its band","the book")&amp;", "&amp;IF($AC1037="","not tested","not significant"),IF(profit_kind="points","within "&amp;TEXT(profit_line*100,"0.00")&amp;" points of "&amp;IF($V1037,"its band","the book")&amp;" ("&amp;IF(ROUND($AB1037*100,2)=0,"0.00",TEXT($AB1037*100,"+0.00;-0.00"))&amp;")","within $"&amp;TEXT(profit_line,"#,##0")&amp;" of "&amp;IF($V1037,"its band","the book")&amp;" ("&amp;IF(ROUND($AB1037*100,2)=0,"0.00",TEXT($AB1037*100,"+0.00;-0.00"))&amp;" points)")),IF(LEFT($Y1037,5)="worse","short of ","ahead of ")&amp;IF($V1037,"its band","the book")&amp;" by "&amp;TEXT(ABS($AB1037)*100,"0.00")&amp;" points"&amp;IF($Z1037="",""," ($"&amp;TEXT(ABS($Z1037),"#,##0")&amp;")")&amp;IF(RIGHT($Y1037,15)="not significant"," (not significant)","")))</f>
        <v/>
      </c>
      <c r="AE1037">
        <f>IF($V1037,IF($S1037="","",$S1037),IF($R1037="","",$R1037))</f>
        <v/>
      </c>
      <c r="AF1037">
        <f>IF($V1037,IF($U1037="","",$U1037),IF($T1037="","",$T1037))</f>
        <v/>
      </c>
      <c r="AG1037">
        <f>IF($V1037,IF($O1037="","",$O1037),IF($P1037="","",$P1037))</f>
        <v/>
      </c>
      <c r="AH1037" t="n">
        <v>0.130159425166618</v>
      </c>
      <c r="AI1037">
        <f>IF($Y1037="worse","Yes",IF($Y1037="worse, not significant","Not sure",IF(OR($Y1037="too few losses to test",$Y1037="too few loans to test"),"Too few losses",IF($Y1037="","","No"))))</f>
        <v/>
      </c>
      <c r="AJ1037">
        <f>IF($AA1037="yes","Yes",IF($AA1037="","","No"))</f>
        <v/>
      </c>
    </row>
    <row r="1038">
      <c r="A1038" t="inlineStr">
        <is>
          <t>three-way</t>
        </is>
      </c>
      <c r="B1038" t="inlineStr">
        <is>
          <t>ORIG_BAL x ASSET_CLASS / SYS_FLAG</t>
        </is>
      </c>
      <c r="C1038" t="inlineStr">
        <is>
          <t>26,324 - 37,950</t>
        </is>
      </c>
      <c r="D1038" t="inlineStr">
        <is>
          <t>1 / SYS_FLAG Y</t>
        </is>
      </c>
      <c r="E1038" t="inlineStr">
        <is>
          <t>contribution_rate</t>
        </is>
      </c>
      <c r="F1038" t="inlineStr">
        <is>
          <t>Contribution before losses per booked dollar</t>
        </is>
      </c>
      <c r="G1038" t="n">
        <v>173</v>
      </c>
      <c r="H1038" t="n">
        <v>5589476.359999998</v>
      </c>
      <c r="I1038" t="b">
        <v>0</v>
      </c>
      <c r="J1038" t="b">
        <v>0</v>
      </c>
      <c r="K1038" t="n">
        <v>-5.48629198649786e-05</v>
      </c>
      <c r="L1038" t="n">
        <v>0.9955004499550044</v>
      </c>
      <c r="M1038" t="n">
        <v>0.0008849069737814907</v>
      </c>
      <c r="N1038" t="n">
        <v>0.9613397634595515</v>
      </c>
      <c r="O1038" t="n">
        <v>306.6549936259398</v>
      </c>
      <c r="P1038" t="n">
        <v>-4946.166610750719</v>
      </c>
      <c r="Q1038">
        <f>'_live'!$C$24</f>
        <v/>
      </c>
      <c r="R1038" t="inlineStr">
        <is>
          <t>shuffled: 9,955 of 10,000</t>
        </is>
      </c>
      <c r="S1038" t="inlineStr">
        <is>
          <t>shuffled: 9,265 of 10,000</t>
        </is>
      </c>
      <c r="T1038" t="n">
        <v>0.1695936441877405</v>
      </c>
      <c r="U1038" t="n">
        <v>0.168653874294094</v>
      </c>
      <c r="V1038">
        <f>AND(judged_band,NOT($J1038))</f>
        <v/>
      </c>
      <c r="W1038">
        <f>IF($K1038="","",IF(profit_kind="test",IF(OR(NOT(AND(ISNUMBER($L1038),$L1038&lt;significance_bar)),$K1038=0),"in line",IF($K1038&lt;0,"worse","better")),IF(OR($K1038=0,IF(profit_kind="points",ABS($K1038),ABS($K1038*$H1038))&lt;profit_line*(1-1E-9)),"in line",IF(AND(ISNUMBER($L1038),$L1038&lt;significance_bar),IF($K1038&lt;0,"worse","better"),IF($K1038&lt;0,"worse, not significant","better, not significant")))))</f>
        <v/>
      </c>
      <c r="X1038">
        <f>IF($M1038="","",IF(profit_kind="test",IF(OR(NOT(AND(ISNUMBER($N1038),$N1038&lt;significance_bar)),$M1038=0),"in line",IF($M1038&lt;0,"worse","better")),IF(OR($M1038=0,IF(profit_kind="points",ABS($M1038),ABS($M1038*$H1038))&lt;profit_line*(1-1E-9)),"in line",IF(AND(ISNUMBER($N1038),$N1038&lt;significance_bar),IF($M1038&lt;0,"worse","better"),IF($M1038&lt;0,"worse, not significant","better, not significant")))))</f>
        <v/>
      </c>
      <c r="Y1038">
        <f>IF($V1038,$X1038,$W1038)</f>
        <v/>
      </c>
      <c r="Z1038">
        <f>IF($V1038,IF($P1038="","",$P1038),IF($O1038="","",$O1038))</f>
        <v/>
      </c>
      <c r="AA1038">
        <f>IF(OR($Q1038="",$Z1038=""),"",IF(AND($Z1038&gt;0,$Z1038&gt;=$Q1038),"yes","below the line"))</f>
        <v/>
      </c>
      <c r="AB1038">
        <f>IF($V1038,IF($M1038="","",$M1038),IF($K1038="","",$K1038))</f>
        <v/>
      </c>
      <c r="AC1038">
        <f>IF($V1038,IF($N1038="","",$N1038),IF($L1038="","",$L1038))</f>
        <v/>
      </c>
      <c r="AD1038">
        <f>IF($Y1038="","",IF($Y1038="in line",IF(profit_kind="test",IF(ROUND($AB1038*100,2)=0,"0.00",TEXT($AB1038*100,"+0.00;-0.00"))&amp;" points against "&amp;IF($V1038,"its band","the book")&amp;", "&amp;IF($AC1038="","not tested","not significant"),IF(profit_kind="points","within "&amp;TEXT(profit_line*100,"0.00")&amp;" points of "&amp;IF($V1038,"its band","the book")&amp;" ("&amp;IF(ROUND($AB1038*100,2)=0,"0.00",TEXT($AB1038*100,"+0.00;-0.00"))&amp;")","within $"&amp;TEXT(profit_line,"#,##0")&amp;" of "&amp;IF($V1038,"its band","the book")&amp;" ("&amp;IF(ROUND($AB1038*100,2)=0,"0.00",TEXT($AB1038*100,"+0.00;-0.00"))&amp;" points)")),IF(LEFT($Y1038,5)="worse","short of ","ahead of ")&amp;IF($V1038,"its band","the book")&amp;" by "&amp;TEXT(ABS($AB1038)*100,"0.00")&amp;" points"&amp;IF($Z1038="",""," ($"&amp;TEXT(ABS($Z1038),"#,##0")&amp;")")&amp;IF(RIGHT($Y1038,15)="not significant"," (not significant)","")))</f>
        <v/>
      </c>
      <c r="AE1038">
        <f>IF($V1038,IF($S1038="","",$S1038),IF($R1038="","",$R1038))</f>
        <v/>
      </c>
      <c r="AF1038">
        <f>IF($V1038,IF($U1038="","",$U1038),IF($T1038="","",$T1038))</f>
        <v/>
      </c>
      <c r="AG1038">
        <f>IF($V1038,IF($O1038="","",$O1038),IF($P1038="","",$P1038))</f>
        <v/>
      </c>
      <c r="AH1038" t="n">
        <v>0.1695387812678755</v>
      </c>
      <c r="AI1038">
        <f>IF($Y1038="worse","Yes",IF($Y1038="worse, not significant","Not sure",IF(OR($Y1038="too few losses to test",$Y1038="too few loans to test"),"Too few losses",IF($Y1038="","","No"))))</f>
        <v/>
      </c>
      <c r="AJ1038">
        <f>IF($AA1038="yes","Yes",IF($AA1038="","","No"))</f>
        <v/>
      </c>
    </row>
    <row r="1039">
      <c r="A1039" t="inlineStr">
        <is>
          <t>three-way</t>
        </is>
      </c>
      <c r="B1039" t="inlineStr">
        <is>
          <t>ORIG_BAL x ASSET_CLASS / SYS_FLAG</t>
        </is>
      </c>
      <c r="C1039" t="inlineStr">
        <is>
          <t>15,449 - 26,323</t>
        </is>
      </c>
      <c r="D1039" t="inlineStr">
        <is>
          <t>4 / SYS_FLAG N</t>
        </is>
      </c>
      <c r="E1039" t="inlineStr">
        <is>
          <t>outcome_loans</t>
        </is>
      </c>
      <c r="F1039" t="inlineStr">
        <is>
          <t>Outcome, share of loans</t>
        </is>
      </c>
      <c r="G1039" t="n">
        <v>223</v>
      </c>
      <c r="H1039" t="n">
        <v>223</v>
      </c>
      <c r="I1039" t="b">
        <v>0</v>
      </c>
      <c r="J1039" t="b">
        <v>0</v>
      </c>
      <c r="K1039" t="n">
        <v>1.528868185633588</v>
      </c>
      <c r="L1039" t="n">
        <v>0.1636195378737033</v>
      </c>
      <c r="M1039" t="n">
        <v>1.305260855299136</v>
      </c>
      <c r="N1039" t="n">
        <v>0.57171124817441</v>
      </c>
      <c r="O1039" t="n">
        <v>8.993955761316872</v>
      </c>
      <c r="P1039" t="n">
        <v>6.080610021786491</v>
      </c>
      <c r="Q1039">
        <f>'_live'!$C$20</f>
        <v/>
      </c>
      <c r="R1039" t="inlineStr">
        <is>
          <t>z test</t>
        </is>
      </c>
      <c r="S1039" t="inlineStr">
        <is>
          <t>z test</t>
        </is>
      </c>
      <c r="T1039" t="n">
        <v>0.07626028806584362</v>
      </c>
      <c r="U1039" t="n">
        <v>0.08932461873638345</v>
      </c>
      <c r="V1039">
        <f>AND(judged_band,NOT($J1039))</f>
        <v/>
      </c>
      <c r="W1039">
        <f>IF($K1039="","",IF($I1039,"too few losses to test",IF(AND($K1039&gt;better_at,$K1039&lt;worse_at),"in line",IF($K1039&gt;=worse_at,IF(AND(ISNUMBER($L1039),$L1039&lt;significance_bar),"worse","worse, not significant"),IF(AND(ISNUMBER($L1039),$L1039&lt;significance_bar),"better","better, not significant")))))</f>
        <v/>
      </c>
      <c r="X1039">
        <f>IF($M1039="","",IF($I1039,"too few losses to test",IF(AND($M1039&gt;better_at,$M1039&lt;worse_at),"in line",IF($M1039&gt;=worse_at,IF(AND(ISNUMBER($N1039),$N1039&lt;significance_bar),"worse","worse, not significant"),IF(AND(ISNUMBER($N1039),$N1039&lt;significance_bar),"better","better, not significant")))))</f>
        <v/>
      </c>
      <c r="Y1039">
        <f>IF($V1039,$X1039,$W1039)</f>
        <v/>
      </c>
      <c r="Z1039">
        <f>IF($V1039,IF($P1039="","",$P1039),IF($O1039="","",$O1039))</f>
        <v/>
      </c>
      <c r="AA1039">
        <f>IF(OR($Q1039="",$Z1039=""),"",IF(AND($Z1039&gt;0,$Z1039&gt;=$Q1039),"yes","below the line"))</f>
        <v/>
      </c>
      <c r="AB1039">
        <f>IF($V1039,IF($M1039="","",$M1039),IF($K1039="","",$K1039))</f>
        <v/>
      </c>
      <c r="AC1039">
        <f>IF($V1039,IF($N1039="","",$N1039),IF($L1039="","",$L1039))</f>
        <v/>
      </c>
      <c r="AD1039">
        <f>$Y1039</f>
        <v/>
      </c>
      <c r="AE1039">
        <f>IF($V1039,IF($S1039="","",$S1039),IF($R1039="","",$R1039))</f>
        <v/>
      </c>
      <c r="AF1039">
        <f>IF($V1039,IF($U1039="","",$U1039),IF($T1039="","",$T1039))</f>
        <v/>
      </c>
      <c r="AG1039">
        <f>IF($V1039,IF($O1039="","",$O1039),IF($P1039="","",$P1039))</f>
        <v/>
      </c>
      <c r="AH1039" t="n">
        <v>0.1165919282511211</v>
      </c>
      <c r="AI1039">
        <f>IF($Y1039="worse","Yes",IF($Y1039="worse, not significant","Not sure",IF(OR($Y1039="too few losses to test",$Y1039="too few loans to test"),"Too few losses",IF($Y1039="","","No"))))</f>
        <v/>
      </c>
      <c r="AJ1039">
        <f>IF($AA1039="yes","Yes",IF($AA1039="","","No"))</f>
        <v/>
      </c>
    </row>
    <row r="1040">
      <c r="A1040" t="inlineStr">
        <is>
          <t>three-way</t>
        </is>
      </c>
      <c r="B1040" t="inlineStr">
        <is>
          <t>ORIG_BAL x ASSET_CLASS / SYS_FLAG</t>
        </is>
      </c>
      <c r="C1040" t="inlineStr">
        <is>
          <t>15,449 - 26,323</t>
        </is>
      </c>
      <c r="D1040" t="inlineStr">
        <is>
          <t>4 / SYS_FLAG N</t>
        </is>
      </c>
      <c r="E1040" t="inlineStr">
        <is>
          <t>outcome_booked</t>
        </is>
      </c>
      <c r="F1040" t="inlineStr">
        <is>
          <t>Outcome, share of booked dollars</t>
        </is>
      </c>
      <c r="G1040" t="n">
        <v>223</v>
      </c>
      <c r="H1040" t="n">
        <v>4718819.550000004</v>
      </c>
      <c r="I1040" t="b">
        <v>0</v>
      </c>
      <c r="J1040" t="b">
        <v>0</v>
      </c>
      <c r="K1040" t="n">
        <v>1.538344742276229</v>
      </c>
      <c r="L1040" t="n">
        <v>0.2349479337780508</v>
      </c>
      <c r="M1040" t="n">
        <v>1.260192824943628</v>
      </c>
      <c r="N1040" t="n">
        <v>0.6170582941705829</v>
      </c>
      <c r="O1040" t="n">
        <v>188238.4125683952</v>
      </c>
      <c r="P1040" t="n">
        <v>111060.5349782872</v>
      </c>
      <c r="Q1040">
        <f>'_live'!$C$21</f>
        <v/>
      </c>
      <c r="R1040" t="inlineStr">
        <is>
          <t>shuffled: 411 of 10,000</t>
        </is>
      </c>
      <c r="S1040" t="inlineStr">
        <is>
          <t>shuffled: 2,658 of 10,000</t>
        </is>
      </c>
      <c r="T1040" t="n">
        <v>0.07409935127347785</v>
      </c>
      <c r="U1040" t="n">
        <v>0.09045468691883175</v>
      </c>
      <c r="V1040">
        <f>AND(judged_band,NOT($J1040))</f>
        <v/>
      </c>
      <c r="W1040">
        <f>IF($K1040="","",IF($I1040,"too few losses to test",IF(AND($K1040&gt;better_at,$K1040&lt;worse_at),"in line",IF($K1040&gt;=worse_at,IF(AND(ISNUMBER($L1040),$L1040&lt;significance_bar),"worse","worse, not significant"),IF(AND(ISNUMBER($L1040),$L1040&lt;significance_bar),"better","better, not significant")))))</f>
        <v/>
      </c>
      <c r="X1040">
        <f>IF($M1040="","",IF($I1040,"too few losses to test",IF(AND($M1040&gt;better_at,$M1040&lt;worse_at),"in line",IF($M1040&gt;=worse_at,IF(AND(ISNUMBER($N1040),$N1040&lt;significance_bar),"worse","worse, not significant"),IF(AND(ISNUMBER($N1040),$N1040&lt;significance_bar),"better","better, not significant")))))</f>
        <v/>
      </c>
      <c r="Y1040">
        <f>IF($V1040,$X1040,$W1040)</f>
        <v/>
      </c>
      <c r="Z1040">
        <f>IF($V1040,IF($P1040="","",$P1040),IF($O1040="","",$O1040))</f>
        <v/>
      </c>
      <c r="AA1040">
        <f>IF(OR($Q1040="",$Z1040=""),"",IF(AND($Z1040&gt;0,$Z1040&gt;=$Q1040),"yes","below the line"))</f>
        <v/>
      </c>
      <c r="AB1040">
        <f>IF($V1040,IF($M1040="","",$M1040),IF($K1040="","",$K1040))</f>
        <v/>
      </c>
      <c r="AC1040">
        <f>IF($V1040,IF($N1040="","",$N1040),IF($L1040="","",$L1040))</f>
        <v/>
      </c>
      <c r="AD1040">
        <f>$Y1040</f>
        <v/>
      </c>
      <c r="AE1040">
        <f>IF($V1040,IF($S1040="","",$S1040),IF($R1040="","",$R1040))</f>
        <v/>
      </c>
      <c r="AF1040">
        <f>IF($V1040,IF($U1040="","",$U1040),IF($T1040="","",$T1040))</f>
        <v/>
      </c>
      <c r="AG1040">
        <f>IF($V1040,IF($O1040="","",$O1040),IF($P1040="","",$P1040))</f>
        <v/>
      </c>
      <c r="AH1040" t="n">
        <v>0.113990347437634</v>
      </c>
      <c r="AI1040">
        <f>IF($Y1040="worse","Yes",IF($Y1040="worse, not significant","Not sure",IF(OR($Y1040="too few losses to test",$Y1040="too few loans to test"),"Too few losses",IF($Y1040="","","No"))))</f>
        <v/>
      </c>
      <c r="AJ1040">
        <f>IF($AA1040="yes","Yes",IF($AA1040="","","No"))</f>
        <v/>
      </c>
    </row>
    <row r="1041">
      <c r="A1041" t="inlineStr">
        <is>
          <t>three-way</t>
        </is>
      </c>
      <c r="B1041" t="inlineStr">
        <is>
          <t>ORIG_BAL x ASSET_CLASS / SYS_FLAG</t>
        </is>
      </c>
      <c r="C1041" t="inlineStr">
        <is>
          <t>15,449 - 26,323</t>
        </is>
      </c>
      <c r="D1041" t="inlineStr">
        <is>
          <t>4 / SYS_FLAG N</t>
        </is>
      </c>
      <c r="E1041" t="inlineStr">
        <is>
          <t>gco_rate</t>
        </is>
      </c>
      <c r="F1041" t="inlineStr">
        <is>
          <t>GCO per booked dollar</t>
        </is>
      </c>
      <c r="G1041" t="n">
        <v>223</v>
      </c>
      <c r="H1041" t="n">
        <v>4718819.550000004</v>
      </c>
      <c r="I1041" t="b">
        <v>0</v>
      </c>
      <c r="J1041" t="b">
        <v>0</v>
      </c>
      <c r="K1041" t="n">
        <v>1.566400774429229</v>
      </c>
      <c r="L1041" t="n">
        <v>0.193980601939806</v>
      </c>
      <c r="M1041" t="n">
        <v>1.257485691991882</v>
      </c>
      <c r="N1041" t="n">
        <v>0.675589583898753</v>
      </c>
      <c r="O1041" t="n">
        <v>110060.1460592363</v>
      </c>
      <c r="P1041" t="n">
        <v>62324.55472261648</v>
      </c>
      <c r="Q1041">
        <f>'_live'!$C$22</f>
        <v/>
      </c>
      <c r="R1041" t="inlineStr">
        <is>
          <t>shuffled: 380 of 10,000</t>
        </is>
      </c>
      <c r="S1041" t="inlineStr">
        <is>
          <t>shuffled: 2,955 of 10,000</t>
        </is>
      </c>
      <c r="T1041" t="n">
        <v>0.04117872317045129</v>
      </c>
      <c r="U1041" t="n">
        <v>0.05129472587638646</v>
      </c>
      <c r="V1041">
        <f>AND(judged_band,NOT($J1041))</f>
        <v/>
      </c>
      <c r="W1041">
        <f>IF($K1041="","",IF($I1041,"too few losses to test",IF(AND($K1041&gt;better_at,$K1041&lt;worse_at),"in line",IF($K1041&gt;=worse_at,IF(AND(ISNUMBER($L1041),$L1041&lt;significance_bar),"worse","worse, not significant"),IF(AND(ISNUMBER($L1041),$L1041&lt;significance_bar),"better","better, not significant")))))</f>
        <v/>
      </c>
      <c r="X1041">
        <f>IF($M1041="","",IF($I1041,"too few losses to test",IF(AND($M1041&gt;better_at,$M1041&lt;worse_at),"in line",IF($M1041&gt;=worse_at,IF(AND(ISNUMBER($N1041),$N1041&lt;significance_bar),"worse","worse, not significant"),IF(AND(ISNUMBER($N1041),$N1041&lt;significance_bar),"better","better, not significant")))))</f>
        <v/>
      </c>
      <c r="Y1041">
        <f>IF($V1041,$X1041,$W1041)</f>
        <v/>
      </c>
      <c r="Z1041">
        <f>IF($V1041,IF($P1041="","",$P1041),IF($O1041="","",$O1041))</f>
        <v/>
      </c>
      <c r="AA1041">
        <f>IF(OR($Q1041="",$Z1041=""),"",IF(AND($Z1041&gt;0,$Z1041&gt;=$Q1041),"yes","below the line"))</f>
        <v/>
      </c>
      <c r="AB1041">
        <f>IF($V1041,IF($M1041="","",$M1041),IF($K1041="","",$K1041))</f>
        <v/>
      </c>
      <c r="AC1041">
        <f>IF($V1041,IF($N1041="","",$N1041),IF($L1041="","",$L1041))</f>
        <v/>
      </c>
      <c r="AD1041">
        <f>$Y1041</f>
        <v/>
      </c>
      <c r="AE1041">
        <f>IF($V1041,IF($S1041="","",$S1041),IF($R1041="","",$R1041))</f>
        <v/>
      </c>
      <c r="AF1041">
        <f>IF($V1041,IF($U1041="","",$U1041),IF($T1041="","",$T1041))</f>
        <v/>
      </c>
      <c r="AG1041">
        <f>IF($V1041,IF($O1041="","",$O1041),IF($P1041="","",$P1041))</f>
        <v/>
      </c>
      <c r="AH1041" t="n">
        <v>0.06450238386420175</v>
      </c>
      <c r="AI1041">
        <f>IF($Y1041="worse","Yes",IF($Y1041="worse, not significant","Not sure",IF(OR($Y1041="too few losses to test",$Y1041="too few loans to test"),"Too few losses",IF($Y1041="","","No"))))</f>
        <v/>
      </c>
      <c r="AJ1041">
        <f>IF($AA1041="yes","Yes",IF($AA1041="","","No"))</f>
        <v/>
      </c>
    </row>
    <row r="1042">
      <c r="A1042" t="inlineStr">
        <is>
          <t>three-way</t>
        </is>
      </c>
      <c r="B1042" t="inlineStr">
        <is>
          <t>ORIG_BAL x ASSET_CLASS / SYS_FLAG</t>
        </is>
      </c>
      <c r="C1042" t="inlineStr">
        <is>
          <t>15,449 - 26,323</t>
        </is>
      </c>
      <c r="D1042" t="inlineStr">
        <is>
          <t>4 / SYS_FLAG N</t>
        </is>
      </c>
      <c r="E1042" t="inlineStr">
        <is>
          <t>ranr_rate</t>
        </is>
      </c>
      <c r="F1042" t="inlineStr">
        <is>
          <t>Profit after losses: RANR per booked dollar</t>
        </is>
      </c>
      <c r="G1042" t="n">
        <v>223</v>
      </c>
      <c r="H1042" t="n">
        <v>4718819.550000004</v>
      </c>
      <c r="I1042" t="b">
        <v>0</v>
      </c>
      <c r="J1042" t="b">
        <v>0</v>
      </c>
      <c r="K1042" t="n">
        <v>-0.03485491424022176</v>
      </c>
      <c r="L1042" t="n">
        <v>0.1223877612238776</v>
      </c>
      <c r="M1042" t="n">
        <v>-0.02944626282499543</v>
      </c>
      <c r="N1042" t="n">
        <v>0.19553600195536</v>
      </c>
      <c r="O1042" t="n">
        <v>164474.050730332</v>
      </c>
      <c r="P1042" t="n">
        <v>138951.6006930268</v>
      </c>
      <c r="Q1042">
        <f>'_live'!$C$23</f>
        <v/>
      </c>
      <c r="R1042" t="inlineStr">
        <is>
          <t>shuffled: 130 of 10,000</t>
        </is>
      </c>
      <c r="S1042" t="inlineStr">
        <is>
          <t>shuffled: 439 of 10,000</t>
        </is>
      </c>
      <c r="T1042" t="n">
        <v>0.1286273768892755</v>
      </c>
      <c r="U1042" t="n">
        <v>0.1232187254740492</v>
      </c>
      <c r="V1042">
        <f>AND(judged_band,NOT($J1042))</f>
        <v/>
      </c>
      <c r="W1042">
        <f>IF($K1042="","",IF(profit_kind="test",IF(OR(NOT(AND(ISNUMBER($L1042),$L1042&lt;significance_bar)),$K1042=0),"in line",IF($K1042&lt;0,"worse","better")),IF(OR($K1042=0,IF(profit_kind="points",ABS($K1042),ABS($K1042*$H1042))&lt;profit_line*(1-1E-9)),"in line",IF(AND(ISNUMBER($L1042),$L1042&lt;significance_bar),IF($K1042&lt;0,"worse","better"),IF($K1042&lt;0,"worse, not significant","better, not significant")))))</f>
        <v/>
      </c>
      <c r="X1042">
        <f>IF($M1042="","",IF(profit_kind="test",IF(OR(NOT(AND(ISNUMBER($N1042),$N1042&lt;significance_bar)),$M1042=0),"in line",IF($M1042&lt;0,"worse","better")),IF(OR($M1042=0,IF(profit_kind="points",ABS($M1042),ABS($M1042*$H1042))&lt;profit_line*(1-1E-9)),"in line",IF(AND(ISNUMBER($N1042),$N1042&lt;significance_bar),IF($M1042&lt;0,"worse","better"),IF($M1042&lt;0,"worse, not significant","better, not significant")))))</f>
        <v/>
      </c>
      <c r="Y1042">
        <f>IF($V1042,$X1042,$W1042)</f>
        <v/>
      </c>
      <c r="Z1042">
        <f>IF($V1042,IF($P1042="","",$P1042),IF($O1042="","",$O1042))</f>
        <v/>
      </c>
      <c r="AA1042">
        <f>IF(OR($Q1042="",$Z1042=""),"",IF(AND($Z1042&gt;0,$Z1042&gt;=$Q1042),"yes","below the line"))</f>
        <v/>
      </c>
      <c r="AB1042">
        <f>IF($V1042,IF($M1042="","",$M1042),IF($K1042="","",$K1042))</f>
        <v/>
      </c>
      <c r="AC1042">
        <f>IF($V1042,IF($N1042="","",$N1042),IF($L1042="","",$L1042))</f>
        <v/>
      </c>
      <c r="AD1042">
        <f>IF($Y1042="","",IF($Y1042="in line",IF(profit_kind="test",IF(ROUND($AB1042*100,2)=0,"0.00",TEXT($AB1042*100,"+0.00;-0.00"))&amp;" points against "&amp;IF($V1042,"its band","the book")&amp;", "&amp;IF($AC1042="","not tested","not significant"),IF(profit_kind="points","within "&amp;TEXT(profit_line*100,"0.00")&amp;" points of "&amp;IF($V1042,"its band","the book")&amp;" ("&amp;IF(ROUND($AB1042*100,2)=0,"0.00",TEXT($AB1042*100,"+0.00;-0.00"))&amp;")","within $"&amp;TEXT(profit_line,"#,##0")&amp;" of "&amp;IF($V1042,"its band","the book")&amp;" ("&amp;IF(ROUND($AB1042*100,2)=0,"0.00",TEXT($AB1042*100,"+0.00;-0.00"))&amp;" points)")),IF(LEFT($Y1042,5)="worse","short of ","ahead of ")&amp;IF($V1042,"its band","the book")&amp;" by "&amp;TEXT(ABS($AB1042)*100,"0.00")&amp;" points"&amp;IF($Z1042="",""," ($"&amp;TEXT(ABS($Z1042),"#,##0")&amp;")")&amp;IF(RIGHT($Y1042,15)="not significant"," (not significant)","")))</f>
        <v/>
      </c>
      <c r="AE1042">
        <f>IF($V1042,IF($S1042="","",$S1042),IF($R1042="","",$R1042))</f>
        <v/>
      </c>
      <c r="AF1042">
        <f>IF($V1042,IF($U1042="","",$U1042),IF($T1042="","",$T1042))</f>
        <v/>
      </c>
      <c r="AG1042">
        <f>IF($V1042,IF($O1042="","",$O1042),IF($P1042="","",$P1042))</f>
        <v/>
      </c>
      <c r="AH1042" t="n">
        <v>0.09377246264905374</v>
      </c>
      <c r="AI1042">
        <f>IF($Y1042="worse","Yes",IF($Y1042="worse, not significant","Not sure",IF(OR($Y1042="too few losses to test",$Y1042="too few loans to test"),"Too few losses",IF($Y1042="","","No"))))</f>
        <v/>
      </c>
      <c r="AJ1042">
        <f>IF($AA1042="yes","Yes",IF($AA1042="","","No"))</f>
        <v/>
      </c>
    </row>
    <row r="1043">
      <c r="A1043" t="inlineStr">
        <is>
          <t>three-way</t>
        </is>
      </c>
      <c r="B1043" t="inlineStr">
        <is>
          <t>ORIG_BAL x ASSET_CLASS / SYS_FLAG</t>
        </is>
      </c>
      <c r="C1043" t="inlineStr">
        <is>
          <t>15,449 - 26,323</t>
        </is>
      </c>
      <c r="D1043" t="inlineStr">
        <is>
          <t>4 / SYS_FLAG N</t>
        </is>
      </c>
      <c r="E1043" t="inlineStr">
        <is>
          <t>contribution_rate</t>
        </is>
      </c>
      <c r="F1043" t="inlineStr">
        <is>
          <t>Contribution before losses per booked dollar</t>
        </is>
      </c>
      <c r="G1043" t="n">
        <v>223</v>
      </c>
      <c r="H1043" t="n">
        <v>4718819.550000004</v>
      </c>
      <c r="I1043" t="b">
        <v>0</v>
      </c>
      <c r="J1043" t="b">
        <v>0</v>
      </c>
      <c r="K1043" t="n">
        <v>-0.01152844088203331</v>
      </c>
      <c r="L1043" t="n">
        <v>0.673599306735993</v>
      </c>
      <c r="M1043" t="n">
        <v>-0.0162386048371802</v>
      </c>
      <c r="N1043" t="n">
        <v>0.51994800519948</v>
      </c>
      <c r="O1043" t="n">
        <v>54400.63221515808</v>
      </c>
      <c r="P1043" t="n">
        <v>76627.04597041057</v>
      </c>
      <c r="Q1043">
        <f>'_live'!$C$24</f>
        <v/>
      </c>
      <c r="R1043" t="inlineStr">
        <is>
          <t>shuffled: 2,020 of 10,000</t>
        </is>
      </c>
      <c r="S1043" t="inlineStr">
        <is>
          <t>shuffled: 649 of 10,000</t>
        </is>
      </c>
      <c r="T1043" t="n">
        <v>0.1698032873952888</v>
      </c>
      <c r="U1043" t="n">
        <v>0.1745134513504357</v>
      </c>
      <c r="V1043">
        <f>AND(judged_band,NOT($J1043))</f>
        <v/>
      </c>
      <c r="W1043">
        <f>IF($K1043="","",IF(profit_kind="test",IF(OR(NOT(AND(ISNUMBER($L1043),$L1043&lt;significance_bar)),$K1043=0),"in line",IF($K1043&lt;0,"worse","better")),IF(OR($K1043=0,IF(profit_kind="points",ABS($K1043),ABS($K1043*$H1043))&lt;profit_line*(1-1E-9)),"in line",IF(AND(ISNUMBER($L1043),$L1043&lt;significance_bar),IF($K1043&lt;0,"worse","better"),IF($K1043&lt;0,"worse, not significant","better, not significant")))))</f>
        <v/>
      </c>
      <c r="X1043">
        <f>IF($M1043="","",IF(profit_kind="test",IF(OR(NOT(AND(ISNUMBER($N1043),$N1043&lt;significance_bar)),$M1043=0),"in line",IF($M1043&lt;0,"worse","better")),IF(OR($M1043=0,IF(profit_kind="points",ABS($M1043),ABS($M1043*$H1043))&lt;profit_line*(1-1E-9)),"in line",IF(AND(ISNUMBER($N1043),$N1043&lt;significance_bar),IF($M1043&lt;0,"worse","better"),IF($M1043&lt;0,"worse, not significant","better, not significant")))))</f>
        <v/>
      </c>
      <c r="Y1043">
        <f>IF($V1043,$X1043,$W1043)</f>
        <v/>
      </c>
      <c r="Z1043">
        <f>IF($V1043,IF($P1043="","",$P1043),IF($O1043="","",$O1043))</f>
        <v/>
      </c>
      <c r="AA1043">
        <f>IF(OR($Q1043="",$Z1043=""),"",IF(AND($Z1043&gt;0,$Z1043&gt;=$Q1043),"yes","below the line"))</f>
        <v/>
      </c>
      <c r="AB1043">
        <f>IF($V1043,IF($M1043="","",$M1043),IF($K1043="","",$K1043))</f>
        <v/>
      </c>
      <c r="AC1043">
        <f>IF($V1043,IF($N1043="","",$N1043),IF($L1043="","",$L1043))</f>
        <v/>
      </c>
      <c r="AD1043">
        <f>IF($Y1043="","",IF($Y1043="in line",IF(profit_kind="test",IF(ROUND($AB1043*100,2)=0,"0.00",TEXT($AB1043*100,"+0.00;-0.00"))&amp;" points against "&amp;IF($V1043,"its band","the book")&amp;", "&amp;IF($AC1043="","not tested","not significant"),IF(profit_kind="points","within "&amp;TEXT(profit_line*100,"0.00")&amp;" points of "&amp;IF($V1043,"its band","the book")&amp;" ("&amp;IF(ROUND($AB1043*100,2)=0,"0.00",TEXT($AB1043*100,"+0.00;-0.00"))&amp;")","within $"&amp;TEXT(profit_line,"#,##0")&amp;" of "&amp;IF($V1043,"its band","the book")&amp;" ("&amp;IF(ROUND($AB1043*100,2)=0,"0.00",TEXT($AB1043*100,"+0.00;-0.00"))&amp;" points)")),IF(LEFT($Y1043,5)="worse","short of ","ahead of ")&amp;IF($V1043,"its band","the book")&amp;" by "&amp;TEXT(ABS($AB1043)*100,"0.00")&amp;" points"&amp;IF($Z1043="",""," ($"&amp;TEXT(ABS($Z1043),"#,##0")&amp;")")&amp;IF(RIGHT($Y1043,15)="not significant"," (not significant)","")))</f>
        <v/>
      </c>
      <c r="AE1043">
        <f>IF($V1043,IF($S1043="","",$S1043),IF($R1043="","",$R1043))</f>
        <v/>
      </c>
      <c r="AF1043">
        <f>IF($V1043,IF($U1043="","",$U1043),IF($T1043="","",$T1043))</f>
        <v/>
      </c>
      <c r="AG1043">
        <f>IF($V1043,IF($O1043="","",$O1043),IF($P1043="","",$P1043))</f>
        <v/>
      </c>
      <c r="AH1043" t="n">
        <v>0.1582748465132555</v>
      </c>
      <c r="AI1043">
        <f>IF($Y1043="worse","Yes",IF($Y1043="worse, not significant","Not sure",IF(OR($Y1043="too few losses to test",$Y1043="too few loans to test"),"Too few losses",IF($Y1043="","","No"))))</f>
        <v/>
      </c>
      <c r="AJ1043">
        <f>IF($AA1043="yes","Yes",IF($AA1043="","","No"))</f>
        <v/>
      </c>
    </row>
    <row r="1044">
      <c r="A1044" t="inlineStr">
        <is>
          <t>three-way</t>
        </is>
      </c>
      <c r="B1044" t="inlineStr">
        <is>
          <t>ORIG_BAL x ASSET_CLASS / SYS_FLAG</t>
        </is>
      </c>
      <c r="C1044" t="inlineStr">
        <is>
          <t>5,005 - 15,448</t>
        </is>
      </c>
      <c r="D1044" t="inlineStr">
        <is>
          <t>4 / SYS_FLAG Y</t>
        </is>
      </c>
      <c r="E1044" t="inlineStr">
        <is>
          <t>outcome_loans</t>
        </is>
      </c>
      <c r="F1044" t="inlineStr">
        <is>
          <t>Outcome, share of loans</t>
        </is>
      </c>
      <c r="G1044" t="n">
        <v>196</v>
      </c>
      <c r="H1044" t="n">
        <v>196</v>
      </c>
      <c r="I1044" t="b">
        <v>0</v>
      </c>
      <c r="J1044" t="b">
        <v>0</v>
      </c>
      <c r="K1044" t="n">
        <v>1.260688775510204</v>
      </c>
      <c r="L1044" t="n">
        <v>0.5639229556355464</v>
      </c>
      <c r="M1044" t="n">
        <v>1.308673469387755</v>
      </c>
      <c r="N1044" t="n">
        <v>0.57171124817441</v>
      </c>
      <c r="O1044" t="n">
        <v>3.92887351018839</v>
      </c>
      <c r="P1044" t="n">
        <v>4.481481481481483</v>
      </c>
      <c r="Q1044">
        <f>'_live'!$C$20</f>
        <v/>
      </c>
      <c r="R1044" t="inlineStr">
        <is>
          <t>z test</t>
        </is>
      </c>
      <c r="S1044" t="inlineStr">
        <is>
          <t>z test</t>
        </is>
      </c>
      <c r="T1044" t="n">
        <v>0.07689350249903883</v>
      </c>
      <c r="U1044" t="n">
        <v>0.07407407407407407</v>
      </c>
      <c r="V1044">
        <f>AND(judged_band,NOT($J1044))</f>
        <v/>
      </c>
      <c r="W1044">
        <f>IF($K1044="","",IF($I1044,"too few losses to test",IF(AND($K1044&gt;better_at,$K1044&lt;worse_at),"in line",IF($K1044&gt;=worse_at,IF(AND(ISNUMBER($L1044),$L1044&lt;significance_bar),"worse","worse, not significant"),IF(AND(ISNUMBER($L1044),$L1044&lt;significance_bar),"better","better, not significant")))))</f>
        <v/>
      </c>
      <c r="X1044">
        <f>IF($M1044="","",IF($I1044,"too few losses to test",IF(AND($M1044&gt;better_at,$M1044&lt;worse_at),"in line",IF($M1044&gt;=worse_at,IF(AND(ISNUMBER($N1044),$N1044&lt;significance_bar),"worse","worse, not significant"),IF(AND(ISNUMBER($N1044),$N1044&lt;significance_bar),"better","better, not significant")))))</f>
        <v/>
      </c>
      <c r="Y1044">
        <f>IF($V1044,$X1044,$W1044)</f>
        <v/>
      </c>
      <c r="Z1044">
        <f>IF($V1044,IF($P1044="","",$P1044),IF($O1044="","",$O1044))</f>
        <v/>
      </c>
      <c r="AA1044">
        <f>IF(OR($Q1044="",$Z1044=""),"",IF(AND($Z1044&gt;0,$Z1044&gt;=$Q1044),"yes","below the line"))</f>
        <v/>
      </c>
      <c r="AB1044">
        <f>IF($V1044,IF($M1044="","",$M1044),IF($K1044="","",$K1044))</f>
        <v/>
      </c>
      <c r="AC1044">
        <f>IF($V1044,IF($N1044="","",$N1044),IF($L1044="","",$L1044))</f>
        <v/>
      </c>
      <c r="AD1044">
        <f>$Y1044</f>
        <v/>
      </c>
      <c r="AE1044">
        <f>IF($V1044,IF($S1044="","",$S1044),IF($R1044="","",$R1044))</f>
        <v/>
      </c>
      <c r="AF1044">
        <f>IF($V1044,IF($U1044="","",$U1044),IF($T1044="","",$T1044))</f>
        <v/>
      </c>
      <c r="AG1044">
        <f>IF($V1044,IF($O1044="","",$O1044),IF($P1044="","",$P1044))</f>
        <v/>
      </c>
      <c r="AH1044" t="n">
        <v>0.09693877551020408</v>
      </c>
      <c r="AI1044">
        <f>IF($Y1044="worse","Yes",IF($Y1044="worse, not significant","Not sure",IF(OR($Y1044="too few losses to test",$Y1044="too few loans to test"),"Too few losses",IF($Y1044="","","No"))))</f>
        <v/>
      </c>
      <c r="AJ1044">
        <f>IF($AA1044="yes","Yes",IF($AA1044="","","No"))</f>
        <v/>
      </c>
    </row>
    <row r="1045">
      <c r="A1045" t="inlineStr">
        <is>
          <t>three-way</t>
        </is>
      </c>
      <c r="B1045" t="inlineStr">
        <is>
          <t>ORIG_BAL x ASSET_CLASS / SYS_FLAG</t>
        </is>
      </c>
      <c r="C1045" t="inlineStr">
        <is>
          <t>5,005 - 15,448</t>
        </is>
      </c>
      <c r="D1045" t="inlineStr">
        <is>
          <t>4 / SYS_FLAG Y</t>
        </is>
      </c>
      <c r="E1045" t="inlineStr">
        <is>
          <t>outcome_booked</t>
        </is>
      </c>
      <c r="F1045" t="inlineStr">
        <is>
          <t>Outcome, share of booked dollars</t>
        </is>
      </c>
      <c r="G1045" t="n">
        <v>196</v>
      </c>
      <c r="H1045" t="n">
        <v>1972333.82</v>
      </c>
      <c r="I1045" t="b">
        <v>0</v>
      </c>
      <c r="J1045" t="b">
        <v>0</v>
      </c>
      <c r="K1045" t="n">
        <v>1.393727576626295</v>
      </c>
      <c r="L1045" t="n">
        <v>0.4674441646744416</v>
      </c>
      <c r="M1045" t="n">
        <v>1.451272647348663</v>
      </c>
      <c r="N1045" t="n">
        <v>0.515948405159484</v>
      </c>
      <c r="O1045" t="n">
        <v>57934.91310862466</v>
      </c>
      <c r="P1045" t="n">
        <v>63769.4131098151</v>
      </c>
      <c r="Q1045">
        <f>'_live'!$C$21</f>
        <v/>
      </c>
      <c r="R1045" t="inlineStr">
        <is>
          <t>shuffled: 1,606 of 10,000</t>
        </is>
      </c>
      <c r="S1045" t="inlineStr">
        <is>
          <t>shuffled: 1,211 of 10,000</t>
        </is>
      </c>
      <c r="T1045" t="n">
        <v>0.07460434202328661</v>
      </c>
      <c r="U1045" t="n">
        <v>0.07164617138197477</v>
      </c>
      <c r="V1045">
        <f>AND(judged_band,NOT($J1045))</f>
        <v/>
      </c>
      <c r="W1045">
        <f>IF($K1045="","",IF($I1045,"too few losses to test",IF(AND($K1045&gt;better_at,$K1045&lt;worse_at),"in line",IF($K1045&gt;=worse_at,IF(AND(ISNUMBER($L1045),$L1045&lt;significance_bar),"worse","worse, not significant"),IF(AND(ISNUMBER($L1045),$L1045&lt;significance_bar),"better","better, not significant")))))</f>
        <v/>
      </c>
      <c r="X1045">
        <f>IF($M1045="","",IF($I1045,"too few losses to test",IF(AND($M1045&gt;better_at,$M1045&lt;worse_at),"in line",IF($M1045&gt;=worse_at,IF(AND(ISNUMBER($N1045),$N1045&lt;significance_bar),"worse","worse, not significant"),IF(AND(ISNUMBER($N1045),$N1045&lt;significance_bar),"better","better, not significant")))))</f>
        <v/>
      </c>
      <c r="Y1045">
        <f>IF($V1045,$X1045,$W1045)</f>
        <v/>
      </c>
      <c r="Z1045">
        <f>IF($V1045,IF($P1045="","",$P1045),IF($O1045="","",$O1045))</f>
        <v/>
      </c>
      <c r="AA1045">
        <f>IF(OR($Q1045="",$Z1045=""),"",IF(AND($Z1045&gt;0,$Z1045&gt;=$Q1045),"yes","below the line"))</f>
        <v/>
      </c>
      <c r="AB1045">
        <f>IF($V1045,IF($M1045="","",$M1045),IF($K1045="","",$K1045))</f>
        <v/>
      </c>
      <c r="AC1045">
        <f>IF($V1045,IF($N1045="","",$N1045),IF($L1045="","",$L1045))</f>
        <v/>
      </c>
      <c r="AD1045">
        <f>$Y1045</f>
        <v/>
      </c>
      <c r="AE1045">
        <f>IF($V1045,IF($S1045="","",$S1045),IF($R1045="","",$R1045))</f>
        <v/>
      </c>
      <c r="AF1045">
        <f>IF($V1045,IF($U1045="","",$U1045),IF($T1045="","",$T1045))</f>
        <v/>
      </c>
      <c r="AG1045">
        <f>IF($V1045,IF($O1045="","",$O1045),IF($P1045="","",$P1045))</f>
        <v/>
      </c>
      <c r="AH1045" t="n">
        <v>0.1039781288139145</v>
      </c>
      <c r="AI1045">
        <f>IF($Y1045="worse","Yes",IF($Y1045="worse, not significant","Not sure",IF(OR($Y1045="too few losses to test",$Y1045="too few loans to test"),"Too few losses",IF($Y1045="","","No"))))</f>
        <v/>
      </c>
      <c r="AJ1045">
        <f>IF($AA1045="yes","Yes",IF($AA1045="","","No"))</f>
        <v/>
      </c>
    </row>
    <row r="1046">
      <c r="A1046" t="inlineStr">
        <is>
          <t>three-way</t>
        </is>
      </c>
      <c r="B1046" t="inlineStr">
        <is>
          <t>ORIG_BAL x ASSET_CLASS / SYS_FLAG</t>
        </is>
      </c>
      <c r="C1046" t="inlineStr">
        <is>
          <t>5,005 - 15,448</t>
        </is>
      </c>
      <c r="D1046" t="inlineStr">
        <is>
          <t>4 / SYS_FLAG Y</t>
        </is>
      </c>
      <c r="E1046" t="inlineStr">
        <is>
          <t>gco_rate</t>
        </is>
      </c>
      <c r="F1046" t="inlineStr">
        <is>
          <t>GCO per booked dollar</t>
        </is>
      </c>
      <c r="G1046" t="n">
        <v>196</v>
      </c>
      <c r="H1046" t="n">
        <v>1972333.82</v>
      </c>
      <c r="I1046" t="b">
        <v>0</v>
      </c>
      <c r="J1046" t="b">
        <v>0</v>
      </c>
      <c r="K1046" t="n">
        <v>1.383794844014992</v>
      </c>
      <c r="L1046" t="n">
        <v>0.5204812852048128</v>
      </c>
      <c r="M1046" t="n">
        <v>1.465021126354612</v>
      </c>
      <c r="N1046" t="n">
        <v>0.4877734448777344</v>
      </c>
      <c r="O1046" t="n">
        <v>31401.87943069162</v>
      </c>
      <c r="P1046" t="n">
        <v>35938.25700299958</v>
      </c>
      <c r="Q1046">
        <f>'_live'!$C$22</f>
        <v/>
      </c>
      <c r="R1046" t="inlineStr">
        <is>
          <t>shuffled: 1,891 of 10,000</t>
        </is>
      </c>
      <c r="S1046" t="inlineStr">
        <is>
          <t>shuffled: 1,237 of 10,000</t>
        </is>
      </c>
      <c r="T1046" t="n">
        <v>0.04148356618927134</v>
      </c>
      <c r="U1046" t="n">
        <v>0.03918356122748046</v>
      </c>
      <c r="V1046">
        <f>AND(judged_band,NOT($J1046))</f>
        <v/>
      </c>
      <c r="W1046">
        <f>IF($K1046="","",IF($I1046,"too few losses to test",IF(AND($K1046&gt;better_at,$K1046&lt;worse_at),"in line",IF($K1046&gt;=worse_at,IF(AND(ISNUMBER($L1046),$L1046&lt;significance_bar),"worse","worse, not significant"),IF(AND(ISNUMBER($L1046),$L1046&lt;significance_bar),"better","better, not significant")))))</f>
        <v/>
      </c>
      <c r="X1046">
        <f>IF($M1046="","",IF($I1046,"too few losses to test",IF(AND($M1046&gt;better_at,$M1046&lt;worse_at),"in line",IF($M1046&gt;=worse_at,IF(AND(ISNUMBER($N1046),$N1046&lt;significance_bar),"worse","worse, not significant"),IF(AND(ISNUMBER($N1046),$N1046&lt;significance_bar),"better","better, not significant")))))</f>
        <v/>
      </c>
      <c r="Y1046">
        <f>IF($V1046,$X1046,$W1046)</f>
        <v/>
      </c>
      <c r="Z1046">
        <f>IF($V1046,IF($P1046="","",$P1046),IF($O1046="","",$O1046))</f>
        <v/>
      </c>
      <c r="AA1046">
        <f>IF(OR($Q1046="",$Z1046=""),"",IF(AND($Z1046&gt;0,$Z1046&gt;=$Q1046),"yes","below the line"))</f>
        <v/>
      </c>
      <c r="AB1046">
        <f>IF($V1046,IF($M1046="","",$M1046),IF($K1046="","",$K1046))</f>
        <v/>
      </c>
      <c r="AC1046">
        <f>IF($V1046,IF($N1046="","",$N1046),IF($L1046="","",$L1046))</f>
        <v/>
      </c>
      <c r="AD1046">
        <f>$Y1046</f>
        <v/>
      </c>
      <c r="AE1046">
        <f>IF($V1046,IF($S1046="","",$S1046),IF($R1046="","",$R1046))</f>
        <v/>
      </c>
      <c r="AF1046">
        <f>IF($V1046,IF($U1046="","",$U1046),IF($T1046="","",$T1046))</f>
        <v/>
      </c>
      <c r="AG1046">
        <f>IF($V1046,IF($O1046="","",$O1046),IF($P1046="","",$P1046))</f>
        <v/>
      </c>
      <c r="AH1046" t="n">
        <v>0.05740474500406834</v>
      </c>
      <c r="AI1046">
        <f>IF($Y1046="worse","Yes",IF($Y1046="worse, not significant","Not sure",IF(OR($Y1046="too few losses to test",$Y1046="too few loans to test"),"Too few losses",IF($Y1046="","","No"))))</f>
        <v/>
      </c>
      <c r="AJ1046">
        <f>IF($AA1046="yes","Yes",IF($AA1046="","","No"))</f>
        <v/>
      </c>
    </row>
    <row r="1047">
      <c r="A1047" t="inlineStr">
        <is>
          <t>three-way</t>
        </is>
      </c>
      <c r="B1047" t="inlineStr">
        <is>
          <t>ORIG_BAL x ASSET_CLASS / SYS_FLAG</t>
        </is>
      </c>
      <c r="C1047" t="inlineStr">
        <is>
          <t>5,005 - 15,448</t>
        </is>
      </c>
      <c r="D1047" t="inlineStr">
        <is>
          <t>4 / SYS_FLAG Y</t>
        </is>
      </c>
      <c r="E1047" t="inlineStr">
        <is>
          <t>ranr_rate</t>
        </is>
      </c>
      <c r="F1047" t="inlineStr">
        <is>
          <t>Profit after losses: RANR per booked dollar</t>
        </is>
      </c>
      <c r="G1047" t="n">
        <v>196</v>
      </c>
      <c r="H1047" t="n">
        <v>1972333.82</v>
      </c>
      <c r="I1047" t="b">
        <v>0</v>
      </c>
      <c r="J1047" t="b">
        <v>0</v>
      </c>
      <c r="K1047" t="n">
        <v>0.003008275205227756</v>
      </c>
      <c r="L1047" t="n">
        <v>0.9053453628996073</v>
      </c>
      <c r="M1047" t="n">
        <v>-0.01787658463558336</v>
      </c>
      <c r="N1047" t="n">
        <v>0.4690057310058468</v>
      </c>
      <c r="O1047" t="n">
        <v>-5933.322927138128</v>
      </c>
      <c r="P1047" t="n">
        <v>35258.59246285344</v>
      </c>
      <c r="Q1047">
        <f>'_live'!$C$23</f>
        <v/>
      </c>
      <c r="R1047" t="inlineStr">
        <is>
          <t>shuffled: 8,396 of 10,000</t>
        </is>
      </c>
      <c r="S1047" t="inlineStr">
        <is>
          <t>shuffled: 2,158 of 10,000</t>
        </is>
      </c>
      <c r="T1047" t="n">
        <v>0.127967058371925</v>
      </c>
      <c r="U1047" t="n">
        <v>0.1488519182127361</v>
      </c>
      <c r="V1047">
        <f>AND(judged_band,NOT($J1047))</f>
        <v/>
      </c>
      <c r="W1047">
        <f>IF($K1047="","",IF(profit_kind="test",IF(OR(NOT(AND(ISNUMBER($L1047),$L1047&lt;significance_bar)),$K1047=0),"in line",IF($K1047&lt;0,"worse","better")),IF(OR($K1047=0,IF(profit_kind="points",ABS($K1047),ABS($K1047*$H1047))&lt;profit_line*(1-1E-9)),"in line",IF(AND(ISNUMBER($L1047),$L1047&lt;significance_bar),IF($K1047&lt;0,"worse","better"),IF($K1047&lt;0,"worse, not significant","better, not significant")))))</f>
        <v/>
      </c>
      <c r="X1047">
        <f>IF($M1047="","",IF(profit_kind="test",IF(OR(NOT(AND(ISNUMBER($N1047),$N1047&lt;significance_bar)),$M1047=0),"in line",IF($M1047&lt;0,"worse","better")),IF(OR($M1047=0,IF(profit_kind="points",ABS($M1047),ABS($M1047*$H1047))&lt;profit_line*(1-1E-9)),"in line",IF(AND(ISNUMBER($N1047),$N1047&lt;significance_bar),IF($M1047&lt;0,"worse","better"),IF($M1047&lt;0,"worse, not significant","better, not significant")))))</f>
        <v/>
      </c>
      <c r="Y1047">
        <f>IF($V1047,$X1047,$W1047)</f>
        <v/>
      </c>
      <c r="Z1047">
        <f>IF($V1047,IF($P1047="","",$P1047),IF($O1047="","",$O1047))</f>
        <v/>
      </c>
      <c r="AA1047">
        <f>IF(OR($Q1047="",$Z1047=""),"",IF(AND($Z1047&gt;0,$Z1047&gt;=$Q1047),"yes","below the line"))</f>
        <v/>
      </c>
      <c r="AB1047">
        <f>IF($V1047,IF($M1047="","",$M1047),IF($K1047="","",$K1047))</f>
        <v/>
      </c>
      <c r="AC1047">
        <f>IF($V1047,IF($N1047="","",$N1047),IF($L1047="","",$L1047))</f>
        <v/>
      </c>
      <c r="AD1047">
        <f>IF($Y1047="","",IF($Y1047="in line",IF(profit_kind="test",IF(ROUND($AB1047*100,2)=0,"0.00",TEXT($AB1047*100,"+0.00;-0.00"))&amp;" points against "&amp;IF($V1047,"its band","the book")&amp;", "&amp;IF($AC1047="","not tested","not significant"),IF(profit_kind="points","within "&amp;TEXT(profit_line*100,"0.00")&amp;" points of "&amp;IF($V1047,"its band","the book")&amp;" ("&amp;IF(ROUND($AB1047*100,2)=0,"0.00",TEXT($AB1047*100,"+0.00;-0.00"))&amp;")","within $"&amp;TEXT(profit_line,"#,##0")&amp;" of "&amp;IF($V1047,"its band","the book")&amp;" ("&amp;IF(ROUND($AB1047*100,2)=0,"0.00",TEXT($AB1047*100,"+0.00;-0.00"))&amp;" points)")),IF(LEFT($Y1047,5)="worse","short of ","ahead of ")&amp;IF($V1047,"its band","the book")&amp;" by "&amp;TEXT(ABS($AB1047)*100,"0.00")&amp;" points"&amp;IF($Z1047="",""," ($"&amp;TEXT(ABS($Z1047),"#,##0")&amp;")")&amp;IF(RIGHT($Y1047,15)="not significant"," (not significant)","")))</f>
        <v/>
      </c>
      <c r="AE1047">
        <f>IF($V1047,IF($S1047="","",$S1047),IF($R1047="","",$R1047))</f>
        <v/>
      </c>
      <c r="AF1047">
        <f>IF($V1047,IF($U1047="","",$U1047),IF($T1047="","",$T1047))</f>
        <v/>
      </c>
      <c r="AG1047">
        <f>IF($V1047,IF($O1047="","",$O1047),IF($P1047="","",$P1047))</f>
        <v/>
      </c>
      <c r="AH1047" t="n">
        <v>0.1309753335771528</v>
      </c>
      <c r="AI1047">
        <f>IF($Y1047="worse","Yes",IF($Y1047="worse, not significant","Not sure",IF(OR($Y1047="too few losses to test",$Y1047="too few loans to test"),"Too few losses",IF($Y1047="","","No"))))</f>
        <v/>
      </c>
      <c r="AJ1047">
        <f>IF($AA1047="yes","Yes",IF($AA1047="","","No"))</f>
        <v/>
      </c>
    </row>
    <row r="1048">
      <c r="A1048" t="inlineStr">
        <is>
          <t>three-way</t>
        </is>
      </c>
      <c r="B1048" t="inlineStr">
        <is>
          <t>ORIG_BAL x ASSET_CLASS / SYS_FLAG</t>
        </is>
      </c>
      <c r="C1048" t="inlineStr">
        <is>
          <t>5,005 - 15,448</t>
        </is>
      </c>
      <c r="D1048" t="inlineStr">
        <is>
          <t>4 / SYS_FLAG Y</t>
        </is>
      </c>
      <c r="E1048" t="inlineStr">
        <is>
          <t>contribution_rate</t>
        </is>
      </c>
      <c r="F1048" t="inlineStr">
        <is>
          <t>Contribution before losses per booked dollar</t>
        </is>
      </c>
      <c r="G1048" t="n">
        <v>196</v>
      </c>
      <c r="H1048" t="n">
        <v>1972333.82</v>
      </c>
      <c r="I1048" t="b">
        <v>0</v>
      </c>
      <c r="J1048" t="b">
        <v>0</v>
      </c>
      <c r="K1048" t="n">
        <v>0.01893233885379436</v>
      </c>
      <c r="L1048" t="n">
        <v>0.2624737526247375</v>
      </c>
      <c r="M1048" t="n">
        <v>0.0003445991410045979</v>
      </c>
      <c r="N1048" t="n">
        <v>0.9712028797120288</v>
      </c>
      <c r="O1048" t="n">
        <v>-37340.89221303863</v>
      </c>
      <c r="P1048" t="n">
        <v>-679.6645401463029</v>
      </c>
      <c r="Q1048">
        <f>'_live'!$C$24</f>
        <v/>
      </c>
      <c r="R1048" t="inlineStr">
        <is>
          <t>shuffled: 524 of 10,000</t>
        </is>
      </c>
      <c r="S1048" t="inlineStr">
        <is>
          <t>shuffled: 9,712 of 10,000</t>
        </is>
      </c>
      <c r="T1048" t="n">
        <v>0.1694477397274268</v>
      </c>
      <c r="U1048" t="n">
        <v>0.1880354794402165</v>
      </c>
      <c r="V1048">
        <f>AND(judged_band,NOT($J1048))</f>
        <v/>
      </c>
      <c r="W1048">
        <f>IF($K1048="","",IF(profit_kind="test",IF(OR(NOT(AND(ISNUMBER($L1048),$L1048&lt;significance_bar)),$K1048=0),"in line",IF($K1048&lt;0,"worse","better")),IF(OR($K1048=0,IF(profit_kind="points",ABS($K1048),ABS($K1048*$H1048))&lt;profit_line*(1-1E-9)),"in line",IF(AND(ISNUMBER($L1048),$L1048&lt;significance_bar),IF($K1048&lt;0,"worse","better"),IF($K1048&lt;0,"worse, not significant","better, not significant")))))</f>
        <v/>
      </c>
      <c r="X1048">
        <f>IF($M1048="","",IF(profit_kind="test",IF(OR(NOT(AND(ISNUMBER($N1048),$N1048&lt;significance_bar)),$M1048=0),"in line",IF($M1048&lt;0,"worse","better")),IF(OR($M1048=0,IF(profit_kind="points",ABS($M1048),ABS($M1048*$H1048))&lt;profit_line*(1-1E-9)),"in line",IF(AND(ISNUMBER($N1048),$N1048&lt;significance_bar),IF($M1048&lt;0,"worse","better"),IF($M1048&lt;0,"worse, not significant","better, not significant")))))</f>
        <v/>
      </c>
      <c r="Y1048">
        <f>IF($V1048,$X1048,$W1048)</f>
        <v/>
      </c>
      <c r="Z1048">
        <f>IF($V1048,IF($P1048="","",$P1048),IF($O1048="","",$O1048))</f>
        <v/>
      </c>
      <c r="AA1048">
        <f>IF(OR($Q1048="",$Z1048=""),"",IF(AND($Z1048&gt;0,$Z1048&gt;=$Q1048),"yes","below the line"))</f>
        <v/>
      </c>
      <c r="AB1048">
        <f>IF($V1048,IF($M1048="","",$M1048),IF($K1048="","",$K1048))</f>
        <v/>
      </c>
      <c r="AC1048">
        <f>IF($V1048,IF($N1048="","",$N1048),IF($L1048="","",$L1048))</f>
        <v/>
      </c>
      <c r="AD1048">
        <f>IF($Y1048="","",IF($Y1048="in line",IF(profit_kind="test",IF(ROUND($AB1048*100,2)=0,"0.00",TEXT($AB1048*100,"+0.00;-0.00"))&amp;" points against "&amp;IF($V1048,"its band","the book")&amp;", "&amp;IF($AC1048="","not tested","not significant"),IF(profit_kind="points","within "&amp;TEXT(profit_line*100,"0.00")&amp;" points of "&amp;IF($V1048,"its band","the book")&amp;" ("&amp;IF(ROUND($AB1048*100,2)=0,"0.00",TEXT($AB1048*100,"+0.00;-0.00"))&amp;")","within $"&amp;TEXT(profit_line,"#,##0")&amp;" of "&amp;IF($V1048,"its band","the book")&amp;" ("&amp;IF(ROUND($AB1048*100,2)=0,"0.00",TEXT($AB1048*100,"+0.00;-0.00"))&amp;" points)")),IF(LEFT($Y1048,5)="worse","short of ","ahead of ")&amp;IF($V1048,"its band","the book")&amp;" by "&amp;TEXT(ABS($AB1048)*100,"0.00")&amp;" points"&amp;IF($Z1048="",""," ($"&amp;TEXT(ABS($Z1048),"#,##0")&amp;")")&amp;IF(RIGHT($Y1048,15)="not significant"," (not significant)","")))</f>
        <v/>
      </c>
      <c r="AE1048">
        <f>IF($V1048,IF($S1048="","",$S1048),IF($R1048="","",$R1048))</f>
        <v/>
      </c>
      <c r="AF1048">
        <f>IF($V1048,IF($U1048="","",$U1048),IF($T1048="","",$T1048))</f>
        <v/>
      </c>
      <c r="AG1048">
        <f>IF($V1048,IF($O1048="","",$O1048),IF($P1048="","",$P1048))</f>
        <v/>
      </c>
      <c r="AH1048" t="n">
        <v>0.1883800785812211</v>
      </c>
      <c r="AI1048">
        <f>IF($Y1048="worse","Yes",IF($Y1048="worse, not significant","Not sure",IF(OR($Y1048="too few losses to test",$Y1048="too few loans to test"),"Too few losses",IF($Y1048="","","No"))))</f>
        <v/>
      </c>
      <c r="AJ1048">
        <f>IF($AA1048="yes","Yes",IF($AA1048="","","No"))</f>
        <v/>
      </c>
    </row>
    <row r="1049">
      <c r="A1049" t="inlineStr">
        <is>
          <t>three-way</t>
        </is>
      </c>
      <c r="B1049" t="inlineStr">
        <is>
          <t>ORIG_BAL x ASSET_CLASS / SYS_FLAG</t>
        </is>
      </c>
      <c r="C1049" t="inlineStr">
        <is>
          <t>5,005 - 15,448</t>
        </is>
      </c>
      <c r="D1049" t="inlineStr">
        <is>
          <t>2 / SYS_FLAG N</t>
        </is>
      </c>
      <c r="E1049" t="inlineStr">
        <is>
          <t>outcome_loans</t>
        </is>
      </c>
      <c r="F1049" t="inlineStr">
        <is>
          <t>Outcome, share of loans</t>
        </is>
      </c>
      <c r="G1049" t="n">
        <v>244</v>
      </c>
      <c r="H1049" t="n">
        <v>244</v>
      </c>
      <c r="I1049" t="b">
        <v>0</v>
      </c>
      <c r="J1049" t="b">
        <v>0</v>
      </c>
      <c r="K1049" t="n">
        <v>0.5218848421222644</v>
      </c>
      <c r="L1049" t="n">
        <v>0.1636195378737033</v>
      </c>
      <c r="M1049" t="n">
        <v>0.4918032786885246</v>
      </c>
      <c r="N1049" t="n">
        <v>0.1186625573973711</v>
      </c>
      <c r="O1049" t="n">
        <v>-9.161315280464216</v>
      </c>
      <c r="P1049" t="n">
        <v>-10.33333333333333</v>
      </c>
      <c r="Q1049">
        <f>'_live'!$C$20</f>
        <v/>
      </c>
      <c r="R1049" t="inlineStr">
        <is>
          <t>z test</t>
        </is>
      </c>
      <c r="S1049" t="inlineStr">
        <is>
          <t>z test</t>
        </is>
      </c>
      <c r="T1049" t="n">
        <v>0.07852998065764023</v>
      </c>
      <c r="U1049" t="n">
        <v>0.08333333333333333</v>
      </c>
      <c r="V1049">
        <f>AND(judged_band,NOT($J1049))</f>
        <v/>
      </c>
      <c r="W1049">
        <f>IF($K1049="","",IF($I1049,"too few losses to test",IF(AND($K1049&gt;better_at,$K1049&lt;worse_at),"in line",IF($K1049&gt;=worse_at,IF(AND(ISNUMBER($L1049),$L1049&lt;significance_bar),"worse","worse, not significant"),IF(AND(ISNUMBER($L1049),$L1049&lt;significance_bar),"better","better, not significant")))))</f>
        <v/>
      </c>
      <c r="X1049">
        <f>IF($M1049="","",IF($I1049,"too few losses to test",IF(AND($M1049&gt;better_at,$M1049&lt;worse_at),"in line",IF($M1049&gt;=worse_at,IF(AND(ISNUMBER($N1049),$N1049&lt;significance_bar),"worse","worse, not significant"),IF(AND(ISNUMBER($N1049),$N1049&lt;significance_bar),"better","better, not significant")))))</f>
        <v/>
      </c>
      <c r="Y1049">
        <f>IF($V1049,$X1049,$W1049)</f>
        <v/>
      </c>
      <c r="Z1049">
        <f>IF($V1049,IF($P1049="","",$P1049),IF($O1049="","",$O1049))</f>
        <v/>
      </c>
      <c r="AA1049">
        <f>IF(OR($Q1049="",$Z1049=""),"",IF(AND($Z1049&gt;0,$Z1049&gt;=$Q1049),"yes","below the line"))</f>
        <v/>
      </c>
      <c r="AB1049">
        <f>IF($V1049,IF($M1049="","",$M1049),IF($K1049="","",$K1049))</f>
        <v/>
      </c>
      <c r="AC1049">
        <f>IF($V1049,IF($N1049="","",$N1049),IF($L1049="","",$L1049))</f>
        <v/>
      </c>
      <c r="AD1049">
        <f>$Y1049</f>
        <v/>
      </c>
      <c r="AE1049">
        <f>IF($V1049,IF($S1049="","",$S1049),IF($R1049="","",$R1049))</f>
        <v/>
      </c>
      <c r="AF1049">
        <f>IF($V1049,IF($U1049="","",$U1049),IF($T1049="","",$T1049))</f>
        <v/>
      </c>
      <c r="AG1049">
        <f>IF($V1049,IF($O1049="","",$O1049),IF($P1049="","",$P1049))</f>
        <v/>
      </c>
      <c r="AH1049" t="n">
        <v>0.04098360655737705</v>
      </c>
      <c r="AI1049">
        <f>IF($Y1049="worse","Yes",IF($Y1049="worse, not significant","Not sure",IF(OR($Y1049="too few losses to test",$Y1049="too few loans to test"),"Too few losses",IF($Y1049="","","No"))))</f>
        <v/>
      </c>
      <c r="AJ1049">
        <f>IF($AA1049="yes","Yes",IF($AA1049="","","No"))</f>
        <v/>
      </c>
    </row>
    <row r="1050">
      <c r="A1050" t="inlineStr">
        <is>
          <t>three-way</t>
        </is>
      </c>
      <c r="B1050" t="inlineStr">
        <is>
          <t>ORIG_BAL x ASSET_CLASS / SYS_FLAG</t>
        </is>
      </c>
      <c r="C1050" t="inlineStr">
        <is>
          <t>5,005 - 15,448</t>
        </is>
      </c>
      <c r="D1050" t="inlineStr">
        <is>
          <t>2 / SYS_FLAG N</t>
        </is>
      </c>
      <c r="E1050" t="inlineStr">
        <is>
          <t>outcome_booked</t>
        </is>
      </c>
      <c r="F1050" t="inlineStr">
        <is>
          <t>Outcome, share of booked dollars</t>
        </is>
      </c>
      <c r="G1050" t="n">
        <v>244</v>
      </c>
      <c r="H1050" t="n">
        <v>2492552.969999998</v>
      </c>
      <c r="I1050" t="b">
        <v>0</v>
      </c>
      <c r="J1050" t="b">
        <v>0</v>
      </c>
      <c r="K1050" t="n">
        <v>0.5082261800322611</v>
      </c>
      <c r="L1050" t="n">
        <v>0.2349479337780508</v>
      </c>
      <c r="M1050" t="n">
        <v>0.4640008633150221</v>
      </c>
      <c r="N1050" t="n">
        <v>0.111988801119888</v>
      </c>
      <c r="O1050" t="n">
        <v>-92160.96246020721</v>
      </c>
      <c r="P1050" t="n">
        <v>-110023.1135983348</v>
      </c>
      <c r="Q1050">
        <f>'_live'!$C$21</f>
        <v/>
      </c>
      <c r="R1050" t="inlineStr">
        <is>
          <t>shuffled: 474 of 10,000</t>
        </is>
      </c>
      <c r="S1050" t="inlineStr">
        <is>
          <t>shuffled: 174 of 10,000</t>
        </is>
      </c>
      <c r="T1050" t="n">
        <v>0.07518603805647804</v>
      </c>
      <c r="U1050" t="n">
        <v>0.08235224529584821</v>
      </c>
      <c r="V1050">
        <f>AND(judged_band,NOT($J1050))</f>
        <v/>
      </c>
      <c r="W1050">
        <f>IF($K1050="","",IF($I1050,"too few losses to test",IF(AND($K1050&gt;better_at,$K1050&lt;worse_at),"in line",IF($K1050&gt;=worse_at,IF(AND(ISNUMBER($L1050),$L1050&lt;significance_bar),"worse","worse, not significant"),IF(AND(ISNUMBER($L1050),$L1050&lt;significance_bar),"better","better, not significant")))))</f>
        <v/>
      </c>
      <c r="X1050">
        <f>IF($M1050="","",IF($I1050,"too few losses to test",IF(AND($M1050&gt;better_at,$M1050&lt;worse_at),"in line",IF($M1050&gt;=worse_at,IF(AND(ISNUMBER($N1050),$N1050&lt;significance_bar),"worse","worse, not significant"),IF(AND(ISNUMBER($N1050),$N1050&lt;significance_bar),"better","better, not significant")))))</f>
        <v/>
      </c>
      <c r="Y1050">
        <f>IF($V1050,$X1050,$W1050)</f>
        <v/>
      </c>
      <c r="Z1050">
        <f>IF($V1050,IF($P1050="","",$P1050),IF($O1050="","",$O1050))</f>
        <v/>
      </c>
      <c r="AA1050">
        <f>IF(OR($Q1050="",$Z1050=""),"",IF(AND($Z1050&gt;0,$Z1050&gt;=$Q1050),"yes","below the line"))</f>
        <v/>
      </c>
      <c r="AB1050">
        <f>IF($V1050,IF($M1050="","",$M1050),IF($K1050="","",$K1050))</f>
        <v/>
      </c>
      <c r="AC1050">
        <f>IF($V1050,IF($N1050="","",$N1050),IF($L1050="","",$L1050))</f>
        <v/>
      </c>
      <c r="AD1050">
        <f>$Y1050</f>
        <v/>
      </c>
      <c r="AE1050">
        <f>IF($V1050,IF($S1050="","",$S1050),IF($R1050="","",$R1050))</f>
        <v/>
      </c>
      <c r="AF1050">
        <f>IF($V1050,IF($U1050="","",$U1050),IF($T1050="","",$T1050))</f>
        <v/>
      </c>
      <c r="AG1050">
        <f>IF($V1050,IF($O1050="","",$O1050),IF($P1050="","",$P1050))</f>
        <v/>
      </c>
      <c r="AH1050" t="n">
        <v>0.03821151291320404</v>
      </c>
      <c r="AI1050">
        <f>IF($Y1050="worse","Yes",IF($Y1050="worse, not significant","Not sure",IF(OR($Y1050="too few losses to test",$Y1050="too few loans to test"),"Too few losses",IF($Y1050="","","No"))))</f>
        <v/>
      </c>
      <c r="AJ1050">
        <f>IF($AA1050="yes","Yes",IF($AA1050="","","No"))</f>
        <v/>
      </c>
    </row>
    <row r="1051">
      <c r="A1051" t="inlineStr">
        <is>
          <t>three-way</t>
        </is>
      </c>
      <c r="B1051" t="inlineStr">
        <is>
          <t>ORIG_BAL x ASSET_CLASS / SYS_FLAG</t>
        </is>
      </c>
      <c r="C1051" t="inlineStr">
        <is>
          <t>5,005 - 15,448</t>
        </is>
      </c>
      <c r="D1051" t="inlineStr">
        <is>
          <t>2 / SYS_FLAG N</t>
        </is>
      </c>
      <c r="E1051" t="inlineStr">
        <is>
          <t>gco_rate</t>
        </is>
      </c>
      <c r="F1051" t="inlineStr">
        <is>
          <t>GCO per booked dollar</t>
        </is>
      </c>
      <c r="G1051" t="n">
        <v>244</v>
      </c>
      <c r="H1051" t="n">
        <v>2492552.969999998</v>
      </c>
      <c r="I1051" t="b">
        <v>0</v>
      </c>
      <c r="J1051" t="b">
        <v>0</v>
      </c>
      <c r="K1051" t="n">
        <v>0.4903066612844483</v>
      </c>
      <c r="L1051" t="n">
        <v>0.193980601939806</v>
      </c>
      <c r="M1051" t="n">
        <v>0.4536639986877141</v>
      </c>
      <c r="N1051" t="n">
        <v>0.1273472652734726</v>
      </c>
      <c r="O1051" t="n">
        <v>-53118.43071298716</v>
      </c>
      <c r="P1051" t="n">
        <v>-61536.04430267353</v>
      </c>
      <c r="Q1051">
        <f>'_live'!$C$22</f>
        <v/>
      </c>
      <c r="R1051" t="inlineStr">
        <is>
          <t>shuffled: 454 of 10,000</t>
        </is>
      </c>
      <c r="S1051" t="inlineStr">
        <is>
          <t>shuffled: 198 of 10,000</t>
        </is>
      </c>
      <c r="T1051" t="n">
        <v>0.04181112777434264</v>
      </c>
      <c r="U1051" t="n">
        <v>0.04518823297170436</v>
      </c>
      <c r="V1051">
        <f>AND(judged_band,NOT($J1051))</f>
        <v/>
      </c>
      <c r="W1051">
        <f>IF($K1051="","",IF($I1051,"too few losses to test",IF(AND($K1051&gt;better_at,$K1051&lt;worse_at),"in line",IF($K1051&gt;=worse_at,IF(AND(ISNUMBER($L1051),$L1051&lt;significance_bar),"worse","worse, not significant"),IF(AND(ISNUMBER($L1051),$L1051&lt;significance_bar),"better","better, not significant")))))</f>
        <v/>
      </c>
      <c r="X1051">
        <f>IF($M1051="","",IF($I1051,"too few losses to test",IF(AND($M1051&gt;better_at,$M1051&lt;worse_at),"in line",IF($M1051&gt;=worse_at,IF(AND(ISNUMBER($N1051),$N1051&lt;significance_bar),"worse","worse, not significant"),IF(AND(ISNUMBER($N1051),$N1051&lt;significance_bar),"better","better, not significant")))))</f>
        <v/>
      </c>
      <c r="Y1051">
        <f>IF($V1051,$X1051,$W1051)</f>
        <v/>
      </c>
      <c r="Z1051">
        <f>IF($V1051,IF($P1051="","",$P1051),IF($O1051="","",$O1051))</f>
        <v/>
      </c>
      <c r="AA1051">
        <f>IF(OR($Q1051="",$Z1051=""),"",IF(AND($Z1051&gt;0,$Z1051&gt;=$Q1051),"yes","below the line"))</f>
        <v/>
      </c>
      <c r="AB1051">
        <f>IF($V1051,IF($M1051="","",$M1051),IF($K1051="","",$K1051))</f>
        <v/>
      </c>
      <c r="AC1051">
        <f>IF($V1051,IF($N1051="","",$N1051),IF($L1051="","",$L1051))</f>
        <v/>
      </c>
      <c r="AD1051">
        <f>$Y1051</f>
        <v/>
      </c>
      <c r="AE1051">
        <f>IF($V1051,IF($S1051="","",$S1051),IF($R1051="","",$R1051))</f>
        <v/>
      </c>
      <c r="AF1051">
        <f>IF($V1051,IF($U1051="","",$U1051),IF($T1051="","",$T1051))</f>
        <v/>
      </c>
      <c r="AG1051">
        <f>IF($V1051,IF($O1051="","",$O1051),IF($P1051="","",$P1051))</f>
        <v/>
      </c>
      <c r="AH1051" t="n">
        <v>0.02050027446357541</v>
      </c>
      <c r="AI1051">
        <f>IF($Y1051="worse","Yes",IF($Y1051="worse, not significant","Not sure",IF(OR($Y1051="too few losses to test",$Y1051="too few loans to test"),"Too few losses",IF($Y1051="","","No"))))</f>
        <v/>
      </c>
      <c r="AJ1051">
        <f>IF($AA1051="yes","Yes",IF($AA1051="","","No"))</f>
        <v/>
      </c>
    </row>
    <row r="1052">
      <c r="A1052" t="inlineStr">
        <is>
          <t>three-way</t>
        </is>
      </c>
      <c r="B1052" t="inlineStr">
        <is>
          <t>ORIG_BAL x ASSET_CLASS / SYS_FLAG</t>
        </is>
      </c>
      <c r="C1052" t="inlineStr">
        <is>
          <t>5,005 - 15,448</t>
        </is>
      </c>
      <c r="D1052" t="inlineStr">
        <is>
          <t>2 / SYS_FLAG N</t>
        </is>
      </c>
      <c r="E1052" t="inlineStr">
        <is>
          <t>ranr_rate</t>
        </is>
      </c>
      <c r="F1052" t="inlineStr">
        <is>
          <t>Profit after losses: RANR per booked dollar</t>
        </is>
      </c>
      <c r="G1052" t="n">
        <v>244</v>
      </c>
      <c r="H1052" t="n">
        <v>2492552.969999998</v>
      </c>
      <c r="I1052" t="b">
        <v>0</v>
      </c>
      <c r="J1052" t="b">
        <v>0</v>
      </c>
      <c r="K1052" t="n">
        <v>0.03263030099964462</v>
      </c>
      <c r="L1052" t="n">
        <v>0.1223877612238776</v>
      </c>
      <c r="M1052" t="n">
        <v>0.01609694430289327</v>
      </c>
      <c r="N1052" t="n">
        <v>0.4690057310058468</v>
      </c>
      <c r="O1052" t="n">
        <v>-81332.75366865809</v>
      </c>
      <c r="P1052" t="n">
        <v>-40122.48633010121</v>
      </c>
      <c r="Q1052">
        <f>'_live'!$C$23</f>
        <v/>
      </c>
      <c r="R1052" t="inlineStr">
        <is>
          <t>shuffled: 152 of 10,000</t>
        </is>
      </c>
      <c r="S1052" t="inlineStr">
        <is>
          <t>shuffled: 2,227 of 10,000</t>
        </is>
      </c>
      <c r="T1052" t="n">
        <v>0.1276748900270482</v>
      </c>
      <c r="U1052" t="n">
        <v>0.1442082467237995</v>
      </c>
      <c r="V1052">
        <f>AND(judged_band,NOT($J1052))</f>
        <v/>
      </c>
      <c r="W1052">
        <f>IF($K1052="","",IF(profit_kind="test",IF(OR(NOT(AND(ISNUMBER($L1052),$L1052&lt;significance_bar)),$K1052=0),"in line",IF($K1052&lt;0,"worse","better")),IF(OR($K1052=0,IF(profit_kind="points",ABS($K1052),ABS($K1052*$H1052))&lt;profit_line*(1-1E-9)),"in line",IF(AND(ISNUMBER($L1052),$L1052&lt;significance_bar),IF($K1052&lt;0,"worse","better"),IF($K1052&lt;0,"worse, not significant","better, not significant")))))</f>
        <v/>
      </c>
      <c r="X1052">
        <f>IF($M1052="","",IF(profit_kind="test",IF(OR(NOT(AND(ISNUMBER($N1052),$N1052&lt;significance_bar)),$M1052=0),"in line",IF($M1052&lt;0,"worse","better")),IF(OR($M1052=0,IF(profit_kind="points",ABS($M1052),ABS($M1052*$H1052))&lt;profit_line*(1-1E-9)),"in line",IF(AND(ISNUMBER($N1052),$N1052&lt;significance_bar),IF($M1052&lt;0,"worse","better"),IF($M1052&lt;0,"worse, not significant","better, not significant")))))</f>
        <v/>
      </c>
      <c r="Y1052">
        <f>IF($V1052,$X1052,$W1052)</f>
        <v/>
      </c>
      <c r="Z1052">
        <f>IF($V1052,IF($P1052="","",$P1052),IF($O1052="","",$O1052))</f>
        <v/>
      </c>
      <c r="AA1052">
        <f>IF(OR($Q1052="",$Z1052=""),"",IF(AND($Z1052&gt;0,$Z1052&gt;=$Q1052),"yes","below the line"))</f>
        <v/>
      </c>
      <c r="AB1052">
        <f>IF($V1052,IF($M1052="","",$M1052),IF($K1052="","",$K1052))</f>
        <v/>
      </c>
      <c r="AC1052">
        <f>IF($V1052,IF($N1052="","",$N1052),IF($L1052="","",$L1052))</f>
        <v/>
      </c>
      <c r="AD1052">
        <f>IF($Y1052="","",IF($Y1052="in line",IF(profit_kind="test",IF(ROUND($AB1052*100,2)=0,"0.00",TEXT($AB1052*100,"+0.00;-0.00"))&amp;" points against "&amp;IF($V1052,"its band","the book")&amp;", "&amp;IF($AC1052="","not tested","not significant"),IF(profit_kind="points","within "&amp;TEXT(profit_line*100,"0.00")&amp;" points of "&amp;IF($V1052,"its band","the book")&amp;" ("&amp;IF(ROUND($AB1052*100,2)=0,"0.00",TEXT($AB1052*100,"+0.00;-0.00"))&amp;")","within $"&amp;TEXT(profit_line,"#,##0")&amp;" of "&amp;IF($V1052,"its band","the book")&amp;" ("&amp;IF(ROUND($AB1052*100,2)=0,"0.00",TEXT($AB1052*100,"+0.00;-0.00"))&amp;" points)")),IF(LEFT($Y1052,5)="worse","short of ","ahead of ")&amp;IF($V1052,"its band","the book")&amp;" by "&amp;TEXT(ABS($AB1052)*100,"0.00")&amp;" points"&amp;IF($Z1052="",""," ($"&amp;TEXT(ABS($Z1052),"#,##0")&amp;")")&amp;IF(RIGHT($Y1052,15)="not significant"," (not significant)","")))</f>
        <v/>
      </c>
      <c r="AE1052">
        <f>IF($V1052,IF($S1052="","",$S1052),IF($R1052="","",$R1052))</f>
        <v/>
      </c>
      <c r="AF1052">
        <f>IF($V1052,IF($U1052="","",$U1052),IF($T1052="","",$T1052))</f>
        <v/>
      </c>
      <c r="AG1052">
        <f>IF($V1052,IF($O1052="","",$O1052),IF($P1052="","",$P1052))</f>
        <v/>
      </c>
      <c r="AH1052" t="n">
        <v>0.1603051910266928</v>
      </c>
      <c r="AI1052">
        <f>IF($Y1052="worse","Yes",IF($Y1052="worse, not significant","Not sure",IF(OR($Y1052="too few losses to test",$Y1052="too few loans to test"),"Too few losses",IF($Y1052="","","No"))))</f>
        <v/>
      </c>
      <c r="AJ1052">
        <f>IF($AA1052="yes","Yes",IF($AA1052="","","No"))</f>
        <v/>
      </c>
    </row>
    <row r="1053">
      <c r="A1053" t="inlineStr">
        <is>
          <t>three-way</t>
        </is>
      </c>
      <c r="B1053" t="inlineStr">
        <is>
          <t>ORIG_BAL x ASSET_CLASS / SYS_FLAG</t>
        </is>
      </c>
      <c r="C1053" t="inlineStr">
        <is>
          <t>5,005 - 15,448</t>
        </is>
      </c>
      <c r="D1053" t="inlineStr">
        <is>
          <t>2 / SYS_FLAG N</t>
        </is>
      </c>
      <c r="E1053" t="inlineStr">
        <is>
          <t>contribution_rate</t>
        </is>
      </c>
      <c r="F1053" t="inlineStr">
        <is>
          <t>Contribution before losses per booked dollar</t>
        </is>
      </c>
      <c r="G1053" t="n">
        <v>244</v>
      </c>
      <c r="H1053" t="n">
        <v>2492552.969999998</v>
      </c>
      <c r="I1053" t="b">
        <v>0</v>
      </c>
      <c r="J1053" t="b">
        <v>0</v>
      </c>
      <c r="K1053" t="n">
        <v>0.01132238376892661</v>
      </c>
      <c r="L1053" t="n">
        <v>0.673599306735993</v>
      </c>
      <c r="M1053" t="n">
        <v>-0.008591014205235614</v>
      </c>
      <c r="N1053" t="n">
        <v>0.798978925636848</v>
      </c>
      <c r="O1053" t="n">
        <v>-28221.64129071776</v>
      </c>
      <c r="P1053" t="n">
        <v>21413.55797257222</v>
      </c>
      <c r="Q1053">
        <f>'_live'!$C$24</f>
        <v/>
      </c>
      <c r="R1053" t="inlineStr">
        <is>
          <t>shuffled: 1,907 of 10,000</t>
        </is>
      </c>
      <c r="S1053" t="inlineStr">
        <is>
          <t>shuffled: 3,355 of 10,000</t>
        </is>
      </c>
      <c r="T1053" t="n">
        <v>0.1694830817213416</v>
      </c>
      <c r="U1053" t="n">
        <v>0.1893964796955038</v>
      </c>
      <c r="V1053">
        <f>AND(judged_band,NOT($J1053))</f>
        <v/>
      </c>
      <c r="W1053">
        <f>IF($K1053="","",IF(profit_kind="test",IF(OR(NOT(AND(ISNUMBER($L1053),$L1053&lt;significance_bar)),$K1053=0),"in line",IF($K1053&lt;0,"worse","better")),IF(OR($K1053=0,IF(profit_kind="points",ABS($K1053),ABS($K1053*$H1053))&lt;profit_line*(1-1E-9)),"in line",IF(AND(ISNUMBER($L1053),$L1053&lt;significance_bar),IF($K1053&lt;0,"worse","better"),IF($K1053&lt;0,"worse, not significant","better, not significant")))))</f>
        <v/>
      </c>
      <c r="X1053">
        <f>IF($M1053="","",IF(profit_kind="test",IF(OR(NOT(AND(ISNUMBER($N1053),$N1053&lt;significance_bar)),$M1053=0),"in line",IF($M1053&lt;0,"worse","better")),IF(OR($M1053=0,IF(profit_kind="points",ABS($M1053),ABS($M1053*$H1053))&lt;profit_line*(1-1E-9)),"in line",IF(AND(ISNUMBER($N1053),$N1053&lt;significance_bar),IF($M1053&lt;0,"worse","better"),IF($M1053&lt;0,"worse, not significant","better, not significant")))))</f>
        <v/>
      </c>
      <c r="Y1053">
        <f>IF($V1053,$X1053,$W1053)</f>
        <v/>
      </c>
      <c r="Z1053">
        <f>IF($V1053,IF($P1053="","",$P1053),IF($O1053="","",$O1053))</f>
        <v/>
      </c>
      <c r="AA1053">
        <f>IF(OR($Q1053="",$Z1053=""),"",IF(AND($Z1053&gt;0,$Z1053&gt;=$Q1053),"yes","below the line"))</f>
        <v/>
      </c>
      <c r="AB1053">
        <f>IF($V1053,IF($M1053="","",$M1053),IF($K1053="","",$K1053))</f>
        <v/>
      </c>
      <c r="AC1053">
        <f>IF($V1053,IF($N1053="","",$N1053),IF($L1053="","",$L1053))</f>
        <v/>
      </c>
      <c r="AD1053">
        <f>IF($Y1053="","",IF($Y1053="in line",IF(profit_kind="test",IF(ROUND($AB1053*100,2)=0,"0.00",TEXT($AB1053*100,"+0.00;-0.00"))&amp;" points against "&amp;IF($V1053,"its band","the book")&amp;", "&amp;IF($AC1053="","not tested","not significant"),IF(profit_kind="points","within "&amp;TEXT(profit_line*100,"0.00")&amp;" points of "&amp;IF($V1053,"its band","the book")&amp;" ("&amp;IF(ROUND($AB1053*100,2)=0,"0.00",TEXT($AB1053*100,"+0.00;-0.00"))&amp;")","within $"&amp;TEXT(profit_line,"#,##0")&amp;" of "&amp;IF($V1053,"its band","the book")&amp;" ("&amp;IF(ROUND($AB1053*100,2)=0,"0.00",TEXT($AB1053*100,"+0.00;-0.00"))&amp;" points)")),IF(LEFT($Y1053,5)="worse","short of ","ahead of ")&amp;IF($V1053,"its band","the book")&amp;" by "&amp;TEXT(ABS($AB1053)*100,"0.00")&amp;" points"&amp;IF($Z1053="",""," ($"&amp;TEXT(ABS($Z1053),"#,##0")&amp;")")&amp;IF(RIGHT($Y1053,15)="not significant"," (not significant)","")))</f>
        <v/>
      </c>
      <c r="AE1053">
        <f>IF($V1053,IF($S1053="","",$S1053),IF($R1053="","",$R1053))</f>
        <v/>
      </c>
      <c r="AF1053">
        <f>IF($V1053,IF($U1053="","",$U1053),IF($T1053="","",$T1053))</f>
        <v/>
      </c>
      <c r="AG1053">
        <f>IF($V1053,IF($O1053="","",$O1053),IF($P1053="","",$P1053))</f>
        <v/>
      </c>
      <c r="AH1053" t="n">
        <v>0.1808054654902682</v>
      </c>
      <c r="AI1053">
        <f>IF($Y1053="worse","Yes",IF($Y1053="worse, not significant","Not sure",IF(OR($Y1053="too few losses to test",$Y1053="too few loans to test"),"Too few losses",IF($Y1053="","","No"))))</f>
        <v/>
      </c>
      <c r="AJ1053">
        <f>IF($AA1053="yes","Yes",IF($AA1053="","","No"))</f>
        <v/>
      </c>
    </row>
    <row r="1054">
      <c r="A1054" t="inlineStr">
        <is>
          <t>three-way</t>
        </is>
      </c>
      <c r="B1054" t="inlineStr">
        <is>
          <t>ORIG_BAL x ASSET_CLASS / SYS_FLAG</t>
        </is>
      </c>
      <c r="C1054" t="inlineStr">
        <is>
          <t>49,152 - 59,984</t>
        </is>
      </c>
      <c r="D1054" t="inlineStr">
        <is>
          <t>1 / SYS_FLAG Y</t>
        </is>
      </c>
      <c r="E1054" t="inlineStr">
        <is>
          <t>outcome_loans</t>
        </is>
      </c>
      <c r="F1054" t="inlineStr">
        <is>
          <t>Outcome, share of loans</t>
        </is>
      </c>
      <c r="G1054" t="n">
        <v>195</v>
      </c>
      <c r="H1054" t="n">
        <v>195</v>
      </c>
      <c r="I1054" t="b">
        <v>0</v>
      </c>
      <c r="J1054" t="b">
        <v>0</v>
      </c>
      <c r="K1054" t="n">
        <v>1.405402624131721</v>
      </c>
      <c r="L1054" t="n">
        <v>0.3481809885458851</v>
      </c>
      <c r="M1054" t="n">
        <v>1.845215759849906</v>
      </c>
      <c r="N1054" t="n">
        <v>0.06826493691618253</v>
      </c>
      <c r="O1054" t="n">
        <v>6.057662737057919</v>
      </c>
      <c r="P1054" t="n">
        <v>9.619217081850534</v>
      </c>
      <c r="Q1054">
        <f>'_live'!$C$20</f>
        <v/>
      </c>
      <c r="R1054" t="inlineStr">
        <is>
          <t>z test</t>
        </is>
      </c>
      <c r="S1054" t="inlineStr">
        <is>
          <t>z test</t>
        </is>
      </c>
      <c r="T1054" t="n">
        <v>0.07662737057919015</v>
      </c>
      <c r="U1054" t="n">
        <v>0.05836298932384341</v>
      </c>
      <c r="V1054">
        <f>AND(judged_band,NOT($J1054))</f>
        <v/>
      </c>
      <c r="W1054">
        <f>IF($K1054="","",IF($I1054,"too few losses to test",IF(AND($K1054&gt;better_at,$K1054&lt;worse_at),"in line",IF($K1054&gt;=worse_at,IF(AND(ISNUMBER($L1054),$L1054&lt;significance_bar),"worse","worse, not significant"),IF(AND(ISNUMBER($L1054),$L1054&lt;significance_bar),"better","better, not significant")))))</f>
        <v/>
      </c>
      <c r="X1054">
        <f>IF($M1054="","",IF($I1054,"too few losses to test",IF(AND($M1054&gt;better_at,$M1054&lt;worse_at),"in line",IF($M1054&gt;=worse_at,IF(AND(ISNUMBER($N1054),$N1054&lt;significance_bar),"worse","worse, not significant"),IF(AND(ISNUMBER($N1054),$N1054&lt;significance_bar),"better","better, not significant")))))</f>
        <v/>
      </c>
      <c r="Y1054">
        <f>IF($V1054,$X1054,$W1054)</f>
        <v/>
      </c>
      <c r="Z1054">
        <f>IF($V1054,IF($P1054="","",$P1054),IF($O1054="","",$O1054))</f>
        <v/>
      </c>
      <c r="AA1054">
        <f>IF(OR($Q1054="",$Z1054=""),"",IF(AND($Z1054&gt;0,$Z1054&gt;=$Q1054),"yes","below the line"))</f>
        <v/>
      </c>
      <c r="AB1054">
        <f>IF($V1054,IF($M1054="","",$M1054),IF($K1054="","",$K1054))</f>
        <v/>
      </c>
      <c r="AC1054">
        <f>IF($V1054,IF($N1054="","",$N1054),IF($L1054="","",$L1054))</f>
        <v/>
      </c>
      <c r="AD1054">
        <f>$Y1054</f>
        <v/>
      </c>
      <c r="AE1054">
        <f>IF($V1054,IF($S1054="","",$S1054),IF($R1054="","",$R1054))</f>
        <v/>
      </c>
      <c r="AF1054">
        <f>IF($V1054,IF($U1054="","",$U1054),IF($T1054="","",$T1054))</f>
        <v/>
      </c>
      <c r="AG1054">
        <f>IF($V1054,IF($O1054="","",$O1054),IF($P1054="","",$P1054))</f>
        <v/>
      </c>
      <c r="AH1054" t="n">
        <v>0.1076923076923077</v>
      </c>
      <c r="AI1054">
        <f>IF($Y1054="worse","Yes",IF($Y1054="worse, not significant","Not sure",IF(OR($Y1054="too few losses to test",$Y1054="too few loans to test"),"Too few losses",IF($Y1054="","","No"))))</f>
        <v/>
      </c>
      <c r="AJ1054">
        <f>IF($AA1054="yes","Yes",IF($AA1054="","","No"))</f>
        <v/>
      </c>
    </row>
    <row r="1055">
      <c r="A1055" t="inlineStr">
        <is>
          <t>three-way</t>
        </is>
      </c>
      <c r="B1055" t="inlineStr">
        <is>
          <t>ORIG_BAL x ASSET_CLASS / SYS_FLAG</t>
        </is>
      </c>
      <c r="C1055" t="inlineStr">
        <is>
          <t>49,152 - 59,984</t>
        </is>
      </c>
      <c r="D1055" t="inlineStr">
        <is>
          <t>1 / SYS_FLAG Y</t>
        </is>
      </c>
      <c r="E1055" t="inlineStr">
        <is>
          <t>outcome_booked</t>
        </is>
      </c>
      <c r="F1055" t="inlineStr">
        <is>
          <t>Outcome, share of booked dollars</t>
        </is>
      </c>
      <c r="G1055" t="n">
        <v>195</v>
      </c>
      <c r="H1055" t="n">
        <v>10616160.39</v>
      </c>
      <c r="I1055" t="b">
        <v>0</v>
      </c>
      <c r="J1055" t="b">
        <v>0</v>
      </c>
      <c r="K1055" t="n">
        <v>1.477291743551684</v>
      </c>
      <c r="L1055" t="n">
        <v>0.3065293470652935</v>
      </c>
      <c r="M1055" t="n">
        <v>1.847118039270723</v>
      </c>
      <c r="N1055" t="n">
        <v>0.06079392060793921</v>
      </c>
      <c r="O1055" t="n">
        <v>371856.1049589476</v>
      </c>
      <c r="P1055" t="n">
        <v>527845.1617072549</v>
      </c>
      <c r="Q1055">
        <f>'_live'!$C$21</f>
        <v/>
      </c>
      <c r="R1055" t="inlineStr">
        <is>
          <t>shuffled: 934 of 10,000</t>
        </is>
      </c>
      <c r="S1055" t="inlineStr">
        <is>
          <t>shuffled: 75 of 10,000</t>
        </is>
      </c>
      <c r="T1055" t="n">
        <v>0.07338774155813715</v>
      </c>
      <c r="U1055" t="n">
        <v>0.05869419407789723</v>
      </c>
      <c r="V1055">
        <f>AND(judged_band,NOT($J1055))</f>
        <v/>
      </c>
      <c r="W1055">
        <f>IF($K1055="","",IF($I1055,"too few losses to test",IF(AND($K1055&gt;better_at,$K1055&lt;worse_at),"in line",IF($K1055&gt;=worse_at,IF(AND(ISNUMBER($L1055),$L1055&lt;significance_bar),"worse","worse, not significant"),IF(AND(ISNUMBER($L1055),$L1055&lt;significance_bar),"better","better, not significant")))))</f>
        <v/>
      </c>
      <c r="X1055">
        <f>IF($M1055="","",IF($I1055,"too few losses to test",IF(AND($M1055&gt;better_at,$M1055&lt;worse_at),"in line",IF($M1055&gt;=worse_at,IF(AND(ISNUMBER($N1055),$N1055&lt;significance_bar),"worse","worse, not significant"),IF(AND(ISNUMBER($N1055),$N1055&lt;significance_bar),"better","better, not significant")))))</f>
        <v/>
      </c>
      <c r="Y1055">
        <f>IF($V1055,$X1055,$W1055)</f>
        <v/>
      </c>
      <c r="Z1055">
        <f>IF($V1055,IF($P1055="","",$P1055),IF($O1055="","",$O1055))</f>
        <v/>
      </c>
      <c r="AA1055">
        <f>IF(OR($Q1055="",$Z1055=""),"",IF(AND($Z1055&gt;0,$Z1055&gt;=$Q1055),"yes","below the line"))</f>
        <v/>
      </c>
      <c r="AB1055">
        <f>IF($V1055,IF($M1055="","",$M1055),IF($K1055="","",$K1055))</f>
        <v/>
      </c>
      <c r="AC1055">
        <f>IF($V1055,IF($N1055="","",$N1055),IF($L1055="","",$L1055))</f>
        <v/>
      </c>
      <c r="AD1055">
        <f>$Y1055</f>
        <v/>
      </c>
      <c r="AE1055">
        <f>IF($V1055,IF($S1055="","",$S1055),IF($R1055="","",$R1055))</f>
        <v/>
      </c>
      <c r="AF1055">
        <f>IF($V1055,IF($U1055="","",$U1055),IF($T1055="","",$T1055))</f>
        <v/>
      </c>
      <c r="AG1055">
        <f>IF($V1055,IF($O1055="","",$O1055),IF($P1055="","",$P1055))</f>
        <v/>
      </c>
      <c r="AH1055" t="n">
        <v>0.1084151046817408</v>
      </c>
      <c r="AI1055">
        <f>IF($Y1055="worse","Yes",IF($Y1055="worse, not significant","Not sure",IF(OR($Y1055="too few losses to test",$Y1055="too few loans to test"),"Too few losses",IF($Y1055="","","No"))))</f>
        <v/>
      </c>
      <c r="AJ1055">
        <f>IF($AA1055="yes","Yes",IF($AA1055="","","No"))</f>
        <v/>
      </c>
    </row>
    <row r="1056">
      <c r="A1056" t="inlineStr">
        <is>
          <t>three-way</t>
        </is>
      </c>
      <c r="B1056" t="inlineStr">
        <is>
          <t>ORIG_BAL x ASSET_CLASS / SYS_FLAG</t>
        </is>
      </c>
      <c r="C1056" t="inlineStr">
        <is>
          <t>49,152 - 59,984</t>
        </is>
      </c>
      <c r="D1056" t="inlineStr">
        <is>
          <t>1 / SYS_FLAG Y</t>
        </is>
      </c>
      <c r="E1056" t="inlineStr">
        <is>
          <t>gco_rate</t>
        </is>
      </c>
      <c r="F1056" t="inlineStr">
        <is>
          <t>GCO per booked dollar</t>
        </is>
      </c>
      <c r="G1056" t="n">
        <v>195</v>
      </c>
      <c r="H1056" t="n">
        <v>10616160.39</v>
      </c>
      <c r="I1056" t="b">
        <v>0</v>
      </c>
      <c r="J1056" t="b">
        <v>0</v>
      </c>
      <c r="K1056" t="n">
        <v>1.448735242629443</v>
      </c>
      <c r="L1056" t="n">
        <v>0.3986801319868013</v>
      </c>
      <c r="M1056" t="n">
        <v>1.833156520307234</v>
      </c>
      <c r="N1056" t="n">
        <v>0.08799120087991201</v>
      </c>
      <c r="O1056" t="n">
        <v>194608.1040146151</v>
      </c>
      <c r="P1056" t="n">
        <v>285553.0589499332</v>
      </c>
      <c r="Q1056">
        <f>'_live'!$C$22</f>
        <v/>
      </c>
      <c r="R1056" t="inlineStr">
        <is>
          <t>shuffled: 1,245 of 10,000</t>
        </is>
      </c>
      <c r="S1056" t="inlineStr">
        <is>
          <t>shuffled: 109 of 10,000</t>
        </is>
      </c>
      <c r="T1056" t="n">
        <v>0.04085105443526414</v>
      </c>
      <c r="U1056" t="n">
        <v>0.03228440212460532</v>
      </c>
      <c r="V1056">
        <f>AND(judged_band,NOT($J1056))</f>
        <v/>
      </c>
      <c r="W1056">
        <f>IF($K1056="","",IF($I1056,"too few losses to test",IF(AND($K1056&gt;better_at,$K1056&lt;worse_at),"in line",IF($K1056&gt;=worse_at,IF(AND(ISNUMBER($L1056),$L1056&lt;significance_bar),"worse","worse, not significant"),IF(AND(ISNUMBER($L1056),$L1056&lt;significance_bar),"better","better, not significant")))))</f>
        <v/>
      </c>
      <c r="X1056">
        <f>IF($M1056="","",IF($I1056,"too few losses to test",IF(AND($M1056&gt;better_at,$M1056&lt;worse_at),"in line",IF($M1056&gt;=worse_at,IF(AND(ISNUMBER($N1056),$N1056&lt;significance_bar),"worse","worse, not significant"),IF(AND(ISNUMBER($N1056),$N1056&lt;significance_bar),"better","better, not significant")))))</f>
        <v/>
      </c>
      <c r="Y1056">
        <f>IF($V1056,$X1056,$W1056)</f>
        <v/>
      </c>
      <c r="Z1056">
        <f>IF($V1056,IF($P1056="","",$P1056),IF($O1056="","",$O1056))</f>
        <v/>
      </c>
      <c r="AA1056">
        <f>IF(OR($Q1056="",$Z1056=""),"",IF(AND($Z1056&gt;0,$Z1056&gt;=$Q1056),"yes","below the line"))</f>
        <v/>
      </c>
      <c r="AB1056">
        <f>IF($V1056,IF($M1056="","",$M1056),IF($K1056="","",$K1056))</f>
        <v/>
      </c>
      <c r="AC1056">
        <f>IF($V1056,IF($N1056="","",$N1056),IF($L1056="","",$L1056))</f>
        <v/>
      </c>
      <c r="AD1056">
        <f>$Y1056</f>
        <v/>
      </c>
      <c r="AE1056">
        <f>IF($V1056,IF($S1056="","",$S1056),IF($R1056="","",$R1056))</f>
        <v/>
      </c>
      <c r="AF1056">
        <f>IF($V1056,IF($U1056="","",$U1056),IF($T1056="","",$T1056))</f>
        <v/>
      </c>
      <c r="AG1056">
        <f>IF($V1056,IF($O1056="","",$O1056),IF($P1056="","",$P1056))</f>
        <v/>
      </c>
      <c r="AH1056" t="n">
        <v>0.05918236225894098</v>
      </c>
      <c r="AI1056">
        <f>IF($Y1056="worse","Yes",IF($Y1056="worse, not significant","Not sure",IF(OR($Y1056="too few losses to test",$Y1056="too few loans to test"),"Too few losses",IF($Y1056="","","No"))))</f>
        <v/>
      </c>
      <c r="AJ1056">
        <f>IF($AA1056="yes","Yes",IF($AA1056="","","No"))</f>
        <v/>
      </c>
    </row>
    <row r="1057">
      <c r="A1057" t="inlineStr">
        <is>
          <t>three-way</t>
        </is>
      </c>
      <c r="B1057" t="inlineStr">
        <is>
          <t>ORIG_BAL x ASSET_CLASS / SYS_FLAG</t>
        </is>
      </c>
      <c r="C1057" t="inlineStr">
        <is>
          <t>49,152 - 59,984</t>
        </is>
      </c>
      <c r="D1057" t="inlineStr">
        <is>
          <t>1 / SYS_FLAG Y</t>
        </is>
      </c>
      <c r="E1057" t="inlineStr">
        <is>
          <t>ranr_rate</t>
        </is>
      </c>
      <c r="F1057" t="inlineStr">
        <is>
          <t>Profit after losses: RANR per booked dollar</t>
        </is>
      </c>
      <c r="G1057" t="n">
        <v>195</v>
      </c>
      <c r="H1057" t="n">
        <v>10616160.39</v>
      </c>
      <c r="I1057" t="b">
        <v>0</v>
      </c>
      <c r="J1057" t="b">
        <v>0</v>
      </c>
      <c r="K1057" t="n">
        <v>-0.008488245530548194</v>
      </c>
      <c r="L1057" t="n">
        <v>0.8120616509777595</v>
      </c>
      <c r="M1057" t="n">
        <v>-0.0120351924726273</v>
      </c>
      <c r="N1057" t="n">
        <v>0.65357100653571</v>
      </c>
      <c r="O1057" t="n">
        <v>90112.57598200021</v>
      </c>
      <c r="P1057" t="n">
        <v>127767.5336139321</v>
      </c>
      <c r="Q1057">
        <f>'_live'!$C$23</f>
        <v/>
      </c>
      <c r="R1057" t="inlineStr">
        <is>
          <t>shuffled: 5,630 of 10,000</t>
        </is>
      </c>
      <c r="S1057" t="inlineStr">
        <is>
          <t>shuffled: 3,594 of 10,000</t>
        </is>
      </c>
      <c r="T1057" t="n">
        <v>0.1283392305626235</v>
      </c>
      <c r="U1057" t="n">
        <v>0.1318861775047026</v>
      </c>
      <c r="V1057">
        <f>AND(judged_band,NOT($J1057))</f>
        <v/>
      </c>
      <c r="W1057">
        <f>IF($K1057="","",IF(profit_kind="test",IF(OR(NOT(AND(ISNUMBER($L1057),$L1057&lt;significance_bar)),$K1057=0),"in line",IF($K1057&lt;0,"worse","better")),IF(OR($K1057=0,IF(profit_kind="points",ABS($K1057),ABS($K1057*$H1057))&lt;profit_line*(1-1E-9)),"in line",IF(AND(ISNUMBER($L1057),$L1057&lt;significance_bar),IF($K1057&lt;0,"worse","better"),IF($K1057&lt;0,"worse, not significant","better, not significant")))))</f>
        <v/>
      </c>
      <c r="X1057">
        <f>IF($M1057="","",IF(profit_kind="test",IF(OR(NOT(AND(ISNUMBER($N1057),$N1057&lt;significance_bar)),$M1057=0),"in line",IF($M1057&lt;0,"worse","better")),IF(OR($M1057=0,IF(profit_kind="points",ABS($M1057),ABS($M1057*$H1057))&lt;profit_line*(1-1E-9)),"in line",IF(AND(ISNUMBER($N1057),$N1057&lt;significance_bar),IF($M1057&lt;0,"worse","better"),IF($M1057&lt;0,"worse, not significant","better, not significant")))))</f>
        <v/>
      </c>
      <c r="Y1057">
        <f>IF($V1057,$X1057,$W1057)</f>
        <v/>
      </c>
      <c r="Z1057">
        <f>IF($V1057,IF($P1057="","",$P1057),IF($O1057="","",$O1057))</f>
        <v/>
      </c>
      <c r="AA1057">
        <f>IF(OR($Q1057="",$Z1057=""),"",IF(AND($Z1057&gt;0,$Z1057&gt;=$Q1057),"yes","below the line"))</f>
        <v/>
      </c>
      <c r="AB1057">
        <f>IF($V1057,IF($M1057="","",$M1057),IF($K1057="","",$K1057))</f>
        <v/>
      </c>
      <c r="AC1057">
        <f>IF($V1057,IF($N1057="","",$N1057),IF($L1057="","",$L1057))</f>
        <v/>
      </c>
      <c r="AD1057">
        <f>IF($Y1057="","",IF($Y1057="in line",IF(profit_kind="test",IF(ROUND($AB1057*100,2)=0,"0.00",TEXT($AB1057*100,"+0.00;-0.00"))&amp;" points against "&amp;IF($V1057,"its band","the book")&amp;", "&amp;IF($AC1057="","not tested","not significant"),IF(profit_kind="points","within "&amp;TEXT(profit_line*100,"0.00")&amp;" points of "&amp;IF($V1057,"its band","the book")&amp;" ("&amp;IF(ROUND($AB1057*100,2)=0,"0.00",TEXT($AB1057*100,"+0.00;-0.00"))&amp;")","within $"&amp;TEXT(profit_line,"#,##0")&amp;" of "&amp;IF($V1057,"its band","the book")&amp;" ("&amp;IF(ROUND($AB1057*100,2)=0,"0.00",TEXT($AB1057*100,"+0.00;-0.00"))&amp;" points)")),IF(LEFT($Y1057,5)="worse","short of ","ahead of ")&amp;IF($V1057,"its band","the book")&amp;" by "&amp;TEXT(ABS($AB1057)*100,"0.00")&amp;" points"&amp;IF($Z1057="",""," ($"&amp;TEXT(ABS($Z1057),"#,##0")&amp;")")&amp;IF(RIGHT($Y1057,15)="not significant"," (not significant)","")))</f>
        <v/>
      </c>
      <c r="AE1057">
        <f>IF($V1057,IF($S1057="","",$S1057),IF($R1057="","",$R1057))</f>
        <v/>
      </c>
      <c r="AF1057">
        <f>IF($V1057,IF($U1057="","",$U1057),IF($T1057="","",$T1057))</f>
        <v/>
      </c>
      <c r="AG1057">
        <f>IF($V1057,IF($O1057="","",$O1057),IF($P1057="","",$P1057))</f>
        <v/>
      </c>
      <c r="AH1057" t="n">
        <v>0.1198509850320753</v>
      </c>
      <c r="AI1057">
        <f>IF($Y1057="worse","Yes",IF($Y1057="worse, not significant","Not sure",IF(OR($Y1057="too few losses to test",$Y1057="too few loans to test"),"Too few losses",IF($Y1057="","","No"))))</f>
        <v/>
      </c>
      <c r="AJ1057">
        <f>IF($AA1057="yes","Yes",IF($AA1057="","","No"))</f>
        <v/>
      </c>
    </row>
    <row r="1058">
      <c r="A1058" t="inlineStr">
        <is>
          <t>three-way</t>
        </is>
      </c>
      <c r="B1058" t="inlineStr">
        <is>
          <t>ORIG_BAL x ASSET_CLASS / SYS_FLAG</t>
        </is>
      </c>
      <c r="C1058" t="inlineStr">
        <is>
          <t>49,152 - 59,984</t>
        </is>
      </c>
      <c r="D1058" t="inlineStr">
        <is>
          <t>1 / SYS_FLAG Y</t>
        </is>
      </c>
      <c r="E1058" t="inlineStr">
        <is>
          <t>contribution_rate</t>
        </is>
      </c>
      <c r="F1058" t="inlineStr">
        <is>
          <t>Contribution before losses per booked dollar</t>
        </is>
      </c>
      <c r="G1058" t="n">
        <v>195</v>
      </c>
      <c r="H1058" t="n">
        <v>10616160.39</v>
      </c>
      <c r="I1058" t="b">
        <v>0</v>
      </c>
      <c r="J1058" t="b">
        <v>0</v>
      </c>
      <c r="K1058" t="n">
        <v>0.009845988218425</v>
      </c>
      <c r="L1058" t="n">
        <v>0.774705138181834</v>
      </c>
      <c r="M1058" t="n">
        <v>0.01486276766170838</v>
      </c>
      <c r="N1058" t="n">
        <v>0.5462310911765966</v>
      </c>
      <c r="O1058" t="n">
        <v>-104526.5901248502</v>
      </c>
      <c r="P1058" t="n">
        <v>-157785.5253360015</v>
      </c>
      <c r="Q1058">
        <f>'_live'!$C$24</f>
        <v/>
      </c>
      <c r="R1058" t="inlineStr">
        <is>
          <t>shuffled: 3,156 of 10,000</t>
        </is>
      </c>
      <c r="S1058" t="inlineStr">
        <is>
          <t>shuffled: 955 of 10,000</t>
        </is>
      </c>
      <c r="T1058" t="n">
        <v>0.1691873590725912</v>
      </c>
      <c r="U1058" t="n">
        <v>0.1641705796293079</v>
      </c>
      <c r="V1058">
        <f>AND(judged_band,NOT($J1058))</f>
        <v/>
      </c>
      <c r="W1058">
        <f>IF($K1058="","",IF(profit_kind="test",IF(OR(NOT(AND(ISNUMBER($L1058),$L1058&lt;significance_bar)),$K1058=0),"in line",IF($K1058&lt;0,"worse","better")),IF(OR($K1058=0,IF(profit_kind="points",ABS($K1058),ABS($K1058*$H1058))&lt;profit_line*(1-1E-9)),"in line",IF(AND(ISNUMBER($L1058),$L1058&lt;significance_bar),IF($K1058&lt;0,"worse","better"),IF($K1058&lt;0,"worse, not significant","better, not significant")))))</f>
        <v/>
      </c>
      <c r="X1058">
        <f>IF($M1058="","",IF(profit_kind="test",IF(OR(NOT(AND(ISNUMBER($N1058),$N1058&lt;significance_bar)),$M1058=0),"in line",IF($M1058&lt;0,"worse","better")),IF(OR($M1058=0,IF(profit_kind="points",ABS($M1058),ABS($M1058*$H1058))&lt;profit_line*(1-1E-9)),"in line",IF(AND(ISNUMBER($N1058),$N1058&lt;significance_bar),IF($M1058&lt;0,"worse","better"),IF($M1058&lt;0,"worse, not significant","better, not significant")))))</f>
        <v/>
      </c>
      <c r="Y1058">
        <f>IF($V1058,$X1058,$W1058)</f>
        <v/>
      </c>
      <c r="Z1058">
        <f>IF($V1058,IF($P1058="","",$P1058),IF($O1058="","",$O1058))</f>
        <v/>
      </c>
      <c r="AA1058">
        <f>IF(OR($Q1058="",$Z1058=""),"",IF(AND($Z1058&gt;0,$Z1058&gt;=$Q1058),"yes","below the line"))</f>
        <v/>
      </c>
      <c r="AB1058">
        <f>IF($V1058,IF($M1058="","",$M1058),IF($K1058="","",$K1058))</f>
        <v/>
      </c>
      <c r="AC1058">
        <f>IF($V1058,IF($N1058="","",$N1058),IF($L1058="","",$L1058))</f>
        <v/>
      </c>
      <c r="AD1058">
        <f>IF($Y1058="","",IF($Y1058="in line",IF(profit_kind="test",IF(ROUND($AB1058*100,2)=0,"0.00",TEXT($AB1058*100,"+0.00;-0.00"))&amp;" points against "&amp;IF($V1058,"its band","the book")&amp;", "&amp;IF($AC1058="","not tested","not significant"),IF(profit_kind="points","within "&amp;TEXT(profit_line*100,"0.00")&amp;" points of "&amp;IF($V1058,"its band","the book")&amp;" ("&amp;IF(ROUND($AB1058*100,2)=0,"0.00",TEXT($AB1058*100,"+0.00;-0.00"))&amp;")","within $"&amp;TEXT(profit_line,"#,##0")&amp;" of "&amp;IF($V1058,"its band","the book")&amp;" ("&amp;IF(ROUND($AB1058*100,2)=0,"0.00",TEXT($AB1058*100,"+0.00;-0.00"))&amp;" points)")),IF(LEFT($Y1058,5)="worse","short of ","ahead of ")&amp;IF($V1058,"its band","the book")&amp;" by "&amp;TEXT(ABS($AB1058)*100,"0.00")&amp;" points"&amp;IF($Z1058="",""," ($"&amp;TEXT(ABS($Z1058),"#,##0")&amp;")")&amp;IF(RIGHT($Y1058,15)="not significant"," (not significant)","")))</f>
        <v/>
      </c>
      <c r="AE1058">
        <f>IF($V1058,IF($S1058="","",$S1058),IF($R1058="","",$R1058))</f>
        <v/>
      </c>
      <c r="AF1058">
        <f>IF($V1058,IF($U1058="","",$U1058),IF($T1058="","",$T1058))</f>
        <v/>
      </c>
      <c r="AG1058">
        <f>IF($V1058,IF($O1058="","",$O1058),IF($P1058="","",$P1058))</f>
        <v/>
      </c>
      <c r="AH1058" t="n">
        <v>0.1790333472910162</v>
      </c>
      <c r="AI1058">
        <f>IF($Y1058="worse","Yes",IF($Y1058="worse, not significant","Not sure",IF(OR($Y1058="too few losses to test",$Y1058="too few loans to test"),"Too few losses",IF($Y1058="","","No"))))</f>
        <v/>
      </c>
      <c r="AJ1058">
        <f>IF($AA1058="yes","Yes",IF($AA1058="","","No"))</f>
        <v/>
      </c>
    </row>
    <row r="1059">
      <c r="A1059" t="inlineStr">
        <is>
          <t>three-way</t>
        </is>
      </c>
      <c r="B1059" t="inlineStr">
        <is>
          <t>ORIG_BAL x ASSET_CLASS / SYS_FLAG</t>
        </is>
      </c>
      <c r="C1059" t="inlineStr">
        <is>
          <t>49,152 - 59,984</t>
        </is>
      </c>
      <c r="D1059" t="inlineStr">
        <is>
          <t>1 / SYS_FLAG N</t>
        </is>
      </c>
      <c r="E1059" t="inlineStr">
        <is>
          <t>outcome_loans</t>
        </is>
      </c>
      <c r="F1059" t="inlineStr">
        <is>
          <t>Outcome, share of loans</t>
        </is>
      </c>
      <c r="G1059" t="n">
        <v>218</v>
      </c>
      <c r="H1059" t="n">
        <v>218</v>
      </c>
      <c r="I1059" t="b">
        <v>1</v>
      </c>
      <c r="J1059" t="b">
        <v>0</v>
      </c>
      <c r="K1059" t="n">
        <v>0.2906568448734423</v>
      </c>
      <c r="M1059" t="n">
        <v>0.3234413031267553</v>
      </c>
      <c r="O1059" t="n">
        <v>-12.20241614188408</v>
      </c>
      <c r="P1059" t="n">
        <v>-10.45875542691751</v>
      </c>
      <c r="Q1059">
        <f>'_live'!$C$20</f>
        <v/>
      </c>
      <c r="T1059" t="n">
        <v>0.07891016578845907</v>
      </c>
      <c r="U1059" t="n">
        <v>0.07091172214182344</v>
      </c>
      <c r="V1059">
        <f>AND(judged_band,NOT($J1059))</f>
        <v/>
      </c>
      <c r="W1059">
        <f>IF($K1059="","",IF($I1059,"too few losses to test",IF(AND($K1059&gt;better_at,$K1059&lt;worse_at),"in line",IF($K1059&gt;=worse_at,IF(AND(ISNUMBER($L1059),$L1059&lt;significance_bar),"worse","worse, not significant"),IF(AND(ISNUMBER($L1059),$L1059&lt;significance_bar),"better","better, not significant")))))</f>
        <v/>
      </c>
      <c r="X1059">
        <f>IF($M1059="","",IF($I1059,"too few losses to test",IF(AND($M1059&gt;better_at,$M1059&lt;worse_at),"in line",IF($M1059&gt;=worse_at,IF(AND(ISNUMBER($N1059),$N1059&lt;significance_bar),"worse","worse, not significant"),IF(AND(ISNUMBER($N1059),$N1059&lt;significance_bar),"better","better, not significant")))))</f>
        <v/>
      </c>
      <c r="Y1059">
        <f>IF($V1059,$X1059,$W1059)</f>
        <v/>
      </c>
      <c r="Z1059">
        <f>IF($V1059,IF($P1059="","",$P1059),IF($O1059="","",$O1059))</f>
        <v/>
      </c>
      <c r="AA1059">
        <f>IF(OR($Q1059="",$Z1059=""),"",IF(AND($Z1059&gt;0,$Z1059&gt;=$Q1059),"yes","below the line"))</f>
        <v/>
      </c>
      <c r="AB1059">
        <f>IF($V1059,IF($M1059="","",$M1059),IF($K1059="","",$K1059))</f>
        <v/>
      </c>
      <c r="AC1059">
        <f>IF($V1059,IF($N1059="","",$N1059),IF($L1059="","",$L1059))</f>
        <v/>
      </c>
      <c r="AD1059">
        <f>$Y1059</f>
        <v/>
      </c>
      <c r="AE1059">
        <f>IF($V1059,IF($S1059="","",$S1059),IF($R1059="","",$R1059))</f>
        <v/>
      </c>
      <c r="AF1059">
        <f>IF($V1059,IF($U1059="","",$U1059),IF($T1059="","",$T1059))</f>
        <v/>
      </c>
      <c r="AG1059">
        <f>IF($V1059,IF($O1059="","",$O1059),IF($P1059="","",$P1059))</f>
        <v/>
      </c>
      <c r="AH1059" t="n">
        <v>0.02293577981651376</v>
      </c>
      <c r="AI1059">
        <f>IF($Y1059="worse","Yes",IF($Y1059="worse, not significant","Not sure",IF(OR($Y1059="too few losses to test",$Y1059="too few loans to test"),"Too few losses",IF($Y1059="","","No"))))</f>
        <v/>
      </c>
      <c r="AJ1059">
        <f>IF($AA1059="yes","Yes",IF($AA1059="","","No"))</f>
        <v/>
      </c>
    </row>
    <row r="1060">
      <c r="A1060" t="inlineStr">
        <is>
          <t>three-way</t>
        </is>
      </c>
      <c r="B1060" t="inlineStr">
        <is>
          <t>ORIG_BAL x ASSET_CLASS / SYS_FLAG</t>
        </is>
      </c>
      <c r="C1060" t="inlineStr">
        <is>
          <t>49,152 - 59,984</t>
        </is>
      </c>
      <c r="D1060" t="inlineStr">
        <is>
          <t>1 / SYS_FLAG N</t>
        </is>
      </c>
      <c r="E1060" t="inlineStr">
        <is>
          <t>outcome_booked</t>
        </is>
      </c>
      <c r="F1060" t="inlineStr">
        <is>
          <t>Outcome, share of booked dollars</t>
        </is>
      </c>
      <c r="G1060" t="n">
        <v>218</v>
      </c>
      <c r="H1060" t="n">
        <v>11906306.08</v>
      </c>
      <c r="I1060" t="b">
        <v>1</v>
      </c>
      <c r="J1060" t="b">
        <v>0</v>
      </c>
      <c r="K1060" t="n">
        <v>0.2968849417435906</v>
      </c>
      <c r="M1060" t="n">
        <v>0.3219020776799921</v>
      </c>
      <c r="O1060" t="n">
        <v>-647435.3218319542</v>
      </c>
      <c r="P1060" t="n">
        <v>-575873.1028115548</v>
      </c>
      <c r="Q1060">
        <f>'_live'!$C$21</f>
        <v/>
      </c>
      <c r="T1060" t="n">
        <v>0.07733800186597876</v>
      </c>
      <c r="U1060" t="n">
        <v>0.07132755508764435</v>
      </c>
      <c r="V1060">
        <f>AND(judged_band,NOT($J1060))</f>
        <v/>
      </c>
      <c r="W1060">
        <f>IF($K1060="","",IF($I1060,"too few losses to test",IF(AND($K1060&gt;better_at,$K1060&lt;worse_at),"in line",IF($K1060&gt;=worse_at,IF(AND(ISNUMBER($L1060),$L1060&lt;significance_bar),"worse","worse, not significant"),IF(AND(ISNUMBER($L1060),$L1060&lt;significance_bar),"better","better, not significant")))))</f>
        <v/>
      </c>
      <c r="X1060">
        <f>IF($M1060="","",IF($I1060,"too few losses to test",IF(AND($M1060&gt;better_at,$M1060&lt;worse_at),"in line",IF($M1060&gt;=worse_at,IF(AND(ISNUMBER($N1060),$N1060&lt;significance_bar),"worse","worse, not significant"),IF(AND(ISNUMBER($N1060),$N1060&lt;significance_bar),"better","better, not significant")))))</f>
        <v/>
      </c>
      <c r="Y1060">
        <f>IF($V1060,$X1060,$W1060)</f>
        <v/>
      </c>
      <c r="Z1060">
        <f>IF($V1060,IF($P1060="","",$P1060),IF($O1060="","",$O1060))</f>
        <v/>
      </c>
      <c r="AA1060">
        <f>IF(OR($Q1060="",$Z1060=""),"",IF(AND($Z1060&gt;0,$Z1060&gt;=$Q1060),"yes","below the line"))</f>
        <v/>
      </c>
      <c r="AB1060">
        <f>IF($V1060,IF($M1060="","",$M1060),IF($K1060="","",$K1060))</f>
        <v/>
      </c>
      <c r="AC1060">
        <f>IF($V1060,IF($N1060="","",$N1060),IF($L1060="","",$L1060))</f>
        <v/>
      </c>
      <c r="AD1060">
        <f>$Y1060</f>
        <v/>
      </c>
      <c r="AE1060">
        <f>IF($V1060,IF($S1060="","",$S1060),IF($R1060="","",$R1060))</f>
        <v/>
      </c>
      <c r="AF1060">
        <f>IF($V1060,IF($U1060="","",$U1060),IF($T1060="","",$T1060))</f>
        <v/>
      </c>
      <c r="AG1060">
        <f>IF($V1060,IF($O1060="","",$O1060),IF($P1060="","",$P1060))</f>
        <v/>
      </c>
      <c r="AH1060" t="n">
        <v>0.02296048817854681</v>
      </c>
      <c r="AI1060">
        <f>IF($Y1060="worse","Yes",IF($Y1060="worse, not significant","Not sure",IF(OR($Y1060="too few losses to test",$Y1060="too few loans to test"),"Too few losses",IF($Y1060="","","No"))))</f>
        <v/>
      </c>
      <c r="AJ1060">
        <f>IF($AA1060="yes","Yes",IF($AA1060="","","No"))</f>
        <v/>
      </c>
    </row>
    <row r="1061">
      <c r="A1061" t="inlineStr">
        <is>
          <t>three-way</t>
        </is>
      </c>
      <c r="B1061" t="inlineStr">
        <is>
          <t>ORIG_BAL x ASSET_CLASS / SYS_FLAG</t>
        </is>
      </c>
      <c r="C1061" t="inlineStr">
        <is>
          <t>49,152 - 59,984</t>
        </is>
      </c>
      <c r="D1061" t="inlineStr">
        <is>
          <t>1 / SYS_FLAG N</t>
        </is>
      </c>
      <c r="E1061" t="inlineStr">
        <is>
          <t>gco_rate</t>
        </is>
      </c>
      <c r="F1061" t="inlineStr">
        <is>
          <t>GCO per booked dollar</t>
        </is>
      </c>
      <c r="G1061" t="n">
        <v>218</v>
      </c>
      <c r="H1061" t="n">
        <v>11906306.08</v>
      </c>
      <c r="I1061" t="b">
        <v>1</v>
      </c>
      <c r="J1061" t="b">
        <v>0</v>
      </c>
      <c r="K1061" t="n">
        <v>0.3474001802998258</v>
      </c>
      <c r="M1061" t="n">
        <v>0.3839722914987965</v>
      </c>
      <c r="O1061" t="n">
        <v>-333312.1980677518</v>
      </c>
      <c r="P1061" t="n">
        <v>-284665.3838867649</v>
      </c>
      <c r="Q1061">
        <f>'_live'!$C$22</f>
        <v/>
      </c>
      <c r="T1061" t="n">
        <v>0.04289702907316421</v>
      </c>
      <c r="U1061" t="n">
        <v>0.03881122665433484</v>
      </c>
      <c r="V1061">
        <f>AND(judged_band,NOT($J1061))</f>
        <v/>
      </c>
      <c r="W1061">
        <f>IF($K1061="","",IF($I1061,"too few losses to test",IF(AND($K1061&gt;better_at,$K1061&lt;worse_at),"in line",IF($K1061&gt;=worse_at,IF(AND(ISNUMBER($L1061),$L1061&lt;significance_bar),"worse","worse, not significant"),IF(AND(ISNUMBER($L1061),$L1061&lt;significance_bar),"better","better, not significant")))))</f>
        <v/>
      </c>
      <c r="X1061">
        <f>IF($M1061="","",IF($I1061,"too few losses to test",IF(AND($M1061&gt;better_at,$M1061&lt;worse_at),"in line",IF($M1061&gt;=worse_at,IF(AND(ISNUMBER($N1061),$N1061&lt;significance_bar),"worse","worse, not significant"),IF(AND(ISNUMBER($N1061),$N1061&lt;significance_bar),"better","better, not significant")))))</f>
        <v/>
      </c>
      <c r="Y1061">
        <f>IF($V1061,$X1061,$W1061)</f>
        <v/>
      </c>
      <c r="Z1061">
        <f>IF($V1061,IF($P1061="","",$P1061),IF($O1061="","",$O1061))</f>
        <v/>
      </c>
      <c r="AA1061">
        <f>IF(OR($Q1061="",$Z1061=""),"",IF(AND($Z1061&gt;0,$Z1061&gt;=$Q1061),"yes","below the line"))</f>
        <v/>
      </c>
      <c r="AB1061">
        <f>IF($V1061,IF($M1061="","",$M1061),IF($K1061="","",$K1061))</f>
        <v/>
      </c>
      <c r="AC1061">
        <f>IF($V1061,IF($N1061="","",$N1061),IF($L1061="","",$L1061))</f>
        <v/>
      </c>
      <c r="AD1061">
        <f>$Y1061</f>
        <v/>
      </c>
      <c r="AE1061">
        <f>IF($V1061,IF($S1061="","",$S1061),IF($R1061="","",$R1061))</f>
        <v/>
      </c>
      <c r="AF1061">
        <f>IF($V1061,IF($U1061="","",$U1061),IF($T1061="","",$T1061))</f>
        <v/>
      </c>
      <c r="AG1061">
        <f>IF($V1061,IF($O1061="","",$O1061),IF($P1061="","",$P1061))</f>
        <v/>
      </c>
      <c r="AH1061" t="n">
        <v>0.01490243563434412</v>
      </c>
      <c r="AI1061">
        <f>IF($Y1061="worse","Yes",IF($Y1061="worse, not significant","Not sure",IF(OR($Y1061="too few losses to test",$Y1061="too few loans to test"),"Too few losses",IF($Y1061="","","No"))))</f>
        <v/>
      </c>
      <c r="AJ1061">
        <f>IF($AA1061="yes","Yes",IF($AA1061="","","No"))</f>
        <v/>
      </c>
    </row>
    <row r="1062">
      <c r="A1062" t="inlineStr">
        <is>
          <t>three-way</t>
        </is>
      </c>
      <c r="B1062" t="inlineStr">
        <is>
          <t>ORIG_BAL x ASSET_CLASS / SYS_FLAG</t>
        </is>
      </c>
      <c r="C1062" t="inlineStr">
        <is>
          <t>49,152 - 59,984</t>
        </is>
      </c>
      <c r="D1062" t="inlineStr">
        <is>
          <t>1 / SYS_FLAG N</t>
        </is>
      </c>
      <c r="E1062" t="inlineStr">
        <is>
          <t>ranr_rate</t>
        </is>
      </c>
      <c r="F1062" t="inlineStr">
        <is>
          <t>Profit after losses: RANR per booked dollar</t>
        </is>
      </c>
      <c r="G1062" t="n">
        <v>218</v>
      </c>
      <c r="H1062" t="n">
        <v>11906306.08</v>
      </c>
      <c r="I1062" t="b">
        <v>0</v>
      </c>
      <c r="J1062" t="b">
        <v>0</v>
      </c>
      <c r="K1062" t="n">
        <v>0.02623674668408715</v>
      </c>
      <c r="L1062" t="n">
        <v>0.3752958037529581</v>
      </c>
      <c r="M1062" t="n">
        <v>0.02615737811902469</v>
      </c>
      <c r="N1062" t="n">
        <v>0.19553600195536</v>
      </c>
      <c r="O1062" t="n">
        <v>-312382.7365641668</v>
      </c>
      <c r="P1062" t="n">
        <v>-311437.7501354027</v>
      </c>
      <c r="Q1062">
        <f>'_live'!$C$23</f>
        <v/>
      </c>
      <c r="R1062" t="inlineStr">
        <is>
          <t>shuffled: 562 of 10,000</t>
        </is>
      </c>
      <c r="S1062" t="inlineStr">
        <is>
          <t>shuffled: 399 of 10,000</t>
        </is>
      </c>
      <c r="T1062" t="n">
        <v>0.1267795849773613</v>
      </c>
      <c r="U1062" t="n">
        <v>0.1268589535424237</v>
      </c>
      <c r="V1062">
        <f>AND(judged_band,NOT($J1062))</f>
        <v/>
      </c>
      <c r="W1062">
        <f>IF($K1062="","",IF(profit_kind="test",IF(OR(NOT(AND(ISNUMBER($L1062),$L1062&lt;significance_bar)),$K1062=0),"in line",IF($K1062&lt;0,"worse","better")),IF(OR($K1062=0,IF(profit_kind="points",ABS($K1062),ABS($K1062*$H1062))&lt;profit_line*(1-1E-9)),"in line",IF(AND(ISNUMBER($L1062),$L1062&lt;significance_bar),IF($K1062&lt;0,"worse","better"),IF($K1062&lt;0,"worse, not significant","better, not significant")))))</f>
        <v/>
      </c>
      <c r="X1062">
        <f>IF($M1062="","",IF(profit_kind="test",IF(OR(NOT(AND(ISNUMBER($N1062),$N1062&lt;significance_bar)),$M1062=0),"in line",IF($M1062&lt;0,"worse","better")),IF(OR($M1062=0,IF(profit_kind="points",ABS($M1062),ABS($M1062*$H1062))&lt;profit_line*(1-1E-9)),"in line",IF(AND(ISNUMBER($N1062),$N1062&lt;significance_bar),IF($M1062&lt;0,"worse","better"),IF($M1062&lt;0,"worse, not significant","better, not significant")))))</f>
        <v/>
      </c>
      <c r="Y1062">
        <f>IF($V1062,$X1062,$W1062)</f>
        <v/>
      </c>
      <c r="Z1062">
        <f>IF($V1062,IF($P1062="","",$P1062),IF($O1062="","",$O1062))</f>
        <v/>
      </c>
      <c r="AA1062">
        <f>IF(OR($Q1062="",$Z1062=""),"",IF(AND($Z1062&gt;0,$Z1062&gt;=$Q1062),"yes","below the line"))</f>
        <v/>
      </c>
      <c r="AB1062">
        <f>IF($V1062,IF($M1062="","",$M1062),IF($K1062="","",$K1062))</f>
        <v/>
      </c>
      <c r="AC1062">
        <f>IF($V1062,IF($N1062="","",$N1062),IF($L1062="","",$L1062))</f>
        <v/>
      </c>
      <c r="AD1062">
        <f>IF($Y1062="","",IF($Y1062="in line",IF(profit_kind="test",IF(ROUND($AB1062*100,2)=0,"0.00",TEXT($AB1062*100,"+0.00;-0.00"))&amp;" points against "&amp;IF($V1062,"its band","the book")&amp;", "&amp;IF($AC1062="","not tested","not significant"),IF(profit_kind="points","within "&amp;TEXT(profit_line*100,"0.00")&amp;" points of "&amp;IF($V1062,"its band","the book")&amp;" ("&amp;IF(ROUND($AB1062*100,2)=0,"0.00",TEXT($AB1062*100,"+0.00;-0.00"))&amp;")","within $"&amp;TEXT(profit_line,"#,##0")&amp;" of "&amp;IF($V1062,"its band","the book")&amp;" ("&amp;IF(ROUND($AB1062*100,2)=0,"0.00",TEXT($AB1062*100,"+0.00;-0.00"))&amp;" points)")),IF(LEFT($Y1062,5)="worse","short of ","ahead of ")&amp;IF($V1062,"its band","the book")&amp;" by "&amp;TEXT(ABS($AB1062)*100,"0.00")&amp;" points"&amp;IF($Z1062="",""," ($"&amp;TEXT(ABS($Z1062),"#,##0")&amp;")")&amp;IF(RIGHT($Y1062,15)="not significant"," (not significant)","")))</f>
        <v/>
      </c>
      <c r="AE1062">
        <f>IF($V1062,IF($S1062="","",$S1062),IF($R1062="","",$R1062))</f>
        <v/>
      </c>
      <c r="AF1062">
        <f>IF($V1062,IF($U1062="","",$U1062),IF($T1062="","",$T1062))</f>
        <v/>
      </c>
      <c r="AG1062">
        <f>IF($V1062,IF($O1062="","",$O1062),IF($P1062="","",$P1062))</f>
        <v/>
      </c>
      <c r="AH1062" t="n">
        <v>0.1530163316614484</v>
      </c>
      <c r="AI1062">
        <f>IF($Y1062="worse","Yes",IF($Y1062="worse, not significant","Not sure",IF(OR($Y1062="too few losses to test",$Y1062="too few loans to test"),"Too few losses",IF($Y1062="","","No"))))</f>
        <v/>
      </c>
      <c r="AJ1062">
        <f>IF($AA1062="yes","Yes",IF($AA1062="","","No"))</f>
        <v/>
      </c>
    </row>
    <row r="1063">
      <c r="A1063" t="inlineStr">
        <is>
          <t>three-way</t>
        </is>
      </c>
      <c r="B1063" t="inlineStr">
        <is>
          <t>ORIG_BAL x ASSET_CLASS / SYS_FLAG</t>
        </is>
      </c>
      <c r="C1063" t="inlineStr">
        <is>
          <t>49,152 - 59,984</t>
        </is>
      </c>
      <c r="D1063" t="inlineStr">
        <is>
          <t>1 / SYS_FLAG N</t>
        </is>
      </c>
      <c r="E1063" t="inlineStr">
        <is>
          <t>contribution_rate</t>
        </is>
      </c>
      <c r="F1063" t="inlineStr">
        <is>
          <t>Contribution before losses per booked dollar</t>
        </is>
      </c>
      <c r="G1063" t="n">
        <v>218</v>
      </c>
      <c r="H1063" t="n">
        <v>11906306.08</v>
      </c>
      <c r="I1063" t="b">
        <v>0</v>
      </c>
      <c r="J1063" t="b">
        <v>0</v>
      </c>
      <c r="K1063" t="n">
        <v>-0.001754654017065316</v>
      </c>
      <c r="L1063" t="n">
        <v>0.9955004499550044</v>
      </c>
      <c r="M1063" t="n">
        <v>0.002248587099034027</v>
      </c>
      <c r="N1063" t="n">
        <v>0.9290835622320122</v>
      </c>
      <c r="O1063" t="n">
        <v>20891.44779168093</v>
      </c>
      <c r="P1063" t="n">
        <v>-26772.3662486386</v>
      </c>
      <c r="Q1063">
        <f>'_live'!$C$24</f>
        <v/>
      </c>
      <c r="R1063" t="inlineStr">
        <is>
          <t>shuffled: 8,469 of 10,000</t>
        </is>
      </c>
      <c r="S1063" t="inlineStr">
        <is>
          <t>shuffled: 7,897 of 10,000</t>
        </is>
      </c>
      <c r="T1063" t="n">
        <v>0.1696734213128579</v>
      </c>
      <c r="U1063" t="n">
        <v>0.1656701801967586</v>
      </c>
      <c r="V1063">
        <f>AND(judged_band,NOT($J1063))</f>
        <v/>
      </c>
      <c r="W1063">
        <f>IF($K1063="","",IF(profit_kind="test",IF(OR(NOT(AND(ISNUMBER($L1063),$L1063&lt;significance_bar)),$K1063=0),"in line",IF($K1063&lt;0,"worse","better")),IF(OR($K1063=0,IF(profit_kind="points",ABS($K1063),ABS($K1063*$H1063))&lt;profit_line*(1-1E-9)),"in line",IF(AND(ISNUMBER($L1063),$L1063&lt;significance_bar),IF($K1063&lt;0,"worse","better"),IF($K1063&lt;0,"worse, not significant","better, not significant")))))</f>
        <v/>
      </c>
      <c r="X1063">
        <f>IF($M1063="","",IF(profit_kind="test",IF(OR(NOT(AND(ISNUMBER($N1063),$N1063&lt;significance_bar)),$M1063=0),"in line",IF($M1063&lt;0,"worse","better")),IF(OR($M1063=0,IF(profit_kind="points",ABS($M1063),ABS($M1063*$H1063))&lt;profit_line*(1-1E-9)),"in line",IF(AND(ISNUMBER($N1063),$N1063&lt;significance_bar),IF($M1063&lt;0,"worse","better"),IF($M1063&lt;0,"worse, not significant","better, not significant")))))</f>
        <v/>
      </c>
      <c r="Y1063">
        <f>IF($V1063,$X1063,$W1063)</f>
        <v/>
      </c>
      <c r="Z1063">
        <f>IF($V1063,IF($P1063="","",$P1063),IF($O1063="","",$O1063))</f>
        <v/>
      </c>
      <c r="AA1063">
        <f>IF(OR($Q1063="",$Z1063=""),"",IF(AND($Z1063&gt;0,$Z1063&gt;=$Q1063),"yes","below the line"))</f>
        <v/>
      </c>
      <c r="AB1063">
        <f>IF($V1063,IF($M1063="","",$M1063),IF($K1063="","",$K1063))</f>
        <v/>
      </c>
      <c r="AC1063">
        <f>IF($V1063,IF($N1063="","",$N1063),IF($L1063="","",$L1063))</f>
        <v/>
      </c>
      <c r="AD1063">
        <f>IF($Y1063="","",IF($Y1063="in line",IF(profit_kind="test",IF(ROUND($AB1063*100,2)=0,"0.00",TEXT($AB1063*100,"+0.00;-0.00"))&amp;" points against "&amp;IF($V1063,"its band","the book")&amp;", "&amp;IF($AC1063="","not tested","not significant"),IF(profit_kind="points","within "&amp;TEXT(profit_line*100,"0.00")&amp;" points of "&amp;IF($V1063,"its band","the book")&amp;" ("&amp;IF(ROUND($AB1063*100,2)=0,"0.00",TEXT($AB1063*100,"+0.00;-0.00"))&amp;")","within $"&amp;TEXT(profit_line,"#,##0")&amp;" of "&amp;IF($V1063,"its band","the book")&amp;" ("&amp;IF(ROUND($AB1063*100,2)=0,"0.00",TEXT($AB1063*100,"+0.00;-0.00"))&amp;" points)")),IF(LEFT($Y1063,5)="worse","short of ","ahead of ")&amp;IF($V1063,"its band","the book")&amp;" by "&amp;TEXT(ABS($AB1063)*100,"0.00")&amp;" points"&amp;IF($Z1063="",""," ($"&amp;TEXT(ABS($Z1063),"#,##0")&amp;")")&amp;IF(RIGHT($Y1063,15)="not significant"," (not significant)","")))</f>
        <v/>
      </c>
      <c r="AE1063">
        <f>IF($V1063,IF($S1063="","",$S1063),IF($R1063="","",$R1063))</f>
        <v/>
      </c>
      <c r="AF1063">
        <f>IF($V1063,IF($U1063="","",$U1063),IF($T1063="","",$T1063))</f>
        <v/>
      </c>
      <c r="AG1063">
        <f>IF($V1063,IF($O1063="","",$O1063),IF($P1063="","",$P1063))</f>
        <v/>
      </c>
      <c r="AH1063" t="n">
        <v>0.1679187672957926</v>
      </c>
      <c r="AI1063">
        <f>IF($Y1063="worse","Yes",IF($Y1063="worse, not significant","Not sure",IF(OR($Y1063="too few losses to test",$Y1063="too few loans to test"),"Too few losses",IF($Y1063="","","No"))))</f>
        <v/>
      </c>
      <c r="AJ1063">
        <f>IF($AA1063="yes","Yes",IF($AA1063="","","No"))</f>
        <v/>
      </c>
    </row>
    <row r="1064">
      <c r="A1064" t="inlineStr">
        <is>
          <t>three-way</t>
        </is>
      </c>
      <c r="B1064" t="inlineStr">
        <is>
          <t>ORIG_BAL x ASSET_CLASS / SYS_FLAG</t>
        </is>
      </c>
      <c r="C1064" t="inlineStr">
        <is>
          <t>37,951 - 49,151</t>
        </is>
      </c>
      <c r="D1064" t="inlineStr">
        <is>
          <t>4 / SYS_FLAG N</t>
        </is>
      </c>
      <c r="E1064" t="inlineStr">
        <is>
          <t>outcome_loans</t>
        </is>
      </c>
      <c r="F1064" t="inlineStr">
        <is>
          <t>Outcome, share of loans</t>
        </is>
      </c>
      <c r="G1064" t="n">
        <v>225</v>
      </c>
      <c r="H1064" t="n">
        <v>225</v>
      </c>
      <c r="I1064" t="b">
        <v>0</v>
      </c>
      <c r="J1064" t="b">
        <v>0</v>
      </c>
      <c r="K1064" t="n">
        <v>0.9167790676248387</v>
      </c>
      <c r="L1064" t="n">
        <v>0.8833366391231683</v>
      </c>
      <c r="M1064" t="n">
        <v>0.8286252354048964</v>
      </c>
      <c r="N1064" t="n">
        <v>0.6654389578645733</v>
      </c>
      <c r="O1064" t="n">
        <v>-1.452405454077695</v>
      </c>
      <c r="P1064" t="n">
        <v>-3.309090909090909</v>
      </c>
      <c r="Q1064">
        <f>'_live'!$C$20</f>
        <v/>
      </c>
      <c r="R1064" t="inlineStr">
        <is>
          <t>z test</t>
        </is>
      </c>
      <c r="S1064" t="inlineStr">
        <is>
          <t>z test</t>
        </is>
      </c>
      <c r="T1064" t="n">
        <v>0.07756624646256753</v>
      </c>
      <c r="U1064" t="n">
        <v>0.08581818181818182</v>
      </c>
      <c r="V1064">
        <f>AND(judged_band,NOT($J1064))</f>
        <v/>
      </c>
      <c r="W1064">
        <f>IF($K1064="","",IF($I1064,"too few losses to test",IF(AND($K1064&gt;better_at,$K1064&lt;worse_at),"in line",IF($K1064&gt;=worse_at,IF(AND(ISNUMBER($L1064),$L1064&lt;significance_bar),"worse","worse, not significant"),IF(AND(ISNUMBER($L1064),$L1064&lt;significance_bar),"better","better, not significant")))))</f>
        <v/>
      </c>
      <c r="X1064">
        <f>IF($M1064="","",IF($I1064,"too few losses to test",IF(AND($M1064&gt;better_at,$M1064&lt;worse_at),"in line",IF($M1064&gt;=worse_at,IF(AND(ISNUMBER($N1064),$N1064&lt;significance_bar),"worse","worse, not significant"),IF(AND(ISNUMBER($N1064),$N1064&lt;significance_bar),"better","better, not significant")))))</f>
        <v/>
      </c>
      <c r="Y1064">
        <f>IF($V1064,$X1064,$W1064)</f>
        <v/>
      </c>
      <c r="Z1064">
        <f>IF($V1064,IF($P1064="","",$P1064),IF($O1064="","",$O1064))</f>
        <v/>
      </c>
      <c r="AA1064">
        <f>IF(OR($Q1064="",$Z1064=""),"",IF(AND($Z1064&gt;0,$Z1064&gt;=$Q1064),"yes","below the line"))</f>
        <v/>
      </c>
      <c r="AB1064">
        <f>IF($V1064,IF($M1064="","",$M1064),IF($K1064="","",$K1064))</f>
        <v/>
      </c>
      <c r="AC1064">
        <f>IF($V1064,IF($N1064="","",$N1064),IF($L1064="","",$L1064))</f>
        <v/>
      </c>
      <c r="AD1064">
        <f>$Y1064</f>
        <v/>
      </c>
      <c r="AE1064">
        <f>IF($V1064,IF($S1064="","",$S1064),IF($R1064="","",$R1064))</f>
        <v/>
      </c>
      <c r="AF1064">
        <f>IF($V1064,IF($U1064="","",$U1064),IF($T1064="","",$T1064))</f>
        <v/>
      </c>
      <c r="AG1064">
        <f>IF($V1064,IF($O1064="","",$O1064),IF($P1064="","",$P1064))</f>
        <v/>
      </c>
      <c r="AH1064" t="n">
        <v>0.07111111111111111</v>
      </c>
      <c r="AI1064">
        <f>IF($Y1064="worse","Yes",IF($Y1064="worse, not significant","Not sure",IF(OR($Y1064="too few losses to test",$Y1064="too few loans to test"),"Too few losses",IF($Y1064="","","No"))))</f>
        <v/>
      </c>
      <c r="AJ1064">
        <f>IF($AA1064="yes","Yes",IF($AA1064="","","No"))</f>
        <v/>
      </c>
    </row>
    <row r="1065">
      <c r="A1065" t="inlineStr">
        <is>
          <t>three-way</t>
        </is>
      </c>
      <c r="B1065" t="inlineStr">
        <is>
          <t>ORIG_BAL x ASSET_CLASS / SYS_FLAG</t>
        </is>
      </c>
      <c r="C1065" t="inlineStr">
        <is>
          <t>37,951 - 49,151</t>
        </is>
      </c>
      <c r="D1065" t="inlineStr">
        <is>
          <t>4 / SYS_FLAG N</t>
        </is>
      </c>
      <c r="E1065" t="inlineStr">
        <is>
          <t>outcome_booked</t>
        </is>
      </c>
      <c r="F1065" t="inlineStr">
        <is>
          <t>Outcome, share of booked dollars</t>
        </is>
      </c>
      <c r="G1065" t="n">
        <v>225</v>
      </c>
      <c r="H1065" t="n">
        <v>9795212.909999996</v>
      </c>
      <c r="I1065" t="b">
        <v>0</v>
      </c>
      <c r="J1065" t="b">
        <v>0</v>
      </c>
      <c r="K1065" t="n">
        <v>0.952638640339005</v>
      </c>
      <c r="L1065" t="n">
        <v>0.9187347931873479</v>
      </c>
      <c r="M1065" t="n">
        <v>0.8401705366588266</v>
      </c>
      <c r="N1065" t="n">
        <v>0.6326407359264073</v>
      </c>
      <c r="O1065" t="n">
        <v>-34776.72981283243</v>
      </c>
      <c r="P1065" t="n">
        <v>-133070.6157152265</v>
      </c>
      <c r="Q1065">
        <f>'_live'!$C$21</f>
        <v/>
      </c>
      <c r="R1065" t="inlineStr">
        <is>
          <t>shuffled: 8,613 of 10,000</t>
        </is>
      </c>
      <c r="S1065" t="inlineStr">
        <is>
          <t>shuffled: 4,942 of 10,000</t>
        </is>
      </c>
      <c r="T1065" t="n">
        <v>0.07496364566646593</v>
      </c>
      <c r="U1065" t="n">
        <v>0.08499853585267569</v>
      </c>
      <c r="V1065">
        <f>AND(judged_band,NOT($J1065))</f>
        <v/>
      </c>
      <c r="W1065">
        <f>IF($K1065="","",IF($I1065,"too few losses to test",IF(AND($K1065&gt;better_at,$K1065&lt;worse_at),"in line",IF($K1065&gt;=worse_at,IF(AND(ISNUMBER($L1065),$L1065&lt;significance_bar),"worse","worse, not significant"),IF(AND(ISNUMBER($L1065),$L1065&lt;significance_bar),"better","better, not significant")))))</f>
        <v/>
      </c>
      <c r="X1065">
        <f>IF($M1065="","",IF($I1065,"too few losses to test",IF(AND($M1065&gt;better_at,$M1065&lt;worse_at),"in line",IF($M1065&gt;=worse_at,IF(AND(ISNUMBER($N1065),$N1065&lt;significance_bar),"worse","worse, not significant"),IF(AND(ISNUMBER($N1065),$N1065&lt;significance_bar),"better","better, not significant")))))</f>
        <v/>
      </c>
      <c r="Y1065">
        <f>IF($V1065,$X1065,$W1065)</f>
        <v/>
      </c>
      <c r="Z1065">
        <f>IF($V1065,IF($P1065="","",$P1065),IF($O1065="","",$O1065))</f>
        <v/>
      </c>
      <c r="AA1065">
        <f>IF(OR($Q1065="",$Z1065=""),"",IF(AND($Z1065&gt;0,$Z1065&gt;=$Q1065),"yes","below the line"))</f>
        <v/>
      </c>
      <c r="AB1065">
        <f>IF($V1065,IF($M1065="","",$M1065),IF($K1065="","",$K1065))</f>
        <v/>
      </c>
      <c r="AC1065">
        <f>IF($V1065,IF($N1065="","",$N1065),IF($L1065="","",$L1065))</f>
        <v/>
      </c>
      <c r="AD1065">
        <f>$Y1065</f>
        <v/>
      </c>
      <c r="AE1065">
        <f>IF($V1065,IF($S1065="","",$S1065),IF($R1065="","",$R1065))</f>
        <v/>
      </c>
      <c r="AF1065">
        <f>IF($V1065,IF($U1065="","",$U1065),IF($T1065="","",$T1065))</f>
        <v/>
      </c>
      <c r="AG1065">
        <f>IF($V1065,IF($O1065="","",$O1065),IF($P1065="","",$P1065))</f>
        <v/>
      </c>
      <c r="AH1065" t="n">
        <v>0.07141326548255705</v>
      </c>
      <c r="AI1065">
        <f>IF($Y1065="worse","Yes",IF($Y1065="worse, not significant","Not sure",IF(OR($Y1065="too few losses to test",$Y1065="too few loans to test"),"Too few losses",IF($Y1065="","","No"))))</f>
        <v/>
      </c>
      <c r="AJ1065">
        <f>IF($AA1065="yes","Yes",IF($AA1065="","","No"))</f>
        <v/>
      </c>
    </row>
    <row r="1066">
      <c r="A1066" t="inlineStr">
        <is>
          <t>three-way</t>
        </is>
      </c>
      <c r="B1066" t="inlineStr">
        <is>
          <t>ORIG_BAL x ASSET_CLASS / SYS_FLAG</t>
        </is>
      </c>
      <c r="C1066" t="inlineStr">
        <is>
          <t>37,951 - 49,151</t>
        </is>
      </c>
      <c r="D1066" t="inlineStr">
        <is>
          <t>4 / SYS_FLAG N</t>
        </is>
      </c>
      <c r="E1066" t="inlineStr">
        <is>
          <t>gco_rate</t>
        </is>
      </c>
      <c r="F1066" t="inlineStr">
        <is>
          <t>GCO per booked dollar</t>
        </is>
      </c>
      <c r="G1066" t="n">
        <v>225</v>
      </c>
      <c r="H1066" t="n">
        <v>9795212.909999996</v>
      </c>
      <c r="I1066" t="b">
        <v>0</v>
      </c>
      <c r="J1066" t="b">
        <v>0</v>
      </c>
      <c r="K1066" t="n">
        <v>0.9365605668822046</v>
      </c>
      <c r="L1066" t="n">
        <v>0.9412575983780932</v>
      </c>
      <c r="M1066" t="n">
        <v>0.8132943713461922</v>
      </c>
      <c r="N1066" t="n">
        <v>0.7733044877330449</v>
      </c>
      <c r="O1066" t="n">
        <v>-25916.03927330661</v>
      </c>
      <c r="P1066" t="n">
        <v>-87832.41990583262</v>
      </c>
      <c r="Q1066">
        <f>'_live'!$C$22</f>
        <v/>
      </c>
      <c r="R1066" t="inlineStr">
        <is>
          <t>shuffled: 8,228 of 10,000</t>
        </is>
      </c>
      <c r="S1066" t="inlineStr">
        <is>
          <t>shuffled: 4,352 of 10,000</t>
        </is>
      </c>
      <c r="T1066" t="n">
        <v>0.04170570390116275</v>
      </c>
      <c r="U1066" t="n">
        <v>0.0480267896398214</v>
      </c>
      <c r="V1066">
        <f>AND(judged_band,NOT($J1066))</f>
        <v/>
      </c>
      <c r="W1066">
        <f>IF($K1066="","",IF($I1066,"too few losses to test",IF(AND($K1066&gt;better_at,$K1066&lt;worse_at),"in line",IF($K1066&gt;=worse_at,IF(AND(ISNUMBER($L1066),$L1066&lt;significance_bar),"worse","worse, not significant"),IF(AND(ISNUMBER($L1066),$L1066&lt;significance_bar),"better","better, not significant")))))</f>
        <v/>
      </c>
      <c r="X1066">
        <f>IF($M1066="","",IF($I1066,"too few losses to test",IF(AND($M1066&gt;better_at,$M1066&lt;worse_at),"in line",IF($M1066&gt;=worse_at,IF(AND(ISNUMBER($N1066),$N1066&lt;significance_bar),"worse","worse, not significant"),IF(AND(ISNUMBER($N1066),$N1066&lt;significance_bar),"better","better, not significant")))))</f>
        <v/>
      </c>
      <c r="Y1066">
        <f>IF($V1066,$X1066,$W1066)</f>
        <v/>
      </c>
      <c r="Z1066">
        <f>IF($V1066,IF($P1066="","",$P1066),IF($O1066="","",$O1066))</f>
        <v/>
      </c>
      <c r="AA1066">
        <f>IF(OR($Q1066="",$Z1066=""),"",IF(AND($Z1066&gt;0,$Z1066&gt;=$Q1066),"yes","below the line"))</f>
        <v/>
      </c>
      <c r="AB1066">
        <f>IF($V1066,IF($M1066="","",$M1066),IF($K1066="","",$K1066))</f>
        <v/>
      </c>
      <c r="AC1066">
        <f>IF($V1066,IF($N1066="","",$N1066),IF($L1066="","",$L1066))</f>
        <v/>
      </c>
      <c r="AD1066">
        <f>$Y1066</f>
        <v/>
      </c>
      <c r="AE1066">
        <f>IF($V1066,IF($S1066="","",$S1066),IF($R1066="","",$R1066))</f>
        <v/>
      </c>
      <c r="AF1066">
        <f>IF($V1066,IF($U1066="","",$U1066),IF($T1066="","",$T1066))</f>
        <v/>
      </c>
      <c r="AG1066">
        <f>IF($V1066,IF($O1066="","",$O1066),IF($P1066="","",$P1066))</f>
        <v/>
      </c>
      <c r="AH1066" t="n">
        <v>0.03905991768789436</v>
      </c>
      <c r="AI1066">
        <f>IF($Y1066="worse","Yes",IF($Y1066="worse, not significant","Not sure",IF(OR($Y1066="too few losses to test",$Y1066="too few loans to test"),"Too few losses",IF($Y1066="","","No"))))</f>
        <v/>
      </c>
      <c r="AJ1066">
        <f>IF($AA1066="yes","Yes",IF($AA1066="","","No"))</f>
        <v/>
      </c>
    </row>
    <row r="1067">
      <c r="A1067" t="inlineStr">
        <is>
          <t>three-way</t>
        </is>
      </c>
      <c r="B1067" t="inlineStr">
        <is>
          <t>ORIG_BAL x ASSET_CLASS / SYS_FLAG</t>
        </is>
      </c>
      <c r="C1067" t="inlineStr">
        <is>
          <t>37,951 - 49,151</t>
        </is>
      </c>
      <c r="D1067" t="inlineStr">
        <is>
          <t>4 / SYS_FLAG N</t>
        </is>
      </c>
      <c r="E1067" t="inlineStr">
        <is>
          <t>ranr_rate</t>
        </is>
      </c>
      <c r="F1067" t="inlineStr">
        <is>
          <t>Profit after losses: RANR per booked dollar</t>
        </is>
      </c>
      <c r="G1067" t="n">
        <v>225</v>
      </c>
      <c r="H1067" t="n">
        <v>9795212.909999996</v>
      </c>
      <c r="I1067" t="b">
        <v>0</v>
      </c>
      <c r="J1067" t="b">
        <v>0</v>
      </c>
      <c r="K1067" t="n">
        <v>0.009527621187135321</v>
      </c>
      <c r="L1067" t="n">
        <v>0.8120616509777595</v>
      </c>
      <c r="M1067" t="n">
        <v>0.01713580305327962</v>
      </c>
      <c r="N1067" t="n">
        <v>0.4690057310058468</v>
      </c>
      <c r="O1067" t="n">
        <v>-93325.07805381739</v>
      </c>
      <c r="P1067" t="n">
        <v>-167848.839290702</v>
      </c>
      <c r="Q1067">
        <f>'_live'!$C$23</f>
        <v/>
      </c>
      <c r="R1067" t="inlineStr">
        <is>
          <t>shuffled: 4,885 of 10,000</t>
        </is>
      </c>
      <c r="S1067" t="inlineStr">
        <is>
          <t>shuffled: 2,212 of 10,000</t>
        </is>
      </c>
      <c r="T1067" t="n">
        <v>0.127628420477711</v>
      </c>
      <c r="U1067" t="n">
        <v>0.1200202386115667</v>
      </c>
      <c r="V1067">
        <f>AND(judged_band,NOT($J1067))</f>
        <v/>
      </c>
      <c r="W1067">
        <f>IF($K1067="","",IF(profit_kind="test",IF(OR(NOT(AND(ISNUMBER($L1067),$L1067&lt;significance_bar)),$K1067=0),"in line",IF($K1067&lt;0,"worse","better")),IF(OR($K1067=0,IF(profit_kind="points",ABS($K1067),ABS($K1067*$H1067))&lt;profit_line*(1-1E-9)),"in line",IF(AND(ISNUMBER($L1067),$L1067&lt;significance_bar),IF($K1067&lt;0,"worse","better"),IF($K1067&lt;0,"worse, not significant","better, not significant")))))</f>
        <v/>
      </c>
      <c r="X1067">
        <f>IF($M1067="","",IF(profit_kind="test",IF(OR(NOT(AND(ISNUMBER($N1067),$N1067&lt;significance_bar)),$M1067=0),"in line",IF($M1067&lt;0,"worse","better")),IF(OR($M1067=0,IF(profit_kind="points",ABS($M1067),ABS($M1067*$H1067))&lt;profit_line*(1-1E-9)),"in line",IF(AND(ISNUMBER($N1067),$N1067&lt;significance_bar),IF($M1067&lt;0,"worse","better"),IF($M1067&lt;0,"worse, not significant","better, not significant")))))</f>
        <v/>
      </c>
      <c r="Y1067">
        <f>IF($V1067,$X1067,$W1067)</f>
        <v/>
      </c>
      <c r="Z1067">
        <f>IF($V1067,IF($P1067="","",$P1067),IF($O1067="","",$O1067))</f>
        <v/>
      </c>
      <c r="AA1067">
        <f>IF(OR($Q1067="",$Z1067=""),"",IF(AND($Z1067&gt;0,$Z1067&gt;=$Q1067),"yes","below the line"))</f>
        <v/>
      </c>
      <c r="AB1067">
        <f>IF($V1067,IF($M1067="","",$M1067),IF($K1067="","",$K1067))</f>
        <v/>
      </c>
      <c r="AC1067">
        <f>IF($V1067,IF($N1067="","",$N1067),IF($L1067="","",$L1067))</f>
        <v/>
      </c>
      <c r="AD1067">
        <f>IF($Y1067="","",IF($Y1067="in line",IF(profit_kind="test",IF(ROUND($AB1067*100,2)=0,"0.00",TEXT($AB1067*100,"+0.00;-0.00"))&amp;" points against "&amp;IF($V1067,"its band","the book")&amp;", "&amp;IF($AC1067="","not tested","not significant"),IF(profit_kind="points","within "&amp;TEXT(profit_line*100,"0.00")&amp;" points of "&amp;IF($V1067,"its band","the book")&amp;" ("&amp;IF(ROUND($AB1067*100,2)=0,"0.00",TEXT($AB1067*100,"+0.00;-0.00"))&amp;")","within $"&amp;TEXT(profit_line,"#,##0")&amp;" of "&amp;IF($V1067,"its band","the book")&amp;" ("&amp;IF(ROUND($AB1067*100,2)=0,"0.00",TEXT($AB1067*100,"+0.00;-0.00"))&amp;" points)")),IF(LEFT($Y1067,5)="worse","short of ","ahead of ")&amp;IF($V1067,"its band","the book")&amp;" by "&amp;TEXT(ABS($AB1067)*100,"0.00")&amp;" points"&amp;IF($Z1067="",""," ($"&amp;TEXT(ABS($Z1067),"#,##0")&amp;")")&amp;IF(RIGHT($Y1067,15)="not significant"," (not significant)","")))</f>
        <v/>
      </c>
      <c r="AE1067">
        <f>IF($V1067,IF($S1067="","",$S1067),IF($R1067="","",$R1067))</f>
        <v/>
      </c>
      <c r="AF1067">
        <f>IF($V1067,IF($U1067="","",$U1067),IF($T1067="","",$T1067))</f>
        <v/>
      </c>
      <c r="AG1067">
        <f>IF($V1067,IF($O1067="","",$O1067),IF($P1067="","",$P1067))</f>
        <v/>
      </c>
      <c r="AH1067" t="n">
        <v>0.1371560416648463</v>
      </c>
      <c r="AI1067">
        <f>IF($Y1067="worse","Yes",IF($Y1067="worse, not significant","Not sure",IF(OR($Y1067="too few losses to test",$Y1067="too few loans to test"),"Too few losses",IF($Y1067="","","No"))))</f>
        <v/>
      </c>
      <c r="AJ1067">
        <f>IF($AA1067="yes","Yes",IF($AA1067="","","No"))</f>
        <v/>
      </c>
    </row>
    <row r="1068">
      <c r="A1068" t="inlineStr">
        <is>
          <t>three-way</t>
        </is>
      </c>
      <c r="B1068" t="inlineStr">
        <is>
          <t>ORIG_BAL x ASSET_CLASS / SYS_FLAG</t>
        </is>
      </c>
      <c r="C1068" t="inlineStr">
        <is>
          <t>37,951 - 49,151</t>
        </is>
      </c>
      <c r="D1068" t="inlineStr">
        <is>
          <t>4 / SYS_FLAG N</t>
        </is>
      </c>
      <c r="E1068" t="inlineStr">
        <is>
          <t>contribution_rate</t>
        </is>
      </c>
      <c r="F1068" t="inlineStr">
        <is>
          <t>Contribution before losses per booked dollar</t>
        </is>
      </c>
      <c r="G1068" t="n">
        <v>225</v>
      </c>
      <c r="H1068" t="n">
        <v>9795212.909999996</v>
      </c>
      <c r="I1068" t="b">
        <v>0</v>
      </c>
      <c r="J1068" t="b">
        <v>0</v>
      </c>
      <c r="K1068" t="n">
        <v>0.00688486485796419</v>
      </c>
      <c r="L1068" t="n">
        <v>0.774705138181834</v>
      </c>
      <c r="M1068" t="n">
        <v>0.008186538737207177</v>
      </c>
      <c r="N1068" t="n">
        <v>0.798978925636848</v>
      </c>
      <c r="O1068" t="n">
        <v>-67438.71714033606</v>
      </c>
      <c r="P1068" t="n">
        <v>-80188.88992690691</v>
      </c>
      <c r="Q1068">
        <f>'_live'!$C$24</f>
        <v/>
      </c>
      <c r="R1068" t="inlineStr">
        <is>
          <t>shuffled: 4,454 of 10,000</t>
        </is>
      </c>
      <c r="S1068" t="inlineStr">
        <is>
          <t>shuffled: 3,392 of 10,000</t>
        </is>
      </c>
      <c r="T1068" t="n">
        <v>0.1693310944947765</v>
      </c>
      <c r="U1068" t="n">
        <v>0.1680294206155335</v>
      </c>
      <c r="V1068">
        <f>AND(judged_band,NOT($J1068))</f>
        <v/>
      </c>
      <c r="W1068">
        <f>IF($K1068="","",IF(profit_kind="test",IF(OR(NOT(AND(ISNUMBER($L1068),$L1068&lt;significance_bar)),$K1068=0),"in line",IF($K1068&lt;0,"worse","better")),IF(OR($K1068=0,IF(profit_kind="points",ABS($K1068),ABS($K1068*$H1068))&lt;profit_line*(1-1E-9)),"in line",IF(AND(ISNUMBER($L1068),$L1068&lt;significance_bar),IF($K1068&lt;0,"worse","better"),IF($K1068&lt;0,"worse, not significant","better, not significant")))))</f>
        <v/>
      </c>
      <c r="X1068">
        <f>IF($M1068="","",IF(profit_kind="test",IF(OR(NOT(AND(ISNUMBER($N1068),$N1068&lt;significance_bar)),$M1068=0),"in line",IF($M1068&lt;0,"worse","better")),IF(OR($M1068=0,IF(profit_kind="points",ABS($M1068),ABS($M1068*$H1068))&lt;profit_line*(1-1E-9)),"in line",IF(AND(ISNUMBER($N1068),$N1068&lt;significance_bar),IF($M1068&lt;0,"worse","better"),IF($M1068&lt;0,"worse, not significant","better, not significant")))))</f>
        <v/>
      </c>
      <c r="Y1068">
        <f>IF($V1068,$X1068,$W1068)</f>
        <v/>
      </c>
      <c r="Z1068">
        <f>IF($V1068,IF($P1068="","",$P1068),IF($O1068="","",$O1068))</f>
        <v/>
      </c>
      <c r="AA1068">
        <f>IF(OR($Q1068="",$Z1068=""),"",IF(AND($Z1068&gt;0,$Z1068&gt;=$Q1068),"yes","below the line"))</f>
        <v/>
      </c>
      <c r="AB1068">
        <f>IF($V1068,IF($M1068="","",$M1068),IF($K1068="","",$K1068))</f>
        <v/>
      </c>
      <c r="AC1068">
        <f>IF($V1068,IF($N1068="","",$N1068),IF($L1068="","",$L1068))</f>
        <v/>
      </c>
      <c r="AD1068">
        <f>IF($Y1068="","",IF($Y1068="in line",IF(profit_kind="test",IF(ROUND($AB1068*100,2)=0,"0.00",TEXT($AB1068*100,"+0.00;-0.00"))&amp;" points against "&amp;IF($V1068,"its band","the book")&amp;", "&amp;IF($AC1068="","not tested","not significant"),IF(profit_kind="points","within "&amp;TEXT(profit_line*100,"0.00")&amp;" points of "&amp;IF($V1068,"its band","the book")&amp;" ("&amp;IF(ROUND($AB1068*100,2)=0,"0.00",TEXT($AB1068*100,"+0.00;-0.00"))&amp;")","within $"&amp;TEXT(profit_line,"#,##0")&amp;" of "&amp;IF($V1068,"its band","the book")&amp;" ("&amp;IF(ROUND($AB1068*100,2)=0,"0.00",TEXT($AB1068*100,"+0.00;-0.00"))&amp;" points)")),IF(LEFT($Y1068,5)="worse","short of ","ahead of ")&amp;IF($V1068,"its band","the book")&amp;" by "&amp;TEXT(ABS($AB1068)*100,"0.00")&amp;" points"&amp;IF($Z1068="",""," ($"&amp;TEXT(ABS($Z1068),"#,##0")&amp;")")&amp;IF(RIGHT($Y1068,15)="not significant"," (not significant)","")))</f>
        <v/>
      </c>
      <c r="AE1068">
        <f>IF($V1068,IF($S1068="","",$S1068),IF($R1068="","",$R1068))</f>
        <v/>
      </c>
      <c r="AF1068">
        <f>IF($V1068,IF($U1068="","",$U1068),IF($T1068="","",$T1068))</f>
        <v/>
      </c>
      <c r="AG1068">
        <f>IF($V1068,IF($O1068="","",$O1068),IF($P1068="","",$P1068))</f>
        <v/>
      </c>
      <c r="AH1068" t="n">
        <v>0.1762159593527407</v>
      </c>
      <c r="AI1068">
        <f>IF($Y1068="worse","Yes",IF($Y1068="worse, not significant","Not sure",IF(OR($Y1068="too few losses to test",$Y1068="too few loans to test"),"Too few losses",IF($Y1068="","","No"))))</f>
        <v/>
      </c>
      <c r="AJ1068">
        <f>IF($AA1068="yes","Yes",IF($AA1068="","","No"))</f>
        <v/>
      </c>
    </row>
    <row r="1069">
      <c r="A1069" t="inlineStr">
        <is>
          <t>three-way</t>
        </is>
      </c>
      <c r="B1069" t="inlineStr">
        <is>
          <t>ORIG_BAL x ASSET_CLASS / SYS_FLAG</t>
        </is>
      </c>
      <c r="C1069" t="inlineStr">
        <is>
          <t>5,005 - 15,448</t>
        </is>
      </c>
      <c r="D1069" t="inlineStr">
        <is>
          <t>3 / SYS_FLAG N</t>
        </is>
      </c>
      <c r="E1069" t="inlineStr">
        <is>
          <t>outcome_loans</t>
        </is>
      </c>
      <c r="F1069" t="inlineStr">
        <is>
          <t>Outcome, share of loans</t>
        </is>
      </c>
      <c r="G1069" t="n">
        <v>170</v>
      </c>
      <c r="H1069" t="n">
        <v>170</v>
      </c>
      <c r="I1069" t="b">
        <v>0</v>
      </c>
      <c r="J1069" t="b">
        <v>0</v>
      </c>
      <c r="K1069" t="n">
        <v>0.8331946594427246</v>
      </c>
      <c r="L1069" t="n">
        <v>0.7933268312298792</v>
      </c>
      <c r="M1069" t="n">
        <v>0.8261554621848739</v>
      </c>
      <c r="N1069" t="n">
        <v>0.6767143038707455</v>
      </c>
      <c r="O1069" t="n">
        <v>-2.202196960020435</v>
      </c>
      <c r="P1069" t="n">
        <v>-2.314685314685315</v>
      </c>
      <c r="Q1069">
        <f>'_live'!$C$20</f>
        <v/>
      </c>
      <c r="R1069" t="inlineStr">
        <is>
          <t>z test</t>
        </is>
      </c>
      <c r="S1069" t="inlineStr">
        <is>
          <t>z test</t>
        </is>
      </c>
      <c r="T1069" t="n">
        <v>0.07765998211776727</v>
      </c>
      <c r="U1069" t="n">
        <v>0.07832167832167833</v>
      </c>
      <c r="V1069">
        <f>AND(judged_band,NOT($J1069))</f>
        <v/>
      </c>
      <c r="W1069">
        <f>IF($K1069="","",IF($I1069,"too few losses to test",IF(AND($K1069&gt;better_at,$K1069&lt;worse_at),"in line",IF($K1069&gt;=worse_at,IF(AND(ISNUMBER($L1069),$L1069&lt;significance_bar),"worse","worse, not significant"),IF(AND(ISNUMBER($L1069),$L1069&lt;significance_bar),"better","better, not significant")))))</f>
        <v/>
      </c>
      <c r="X1069">
        <f>IF($M1069="","",IF($I1069,"too few losses to test",IF(AND($M1069&gt;better_at,$M1069&lt;worse_at),"in line",IF($M1069&gt;=worse_at,IF(AND(ISNUMBER($N1069),$N1069&lt;significance_bar),"worse","worse, not significant"),IF(AND(ISNUMBER($N1069),$N1069&lt;significance_bar),"better","better, not significant")))))</f>
        <v/>
      </c>
      <c r="Y1069">
        <f>IF($V1069,$X1069,$W1069)</f>
        <v/>
      </c>
      <c r="Z1069">
        <f>IF($V1069,IF($P1069="","",$P1069),IF($O1069="","",$O1069))</f>
        <v/>
      </c>
      <c r="AA1069">
        <f>IF(OR($Q1069="",$Z1069=""),"",IF(AND($Z1069&gt;0,$Z1069&gt;=$Q1069),"yes","below the line"))</f>
        <v/>
      </c>
      <c r="AB1069">
        <f>IF($V1069,IF($M1069="","",$M1069),IF($K1069="","",$K1069))</f>
        <v/>
      </c>
      <c r="AC1069">
        <f>IF($V1069,IF($N1069="","",$N1069),IF($L1069="","",$L1069))</f>
        <v/>
      </c>
      <c r="AD1069">
        <f>$Y1069</f>
        <v/>
      </c>
      <c r="AE1069">
        <f>IF($V1069,IF($S1069="","",$S1069),IF($R1069="","",$R1069))</f>
        <v/>
      </c>
      <c r="AF1069">
        <f>IF($V1069,IF($U1069="","",$U1069),IF($T1069="","",$T1069))</f>
        <v/>
      </c>
      <c r="AG1069">
        <f>IF($V1069,IF($O1069="","",$O1069),IF($P1069="","",$P1069))</f>
        <v/>
      </c>
      <c r="AH1069" t="n">
        <v>0.06470588235294118</v>
      </c>
      <c r="AI1069">
        <f>IF($Y1069="worse","Yes",IF($Y1069="worse, not significant","Not sure",IF(OR($Y1069="too few losses to test",$Y1069="too few loans to test"),"Too few losses",IF($Y1069="","","No"))))</f>
        <v/>
      </c>
      <c r="AJ1069">
        <f>IF($AA1069="yes","Yes",IF($AA1069="","","No"))</f>
        <v/>
      </c>
    </row>
    <row r="1070">
      <c r="A1070" t="inlineStr">
        <is>
          <t>three-way</t>
        </is>
      </c>
      <c r="B1070" t="inlineStr">
        <is>
          <t>ORIG_BAL x ASSET_CLASS / SYS_FLAG</t>
        </is>
      </c>
      <c r="C1070" t="inlineStr">
        <is>
          <t>5,005 - 15,448</t>
        </is>
      </c>
      <c r="D1070" t="inlineStr">
        <is>
          <t>3 / SYS_FLAG N</t>
        </is>
      </c>
      <c r="E1070" t="inlineStr">
        <is>
          <t>outcome_booked</t>
        </is>
      </c>
      <c r="F1070" t="inlineStr">
        <is>
          <t>Outcome, share of booked dollars</t>
        </is>
      </c>
      <c r="G1070" t="n">
        <v>170</v>
      </c>
      <c r="H1070" t="n">
        <v>1720324.41</v>
      </c>
      <c r="I1070" t="b">
        <v>0</v>
      </c>
      <c r="J1070" t="b">
        <v>0</v>
      </c>
      <c r="K1070" t="n">
        <v>0.7795657791049355</v>
      </c>
      <c r="L1070" t="n">
        <v>0.7851004373246886</v>
      </c>
      <c r="M1070" t="n">
        <v>0.7527556842333503</v>
      </c>
      <c r="N1070" t="n">
        <v>0.6170582941705829</v>
      </c>
      <c r="O1070" t="n">
        <v>-28418.24678957069</v>
      </c>
      <c r="P1070" t="n">
        <v>-33009.83119219939</v>
      </c>
      <c r="Q1070">
        <f>'_live'!$C$21</f>
        <v/>
      </c>
      <c r="R1070" t="inlineStr">
        <is>
          <t>shuffled: 4,661 of 10,000</t>
        </is>
      </c>
      <c r="S1070" t="inlineStr">
        <is>
          <t>shuffled: 3,856 of 10,000</t>
        </is>
      </c>
      <c r="T1070" t="n">
        <v>0.07493900338807068</v>
      </c>
      <c r="U1070" t="n">
        <v>0.07760802579799433</v>
      </c>
      <c r="V1070">
        <f>AND(judged_band,NOT($J1070))</f>
        <v/>
      </c>
      <c r="W1070">
        <f>IF($K1070="","",IF($I1070,"too few losses to test",IF(AND($K1070&gt;better_at,$K1070&lt;worse_at),"in line",IF($K1070&gt;=worse_at,IF(AND(ISNUMBER($L1070),$L1070&lt;significance_bar),"worse","worse, not significant"),IF(AND(ISNUMBER($L1070),$L1070&lt;significance_bar),"better","better, not significant")))))</f>
        <v/>
      </c>
      <c r="X1070">
        <f>IF($M1070="","",IF($I1070,"too few losses to test",IF(AND($M1070&gt;better_at,$M1070&lt;worse_at),"in line",IF($M1070&gt;=worse_at,IF(AND(ISNUMBER($N1070),$N1070&lt;significance_bar),"worse","worse, not significant"),IF(AND(ISNUMBER($N1070),$N1070&lt;significance_bar),"better","better, not significant")))))</f>
        <v/>
      </c>
      <c r="Y1070">
        <f>IF($V1070,$X1070,$W1070)</f>
        <v/>
      </c>
      <c r="Z1070">
        <f>IF($V1070,IF($P1070="","",$P1070),IF($O1070="","",$O1070))</f>
        <v/>
      </c>
      <c r="AA1070">
        <f>IF(OR($Q1070="",$Z1070=""),"",IF(AND($Z1070&gt;0,$Z1070&gt;=$Q1070),"yes","below the line"))</f>
        <v/>
      </c>
      <c r="AB1070">
        <f>IF($V1070,IF($M1070="","",$M1070),IF($K1070="","",$K1070))</f>
        <v/>
      </c>
      <c r="AC1070">
        <f>IF($V1070,IF($N1070="","",$N1070),IF($L1070="","",$L1070))</f>
        <v/>
      </c>
      <c r="AD1070">
        <f>$Y1070</f>
        <v/>
      </c>
      <c r="AE1070">
        <f>IF($V1070,IF($S1070="","",$S1070),IF($R1070="","",$R1070))</f>
        <v/>
      </c>
      <c r="AF1070">
        <f>IF($V1070,IF($U1070="","",$U1070),IF($T1070="","",$T1070))</f>
        <v/>
      </c>
      <c r="AG1070">
        <f>IF($V1070,IF($O1070="","",$O1070),IF($P1070="","",$P1070))</f>
        <v/>
      </c>
      <c r="AH1070" t="n">
        <v>0.05841988256156872</v>
      </c>
      <c r="AI1070">
        <f>IF($Y1070="worse","Yes",IF($Y1070="worse, not significant","Not sure",IF(OR($Y1070="too few losses to test",$Y1070="too few loans to test"),"Too few losses",IF($Y1070="","","No"))))</f>
        <v/>
      </c>
      <c r="AJ1070">
        <f>IF($AA1070="yes","Yes",IF($AA1070="","","No"))</f>
        <v/>
      </c>
    </row>
    <row r="1071">
      <c r="A1071" t="inlineStr">
        <is>
          <t>three-way</t>
        </is>
      </c>
      <c r="B1071" t="inlineStr">
        <is>
          <t>ORIG_BAL x ASSET_CLASS / SYS_FLAG</t>
        </is>
      </c>
      <c r="C1071" t="inlineStr">
        <is>
          <t>5,005 - 15,448</t>
        </is>
      </c>
      <c r="D1071" t="inlineStr">
        <is>
          <t>3 / SYS_FLAG N</t>
        </is>
      </c>
      <c r="E1071" t="inlineStr">
        <is>
          <t>gco_rate</t>
        </is>
      </c>
      <c r="F1071" t="inlineStr">
        <is>
          <t>GCO per booked dollar</t>
        </is>
      </c>
      <c r="G1071" t="n">
        <v>170</v>
      </c>
      <c r="H1071" t="n">
        <v>1720324.41</v>
      </c>
      <c r="I1071" t="b">
        <v>0</v>
      </c>
      <c r="J1071" t="b">
        <v>0</v>
      </c>
      <c r="K1071" t="n">
        <v>0.8049026177870868</v>
      </c>
      <c r="L1071" t="n">
        <v>0.9412575983780932</v>
      </c>
      <c r="M1071" t="n">
        <v>0.7921552820400009</v>
      </c>
      <c r="N1071" t="n">
        <v>0.7733044877330449</v>
      </c>
      <c r="O1071" t="n">
        <v>-13982.19536218551</v>
      </c>
      <c r="P1071" t="n">
        <v>-15135.47075591364</v>
      </c>
      <c r="Q1071">
        <f>'_live'!$C$22</f>
        <v/>
      </c>
      <c r="R1071" t="inlineStr">
        <is>
          <t>shuffled: 5,359 of 10,000</t>
        </is>
      </c>
      <c r="S1071" t="inlineStr">
        <is>
          <t>shuffled: 4,879 of 10,000</t>
        </is>
      </c>
      <c r="T1071" t="n">
        <v>0.04165945384811781</v>
      </c>
      <c r="U1071" t="n">
        <v>0.04232983635680299</v>
      </c>
      <c r="V1071">
        <f>AND(judged_band,NOT($J1071))</f>
        <v/>
      </c>
      <c r="W1071">
        <f>IF($K1071="","",IF($I1071,"too few losses to test",IF(AND($K1071&gt;better_at,$K1071&lt;worse_at),"in line",IF($K1071&gt;=worse_at,IF(AND(ISNUMBER($L1071),$L1071&lt;significance_bar),"worse","worse, not significant"),IF(AND(ISNUMBER($L1071),$L1071&lt;significance_bar),"better","better, not significant")))))</f>
        <v/>
      </c>
      <c r="X1071">
        <f>IF($M1071="","",IF($I1071,"too few losses to test",IF(AND($M1071&gt;better_at,$M1071&lt;worse_at),"in line",IF($M1071&gt;=worse_at,IF(AND(ISNUMBER($N1071),$N1071&lt;significance_bar),"worse","worse, not significant"),IF(AND(ISNUMBER($N1071),$N1071&lt;significance_bar),"better","better, not significant")))))</f>
        <v/>
      </c>
      <c r="Y1071">
        <f>IF($V1071,$X1071,$W1071)</f>
        <v/>
      </c>
      <c r="Z1071">
        <f>IF($V1071,IF($P1071="","",$P1071),IF($O1071="","",$O1071))</f>
        <v/>
      </c>
      <c r="AA1071">
        <f>IF(OR($Q1071="",$Z1071=""),"",IF(AND($Z1071&gt;0,$Z1071&gt;=$Q1071),"yes","below the line"))</f>
        <v/>
      </c>
      <c r="AB1071">
        <f>IF($V1071,IF($M1071="","",$M1071),IF($K1071="","",$K1071))</f>
        <v/>
      </c>
      <c r="AC1071">
        <f>IF($V1071,IF($N1071="","",$N1071),IF($L1071="","",$L1071))</f>
        <v/>
      </c>
      <c r="AD1071">
        <f>$Y1071</f>
        <v/>
      </c>
      <c r="AE1071">
        <f>IF($V1071,IF($S1071="","",$S1071),IF($R1071="","",$R1071))</f>
        <v/>
      </c>
      <c r="AF1071">
        <f>IF($V1071,IF($U1071="","",$U1071),IF($T1071="","",$T1071))</f>
        <v/>
      </c>
      <c r="AG1071">
        <f>IF($V1071,IF($O1071="","",$O1071),IF($P1071="","",$P1071))</f>
        <v/>
      </c>
      <c r="AH1071" t="n">
        <v>0.03353180345793035</v>
      </c>
      <c r="AI1071">
        <f>IF($Y1071="worse","Yes",IF($Y1071="worse, not significant","Not sure",IF(OR($Y1071="too few losses to test",$Y1071="too few loans to test"),"Too few losses",IF($Y1071="","","No"))))</f>
        <v/>
      </c>
      <c r="AJ1071">
        <f>IF($AA1071="yes","Yes",IF($AA1071="","","No"))</f>
        <v/>
      </c>
    </row>
    <row r="1072">
      <c r="A1072" t="inlineStr">
        <is>
          <t>three-way</t>
        </is>
      </c>
      <c r="B1072" t="inlineStr">
        <is>
          <t>ORIG_BAL x ASSET_CLASS / SYS_FLAG</t>
        </is>
      </c>
      <c r="C1072" t="inlineStr">
        <is>
          <t>5,005 - 15,448</t>
        </is>
      </c>
      <c r="D1072" t="inlineStr">
        <is>
          <t>3 / SYS_FLAG N</t>
        </is>
      </c>
      <c r="E1072" t="inlineStr">
        <is>
          <t>ranr_rate</t>
        </is>
      </c>
      <c r="F1072" t="inlineStr">
        <is>
          <t>Profit after losses: RANR per booked dollar</t>
        </is>
      </c>
      <c r="G1072" t="n">
        <v>170</v>
      </c>
      <c r="H1072" t="n">
        <v>1720324.41</v>
      </c>
      <c r="I1072" t="b">
        <v>0</v>
      </c>
      <c r="J1072" t="b">
        <v>0</v>
      </c>
      <c r="K1072" t="n">
        <v>0.02507544335061643</v>
      </c>
      <c r="L1072" t="n">
        <v>0.4431556844315568</v>
      </c>
      <c r="M1072" t="n">
        <v>0.006955565820574355</v>
      </c>
      <c r="N1072" t="n">
        <v>0.8101689831016898</v>
      </c>
      <c r="O1072" t="n">
        <v>-43137.89728763764</v>
      </c>
      <c r="P1072" t="n">
        <v>-11965.82966649573</v>
      </c>
      <c r="Q1072">
        <f>'_live'!$C$23</f>
        <v/>
      </c>
      <c r="R1072" t="inlineStr">
        <is>
          <t>shuffled: 1,107 of 10,000</t>
        </is>
      </c>
      <c r="S1072" t="inlineStr">
        <is>
          <t>shuffled: 6,481 of 10,000</t>
        </is>
      </c>
      <c r="T1072" t="n">
        <v>0.1278228928416836</v>
      </c>
      <c r="U1072" t="n">
        <v>0.1459427703717256</v>
      </c>
      <c r="V1072">
        <f>AND(judged_band,NOT($J1072))</f>
        <v/>
      </c>
      <c r="W1072">
        <f>IF($K1072="","",IF(profit_kind="test",IF(OR(NOT(AND(ISNUMBER($L1072),$L1072&lt;significance_bar)),$K1072=0),"in line",IF($K1072&lt;0,"worse","better")),IF(OR($K1072=0,IF(profit_kind="points",ABS($K1072),ABS($K1072*$H1072))&lt;profit_line*(1-1E-9)),"in line",IF(AND(ISNUMBER($L1072),$L1072&lt;significance_bar),IF($K1072&lt;0,"worse","better"),IF($K1072&lt;0,"worse, not significant","better, not significant")))))</f>
        <v/>
      </c>
      <c r="X1072">
        <f>IF($M1072="","",IF(profit_kind="test",IF(OR(NOT(AND(ISNUMBER($N1072),$N1072&lt;significance_bar)),$M1072=0),"in line",IF($M1072&lt;0,"worse","better")),IF(OR($M1072=0,IF(profit_kind="points",ABS($M1072),ABS($M1072*$H1072))&lt;profit_line*(1-1E-9)),"in line",IF(AND(ISNUMBER($N1072),$N1072&lt;significance_bar),IF($M1072&lt;0,"worse","better"),IF($M1072&lt;0,"worse, not significant","better, not significant")))))</f>
        <v/>
      </c>
      <c r="Y1072">
        <f>IF($V1072,$X1072,$W1072)</f>
        <v/>
      </c>
      <c r="Z1072">
        <f>IF($V1072,IF($P1072="","",$P1072),IF($O1072="","",$O1072))</f>
        <v/>
      </c>
      <c r="AA1072">
        <f>IF(OR($Q1072="",$Z1072=""),"",IF(AND($Z1072&gt;0,$Z1072&gt;=$Q1072),"yes","below the line"))</f>
        <v/>
      </c>
      <c r="AB1072">
        <f>IF($V1072,IF($M1072="","",$M1072),IF($K1072="","",$K1072))</f>
        <v/>
      </c>
      <c r="AC1072">
        <f>IF($V1072,IF($N1072="","",$N1072),IF($L1072="","",$L1072))</f>
        <v/>
      </c>
      <c r="AD1072">
        <f>IF($Y1072="","",IF($Y1072="in line",IF(profit_kind="test",IF(ROUND($AB1072*100,2)=0,"0.00",TEXT($AB1072*100,"+0.00;-0.00"))&amp;" points against "&amp;IF($V1072,"its band","the book")&amp;", "&amp;IF($AC1072="","not tested","not significant"),IF(profit_kind="points","within "&amp;TEXT(profit_line*100,"0.00")&amp;" points of "&amp;IF($V1072,"its band","the book")&amp;" ("&amp;IF(ROUND($AB1072*100,2)=0,"0.00",TEXT($AB1072*100,"+0.00;-0.00"))&amp;")","within $"&amp;TEXT(profit_line,"#,##0")&amp;" of "&amp;IF($V1072,"its band","the book")&amp;" ("&amp;IF(ROUND($AB1072*100,2)=0,"0.00",TEXT($AB1072*100,"+0.00;-0.00"))&amp;" points)")),IF(LEFT($Y1072,5)="worse","short of ","ahead of ")&amp;IF($V1072,"its band","the book")&amp;" by "&amp;TEXT(ABS($AB1072)*100,"0.00")&amp;" points"&amp;IF($Z1072="",""," ($"&amp;TEXT(ABS($Z1072),"#,##0")&amp;")")&amp;IF(RIGHT($Y1072,15)="not significant"," (not significant)","")))</f>
        <v/>
      </c>
      <c r="AE1072">
        <f>IF($V1072,IF($S1072="","",$S1072),IF($R1072="","",$R1072))</f>
        <v/>
      </c>
      <c r="AF1072">
        <f>IF($V1072,IF($U1072="","",$U1072),IF($T1072="","",$T1072))</f>
        <v/>
      </c>
      <c r="AG1072">
        <f>IF($V1072,IF($O1072="","",$O1072),IF($P1072="","",$P1072))</f>
        <v/>
      </c>
      <c r="AH1072" t="n">
        <v>0.1528983361923</v>
      </c>
      <c r="AI1072">
        <f>IF($Y1072="worse","Yes",IF($Y1072="worse, not significant","Not sure",IF(OR($Y1072="too few losses to test",$Y1072="too few loans to test"),"Too few losses",IF($Y1072="","","No"))))</f>
        <v/>
      </c>
      <c r="AJ1072">
        <f>IF($AA1072="yes","Yes",IF($AA1072="","","No"))</f>
        <v/>
      </c>
    </row>
    <row r="1073">
      <c r="A1073" t="inlineStr">
        <is>
          <t>three-way</t>
        </is>
      </c>
      <c r="B1073" t="inlineStr">
        <is>
          <t>ORIG_BAL x ASSET_CLASS / SYS_FLAG</t>
        </is>
      </c>
      <c r="C1073" t="inlineStr">
        <is>
          <t>5,005 - 15,448</t>
        </is>
      </c>
      <c r="D1073" t="inlineStr">
        <is>
          <t>3 / SYS_FLAG N</t>
        </is>
      </c>
      <c r="E1073" t="inlineStr">
        <is>
          <t>contribution_rate</t>
        </is>
      </c>
      <c r="F1073" t="inlineStr">
        <is>
          <t>Contribution before losses per booked dollar</t>
        </is>
      </c>
      <c r="G1073" t="n">
        <v>170</v>
      </c>
      <c r="H1073" t="n">
        <v>1720324.41</v>
      </c>
      <c r="I1073" t="b">
        <v>0</v>
      </c>
      <c r="J1073" t="b">
        <v>0</v>
      </c>
      <c r="K1073" t="n">
        <v>0.01695069727901019</v>
      </c>
      <c r="L1073" t="n">
        <v>0.4457332044573321</v>
      </c>
      <c r="M1073" t="n">
        <v>-0.001842467078298299</v>
      </c>
      <c r="N1073" t="n">
        <v>0.9516886149222916</v>
      </c>
      <c r="O1073" t="n">
        <v>-29160.69829560182</v>
      </c>
      <c r="P1073" t="n">
        <v>3169.641089417913</v>
      </c>
      <c r="Q1073">
        <f>'_live'!$C$24</f>
        <v/>
      </c>
      <c r="R1073" t="inlineStr">
        <is>
          <t>shuffled: 1,002 of 10,000</t>
        </is>
      </c>
      <c r="S1073" t="inlineStr">
        <is>
          <t>shuffled: 8,516 of 10,000</t>
        </is>
      </c>
      <c r="T1073" t="n">
        <v>0.1694794423712201</v>
      </c>
      <c r="U1073" t="n">
        <v>0.1882726067285286</v>
      </c>
      <c r="V1073">
        <f>AND(judged_band,NOT($J1073))</f>
        <v/>
      </c>
      <c r="W1073">
        <f>IF($K1073="","",IF(profit_kind="test",IF(OR(NOT(AND(ISNUMBER($L1073),$L1073&lt;significance_bar)),$K1073=0),"in line",IF($K1073&lt;0,"worse","better")),IF(OR($K1073=0,IF(profit_kind="points",ABS($K1073),ABS($K1073*$H1073))&lt;profit_line*(1-1E-9)),"in line",IF(AND(ISNUMBER($L1073),$L1073&lt;significance_bar),IF($K1073&lt;0,"worse","better"),IF($K1073&lt;0,"worse, not significant","better, not significant")))))</f>
        <v/>
      </c>
      <c r="X1073">
        <f>IF($M1073="","",IF(profit_kind="test",IF(OR(NOT(AND(ISNUMBER($N1073),$N1073&lt;significance_bar)),$M1073=0),"in line",IF($M1073&lt;0,"worse","better")),IF(OR($M1073=0,IF(profit_kind="points",ABS($M1073),ABS($M1073*$H1073))&lt;profit_line*(1-1E-9)),"in line",IF(AND(ISNUMBER($N1073),$N1073&lt;significance_bar),IF($M1073&lt;0,"worse","better"),IF($M1073&lt;0,"worse, not significant","better, not significant")))))</f>
        <v/>
      </c>
      <c r="Y1073">
        <f>IF($V1073,$X1073,$W1073)</f>
        <v/>
      </c>
      <c r="Z1073">
        <f>IF($V1073,IF($P1073="","",$P1073),IF($O1073="","",$O1073))</f>
        <v/>
      </c>
      <c r="AA1073">
        <f>IF(OR($Q1073="",$Z1073=""),"",IF(AND($Z1073&gt;0,$Z1073&gt;=$Q1073),"yes","below the line"))</f>
        <v/>
      </c>
      <c r="AB1073">
        <f>IF($V1073,IF($M1073="","",$M1073),IF($K1073="","",$K1073))</f>
        <v/>
      </c>
      <c r="AC1073">
        <f>IF($V1073,IF($N1073="","",$N1073),IF($L1073="","",$L1073))</f>
        <v/>
      </c>
      <c r="AD1073">
        <f>IF($Y1073="","",IF($Y1073="in line",IF(profit_kind="test",IF(ROUND($AB1073*100,2)=0,"0.00",TEXT($AB1073*100,"+0.00;-0.00"))&amp;" points against "&amp;IF($V1073,"its band","the book")&amp;", "&amp;IF($AC1073="","not tested","not significant"),IF(profit_kind="points","within "&amp;TEXT(profit_line*100,"0.00")&amp;" points of "&amp;IF($V1073,"its band","the book")&amp;" ("&amp;IF(ROUND($AB1073*100,2)=0,"0.00",TEXT($AB1073*100,"+0.00;-0.00"))&amp;")","within $"&amp;TEXT(profit_line,"#,##0")&amp;" of "&amp;IF($V1073,"its band","the book")&amp;" ("&amp;IF(ROUND($AB1073*100,2)=0,"0.00",TEXT($AB1073*100,"+0.00;-0.00"))&amp;" points)")),IF(LEFT($Y1073,5)="worse","short of ","ahead of ")&amp;IF($V1073,"its band","the book")&amp;" by "&amp;TEXT(ABS($AB1073)*100,"0.00")&amp;" points"&amp;IF($Z1073="",""," ($"&amp;TEXT(ABS($Z1073),"#,##0")&amp;")")&amp;IF(RIGHT($Y1073,15)="not significant"," (not significant)","")))</f>
        <v/>
      </c>
      <c r="AE1073">
        <f>IF($V1073,IF($S1073="","",$S1073),IF($R1073="","",$R1073))</f>
        <v/>
      </c>
      <c r="AF1073">
        <f>IF($V1073,IF($U1073="","",$U1073),IF($T1073="","",$T1073))</f>
        <v/>
      </c>
      <c r="AG1073">
        <f>IF($V1073,IF($O1073="","",$O1073),IF($P1073="","",$P1073))</f>
        <v/>
      </c>
      <c r="AH1073" t="n">
        <v>0.1864301396502303</v>
      </c>
      <c r="AI1073">
        <f>IF($Y1073="worse","Yes",IF($Y1073="worse, not significant","Not sure",IF(OR($Y1073="too few losses to test",$Y1073="too few loans to test"),"Too few losses",IF($Y1073="","","No"))))</f>
        <v/>
      </c>
      <c r="AJ1073">
        <f>IF($AA1073="yes","Yes",IF($AA1073="","","No"))</f>
        <v/>
      </c>
    </row>
    <row r="1074">
      <c r="A1074" t="inlineStr">
        <is>
          <t>three-way</t>
        </is>
      </c>
      <c r="B1074" t="inlineStr">
        <is>
          <t>ORIG_BAL x ASSET_CLASS / SYS_FLAG</t>
        </is>
      </c>
      <c r="C1074" t="inlineStr">
        <is>
          <t>49,152 - 59,984</t>
        </is>
      </c>
      <c r="D1074" t="inlineStr">
        <is>
          <t>3 / SYS_FLAG N</t>
        </is>
      </c>
      <c r="E1074" t="inlineStr">
        <is>
          <t>outcome_loans</t>
        </is>
      </c>
      <c r="F1074" t="inlineStr">
        <is>
          <t>Outcome, share of loans</t>
        </is>
      </c>
      <c r="G1074" t="n">
        <v>226</v>
      </c>
      <c r="H1074" t="n">
        <v>226</v>
      </c>
      <c r="I1074" t="b">
        <v>1</v>
      </c>
      <c r="J1074" t="b">
        <v>0</v>
      </c>
      <c r="K1074" t="n">
        <v>0.4503280564286024</v>
      </c>
      <c r="M1074" t="n">
        <v>0.511970190964136</v>
      </c>
      <c r="O1074" t="n">
        <v>-9.764826965135729</v>
      </c>
      <c r="P1074" t="n">
        <v>-7.625909752547308</v>
      </c>
      <c r="Q1074">
        <f>'_live'!$C$20</f>
        <v/>
      </c>
      <c r="T1074" t="n">
        <v>0.07860542904927313</v>
      </c>
      <c r="U1074" t="n">
        <v>0.06914119359534207</v>
      </c>
      <c r="V1074">
        <f>AND(judged_band,NOT($J1074))</f>
        <v/>
      </c>
      <c r="W1074">
        <f>IF($K1074="","",IF($I1074,"too few losses to test",IF(AND($K1074&gt;better_at,$K1074&lt;worse_at),"in line",IF($K1074&gt;=worse_at,IF(AND(ISNUMBER($L1074),$L1074&lt;significance_bar),"worse","worse, not significant"),IF(AND(ISNUMBER($L1074),$L1074&lt;significance_bar),"better","better, not significant")))))</f>
        <v/>
      </c>
      <c r="X1074">
        <f>IF($M1074="","",IF($I1074,"too few losses to test",IF(AND($M1074&gt;better_at,$M1074&lt;worse_at),"in line",IF($M1074&gt;=worse_at,IF(AND(ISNUMBER($N1074),$N1074&lt;significance_bar),"worse","worse, not significant"),IF(AND(ISNUMBER($N1074),$N1074&lt;significance_bar),"better","better, not significant")))))</f>
        <v/>
      </c>
      <c r="Y1074">
        <f>IF($V1074,$X1074,$W1074)</f>
        <v/>
      </c>
      <c r="Z1074">
        <f>IF($V1074,IF($P1074="","",$P1074),IF($O1074="","",$O1074))</f>
        <v/>
      </c>
      <c r="AA1074">
        <f>IF(OR($Q1074="",$Z1074=""),"",IF(AND($Z1074&gt;0,$Z1074&gt;=$Q1074),"yes","below the line"))</f>
        <v/>
      </c>
      <c r="AB1074">
        <f>IF($V1074,IF($M1074="","",$M1074),IF($K1074="","",$K1074))</f>
        <v/>
      </c>
      <c r="AC1074">
        <f>IF($V1074,IF($N1074="","",$N1074),IF($L1074="","",$L1074))</f>
        <v/>
      </c>
      <c r="AD1074">
        <f>$Y1074</f>
        <v/>
      </c>
      <c r="AE1074">
        <f>IF($V1074,IF($S1074="","",$S1074),IF($R1074="","",$R1074))</f>
        <v/>
      </c>
      <c r="AF1074">
        <f>IF($V1074,IF($U1074="","",$U1074),IF($T1074="","",$T1074))</f>
        <v/>
      </c>
      <c r="AG1074">
        <f>IF($V1074,IF($O1074="","",$O1074),IF($P1074="","",$P1074))</f>
        <v/>
      </c>
      <c r="AH1074" t="n">
        <v>0.03539823008849557</v>
      </c>
      <c r="AI1074">
        <f>IF($Y1074="worse","Yes",IF($Y1074="worse, not significant","Not sure",IF(OR($Y1074="too few losses to test",$Y1074="too few loans to test"),"Too few losses",IF($Y1074="","","No"))))</f>
        <v/>
      </c>
      <c r="AJ1074">
        <f>IF($AA1074="yes","Yes",IF($AA1074="","","No"))</f>
        <v/>
      </c>
    </row>
    <row r="1075">
      <c r="A1075" t="inlineStr">
        <is>
          <t>three-way</t>
        </is>
      </c>
      <c r="B1075" t="inlineStr">
        <is>
          <t>ORIG_BAL x ASSET_CLASS / SYS_FLAG</t>
        </is>
      </c>
      <c r="C1075" t="inlineStr">
        <is>
          <t>49,152 - 59,984</t>
        </is>
      </c>
      <c r="D1075" t="inlineStr">
        <is>
          <t>3 / SYS_FLAG N</t>
        </is>
      </c>
      <c r="E1075" t="inlineStr">
        <is>
          <t>outcome_booked</t>
        </is>
      </c>
      <c r="F1075" t="inlineStr">
        <is>
          <t>Outcome, share of booked dollars</t>
        </is>
      </c>
      <c r="G1075" t="n">
        <v>226</v>
      </c>
      <c r="H1075" t="n">
        <v>12380371.94999999</v>
      </c>
      <c r="I1075" t="b">
        <v>1</v>
      </c>
      <c r="J1075" t="b">
        <v>0</v>
      </c>
      <c r="K1075" t="n">
        <v>0.4534170763693915</v>
      </c>
      <c r="M1075" t="n">
        <v>0.5000953883967952</v>
      </c>
      <c r="O1075" t="n">
        <v>-519996.4192664922</v>
      </c>
      <c r="P1075" t="n">
        <v>-431197.7235682401</v>
      </c>
      <c r="Q1075">
        <f>'_live'!$C$21</f>
        <v/>
      </c>
      <c r="T1075" t="n">
        <v>0.07684411285126962</v>
      </c>
      <c r="U1075" t="n">
        <v>0.06967157425090453</v>
      </c>
      <c r="V1075">
        <f>AND(judged_band,NOT($J1075))</f>
        <v/>
      </c>
      <c r="W1075">
        <f>IF($K1075="","",IF($I1075,"too few losses to test",IF(AND($K1075&gt;better_at,$K1075&lt;worse_at),"in line",IF($K1075&gt;=worse_at,IF(AND(ISNUMBER($L1075),$L1075&lt;significance_bar),"worse","worse, not significant"),IF(AND(ISNUMBER($L1075),$L1075&lt;significance_bar),"better","better, not significant")))))</f>
        <v/>
      </c>
      <c r="X1075">
        <f>IF($M1075="","",IF($I1075,"too few losses to test",IF(AND($M1075&gt;better_at,$M1075&lt;worse_at),"in line",IF($M1075&gt;=worse_at,IF(AND(ISNUMBER($N1075),$N1075&lt;significance_bar),"worse","worse, not significant"),IF(AND(ISNUMBER($N1075),$N1075&lt;significance_bar),"better","better, not significant")))))</f>
        <v/>
      </c>
      <c r="Y1075">
        <f>IF($V1075,$X1075,$W1075)</f>
        <v/>
      </c>
      <c r="Z1075">
        <f>IF($V1075,IF($P1075="","",$P1075),IF($O1075="","",$O1075))</f>
        <v/>
      </c>
      <c r="AA1075">
        <f>IF(OR($Q1075="",$Z1075=""),"",IF(AND($Z1075&gt;0,$Z1075&gt;=$Q1075),"yes","below the line"))</f>
        <v/>
      </c>
      <c r="AB1075">
        <f>IF($V1075,IF($M1075="","",$M1075),IF($K1075="","",$K1075))</f>
        <v/>
      </c>
      <c r="AC1075">
        <f>IF($V1075,IF($N1075="","",$N1075),IF($L1075="","",$L1075))</f>
        <v/>
      </c>
      <c r="AD1075">
        <f>$Y1075</f>
        <v/>
      </c>
      <c r="AE1075">
        <f>IF($V1075,IF($S1075="","",$S1075),IF($R1075="","",$R1075))</f>
        <v/>
      </c>
      <c r="AF1075">
        <f>IF($V1075,IF($U1075="","",$U1075),IF($T1075="","",$T1075))</f>
        <v/>
      </c>
      <c r="AG1075">
        <f>IF($V1075,IF($O1075="","",$O1075),IF($P1075="","",$P1075))</f>
        <v/>
      </c>
      <c r="AH1075" t="n">
        <v>0.03484243298522226</v>
      </c>
      <c r="AI1075">
        <f>IF($Y1075="worse","Yes",IF($Y1075="worse, not significant","Not sure",IF(OR($Y1075="too few losses to test",$Y1075="too few loans to test"),"Too few losses",IF($Y1075="","","No"))))</f>
        <v/>
      </c>
      <c r="AJ1075">
        <f>IF($AA1075="yes","Yes",IF($AA1075="","","No"))</f>
        <v/>
      </c>
    </row>
    <row r="1076">
      <c r="A1076" t="inlineStr">
        <is>
          <t>three-way</t>
        </is>
      </c>
      <c r="B1076" t="inlineStr">
        <is>
          <t>ORIG_BAL x ASSET_CLASS / SYS_FLAG</t>
        </is>
      </c>
      <c r="C1076" t="inlineStr">
        <is>
          <t>49,152 - 59,984</t>
        </is>
      </c>
      <c r="D1076" t="inlineStr">
        <is>
          <t>3 / SYS_FLAG N</t>
        </is>
      </c>
      <c r="E1076" t="inlineStr">
        <is>
          <t>gco_rate</t>
        </is>
      </c>
      <c r="F1076" t="inlineStr">
        <is>
          <t>GCO per booked dollar</t>
        </is>
      </c>
      <c r="G1076" t="n">
        <v>226</v>
      </c>
      <c r="H1076" t="n">
        <v>12380371.94999999</v>
      </c>
      <c r="I1076" t="b">
        <v>1</v>
      </c>
      <c r="J1076" t="b">
        <v>0</v>
      </c>
      <c r="K1076" t="n">
        <v>0.3983344849619103</v>
      </c>
      <c r="M1076" t="n">
        <v>0.4420502320302219</v>
      </c>
      <c r="O1076" t="n">
        <v>-319123.6296043748</v>
      </c>
      <c r="P1076" t="n">
        <v>-266670.6547296754</v>
      </c>
      <c r="Q1076">
        <f>'_live'!$C$22</f>
        <v/>
      </c>
      <c r="T1076" t="n">
        <v>0.0428420407518027</v>
      </c>
      <c r="U1076" t="n">
        <v>0.03860525569505815</v>
      </c>
      <c r="V1076">
        <f>AND(judged_band,NOT($J1076))</f>
        <v/>
      </c>
      <c r="W1076">
        <f>IF($K1076="","",IF($I1076,"too few losses to test",IF(AND($K1076&gt;better_at,$K1076&lt;worse_at),"in line",IF($K1076&gt;=worse_at,IF(AND(ISNUMBER($L1076),$L1076&lt;significance_bar),"worse","worse, not significant"),IF(AND(ISNUMBER($L1076),$L1076&lt;significance_bar),"better","better, not significant")))))</f>
        <v/>
      </c>
      <c r="X1076">
        <f>IF($M1076="","",IF($I1076,"too few losses to test",IF(AND($M1076&gt;better_at,$M1076&lt;worse_at),"in line",IF($M1076&gt;=worse_at,IF(AND(ISNUMBER($N1076),$N1076&lt;significance_bar),"worse","worse, not significant"),IF(AND(ISNUMBER($N1076),$N1076&lt;significance_bar),"better","better, not significant")))))</f>
        <v/>
      </c>
      <c r="Y1076">
        <f>IF($V1076,$X1076,$W1076)</f>
        <v/>
      </c>
      <c r="Z1076">
        <f>IF($V1076,IF($P1076="","",$P1076),IF($O1076="","",$O1076))</f>
        <v/>
      </c>
      <c r="AA1076">
        <f>IF(OR($Q1076="",$Z1076=""),"",IF(AND($Z1076&gt;0,$Z1076&gt;=$Q1076),"yes","below the line"))</f>
        <v/>
      </c>
      <c r="AB1076">
        <f>IF($V1076,IF($M1076="","",$M1076),IF($K1076="","",$K1076))</f>
        <v/>
      </c>
      <c r="AC1076">
        <f>IF($V1076,IF($N1076="","",$N1076),IF($L1076="","",$L1076))</f>
        <v/>
      </c>
      <c r="AD1076">
        <f>$Y1076</f>
        <v/>
      </c>
      <c r="AE1076">
        <f>IF($V1076,IF($S1076="","",$S1076),IF($R1076="","",$R1076))</f>
        <v/>
      </c>
      <c r="AF1076">
        <f>IF($V1076,IF($U1076="","",$U1076),IF($T1076="","",$T1076))</f>
        <v/>
      </c>
      <c r="AG1076">
        <f>IF($V1076,IF($O1076="","",$O1076),IF($P1076="","",$P1076))</f>
        <v/>
      </c>
      <c r="AH1076" t="n">
        <v>0.0170654622375865</v>
      </c>
      <c r="AI1076">
        <f>IF($Y1076="worse","Yes",IF($Y1076="worse, not significant","Not sure",IF(OR($Y1076="too few losses to test",$Y1076="too few loans to test"),"Too few losses",IF($Y1076="","","No"))))</f>
        <v/>
      </c>
      <c r="AJ1076">
        <f>IF($AA1076="yes","Yes",IF($AA1076="","","No"))</f>
        <v/>
      </c>
    </row>
    <row r="1077">
      <c r="A1077" t="inlineStr">
        <is>
          <t>three-way</t>
        </is>
      </c>
      <c r="B1077" t="inlineStr">
        <is>
          <t>ORIG_BAL x ASSET_CLASS / SYS_FLAG</t>
        </is>
      </c>
      <c r="C1077" t="inlineStr">
        <is>
          <t>49,152 - 59,984</t>
        </is>
      </c>
      <c r="D1077" t="inlineStr">
        <is>
          <t>3 / SYS_FLAG N</t>
        </is>
      </c>
      <c r="E1077" t="inlineStr">
        <is>
          <t>ranr_rate</t>
        </is>
      </c>
      <c r="F1077" t="inlineStr">
        <is>
          <t>Profit after losses: RANR per booked dollar</t>
        </is>
      </c>
      <c r="G1077" t="n">
        <v>226</v>
      </c>
      <c r="H1077" t="n">
        <v>12380371.94999999</v>
      </c>
      <c r="I1077" t="b">
        <v>0</v>
      </c>
      <c r="J1077" t="b">
        <v>0</v>
      </c>
      <c r="K1077" t="n">
        <v>0.01628281191884867</v>
      </c>
      <c r="L1077" t="n">
        <v>0.5817196058171961</v>
      </c>
      <c r="M1077" t="n">
        <v>0.01522558272206143</v>
      </c>
      <c r="N1077" t="n">
        <v>0.4690057310058468</v>
      </c>
      <c r="O1077" t="n">
        <v>-201587.2679472398</v>
      </c>
      <c r="P1077" t="n">
        <v>-188498.3772546139</v>
      </c>
      <c r="Q1077">
        <f>'_live'!$C$23</f>
        <v/>
      </c>
      <c r="R1077" t="inlineStr">
        <is>
          <t>shuffled: 2,355 of 10,000</t>
        </is>
      </c>
      <c r="S1077" t="inlineStr">
        <is>
          <t>shuffled: 2,223 of 10,000</t>
        </is>
      </c>
      <c r="T1077" t="n">
        <v>0.1272089108803198</v>
      </c>
      <c r="U1077" t="n">
        <v>0.128266140077107</v>
      </c>
      <c r="V1077">
        <f>AND(judged_band,NOT($J1077))</f>
        <v/>
      </c>
      <c r="W1077">
        <f>IF($K1077="","",IF(profit_kind="test",IF(OR(NOT(AND(ISNUMBER($L1077),$L1077&lt;significance_bar)),$K1077=0),"in line",IF($K1077&lt;0,"worse","better")),IF(OR($K1077=0,IF(profit_kind="points",ABS($K1077),ABS($K1077*$H1077))&lt;profit_line*(1-1E-9)),"in line",IF(AND(ISNUMBER($L1077),$L1077&lt;significance_bar),IF($K1077&lt;0,"worse","better"),IF($K1077&lt;0,"worse, not significant","better, not significant")))))</f>
        <v/>
      </c>
      <c r="X1077">
        <f>IF($M1077="","",IF(profit_kind="test",IF(OR(NOT(AND(ISNUMBER($N1077),$N1077&lt;significance_bar)),$M1077=0),"in line",IF($M1077&lt;0,"worse","better")),IF(OR($M1077=0,IF(profit_kind="points",ABS($M1077),ABS($M1077*$H1077))&lt;profit_line*(1-1E-9)),"in line",IF(AND(ISNUMBER($N1077),$N1077&lt;significance_bar),IF($M1077&lt;0,"worse","better"),IF($M1077&lt;0,"worse, not significant","better, not significant")))))</f>
        <v/>
      </c>
      <c r="Y1077">
        <f>IF($V1077,$X1077,$W1077)</f>
        <v/>
      </c>
      <c r="Z1077">
        <f>IF($V1077,IF($P1077="","",$P1077),IF($O1077="","",$O1077))</f>
        <v/>
      </c>
      <c r="AA1077">
        <f>IF(OR($Q1077="",$Z1077=""),"",IF(AND($Z1077&gt;0,$Z1077&gt;=$Q1077),"yes","below the line"))</f>
        <v/>
      </c>
      <c r="AB1077">
        <f>IF($V1077,IF($M1077="","",$M1077),IF($K1077="","",$K1077))</f>
        <v/>
      </c>
      <c r="AC1077">
        <f>IF($V1077,IF($N1077="","",$N1077),IF($L1077="","",$L1077))</f>
        <v/>
      </c>
      <c r="AD1077">
        <f>IF($Y1077="","",IF($Y1077="in line",IF(profit_kind="test",IF(ROUND($AB1077*100,2)=0,"0.00",TEXT($AB1077*100,"+0.00;-0.00"))&amp;" points against "&amp;IF($V1077,"its band","the book")&amp;", "&amp;IF($AC1077="","not tested","not significant"),IF(profit_kind="points","within "&amp;TEXT(profit_line*100,"0.00")&amp;" points of "&amp;IF($V1077,"its band","the book")&amp;" ("&amp;IF(ROUND($AB1077*100,2)=0,"0.00",TEXT($AB1077*100,"+0.00;-0.00"))&amp;")","within $"&amp;TEXT(profit_line,"#,##0")&amp;" of "&amp;IF($V1077,"its band","the book")&amp;" ("&amp;IF(ROUND($AB1077*100,2)=0,"0.00",TEXT($AB1077*100,"+0.00;-0.00"))&amp;" points)")),IF(LEFT($Y1077,5)="worse","short of ","ahead of ")&amp;IF($V1077,"its band","the book")&amp;" by "&amp;TEXT(ABS($AB1077)*100,"0.00")&amp;" points"&amp;IF($Z1077="",""," ($"&amp;TEXT(ABS($Z1077),"#,##0")&amp;")")&amp;IF(RIGHT($Y1077,15)="not significant"," (not significant)","")))</f>
        <v/>
      </c>
      <c r="AE1077">
        <f>IF($V1077,IF($S1077="","",$S1077),IF($R1077="","",$R1077))</f>
        <v/>
      </c>
      <c r="AF1077">
        <f>IF($V1077,IF($U1077="","",$U1077),IF($T1077="","",$T1077))</f>
        <v/>
      </c>
      <c r="AG1077">
        <f>IF($V1077,IF($O1077="","",$O1077),IF($P1077="","",$P1077))</f>
        <v/>
      </c>
      <c r="AH1077" t="n">
        <v>0.1434917227991685</v>
      </c>
      <c r="AI1077">
        <f>IF($Y1077="worse","Yes",IF($Y1077="worse, not significant","Not sure",IF(OR($Y1077="too few losses to test",$Y1077="too few loans to test"),"Too few losses",IF($Y1077="","","No"))))</f>
        <v/>
      </c>
      <c r="AJ1077">
        <f>IF($AA1077="yes","Yes",IF($AA1077="","","No"))</f>
        <v/>
      </c>
    </row>
    <row r="1078">
      <c r="A1078" t="inlineStr">
        <is>
          <t>three-way</t>
        </is>
      </c>
      <c r="B1078" t="inlineStr">
        <is>
          <t>ORIG_BAL x ASSET_CLASS / SYS_FLAG</t>
        </is>
      </c>
      <c r="C1078" t="inlineStr">
        <is>
          <t>49,152 - 59,984</t>
        </is>
      </c>
      <c r="D1078" t="inlineStr">
        <is>
          <t>3 / SYS_FLAG N</t>
        </is>
      </c>
      <c r="E1078" t="inlineStr">
        <is>
          <t>contribution_rate</t>
        </is>
      </c>
      <c r="F1078" t="inlineStr">
        <is>
          <t>Contribution before losses per booked dollar</t>
        </is>
      </c>
      <c r="G1078" t="n">
        <v>226</v>
      </c>
      <c r="H1078" t="n">
        <v>12380371.94999999</v>
      </c>
      <c r="I1078" t="b">
        <v>0</v>
      </c>
      <c r="J1078" t="b">
        <v>0</v>
      </c>
      <c r="K1078" t="n">
        <v>-0.009490637053659767</v>
      </c>
      <c r="L1078" t="n">
        <v>0.774705138181834</v>
      </c>
      <c r="M1078" t="n">
        <v>-0.006314210735410192</v>
      </c>
      <c r="N1078" t="n">
        <v>0.8694368658372257</v>
      </c>
      <c r="O1078" t="n">
        <v>117497.6167667601</v>
      </c>
      <c r="P1078" t="n">
        <v>78172.27747506136</v>
      </c>
      <c r="Q1078">
        <f>'_live'!$C$24</f>
        <v/>
      </c>
      <c r="R1078" t="inlineStr">
        <is>
          <t>shuffled: 2,955 of 10,000</t>
        </is>
      </c>
      <c r="S1078" t="inlineStr">
        <is>
          <t>shuffled: 4,564 of 10,000</t>
        </is>
      </c>
      <c r="T1078" t="n">
        <v>0.1700478220904148</v>
      </c>
      <c r="U1078" t="n">
        <v>0.1668713957721652</v>
      </c>
      <c r="V1078">
        <f>AND(judged_band,NOT($J1078))</f>
        <v/>
      </c>
      <c r="W1078">
        <f>IF($K1078="","",IF(profit_kind="test",IF(OR(NOT(AND(ISNUMBER($L1078),$L1078&lt;significance_bar)),$K1078=0),"in line",IF($K1078&lt;0,"worse","better")),IF(OR($K1078=0,IF(profit_kind="points",ABS($K1078),ABS($K1078*$H1078))&lt;profit_line*(1-1E-9)),"in line",IF(AND(ISNUMBER($L1078),$L1078&lt;significance_bar),IF($K1078&lt;0,"worse","better"),IF($K1078&lt;0,"worse, not significant","better, not significant")))))</f>
        <v/>
      </c>
      <c r="X1078">
        <f>IF($M1078="","",IF(profit_kind="test",IF(OR(NOT(AND(ISNUMBER($N1078),$N1078&lt;significance_bar)),$M1078=0),"in line",IF($M1078&lt;0,"worse","better")),IF(OR($M1078=0,IF(profit_kind="points",ABS($M1078),ABS($M1078*$H1078))&lt;profit_line*(1-1E-9)),"in line",IF(AND(ISNUMBER($N1078),$N1078&lt;significance_bar),IF($M1078&lt;0,"worse","better"),IF($M1078&lt;0,"worse, not significant","better, not significant")))))</f>
        <v/>
      </c>
      <c r="Y1078">
        <f>IF($V1078,$X1078,$W1078)</f>
        <v/>
      </c>
      <c r="Z1078">
        <f>IF($V1078,IF($P1078="","",$P1078),IF($O1078="","",$O1078))</f>
        <v/>
      </c>
      <c r="AA1078">
        <f>IF(OR($Q1078="",$Z1078=""),"",IF(AND($Z1078&gt;0,$Z1078&gt;=$Q1078),"yes","below the line"))</f>
        <v/>
      </c>
      <c r="AB1078">
        <f>IF($V1078,IF($M1078="","",$M1078),IF($K1078="","",$K1078))</f>
        <v/>
      </c>
      <c r="AC1078">
        <f>IF($V1078,IF($N1078="","",$N1078),IF($L1078="","",$L1078))</f>
        <v/>
      </c>
      <c r="AD1078">
        <f>IF($Y1078="","",IF($Y1078="in line",IF(profit_kind="test",IF(ROUND($AB1078*100,2)=0,"0.00",TEXT($AB1078*100,"+0.00;-0.00"))&amp;" points against "&amp;IF($V1078,"its band","the book")&amp;", "&amp;IF($AC1078="","not tested","not significant"),IF(profit_kind="points","within "&amp;TEXT(profit_line*100,"0.00")&amp;" points of "&amp;IF($V1078,"its band","the book")&amp;" ("&amp;IF(ROUND($AB1078*100,2)=0,"0.00",TEXT($AB1078*100,"+0.00;-0.00"))&amp;")","within $"&amp;TEXT(profit_line,"#,##0")&amp;" of "&amp;IF($V1078,"its band","the book")&amp;" ("&amp;IF(ROUND($AB1078*100,2)=0,"0.00",TEXT($AB1078*100,"+0.00;-0.00"))&amp;" points)")),IF(LEFT($Y1078,5)="worse","short of ","ahead of ")&amp;IF($V1078,"its band","the book")&amp;" by "&amp;TEXT(ABS($AB1078)*100,"0.00")&amp;" points"&amp;IF($Z1078="",""," ($"&amp;TEXT(ABS($Z1078),"#,##0")&amp;")")&amp;IF(RIGHT($Y1078,15)="not significant"," (not significant)","")))</f>
        <v/>
      </c>
      <c r="AE1078">
        <f>IF($V1078,IF($S1078="","",$S1078),IF($R1078="","",$R1078))</f>
        <v/>
      </c>
      <c r="AF1078">
        <f>IF($V1078,IF($U1078="","",$U1078),IF($T1078="","",$T1078))</f>
        <v/>
      </c>
      <c r="AG1078">
        <f>IF($V1078,IF($O1078="","",$O1078),IF($P1078="","",$P1078))</f>
        <v/>
      </c>
      <c r="AH1078" t="n">
        <v>0.160557185036755</v>
      </c>
      <c r="AI1078">
        <f>IF($Y1078="worse","Yes",IF($Y1078="worse, not significant","Not sure",IF(OR($Y1078="too few losses to test",$Y1078="too few loans to test"),"Too few losses",IF($Y1078="","","No"))))</f>
        <v/>
      </c>
      <c r="AJ1078">
        <f>IF($AA1078="yes","Yes",IF($AA1078="","","No"))</f>
        <v/>
      </c>
    </row>
    <row r="1079">
      <c r="A1079" t="inlineStr">
        <is>
          <t>three-way</t>
        </is>
      </c>
      <c r="B1079" t="inlineStr">
        <is>
          <t>ORIG_BAL x ASSET_CLASS / SYS_FLAG</t>
        </is>
      </c>
      <c r="C1079" t="inlineStr">
        <is>
          <t>37,951 - 49,151</t>
        </is>
      </c>
      <c r="D1079" t="inlineStr">
        <is>
          <t>3 / SYS_FLAG N</t>
        </is>
      </c>
      <c r="E1079" t="inlineStr">
        <is>
          <t>outcome_loans</t>
        </is>
      </c>
      <c r="F1079" t="inlineStr">
        <is>
          <t>Outcome, share of loans</t>
        </is>
      </c>
      <c r="G1079" t="n">
        <v>187</v>
      </c>
      <c r="H1079" t="n">
        <v>187</v>
      </c>
      <c r="I1079" t="b">
        <v>0</v>
      </c>
      <c r="J1079" t="b">
        <v>0</v>
      </c>
      <c r="K1079" t="n">
        <v>0.8258728382771411</v>
      </c>
      <c r="L1079" t="n">
        <v>0.7933268312298792</v>
      </c>
      <c r="M1079" t="n">
        <v>0.7432278425528185</v>
      </c>
      <c r="N1079" t="n">
        <v>0.57171124817441</v>
      </c>
      <c r="O1079" t="n">
        <v>-2.530081925243216</v>
      </c>
      <c r="P1079" t="n">
        <v>-4.145789101203114</v>
      </c>
      <c r="Q1079">
        <f>'_live'!$C$20</f>
        <v/>
      </c>
      <c r="R1079" t="inlineStr">
        <is>
          <t>z test</t>
        </is>
      </c>
      <c r="S1079" t="inlineStr">
        <is>
          <t>z test</t>
        </is>
      </c>
      <c r="T1079" t="n">
        <v>0.07770097286226318</v>
      </c>
      <c r="U1079" t="n">
        <v>0.08634111818825195</v>
      </c>
      <c r="V1079">
        <f>AND(judged_band,NOT($J1079))</f>
        <v/>
      </c>
      <c r="W1079">
        <f>IF($K1079="","",IF($I1079,"too few losses to test",IF(AND($K1079&gt;better_at,$K1079&lt;worse_at),"in line",IF($K1079&gt;=worse_at,IF(AND(ISNUMBER($L1079),$L1079&lt;significance_bar),"worse","worse, not significant"),IF(AND(ISNUMBER($L1079),$L1079&lt;significance_bar),"better","better, not significant")))))</f>
        <v/>
      </c>
      <c r="X1079">
        <f>IF($M1079="","",IF($I1079,"too few losses to test",IF(AND($M1079&gt;better_at,$M1079&lt;worse_at),"in line",IF($M1079&gt;=worse_at,IF(AND(ISNUMBER($N1079),$N1079&lt;significance_bar),"worse","worse, not significant"),IF(AND(ISNUMBER($N1079),$N1079&lt;significance_bar),"better","better, not significant")))))</f>
        <v/>
      </c>
      <c r="Y1079">
        <f>IF($V1079,$X1079,$W1079)</f>
        <v/>
      </c>
      <c r="Z1079">
        <f>IF($V1079,IF($P1079="","",$P1079),IF($O1079="","",$O1079))</f>
        <v/>
      </c>
      <c r="AA1079">
        <f>IF(OR($Q1079="",$Z1079=""),"",IF(AND($Z1079&gt;0,$Z1079&gt;=$Q1079),"yes","below the line"))</f>
        <v/>
      </c>
      <c r="AB1079">
        <f>IF($V1079,IF($M1079="","",$M1079),IF($K1079="","",$K1079))</f>
        <v/>
      </c>
      <c r="AC1079">
        <f>IF($V1079,IF($N1079="","",$N1079),IF($L1079="","",$L1079))</f>
        <v/>
      </c>
      <c r="AD1079">
        <f>$Y1079</f>
        <v/>
      </c>
      <c r="AE1079">
        <f>IF($V1079,IF($S1079="","",$S1079),IF($R1079="","",$R1079))</f>
        <v/>
      </c>
      <c r="AF1079">
        <f>IF($V1079,IF($U1079="","",$U1079),IF($T1079="","",$T1079))</f>
        <v/>
      </c>
      <c r="AG1079">
        <f>IF($V1079,IF($O1079="","",$O1079),IF($P1079="","",$P1079))</f>
        <v/>
      </c>
      <c r="AH1079" t="n">
        <v>0.06417112299465241</v>
      </c>
      <c r="AI1079">
        <f>IF($Y1079="worse","Yes",IF($Y1079="worse, not significant","Not sure",IF(OR($Y1079="too few losses to test",$Y1079="too few loans to test"),"Too few losses",IF($Y1079="","","No"))))</f>
        <v/>
      </c>
      <c r="AJ1079">
        <f>IF($AA1079="yes","Yes",IF($AA1079="","","No"))</f>
        <v/>
      </c>
    </row>
    <row r="1080">
      <c r="A1080" t="inlineStr">
        <is>
          <t>three-way</t>
        </is>
      </c>
      <c r="B1080" t="inlineStr">
        <is>
          <t>ORIG_BAL x ASSET_CLASS / SYS_FLAG</t>
        </is>
      </c>
      <c r="C1080" t="inlineStr">
        <is>
          <t>37,951 - 49,151</t>
        </is>
      </c>
      <c r="D1080" t="inlineStr">
        <is>
          <t>3 / SYS_FLAG N</t>
        </is>
      </c>
      <c r="E1080" t="inlineStr">
        <is>
          <t>outcome_booked</t>
        </is>
      </c>
      <c r="F1080" t="inlineStr">
        <is>
          <t>Outcome, share of booked dollars</t>
        </is>
      </c>
      <c r="G1080" t="n">
        <v>187</v>
      </c>
      <c r="H1080" t="n">
        <v>8177562.970000001</v>
      </c>
      <c r="I1080" t="b">
        <v>0</v>
      </c>
      <c r="J1080" t="b">
        <v>0</v>
      </c>
      <c r="K1080" t="n">
        <v>0.854736245490164</v>
      </c>
      <c r="L1080" t="n">
        <v>0.8613995743282814</v>
      </c>
      <c r="M1080" t="n">
        <v>0.7507023071855486</v>
      </c>
      <c r="N1080" t="n">
        <v>0.6170582941705829</v>
      </c>
      <c r="O1080" t="n">
        <v>-89300.58939592447</v>
      </c>
      <c r="P1080" t="n">
        <v>-174493.6752128026</v>
      </c>
      <c r="Q1080">
        <f>'_live'!$C$21</f>
        <v/>
      </c>
      <c r="R1080" t="inlineStr">
        <is>
          <t>shuffled: 6,033 of 10,000</t>
        </is>
      </c>
      <c r="S1080" t="inlineStr">
        <is>
          <t>shuffled: 3,218 of 10,000</t>
        </is>
      </c>
      <c r="T1080" t="n">
        <v>0.07517495269081668</v>
      </c>
      <c r="U1080" t="n">
        <v>0.0855928591171463</v>
      </c>
      <c r="V1080">
        <f>AND(judged_band,NOT($J1080))</f>
        <v/>
      </c>
      <c r="W1080">
        <f>IF($K1080="","",IF($I1080,"too few losses to test",IF(AND($K1080&gt;better_at,$K1080&lt;worse_at),"in line",IF($K1080&gt;=worse_at,IF(AND(ISNUMBER($L1080),$L1080&lt;significance_bar),"worse","worse, not significant"),IF(AND(ISNUMBER($L1080),$L1080&lt;significance_bar),"better","better, not significant")))))</f>
        <v/>
      </c>
      <c r="X1080">
        <f>IF($M1080="","",IF($I1080,"too few losses to test",IF(AND($M1080&gt;better_at,$M1080&lt;worse_at),"in line",IF($M1080&gt;=worse_at,IF(AND(ISNUMBER($N1080),$N1080&lt;significance_bar),"worse","worse, not significant"),IF(AND(ISNUMBER($N1080),$N1080&lt;significance_bar),"better","better, not significant")))))</f>
        <v/>
      </c>
      <c r="Y1080">
        <f>IF($V1080,$X1080,$W1080)</f>
        <v/>
      </c>
      <c r="Z1080">
        <f>IF($V1080,IF($P1080="","",$P1080),IF($O1080="","",$O1080))</f>
        <v/>
      </c>
      <c r="AA1080">
        <f>IF(OR($Q1080="",$Z1080=""),"",IF(AND($Z1080&gt;0,$Z1080&gt;=$Q1080),"yes","below the line"))</f>
        <v/>
      </c>
      <c r="AB1080">
        <f>IF($V1080,IF($M1080="","",$M1080),IF($K1080="","",$K1080))</f>
        <v/>
      </c>
      <c r="AC1080">
        <f>IF($V1080,IF($N1080="","",$N1080),IF($L1080="","",$L1080))</f>
        <v/>
      </c>
      <c r="AD1080">
        <f>$Y1080</f>
        <v/>
      </c>
      <c r="AE1080">
        <f>IF($V1080,IF($S1080="","",$S1080),IF($R1080="","",$R1080))</f>
        <v/>
      </c>
      <c r="AF1080">
        <f>IF($V1080,IF($U1080="","",$U1080),IF($T1080="","",$T1080))</f>
        <v/>
      </c>
      <c r="AG1080">
        <f>IF($V1080,IF($O1080="","",$O1080),IF($P1080="","",$P1080))</f>
        <v/>
      </c>
      <c r="AH1080" t="n">
        <v>0.06425475681784935</v>
      </c>
      <c r="AI1080">
        <f>IF($Y1080="worse","Yes",IF($Y1080="worse, not significant","Not sure",IF(OR($Y1080="too few losses to test",$Y1080="too few loans to test"),"Too few losses",IF($Y1080="","","No"))))</f>
        <v/>
      </c>
      <c r="AJ1080">
        <f>IF($AA1080="yes","Yes",IF($AA1080="","","No"))</f>
        <v/>
      </c>
    </row>
    <row r="1081">
      <c r="A1081" t="inlineStr">
        <is>
          <t>three-way</t>
        </is>
      </c>
      <c r="B1081" t="inlineStr">
        <is>
          <t>ORIG_BAL x ASSET_CLASS / SYS_FLAG</t>
        </is>
      </c>
      <c r="C1081" t="inlineStr">
        <is>
          <t>37,951 - 49,151</t>
        </is>
      </c>
      <c r="D1081" t="inlineStr">
        <is>
          <t>3 / SYS_FLAG N</t>
        </is>
      </c>
      <c r="E1081" t="inlineStr">
        <is>
          <t>gco_rate</t>
        </is>
      </c>
      <c r="F1081" t="inlineStr">
        <is>
          <t>GCO per booked dollar</t>
        </is>
      </c>
      <c r="G1081" t="n">
        <v>187</v>
      </c>
      <c r="H1081" t="n">
        <v>8177562.970000001</v>
      </c>
      <c r="I1081" t="b">
        <v>0</v>
      </c>
      <c r="J1081" t="b">
        <v>0</v>
      </c>
      <c r="K1081" t="n">
        <v>0.8708636287169355</v>
      </c>
      <c r="L1081" t="n">
        <v>0.9412575983780932</v>
      </c>
      <c r="M1081" t="n">
        <v>0.7556298967509577</v>
      </c>
      <c r="N1081" t="n">
        <v>0.7391260873912608</v>
      </c>
      <c r="O1081" t="n">
        <v>-44116.57952561037</v>
      </c>
      <c r="P1081" t="n">
        <v>-96214.90313784429</v>
      </c>
      <c r="Q1081">
        <f>'_live'!$C$22</f>
        <v/>
      </c>
      <c r="R1081" t="inlineStr">
        <is>
          <t>shuffled: 6,611 of 10,000</t>
        </is>
      </c>
      <c r="S1081" t="inlineStr">
        <is>
          <t>shuffled: 3,464 of 10,000</t>
        </is>
      </c>
      <c r="T1081" t="n">
        <v>0.04177624076743861</v>
      </c>
      <c r="U1081" t="n">
        <v>0.04814712703310975</v>
      </c>
      <c r="V1081">
        <f>AND(judged_band,NOT($J1081))</f>
        <v/>
      </c>
      <c r="W1081">
        <f>IF($K1081="","",IF($I1081,"too few losses to test",IF(AND($K1081&gt;better_at,$K1081&lt;worse_at),"in line",IF($K1081&gt;=worse_at,IF(AND(ISNUMBER($L1081),$L1081&lt;significance_bar),"worse","worse, not significant"),IF(AND(ISNUMBER($L1081),$L1081&lt;significance_bar),"better","better, not significant")))))</f>
        <v/>
      </c>
      <c r="X1081">
        <f>IF($M1081="","",IF($I1081,"too few losses to test",IF(AND($M1081&gt;better_at,$M1081&lt;worse_at),"in line",IF($M1081&gt;=worse_at,IF(AND(ISNUMBER($N1081),$N1081&lt;significance_bar),"worse","worse, not significant"),IF(AND(ISNUMBER($N1081),$N1081&lt;significance_bar),"better","better, not significant")))))</f>
        <v/>
      </c>
      <c r="Y1081">
        <f>IF($V1081,$X1081,$W1081)</f>
        <v/>
      </c>
      <c r="Z1081">
        <f>IF($V1081,IF($P1081="","",$P1081),IF($O1081="","",$O1081))</f>
        <v/>
      </c>
      <c r="AA1081">
        <f>IF(OR($Q1081="",$Z1081=""),"",IF(AND($Z1081&gt;0,$Z1081&gt;=$Q1081),"yes","below the line"))</f>
        <v/>
      </c>
      <c r="AB1081">
        <f>IF($V1081,IF($M1081="","",$M1081),IF($K1081="","",$K1081))</f>
        <v/>
      </c>
      <c r="AC1081">
        <f>IF($V1081,IF($N1081="","",$N1081),IF($L1081="","",$L1081))</f>
        <v/>
      </c>
      <c r="AD1081">
        <f>$Y1081</f>
        <v/>
      </c>
      <c r="AE1081">
        <f>IF($V1081,IF($S1081="","",$S1081),IF($R1081="","",$R1081))</f>
        <v/>
      </c>
      <c r="AF1081">
        <f>IF($V1081,IF($U1081="","",$U1081),IF($T1081="","",$T1081))</f>
        <v/>
      </c>
      <c r="AG1081">
        <f>IF($V1081,IF($O1081="","",$O1081),IF($P1081="","",$P1081))</f>
        <v/>
      </c>
      <c r="AH1081" t="n">
        <v>0.03638140862888396</v>
      </c>
      <c r="AI1081">
        <f>IF($Y1081="worse","Yes",IF($Y1081="worse, not significant","Not sure",IF(OR($Y1081="too few losses to test",$Y1081="too few loans to test"),"Too few losses",IF($Y1081="","","No"))))</f>
        <v/>
      </c>
      <c r="AJ1081">
        <f>IF($AA1081="yes","Yes",IF($AA1081="","","No"))</f>
        <v/>
      </c>
    </row>
    <row r="1082">
      <c r="A1082" t="inlineStr">
        <is>
          <t>three-way</t>
        </is>
      </c>
      <c r="B1082" t="inlineStr">
        <is>
          <t>ORIG_BAL x ASSET_CLASS / SYS_FLAG</t>
        </is>
      </c>
      <c r="C1082" t="inlineStr">
        <is>
          <t>37,951 - 49,151</t>
        </is>
      </c>
      <c r="D1082" t="inlineStr">
        <is>
          <t>3 / SYS_FLAG N</t>
        </is>
      </c>
      <c r="E1082" t="inlineStr">
        <is>
          <t>ranr_rate</t>
        </is>
      </c>
      <c r="F1082" t="inlineStr">
        <is>
          <t>Profit after losses: RANR per booked dollar</t>
        </is>
      </c>
      <c r="G1082" t="n">
        <v>187</v>
      </c>
      <c r="H1082" t="n">
        <v>8177562.970000001</v>
      </c>
      <c r="I1082" t="b">
        <v>0</v>
      </c>
      <c r="J1082" t="b">
        <v>0</v>
      </c>
      <c r="K1082" t="n">
        <v>0.01309433094899745</v>
      </c>
      <c r="L1082" t="n">
        <v>0.6950214069502141</v>
      </c>
      <c r="M1082" t="n">
        <v>0.02066565469957782</v>
      </c>
      <c r="N1082" t="n">
        <v>0.4690057310058468</v>
      </c>
      <c r="O1082" t="n">
        <v>-107079.7158854466</v>
      </c>
      <c r="P1082" t="n">
        <v>-168994.6926220742</v>
      </c>
      <c r="Q1082">
        <f>'_live'!$C$23</f>
        <v/>
      </c>
      <c r="R1082" t="inlineStr">
        <is>
          <t>shuffled: 3,822 of 10,000</t>
        </is>
      </c>
      <c r="S1082" t="inlineStr">
        <is>
          <t>shuffled: 1,795 of 10,000</t>
        </is>
      </c>
      <c r="T1082" t="n">
        <v>0.1275751220677611</v>
      </c>
      <c r="U1082" t="n">
        <v>0.1200037983171808</v>
      </c>
      <c r="V1082">
        <f>AND(judged_band,NOT($J1082))</f>
        <v/>
      </c>
      <c r="W1082">
        <f>IF($K1082="","",IF(profit_kind="test",IF(OR(NOT(AND(ISNUMBER($L1082),$L1082&lt;significance_bar)),$K1082=0),"in line",IF($K1082&lt;0,"worse","better")),IF(OR($K1082=0,IF(profit_kind="points",ABS($K1082),ABS($K1082*$H1082))&lt;profit_line*(1-1E-9)),"in line",IF(AND(ISNUMBER($L1082),$L1082&lt;significance_bar),IF($K1082&lt;0,"worse","better"),IF($K1082&lt;0,"worse, not significant","better, not significant")))))</f>
        <v/>
      </c>
      <c r="X1082">
        <f>IF($M1082="","",IF(profit_kind="test",IF(OR(NOT(AND(ISNUMBER($N1082),$N1082&lt;significance_bar)),$M1082=0),"in line",IF($M1082&lt;0,"worse","better")),IF(OR($M1082=0,IF(profit_kind="points",ABS($M1082),ABS($M1082*$H1082))&lt;profit_line*(1-1E-9)),"in line",IF(AND(ISNUMBER($N1082),$N1082&lt;significance_bar),IF($M1082&lt;0,"worse","better"),IF($M1082&lt;0,"worse, not significant","better, not significant")))))</f>
        <v/>
      </c>
      <c r="Y1082">
        <f>IF($V1082,$X1082,$W1082)</f>
        <v/>
      </c>
      <c r="Z1082">
        <f>IF($V1082,IF($P1082="","",$P1082),IF($O1082="","",$O1082))</f>
        <v/>
      </c>
      <c r="AA1082">
        <f>IF(OR($Q1082="",$Z1082=""),"",IF(AND($Z1082&gt;0,$Z1082&gt;=$Q1082),"yes","below the line"))</f>
        <v/>
      </c>
      <c r="AB1082">
        <f>IF($V1082,IF($M1082="","",$M1082),IF($K1082="","",$K1082))</f>
        <v/>
      </c>
      <c r="AC1082">
        <f>IF($V1082,IF($N1082="","",$N1082),IF($L1082="","",$L1082))</f>
        <v/>
      </c>
      <c r="AD1082">
        <f>IF($Y1082="","",IF($Y1082="in line",IF(profit_kind="test",IF(ROUND($AB1082*100,2)=0,"0.00",TEXT($AB1082*100,"+0.00;-0.00"))&amp;" points against "&amp;IF($V1082,"its band","the book")&amp;", "&amp;IF($AC1082="","not tested","not significant"),IF(profit_kind="points","within "&amp;TEXT(profit_line*100,"0.00")&amp;" points of "&amp;IF($V1082,"its band","the book")&amp;" ("&amp;IF(ROUND($AB1082*100,2)=0,"0.00",TEXT($AB1082*100,"+0.00;-0.00"))&amp;")","within $"&amp;TEXT(profit_line,"#,##0")&amp;" of "&amp;IF($V1082,"its band","the book")&amp;" ("&amp;IF(ROUND($AB1082*100,2)=0,"0.00",TEXT($AB1082*100,"+0.00;-0.00"))&amp;" points)")),IF(LEFT($Y1082,5)="worse","short of ","ahead of ")&amp;IF($V1082,"its band","the book")&amp;" by "&amp;TEXT(ABS($AB1082)*100,"0.00")&amp;" points"&amp;IF($Z1082="",""," ($"&amp;TEXT(ABS($Z1082),"#,##0")&amp;")")&amp;IF(RIGHT($Y1082,15)="not significant"," (not significant)","")))</f>
        <v/>
      </c>
      <c r="AE1082">
        <f>IF($V1082,IF($S1082="","",$S1082),IF($R1082="","",$R1082))</f>
        <v/>
      </c>
      <c r="AF1082">
        <f>IF($V1082,IF($U1082="","",$U1082),IF($T1082="","",$T1082))</f>
        <v/>
      </c>
      <c r="AG1082">
        <f>IF($V1082,IF($O1082="","",$O1082),IF($P1082="","",$P1082))</f>
        <v/>
      </c>
      <c r="AH1082" t="n">
        <v>0.1406694530167586</v>
      </c>
      <c r="AI1082">
        <f>IF($Y1082="worse","Yes",IF($Y1082="worse, not significant","Not sure",IF(OR($Y1082="too few losses to test",$Y1082="too few loans to test"),"Too few losses",IF($Y1082="","","No"))))</f>
        <v/>
      </c>
      <c r="AJ1082">
        <f>IF($AA1082="yes","Yes",IF($AA1082="","","No"))</f>
        <v/>
      </c>
    </row>
    <row r="1083">
      <c r="A1083" t="inlineStr">
        <is>
          <t>three-way</t>
        </is>
      </c>
      <c r="B1083" t="inlineStr">
        <is>
          <t>ORIG_BAL x ASSET_CLASS / SYS_FLAG</t>
        </is>
      </c>
      <c r="C1083" t="inlineStr">
        <is>
          <t>37,951 - 49,151</t>
        </is>
      </c>
      <c r="D1083" t="inlineStr">
        <is>
          <t>3 / SYS_FLAG N</t>
        </is>
      </c>
      <c r="E1083" t="inlineStr">
        <is>
          <t>contribution_rate</t>
        </is>
      </c>
      <c r="F1083" t="inlineStr">
        <is>
          <t>Contribution before losses per booked dollar</t>
        </is>
      </c>
      <c r="G1083" t="n">
        <v>187</v>
      </c>
      <c r="H1083" t="n">
        <v>8177562.970000001</v>
      </c>
      <c r="I1083" t="b">
        <v>0</v>
      </c>
      <c r="J1083" t="b">
        <v>0</v>
      </c>
      <c r="K1083" t="n">
        <v>0.007702517543203419</v>
      </c>
      <c r="L1083" t="n">
        <v>0.774705138181834</v>
      </c>
      <c r="M1083" t="n">
        <v>0.008917091258952098</v>
      </c>
      <c r="N1083" t="n">
        <v>0.798978925636848</v>
      </c>
      <c r="O1083" t="n">
        <v>-62987.82223707554</v>
      </c>
      <c r="P1083" t="n">
        <v>-72920.07527931733</v>
      </c>
      <c r="Q1083">
        <f>'_live'!$C$24</f>
        <v/>
      </c>
      <c r="R1083" t="inlineStr">
        <is>
          <t>shuffled: 4,278 of 10,000</t>
        </is>
      </c>
      <c r="S1083" t="inlineStr">
        <is>
          <t>shuffled: 3,395 of 10,000</t>
        </is>
      </c>
      <c r="T1083" t="n">
        <v>0.1693483441024391</v>
      </c>
      <c r="U1083" t="n">
        <v>0.1681337703866904</v>
      </c>
      <c r="V1083">
        <f>AND(judged_band,NOT($J1083))</f>
        <v/>
      </c>
      <c r="W1083">
        <f>IF($K1083="","",IF(profit_kind="test",IF(OR(NOT(AND(ISNUMBER($L1083),$L1083&lt;significance_bar)),$K1083=0),"in line",IF($K1083&lt;0,"worse","better")),IF(OR($K1083=0,IF(profit_kind="points",ABS($K1083),ABS($K1083*$H1083))&lt;profit_line*(1-1E-9)),"in line",IF(AND(ISNUMBER($L1083),$L1083&lt;significance_bar),IF($K1083&lt;0,"worse","better"),IF($K1083&lt;0,"worse, not significant","better, not significant")))))</f>
        <v/>
      </c>
      <c r="X1083">
        <f>IF($M1083="","",IF(profit_kind="test",IF(OR(NOT(AND(ISNUMBER($N1083),$N1083&lt;significance_bar)),$M1083=0),"in line",IF($M1083&lt;0,"worse","better")),IF(OR($M1083=0,IF(profit_kind="points",ABS($M1083),ABS($M1083*$H1083))&lt;profit_line*(1-1E-9)),"in line",IF(AND(ISNUMBER($N1083),$N1083&lt;significance_bar),IF($M1083&lt;0,"worse","better"),IF($M1083&lt;0,"worse, not significant","better, not significant")))))</f>
        <v/>
      </c>
      <c r="Y1083">
        <f>IF($V1083,$X1083,$W1083)</f>
        <v/>
      </c>
      <c r="Z1083">
        <f>IF($V1083,IF($P1083="","",$P1083),IF($O1083="","",$O1083))</f>
        <v/>
      </c>
      <c r="AA1083">
        <f>IF(OR($Q1083="",$Z1083=""),"",IF(AND($Z1083&gt;0,$Z1083&gt;=$Q1083),"yes","below the line"))</f>
        <v/>
      </c>
      <c r="AB1083">
        <f>IF($V1083,IF($M1083="","",$M1083),IF($K1083="","",$K1083))</f>
        <v/>
      </c>
      <c r="AC1083">
        <f>IF($V1083,IF($N1083="","",$N1083),IF($L1083="","",$L1083))</f>
        <v/>
      </c>
      <c r="AD1083">
        <f>IF($Y1083="","",IF($Y1083="in line",IF(profit_kind="test",IF(ROUND($AB1083*100,2)=0,"0.00",TEXT($AB1083*100,"+0.00;-0.00"))&amp;" points against "&amp;IF($V1083,"its band","the book")&amp;", "&amp;IF($AC1083="","not tested","not significant"),IF(profit_kind="points","within "&amp;TEXT(profit_line*100,"0.00")&amp;" points of "&amp;IF($V1083,"its band","the book")&amp;" ("&amp;IF(ROUND($AB1083*100,2)=0,"0.00",TEXT($AB1083*100,"+0.00;-0.00"))&amp;")","within $"&amp;TEXT(profit_line,"#,##0")&amp;" of "&amp;IF($V1083,"its band","the book")&amp;" ("&amp;IF(ROUND($AB1083*100,2)=0,"0.00",TEXT($AB1083*100,"+0.00;-0.00"))&amp;" points)")),IF(LEFT($Y1083,5)="worse","short of ","ahead of ")&amp;IF($V1083,"its band","the book")&amp;" by "&amp;TEXT(ABS($AB1083)*100,"0.00")&amp;" points"&amp;IF($Z1083="",""," ($"&amp;TEXT(ABS($Z1083),"#,##0")&amp;")")&amp;IF(RIGHT($Y1083,15)="not significant"," (not significant)","")))</f>
        <v/>
      </c>
      <c r="AE1083">
        <f>IF($V1083,IF($S1083="","",$S1083),IF($R1083="","",$R1083))</f>
        <v/>
      </c>
      <c r="AF1083">
        <f>IF($V1083,IF($U1083="","",$U1083),IF($T1083="","",$T1083))</f>
        <v/>
      </c>
      <c r="AG1083">
        <f>IF($V1083,IF($O1083="","",$O1083),IF($P1083="","",$P1083))</f>
        <v/>
      </c>
      <c r="AH1083" t="n">
        <v>0.1770508616456425</v>
      </c>
      <c r="AI1083">
        <f>IF($Y1083="worse","Yes",IF($Y1083="worse, not significant","Not sure",IF(OR($Y1083="too few losses to test",$Y1083="too few loans to test"),"Too few losses",IF($Y1083="","","No"))))</f>
        <v/>
      </c>
      <c r="AJ1083">
        <f>IF($AA1083="yes","Yes",IF($AA1083="","","No"))</f>
        <v/>
      </c>
    </row>
    <row r="1084">
      <c r="A1084" t="inlineStr">
        <is>
          <t>three-way</t>
        </is>
      </c>
      <c r="B1084" t="inlineStr">
        <is>
          <t>ORIG_BAL x ASSET_CLASS / SYS_FLAG</t>
        </is>
      </c>
      <c r="C1084" t="inlineStr">
        <is>
          <t>49,152 - 59,984</t>
        </is>
      </c>
      <c r="D1084" t="inlineStr">
        <is>
          <t>4 / SYS_FLAG N</t>
        </is>
      </c>
      <c r="E1084" t="inlineStr">
        <is>
          <t>outcome_loans</t>
        </is>
      </c>
      <c r="F1084" t="inlineStr">
        <is>
          <t>Outcome, share of loans</t>
        </is>
      </c>
      <c r="G1084" t="n">
        <v>213</v>
      </c>
      <c r="H1084" t="n">
        <v>213</v>
      </c>
      <c r="I1084" t="b">
        <v>0</v>
      </c>
      <c r="J1084" t="b">
        <v>0</v>
      </c>
      <c r="K1084" t="n">
        <v>0.7226489082766782</v>
      </c>
      <c r="L1084" t="n">
        <v>0.5639229556355464</v>
      </c>
      <c r="M1084" t="n">
        <v>0.8586906051694785</v>
      </c>
      <c r="N1084" t="n">
        <v>0.7202634591464744</v>
      </c>
      <c r="O1084" t="n">
        <v>-4.605574107372206</v>
      </c>
      <c r="P1084" t="n">
        <v>-1.974765681326604</v>
      </c>
      <c r="Q1084">
        <f>'_live'!$C$20</f>
        <v/>
      </c>
      <c r="R1084" t="inlineStr">
        <is>
          <t>z test</t>
        </is>
      </c>
      <c r="S1084" t="inlineStr">
        <is>
          <t>z test</t>
        </is>
      </c>
      <c r="T1084" t="n">
        <v>0.07796044181864886</v>
      </c>
      <c r="U1084" t="n">
        <v>0.06560922855082912</v>
      </c>
      <c r="V1084">
        <f>AND(judged_band,NOT($J1084))</f>
        <v/>
      </c>
      <c r="W1084">
        <f>IF($K1084="","",IF($I1084,"too few losses to test",IF(AND($K1084&gt;better_at,$K1084&lt;worse_at),"in line",IF($K1084&gt;=worse_at,IF(AND(ISNUMBER($L1084),$L1084&lt;significance_bar),"worse","worse, not significant"),IF(AND(ISNUMBER($L1084),$L1084&lt;significance_bar),"better","better, not significant")))))</f>
        <v/>
      </c>
      <c r="X1084">
        <f>IF($M1084="","",IF($I1084,"too few losses to test",IF(AND($M1084&gt;better_at,$M1084&lt;worse_at),"in line",IF($M1084&gt;=worse_at,IF(AND(ISNUMBER($N1084),$N1084&lt;significance_bar),"worse","worse, not significant"),IF(AND(ISNUMBER($N1084),$N1084&lt;significance_bar),"better","better, not significant")))))</f>
        <v/>
      </c>
      <c r="Y1084">
        <f>IF($V1084,$X1084,$W1084)</f>
        <v/>
      </c>
      <c r="Z1084">
        <f>IF($V1084,IF($P1084="","",$P1084),IF($O1084="","",$O1084))</f>
        <v/>
      </c>
      <c r="AA1084">
        <f>IF(OR($Q1084="",$Z1084=""),"",IF(AND($Z1084&gt;0,$Z1084&gt;=$Q1084),"yes","below the line"))</f>
        <v/>
      </c>
      <c r="AB1084">
        <f>IF($V1084,IF($M1084="","",$M1084),IF($K1084="","",$K1084))</f>
        <v/>
      </c>
      <c r="AC1084">
        <f>IF($V1084,IF($N1084="","",$N1084),IF($L1084="","",$L1084))</f>
        <v/>
      </c>
      <c r="AD1084">
        <f>$Y1084</f>
        <v/>
      </c>
      <c r="AE1084">
        <f>IF($V1084,IF($S1084="","",$S1084),IF($R1084="","",$R1084))</f>
        <v/>
      </c>
      <c r="AF1084">
        <f>IF($V1084,IF($U1084="","",$U1084),IF($T1084="","",$T1084))</f>
        <v/>
      </c>
      <c r="AG1084">
        <f>IF($V1084,IF($O1084="","",$O1084),IF($P1084="","",$P1084))</f>
        <v/>
      </c>
      <c r="AH1084" t="n">
        <v>0.05633802816901409</v>
      </c>
      <c r="AI1084">
        <f>IF($Y1084="worse","Yes",IF($Y1084="worse, not significant","Not sure",IF(OR($Y1084="too few losses to test",$Y1084="too few loans to test"),"Too few losses",IF($Y1084="","","No"))))</f>
        <v/>
      </c>
      <c r="AJ1084">
        <f>IF($AA1084="yes","Yes",IF($AA1084="","","No"))</f>
        <v/>
      </c>
    </row>
    <row r="1085">
      <c r="A1085" t="inlineStr">
        <is>
          <t>three-way</t>
        </is>
      </c>
      <c r="B1085" t="inlineStr">
        <is>
          <t>ORIG_BAL x ASSET_CLASS / SYS_FLAG</t>
        </is>
      </c>
      <c r="C1085" t="inlineStr">
        <is>
          <t>49,152 - 59,984</t>
        </is>
      </c>
      <c r="D1085" t="inlineStr">
        <is>
          <t>4 / SYS_FLAG N</t>
        </is>
      </c>
      <c r="E1085" t="inlineStr">
        <is>
          <t>outcome_booked</t>
        </is>
      </c>
      <c r="F1085" t="inlineStr">
        <is>
          <t>Outcome, share of booked dollars</t>
        </is>
      </c>
      <c r="G1085" t="n">
        <v>213</v>
      </c>
      <c r="H1085" t="n">
        <v>11682624.92</v>
      </c>
      <c r="I1085" t="b">
        <v>0</v>
      </c>
      <c r="J1085" t="b">
        <v>0</v>
      </c>
      <c r="K1085" t="n">
        <v>0.7600527776072826</v>
      </c>
      <c r="L1085" t="n">
        <v>0.7069410705988224</v>
      </c>
      <c r="M1085" t="n">
        <v>0.8731320811803013</v>
      </c>
      <c r="N1085" t="n">
        <v>0.7654345676543457</v>
      </c>
      <c r="O1085" t="n">
        <v>-212065.1294741083</v>
      </c>
      <c r="P1085" t="n">
        <v>-97604.34593638417</v>
      </c>
      <c r="Q1085">
        <f>'_live'!$C$21</f>
        <v/>
      </c>
      <c r="R1085" t="inlineStr">
        <is>
          <t>shuffled: 3,623 of 10,000</t>
        </is>
      </c>
      <c r="S1085" t="inlineStr">
        <is>
          <t>shuffled: 6,458 of 10,000</t>
        </is>
      </c>
      <c r="T1085" t="n">
        <v>0.07565072623029212</v>
      </c>
      <c r="U1085" t="n">
        <v>0.06585320347136371</v>
      </c>
      <c r="V1085">
        <f>AND(judged_band,NOT($J1085))</f>
        <v/>
      </c>
      <c r="W1085">
        <f>IF($K1085="","",IF($I1085,"too few losses to test",IF(AND($K1085&gt;better_at,$K1085&lt;worse_at),"in line",IF($K1085&gt;=worse_at,IF(AND(ISNUMBER($L1085),$L1085&lt;significance_bar),"worse","worse, not significant"),IF(AND(ISNUMBER($L1085),$L1085&lt;significance_bar),"better","better, not significant")))))</f>
        <v/>
      </c>
      <c r="X1085">
        <f>IF($M1085="","",IF($I1085,"too few losses to test",IF(AND($M1085&gt;better_at,$M1085&lt;worse_at),"in line",IF($M1085&gt;=worse_at,IF(AND(ISNUMBER($N1085),$N1085&lt;significance_bar),"worse","worse, not significant"),IF(AND(ISNUMBER($N1085),$N1085&lt;significance_bar),"better","better, not significant")))))</f>
        <v/>
      </c>
      <c r="Y1085">
        <f>IF($V1085,$X1085,$W1085)</f>
        <v/>
      </c>
      <c r="Z1085">
        <f>IF($V1085,IF($P1085="","",$P1085),IF($O1085="","",$O1085))</f>
        <v/>
      </c>
      <c r="AA1085">
        <f>IF(OR($Q1085="",$Z1085=""),"",IF(AND($Z1085&gt;0,$Z1085&gt;=$Q1085),"yes","below the line"))</f>
        <v/>
      </c>
      <c r="AB1085">
        <f>IF($V1085,IF($M1085="","",$M1085),IF($K1085="","",$K1085))</f>
        <v/>
      </c>
      <c r="AC1085">
        <f>IF($V1085,IF($N1085="","",$N1085),IF($L1085="","",$L1085))</f>
        <v/>
      </c>
      <c r="AD1085">
        <f>$Y1085</f>
        <v/>
      </c>
      <c r="AE1085">
        <f>IF($V1085,IF($S1085="","",$S1085),IF($R1085="","",$R1085))</f>
        <v/>
      </c>
      <c r="AF1085">
        <f>IF($V1085,IF($U1085="","",$U1085),IF($T1085="","",$T1085))</f>
        <v/>
      </c>
      <c r="AG1085">
        <f>IF($V1085,IF($O1085="","",$O1085),IF($P1085="","",$P1085))</f>
        <v/>
      </c>
      <c r="AH1085" t="n">
        <v>0.05749854459934164</v>
      </c>
      <c r="AI1085">
        <f>IF($Y1085="worse","Yes",IF($Y1085="worse, not significant","Not sure",IF(OR($Y1085="too few losses to test",$Y1085="too few loans to test"),"Too few losses",IF($Y1085="","","No"))))</f>
        <v/>
      </c>
      <c r="AJ1085">
        <f>IF($AA1085="yes","Yes",IF($AA1085="","","No"))</f>
        <v/>
      </c>
    </row>
    <row r="1086">
      <c r="A1086" t="inlineStr">
        <is>
          <t>three-way</t>
        </is>
      </c>
      <c r="B1086" t="inlineStr">
        <is>
          <t>ORIG_BAL x ASSET_CLASS / SYS_FLAG</t>
        </is>
      </c>
      <c r="C1086" t="inlineStr">
        <is>
          <t>49,152 - 59,984</t>
        </is>
      </c>
      <c r="D1086" t="inlineStr">
        <is>
          <t>4 / SYS_FLAG N</t>
        </is>
      </c>
      <c r="E1086" t="inlineStr">
        <is>
          <t>gco_rate</t>
        </is>
      </c>
      <c r="F1086" t="inlineStr">
        <is>
          <t>GCO per booked dollar</t>
        </is>
      </c>
      <c r="G1086" t="n">
        <v>213</v>
      </c>
      <c r="H1086" t="n">
        <v>11682624.92</v>
      </c>
      <c r="I1086" t="b">
        <v>0</v>
      </c>
      <c r="J1086" t="b">
        <v>0</v>
      </c>
      <c r="K1086" t="n">
        <v>0.8124417895267138</v>
      </c>
      <c r="L1086" t="n">
        <v>0.9280954257515425</v>
      </c>
      <c r="M1086" t="n">
        <v>0.9528447874230355</v>
      </c>
      <c r="N1086" t="n">
        <v>0.8843115688431157</v>
      </c>
      <c r="O1086" t="n">
        <v>-91945.09665802983</v>
      </c>
      <c r="P1086" t="n">
        <v>-19710.2572203966</v>
      </c>
      <c r="Q1086">
        <f>'_live'!$C$22</f>
        <v/>
      </c>
      <c r="R1086" t="inlineStr">
        <is>
          <t>shuffled: 4,930 of 10,000</t>
        </is>
      </c>
      <c r="S1086" t="inlineStr">
        <is>
          <t>shuffled: 8,720 of 10,000</t>
        </is>
      </c>
      <c r="T1086" t="n">
        <v>0.04196160195289655</v>
      </c>
      <c r="U1086" t="n">
        <v>0.0357785018420669</v>
      </c>
      <c r="V1086">
        <f>AND(judged_band,NOT($J1086))</f>
        <v/>
      </c>
      <c r="W1086">
        <f>IF($K1086="","",IF($I1086,"too few losses to test",IF(AND($K1086&gt;better_at,$K1086&lt;worse_at),"in line",IF($K1086&gt;=worse_at,IF(AND(ISNUMBER($L1086),$L1086&lt;significance_bar),"worse","worse, not significant"),IF(AND(ISNUMBER($L1086),$L1086&lt;significance_bar),"better","better, not significant")))))</f>
        <v/>
      </c>
      <c r="X1086">
        <f>IF($M1086="","",IF($I1086,"too few losses to test",IF(AND($M1086&gt;better_at,$M1086&lt;worse_at),"in line",IF($M1086&gt;=worse_at,IF(AND(ISNUMBER($N1086),$N1086&lt;significance_bar),"worse","worse, not significant"),IF(AND(ISNUMBER($N1086),$N1086&lt;significance_bar),"better","better, not significant")))))</f>
        <v/>
      </c>
      <c r="Y1086">
        <f>IF($V1086,$X1086,$W1086)</f>
        <v/>
      </c>
      <c r="Z1086">
        <f>IF($V1086,IF($P1086="","",$P1086),IF($O1086="","",$O1086))</f>
        <v/>
      </c>
      <c r="AA1086">
        <f>IF(OR($Q1086="",$Z1086=""),"",IF(AND($Z1086&gt;0,$Z1086&gt;=$Q1086),"yes","below the line"))</f>
        <v/>
      </c>
      <c r="AB1086">
        <f>IF($V1086,IF($M1086="","",$M1086),IF($K1086="","",$K1086))</f>
        <v/>
      </c>
      <c r="AC1086">
        <f>IF($V1086,IF($N1086="","",$N1086),IF($L1086="","",$L1086))</f>
        <v/>
      </c>
      <c r="AD1086">
        <f>$Y1086</f>
        <v/>
      </c>
      <c r="AE1086">
        <f>IF($V1086,IF($S1086="","",$S1086),IF($R1086="","",$R1086))</f>
        <v/>
      </c>
      <c r="AF1086">
        <f>IF($V1086,IF($U1086="","",$U1086),IF($T1086="","",$T1086))</f>
        <v/>
      </c>
      <c r="AG1086">
        <f>IF($V1086,IF($O1086="","",$O1086),IF($P1086="","",$P1086))</f>
        <v/>
      </c>
      <c r="AH1086" t="n">
        <v>0.03409135898201892</v>
      </c>
      <c r="AI1086">
        <f>IF($Y1086="worse","Yes",IF($Y1086="worse, not significant","Not sure",IF(OR($Y1086="too few losses to test",$Y1086="too few loans to test"),"Too few losses",IF($Y1086="","","No"))))</f>
        <v/>
      </c>
      <c r="AJ1086">
        <f>IF($AA1086="yes","Yes",IF($AA1086="","","No"))</f>
        <v/>
      </c>
    </row>
    <row r="1087">
      <c r="A1087" t="inlineStr">
        <is>
          <t>three-way</t>
        </is>
      </c>
      <c r="B1087" t="inlineStr">
        <is>
          <t>ORIG_BAL x ASSET_CLASS / SYS_FLAG</t>
        </is>
      </c>
      <c r="C1087" t="inlineStr">
        <is>
          <t>49,152 - 59,984</t>
        </is>
      </c>
      <c r="D1087" t="inlineStr">
        <is>
          <t>4 / SYS_FLAG N</t>
        </is>
      </c>
      <c r="E1087" t="inlineStr">
        <is>
          <t>ranr_rate</t>
        </is>
      </c>
      <c r="F1087" t="inlineStr">
        <is>
          <t>Profit after losses: RANR per booked dollar</t>
        </is>
      </c>
      <c r="G1087" t="n">
        <v>213</v>
      </c>
      <c r="H1087" t="n">
        <v>11682624.92</v>
      </c>
      <c r="I1087" t="b">
        <v>0</v>
      </c>
      <c r="J1087" t="b">
        <v>0</v>
      </c>
      <c r="K1087" t="n">
        <v>0.008876869274113519</v>
      </c>
      <c r="L1087" t="n">
        <v>0.8120616509777595</v>
      </c>
      <c r="M1087" t="n">
        <v>0.006973900899815144</v>
      </c>
      <c r="N1087" t="n">
        <v>0.8059883666805734</v>
      </c>
      <c r="O1087" t="n">
        <v>-103705.1341933408</v>
      </c>
      <c r="P1087" t="n">
        <v>-81473.46844179067</v>
      </c>
      <c r="Q1087">
        <f>'_live'!$C$23</f>
        <v/>
      </c>
      <c r="R1087" t="inlineStr">
        <is>
          <t>shuffled: 5,243 of 10,000</t>
        </is>
      </c>
      <c r="S1087" t="inlineStr">
        <is>
          <t>shuffled: 5,843 of 10,000</t>
        </is>
      </c>
      <c r="T1087" t="n">
        <v>0.1275881983726873</v>
      </c>
      <c r="U1087" t="n">
        <v>0.1294911667469857</v>
      </c>
      <c r="V1087">
        <f>AND(judged_band,NOT($J1087))</f>
        <v/>
      </c>
      <c r="W1087">
        <f>IF($K1087="","",IF(profit_kind="test",IF(OR(NOT(AND(ISNUMBER($L1087),$L1087&lt;significance_bar)),$K1087=0),"in line",IF($K1087&lt;0,"worse","better")),IF(OR($K1087=0,IF(profit_kind="points",ABS($K1087),ABS($K1087*$H1087))&lt;profit_line*(1-1E-9)),"in line",IF(AND(ISNUMBER($L1087),$L1087&lt;significance_bar),IF($K1087&lt;0,"worse","better"),IF($K1087&lt;0,"worse, not significant","better, not significant")))))</f>
        <v/>
      </c>
      <c r="X1087">
        <f>IF($M1087="","",IF(profit_kind="test",IF(OR(NOT(AND(ISNUMBER($N1087),$N1087&lt;significance_bar)),$M1087=0),"in line",IF($M1087&lt;0,"worse","better")),IF(OR($M1087=0,IF(profit_kind="points",ABS($M1087),ABS($M1087*$H1087))&lt;profit_line*(1-1E-9)),"in line",IF(AND(ISNUMBER($N1087),$N1087&lt;significance_bar),IF($M1087&lt;0,"worse","better"),IF($M1087&lt;0,"worse, not significant","better, not significant")))))</f>
        <v/>
      </c>
      <c r="Y1087">
        <f>IF($V1087,$X1087,$W1087)</f>
        <v/>
      </c>
      <c r="Z1087">
        <f>IF($V1087,IF($P1087="","",$P1087),IF($O1087="","",$O1087))</f>
        <v/>
      </c>
      <c r="AA1087">
        <f>IF(OR($Q1087="",$Z1087=""),"",IF(AND($Z1087&gt;0,$Z1087&gt;=$Q1087),"yes","below the line"))</f>
        <v/>
      </c>
      <c r="AB1087">
        <f>IF($V1087,IF($M1087="","",$M1087),IF($K1087="","",$K1087))</f>
        <v/>
      </c>
      <c r="AC1087">
        <f>IF($V1087,IF($N1087="","",$N1087),IF($L1087="","",$L1087))</f>
        <v/>
      </c>
      <c r="AD1087">
        <f>IF($Y1087="","",IF($Y1087="in line",IF(profit_kind="test",IF(ROUND($AB1087*100,2)=0,"0.00",TEXT($AB1087*100,"+0.00;-0.00"))&amp;" points against "&amp;IF($V1087,"its band","the book")&amp;", "&amp;IF($AC1087="","not tested","not significant"),IF(profit_kind="points","within "&amp;TEXT(profit_line*100,"0.00")&amp;" points of "&amp;IF($V1087,"its band","the book")&amp;" ("&amp;IF(ROUND($AB1087*100,2)=0,"0.00",TEXT($AB1087*100,"+0.00;-0.00"))&amp;")","within $"&amp;TEXT(profit_line,"#,##0")&amp;" of "&amp;IF($V1087,"its band","the book")&amp;" ("&amp;IF(ROUND($AB1087*100,2)=0,"0.00",TEXT($AB1087*100,"+0.00;-0.00"))&amp;" points)")),IF(LEFT($Y1087,5)="worse","short of ","ahead of ")&amp;IF($V1087,"its band","the book")&amp;" by "&amp;TEXT(ABS($AB1087)*100,"0.00")&amp;" points"&amp;IF($Z1087="",""," ($"&amp;TEXT(ABS($Z1087),"#,##0")&amp;")")&amp;IF(RIGHT($Y1087,15)="not significant"," (not significant)","")))</f>
        <v/>
      </c>
      <c r="AE1087">
        <f>IF($V1087,IF($S1087="","",$S1087),IF($R1087="","",$R1087))</f>
        <v/>
      </c>
      <c r="AF1087">
        <f>IF($V1087,IF($U1087="","",$U1087),IF($T1087="","",$T1087))</f>
        <v/>
      </c>
      <c r="AG1087">
        <f>IF($V1087,IF($O1087="","",$O1087),IF($P1087="","",$P1087))</f>
        <v/>
      </c>
      <c r="AH1087" t="n">
        <v>0.1364650676468008</v>
      </c>
      <c r="AI1087">
        <f>IF($Y1087="worse","Yes",IF($Y1087="worse, not significant","Not sure",IF(OR($Y1087="too few losses to test",$Y1087="too few loans to test"),"Too few losses",IF($Y1087="","","No"))))</f>
        <v/>
      </c>
      <c r="AJ1087">
        <f>IF($AA1087="yes","Yes",IF($AA1087="","","No"))</f>
        <v/>
      </c>
    </row>
    <row r="1088">
      <c r="A1088" t="inlineStr">
        <is>
          <t>three-way</t>
        </is>
      </c>
      <c r="B1088" t="inlineStr">
        <is>
          <t>ORIG_BAL x ASSET_CLASS / SYS_FLAG</t>
        </is>
      </c>
      <c r="C1088" t="inlineStr">
        <is>
          <t>49,152 - 59,984</t>
        </is>
      </c>
      <c r="D1088" t="inlineStr">
        <is>
          <t>4 / SYS_FLAG N</t>
        </is>
      </c>
      <c r="E1088" t="inlineStr">
        <is>
          <t>contribution_rate</t>
        </is>
      </c>
      <c r="F1088" t="inlineStr">
        <is>
          <t>Contribution before losses per booked dollar</t>
        </is>
      </c>
      <c r="G1088" t="n">
        <v>213</v>
      </c>
      <c r="H1088" t="n">
        <v>11682624.92</v>
      </c>
      <c r="I1088" t="b">
        <v>0</v>
      </c>
      <c r="J1088" t="b">
        <v>0</v>
      </c>
      <c r="K1088" t="n">
        <v>0.001009685880638073</v>
      </c>
      <c r="L1088" t="n">
        <v>0.9955004499550044</v>
      </c>
      <c r="M1088" t="n">
        <v>0.00528675803976722</v>
      </c>
      <c r="N1088" t="n">
        <v>0.892759208927592</v>
      </c>
      <c r="O1088" t="n">
        <v>-11795.7814305143</v>
      </c>
      <c r="P1088" t="n">
        <v>-61763.21122139483</v>
      </c>
      <c r="Q1088">
        <f>'_live'!$C$24</f>
        <v/>
      </c>
      <c r="R1088" t="inlineStr">
        <is>
          <t>shuffled: 9,148 of 10,000</t>
        </is>
      </c>
      <c r="S1088" t="inlineStr">
        <is>
          <t>shuffled: 5,511 of 10,000</t>
        </is>
      </c>
      <c r="T1088" t="n">
        <v>0.1695467407481817</v>
      </c>
      <c r="U1088" t="n">
        <v>0.1652696685890525</v>
      </c>
      <c r="V1088">
        <f>AND(judged_band,NOT($J1088))</f>
        <v/>
      </c>
      <c r="W1088">
        <f>IF($K1088="","",IF(profit_kind="test",IF(OR(NOT(AND(ISNUMBER($L1088),$L1088&lt;significance_bar)),$K1088=0),"in line",IF($K1088&lt;0,"worse","better")),IF(OR($K1088=0,IF(profit_kind="points",ABS($K1088),ABS($K1088*$H1088))&lt;profit_line*(1-1E-9)),"in line",IF(AND(ISNUMBER($L1088),$L1088&lt;significance_bar),IF($K1088&lt;0,"worse","better"),IF($K1088&lt;0,"worse, not significant","better, not significant")))))</f>
        <v/>
      </c>
      <c r="X1088">
        <f>IF($M1088="","",IF(profit_kind="test",IF(OR(NOT(AND(ISNUMBER($N1088),$N1088&lt;significance_bar)),$M1088=0),"in line",IF($M1088&lt;0,"worse","better")),IF(OR($M1088=0,IF(profit_kind="points",ABS($M1088),ABS($M1088*$H1088))&lt;profit_line*(1-1E-9)),"in line",IF(AND(ISNUMBER($N1088),$N1088&lt;significance_bar),IF($M1088&lt;0,"worse","better"),IF($M1088&lt;0,"worse, not significant","better, not significant")))))</f>
        <v/>
      </c>
      <c r="Y1088">
        <f>IF($V1088,$X1088,$W1088)</f>
        <v/>
      </c>
      <c r="Z1088">
        <f>IF($V1088,IF($P1088="","",$P1088),IF($O1088="","",$O1088))</f>
        <v/>
      </c>
      <c r="AA1088">
        <f>IF(OR($Q1088="",$Z1088=""),"",IF(AND($Z1088&gt;0,$Z1088&gt;=$Q1088),"yes","below the line"))</f>
        <v/>
      </c>
      <c r="AB1088">
        <f>IF($V1088,IF($M1088="","",$M1088),IF($K1088="","",$K1088))</f>
        <v/>
      </c>
      <c r="AC1088">
        <f>IF($V1088,IF($N1088="","",$N1088),IF($L1088="","",$L1088))</f>
        <v/>
      </c>
      <c r="AD1088">
        <f>IF($Y1088="","",IF($Y1088="in line",IF(profit_kind="test",IF(ROUND($AB1088*100,2)=0,"0.00",TEXT($AB1088*100,"+0.00;-0.00"))&amp;" points against "&amp;IF($V1088,"its band","the book")&amp;", "&amp;IF($AC1088="","not tested","not significant"),IF(profit_kind="points","within "&amp;TEXT(profit_line*100,"0.00")&amp;" points of "&amp;IF($V1088,"its band","the book")&amp;" ("&amp;IF(ROUND($AB1088*100,2)=0,"0.00",TEXT($AB1088*100,"+0.00;-0.00"))&amp;")","within $"&amp;TEXT(profit_line,"#,##0")&amp;" of "&amp;IF($V1088,"its band","the book")&amp;" ("&amp;IF(ROUND($AB1088*100,2)=0,"0.00",TEXT($AB1088*100,"+0.00;-0.00"))&amp;" points)")),IF(LEFT($Y1088,5)="worse","short of ","ahead of ")&amp;IF($V1088,"its band","the book")&amp;" by "&amp;TEXT(ABS($AB1088)*100,"0.00")&amp;" points"&amp;IF($Z1088="",""," ($"&amp;TEXT(ABS($Z1088),"#,##0")&amp;")")&amp;IF(RIGHT($Y1088,15)="not significant"," (not significant)","")))</f>
        <v/>
      </c>
      <c r="AE1088">
        <f>IF($V1088,IF($S1088="","",$S1088),IF($R1088="","",$R1088))</f>
        <v/>
      </c>
      <c r="AF1088">
        <f>IF($V1088,IF($U1088="","",$U1088),IF($T1088="","",$T1088))</f>
        <v/>
      </c>
      <c r="AG1088">
        <f>IF($V1088,IF($O1088="","",$O1088),IF($P1088="","",$P1088))</f>
        <v/>
      </c>
      <c r="AH1088" t="n">
        <v>0.1705564266288198</v>
      </c>
      <c r="AI1088">
        <f>IF($Y1088="worse","Yes",IF($Y1088="worse, not significant","Not sure",IF(OR($Y1088="too few losses to test",$Y1088="too few loans to test"),"Too few losses",IF($Y1088="","","No"))))</f>
        <v/>
      </c>
      <c r="AJ1088">
        <f>IF($AA1088="yes","Yes",IF($AA1088="","","No"))</f>
        <v/>
      </c>
    </row>
    <row r="1089">
      <c r="A1089" t="inlineStr">
        <is>
          <t>three-way</t>
        </is>
      </c>
      <c r="B1089" t="inlineStr">
        <is>
          <t>ORIG_BAL x ASSET_CLASS / SYS_FLAG</t>
        </is>
      </c>
      <c r="C1089" t="inlineStr">
        <is>
          <t>49,152 - 59,984</t>
        </is>
      </c>
      <c r="D1089" t="inlineStr">
        <is>
          <t>3 / SYS_FLAG Y</t>
        </is>
      </c>
      <c r="E1089" t="inlineStr">
        <is>
          <t>outcome_loans</t>
        </is>
      </c>
      <c r="F1089" t="inlineStr">
        <is>
          <t>Outcome, share of loans</t>
        </is>
      </c>
      <c r="G1089" t="n">
        <v>179</v>
      </c>
      <c r="H1089" t="n">
        <v>179</v>
      </c>
      <c r="I1089" t="b">
        <v>0</v>
      </c>
      <c r="J1089" t="b">
        <v>0</v>
      </c>
      <c r="K1089" t="n">
        <v>0.8636669028926951</v>
      </c>
      <c r="L1089" t="n">
        <v>0.8352563197391758</v>
      </c>
      <c r="M1089" t="n">
        <v>1.046841426729695</v>
      </c>
      <c r="N1089" t="n">
        <v>0.905830011903313</v>
      </c>
      <c r="O1089" t="n">
        <v>-1.894245524296675</v>
      </c>
      <c r="P1089" t="n">
        <v>0.5369458128078808</v>
      </c>
      <c r="Q1089">
        <f>'_live'!$C$20</f>
        <v/>
      </c>
      <c r="R1089" t="inlineStr">
        <is>
          <t>z test</t>
        </is>
      </c>
      <c r="S1089" t="inlineStr">
        <is>
          <t>z test</t>
        </is>
      </c>
      <c r="T1089" t="n">
        <v>0.07762148337595907</v>
      </c>
      <c r="U1089" t="n">
        <v>0.06403940886699508</v>
      </c>
      <c r="V1089">
        <f>AND(judged_band,NOT($J1089))</f>
        <v/>
      </c>
      <c r="W1089">
        <f>IF($K1089="","",IF($I1089,"too few losses to test",IF(AND($K1089&gt;better_at,$K1089&lt;worse_at),"in line",IF($K1089&gt;=worse_at,IF(AND(ISNUMBER($L1089),$L1089&lt;significance_bar),"worse","worse, not significant"),IF(AND(ISNUMBER($L1089),$L1089&lt;significance_bar),"better","better, not significant")))))</f>
        <v/>
      </c>
      <c r="X1089">
        <f>IF($M1089="","",IF($I1089,"too few losses to test",IF(AND($M1089&gt;better_at,$M1089&lt;worse_at),"in line",IF($M1089&gt;=worse_at,IF(AND(ISNUMBER($N1089),$N1089&lt;significance_bar),"worse","worse, not significant"),IF(AND(ISNUMBER($N1089),$N1089&lt;significance_bar),"better","better, not significant")))))</f>
        <v/>
      </c>
      <c r="Y1089">
        <f>IF($V1089,$X1089,$W1089)</f>
        <v/>
      </c>
      <c r="Z1089">
        <f>IF($V1089,IF($P1089="","",$P1089),IF($O1089="","",$O1089))</f>
        <v/>
      </c>
      <c r="AA1089">
        <f>IF(OR($Q1089="",$Z1089=""),"",IF(AND($Z1089&gt;0,$Z1089&gt;=$Q1089),"yes","below the line"))</f>
        <v/>
      </c>
      <c r="AB1089">
        <f>IF($V1089,IF($M1089="","",$M1089),IF($K1089="","",$K1089))</f>
        <v/>
      </c>
      <c r="AC1089">
        <f>IF($V1089,IF($N1089="","",$N1089),IF($L1089="","",$L1089))</f>
        <v/>
      </c>
      <c r="AD1089">
        <f>$Y1089</f>
        <v/>
      </c>
      <c r="AE1089">
        <f>IF($V1089,IF($S1089="","",$S1089),IF($R1089="","",$R1089))</f>
        <v/>
      </c>
      <c r="AF1089">
        <f>IF($V1089,IF($U1089="","",$U1089),IF($T1089="","",$T1089))</f>
        <v/>
      </c>
      <c r="AG1089">
        <f>IF($V1089,IF($O1089="","",$O1089),IF($P1089="","",$P1089))</f>
        <v/>
      </c>
      <c r="AH1089" t="n">
        <v>0.0670391061452514</v>
      </c>
      <c r="AI1089">
        <f>IF($Y1089="worse","Yes",IF($Y1089="worse, not significant","Not sure",IF(OR($Y1089="too few losses to test",$Y1089="too few loans to test"),"Too few losses",IF($Y1089="","","No"))))</f>
        <v/>
      </c>
      <c r="AJ1089">
        <f>IF($AA1089="yes","Yes",IF($AA1089="","","No"))</f>
        <v/>
      </c>
    </row>
    <row r="1090">
      <c r="A1090" t="inlineStr">
        <is>
          <t>three-way</t>
        </is>
      </c>
      <c r="B1090" t="inlineStr">
        <is>
          <t>ORIG_BAL x ASSET_CLASS / SYS_FLAG</t>
        </is>
      </c>
      <c r="C1090" t="inlineStr">
        <is>
          <t>49,152 - 59,984</t>
        </is>
      </c>
      <c r="D1090" t="inlineStr">
        <is>
          <t>3 / SYS_FLAG Y</t>
        </is>
      </c>
      <c r="E1090" t="inlineStr">
        <is>
          <t>outcome_booked</t>
        </is>
      </c>
      <c r="F1090" t="inlineStr">
        <is>
          <t>Outcome, share of booked dollars</t>
        </is>
      </c>
      <c r="G1090" t="n">
        <v>179</v>
      </c>
      <c r="H1090" t="n">
        <v>9720228.540000001</v>
      </c>
      <c r="I1090" t="b">
        <v>0</v>
      </c>
      <c r="J1090" t="b">
        <v>0</v>
      </c>
      <c r="K1090" t="n">
        <v>0.8891920354105857</v>
      </c>
      <c r="L1090" t="n">
        <v>0.8613995743282814</v>
      </c>
      <c r="M1090" t="n">
        <v>1.036301173694173</v>
      </c>
      <c r="N1090" t="n">
        <v>0.9408059194080592</v>
      </c>
      <c r="O1090" t="n">
        <v>-80934.42112967453</v>
      </c>
      <c r="P1090" t="n">
        <v>22750.58289756335</v>
      </c>
      <c r="Q1090">
        <f>'_live'!$C$21</f>
        <v/>
      </c>
      <c r="R1090" t="inlineStr">
        <is>
          <t>shuffled: 7,042 of 10,000</t>
        </is>
      </c>
      <c r="S1090" t="inlineStr">
        <is>
          <t>shuffled: 9,408 of 10,000</t>
        </is>
      </c>
      <c r="T1090" t="n">
        <v>0.07514252963538597</v>
      </c>
      <c r="U1090" t="n">
        <v>0.06447559895566371</v>
      </c>
      <c r="V1090">
        <f>AND(judged_band,NOT($J1090))</f>
        <v/>
      </c>
      <c r="W1090">
        <f>IF($K1090="","",IF($I1090,"too few losses to test",IF(AND($K1090&gt;better_at,$K1090&lt;worse_at),"in line",IF($K1090&gt;=worse_at,IF(AND(ISNUMBER($L1090),$L1090&lt;significance_bar),"worse","worse, not significant"),IF(AND(ISNUMBER($L1090),$L1090&lt;significance_bar),"better","better, not significant")))))</f>
        <v/>
      </c>
      <c r="X1090">
        <f>IF($M1090="","",IF($I1090,"too few losses to test",IF(AND($M1090&gt;better_at,$M1090&lt;worse_at),"in line",IF($M1090&gt;=worse_at,IF(AND(ISNUMBER($N1090),$N1090&lt;significance_bar),"worse","worse, not significant"),IF(AND(ISNUMBER($N1090),$N1090&lt;significance_bar),"better","better, not significant")))))</f>
        <v/>
      </c>
      <c r="Y1090">
        <f>IF($V1090,$X1090,$W1090)</f>
        <v/>
      </c>
      <c r="Z1090">
        <f>IF($V1090,IF($P1090="","",$P1090),IF($O1090="","",$O1090))</f>
        <v/>
      </c>
      <c r="AA1090">
        <f>IF(OR($Q1090="",$Z1090=""),"",IF(AND($Z1090&gt;0,$Z1090&gt;=$Q1090),"yes","below the line"))</f>
        <v/>
      </c>
      <c r="AB1090">
        <f>IF($V1090,IF($M1090="","",$M1090),IF($K1090="","",$K1090))</f>
        <v/>
      </c>
      <c r="AC1090">
        <f>IF($V1090,IF($N1090="","",$N1090),IF($L1090="","",$L1090))</f>
        <v/>
      </c>
      <c r="AD1090">
        <f>$Y1090</f>
        <v/>
      </c>
      <c r="AE1090">
        <f>IF($V1090,IF($S1090="","",$S1090),IF($R1090="","",$R1090))</f>
        <v/>
      </c>
      <c r="AF1090">
        <f>IF($V1090,IF($U1090="","",$U1090),IF($T1090="","",$T1090))</f>
        <v/>
      </c>
      <c r="AG1090">
        <f>IF($V1090,IF($O1090="","",$O1090),IF($P1090="","",$P1090))</f>
        <v/>
      </c>
      <c r="AH1090" t="n">
        <v>0.0668161388723891</v>
      </c>
      <c r="AI1090">
        <f>IF($Y1090="worse","Yes",IF($Y1090="worse, not significant","Not sure",IF(OR($Y1090="too few losses to test",$Y1090="too few loans to test"),"Too few losses",IF($Y1090="","","No"))))</f>
        <v/>
      </c>
      <c r="AJ1090">
        <f>IF($AA1090="yes","Yes",IF($AA1090="","","No"))</f>
        <v/>
      </c>
    </row>
    <row r="1091">
      <c r="A1091" t="inlineStr">
        <is>
          <t>three-way</t>
        </is>
      </c>
      <c r="B1091" t="inlineStr">
        <is>
          <t>ORIG_BAL x ASSET_CLASS / SYS_FLAG</t>
        </is>
      </c>
      <c r="C1091" t="inlineStr">
        <is>
          <t>49,152 - 59,984</t>
        </is>
      </c>
      <c r="D1091" t="inlineStr">
        <is>
          <t>3 / SYS_FLAG Y</t>
        </is>
      </c>
      <c r="E1091" t="inlineStr">
        <is>
          <t>gco_rate</t>
        </is>
      </c>
      <c r="F1091" t="inlineStr">
        <is>
          <t>GCO per booked dollar</t>
        </is>
      </c>
      <c r="G1091" t="n">
        <v>179</v>
      </c>
      <c r="H1091" t="n">
        <v>9720228.540000001</v>
      </c>
      <c r="I1091" t="b">
        <v>0</v>
      </c>
      <c r="J1091" t="b">
        <v>0</v>
      </c>
      <c r="K1091" t="n">
        <v>0.8867052911793896</v>
      </c>
      <c r="L1091" t="n">
        <v>0.9412575983780932</v>
      </c>
      <c r="M1091" t="n">
        <v>1.047623418727635</v>
      </c>
      <c r="N1091" t="n">
        <v>0.8843115688431157</v>
      </c>
      <c r="O1091" t="n">
        <v>-46014.20338915248</v>
      </c>
      <c r="P1091" t="n">
        <v>16371.0656788054</v>
      </c>
      <c r="Q1091">
        <f>'_live'!$C$22</f>
        <v/>
      </c>
      <c r="R1091" t="inlineStr">
        <is>
          <t>shuffled: 7,111 of 10,000</t>
        </is>
      </c>
      <c r="S1091" t="inlineStr">
        <is>
          <t>shuffled: 8,843 of 10,000</t>
        </is>
      </c>
      <c r="T1091" t="n">
        <v>0.04178359507884085</v>
      </c>
      <c r="U1091" t="n">
        <v>0.03536550842468098</v>
      </c>
      <c r="V1091">
        <f>AND(judged_band,NOT($J1091))</f>
        <v/>
      </c>
      <c r="W1091">
        <f>IF($K1091="","",IF($I1091,"too few losses to test",IF(AND($K1091&gt;better_at,$K1091&lt;worse_at),"in line",IF($K1091&gt;=worse_at,IF(AND(ISNUMBER($L1091),$L1091&lt;significance_bar),"worse","worse, not significant"),IF(AND(ISNUMBER($L1091),$L1091&lt;significance_bar),"better","better, not significant")))))</f>
        <v/>
      </c>
      <c r="X1091">
        <f>IF($M1091="","",IF($I1091,"too few losses to test",IF(AND($M1091&gt;better_at,$M1091&lt;worse_at),"in line",IF($M1091&gt;=worse_at,IF(AND(ISNUMBER($N1091),$N1091&lt;significance_bar),"worse","worse, not significant"),IF(AND(ISNUMBER($N1091),$N1091&lt;significance_bar),"better","better, not significant")))))</f>
        <v/>
      </c>
      <c r="Y1091">
        <f>IF($V1091,$X1091,$W1091)</f>
        <v/>
      </c>
      <c r="Z1091">
        <f>IF($V1091,IF($P1091="","",$P1091),IF($O1091="","",$O1091))</f>
        <v/>
      </c>
      <c r="AA1091">
        <f>IF(OR($Q1091="",$Z1091=""),"",IF(AND($Z1091&gt;0,$Z1091&gt;=$Q1091),"yes","below the line"))</f>
        <v/>
      </c>
      <c r="AB1091">
        <f>IF($V1091,IF($M1091="","",$M1091),IF($K1091="","",$K1091))</f>
        <v/>
      </c>
      <c r="AC1091">
        <f>IF($V1091,IF($N1091="","",$N1091),IF($L1091="","",$L1091))</f>
        <v/>
      </c>
      <c r="AD1091">
        <f>$Y1091</f>
        <v/>
      </c>
      <c r="AE1091">
        <f>IF($V1091,IF($S1091="","",$S1091),IF($R1091="","",$R1091))</f>
        <v/>
      </c>
      <c r="AF1091">
        <f>IF($V1091,IF($U1091="","",$U1091),IF($T1091="","",$T1091))</f>
        <v/>
      </c>
      <c r="AG1091">
        <f>IF($V1091,IF($O1091="","",$O1091),IF($P1091="","",$P1091))</f>
        <v/>
      </c>
      <c r="AH1091" t="n">
        <v>0.03704973484090528</v>
      </c>
      <c r="AI1091">
        <f>IF($Y1091="worse","Yes",IF($Y1091="worse, not significant","Not sure",IF(OR($Y1091="too few losses to test",$Y1091="too few loans to test"),"Too few losses",IF($Y1091="","","No"))))</f>
        <v/>
      </c>
      <c r="AJ1091">
        <f>IF($AA1091="yes","Yes",IF($AA1091="","","No"))</f>
        <v/>
      </c>
    </row>
    <row r="1092">
      <c r="A1092" t="inlineStr">
        <is>
          <t>three-way</t>
        </is>
      </c>
      <c r="B1092" t="inlineStr">
        <is>
          <t>ORIG_BAL x ASSET_CLASS / SYS_FLAG</t>
        </is>
      </c>
      <c r="C1092" t="inlineStr">
        <is>
          <t>49,152 - 59,984</t>
        </is>
      </c>
      <c r="D1092" t="inlineStr">
        <is>
          <t>3 / SYS_FLAG Y</t>
        </is>
      </c>
      <c r="E1092" t="inlineStr">
        <is>
          <t>ranr_rate</t>
        </is>
      </c>
      <c r="F1092" t="inlineStr">
        <is>
          <t>Profit after losses: RANR per booked dollar</t>
        </is>
      </c>
      <c r="G1092" t="n">
        <v>179</v>
      </c>
      <c r="H1092" t="n">
        <v>9720228.540000001</v>
      </c>
      <c r="I1092" t="b">
        <v>0</v>
      </c>
      <c r="J1092" t="b">
        <v>0</v>
      </c>
      <c r="K1092" t="n">
        <v>-0.005692397864035831</v>
      </c>
      <c r="L1092" t="n">
        <v>0.8871612838716127</v>
      </c>
      <c r="M1092" t="n">
        <v>-0.00890211411182773</v>
      </c>
      <c r="N1092" t="n">
        <v>0.746925307469253</v>
      </c>
      <c r="O1092" t="n">
        <v>55331.40817903611</v>
      </c>
      <c r="P1092" t="n">
        <v>86530.58365612477</v>
      </c>
      <c r="Q1092">
        <f>'_live'!$C$23</f>
        <v/>
      </c>
      <c r="R1092" t="inlineStr">
        <is>
          <t>shuffled: 7,097 of 10,000</t>
        </is>
      </c>
      <c r="S1092" t="inlineStr">
        <is>
          <t>shuffled: 5,228 of 10,000</t>
        </is>
      </c>
      <c r="T1092" t="n">
        <v>0.1282044555897897</v>
      </c>
      <c r="U1092" t="n">
        <v>0.1314141718375816</v>
      </c>
      <c r="V1092">
        <f>AND(judged_band,NOT($J1092))</f>
        <v/>
      </c>
      <c r="W1092">
        <f>IF($K1092="","",IF(profit_kind="test",IF(OR(NOT(AND(ISNUMBER($L1092),$L1092&lt;significance_bar)),$K1092=0),"in line",IF($K1092&lt;0,"worse","better")),IF(OR($K1092=0,IF(profit_kind="points",ABS($K1092),ABS($K1092*$H1092))&lt;profit_line*(1-1E-9)),"in line",IF(AND(ISNUMBER($L1092),$L1092&lt;significance_bar),IF($K1092&lt;0,"worse","better"),IF($K1092&lt;0,"worse, not significant","better, not significant")))))</f>
        <v/>
      </c>
      <c r="X1092">
        <f>IF($M1092="","",IF(profit_kind="test",IF(OR(NOT(AND(ISNUMBER($N1092),$N1092&lt;significance_bar)),$M1092=0),"in line",IF($M1092&lt;0,"worse","better")),IF(OR($M1092=0,IF(profit_kind="points",ABS($M1092),ABS($M1092*$H1092))&lt;profit_line*(1-1E-9)),"in line",IF(AND(ISNUMBER($N1092),$N1092&lt;significance_bar),IF($M1092&lt;0,"worse","better"),IF($M1092&lt;0,"worse, not significant","better, not significant")))))</f>
        <v/>
      </c>
      <c r="Y1092">
        <f>IF($V1092,$X1092,$W1092)</f>
        <v/>
      </c>
      <c r="Z1092">
        <f>IF($V1092,IF($P1092="","",$P1092),IF($O1092="","",$O1092))</f>
        <v/>
      </c>
      <c r="AA1092">
        <f>IF(OR($Q1092="",$Z1092=""),"",IF(AND($Z1092&gt;0,$Z1092&gt;=$Q1092),"yes","below the line"))</f>
        <v/>
      </c>
      <c r="AB1092">
        <f>IF($V1092,IF($M1092="","",$M1092),IF($K1092="","",$K1092))</f>
        <v/>
      </c>
      <c r="AC1092">
        <f>IF($V1092,IF($N1092="","",$N1092),IF($L1092="","",$L1092))</f>
        <v/>
      </c>
      <c r="AD1092">
        <f>IF($Y1092="","",IF($Y1092="in line",IF(profit_kind="test",IF(ROUND($AB1092*100,2)=0,"0.00",TEXT($AB1092*100,"+0.00;-0.00"))&amp;" points against "&amp;IF($V1092,"its band","the book")&amp;", "&amp;IF($AC1092="","not tested","not significant"),IF(profit_kind="points","within "&amp;TEXT(profit_line*100,"0.00")&amp;" points of "&amp;IF($V1092,"its band","the book")&amp;" ("&amp;IF(ROUND($AB1092*100,2)=0,"0.00",TEXT($AB1092*100,"+0.00;-0.00"))&amp;")","within $"&amp;TEXT(profit_line,"#,##0")&amp;" of "&amp;IF($V1092,"its band","the book")&amp;" ("&amp;IF(ROUND($AB1092*100,2)=0,"0.00",TEXT($AB1092*100,"+0.00;-0.00"))&amp;" points)")),IF(LEFT($Y1092,5)="worse","short of ","ahead of ")&amp;IF($V1092,"its band","the book")&amp;" by "&amp;TEXT(ABS($AB1092)*100,"0.00")&amp;" points"&amp;IF($Z1092="",""," ($"&amp;TEXT(ABS($Z1092),"#,##0")&amp;")")&amp;IF(RIGHT($Y1092,15)="not significant"," (not significant)","")))</f>
        <v/>
      </c>
      <c r="AE1092">
        <f>IF($V1092,IF($S1092="","",$S1092),IF($R1092="","",$R1092))</f>
        <v/>
      </c>
      <c r="AF1092">
        <f>IF($V1092,IF($U1092="","",$U1092),IF($T1092="","",$T1092))</f>
        <v/>
      </c>
      <c r="AG1092">
        <f>IF($V1092,IF($O1092="","",$O1092),IF($P1092="","",$P1092))</f>
        <v/>
      </c>
      <c r="AH1092" t="n">
        <v>0.1225120577257538</v>
      </c>
      <c r="AI1092">
        <f>IF($Y1092="worse","Yes",IF($Y1092="worse, not significant","Not sure",IF(OR($Y1092="too few losses to test",$Y1092="too few loans to test"),"Too few losses",IF($Y1092="","","No"))))</f>
        <v/>
      </c>
      <c r="AJ1092">
        <f>IF($AA1092="yes","Yes",IF($AA1092="","","No"))</f>
        <v/>
      </c>
    </row>
    <row r="1093">
      <c r="A1093" t="inlineStr">
        <is>
          <t>three-way</t>
        </is>
      </c>
      <c r="B1093" t="inlineStr">
        <is>
          <t>ORIG_BAL x ASSET_CLASS / SYS_FLAG</t>
        </is>
      </c>
      <c r="C1093" t="inlineStr">
        <is>
          <t>49,152 - 59,984</t>
        </is>
      </c>
      <c r="D1093" t="inlineStr">
        <is>
          <t>3 / SYS_FLAG Y</t>
        </is>
      </c>
      <c r="E1093" t="inlineStr">
        <is>
          <t>contribution_rate</t>
        </is>
      </c>
      <c r="F1093" t="inlineStr">
        <is>
          <t>Contribution before losses per booked dollar</t>
        </is>
      </c>
      <c r="G1093" t="n">
        <v>179</v>
      </c>
      <c r="H1093" t="n">
        <v>9720228.540000001</v>
      </c>
      <c r="I1093" t="b">
        <v>0</v>
      </c>
      <c r="J1093" t="b">
        <v>0</v>
      </c>
      <c r="K1093" t="n">
        <v>-0.01042332119421593</v>
      </c>
      <c r="L1093" t="n">
        <v>0.774705138181834</v>
      </c>
      <c r="M1093" t="n">
        <v>-0.007217887695603442</v>
      </c>
      <c r="N1093" t="n">
        <v>0.8694368658372257</v>
      </c>
      <c r="O1093" t="n">
        <v>101317.0641536047</v>
      </c>
      <c r="P1093" t="n">
        <v>70159.51797731942</v>
      </c>
      <c r="Q1093">
        <f>'_live'!$C$24</f>
        <v/>
      </c>
      <c r="R1093" t="inlineStr">
        <is>
          <t>shuffled: 3,013 of 10,000</t>
        </is>
      </c>
      <c r="S1093" t="inlineStr">
        <is>
          <t>shuffled: 4,414 of 10,000</t>
        </is>
      </c>
      <c r="T1093" t="n">
        <v>0.169985113760875</v>
      </c>
      <c r="U1093" t="n">
        <v>0.1667796802622625</v>
      </c>
      <c r="V1093">
        <f>AND(judged_band,NOT($J1093))</f>
        <v/>
      </c>
      <c r="W1093">
        <f>IF($K1093="","",IF(profit_kind="test",IF(OR(NOT(AND(ISNUMBER($L1093),$L1093&lt;significance_bar)),$K1093=0),"in line",IF($K1093&lt;0,"worse","better")),IF(OR($K1093=0,IF(profit_kind="points",ABS($K1093),ABS($K1093*$H1093))&lt;profit_line*(1-1E-9)),"in line",IF(AND(ISNUMBER($L1093),$L1093&lt;significance_bar),IF($K1093&lt;0,"worse","better"),IF($K1093&lt;0,"worse, not significant","better, not significant")))))</f>
        <v/>
      </c>
      <c r="X1093">
        <f>IF($M1093="","",IF(profit_kind="test",IF(OR(NOT(AND(ISNUMBER($N1093),$N1093&lt;significance_bar)),$M1093=0),"in line",IF($M1093&lt;0,"worse","better")),IF(OR($M1093=0,IF(profit_kind="points",ABS($M1093),ABS($M1093*$H1093))&lt;profit_line*(1-1E-9)),"in line",IF(AND(ISNUMBER($N1093),$N1093&lt;significance_bar),IF($M1093&lt;0,"worse","better"),IF($M1093&lt;0,"worse, not significant","better, not significant")))))</f>
        <v/>
      </c>
      <c r="Y1093">
        <f>IF($V1093,$X1093,$W1093)</f>
        <v/>
      </c>
      <c r="Z1093">
        <f>IF($V1093,IF($P1093="","",$P1093),IF($O1093="","",$O1093))</f>
        <v/>
      </c>
      <c r="AA1093">
        <f>IF(OR($Q1093="",$Z1093=""),"",IF(AND($Z1093&gt;0,$Z1093&gt;=$Q1093),"yes","below the line"))</f>
        <v/>
      </c>
      <c r="AB1093">
        <f>IF($V1093,IF($M1093="","",$M1093),IF($K1093="","",$K1093))</f>
        <v/>
      </c>
      <c r="AC1093">
        <f>IF($V1093,IF($N1093="","",$N1093),IF($L1093="","",$L1093))</f>
        <v/>
      </c>
      <c r="AD1093">
        <f>IF($Y1093="","",IF($Y1093="in line",IF(profit_kind="test",IF(ROUND($AB1093*100,2)=0,"0.00",TEXT($AB1093*100,"+0.00;-0.00"))&amp;" points against "&amp;IF($V1093,"its band","the book")&amp;", "&amp;IF($AC1093="","not tested","not significant"),IF(profit_kind="points","within "&amp;TEXT(profit_line*100,"0.00")&amp;" points of "&amp;IF($V1093,"its band","the book")&amp;" ("&amp;IF(ROUND($AB1093*100,2)=0,"0.00",TEXT($AB1093*100,"+0.00;-0.00"))&amp;")","within $"&amp;TEXT(profit_line,"#,##0")&amp;" of "&amp;IF($V1093,"its band","the book")&amp;" ("&amp;IF(ROUND($AB1093*100,2)=0,"0.00",TEXT($AB1093*100,"+0.00;-0.00"))&amp;" points)")),IF(LEFT($Y1093,5)="worse","short of ","ahead of ")&amp;IF($V1093,"its band","the book")&amp;" by "&amp;TEXT(ABS($AB1093)*100,"0.00")&amp;" points"&amp;IF($Z1093="",""," ($"&amp;TEXT(ABS($Z1093),"#,##0")&amp;")")&amp;IF(RIGHT($Y1093,15)="not significant"," (not significant)","")))</f>
        <v/>
      </c>
      <c r="AE1093">
        <f>IF($V1093,IF($S1093="","",$S1093),IF($R1093="","",$R1093))</f>
        <v/>
      </c>
      <c r="AF1093">
        <f>IF($V1093,IF($U1093="","",$U1093),IF($T1093="","",$T1093))</f>
        <v/>
      </c>
      <c r="AG1093">
        <f>IF($V1093,IF($O1093="","",$O1093),IF($P1093="","",$P1093))</f>
        <v/>
      </c>
      <c r="AH1093" t="n">
        <v>0.1595617925666591</v>
      </c>
      <c r="AI1093">
        <f>IF($Y1093="worse","Yes",IF($Y1093="worse, not significant","Not sure",IF(OR($Y1093="too few losses to test",$Y1093="too few loans to test"),"Too few losses",IF($Y1093="","","No"))))</f>
        <v/>
      </c>
      <c r="AJ1093">
        <f>IF($AA1093="yes","Yes",IF($AA1093="","","No"))</f>
        <v/>
      </c>
    </row>
    <row r="1094">
      <c r="A1094" t="inlineStr">
        <is>
          <t>three-way</t>
        </is>
      </c>
      <c r="B1094" t="inlineStr">
        <is>
          <t>ORIG_BAL x ASSET_CLASS / SYS_FLAG</t>
        </is>
      </c>
      <c r="C1094" t="inlineStr">
        <is>
          <t>5,005 - 15,448</t>
        </is>
      </c>
      <c r="D1094" t="inlineStr">
        <is>
          <t>4 / SYS_FLAG N</t>
        </is>
      </c>
      <c r="E1094" t="inlineStr">
        <is>
          <t>outcome_loans</t>
        </is>
      </c>
      <c r="F1094" t="inlineStr">
        <is>
          <t>Outcome, share of loans</t>
        </is>
      </c>
      <c r="G1094" t="n">
        <v>229</v>
      </c>
      <c r="H1094" t="n">
        <v>229</v>
      </c>
      <c r="I1094" t="b">
        <v>0</v>
      </c>
      <c r="J1094" t="b">
        <v>0</v>
      </c>
      <c r="K1094" t="n">
        <v>1.250356586425578</v>
      </c>
      <c r="L1094" t="n">
        <v>0.5639229556355464</v>
      </c>
      <c r="M1094" t="n">
        <v>1.30407713260409</v>
      </c>
      <c r="N1094" t="n">
        <v>0.57171124817441</v>
      </c>
      <c r="O1094" t="n">
        <v>4.405019305019305</v>
      </c>
      <c r="P1094" t="n">
        <v>5.129832239241431</v>
      </c>
      <c r="Q1094">
        <f>'_live'!$C$20</f>
        <v/>
      </c>
      <c r="R1094" t="inlineStr">
        <is>
          <t>z test</t>
        </is>
      </c>
      <c r="S1094" t="inlineStr">
        <is>
          <t>z test</t>
        </is>
      </c>
      <c r="T1094" t="n">
        <v>0.07683397683397683</v>
      </c>
      <c r="U1094" t="n">
        <v>0.0736688548504741</v>
      </c>
      <c r="V1094">
        <f>AND(judged_band,NOT($J1094))</f>
        <v/>
      </c>
      <c r="W1094">
        <f>IF($K1094="","",IF($I1094,"too few losses to test",IF(AND($K1094&gt;better_at,$K1094&lt;worse_at),"in line",IF($K1094&gt;=worse_at,IF(AND(ISNUMBER($L1094),$L1094&lt;significance_bar),"worse","worse, not significant"),IF(AND(ISNUMBER($L1094),$L1094&lt;significance_bar),"better","better, not significant")))))</f>
        <v/>
      </c>
      <c r="X1094">
        <f>IF($M1094="","",IF($I1094,"too few losses to test",IF(AND($M1094&gt;better_at,$M1094&lt;worse_at),"in line",IF($M1094&gt;=worse_at,IF(AND(ISNUMBER($N1094),$N1094&lt;significance_bar),"worse","worse, not significant"),IF(AND(ISNUMBER($N1094),$N1094&lt;significance_bar),"better","better, not significant")))))</f>
        <v/>
      </c>
      <c r="Y1094">
        <f>IF($V1094,$X1094,$W1094)</f>
        <v/>
      </c>
      <c r="Z1094">
        <f>IF($V1094,IF($P1094="","",$P1094),IF($O1094="","",$O1094))</f>
        <v/>
      </c>
      <c r="AA1094">
        <f>IF(OR($Q1094="",$Z1094=""),"",IF(AND($Z1094&gt;0,$Z1094&gt;=$Q1094),"yes","below the line"))</f>
        <v/>
      </c>
      <c r="AB1094">
        <f>IF($V1094,IF($M1094="","",$M1094),IF($K1094="","",$K1094))</f>
        <v/>
      </c>
      <c r="AC1094">
        <f>IF($V1094,IF($N1094="","",$N1094),IF($L1094="","",$L1094))</f>
        <v/>
      </c>
      <c r="AD1094">
        <f>$Y1094</f>
        <v/>
      </c>
      <c r="AE1094">
        <f>IF($V1094,IF($S1094="","",$S1094),IF($R1094="","",$R1094))</f>
        <v/>
      </c>
      <c r="AF1094">
        <f>IF($V1094,IF($U1094="","",$U1094),IF($T1094="","",$T1094))</f>
        <v/>
      </c>
      <c r="AG1094">
        <f>IF($V1094,IF($O1094="","",$O1094),IF($P1094="","",$P1094))</f>
        <v/>
      </c>
      <c r="AH1094" t="n">
        <v>0.09606986899563319</v>
      </c>
      <c r="AI1094">
        <f>IF($Y1094="worse","Yes",IF($Y1094="worse, not significant","Not sure",IF(OR($Y1094="too few losses to test",$Y1094="too few loans to test"),"Too few losses",IF($Y1094="","","No"))))</f>
        <v/>
      </c>
      <c r="AJ1094">
        <f>IF($AA1094="yes","Yes",IF($AA1094="","","No"))</f>
        <v/>
      </c>
    </row>
    <row r="1095">
      <c r="A1095" t="inlineStr">
        <is>
          <t>three-way</t>
        </is>
      </c>
      <c r="B1095" t="inlineStr">
        <is>
          <t>ORIG_BAL x ASSET_CLASS / SYS_FLAG</t>
        </is>
      </c>
      <c r="C1095" t="inlineStr">
        <is>
          <t>5,005 - 15,448</t>
        </is>
      </c>
      <c r="D1095" t="inlineStr">
        <is>
          <t>4 / SYS_FLAG N</t>
        </is>
      </c>
      <c r="E1095" t="inlineStr">
        <is>
          <t>outcome_booked</t>
        </is>
      </c>
      <c r="F1095" t="inlineStr">
        <is>
          <t>Outcome, share of booked dollars</t>
        </is>
      </c>
      <c r="G1095" t="n">
        <v>229</v>
      </c>
      <c r="H1095" t="n">
        <v>2298904.150000002</v>
      </c>
      <c r="I1095" t="b">
        <v>0</v>
      </c>
      <c r="J1095" t="b">
        <v>0</v>
      </c>
      <c r="K1095" t="n">
        <v>1.295377455689952</v>
      </c>
      <c r="L1095" t="n">
        <v>0.6458431079968926</v>
      </c>
      <c r="M1095" t="n">
        <v>1.341007877461044</v>
      </c>
      <c r="N1095" t="n">
        <v>0.6170582941705829</v>
      </c>
      <c r="O1095" t="n">
        <v>50678.76058654522</v>
      </c>
      <c r="P1095" t="n">
        <v>56516.86413813612</v>
      </c>
      <c r="Q1095">
        <f>'_live'!$C$21</f>
        <v/>
      </c>
      <c r="R1095" t="inlineStr">
        <is>
          <t>shuffled: 2,567 of 10,000</t>
        </is>
      </c>
      <c r="S1095" t="inlineStr">
        <is>
          <t>shuffled: 2,045 of 10,000</t>
        </is>
      </c>
      <c r="T1095" t="n">
        <v>0.07463246321663938</v>
      </c>
      <c r="U1095" t="n">
        <v>0.07209294735574936</v>
      </c>
      <c r="V1095">
        <f>AND(judged_band,NOT($J1095))</f>
        <v/>
      </c>
      <c r="W1095">
        <f>IF($K1095="","",IF($I1095,"too few losses to test",IF(AND($K1095&gt;better_at,$K1095&lt;worse_at),"in line",IF($K1095&gt;=worse_at,IF(AND(ISNUMBER($L1095),$L1095&lt;significance_bar),"worse","worse, not significant"),IF(AND(ISNUMBER($L1095),$L1095&lt;significance_bar),"better","better, not significant")))))</f>
        <v/>
      </c>
      <c r="X1095">
        <f>IF($M1095="","",IF($I1095,"too few losses to test",IF(AND($M1095&gt;better_at,$M1095&lt;worse_at),"in line",IF($M1095&gt;=worse_at,IF(AND(ISNUMBER($N1095),$N1095&lt;significance_bar),"worse","worse, not significant"),IF(AND(ISNUMBER($N1095),$N1095&lt;significance_bar),"better","better, not significant")))))</f>
        <v/>
      </c>
      <c r="Y1095">
        <f>IF($V1095,$X1095,$W1095)</f>
        <v/>
      </c>
      <c r="Z1095">
        <f>IF($V1095,IF($P1095="","",$P1095),IF($O1095="","",$O1095))</f>
        <v/>
      </c>
      <c r="AA1095">
        <f>IF(OR($Q1095="",$Z1095=""),"",IF(AND($Z1095&gt;0,$Z1095&gt;=$Q1095),"yes","below the line"))</f>
        <v/>
      </c>
      <c r="AB1095">
        <f>IF($V1095,IF($M1095="","",$M1095),IF($K1095="","",$K1095))</f>
        <v/>
      </c>
      <c r="AC1095">
        <f>IF($V1095,IF($N1095="","",$N1095),IF($L1095="","",$L1095))</f>
        <v/>
      </c>
      <c r="AD1095">
        <f>$Y1095</f>
        <v/>
      </c>
      <c r="AE1095">
        <f>IF($V1095,IF($S1095="","",$S1095),IF($R1095="","",$R1095))</f>
        <v/>
      </c>
      <c r="AF1095">
        <f>IF($V1095,IF($U1095="","",$U1095),IF($T1095="","",$T1095))</f>
        <v/>
      </c>
      <c r="AG1095">
        <f>IF($V1095,IF($O1095="","",$O1095),IF($P1095="","",$P1095))</f>
        <v/>
      </c>
      <c r="AH1095" t="n">
        <v>0.09667721031344426</v>
      </c>
      <c r="AI1095">
        <f>IF($Y1095="worse","Yes",IF($Y1095="worse, not significant","Not sure",IF(OR($Y1095="too few losses to test",$Y1095="too few loans to test"),"Too few losses",IF($Y1095="","","No"))))</f>
        <v/>
      </c>
      <c r="AJ1095">
        <f>IF($AA1095="yes","Yes",IF($AA1095="","","No"))</f>
        <v/>
      </c>
    </row>
    <row r="1096">
      <c r="A1096" t="inlineStr">
        <is>
          <t>three-way</t>
        </is>
      </c>
      <c r="B1096" t="inlineStr">
        <is>
          <t>ORIG_BAL x ASSET_CLASS / SYS_FLAG</t>
        </is>
      </c>
      <c r="C1096" t="inlineStr">
        <is>
          <t>5,005 - 15,448</t>
        </is>
      </c>
      <c r="D1096" t="inlineStr">
        <is>
          <t>4 / SYS_FLAG N</t>
        </is>
      </c>
      <c r="E1096" t="inlineStr">
        <is>
          <t>gco_rate</t>
        </is>
      </c>
      <c r="F1096" t="inlineStr">
        <is>
          <t>GCO per booked dollar</t>
        </is>
      </c>
      <c r="G1096" t="n">
        <v>229</v>
      </c>
      <c r="H1096" t="n">
        <v>2298904.150000002</v>
      </c>
      <c r="I1096" t="b">
        <v>0</v>
      </c>
      <c r="J1096" t="b">
        <v>0</v>
      </c>
      <c r="K1096" t="n">
        <v>1.146641225540308</v>
      </c>
      <c r="L1096" t="n">
        <v>0.9412575983780932</v>
      </c>
      <c r="M1096" t="n">
        <v>1.180276566046068</v>
      </c>
      <c r="N1096" t="n">
        <v>0.7733044877330449</v>
      </c>
      <c r="O1096" t="n">
        <v>14007.42181967833</v>
      </c>
      <c r="P1096" t="n">
        <v>16729.58508981219</v>
      </c>
      <c r="Q1096">
        <f>'_live'!$C$22</f>
        <v/>
      </c>
      <c r="R1096" t="inlineStr">
        <is>
          <t>shuffled: 5,867 of 10,000</t>
        </is>
      </c>
      <c r="S1096" t="inlineStr">
        <is>
          <t>shuffled: 5,181 of 10,000</t>
        </is>
      </c>
      <c r="T1096" t="n">
        <v>0.04155097905248532</v>
      </c>
      <c r="U1096" t="n">
        <v>0.04036686562603653</v>
      </c>
      <c r="V1096">
        <f>AND(judged_band,NOT($J1096))</f>
        <v/>
      </c>
      <c r="W1096">
        <f>IF($K1096="","",IF($I1096,"too few losses to test",IF(AND($K1096&gt;better_at,$K1096&lt;worse_at),"in line",IF($K1096&gt;=worse_at,IF(AND(ISNUMBER($L1096),$L1096&lt;significance_bar),"worse","worse, not significant"),IF(AND(ISNUMBER($L1096),$L1096&lt;significance_bar),"better","better, not significant")))))</f>
        <v/>
      </c>
      <c r="X1096">
        <f>IF($M1096="","",IF($I1096,"too few losses to test",IF(AND($M1096&gt;better_at,$M1096&lt;worse_at),"in line",IF($M1096&gt;=worse_at,IF(AND(ISNUMBER($N1096),$N1096&lt;significance_bar),"worse","worse, not significant"),IF(AND(ISNUMBER($N1096),$N1096&lt;significance_bar),"better","better, not significant")))))</f>
        <v/>
      </c>
      <c r="Y1096">
        <f>IF($V1096,$X1096,$W1096)</f>
        <v/>
      </c>
      <c r="Z1096">
        <f>IF($V1096,IF($P1096="","",$P1096),IF($O1096="","",$O1096))</f>
        <v/>
      </c>
      <c r="AA1096">
        <f>IF(OR($Q1096="",$Z1096=""),"",IF(AND($Z1096&gt;0,$Z1096&gt;=$Q1096),"yes","below the line"))</f>
        <v/>
      </c>
      <c r="AB1096">
        <f>IF($V1096,IF($M1096="","",$M1096),IF($K1096="","",$K1096))</f>
        <v/>
      </c>
      <c r="AC1096">
        <f>IF($V1096,IF($N1096="","",$N1096),IF($L1096="","",$L1096))</f>
        <v/>
      </c>
      <c r="AD1096">
        <f>$Y1096</f>
        <v/>
      </c>
      <c r="AE1096">
        <f>IF($V1096,IF($S1096="","",$S1096),IF($R1096="","",$R1096))</f>
        <v/>
      </c>
      <c r="AF1096">
        <f>IF($V1096,IF($U1096="","",$U1096),IF($T1096="","",$T1096))</f>
        <v/>
      </c>
      <c r="AG1096">
        <f>IF($V1096,IF($O1096="","",$O1096),IF($P1096="","",$P1096))</f>
        <v/>
      </c>
      <c r="AH1096" t="n">
        <v>0.04764406554314145</v>
      </c>
      <c r="AI1096">
        <f>IF($Y1096="worse","Yes",IF($Y1096="worse, not significant","Not sure",IF(OR($Y1096="too few losses to test",$Y1096="too few loans to test"),"Too few losses",IF($Y1096="","","No"))))</f>
        <v/>
      </c>
      <c r="AJ1096">
        <f>IF($AA1096="yes","Yes",IF($AA1096="","","No"))</f>
        <v/>
      </c>
    </row>
    <row r="1097">
      <c r="A1097" t="inlineStr">
        <is>
          <t>three-way</t>
        </is>
      </c>
      <c r="B1097" t="inlineStr">
        <is>
          <t>ORIG_BAL x ASSET_CLASS / SYS_FLAG</t>
        </is>
      </c>
      <c r="C1097" t="inlineStr">
        <is>
          <t>5,005 - 15,448</t>
        </is>
      </c>
      <c r="D1097" t="inlineStr">
        <is>
          <t>4 / SYS_FLAG N</t>
        </is>
      </c>
      <c r="E1097" t="inlineStr">
        <is>
          <t>ranr_rate</t>
        </is>
      </c>
      <c r="F1097" t="inlineStr">
        <is>
          <t>Profit after losses: RANR per booked dollar</t>
        </is>
      </c>
      <c r="G1097" t="n">
        <v>229</v>
      </c>
      <c r="H1097" t="n">
        <v>2298904.150000002</v>
      </c>
      <c r="I1097" t="b">
        <v>0</v>
      </c>
      <c r="J1097" t="b">
        <v>0</v>
      </c>
      <c r="K1097" t="n">
        <v>0.01871117513228043</v>
      </c>
      <c r="L1097" t="n">
        <v>0.5276615195623295</v>
      </c>
      <c r="M1097" t="n">
        <v>-0.0001693341842678442</v>
      </c>
      <c r="N1097" t="n">
        <v>0.9906009399060094</v>
      </c>
      <c r="O1097" t="n">
        <v>-43015.19816297636</v>
      </c>
      <c r="P1097" t="n">
        <v>389.2830589501536</v>
      </c>
      <c r="Q1097">
        <f>'_live'!$C$23</f>
        <v/>
      </c>
      <c r="R1097" t="inlineStr">
        <is>
          <t>shuffled: 1,724 of 10,000</t>
        </is>
      </c>
      <c r="S1097" t="inlineStr">
        <is>
          <t>shuffled: 9,906 of 10,000</t>
        </is>
      </c>
      <c r="T1097" t="n">
        <v>0.1278233682935513</v>
      </c>
      <c r="U1097" t="n">
        <v>0.1467038776100995</v>
      </c>
      <c r="V1097">
        <f>AND(judged_band,NOT($J1097))</f>
        <v/>
      </c>
      <c r="W1097">
        <f>IF($K1097="","",IF(profit_kind="test",IF(OR(NOT(AND(ISNUMBER($L1097),$L1097&lt;significance_bar)),$K1097=0),"in line",IF($K1097&lt;0,"worse","better")),IF(OR($K1097=0,IF(profit_kind="points",ABS($K1097),ABS($K1097*$H1097))&lt;profit_line*(1-1E-9)),"in line",IF(AND(ISNUMBER($L1097),$L1097&lt;significance_bar),IF($K1097&lt;0,"worse","better"),IF($K1097&lt;0,"worse, not significant","better, not significant")))))</f>
        <v/>
      </c>
      <c r="X1097">
        <f>IF($M1097="","",IF(profit_kind="test",IF(OR(NOT(AND(ISNUMBER($N1097),$N1097&lt;significance_bar)),$M1097=0),"in line",IF($M1097&lt;0,"worse","better")),IF(OR($M1097=0,IF(profit_kind="points",ABS($M1097),ABS($M1097*$H1097))&lt;profit_line*(1-1E-9)),"in line",IF(AND(ISNUMBER($N1097),$N1097&lt;significance_bar),IF($M1097&lt;0,"worse","better"),IF($M1097&lt;0,"worse, not significant","better, not significant")))))</f>
        <v/>
      </c>
      <c r="Y1097">
        <f>IF($V1097,$X1097,$W1097)</f>
        <v/>
      </c>
      <c r="Z1097">
        <f>IF($V1097,IF($P1097="","",$P1097),IF($O1097="","",$O1097))</f>
        <v/>
      </c>
      <c r="AA1097">
        <f>IF(OR($Q1097="",$Z1097=""),"",IF(AND($Z1097&gt;0,$Z1097&gt;=$Q1097),"yes","below the line"))</f>
        <v/>
      </c>
      <c r="AB1097">
        <f>IF($V1097,IF($M1097="","",$M1097),IF($K1097="","",$K1097))</f>
        <v/>
      </c>
      <c r="AC1097">
        <f>IF($V1097,IF($N1097="","",$N1097),IF($L1097="","",$L1097))</f>
        <v/>
      </c>
      <c r="AD1097">
        <f>IF($Y1097="","",IF($Y1097="in line",IF(profit_kind="test",IF(ROUND($AB1097*100,2)=0,"0.00",TEXT($AB1097*100,"+0.00;-0.00"))&amp;" points against "&amp;IF($V1097,"its band","the book")&amp;", "&amp;IF($AC1097="","not tested","not significant"),IF(profit_kind="points","within "&amp;TEXT(profit_line*100,"0.00")&amp;" points of "&amp;IF($V1097,"its band","the book")&amp;" ("&amp;IF(ROUND($AB1097*100,2)=0,"0.00",TEXT($AB1097*100,"+0.00;-0.00"))&amp;")","within $"&amp;TEXT(profit_line,"#,##0")&amp;" of "&amp;IF($V1097,"its band","the book")&amp;" ("&amp;IF(ROUND($AB1097*100,2)=0,"0.00",TEXT($AB1097*100,"+0.00;-0.00"))&amp;" points)")),IF(LEFT($Y1097,5)="worse","short of ","ahead of ")&amp;IF($V1097,"its band","the book")&amp;" by "&amp;TEXT(ABS($AB1097)*100,"0.00")&amp;" points"&amp;IF($Z1097="",""," ($"&amp;TEXT(ABS($Z1097),"#,##0")&amp;")")&amp;IF(RIGHT($Y1097,15)="not significant"," (not significant)","")))</f>
        <v/>
      </c>
      <c r="AE1097">
        <f>IF($V1097,IF($S1097="","",$S1097),IF($R1097="","",$R1097))</f>
        <v/>
      </c>
      <c r="AF1097">
        <f>IF($V1097,IF($U1097="","",$U1097),IF($T1097="","",$T1097))</f>
        <v/>
      </c>
      <c r="AG1097">
        <f>IF($V1097,IF($O1097="","",$O1097),IF($P1097="","",$P1097))</f>
        <v/>
      </c>
      <c r="AH1097" t="n">
        <v>0.1465345434258317</v>
      </c>
      <c r="AI1097">
        <f>IF($Y1097="worse","Yes",IF($Y1097="worse, not significant","Not sure",IF(OR($Y1097="too few losses to test",$Y1097="too few loans to test"),"Too few losses",IF($Y1097="","","No"))))</f>
        <v/>
      </c>
      <c r="AJ1097">
        <f>IF($AA1097="yes","Yes",IF($AA1097="","","No"))</f>
        <v/>
      </c>
    </row>
    <row r="1098">
      <c r="A1098" t="inlineStr">
        <is>
          <t>three-way</t>
        </is>
      </c>
      <c r="B1098" t="inlineStr">
        <is>
          <t>ORIG_BAL x ASSET_CLASS / SYS_FLAG</t>
        </is>
      </c>
      <c r="C1098" t="inlineStr">
        <is>
          <t>5,005 - 15,448</t>
        </is>
      </c>
      <c r="D1098" t="inlineStr">
        <is>
          <t>4 / SYS_FLAG N</t>
        </is>
      </c>
      <c r="E1098" t="inlineStr">
        <is>
          <t>contribution_rate</t>
        </is>
      </c>
      <c r="F1098" t="inlineStr">
        <is>
          <t>Contribution before losses per booked dollar</t>
        </is>
      </c>
      <c r="G1098" t="n">
        <v>229</v>
      </c>
      <c r="H1098" t="n">
        <v>2298904.150000002</v>
      </c>
      <c r="I1098" t="b">
        <v>0</v>
      </c>
      <c r="J1098" t="b">
        <v>0</v>
      </c>
      <c r="K1098" t="n">
        <v>0.02480717243865457</v>
      </c>
      <c r="L1098" t="n">
        <v>0.121987801219878</v>
      </c>
      <c r="M1098" t="n">
        <v>0.007107865732837143</v>
      </c>
      <c r="N1098" t="n">
        <v>0.8694368658372257</v>
      </c>
      <c r="O1098" t="n">
        <v>-57029.31166898872</v>
      </c>
      <c r="P1098" t="n">
        <v>-16340.30203086213</v>
      </c>
      <c r="Q1098">
        <f>'_live'!$C$24</f>
        <v/>
      </c>
      <c r="R1098" t="inlineStr">
        <is>
          <t>shuffled: 60 of 10,000</t>
        </is>
      </c>
      <c r="S1098" t="inlineStr">
        <is>
          <t>shuffled: 4,308 of 10,000</t>
        </is>
      </c>
      <c r="T1098" t="n">
        <v>0.1693714365303186</v>
      </c>
      <c r="U1098" t="n">
        <v>0.187070743236136</v>
      </c>
      <c r="V1098">
        <f>AND(judged_band,NOT($J1098))</f>
        <v/>
      </c>
      <c r="W1098">
        <f>IF($K1098="","",IF(profit_kind="test",IF(OR(NOT(AND(ISNUMBER($L1098),$L1098&lt;significance_bar)),$K1098=0),"in line",IF($K1098&lt;0,"worse","better")),IF(OR($K1098=0,IF(profit_kind="points",ABS($K1098),ABS($K1098*$H1098))&lt;profit_line*(1-1E-9)),"in line",IF(AND(ISNUMBER($L1098),$L1098&lt;significance_bar),IF($K1098&lt;0,"worse","better"),IF($K1098&lt;0,"worse, not significant","better, not significant")))))</f>
        <v/>
      </c>
      <c r="X1098">
        <f>IF($M1098="","",IF(profit_kind="test",IF(OR(NOT(AND(ISNUMBER($N1098),$N1098&lt;significance_bar)),$M1098=0),"in line",IF($M1098&lt;0,"worse","better")),IF(OR($M1098=0,IF(profit_kind="points",ABS($M1098),ABS($M1098*$H1098))&lt;profit_line*(1-1E-9)),"in line",IF(AND(ISNUMBER($N1098),$N1098&lt;significance_bar),IF($M1098&lt;0,"worse","better"),IF($M1098&lt;0,"worse, not significant","better, not significant")))))</f>
        <v/>
      </c>
      <c r="Y1098">
        <f>IF($V1098,$X1098,$W1098)</f>
        <v/>
      </c>
      <c r="Z1098">
        <f>IF($V1098,IF($P1098="","",$P1098),IF($O1098="","",$O1098))</f>
        <v/>
      </c>
      <c r="AA1098">
        <f>IF(OR($Q1098="",$Z1098=""),"",IF(AND($Z1098&gt;0,$Z1098&gt;=$Q1098),"yes","below the line"))</f>
        <v/>
      </c>
      <c r="AB1098">
        <f>IF($V1098,IF($M1098="","",$M1098),IF($K1098="","",$K1098))</f>
        <v/>
      </c>
      <c r="AC1098">
        <f>IF($V1098,IF($N1098="","",$N1098),IF($L1098="","",$L1098))</f>
        <v/>
      </c>
      <c r="AD1098">
        <f>IF($Y1098="","",IF($Y1098="in line",IF(profit_kind="test",IF(ROUND($AB1098*100,2)=0,"0.00",TEXT($AB1098*100,"+0.00;-0.00"))&amp;" points against "&amp;IF($V1098,"its band","the book")&amp;", "&amp;IF($AC1098="","not tested","not significant"),IF(profit_kind="points","within "&amp;TEXT(profit_line*100,"0.00")&amp;" points of "&amp;IF($V1098,"its band","the book")&amp;" ("&amp;IF(ROUND($AB1098*100,2)=0,"0.00",TEXT($AB1098*100,"+0.00;-0.00"))&amp;")","within $"&amp;TEXT(profit_line,"#,##0")&amp;" of "&amp;IF($V1098,"its band","the book")&amp;" ("&amp;IF(ROUND($AB1098*100,2)=0,"0.00",TEXT($AB1098*100,"+0.00;-0.00"))&amp;" points)")),IF(LEFT($Y1098,5)="worse","short of ","ahead of ")&amp;IF($V1098,"its band","the book")&amp;" by "&amp;TEXT(ABS($AB1098)*100,"0.00")&amp;" points"&amp;IF($Z1098="",""," ($"&amp;TEXT(ABS($Z1098),"#,##0")&amp;")")&amp;IF(RIGHT($Y1098,15)="not significant"," (not significant)","")))</f>
        <v/>
      </c>
      <c r="AE1098">
        <f>IF($V1098,IF($S1098="","",$S1098),IF($R1098="","",$R1098))</f>
        <v/>
      </c>
      <c r="AF1098">
        <f>IF($V1098,IF($U1098="","",$U1098),IF($T1098="","",$T1098))</f>
        <v/>
      </c>
      <c r="AG1098">
        <f>IF($V1098,IF($O1098="","",$O1098),IF($P1098="","",$P1098))</f>
        <v/>
      </c>
      <c r="AH1098" t="n">
        <v>0.1941786089689732</v>
      </c>
      <c r="AI1098">
        <f>IF($Y1098="worse","Yes",IF($Y1098="worse, not significant","Not sure",IF(OR($Y1098="too few losses to test",$Y1098="too few loans to test"),"Too few losses",IF($Y1098="","","No"))))</f>
        <v/>
      </c>
      <c r="AJ1098">
        <f>IF($AA1098="yes","Yes",IF($AA1098="","","No"))</f>
        <v/>
      </c>
    </row>
    <row r="1099">
      <c r="A1099" t="inlineStr">
        <is>
          <t>three-way</t>
        </is>
      </c>
      <c r="B1099" t="inlineStr">
        <is>
          <t>ORIG_BAL x ASSET_CLASS / SYS_FLAG</t>
        </is>
      </c>
      <c r="C1099" t="inlineStr">
        <is>
          <t>49,152 - 59,984</t>
        </is>
      </c>
      <c r="D1099" t="inlineStr">
        <is>
          <t>2 / SYS_FLAG N</t>
        </is>
      </c>
      <c r="E1099" t="inlineStr">
        <is>
          <t>outcome_loans</t>
        </is>
      </c>
      <c r="F1099" t="inlineStr">
        <is>
          <t>Outcome, share of loans</t>
        </is>
      </c>
      <c r="G1099" t="n">
        <v>201</v>
      </c>
      <c r="H1099" t="n">
        <v>201</v>
      </c>
      <c r="I1099" t="b">
        <v>1</v>
      </c>
      <c r="J1099" t="b">
        <v>0</v>
      </c>
      <c r="K1099" t="n">
        <v>0.5079675273387563</v>
      </c>
      <c r="M1099" t="n">
        <v>0.5861220214715894</v>
      </c>
      <c r="O1099" t="n">
        <v>-7.749038214926905</v>
      </c>
      <c r="P1099" t="n">
        <v>-5.649035025017868</v>
      </c>
      <c r="Q1099">
        <f>'_live'!$C$20</f>
        <v/>
      </c>
      <c r="T1099" t="n">
        <v>0.07835342395486022</v>
      </c>
      <c r="U1099" t="n">
        <v>0.06790564689063616</v>
      </c>
      <c r="V1099">
        <f>AND(judged_band,NOT($J1099))</f>
        <v/>
      </c>
      <c r="W1099">
        <f>IF($K1099="","",IF($I1099,"too few losses to test",IF(AND($K1099&gt;better_at,$K1099&lt;worse_at),"in line",IF($K1099&gt;=worse_at,IF(AND(ISNUMBER($L1099),$L1099&lt;significance_bar),"worse","worse, not significant"),IF(AND(ISNUMBER($L1099),$L1099&lt;significance_bar),"better","better, not significant")))))</f>
        <v/>
      </c>
      <c r="X1099">
        <f>IF($M1099="","",IF($I1099,"too few losses to test",IF(AND($M1099&gt;better_at,$M1099&lt;worse_at),"in line",IF($M1099&gt;=worse_at,IF(AND(ISNUMBER($N1099),$N1099&lt;significance_bar),"worse","worse, not significant"),IF(AND(ISNUMBER($N1099),$N1099&lt;significance_bar),"better","better, not significant")))))</f>
        <v/>
      </c>
      <c r="Y1099">
        <f>IF($V1099,$X1099,$W1099)</f>
        <v/>
      </c>
      <c r="Z1099">
        <f>IF($V1099,IF($P1099="","",$P1099),IF($O1099="","",$O1099))</f>
        <v/>
      </c>
      <c r="AA1099">
        <f>IF(OR($Q1099="",$Z1099=""),"",IF(AND($Z1099&gt;0,$Z1099&gt;=$Q1099),"yes","below the line"))</f>
        <v/>
      </c>
      <c r="AB1099">
        <f>IF($V1099,IF($M1099="","",$M1099),IF($K1099="","",$K1099))</f>
        <v/>
      </c>
      <c r="AC1099">
        <f>IF($V1099,IF($N1099="","",$N1099),IF($L1099="","",$L1099))</f>
        <v/>
      </c>
      <c r="AD1099">
        <f>$Y1099</f>
        <v/>
      </c>
      <c r="AE1099">
        <f>IF($V1099,IF($S1099="","",$S1099),IF($R1099="","",$R1099))</f>
        <v/>
      </c>
      <c r="AF1099">
        <f>IF($V1099,IF($U1099="","",$U1099),IF($T1099="","",$T1099))</f>
        <v/>
      </c>
      <c r="AG1099">
        <f>IF($V1099,IF($O1099="","",$O1099),IF($P1099="","",$P1099))</f>
        <v/>
      </c>
      <c r="AH1099" t="n">
        <v>0.03980099502487562</v>
      </c>
      <c r="AI1099">
        <f>IF($Y1099="worse","Yes",IF($Y1099="worse, not significant","Not sure",IF(OR($Y1099="too few losses to test",$Y1099="too few loans to test"),"Too few losses",IF($Y1099="","","No"))))</f>
        <v/>
      </c>
      <c r="AJ1099">
        <f>IF($AA1099="yes","Yes",IF($AA1099="","","No"))</f>
        <v/>
      </c>
    </row>
    <row r="1100">
      <c r="A1100" t="inlineStr">
        <is>
          <t>three-way</t>
        </is>
      </c>
      <c r="B1100" t="inlineStr">
        <is>
          <t>ORIG_BAL x ASSET_CLASS / SYS_FLAG</t>
        </is>
      </c>
      <c r="C1100" t="inlineStr">
        <is>
          <t>49,152 - 59,984</t>
        </is>
      </c>
      <c r="D1100" t="inlineStr">
        <is>
          <t>2 / SYS_FLAG N</t>
        </is>
      </c>
      <c r="E1100" t="inlineStr">
        <is>
          <t>outcome_booked</t>
        </is>
      </c>
      <c r="F1100" t="inlineStr">
        <is>
          <t>Outcome, share of booked dollars</t>
        </is>
      </c>
      <c r="G1100" t="n">
        <v>201</v>
      </c>
      <c r="H1100" t="n">
        <v>10967696.94</v>
      </c>
      <c r="I1100" t="b">
        <v>1</v>
      </c>
      <c r="J1100" t="b">
        <v>0</v>
      </c>
      <c r="K1100" t="n">
        <v>0.5407916355796276</v>
      </c>
      <c r="M1100" t="n">
        <v>0.6060163572999278</v>
      </c>
      <c r="O1100" t="n">
        <v>-384374.9960879133</v>
      </c>
      <c r="P1100" t="n">
        <v>-294285.6930873962</v>
      </c>
      <c r="Q1100">
        <f>'_live'!$C$21</f>
        <v/>
      </c>
      <c r="T1100" t="n">
        <v>0.07631851250695786</v>
      </c>
      <c r="U1100" t="n">
        <v>0.06810445412320049</v>
      </c>
      <c r="V1100">
        <f>AND(judged_band,NOT($J1100))</f>
        <v/>
      </c>
      <c r="W1100">
        <f>IF($K1100="","",IF($I1100,"too few losses to test",IF(AND($K1100&gt;better_at,$K1100&lt;worse_at),"in line",IF($K1100&gt;=worse_at,IF(AND(ISNUMBER($L1100),$L1100&lt;significance_bar),"worse","worse, not significant"),IF(AND(ISNUMBER($L1100),$L1100&lt;significance_bar),"better","better, not significant")))))</f>
        <v/>
      </c>
      <c r="X1100">
        <f>IF($M1100="","",IF($I1100,"too few losses to test",IF(AND($M1100&gt;better_at,$M1100&lt;worse_at),"in line",IF($M1100&gt;=worse_at,IF(AND(ISNUMBER($N1100),$N1100&lt;significance_bar),"worse","worse, not significant"),IF(AND(ISNUMBER($N1100),$N1100&lt;significance_bar),"better","better, not significant")))))</f>
        <v/>
      </c>
      <c r="Y1100">
        <f>IF($V1100,$X1100,$W1100)</f>
        <v/>
      </c>
      <c r="Z1100">
        <f>IF($V1100,IF($P1100="","",$P1100),IF($O1100="","",$O1100))</f>
        <v/>
      </c>
      <c r="AA1100">
        <f>IF(OR($Q1100="",$Z1100=""),"",IF(AND($Z1100&gt;0,$Z1100&gt;=$Q1100),"yes","below the line"))</f>
        <v/>
      </c>
      <c r="AB1100">
        <f>IF($V1100,IF($M1100="","",$M1100),IF($K1100="","",$K1100))</f>
        <v/>
      </c>
      <c r="AC1100">
        <f>IF($V1100,IF($N1100="","",$N1100),IF($L1100="","",$L1100))</f>
        <v/>
      </c>
      <c r="AD1100">
        <f>$Y1100</f>
        <v/>
      </c>
      <c r="AE1100">
        <f>IF($V1100,IF($S1100="","",$S1100),IF($R1100="","",$R1100))</f>
        <v/>
      </c>
      <c r="AF1100">
        <f>IF($V1100,IF($U1100="","",$U1100),IF($T1100="","",$T1100))</f>
        <v/>
      </c>
      <c r="AG1100">
        <f>IF($V1100,IF($O1100="","",$O1100),IF($P1100="","",$P1100))</f>
        <v/>
      </c>
      <c r="AH1100" t="n">
        <v>0.04127241320364201</v>
      </c>
      <c r="AI1100">
        <f>IF($Y1100="worse","Yes",IF($Y1100="worse, not significant","Not sure",IF(OR($Y1100="too few losses to test",$Y1100="too few loans to test"),"Too few losses",IF($Y1100="","","No"))))</f>
        <v/>
      </c>
      <c r="AJ1100">
        <f>IF($AA1100="yes","Yes",IF($AA1100="","","No"))</f>
        <v/>
      </c>
    </row>
    <row r="1101">
      <c r="A1101" t="inlineStr">
        <is>
          <t>three-way</t>
        </is>
      </c>
      <c r="B1101" t="inlineStr">
        <is>
          <t>ORIG_BAL x ASSET_CLASS / SYS_FLAG</t>
        </is>
      </c>
      <c r="C1101" t="inlineStr">
        <is>
          <t>49,152 - 59,984</t>
        </is>
      </c>
      <c r="D1101" t="inlineStr">
        <is>
          <t>2 / SYS_FLAG N</t>
        </is>
      </c>
      <c r="E1101" t="inlineStr">
        <is>
          <t>gco_rate</t>
        </is>
      </c>
      <c r="F1101" t="inlineStr">
        <is>
          <t>GCO per booked dollar</t>
        </is>
      </c>
      <c r="G1101" t="n">
        <v>201</v>
      </c>
      <c r="H1101" t="n">
        <v>10967696.94</v>
      </c>
      <c r="I1101" t="b">
        <v>1</v>
      </c>
      <c r="J1101" t="b">
        <v>0</v>
      </c>
      <c r="K1101" t="n">
        <v>0.562276892019842</v>
      </c>
      <c r="M1101" t="n">
        <v>0.6401855806523018</v>
      </c>
      <c r="O1101" t="n">
        <v>-203525.9053636185</v>
      </c>
      <c r="P1101" t="n">
        <v>-146941.047742303</v>
      </c>
      <c r="Q1101">
        <f>'_live'!$C$22</f>
        <v/>
      </c>
      <c r="T1101" t="n">
        <v>0.04239403750005684</v>
      </c>
      <c r="U1101" t="n">
        <v>0.0372348087275197</v>
      </c>
      <c r="V1101">
        <f>AND(judged_band,NOT($J1101))</f>
        <v/>
      </c>
      <c r="W1101">
        <f>IF($K1101="","",IF($I1101,"too few losses to test",IF(AND($K1101&gt;better_at,$K1101&lt;worse_at),"in line",IF($K1101&gt;=worse_at,IF(AND(ISNUMBER($L1101),$L1101&lt;significance_bar),"worse","worse, not significant"),IF(AND(ISNUMBER($L1101),$L1101&lt;significance_bar),"better","better, not significant")))))</f>
        <v/>
      </c>
      <c r="X1101">
        <f>IF($M1101="","",IF($I1101,"too few losses to test",IF(AND($M1101&gt;better_at,$M1101&lt;worse_at),"in line",IF($M1101&gt;=worse_at,IF(AND(ISNUMBER($N1101),$N1101&lt;significance_bar),"worse","worse, not significant"),IF(AND(ISNUMBER($N1101),$N1101&lt;significance_bar),"better","better, not significant")))))</f>
        <v/>
      </c>
      <c r="Y1101">
        <f>IF($V1101,$X1101,$W1101)</f>
        <v/>
      </c>
      <c r="Z1101">
        <f>IF($V1101,IF($P1101="","",$P1101),IF($O1101="","",$O1101))</f>
        <v/>
      </c>
      <c r="AA1101">
        <f>IF(OR($Q1101="",$Z1101=""),"",IF(AND($Z1101&gt;0,$Z1101&gt;=$Q1101),"yes","below the line"))</f>
        <v/>
      </c>
      <c r="AB1101">
        <f>IF($V1101,IF($M1101="","",$M1101),IF($K1101="","",$K1101))</f>
        <v/>
      </c>
      <c r="AC1101">
        <f>IF($V1101,IF($N1101="","",$N1101),IF($L1101="","",$L1101))</f>
        <v/>
      </c>
      <c r="AD1101">
        <f>$Y1101</f>
        <v/>
      </c>
      <c r="AE1101">
        <f>IF($V1101,IF($S1101="","",$S1101),IF($R1101="","",$R1101))</f>
        <v/>
      </c>
      <c r="AF1101">
        <f>IF($V1101,IF($U1101="","",$U1101),IF($T1101="","",$T1101))</f>
        <v/>
      </c>
      <c r="AG1101">
        <f>IF($V1101,IF($O1101="","",$O1101),IF($P1101="","",$P1101))</f>
        <v/>
      </c>
      <c r="AH1101" t="n">
        <v>0.02383718764570459</v>
      </c>
      <c r="AI1101">
        <f>IF($Y1101="worse","Yes",IF($Y1101="worse, not significant","Not sure",IF(OR($Y1101="too few losses to test",$Y1101="too few loans to test"),"Too few losses",IF($Y1101="","","No"))))</f>
        <v/>
      </c>
      <c r="AJ1101">
        <f>IF($AA1101="yes","Yes",IF($AA1101="","","No"))</f>
        <v/>
      </c>
    </row>
    <row r="1102">
      <c r="A1102" t="inlineStr">
        <is>
          <t>three-way</t>
        </is>
      </c>
      <c r="B1102" t="inlineStr">
        <is>
          <t>ORIG_BAL x ASSET_CLASS / SYS_FLAG</t>
        </is>
      </c>
      <c r="C1102" t="inlineStr">
        <is>
          <t>49,152 - 59,984</t>
        </is>
      </c>
      <c r="D1102" t="inlineStr">
        <is>
          <t>2 / SYS_FLAG N</t>
        </is>
      </c>
      <c r="E1102" t="inlineStr">
        <is>
          <t>ranr_rate</t>
        </is>
      </c>
      <c r="F1102" t="inlineStr">
        <is>
          <t>Profit after losses: RANR per booked dollar</t>
        </is>
      </c>
      <c r="G1102" t="n">
        <v>201</v>
      </c>
      <c r="H1102" t="n">
        <v>10967696.94</v>
      </c>
      <c r="I1102" t="b">
        <v>0</v>
      </c>
      <c r="J1102" t="b">
        <v>0</v>
      </c>
      <c r="K1102" t="n">
        <v>0.01823912358454466</v>
      </c>
      <c r="L1102" t="n">
        <v>0.5412792054127921</v>
      </c>
      <c r="M1102" t="n">
        <v>0.01718805739174412</v>
      </c>
      <c r="N1102" t="n">
        <v>0.4690057310058468</v>
      </c>
      <c r="O1102" t="n">
        <v>-200041.179926492</v>
      </c>
      <c r="P1102" t="n">
        <v>-188513.4044599761</v>
      </c>
      <c r="Q1102">
        <f>'_live'!$C$23</f>
        <v/>
      </c>
      <c r="R1102" t="inlineStr">
        <is>
          <t>shuffled: 2,029 of 10,000</t>
        </is>
      </c>
      <c r="S1102" t="inlineStr">
        <is>
          <t>shuffled: 1,835 of 10,000</t>
        </is>
      </c>
      <c r="T1102" t="n">
        <v>0.127214901880167</v>
      </c>
      <c r="U1102" t="n">
        <v>0.1282659680729676</v>
      </c>
      <c r="V1102">
        <f>AND(judged_band,NOT($J1102))</f>
        <v/>
      </c>
      <c r="W1102">
        <f>IF($K1102="","",IF(profit_kind="test",IF(OR(NOT(AND(ISNUMBER($L1102),$L1102&lt;significance_bar)),$K1102=0),"in line",IF($K1102&lt;0,"worse","better")),IF(OR($K1102=0,IF(profit_kind="points",ABS($K1102),ABS($K1102*$H1102))&lt;profit_line*(1-1E-9)),"in line",IF(AND(ISNUMBER($L1102),$L1102&lt;significance_bar),IF($K1102&lt;0,"worse","better"),IF($K1102&lt;0,"worse, not significant","better, not significant")))))</f>
        <v/>
      </c>
      <c r="X1102">
        <f>IF($M1102="","",IF(profit_kind="test",IF(OR(NOT(AND(ISNUMBER($N1102),$N1102&lt;significance_bar)),$M1102=0),"in line",IF($M1102&lt;0,"worse","better")),IF(OR($M1102=0,IF(profit_kind="points",ABS($M1102),ABS($M1102*$H1102))&lt;profit_line*(1-1E-9)),"in line",IF(AND(ISNUMBER($N1102),$N1102&lt;significance_bar),IF($M1102&lt;0,"worse","better"),IF($M1102&lt;0,"worse, not significant","better, not significant")))))</f>
        <v/>
      </c>
      <c r="Y1102">
        <f>IF($V1102,$X1102,$W1102)</f>
        <v/>
      </c>
      <c r="Z1102">
        <f>IF($V1102,IF($P1102="","",$P1102),IF($O1102="","",$O1102))</f>
        <v/>
      </c>
      <c r="AA1102">
        <f>IF(OR($Q1102="",$Z1102=""),"",IF(AND($Z1102&gt;0,$Z1102&gt;=$Q1102),"yes","below the line"))</f>
        <v/>
      </c>
      <c r="AB1102">
        <f>IF($V1102,IF($M1102="","",$M1102),IF($K1102="","",$K1102))</f>
        <v/>
      </c>
      <c r="AC1102">
        <f>IF($V1102,IF($N1102="","",$N1102),IF($L1102="","",$L1102))</f>
        <v/>
      </c>
      <c r="AD1102">
        <f>IF($Y1102="","",IF($Y1102="in line",IF(profit_kind="test",IF(ROUND($AB1102*100,2)=0,"0.00",TEXT($AB1102*100,"+0.00;-0.00"))&amp;" points against "&amp;IF($V1102,"its band","the book")&amp;", "&amp;IF($AC1102="","not tested","not significant"),IF(profit_kind="points","within "&amp;TEXT(profit_line*100,"0.00")&amp;" points of "&amp;IF($V1102,"its band","the book")&amp;" ("&amp;IF(ROUND($AB1102*100,2)=0,"0.00",TEXT($AB1102*100,"+0.00;-0.00"))&amp;")","within $"&amp;TEXT(profit_line,"#,##0")&amp;" of "&amp;IF($V1102,"its band","the book")&amp;" ("&amp;IF(ROUND($AB1102*100,2)=0,"0.00",TEXT($AB1102*100,"+0.00;-0.00"))&amp;" points)")),IF(LEFT($Y1102,5)="worse","short of ","ahead of ")&amp;IF($V1102,"its band","the book")&amp;" by "&amp;TEXT(ABS($AB1102)*100,"0.00")&amp;" points"&amp;IF($Z1102="",""," ($"&amp;TEXT(ABS($Z1102),"#,##0")&amp;")")&amp;IF(RIGHT($Y1102,15)="not significant"," (not significant)","")))</f>
        <v/>
      </c>
      <c r="AE1102">
        <f>IF($V1102,IF($S1102="","",$S1102),IF($R1102="","",$R1102))</f>
        <v/>
      </c>
      <c r="AF1102">
        <f>IF($V1102,IF($U1102="","",$U1102),IF($T1102="","",$T1102))</f>
        <v/>
      </c>
      <c r="AG1102">
        <f>IF($V1102,IF($O1102="","",$O1102),IF($P1102="","",$P1102))</f>
        <v/>
      </c>
      <c r="AH1102" t="n">
        <v>0.1454540254647117</v>
      </c>
      <c r="AI1102">
        <f>IF($Y1102="worse","Yes",IF($Y1102="worse, not significant","Not sure",IF(OR($Y1102="too few losses to test",$Y1102="too few loans to test"),"Too few losses",IF($Y1102="","","No"))))</f>
        <v/>
      </c>
      <c r="AJ1102">
        <f>IF($AA1102="yes","Yes",IF($AA1102="","","No"))</f>
        <v/>
      </c>
    </row>
    <row r="1103">
      <c r="A1103" t="inlineStr">
        <is>
          <t>three-way</t>
        </is>
      </c>
      <c r="B1103" t="inlineStr">
        <is>
          <t>ORIG_BAL x ASSET_CLASS / SYS_FLAG</t>
        </is>
      </c>
      <c r="C1103" t="inlineStr">
        <is>
          <t>49,152 - 59,984</t>
        </is>
      </c>
      <c r="D1103" t="inlineStr">
        <is>
          <t>2 / SYS_FLAG N</t>
        </is>
      </c>
      <c r="E1103" t="inlineStr">
        <is>
          <t>contribution_rate</t>
        </is>
      </c>
      <c r="F1103" t="inlineStr">
        <is>
          <t>Contribution before losses per booked dollar</t>
        </is>
      </c>
      <c r="G1103" t="n">
        <v>201</v>
      </c>
      <c r="H1103" t="n">
        <v>10967696.94</v>
      </c>
      <c r="I1103" t="b">
        <v>0</v>
      </c>
      <c r="J1103" t="b">
        <v>0</v>
      </c>
      <c r="K1103" t="n">
        <v>-0.000314615584874417</v>
      </c>
      <c r="L1103" t="n">
        <v>0.9955004499550044</v>
      </c>
      <c r="M1103" t="n">
        <v>0.00379043630992898</v>
      </c>
      <c r="N1103" t="n">
        <v>0.892759208927592</v>
      </c>
      <c r="O1103" t="n">
        <v>3450.60838750354</v>
      </c>
      <c r="P1103" t="n">
        <v>-41572.3567176729</v>
      </c>
      <c r="Q1103">
        <f>'_live'!$C$24</f>
        <v/>
      </c>
      <c r="R1103" t="inlineStr">
        <is>
          <t>shuffled: 9,760 of 10,000</t>
        </is>
      </c>
      <c r="S1103" t="inlineStr">
        <is>
          <t>shuffled: 6,649 of 10,000</t>
        </is>
      </c>
      <c r="T1103" t="n">
        <v>0.1696058286952907</v>
      </c>
      <c r="U1103" t="n">
        <v>0.1655007768004873</v>
      </c>
      <c r="V1103">
        <f>AND(judged_band,NOT($J1103))</f>
        <v/>
      </c>
      <c r="W1103">
        <f>IF($K1103="","",IF(profit_kind="test",IF(OR(NOT(AND(ISNUMBER($L1103),$L1103&lt;significance_bar)),$K1103=0),"in line",IF($K1103&lt;0,"worse","better")),IF(OR($K1103=0,IF(profit_kind="points",ABS($K1103),ABS($K1103*$H1103))&lt;profit_line*(1-1E-9)),"in line",IF(AND(ISNUMBER($L1103),$L1103&lt;significance_bar),IF($K1103&lt;0,"worse","better"),IF($K1103&lt;0,"worse, not significant","better, not significant")))))</f>
        <v/>
      </c>
      <c r="X1103">
        <f>IF($M1103="","",IF(profit_kind="test",IF(OR(NOT(AND(ISNUMBER($N1103),$N1103&lt;significance_bar)),$M1103=0),"in line",IF($M1103&lt;0,"worse","better")),IF(OR($M1103=0,IF(profit_kind="points",ABS($M1103),ABS($M1103*$H1103))&lt;profit_line*(1-1E-9)),"in line",IF(AND(ISNUMBER($N1103),$N1103&lt;significance_bar),IF($M1103&lt;0,"worse","better"),IF($M1103&lt;0,"worse, not significant","better, not significant")))))</f>
        <v/>
      </c>
      <c r="Y1103">
        <f>IF($V1103,$X1103,$W1103)</f>
        <v/>
      </c>
      <c r="Z1103">
        <f>IF($V1103,IF($P1103="","",$P1103),IF($O1103="","",$O1103))</f>
        <v/>
      </c>
      <c r="AA1103">
        <f>IF(OR($Q1103="",$Z1103=""),"",IF(AND($Z1103&gt;0,$Z1103&gt;=$Q1103),"yes","below the line"))</f>
        <v/>
      </c>
      <c r="AB1103">
        <f>IF($V1103,IF($M1103="","",$M1103),IF($K1103="","",$K1103))</f>
        <v/>
      </c>
      <c r="AC1103">
        <f>IF($V1103,IF($N1103="","",$N1103),IF($L1103="","",$L1103))</f>
        <v/>
      </c>
      <c r="AD1103">
        <f>IF($Y1103="","",IF($Y1103="in line",IF(profit_kind="test",IF(ROUND($AB1103*100,2)=0,"0.00",TEXT($AB1103*100,"+0.00;-0.00"))&amp;" points against "&amp;IF($V1103,"its band","the book")&amp;", "&amp;IF($AC1103="","not tested","not significant"),IF(profit_kind="points","within "&amp;TEXT(profit_line*100,"0.00")&amp;" points of "&amp;IF($V1103,"its band","the book")&amp;" ("&amp;IF(ROUND($AB1103*100,2)=0,"0.00",TEXT($AB1103*100,"+0.00;-0.00"))&amp;")","within $"&amp;TEXT(profit_line,"#,##0")&amp;" of "&amp;IF($V1103,"its band","the book")&amp;" ("&amp;IF(ROUND($AB1103*100,2)=0,"0.00",TEXT($AB1103*100,"+0.00;-0.00"))&amp;" points)")),IF(LEFT($Y1103,5)="worse","short of ","ahead of ")&amp;IF($V1103,"its band","the book")&amp;" by "&amp;TEXT(ABS($AB1103)*100,"0.00")&amp;" points"&amp;IF($Z1103="",""," ($"&amp;TEXT(ABS($Z1103),"#,##0")&amp;")")&amp;IF(RIGHT($Y1103,15)="not significant"," (not significant)","")))</f>
        <v/>
      </c>
      <c r="AE1103">
        <f>IF($V1103,IF($S1103="","",$S1103),IF($R1103="","",$R1103))</f>
        <v/>
      </c>
      <c r="AF1103">
        <f>IF($V1103,IF($U1103="","",$U1103),IF($T1103="","",$T1103))</f>
        <v/>
      </c>
      <c r="AG1103">
        <f>IF($V1103,IF($O1103="","",$O1103),IF($P1103="","",$P1103))</f>
        <v/>
      </c>
      <c r="AH1103" t="n">
        <v>0.1692912131104163</v>
      </c>
      <c r="AI1103">
        <f>IF($Y1103="worse","Yes",IF($Y1103="worse, not significant","Not sure",IF(OR($Y1103="too few losses to test",$Y1103="too few loans to test"),"Too few losses",IF($Y1103="","","No"))))</f>
        <v/>
      </c>
      <c r="AJ1103">
        <f>IF($AA1103="yes","Yes",IF($AA1103="","","No"))</f>
        <v/>
      </c>
    </row>
    <row r="1104">
      <c r="A1104" t="inlineStr">
        <is>
          <t>three-way</t>
        </is>
      </c>
      <c r="B1104" t="inlineStr">
        <is>
          <t>ORIG_BAL x ASSET_CLASS / SYS_FLAG</t>
        </is>
      </c>
      <c r="C1104" t="inlineStr">
        <is>
          <t>15,449 - 26,323</t>
        </is>
      </c>
      <c r="D1104" t="inlineStr">
        <is>
          <t>2 / SYS_FLAG N</t>
        </is>
      </c>
      <c r="E1104" t="inlineStr">
        <is>
          <t>outcome_loans</t>
        </is>
      </c>
      <c r="F1104" t="inlineStr">
        <is>
          <t>Outcome, share of loans</t>
        </is>
      </c>
      <c r="G1104" t="n">
        <v>186</v>
      </c>
      <c r="H1104" t="n">
        <v>186</v>
      </c>
      <c r="I1104" t="b">
        <v>0</v>
      </c>
      <c r="J1104" t="b">
        <v>0</v>
      </c>
      <c r="K1104" t="n">
        <v>0.8304193016952756</v>
      </c>
      <c r="L1104" t="n">
        <v>0.7933268312298792</v>
      </c>
      <c r="M1104" t="n">
        <v>0.6658817989168825</v>
      </c>
      <c r="N1104" t="n">
        <v>0.5448445381015781</v>
      </c>
      <c r="O1104" t="n">
        <v>-2.450531166005375</v>
      </c>
      <c r="P1104" t="n">
        <v>-6.02121640735502</v>
      </c>
      <c r="Q1104">
        <f>'_live'!$C$20</f>
        <v/>
      </c>
      <c r="R1104" t="inlineStr">
        <is>
          <t>z test</t>
        </is>
      </c>
      <c r="S1104" t="inlineStr">
        <is>
          <t>z test</t>
        </is>
      </c>
      <c r="T1104" t="n">
        <v>0.07769102777422245</v>
      </c>
      <c r="U1104" t="n">
        <v>0.09688826025459689</v>
      </c>
      <c r="V1104">
        <f>AND(judged_band,NOT($J1104))</f>
        <v/>
      </c>
      <c r="W1104">
        <f>IF($K1104="","",IF($I1104,"too few losses to test",IF(AND($K1104&gt;better_at,$K1104&lt;worse_at),"in line",IF($K1104&gt;=worse_at,IF(AND(ISNUMBER($L1104),$L1104&lt;significance_bar),"worse","worse, not significant"),IF(AND(ISNUMBER($L1104),$L1104&lt;significance_bar),"better","better, not significant")))))</f>
        <v/>
      </c>
      <c r="X1104">
        <f>IF($M1104="","",IF($I1104,"too few losses to test",IF(AND($M1104&gt;better_at,$M1104&lt;worse_at),"in line",IF($M1104&gt;=worse_at,IF(AND(ISNUMBER($N1104),$N1104&lt;significance_bar),"worse","worse, not significant"),IF(AND(ISNUMBER($N1104),$N1104&lt;significance_bar),"better","better, not significant")))))</f>
        <v/>
      </c>
      <c r="Y1104">
        <f>IF($V1104,$X1104,$W1104)</f>
        <v/>
      </c>
      <c r="Z1104">
        <f>IF($V1104,IF($P1104="","",$P1104),IF($O1104="","",$O1104))</f>
        <v/>
      </c>
      <c r="AA1104">
        <f>IF(OR($Q1104="",$Z1104=""),"",IF(AND($Z1104&gt;0,$Z1104&gt;=$Q1104),"yes","below the line"))</f>
        <v/>
      </c>
      <c r="AB1104">
        <f>IF($V1104,IF($M1104="","",$M1104),IF($K1104="","",$K1104))</f>
        <v/>
      </c>
      <c r="AC1104">
        <f>IF($V1104,IF($N1104="","",$N1104),IF($L1104="","",$L1104))</f>
        <v/>
      </c>
      <c r="AD1104">
        <f>$Y1104</f>
        <v/>
      </c>
      <c r="AE1104">
        <f>IF($V1104,IF($S1104="","",$S1104),IF($R1104="","",$R1104))</f>
        <v/>
      </c>
      <c r="AF1104">
        <f>IF($V1104,IF($U1104="","",$U1104),IF($T1104="","",$T1104))</f>
        <v/>
      </c>
      <c r="AG1104">
        <f>IF($V1104,IF($O1104="","",$O1104),IF($P1104="","",$P1104))</f>
        <v/>
      </c>
      <c r="AH1104" t="n">
        <v>0.06451612903225806</v>
      </c>
      <c r="AI1104">
        <f>IF($Y1104="worse","Yes",IF($Y1104="worse, not significant","Not sure",IF(OR($Y1104="too few losses to test",$Y1104="too few loans to test"),"Too few losses",IF($Y1104="","","No"))))</f>
        <v/>
      </c>
      <c r="AJ1104">
        <f>IF($AA1104="yes","Yes",IF($AA1104="","","No"))</f>
        <v/>
      </c>
    </row>
    <row r="1105">
      <c r="A1105" t="inlineStr">
        <is>
          <t>three-way</t>
        </is>
      </c>
      <c r="B1105" t="inlineStr">
        <is>
          <t>ORIG_BAL x ASSET_CLASS / SYS_FLAG</t>
        </is>
      </c>
      <c r="C1105" t="inlineStr">
        <is>
          <t>15,449 - 26,323</t>
        </is>
      </c>
      <c r="D1105" t="inlineStr">
        <is>
          <t>2 / SYS_FLAG N</t>
        </is>
      </c>
      <c r="E1105" t="inlineStr">
        <is>
          <t>outcome_booked</t>
        </is>
      </c>
      <c r="F1105" t="inlineStr">
        <is>
          <t>Outcome, share of booked dollars</t>
        </is>
      </c>
      <c r="G1105" t="n">
        <v>186</v>
      </c>
      <c r="H1105" t="n">
        <v>3895849.5</v>
      </c>
      <c r="I1105" t="b">
        <v>0</v>
      </c>
      <c r="J1105" t="b">
        <v>0</v>
      </c>
      <c r="K1105" t="n">
        <v>0.8619179697949653</v>
      </c>
      <c r="L1105" t="n">
        <v>0.8613995743282814</v>
      </c>
      <c r="M1105" t="n">
        <v>0.6620248829748224</v>
      </c>
      <c r="N1105" t="n">
        <v>0.5450121654501217</v>
      </c>
      <c r="O1105" t="n">
        <v>-40338.04822480612</v>
      </c>
      <c r="P1105" t="n">
        <v>-128544.6677755117</v>
      </c>
      <c r="Q1105">
        <f>'_live'!$C$21</f>
        <v/>
      </c>
      <c r="R1105" t="inlineStr">
        <is>
          <t>shuffled: 6,331 of 10,000</t>
        </is>
      </c>
      <c r="S1105" t="inlineStr">
        <is>
          <t>shuffled: 1,532 of 10,000</t>
        </is>
      </c>
      <c r="T1105" t="n">
        <v>0.07498519853623867</v>
      </c>
      <c r="U1105" t="n">
        <v>0.0976263759099297</v>
      </c>
      <c r="V1105">
        <f>AND(judged_band,NOT($J1105))</f>
        <v/>
      </c>
      <c r="W1105">
        <f>IF($K1105="","",IF($I1105,"too few losses to test",IF(AND($K1105&gt;better_at,$K1105&lt;worse_at),"in line",IF($K1105&gt;=worse_at,IF(AND(ISNUMBER($L1105),$L1105&lt;significance_bar),"worse","worse, not significant"),IF(AND(ISNUMBER($L1105),$L1105&lt;significance_bar),"better","better, not significant")))))</f>
        <v/>
      </c>
      <c r="X1105">
        <f>IF($M1105="","",IF($I1105,"too few losses to test",IF(AND($M1105&gt;better_at,$M1105&lt;worse_at),"in line",IF($M1105&gt;=worse_at,IF(AND(ISNUMBER($N1105),$N1105&lt;significance_bar),"worse","worse, not significant"),IF(AND(ISNUMBER($N1105),$N1105&lt;significance_bar),"better","better, not significant")))))</f>
        <v/>
      </c>
      <c r="Y1105">
        <f>IF($V1105,$X1105,$W1105)</f>
        <v/>
      </c>
      <c r="Z1105">
        <f>IF($V1105,IF($P1105="","",$P1105),IF($O1105="","",$O1105))</f>
        <v/>
      </c>
      <c r="AA1105">
        <f>IF(OR($Q1105="",$Z1105=""),"",IF(AND($Z1105&gt;0,$Z1105&gt;=$Q1105),"yes","below the line"))</f>
        <v/>
      </c>
      <c r="AB1105">
        <f>IF($V1105,IF($M1105="","",$M1105),IF($K1105="","",$K1105))</f>
        <v/>
      </c>
      <c r="AC1105">
        <f>IF($V1105,IF($N1105="","",$N1105),IF($L1105="","",$L1105))</f>
        <v/>
      </c>
      <c r="AD1105">
        <f>$Y1105</f>
        <v/>
      </c>
      <c r="AE1105">
        <f>IF($V1105,IF($S1105="","",$S1105),IF($R1105="","",$R1105))</f>
        <v/>
      </c>
      <c r="AF1105">
        <f>IF($V1105,IF($U1105="","",$U1105),IF($T1105="","",$T1105))</f>
        <v/>
      </c>
      <c r="AG1105">
        <f>IF($V1105,IF($O1105="","",$O1105),IF($P1105="","",$P1105))</f>
        <v/>
      </c>
      <c r="AH1105" t="n">
        <v>0.06463109008702723</v>
      </c>
      <c r="AI1105">
        <f>IF($Y1105="worse","Yes",IF($Y1105="worse, not significant","Not sure",IF(OR($Y1105="too few losses to test",$Y1105="too few loans to test"),"Too few losses",IF($Y1105="","","No"))))</f>
        <v/>
      </c>
      <c r="AJ1105">
        <f>IF($AA1105="yes","Yes",IF($AA1105="","","No"))</f>
        <v/>
      </c>
    </row>
    <row r="1106">
      <c r="A1106" t="inlineStr">
        <is>
          <t>three-way</t>
        </is>
      </c>
      <c r="B1106" t="inlineStr">
        <is>
          <t>ORIG_BAL x ASSET_CLASS / SYS_FLAG</t>
        </is>
      </c>
      <c r="C1106" t="inlineStr">
        <is>
          <t>15,449 - 26,323</t>
        </is>
      </c>
      <c r="D1106" t="inlineStr">
        <is>
          <t>2 / SYS_FLAG N</t>
        </is>
      </c>
      <c r="E1106" t="inlineStr">
        <is>
          <t>gco_rate</t>
        </is>
      </c>
      <c r="F1106" t="inlineStr">
        <is>
          <t>GCO per booked dollar</t>
        </is>
      </c>
      <c r="G1106" t="n">
        <v>186</v>
      </c>
      <c r="H1106" t="n">
        <v>3895849.5</v>
      </c>
      <c r="I1106" t="b">
        <v>0</v>
      </c>
      <c r="J1106" t="b">
        <v>0</v>
      </c>
      <c r="K1106" t="n">
        <v>0.9213649112275079</v>
      </c>
      <c r="L1106" t="n">
        <v>0.9412575983780932</v>
      </c>
      <c r="M1106" t="n">
        <v>0.6963947579584326</v>
      </c>
      <c r="N1106" t="n">
        <v>0.6181200061812001</v>
      </c>
      <c r="O1106" t="n">
        <v>-12760.94336049934</v>
      </c>
      <c r="P1106" t="n">
        <v>-65185.62605056696</v>
      </c>
      <c r="Q1106">
        <f>'_live'!$C$22</f>
        <v/>
      </c>
      <c r="R1106" t="inlineStr">
        <is>
          <t>shuffled: 7,924 of 10,000</t>
        </is>
      </c>
      <c r="S1106" t="inlineStr">
        <is>
          <t>shuffled: 2,124 of 10,000</t>
        </is>
      </c>
      <c r="T1106" t="n">
        <v>0.04165472084085881</v>
      </c>
      <c r="U1106" t="n">
        <v>0.05511126804322574</v>
      </c>
      <c r="V1106">
        <f>AND(judged_band,NOT($J1106))</f>
        <v/>
      </c>
      <c r="W1106">
        <f>IF($K1106="","",IF($I1106,"too few losses to test",IF(AND($K1106&gt;better_at,$K1106&lt;worse_at),"in line",IF($K1106&gt;=worse_at,IF(AND(ISNUMBER($L1106),$L1106&lt;significance_bar),"worse","worse, not significant"),IF(AND(ISNUMBER($L1106),$L1106&lt;significance_bar),"better","better, not significant")))))</f>
        <v/>
      </c>
      <c r="X1106">
        <f>IF($M1106="","",IF($I1106,"too few losses to test",IF(AND($M1106&gt;better_at,$M1106&lt;worse_at),"in line",IF($M1106&gt;=worse_at,IF(AND(ISNUMBER($N1106),$N1106&lt;significance_bar),"worse","worse, not significant"),IF(AND(ISNUMBER($N1106),$N1106&lt;significance_bar),"better","better, not significant")))))</f>
        <v/>
      </c>
      <c r="Y1106">
        <f>IF($V1106,$X1106,$W1106)</f>
        <v/>
      </c>
      <c r="Z1106">
        <f>IF($V1106,IF($P1106="","",$P1106),IF($O1106="","",$O1106))</f>
        <v/>
      </c>
      <c r="AA1106">
        <f>IF(OR($Q1106="",$Z1106=""),"",IF(AND($Z1106&gt;0,$Z1106&gt;=$Q1106),"yes","below the line"))</f>
        <v/>
      </c>
      <c r="AB1106">
        <f>IF($V1106,IF($M1106="","",$M1106),IF($K1106="","",$K1106))</f>
        <v/>
      </c>
      <c r="AC1106">
        <f>IF($V1106,IF($N1106="","",$N1106),IF($L1106="","",$L1106))</f>
        <v/>
      </c>
      <c r="AD1106">
        <f>$Y1106</f>
        <v/>
      </c>
      <c r="AE1106">
        <f>IF($V1106,IF($S1106="","",$S1106),IF($R1106="","",$R1106))</f>
        <v/>
      </c>
      <c r="AF1106">
        <f>IF($V1106,IF($U1106="","",$U1106),IF($T1106="","",$T1106))</f>
        <v/>
      </c>
      <c r="AG1106">
        <f>IF($V1106,IF($O1106="","",$O1106),IF($P1106="","",$P1106))</f>
        <v/>
      </c>
      <c r="AH1106" t="n">
        <v>0.03837919816974449</v>
      </c>
      <c r="AI1106">
        <f>IF($Y1106="worse","Yes",IF($Y1106="worse, not significant","Not sure",IF(OR($Y1106="too few losses to test",$Y1106="too few loans to test"),"Too few losses",IF($Y1106="","","No"))))</f>
        <v/>
      </c>
      <c r="AJ1106">
        <f>IF($AA1106="yes","Yes",IF($AA1106="","","No"))</f>
        <v/>
      </c>
    </row>
    <row r="1107">
      <c r="A1107" t="inlineStr">
        <is>
          <t>three-way</t>
        </is>
      </c>
      <c r="B1107" t="inlineStr">
        <is>
          <t>ORIG_BAL x ASSET_CLASS / SYS_FLAG</t>
        </is>
      </c>
      <c r="C1107" t="inlineStr">
        <is>
          <t>15,449 - 26,323</t>
        </is>
      </c>
      <c r="D1107" t="inlineStr">
        <is>
          <t>2 / SYS_FLAG N</t>
        </is>
      </c>
      <c r="E1107" t="inlineStr">
        <is>
          <t>ranr_rate</t>
        </is>
      </c>
      <c r="F1107" t="inlineStr">
        <is>
          <t>Profit after losses: RANR per booked dollar</t>
        </is>
      </c>
      <c r="G1107" t="n">
        <v>186</v>
      </c>
      <c r="H1107" t="n">
        <v>3895849.5</v>
      </c>
      <c r="I1107" t="b">
        <v>0</v>
      </c>
      <c r="J1107" t="b">
        <v>0</v>
      </c>
      <c r="K1107" t="n">
        <v>-0.00252340565304579</v>
      </c>
      <c r="L1107" t="n">
        <v>0.9053453628996073</v>
      </c>
      <c r="M1107" t="n">
        <v>0.007295751900831399</v>
      </c>
      <c r="N1107" t="n">
        <v>0.8101689831016898</v>
      </c>
      <c r="O1107" t="n">
        <v>9830.808651715633</v>
      </c>
      <c r="P1107" t="n">
        <v>-28423.15139497799</v>
      </c>
      <c r="Q1107">
        <f>'_live'!$C$23</f>
        <v/>
      </c>
      <c r="R1107" t="inlineStr">
        <is>
          <t>shuffled: 8,670 of 10,000</t>
        </is>
      </c>
      <c r="S1107" t="inlineStr">
        <is>
          <t>shuffled: 6,394 of 10,000</t>
        </is>
      </c>
      <c r="T1107" t="n">
        <v>0.1280281434515671</v>
      </c>
      <c r="U1107" t="n">
        <v>0.1182089858976899</v>
      </c>
      <c r="V1107">
        <f>AND(judged_band,NOT($J1107))</f>
        <v/>
      </c>
      <c r="W1107">
        <f>IF($K1107="","",IF(profit_kind="test",IF(OR(NOT(AND(ISNUMBER($L1107),$L1107&lt;significance_bar)),$K1107=0),"in line",IF($K1107&lt;0,"worse","better")),IF(OR($K1107=0,IF(profit_kind="points",ABS($K1107),ABS($K1107*$H1107))&lt;profit_line*(1-1E-9)),"in line",IF(AND(ISNUMBER($L1107),$L1107&lt;significance_bar),IF($K1107&lt;0,"worse","better"),IF($K1107&lt;0,"worse, not significant","better, not significant")))))</f>
        <v/>
      </c>
      <c r="X1107">
        <f>IF($M1107="","",IF(profit_kind="test",IF(OR(NOT(AND(ISNUMBER($N1107),$N1107&lt;significance_bar)),$M1107=0),"in line",IF($M1107&lt;0,"worse","better")),IF(OR($M1107=0,IF(profit_kind="points",ABS($M1107),ABS($M1107*$H1107))&lt;profit_line*(1-1E-9)),"in line",IF(AND(ISNUMBER($N1107),$N1107&lt;significance_bar),IF($M1107&lt;0,"worse","better"),IF($M1107&lt;0,"worse, not significant","better, not significant")))))</f>
        <v/>
      </c>
      <c r="Y1107">
        <f>IF($V1107,$X1107,$W1107)</f>
        <v/>
      </c>
      <c r="Z1107">
        <f>IF($V1107,IF($P1107="","",$P1107),IF($O1107="","",$O1107))</f>
        <v/>
      </c>
      <c r="AA1107">
        <f>IF(OR($Q1107="",$Z1107=""),"",IF(AND($Z1107&gt;0,$Z1107&gt;=$Q1107),"yes","below the line"))</f>
        <v/>
      </c>
      <c r="AB1107">
        <f>IF($V1107,IF($M1107="","",$M1107),IF($K1107="","",$K1107))</f>
        <v/>
      </c>
      <c r="AC1107">
        <f>IF($V1107,IF($N1107="","",$N1107),IF($L1107="","",$L1107))</f>
        <v/>
      </c>
      <c r="AD1107">
        <f>IF($Y1107="","",IF($Y1107="in line",IF(profit_kind="test",IF(ROUND($AB1107*100,2)=0,"0.00",TEXT($AB1107*100,"+0.00;-0.00"))&amp;" points against "&amp;IF($V1107,"its band","the book")&amp;", "&amp;IF($AC1107="","not tested","not significant"),IF(profit_kind="points","within "&amp;TEXT(profit_line*100,"0.00")&amp;" points of "&amp;IF($V1107,"its band","the book")&amp;" ("&amp;IF(ROUND($AB1107*100,2)=0,"0.00",TEXT($AB1107*100,"+0.00;-0.00"))&amp;")","within $"&amp;TEXT(profit_line,"#,##0")&amp;" of "&amp;IF($V1107,"its band","the book")&amp;" ("&amp;IF(ROUND($AB1107*100,2)=0,"0.00",TEXT($AB1107*100,"+0.00;-0.00"))&amp;" points)")),IF(LEFT($Y1107,5)="worse","short of ","ahead of ")&amp;IF($V1107,"its band","the book")&amp;" by "&amp;TEXT(ABS($AB1107)*100,"0.00")&amp;" points"&amp;IF($Z1107="",""," ($"&amp;TEXT(ABS($Z1107),"#,##0")&amp;")")&amp;IF(RIGHT($Y1107,15)="not significant"," (not significant)","")))</f>
        <v/>
      </c>
      <c r="AE1107">
        <f>IF($V1107,IF($S1107="","",$S1107),IF($R1107="","",$R1107))</f>
        <v/>
      </c>
      <c r="AF1107">
        <f>IF($V1107,IF($U1107="","",$U1107),IF($T1107="","",$T1107))</f>
        <v/>
      </c>
      <c r="AG1107">
        <f>IF($V1107,IF($O1107="","",$O1107),IF($P1107="","",$P1107))</f>
        <v/>
      </c>
      <c r="AH1107" t="n">
        <v>0.1255047377985213</v>
      </c>
      <c r="AI1107">
        <f>IF($Y1107="worse","Yes",IF($Y1107="worse, not significant","Not sure",IF(OR($Y1107="too few losses to test",$Y1107="too few loans to test"),"Too few losses",IF($Y1107="","","No"))))</f>
        <v/>
      </c>
      <c r="AJ1107">
        <f>IF($AA1107="yes","Yes",IF($AA1107="","","No"))</f>
        <v/>
      </c>
    </row>
    <row r="1108">
      <c r="A1108" t="inlineStr">
        <is>
          <t>three-way</t>
        </is>
      </c>
      <c r="B1108" t="inlineStr">
        <is>
          <t>ORIG_BAL x ASSET_CLASS / SYS_FLAG</t>
        </is>
      </c>
      <c r="C1108" t="inlineStr">
        <is>
          <t>15,449 - 26,323</t>
        </is>
      </c>
      <c r="D1108" t="inlineStr">
        <is>
          <t>2 / SYS_FLAG N</t>
        </is>
      </c>
      <c r="E1108" t="inlineStr">
        <is>
          <t>contribution_rate</t>
        </is>
      </c>
      <c r="F1108" t="inlineStr">
        <is>
          <t>Contribution before losses per booked dollar</t>
        </is>
      </c>
      <c r="G1108" t="n">
        <v>186</v>
      </c>
      <c r="H1108" t="n">
        <v>3895849.5</v>
      </c>
      <c r="I1108" t="b">
        <v>0</v>
      </c>
      <c r="J1108" t="b">
        <v>0</v>
      </c>
      <c r="K1108" t="n">
        <v>-0.005796031194083062</v>
      </c>
      <c r="L1108" t="n">
        <v>0.9427390594273906</v>
      </c>
      <c r="M1108" t="n">
        <v>-0.009436317972649849</v>
      </c>
      <c r="N1108" t="n">
        <v>0.798978925636848</v>
      </c>
      <c r="O1108" t="n">
        <v>22580.46522945294</v>
      </c>
      <c r="P1108" t="n">
        <v>36762.47465558897</v>
      </c>
      <c r="Q1108">
        <f>'_live'!$C$24</f>
        <v/>
      </c>
      <c r="R1108" t="inlineStr">
        <is>
          <t>shuffled: 5,656 of 10,000</t>
        </is>
      </c>
      <c r="S1108" t="inlineStr">
        <is>
          <t>shuffled: 3,309 of 10,000</t>
        </is>
      </c>
      <c r="T1108" t="n">
        <v>0.1696799671623489</v>
      </c>
      <c r="U1108" t="n">
        <v>0.1733202539409157</v>
      </c>
      <c r="V1108">
        <f>AND(judged_band,NOT($J1108))</f>
        <v/>
      </c>
      <c r="W1108">
        <f>IF($K1108="","",IF(profit_kind="test",IF(OR(NOT(AND(ISNUMBER($L1108),$L1108&lt;significance_bar)),$K1108=0),"in line",IF($K1108&lt;0,"worse","better")),IF(OR($K1108=0,IF(profit_kind="points",ABS($K1108),ABS($K1108*$H1108))&lt;profit_line*(1-1E-9)),"in line",IF(AND(ISNUMBER($L1108),$L1108&lt;significance_bar),IF($K1108&lt;0,"worse","better"),IF($K1108&lt;0,"worse, not significant","better, not significant")))))</f>
        <v/>
      </c>
      <c r="X1108">
        <f>IF($M1108="","",IF(profit_kind="test",IF(OR(NOT(AND(ISNUMBER($N1108),$N1108&lt;significance_bar)),$M1108=0),"in line",IF($M1108&lt;0,"worse","better")),IF(OR($M1108=0,IF(profit_kind="points",ABS($M1108),ABS($M1108*$H1108))&lt;profit_line*(1-1E-9)),"in line",IF(AND(ISNUMBER($N1108),$N1108&lt;significance_bar),IF($M1108&lt;0,"worse","better"),IF($M1108&lt;0,"worse, not significant","better, not significant")))))</f>
        <v/>
      </c>
      <c r="Y1108">
        <f>IF($V1108,$X1108,$W1108)</f>
        <v/>
      </c>
      <c r="Z1108">
        <f>IF($V1108,IF($P1108="","",$P1108),IF($O1108="","",$O1108))</f>
        <v/>
      </c>
      <c r="AA1108">
        <f>IF(OR($Q1108="",$Z1108=""),"",IF(AND($Z1108&gt;0,$Z1108&gt;=$Q1108),"yes","below the line"))</f>
        <v/>
      </c>
      <c r="AB1108">
        <f>IF($V1108,IF($M1108="","",$M1108),IF($K1108="","",$K1108))</f>
        <v/>
      </c>
      <c r="AC1108">
        <f>IF($V1108,IF($N1108="","",$N1108),IF($L1108="","",$L1108))</f>
        <v/>
      </c>
      <c r="AD1108">
        <f>IF($Y1108="","",IF($Y1108="in line",IF(profit_kind="test",IF(ROUND($AB1108*100,2)=0,"0.00",TEXT($AB1108*100,"+0.00;-0.00"))&amp;" points against "&amp;IF($V1108,"its band","the book")&amp;", "&amp;IF($AC1108="","not tested","not significant"),IF(profit_kind="points","within "&amp;TEXT(profit_line*100,"0.00")&amp;" points of "&amp;IF($V1108,"its band","the book")&amp;" ("&amp;IF(ROUND($AB1108*100,2)=0,"0.00",TEXT($AB1108*100,"+0.00;-0.00"))&amp;")","within $"&amp;TEXT(profit_line,"#,##0")&amp;" of "&amp;IF($V1108,"its band","the book")&amp;" ("&amp;IF(ROUND($AB1108*100,2)=0,"0.00",TEXT($AB1108*100,"+0.00;-0.00"))&amp;" points)")),IF(LEFT($Y1108,5)="worse","short of ","ahead of ")&amp;IF($V1108,"its band","the book")&amp;" by "&amp;TEXT(ABS($AB1108)*100,"0.00")&amp;" points"&amp;IF($Z1108="",""," ($"&amp;TEXT(ABS($Z1108),"#,##0")&amp;")")&amp;IF(RIGHT($Y1108,15)="not significant"," (not significant)","")))</f>
        <v/>
      </c>
      <c r="AE1108">
        <f>IF($V1108,IF($S1108="","",$S1108),IF($R1108="","",$R1108))</f>
        <v/>
      </c>
      <c r="AF1108">
        <f>IF($V1108,IF($U1108="","",$U1108),IF($T1108="","",$T1108))</f>
        <v/>
      </c>
      <c r="AG1108">
        <f>IF($V1108,IF($O1108="","",$O1108),IF($P1108="","",$P1108))</f>
        <v/>
      </c>
      <c r="AH1108" t="n">
        <v>0.1638839359682658</v>
      </c>
      <c r="AI1108">
        <f>IF($Y1108="worse","Yes",IF($Y1108="worse, not significant","Not sure",IF(OR($Y1108="too few losses to test",$Y1108="too few loans to test"),"Too few losses",IF($Y1108="","","No"))))</f>
        <v/>
      </c>
      <c r="AJ1108">
        <f>IF($AA1108="yes","Yes",IF($AA1108="","","No"))</f>
        <v/>
      </c>
    </row>
    <row r="1109">
      <c r="A1109" t="inlineStr">
        <is>
          <t>three-way</t>
        </is>
      </c>
      <c r="B1109" t="inlineStr">
        <is>
          <t>ORIG_BAL x ASSET_CLASS / SYS_FLAG</t>
        </is>
      </c>
      <c r="C1109" t="inlineStr">
        <is>
          <t>5,005 - 15,448</t>
        </is>
      </c>
      <c r="D1109" t="inlineStr">
        <is>
          <t>2 / SYS_FLAG Y</t>
        </is>
      </c>
      <c r="E1109" t="inlineStr">
        <is>
          <t>outcome_loans</t>
        </is>
      </c>
      <c r="F1109" t="inlineStr">
        <is>
          <t>Outcome, share of loans</t>
        </is>
      </c>
      <c r="G1109" t="n">
        <v>160</v>
      </c>
      <c r="H1109" t="n">
        <v>160</v>
      </c>
      <c r="I1109" t="b">
        <v>0</v>
      </c>
      <c r="J1109" t="b">
        <v>0</v>
      </c>
      <c r="K1109" t="n">
        <v>1.383544435215947</v>
      </c>
      <c r="L1109" t="n">
        <v>0.4872200169526663</v>
      </c>
      <c r="M1109" t="n">
        <v>1.443396226415094</v>
      </c>
      <c r="N1109" t="n">
        <v>0.5448445381015781</v>
      </c>
      <c r="O1109" t="n">
        <v>4.712718458987116</v>
      </c>
      <c r="P1109" t="n">
        <v>5.222222222222221</v>
      </c>
      <c r="Q1109">
        <f>'_live'!$C$20</f>
        <v/>
      </c>
      <c r="R1109" t="inlineStr">
        <is>
          <t>z test</t>
        </is>
      </c>
      <c r="S1109" t="inlineStr">
        <is>
          <t>z test</t>
        </is>
      </c>
      <c r="T1109" t="n">
        <v>0.07679550963133053</v>
      </c>
      <c r="U1109" t="n">
        <v>0.07361111111111111</v>
      </c>
      <c r="V1109">
        <f>AND(judged_band,NOT($J1109))</f>
        <v/>
      </c>
      <c r="W1109">
        <f>IF($K1109="","",IF($I1109,"too few losses to test",IF(AND($K1109&gt;better_at,$K1109&lt;worse_at),"in line",IF($K1109&gt;=worse_at,IF(AND(ISNUMBER($L1109),$L1109&lt;significance_bar),"worse","worse, not significant"),IF(AND(ISNUMBER($L1109),$L1109&lt;significance_bar),"better","better, not significant")))))</f>
        <v/>
      </c>
      <c r="X1109">
        <f>IF($M1109="","",IF($I1109,"too few losses to test",IF(AND($M1109&gt;better_at,$M1109&lt;worse_at),"in line",IF($M1109&gt;=worse_at,IF(AND(ISNUMBER($N1109),$N1109&lt;significance_bar),"worse","worse, not significant"),IF(AND(ISNUMBER($N1109),$N1109&lt;significance_bar),"better","better, not significant")))))</f>
        <v/>
      </c>
      <c r="Y1109">
        <f>IF($V1109,$X1109,$W1109)</f>
        <v/>
      </c>
      <c r="Z1109">
        <f>IF($V1109,IF($P1109="","",$P1109),IF($O1109="","",$O1109))</f>
        <v/>
      </c>
      <c r="AA1109">
        <f>IF(OR($Q1109="",$Z1109=""),"",IF(AND($Z1109&gt;0,$Z1109&gt;=$Q1109),"yes","below the line"))</f>
        <v/>
      </c>
      <c r="AB1109">
        <f>IF($V1109,IF($M1109="","",$M1109),IF($K1109="","",$K1109))</f>
        <v/>
      </c>
      <c r="AC1109">
        <f>IF($V1109,IF($N1109="","",$N1109),IF($L1109="","",$L1109))</f>
        <v/>
      </c>
      <c r="AD1109">
        <f>$Y1109</f>
        <v/>
      </c>
      <c r="AE1109">
        <f>IF($V1109,IF($S1109="","",$S1109),IF($R1109="","",$R1109))</f>
        <v/>
      </c>
      <c r="AF1109">
        <f>IF($V1109,IF($U1109="","",$U1109),IF($T1109="","",$T1109))</f>
        <v/>
      </c>
      <c r="AG1109">
        <f>IF($V1109,IF($O1109="","",$O1109),IF($P1109="","",$P1109))</f>
        <v/>
      </c>
      <c r="AH1109" t="n">
        <v>0.10625</v>
      </c>
      <c r="AI1109">
        <f>IF($Y1109="worse","Yes",IF($Y1109="worse, not significant","Not sure",IF(OR($Y1109="too few losses to test",$Y1109="too few loans to test"),"Too few losses",IF($Y1109="","","No"))))</f>
        <v/>
      </c>
      <c r="AJ1109">
        <f>IF($AA1109="yes","Yes",IF($AA1109="","","No"))</f>
        <v/>
      </c>
    </row>
    <row r="1110">
      <c r="A1110" t="inlineStr">
        <is>
          <t>three-way</t>
        </is>
      </c>
      <c r="B1110" t="inlineStr">
        <is>
          <t>ORIG_BAL x ASSET_CLASS / SYS_FLAG</t>
        </is>
      </c>
      <c r="C1110" t="inlineStr">
        <is>
          <t>5,005 - 15,448</t>
        </is>
      </c>
      <c r="D1110" t="inlineStr">
        <is>
          <t>2 / SYS_FLAG Y</t>
        </is>
      </c>
      <c r="E1110" t="inlineStr">
        <is>
          <t>outcome_booked</t>
        </is>
      </c>
      <c r="F1110" t="inlineStr">
        <is>
          <t>Outcome, share of booked dollars</t>
        </is>
      </c>
      <c r="G1110" t="n">
        <v>160</v>
      </c>
      <c r="H1110" t="n">
        <v>1673345.840000001</v>
      </c>
      <c r="I1110" t="b">
        <v>0</v>
      </c>
      <c r="J1110" t="b">
        <v>0</v>
      </c>
      <c r="K1110" t="n">
        <v>1.35007884476812</v>
      </c>
      <c r="L1110" t="n">
        <v>0.6458431079968926</v>
      </c>
      <c r="M1110" t="n">
        <v>1.386926471188738</v>
      </c>
      <c r="N1110" t="n">
        <v>0.6170582941705829</v>
      </c>
      <c r="O1110" t="n">
        <v>43735.68196416959</v>
      </c>
      <c r="P1110" t="n">
        <v>47054.82612734377</v>
      </c>
      <c r="Q1110">
        <f>'_live'!$C$21</f>
        <v/>
      </c>
      <c r="R1110" t="inlineStr">
        <is>
          <t>shuffled: 2,623 of 10,000</t>
        </is>
      </c>
      <c r="S1110" t="inlineStr">
        <is>
          <t>shuffled: 2,194 of 10,000</t>
        </is>
      </c>
      <c r="T1110" t="n">
        <v>0.07465937109320472</v>
      </c>
      <c r="U1110" t="n">
        <v>0.07267583362961968</v>
      </c>
      <c r="V1110">
        <f>AND(judged_band,NOT($J1110))</f>
        <v/>
      </c>
      <c r="W1110">
        <f>IF($K1110="","",IF($I1110,"too few losses to test",IF(AND($K1110&gt;better_at,$K1110&lt;worse_at),"in line",IF($K1110&gt;=worse_at,IF(AND(ISNUMBER($L1110),$L1110&lt;significance_bar),"worse","worse, not significant"),IF(AND(ISNUMBER($L1110),$L1110&lt;significance_bar),"better","better, not significant")))))</f>
        <v/>
      </c>
      <c r="X1110">
        <f>IF($M1110="","",IF($I1110,"too few losses to test",IF(AND($M1110&gt;better_at,$M1110&lt;worse_at),"in line",IF($M1110&gt;=worse_at,IF(AND(ISNUMBER($N1110),$N1110&lt;significance_bar),"worse","worse, not significant"),IF(AND(ISNUMBER($N1110),$N1110&lt;significance_bar),"better","better, not significant")))))</f>
        <v/>
      </c>
      <c r="Y1110">
        <f>IF($V1110,$X1110,$W1110)</f>
        <v/>
      </c>
      <c r="Z1110">
        <f>IF($V1110,IF($P1110="","",$P1110),IF($O1110="","",$O1110))</f>
        <v/>
      </c>
      <c r="AA1110">
        <f>IF(OR($Q1110="",$Z1110=""),"",IF(AND($Z1110&gt;0,$Z1110&gt;=$Q1110),"yes","below the line"))</f>
        <v/>
      </c>
      <c r="AB1110">
        <f>IF($V1110,IF($M1110="","",$M1110),IF($K1110="","",$K1110))</f>
        <v/>
      </c>
      <c r="AC1110">
        <f>IF($V1110,IF($N1110="","",$N1110),IF($L1110="","",$L1110))</f>
        <v/>
      </c>
      <c r="AD1110">
        <f>$Y1110</f>
        <v/>
      </c>
      <c r="AE1110">
        <f>IF($V1110,IF($S1110="","",$S1110),IF($R1110="","",$R1110))</f>
        <v/>
      </c>
      <c r="AF1110">
        <f>IF($V1110,IF($U1110="","",$U1110),IF($T1110="","",$T1110))</f>
        <v/>
      </c>
      <c r="AG1110">
        <f>IF($V1110,IF($O1110="","",$O1110),IF($P1110="","",$P1110))</f>
        <v/>
      </c>
      <c r="AH1110" t="n">
        <v>0.1007960374766282</v>
      </c>
      <c r="AI1110">
        <f>IF($Y1110="worse","Yes",IF($Y1110="worse, not significant","Not sure",IF(OR($Y1110="too few losses to test",$Y1110="too few loans to test"),"Too few losses",IF($Y1110="","","No"))))</f>
        <v/>
      </c>
      <c r="AJ1110">
        <f>IF($AA1110="yes","Yes",IF($AA1110="","","No"))</f>
        <v/>
      </c>
    </row>
    <row r="1111">
      <c r="A1111" t="inlineStr">
        <is>
          <t>three-way</t>
        </is>
      </c>
      <c r="B1111" t="inlineStr">
        <is>
          <t>ORIG_BAL x ASSET_CLASS / SYS_FLAG</t>
        </is>
      </c>
      <c r="C1111" t="inlineStr">
        <is>
          <t>5,005 - 15,448</t>
        </is>
      </c>
      <c r="D1111" t="inlineStr">
        <is>
          <t>2 / SYS_FLAG Y</t>
        </is>
      </c>
      <c r="E1111" t="inlineStr">
        <is>
          <t>gco_rate</t>
        </is>
      </c>
      <c r="F1111" t="inlineStr">
        <is>
          <t>GCO per booked dollar</t>
        </is>
      </c>
      <c r="G1111" t="n">
        <v>160</v>
      </c>
      <c r="H1111" t="n">
        <v>1673345.840000001</v>
      </c>
      <c r="I1111" t="b">
        <v>0</v>
      </c>
      <c r="J1111" t="b">
        <v>0</v>
      </c>
      <c r="K1111" t="n">
        <v>1.380722729804561</v>
      </c>
      <c r="L1111" t="n">
        <v>0.5781575688584988</v>
      </c>
      <c r="M1111" t="n">
        <v>1.448188407025003</v>
      </c>
      <c r="N1111" t="n">
        <v>0.5641035896410359</v>
      </c>
      <c r="O1111" t="n">
        <v>26440.63284091359</v>
      </c>
      <c r="P1111" t="n">
        <v>29675.97977092744</v>
      </c>
      <c r="Q1111">
        <f>'_live'!$C$22</f>
        <v/>
      </c>
      <c r="R1111" t="inlineStr">
        <is>
          <t>shuffled: 2,348 of 10,000</t>
        </is>
      </c>
      <c r="S1111" t="inlineStr">
        <is>
          <t>shuffled: 1,762 of 10,000</t>
        </is>
      </c>
      <c r="T1111" t="n">
        <v>0.04150279368375302</v>
      </c>
      <c r="U1111" t="n">
        <v>0.03956933387366746</v>
      </c>
      <c r="V1111">
        <f>AND(judged_band,NOT($J1111))</f>
        <v/>
      </c>
      <c r="W1111">
        <f>IF($K1111="","",IF($I1111,"too few losses to test",IF(AND($K1111&gt;better_at,$K1111&lt;worse_at),"in line",IF($K1111&gt;=worse_at,IF(AND(ISNUMBER($L1111),$L1111&lt;significance_bar),"worse","worse, not significant"),IF(AND(ISNUMBER($L1111),$L1111&lt;significance_bar),"better","better, not significant")))))</f>
        <v/>
      </c>
      <c r="X1111">
        <f>IF($M1111="","",IF($I1111,"too few losses to test",IF(AND($M1111&gt;better_at,$M1111&lt;worse_at),"in line",IF($M1111&gt;=worse_at,IF(AND(ISNUMBER($N1111),$N1111&lt;significance_bar),"worse","worse, not significant"),IF(AND(ISNUMBER($N1111),$N1111&lt;significance_bar),"better","better, not significant")))))</f>
        <v/>
      </c>
      <c r="Y1111">
        <f>IF($V1111,$X1111,$W1111)</f>
        <v/>
      </c>
      <c r="Z1111">
        <f>IF($V1111,IF($P1111="","",$P1111),IF($O1111="","",$O1111))</f>
        <v/>
      </c>
      <c r="AA1111">
        <f>IF(OR($Q1111="",$Z1111=""),"",IF(AND($Z1111&gt;0,$Z1111&gt;=$Q1111),"yes","below the line"))</f>
        <v/>
      </c>
      <c r="AB1111">
        <f>IF($V1111,IF($M1111="","",$M1111),IF($K1111="","",$K1111))</f>
        <v/>
      </c>
      <c r="AC1111">
        <f>IF($V1111,IF($N1111="","",$N1111),IF($L1111="","",$L1111))</f>
        <v/>
      </c>
      <c r="AD1111">
        <f>$Y1111</f>
        <v/>
      </c>
      <c r="AE1111">
        <f>IF($V1111,IF($S1111="","",$S1111),IF($R1111="","",$R1111))</f>
        <v/>
      </c>
      <c r="AF1111">
        <f>IF($V1111,IF($U1111="","",$U1111),IF($T1111="","",$T1111))</f>
        <v/>
      </c>
      <c r="AG1111">
        <f>IF($V1111,IF($O1111="","",$O1111),IF($P1111="","",$P1111))</f>
        <v/>
      </c>
      <c r="AH1111" t="n">
        <v>0.05730385058954697</v>
      </c>
      <c r="AI1111">
        <f>IF($Y1111="worse","Yes",IF($Y1111="worse, not significant","Not sure",IF(OR($Y1111="too few losses to test",$Y1111="too few loans to test"),"Too few losses",IF($Y1111="","","No"))))</f>
        <v/>
      </c>
      <c r="AJ1111">
        <f>IF($AA1111="yes","Yes",IF($AA1111="","","No"))</f>
        <v/>
      </c>
    </row>
    <row r="1112">
      <c r="A1112" t="inlineStr">
        <is>
          <t>three-way</t>
        </is>
      </c>
      <c r="B1112" t="inlineStr">
        <is>
          <t>ORIG_BAL x ASSET_CLASS / SYS_FLAG</t>
        </is>
      </c>
      <c r="C1112" t="inlineStr">
        <is>
          <t>5,005 - 15,448</t>
        </is>
      </c>
      <c r="D1112" t="inlineStr">
        <is>
          <t>2 / SYS_FLAG Y</t>
        </is>
      </c>
      <c r="E1112" t="inlineStr">
        <is>
          <t>ranr_rate</t>
        </is>
      </c>
      <c r="F1112" t="inlineStr">
        <is>
          <t>Profit after losses: RANR per booked dollar</t>
        </is>
      </c>
      <c r="G1112" t="n">
        <v>160</v>
      </c>
      <c r="H1112" t="n">
        <v>1673345.840000001</v>
      </c>
      <c r="I1112" t="b">
        <v>0</v>
      </c>
      <c r="J1112" t="b">
        <v>0</v>
      </c>
      <c r="K1112" t="n">
        <v>-0.01683455038795376</v>
      </c>
      <c r="L1112" t="n">
        <v>0.6369889326856789</v>
      </c>
      <c r="M1112" t="n">
        <v>-0.03948550388254704</v>
      </c>
      <c r="N1112" t="n">
        <v>0.169316401693164</v>
      </c>
      <c r="O1112" t="n">
        <v>28170.02485995283</v>
      </c>
      <c r="P1112" t="n">
        <v>66072.90366216397</v>
      </c>
      <c r="Q1112">
        <f>'_live'!$C$23</f>
        <v/>
      </c>
      <c r="R1112" t="inlineStr">
        <is>
          <t>shuffled: 3,025 of 10,000</t>
        </is>
      </c>
      <c r="S1112" t="inlineStr">
        <is>
          <t>shuffled: 126 of 10,000</t>
        </is>
      </c>
      <c r="T1112" t="n">
        <v>0.1280992068321948</v>
      </c>
      <c r="U1112" t="n">
        <v>0.1507501603267881</v>
      </c>
      <c r="V1112">
        <f>AND(judged_band,NOT($J1112))</f>
        <v/>
      </c>
      <c r="W1112">
        <f>IF($K1112="","",IF(profit_kind="test",IF(OR(NOT(AND(ISNUMBER($L1112),$L1112&lt;significance_bar)),$K1112=0),"in line",IF($K1112&lt;0,"worse","better")),IF(OR($K1112=0,IF(profit_kind="points",ABS($K1112),ABS($K1112*$H1112))&lt;profit_line*(1-1E-9)),"in line",IF(AND(ISNUMBER($L1112),$L1112&lt;significance_bar),IF($K1112&lt;0,"worse","better"),IF($K1112&lt;0,"worse, not significant","better, not significant")))))</f>
        <v/>
      </c>
      <c r="X1112">
        <f>IF($M1112="","",IF(profit_kind="test",IF(OR(NOT(AND(ISNUMBER($N1112),$N1112&lt;significance_bar)),$M1112=0),"in line",IF($M1112&lt;0,"worse","better")),IF(OR($M1112=0,IF(profit_kind="points",ABS($M1112),ABS($M1112*$H1112))&lt;profit_line*(1-1E-9)),"in line",IF(AND(ISNUMBER($N1112),$N1112&lt;significance_bar),IF($M1112&lt;0,"worse","better"),IF($M1112&lt;0,"worse, not significant","better, not significant")))))</f>
        <v/>
      </c>
      <c r="Y1112">
        <f>IF($V1112,$X1112,$W1112)</f>
        <v/>
      </c>
      <c r="Z1112">
        <f>IF($V1112,IF($P1112="","",$P1112),IF($O1112="","",$O1112))</f>
        <v/>
      </c>
      <c r="AA1112">
        <f>IF(OR($Q1112="",$Z1112=""),"",IF(AND($Z1112&gt;0,$Z1112&gt;=$Q1112),"yes","below the line"))</f>
        <v/>
      </c>
      <c r="AB1112">
        <f>IF($V1112,IF($M1112="","",$M1112),IF($K1112="","",$K1112))</f>
        <v/>
      </c>
      <c r="AC1112">
        <f>IF($V1112,IF($N1112="","",$N1112),IF($L1112="","",$L1112))</f>
        <v/>
      </c>
      <c r="AD1112">
        <f>IF($Y1112="","",IF($Y1112="in line",IF(profit_kind="test",IF(ROUND($AB1112*100,2)=0,"0.00",TEXT($AB1112*100,"+0.00;-0.00"))&amp;" points against "&amp;IF($V1112,"its band","the book")&amp;", "&amp;IF($AC1112="","not tested","not significant"),IF(profit_kind="points","within "&amp;TEXT(profit_line*100,"0.00")&amp;" points of "&amp;IF($V1112,"its band","the book")&amp;" ("&amp;IF(ROUND($AB1112*100,2)=0,"0.00",TEXT($AB1112*100,"+0.00;-0.00"))&amp;")","within $"&amp;TEXT(profit_line,"#,##0")&amp;" of "&amp;IF($V1112,"its band","the book")&amp;" ("&amp;IF(ROUND($AB1112*100,2)=0,"0.00",TEXT($AB1112*100,"+0.00;-0.00"))&amp;" points)")),IF(LEFT($Y1112,5)="worse","short of ","ahead of ")&amp;IF($V1112,"its band","the book")&amp;" by "&amp;TEXT(ABS($AB1112)*100,"0.00")&amp;" points"&amp;IF($Z1112="",""," ($"&amp;TEXT(ABS($Z1112),"#,##0")&amp;")")&amp;IF(RIGHT($Y1112,15)="not significant"," (not significant)","")))</f>
        <v/>
      </c>
      <c r="AE1112">
        <f>IF($V1112,IF($S1112="","",$S1112),IF($R1112="","",$R1112))</f>
        <v/>
      </c>
      <c r="AF1112">
        <f>IF($V1112,IF($U1112="","",$U1112),IF($T1112="","",$T1112))</f>
        <v/>
      </c>
      <c r="AG1112">
        <f>IF($V1112,IF($O1112="","",$O1112),IF($P1112="","",$P1112))</f>
        <v/>
      </c>
      <c r="AH1112" t="n">
        <v>0.1112646564442411</v>
      </c>
      <c r="AI1112">
        <f>IF($Y1112="worse","Yes",IF($Y1112="worse, not significant","Not sure",IF(OR($Y1112="too few losses to test",$Y1112="too few loans to test"),"Too few losses",IF($Y1112="","","No"))))</f>
        <v/>
      </c>
      <c r="AJ1112">
        <f>IF($AA1112="yes","Yes",IF($AA1112="","","No"))</f>
        <v/>
      </c>
    </row>
    <row r="1113">
      <c r="A1113" t="inlineStr">
        <is>
          <t>three-way</t>
        </is>
      </c>
      <c r="B1113" t="inlineStr">
        <is>
          <t>ORIG_BAL x ASSET_CLASS / SYS_FLAG</t>
        </is>
      </c>
      <c r="C1113" t="inlineStr">
        <is>
          <t>5,005 - 15,448</t>
        </is>
      </c>
      <c r="D1113" t="inlineStr">
        <is>
          <t>2 / SYS_FLAG Y</t>
        </is>
      </c>
      <c r="E1113" t="inlineStr">
        <is>
          <t>contribution_rate</t>
        </is>
      </c>
      <c r="F1113" t="inlineStr">
        <is>
          <t>Contribution before losses per booked dollar</t>
        </is>
      </c>
      <c r="G1113" t="n">
        <v>160</v>
      </c>
      <c r="H1113" t="n">
        <v>1673345.840000001</v>
      </c>
      <c r="I1113" t="b">
        <v>0</v>
      </c>
      <c r="J1113" t="b">
        <v>0</v>
      </c>
      <c r="K1113" t="n">
        <v>-0.001030632469876364</v>
      </c>
      <c r="L1113" t="n">
        <v>0.9955004499550044</v>
      </c>
      <c r="M1113" t="n">
        <v>-0.02175098716666762</v>
      </c>
      <c r="N1113" t="n">
        <v>0.511948805119488</v>
      </c>
      <c r="O1113" t="n">
        <v>1724.604556036531</v>
      </c>
      <c r="P1113" t="n">
        <v>36396.92389123666</v>
      </c>
      <c r="Q1113">
        <f>'_live'!$C$24</f>
        <v/>
      </c>
      <c r="R1113" t="inlineStr">
        <is>
          <t>shuffled: 9,218 of 10,000</t>
        </is>
      </c>
      <c r="S1113" t="inlineStr">
        <is>
          <t>shuffled: 383 of 10,000</t>
        </is>
      </c>
      <c r="T1113" t="n">
        <v>0.1695991395036643</v>
      </c>
      <c r="U1113" t="n">
        <v>0.1903194942004555</v>
      </c>
      <c r="V1113">
        <f>AND(judged_band,NOT($J1113))</f>
        <v/>
      </c>
      <c r="W1113">
        <f>IF($K1113="","",IF(profit_kind="test",IF(OR(NOT(AND(ISNUMBER($L1113),$L1113&lt;significance_bar)),$K1113=0),"in line",IF($K1113&lt;0,"worse","better")),IF(OR($K1113=0,IF(profit_kind="points",ABS($K1113),ABS($K1113*$H1113))&lt;profit_line*(1-1E-9)),"in line",IF(AND(ISNUMBER($L1113),$L1113&lt;significance_bar),IF($K1113&lt;0,"worse","better"),IF($K1113&lt;0,"worse, not significant","better, not significant")))))</f>
        <v/>
      </c>
      <c r="X1113">
        <f>IF($M1113="","",IF(profit_kind="test",IF(OR(NOT(AND(ISNUMBER($N1113),$N1113&lt;significance_bar)),$M1113=0),"in line",IF($M1113&lt;0,"worse","better")),IF(OR($M1113=0,IF(profit_kind="points",ABS($M1113),ABS($M1113*$H1113))&lt;profit_line*(1-1E-9)),"in line",IF(AND(ISNUMBER($N1113),$N1113&lt;significance_bar),IF($M1113&lt;0,"worse","better"),IF($M1113&lt;0,"worse, not significant","better, not significant")))))</f>
        <v/>
      </c>
      <c r="Y1113">
        <f>IF($V1113,$X1113,$W1113)</f>
        <v/>
      </c>
      <c r="Z1113">
        <f>IF($V1113,IF($P1113="","",$P1113),IF($O1113="","",$O1113))</f>
        <v/>
      </c>
      <c r="AA1113">
        <f>IF(OR($Q1113="",$Z1113=""),"",IF(AND($Z1113&gt;0,$Z1113&gt;=$Q1113),"yes","below the line"))</f>
        <v/>
      </c>
      <c r="AB1113">
        <f>IF($V1113,IF($M1113="","",$M1113),IF($K1113="","",$K1113))</f>
        <v/>
      </c>
      <c r="AC1113">
        <f>IF($V1113,IF($N1113="","",$N1113),IF($L1113="","",$L1113))</f>
        <v/>
      </c>
      <c r="AD1113">
        <f>IF($Y1113="","",IF($Y1113="in line",IF(profit_kind="test",IF(ROUND($AB1113*100,2)=0,"0.00",TEXT($AB1113*100,"+0.00;-0.00"))&amp;" points against "&amp;IF($V1113,"its band","the book")&amp;", "&amp;IF($AC1113="","not tested","not significant"),IF(profit_kind="points","within "&amp;TEXT(profit_line*100,"0.00")&amp;" points of "&amp;IF($V1113,"its band","the book")&amp;" ("&amp;IF(ROUND($AB1113*100,2)=0,"0.00",TEXT($AB1113*100,"+0.00;-0.00"))&amp;")","within $"&amp;TEXT(profit_line,"#,##0")&amp;" of "&amp;IF($V1113,"its band","the book")&amp;" ("&amp;IF(ROUND($AB1113*100,2)=0,"0.00",TEXT($AB1113*100,"+0.00;-0.00"))&amp;" points)")),IF(LEFT($Y1113,5)="worse","short of ","ahead of ")&amp;IF($V1113,"its band","the book")&amp;" by "&amp;TEXT(ABS($AB1113)*100,"0.00")&amp;" points"&amp;IF($Z1113="",""," ($"&amp;TEXT(ABS($Z1113),"#,##0")&amp;")")&amp;IF(RIGHT($Y1113,15)="not significant"," (not significant)","")))</f>
        <v/>
      </c>
      <c r="AE1113">
        <f>IF($V1113,IF($S1113="","",$S1113),IF($R1113="","",$R1113))</f>
        <v/>
      </c>
      <c r="AF1113">
        <f>IF($V1113,IF($U1113="","",$U1113),IF($T1113="","",$T1113))</f>
        <v/>
      </c>
      <c r="AG1113">
        <f>IF($V1113,IF($O1113="","",$O1113),IF($P1113="","",$P1113))</f>
        <v/>
      </c>
      <c r="AH1113" t="n">
        <v>0.1685685070337879</v>
      </c>
      <c r="AI1113">
        <f>IF($Y1113="worse","Yes",IF($Y1113="worse, not significant","Not sure",IF(OR($Y1113="too few losses to test",$Y1113="too few loans to test"),"Too few losses",IF($Y1113="","","No"))))</f>
        <v/>
      </c>
      <c r="AJ1113">
        <f>IF($AA1113="yes","Yes",IF($AA1113="","","No"))</f>
        <v/>
      </c>
    </row>
    <row r="1114">
      <c r="A1114" t="inlineStr">
        <is>
          <t>three-way</t>
        </is>
      </c>
      <c r="B1114" t="inlineStr">
        <is>
          <t>ORIG_BAL x ASSET_CLASS / SYS_FLAG</t>
        </is>
      </c>
      <c r="C1114" t="inlineStr">
        <is>
          <t>5,005 - 15,448</t>
        </is>
      </c>
      <c r="D1114" t="inlineStr">
        <is>
          <t>1 / SYS_FLAG Y</t>
        </is>
      </c>
      <c r="E1114" t="inlineStr">
        <is>
          <t>outcome_loans</t>
        </is>
      </c>
      <c r="F1114" t="inlineStr">
        <is>
          <t>Outcome, share of loans</t>
        </is>
      </c>
      <c r="G1114" t="n">
        <v>180</v>
      </c>
      <c r="H1114" t="n">
        <v>180</v>
      </c>
      <c r="I1114" t="b">
        <v>0</v>
      </c>
      <c r="J1114" t="b">
        <v>0</v>
      </c>
      <c r="K1114" t="n">
        <v>1.300998336106489</v>
      </c>
      <c r="L1114" t="n">
        <v>0.5639229556355464</v>
      </c>
      <c r="M1114" t="n">
        <v>1.352380952380952</v>
      </c>
      <c r="N1114" t="n">
        <v>0.57171124817441</v>
      </c>
      <c r="O1114" t="n">
        <v>4.164471159994884</v>
      </c>
      <c r="P1114" t="n">
        <v>4.690140845070422</v>
      </c>
      <c r="Q1114">
        <f>'_live'!$C$20</f>
        <v/>
      </c>
      <c r="R1114" t="inlineStr">
        <is>
          <t>z test</t>
        </is>
      </c>
      <c r="S1114" t="inlineStr">
        <is>
          <t>z test</t>
        </is>
      </c>
      <c r="T1114" t="n">
        <v>0.07686404911113953</v>
      </c>
      <c r="U1114" t="n">
        <v>0.07394366197183098</v>
      </c>
      <c r="V1114">
        <f>AND(judged_band,NOT($J1114))</f>
        <v/>
      </c>
      <c r="W1114">
        <f>IF($K1114="","",IF($I1114,"too few losses to test",IF(AND($K1114&gt;better_at,$K1114&lt;worse_at),"in line",IF($K1114&gt;=worse_at,IF(AND(ISNUMBER($L1114),$L1114&lt;significance_bar),"worse","worse, not significant"),IF(AND(ISNUMBER($L1114),$L1114&lt;significance_bar),"better","better, not significant")))))</f>
        <v/>
      </c>
      <c r="X1114">
        <f>IF($M1114="","",IF($I1114,"too few losses to test",IF(AND($M1114&gt;better_at,$M1114&lt;worse_at),"in line",IF($M1114&gt;=worse_at,IF(AND(ISNUMBER($N1114),$N1114&lt;significance_bar),"worse","worse, not significant"),IF(AND(ISNUMBER($N1114),$N1114&lt;significance_bar),"better","better, not significant")))))</f>
        <v/>
      </c>
      <c r="Y1114">
        <f>IF($V1114,$X1114,$W1114)</f>
        <v/>
      </c>
      <c r="Z1114">
        <f>IF($V1114,IF($P1114="","",$P1114),IF($O1114="","",$O1114))</f>
        <v/>
      </c>
      <c r="AA1114">
        <f>IF(OR($Q1114="",$Z1114=""),"",IF(AND($Z1114&gt;0,$Z1114&gt;=$Q1114),"yes","below the line"))</f>
        <v/>
      </c>
      <c r="AB1114">
        <f>IF($V1114,IF($M1114="","",$M1114),IF($K1114="","",$K1114))</f>
        <v/>
      </c>
      <c r="AC1114">
        <f>IF($V1114,IF($N1114="","",$N1114),IF($L1114="","",$L1114))</f>
        <v/>
      </c>
      <c r="AD1114">
        <f>$Y1114</f>
        <v/>
      </c>
      <c r="AE1114">
        <f>IF($V1114,IF($S1114="","",$S1114),IF($R1114="","",$R1114))</f>
        <v/>
      </c>
      <c r="AF1114">
        <f>IF($V1114,IF($U1114="","",$U1114),IF($T1114="","",$T1114))</f>
        <v/>
      </c>
      <c r="AG1114">
        <f>IF($V1114,IF($O1114="","",$O1114),IF($P1114="","",$P1114))</f>
        <v/>
      </c>
      <c r="AH1114" t="n">
        <v>0.1</v>
      </c>
      <c r="AI1114">
        <f>IF($Y1114="worse","Yes",IF($Y1114="worse, not significant","Not sure",IF(OR($Y1114="too few losses to test",$Y1114="too few loans to test"),"Too few losses",IF($Y1114="","","No"))))</f>
        <v/>
      </c>
      <c r="AJ1114">
        <f>IF($AA1114="yes","Yes",IF($AA1114="","","No"))</f>
        <v/>
      </c>
    </row>
    <row r="1115">
      <c r="A1115" t="inlineStr">
        <is>
          <t>three-way</t>
        </is>
      </c>
      <c r="B1115" t="inlineStr">
        <is>
          <t>ORIG_BAL x ASSET_CLASS / SYS_FLAG</t>
        </is>
      </c>
      <c r="C1115" t="inlineStr">
        <is>
          <t>5,005 - 15,448</t>
        </is>
      </c>
      <c r="D1115" t="inlineStr">
        <is>
          <t>1 / SYS_FLAG Y</t>
        </is>
      </c>
      <c r="E1115" t="inlineStr">
        <is>
          <t>outcome_booked</t>
        </is>
      </c>
      <c r="F1115" t="inlineStr">
        <is>
          <t>Outcome, share of booked dollars</t>
        </is>
      </c>
      <c r="G1115" t="n">
        <v>180</v>
      </c>
      <c r="H1115" t="n">
        <v>1829411.92</v>
      </c>
      <c r="I1115" t="b">
        <v>0</v>
      </c>
      <c r="J1115" t="b">
        <v>0</v>
      </c>
      <c r="K1115" t="n">
        <v>1.263986302073374</v>
      </c>
      <c r="L1115" t="n">
        <v>0.7069410705988224</v>
      </c>
      <c r="M1115" t="n">
        <v>1.290003065634888</v>
      </c>
      <c r="N1115" t="n">
        <v>0.6170582941705829</v>
      </c>
      <c r="O1115" t="n">
        <v>36070.32009111394</v>
      </c>
      <c r="P1115" t="n">
        <v>38826.01498563983</v>
      </c>
      <c r="Q1115">
        <f>'_live'!$C$21</f>
        <v/>
      </c>
      <c r="R1115" t="inlineStr">
        <is>
          <t>shuffled: 3,755 of 10,000</t>
        </is>
      </c>
      <c r="S1115" t="inlineStr">
        <is>
          <t>shuffled: 3,300 of 10,000</t>
        </is>
      </c>
      <c r="T1115" t="n">
        <v>0.07468907817594524</v>
      </c>
      <c r="U1115" t="n">
        <v>0.07318274990487664</v>
      </c>
      <c r="V1115">
        <f>AND(judged_band,NOT($J1115))</f>
        <v/>
      </c>
      <c r="W1115">
        <f>IF($K1115="","",IF($I1115,"too few losses to test",IF(AND($K1115&gt;better_at,$K1115&lt;worse_at),"in line",IF($K1115&gt;=worse_at,IF(AND(ISNUMBER($L1115),$L1115&lt;significance_bar),"worse","worse, not significant"),IF(AND(ISNUMBER($L1115),$L1115&lt;significance_bar),"better","better, not significant")))))</f>
        <v/>
      </c>
      <c r="X1115">
        <f>IF($M1115="","",IF($I1115,"too few losses to test",IF(AND($M1115&gt;better_at,$M1115&lt;worse_at),"in line",IF($M1115&gt;=worse_at,IF(AND(ISNUMBER($N1115),$N1115&lt;significance_bar),"worse","worse, not significant"),IF(AND(ISNUMBER($N1115),$N1115&lt;significance_bar),"better","better, not significant")))))</f>
        <v/>
      </c>
      <c r="Y1115">
        <f>IF($V1115,$X1115,$W1115)</f>
        <v/>
      </c>
      <c r="Z1115">
        <f>IF($V1115,IF($P1115="","",$P1115),IF($O1115="","",$O1115))</f>
        <v/>
      </c>
      <c r="AA1115">
        <f>IF(OR($Q1115="",$Z1115=""),"",IF(AND($Z1115&gt;0,$Z1115&gt;=$Q1115),"yes","below the line"))</f>
        <v/>
      </c>
      <c r="AB1115">
        <f>IF($V1115,IF($M1115="","",$M1115),IF($K1115="","",$K1115))</f>
        <v/>
      </c>
      <c r="AC1115">
        <f>IF($V1115,IF($N1115="","",$N1115),IF($L1115="","",$L1115))</f>
        <v/>
      </c>
      <c r="AD1115">
        <f>$Y1115</f>
        <v/>
      </c>
      <c r="AE1115">
        <f>IF($V1115,IF($S1115="","",$S1115),IF($R1115="","",$R1115))</f>
        <v/>
      </c>
      <c r="AF1115">
        <f>IF($V1115,IF($U1115="","",$U1115),IF($T1115="","",$T1115))</f>
        <v/>
      </c>
      <c r="AG1115">
        <f>IF($V1115,IF($O1115="","",$O1115),IF($P1115="","",$P1115))</f>
        <v/>
      </c>
      <c r="AH1115" t="n">
        <v>0.09440597172888215</v>
      </c>
      <c r="AI1115">
        <f>IF($Y1115="worse","Yes",IF($Y1115="worse, not significant","Not sure",IF(OR($Y1115="too few losses to test",$Y1115="too few loans to test"),"Too few losses",IF($Y1115="","","No"))))</f>
        <v/>
      </c>
      <c r="AJ1115">
        <f>IF($AA1115="yes","Yes",IF($AA1115="","","No"))</f>
        <v/>
      </c>
    </row>
    <row r="1116">
      <c r="A1116" t="inlineStr">
        <is>
          <t>three-way</t>
        </is>
      </c>
      <c r="B1116" t="inlineStr">
        <is>
          <t>ORIG_BAL x ASSET_CLASS / SYS_FLAG</t>
        </is>
      </c>
      <c r="C1116" t="inlineStr">
        <is>
          <t>5,005 - 15,448</t>
        </is>
      </c>
      <c r="D1116" t="inlineStr">
        <is>
          <t>1 / SYS_FLAG Y</t>
        </is>
      </c>
      <c r="E1116" t="inlineStr">
        <is>
          <t>gco_rate</t>
        </is>
      </c>
      <c r="F1116" t="inlineStr">
        <is>
          <t>GCO per booked dollar</t>
        </is>
      </c>
      <c r="G1116" t="n">
        <v>180</v>
      </c>
      <c r="H1116" t="n">
        <v>1829411.92</v>
      </c>
      <c r="I1116" t="b">
        <v>0</v>
      </c>
      <c r="J1116" t="b">
        <v>0</v>
      </c>
      <c r="K1116" t="n">
        <v>1.148161021326477</v>
      </c>
      <c r="L1116" t="n">
        <v>0.9412575983780932</v>
      </c>
      <c r="M1116" t="n">
        <v>1.175514397952917</v>
      </c>
      <c r="N1116" t="n">
        <v>0.7896543678965436</v>
      </c>
      <c r="O1116" t="n">
        <v>11265.1712043802</v>
      </c>
      <c r="P1116" t="n">
        <v>13034.41151460445</v>
      </c>
      <c r="Q1116">
        <f>'_live'!$C$22</f>
        <v/>
      </c>
      <c r="R1116" t="inlineStr">
        <is>
          <t>shuffled: 6,310 of 10,000</t>
        </is>
      </c>
      <c r="S1116" t="inlineStr">
        <is>
          <t>shuffled: 5,708 of 10,000</t>
        </is>
      </c>
      <c r="T1116" t="n">
        <v>0.04156160674607379</v>
      </c>
      <c r="U1116" t="n">
        <v>0.04059449797692122</v>
      </c>
      <c r="V1116">
        <f>AND(judged_band,NOT($J1116))</f>
        <v/>
      </c>
      <c r="W1116">
        <f>IF($K1116="","",IF($I1116,"too few losses to test",IF(AND($K1116&gt;better_at,$K1116&lt;worse_at),"in line",IF($K1116&gt;=worse_at,IF(AND(ISNUMBER($L1116),$L1116&lt;significance_bar),"worse","worse, not significant"),IF(AND(ISNUMBER($L1116),$L1116&lt;significance_bar),"better","better, not significant")))))</f>
        <v/>
      </c>
      <c r="X1116">
        <f>IF($M1116="","",IF($I1116,"too few losses to test",IF(AND($M1116&gt;better_at,$M1116&lt;worse_at),"in line",IF($M1116&gt;=worse_at,IF(AND(ISNUMBER($N1116),$N1116&lt;significance_bar),"worse","worse, not significant"),IF(AND(ISNUMBER($N1116),$N1116&lt;significance_bar),"better","better, not significant")))))</f>
        <v/>
      </c>
      <c r="Y1116">
        <f>IF($V1116,$X1116,$W1116)</f>
        <v/>
      </c>
      <c r="Z1116">
        <f>IF($V1116,IF($P1116="","",$P1116),IF($O1116="","",$O1116))</f>
        <v/>
      </c>
      <c r="AA1116">
        <f>IF(OR($Q1116="",$Z1116=""),"",IF(AND($Z1116&gt;0,$Z1116&gt;=$Q1116),"yes","below the line"))</f>
        <v/>
      </c>
      <c r="AB1116">
        <f>IF($V1116,IF($M1116="","",$M1116),IF($K1116="","",$K1116))</f>
        <v/>
      </c>
      <c r="AC1116">
        <f>IF($V1116,IF($N1116="","",$N1116),IF($L1116="","",$L1116))</f>
        <v/>
      </c>
      <c r="AD1116">
        <f>$Y1116</f>
        <v/>
      </c>
      <c r="AE1116">
        <f>IF($V1116,IF($S1116="","",$S1116),IF($R1116="","",$R1116))</f>
        <v/>
      </c>
      <c r="AF1116">
        <f>IF($V1116,IF($U1116="","",$U1116),IF($T1116="","",$T1116))</f>
        <v/>
      </c>
      <c r="AG1116">
        <f>IF($V1116,IF($O1116="","",$O1116),IF($P1116="","",$P1116))</f>
        <v/>
      </c>
      <c r="AH1116" t="n">
        <v>0.04771941684954147</v>
      </c>
      <c r="AI1116">
        <f>IF($Y1116="worse","Yes",IF($Y1116="worse, not significant","Not sure",IF(OR($Y1116="too few losses to test",$Y1116="too few loans to test"),"Too few losses",IF($Y1116="","","No"))))</f>
        <v/>
      </c>
      <c r="AJ1116">
        <f>IF($AA1116="yes","Yes",IF($AA1116="","","No"))</f>
        <v/>
      </c>
    </row>
    <row r="1117">
      <c r="A1117" t="inlineStr">
        <is>
          <t>three-way</t>
        </is>
      </c>
      <c r="B1117" t="inlineStr">
        <is>
          <t>ORIG_BAL x ASSET_CLASS / SYS_FLAG</t>
        </is>
      </c>
      <c r="C1117" t="inlineStr">
        <is>
          <t>5,005 - 15,448</t>
        </is>
      </c>
      <c r="D1117" t="inlineStr">
        <is>
          <t>1 / SYS_FLAG Y</t>
        </is>
      </c>
      <c r="E1117" t="inlineStr">
        <is>
          <t>ranr_rate</t>
        </is>
      </c>
      <c r="F1117" t="inlineStr">
        <is>
          <t>Profit after losses: RANR per booked dollar</t>
        </is>
      </c>
      <c r="G1117" t="n">
        <v>180</v>
      </c>
      <c r="H1117" t="n">
        <v>1829411.92</v>
      </c>
      <c r="I1117" t="b">
        <v>0</v>
      </c>
      <c r="J1117" t="b">
        <v>0</v>
      </c>
      <c r="K1117" t="n">
        <v>0.01726018897133344</v>
      </c>
      <c r="L1117" t="n">
        <v>0.5817196058171961</v>
      </c>
      <c r="M1117" t="n">
        <v>-0.001749134714166573</v>
      </c>
      <c r="N1117" t="n">
        <v>0.9519048095190481</v>
      </c>
      <c r="O1117" t="n">
        <v>-31575.99544560994</v>
      </c>
      <c r="P1117" t="n">
        <v>3199.887895782129</v>
      </c>
      <c r="Q1117">
        <f>'_live'!$C$23</f>
        <v/>
      </c>
      <c r="R1117" t="inlineStr">
        <is>
          <t>shuffled: 2,617 of 10,000</t>
        </is>
      </c>
      <c r="S1117" t="inlineStr">
        <is>
          <t>shuffled: 9,033 of 10,000</t>
        </is>
      </c>
      <c r="T1117" t="n">
        <v>0.1278676945290649</v>
      </c>
      <c r="U1117" t="n">
        <v>0.1468770182145649</v>
      </c>
      <c r="V1117">
        <f>AND(judged_band,NOT($J1117))</f>
        <v/>
      </c>
      <c r="W1117">
        <f>IF($K1117="","",IF(profit_kind="test",IF(OR(NOT(AND(ISNUMBER($L1117),$L1117&lt;significance_bar)),$K1117=0),"in line",IF($K1117&lt;0,"worse","better")),IF(OR($K1117=0,IF(profit_kind="points",ABS($K1117),ABS($K1117*$H1117))&lt;profit_line*(1-1E-9)),"in line",IF(AND(ISNUMBER($L1117),$L1117&lt;significance_bar),IF($K1117&lt;0,"worse","better"),IF($K1117&lt;0,"worse, not significant","better, not significant")))))</f>
        <v/>
      </c>
      <c r="X1117">
        <f>IF($M1117="","",IF(profit_kind="test",IF(OR(NOT(AND(ISNUMBER($N1117),$N1117&lt;significance_bar)),$M1117=0),"in line",IF($M1117&lt;0,"worse","better")),IF(OR($M1117=0,IF(profit_kind="points",ABS($M1117),ABS($M1117*$H1117))&lt;profit_line*(1-1E-9)),"in line",IF(AND(ISNUMBER($N1117),$N1117&lt;significance_bar),IF($M1117&lt;0,"worse","better"),IF($M1117&lt;0,"worse, not significant","better, not significant")))))</f>
        <v/>
      </c>
      <c r="Y1117">
        <f>IF($V1117,$X1117,$W1117)</f>
        <v/>
      </c>
      <c r="Z1117">
        <f>IF($V1117,IF($P1117="","",$P1117),IF($O1117="","",$O1117))</f>
        <v/>
      </c>
      <c r="AA1117">
        <f>IF(OR($Q1117="",$Z1117=""),"",IF(AND($Z1117&gt;0,$Z1117&gt;=$Q1117),"yes","below the line"))</f>
        <v/>
      </c>
      <c r="AB1117">
        <f>IF($V1117,IF($M1117="","",$M1117),IF($K1117="","",$K1117))</f>
        <v/>
      </c>
      <c r="AC1117">
        <f>IF($V1117,IF($N1117="","",$N1117),IF($L1117="","",$L1117))</f>
        <v/>
      </c>
      <c r="AD1117">
        <f>IF($Y1117="","",IF($Y1117="in line",IF(profit_kind="test",IF(ROUND($AB1117*100,2)=0,"0.00",TEXT($AB1117*100,"+0.00;-0.00"))&amp;" points against "&amp;IF($V1117,"its band","the book")&amp;", "&amp;IF($AC1117="","not tested","not significant"),IF(profit_kind="points","within "&amp;TEXT(profit_line*100,"0.00")&amp;" points of "&amp;IF($V1117,"its band","the book")&amp;" ("&amp;IF(ROUND($AB1117*100,2)=0,"0.00",TEXT($AB1117*100,"+0.00;-0.00"))&amp;")","within $"&amp;TEXT(profit_line,"#,##0")&amp;" of "&amp;IF($V1117,"its band","the book")&amp;" ("&amp;IF(ROUND($AB1117*100,2)=0,"0.00",TEXT($AB1117*100,"+0.00;-0.00"))&amp;" points)")),IF(LEFT($Y1117,5)="worse","short of ","ahead of ")&amp;IF($V1117,"its band","the book")&amp;" by "&amp;TEXT(ABS($AB1117)*100,"0.00")&amp;" points"&amp;IF($Z1117="",""," ($"&amp;TEXT(ABS($Z1117),"#,##0")&amp;")")&amp;IF(RIGHT($Y1117,15)="not significant"," (not significant)","")))</f>
        <v/>
      </c>
      <c r="AE1117">
        <f>IF($V1117,IF($S1117="","",$S1117),IF($R1117="","",$R1117))</f>
        <v/>
      </c>
      <c r="AF1117">
        <f>IF($V1117,IF($U1117="","",$U1117),IF($T1117="","",$T1117))</f>
        <v/>
      </c>
      <c r="AG1117">
        <f>IF($V1117,IF($O1117="","",$O1117),IF($P1117="","",$P1117))</f>
        <v/>
      </c>
      <c r="AH1117" t="n">
        <v>0.1451278835003983</v>
      </c>
      <c r="AI1117">
        <f>IF($Y1117="worse","Yes",IF($Y1117="worse, not significant","Not sure",IF(OR($Y1117="too few losses to test",$Y1117="too few loans to test"),"Too few losses",IF($Y1117="","","No"))))</f>
        <v/>
      </c>
      <c r="AJ1117">
        <f>IF($AA1117="yes","Yes",IF($AA1117="","","No"))</f>
        <v/>
      </c>
    </row>
    <row r="1118">
      <c r="A1118" t="inlineStr">
        <is>
          <t>three-way</t>
        </is>
      </c>
      <c r="B1118" t="inlineStr">
        <is>
          <t>ORIG_BAL x ASSET_CLASS / SYS_FLAG</t>
        </is>
      </c>
      <c r="C1118" t="inlineStr">
        <is>
          <t>5,005 - 15,448</t>
        </is>
      </c>
      <c r="D1118" t="inlineStr">
        <is>
          <t>1 / SYS_FLAG Y</t>
        </is>
      </c>
      <c r="E1118" t="inlineStr">
        <is>
          <t>contribution_rate</t>
        </is>
      </c>
      <c r="F1118" t="inlineStr">
        <is>
          <t>Contribution before losses per booked dollar</t>
        </is>
      </c>
      <c r="G1118" t="n">
        <v>180</v>
      </c>
      <c r="H1118" t="n">
        <v>1829411.92</v>
      </c>
      <c r="I1118" t="b">
        <v>0</v>
      </c>
      <c r="J1118" t="b">
        <v>0</v>
      </c>
      <c r="K1118" t="n">
        <v>0.02342089769038372</v>
      </c>
      <c r="L1118" t="n">
        <v>0.168649801686498</v>
      </c>
      <c r="M1118" t="n">
        <v>0.005375784158453717</v>
      </c>
      <c r="N1118" t="n">
        <v>0.892759208927592</v>
      </c>
      <c r="O1118" t="n">
        <v>-42846.46941188845</v>
      </c>
      <c r="P1118" t="n">
        <v>-9834.523618822393</v>
      </c>
      <c r="Q1118">
        <f>'_live'!$C$24</f>
        <v/>
      </c>
      <c r="R1118" t="inlineStr">
        <is>
          <t>shuffled: 196 of 10,000</t>
        </is>
      </c>
      <c r="S1118" t="inlineStr">
        <is>
          <t>shuffled: 5,831 of 10,000</t>
        </is>
      </c>
      <c r="T1118" t="n">
        <v>0.1694264026595561</v>
      </c>
      <c r="U1118" t="n">
        <v>0.1874715161914861</v>
      </c>
      <c r="V1118">
        <f>AND(judged_band,NOT($J1118))</f>
        <v/>
      </c>
      <c r="W1118">
        <f>IF($K1118="","",IF(profit_kind="test",IF(OR(NOT(AND(ISNUMBER($L1118),$L1118&lt;significance_bar)),$K1118=0),"in line",IF($K1118&lt;0,"worse","better")),IF(OR($K1118=0,IF(profit_kind="points",ABS($K1118),ABS($K1118*$H1118))&lt;profit_line*(1-1E-9)),"in line",IF(AND(ISNUMBER($L1118),$L1118&lt;significance_bar),IF($K1118&lt;0,"worse","better"),IF($K1118&lt;0,"worse, not significant","better, not significant")))))</f>
        <v/>
      </c>
      <c r="X1118">
        <f>IF($M1118="","",IF(profit_kind="test",IF(OR(NOT(AND(ISNUMBER($N1118),$N1118&lt;significance_bar)),$M1118=0),"in line",IF($M1118&lt;0,"worse","better")),IF(OR($M1118=0,IF(profit_kind="points",ABS($M1118),ABS($M1118*$H1118))&lt;profit_line*(1-1E-9)),"in line",IF(AND(ISNUMBER($N1118),$N1118&lt;significance_bar),IF($M1118&lt;0,"worse","better"),IF($M1118&lt;0,"worse, not significant","better, not significant")))))</f>
        <v/>
      </c>
      <c r="Y1118">
        <f>IF($V1118,$X1118,$W1118)</f>
        <v/>
      </c>
      <c r="Z1118">
        <f>IF($V1118,IF($P1118="","",$P1118),IF($O1118="","",$O1118))</f>
        <v/>
      </c>
      <c r="AA1118">
        <f>IF(OR($Q1118="",$Z1118=""),"",IF(AND($Z1118&gt;0,$Z1118&gt;=$Q1118),"yes","below the line"))</f>
        <v/>
      </c>
      <c r="AB1118">
        <f>IF($V1118,IF($M1118="","",$M1118),IF($K1118="","",$K1118))</f>
        <v/>
      </c>
      <c r="AC1118">
        <f>IF($V1118,IF($N1118="","",$N1118),IF($L1118="","",$L1118))</f>
        <v/>
      </c>
      <c r="AD1118">
        <f>IF($Y1118="","",IF($Y1118="in line",IF(profit_kind="test",IF(ROUND($AB1118*100,2)=0,"0.00",TEXT($AB1118*100,"+0.00;-0.00"))&amp;" points against "&amp;IF($V1118,"its band","the book")&amp;", "&amp;IF($AC1118="","not tested","not significant"),IF(profit_kind="points","within "&amp;TEXT(profit_line*100,"0.00")&amp;" points of "&amp;IF($V1118,"its band","the book")&amp;" ("&amp;IF(ROUND($AB1118*100,2)=0,"0.00",TEXT($AB1118*100,"+0.00;-0.00"))&amp;")","within $"&amp;TEXT(profit_line,"#,##0")&amp;" of "&amp;IF($V1118,"its band","the book")&amp;" ("&amp;IF(ROUND($AB1118*100,2)=0,"0.00",TEXT($AB1118*100,"+0.00;-0.00"))&amp;" points)")),IF(LEFT($Y1118,5)="worse","short of ","ahead of ")&amp;IF($V1118,"its band","the book")&amp;" by "&amp;TEXT(ABS($AB1118)*100,"0.00")&amp;" points"&amp;IF($Z1118="",""," ($"&amp;TEXT(ABS($Z1118),"#,##0")&amp;")")&amp;IF(RIGHT($Y1118,15)="not significant"," (not significant)","")))</f>
        <v/>
      </c>
      <c r="AE1118">
        <f>IF($V1118,IF($S1118="","",$S1118),IF($R1118="","",$R1118))</f>
        <v/>
      </c>
      <c r="AF1118">
        <f>IF($V1118,IF($U1118="","",$U1118),IF($T1118="","",$T1118))</f>
        <v/>
      </c>
      <c r="AG1118">
        <f>IF($V1118,IF($O1118="","",$O1118),IF($P1118="","",$P1118))</f>
        <v/>
      </c>
      <c r="AH1118" t="n">
        <v>0.1928473003499398</v>
      </c>
      <c r="AI1118">
        <f>IF($Y1118="worse","Yes",IF($Y1118="worse, not significant","Not sure",IF(OR($Y1118="too few losses to test",$Y1118="too few loans to test"),"Too few losses",IF($Y1118="","","No"))))</f>
        <v/>
      </c>
      <c r="AJ1118">
        <f>IF($AA1118="yes","Yes",IF($AA1118="","","No"))</f>
        <v/>
      </c>
    </row>
    <row r="1119">
      <c r="A1119" t="inlineStr">
        <is>
          <t>three-way</t>
        </is>
      </c>
      <c r="B1119" t="inlineStr">
        <is>
          <t>ORIG_BAL x ASSET_CLASS / SYS_FLAG</t>
        </is>
      </c>
      <c r="C1119" t="inlineStr">
        <is>
          <t>37,951 - 49,151</t>
        </is>
      </c>
      <c r="D1119" t="inlineStr">
        <is>
          <t>2 / SYS_FLAG N</t>
        </is>
      </c>
      <c r="E1119" t="inlineStr">
        <is>
          <t>outcome_loans</t>
        </is>
      </c>
      <c r="F1119" t="inlineStr">
        <is>
          <t>Outcome, share of loans</t>
        </is>
      </c>
      <c r="G1119" t="n">
        <v>221</v>
      </c>
      <c r="H1119" t="n">
        <v>221</v>
      </c>
      <c r="I1119" t="b">
        <v>1</v>
      </c>
      <c r="J1119" t="b">
        <v>0</v>
      </c>
      <c r="K1119" t="n">
        <v>0.5192641495438024</v>
      </c>
      <c r="M1119" t="n">
        <v>0.4492669683257919</v>
      </c>
      <c r="O1119" t="n">
        <v>-8.332219079454873</v>
      </c>
      <c r="P1119" t="n">
        <v>-11.03263234227701</v>
      </c>
      <c r="Q1119">
        <f>'_live'!$C$20</f>
        <v/>
      </c>
      <c r="T1119" t="n">
        <v>0.07842633067626639</v>
      </c>
      <c r="U1119" t="n">
        <v>0.09064539521392313</v>
      </c>
      <c r="V1119">
        <f>AND(judged_band,NOT($J1119))</f>
        <v/>
      </c>
      <c r="W1119">
        <f>IF($K1119="","",IF($I1119,"too few losses to test",IF(AND($K1119&gt;better_at,$K1119&lt;worse_at),"in line",IF($K1119&gt;=worse_at,IF(AND(ISNUMBER($L1119),$L1119&lt;significance_bar),"worse","worse, not significant"),IF(AND(ISNUMBER($L1119),$L1119&lt;significance_bar),"better","better, not significant")))))</f>
        <v/>
      </c>
      <c r="X1119">
        <f>IF($M1119="","",IF($I1119,"too few losses to test",IF(AND($M1119&gt;better_at,$M1119&lt;worse_at),"in line",IF($M1119&gt;=worse_at,IF(AND(ISNUMBER($N1119),$N1119&lt;significance_bar),"worse","worse, not significant"),IF(AND(ISNUMBER($N1119),$N1119&lt;significance_bar),"better","better, not significant")))))</f>
        <v/>
      </c>
      <c r="Y1119">
        <f>IF($V1119,$X1119,$W1119)</f>
        <v/>
      </c>
      <c r="Z1119">
        <f>IF($V1119,IF($P1119="","",$P1119),IF($O1119="","",$O1119))</f>
        <v/>
      </c>
      <c r="AA1119">
        <f>IF(OR($Q1119="",$Z1119=""),"",IF(AND($Z1119&gt;0,$Z1119&gt;=$Q1119),"yes","below the line"))</f>
        <v/>
      </c>
      <c r="AB1119">
        <f>IF($V1119,IF($M1119="","",$M1119),IF($K1119="","",$K1119))</f>
        <v/>
      </c>
      <c r="AC1119">
        <f>IF($V1119,IF($N1119="","",$N1119),IF($L1119="","",$L1119))</f>
        <v/>
      </c>
      <c r="AD1119">
        <f>$Y1119</f>
        <v/>
      </c>
      <c r="AE1119">
        <f>IF($V1119,IF($S1119="","",$S1119),IF($R1119="","",$R1119))</f>
        <v/>
      </c>
      <c r="AF1119">
        <f>IF($V1119,IF($U1119="","",$U1119),IF($T1119="","",$T1119))</f>
        <v/>
      </c>
      <c r="AG1119">
        <f>IF($V1119,IF($O1119="","",$O1119),IF($P1119="","",$P1119))</f>
        <v/>
      </c>
      <c r="AH1119" t="n">
        <v>0.04072398190045249</v>
      </c>
      <c r="AI1119">
        <f>IF($Y1119="worse","Yes",IF($Y1119="worse, not significant","Not sure",IF(OR($Y1119="too few losses to test",$Y1119="too few loans to test"),"Too few losses",IF($Y1119="","","No"))))</f>
        <v/>
      </c>
      <c r="AJ1119">
        <f>IF($AA1119="yes","Yes",IF($AA1119="","","No"))</f>
        <v/>
      </c>
    </row>
    <row r="1120">
      <c r="A1120" t="inlineStr">
        <is>
          <t>three-way</t>
        </is>
      </c>
      <c r="B1120" t="inlineStr">
        <is>
          <t>ORIG_BAL x ASSET_CLASS / SYS_FLAG</t>
        </is>
      </c>
      <c r="C1120" t="inlineStr">
        <is>
          <t>37,951 - 49,151</t>
        </is>
      </c>
      <c r="D1120" t="inlineStr">
        <is>
          <t>2 / SYS_FLAG N</t>
        </is>
      </c>
      <c r="E1120" t="inlineStr">
        <is>
          <t>outcome_booked</t>
        </is>
      </c>
      <c r="F1120" t="inlineStr">
        <is>
          <t>Outcome, share of booked dollars</t>
        </is>
      </c>
      <c r="G1120" t="n">
        <v>221</v>
      </c>
      <c r="H1120" t="n">
        <v>9642059</v>
      </c>
      <c r="I1120" t="b">
        <v>1</v>
      </c>
      <c r="J1120" t="b">
        <v>0</v>
      </c>
      <c r="K1120" t="n">
        <v>0.5380684941753404</v>
      </c>
      <c r="M1120" t="n">
        <v>0.4559771209143372</v>
      </c>
      <c r="O1120" t="n">
        <v>-339139.6048966026</v>
      </c>
      <c r="P1120" t="n">
        <v>-471316.453924908</v>
      </c>
      <c r="Q1120">
        <f>'_live'!$C$21</f>
        <v/>
      </c>
      <c r="T1120" t="n">
        <v>0.07614320290890178</v>
      </c>
      <c r="U1120" t="n">
        <v>0.08985156634334097</v>
      </c>
      <c r="V1120">
        <f>AND(judged_band,NOT($J1120))</f>
        <v/>
      </c>
      <c r="W1120">
        <f>IF($K1120="","",IF($I1120,"too few losses to test",IF(AND($K1120&gt;better_at,$K1120&lt;worse_at),"in line",IF($K1120&gt;=worse_at,IF(AND(ISNUMBER($L1120),$L1120&lt;significance_bar),"worse","worse, not significant"),IF(AND(ISNUMBER($L1120),$L1120&lt;significance_bar),"better","better, not significant")))))</f>
        <v/>
      </c>
      <c r="X1120">
        <f>IF($M1120="","",IF($I1120,"too few losses to test",IF(AND($M1120&gt;better_at,$M1120&lt;worse_at),"in line",IF($M1120&gt;=worse_at,IF(AND(ISNUMBER($N1120),$N1120&lt;significance_bar),"worse","worse, not significant"),IF(AND(ISNUMBER($N1120),$N1120&lt;significance_bar),"better","better, not significant")))))</f>
        <v/>
      </c>
      <c r="Y1120">
        <f>IF($V1120,$X1120,$W1120)</f>
        <v/>
      </c>
      <c r="Z1120">
        <f>IF($V1120,IF($P1120="","",$P1120),IF($O1120="","",$O1120))</f>
        <v/>
      </c>
      <c r="AA1120">
        <f>IF(OR($Q1120="",$Z1120=""),"",IF(AND($Z1120&gt;0,$Z1120&gt;=$Q1120),"yes","below the line"))</f>
        <v/>
      </c>
      <c r="AB1120">
        <f>IF($V1120,IF($M1120="","",$M1120),IF($K1120="","",$K1120))</f>
        <v/>
      </c>
      <c r="AC1120">
        <f>IF($V1120,IF($N1120="","",$N1120),IF($L1120="","",$L1120))</f>
        <v/>
      </c>
      <c r="AD1120">
        <f>$Y1120</f>
        <v/>
      </c>
      <c r="AE1120">
        <f>IF($V1120,IF($S1120="","",$S1120),IF($R1120="","",$R1120))</f>
        <v/>
      </c>
      <c r="AF1120">
        <f>IF($V1120,IF($U1120="","",$U1120),IF($T1120="","",$T1120))</f>
        <v/>
      </c>
      <c r="AG1120">
        <f>IF($V1120,IF($O1120="","",$O1120),IF($P1120="","",$P1120))</f>
        <v/>
      </c>
      <c r="AH1120" t="n">
        <v>0.04097025853088018</v>
      </c>
      <c r="AI1120">
        <f>IF($Y1120="worse","Yes",IF($Y1120="worse, not significant","Not sure",IF(OR($Y1120="too few losses to test",$Y1120="too few loans to test"),"Too few losses",IF($Y1120="","","No"))))</f>
        <v/>
      </c>
      <c r="AJ1120">
        <f>IF($AA1120="yes","Yes",IF($AA1120="","","No"))</f>
        <v/>
      </c>
    </row>
    <row r="1121">
      <c r="A1121" t="inlineStr">
        <is>
          <t>three-way</t>
        </is>
      </c>
      <c r="B1121" t="inlineStr">
        <is>
          <t>ORIG_BAL x ASSET_CLASS / SYS_FLAG</t>
        </is>
      </c>
      <c r="C1121" t="inlineStr">
        <is>
          <t>37,951 - 49,151</t>
        </is>
      </c>
      <c r="D1121" t="inlineStr">
        <is>
          <t>2 / SYS_FLAG N</t>
        </is>
      </c>
      <c r="E1121" t="inlineStr">
        <is>
          <t>gco_rate</t>
        </is>
      </c>
      <c r="F1121" t="inlineStr">
        <is>
          <t>GCO per booked dollar</t>
        </is>
      </c>
      <c r="G1121" t="n">
        <v>221</v>
      </c>
      <c r="H1121" t="n">
        <v>9642059</v>
      </c>
      <c r="I1121" t="b">
        <v>1</v>
      </c>
      <c r="J1121" t="b">
        <v>0</v>
      </c>
      <c r="K1121" t="n">
        <v>0.6306855531319827</v>
      </c>
      <c r="M1121" t="n">
        <v>0.5320921213330675</v>
      </c>
      <c r="O1121" t="n">
        <v>-150227.5703289403</v>
      </c>
      <c r="P1121" t="n">
        <v>-225600.3447792386</v>
      </c>
      <c r="Q1121">
        <f>'_live'!$C$22</f>
        <v/>
      </c>
      <c r="T1121" t="n">
        <v>0.04218747783320349</v>
      </c>
      <c r="U1121" t="n">
        <v>0.05000456072496948</v>
      </c>
      <c r="V1121">
        <f>AND(judged_band,NOT($J1121))</f>
        <v/>
      </c>
      <c r="W1121">
        <f>IF($K1121="","",IF($I1121,"too few losses to test",IF(AND($K1121&gt;better_at,$K1121&lt;worse_at),"in line",IF($K1121&gt;=worse_at,IF(AND(ISNUMBER($L1121),$L1121&lt;significance_bar),"worse","worse, not significant"),IF(AND(ISNUMBER($L1121),$L1121&lt;significance_bar),"better","better, not significant")))))</f>
        <v/>
      </c>
      <c r="X1121">
        <f>IF($M1121="","",IF($I1121,"too few losses to test",IF(AND($M1121&gt;better_at,$M1121&lt;worse_at),"in line",IF($M1121&gt;=worse_at,IF(AND(ISNUMBER($N1121),$N1121&lt;significance_bar),"worse","worse, not significant"),IF(AND(ISNUMBER($N1121),$N1121&lt;significance_bar),"better","better, not significant")))))</f>
        <v/>
      </c>
      <c r="Y1121">
        <f>IF($V1121,$X1121,$W1121)</f>
        <v/>
      </c>
      <c r="Z1121">
        <f>IF($V1121,IF($P1121="","",$P1121),IF($O1121="","",$O1121))</f>
        <v/>
      </c>
      <c r="AA1121">
        <f>IF(OR($Q1121="",$Z1121=""),"",IF(AND($Z1121&gt;0,$Z1121&gt;=$Q1121),"yes","below the line"))</f>
        <v/>
      </c>
      <c r="AB1121">
        <f>IF($V1121,IF($M1121="","",$M1121),IF($K1121="","",$K1121))</f>
        <v/>
      </c>
      <c r="AC1121">
        <f>IF($V1121,IF($N1121="","",$N1121),IF($L1121="","",$L1121))</f>
        <v/>
      </c>
      <c r="AD1121">
        <f>$Y1121</f>
        <v/>
      </c>
      <c r="AE1121">
        <f>IF($V1121,IF($S1121="","",$S1121),IF($R1121="","",$R1121))</f>
        <v/>
      </c>
      <c r="AF1121">
        <f>IF($V1121,IF($U1121="","",$U1121),IF($T1121="","",$T1121))</f>
        <v/>
      </c>
      <c r="AG1121">
        <f>IF($V1121,IF($O1121="","",$O1121),IF($P1121="","",$P1121))</f>
        <v/>
      </c>
      <c r="AH1121" t="n">
        <v>0.0266070327924772</v>
      </c>
      <c r="AI1121">
        <f>IF($Y1121="worse","Yes",IF($Y1121="worse, not significant","Not sure",IF(OR($Y1121="too few losses to test",$Y1121="too few loans to test"),"Too few losses",IF($Y1121="","","No"))))</f>
        <v/>
      </c>
      <c r="AJ1121">
        <f>IF($AA1121="yes","Yes",IF($AA1121="","","No"))</f>
        <v/>
      </c>
    </row>
    <row r="1122">
      <c r="A1122" t="inlineStr">
        <is>
          <t>three-way</t>
        </is>
      </c>
      <c r="B1122" t="inlineStr">
        <is>
          <t>ORIG_BAL x ASSET_CLASS / SYS_FLAG</t>
        </is>
      </c>
      <c r="C1122" t="inlineStr">
        <is>
          <t>37,951 - 49,151</t>
        </is>
      </c>
      <c r="D1122" t="inlineStr">
        <is>
          <t>2 / SYS_FLAG N</t>
        </is>
      </c>
      <c r="E1122" t="inlineStr">
        <is>
          <t>ranr_rate</t>
        </is>
      </c>
      <c r="F1122" t="inlineStr">
        <is>
          <t>Profit after losses: RANR per booked dollar</t>
        </is>
      </c>
      <c r="G1122" t="n">
        <v>221</v>
      </c>
      <c r="H1122" t="n">
        <v>9642059</v>
      </c>
      <c r="I1122" t="b">
        <v>0</v>
      </c>
      <c r="J1122" t="b">
        <v>0</v>
      </c>
      <c r="K1122" t="n">
        <v>0.02038143871075038</v>
      </c>
      <c r="L1122" t="n">
        <v>0.493768804937688</v>
      </c>
      <c r="M1122" t="n">
        <v>0.02922444910964712</v>
      </c>
      <c r="N1122" t="n">
        <v>0.19553600195536</v>
      </c>
      <c r="O1122" t="n">
        <v>-196519.034553939</v>
      </c>
      <c r="P1122" t="n">
        <v>-281783.862557715</v>
      </c>
      <c r="Q1122">
        <f>'_live'!$C$23</f>
        <v/>
      </c>
      <c r="R1122" t="inlineStr">
        <is>
          <t>shuffled: 1,357 of 10,000</t>
        </is>
      </c>
      <c r="S1122" t="inlineStr">
        <is>
          <t>shuffled: 359 of 10,000</t>
        </is>
      </c>
      <c r="T1122" t="n">
        <v>0.1272285499856473</v>
      </c>
      <c r="U1122" t="n">
        <v>0.1183855395867506</v>
      </c>
      <c r="V1122">
        <f>AND(judged_band,NOT($J1122))</f>
        <v/>
      </c>
      <c r="W1122">
        <f>IF($K1122="","",IF(profit_kind="test",IF(OR(NOT(AND(ISNUMBER($L1122),$L1122&lt;significance_bar)),$K1122=0),"in line",IF($K1122&lt;0,"worse","better")),IF(OR($K1122=0,IF(profit_kind="points",ABS($K1122),ABS($K1122*$H1122))&lt;profit_line*(1-1E-9)),"in line",IF(AND(ISNUMBER($L1122),$L1122&lt;significance_bar),IF($K1122&lt;0,"worse","better"),IF($K1122&lt;0,"worse, not significant","better, not significant")))))</f>
        <v/>
      </c>
      <c r="X1122">
        <f>IF($M1122="","",IF(profit_kind="test",IF(OR(NOT(AND(ISNUMBER($N1122),$N1122&lt;significance_bar)),$M1122=0),"in line",IF($M1122&lt;0,"worse","better")),IF(OR($M1122=0,IF(profit_kind="points",ABS($M1122),ABS($M1122*$H1122))&lt;profit_line*(1-1E-9)),"in line",IF(AND(ISNUMBER($N1122),$N1122&lt;significance_bar),IF($M1122&lt;0,"worse","better"),IF($M1122&lt;0,"worse, not significant","better, not significant")))))</f>
        <v/>
      </c>
      <c r="Y1122">
        <f>IF($V1122,$X1122,$W1122)</f>
        <v/>
      </c>
      <c r="Z1122">
        <f>IF($V1122,IF($P1122="","",$P1122),IF($O1122="","",$O1122))</f>
        <v/>
      </c>
      <c r="AA1122">
        <f>IF(OR($Q1122="",$Z1122=""),"",IF(AND($Z1122&gt;0,$Z1122&gt;=$Q1122),"yes","below the line"))</f>
        <v/>
      </c>
      <c r="AB1122">
        <f>IF($V1122,IF($M1122="","",$M1122),IF($K1122="","",$K1122))</f>
        <v/>
      </c>
      <c r="AC1122">
        <f>IF($V1122,IF($N1122="","",$N1122),IF($L1122="","",$L1122))</f>
        <v/>
      </c>
      <c r="AD1122">
        <f>IF($Y1122="","",IF($Y1122="in line",IF(profit_kind="test",IF(ROUND($AB1122*100,2)=0,"0.00",TEXT($AB1122*100,"+0.00;-0.00"))&amp;" points against "&amp;IF($V1122,"its band","the book")&amp;", "&amp;IF($AC1122="","not tested","not significant"),IF(profit_kind="points","within "&amp;TEXT(profit_line*100,"0.00")&amp;" points of "&amp;IF($V1122,"its band","the book")&amp;" ("&amp;IF(ROUND($AB1122*100,2)=0,"0.00",TEXT($AB1122*100,"+0.00;-0.00"))&amp;")","within $"&amp;TEXT(profit_line,"#,##0")&amp;" of "&amp;IF($V1122,"its band","the book")&amp;" ("&amp;IF(ROUND($AB1122*100,2)=0,"0.00",TEXT($AB1122*100,"+0.00;-0.00"))&amp;" points)")),IF(LEFT($Y1122,5)="worse","short of ","ahead of ")&amp;IF($V1122,"its band","the book")&amp;" by "&amp;TEXT(ABS($AB1122)*100,"0.00")&amp;" points"&amp;IF($Z1122="",""," ($"&amp;TEXT(ABS($Z1122),"#,##0")&amp;")")&amp;IF(RIGHT($Y1122,15)="not significant"," (not significant)","")))</f>
        <v/>
      </c>
      <c r="AE1122">
        <f>IF($V1122,IF($S1122="","",$S1122),IF($R1122="","",$R1122))</f>
        <v/>
      </c>
      <c r="AF1122">
        <f>IF($V1122,IF($U1122="","",$U1122),IF($T1122="","",$T1122))</f>
        <v/>
      </c>
      <c r="AG1122">
        <f>IF($V1122,IF($O1122="","",$O1122),IF($P1122="","",$P1122))</f>
        <v/>
      </c>
      <c r="AH1122" t="n">
        <v>0.1476099886963977</v>
      </c>
      <c r="AI1122">
        <f>IF($Y1122="worse","Yes",IF($Y1122="worse, not significant","Not sure",IF(OR($Y1122="too few losses to test",$Y1122="too few loans to test"),"Too few losses",IF($Y1122="","","No"))))</f>
        <v/>
      </c>
      <c r="AJ1122">
        <f>IF($AA1122="yes","Yes",IF($AA1122="","","No"))</f>
        <v/>
      </c>
    </row>
    <row r="1123">
      <c r="A1123" t="inlineStr">
        <is>
          <t>three-way</t>
        </is>
      </c>
      <c r="B1123" t="inlineStr">
        <is>
          <t>ORIG_BAL x ASSET_CLASS / SYS_FLAG</t>
        </is>
      </c>
      <c r="C1123" t="inlineStr">
        <is>
          <t>37,951 - 49,151</t>
        </is>
      </c>
      <c r="D1123" t="inlineStr">
        <is>
          <t>2 / SYS_FLAG N</t>
        </is>
      </c>
      <c r="E1123" t="inlineStr">
        <is>
          <t>contribution_rate</t>
        </is>
      </c>
      <c r="F1123" t="inlineStr">
        <is>
          <t>Contribution before losses per booked dollar</t>
        </is>
      </c>
      <c r="G1123" t="n">
        <v>221</v>
      </c>
      <c r="H1123" t="n">
        <v>9642059</v>
      </c>
      <c r="I1123" t="b">
        <v>0</v>
      </c>
      <c r="J1123" t="b">
        <v>0</v>
      </c>
      <c r="K1123" t="n">
        <v>0.004804085572714917</v>
      </c>
      <c r="L1123" t="n">
        <v>0.9639036096390362</v>
      </c>
      <c r="M1123" t="n">
        <v>0.005845564791753494</v>
      </c>
      <c r="N1123" t="n">
        <v>0.892759208927592</v>
      </c>
      <c r="O1123" t="n">
        <v>-46321.27653316618</v>
      </c>
      <c r="P1123" t="n">
        <v>-56363.28061041003</v>
      </c>
      <c r="Q1123">
        <f>'_live'!$C$24</f>
        <v/>
      </c>
      <c r="R1123" t="inlineStr">
        <is>
          <t>shuffled: 6,024 of 10,000</t>
        </is>
      </c>
      <c r="S1123" t="inlineStr">
        <is>
          <t>shuffled: 5,028 of 10,000</t>
        </is>
      </c>
      <c r="T1123" t="n">
        <v>0.16941293591616</v>
      </c>
      <c r="U1123" t="n">
        <v>0.1683714566971214</v>
      </c>
      <c r="V1123">
        <f>AND(judged_band,NOT($J1123))</f>
        <v/>
      </c>
      <c r="W1123">
        <f>IF($K1123="","",IF(profit_kind="test",IF(OR(NOT(AND(ISNUMBER($L1123),$L1123&lt;significance_bar)),$K1123=0),"in line",IF($K1123&lt;0,"worse","better")),IF(OR($K1123=0,IF(profit_kind="points",ABS($K1123),ABS($K1123*$H1123))&lt;profit_line*(1-1E-9)),"in line",IF(AND(ISNUMBER($L1123),$L1123&lt;significance_bar),IF($K1123&lt;0,"worse","better"),IF($K1123&lt;0,"worse, not significant","better, not significant")))))</f>
        <v/>
      </c>
      <c r="X1123">
        <f>IF($M1123="","",IF(profit_kind="test",IF(OR(NOT(AND(ISNUMBER($N1123),$N1123&lt;significance_bar)),$M1123=0),"in line",IF($M1123&lt;0,"worse","better")),IF(OR($M1123=0,IF(profit_kind="points",ABS($M1123),ABS($M1123*$H1123))&lt;profit_line*(1-1E-9)),"in line",IF(AND(ISNUMBER($N1123),$N1123&lt;significance_bar),IF($M1123&lt;0,"worse","better"),IF($M1123&lt;0,"worse, not significant","better, not significant")))))</f>
        <v/>
      </c>
      <c r="Y1123">
        <f>IF($V1123,$X1123,$W1123)</f>
        <v/>
      </c>
      <c r="Z1123">
        <f>IF($V1123,IF($P1123="","",$P1123),IF($O1123="","",$O1123))</f>
        <v/>
      </c>
      <c r="AA1123">
        <f>IF(OR($Q1123="",$Z1123=""),"",IF(AND($Z1123&gt;0,$Z1123&gt;=$Q1123),"yes","below the line"))</f>
        <v/>
      </c>
      <c r="AB1123">
        <f>IF($V1123,IF($M1123="","",$M1123),IF($K1123="","",$K1123))</f>
        <v/>
      </c>
      <c r="AC1123">
        <f>IF($V1123,IF($N1123="","",$N1123),IF($L1123="","",$L1123))</f>
        <v/>
      </c>
      <c r="AD1123">
        <f>IF($Y1123="","",IF($Y1123="in line",IF(profit_kind="test",IF(ROUND($AB1123*100,2)=0,"0.00",TEXT($AB1123*100,"+0.00;-0.00"))&amp;" points against "&amp;IF($V1123,"its band","the book")&amp;", "&amp;IF($AC1123="","not tested","not significant"),IF(profit_kind="points","within "&amp;TEXT(profit_line*100,"0.00")&amp;" points of "&amp;IF($V1123,"its band","the book")&amp;" ("&amp;IF(ROUND($AB1123*100,2)=0,"0.00",TEXT($AB1123*100,"+0.00;-0.00"))&amp;")","within $"&amp;TEXT(profit_line,"#,##0")&amp;" of "&amp;IF($V1123,"its band","the book")&amp;" ("&amp;IF(ROUND($AB1123*100,2)=0,"0.00",TEXT($AB1123*100,"+0.00;-0.00"))&amp;" points)")),IF(LEFT($Y1123,5)="worse","short of ","ahead of ")&amp;IF($V1123,"its band","the book")&amp;" by "&amp;TEXT(ABS($AB1123)*100,"0.00")&amp;" points"&amp;IF($Z1123="",""," ($"&amp;TEXT(ABS($Z1123),"#,##0")&amp;")")&amp;IF(RIGHT($Y1123,15)="not significant"," (not significant)","")))</f>
        <v/>
      </c>
      <c r="AE1123">
        <f>IF($V1123,IF($S1123="","",$S1123),IF($R1123="","",$R1123))</f>
        <v/>
      </c>
      <c r="AF1123">
        <f>IF($V1123,IF($U1123="","",$U1123),IF($T1123="","",$T1123))</f>
        <v/>
      </c>
      <c r="AG1123">
        <f>IF($V1123,IF($O1123="","",$O1123),IF($P1123="","",$P1123))</f>
        <v/>
      </c>
      <c r="AH1123" t="n">
        <v>0.1742170214888749</v>
      </c>
      <c r="AI1123">
        <f>IF($Y1123="worse","Yes",IF($Y1123="worse, not significant","Not sure",IF(OR($Y1123="too few losses to test",$Y1123="too few loans to test"),"Too few losses",IF($Y1123="","","No"))))</f>
        <v/>
      </c>
      <c r="AJ1123">
        <f>IF($AA1123="yes","Yes",IF($AA1123="","","No"))</f>
        <v/>
      </c>
    </row>
    <row r="1124">
      <c r="A1124" t="inlineStr">
        <is>
          <t>three-way</t>
        </is>
      </c>
      <c r="B1124" t="inlineStr">
        <is>
          <t>ORIG_BAL x ASSET_CLASS / SYS_FLAG</t>
        </is>
      </c>
      <c r="C1124" t="inlineStr">
        <is>
          <t>49,152 - 59,984</t>
        </is>
      </c>
      <c r="D1124" t="inlineStr">
        <is>
          <t>2 / SYS_FLAG Y</t>
        </is>
      </c>
      <c r="E1124" t="inlineStr">
        <is>
          <t>outcome_loans</t>
        </is>
      </c>
      <c r="F1124" t="inlineStr">
        <is>
          <t>Outcome, share of loans</t>
        </is>
      </c>
      <c r="G1124" t="n">
        <v>197</v>
      </c>
      <c r="H1124" t="n">
        <v>197</v>
      </c>
      <c r="I1124" t="b">
        <v>0</v>
      </c>
      <c r="J1124" t="b">
        <v>0</v>
      </c>
      <c r="K1124" t="n">
        <v>1.050854020927511</v>
      </c>
      <c r="L1124" t="n">
        <v>0.9236193584335483</v>
      </c>
      <c r="M1124" t="n">
        <v>1.309761362973336</v>
      </c>
      <c r="N1124" t="n">
        <v>0.57171124817441</v>
      </c>
      <c r="O1124" t="n">
        <v>0.7742886439374512</v>
      </c>
      <c r="P1124" t="n">
        <v>3.784034212401997</v>
      </c>
      <c r="Q1124">
        <f>'_live'!$C$20</f>
        <v/>
      </c>
      <c r="R1124" t="inlineStr">
        <is>
          <t>z test</t>
        </is>
      </c>
      <c r="S1124" t="inlineStr">
        <is>
          <t>z test</t>
        </is>
      </c>
      <c r="T1124" t="n">
        <v>0.0772878749038708</v>
      </c>
      <c r="U1124" t="n">
        <v>0.06200997861724875</v>
      </c>
      <c r="V1124">
        <f>AND(judged_band,NOT($J1124))</f>
        <v/>
      </c>
      <c r="W1124">
        <f>IF($K1124="","",IF($I1124,"too few losses to test",IF(AND($K1124&gt;better_at,$K1124&lt;worse_at),"in line",IF($K1124&gt;=worse_at,IF(AND(ISNUMBER($L1124),$L1124&lt;significance_bar),"worse","worse, not significant"),IF(AND(ISNUMBER($L1124),$L1124&lt;significance_bar),"better","better, not significant")))))</f>
        <v/>
      </c>
      <c r="X1124">
        <f>IF($M1124="","",IF($I1124,"too few losses to test",IF(AND($M1124&gt;better_at,$M1124&lt;worse_at),"in line",IF($M1124&gt;=worse_at,IF(AND(ISNUMBER($N1124),$N1124&lt;significance_bar),"worse","worse, not significant"),IF(AND(ISNUMBER($N1124),$N1124&lt;significance_bar),"better","better, not significant")))))</f>
        <v/>
      </c>
      <c r="Y1124">
        <f>IF($V1124,$X1124,$W1124)</f>
        <v/>
      </c>
      <c r="Z1124">
        <f>IF($V1124,IF($P1124="","",$P1124),IF($O1124="","",$O1124))</f>
        <v/>
      </c>
      <c r="AA1124">
        <f>IF(OR($Q1124="",$Z1124=""),"",IF(AND($Z1124&gt;0,$Z1124&gt;=$Q1124),"yes","below the line"))</f>
        <v/>
      </c>
      <c r="AB1124">
        <f>IF($V1124,IF($M1124="","",$M1124),IF($K1124="","",$K1124))</f>
        <v/>
      </c>
      <c r="AC1124">
        <f>IF($V1124,IF($N1124="","",$N1124),IF($L1124="","",$L1124))</f>
        <v/>
      </c>
      <c r="AD1124">
        <f>$Y1124</f>
        <v/>
      </c>
      <c r="AE1124">
        <f>IF($V1124,IF($S1124="","",$S1124),IF($R1124="","",$R1124))</f>
        <v/>
      </c>
      <c r="AF1124">
        <f>IF($V1124,IF($U1124="","",$U1124),IF($T1124="","",$T1124))</f>
        <v/>
      </c>
      <c r="AG1124">
        <f>IF($V1124,IF($O1124="","",$O1124),IF($P1124="","",$P1124))</f>
        <v/>
      </c>
      <c r="AH1124" t="n">
        <v>0.08121827411167512</v>
      </c>
      <c r="AI1124">
        <f>IF($Y1124="worse","Yes",IF($Y1124="worse, not significant","Not sure",IF(OR($Y1124="too few losses to test",$Y1124="too few loans to test"),"Too few losses",IF($Y1124="","","No"))))</f>
        <v/>
      </c>
      <c r="AJ1124">
        <f>IF($AA1124="yes","Yes",IF($AA1124="","","No"))</f>
        <v/>
      </c>
    </row>
    <row r="1125">
      <c r="A1125" t="inlineStr">
        <is>
          <t>three-way</t>
        </is>
      </c>
      <c r="B1125" t="inlineStr">
        <is>
          <t>ORIG_BAL x ASSET_CLASS / SYS_FLAG</t>
        </is>
      </c>
      <c r="C1125" t="inlineStr">
        <is>
          <t>49,152 - 59,984</t>
        </is>
      </c>
      <c r="D1125" t="inlineStr">
        <is>
          <t>2 / SYS_FLAG Y</t>
        </is>
      </c>
      <c r="E1125" t="inlineStr">
        <is>
          <t>outcome_booked</t>
        </is>
      </c>
      <c r="F1125" t="inlineStr">
        <is>
          <t>Outcome, share of booked dollars</t>
        </is>
      </c>
      <c r="G1125" t="n">
        <v>197</v>
      </c>
      <c r="H1125" t="n">
        <v>10743055.08000001</v>
      </c>
      <c r="I1125" t="b">
        <v>0</v>
      </c>
      <c r="J1125" t="b">
        <v>0</v>
      </c>
      <c r="K1125" t="n">
        <v>1.086774657698849</v>
      </c>
      <c r="L1125" t="n">
        <v>0.8613995743282814</v>
      </c>
      <c r="M1125" t="n">
        <v>1.29747581434054</v>
      </c>
      <c r="N1125" t="n">
        <v>0.6170582941705829</v>
      </c>
      <c r="O1125" t="n">
        <v>69506.22208886652</v>
      </c>
      <c r="P1125" t="n">
        <v>199582.5963948761</v>
      </c>
      <c r="Q1125">
        <f>'_live'!$C$21</f>
        <v/>
      </c>
      <c r="R1125" t="inlineStr">
        <is>
          <t>shuffled: 7,537 of 10,000</t>
        </is>
      </c>
      <c r="S1125" t="inlineStr">
        <is>
          <t>shuffled: 3,329 of 10,000</t>
        </is>
      </c>
      <c r="T1125" t="n">
        <v>0.07455949745639141</v>
      </c>
      <c r="U1125" t="n">
        <v>0.06245154740518404</v>
      </c>
      <c r="V1125">
        <f>AND(judged_band,NOT($J1125))</f>
        <v/>
      </c>
      <c r="W1125">
        <f>IF($K1125="","",IF($I1125,"too few losses to test",IF(AND($K1125&gt;better_at,$K1125&lt;worse_at),"in line",IF($K1125&gt;=worse_at,IF(AND(ISNUMBER($L1125),$L1125&lt;significance_bar),"worse","worse, not significant"),IF(AND(ISNUMBER($L1125),$L1125&lt;significance_bar),"better","better, not significant")))))</f>
        <v/>
      </c>
      <c r="X1125">
        <f>IF($M1125="","",IF($I1125,"too few losses to test",IF(AND($M1125&gt;better_at,$M1125&lt;worse_at),"in line",IF($M1125&gt;=worse_at,IF(AND(ISNUMBER($N1125),$N1125&lt;significance_bar),"worse","worse, not significant"),IF(AND(ISNUMBER($N1125),$N1125&lt;significance_bar),"better","better, not significant")))))</f>
        <v/>
      </c>
      <c r="Y1125">
        <f>IF($V1125,$X1125,$W1125)</f>
        <v/>
      </c>
      <c r="Z1125">
        <f>IF($V1125,IF($P1125="","",$P1125),IF($O1125="","",$O1125))</f>
        <v/>
      </c>
      <c r="AA1125">
        <f>IF(OR($Q1125="",$Z1125=""),"",IF(AND($Z1125&gt;0,$Z1125&gt;=$Q1125),"yes","below the line"))</f>
        <v/>
      </c>
      <c r="AB1125">
        <f>IF($V1125,IF($M1125="","",$M1125),IF($K1125="","",$K1125))</f>
        <v/>
      </c>
      <c r="AC1125">
        <f>IF($V1125,IF($N1125="","",$N1125),IF($L1125="","",$L1125))</f>
        <v/>
      </c>
      <c r="AD1125">
        <f>$Y1125</f>
        <v/>
      </c>
      <c r="AE1125">
        <f>IF($V1125,IF($S1125="","",$S1125),IF($R1125="","",$R1125))</f>
        <v/>
      </c>
      <c r="AF1125">
        <f>IF($V1125,IF($U1125="","",$U1125),IF($T1125="","",$T1125))</f>
        <v/>
      </c>
      <c r="AG1125">
        <f>IF($V1125,IF($O1125="","",$O1125),IF($P1125="","",$P1125))</f>
        <v/>
      </c>
      <c r="AH1125" t="n">
        <v>0.081029372326368</v>
      </c>
      <c r="AI1125">
        <f>IF($Y1125="worse","Yes",IF($Y1125="worse, not significant","Not sure",IF(OR($Y1125="too few losses to test",$Y1125="too few loans to test"),"Too few losses",IF($Y1125="","","No"))))</f>
        <v/>
      </c>
      <c r="AJ1125">
        <f>IF($AA1125="yes","Yes",IF($AA1125="","","No"))</f>
        <v/>
      </c>
    </row>
    <row r="1126">
      <c r="A1126" t="inlineStr">
        <is>
          <t>three-way</t>
        </is>
      </c>
      <c r="B1126" t="inlineStr">
        <is>
          <t>ORIG_BAL x ASSET_CLASS / SYS_FLAG</t>
        </is>
      </c>
      <c r="C1126" t="inlineStr">
        <is>
          <t>49,152 - 59,984</t>
        </is>
      </c>
      <c r="D1126" t="inlineStr">
        <is>
          <t>2 / SYS_FLAG Y</t>
        </is>
      </c>
      <c r="E1126" t="inlineStr">
        <is>
          <t>gco_rate</t>
        </is>
      </c>
      <c r="F1126" t="inlineStr">
        <is>
          <t>GCO per booked dollar</t>
        </is>
      </c>
      <c r="G1126" t="n">
        <v>197</v>
      </c>
      <c r="H1126" t="n">
        <v>10743055.08000001</v>
      </c>
      <c r="I1126" t="b">
        <v>0</v>
      </c>
      <c r="J1126" t="b">
        <v>0</v>
      </c>
      <c r="K1126" t="n">
        <v>1.005903668655584</v>
      </c>
      <c r="L1126" t="n">
        <v>0.9969003099690031</v>
      </c>
      <c r="M1126" t="n">
        <v>1.206778951221231</v>
      </c>
      <c r="N1126" t="n">
        <v>0.7733044877330449</v>
      </c>
      <c r="O1126" t="n">
        <v>2638.100502470334</v>
      </c>
      <c r="P1126" t="n">
        <v>77020.14923425938</v>
      </c>
      <c r="Q1126">
        <f>'_live'!$C$22</f>
        <v/>
      </c>
      <c r="R1126" t="inlineStr">
        <is>
          <t>shuffled: 9,841 of 10,000</t>
        </is>
      </c>
      <c r="S1126" t="inlineStr">
        <is>
          <t>shuffled: 5,037 of 10,000</t>
        </is>
      </c>
      <c r="T1126" t="n">
        <v>0.04159504127735789</v>
      </c>
      <c r="U1126" t="n">
        <v>0.03467130792796237</v>
      </c>
      <c r="V1126">
        <f>AND(judged_band,NOT($J1126))</f>
        <v/>
      </c>
      <c r="W1126">
        <f>IF($K1126="","",IF($I1126,"too few losses to test",IF(AND($K1126&gt;better_at,$K1126&lt;worse_at),"in line",IF($K1126&gt;=worse_at,IF(AND(ISNUMBER($L1126),$L1126&lt;significance_bar),"worse","worse, not significant"),IF(AND(ISNUMBER($L1126),$L1126&lt;significance_bar),"better","better, not significant")))))</f>
        <v/>
      </c>
      <c r="X1126">
        <f>IF($M1126="","",IF($I1126,"too few losses to test",IF(AND($M1126&gt;better_at,$M1126&lt;worse_at),"in line",IF($M1126&gt;=worse_at,IF(AND(ISNUMBER($N1126),$N1126&lt;significance_bar),"worse","worse, not significant"),IF(AND(ISNUMBER($N1126),$N1126&lt;significance_bar),"better","better, not significant")))))</f>
        <v/>
      </c>
      <c r="Y1126">
        <f>IF($V1126,$X1126,$W1126)</f>
        <v/>
      </c>
      <c r="Z1126">
        <f>IF($V1126,IF($P1126="","",$P1126),IF($O1126="","",$O1126))</f>
        <v/>
      </c>
      <c r="AA1126">
        <f>IF(OR($Q1126="",$Z1126=""),"",IF(AND($Z1126&gt;0,$Z1126&gt;=$Q1126),"yes","below the line"))</f>
        <v/>
      </c>
      <c r="AB1126">
        <f>IF($V1126,IF($M1126="","",$M1126),IF($K1126="","",$K1126))</f>
        <v/>
      </c>
      <c r="AC1126">
        <f>IF($V1126,IF($N1126="","",$N1126),IF($L1126="","",$L1126))</f>
        <v/>
      </c>
      <c r="AD1126">
        <f>$Y1126</f>
        <v/>
      </c>
      <c r="AE1126">
        <f>IF($V1126,IF($S1126="","",$S1126),IF($R1126="","",$R1126))</f>
        <v/>
      </c>
      <c r="AF1126">
        <f>IF($V1126,IF($U1126="","",$U1126),IF($T1126="","",$T1126))</f>
        <v/>
      </c>
      <c r="AG1126">
        <f>IF($V1126,IF($O1126="","",$O1126),IF($P1126="","",$P1126))</f>
        <v/>
      </c>
      <c r="AH1126" t="n">
        <v>0.04184060461877476</v>
      </c>
      <c r="AI1126">
        <f>IF($Y1126="worse","Yes",IF($Y1126="worse, not significant","Not sure",IF(OR($Y1126="too few losses to test",$Y1126="too few loans to test"),"Too few losses",IF($Y1126="","","No"))))</f>
        <v/>
      </c>
      <c r="AJ1126">
        <f>IF($AA1126="yes","Yes",IF($AA1126="","","No"))</f>
        <v/>
      </c>
    </row>
    <row r="1127">
      <c r="A1127" t="inlineStr">
        <is>
          <t>three-way</t>
        </is>
      </c>
      <c r="B1127" t="inlineStr">
        <is>
          <t>ORIG_BAL x ASSET_CLASS / SYS_FLAG</t>
        </is>
      </c>
      <c r="C1127" t="inlineStr">
        <is>
          <t>49,152 - 59,984</t>
        </is>
      </c>
      <c r="D1127" t="inlineStr">
        <is>
          <t>2 / SYS_FLAG Y</t>
        </is>
      </c>
      <c r="E1127" t="inlineStr">
        <is>
          <t>ranr_rate</t>
        </is>
      </c>
      <c r="F1127" t="inlineStr">
        <is>
          <t>Profit after losses: RANR per booked dollar</t>
        </is>
      </c>
      <c r="G1127" t="n">
        <v>197</v>
      </c>
      <c r="H1127" t="n">
        <v>10743055.08000001</v>
      </c>
      <c r="I1127" t="b">
        <v>0</v>
      </c>
      <c r="J1127" t="b">
        <v>0</v>
      </c>
      <c r="K1127" t="n">
        <v>-0.01925159651729061</v>
      </c>
      <c r="L1127" t="n">
        <v>0.5276615195623295</v>
      </c>
      <c r="M1127" t="n">
        <v>-0.02381193654611938</v>
      </c>
      <c r="N1127" t="n">
        <v>0.2387761223877612</v>
      </c>
      <c r="O1127" t="n">
        <v>206820.9617631894</v>
      </c>
      <c r="P1127" t="n">
        <v>255812.9458764256</v>
      </c>
      <c r="Q1127">
        <f>'_live'!$C$23</f>
        <v/>
      </c>
      <c r="R1127" t="inlineStr">
        <is>
          <t>shuffled: 1,846 of 10,000</t>
        </is>
      </c>
      <c r="S1127" t="inlineStr">
        <is>
          <t>shuffled: 596 of 10,000</t>
        </is>
      </c>
      <c r="T1127" t="n">
        <v>0.1287914686706781</v>
      </c>
      <c r="U1127" t="n">
        <v>0.1333518086995068</v>
      </c>
      <c r="V1127">
        <f>AND(judged_band,NOT($J1127))</f>
        <v/>
      </c>
      <c r="W1127">
        <f>IF($K1127="","",IF(profit_kind="test",IF(OR(NOT(AND(ISNUMBER($L1127),$L1127&lt;significance_bar)),$K1127=0),"in line",IF($K1127&lt;0,"worse","better")),IF(OR($K1127=0,IF(profit_kind="points",ABS($K1127),ABS($K1127*$H1127))&lt;profit_line*(1-1E-9)),"in line",IF(AND(ISNUMBER($L1127),$L1127&lt;significance_bar),IF($K1127&lt;0,"worse","better"),IF($K1127&lt;0,"worse, not significant","better, not significant")))))</f>
        <v/>
      </c>
      <c r="X1127">
        <f>IF($M1127="","",IF(profit_kind="test",IF(OR(NOT(AND(ISNUMBER($N1127),$N1127&lt;significance_bar)),$M1127=0),"in line",IF($M1127&lt;0,"worse","better")),IF(OR($M1127=0,IF(profit_kind="points",ABS($M1127),ABS($M1127*$H1127))&lt;profit_line*(1-1E-9)),"in line",IF(AND(ISNUMBER($N1127),$N1127&lt;significance_bar),IF($M1127&lt;0,"worse","better"),IF($M1127&lt;0,"worse, not significant","better, not significant")))))</f>
        <v/>
      </c>
      <c r="Y1127">
        <f>IF($V1127,$X1127,$W1127)</f>
        <v/>
      </c>
      <c r="Z1127">
        <f>IF($V1127,IF($P1127="","",$P1127),IF($O1127="","",$O1127))</f>
        <v/>
      </c>
      <c r="AA1127">
        <f>IF(OR($Q1127="",$Z1127=""),"",IF(AND($Z1127&gt;0,$Z1127&gt;=$Q1127),"yes","below the line"))</f>
        <v/>
      </c>
      <c r="AB1127">
        <f>IF($V1127,IF($M1127="","",$M1127),IF($K1127="","",$K1127))</f>
        <v/>
      </c>
      <c r="AC1127">
        <f>IF($V1127,IF($N1127="","",$N1127),IF($L1127="","",$L1127))</f>
        <v/>
      </c>
      <c r="AD1127">
        <f>IF($Y1127="","",IF($Y1127="in line",IF(profit_kind="test",IF(ROUND($AB1127*100,2)=0,"0.00",TEXT($AB1127*100,"+0.00;-0.00"))&amp;" points against "&amp;IF($V1127,"its band","the book")&amp;", "&amp;IF($AC1127="","not tested","not significant"),IF(profit_kind="points","within "&amp;TEXT(profit_line*100,"0.00")&amp;" points of "&amp;IF($V1127,"its band","the book")&amp;" ("&amp;IF(ROUND($AB1127*100,2)=0,"0.00",TEXT($AB1127*100,"+0.00;-0.00"))&amp;")","within $"&amp;TEXT(profit_line,"#,##0")&amp;" of "&amp;IF($V1127,"its band","the book")&amp;" ("&amp;IF(ROUND($AB1127*100,2)=0,"0.00",TEXT($AB1127*100,"+0.00;-0.00"))&amp;" points)")),IF(LEFT($Y1127,5)="worse","short of ","ahead of ")&amp;IF($V1127,"its band","the book")&amp;" by "&amp;TEXT(ABS($AB1127)*100,"0.00")&amp;" points"&amp;IF($Z1127="",""," ($"&amp;TEXT(ABS($Z1127),"#,##0")&amp;")")&amp;IF(RIGHT($Y1127,15)="not significant"," (not significant)","")))</f>
        <v/>
      </c>
      <c r="AE1127">
        <f>IF($V1127,IF($S1127="","",$S1127),IF($R1127="","",$R1127))</f>
        <v/>
      </c>
      <c r="AF1127">
        <f>IF($V1127,IF($U1127="","",$U1127),IF($T1127="","",$T1127))</f>
        <v/>
      </c>
      <c r="AG1127">
        <f>IF($V1127,IF($O1127="","",$O1127),IF($P1127="","",$P1127))</f>
        <v/>
      </c>
      <c r="AH1127" t="n">
        <v>0.1095398721533875</v>
      </c>
      <c r="AI1127">
        <f>IF($Y1127="worse","Yes",IF($Y1127="worse, not significant","Not sure",IF(OR($Y1127="too few losses to test",$Y1127="too few loans to test"),"Too few losses",IF($Y1127="","","No"))))</f>
        <v/>
      </c>
      <c r="AJ1127">
        <f>IF($AA1127="yes","Yes",IF($AA1127="","","No"))</f>
        <v/>
      </c>
    </row>
    <row r="1128">
      <c r="A1128" t="inlineStr">
        <is>
          <t>three-way</t>
        </is>
      </c>
      <c r="B1128" t="inlineStr">
        <is>
          <t>ORIG_BAL x ASSET_CLASS / SYS_FLAG</t>
        </is>
      </c>
      <c r="C1128" t="inlineStr">
        <is>
          <t>49,152 - 59,984</t>
        </is>
      </c>
      <c r="D1128" t="inlineStr">
        <is>
          <t>2 / SYS_FLAG Y</t>
        </is>
      </c>
      <c r="E1128" t="inlineStr">
        <is>
          <t>contribution_rate</t>
        </is>
      </c>
      <c r="F1128" t="inlineStr">
        <is>
          <t>Contribution before losses per booked dollar</t>
        </is>
      </c>
      <c r="G1128" t="n">
        <v>197</v>
      </c>
      <c r="H1128" t="n">
        <v>10743055.08000001</v>
      </c>
      <c r="I1128" t="b">
        <v>0</v>
      </c>
      <c r="J1128" t="b">
        <v>0</v>
      </c>
      <c r="K1128" t="n">
        <v>-0.01900317832434623</v>
      </c>
      <c r="L1128" t="n">
        <v>0.2624737526247375</v>
      </c>
      <c r="M1128" t="n">
        <v>-0.01664263985530698</v>
      </c>
      <c r="N1128" t="n">
        <v>0.51994800519948</v>
      </c>
      <c r="O1128" t="n">
        <v>204152.1914335138</v>
      </c>
      <c r="P1128" t="n">
        <v>178792.7966421661</v>
      </c>
      <c r="Q1128">
        <f>'_live'!$C$24</f>
        <v/>
      </c>
      <c r="R1128" t="inlineStr">
        <is>
          <t>shuffled: 472 of 10,000</t>
        </is>
      </c>
      <c r="S1128" t="inlineStr">
        <is>
          <t>shuffled: 617 of 10,000</t>
        </is>
      </c>
      <c r="T1128" t="n">
        <v>0.1703836550965084</v>
      </c>
      <c r="U1128" t="n">
        <v>0.1680231166274692</v>
      </c>
      <c r="V1128">
        <f>AND(judged_band,NOT($J1128))</f>
        <v/>
      </c>
      <c r="W1128">
        <f>IF($K1128="","",IF(profit_kind="test",IF(OR(NOT(AND(ISNUMBER($L1128),$L1128&lt;significance_bar)),$K1128=0),"in line",IF($K1128&lt;0,"worse","better")),IF(OR($K1128=0,IF(profit_kind="points",ABS($K1128),ABS($K1128*$H1128))&lt;profit_line*(1-1E-9)),"in line",IF(AND(ISNUMBER($L1128),$L1128&lt;significance_bar),IF($K1128&lt;0,"worse","better"),IF($K1128&lt;0,"worse, not significant","better, not significant")))))</f>
        <v/>
      </c>
      <c r="X1128">
        <f>IF($M1128="","",IF(profit_kind="test",IF(OR(NOT(AND(ISNUMBER($N1128),$N1128&lt;significance_bar)),$M1128=0),"in line",IF($M1128&lt;0,"worse","better")),IF(OR($M1128=0,IF(profit_kind="points",ABS($M1128),ABS($M1128*$H1128))&lt;profit_line*(1-1E-9)),"in line",IF(AND(ISNUMBER($N1128),$N1128&lt;significance_bar),IF($M1128&lt;0,"worse","better"),IF($M1128&lt;0,"worse, not significant","better, not significant")))))</f>
        <v/>
      </c>
      <c r="Y1128">
        <f>IF($V1128,$X1128,$W1128)</f>
        <v/>
      </c>
      <c r="Z1128">
        <f>IF($V1128,IF($P1128="","",$P1128),IF($O1128="","",$O1128))</f>
        <v/>
      </c>
      <c r="AA1128">
        <f>IF(OR($Q1128="",$Z1128=""),"",IF(AND($Z1128&gt;0,$Z1128&gt;=$Q1128),"yes","below the line"))</f>
        <v/>
      </c>
      <c r="AB1128">
        <f>IF($V1128,IF($M1128="","",$M1128),IF($K1128="","",$K1128))</f>
        <v/>
      </c>
      <c r="AC1128">
        <f>IF($V1128,IF($N1128="","",$N1128),IF($L1128="","",$L1128))</f>
        <v/>
      </c>
      <c r="AD1128">
        <f>IF($Y1128="","",IF($Y1128="in line",IF(profit_kind="test",IF(ROUND($AB1128*100,2)=0,"0.00",TEXT($AB1128*100,"+0.00;-0.00"))&amp;" points against "&amp;IF($V1128,"its band","the book")&amp;", "&amp;IF($AC1128="","not tested","not significant"),IF(profit_kind="points","within "&amp;TEXT(profit_line*100,"0.00")&amp;" points of "&amp;IF($V1128,"its band","the book")&amp;" ("&amp;IF(ROUND($AB1128*100,2)=0,"0.00",TEXT($AB1128*100,"+0.00;-0.00"))&amp;")","within $"&amp;TEXT(profit_line,"#,##0")&amp;" of "&amp;IF($V1128,"its band","the book")&amp;" ("&amp;IF(ROUND($AB1128*100,2)=0,"0.00",TEXT($AB1128*100,"+0.00;-0.00"))&amp;" points)")),IF(LEFT($Y1128,5)="worse","short of ","ahead of ")&amp;IF($V1128,"its band","the book")&amp;" by "&amp;TEXT(ABS($AB1128)*100,"0.00")&amp;" points"&amp;IF($Z1128="",""," ($"&amp;TEXT(ABS($Z1128),"#,##0")&amp;")")&amp;IF(RIGHT($Y1128,15)="not significant"," (not significant)","")))</f>
        <v/>
      </c>
      <c r="AE1128">
        <f>IF($V1128,IF($S1128="","",$S1128),IF($R1128="","",$R1128))</f>
        <v/>
      </c>
      <c r="AF1128">
        <f>IF($V1128,IF($U1128="","",$U1128),IF($T1128="","",$T1128))</f>
        <v/>
      </c>
      <c r="AG1128">
        <f>IF($V1128,IF($O1128="","",$O1128),IF($P1128="","",$P1128))</f>
        <v/>
      </c>
      <c r="AH1128" t="n">
        <v>0.1513804767721622</v>
      </c>
      <c r="AI1128">
        <f>IF($Y1128="worse","Yes",IF($Y1128="worse, not significant","Not sure",IF(OR($Y1128="too few losses to test",$Y1128="too few loans to test"),"Too few losses",IF($Y1128="","","No"))))</f>
        <v/>
      </c>
      <c r="AJ1128">
        <f>IF($AA1128="yes","Yes",IF($AA1128="","","No"))</f>
        <v/>
      </c>
    </row>
    <row r="1129">
      <c r="A1129" t="inlineStr">
        <is>
          <t>three-way</t>
        </is>
      </c>
      <c r="B1129" t="inlineStr">
        <is>
          <t>ORIG_BAL x ASSET_CLASS / SYS_FLAG</t>
        </is>
      </c>
      <c r="C1129" t="inlineStr">
        <is>
          <t>15,449 - 26,323</t>
        </is>
      </c>
      <c r="D1129" t="inlineStr">
        <is>
          <t>3 / SYS_FLAG N</t>
        </is>
      </c>
      <c r="E1129" t="inlineStr">
        <is>
          <t>outcome_loans</t>
        </is>
      </c>
      <c r="F1129" t="inlineStr">
        <is>
          <t>Outcome, share of loans</t>
        </is>
      </c>
      <c r="G1129" t="n">
        <v>234</v>
      </c>
      <c r="H1129" t="n">
        <v>234</v>
      </c>
      <c r="I1129" t="b">
        <v>0</v>
      </c>
      <c r="J1129" t="b">
        <v>0</v>
      </c>
      <c r="K1129" t="n">
        <v>1.107971976085499</v>
      </c>
      <c r="L1129" t="n">
        <v>0.8513239553468696</v>
      </c>
      <c r="M1129" t="n">
        <v>0.9050553236599748</v>
      </c>
      <c r="N1129" t="n">
        <v>0.7574531232114214</v>
      </c>
      <c r="O1129" t="n">
        <v>1.949001931745009</v>
      </c>
      <c r="P1129" t="n">
        <v>-2.098096632503662</v>
      </c>
      <c r="Q1129">
        <f>'_live'!$C$20</f>
        <v/>
      </c>
      <c r="R1129" t="inlineStr">
        <is>
          <t>z test</t>
        </is>
      </c>
      <c r="S1129" t="inlineStr">
        <is>
          <t>z test</t>
        </is>
      </c>
      <c r="T1129" t="n">
        <v>0.07714101738570509</v>
      </c>
      <c r="U1129" t="n">
        <v>0.09443631039531479</v>
      </c>
      <c r="V1129">
        <f>AND(judged_band,NOT($J1129))</f>
        <v/>
      </c>
      <c r="W1129">
        <f>IF($K1129="","",IF($I1129,"too few losses to test",IF(AND($K1129&gt;better_at,$K1129&lt;worse_at),"in line",IF($K1129&gt;=worse_at,IF(AND(ISNUMBER($L1129),$L1129&lt;significance_bar),"worse","worse, not significant"),IF(AND(ISNUMBER($L1129),$L1129&lt;significance_bar),"better","better, not significant")))))</f>
        <v/>
      </c>
      <c r="X1129">
        <f>IF($M1129="","",IF($I1129,"too few losses to test",IF(AND($M1129&gt;better_at,$M1129&lt;worse_at),"in line",IF($M1129&gt;=worse_at,IF(AND(ISNUMBER($N1129),$N1129&lt;significance_bar),"worse","worse, not significant"),IF(AND(ISNUMBER($N1129),$N1129&lt;significance_bar),"better","better, not significant")))))</f>
        <v/>
      </c>
      <c r="Y1129">
        <f>IF($V1129,$X1129,$W1129)</f>
        <v/>
      </c>
      <c r="Z1129">
        <f>IF($V1129,IF($P1129="","",$P1129),IF($O1129="","",$O1129))</f>
        <v/>
      </c>
      <c r="AA1129">
        <f>IF(OR($Q1129="",$Z1129=""),"",IF(AND($Z1129&gt;0,$Z1129&gt;=$Q1129),"yes","below the line"))</f>
        <v/>
      </c>
      <c r="AB1129">
        <f>IF($V1129,IF($M1129="","",$M1129),IF($K1129="","",$K1129))</f>
        <v/>
      </c>
      <c r="AC1129">
        <f>IF($V1129,IF($N1129="","",$N1129),IF($L1129="","",$L1129))</f>
        <v/>
      </c>
      <c r="AD1129">
        <f>$Y1129</f>
        <v/>
      </c>
      <c r="AE1129">
        <f>IF($V1129,IF($S1129="","",$S1129),IF($R1129="","",$R1129))</f>
        <v/>
      </c>
      <c r="AF1129">
        <f>IF($V1129,IF($U1129="","",$U1129),IF($T1129="","",$T1129))</f>
        <v/>
      </c>
      <c r="AG1129">
        <f>IF($V1129,IF($O1129="","",$O1129),IF($P1129="","",$P1129))</f>
        <v/>
      </c>
      <c r="AH1129" t="n">
        <v>0.08547008547008547</v>
      </c>
      <c r="AI1129">
        <f>IF($Y1129="worse","Yes",IF($Y1129="worse, not significant","Not sure",IF(OR($Y1129="too few losses to test",$Y1129="too few loans to test"),"Too few losses",IF($Y1129="","","No"))))</f>
        <v/>
      </c>
      <c r="AJ1129">
        <f>IF($AA1129="yes","Yes",IF($AA1129="","","No"))</f>
        <v/>
      </c>
    </row>
    <row r="1130">
      <c r="A1130" t="inlineStr">
        <is>
          <t>three-way</t>
        </is>
      </c>
      <c r="B1130" t="inlineStr">
        <is>
          <t>ORIG_BAL x ASSET_CLASS / SYS_FLAG</t>
        </is>
      </c>
      <c r="C1130" t="inlineStr">
        <is>
          <t>15,449 - 26,323</t>
        </is>
      </c>
      <c r="D1130" t="inlineStr">
        <is>
          <t>3 / SYS_FLAG N</t>
        </is>
      </c>
      <c r="E1130" t="inlineStr">
        <is>
          <t>outcome_booked</t>
        </is>
      </c>
      <c r="F1130" t="inlineStr">
        <is>
          <t>Outcome, share of booked dollars</t>
        </is>
      </c>
      <c r="G1130" t="n">
        <v>234</v>
      </c>
      <c r="H1130" t="n">
        <v>4827819.080000002</v>
      </c>
      <c r="I1130" t="b">
        <v>0</v>
      </c>
      <c r="J1130" t="b">
        <v>0</v>
      </c>
      <c r="K1130" t="n">
        <v>1.189806411564733</v>
      </c>
      <c r="L1130" t="n">
        <v>0.7851004373246886</v>
      </c>
      <c r="M1130" t="n">
        <v>0.9374737691517826</v>
      </c>
      <c r="N1130" t="n">
        <v>0.86137593137238</v>
      </c>
      <c r="O1130" t="n">
        <v>68326.85947958415</v>
      </c>
      <c r="P1130" t="n">
        <v>-28566.69584416039</v>
      </c>
      <c r="Q1130">
        <f>'_live'!$C$21</f>
        <v/>
      </c>
      <c r="R1130" t="inlineStr">
        <is>
          <t>shuffled: 4,642 of 10,000</t>
        </is>
      </c>
      <c r="S1130" t="inlineStr">
        <is>
          <t>shuffled: 7,806 of 10,000</t>
        </is>
      </c>
      <c r="T1130" t="n">
        <v>0.07456406807199903</v>
      </c>
      <c r="U1130" t="n">
        <v>0.09463390783155863</v>
      </c>
      <c r="V1130">
        <f>AND(judged_band,NOT($J1130))</f>
        <v/>
      </c>
      <c r="W1130">
        <f>IF($K1130="","",IF($I1130,"too few losses to test",IF(AND($K1130&gt;better_at,$K1130&lt;worse_at),"in line",IF($K1130&gt;=worse_at,IF(AND(ISNUMBER($L1130),$L1130&lt;significance_bar),"worse","worse, not significant"),IF(AND(ISNUMBER($L1130),$L1130&lt;significance_bar),"better","better, not significant")))))</f>
        <v/>
      </c>
      <c r="X1130">
        <f>IF($M1130="","",IF($I1130,"too few losses to test",IF(AND($M1130&gt;better_at,$M1130&lt;worse_at),"in line",IF($M1130&gt;=worse_at,IF(AND(ISNUMBER($N1130),$N1130&lt;significance_bar),"worse","worse, not significant"),IF(AND(ISNUMBER($N1130),$N1130&lt;significance_bar),"better","better, not significant")))))</f>
        <v/>
      </c>
      <c r="Y1130">
        <f>IF($V1130,$X1130,$W1130)</f>
        <v/>
      </c>
      <c r="Z1130">
        <f>IF($V1130,IF($P1130="","",$P1130),IF($O1130="","",$O1130))</f>
        <v/>
      </c>
      <c r="AA1130">
        <f>IF(OR($Q1130="",$Z1130=""),"",IF(AND($Z1130&gt;0,$Z1130&gt;=$Q1130),"yes","below the line"))</f>
        <v/>
      </c>
      <c r="AB1130">
        <f>IF($V1130,IF($M1130="","",$M1130),IF($K1130="","",$K1130))</f>
        <v/>
      </c>
      <c r="AC1130">
        <f>IF($V1130,IF($N1130="","",$N1130),IF($L1130="","",$L1130))</f>
        <v/>
      </c>
      <c r="AD1130">
        <f>$Y1130</f>
        <v/>
      </c>
      <c r="AE1130">
        <f>IF($V1130,IF($S1130="","",$S1130),IF($R1130="","",$R1130))</f>
        <v/>
      </c>
      <c r="AF1130">
        <f>IF($V1130,IF($U1130="","",$U1130),IF($T1130="","",$T1130))</f>
        <v/>
      </c>
      <c r="AG1130">
        <f>IF($V1130,IF($O1130="","",$O1130),IF($P1130="","",$P1130))</f>
        <v/>
      </c>
      <c r="AH1130" t="n">
        <v>0.08871680626441367</v>
      </c>
      <c r="AI1130">
        <f>IF($Y1130="worse","Yes",IF($Y1130="worse, not significant","Not sure",IF(OR($Y1130="too few losses to test",$Y1130="too few loans to test"),"Too few losses",IF($Y1130="","","No"))))</f>
        <v/>
      </c>
      <c r="AJ1130">
        <f>IF($AA1130="yes","Yes",IF($AA1130="","","No"))</f>
        <v/>
      </c>
    </row>
    <row r="1131">
      <c r="A1131" t="inlineStr">
        <is>
          <t>three-way</t>
        </is>
      </c>
      <c r="B1131" t="inlineStr">
        <is>
          <t>ORIG_BAL x ASSET_CLASS / SYS_FLAG</t>
        </is>
      </c>
      <c r="C1131" t="inlineStr">
        <is>
          <t>15,449 - 26,323</t>
        </is>
      </c>
      <c r="D1131" t="inlineStr">
        <is>
          <t>3 / SYS_FLAG N</t>
        </is>
      </c>
      <c r="E1131" t="inlineStr">
        <is>
          <t>gco_rate</t>
        </is>
      </c>
      <c r="F1131" t="inlineStr">
        <is>
          <t>GCO per booked dollar</t>
        </is>
      </c>
      <c r="G1131" t="n">
        <v>234</v>
      </c>
      <c r="H1131" t="n">
        <v>4827819.080000002</v>
      </c>
      <c r="I1131" t="b">
        <v>0</v>
      </c>
      <c r="J1131" t="b">
        <v>0</v>
      </c>
      <c r="K1131" t="n">
        <v>1.238107098169418</v>
      </c>
      <c r="L1131" t="n">
        <v>0.7890410958904109</v>
      </c>
      <c r="M1131" t="n">
        <v>0.9589750302282279</v>
      </c>
      <c r="N1131" t="n">
        <v>0.8843115688431157</v>
      </c>
      <c r="O1131" t="n">
        <v>47614.70597265469</v>
      </c>
      <c r="P1131" t="n">
        <v>-10591.75553948598</v>
      </c>
      <c r="Q1131">
        <f>'_live'!$C$22</f>
        <v/>
      </c>
      <c r="R1131" t="inlineStr">
        <is>
          <t>shuffled: 3,698 of 10,000</t>
        </is>
      </c>
      <c r="S1131" t="inlineStr">
        <is>
          <t>shuffled: 8,604 of 10,000</t>
        </is>
      </c>
      <c r="T1131" t="n">
        <v>0.04142073278092791</v>
      </c>
      <c r="U1131" t="n">
        <v>0.05347720394267257</v>
      </c>
      <c r="V1131">
        <f>AND(judged_band,NOT($J1131))</f>
        <v/>
      </c>
      <c r="W1131">
        <f>IF($K1131="","",IF($I1131,"too few losses to test",IF(AND($K1131&gt;better_at,$K1131&lt;worse_at),"in line",IF($K1131&gt;=worse_at,IF(AND(ISNUMBER($L1131),$L1131&lt;significance_bar),"worse","worse, not significant"),IF(AND(ISNUMBER($L1131),$L1131&lt;significance_bar),"better","better, not significant")))))</f>
        <v/>
      </c>
      <c r="X1131">
        <f>IF($M1131="","",IF($I1131,"too few losses to test",IF(AND($M1131&gt;better_at,$M1131&lt;worse_at),"in line",IF($M1131&gt;=worse_at,IF(AND(ISNUMBER($N1131),$N1131&lt;significance_bar),"worse","worse, not significant"),IF(AND(ISNUMBER($N1131),$N1131&lt;significance_bar),"better","better, not significant")))))</f>
        <v/>
      </c>
      <c r="Y1131">
        <f>IF($V1131,$X1131,$W1131)</f>
        <v/>
      </c>
      <c r="Z1131">
        <f>IF($V1131,IF($P1131="","",$P1131),IF($O1131="","",$O1131))</f>
        <v/>
      </c>
      <c r="AA1131">
        <f>IF(OR($Q1131="",$Z1131=""),"",IF(AND($Z1131&gt;0,$Z1131&gt;=$Q1131),"yes","below the line"))</f>
        <v/>
      </c>
      <c r="AB1131">
        <f>IF($V1131,IF($M1131="","",$M1131),IF($K1131="","",$K1131))</f>
        <v/>
      </c>
      <c r="AC1131">
        <f>IF($V1131,IF($N1131="","",$N1131),IF($L1131="","",$L1131))</f>
        <v/>
      </c>
      <c r="AD1131">
        <f>$Y1131</f>
        <v/>
      </c>
      <c r="AE1131">
        <f>IF($V1131,IF($S1131="","",$S1131),IF($R1131="","",$R1131))</f>
        <v/>
      </c>
      <c r="AF1131">
        <f>IF($V1131,IF($U1131="","",$U1131),IF($T1131="","",$T1131))</f>
        <v/>
      </c>
      <c r="AG1131">
        <f>IF($V1131,IF($O1131="","",$O1131),IF($P1131="","",$P1131))</f>
        <v/>
      </c>
      <c r="AH1131" t="n">
        <v>0.05128330326744554</v>
      </c>
      <c r="AI1131">
        <f>IF($Y1131="worse","Yes",IF($Y1131="worse, not significant","Not sure",IF(OR($Y1131="too few losses to test",$Y1131="too few loans to test"),"Too few losses",IF($Y1131="","","No"))))</f>
        <v/>
      </c>
      <c r="AJ1131">
        <f>IF($AA1131="yes","Yes",IF($AA1131="","","No"))</f>
        <v/>
      </c>
    </row>
    <row r="1132">
      <c r="A1132" t="inlineStr">
        <is>
          <t>three-way</t>
        </is>
      </c>
      <c r="B1132" t="inlineStr">
        <is>
          <t>ORIG_BAL x ASSET_CLASS / SYS_FLAG</t>
        </is>
      </c>
      <c r="C1132" t="inlineStr">
        <is>
          <t>15,449 - 26,323</t>
        </is>
      </c>
      <c r="D1132" t="inlineStr">
        <is>
          <t>3 / SYS_FLAG N</t>
        </is>
      </c>
      <c r="E1132" t="inlineStr">
        <is>
          <t>ranr_rate</t>
        </is>
      </c>
      <c r="F1132" t="inlineStr">
        <is>
          <t>Profit after losses: RANR per booked dollar</t>
        </is>
      </c>
      <c r="G1132" t="n">
        <v>234</v>
      </c>
      <c r="H1132" t="n">
        <v>4827819.080000002</v>
      </c>
      <c r="I1132" t="b">
        <v>0</v>
      </c>
      <c r="J1132" t="b">
        <v>0</v>
      </c>
      <c r="K1132" t="n">
        <v>-0.007773235595613576</v>
      </c>
      <c r="L1132" t="n">
        <v>0.8120616509777595</v>
      </c>
      <c r="M1132" t="n">
        <v>0.001522512169827794</v>
      </c>
      <c r="N1132" t="n">
        <v>0.9519048095190481</v>
      </c>
      <c r="O1132" t="n">
        <v>37527.77512183844</v>
      </c>
      <c r="P1132" t="n">
        <v>-7350.413303026813</v>
      </c>
      <c r="Q1132">
        <f>'_live'!$C$23</f>
        <v/>
      </c>
      <c r="R1132" t="inlineStr">
        <is>
          <t>shuffled: 5,637 of 10,000</t>
        </is>
      </c>
      <c r="S1132" t="inlineStr">
        <is>
          <t>shuffled: 9,216 of 10,000</t>
        </is>
      </c>
      <c r="T1132" t="n">
        <v>0.128135467562268</v>
      </c>
      <c r="U1132" t="n">
        <v>0.1188397197968266</v>
      </c>
      <c r="V1132">
        <f>AND(judged_band,NOT($J1132))</f>
        <v/>
      </c>
      <c r="W1132">
        <f>IF($K1132="","",IF(profit_kind="test",IF(OR(NOT(AND(ISNUMBER($L1132),$L1132&lt;significance_bar)),$K1132=0),"in line",IF($K1132&lt;0,"worse","better")),IF(OR($K1132=0,IF(profit_kind="points",ABS($K1132),ABS($K1132*$H1132))&lt;profit_line*(1-1E-9)),"in line",IF(AND(ISNUMBER($L1132),$L1132&lt;significance_bar),IF($K1132&lt;0,"worse","better"),IF($K1132&lt;0,"worse, not significant","better, not significant")))))</f>
        <v/>
      </c>
      <c r="X1132">
        <f>IF($M1132="","",IF(profit_kind="test",IF(OR(NOT(AND(ISNUMBER($N1132),$N1132&lt;significance_bar)),$M1132=0),"in line",IF($M1132&lt;0,"worse","better")),IF(OR($M1132=0,IF(profit_kind="points",ABS($M1132),ABS($M1132*$H1132))&lt;profit_line*(1-1E-9)),"in line",IF(AND(ISNUMBER($N1132),$N1132&lt;significance_bar),IF($M1132&lt;0,"worse","better"),IF($M1132&lt;0,"worse, not significant","better, not significant")))))</f>
        <v/>
      </c>
      <c r="Y1132">
        <f>IF($V1132,$X1132,$W1132)</f>
        <v/>
      </c>
      <c r="Z1132">
        <f>IF($V1132,IF($P1132="","",$P1132),IF($O1132="","",$O1132))</f>
        <v/>
      </c>
      <c r="AA1132">
        <f>IF(OR($Q1132="",$Z1132=""),"",IF(AND($Z1132&gt;0,$Z1132&gt;=$Q1132),"yes","below the line"))</f>
        <v/>
      </c>
      <c r="AB1132">
        <f>IF($V1132,IF($M1132="","",$M1132),IF($K1132="","",$K1132))</f>
        <v/>
      </c>
      <c r="AC1132">
        <f>IF($V1132,IF($N1132="","",$N1132),IF($L1132="","",$L1132))</f>
        <v/>
      </c>
      <c r="AD1132">
        <f>IF($Y1132="","",IF($Y1132="in line",IF(profit_kind="test",IF(ROUND($AB1132*100,2)=0,"0.00",TEXT($AB1132*100,"+0.00;-0.00"))&amp;" points against "&amp;IF($V1132,"its band","the book")&amp;", "&amp;IF($AC1132="","not tested","not significant"),IF(profit_kind="points","within "&amp;TEXT(profit_line*100,"0.00")&amp;" points of "&amp;IF($V1132,"its band","the book")&amp;" ("&amp;IF(ROUND($AB1132*100,2)=0,"0.00",TEXT($AB1132*100,"+0.00;-0.00"))&amp;")","within $"&amp;TEXT(profit_line,"#,##0")&amp;" of "&amp;IF($V1132,"its band","the book")&amp;" ("&amp;IF(ROUND($AB1132*100,2)=0,"0.00",TEXT($AB1132*100,"+0.00;-0.00"))&amp;" points)")),IF(LEFT($Y1132,5)="worse","short of ","ahead of ")&amp;IF($V1132,"its band","the book")&amp;" by "&amp;TEXT(ABS($AB1132)*100,"0.00")&amp;" points"&amp;IF($Z1132="",""," ($"&amp;TEXT(ABS($Z1132),"#,##0")&amp;")")&amp;IF(RIGHT($Y1132,15)="not significant"," (not significant)","")))</f>
        <v/>
      </c>
      <c r="AE1132">
        <f>IF($V1132,IF($S1132="","",$S1132),IF($R1132="","",$R1132))</f>
        <v/>
      </c>
      <c r="AF1132">
        <f>IF($V1132,IF($U1132="","",$U1132),IF($T1132="","",$T1132))</f>
        <v/>
      </c>
      <c r="AG1132">
        <f>IF($V1132,IF($O1132="","",$O1132),IF($P1132="","",$P1132))</f>
        <v/>
      </c>
      <c r="AH1132" t="n">
        <v>0.1203622319666544</v>
      </c>
      <c r="AI1132">
        <f>IF($Y1132="worse","Yes",IF($Y1132="worse, not significant","Not sure",IF(OR($Y1132="too few losses to test",$Y1132="too few loans to test"),"Too few losses",IF($Y1132="","","No"))))</f>
        <v/>
      </c>
      <c r="AJ1132">
        <f>IF($AA1132="yes","Yes",IF($AA1132="","","No"))</f>
        <v/>
      </c>
    </row>
    <row r="1133">
      <c r="A1133" t="inlineStr">
        <is>
          <t>three-way</t>
        </is>
      </c>
      <c r="B1133" t="inlineStr">
        <is>
          <t>ORIG_BAL x ASSET_CLASS / SYS_FLAG</t>
        </is>
      </c>
      <c r="C1133" t="inlineStr">
        <is>
          <t>15,449 - 26,323</t>
        </is>
      </c>
      <c r="D1133" t="inlineStr">
        <is>
          <t>3 / SYS_FLAG N</t>
        </is>
      </c>
      <c r="E1133" t="inlineStr">
        <is>
          <t>contribution_rate</t>
        </is>
      </c>
      <c r="F1133" t="inlineStr">
        <is>
          <t>Contribution before losses per booked dollar</t>
        </is>
      </c>
      <c r="G1133" t="n">
        <v>234</v>
      </c>
      <c r="H1133" t="n">
        <v>4827819.080000002</v>
      </c>
      <c r="I1133" t="b">
        <v>0</v>
      </c>
      <c r="J1133" t="b">
        <v>0</v>
      </c>
      <c r="K1133" t="n">
        <v>0.002092225863582708</v>
      </c>
      <c r="L1133" t="n">
        <v>0.9955004499550044</v>
      </c>
      <c r="M1133" t="n">
        <v>-0.0006713885053993007</v>
      </c>
      <c r="N1133" t="n">
        <v>0.9613397634595515</v>
      </c>
      <c r="O1133" t="n">
        <v>-10100.88794387411</v>
      </c>
      <c r="P1133" t="n">
        <v>3241.342236459372</v>
      </c>
      <c r="Q1133">
        <f>'_live'!$C$24</f>
        <v/>
      </c>
      <c r="R1133" t="inlineStr">
        <is>
          <t>shuffled: 8,160 of 10,000</t>
        </is>
      </c>
      <c r="S1133" t="inlineStr">
        <is>
          <t>shuffled: 9,373 of 10,000</t>
        </is>
      </c>
      <c r="T1133" t="n">
        <v>0.1695533093705172</v>
      </c>
      <c r="U1133" t="n">
        <v>0.1723169237394992</v>
      </c>
      <c r="V1133">
        <f>AND(judged_band,NOT($J1133))</f>
        <v/>
      </c>
      <c r="W1133">
        <f>IF($K1133="","",IF(profit_kind="test",IF(OR(NOT(AND(ISNUMBER($L1133),$L1133&lt;significance_bar)),$K1133=0),"in line",IF($K1133&lt;0,"worse","better")),IF(OR($K1133=0,IF(profit_kind="points",ABS($K1133),ABS($K1133*$H1133))&lt;profit_line*(1-1E-9)),"in line",IF(AND(ISNUMBER($L1133),$L1133&lt;significance_bar),IF($K1133&lt;0,"worse","better"),IF($K1133&lt;0,"worse, not significant","better, not significant")))))</f>
        <v/>
      </c>
      <c r="X1133">
        <f>IF($M1133="","",IF(profit_kind="test",IF(OR(NOT(AND(ISNUMBER($N1133),$N1133&lt;significance_bar)),$M1133=0),"in line",IF($M1133&lt;0,"worse","better")),IF(OR($M1133=0,IF(profit_kind="points",ABS($M1133),ABS($M1133*$H1133))&lt;profit_line*(1-1E-9)),"in line",IF(AND(ISNUMBER($N1133),$N1133&lt;significance_bar),IF($M1133&lt;0,"worse","better"),IF($M1133&lt;0,"worse, not significant","better, not significant")))))</f>
        <v/>
      </c>
      <c r="Y1133">
        <f>IF($V1133,$X1133,$W1133)</f>
        <v/>
      </c>
      <c r="Z1133">
        <f>IF($V1133,IF($P1133="","",$P1133),IF($O1133="","",$O1133))</f>
        <v/>
      </c>
      <c r="AA1133">
        <f>IF(OR($Q1133="",$Z1133=""),"",IF(AND($Z1133&gt;0,$Z1133&gt;=$Q1133),"yes","below the line"))</f>
        <v/>
      </c>
      <c r="AB1133">
        <f>IF($V1133,IF($M1133="","",$M1133),IF($K1133="","",$K1133))</f>
        <v/>
      </c>
      <c r="AC1133">
        <f>IF($V1133,IF($N1133="","",$N1133),IF($L1133="","",$L1133))</f>
        <v/>
      </c>
      <c r="AD1133">
        <f>IF($Y1133="","",IF($Y1133="in line",IF(profit_kind="test",IF(ROUND($AB1133*100,2)=0,"0.00",TEXT($AB1133*100,"+0.00;-0.00"))&amp;" points against "&amp;IF($V1133,"its band","the book")&amp;", "&amp;IF($AC1133="","not tested","not significant"),IF(profit_kind="points","within "&amp;TEXT(profit_line*100,"0.00")&amp;" points of "&amp;IF($V1133,"its band","the book")&amp;" ("&amp;IF(ROUND($AB1133*100,2)=0,"0.00",TEXT($AB1133*100,"+0.00;-0.00"))&amp;")","within $"&amp;TEXT(profit_line,"#,##0")&amp;" of "&amp;IF($V1133,"its band","the book")&amp;" ("&amp;IF(ROUND($AB1133*100,2)=0,"0.00",TEXT($AB1133*100,"+0.00;-0.00"))&amp;" points)")),IF(LEFT($Y1133,5)="worse","short of ","ahead of ")&amp;IF($V1133,"its band","the book")&amp;" by "&amp;TEXT(ABS($AB1133)*100,"0.00")&amp;" points"&amp;IF($Z1133="",""," ($"&amp;TEXT(ABS($Z1133),"#,##0")&amp;")")&amp;IF(RIGHT($Y1133,15)="not significant"," (not significant)","")))</f>
        <v/>
      </c>
      <c r="AE1133">
        <f>IF($V1133,IF($S1133="","",$S1133),IF($R1133="","",$R1133))</f>
        <v/>
      </c>
      <c r="AF1133">
        <f>IF($V1133,IF($U1133="","",$U1133),IF($T1133="","",$T1133))</f>
        <v/>
      </c>
      <c r="AG1133">
        <f>IF($V1133,IF($O1133="","",$O1133),IF($P1133="","",$P1133))</f>
        <v/>
      </c>
      <c r="AH1133" t="n">
        <v>0.1716455352340999</v>
      </c>
      <c r="AI1133">
        <f>IF($Y1133="worse","Yes",IF($Y1133="worse, not significant","Not sure",IF(OR($Y1133="too few losses to test",$Y1133="too few loans to test"),"Too few losses",IF($Y1133="","","No"))))</f>
        <v/>
      </c>
      <c r="AJ1133">
        <f>IF($AA1133="yes","Yes",IF($AA1133="","","No"))</f>
        <v/>
      </c>
    </row>
    <row r="1134">
      <c r="A1134" t="inlineStr">
        <is>
          <t>three-way</t>
        </is>
      </c>
      <c r="B1134" t="inlineStr">
        <is>
          <t>ORIG_BAL x ASSET_CLASS / SYS_FLAG</t>
        </is>
      </c>
      <c r="C1134" t="inlineStr">
        <is>
          <t>15,449 - 26,323</t>
        </is>
      </c>
      <c r="D1134" t="inlineStr">
        <is>
          <t>1 / SYS_FLAG Y</t>
        </is>
      </c>
      <c r="E1134" t="inlineStr">
        <is>
          <t>outcome_loans</t>
        </is>
      </c>
      <c r="F1134" t="inlineStr">
        <is>
          <t>Outcome, share of loans</t>
        </is>
      </c>
      <c r="G1134" t="n">
        <v>180</v>
      </c>
      <c r="H1134" t="n">
        <v>180</v>
      </c>
      <c r="I1134" t="b">
        <v>0</v>
      </c>
      <c r="J1134" t="b">
        <v>0</v>
      </c>
      <c r="K1134" t="n">
        <v>1.450380263401966</v>
      </c>
      <c r="L1134" t="n">
        <v>0.3084304657867236</v>
      </c>
      <c r="M1134" t="n">
        <v>1.223083548664944</v>
      </c>
      <c r="N1134" t="n">
        <v>0.6362547681114774</v>
      </c>
      <c r="O1134" t="n">
        <v>6.210512853306049</v>
      </c>
      <c r="P1134" t="n">
        <v>3.64788732394366</v>
      </c>
      <c r="Q1134">
        <f>'_live'!$C$20</f>
        <v/>
      </c>
      <c r="R1134" t="inlineStr">
        <is>
          <t>z test</t>
        </is>
      </c>
      <c r="S1134" t="inlineStr">
        <is>
          <t>z test</t>
        </is>
      </c>
      <c r="T1134" t="n">
        <v>0.0766082619260775</v>
      </c>
      <c r="U1134" t="n">
        <v>0.09084507042253522</v>
      </c>
      <c r="V1134">
        <f>AND(judged_band,NOT($J1134))</f>
        <v/>
      </c>
      <c r="W1134">
        <f>IF($K1134="","",IF($I1134,"too few losses to test",IF(AND($K1134&gt;better_at,$K1134&lt;worse_at),"in line",IF($K1134&gt;=worse_at,IF(AND(ISNUMBER($L1134),$L1134&lt;significance_bar),"worse","worse, not significant"),IF(AND(ISNUMBER($L1134),$L1134&lt;significance_bar),"better","better, not significant")))))</f>
        <v/>
      </c>
      <c r="X1134">
        <f>IF($M1134="","",IF($I1134,"too few losses to test",IF(AND($M1134&gt;better_at,$M1134&lt;worse_at),"in line",IF($M1134&gt;=worse_at,IF(AND(ISNUMBER($N1134),$N1134&lt;significance_bar),"worse","worse, not significant"),IF(AND(ISNUMBER($N1134),$N1134&lt;significance_bar),"better","better, not significant")))))</f>
        <v/>
      </c>
      <c r="Y1134">
        <f>IF($V1134,$X1134,$W1134)</f>
        <v/>
      </c>
      <c r="Z1134">
        <f>IF($V1134,IF($P1134="","",$P1134),IF($O1134="","",$O1134))</f>
        <v/>
      </c>
      <c r="AA1134">
        <f>IF(OR($Q1134="",$Z1134=""),"",IF(AND($Z1134&gt;0,$Z1134&gt;=$Q1134),"yes","below the line"))</f>
        <v/>
      </c>
      <c r="AB1134">
        <f>IF($V1134,IF($M1134="","",$M1134),IF($K1134="","",$K1134))</f>
        <v/>
      </c>
      <c r="AC1134">
        <f>IF($V1134,IF($N1134="","",$N1134),IF($L1134="","",$L1134))</f>
        <v/>
      </c>
      <c r="AD1134">
        <f>$Y1134</f>
        <v/>
      </c>
      <c r="AE1134">
        <f>IF($V1134,IF($S1134="","",$S1134),IF($R1134="","",$R1134))</f>
        <v/>
      </c>
      <c r="AF1134">
        <f>IF($V1134,IF($U1134="","",$U1134),IF($T1134="","",$T1134))</f>
        <v/>
      </c>
      <c r="AG1134">
        <f>IF($V1134,IF($O1134="","",$O1134),IF($P1134="","",$P1134))</f>
        <v/>
      </c>
      <c r="AH1134" t="n">
        <v>0.1111111111111111</v>
      </c>
      <c r="AI1134">
        <f>IF($Y1134="worse","Yes",IF($Y1134="worse, not significant","Not sure",IF(OR($Y1134="too few losses to test",$Y1134="too few loans to test"),"Too few losses",IF($Y1134="","","No"))))</f>
        <v/>
      </c>
      <c r="AJ1134">
        <f>IF($AA1134="yes","Yes",IF($AA1134="","","No"))</f>
        <v/>
      </c>
    </row>
    <row r="1135">
      <c r="A1135" t="inlineStr">
        <is>
          <t>three-way</t>
        </is>
      </c>
      <c r="B1135" t="inlineStr">
        <is>
          <t>ORIG_BAL x ASSET_CLASS / SYS_FLAG</t>
        </is>
      </c>
      <c r="C1135" t="inlineStr">
        <is>
          <t>15,449 - 26,323</t>
        </is>
      </c>
      <c r="D1135" t="inlineStr">
        <is>
          <t>1 / SYS_FLAG Y</t>
        </is>
      </c>
      <c r="E1135" t="inlineStr">
        <is>
          <t>outcome_booked</t>
        </is>
      </c>
      <c r="F1135" t="inlineStr">
        <is>
          <t>Outcome, share of booked dollars</t>
        </is>
      </c>
      <c r="G1135" t="n">
        <v>180</v>
      </c>
      <c r="H1135" t="n">
        <v>3769132.12</v>
      </c>
      <c r="I1135" t="b">
        <v>0</v>
      </c>
      <c r="J1135" t="b">
        <v>0</v>
      </c>
      <c r="K1135" t="n">
        <v>1.512451152152386</v>
      </c>
      <c r="L1135" t="n">
        <v>0.3065293470652935</v>
      </c>
      <c r="M1135" t="n">
        <v>1.228778172854441</v>
      </c>
      <c r="N1135" t="n">
        <v>0.6170582941705829</v>
      </c>
      <c r="O1135" t="n">
        <v>143457.8132695758</v>
      </c>
      <c r="P1135" t="n">
        <v>78830.48320916231</v>
      </c>
      <c r="Q1135">
        <f>'_live'!$C$21</f>
        <v/>
      </c>
      <c r="R1135" t="inlineStr">
        <is>
          <t>shuffled: 840 of 10,000</t>
        </is>
      </c>
      <c r="S1135" t="inlineStr">
        <is>
          <t>shuffled: 3,730 of 10,000</t>
        </is>
      </c>
      <c r="T1135" t="n">
        <v>0.07427289832716828</v>
      </c>
      <c r="U1135" t="n">
        <v>0.09141937343147254</v>
      </c>
      <c r="V1135">
        <f>AND(judged_band,NOT($J1135))</f>
        <v/>
      </c>
      <c r="W1135">
        <f>IF($K1135="","",IF($I1135,"too few losses to test",IF(AND($K1135&gt;better_at,$K1135&lt;worse_at),"in line",IF($K1135&gt;=worse_at,IF(AND(ISNUMBER($L1135),$L1135&lt;significance_bar),"worse","worse, not significant"),IF(AND(ISNUMBER($L1135),$L1135&lt;significance_bar),"better","better, not significant")))))</f>
        <v/>
      </c>
      <c r="X1135">
        <f>IF($M1135="","",IF($I1135,"too few losses to test",IF(AND($M1135&gt;better_at,$M1135&lt;worse_at),"in line",IF($M1135&gt;=worse_at,IF(AND(ISNUMBER($N1135),$N1135&lt;significance_bar),"worse","worse, not significant"),IF(AND(ISNUMBER($N1135),$N1135&lt;significance_bar),"better","better, not significant")))))</f>
        <v/>
      </c>
      <c r="Y1135">
        <f>IF($V1135,$X1135,$W1135)</f>
        <v/>
      </c>
      <c r="Z1135">
        <f>IF($V1135,IF($P1135="","",$P1135),IF($O1135="","",$O1135))</f>
        <v/>
      </c>
      <c r="AA1135">
        <f>IF(OR($Q1135="",$Z1135=""),"",IF(AND($Z1135&gt;0,$Z1135&gt;=$Q1135),"yes","below the line"))</f>
        <v/>
      </c>
      <c r="AB1135">
        <f>IF($V1135,IF($M1135="","",$M1135),IF($K1135="","",$K1135))</f>
        <v/>
      </c>
      <c r="AC1135">
        <f>IF($V1135,IF($N1135="","",$N1135),IF($L1135="","",$L1135))</f>
        <v/>
      </c>
      <c r="AD1135">
        <f>$Y1135</f>
        <v/>
      </c>
      <c r="AE1135">
        <f>IF($V1135,IF($S1135="","",$S1135),IF($R1135="","",$R1135))</f>
        <v/>
      </c>
      <c r="AF1135">
        <f>IF($V1135,IF($U1135="","",$U1135),IF($T1135="","",$T1135))</f>
        <v/>
      </c>
      <c r="AG1135">
        <f>IF($V1135,IF($O1135="","",$O1135),IF($P1135="","",$P1135))</f>
        <v/>
      </c>
      <c r="AH1135" t="n">
        <v>0.1123341306486227</v>
      </c>
      <c r="AI1135">
        <f>IF($Y1135="worse","Yes",IF($Y1135="worse, not significant","Not sure",IF(OR($Y1135="too few losses to test",$Y1135="too few loans to test"),"Too few losses",IF($Y1135="","","No"))))</f>
        <v/>
      </c>
      <c r="AJ1135">
        <f>IF($AA1135="yes","Yes",IF($AA1135="","","No"))</f>
        <v/>
      </c>
    </row>
    <row r="1136">
      <c r="A1136" t="inlineStr">
        <is>
          <t>three-way</t>
        </is>
      </c>
      <c r="B1136" t="inlineStr">
        <is>
          <t>ORIG_BAL x ASSET_CLASS / SYS_FLAG</t>
        </is>
      </c>
      <c r="C1136" t="inlineStr">
        <is>
          <t>15,449 - 26,323</t>
        </is>
      </c>
      <c r="D1136" t="inlineStr">
        <is>
          <t>1 / SYS_FLAG Y</t>
        </is>
      </c>
      <c r="E1136" t="inlineStr">
        <is>
          <t>gco_rate</t>
        </is>
      </c>
      <c r="F1136" t="inlineStr">
        <is>
          <t>GCO per booked dollar</t>
        </is>
      </c>
      <c r="G1136" t="n">
        <v>180</v>
      </c>
      <c r="H1136" t="n">
        <v>3769132.12</v>
      </c>
      <c r="I1136" t="b">
        <v>0</v>
      </c>
      <c r="J1136" t="b">
        <v>0</v>
      </c>
      <c r="K1136" t="n">
        <v>1.616569699397381</v>
      </c>
      <c r="L1136" t="n">
        <v>0.193980601939806</v>
      </c>
      <c r="M1136" t="n">
        <v>1.295732179988387</v>
      </c>
      <c r="N1136" t="n">
        <v>0.6561805357925745</v>
      </c>
      <c r="O1136" t="n">
        <v>95824.79014589312</v>
      </c>
      <c r="P1136" t="n">
        <v>57342.0840501535</v>
      </c>
      <c r="Q1136">
        <f>'_live'!$C$22</f>
        <v/>
      </c>
      <c r="R1136" t="inlineStr">
        <is>
          <t>shuffled: 435 of 10,000</t>
        </is>
      </c>
      <c r="S1136" t="inlineStr">
        <is>
          <t>shuffled: 2,665 of 10,000</t>
        </is>
      </c>
      <c r="T1136" t="n">
        <v>0.041233892818304</v>
      </c>
      <c r="U1136" t="n">
        <v>0.05144385757160631</v>
      </c>
      <c r="V1136">
        <f>AND(judged_band,NOT($J1136))</f>
        <v/>
      </c>
      <c r="W1136">
        <f>IF($K1136="","",IF($I1136,"too few losses to test",IF(AND($K1136&gt;better_at,$K1136&lt;worse_at),"in line",IF($K1136&gt;=worse_at,IF(AND(ISNUMBER($L1136),$L1136&lt;significance_bar),"worse","worse, not significant"),IF(AND(ISNUMBER($L1136),$L1136&lt;significance_bar),"better","better, not significant")))))</f>
        <v/>
      </c>
      <c r="X1136">
        <f>IF($M1136="","",IF($I1136,"too few losses to test",IF(AND($M1136&gt;better_at,$M1136&lt;worse_at),"in line",IF($M1136&gt;=worse_at,IF(AND(ISNUMBER($N1136),$N1136&lt;significance_bar),"worse","worse, not significant"),IF(AND(ISNUMBER($N1136),$N1136&lt;significance_bar),"better","better, not significant")))))</f>
        <v/>
      </c>
      <c r="Y1136">
        <f>IF($V1136,$X1136,$W1136)</f>
        <v/>
      </c>
      <c r="Z1136">
        <f>IF($V1136,IF($P1136="","",$P1136),IF($O1136="","",$O1136))</f>
        <v/>
      </c>
      <c r="AA1136">
        <f>IF(OR($Q1136="",$Z1136=""),"",IF(AND($Z1136&gt;0,$Z1136&gt;=$Q1136),"yes","below the line"))</f>
        <v/>
      </c>
      <c r="AB1136">
        <f>IF($V1136,IF($M1136="","",$M1136),IF($K1136="","",$K1136))</f>
        <v/>
      </c>
      <c r="AC1136">
        <f>IF($V1136,IF($N1136="","",$N1136),IF($L1136="","",$L1136))</f>
        <v/>
      </c>
      <c r="AD1136">
        <f>$Y1136</f>
        <v/>
      </c>
      <c r="AE1136">
        <f>IF($V1136,IF($S1136="","",$S1136),IF($R1136="","",$R1136))</f>
        <v/>
      </c>
      <c r="AF1136">
        <f>IF($V1136,IF($U1136="","",$U1136),IF($T1136="","",$T1136))</f>
        <v/>
      </c>
      <c r="AG1136">
        <f>IF($V1136,IF($O1136="","",$O1136),IF($P1136="","",$P1136))</f>
        <v/>
      </c>
      <c r="AH1136" t="n">
        <v>0.06665746171826953</v>
      </c>
      <c r="AI1136">
        <f>IF($Y1136="worse","Yes",IF($Y1136="worse, not significant","Not sure",IF(OR($Y1136="too few losses to test",$Y1136="too few loans to test"),"Too few losses",IF($Y1136="","","No"))))</f>
        <v/>
      </c>
      <c r="AJ1136">
        <f>IF($AA1136="yes","Yes",IF($AA1136="","","No"))</f>
        <v/>
      </c>
    </row>
    <row r="1137">
      <c r="A1137" t="inlineStr">
        <is>
          <t>three-way</t>
        </is>
      </c>
      <c r="B1137" t="inlineStr">
        <is>
          <t>ORIG_BAL x ASSET_CLASS / SYS_FLAG</t>
        </is>
      </c>
      <c r="C1137" t="inlineStr">
        <is>
          <t>15,449 - 26,323</t>
        </is>
      </c>
      <c r="D1137" t="inlineStr">
        <is>
          <t>1 / SYS_FLAG Y</t>
        </is>
      </c>
      <c r="E1137" t="inlineStr">
        <is>
          <t>ranr_rate</t>
        </is>
      </c>
      <c r="F1137" t="inlineStr">
        <is>
          <t>Profit after losses: RANR per booked dollar</t>
        </is>
      </c>
      <c r="G1137" t="n">
        <v>180</v>
      </c>
      <c r="H1137" t="n">
        <v>3769132.12</v>
      </c>
      <c r="I1137" t="b">
        <v>0</v>
      </c>
      <c r="J1137" t="b">
        <v>0</v>
      </c>
      <c r="K1137" t="n">
        <v>-0.0257632742164963</v>
      </c>
      <c r="L1137" t="n">
        <v>0.4431556844315568</v>
      </c>
      <c r="M1137" t="n">
        <v>-0.01854931426592311</v>
      </c>
      <c r="N1137" t="n">
        <v>0.492950704929507</v>
      </c>
      <c r="O1137" t="n">
        <v>97105.18436576403</v>
      </c>
      <c r="P1137" t="n">
        <v>69914.81620366505</v>
      </c>
      <c r="Q1137">
        <f>'_live'!$C$23</f>
        <v/>
      </c>
      <c r="R1137" t="inlineStr">
        <is>
          <t>shuffled: 973 of 10,000</t>
        </is>
      </c>
      <c r="S1137" t="inlineStr">
        <is>
          <t>shuffled: 2,464 of 10,000</t>
        </is>
      </c>
      <c r="T1137" t="n">
        <v>0.1283663265074836</v>
      </c>
      <c r="U1137" t="n">
        <v>0.1211523665569104</v>
      </c>
      <c r="V1137">
        <f>AND(judged_band,NOT($J1137))</f>
        <v/>
      </c>
      <c r="W1137">
        <f>IF($K1137="","",IF(profit_kind="test",IF(OR(NOT(AND(ISNUMBER($L1137),$L1137&lt;significance_bar)),$K1137=0),"in line",IF($K1137&lt;0,"worse","better")),IF(OR($K1137=0,IF(profit_kind="points",ABS($K1137),ABS($K1137*$H1137))&lt;profit_line*(1-1E-9)),"in line",IF(AND(ISNUMBER($L1137),$L1137&lt;significance_bar),IF($K1137&lt;0,"worse","better"),IF($K1137&lt;0,"worse, not significant","better, not significant")))))</f>
        <v/>
      </c>
      <c r="X1137">
        <f>IF($M1137="","",IF(profit_kind="test",IF(OR(NOT(AND(ISNUMBER($N1137),$N1137&lt;significance_bar)),$M1137=0),"in line",IF($M1137&lt;0,"worse","better")),IF(OR($M1137=0,IF(profit_kind="points",ABS($M1137),ABS($M1137*$H1137))&lt;profit_line*(1-1E-9)),"in line",IF(AND(ISNUMBER($N1137),$N1137&lt;significance_bar),IF($M1137&lt;0,"worse","better"),IF($M1137&lt;0,"worse, not significant","better, not significant")))))</f>
        <v/>
      </c>
      <c r="Y1137">
        <f>IF($V1137,$X1137,$W1137)</f>
        <v/>
      </c>
      <c r="Z1137">
        <f>IF($V1137,IF($P1137="","",$P1137),IF($O1137="","",$O1137))</f>
        <v/>
      </c>
      <c r="AA1137">
        <f>IF(OR($Q1137="",$Z1137=""),"",IF(AND($Z1137&gt;0,$Z1137&gt;=$Q1137),"yes","below the line"))</f>
        <v/>
      </c>
      <c r="AB1137">
        <f>IF($V1137,IF($M1137="","",$M1137),IF($K1137="","",$K1137))</f>
        <v/>
      </c>
      <c r="AC1137">
        <f>IF($V1137,IF($N1137="","",$N1137),IF($L1137="","",$L1137))</f>
        <v/>
      </c>
      <c r="AD1137">
        <f>IF($Y1137="","",IF($Y1137="in line",IF(profit_kind="test",IF(ROUND($AB1137*100,2)=0,"0.00",TEXT($AB1137*100,"+0.00;-0.00"))&amp;" points against "&amp;IF($V1137,"its band","the book")&amp;", "&amp;IF($AC1137="","not tested","not significant"),IF(profit_kind="points","within "&amp;TEXT(profit_line*100,"0.00")&amp;" points of "&amp;IF($V1137,"its band","the book")&amp;" ("&amp;IF(ROUND($AB1137*100,2)=0,"0.00",TEXT($AB1137*100,"+0.00;-0.00"))&amp;")","within $"&amp;TEXT(profit_line,"#,##0")&amp;" of "&amp;IF($V1137,"its band","the book")&amp;" ("&amp;IF(ROUND($AB1137*100,2)=0,"0.00",TEXT($AB1137*100,"+0.00;-0.00"))&amp;" points)")),IF(LEFT($Y1137,5)="worse","short of ","ahead of ")&amp;IF($V1137,"its band","the book")&amp;" by "&amp;TEXT(ABS($AB1137)*100,"0.00")&amp;" points"&amp;IF($Z1137="",""," ($"&amp;TEXT(ABS($Z1137),"#,##0")&amp;")")&amp;IF(RIGHT($Y1137,15)="not significant"," (not significant)","")))</f>
        <v/>
      </c>
      <c r="AE1137">
        <f>IF($V1137,IF($S1137="","",$S1137),IF($R1137="","",$R1137))</f>
        <v/>
      </c>
      <c r="AF1137">
        <f>IF($V1137,IF($U1137="","",$U1137),IF($T1137="","",$T1137))</f>
        <v/>
      </c>
      <c r="AG1137">
        <f>IF($V1137,IF($O1137="","",$O1137),IF($P1137="","",$P1137))</f>
        <v/>
      </c>
      <c r="AH1137" t="n">
        <v>0.1026030522909873</v>
      </c>
      <c r="AI1137">
        <f>IF($Y1137="worse","Yes",IF($Y1137="worse, not significant","Not sure",IF(OR($Y1137="too few losses to test",$Y1137="too few loans to test"),"Too few losses",IF($Y1137="","","No"))))</f>
        <v/>
      </c>
      <c r="AJ1137">
        <f>IF($AA1137="yes","Yes",IF($AA1137="","","No"))</f>
        <v/>
      </c>
    </row>
    <row r="1138">
      <c r="A1138" t="inlineStr">
        <is>
          <t>three-way</t>
        </is>
      </c>
      <c r="B1138" t="inlineStr">
        <is>
          <t>ORIG_BAL x ASSET_CLASS / SYS_FLAG</t>
        </is>
      </c>
      <c r="C1138" t="inlineStr">
        <is>
          <t>15,449 - 26,323</t>
        </is>
      </c>
      <c r="D1138" t="inlineStr">
        <is>
          <t>1 / SYS_FLAG Y</t>
        </is>
      </c>
      <c r="E1138" t="inlineStr">
        <is>
          <t>contribution_rate</t>
        </is>
      </c>
      <c r="F1138" t="inlineStr">
        <is>
          <t>Contribution before losses per booked dollar</t>
        </is>
      </c>
      <c r="G1138" t="n">
        <v>180</v>
      </c>
      <c r="H1138" t="n">
        <v>3769132.12</v>
      </c>
      <c r="I1138" t="b">
        <v>0</v>
      </c>
      <c r="J1138" t="b">
        <v>0</v>
      </c>
      <c r="K1138" t="n">
        <v>-0.0003368624133814058</v>
      </c>
      <c r="L1138" t="n">
        <v>0.9955004499550044</v>
      </c>
      <c r="M1138" t="n">
        <v>-0.003335710119259871</v>
      </c>
      <c r="N1138" t="n">
        <v>0.892759208927592</v>
      </c>
      <c r="O1138" t="n">
        <v>1269.678942296654</v>
      </c>
      <c r="P1138" t="n">
        <v>12572.73215351149</v>
      </c>
      <c r="Q1138">
        <f>'_live'!$C$24</f>
        <v/>
      </c>
      <c r="R1138" t="inlineStr">
        <is>
          <t>shuffled: 9,756 of 10,000</t>
        </is>
      </c>
      <c r="S1138" t="inlineStr">
        <is>
          <t>shuffled: 7,365 of 10,000</t>
        </is>
      </c>
      <c r="T1138" t="n">
        <v>0.1695973764226383</v>
      </c>
      <c r="U1138" t="n">
        <v>0.1725962241285167</v>
      </c>
      <c r="V1138">
        <f>AND(judged_band,NOT($J1138))</f>
        <v/>
      </c>
      <c r="W1138">
        <f>IF($K1138="","",IF(profit_kind="test",IF(OR(NOT(AND(ISNUMBER($L1138),$L1138&lt;significance_bar)),$K1138=0),"in line",IF($K1138&lt;0,"worse","better")),IF(OR($K1138=0,IF(profit_kind="points",ABS($K1138),ABS($K1138*$H1138))&lt;profit_line*(1-1E-9)),"in line",IF(AND(ISNUMBER($L1138),$L1138&lt;significance_bar),IF($K1138&lt;0,"worse","better"),IF($K1138&lt;0,"worse, not significant","better, not significant")))))</f>
        <v/>
      </c>
      <c r="X1138">
        <f>IF($M1138="","",IF(profit_kind="test",IF(OR(NOT(AND(ISNUMBER($N1138),$N1138&lt;significance_bar)),$M1138=0),"in line",IF($M1138&lt;0,"worse","better")),IF(OR($M1138=0,IF(profit_kind="points",ABS($M1138),ABS($M1138*$H1138))&lt;profit_line*(1-1E-9)),"in line",IF(AND(ISNUMBER($N1138),$N1138&lt;significance_bar),IF($M1138&lt;0,"worse","better"),IF($M1138&lt;0,"worse, not significant","better, not significant")))))</f>
        <v/>
      </c>
      <c r="Y1138">
        <f>IF($V1138,$X1138,$W1138)</f>
        <v/>
      </c>
      <c r="Z1138">
        <f>IF($V1138,IF($P1138="","",$P1138),IF($O1138="","",$O1138))</f>
        <v/>
      </c>
      <c r="AA1138">
        <f>IF(OR($Q1138="",$Z1138=""),"",IF(AND($Z1138&gt;0,$Z1138&gt;=$Q1138),"yes","below the line"))</f>
        <v/>
      </c>
      <c r="AB1138">
        <f>IF($V1138,IF($M1138="","",$M1138),IF($K1138="","",$K1138))</f>
        <v/>
      </c>
      <c r="AC1138">
        <f>IF($V1138,IF($N1138="","",$N1138),IF($L1138="","",$L1138))</f>
        <v/>
      </c>
      <c r="AD1138">
        <f>IF($Y1138="","",IF($Y1138="in line",IF(profit_kind="test",IF(ROUND($AB1138*100,2)=0,"0.00",TEXT($AB1138*100,"+0.00;-0.00"))&amp;" points against "&amp;IF($V1138,"its band","the book")&amp;", "&amp;IF($AC1138="","not tested","not significant"),IF(profit_kind="points","within "&amp;TEXT(profit_line*100,"0.00")&amp;" points of "&amp;IF($V1138,"its band","the book")&amp;" ("&amp;IF(ROUND($AB1138*100,2)=0,"0.00",TEXT($AB1138*100,"+0.00;-0.00"))&amp;")","within $"&amp;TEXT(profit_line,"#,##0")&amp;" of "&amp;IF($V1138,"its band","the book")&amp;" ("&amp;IF(ROUND($AB1138*100,2)=0,"0.00",TEXT($AB1138*100,"+0.00;-0.00"))&amp;" points)")),IF(LEFT($Y1138,5)="worse","short of ","ahead of ")&amp;IF($V1138,"its band","the book")&amp;" by "&amp;TEXT(ABS($AB1138)*100,"0.00")&amp;" points"&amp;IF($Z1138="",""," ($"&amp;TEXT(ABS($Z1138),"#,##0")&amp;")")&amp;IF(RIGHT($Y1138,15)="not significant"," (not significant)","")))</f>
        <v/>
      </c>
      <c r="AE1138">
        <f>IF($V1138,IF($S1138="","",$S1138),IF($R1138="","",$R1138))</f>
        <v/>
      </c>
      <c r="AF1138">
        <f>IF($V1138,IF($U1138="","",$U1138),IF($T1138="","",$T1138))</f>
        <v/>
      </c>
      <c r="AG1138">
        <f>IF($V1138,IF($O1138="","",$O1138),IF($P1138="","",$P1138))</f>
        <v/>
      </c>
      <c r="AH1138" t="n">
        <v>0.1692605140092568</v>
      </c>
      <c r="AI1138">
        <f>IF($Y1138="worse","Yes",IF($Y1138="worse, not significant","Not sure",IF(OR($Y1138="too few losses to test",$Y1138="too few loans to test"),"Too few losses",IF($Y1138="","","No"))))</f>
        <v/>
      </c>
      <c r="AJ1138">
        <f>IF($AA1138="yes","Yes",IF($AA1138="","","No"))</f>
        <v/>
      </c>
    </row>
    <row r="1139">
      <c r="A1139" t="inlineStr">
        <is>
          <t>three-way</t>
        </is>
      </c>
      <c r="B1139" t="inlineStr">
        <is>
          <t>ORIG_BAL x ASSET_CLASS / SYS_FLAG</t>
        </is>
      </c>
      <c r="C1139" t="inlineStr">
        <is>
          <t>37,951 - 49,151</t>
        </is>
      </c>
      <c r="D1139" t="inlineStr">
        <is>
          <t>3 / SYS_FLAG Y</t>
        </is>
      </c>
      <c r="E1139" t="inlineStr">
        <is>
          <t>outcome_loans</t>
        </is>
      </c>
      <c r="F1139" t="inlineStr">
        <is>
          <t>Outcome, share of loans</t>
        </is>
      </c>
      <c r="G1139" t="n">
        <v>195</v>
      </c>
      <c r="H1139" t="n">
        <v>195</v>
      </c>
      <c r="I1139" t="b">
        <v>0</v>
      </c>
      <c r="J1139" t="b">
        <v>0</v>
      </c>
      <c r="K1139" t="n">
        <v>1.684365017698351</v>
      </c>
      <c r="L1139" t="n">
        <v>0.1146950648063775</v>
      </c>
      <c r="M1139" t="n">
        <v>1.652552340625735</v>
      </c>
      <c r="N1139" t="n">
        <v>0.1074041301311903</v>
      </c>
      <c r="O1139" t="n">
        <v>10.15761148129165</v>
      </c>
      <c r="P1139" t="n">
        <v>9.871886120996441</v>
      </c>
      <c r="Q1139">
        <f>'_live'!$C$20</f>
        <v/>
      </c>
      <c r="R1139" t="inlineStr">
        <is>
          <t>z test</t>
        </is>
      </c>
      <c r="S1139" t="inlineStr">
        <is>
          <t>z test</t>
        </is>
      </c>
      <c r="T1139" t="n">
        <v>0.0761148129164531</v>
      </c>
      <c r="U1139" t="n">
        <v>0.07758007117437722</v>
      </c>
      <c r="V1139">
        <f>AND(judged_band,NOT($J1139))</f>
        <v/>
      </c>
      <c r="W1139">
        <f>IF($K1139="","",IF($I1139,"too few losses to test",IF(AND($K1139&gt;better_at,$K1139&lt;worse_at),"in line",IF($K1139&gt;=worse_at,IF(AND(ISNUMBER($L1139),$L1139&lt;significance_bar),"worse","worse, not significant"),IF(AND(ISNUMBER($L1139),$L1139&lt;significance_bar),"better","better, not significant")))))</f>
        <v/>
      </c>
      <c r="X1139">
        <f>IF($M1139="","",IF($I1139,"too few losses to test",IF(AND($M1139&gt;better_at,$M1139&lt;worse_at),"in line",IF($M1139&gt;=worse_at,IF(AND(ISNUMBER($N1139),$N1139&lt;significance_bar),"worse","worse, not significant"),IF(AND(ISNUMBER($N1139),$N1139&lt;significance_bar),"better","better, not significant")))))</f>
        <v/>
      </c>
      <c r="Y1139">
        <f>IF($V1139,$X1139,$W1139)</f>
        <v/>
      </c>
      <c r="Z1139">
        <f>IF($V1139,IF($P1139="","",$P1139),IF($O1139="","",$O1139))</f>
        <v/>
      </c>
      <c r="AA1139">
        <f>IF(OR($Q1139="",$Z1139=""),"",IF(AND($Z1139&gt;0,$Z1139&gt;=$Q1139),"yes","below the line"))</f>
        <v/>
      </c>
      <c r="AB1139">
        <f>IF($V1139,IF($M1139="","",$M1139),IF($K1139="","",$K1139))</f>
        <v/>
      </c>
      <c r="AC1139">
        <f>IF($V1139,IF($N1139="","",$N1139),IF($L1139="","",$L1139))</f>
        <v/>
      </c>
      <c r="AD1139">
        <f>$Y1139</f>
        <v/>
      </c>
      <c r="AE1139">
        <f>IF($V1139,IF($S1139="","",$S1139),IF($R1139="","",$R1139))</f>
        <v/>
      </c>
      <c r="AF1139">
        <f>IF($V1139,IF($U1139="","",$U1139),IF($T1139="","",$T1139))</f>
        <v/>
      </c>
      <c r="AG1139">
        <f>IF($V1139,IF($O1139="","",$O1139),IF($P1139="","",$P1139))</f>
        <v/>
      </c>
      <c r="AH1139" t="n">
        <v>0.1282051282051282</v>
      </c>
      <c r="AI1139">
        <f>IF($Y1139="worse","Yes",IF($Y1139="worse, not significant","Not sure",IF(OR($Y1139="too few losses to test",$Y1139="too few loans to test"),"Too few losses",IF($Y1139="","","No"))))</f>
        <v/>
      </c>
      <c r="AJ1139">
        <f>IF($AA1139="yes","Yes",IF($AA1139="","","No"))</f>
        <v/>
      </c>
    </row>
    <row r="1140">
      <c r="A1140" t="inlineStr">
        <is>
          <t>three-way</t>
        </is>
      </c>
      <c r="B1140" t="inlineStr">
        <is>
          <t>ORIG_BAL x ASSET_CLASS / SYS_FLAG</t>
        </is>
      </c>
      <c r="C1140" t="inlineStr">
        <is>
          <t>37,951 - 49,151</t>
        </is>
      </c>
      <c r="D1140" t="inlineStr">
        <is>
          <t>3 / SYS_FLAG Y</t>
        </is>
      </c>
      <c r="E1140" t="inlineStr">
        <is>
          <t>outcome_booked</t>
        </is>
      </c>
      <c r="F1140" t="inlineStr">
        <is>
          <t>Outcome, share of booked dollars</t>
        </is>
      </c>
      <c r="G1140" t="n">
        <v>195</v>
      </c>
      <c r="H1140" t="n">
        <v>8446179.250000006</v>
      </c>
      <c r="I1140" t="b">
        <v>0</v>
      </c>
      <c r="J1140" t="b">
        <v>0</v>
      </c>
      <c r="K1140" t="n">
        <v>1.718097498744894</v>
      </c>
      <c r="L1140" t="n">
        <v>0.1983801619838016</v>
      </c>
      <c r="M1140" t="n">
        <v>1.626536942316129</v>
      </c>
      <c r="N1140" t="n">
        <v>0.1274539212745392</v>
      </c>
      <c r="O1140" t="n">
        <v>443427.5479470418</v>
      </c>
      <c r="P1140" t="n">
        <v>408667.2293835809</v>
      </c>
      <c r="Q1140">
        <f>'_live'!$C$21</f>
        <v/>
      </c>
      <c r="R1140" t="inlineStr">
        <is>
          <t>shuffled: 123 of 10,000</t>
        </is>
      </c>
      <c r="S1140" t="inlineStr">
        <is>
          <t>shuffled: 238 of 10,000</t>
        </is>
      </c>
      <c r="T1140" t="n">
        <v>0.07311036668478918</v>
      </c>
      <c r="U1140" t="n">
        <v>0.07722587471920141</v>
      </c>
      <c r="V1140">
        <f>AND(judged_band,NOT($J1140))</f>
        <v/>
      </c>
      <c r="W1140">
        <f>IF($K1140="","",IF($I1140,"too few losses to test",IF(AND($K1140&gt;better_at,$K1140&lt;worse_at),"in line",IF($K1140&gt;=worse_at,IF(AND(ISNUMBER($L1140),$L1140&lt;significance_bar),"worse","worse, not significant"),IF(AND(ISNUMBER($L1140),$L1140&lt;significance_bar),"better","better, not significant")))))</f>
        <v/>
      </c>
      <c r="X1140">
        <f>IF($M1140="","",IF($I1140,"too few losses to test",IF(AND($M1140&gt;better_at,$M1140&lt;worse_at),"in line",IF($M1140&gt;=worse_at,IF(AND(ISNUMBER($N1140),$N1140&lt;significance_bar),"worse","worse, not significant"),IF(AND(ISNUMBER($N1140),$N1140&lt;significance_bar),"better","better, not significant")))))</f>
        <v/>
      </c>
      <c r="Y1140">
        <f>IF($V1140,$X1140,$W1140)</f>
        <v/>
      </c>
      <c r="Z1140">
        <f>IF($V1140,IF($P1140="","",$P1140),IF($O1140="","",$O1140))</f>
        <v/>
      </c>
      <c r="AA1140">
        <f>IF(OR($Q1140="",$Z1140=""),"",IF(AND($Z1140&gt;0,$Z1140&gt;=$Q1140),"yes","below the line"))</f>
        <v/>
      </c>
      <c r="AB1140">
        <f>IF($V1140,IF($M1140="","",$M1140),IF($K1140="","",$K1140))</f>
        <v/>
      </c>
      <c r="AC1140">
        <f>IF($V1140,IF($N1140="","",$N1140),IF($L1140="","",$L1140))</f>
        <v/>
      </c>
      <c r="AD1140">
        <f>$Y1140</f>
        <v/>
      </c>
      <c r="AE1140">
        <f>IF($V1140,IF($S1140="","",$S1140),IF($R1140="","",$R1140))</f>
        <v/>
      </c>
      <c r="AF1140">
        <f>IF($V1140,IF($U1140="","",$U1140),IF($T1140="","",$T1140))</f>
        <v/>
      </c>
      <c r="AG1140">
        <f>IF($V1140,IF($O1140="","",$O1140),IF($P1140="","",$P1140))</f>
        <v/>
      </c>
      <c r="AH1140" t="n">
        <v>0.1256107381334583</v>
      </c>
      <c r="AI1140">
        <f>IF($Y1140="worse","Yes",IF($Y1140="worse, not significant","Not sure",IF(OR($Y1140="too few losses to test",$Y1140="too few loans to test"),"Too few losses",IF($Y1140="","","No"))))</f>
        <v/>
      </c>
      <c r="AJ1140">
        <f>IF($AA1140="yes","Yes",IF($AA1140="","","No"))</f>
        <v/>
      </c>
    </row>
    <row r="1141">
      <c r="A1141" t="inlineStr">
        <is>
          <t>three-way</t>
        </is>
      </c>
      <c r="B1141" t="inlineStr">
        <is>
          <t>ORIG_BAL x ASSET_CLASS / SYS_FLAG</t>
        </is>
      </c>
      <c r="C1141" t="inlineStr">
        <is>
          <t>37,951 - 49,151</t>
        </is>
      </c>
      <c r="D1141" t="inlineStr">
        <is>
          <t>3 / SYS_FLAG Y</t>
        </is>
      </c>
      <c r="E1141" t="inlineStr">
        <is>
          <t>gco_rate</t>
        </is>
      </c>
      <c r="F1141" t="inlineStr">
        <is>
          <t>GCO per booked dollar</t>
        </is>
      </c>
      <c r="G1141" t="n">
        <v>195</v>
      </c>
      <c r="H1141" t="n">
        <v>8446179.250000006</v>
      </c>
      <c r="I1141" t="b">
        <v>0</v>
      </c>
      <c r="J1141" t="b">
        <v>0</v>
      </c>
      <c r="K1141" t="n">
        <v>1.716568234023231</v>
      </c>
      <c r="L1141" t="n">
        <v>0.193980601939806</v>
      </c>
      <c r="M1141" t="n">
        <v>1.600855343875921</v>
      </c>
      <c r="N1141" t="n">
        <v>0.1818484818184848</v>
      </c>
      <c r="O1141" t="n">
        <v>246035.096093514</v>
      </c>
      <c r="P1141" t="n">
        <v>221216.9600145082</v>
      </c>
      <c r="Q1141">
        <f>'_live'!$C$22</f>
        <v/>
      </c>
      <c r="R1141" t="inlineStr">
        <is>
          <t>shuffled: 153 of 10,000</t>
        </is>
      </c>
      <c r="S1141" t="inlineStr">
        <is>
          <t>shuffled: 340 of 10,000</t>
        </is>
      </c>
      <c r="T1141" t="n">
        <v>0.0406517472271839</v>
      </c>
      <c r="U1141" t="n">
        <v>0.04359013337131006</v>
      </c>
      <c r="V1141">
        <f>AND(judged_band,NOT($J1141))</f>
        <v/>
      </c>
      <c r="W1141">
        <f>IF($K1141="","",IF($I1141,"too few losses to test",IF(AND($K1141&gt;better_at,$K1141&lt;worse_at),"in line",IF($K1141&gt;=worse_at,IF(AND(ISNUMBER($L1141),$L1141&lt;significance_bar),"worse","worse, not significant"),IF(AND(ISNUMBER($L1141),$L1141&lt;significance_bar),"better","better, not significant")))))</f>
        <v/>
      </c>
      <c r="X1141">
        <f>IF($M1141="","",IF($I1141,"too few losses to test",IF(AND($M1141&gt;better_at,$M1141&lt;worse_at),"in line",IF($M1141&gt;=worse_at,IF(AND(ISNUMBER($N1141),$N1141&lt;significance_bar),"worse","worse, not significant"),IF(AND(ISNUMBER($N1141),$N1141&lt;significance_bar),"better","better, not significant")))))</f>
        <v/>
      </c>
      <c r="Y1141">
        <f>IF($V1141,$X1141,$W1141)</f>
        <v/>
      </c>
      <c r="Z1141">
        <f>IF($V1141,IF($P1141="","",$P1141),IF($O1141="","",$O1141))</f>
        <v/>
      </c>
      <c r="AA1141">
        <f>IF(OR($Q1141="",$Z1141=""),"",IF(AND($Z1141&gt;0,$Z1141&gt;=$Q1141),"yes","below the line"))</f>
        <v/>
      </c>
      <c r="AB1141">
        <f>IF($V1141,IF($M1141="","",$M1141),IF($K1141="","",$K1141))</f>
        <v/>
      </c>
      <c r="AC1141">
        <f>IF($V1141,IF($N1141="","",$N1141),IF($L1141="","",$L1141))</f>
        <v/>
      </c>
      <c r="AD1141">
        <f>$Y1141</f>
        <v/>
      </c>
      <c r="AE1141">
        <f>IF($V1141,IF($S1141="","",$S1141),IF($R1141="","",$R1141))</f>
        <v/>
      </c>
      <c r="AF1141">
        <f>IF($V1141,IF($U1141="","",$U1141),IF($T1141="","",$T1141))</f>
        <v/>
      </c>
      <c r="AG1141">
        <f>IF($V1141,IF($O1141="","",$O1141),IF($P1141="","",$P1141))</f>
        <v/>
      </c>
      <c r="AH1141" t="n">
        <v>0.06978149794772584</v>
      </c>
      <c r="AI1141">
        <f>IF($Y1141="worse","Yes",IF($Y1141="worse, not significant","Not sure",IF(OR($Y1141="too few losses to test",$Y1141="too few loans to test"),"Too few losses",IF($Y1141="","","No"))))</f>
        <v/>
      </c>
      <c r="AJ1141">
        <f>IF($AA1141="yes","Yes",IF($AA1141="","","No"))</f>
        <v/>
      </c>
    </row>
    <row r="1142">
      <c r="A1142" t="inlineStr">
        <is>
          <t>three-way</t>
        </is>
      </c>
      <c r="B1142" t="inlineStr">
        <is>
          <t>ORIG_BAL x ASSET_CLASS / SYS_FLAG</t>
        </is>
      </c>
      <c r="C1142" t="inlineStr">
        <is>
          <t>37,951 - 49,151</t>
        </is>
      </c>
      <c r="D1142" t="inlineStr">
        <is>
          <t>3 / SYS_FLAG Y</t>
        </is>
      </c>
      <c r="E1142" t="inlineStr">
        <is>
          <t>ranr_rate</t>
        </is>
      </c>
      <c r="F1142" t="inlineStr">
        <is>
          <t>Profit after losses: RANR per booked dollar</t>
        </is>
      </c>
      <c r="G1142" t="n">
        <v>195</v>
      </c>
      <c r="H1142" t="n">
        <v>8446179.250000006</v>
      </c>
      <c r="I1142" t="b">
        <v>0</v>
      </c>
      <c r="J1142" t="b">
        <v>0</v>
      </c>
      <c r="K1142" t="n">
        <v>-0.03838636221889645</v>
      </c>
      <c r="L1142" t="n">
        <v>0.1223877612238776</v>
      </c>
      <c r="M1142" t="n">
        <v>-0.03592153076353734</v>
      </c>
      <c r="N1142" t="n">
        <v>0.171982801719828</v>
      </c>
      <c r="O1142" t="n">
        <v>324218.0960562273</v>
      </c>
      <c r="P1142" t="n">
        <v>303399.687763226</v>
      </c>
      <c r="Q1142">
        <f>'_live'!$C$23</f>
        <v/>
      </c>
      <c r="R1142" t="inlineStr">
        <is>
          <t>shuffled: 101 of 10,000</t>
        </is>
      </c>
      <c r="S1142" t="inlineStr">
        <is>
          <t>shuffled: 171 of 10,000</t>
        </is>
      </c>
      <c r="T1142" t="n">
        <v>0.1292463756385737</v>
      </c>
      <c r="U1142" t="n">
        <v>0.1267815441832146</v>
      </c>
      <c r="V1142">
        <f>AND(judged_band,NOT($J1142))</f>
        <v/>
      </c>
      <c r="W1142">
        <f>IF($K1142="","",IF(profit_kind="test",IF(OR(NOT(AND(ISNUMBER($L1142),$L1142&lt;significance_bar)),$K1142=0),"in line",IF($K1142&lt;0,"worse","better")),IF(OR($K1142=0,IF(profit_kind="points",ABS($K1142),ABS($K1142*$H1142))&lt;profit_line*(1-1E-9)),"in line",IF(AND(ISNUMBER($L1142),$L1142&lt;significance_bar),IF($K1142&lt;0,"worse","better"),IF($K1142&lt;0,"worse, not significant","better, not significant")))))</f>
        <v/>
      </c>
      <c r="X1142">
        <f>IF($M1142="","",IF(profit_kind="test",IF(OR(NOT(AND(ISNUMBER($N1142),$N1142&lt;significance_bar)),$M1142=0),"in line",IF($M1142&lt;0,"worse","better")),IF(OR($M1142=0,IF(profit_kind="points",ABS($M1142),ABS($M1142*$H1142))&lt;profit_line*(1-1E-9)),"in line",IF(AND(ISNUMBER($N1142),$N1142&lt;significance_bar),IF($M1142&lt;0,"worse","better"),IF($M1142&lt;0,"worse, not significant","better, not significant")))))</f>
        <v/>
      </c>
      <c r="Y1142">
        <f>IF($V1142,$X1142,$W1142)</f>
        <v/>
      </c>
      <c r="Z1142">
        <f>IF($V1142,IF($P1142="","",$P1142),IF($O1142="","",$O1142))</f>
        <v/>
      </c>
      <c r="AA1142">
        <f>IF(OR($Q1142="",$Z1142=""),"",IF(AND($Z1142&gt;0,$Z1142&gt;=$Q1142),"yes","below the line"))</f>
        <v/>
      </c>
      <c r="AB1142">
        <f>IF($V1142,IF($M1142="","",$M1142),IF($K1142="","",$K1142))</f>
        <v/>
      </c>
      <c r="AC1142">
        <f>IF($V1142,IF($N1142="","",$N1142),IF($L1142="","",$L1142))</f>
        <v/>
      </c>
      <c r="AD1142">
        <f>IF($Y1142="","",IF($Y1142="in line",IF(profit_kind="test",IF(ROUND($AB1142*100,2)=0,"0.00",TEXT($AB1142*100,"+0.00;-0.00"))&amp;" points against "&amp;IF($V1142,"its band","the book")&amp;", "&amp;IF($AC1142="","not tested","not significant"),IF(profit_kind="points","within "&amp;TEXT(profit_line*100,"0.00")&amp;" points of "&amp;IF($V1142,"its band","the book")&amp;" ("&amp;IF(ROUND($AB1142*100,2)=0,"0.00",TEXT($AB1142*100,"+0.00;-0.00"))&amp;")","within $"&amp;TEXT(profit_line,"#,##0")&amp;" of "&amp;IF($V1142,"its band","the book")&amp;" ("&amp;IF(ROUND($AB1142*100,2)=0,"0.00",TEXT($AB1142*100,"+0.00;-0.00"))&amp;" points)")),IF(LEFT($Y1142,5)="worse","short of ","ahead of ")&amp;IF($V1142,"its band","the book")&amp;" by "&amp;TEXT(ABS($AB1142)*100,"0.00")&amp;" points"&amp;IF($Z1142="",""," ($"&amp;TEXT(ABS($Z1142),"#,##0")&amp;")")&amp;IF(RIGHT($Y1142,15)="not significant"," (not significant)","")))</f>
        <v/>
      </c>
      <c r="AE1142">
        <f>IF($V1142,IF($S1142="","",$S1142),IF($R1142="","",$R1142))</f>
        <v/>
      </c>
      <c r="AF1142">
        <f>IF($V1142,IF($U1142="","",$U1142),IF($T1142="","",$T1142))</f>
        <v/>
      </c>
      <c r="AG1142">
        <f>IF($V1142,IF($O1142="","",$O1142),IF($P1142="","",$P1142))</f>
        <v/>
      </c>
      <c r="AH1142" t="n">
        <v>0.09086001341967721</v>
      </c>
      <c r="AI1142">
        <f>IF($Y1142="worse","Yes",IF($Y1142="worse, not significant","Not sure",IF(OR($Y1142="too few losses to test",$Y1142="too few loans to test"),"Too few losses",IF($Y1142="","","No"))))</f>
        <v/>
      </c>
      <c r="AJ1142">
        <f>IF($AA1142="yes","Yes",IF($AA1142="","","No"))</f>
        <v/>
      </c>
    </row>
    <row r="1143">
      <c r="A1143" t="inlineStr">
        <is>
          <t>three-way</t>
        </is>
      </c>
      <c r="B1143" t="inlineStr">
        <is>
          <t>ORIG_BAL x ASSET_CLASS / SYS_FLAG</t>
        </is>
      </c>
      <c r="C1143" t="inlineStr">
        <is>
          <t>37,951 - 49,151</t>
        </is>
      </c>
      <c r="D1143" t="inlineStr">
        <is>
          <t>3 / SYS_FLAG Y</t>
        </is>
      </c>
      <c r="E1143" t="inlineStr">
        <is>
          <t>contribution_rate</t>
        </is>
      </c>
      <c r="F1143" t="inlineStr">
        <is>
          <t>Contribution before losses per booked dollar</t>
        </is>
      </c>
      <c r="G1143" t="n">
        <v>195</v>
      </c>
      <c r="H1143" t="n">
        <v>8446179.250000006</v>
      </c>
      <c r="I1143" t="b">
        <v>0</v>
      </c>
      <c r="J1143" t="b">
        <v>0</v>
      </c>
      <c r="K1143" t="n">
        <v>-0.00925385525131675</v>
      </c>
      <c r="L1143" t="n">
        <v>0.774705138181834</v>
      </c>
      <c r="M1143" t="n">
        <v>-0.009717330031861288</v>
      </c>
      <c r="N1143" t="n">
        <v>0.798978925636848</v>
      </c>
      <c r="O1143" t="n">
        <v>78159.72020617523</v>
      </c>
      <c r="P1143" t="n">
        <v>82074.31128050876</v>
      </c>
      <c r="Q1143">
        <f>'_live'!$C$24</f>
        <v/>
      </c>
      <c r="R1143" t="inlineStr">
        <is>
          <t>shuffled: 3,412 of 10,000</t>
        </is>
      </c>
      <c r="S1143" t="inlineStr">
        <is>
          <t>shuffled: 2,874 of 10,000</t>
        </is>
      </c>
      <c r="T1143" t="n">
        <v>0.1698953666187199</v>
      </c>
      <c r="U1143" t="n">
        <v>0.1703588413992644</v>
      </c>
      <c r="V1143">
        <f>AND(judged_band,NOT($J1143))</f>
        <v/>
      </c>
      <c r="W1143">
        <f>IF($K1143="","",IF(profit_kind="test",IF(OR(NOT(AND(ISNUMBER($L1143),$L1143&lt;significance_bar)),$K1143=0),"in line",IF($K1143&lt;0,"worse","better")),IF(OR($K1143=0,IF(profit_kind="points",ABS($K1143),ABS($K1143*$H1143))&lt;profit_line*(1-1E-9)),"in line",IF(AND(ISNUMBER($L1143),$L1143&lt;significance_bar),IF($K1143&lt;0,"worse","better"),IF($K1143&lt;0,"worse, not significant","better, not significant")))))</f>
        <v/>
      </c>
      <c r="X1143">
        <f>IF($M1143="","",IF(profit_kind="test",IF(OR(NOT(AND(ISNUMBER($N1143),$N1143&lt;significance_bar)),$M1143=0),"in line",IF($M1143&lt;0,"worse","better")),IF(OR($M1143=0,IF(profit_kind="points",ABS($M1143),ABS($M1143*$H1143))&lt;profit_line*(1-1E-9)),"in line",IF(AND(ISNUMBER($N1143),$N1143&lt;significance_bar),IF($M1143&lt;0,"worse","better"),IF($M1143&lt;0,"worse, not significant","better, not significant")))))</f>
        <v/>
      </c>
      <c r="Y1143">
        <f>IF($V1143,$X1143,$W1143)</f>
        <v/>
      </c>
      <c r="Z1143">
        <f>IF($V1143,IF($P1143="","",$P1143),IF($O1143="","",$O1143))</f>
        <v/>
      </c>
      <c r="AA1143">
        <f>IF(OR($Q1143="",$Z1143=""),"",IF(AND($Z1143&gt;0,$Z1143&gt;=$Q1143),"yes","below the line"))</f>
        <v/>
      </c>
      <c r="AB1143">
        <f>IF($V1143,IF($M1143="","",$M1143),IF($K1143="","",$K1143))</f>
        <v/>
      </c>
      <c r="AC1143">
        <f>IF($V1143,IF($N1143="","",$N1143),IF($L1143="","",$L1143))</f>
        <v/>
      </c>
      <c r="AD1143">
        <f>IF($Y1143="","",IF($Y1143="in line",IF(profit_kind="test",IF(ROUND($AB1143*100,2)=0,"0.00",TEXT($AB1143*100,"+0.00;-0.00"))&amp;" points against "&amp;IF($V1143,"its band","the book")&amp;", "&amp;IF($AC1143="","not tested","not significant"),IF(profit_kind="points","within "&amp;TEXT(profit_line*100,"0.00")&amp;" points of "&amp;IF($V1143,"its band","the book")&amp;" ("&amp;IF(ROUND($AB1143*100,2)=0,"0.00",TEXT($AB1143*100,"+0.00;-0.00"))&amp;")","within $"&amp;TEXT(profit_line,"#,##0")&amp;" of "&amp;IF($V1143,"its band","the book")&amp;" ("&amp;IF(ROUND($AB1143*100,2)=0,"0.00",TEXT($AB1143*100,"+0.00;-0.00"))&amp;" points)")),IF(LEFT($Y1143,5)="worse","short of ","ahead of ")&amp;IF($V1143,"its band","the book")&amp;" by "&amp;TEXT(ABS($AB1143)*100,"0.00")&amp;" points"&amp;IF($Z1143="",""," ($"&amp;TEXT(ABS($Z1143),"#,##0")&amp;")")&amp;IF(RIGHT($Y1143,15)="not significant"," (not significant)","")))</f>
        <v/>
      </c>
      <c r="AE1143">
        <f>IF($V1143,IF($S1143="","",$S1143),IF($R1143="","",$R1143))</f>
        <v/>
      </c>
      <c r="AF1143">
        <f>IF($V1143,IF($U1143="","",$U1143),IF($T1143="","",$T1143))</f>
        <v/>
      </c>
      <c r="AG1143">
        <f>IF($V1143,IF($O1143="","",$O1143),IF($P1143="","",$P1143))</f>
        <v/>
      </c>
      <c r="AH1143" t="n">
        <v>0.1606415113674031</v>
      </c>
      <c r="AI1143">
        <f>IF($Y1143="worse","Yes",IF($Y1143="worse, not significant","Not sure",IF(OR($Y1143="too few losses to test",$Y1143="too few loans to test"),"Too few losses",IF($Y1143="","","No"))))</f>
        <v/>
      </c>
      <c r="AJ1143">
        <f>IF($AA1143="yes","Yes",IF($AA1143="","","No"))</f>
        <v/>
      </c>
    </row>
    <row r="1144">
      <c r="A1144" t="inlineStr">
        <is>
          <t>three-way</t>
        </is>
      </c>
      <c r="B1144" t="inlineStr">
        <is>
          <t>ORIG_BAL x ASSET_CLASS / SYS_FLAG</t>
        </is>
      </c>
      <c r="C1144" t="inlineStr">
        <is>
          <t>15,449 - 26,323</t>
        </is>
      </c>
      <c r="D1144" t="inlineStr">
        <is>
          <t>3 / SYS_FLAG Y</t>
        </is>
      </c>
      <c r="E1144" t="inlineStr">
        <is>
          <t>outcome_loans</t>
        </is>
      </c>
      <c r="F1144" t="inlineStr">
        <is>
          <t>Outcome, share of loans</t>
        </is>
      </c>
      <c r="G1144" t="n">
        <v>193</v>
      </c>
      <c r="H1144" t="n">
        <v>193</v>
      </c>
      <c r="I1144" t="b">
        <v>0</v>
      </c>
      <c r="J1144" t="b">
        <v>0</v>
      </c>
      <c r="K1144" t="n">
        <v>1.490457468690603</v>
      </c>
      <c r="L1144" t="n">
        <v>0.2470100746491498</v>
      </c>
      <c r="M1144" t="n">
        <v>1.262861572355269</v>
      </c>
      <c r="N1144" t="n">
        <v>0.57171124817441</v>
      </c>
      <c r="O1144" t="n">
        <v>7.239431206764028</v>
      </c>
      <c r="P1144" t="n">
        <v>4.579246624022744</v>
      </c>
      <c r="Q1144">
        <f>'_live'!$C$20</f>
        <v/>
      </c>
      <c r="R1144" t="inlineStr">
        <is>
          <t>z test</t>
        </is>
      </c>
      <c r="S1144" t="inlineStr">
        <is>
          <t>z test</t>
        </is>
      </c>
      <c r="T1144" t="n">
        <v>0.07647963105303612</v>
      </c>
      <c r="U1144" t="n">
        <v>0.09026297085998579</v>
      </c>
      <c r="V1144">
        <f>AND(judged_band,NOT($J1144))</f>
        <v/>
      </c>
      <c r="W1144">
        <f>IF($K1144="","",IF($I1144,"too few losses to test",IF(AND($K1144&gt;better_at,$K1144&lt;worse_at),"in line",IF($K1144&gt;=worse_at,IF(AND(ISNUMBER($L1144),$L1144&lt;significance_bar),"worse","worse, not significant"),IF(AND(ISNUMBER($L1144),$L1144&lt;significance_bar),"better","better, not significant")))))</f>
        <v/>
      </c>
      <c r="X1144">
        <f>IF($M1144="","",IF($I1144,"too few losses to test",IF(AND($M1144&gt;better_at,$M1144&lt;worse_at),"in line",IF($M1144&gt;=worse_at,IF(AND(ISNUMBER($N1144),$N1144&lt;significance_bar),"worse","worse, not significant"),IF(AND(ISNUMBER($N1144),$N1144&lt;significance_bar),"better","better, not significant")))))</f>
        <v/>
      </c>
      <c r="Y1144">
        <f>IF($V1144,$X1144,$W1144)</f>
        <v/>
      </c>
      <c r="Z1144">
        <f>IF($V1144,IF($P1144="","",$P1144),IF($O1144="","",$O1144))</f>
        <v/>
      </c>
      <c r="AA1144">
        <f>IF(OR($Q1144="",$Z1144=""),"",IF(AND($Z1144&gt;0,$Z1144&gt;=$Q1144),"yes","below the line"))</f>
        <v/>
      </c>
      <c r="AB1144">
        <f>IF($V1144,IF($M1144="","",$M1144),IF($K1144="","",$K1144))</f>
        <v/>
      </c>
      <c r="AC1144">
        <f>IF($V1144,IF($N1144="","",$N1144),IF($L1144="","",$L1144))</f>
        <v/>
      </c>
      <c r="AD1144">
        <f>$Y1144</f>
        <v/>
      </c>
      <c r="AE1144">
        <f>IF($V1144,IF($S1144="","",$S1144),IF($R1144="","",$R1144))</f>
        <v/>
      </c>
      <c r="AF1144">
        <f>IF($V1144,IF($U1144="","",$U1144),IF($T1144="","",$T1144))</f>
        <v/>
      </c>
      <c r="AG1144">
        <f>IF($V1144,IF($O1144="","",$O1144),IF($P1144="","",$P1144))</f>
        <v/>
      </c>
      <c r="AH1144" t="n">
        <v>0.1139896373056995</v>
      </c>
      <c r="AI1144">
        <f>IF($Y1144="worse","Yes",IF($Y1144="worse, not significant","Not sure",IF(OR($Y1144="too few losses to test",$Y1144="too few loans to test"),"Too few losses",IF($Y1144="","","No"))))</f>
        <v/>
      </c>
      <c r="AJ1144">
        <f>IF($AA1144="yes","Yes",IF($AA1144="","","No"))</f>
        <v/>
      </c>
    </row>
    <row r="1145">
      <c r="A1145" t="inlineStr">
        <is>
          <t>three-way</t>
        </is>
      </c>
      <c r="B1145" t="inlineStr">
        <is>
          <t>ORIG_BAL x ASSET_CLASS / SYS_FLAG</t>
        </is>
      </c>
      <c r="C1145" t="inlineStr">
        <is>
          <t>15,449 - 26,323</t>
        </is>
      </c>
      <c r="D1145" t="inlineStr">
        <is>
          <t>3 / SYS_FLAG Y</t>
        </is>
      </c>
      <c r="E1145" t="inlineStr">
        <is>
          <t>outcome_booked</t>
        </is>
      </c>
      <c r="F1145" t="inlineStr">
        <is>
          <t>Outcome, share of booked dollars</t>
        </is>
      </c>
      <c r="G1145" t="n">
        <v>193</v>
      </c>
      <c r="H1145" t="n">
        <v>3985290.119999999</v>
      </c>
      <c r="I1145" t="b">
        <v>0</v>
      </c>
      <c r="J1145" t="b">
        <v>0</v>
      </c>
      <c r="K1145" t="n">
        <v>1.553361708233428</v>
      </c>
      <c r="L1145" t="n">
        <v>0.2349479337780508</v>
      </c>
      <c r="M1145" t="n">
        <v>1.268300748504351</v>
      </c>
      <c r="N1145" t="n">
        <v>0.6170582941705829</v>
      </c>
      <c r="O1145" t="n">
        <v>163622.2006264218</v>
      </c>
      <c r="P1145" t="n">
        <v>97163.99360618106</v>
      </c>
      <c r="Q1145">
        <f>'_live'!$C$21</f>
        <v/>
      </c>
      <c r="R1145" t="inlineStr">
        <is>
          <t>shuffled: 513 of 10,000</t>
        </is>
      </c>
      <c r="S1145" t="inlineStr">
        <is>
          <t>shuffled: 2,877 of 10,000</t>
        </is>
      </c>
      <c r="T1145" t="n">
        <v>0.07419475131551484</v>
      </c>
      <c r="U1145" t="n">
        <v>0.09087062810720016</v>
      </c>
      <c r="V1145">
        <f>AND(judged_band,NOT($J1145))</f>
        <v/>
      </c>
      <c r="W1145">
        <f>IF($K1145="","",IF($I1145,"too few losses to test",IF(AND($K1145&gt;better_at,$K1145&lt;worse_at),"in line",IF($K1145&gt;=worse_at,IF(AND(ISNUMBER($L1145),$L1145&lt;significance_bar),"worse","worse, not significant"),IF(AND(ISNUMBER($L1145),$L1145&lt;significance_bar),"better","better, not significant")))))</f>
        <v/>
      </c>
      <c r="X1145">
        <f>IF($M1145="","",IF($I1145,"too few losses to test",IF(AND($M1145&gt;better_at,$M1145&lt;worse_at),"in line",IF($M1145&gt;=worse_at,IF(AND(ISNUMBER($N1145),$N1145&lt;significance_bar),"worse","worse, not significant"),IF(AND(ISNUMBER($N1145),$N1145&lt;significance_bar),"better","better, not significant")))))</f>
        <v/>
      </c>
      <c r="Y1145">
        <f>IF($V1145,$X1145,$W1145)</f>
        <v/>
      </c>
      <c r="Z1145">
        <f>IF($V1145,IF($P1145="","",$P1145),IF($O1145="","",$O1145))</f>
        <v/>
      </c>
      <c r="AA1145">
        <f>IF(OR($Q1145="",$Z1145=""),"",IF(AND($Z1145&gt;0,$Z1145&gt;=$Q1145),"yes","below the line"))</f>
        <v/>
      </c>
      <c r="AB1145">
        <f>IF($V1145,IF($M1145="","",$M1145),IF($K1145="","",$K1145))</f>
        <v/>
      </c>
      <c r="AC1145">
        <f>IF($V1145,IF($N1145="","",$N1145),IF($L1145="","",$L1145))</f>
        <v/>
      </c>
      <c r="AD1145">
        <f>$Y1145</f>
        <v/>
      </c>
      <c r="AE1145">
        <f>IF($V1145,IF($S1145="","",$S1145),IF($R1145="","",$R1145))</f>
        <v/>
      </c>
      <c r="AF1145">
        <f>IF($V1145,IF($U1145="","",$U1145),IF($T1145="","",$T1145))</f>
        <v/>
      </c>
      <c r="AG1145">
        <f>IF($V1145,IF($O1145="","",$O1145),IF($P1145="","",$P1145))</f>
        <v/>
      </c>
      <c r="AH1145" t="n">
        <v>0.1152512856454225</v>
      </c>
      <c r="AI1145">
        <f>IF($Y1145="worse","Yes",IF($Y1145="worse, not significant","Not sure",IF(OR($Y1145="too few losses to test",$Y1145="too few loans to test"),"Too few losses",IF($Y1145="","","No"))))</f>
        <v/>
      </c>
      <c r="AJ1145">
        <f>IF($AA1145="yes","Yes",IF($AA1145="","","No"))</f>
        <v/>
      </c>
    </row>
    <row r="1146">
      <c r="A1146" t="inlineStr">
        <is>
          <t>three-way</t>
        </is>
      </c>
      <c r="B1146" t="inlineStr">
        <is>
          <t>ORIG_BAL x ASSET_CLASS / SYS_FLAG</t>
        </is>
      </c>
      <c r="C1146" t="inlineStr">
        <is>
          <t>15,449 - 26,323</t>
        </is>
      </c>
      <c r="D1146" t="inlineStr">
        <is>
          <t>3 / SYS_FLAG Y</t>
        </is>
      </c>
      <c r="E1146" t="inlineStr">
        <is>
          <t>gco_rate</t>
        </is>
      </c>
      <c r="F1146" t="inlineStr">
        <is>
          <t>GCO per booked dollar</t>
        </is>
      </c>
      <c r="G1146" t="n">
        <v>193</v>
      </c>
      <c r="H1146" t="n">
        <v>3985290.119999999</v>
      </c>
      <c r="I1146" t="b">
        <v>0</v>
      </c>
      <c r="J1146" t="b">
        <v>0</v>
      </c>
      <c r="K1146" t="n">
        <v>1.616497436193758</v>
      </c>
      <c r="L1146" t="n">
        <v>0.193980601939806</v>
      </c>
      <c r="M1146" t="n">
        <v>1.297705582716536</v>
      </c>
      <c r="N1146" t="n">
        <v>0.6561805357925745</v>
      </c>
      <c r="O1146" t="n">
        <v>101256.7009602926</v>
      </c>
      <c r="P1146" t="n">
        <v>60908.55897143975</v>
      </c>
      <c r="Q1146">
        <f>'_live'!$C$22</f>
        <v/>
      </c>
      <c r="R1146" t="inlineStr">
        <is>
          <t>shuffled: 334 of 10,000</t>
        </is>
      </c>
      <c r="S1146" t="inlineStr">
        <is>
          <t>shuffled: 2,550 of 10,000</t>
        </is>
      </c>
      <c r="T1146" t="n">
        <v>0.04121284124722829</v>
      </c>
      <c r="U1146" t="n">
        <v>0.05133710843329024</v>
      </c>
      <c r="V1146">
        <f>AND(judged_band,NOT($J1146))</f>
        <v/>
      </c>
      <c r="W1146">
        <f>IF($K1146="","",IF($I1146,"too few losses to test",IF(AND($K1146&gt;better_at,$K1146&lt;worse_at),"in line",IF($K1146&gt;=worse_at,IF(AND(ISNUMBER($L1146),$L1146&lt;significance_bar),"worse","worse, not significant"),IF(AND(ISNUMBER($L1146),$L1146&lt;significance_bar),"better","better, not significant")))))</f>
        <v/>
      </c>
      <c r="X1146">
        <f>IF($M1146="","",IF($I1146,"too few losses to test",IF(AND($M1146&gt;better_at,$M1146&lt;worse_at),"in line",IF($M1146&gt;=worse_at,IF(AND(ISNUMBER($N1146),$N1146&lt;significance_bar),"worse","worse, not significant"),IF(AND(ISNUMBER($N1146),$N1146&lt;significance_bar),"better","better, not significant")))))</f>
        <v/>
      </c>
      <c r="Y1146">
        <f>IF($V1146,$X1146,$W1146)</f>
        <v/>
      </c>
      <c r="Z1146">
        <f>IF($V1146,IF($P1146="","",$P1146),IF($O1146="","",$O1146))</f>
        <v/>
      </c>
      <c r="AA1146">
        <f>IF(OR($Q1146="",$Z1146=""),"",IF(AND($Z1146&gt;0,$Z1146&gt;=$Q1146),"yes","below the line"))</f>
        <v/>
      </c>
      <c r="AB1146">
        <f>IF($V1146,IF($M1146="","",$M1146),IF($K1146="","",$K1146))</f>
        <v/>
      </c>
      <c r="AC1146">
        <f>IF($V1146,IF($N1146="","",$N1146),IF($L1146="","",$L1146))</f>
        <v/>
      </c>
      <c r="AD1146">
        <f>$Y1146</f>
        <v/>
      </c>
      <c r="AE1146">
        <f>IF($V1146,IF($S1146="","",$S1146),IF($R1146="","",$R1146))</f>
        <v/>
      </c>
      <c r="AF1146">
        <f>IF($V1146,IF($U1146="","",$U1146),IF($T1146="","",$T1146))</f>
        <v/>
      </c>
      <c r="AG1146">
        <f>IF($V1146,IF($O1146="","",$O1146),IF($P1146="","",$P1146))</f>
        <v/>
      </c>
      <c r="AH1146" t="n">
        <v>0.06662045221440491</v>
      </c>
      <c r="AI1146">
        <f>IF($Y1146="worse","Yes",IF($Y1146="worse, not significant","Not sure",IF(OR($Y1146="too few losses to test",$Y1146="too few loans to test"),"Too few losses",IF($Y1146="","","No"))))</f>
        <v/>
      </c>
      <c r="AJ1146">
        <f>IF($AA1146="yes","Yes",IF($AA1146="","","No"))</f>
        <v/>
      </c>
    </row>
    <row r="1147">
      <c r="A1147" t="inlineStr">
        <is>
          <t>three-way</t>
        </is>
      </c>
      <c r="B1147" t="inlineStr">
        <is>
          <t>ORIG_BAL x ASSET_CLASS / SYS_FLAG</t>
        </is>
      </c>
      <c r="C1147" t="inlineStr">
        <is>
          <t>15,449 - 26,323</t>
        </is>
      </c>
      <c r="D1147" t="inlineStr">
        <is>
          <t>3 / SYS_FLAG Y</t>
        </is>
      </c>
      <c r="E1147" t="inlineStr">
        <is>
          <t>ranr_rate</t>
        </is>
      </c>
      <c r="F1147" t="inlineStr">
        <is>
          <t>Profit after losses: RANR per booked dollar</t>
        </is>
      </c>
      <c r="G1147" t="n">
        <v>193</v>
      </c>
      <c r="H1147" t="n">
        <v>3985290.119999999</v>
      </c>
      <c r="I1147" t="b">
        <v>0</v>
      </c>
      <c r="J1147" t="b">
        <v>0</v>
      </c>
      <c r="K1147" t="n">
        <v>-0.02689342130442768</v>
      </c>
      <c r="L1147" t="n">
        <v>0.3782478894967646</v>
      </c>
      <c r="M1147" t="n">
        <v>-0.01992447745192381</v>
      </c>
      <c r="N1147" t="n">
        <v>0.4690057310058468</v>
      </c>
      <c r="O1147" t="n">
        <v>107178.0862175331</v>
      </c>
      <c r="P1147" t="n">
        <v>79404.82313531474</v>
      </c>
      <c r="Q1147">
        <f>'_live'!$C$23</f>
        <v/>
      </c>
      <c r="R1147" t="inlineStr">
        <is>
          <t>shuffled: 661 of 10,000</t>
        </is>
      </c>
      <c r="S1147" t="inlineStr">
        <is>
          <t>shuffled: 2,029 of 10,000</t>
        </is>
      </c>
      <c r="T1147" t="n">
        <v>0.1284053584077672</v>
      </c>
      <c r="U1147" t="n">
        <v>0.1214364145552633</v>
      </c>
      <c r="V1147">
        <f>AND(judged_band,NOT($J1147))</f>
        <v/>
      </c>
      <c r="W1147">
        <f>IF($K1147="","",IF(profit_kind="test",IF(OR(NOT(AND(ISNUMBER($L1147),$L1147&lt;significance_bar)),$K1147=0),"in line",IF($K1147&lt;0,"worse","better")),IF(OR($K1147=0,IF(profit_kind="points",ABS($K1147),ABS($K1147*$H1147))&lt;profit_line*(1-1E-9)),"in line",IF(AND(ISNUMBER($L1147),$L1147&lt;significance_bar),IF($K1147&lt;0,"worse","better"),IF($K1147&lt;0,"worse, not significant","better, not significant")))))</f>
        <v/>
      </c>
      <c r="X1147">
        <f>IF($M1147="","",IF(profit_kind="test",IF(OR(NOT(AND(ISNUMBER($N1147),$N1147&lt;significance_bar)),$M1147=0),"in line",IF($M1147&lt;0,"worse","better")),IF(OR($M1147=0,IF(profit_kind="points",ABS($M1147),ABS($M1147*$H1147))&lt;profit_line*(1-1E-9)),"in line",IF(AND(ISNUMBER($N1147),$N1147&lt;significance_bar),IF($M1147&lt;0,"worse","better"),IF($M1147&lt;0,"worse, not significant","better, not significant")))))</f>
        <v/>
      </c>
      <c r="Y1147">
        <f>IF($V1147,$X1147,$W1147)</f>
        <v/>
      </c>
      <c r="Z1147">
        <f>IF($V1147,IF($P1147="","",$P1147),IF($O1147="","",$O1147))</f>
        <v/>
      </c>
      <c r="AA1147">
        <f>IF(OR($Q1147="",$Z1147=""),"",IF(AND($Z1147&gt;0,$Z1147&gt;=$Q1147),"yes","below the line"))</f>
        <v/>
      </c>
      <c r="AB1147">
        <f>IF($V1147,IF($M1147="","",$M1147),IF($K1147="","",$K1147))</f>
        <v/>
      </c>
      <c r="AC1147">
        <f>IF($V1147,IF($N1147="","",$N1147),IF($L1147="","",$L1147))</f>
        <v/>
      </c>
      <c r="AD1147">
        <f>IF($Y1147="","",IF($Y1147="in line",IF(profit_kind="test",IF(ROUND($AB1147*100,2)=0,"0.00",TEXT($AB1147*100,"+0.00;-0.00"))&amp;" points against "&amp;IF($V1147,"its band","the book")&amp;", "&amp;IF($AC1147="","not tested","not significant"),IF(profit_kind="points","within "&amp;TEXT(profit_line*100,"0.00")&amp;" points of "&amp;IF($V1147,"its band","the book")&amp;" ("&amp;IF(ROUND($AB1147*100,2)=0,"0.00",TEXT($AB1147*100,"+0.00;-0.00"))&amp;")","within $"&amp;TEXT(profit_line,"#,##0")&amp;" of "&amp;IF($V1147,"its band","the book")&amp;" ("&amp;IF(ROUND($AB1147*100,2)=0,"0.00",TEXT($AB1147*100,"+0.00;-0.00"))&amp;" points)")),IF(LEFT($Y1147,5)="worse","short of ","ahead of ")&amp;IF($V1147,"its band","the book")&amp;" by "&amp;TEXT(ABS($AB1147)*100,"0.00")&amp;" points"&amp;IF($Z1147="",""," ($"&amp;TEXT(ABS($Z1147),"#,##0")&amp;")")&amp;IF(RIGHT($Y1147,15)="not significant"," (not significant)","")))</f>
        <v/>
      </c>
      <c r="AE1147">
        <f>IF($V1147,IF($S1147="","",$S1147),IF($R1147="","",$R1147))</f>
        <v/>
      </c>
      <c r="AF1147">
        <f>IF($V1147,IF($U1147="","",$U1147),IF($T1147="","",$T1147))</f>
        <v/>
      </c>
      <c r="AG1147">
        <f>IF($V1147,IF($O1147="","",$O1147),IF($P1147="","",$P1147))</f>
        <v/>
      </c>
      <c r="AH1147" t="n">
        <v>0.1015119371033395</v>
      </c>
      <c r="AI1147">
        <f>IF($Y1147="worse","Yes",IF($Y1147="worse, not significant","Not sure",IF(OR($Y1147="too few losses to test",$Y1147="too few loans to test"),"Too few losses",IF($Y1147="","","No"))))</f>
        <v/>
      </c>
      <c r="AJ1147">
        <f>IF($AA1147="yes","Yes",IF($AA1147="","","No"))</f>
        <v/>
      </c>
    </row>
    <row r="1148">
      <c r="A1148" t="inlineStr">
        <is>
          <t>three-way</t>
        </is>
      </c>
      <c r="B1148" t="inlineStr">
        <is>
          <t>ORIG_BAL x ASSET_CLASS / SYS_FLAG</t>
        </is>
      </c>
      <c r="C1148" t="inlineStr">
        <is>
          <t>15,449 - 26,323</t>
        </is>
      </c>
      <c r="D1148" t="inlineStr">
        <is>
          <t>3 / SYS_FLAG Y</t>
        </is>
      </c>
      <c r="E1148" t="inlineStr">
        <is>
          <t>contribution_rate</t>
        </is>
      </c>
      <c r="F1148" t="inlineStr">
        <is>
          <t>Contribution before losses per booked dollar</t>
        </is>
      </c>
      <c r="G1148" t="n">
        <v>193</v>
      </c>
      <c r="H1148" t="n">
        <v>3985290.119999999</v>
      </c>
      <c r="I1148" t="b">
        <v>0</v>
      </c>
      <c r="J1148" t="b">
        <v>0</v>
      </c>
      <c r="K1148" t="n">
        <v>-0.001482971112379494</v>
      </c>
      <c r="L1148" t="n">
        <v>0.9955004499550044</v>
      </c>
      <c r="M1148" t="n">
        <v>-0.004641133670809178</v>
      </c>
      <c r="N1148" t="n">
        <v>0.892759208927592</v>
      </c>
      <c r="O1148" t="n">
        <v>5910.070122411358</v>
      </c>
      <c r="P1148" t="n">
        <v>18496.26416387514</v>
      </c>
      <c r="Q1148">
        <f>'_live'!$C$24</f>
        <v/>
      </c>
      <c r="R1148" t="inlineStr">
        <is>
          <t>shuffled: 8,798 of 10,000</t>
        </is>
      </c>
      <c r="S1148" t="inlineStr">
        <is>
          <t>shuffled: 6,273 of 10,000</t>
        </is>
      </c>
      <c r="T1148" t="n">
        <v>0.1696153604301238</v>
      </c>
      <c r="U1148" t="n">
        <v>0.1727735229885535</v>
      </c>
      <c r="V1148">
        <f>AND(judged_band,NOT($J1148))</f>
        <v/>
      </c>
      <c r="W1148">
        <f>IF($K1148="","",IF(profit_kind="test",IF(OR(NOT(AND(ISNUMBER($L1148),$L1148&lt;significance_bar)),$K1148=0),"in line",IF($K1148&lt;0,"worse","better")),IF(OR($K1148=0,IF(profit_kind="points",ABS($K1148),ABS($K1148*$H1148))&lt;profit_line*(1-1E-9)),"in line",IF(AND(ISNUMBER($L1148),$L1148&lt;significance_bar),IF($K1148&lt;0,"worse","better"),IF($K1148&lt;0,"worse, not significant","better, not significant")))))</f>
        <v/>
      </c>
      <c r="X1148">
        <f>IF($M1148="","",IF(profit_kind="test",IF(OR(NOT(AND(ISNUMBER($N1148),$N1148&lt;significance_bar)),$M1148=0),"in line",IF($M1148&lt;0,"worse","better")),IF(OR($M1148=0,IF(profit_kind="points",ABS($M1148),ABS($M1148*$H1148))&lt;profit_line*(1-1E-9)),"in line",IF(AND(ISNUMBER($N1148),$N1148&lt;significance_bar),IF($M1148&lt;0,"worse","better"),IF($M1148&lt;0,"worse, not significant","better, not significant")))))</f>
        <v/>
      </c>
      <c r="Y1148">
        <f>IF($V1148,$X1148,$W1148)</f>
        <v/>
      </c>
      <c r="Z1148">
        <f>IF($V1148,IF($P1148="","",$P1148),IF($O1148="","",$O1148))</f>
        <v/>
      </c>
      <c r="AA1148">
        <f>IF(OR($Q1148="",$Z1148=""),"",IF(AND($Z1148&gt;0,$Z1148&gt;=$Q1148),"yes","below the line"))</f>
        <v/>
      </c>
      <c r="AB1148">
        <f>IF($V1148,IF($M1148="","",$M1148),IF($K1148="","",$K1148))</f>
        <v/>
      </c>
      <c r="AC1148">
        <f>IF($V1148,IF($N1148="","",$N1148),IF($L1148="","",$L1148))</f>
        <v/>
      </c>
      <c r="AD1148">
        <f>IF($Y1148="","",IF($Y1148="in line",IF(profit_kind="test",IF(ROUND($AB1148*100,2)=0,"0.00",TEXT($AB1148*100,"+0.00;-0.00"))&amp;" points against "&amp;IF($V1148,"its band","the book")&amp;", "&amp;IF($AC1148="","not tested","not significant"),IF(profit_kind="points","within "&amp;TEXT(profit_line*100,"0.00")&amp;" points of "&amp;IF($V1148,"its band","the book")&amp;" ("&amp;IF(ROUND($AB1148*100,2)=0,"0.00",TEXT($AB1148*100,"+0.00;-0.00"))&amp;")","within $"&amp;TEXT(profit_line,"#,##0")&amp;" of "&amp;IF($V1148,"its band","the book")&amp;" ("&amp;IF(ROUND($AB1148*100,2)=0,"0.00",TEXT($AB1148*100,"+0.00;-0.00"))&amp;" points)")),IF(LEFT($Y1148,5)="worse","short of ","ahead of ")&amp;IF($V1148,"its band","the book")&amp;" by "&amp;TEXT(ABS($AB1148)*100,"0.00")&amp;" points"&amp;IF($Z1148="",""," ($"&amp;TEXT(ABS($Z1148),"#,##0")&amp;")")&amp;IF(RIGHT($Y1148,15)="not significant"," (not significant)","")))</f>
        <v/>
      </c>
      <c r="AE1148">
        <f>IF($V1148,IF($S1148="","",$S1148),IF($R1148="","",$R1148))</f>
        <v/>
      </c>
      <c r="AF1148">
        <f>IF($V1148,IF($U1148="","",$U1148),IF($T1148="","",$T1148))</f>
        <v/>
      </c>
      <c r="AG1148">
        <f>IF($V1148,IF($O1148="","",$O1148),IF($P1148="","",$P1148))</f>
        <v/>
      </c>
      <c r="AH1148" t="n">
        <v>0.1681323893177444</v>
      </c>
      <c r="AI1148">
        <f>IF($Y1148="worse","Yes",IF($Y1148="worse, not significant","Not sure",IF(OR($Y1148="too few losses to test",$Y1148="too few loans to test"),"Too few losses",IF($Y1148="","","No"))))</f>
        <v/>
      </c>
      <c r="AJ1148">
        <f>IF($AA1148="yes","Yes",IF($AA1148="","","No"))</f>
        <v/>
      </c>
    </row>
    <row r="1149">
      <c r="A1149" t="inlineStr">
        <is>
          <t>three-way</t>
        </is>
      </c>
      <c r="B1149" t="inlineStr">
        <is>
          <t>ORIG_BAL x ASSET_CLASS / SYS_FLAG</t>
        </is>
      </c>
      <c r="C1149" t="inlineStr">
        <is>
          <t>37,951 - 49,151</t>
        </is>
      </c>
      <c r="D1149" t="inlineStr">
        <is>
          <t>4 / SYS_FLAG Y</t>
        </is>
      </c>
      <c r="E1149" t="inlineStr">
        <is>
          <t>outcome_loans</t>
        </is>
      </c>
      <c r="F1149" t="inlineStr">
        <is>
          <t>Outcome, share of loans</t>
        </is>
      </c>
      <c r="G1149" t="n">
        <v>189</v>
      </c>
      <c r="H1149" t="n">
        <v>189</v>
      </c>
      <c r="I1149" t="b">
        <v>0</v>
      </c>
      <c r="J1149" t="b">
        <v>0</v>
      </c>
      <c r="K1149" t="n">
        <v>2.476534753932014</v>
      </c>
      <c r="L1149" t="n">
        <v>6.357829022126986e-07</v>
      </c>
      <c r="M1149" t="n">
        <v>2.639356528245417</v>
      </c>
      <c r="N1149" t="n">
        <v>2.653689865210655e-06</v>
      </c>
      <c r="O1149" t="n">
        <v>20.8673495518566</v>
      </c>
      <c r="P1149" t="n">
        <v>21.73919206236712</v>
      </c>
      <c r="Q1149">
        <f>'_live'!$C$20</f>
        <v/>
      </c>
      <c r="R1149" t="inlineStr">
        <is>
          <t>z test</t>
        </is>
      </c>
      <c r="S1149" t="inlineStr">
        <is>
          <t>z test</t>
        </is>
      </c>
      <c r="T1149" t="n">
        <v>0.07477592829705505</v>
      </c>
      <c r="U1149" t="n">
        <v>0.07016300496102056</v>
      </c>
      <c r="V1149">
        <f>AND(judged_band,NOT($J1149))</f>
        <v/>
      </c>
      <c r="W1149">
        <f>IF($K1149="","",IF($I1149,"too few losses to test",IF(AND($K1149&gt;better_at,$K1149&lt;worse_at),"in line",IF($K1149&gt;=worse_at,IF(AND(ISNUMBER($L1149),$L1149&lt;significance_bar),"worse","worse, not significant"),IF(AND(ISNUMBER($L1149),$L1149&lt;significance_bar),"better","better, not significant")))))</f>
        <v/>
      </c>
      <c r="X1149">
        <f>IF($M1149="","",IF($I1149,"too few losses to test",IF(AND($M1149&gt;better_at,$M1149&lt;worse_at),"in line",IF($M1149&gt;=worse_at,IF(AND(ISNUMBER($N1149),$N1149&lt;significance_bar),"worse","worse, not significant"),IF(AND(ISNUMBER($N1149),$N1149&lt;significance_bar),"better","better, not significant")))))</f>
        <v/>
      </c>
      <c r="Y1149">
        <f>IF($V1149,$X1149,$W1149)</f>
        <v/>
      </c>
      <c r="Z1149">
        <f>IF($V1149,IF($P1149="","",$P1149),IF($O1149="","",$O1149))</f>
        <v/>
      </c>
      <c r="AA1149">
        <f>IF(OR($Q1149="",$Z1149=""),"",IF(AND($Z1149&gt;0,$Z1149&gt;=$Q1149),"yes","below the line"))</f>
        <v/>
      </c>
      <c r="AB1149">
        <f>IF($V1149,IF($M1149="","",$M1149),IF($K1149="","",$K1149))</f>
        <v/>
      </c>
      <c r="AC1149">
        <f>IF($V1149,IF($N1149="","",$N1149),IF($L1149="","",$L1149))</f>
        <v/>
      </c>
      <c r="AD1149">
        <f>$Y1149</f>
        <v/>
      </c>
      <c r="AE1149">
        <f>IF($V1149,IF($S1149="","",$S1149),IF($R1149="","",$R1149))</f>
        <v/>
      </c>
      <c r="AF1149">
        <f>IF($V1149,IF($U1149="","",$U1149),IF($T1149="","",$T1149))</f>
        <v/>
      </c>
      <c r="AG1149">
        <f>IF($V1149,IF($O1149="","",$O1149),IF($P1149="","",$P1149))</f>
        <v/>
      </c>
      <c r="AH1149" t="n">
        <v>0.1851851851851852</v>
      </c>
      <c r="AI1149">
        <f>IF($Y1149="worse","Yes",IF($Y1149="worse, not significant","Not sure",IF(OR($Y1149="too few losses to test",$Y1149="too few loans to test"),"Too few losses",IF($Y1149="","","No"))))</f>
        <v/>
      </c>
      <c r="AJ1149">
        <f>IF($AA1149="yes","Yes",IF($AA1149="","","No"))</f>
        <v/>
      </c>
    </row>
    <row r="1150">
      <c r="A1150" t="inlineStr">
        <is>
          <t>three-way</t>
        </is>
      </c>
      <c r="B1150" t="inlineStr">
        <is>
          <t>ORIG_BAL x ASSET_CLASS / SYS_FLAG</t>
        </is>
      </c>
      <c r="C1150" t="inlineStr">
        <is>
          <t>37,951 - 49,151</t>
        </is>
      </c>
      <c r="D1150" t="inlineStr">
        <is>
          <t>4 / SYS_FLAG Y</t>
        </is>
      </c>
      <c r="E1150" t="inlineStr">
        <is>
          <t>outcome_booked</t>
        </is>
      </c>
      <c r="F1150" t="inlineStr">
        <is>
          <t>Outcome, share of booked dollars</t>
        </is>
      </c>
      <c r="G1150" t="n">
        <v>189</v>
      </c>
      <c r="H1150" t="n">
        <v>8270091.930000002</v>
      </c>
      <c r="I1150" t="b">
        <v>0</v>
      </c>
      <c r="J1150" t="b">
        <v>0</v>
      </c>
      <c r="K1150" t="n">
        <v>2.566531029492343</v>
      </c>
      <c r="L1150" t="n">
        <v>0.0031996800319968</v>
      </c>
      <c r="M1150" t="n">
        <v>2.625323221864709</v>
      </c>
      <c r="N1150" t="n">
        <v>0.0031996800319968</v>
      </c>
      <c r="O1150" t="n">
        <v>923087.8093432924</v>
      </c>
      <c r="P1150" t="n">
        <v>936283.7662672454</v>
      </c>
      <c r="Q1150">
        <f>'_live'!$C$21</f>
        <v/>
      </c>
      <c r="R1150" t="inlineStr">
        <is>
          <t>shuffled: 0 of 10,000</t>
        </is>
      </c>
      <c r="S1150" t="inlineStr">
        <is>
          <t>shuffled: 0 of 10,000</t>
        </is>
      </c>
      <c r="T1150" t="n">
        <v>0.07125144504369582</v>
      </c>
      <c r="U1150" t="n">
        <v>0.06965582107292903</v>
      </c>
      <c r="V1150">
        <f>AND(judged_band,NOT($J1150))</f>
        <v/>
      </c>
      <c r="W1150">
        <f>IF($K1150="","",IF($I1150,"too few losses to test",IF(AND($K1150&gt;better_at,$K1150&lt;worse_at),"in line",IF($K1150&gt;=worse_at,IF(AND(ISNUMBER($L1150),$L1150&lt;significance_bar),"worse","worse, not significant"),IF(AND(ISNUMBER($L1150),$L1150&lt;significance_bar),"better","better, not significant")))))</f>
        <v/>
      </c>
      <c r="X1150">
        <f>IF($M1150="","",IF($I1150,"too few losses to test",IF(AND($M1150&gt;better_at,$M1150&lt;worse_at),"in line",IF($M1150&gt;=worse_at,IF(AND(ISNUMBER($N1150),$N1150&lt;significance_bar),"worse","worse, not significant"),IF(AND(ISNUMBER($N1150),$N1150&lt;significance_bar),"better","better, not significant")))))</f>
        <v/>
      </c>
      <c r="Y1150">
        <f>IF($V1150,$X1150,$W1150)</f>
        <v/>
      </c>
      <c r="Z1150">
        <f>IF($V1150,IF($P1150="","",$P1150),IF($O1150="","",$O1150))</f>
        <v/>
      </c>
      <c r="AA1150">
        <f>IF(OR($Q1150="",$Z1150=""),"",IF(AND($Z1150&gt;0,$Z1150&gt;=$Q1150),"yes","below the line"))</f>
        <v/>
      </c>
      <c r="AB1150">
        <f>IF($V1150,IF($M1150="","",$M1150),IF($K1150="","",$K1150))</f>
        <v/>
      </c>
      <c r="AC1150">
        <f>IF($V1150,IF($N1150="","",$N1150),IF($L1150="","",$L1150))</f>
        <v/>
      </c>
      <c r="AD1150">
        <f>$Y1150</f>
        <v/>
      </c>
      <c r="AE1150">
        <f>IF($V1150,IF($S1150="","",$S1150),IF($R1150="","",$R1150))</f>
        <v/>
      </c>
      <c r="AF1150">
        <f>IF($V1150,IF($U1150="","",$U1150),IF($T1150="","",$T1150))</f>
        <v/>
      </c>
      <c r="AG1150">
        <f>IF($V1150,IF($O1150="","",$O1150),IF($P1150="","",$P1150))</f>
        <v/>
      </c>
      <c r="AH1150" t="n">
        <v>0.1828690446008137</v>
      </c>
      <c r="AI1150">
        <f>IF($Y1150="worse","Yes",IF($Y1150="worse, not significant","Not sure",IF(OR($Y1150="too few losses to test",$Y1150="too few loans to test"),"Too few losses",IF($Y1150="","","No"))))</f>
        <v/>
      </c>
      <c r="AJ1150">
        <f>IF($AA1150="yes","Yes",IF($AA1150="","","No"))</f>
        <v/>
      </c>
    </row>
    <row r="1151">
      <c r="A1151" t="inlineStr">
        <is>
          <t>three-way</t>
        </is>
      </c>
      <c r="B1151" t="inlineStr">
        <is>
          <t>ORIG_BAL x ASSET_CLASS / SYS_FLAG</t>
        </is>
      </c>
      <c r="C1151" t="inlineStr">
        <is>
          <t>37,951 - 49,151</t>
        </is>
      </c>
      <c r="D1151" t="inlineStr">
        <is>
          <t>4 / SYS_FLAG Y</t>
        </is>
      </c>
      <c r="E1151" t="inlineStr">
        <is>
          <t>gco_rate</t>
        </is>
      </c>
      <c r="F1151" t="inlineStr">
        <is>
          <t>GCO per booked dollar</t>
        </is>
      </c>
      <c r="G1151" t="n">
        <v>189</v>
      </c>
      <c r="H1151" t="n">
        <v>8270091.930000002</v>
      </c>
      <c r="I1151" t="b">
        <v>0</v>
      </c>
      <c r="J1151" t="b">
        <v>0</v>
      </c>
      <c r="K1151" t="n">
        <v>2.610712931214735</v>
      </c>
      <c r="L1151" t="n">
        <v>0.006399360063993601</v>
      </c>
      <c r="M1151" t="n">
        <v>2.638146011255898</v>
      </c>
      <c r="N1151" t="n">
        <v>0.0031996800319968</v>
      </c>
      <c r="O1151" t="n">
        <v>527006.366676635</v>
      </c>
      <c r="P1151" t="n">
        <v>530408.6733639764</v>
      </c>
      <c r="Q1151">
        <f>'_live'!$C$22</f>
        <v/>
      </c>
      <c r="R1151" t="inlineStr">
        <is>
          <t>shuffled: 1 of 10,000</t>
        </is>
      </c>
      <c r="S1151" t="inlineStr">
        <is>
          <t>shuffled: 0 of 10,000</t>
        </is>
      </c>
      <c r="T1151" t="n">
        <v>0.0395628326858713</v>
      </c>
      <c r="U1151" t="n">
        <v>0.03915143379017107</v>
      </c>
      <c r="V1151">
        <f>AND(judged_band,NOT($J1151))</f>
        <v/>
      </c>
      <c r="W1151">
        <f>IF($K1151="","",IF($I1151,"too few losses to test",IF(AND($K1151&gt;better_at,$K1151&lt;worse_at),"in line",IF($K1151&gt;=worse_at,IF(AND(ISNUMBER($L1151),$L1151&lt;significance_bar),"worse","worse, not significant"),IF(AND(ISNUMBER($L1151),$L1151&lt;significance_bar),"better","better, not significant")))))</f>
        <v/>
      </c>
      <c r="X1151">
        <f>IF($M1151="","",IF($I1151,"too few losses to test",IF(AND($M1151&gt;better_at,$M1151&lt;worse_at),"in line",IF($M1151&gt;=worse_at,IF(AND(ISNUMBER($N1151),$N1151&lt;significance_bar),"worse","worse, not significant"),IF(AND(ISNUMBER($N1151),$N1151&lt;significance_bar),"better","better, not significant")))))</f>
        <v/>
      </c>
      <c r="Y1151">
        <f>IF($V1151,$X1151,$W1151)</f>
        <v/>
      </c>
      <c r="Z1151">
        <f>IF($V1151,IF($P1151="","",$P1151),IF($O1151="","",$O1151))</f>
        <v/>
      </c>
      <c r="AA1151">
        <f>IF(OR($Q1151="",$Z1151=""),"",IF(AND($Z1151&gt;0,$Z1151&gt;=$Q1151),"yes","below the line"))</f>
        <v/>
      </c>
      <c r="AB1151">
        <f>IF($V1151,IF($M1151="","",$M1151),IF($K1151="","",$K1151))</f>
        <v/>
      </c>
      <c r="AC1151">
        <f>IF($V1151,IF($N1151="","",$N1151),IF($L1151="","",$L1151))</f>
        <v/>
      </c>
      <c r="AD1151">
        <f>$Y1151</f>
        <v/>
      </c>
      <c r="AE1151">
        <f>IF($V1151,IF($S1151="","",$S1151),IF($R1151="","",$R1151))</f>
        <v/>
      </c>
      <c r="AF1151">
        <f>IF($V1151,IF($U1151="","",$U1151),IF($T1151="","",$T1151))</f>
        <v/>
      </c>
      <c r="AG1151">
        <f>IF($V1151,IF($O1151="","",$O1151),IF($P1151="","",$P1151))</f>
        <v/>
      </c>
      <c r="AH1151" t="n">
        <v>0.1032871988884892</v>
      </c>
      <c r="AI1151">
        <f>IF($Y1151="worse","Yes",IF($Y1151="worse, not significant","Not sure",IF(OR($Y1151="too few losses to test",$Y1151="too few loans to test"),"Too few losses",IF($Y1151="","","No"))))</f>
        <v/>
      </c>
      <c r="AJ1151">
        <f>IF($AA1151="yes","Yes",IF($AA1151="","","No"))</f>
        <v/>
      </c>
    </row>
    <row r="1152">
      <c r="A1152" t="inlineStr">
        <is>
          <t>three-way</t>
        </is>
      </c>
      <c r="B1152" t="inlineStr">
        <is>
          <t>ORIG_BAL x ASSET_CLASS / SYS_FLAG</t>
        </is>
      </c>
      <c r="C1152" t="inlineStr">
        <is>
          <t>37,951 - 49,151</t>
        </is>
      </c>
      <c r="D1152" t="inlineStr">
        <is>
          <t>4 / SYS_FLAG Y</t>
        </is>
      </c>
      <c r="E1152" t="inlineStr">
        <is>
          <t>ranr_rate</t>
        </is>
      </c>
      <c r="F1152" t="inlineStr">
        <is>
          <t>Profit after losses: RANR per booked dollar</t>
        </is>
      </c>
      <c r="G1152" t="n">
        <v>189</v>
      </c>
      <c r="H1152" t="n">
        <v>8270091.930000002</v>
      </c>
      <c r="I1152" t="b">
        <v>0</v>
      </c>
      <c r="J1152" t="b">
        <v>0</v>
      </c>
      <c r="K1152" t="n">
        <v>-0.06720113989218381</v>
      </c>
      <c r="L1152" t="n">
        <v>0.003999600039996</v>
      </c>
      <c r="M1152" t="n">
        <v>-0.06749470168143108</v>
      </c>
      <c r="N1152" t="n">
        <v>0.003999600039996</v>
      </c>
      <c r="O1152" t="n">
        <v>555759.6047091505</v>
      </c>
      <c r="P1152" t="n">
        <v>558187.3876933607</v>
      </c>
      <c r="Q1152">
        <f>'_live'!$C$23</f>
        <v/>
      </c>
      <c r="R1152" t="inlineStr">
        <is>
          <t>shuffled: 0 of 10,000</t>
        </is>
      </c>
      <c r="S1152" t="inlineStr">
        <is>
          <t>shuffled: 0 of 10,000</t>
        </is>
      </c>
      <c r="T1152" t="n">
        <v>0.1301435853215661</v>
      </c>
      <c r="U1152" t="n">
        <v>0.1304371471108134</v>
      </c>
      <c r="V1152">
        <f>AND(judged_band,NOT($J1152))</f>
        <v/>
      </c>
      <c r="W1152">
        <f>IF($K1152="","",IF(profit_kind="test",IF(OR(NOT(AND(ISNUMBER($L1152),$L1152&lt;significance_bar)),$K1152=0),"in line",IF($K1152&lt;0,"worse","better")),IF(OR($K1152=0,IF(profit_kind="points",ABS($K1152),ABS($K1152*$H1152))&lt;profit_line*(1-1E-9)),"in line",IF(AND(ISNUMBER($L1152),$L1152&lt;significance_bar),IF($K1152&lt;0,"worse","better"),IF($K1152&lt;0,"worse, not significant","better, not significant")))))</f>
        <v/>
      </c>
      <c r="X1152">
        <f>IF($M1152="","",IF(profit_kind="test",IF(OR(NOT(AND(ISNUMBER($N1152),$N1152&lt;significance_bar)),$M1152=0),"in line",IF($M1152&lt;0,"worse","better")),IF(OR($M1152=0,IF(profit_kind="points",ABS($M1152),ABS($M1152*$H1152))&lt;profit_line*(1-1E-9)),"in line",IF(AND(ISNUMBER($N1152),$N1152&lt;significance_bar),IF($M1152&lt;0,"worse","better"),IF($M1152&lt;0,"worse, not significant","better, not significant")))))</f>
        <v/>
      </c>
      <c r="Y1152">
        <f>IF($V1152,$X1152,$W1152)</f>
        <v/>
      </c>
      <c r="Z1152">
        <f>IF($V1152,IF($P1152="","",$P1152),IF($O1152="","",$O1152))</f>
        <v/>
      </c>
      <c r="AA1152">
        <f>IF(OR($Q1152="",$Z1152=""),"",IF(AND($Z1152&gt;0,$Z1152&gt;=$Q1152),"yes","below the line"))</f>
        <v/>
      </c>
      <c r="AB1152">
        <f>IF($V1152,IF($M1152="","",$M1152),IF($K1152="","",$K1152))</f>
        <v/>
      </c>
      <c r="AC1152">
        <f>IF($V1152,IF($N1152="","",$N1152),IF($L1152="","",$L1152))</f>
        <v/>
      </c>
      <c r="AD1152">
        <f>IF($Y1152="","",IF($Y1152="in line",IF(profit_kind="test",IF(ROUND($AB1152*100,2)=0,"0.00",TEXT($AB1152*100,"+0.00;-0.00"))&amp;" points against "&amp;IF($V1152,"its band","the book")&amp;", "&amp;IF($AC1152="","not tested","not significant"),IF(profit_kind="points","within "&amp;TEXT(profit_line*100,"0.00")&amp;" points of "&amp;IF($V1152,"its band","the book")&amp;" ("&amp;IF(ROUND($AB1152*100,2)=0,"0.00",TEXT($AB1152*100,"+0.00;-0.00"))&amp;")","within $"&amp;TEXT(profit_line,"#,##0")&amp;" of "&amp;IF($V1152,"its band","the book")&amp;" ("&amp;IF(ROUND($AB1152*100,2)=0,"0.00",TEXT($AB1152*100,"+0.00;-0.00"))&amp;" points)")),IF(LEFT($Y1152,5)="worse","short of ","ahead of ")&amp;IF($V1152,"its band","the book")&amp;" by "&amp;TEXT(ABS($AB1152)*100,"0.00")&amp;" points"&amp;IF($Z1152="",""," ($"&amp;TEXT(ABS($Z1152),"#,##0")&amp;")")&amp;IF(RIGHT($Y1152,15)="not significant"," (not significant)","")))</f>
        <v/>
      </c>
      <c r="AE1152">
        <f>IF($V1152,IF($S1152="","",$S1152),IF($R1152="","",$R1152))</f>
        <v/>
      </c>
      <c r="AF1152">
        <f>IF($V1152,IF($U1152="","",$U1152),IF($T1152="","",$T1152))</f>
        <v/>
      </c>
      <c r="AG1152">
        <f>IF($V1152,IF($O1152="","",$O1152),IF($P1152="","",$P1152))</f>
        <v/>
      </c>
      <c r="AH1152" t="n">
        <v>0.06294244542938228</v>
      </c>
      <c r="AI1152">
        <f>IF($Y1152="worse","Yes",IF($Y1152="worse, not significant","Not sure",IF(OR($Y1152="too few losses to test",$Y1152="too few loans to test"),"Too few losses",IF($Y1152="","","No"))))</f>
        <v/>
      </c>
      <c r="AJ1152">
        <f>IF($AA1152="yes","Yes",IF($AA1152="","","No"))</f>
        <v/>
      </c>
    </row>
    <row r="1153">
      <c r="A1153" t="inlineStr">
        <is>
          <t>three-way</t>
        </is>
      </c>
      <c r="B1153" t="inlineStr">
        <is>
          <t>ORIG_BAL x ASSET_CLASS / SYS_FLAG</t>
        </is>
      </c>
      <c r="C1153" t="inlineStr">
        <is>
          <t>37,951 - 49,151</t>
        </is>
      </c>
      <c r="D1153" t="inlineStr">
        <is>
          <t>4 / SYS_FLAG Y</t>
        </is>
      </c>
      <c r="E1153" t="inlineStr">
        <is>
          <t>contribution_rate</t>
        </is>
      </c>
      <c r="F1153" t="inlineStr">
        <is>
          <t>Contribution before losses per booked dollar</t>
        </is>
      </c>
      <c r="G1153" t="n">
        <v>189</v>
      </c>
      <c r="H1153" t="n">
        <v>8270091.930000002</v>
      </c>
      <c r="I1153" t="b">
        <v>0</v>
      </c>
      <c r="J1153" t="b">
        <v>0</v>
      </c>
      <c r="K1153" t="n">
        <v>-0.003474161944398979</v>
      </c>
      <c r="L1153" t="n">
        <v>0.9955004499550044</v>
      </c>
      <c r="M1153" t="n">
        <v>-0.003348500418122402</v>
      </c>
      <c r="N1153" t="n">
        <v>0.892759208927592</v>
      </c>
      <c r="O1153" t="n">
        <v>28731.63865988702</v>
      </c>
      <c r="P1153" t="n">
        <v>27692.40628551552</v>
      </c>
      <c r="Q1153">
        <f>'_live'!$C$24</f>
        <v/>
      </c>
      <c r="R1153" t="inlineStr">
        <is>
          <t>shuffled: 7,214 of 10,000</t>
        </is>
      </c>
      <c r="S1153" t="inlineStr">
        <is>
          <t>shuffled: 7,207 of 10,000</t>
        </is>
      </c>
      <c r="T1153" t="n">
        <v>0.1697038062622705</v>
      </c>
      <c r="U1153" t="n">
        <v>0.1695781447359939</v>
      </c>
      <c r="V1153">
        <f>AND(judged_band,NOT($J1153))</f>
        <v/>
      </c>
      <c r="W1153">
        <f>IF($K1153="","",IF(profit_kind="test",IF(OR(NOT(AND(ISNUMBER($L1153),$L1153&lt;significance_bar)),$K1153=0),"in line",IF($K1153&lt;0,"worse","better")),IF(OR($K1153=0,IF(profit_kind="points",ABS($K1153),ABS($K1153*$H1153))&lt;profit_line*(1-1E-9)),"in line",IF(AND(ISNUMBER($L1153),$L1153&lt;significance_bar),IF($K1153&lt;0,"worse","better"),IF($K1153&lt;0,"worse, not significant","better, not significant")))))</f>
        <v/>
      </c>
      <c r="X1153">
        <f>IF($M1153="","",IF(profit_kind="test",IF(OR(NOT(AND(ISNUMBER($N1153),$N1153&lt;significance_bar)),$M1153=0),"in line",IF($M1153&lt;0,"worse","better")),IF(OR($M1153=0,IF(profit_kind="points",ABS($M1153),ABS($M1153*$H1153))&lt;profit_line*(1-1E-9)),"in line",IF(AND(ISNUMBER($N1153),$N1153&lt;significance_bar),IF($M1153&lt;0,"worse","better"),IF($M1153&lt;0,"worse, not significant","better, not significant")))))</f>
        <v/>
      </c>
      <c r="Y1153">
        <f>IF($V1153,$X1153,$W1153)</f>
        <v/>
      </c>
      <c r="Z1153">
        <f>IF($V1153,IF($P1153="","",$P1153),IF($O1153="","",$O1153))</f>
        <v/>
      </c>
      <c r="AA1153">
        <f>IF(OR($Q1153="",$Z1153=""),"",IF(AND($Z1153&gt;0,$Z1153&gt;=$Q1153),"yes","below the line"))</f>
        <v/>
      </c>
      <c r="AB1153">
        <f>IF($V1153,IF($M1153="","",$M1153),IF($K1153="","",$K1153))</f>
        <v/>
      </c>
      <c r="AC1153">
        <f>IF($V1153,IF($N1153="","",$N1153),IF($L1153="","",$L1153))</f>
        <v/>
      </c>
      <c r="AD1153">
        <f>IF($Y1153="","",IF($Y1153="in line",IF(profit_kind="test",IF(ROUND($AB1153*100,2)=0,"0.00",TEXT($AB1153*100,"+0.00;-0.00"))&amp;" points against "&amp;IF($V1153,"its band","the book")&amp;", "&amp;IF($AC1153="","not tested","not significant"),IF(profit_kind="points","within "&amp;TEXT(profit_line*100,"0.00")&amp;" points of "&amp;IF($V1153,"its band","the book")&amp;" ("&amp;IF(ROUND($AB1153*100,2)=0,"0.00",TEXT($AB1153*100,"+0.00;-0.00"))&amp;")","within $"&amp;TEXT(profit_line,"#,##0")&amp;" of "&amp;IF($V1153,"its band","the book")&amp;" ("&amp;IF(ROUND($AB1153*100,2)=0,"0.00",TEXT($AB1153*100,"+0.00;-0.00"))&amp;" points)")),IF(LEFT($Y1153,5)="worse","short of ","ahead of ")&amp;IF($V1153,"its band","the book")&amp;" by "&amp;TEXT(ABS($AB1153)*100,"0.00")&amp;" points"&amp;IF($Z1153="",""," ($"&amp;TEXT(ABS($Z1153),"#,##0")&amp;")")&amp;IF(RIGHT($Y1153,15)="not significant"," (not significant)","")))</f>
        <v/>
      </c>
      <c r="AE1153">
        <f>IF($V1153,IF($S1153="","",$S1153),IF($R1153="","",$R1153))</f>
        <v/>
      </c>
      <c r="AF1153">
        <f>IF($V1153,IF($U1153="","",$U1153),IF($T1153="","",$T1153))</f>
        <v/>
      </c>
      <c r="AG1153">
        <f>IF($V1153,IF($O1153="","",$O1153),IF($P1153="","",$P1153))</f>
        <v/>
      </c>
      <c r="AH1153" t="n">
        <v>0.1662296443178715</v>
      </c>
      <c r="AI1153">
        <f>IF($Y1153="worse","Yes",IF($Y1153="worse, not significant","Not sure",IF(OR($Y1153="too few losses to test",$Y1153="too few loans to test"),"Too few losses",IF($Y1153="","","No"))))</f>
        <v/>
      </c>
      <c r="AJ1153">
        <f>IF($AA1153="yes","Yes",IF($AA1153="","","No"))</f>
        <v/>
      </c>
    </row>
    <row r="1154">
      <c r="A1154" t="inlineStr">
        <is>
          <t>three-way</t>
        </is>
      </c>
      <c r="B1154" t="inlineStr">
        <is>
          <t>ORIG_BAL x ASSET_CLASS / SYS_FLAG</t>
        </is>
      </c>
      <c r="C1154" t="inlineStr">
        <is>
          <t>49,152 - 59,984</t>
        </is>
      </c>
      <c r="D1154" t="inlineStr">
        <is>
          <t>4 / SYS_FLAG Y</t>
        </is>
      </c>
      <c r="E1154" t="inlineStr">
        <is>
          <t>outcome_loans</t>
        </is>
      </c>
      <c r="F1154" t="inlineStr">
        <is>
          <t>Outcome, share of loans</t>
        </is>
      </c>
      <c r="G1154" t="n">
        <v>171</v>
      </c>
      <c r="H1154" t="n">
        <v>171</v>
      </c>
      <c r="I1154" t="b">
        <v>0</v>
      </c>
      <c r="J1154" t="b">
        <v>0</v>
      </c>
      <c r="K1154" t="n">
        <v>1.607580824972129</v>
      </c>
      <c r="L1154" t="n">
        <v>0.1636195378737033</v>
      </c>
      <c r="M1154" t="n">
        <v>2.140136927685066</v>
      </c>
      <c r="N1154" t="n">
        <v>0.01363633880561689</v>
      </c>
      <c r="O1154" t="n">
        <v>7.936893203883495</v>
      </c>
      <c r="P1154" t="n">
        <v>11.18754373687894</v>
      </c>
      <c r="Q1154">
        <f>'_live'!$C$20</f>
        <v/>
      </c>
      <c r="R1154" t="inlineStr">
        <is>
          <t>z test</t>
        </is>
      </c>
      <c r="S1154" t="inlineStr">
        <is>
          <t>z test</t>
        </is>
      </c>
      <c r="T1154" t="n">
        <v>0.07639243740419009</v>
      </c>
      <c r="U1154" t="n">
        <v>0.05738278516445067</v>
      </c>
      <c r="V1154">
        <f>AND(judged_band,NOT($J1154))</f>
        <v/>
      </c>
      <c r="W1154">
        <f>IF($K1154="","",IF($I1154,"too few losses to test",IF(AND($K1154&gt;better_at,$K1154&lt;worse_at),"in line",IF($K1154&gt;=worse_at,IF(AND(ISNUMBER($L1154),$L1154&lt;significance_bar),"worse","worse, not significant"),IF(AND(ISNUMBER($L1154),$L1154&lt;significance_bar),"better","better, not significant")))))</f>
        <v/>
      </c>
      <c r="X1154">
        <f>IF($M1154="","",IF($I1154,"too few losses to test",IF(AND($M1154&gt;better_at,$M1154&lt;worse_at),"in line",IF($M1154&gt;=worse_at,IF(AND(ISNUMBER($N1154),$N1154&lt;significance_bar),"worse","worse, not significant"),IF(AND(ISNUMBER($N1154),$N1154&lt;significance_bar),"better","better, not significant")))))</f>
        <v/>
      </c>
      <c r="Y1154">
        <f>IF($V1154,$X1154,$W1154)</f>
        <v/>
      </c>
      <c r="Z1154">
        <f>IF($V1154,IF($P1154="","",$P1154),IF($O1154="","",$O1154))</f>
        <v/>
      </c>
      <c r="AA1154">
        <f>IF(OR($Q1154="",$Z1154=""),"",IF(AND($Z1154&gt;0,$Z1154&gt;=$Q1154),"yes","below the line"))</f>
        <v/>
      </c>
      <c r="AB1154">
        <f>IF($V1154,IF($M1154="","",$M1154),IF($K1154="","",$K1154))</f>
        <v/>
      </c>
      <c r="AC1154">
        <f>IF($V1154,IF($N1154="","",$N1154),IF($L1154="","",$L1154))</f>
        <v/>
      </c>
      <c r="AD1154">
        <f>$Y1154</f>
        <v/>
      </c>
      <c r="AE1154">
        <f>IF($V1154,IF($S1154="","",$S1154),IF($R1154="","",$R1154))</f>
        <v/>
      </c>
      <c r="AF1154">
        <f>IF($V1154,IF($U1154="","",$U1154),IF($T1154="","",$T1154))</f>
        <v/>
      </c>
      <c r="AG1154">
        <f>IF($V1154,IF($O1154="","",$O1154),IF($P1154="","",$P1154))</f>
        <v/>
      </c>
      <c r="AH1154" t="n">
        <v>0.1228070175438596</v>
      </c>
      <c r="AI1154">
        <f>IF($Y1154="worse","Yes",IF($Y1154="worse, not significant","Not sure",IF(OR($Y1154="too few losses to test",$Y1154="too few loans to test"),"Too few losses",IF($Y1154="","","No"))))</f>
        <v/>
      </c>
      <c r="AJ1154">
        <f>IF($AA1154="yes","Yes",IF($AA1154="","","No"))</f>
        <v/>
      </c>
    </row>
    <row r="1155">
      <c r="A1155" t="inlineStr">
        <is>
          <t>three-way</t>
        </is>
      </c>
      <c r="B1155" t="inlineStr">
        <is>
          <t>ORIG_BAL x ASSET_CLASS / SYS_FLAG</t>
        </is>
      </c>
      <c r="C1155" t="inlineStr">
        <is>
          <t>49,152 - 59,984</t>
        </is>
      </c>
      <c r="D1155" t="inlineStr">
        <is>
          <t>4 / SYS_FLAG Y</t>
        </is>
      </c>
      <c r="E1155" t="inlineStr">
        <is>
          <t>outcome_booked</t>
        </is>
      </c>
      <c r="F1155" t="inlineStr">
        <is>
          <t>Outcome, share of booked dollars</t>
        </is>
      </c>
      <c r="G1155" t="n">
        <v>171</v>
      </c>
      <c r="H1155" t="n">
        <v>9348926.53999999</v>
      </c>
      <c r="I1155" t="b">
        <v>0</v>
      </c>
      <c r="J1155" t="b">
        <v>0</v>
      </c>
      <c r="K1155" t="n">
        <v>1.693414488021375</v>
      </c>
      <c r="L1155" t="n">
        <v>0.2349479337780508</v>
      </c>
      <c r="M1155" t="n">
        <v>2.143010554692026</v>
      </c>
      <c r="N1155" t="n">
        <v>0.0330633603306336</v>
      </c>
      <c r="O1155" t="n">
        <v>473203.1232033658</v>
      </c>
      <c r="P1155" t="n">
        <v>616373.4063992162</v>
      </c>
      <c r="Q1155">
        <f>'_live'!$C$21</f>
        <v/>
      </c>
      <c r="R1155" t="inlineStr">
        <is>
          <t>shuffled: 248 of 10,000</t>
        </is>
      </c>
      <c r="S1155" t="inlineStr">
        <is>
          <t>shuffled: 20 of 10,000</t>
        </is>
      </c>
      <c r="T1155" t="n">
        <v>0.07299497154853406</v>
      </c>
      <c r="U1155" t="n">
        <v>0.0576808836066418</v>
      </c>
      <c r="V1155">
        <f>AND(judged_band,NOT($J1155))</f>
        <v/>
      </c>
      <c r="W1155">
        <f>IF($K1155="","",IF($I1155,"too few losses to test",IF(AND($K1155&gt;better_at,$K1155&lt;worse_at),"in line",IF($K1155&gt;=worse_at,IF(AND(ISNUMBER($L1155),$L1155&lt;significance_bar),"worse","worse, not significant"),IF(AND(ISNUMBER($L1155),$L1155&lt;significance_bar),"better","better, not significant")))))</f>
        <v/>
      </c>
      <c r="X1155">
        <f>IF($M1155="","",IF($I1155,"too few losses to test",IF(AND($M1155&gt;better_at,$M1155&lt;worse_at),"in line",IF($M1155&gt;=worse_at,IF(AND(ISNUMBER($N1155),$N1155&lt;significance_bar),"worse","worse, not significant"),IF(AND(ISNUMBER($N1155),$N1155&lt;significance_bar),"better","better, not significant")))))</f>
        <v/>
      </c>
      <c r="Y1155">
        <f>IF($V1155,$X1155,$W1155)</f>
        <v/>
      </c>
      <c r="Z1155">
        <f>IF($V1155,IF($P1155="","",$P1155),IF($O1155="","",$O1155))</f>
        <v/>
      </c>
      <c r="AA1155">
        <f>IF(OR($Q1155="",$Z1155=""),"",IF(AND($Z1155&gt;0,$Z1155&gt;=$Q1155),"yes","below the line"))</f>
        <v/>
      </c>
      <c r="AB1155">
        <f>IF($V1155,IF($M1155="","",$M1155),IF($K1155="","",$K1155))</f>
        <v/>
      </c>
      <c r="AC1155">
        <f>IF($V1155,IF($N1155="","",$N1155),IF($L1155="","",$L1155))</f>
        <v/>
      </c>
      <c r="AD1155">
        <f>$Y1155</f>
        <v/>
      </c>
      <c r="AE1155">
        <f>IF($V1155,IF($S1155="","",$S1155),IF($R1155="","",$R1155))</f>
        <v/>
      </c>
      <c r="AF1155">
        <f>IF($V1155,IF($U1155="","",$U1155),IF($T1155="","",$T1155))</f>
        <v/>
      </c>
      <c r="AG1155">
        <f>IF($V1155,IF($O1155="","",$O1155),IF($P1155="","",$P1155))</f>
        <v/>
      </c>
      <c r="AH1155" t="n">
        <v>0.1236107423729956</v>
      </c>
      <c r="AI1155">
        <f>IF($Y1155="worse","Yes",IF($Y1155="worse, not significant","Not sure",IF(OR($Y1155="too few losses to test",$Y1155="too few loans to test"),"Too few losses",IF($Y1155="","","No"))))</f>
        <v/>
      </c>
      <c r="AJ1155">
        <f>IF($AA1155="yes","Yes",IF($AA1155="","","No"))</f>
        <v/>
      </c>
    </row>
    <row r="1156">
      <c r="A1156" t="inlineStr">
        <is>
          <t>three-way</t>
        </is>
      </c>
      <c r="B1156" t="inlineStr">
        <is>
          <t>ORIG_BAL x ASSET_CLASS / SYS_FLAG</t>
        </is>
      </c>
      <c r="C1156" t="inlineStr">
        <is>
          <t>49,152 - 59,984</t>
        </is>
      </c>
      <c r="D1156" t="inlineStr">
        <is>
          <t>4 / SYS_FLAG Y</t>
        </is>
      </c>
      <c r="E1156" t="inlineStr">
        <is>
          <t>gco_rate</t>
        </is>
      </c>
      <c r="F1156" t="inlineStr">
        <is>
          <t>GCO per booked dollar</t>
        </is>
      </c>
      <c r="G1156" t="n">
        <v>171</v>
      </c>
      <c r="H1156" t="n">
        <v>9348926.53999999</v>
      </c>
      <c r="I1156" t="b">
        <v>0</v>
      </c>
      <c r="J1156" t="b">
        <v>0</v>
      </c>
      <c r="K1156" t="n">
        <v>1.629682136019076</v>
      </c>
      <c r="L1156" t="n">
        <v>0.193980601939806</v>
      </c>
      <c r="M1156" t="n">
        <v>2.080077010763459</v>
      </c>
      <c r="N1156" t="n">
        <v>0.0437289604372896</v>
      </c>
      <c r="O1156" t="n">
        <v>239460.8112366074</v>
      </c>
      <c r="P1156" t="n">
        <v>321803.8902867982</v>
      </c>
      <c r="Q1156">
        <f>'_live'!$C$22</f>
        <v/>
      </c>
      <c r="R1156" t="inlineStr">
        <is>
          <t>shuffled: 443 of 10,000</t>
        </is>
      </c>
      <c r="S1156" t="inlineStr">
        <is>
          <t>shuffled: 28 of 10,000</t>
        </is>
      </c>
      <c r="T1156" t="n">
        <v>0.04067722611107319</v>
      </c>
      <c r="U1156" t="n">
        <v>0.03186946848265664</v>
      </c>
      <c r="V1156">
        <f>AND(judged_band,NOT($J1156))</f>
        <v/>
      </c>
      <c r="W1156">
        <f>IF($K1156="","",IF($I1156,"too few losses to test",IF(AND($K1156&gt;better_at,$K1156&lt;worse_at),"in line",IF($K1156&gt;=worse_at,IF(AND(ISNUMBER($L1156),$L1156&lt;significance_bar),"worse","worse, not significant"),IF(AND(ISNUMBER($L1156),$L1156&lt;significance_bar),"better","better, not significant")))))</f>
        <v/>
      </c>
      <c r="X1156">
        <f>IF($M1156="","",IF($I1156,"too few losses to test",IF(AND($M1156&gt;better_at,$M1156&lt;worse_at),"in line",IF($M1156&gt;=worse_at,IF(AND(ISNUMBER($N1156),$N1156&lt;significance_bar),"worse","worse, not significant"),IF(AND(ISNUMBER($N1156),$N1156&lt;significance_bar),"better","better, not significant")))))</f>
        <v/>
      </c>
      <c r="Y1156">
        <f>IF($V1156,$X1156,$W1156)</f>
        <v/>
      </c>
      <c r="Z1156">
        <f>IF($V1156,IF($P1156="","",$P1156),IF($O1156="","",$O1156))</f>
        <v/>
      </c>
      <c r="AA1156">
        <f>IF(OR($Q1156="",$Z1156=""),"",IF(AND($Z1156&gt;0,$Z1156&gt;=$Q1156),"yes","below the line"))</f>
        <v/>
      </c>
      <c r="AB1156">
        <f>IF($V1156,IF($M1156="","",$M1156),IF($K1156="","",$K1156))</f>
        <v/>
      </c>
      <c r="AC1156">
        <f>IF($V1156,IF($N1156="","",$N1156),IF($L1156="","",$L1156))</f>
        <v/>
      </c>
      <c r="AD1156">
        <f>$Y1156</f>
        <v/>
      </c>
      <c r="AE1156">
        <f>IF($V1156,IF($S1156="","",$S1156),IF($R1156="","",$R1156))</f>
        <v/>
      </c>
      <c r="AF1156">
        <f>IF($V1156,IF($U1156="","",$U1156),IF($T1156="","",$T1156))</f>
        <v/>
      </c>
      <c r="AG1156">
        <f>IF($V1156,IF($O1156="","",$O1156),IF($P1156="","",$P1156))</f>
        <v/>
      </c>
      <c r="AH1156" t="n">
        <v>0.0662909487360247</v>
      </c>
      <c r="AI1156">
        <f>IF($Y1156="worse","Yes",IF($Y1156="worse, not significant","Not sure",IF(OR($Y1156="too few losses to test",$Y1156="too few loans to test"),"Too few losses",IF($Y1156="","","No"))))</f>
        <v/>
      </c>
      <c r="AJ1156">
        <f>IF($AA1156="yes","Yes",IF($AA1156="","","No"))</f>
        <v/>
      </c>
    </row>
    <row r="1157">
      <c r="A1157" t="inlineStr">
        <is>
          <t>three-way</t>
        </is>
      </c>
      <c r="B1157" t="inlineStr">
        <is>
          <t>ORIG_BAL x ASSET_CLASS / SYS_FLAG</t>
        </is>
      </c>
      <c r="C1157" t="inlineStr">
        <is>
          <t>49,152 - 59,984</t>
        </is>
      </c>
      <c r="D1157" t="inlineStr">
        <is>
          <t>4 / SYS_FLAG Y</t>
        </is>
      </c>
      <c r="E1157" t="inlineStr">
        <is>
          <t>ranr_rate</t>
        </is>
      </c>
      <c r="F1157" t="inlineStr">
        <is>
          <t>Profit after losses: RANR per booked dollar</t>
        </is>
      </c>
      <c r="G1157" t="n">
        <v>171</v>
      </c>
      <c r="H1157" t="n">
        <v>9348926.53999999</v>
      </c>
      <c r="I1157" t="b">
        <v>0</v>
      </c>
      <c r="J1157" t="b">
        <v>0</v>
      </c>
      <c r="K1157" t="n">
        <v>-0.02552135968976729</v>
      </c>
      <c r="L1157" t="n">
        <v>0.4431556844315568</v>
      </c>
      <c r="M1157" t="n">
        <v>-0.03026962453343229</v>
      </c>
      <c r="N1157" t="n">
        <v>0.19553600195536</v>
      </c>
      <c r="O1157" t="n">
        <v>238597.3169405515</v>
      </c>
      <c r="P1157" t="n">
        <v>282988.49615644</v>
      </c>
      <c r="Q1157">
        <f>'_live'!$C$23</f>
        <v/>
      </c>
      <c r="R1157" t="inlineStr">
        <is>
          <t>shuffled: 1,022 of 10,000</t>
        </is>
      </c>
      <c r="S1157" t="inlineStr">
        <is>
          <t>shuffled: 323 of 10,000</t>
        </is>
      </c>
      <c r="T1157" t="n">
        <v>0.1289146001718987</v>
      </c>
      <c r="U1157" t="n">
        <v>0.1336628650155637</v>
      </c>
      <c r="V1157">
        <f>AND(judged_band,NOT($J1157))</f>
        <v/>
      </c>
      <c r="W1157">
        <f>IF($K1157="","",IF(profit_kind="test",IF(OR(NOT(AND(ISNUMBER($L1157),$L1157&lt;significance_bar)),$K1157=0),"in line",IF($K1157&lt;0,"worse","better")),IF(OR($K1157=0,IF(profit_kind="points",ABS($K1157),ABS($K1157*$H1157))&lt;profit_line*(1-1E-9)),"in line",IF(AND(ISNUMBER($L1157),$L1157&lt;significance_bar),IF($K1157&lt;0,"worse","better"),IF($K1157&lt;0,"worse, not significant","better, not significant")))))</f>
        <v/>
      </c>
      <c r="X1157">
        <f>IF($M1157="","",IF(profit_kind="test",IF(OR(NOT(AND(ISNUMBER($N1157),$N1157&lt;significance_bar)),$M1157=0),"in line",IF($M1157&lt;0,"worse","better")),IF(OR($M1157=0,IF(profit_kind="points",ABS($M1157),ABS($M1157*$H1157))&lt;profit_line*(1-1E-9)),"in line",IF(AND(ISNUMBER($N1157),$N1157&lt;significance_bar),IF($M1157&lt;0,"worse","better"),IF($M1157&lt;0,"worse, not significant","better, not significant")))))</f>
        <v/>
      </c>
      <c r="Y1157">
        <f>IF($V1157,$X1157,$W1157)</f>
        <v/>
      </c>
      <c r="Z1157">
        <f>IF($V1157,IF($P1157="","",$P1157),IF($O1157="","",$O1157))</f>
        <v/>
      </c>
      <c r="AA1157">
        <f>IF(OR($Q1157="",$Z1157=""),"",IF(AND($Z1157&gt;0,$Z1157&gt;=$Q1157),"yes","below the line"))</f>
        <v/>
      </c>
      <c r="AB1157">
        <f>IF($V1157,IF($M1157="","",$M1157),IF($K1157="","",$K1157))</f>
        <v/>
      </c>
      <c r="AC1157">
        <f>IF($V1157,IF($N1157="","",$N1157),IF($L1157="","",$L1157))</f>
        <v/>
      </c>
      <c r="AD1157">
        <f>IF($Y1157="","",IF($Y1157="in line",IF(profit_kind="test",IF(ROUND($AB1157*100,2)=0,"0.00",TEXT($AB1157*100,"+0.00;-0.00"))&amp;" points against "&amp;IF($V1157,"its band","the book")&amp;", "&amp;IF($AC1157="","not tested","not significant"),IF(profit_kind="points","within "&amp;TEXT(profit_line*100,"0.00")&amp;" points of "&amp;IF($V1157,"its band","the book")&amp;" ("&amp;IF(ROUND($AB1157*100,2)=0,"0.00",TEXT($AB1157*100,"+0.00;-0.00"))&amp;")","within $"&amp;TEXT(profit_line,"#,##0")&amp;" of "&amp;IF($V1157,"its band","the book")&amp;" ("&amp;IF(ROUND($AB1157*100,2)=0,"0.00",TEXT($AB1157*100,"+0.00;-0.00"))&amp;" points)")),IF(LEFT($Y1157,5)="worse","short of ","ahead of ")&amp;IF($V1157,"its band","the book")&amp;" by "&amp;TEXT(ABS($AB1157)*100,"0.00")&amp;" points"&amp;IF($Z1157="",""," ($"&amp;TEXT(ABS($Z1157),"#,##0")&amp;")")&amp;IF(RIGHT($Y1157,15)="not significant"," (not significant)","")))</f>
        <v/>
      </c>
      <c r="AE1157">
        <f>IF($V1157,IF($S1157="","",$S1157),IF($R1157="","",$R1157))</f>
        <v/>
      </c>
      <c r="AF1157">
        <f>IF($V1157,IF($U1157="","",$U1157),IF($T1157="","",$T1157))</f>
        <v/>
      </c>
      <c r="AG1157">
        <f>IF($V1157,IF($O1157="","",$O1157),IF($P1157="","",$P1157))</f>
        <v/>
      </c>
      <c r="AH1157" t="n">
        <v>0.1033932404821314</v>
      </c>
      <c r="AI1157">
        <f>IF($Y1157="worse","Yes",IF($Y1157="worse, not significant","Not sure",IF(OR($Y1157="too few losses to test",$Y1157="too few loans to test"),"Too few losses",IF($Y1157="","","No"))))</f>
        <v/>
      </c>
      <c r="AJ1157">
        <f>IF($AA1157="yes","Yes",IF($AA1157="","","No"))</f>
        <v/>
      </c>
    </row>
    <row r="1158">
      <c r="A1158" t="inlineStr">
        <is>
          <t>three-way</t>
        </is>
      </c>
      <c r="B1158" t="inlineStr">
        <is>
          <t>ORIG_BAL x ASSET_CLASS / SYS_FLAG</t>
        </is>
      </c>
      <c r="C1158" t="inlineStr">
        <is>
          <t>49,152 - 59,984</t>
        </is>
      </c>
      <c r="D1158" t="inlineStr">
        <is>
          <t>4 / SYS_FLAG Y</t>
        </is>
      </c>
      <c r="E1158" t="inlineStr">
        <is>
          <t>contribution_rate</t>
        </is>
      </c>
      <c r="F1158" t="inlineStr">
        <is>
          <t>Contribution before losses per booked dollar</t>
        </is>
      </c>
      <c r="G1158" t="n">
        <v>171</v>
      </c>
      <c r="H1158" t="n">
        <v>9348926.53999999</v>
      </c>
      <c r="I1158" t="b">
        <v>0</v>
      </c>
      <c r="J1158" t="b">
        <v>0</v>
      </c>
      <c r="K1158" t="n">
        <v>9.518213270115483e-05</v>
      </c>
      <c r="L1158" t="n">
        <v>0.9955004499550044</v>
      </c>
      <c r="M1158" t="n">
        <v>0.004151855719935676</v>
      </c>
      <c r="N1158" t="n">
        <v>0.892759208927592</v>
      </c>
      <c r="O1158" t="n">
        <v>-889.8507665435318</v>
      </c>
      <c r="P1158" t="n">
        <v>-38815.39413035731</v>
      </c>
      <c r="Q1158">
        <f>'_live'!$C$24</f>
        <v/>
      </c>
      <c r="R1158" t="inlineStr">
        <is>
          <t>shuffled: 9,915 of 10,000</t>
        </is>
      </c>
      <c r="S1158" t="inlineStr">
        <is>
          <t>shuffled: 6,665 of 10,000</t>
        </is>
      </c>
      <c r="T1158" t="n">
        <v>0.1695890070854549</v>
      </c>
      <c r="U1158" t="n">
        <v>0.1655323334982204</v>
      </c>
      <c r="V1158">
        <f>AND(judged_band,NOT($J1158))</f>
        <v/>
      </c>
      <c r="W1158">
        <f>IF($K1158="","",IF(profit_kind="test",IF(OR(NOT(AND(ISNUMBER($L1158),$L1158&lt;significance_bar)),$K1158=0),"in line",IF($K1158&lt;0,"worse","better")),IF(OR($K1158=0,IF(profit_kind="points",ABS($K1158),ABS($K1158*$H1158))&lt;profit_line*(1-1E-9)),"in line",IF(AND(ISNUMBER($L1158),$L1158&lt;significance_bar),IF($K1158&lt;0,"worse","better"),IF($K1158&lt;0,"worse, not significant","better, not significant")))))</f>
        <v/>
      </c>
      <c r="X1158">
        <f>IF($M1158="","",IF(profit_kind="test",IF(OR(NOT(AND(ISNUMBER($N1158),$N1158&lt;significance_bar)),$M1158=0),"in line",IF($M1158&lt;0,"worse","better")),IF(OR($M1158=0,IF(profit_kind="points",ABS($M1158),ABS($M1158*$H1158))&lt;profit_line*(1-1E-9)),"in line",IF(AND(ISNUMBER($N1158),$N1158&lt;significance_bar),IF($M1158&lt;0,"worse","better"),IF($M1158&lt;0,"worse, not significant","better, not significant")))))</f>
        <v/>
      </c>
      <c r="Y1158">
        <f>IF($V1158,$X1158,$W1158)</f>
        <v/>
      </c>
      <c r="Z1158">
        <f>IF($V1158,IF($P1158="","",$P1158),IF($O1158="","",$O1158))</f>
        <v/>
      </c>
      <c r="AA1158">
        <f>IF(OR($Q1158="",$Z1158=""),"",IF(AND($Z1158&gt;0,$Z1158&gt;=$Q1158),"yes","below the line"))</f>
        <v/>
      </c>
      <c r="AB1158">
        <f>IF($V1158,IF($M1158="","",$M1158),IF($K1158="","",$K1158))</f>
        <v/>
      </c>
      <c r="AC1158">
        <f>IF($V1158,IF($N1158="","",$N1158),IF($L1158="","",$L1158))</f>
        <v/>
      </c>
      <c r="AD1158">
        <f>IF($Y1158="","",IF($Y1158="in line",IF(profit_kind="test",IF(ROUND($AB1158*100,2)=0,"0.00",TEXT($AB1158*100,"+0.00;-0.00"))&amp;" points against "&amp;IF($V1158,"its band","the book")&amp;", "&amp;IF($AC1158="","not tested","not significant"),IF(profit_kind="points","within "&amp;TEXT(profit_line*100,"0.00")&amp;" points of "&amp;IF($V1158,"its band","the book")&amp;" ("&amp;IF(ROUND($AB1158*100,2)=0,"0.00",TEXT($AB1158*100,"+0.00;-0.00"))&amp;")","within $"&amp;TEXT(profit_line,"#,##0")&amp;" of "&amp;IF($V1158,"its band","the book")&amp;" ("&amp;IF(ROUND($AB1158*100,2)=0,"0.00",TEXT($AB1158*100,"+0.00;-0.00"))&amp;" points)")),IF(LEFT($Y1158,5)="worse","short of ","ahead of ")&amp;IF($V1158,"its band","the book")&amp;" by "&amp;TEXT(ABS($AB1158)*100,"0.00")&amp;" points"&amp;IF($Z1158="",""," ($"&amp;TEXT(ABS($Z1158),"#,##0")&amp;")")&amp;IF(RIGHT($Y1158,15)="not significant"," (not significant)","")))</f>
        <v/>
      </c>
      <c r="AE1158">
        <f>IF($V1158,IF($S1158="","",$S1158),IF($R1158="","",$R1158))</f>
        <v/>
      </c>
      <c r="AF1158">
        <f>IF($V1158,IF($U1158="","",$U1158),IF($T1158="","",$T1158))</f>
        <v/>
      </c>
      <c r="AG1158">
        <f>IF($V1158,IF($O1158="","",$O1158),IF($P1158="","",$P1158))</f>
        <v/>
      </c>
      <c r="AH1158" t="n">
        <v>0.1696841892181561</v>
      </c>
      <c r="AI1158">
        <f>IF($Y1158="worse","Yes",IF($Y1158="worse, not significant","Not sure",IF(OR($Y1158="too few losses to test",$Y1158="too few loans to test"),"Too few losses",IF($Y1158="","","No"))))</f>
        <v/>
      </c>
      <c r="AJ1158">
        <f>IF($AA1158="yes","Yes",IF($AA1158="","","No"))</f>
        <v/>
      </c>
    </row>
    <row r="1159">
      <c r="A1159" t="inlineStr">
        <is>
          <t>three-way</t>
        </is>
      </c>
      <c r="B1159" t="inlineStr">
        <is>
          <t>ORIG_BAL x ASSET_CLASS / SYS_FLAG</t>
        </is>
      </c>
      <c r="C1159" t="inlineStr">
        <is>
          <t>37,951 - 49,151</t>
        </is>
      </c>
      <c r="D1159" t="inlineStr">
        <is>
          <t>1 / SYS_FLAG Y</t>
        </is>
      </c>
      <c r="E1159" t="inlineStr">
        <is>
          <t>outcome_loans</t>
        </is>
      </c>
      <c r="F1159" t="inlineStr">
        <is>
          <t>Outcome, share of loans</t>
        </is>
      </c>
      <c r="G1159" t="n">
        <v>177</v>
      </c>
      <c r="H1159" t="n">
        <v>177</v>
      </c>
      <c r="I1159" t="b">
        <v>0</v>
      </c>
      <c r="J1159" t="b">
        <v>0</v>
      </c>
      <c r="K1159" t="n">
        <v>1.022626885184666</v>
      </c>
      <c r="L1159" t="n">
        <v>0.9613748538474377</v>
      </c>
      <c r="M1159" t="n">
        <v>0.9379472693032015</v>
      </c>
      <c r="N1159" t="n">
        <v>0.8946811478392365</v>
      </c>
      <c r="O1159" t="n">
        <v>0.3097673229353113</v>
      </c>
      <c r="P1159" t="n">
        <v>-0.9262122276879836</v>
      </c>
      <c r="Q1159">
        <f>'_live'!$C$20</f>
        <v/>
      </c>
      <c r="R1159" t="inlineStr">
        <is>
          <t>z test</t>
        </is>
      </c>
      <c r="S1159" t="inlineStr">
        <is>
          <t>z test</t>
        </is>
      </c>
      <c r="T1159" t="n">
        <v>0.07734594732804909</v>
      </c>
      <c r="U1159" t="n">
        <v>0.08432888264230499</v>
      </c>
      <c r="V1159">
        <f>AND(judged_band,NOT($J1159))</f>
        <v/>
      </c>
      <c r="W1159">
        <f>IF($K1159="","",IF($I1159,"too few losses to test",IF(AND($K1159&gt;better_at,$K1159&lt;worse_at),"in line",IF($K1159&gt;=worse_at,IF(AND(ISNUMBER($L1159),$L1159&lt;significance_bar),"worse","worse, not significant"),IF(AND(ISNUMBER($L1159),$L1159&lt;significance_bar),"better","better, not significant")))))</f>
        <v/>
      </c>
      <c r="X1159">
        <f>IF($M1159="","",IF($I1159,"too few losses to test",IF(AND($M1159&gt;better_at,$M1159&lt;worse_at),"in line",IF($M1159&gt;=worse_at,IF(AND(ISNUMBER($N1159),$N1159&lt;significance_bar),"worse","worse, not significant"),IF(AND(ISNUMBER($N1159),$N1159&lt;significance_bar),"better","better, not significant")))))</f>
        <v/>
      </c>
      <c r="Y1159">
        <f>IF($V1159,$X1159,$W1159)</f>
        <v/>
      </c>
      <c r="Z1159">
        <f>IF($V1159,IF($P1159="","",$P1159),IF($O1159="","",$O1159))</f>
        <v/>
      </c>
      <c r="AA1159">
        <f>IF(OR($Q1159="",$Z1159=""),"",IF(AND($Z1159&gt;0,$Z1159&gt;=$Q1159),"yes","below the line"))</f>
        <v/>
      </c>
      <c r="AB1159">
        <f>IF($V1159,IF($M1159="","",$M1159),IF($K1159="","",$K1159))</f>
        <v/>
      </c>
      <c r="AC1159">
        <f>IF($V1159,IF($N1159="","",$N1159),IF($L1159="","",$L1159))</f>
        <v/>
      </c>
      <c r="AD1159">
        <f>$Y1159</f>
        <v/>
      </c>
      <c r="AE1159">
        <f>IF($V1159,IF($S1159="","",$S1159),IF($R1159="","",$R1159))</f>
        <v/>
      </c>
      <c r="AF1159">
        <f>IF($V1159,IF($U1159="","",$U1159),IF($T1159="","",$T1159))</f>
        <v/>
      </c>
      <c r="AG1159">
        <f>IF($V1159,IF($O1159="","",$O1159),IF($P1159="","",$P1159))</f>
        <v/>
      </c>
      <c r="AH1159" t="n">
        <v>0.07909604519774012</v>
      </c>
      <c r="AI1159">
        <f>IF($Y1159="worse","Yes",IF($Y1159="worse, not significant","Not sure",IF(OR($Y1159="too few losses to test",$Y1159="too few loans to test"),"Too few losses",IF($Y1159="","","No"))))</f>
        <v/>
      </c>
      <c r="AJ1159">
        <f>IF($AA1159="yes","Yes",IF($AA1159="","","No"))</f>
        <v/>
      </c>
    </row>
    <row r="1160">
      <c r="A1160" t="inlineStr">
        <is>
          <t>three-way</t>
        </is>
      </c>
      <c r="B1160" t="inlineStr">
        <is>
          <t>ORIG_BAL x ASSET_CLASS / SYS_FLAG</t>
        </is>
      </c>
      <c r="C1160" t="inlineStr">
        <is>
          <t>37,951 - 49,151</t>
        </is>
      </c>
      <c r="D1160" t="inlineStr">
        <is>
          <t>1 / SYS_FLAG Y</t>
        </is>
      </c>
      <c r="E1160" t="inlineStr">
        <is>
          <t>outcome_booked</t>
        </is>
      </c>
      <c r="F1160" t="inlineStr">
        <is>
          <t>Outcome, share of booked dollars</t>
        </is>
      </c>
      <c r="G1160" t="n">
        <v>177</v>
      </c>
      <c r="H1160" t="n">
        <v>7733303.75</v>
      </c>
      <c r="I1160" t="b">
        <v>0</v>
      </c>
      <c r="J1160" t="b">
        <v>0</v>
      </c>
      <c r="K1160" t="n">
        <v>1.025038974685561</v>
      </c>
      <c r="L1160" t="n">
        <v>0.9398060193980602</v>
      </c>
      <c r="M1160" t="n">
        <v>0.9135981541329554</v>
      </c>
      <c r="N1160" t="n">
        <v>0.8502006942162926</v>
      </c>
      <c r="O1160" t="n">
        <v>14478.54779455008</v>
      </c>
      <c r="P1160" t="n">
        <v>-56055.29584837309</v>
      </c>
      <c r="Q1160">
        <f>'_live'!$C$21</f>
        <v/>
      </c>
      <c r="R1160" t="inlineStr">
        <is>
          <t>shuffled: 9,398 of 10,000</t>
        </is>
      </c>
      <c r="S1160" t="inlineStr">
        <is>
          <t>shuffled: 7,439 of 10,000</t>
        </is>
      </c>
      <c r="T1160" t="n">
        <v>0.07477275701286787</v>
      </c>
      <c r="U1160" t="n">
        <v>0.08389354754730448</v>
      </c>
      <c r="V1160">
        <f>AND(judged_band,NOT($J1160))</f>
        <v/>
      </c>
      <c r="W1160">
        <f>IF($K1160="","",IF($I1160,"too few losses to test",IF(AND($K1160&gt;better_at,$K1160&lt;worse_at),"in line",IF($K1160&gt;=worse_at,IF(AND(ISNUMBER($L1160),$L1160&lt;significance_bar),"worse","worse, not significant"),IF(AND(ISNUMBER($L1160),$L1160&lt;significance_bar),"better","better, not significant")))))</f>
        <v/>
      </c>
      <c r="X1160">
        <f>IF($M1160="","",IF($I1160,"too few losses to test",IF(AND($M1160&gt;better_at,$M1160&lt;worse_at),"in line",IF($M1160&gt;=worse_at,IF(AND(ISNUMBER($N1160),$N1160&lt;significance_bar),"worse","worse, not significant"),IF(AND(ISNUMBER($N1160),$N1160&lt;significance_bar),"better","better, not significant")))))</f>
        <v/>
      </c>
      <c r="Y1160">
        <f>IF($V1160,$X1160,$W1160)</f>
        <v/>
      </c>
      <c r="Z1160">
        <f>IF($V1160,IF($P1160="","",$P1160),IF($O1160="","",$O1160))</f>
        <v/>
      </c>
      <c r="AA1160">
        <f>IF(OR($Q1160="",$Z1160=""),"",IF(AND($Z1160&gt;0,$Z1160&gt;=$Q1160),"yes","below the line"))</f>
        <v/>
      </c>
      <c r="AB1160">
        <f>IF($V1160,IF($M1160="","",$M1160),IF($K1160="","",$K1160))</f>
        <v/>
      </c>
      <c r="AC1160">
        <f>IF($V1160,IF($N1160="","",$N1160),IF($L1160="","",$L1160))</f>
        <v/>
      </c>
      <c r="AD1160">
        <f>$Y1160</f>
        <v/>
      </c>
      <c r="AE1160">
        <f>IF($V1160,IF($S1160="","",$S1160),IF($R1160="","",$R1160))</f>
        <v/>
      </c>
      <c r="AF1160">
        <f>IF($V1160,IF($U1160="","",$U1160),IF($T1160="","",$T1160))</f>
        <v/>
      </c>
      <c r="AG1160">
        <f>IF($V1160,IF($O1160="","",$O1160),IF($P1160="","",$P1160))</f>
        <v/>
      </c>
      <c r="AH1160" t="n">
        <v>0.07664499018288271</v>
      </c>
      <c r="AI1160">
        <f>IF($Y1160="worse","Yes",IF($Y1160="worse, not significant","Not sure",IF(OR($Y1160="too few losses to test",$Y1160="too few loans to test"),"Too few losses",IF($Y1160="","","No"))))</f>
        <v/>
      </c>
      <c r="AJ1160">
        <f>IF($AA1160="yes","Yes",IF($AA1160="","","No"))</f>
        <v/>
      </c>
    </row>
    <row r="1161">
      <c r="A1161" t="inlineStr">
        <is>
          <t>three-way</t>
        </is>
      </c>
      <c r="B1161" t="inlineStr">
        <is>
          <t>ORIG_BAL x ASSET_CLASS / SYS_FLAG</t>
        </is>
      </c>
      <c r="C1161" t="inlineStr">
        <is>
          <t>37,951 - 49,151</t>
        </is>
      </c>
      <c r="D1161" t="inlineStr">
        <is>
          <t>1 / SYS_FLAG Y</t>
        </is>
      </c>
      <c r="E1161" t="inlineStr">
        <is>
          <t>gco_rate</t>
        </is>
      </c>
      <c r="F1161" t="inlineStr">
        <is>
          <t>GCO per booked dollar</t>
        </is>
      </c>
      <c r="G1161" t="n">
        <v>177</v>
      </c>
      <c r="H1161" t="n">
        <v>7733303.75</v>
      </c>
      <c r="I1161" t="b">
        <v>0</v>
      </c>
      <c r="J1161" t="b">
        <v>0</v>
      </c>
      <c r="K1161" t="n">
        <v>0.9981696339847889</v>
      </c>
      <c r="L1161" t="n">
        <v>0.9969003099690031</v>
      </c>
      <c r="M1161" t="n">
        <v>0.8758279359104355</v>
      </c>
      <c r="N1161" t="n">
        <v>0.8108727588779583</v>
      </c>
      <c r="O1161" t="n">
        <v>-588.9455345754977</v>
      </c>
      <c r="P1161" t="n">
        <v>-45535.13728517928</v>
      </c>
      <c r="Q1161">
        <f>'_live'!$C$22</f>
        <v/>
      </c>
      <c r="R1161" t="inlineStr">
        <is>
          <t>shuffled: 9,969 of 10,000</t>
        </is>
      </c>
      <c r="S1161" t="inlineStr">
        <is>
          <t>shuffled: 6,570 of 10,000</t>
        </is>
      </c>
      <c r="T1161" t="n">
        <v>0.04160754781351702</v>
      </c>
      <c r="U1161" t="n">
        <v>0.04741957760099353</v>
      </c>
      <c r="V1161">
        <f>AND(judged_band,NOT($J1161))</f>
        <v/>
      </c>
      <c r="W1161">
        <f>IF($K1161="","",IF($I1161,"too few losses to test",IF(AND($K1161&gt;better_at,$K1161&lt;worse_at),"in line",IF($K1161&gt;=worse_at,IF(AND(ISNUMBER($L1161),$L1161&lt;significance_bar),"worse","worse, not significant"),IF(AND(ISNUMBER($L1161),$L1161&lt;significance_bar),"better","better, not significant")))))</f>
        <v/>
      </c>
      <c r="X1161">
        <f>IF($M1161="","",IF($I1161,"too few losses to test",IF(AND($M1161&gt;better_at,$M1161&lt;worse_at),"in line",IF($M1161&gt;=worse_at,IF(AND(ISNUMBER($N1161),$N1161&lt;significance_bar),"worse","worse, not significant"),IF(AND(ISNUMBER($N1161),$N1161&lt;significance_bar),"better","better, not significant")))))</f>
        <v/>
      </c>
      <c r="Y1161">
        <f>IF($V1161,$X1161,$W1161)</f>
        <v/>
      </c>
      <c r="Z1161">
        <f>IF($V1161,IF($P1161="","",$P1161),IF($O1161="","",$O1161))</f>
        <v/>
      </c>
      <c r="AA1161">
        <f>IF(OR($Q1161="",$Z1161=""),"",IF(AND($Z1161&gt;0,$Z1161&gt;=$Q1161),"yes","below the line"))</f>
        <v/>
      </c>
      <c r="AB1161">
        <f>IF($V1161,IF($M1161="","",$M1161),IF($K1161="","",$K1161))</f>
        <v/>
      </c>
      <c r="AC1161">
        <f>IF($V1161,IF($N1161="","",$N1161),IF($L1161="","",$L1161))</f>
        <v/>
      </c>
      <c r="AD1161">
        <f>$Y1161</f>
        <v/>
      </c>
      <c r="AE1161">
        <f>IF($V1161,IF($S1161="","",$S1161),IF($R1161="","",$R1161))</f>
        <v/>
      </c>
      <c r="AF1161">
        <f>IF($V1161,IF($U1161="","",$U1161),IF($T1161="","",$T1161))</f>
        <v/>
      </c>
      <c r="AG1161">
        <f>IF($V1161,IF($O1161="","",$O1161),IF($P1161="","",$P1161))</f>
        <v/>
      </c>
      <c r="AH1161" t="n">
        <v>0.04153139077202288</v>
      </c>
      <c r="AI1161">
        <f>IF($Y1161="worse","Yes",IF($Y1161="worse, not significant","Not sure",IF(OR($Y1161="too few losses to test",$Y1161="too few loans to test"),"Too few losses",IF($Y1161="","","No"))))</f>
        <v/>
      </c>
      <c r="AJ1161">
        <f>IF($AA1161="yes","Yes",IF($AA1161="","","No"))</f>
        <v/>
      </c>
    </row>
    <row r="1162">
      <c r="A1162" t="inlineStr">
        <is>
          <t>three-way</t>
        </is>
      </c>
      <c r="B1162" t="inlineStr">
        <is>
          <t>ORIG_BAL x ASSET_CLASS / SYS_FLAG</t>
        </is>
      </c>
      <c r="C1162" t="inlineStr">
        <is>
          <t>37,951 - 49,151</t>
        </is>
      </c>
      <c r="D1162" t="inlineStr">
        <is>
          <t>1 / SYS_FLAG Y</t>
        </is>
      </c>
      <c r="E1162" t="inlineStr">
        <is>
          <t>ranr_rate</t>
        </is>
      </c>
      <c r="F1162" t="inlineStr">
        <is>
          <t>Profit after losses: RANR per booked dollar</t>
        </is>
      </c>
      <c r="G1162" t="n">
        <v>177</v>
      </c>
      <c r="H1162" t="n">
        <v>7733303.75</v>
      </c>
      <c r="I1162" t="b">
        <v>0</v>
      </c>
      <c r="J1162" t="b">
        <v>0</v>
      </c>
      <c r="K1162" t="n">
        <v>0.0010068388730885</v>
      </c>
      <c r="L1162" t="n">
        <v>0.9508049195080492</v>
      </c>
      <c r="M1162" t="n">
        <v>0.007354229905622178</v>
      </c>
      <c r="N1162" t="n">
        <v>0.8101689831016898</v>
      </c>
      <c r="O1162" t="n">
        <v>-7786.190832900931</v>
      </c>
      <c r="P1162" t="n">
        <v>-56872.49370751006</v>
      </c>
      <c r="Q1162">
        <f>'_live'!$C$23</f>
        <v/>
      </c>
      <c r="R1162" t="inlineStr">
        <is>
          <t>shuffled: 9,508 of 10,000</t>
        </is>
      </c>
      <c r="S1162" t="inlineStr">
        <is>
          <t>shuffled: 6,388 of 10,000</t>
        </is>
      </c>
      <c r="T1162" t="n">
        <v>0.1279598786181261</v>
      </c>
      <c r="U1162" t="n">
        <v>0.1216124875855924</v>
      </c>
      <c r="V1162">
        <f>AND(judged_band,NOT($J1162))</f>
        <v/>
      </c>
      <c r="W1162">
        <f>IF($K1162="","",IF(profit_kind="test",IF(OR(NOT(AND(ISNUMBER($L1162),$L1162&lt;significance_bar)),$K1162=0),"in line",IF($K1162&lt;0,"worse","better")),IF(OR($K1162=0,IF(profit_kind="points",ABS($K1162),ABS($K1162*$H1162))&lt;profit_line*(1-1E-9)),"in line",IF(AND(ISNUMBER($L1162),$L1162&lt;significance_bar),IF($K1162&lt;0,"worse","better"),IF($K1162&lt;0,"worse, not significant","better, not significant")))))</f>
        <v/>
      </c>
      <c r="X1162">
        <f>IF($M1162="","",IF(profit_kind="test",IF(OR(NOT(AND(ISNUMBER($N1162),$N1162&lt;significance_bar)),$M1162=0),"in line",IF($M1162&lt;0,"worse","better")),IF(OR($M1162=0,IF(profit_kind="points",ABS($M1162),ABS($M1162*$H1162))&lt;profit_line*(1-1E-9)),"in line",IF(AND(ISNUMBER($N1162),$N1162&lt;significance_bar),IF($M1162&lt;0,"worse","better"),IF($M1162&lt;0,"worse, not significant","better, not significant")))))</f>
        <v/>
      </c>
      <c r="Y1162">
        <f>IF($V1162,$X1162,$W1162)</f>
        <v/>
      </c>
      <c r="Z1162">
        <f>IF($V1162,IF($P1162="","",$P1162),IF($O1162="","",$O1162))</f>
        <v/>
      </c>
      <c r="AA1162">
        <f>IF(OR($Q1162="",$Z1162=""),"",IF(AND($Z1162&gt;0,$Z1162&gt;=$Q1162),"yes","below the line"))</f>
        <v/>
      </c>
      <c r="AB1162">
        <f>IF($V1162,IF($M1162="","",$M1162),IF($K1162="","",$K1162))</f>
        <v/>
      </c>
      <c r="AC1162">
        <f>IF($V1162,IF($N1162="","",$N1162),IF($L1162="","",$L1162))</f>
        <v/>
      </c>
      <c r="AD1162">
        <f>IF($Y1162="","",IF($Y1162="in line",IF(profit_kind="test",IF(ROUND($AB1162*100,2)=0,"0.00",TEXT($AB1162*100,"+0.00;-0.00"))&amp;" points against "&amp;IF($V1162,"its band","the book")&amp;", "&amp;IF($AC1162="","not tested","not significant"),IF(profit_kind="points","within "&amp;TEXT(profit_line*100,"0.00")&amp;" points of "&amp;IF($V1162,"its band","the book")&amp;" ("&amp;IF(ROUND($AB1162*100,2)=0,"0.00",TEXT($AB1162*100,"+0.00;-0.00"))&amp;")","within $"&amp;TEXT(profit_line,"#,##0")&amp;" of "&amp;IF($V1162,"its band","the book")&amp;" ("&amp;IF(ROUND($AB1162*100,2)=0,"0.00",TEXT($AB1162*100,"+0.00;-0.00"))&amp;" points)")),IF(LEFT($Y1162,5)="worse","short of ","ahead of ")&amp;IF($V1162,"its band","the book")&amp;" by "&amp;TEXT(ABS($AB1162)*100,"0.00")&amp;" points"&amp;IF($Z1162="",""," ($"&amp;TEXT(ABS($Z1162),"#,##0")&amp;")")&amp;IF(RIGHT($Y1162,15)="not significant"," (not significant)","")))</f>
        <v/>
      </c>
      <c r="AE1162">
        <f>IF($V1162,IF($S1162="","",$S1162),IF($R1162="","",$R1162))</f>
        <v/>
      </c>
      <c r="AF1162">
        <f>IF($V1162,IF($U1162="","",$U1162),IF($T1162="","",$T1162))</f>
        <v/>
      </c>
      <c r="AG1162">
        <f>IF($V1162,IF($O1162="","",$O1162),IF($P1162="","",$P1162))</f>
        <v/>
      </c>
      <c r="AH1162" t="n">
        <v>0.1289667174912146</v>
      </c>
      <c r="AI1162">
        <f>IF($Y1162="worse","Yes",IF($Y1162="worse, not significant","Not sure",IF(OR($Y1162="too few losses to test",$Y1162="too few loans to test"),"Too few losses",IF($Y1162="","","No"))))</f>
        <v/>
      </c>
      <c r="AJ1162">
        <f>IF($AA1162="yes","Yes",IF($AA1162="","","No"))</f>
        <v/>
      </c>
    </row>
    <row r="1163">
      <c r="A1163" t="inlineStr">
        <is>
          <t>three-way</t>
        </is>
      </c>
      <c r="B1163" t="inlineStr">
        <is>
          <t>ORIG_BAL x ASSET_CLASS / SYS_FLAG</t>
        </is>
      </c>
      <c r="C1163" t="inlineStr">
        <is>
          <t>37,951 - 49,151</t>
        </is>
      </c>
      <c r="D1163" t="inlineStr">
        <is>
          <t>1 / SYS_FLAG Y</t>
        </is>
      </c>
      <c r="E1163" t="inlineStr">
        <is>
          <t>contribution_rate</t>
        </is>
      </c>
      <c r="F1163" t="inlineStr">
        <is>
          <t>Contribution before losses per booked dollar</t>
        </is>
      </c>
      <c r="G1163" t="n">
        <v>177</v>
      </c>
      <c r="H1163" t="n">
        <v>7733303.75</v>
      </c>
      <c r="I1163" t="b">
        <v>0</v>
      </c>
      <c r="J1163" t="b">
        <v>0</v>
      </c>
      <c r="K1163" t="n">
        <v>0.0009336342030059619</v>
      </c>
      <c r="L1163" t="n">
        <v>0.9955004499550044</v>
      </c>
      <c r="M1163" t="n">
        <v>0.001482044042420527</v>
      </c>
      <c r="N1163" t="n">
        <v>0.9516886149222916</v>
      </c>
      <c r="O1163" t="n">
        <v>-7220.076883234316</v>
      </c>
      <c r="P1163" t="n">
        <v>-11461.09675091598</v>
      </c>
      <c r="Q1163">
        <f>'_live'!$C$24</f>
        <v/>
      </c>
      <c r="R1163" t="inlineStr">
        <is>
          <t>shuffled: 9,310 of 10,000</t>
        </is>
      </c>
      <c r="S1163" t="inlineStr">
        <is>
          <t>shuffled: 8,803 of 10,000</t>
        </is>
      </c>
      <c r="T1163" t="n">
        <v>0.1695644740602315</v>
      </c>
      <c r="U1163" t="n">
        <v>0.1690160642208169</v>
      </c>
      <c r="V1163">
        <f>AND(judged_band,NOT($J1163))</f>
        <v/>
      </c>
      <c r="W1163">
        <f>IF($K1163="","",IF(profit_kind="test",IF(OR(NOT(AND(ISNUMBER($L1163),$L1163&lt;significance_bar)),$K1163=0),"in line",IF($K1163&lt;0,"worse","better")),IF(OR($K1163=0,IF(profit_kind="points",ABS($K1163),ABS($K1163*$H1163))&lt;profit_line*(1-1E-9)),"in line",IF(AND(ISNUMBER($L1163),$L1163&lt;significance_bar),IF($K1163&lt;0,"worse","better"),IF($K1163&lt;0,"worse, not significant","better, not significant")))))</f>
        <v/>
      </c>
      <c r="X1163">
        <f>IF($M1163="","",IF(profit_kind="test",IF(OR(NOT(AND(ISNUMBER($N1163),$N1163&lt;significance_bar)),$M1163=0),"in line",IF($M1163&lt;0,"worse","better")),IF(OR($M1163=0,IF(profit_kind="points",ABS($M1163),ABS($M1163*$H1163))&lt;profit_line*(1-1E-9)),"in line",IF(AND(ISNUMBER($N1163),$N1163&lt;significance_bar),IF($M1163&lt;0,"worse","better"),IF($M1163&lt;0,"worse, not significant","better, not significant")))))</f>
        <v/>
      </c>
      <c r="Y1163">
        <f>IF($V1163,$X1163,$W1163)</f>
        <v/>
      </c>
      <c r="Z1163">
        <f>IF($V1163,IF($P1163="","",$P1163),IF($O1163="","",$O1163))</f>
        <v/>
      </c>
      <c r="AA1163">
        <f>IF(OR($Q1163="",$Z1163=""),"",IF(AND($Z1163&gt;0,$Z1163&gt;=$Q1163),"yes","below the line"))</f>
        <v/>
      </c>
      <c r="AB1163">
        <f>IF($V1163,IF($M1163="","",$M1163),IF($K1163="","",$K1163))</f>
        <v/>
      </c>
      <c r="AC1163">
        <f>IF($V1163,IF($N1163="","",$N1163),IF($L1163="","",$L1163))</f>
        <v/>
      </c>
      <c r="AD1163">
        <f>IF($Y1163="","",IF($Y1163="in line",IF(profit_kind="test",IF(ROUND($AB1163*100,2)=0,"0.00",TEXT($AB1163*100,"+0.00;-0.00"))&amp;" points against "&amp;IF($V1163,"its band","the book")&amp;", "&amp;IF($AC1163="","not tested","not significant"),IF(profit_kind="points","within "&amp;TEXT(profit_line*100,"0.00")&amp;" points of "&amp;IF($V1163,"its band","the book")&amp;" ("&amp;IF(ROUND($AB1163*100,2)=0,"0.00",TEXT($AB1163*100,"+0.00;-0.00"))&amp;")","within $"&amp;TEXT(profit_line,"#,##0")&amp;" of "&amp;IF($V1163,"its band","the book")&amp;" ("&amp;IF(ROUND($AB1163*100,2)=0,"0.00",TEXT($AB1163*100,"+0.00;-0.00"))&amp;" points)")),IF(LEFT($Y1163,5)="worse","short of ","ahead of ")&amp;IF($V1163,"its band","the book")&amp;" by "&amp;TEXT(ABS($AB1163)*100,"0.00")&amp;" points"&amp;IF($Z1163="",""," ($"&amp;TEXT(ABS($Z1163),"#,##0")&amp;")")&amp;IF(RIGHT($Y1163,15)="not significant"," (not significant)","")))</f>
        <v/>
      </c>
      <c r="AE1163">
        <f>IF($V1163,IF($S1163="","",$S1163),IF($R1163="","",$R1163))</f>
        <v/>
      </c>
      <c r="AF1163">
        <f>IF($V1163,IF($U1163="","",$U1163),IF($T1163="","",$T1163))</f>
        <v/>
      </c>
      <c r="AG1163">
        <f>IF($V1163,IF($O1163="","",$O1163),IF($P1163="","",$P1163))</f>
        <v/>
      </c>
      <c r="AH1163" t="n">
        <v>0.1704981082632374</v>
      </c>
      <c r="AI1163">
        <f>IF($Y1163="worse","Yes",IF($Y1163="worse, not significant","Not sure",IF(OR($Y1163="too few losses to test",$Y1163="too few loans to test"),"Too few losses",IF($Y1163="","","No"))))</f>
        <v/>
      </c>
      <c r="AJ1163">
        <f>IF($AA1163="yes","Yes",IF($AA1163="","","No"))</f>
        <v/>
      </c>
    </row>
    <row r="1164">
      <c r="A1164" t="inlineStr">
        <is>
          <t>three-way</t>
        </is>
      </c>
      <c r="B1164" t="inlineStr">
        <is>
          <t>ORIG_BAL x ASSET_CLASS / SYS_FLAG</t>
        </is>
      </c>
      <c r="C1164" t="inlineStr">
        <is>
          <t>15,449 - 26,323</t>
        </is>
      </c>
      <c r="D1164" t="inlineStr">
        <is>
          <t>2 / SYS_FLAG Y</t>
        </is>
      </c>
      <c r="E1164" t="inlineStr">
        <is>
          <t>outcome_loans</t>
        </is>
      </c>
      <c r="F1164" t="inlineStr">
        <is>
          <t>Outcome, share of loans</t>
        </is>
      </c>
      <c r="G1164" t="n">
        <v>170</v>
      </c>
      <c r="H1164" t="n">
        <v>170</v>
      </c>
      <c r="I1164" t="b">
        <v>0</v>
      </c>
      <c r="J1164" t="b">
        <v>0</v>
      </c>
      <c r="K1164" t="n">
        <v>0.7562059306481212</v>
      </c>
      <c r="L1164" t="n">
        <v>0.6398785865358724</v>
      </c>
      <c r="M1164" t="n">
        <v>0.6051629284807448</v>
      </c>
      <c r="N1164" t="n">
        <v>0.4733732133855006</v>
      </c>
      <c r="O1164" t="n">
        <v>-3.223911099757313</v>
      </c>
      <c r="P1164" t="n">
        <v>-6.524475524475523</v>
      </c>
      <c r="Q1164">
        <f>'_live'!$C$20</f>
        <v/>
      </c>
      <c r="R1164" t="inlineStr">
        <is>
          <t>z test</t>
        </is>
      </c>
      <c r="S1164" t="inlineStr">
        <is>
          <t>z test</t>
        </is>
      </c>
      <c r="T1164" t="n">
        <v>0.0777877123515136</v>
      </c>
      <c r="U1164" t="n">
        <v>0.0972027972027972</v>
      </c>
      <c r="V1164">
        <f>AND(judged_band,NOT($J1164))</f>
        <v/>
      </c>
      <c r="W1164">
        <f>IF($K1164="","",IF($I1164,"too few losses to test",IF(AND($K1164&gt;better_at,$K1164&lt;worse_at),"in line",IF($K1164&gt;=worse_at,IF(AND(ISNUMBER($L1164),$L1164&lt;significance_bar),"worse","worse, not significant"),IF(AND(ISNUMBER($L1164),$L1164&lt;significance_bar),"better","better, not significant")))))</f>
        <v/>
      </c>
      <c r="X1164">
        <f>IF($M1164="","",IF($I1164,"too few losses to test",IF(AND($M1164&gt;better_at,$M1164&lt;worse_at),"in line",IF($M1164&gt;=worse_at,IF(AND(ISNUMBER($N1164),$N1164&lt;significance_bar),"worse","worse, not significant"),IF(AND(ISNUMBER($N1164),$N1164&lt;significance_bar),"better","better, not significant")))))</f>
        <v/>
      </c>
      <c r="Y1164">
        <f>IF($V1164,$X1164,$W1164)</f>
        <v/>
      </c>
      <c r="Z1164">
        <f>IF($V1164,IF($P1164="","",$P1164),IF($O1164="","",$O1164))</f>
        <v/>
      </c>
      <c r="AA1164">
        <f>IF(OR($Q1164="",$Z1164=""),"",IF(AND($Z1164&gt;0,$Z1164&gt;=$Q1164),"yes","below the line"))</f>
        <v/>
      </c>
      <c r="AB1164">
        <f>IF($V1164,IF($M1164="","",$M1164),IF($K1164="","",$K1164))</f>
        <v/>
      </c>
      <c r="AC1164">
        <f>IF($V1164,IF($N1164="","",$N1164),IF($L1164="","",$L1164))</f>
        <v/>
      </c>
      <c r="AD1164">
        <f>$Y1164</f>
        <v/>
      </c>
      <c r="AE1164">
        <f>IF($V1164,IF($S1164="","",$S1164),IF($R1164="","",$R1164))</f>
        <v/>
      </c>
      <c r="AF1164">
        <f>IF($V1164,IF($U1164="","",$U1164),IF($T1164="","",$T1164))</f>
        <v/>
      </c>
      <c r="AG1164">
        <f>IF($V1164,IF($O1164="","",$O1164),IF($P1164="","",$P1164))</f>
        <v/>
      </c>
      <c r="AH1164" t="n">
        <v>0.05882352941176471</v>
      </c>
      <c r="AI1164">
        <f>IF($Y1164="worse","Yes",IF($Y1164="worse, not significant","Not sure",IF(OR($Y1164="too few losses to test",$Y1164="too few loans to test"),"Too few losses",IF($Y1164="","","No"))))</f>
        <v/>
      </c>
      <c r="AJ1164">
        <f>IF($AA1164="yes","Yes",IF($AA1164="","","No"))</f>
        <v/>
      </c>
    </row>
    <row r="1165">
      <c r="A1165" t="inlineStr">
        <is>
          <t>three-way</t>
        </is>
      </c>
      <c r="B1165" t="inlineStr">
        <is>
          <t>ORIG_BAL x ASSET_CLASS / SYS_FLAG</t>
        </is>
      </c>
      <c r="C1165" t="inlineStr">
        <is>
          <t>15,449 - 26,323</t>
        </is>
      </c>
      <c r="D1165" t="inlineStr">
        <is>
          <t>2 / SYS_FLAG Y</t>
        </is>
      </c>
      <c r="E1165" t="inlineStr">
        <is>
          <t>outcome_booked</t>
        </is>
      </c>
      <c r="F1165" t="inlineStr">
        <is>
          <t>Outcome, share of booked dollars</t>
        </is>
      </c>
      <c r="G1165" t="n">
        <v>170</v>
      </c>
      <c r="H1165" t="n">
        <v>3611030.139999999</v>
      </c>
      <c r="I1165" t="b">
        <v>0</v>
      </c>
      <c r="J1165" t="b">
        <v>0</v>
      </c>
      <c r="K1165" t="n">
        <v>0.819089031706473</v>
      </c>
      <c r="L1165" t="n">
        <v>0.8613995743282814</v>
      </c>
      <c r="M1165" t="n">
        <v>0.6289565998508736</v>
      </c>
      <c r="N1165" t="n">
        <v>0.515948405159484</v>
      </c>
      <c r="O1165" t="n">
        <v>-49007.90254357032</v>
      </c>
      <c r="P1165" t="n">
        <v>-130899.0095641348</v>
      </c>
      <c r="Q1165">
        <f>'_live'!$C$21</f>
        <v/>
      </c>
      <c r="R1165" t="inlineStr">
        <is>
          <t>shuffled: 5,527 of 10,000</t>
        </is>
      </c>
      <c r="S1165" t="inlineStr">
        <is>
          <t>shuffled: 1,289 of 10,000</t>
        </is>
      </c>
      <c r="T1165" t="n">
        <v>0.07501879852588834</v>
      </c>
      <c r="U1165" t="n">
        <v>0.09769684435924839</v>
      </c>
      <c r="V1165">
        <f>AND(judged_band,NOT($J1165))</f>
        <v/>
      </c>
      <c r="W1165">
        <f>IF($K1165="","",IF($I1165,"too few losses to test",IF(AND($K1165&gt;better_at,$K1165&lt;worse_at),"in line",IF($K1165&gt;=worse_at,IF(AND(ISNUMBER($L1165),$L1165&lt;significance_bar),"worse","worse, not significant"),IF(AND(ISNUMBER($L1165),$L1165&lt;significance_bar),"better","better, not significant")))))</f>
        <v/>
      </c>
      <c r="X1165">
        <f>IF($M1165="","",IF($I1165,"too few losses to test",IF(AND($M1165&gt;better_at,$M1165&lt;worse_at),"in line",IF($M1165&gt;=worse_at,IF(AND(ISNUMBER($N1165),$N1165&lt;significance_bar),"worse","worse, not significant"),IF(AND(ISNUMBER($N1165),$N1165&lt;significance_bar),"better","better, not significant")))))</f>
        <v/>
      </c>
      <c r="Y1165">
        <f>IF($V1165,$X1165,$W1165)</f>
        <v/>
      </c>
      <c r="Z1165">
        <f>IF($V1165,IF($P1165="","",$P1165),IF($O1165="","",$O1165))</f>
        <v/>
      </c>
      <c r="AA1165">
        <f>IF(OR($Q1165="",$Z1165=""),"",IF(AND($Z1165&gt;0,$Z1165&gt;=$Q1165),"yes","below the line"))</f>
        <v/>
      </c>
      <c r="AB1165">
        <f>IF($V1165,IF($M1165="","",$M1165),IF($K1165="","",$K1165))</f>
        <v/>
      </c>
      <c r="AC1165">
        <f>IF($V1165,IF($N1165="","",$N1165),IF($L1165="","",$L1165))</f>
        <v/>
      </c>
      <c r="AD1165">
        <f>$Y1165</f>
        <v/>
      </c>
      <c r="AE1165">
        <f>IF($V1165,IF($S1165="","",$S1165),IF($R1165="","",$R1165))</f>
        <v/>
      </c>
      <c r="AF1165">
        <f>IF($V1165,IF($U1165="","",$U1165),IF($T1165="","",$T1165))</f>
        <v/>
      </c>
      <c r="AG1165">
        <f>IF($V1165,IF($O1165="","",$O1165),IF($P1165="","",$P1165))</f>
        <v/>
      </c>
      <c r="AH1165" t="n">
        <v>0.06144707504435287</v>
      </c>
      <c r="AI1165">
        <f>IF($Y1165="worse","Yes",IF($Y1165="worse, not significant","Not sure",IF(OR($Y1165="too few losses to test",$Y1165="too few loans to test"),"Too few losses",IF($Y1165="","","No"))))</f>
        <v/>
      </c>
      <c r="AJ1165">
        <f>IF($AA1165="yes","Yes",IF($AA1165="","","No"))</f>
        <v/>
      </c>
    </row>
    <row r="1166">
      <c r="A1166" t="inlineStr">
        <is>
          <t>three-way</t>
        </is>
      </c>
      <c r="B1166" t="inlineStr">
        <is>
          <t>ORIG_BAL x ASSET_CLASS / SYS_FLAG</t>
        </is>
      </c>
      <c r="C1166" t="inlineStr">
        <is>
          <t>15,449 - 26,323</t>
        </is>
      </c>
      <c r="D1166" t="inlineStr">
        <is>
          <t>2 / SYS_FLAG Y</t>
        </is>
      </c>
      <c r="E1166" t="inlineStr">
        <is>
          <t>gco_rate</t>
        </is>
      </c>
      <c r="F1166" t="inlineStr">
        <is>
          <t>GCO per booked dollar</t>
        </is>
      </c>
      <c r="G1166" t="n">
        <v>170</v>
      </c>
      <c r="H1166" t="n">
        <v>3611030.139999999</v>
      </c>
      <c r="I1166" t="b">
        <v>0</v>
      </c>
      <c r="J1166" t="b">
        <v>0</v>
      </c>
      <c r="K1166" t="n">
        <v>0.7159440401470356</v>
      </c>
      <c r="L1166" t="n">
        <v>0.7890410958904109</v>
      </c>
      <c r="M1166" t="n">
        <v>0.5342429874368722</v>
      </c>
      <c r="N1166" t="n">
        <v>0.3003128258602711</v>
      </c>
      <c r="O1166" t="n">
        <v>-42846.28721174005</v>
      </c>
      <c r="P1166" t="n">
        <v>-94147.53188697789</v>
      </c>
      <c r="Q1166">
        <f>'_live'!$C$22</f>
        <v/>
      </c>
      <c r="R1166" t="inlineStr">
        <is>
          <t>shuffled: 3,585 of 10,000</t>
        </is>
      </c>
      <c r="S1166" t="inlineStr">
        <is>
          <t>shuffled: 656 of 10,000</t>
        </is>
      </c>
      <c r="T1166" t="n">
        <v>0.04177131770263764</v>
      </c>
      <c r="U1166" t="n">
        <v>0.05597813478426904</v>
      </c>
      <c r="V1166">
        <f>AND(judged_band,NOT($J1166))</f>
        <v/>
      </c>
      <c r="W1166">
        <f>IF($K1166="","",IF($I1166,"too few losses to test",IF(AND($K1166&gt;better_at,$K1166&lt;worse_at),"in line",IF($K1166&gt;=worse_at,IF(AND(ISNUMBER($L1166),$L1166&lt;significance_bar),"worse","worse, not significant"),IF(AND(ISNUMBER($L1166),$L1166&lt;significance_bar),"better","better, not significant")))))</f>
        <v/>
      </c>
      <c r="X1166">
        <f>IF($M1166="","",IF($I1166,"too few losses to test",IF(AND($M1166&gt;better_at,$M1166&lt;worse_at),"in line",IF($M1166&gt;=worse_at,IF(AND(ISNUMBER($N1166),$N1166&lt;significance_bar),"worse","worse, not significant"),IF(AND(ISNUMBER($N1166),$N1166&lt;significance_bar),"better","better, not significant")))))</f>
        <v/>
      </c>
      <c r="Y1166">
        <f>IF($V1166,$X1166,$W1166)</f>
        <v/>
      </c>
      <c r="Z1166">
        <f>IF($V1166,IF($P1166="","",$P1166),IF($O1166="","",$O1166))</f>
        <v/>
      </c>
      <c r="AA1166">
        <f>IF(OR($Q1166="",$Z1166=""),"",IF(AND($Z1166&gt;0,$Z1166&gt;=$Q1166),"yes","below the line"))</f>
        <v/>
      </c>
      <c r="AB1166">
        <f>IF($V1166,IF($M1166="","",$M1166),IF($K1166="","",$K1166))</f>
        <v/>
      </c>
      <c r="AC1166">
        <f>IF($V1166,IF($N1166="","",$N1166),IF($L1166="","",$L1166))</f>
        <v/>
      </c>
      <c r="AD1166">
        <f>$Y1166</f>
        <v/>
      </c>
      <c r="AE1166">
        <f>IF($V1166,IF($S1166="","",$S1166),IF($R1166="","",$R1166))</f>
        <v/>
      </c>
      <c r="AF1166">
        <f>IF($V1166,IF($U1166="","",$U1166),IF($T1166="","",$T1166))</f>
        <v/>
      </c>
      <c r="AG1166">
        <f>IF($V1166,IF($O1166="","",$O1166),IF($P1166="","",$P1166))</f>
        <v/>
      </c>
      <c r="AH1166" t="n">
        <v>0.02990592595829179</v>
      </c>
      <c r="AI1166">
        <f>IF($Y1166="worse","Yes",IF($Y1166="worse, not significant","Not sure",IF(OR($Y1166="too few losses to test",$Y1166="too few loans to test"),"Too few losses",IF($Y1166="","","No"))))</f>
        <v/>
      </c>
      <c r="AJ1166">
        <f>IF($AA1166="yes","Yes",IF($AA1166="","","No"))</f>
        <v/>
      </c>
    </row>
    <row r="1167">
      <c r="A1167" t="inlineStr">
        <is>
          <t>three-way</t>
        </is>
      </c>
      <c r="B1167" t="inlineStr">
        <is>
          <t>ORIG_BAL x ASSET_CLASS / SYS_FLAG</t>
        </is>
      </c>
      <c r="C1167" t="inlineStr">
        <is>
          <t>15,449 - 26,323</t>
        </is>
      </c>
      <c r="D1167" t="inlineStr">
        <is>
          <t>2 / SYS_FLAG Y</t>
        </is>
      </c>
      <c r="E1167" t="inlineStr">
        <is>
          <t>ranr_rate</t>
        </is>
      </c>
      <c r="F1167" t="inlineStr">
        <is>
          <t>Profit after losses: RANR per booked dollar</t>
        </is>
      </c>
      <c r="G1167" t="n">
        <v>170</v>
      </c>
      <c r="H1167" t="n">
        <v>3611030.139999999</v>
      </c>
      <c r="I1167" t="b">
        <v>0</v>
      </c>
      <c r="J1167" t="b">
        <v>0</v>
      </c>
      <c r="K1167" t="n">
        <v>0.002867837485074187</v>
      </c>
      <c r="L1167" t="n">
        <v>0.9053453628996073</v>
      </c>
      <c r="M1167" t="n">
        <v>0.01318287271151745</v>
      </c>
      <c r="N1167" t="n">
        <v>0.7079292070792921</v>
      </c>
      <c r="O1167" t="n">
        <v>-10355.84759522474</v>
      </c>
      <c r="P1167" t="n">
        <v>-47603.75069307309</v>
      </c>
      <c r="Q1167">
        <f>'_live'!$C$23</f>
        <v/>
      </c>
      <c r="R1167" t="inlineStr">
        <is>
          <t>shuffled: 8,592 of 10,000</t>
        </is>
      </c>
      <c r="S1167" t="inlineStr">
        <is>
          <t>shuffled: 4,247 of 10,000</t>
        </is>
      </c>
      <c r="T1167" t="n">
        <v>0.127949921349805</v>
      </c>
      <c r="U1167" t="n">
        <v>0.1176348861233617</v>
      </c>
      <c r="V1167">
        <f>AND(judged_band,NOT($J1167))</f>
        <v/>
      </c>
      <c r="W1167">
        <f>IF($K1167="","",IF(profit_kind="test",IF(OR(NOT(AND(ISNUMBER($L1167),$L1167&lt;significance_bar)),$K1167=0),"in line",IF($K1167&lt;0,"worse","better")),IF(OR($K1167=0,IF(profit_kind="points",ABS($K1167),ABS($K1167*$H1167))&lt;profit_line*(1-1E-9)),"in line",IF(AND(ISNUMBER($L1167),$L1167&lt;significance_bar),IF($K1167&lt;0,"worse","better"),IF($K1167&lt;0,"worse, not significant","better, not significant")))))</f>
        <v/>
      </c>
      <c r="X1167">
        <f>IF($M1167="","",IF(profit_kind="test",IF(OR(NOT(AND(ISNUMBER($N1167),$N1167&lt;significance_bar)),$M1167=0),"in line",IF($M1167&lt;0,"worse","better")),IF(OR($M1167=0,IF(profit_kind="points",ABS($M1167),ABS($M1167*$H1167))&lt;profit_line*(1-1E-9)),"in line",IF(AND(ISNUMBER($N1167),$N1167&lt;significance_bar),IF($M1167&lt;0,"worse","better"),IF($M1167&lt;0,"worse, not significant","better, not significant")))))</f>
        <v/>
      </c>
      <c r="Y1167">
        <f>IF($V1167,$X1167,$W1167)</f>
        <v/>
      </c>
      <c r="Z1167">
        <f>IF($V1167,IF($P1167="","",$P1167),IF($O1167="","",$O1167))</f>
        <v/>
      </c>
      <c r="AA1167">
        <f>IF(OR($Q1167="",$Z1167=""),"",IF(AND($Z1167&gt;0,$Z1167&gt;=$Q1167),"yes","below the line"))</f>
        <v/>
      </c>
      <c r="AB1167">
        <f>IF($V1167,IF($M1167="","",$M1167),IF($K1167="","",$K1167))</f>
        <v/>
      </c>
      <c r="AC1167">
        <f>IF($V1167,IF($N1167="","",$N1167),IF($L1167="","",$L1167))</f>
        <v/>
      </c>
      <c r="AD1167">
        <f>IF($Y1167="","",IF($Y1167="in line",IF(profit_kind="test",IF(ROUND($AB1167*100,2)=0,"0.00",TEXT($AB1167*100,"+0.00;-0.00"))&amp;" points against "&amp;IF($V1167,"its band","the book")&amp;", "&amp;IF($AC1167="","not tested","not significant"),IF(profit_kind="points","within "&amp;TEXT(profit_line*100,"0.00")&amp;" points of "&amp;IF($V1167,"its band","the book")&amp;" ("&amp;IF(ROUND($AB1167*100,2)=0,"0.00",TEXT($AB1167*100,"+0.00;-0.00"))&amp;")","within $"&amp;TEXT(profit_line,"#,##0")&amp;" of "&amp;IF($V1167,"its band","the book")&amp;" ("&amp;IF(ROUND($AB1167*100,2)=0,"0.00",TEXT($AB1167*100,"+0.00;-0.00"))&amp;" points)")),IF(LEFT($Y1167,5)="worse","short of ","ahead of ")&amp;IF($V1167,"its band","the book")&amp;" by "&amp;TEXT(ABS($AB1167)*100,"0.00")&amp;" points"&amp;IF($Z1167="",""," ($"&amp;TEXT(ABS($Z1167),"#,##0")&amp;")")&amp;IF(RIGHT($Y1167,15)="not significant"," (not significant)","")))</f>
        <v/>
      </c>
      <c r="AE1167">
        <f>IF($V1167,IF($S1167="","",$S1167),IF($R1167="","",$R1167))</f>
        <v/>
      </c>
      <c r="AF1167">
        <f>IF($V1167,IF($U1167="","",$U1167),IF($T1167="","",$T1167))</f>
        <v/>
      </c>
      <c r="AG1167">
        <f>IF($V1167,IF($O1167="","",$O1167),IF($P1167="","",$P1167))</f>
        <v/>
      </c>
      <c r="AH1167" t="n">
        <v>0.1308177588348792</v>
      </c>
      <c r="AI1167">
        <f>IF($Y1167="worse","Yes",IF($Y1167="worse, not significant","Not sure",IF(OR($Y1167="too few losses to test",$Y1167="too few loans to test"),"Too few losses",IF($Y1167="","","No"))))</f>
        <v/>
      </c>
      <c r="AJ1167">
        <f>IF($AA1167="yes","Yes",IF($AA1167="","","No"))</f>
        <v/>
      </c>
    </row>
    <row r="1168">
      <c r="A1168" t="inlineStr">
        <is>
          <t>three-way</t>
        </is>
      </c>
      <c r="B1168" t="inlineStr">
        <is>
          <t>ORIG_BAL x ASSET_CLASS / SYS_FLAG</t>
        </is>
      </c>
      <c r="C1168" t="inlineStr">
        <is>
          <t>15,449 - 26,323</t>
        </is>
      </c>
      <c r="D1168" t="inlineStr">
        <is>
          <t>2 / SYS_FLAG Y</t>
        </is>
      </c>
      <c r="E1168" t="inlineStr">
        <is>
          <t>contribution_rate</t>
        </is>
      </c>
      <c r="F1168" t="inlineStr">
        <is>
          <t>Contribution before losses per booked dollar</t>
        </is>
      </c>
      <c r="G1168" t="n">
        <v>170</v>
      </c>
      <c r="H1168" t="n">
        <v>3611030.139999999</v>
      </c>
      <c r="I1168" t="b">
        <v>0</v>
      </c>
      <c r="J1168" t="b">
        <v>0</v>
      </c>
      <c r="K1168" t="n">
        <v>-0.008994648171325309</v>
      </c>
      <c r="L1168" t="n">
        <v>0.774705138181834</v>
      </c>
      <c r="M1168" t="n">
        <v>-0.01288933611445978</v>
      </c>
      <c r="N1168" t="n">
        <v>0.798978925636848</v>
      </c>
      <c r="O1168" t="n">
        <v>32479.94564535154</v>
      </c>
      <c r="P1168" t="n">
        <v>46543.7811939047</v>
      </c>
      <c r="Q1168">
        <f>'_live'!$C$24</f>
        <v/>
      </c>
      <c r="R1168" t="inlineStr">
        <is>
          <t>shuffled: 3,875 of 10,000</t>
        </is>
      </c>
      <c r="S1168" t="inlineStr">
        <is>
          <t>shuffled: 2,014 of 10,000</t>
        </is>
      </c>
      <c r="T1168" t="n">
        <v>0.1697183329644963</v>
      </c>
      <c r="U1168" t="n">
        <v>0.1736130209076308</v>
      </c>
      <c r="V1168">
        <f>AND(judged_band,NOT($J1168))</f>
        <v/>
      </c>
      <c r="W1168">
        <f>IF($K1168="","",IF(profit_kind="test",IF(OR(NOT(AND(ISNUMBER($L1168),$L1168&lt;significance_bar)),$K1168=0),"in line",IF($K1168&lt;0,"worse","better")),IF(OR($K1168=0,IF(profit_kind="points",ABS($K1168),ABS($K1168*$H1168))&lt;profit_line*(1-1E-9)),"in line",IF(AND(ISNUMBER($L1168),$L1168&lt;significance_bar),IF($K1168&lt;0,"worse","better"),IF($K1168&lt;0,"worse, not significant","better, not significant")))))</f>
        <v/>
      </c>
      <c r="X1168">
        <f>IF($M1168="","",IF(profit_kind="test",IF(OR(NOT(AND(ISNUMBER($N1168),$N1168&lt;significance_bar)),$M1168=0),"in line",IF($M1168&lt;0,"worse","better")),IF(OR($M1168=0,IF(profit_kind="points",ABS($M1168),ABS($M1168*$H1168))&lt;profit_line*(1-1E-9)),"in line",IF(AND(ISNUMBER($N1168),$N1168&lt;significance_bar),IF($M1168&lt;0,"worse","better"),IF($M1168&lt;0,"worse, not significant","better, not significant")))))</f>
        <v/>
      </c>
      <c r="Y1168">
        <f>IF($V1168,$X1168,$W1168)</f>
        <v/>
      </c>
      <c r="Z1168">
        <f>IF($V1168,IF($P1168="","",$P1168),IF($O1168="","",$O1168))</f>
        <v/>
      </c>
      <c r="AA1168">
        <f>IF(OR($Q1168="",$Z1168=""),"",IF(AND($Z1168&gt;0,$Z1168&gt;=$Q1168),"yes","below the line"))</f>
        <v/>
      </c>
      <c r="AB1168">
        <f>IF($V1168,IF($M1168="","",$M1168),IF($K1168="","",$K1168))</f>
        <v/>
      </c>
      <c r="AC1168">
        <f>IF($V1168,IF($N1168="","",$N1168),IF($L1168="","",$L1168))</f>
        <v/>
      </c>
      <c r="AD1168">
        <f>IF($Y1168="","",IF($Y1168="in line",IF(profit_kind="test",IF(ROUND($AB1168*100,2)=0,"0.00",TEXT($AB1168*100,"+0.00;-0.00"))&amp;" points against "&amp;IF($V1168,"its band","the book")&amp;", "&amp;IF($AC1168="","not tested","not significant"),IF(profit_kind="points","within "&amp;TEXT(profit_line*100,"0.00")&amp;" points of "&amp;IF($V1168,"its band","the book")&amp;" ("&amp;IF(ROUND($AB1168*100,2)=0,"0.00",TEXT($AB1168*100,"+0.00;-0.00"))&amp;")","within $"&amp;TEXT(profit_line,"#,##0")&amp;" of "&amp;IF($V1168,"its band","the book")&amp;" ("&amp;IF(ROUND($AB1168*100,2)=0,"0.00",TEXT($AB1168*100,"+0.00;-0.00"))&amp;" points)")),IF(LEFT($Y1168,5)="worse","short of ","ahead of ")&amp;IF($V1168,"its band","the book")&amp;" by "&amp;TEXT(ABS($AB1168)*100,"0.00")&amp;" points"&amp;IF($Z1168="",""," ($"&amp;TEXT(ABS($Z1168),"#,##0")&amp;")")&amp;IF(RIGHT($Y1168,15)="not significant"," (not significant)","")))</f>
        <v/>
      </c>
      <c r="AE1168">
        <f>IF($V1168,IF($S1168="","",$S1168),IF($R1168="","",$R1168))</f>
        <v/>
      </c>
      <c r="AF1168">
        <f>IF($V1168,IF($U1168="","",$U1168),IF($T1168="","",$T1168))</f>
        <v/>
      </c>
      <c r="AG1168">
        <f>IF($V1168,IF($O1168="","",$O1168),IF($P1168="","",$P1168))</f>
        <v/>
      </c>
      <c r="AH1168" t="n">
        <v>0.160723684793171</v>
      </c>
      <c r="AI1168">
        <f>IF($Y1168="worse","Yes",IF($Y1168="worse, not significant","Not sure",IF(OR($Y1168="too few losses to test",$Y1168="too few loans to test"),"Too few losses",IF($Y1168="","","No"))))</f>
        <v/>
      </c>
      <c r="AJ1168">
        <f>IF($AA1168="yes","Yes",IF($AA1168="","","No"))</f>
        <v/>
      </c>
    </row>
    <row r="1169">
      <c r="A1169" t="inlineStr">
        <is>
          <t>three-way</t>
        </is>
      </c>
      <c r="B1169" t="inlineStr">
        <is>
          <t>ORIG_BAL x ASSET_CLASS / SYS_FLAG</t>
        </is>
      </c>
      <c r="C1169" t="inlineStr">
        <is>
          <t>15,449 - 26,323</t>
        </is>
      </c>
      <c r="D1169" t="inlineStr">
        <is>
          <t>4 / SYS_FLAG Y</t>
        </is>
      </c>
      <c r="E1169" t="inlineStr">
        <is>
          <t>outcome_loans</t>
        </is>
      </c>
      <c r="F1169" t="inlineStr">
        <is>
          <t>Outcome, share of loans</t>
        </is>
      </c>
      <c r="G1169" t="n">
        <v>190</v>
      </c>
      <c r="H1169" t="n">
        <v>190</v>
      </c>
      <c r="I1169" t="b">
        <v>0</v>
      </c>
      <c r="J1169" t="b">
        <v>0</v>
      </c>
      <c r="K1169" t="n">
        <v>1.443311036789298</v>
      </c>
      <c r="L1169" t="n">
        <v>0.3084304657867236</v>
      </c>
      <c r="M1169" t="n">
        <v>1.217516447368421</v>
      </c>
      <c r="N1169" t="n">
        <v>0.6362547681114774</v>
      </c>
      <c r="O1169" t="n">
        <v>6.450121654501217</v>
      </c>
      <c r="P1169" t="n">
        <v>3.75177304964539</v>
      </c>
      <c r="Q1169">
        <f>'_live'!$C$20</f>
        <v/>
      </c>
      <c r="R1169" t="inlineStr">
        <is>
          <t>z test</t>
        </is>
      </c>
      <c r="S1169" t="inlineStr">
        <is>
          <t>z test</t>
        </is>
      </c>
      <c r="T1169" t="n">
        <v>0.07657830708157254</v>
      </c>
      <c r="U1169" t="n">
        <v>0.09078014184397164</v>
      </c>
      <c r="V1169">
        <f>AND(judged_band,NOT($J1169))</f>
        <v/>
      </c>
      <c r="W1169">
        <f>IF($K1169="","",IF($I1169,"too few losses to test",IF(AND($K1169&gt;better_at,$K1169&lt;worse_at),"in line",IF($K1169&gt;=worse_at,IF(AND(ISNUMBER($L1169),$L1169&lt;significance_bar),"worse","worse, not significant"),IF(AND(ISNUMBER($L1169),$L1169&lt;significance_bar),"better","better, not significant")))))</f>
        <v/>
      </c>
      <c r="X1169">
        <f>IF($M1169="","",IF($I1169,"too few losses to test",IF(AND($M1169&gt;better_at,$M1169&lt;worse_at),"in line",IF($M1169&gt;=worse_at,IF(AND(ISNUMBER($N1169),$N1169&lt;significance_bar),"worse","worse, not significant"),IF(AND(ISNUMBER($N1169),$N1169&lt;significance_bar),"better","better, not significant")))))</f>
        <v/>
      </c>
      <c r="Y1169">
        <f>IF($V1169,$X1169,$W1169)</f>
        <v/>
      </c>
      <c r="Z1169">
        <f>IF($V1169,IF($P1169="","",$P1169),IF($O1169="","",$O1169))</f>
        <v/>
      </c>
      <c r="AA1169">
        <f>IF(OR($Q1169="",$Z1169=""),"",IF(AND($Z1169&gt;0,$Z1169&gt;=$Q1169),"yes","below the line"))</f>
        <v/>
      </c>
      <c r="AB1169">
        <f>IF($V1169,IF($M1169="","",$M1169),IF($K1169="","",$K1169))</f>
        <v/>
      </c>
      <c r="AC1169">
        <f>IF($V1169,IF($N1169="","",$N1169),IF($L1169="","",$L1169))</f>
        <v/>
      </c>
      <c r="AD1169">
        <f>$Y1169</f>
        <v/>
      </c>
      <c r="AE1169">
        <f>IF($V1169,IF($S1169="","",$S1169),IF($R1169="","",$R1169))</f>
        <v/>
      </c>
      <c r="AF1169">
        <f>IF($V1169,IF($U1169="","",$U1169),IF($T1169="","",$T1169))</f>
        <v/>
      </c>
      <c r="AG1169">
        <f>IF($V1169,IF($O1169="","",$O1169),IF($P1169="","",$P1169))</f>
        <v/>
      </c>
      <c r="AH1169" t="n">
        <v>0.1105263157894737</v>
      </c>
      <c r="AI1169">
        <f>IF($Y1169="worse","Yes",IF($Y1169="worse, not significant","Not sure",IF(OR($Y1169="too few losses to test",$Y1169="too few loans to test"),"Too few losses",IF($Y1169="","","No"))))</f>
        <v/>
      </c>
      <c r="AJ1169">
        <f>IF($AA1169="yes","Yes",IF($AA1169="","","No"))</f>
        <v/>
      </c>
    </row>
    <row r="1170">
      <c r="A1170" t="inlineStr">
        <is>
          <t>three-way</t>
        </is>
      </c>
      <c r="B1170" t="inlineStr">
        <is>
          <t>ORIG_BAL x ASSET_CLASS / SYS_FLAG</t>
        </is>
      </c>
      <c r="C1170" t="inlineStr">
        <is>
          <t>15,449 - 26,323</t>
        </is>
      </c>
      <c r="D1170" t="inlineStr">
        <is>
          <t>4 / SYS_FLAG Y</t>
        </is>
      </c>
      <c r="E1170" t="inlineStr">
        <is>
          <t>outcome_booked</t>
        </is>
      </c>
      <c r="F1170" t="inlineStr">
        <is>
          <t>Outcome, share of booked dollars</t>
        </is>
      </c>
      <c r="G1170" t="n">
        <v>190</v>
      </c>
      <c r="H1170" t="n">
        <v>3974337.759999999</v>
      </c>
      <c r="I1170" t="b">
        <v>0</v>
      </c>
      <c r="J1170" t="b">
        <v>0</v>
      </c>
      <c r="K1170" t="n">
        <v>1.477481113060288</v>
      </c>
      <c r="L1170" t="n">
        <v>0.3065293470652935</v>
      </c>
      <c r="M1170" t="n">
        <v>1.197863962453256</v>
      </c>
      <c r="N1170" t="n">
        <v>0.6326407359264073</v>
      </c>
      <c r="O1170" t="n">
        <v>140963.8827899582</v>
      </c>
      <c r="P1170" t="n">
        <v>72049.80282913661</v>
      </c>
      <c r="Q1170">
        <f>'_live'!$C$21</f>
        <v/>
      </c>
      <c r="R1170" t="inlineStr">
        <is>
          <t>shuffled: 957 of 10,000</t>
        </is>
      </c>
      <c r="S1170" t="inlineStr">
        <is>
          <t>shuffled: 4,303 of 10,000</t>
        </is>
      </c>
      <c r="T1170" t="n">
        <v>0.07428256354589298</v>
      </c>
      <c r="U1170" t="n">
        <v>0.09162232783427635</v>
      </c>
      <c r="V1170">
        <f>AND(judged_band,NOT($J1170))</f>
        <v/>
      </c>
      <c r="W1170">
        <f>IF($K1170="","",IF($I1170,"too few losses to test",IF(AND($K1170&gt;better_at,$K1170&lt;worse_at),"in line",IF($K1170&gt;=worse_at,IF(AND(ISNUMBER($L1170),$L1170&lt;significance_bar),"worse","worse, not significant"),IF(AND(ISNUMBER($L1170),$L1170&lt;significance_bar),"better","better, not significant")))))</f>
        <v/>
      </c>
      <c r="X1170">
        <f>IF($M1170="","",IF($I1170,"too few losses to test",IF(AND($M1170&gt;better_at,$M1170&lt;worse_at),"in line",IF($M1170&gt;=worse_at,IF(AND(ISNUMBER($N1170),$N1170&lt;significance_bar),"worse","worse, not significant"),IF(AND(ISNUMBER($N1170),$N1170&lt;significance_bar),"better","better, not significant")))))</f>
        <v/>
      </c>
      <c r="Y1170">
        <f>IF($V1170,$X1170,$W1170)</f>
        <v/>
      </c>
      <c r="Z1170">
        <f>IF($V1170,IF($P1170="","",$P1170),IF($O1170="","",$O1170))</f>
        <v/>
      </c>
      <c r="AA1170">
        <f>IF(OR($Q1170="",$Z1170=""),"",IF(AND($Z1170&gt;0,$Z1170&gt;=$Q1170),"yes","below the line"))</f>
        <v/>
      </c>
      <c r="AB1170">
        <f>IF($V1170,IF($M1170="","",$M1170),IF($K1170="","",$K1170))</f>
        <v/>
      </c>
      <c r="AC1170">
        <f>IF($V1170,IF($N1170="","",$N1170),IF($L1170="","",$L1170))</f>
        <v/>
      </c>
      <c r="AD1170">
        <f>$Y1170</f>
        <v/>
      </c>
      <c r="AE1170">
        <f>IF($V1170,IF($S1170="","",$S1170),IF($R1170="","",$R1170))</f>
        <v/>
      </c>
      <c r="AF1170">
        <f>IF($V1170,IF($U1170="","",$U1170),IF($T1170="","",$T1170))</f>
        <v/>
      </c>
      <c r="AG1170">
        <f>IF($V1170,IF($O1170="","",$O1170),IF($P1170="","",$P1170))</f>
        <v/>
      </c>
      <c r="AH1170" t="n">
        <v>0.1097510846687575</v>
      </c>
      <c r="AI1170">
        <f>IF($Y1170="worse","Yes",IF($Y1170="worse, not significant","Not sure",IF(OR($Y1170="too few losses to test",$Y1170="too few loans to test"),"Too few losses",IF($Y1170="","","No"))))</f>
        <v/>
      </c>
      <c r="AJ1170">
        <f>IF($AA1170="yes","Yes",IF($AA1170="","","No"))</f>
        <v/>
      </c>
    </row>
    <row r="1171">
      <c r="A1171" t="inlineStr">
        <is>
          <t>three-way</t>
        </is>
      </c>
      <c r="B1171" t="inlineStr">
        <is>
          <t>ORIG_BAL x ASSET_CLASS / SYS_FLAG</t>
        </is>
      </c>
      <c r="C1171" t="inlineStr">
        <is>
          <t>15,449 - 26,323</t>
        </is>
      </c>
      <c r="D1171" t="inlineStr">
        <is>
          <t>4 / SYS_FLAG Y</t>
        </is>
      </c>
      <c r="E1171" t="inlineStr">
        <is>
          <t>gco_rate</t>
        </is>
      </c>
      <c r="F1171" t="inlineStr">
        <is>
          <t>GCO per booked dollar</t>
        </is>
      </c>
      <c r="G1171" t="n">
        <v>190</v>
      </c>
      <c r="H1171" t="n">
        <v>3974337.759999999</v>
      </c>
      <c r="I1171" t="b">
        <v>0</v>
      </c>
      <c r="J1171" t="b">
        <v>0</v>
      </c>
      <c r="K1171" t="n">
        <v>1.468093232275557</v>
      </c>
      <c r="L1171" t="n">
        <v>0.3986801319868013</v>
      </c>
      <c r="M1171" t="n">
        <v>1.162864180887587</v>
      </c>
      <c r="N1171" t="n">
        <v>0.7733044877330449</v>
      </c>
      <c r="O1171" t="n">
        <v>76846.73969859234</v>
      </c>
      <c r="P1171" t="n">
        <v>33755.403779835</v>
      </c>
      <c r="Q1171">
        <f>'_live'!$C$22</f>
        <v/>
      </c>
      <c r="R1171" t="inlineStr">
        <is>
          <t>shuffled: 1,124 of 10,000</t>
        </is>
      </c>
      <c r="S1171" t="inlineStr">
        <is>
          <t>shuffled: 5,316 of 10,000</t>
        </is>
      </c>
      <c r="T1171" t="n">
        <v>0.04130744295407034</v>
      </c>
      <c r="U1171" t="n">
        <v>0.05214983696306804</v>
      </c>
      <c r="V1171">
        <f>AND(judged_band,NOT($J1171))</f>
        <v/>
      </c>
      <c r="W1171">
        <f>IF($K1171="","",IF($I1171,"too few losses to test",IF(AND($K1171&gt;better_at,$K1171&lt;worse_at),"in line",IF($K1171&gt;=worse_at,IF(AND(ISNUMBER($L1171),$L1171&lt;significance_bar),"worse","worse, not significant"),IF(AND(ISNUMBER($L1171),$L1171&lt;significance_bar),"better","better, not significant")))))</f>
        <v/>
      </c>
      <c r="X1171">
        <f>IF($M1171="","",IF($I1171,"too few losses to test",IF(AND($M1171&gt;better_at,$M1171&lt;worse_at),"in line",IF($M1171&gt;=worse_at,IF(AND(ISNUMBER($N1171),$N1171&lt;significance_bar),"worse","worse, not significant"),IF(AND(ISNUMBER($N1171),$N1171&lt;significance_bar),"better","better, not significant")))))</f>
        <v/>
      </c>
      <c r="Y1171">
        <f>IF($V1171,$X1171,$W1171)</f>
        <v/>
      </c>
      <c r="Z1171">
        <f>IF($V1171,IF($P1171="","",$P1171),IF($O1171="","",$O1171))</f>
        <v/>
      </c>
      <c r="AA1171">
        <f>IF(OR($Q1171="",$Z1171=""),"",IF(AND($Z1171&gt;0,$Z1171&gt;=$Q1171),"yes","below the line"))</f>
        <v/>
      </c>
      <c r="AB1171">
        <f>IF($V1171,IF($M1171="","",$M1171),IF($K1171="","",$K1171))</f>
        <v/>
      </c>
      <c r="AC1171">
        <f>IF($V1171,IF($N1171="","",$N1171),IF($L1171="","",$L1171))</f>
        <v/>
      </c>
      <c r="AD1171">
        <f>$Y1171</f>
        <v/>
      </c>
      <c r="AE1171">
        <f>IF($V1171,IF($S1171="","",$S1171),IF($R1171="","",$R1171))</f>
        <v/>
      </c>
      <c r="AF1171">
        <f>IF($V1171,IF($U1171="","",$U1171),IF($T1171="","",$T1171))</f>
        <v/>
      </c>
      <c r="AG1171">
        <f>IF($V1171,IF($O1171="","",$O1171),IF($P1171="","",$P1171))</f>
        <v/>
      </c>
      <c r="AH1171" t="n">
        <v>0.0606431774434793</v>
      </c>
      <c r="AI1171">
        <f>IF($Y1171="worse","Yes",IF($Y1171="worse, not significant","Not sure",IF(OR($Y1171="too few losses to test",$Y1171="too few loans to test"),"Too few losses",IF($Y1171="","","No"))))</f>
        <v/>
      </c>
      <c r="AJ1171">
        <f>IF($AA1171="yes","Yes",IF($AA1171="","","No"))</f>
        <v/>
      </c>
    </row>
    <row r="1172">
      <c r="A1172" t="inlineStr">
        <is>
          <t>three-way</t>
        </is>
      </c>
      <c r="B1172" t="inlineStr">
        <is>
          <t>ORIG_BAL x ASSET_CLASS / SYS_FLAG</t>
        </is>
      </c>
      <c r="C1172" t="inlineStr">
        <is>
          <t>15,449 - 26,323</t>
        </is>
      </c>
      <c r="D1172" t="inlineStr">
        <is>
          <t>4 / SYS_FLAG Y</t>
        </is>
      </c>
      <c r="E1172" t="inlineStr">
        <is>
          <t>ranr_rate</t>
        </is>
      </c>
      <c r="F1172" t="inlineStr">
        <is>
          <t>Profit after losses: RANR per booked dollar</t>
        </is>
      </c>
      <c r="G1172" t="n">
        <v>190</v>
      </c>
      <c r="H1172" t="n">
        <v>3974337.759999999</v>
      </c>
      <c r="I1172" t="b">
        <v>0</v>
      </c>
      <c r="J1172" t="b">
        <v>0</v>
      </c>
      <c r="K1172" t="n">
        <v>0.00324499246413204</v>
      </c>
      <c r="L1172" t="n">
        <v>0.9053453628996073</v>
      </c>
      <c r="M1172" t="n">
        <v>0.01376248496831625</v>
      </c>
      <c r="N1172" t="n">
        <v>0.6778452589523656</v>
      </c>
      <c r="O1172" t="n">
        <v>-12896.69608111546</v>
      </c>
      <c r="P1172" t="n">
        <v>-54696.76368101168</v>
      </c>
      <c r="Q1172">
        <f>'_live'!$C$23</f>
        <v/>
      </c>
      <c r="R1172" t="inlineStr">
        <is>
          <t>shuffled: 8,285 of 10,000</t>
        </is>
      </c>
      <c r="S1172" t="inlineStr">
        <is>
          <t>shuffled: 3,897 of 10,000</t>
        </is>
      </c>
      <c r="T1172" t="n">
        <v>0.1279400757118552</v>
      </c>
      <c r="U1172" t="n">
        <v>0.117422583207671</v>
      </c>
      <c r="V1172">
        <f>AND(judged_band,NOT($J1172))</f>
        <v/>
      </c>
      <c r="W1172">
        <f>IF($K1172="","",IF(profit_kind="test",IF(OR(NOT(AND(ISNUMBER($L1172),$L1172&lt;significance_bar)),$K1172=0),"in line",IF($K1172&lt;0,"worse","better")),IF(OR($K1172=0,IF(profit_kind="points",ABS($K1172),ABS($K1172*$H1172))&lt;profit_line*(1-1E-9)),"in line",IF(AND(ISNUMBER($L1172),$L1172&lt;significance_bar),IF($K1172&lt;0,"worse","better"),IF($K1172&lt;0,"worse, not significant","better, not significant")))))</f>
        <v/>
      </c>
      <c r="X1172">
        <f>IF($M1172="","",IF(profit_kind="test",IF(OR(NOT(AND(ISNUMBER($N1172),$N1172&lt;significance_bar)),$M1172=0),"in line",IF($M1172&lt;0,"worse","better")),IF(OR($M1172=0,IF(profit_kind="points",ABS($M1172),ABS($M1172*$H1172))&lt;profit_line*(1-1E-9)),"in line",IF(AND(ISNUMBER($N1172),$N1172&lt;significance_bar),IF($M1172&lt;0,"worse","better"),IF($M1172&lt;0,"worse, not significant","better, not significant")))))</f>
        <v/>
      </c>
      <c r="Y1172">
        <f>IF($V1172,$X1172,$W1172)</f>
        <v/>
      </c>
      <c r="Z1172">
        <f>IF($V1172,IF($P1172="","",$P1172),IF($O1172="","",$O1172))</f>
        <v/>
      </c>
      <c r="AA1172">
        <f>IF(OR($Q1172="",$Z1172=""),"",IF(AND($Z1172&gt;0,$Z1172&gt;=$Q1172),"yes","below the line"))</f>
        <v/>
      </c>
      <c r="AB1172">
        <f>IF($V1172,IF($M1172="","",$M1172),IF($K1172="","",$K1172))</f>
        <v/>
      </c>
      <c r="AC1172">
        <f>IF($V1172,IF($N1172="","",$N1172),IF($L1172="","",$L1172))</f>
        <v/>
      </c>
      <c r="AD1172">
        <f>IF($Y1172="","",IF($Y1172="in line",IF(profit_kind="test",IF(ROUND($AB1172*100,2)=0,"0.00",TEXT($AB1172*100,"+0.00;-0.00"))&amp;" points against "&amp;IF($V1172,"its band","the book")&amp;", "&amp;IF($AC1172="","not tested","not significant"),IF(profit_kind="points","within "&amp;TEXT(profit_line*100,"0.00")&amp;" points of "&amp;IF($V1172,"its band","the book")&amp;" ("&amp;IF(ROUND($AB1172*100,2)=0,"0.00",TEXT($AB1172*100,"+0.00;-0.00"))&amp;")","within $"&amp;TEXT(profit_line,"#,##0")&amp;" of "&amp;IF($V1172,"its band","the book")&amp;" ("&amp;IF(ROUND($AB1172*100,2)=0,"0.00",TEXT($AB1172*100,"+0.00;-0.00"))&amp;" points)")),IF(LEFT($Y1172,5)="worse","short of ","ahead of ")&amp;IF($V1172,"its band","the book")&amp;" by "&amp;TEXT(ABS($AB1172)*100,"0.00")&amp;" points"&amp;IF($Z1172="",""," ($"&amp;TEXT(ABS($Z1172),"#,##0")&amp;")")&amp;IF(RIGHT($Y1172,15)="not significant"," (not significant)","")))</f>
        <v/>
      </c>
      <c r="AE1172">
        <f>IF($V1172,IF($S1172="","",$S1172),IF($R1172="","",$R1172))</f>
        <v/>
      </c>
      <c r="AF1172">
        <f>IF($V1172,IF($U1172="","",$U1172),IF($T1172="","",$T1172))</f>
        <v/>
      </c>
      <c r="AG1172">
        <f>IF($V1172,IF($O1172="","",$O1172),IF($P1172="","",$P1172))</f>
        <v/>
      </c>
      <c r="AH1172" t="n">
        <v>0.1311850681759872</v>
      </c>
      <c r="AI1172">
        <f>IF($Y1172="worse","Yes",IF($Y1172="worse, not significant","Not sure",IF(OR($Y1172="too few losses to test",$Y1172="too few loans to test"),"Too few losses",IF($Y1172="","","No"))))</f>
        <v/>
      </c>
      <c r="AJ1172">
        <f>IF($AA1172="yes","Yes",IF($AA1172="","","No"))</f>
        <v/>
      </c>
    </row>
    <row r="1173">
      <c r="A1173" t="inlineStr">
        <is>
          <t>three-way</t>
        </is>
      </c>
      <c r="B1173" t="inlineStr">
        <is>
          <t>ORIG_BAL x ASSET_CLASS / SYS_FLAG</t>
        </is>
      </c>
      <c r="C1173" t="inlineStr">
        <is>
          <t>15,449 - 26,323</t>
        </is>
      </c>
      <c r="D1173" t="inlineStr">
        <is>
          <t>4 / SYS_FLAG Y</t>
        </is>
      </c>
      <c r="E1173" t="inlineStr">
        <is>
          <t>contribution_rate</t>
        </is>
      </c>
      <c r="F1173" t="inlineStr">
        <is>
          <t>Contribution before losses per booked dollar</t>
        </is>
      </c>
      <c r="G1173" t="n">
        <v>190</v>
      </c>
      <c r="H1173" t="n">
        <v>3974337.759999999</v>
      </c>
      <c r="I1173" t="b">
        <v>0</v>
      </c>
      <c r="J1173" t="b">
        <v>0</v>
      </c>
      <c r="K1173" t="n">
        <v>0.02258363873523758</v>
      </c>
      <c r="L1173" t="n">
        <v>0.168649801686498</v>
      </c>
      <c r="M1173" t="n">
        <v>0.02225582544872756</v>
      </c>
      <c r="N1173" t="n">
        <v>0.377962203779622</v>
      </c>
      <c r="O1173" t="n">
        <v>-89755.00818365335</v>
      </c>
      <c r="P1173" t="n">
        <v>-88452.16746084683</v>
      </c>
      <c r="Q1173">
        <f>'_live'!$C$24</f>
        <v/>
      </c>
      <c r="R1173" t="inlineStr">
        <is>
          <t>shuffled: 229 of 10,000</t>
        </is>
      </c>
      <c r="S1173" t="inlineStr">
        <is>
          <t>shuffled: 188 of 10,000</t>
        </is>
      </c>
      <c r="T1173" t="n">
        <v>0.169244606884229</v>
      </c>
      <c r="U1173" t="n">
        <v>0.169572420170739</v>
      </c>
      <c r="V1173">
        <f>AND(judged_band,NOT($J1173))</f>
        <v/>
      </c>
      <c r="W1173">
        <f>IF($K1173="","",IF(profit_kind="test",IF(OR(NOT(AND(ISNUMBER($L1173),$L1173&lt;significance_bar)),$K1173=0),"in line",IF($K1173&lt;0,"worse","better")),IF(OR($K1173=0,IF(profit_kind="points",ABS($K1173),ABS($K1173*$H1173))&lt;profit_line*(1-1E-9)),"in line",IF(AND(ISNUMBER($L1173),$L1173&lt;significance_bar),IF($K1173&lt;0,"worse","better"),IF($K1173&lt;0,"worse, not significant","better, not significant")))))</f>
        <v/>
      </c>
      <c r="X1173">
        <f>IF($M1173="","",IF(profit_kind="test",IF(OR(NOT(AND(ISNUMBER($N1173),$N1173&lt;significance_bar)),$M1173=0),"in line",IF($M1173&lt;0,"worse","better")),IF(OR($M1173=0,IF(profit_kind="points",ABS($M1173),ABS($M1173*$H1173))&lt;profit_line*(1-1E-9)),"in line",IF(AND(ISNUMBER($N1173),$N1173&lt;significance_bar),IF($M1173&lt;0,"worse","better"),IF($M1173&lt;0,"worse, not significant","better, not significant")))))</f>
        <v/>
      </c>
      <c r="Y1173">
        <f>IF($V1173,$X1173,$W1173)</f>
        <v/>
      </c>
      <c r="Z1173">
        <f>IF($V1173,IF($P1173="","",$P1173),IF($O1173="","",$O1173))</f>
        <v/>
      </c>
      <c r="AA1173">
        <f>IF(OR($Q1173="",$Z1173=""),"",IF(AND($Z1173&gt;0,$Z1173&gt;=$Q1173),"yes","below the line"))</f>
        <v/>
      </c>
      <c r="AB1173">
        <f>IF($V1173,IF($M1173="","",$M1173),IF($K1173="","",$K1173))</f>
        <v/>
      </c>
      <c r="AC1173">
        <f>IF($V1173,IF($N1173="","",$N1173),IF($L1173="","",$L1173))</f>
        <v/>
      </c>
      <c r="AD1173">
        <f>IF($Y1173="","",IF($Y1173="in line",IF(profit_kind="test",IF(ROUND($AB1173*100,2)=0,"0.00",TEXT($AB1173*100,"+0.00;-0.00"))&amp;" points against "&amp;IF($V1173,"its band","the book")&amp;", "&amp;IF($AC1173="","not tested","not significant"),IF(profit_kind="points","within "&amp;TEXT(profit_line*100,"0.00")&amp;" points of "&amp;IF($V1173,"its band","the book")&amp;" ("&amp;IF(ROUND($AB1173*100,2)=0,"0.00",TEXT($AB1173*100,"+0.00;-0.00"))&amp;")","within $"&amp;TEXT(profit_line,"#,##0")&amp;" of "&amp;IF($V1173,"its band","the book")&amp;" ("&amp;IF(ROUND($AB1173*100,2)=0,"0.00",TEXT($AB1173*100,"+0.00;-0.00"))&amp;" points)")),IF(LEFT($Y1173,5)="worse","short of ","ahead of ")&amp;IF($V1173,"its band","the book")&amp;" by "&amp;TEXT(ABS($AB1173)*100,"0.00")&amp;" points"&amp;IF($Z1173="",""," ($"&amp;TEXT(ABS($Z1173),"#,##0")&amp;")")&amp;IF(RIGHT($Y1173,15)="not significant"," (not significant)","")))</f>
        <v/>
      </c>
      <c r="AE1173">
        <f>IF($V1173,IF($S1173="","",$S1173),IF($R1173="","",$R1173))</f>
        <v/>
      </c>
      <c r="AF1173">
        <f>IF($V1173,IF($U1173="","",$U1173),IF($T1173="","",$T1173))</f>
        <v/>
      </c>
      <c r="AG1173">
        <f>IF($V1173,IF($O1173="","",$O1173),IF($P1173="","",$P1173))</f>
        <v/>
      </c>
      <c r="AH1173" t="n">
        <v>0.1918282456194665</v>
      </c>
      <c r="AI1173">
        <f>IF($Y1173="worse","Yes",IF($Y1173="worse, not significant","Not sure",IF(OR($Y1173="too few losses to test",$Y1173="too few loans to test"),"Too few losses",IF($Y1173="","","No"))))</f>
        <v/>
      </c>
      <c r="AJ1173">
        <f>IF($AA1173="yes","Yes",IF($AA1173="","","No"))</f>
        <v/>
      </c>
    </row>
    <row r="1174">
      <c r="A1174" t="inlineStr">
        <is>
          <t>three-way</t>
        </is>
      </c>
      <c r="B1174" t="inlineStr">
        <is>
          <t>ORIG_BAL x ASSET_CLASS / SYS_FLAG</t>
        </is>
      </c>
      <c r="C1174" t="inlineStr">
        <is>
          <t>26,324 - 37,950</t>
        </is>
      </c>
      <c r="D1174" t="inlineStr">
        <is>
          <t>1 / SYS_FLAG N</t>
        </is>
      </c>
      <c r="E1174" t="inlineStr">
        <is>
          <t>outcome_loans</t>
        </is>
      </c>
      <c r="F1174" t="inlineStr">
        <is>
          <t>Outcome, share of loans</t>
        </is>
      </c>
      <c r="G1174" t="n">
        <v>215</v>
      </c>
      <c r="H1174" t="n">
        <v>215</v>
      </c>
      <c r="I1174" t="b">
        <v>0</v>
      </c>
      <c r="J1174" t="b">
        <v>0</v>
      </c>
      <c r="K1174" t="n">
        <v>0.7157426918508869</v>
      </c>
      <c r="L1174" t="n">
        <v>0.5639229556355464</v>
      </c>
      <c r="M1174" t="n">
        <v>0.7876601803512103</v>
      </c>
      <c r="N1174" t="n">
        <v>0.6362547681114774</v>
      </c>
      <c r="O1174" t="n">
        <v>-4.765801644398767</v>
      </c>
      <c r="P1174" t="n">
        <v>-3.234996384671003</v>
      </c>
      <c r="Q1174">
        <f>'_live'!$C$20</f>
        <v/>
      </c>
      <c r="R1174" t="inlineStr">
        <is>
          <t>z test</t>
        </is>
      </c>
      <c r="S1174" t="inlineStr">
        <is>
          <t>z test</t>
        </is>
      </c>
      <c r="T1174" t="n">
        <v>0.07798047276464543</v>
      </c>
      <c r="U1174" t="n">
        <v>0.07086044830079537</v>
      </c>
      <c r="V1174">
        <f>AND(judged_band,NOT($J1174))</f>
        <v/>
      </c>
      <c r="W1174">
        <f>IF($K1174="","",IF($I1174,"too few losses to test",IF(AND($K1174&gt;better_at,$K1174&lt;worse_at),"in line",IF($K1174&gt;=worse_at,IF(AND(ISNUMBER($L1174),$L1174&lt;significance_bar),"worse","worse, not significant"),IF(AND(ISNUMBER($L1174),$L1174&lt;significance_bar),"better","better, not significant")))))</f>
        <v/>
      </c>
      <c r="X1174">
        <f>IF($M1174="","",IF($I1174,"too few losses to test",IF(AND($M1174&gt;better_at,$M1174&lt;worse_at),"in line",IF($M1174&gt;=worse_at,IF(AND(ISNUMBER($N1174),$N1174&lt;significance_bar),"worse","worse, not significant"),IF(AND(ISNUMBER($N1174),$N1174&lt;significance_bar),"better","better, not significant")))))</f>
        <v/>
      </c>
      <c r="Y1174">
        <f>IF($V1174,$X1174,$W1174)</f>
        <v/>
      </c>
      <c r="Z1174">
        <f>IF($V1174,IF($P1174="","",$P1174),IF($O1174="","",$O1174))</f>
        <v/>
      </c>
      <c r="AA1174">
        <f>IF(OR($Q1174="",$Z1174=""),"",IF(AND($Z1174&gt;0,$Z1174&gt;=$Q1174),"yes","below the line"))</f>
        <v/>
      </c>
      <c r="AB1174">
        <f>IF($V1174,IF($M1174="","",$M1174),IF($K1174="","",$K1174))</f>
        <v/>
      </c>
      <c r="AC1174">
        <f>IF($V1174,IF($N1174="","",$N1174),IF($L1174="","",$L1174))</f>
        <v/>
      </c>
      <c r="AD1174">
        <f>$Y1174</f>
        <v/>
      </c>
      <c r="AE1174">
        <f>IF($V1174,IF($S1174="","",$S1174),IF($R1174="","",$R1174))</f>
        <v/>
      </c>
      <c r="AF1174">
        <f>IF($V1174,IF($U1174="","",$U1174),IF($T1174="","",$T1174))</f>
        <v/>
      </c>
      <c r="AG1174">
        <f>IF($V1174,IF($O1174="","",$O1174),IF($P1174="","",$P1174))</f>
        <v/>
      </c>
      <c r="AH1174" t="n">
        <v>0.05581395348837209</v>
      </c>
      <c r="AI1174">
        <f>IF($Y1174="worse","Yes",IF($Y1174="worse, not significant","Not sure",IF(OR($Y1174="too few losses to test",$Y1174="too few loans to test"),"Too few losses",IF($Y1174="","","No"))))</f>
        <v/>
      </c>
      <c r="AJ1174">
        <f>IF($AA1174="yes","Yes",IF($AA1174="","","No"))</f>
        <v/>
      </c>
    </row>
    <row r="1175">
      <c r="A1175" t="inlineStr">
        <is>
          <t>three-way</t>
        </is>
      </c>
      <c r="B1175" t="inlineStr">
        <is>
          <t>ORIG_BAL x ASSET_CLASS / SYS_FLAG</t>
        </is>
      </c>
      <c r="C1175" t="inlineStr">
        <is>
          <t>26,324 - 37,950</t>
        </is>
      </c>
      <c r="D1175" t="inlineStr">
        <is>
          <t>1 / SYS_FLAG N</t>
        </is>
      </c>
      <c r="E1175" t="inlineStr">
        <is>
          <t>outcome_booked</t>
        </is>
      </c>
      <c r="F1175" t="inlineStr">
        <is>
          <t>Outcome, share of booked dollars</t>
        </is>
      </c>
      <c r="G1175" t="n">
        <v>215</v>
      </c>
      <c r="H1175" t="n">
        <v>6853317.409999999</v>
      </c>
      <c r="I1175" t="b">
        <v>0</v>
      </c>
      <c r="J1175" t="b">
        <v>0</v>
      </c>
      <c r="K1175" t="n">
        <v>0.7520222701549706</v>
      </c>
      <c r="L1175" t="n">
        <v>0.7069410705988224</v>
      </c>
      <c r="M1175" t="n">
        <v>0.8091843803267393</v>
      </c>
      <c r="N1175" t="n">
        <v>0.6326407359264073</v>
      </c>
      <c r="O1175" t="n">
        <v>-128012.5520836885</v>
      </c>
      <c r="P1175" t="n">
        <v>-91545.50165356981</v>
      </c>
      <c r="Q1175">
        <f>'_live'!$C$21</f>
        <v/>
      </c>
      <c r="R1175" t="inlineStr">
        <is>
          <t>shuffled: 3,519 of 10,000</t>
        </is>
      </c>
      <c r="S1175" t="inlineStr">
        <is>
          <t>shuffled: 4,726 of 10,000</t>
        </is>
      </c>
      <c r="T1175" t="n">
        <v>0.07532498076485393</v>
      </c>
      <c r="U1175" t="n">
        <v>0.07000390073186029</v>
      </c>
      <c r="V1175">
        <f>AND(judged_band,NOT($J1175))</f>
        <v/>
      </c>
      <c r="W1175">
        <f>IF($K1175="","",IF($I1175,"too few losses to test",IF(AND($K1175&gt;better_at,$K1175&lt;worse_at),"in line",IF($K1175&gt;=worse_at,IF(AND(ISNUMBER($L1175),$L1175&lt;significance_bar),"worse","worse, not significant"),IF(AND(ISNUMBER($L1175),$L1175&lt;significance_bar),"better","better, not significant")))))</f>
        <v/>
      </c>
      <c r="X1175">
        <f>IF($M1175="","",IF($I1175,"too few losses to test",IF(AND($M1175&gt;better_at,$M1175&lt;worse_at),"in line",IF($M1175&gt;=worse_at,IF(AND(ISNUMBER($N1175),$N1175&lt;significance_bar),"worse","worse, not significant"),IF(AND(ISNUMBER($N1175),$N1175&lt;significance_bar),"better","better, not significant")))))</f>
        <v/>
      </c>
      <c r="Y1175">
        <f>IF($V1175,$X1175,$W1175)</f>
        <v/>
      </c>
      <c r="Z1175">
        <f>IF($V1175,IF($P1175="","",$P1175),IF($O1175="","",$O1175))</f>
        <v/>
      </c>
      <c r="AA1175">
        <f>IF(OR($Q1175="",$Z1175=""),"",IF(AND($Z1175&gt;0,$Z1175&gt;=$Q1175),"yes","below the line"))</f>
        <v/>
      </c>
      <c r="AB1175">
        <f>IF($V1175,IF($M1175="","",$M1175),IF($K1175="","",$K1175))</f>
        <v/>
      </c>
      <c r="AC1175">
        <f>IF($V1175,IF($N1175="","",$N1175),IF($L1175="","",$L1175))</f>
        <v/>
      </c>
      <c r="AD1175">
        <f>$Y1175</f>
        <v/>
      </c>
      <c r="AE1175">
        <f>IF($V1175,IF($S1175="","",$S1175),IF($R1175="","",$R1175))</f>
        <v/>
      </c>
      <c r="AF1175">
        <f>IF($V1175,IF($U1175="","",$U1175),IF($T1175="","",$T1175))</f>
        <v/>
      </c>
      <c r="AG1175">
        <f>IF($V1175,IF($O1175="","",$O1175),IF($P1175="","",$P1175))</f>
        <v/>
      </c>
      <c r="AH1175" t="n">
        <v>0.05664606303416495</v>
      </c>
      <c r="AI1175">
        <f>IF($Y1175="worse","Yes",IF($Y1175="worse, not significant","Not sure",IF(OR($Y1175="too few losses to test",$Y1175="too few loans to test"),"Too few losses",IF($Y1175="","","No"))))</f>
        <v/>
      </c>
      <c r="AJ1175">
        <f>IF($AA1175="yes","Yes",IF($AA1175="","","No"))</f>
        <v/>
      </c>
    </row>
    <row r="1176">
      <c r="A1176" t="inlineStr">
        <is>
          <t>three-way</t>
        </is>
      </c>
      <c r="B1176" t="inlineStr">
        <is>
          <t>ORIG_BAL x ASSET_CLASS / SYS_FLAG</t>
        </is>
      </c>
      <c r="C1176" t="inlineStr">
        <is>
          <t>26,324 - 37,950</t>
        </is>
      </c>
      <c r="D1176" t="inlineStr">
        <is>
          <t>1 / SYS_FLAG N</t>
        </is>
      </c>
      <c r="E1176" t="inlineStr">
        <is>
          <t>gco_rate</t>
        </is>
      </c>
      <c r="F1176" t="inlineStr">
        <is>
          <t>GCO per booked dollar</t>
        </is>
      </c>
      <c r="G1176" t="n">
        <v>215</v>
      </c>
      <c r="H1176" t="n">
        <v>6853317.409999999</v>
      </c>
      <c r="I1176" t="b">
        <v>0</v>
      </c>
      <c r="J1176" t="b">
        <v>0</v>
      </c>
      <c r="K1176" t="n">
        <v>0.7994033199451742</v>
      </c>
      <c r="L1176" t="n">
        <v>0.9277072292770723</v>
      </c>
      <c r="M1176" t="n">
        <v>0.8783480798109932</v>
      </c>
      <c r="N1176" t="n">
        <v>0.8108727588779583</v>
      </c>
      <c r="O1176" t="n">
        <v>-57503.32392030102</v>
      </c>
      <c r="P1176" t="n">
        <v>-31738.57822778603</v>
      </c>
      <c r="Q1176">
        <f>'_live'!$C$22</f>
        <v/>
      </c>
      <c r="R1176" t="inlineStr">
        <is>
          <t>shuffled: 4,638 of 10,000</t>
        </is>
      </c>
      <c r="S1176" t="inlineStr">
        <is>
          <t>shuffled: 6,588 of 10,000</t>
        </is>
      </c>
      <c r="T1176" t="n">
        <v>0.04182812158999374</v>
      </c>
      <c r="U1176" t="n">
        <v>0.03806866552643533</v>
      </c>
      <c r="V1176">
        <f>AND(judged_band,NOT($J1176))</f>
        <v/>
      </c>
      <c r="W1176">
        <f>IF($K1176="","",IF($I1176,"too few losses to test",IF(AND($K1176&gt;better_at,$K1176&lt;worse_at),"in line",IF($K1176&gt;=worse_at,IF(AND(ISNUMBER($L1176),$L1176&lt;significance_bar),"worse","worse, not significant"),IF(AND(ISNUMBER($L1176),$L1176&lt;significance_bar),"better","better, not significant")))))</f>
        <v/>
      </c>
      <c r="X1176">
        <f>IF($M1176="","",IF($I1176,"too few losses to test",IF(AND($M1176&gt;better_at,$M1176&lt;worse_at),"in line",IF($M1176&gt;=worse_at,IF(AND(ISNUMBER($N1176),$N1176&lt;significance_bar),"worse","worse, not significant"),IF(AND(ISNUMBER($N1176),$N1176&lt;significance_bar),"better","better, not significant")))))</f>
        <v/>
      </c>
      <c r="Y1176">
        <f>IF($V1176,$X1176,$W1176)</f>
        <v/>
      </c>
      <c r="Z1176">
        <f>IF($V1176,IF($P1176="","",$P1176),IF($O1176="","",$O1176))</f>
        <v/>
      </c>
      <c r="AA1176">
        <f>IF(OR($Q1176="",$Z1176=""),"",IF(AND($Z1176&gt;0,$Z1176&gt;=$Q1176),"yes","below the line"))</f>
        <v/>
      </c>
      <c r="AB1176">
        <f>IF($V1176,IF($M1176="","",$M1176),IF($K1176="","",$K1176))</f>
        <v/>
      </c>
      <c r="AC1176">
        <f>IF($V1176,IF($N1176="","",$N1176),IF($L1176="","",$L1176))</f>
        <v/>
      </c>
      <c r="AD1176">
        <f>$Y1176</f>
        <v/>
      </c>
      <c r="AE1176">
        <f>IF($V1176,IF($S1176="","",$S1176),IF($R1176="","",$R1176))</f>
        <v/>
      </c>
      <c r="AF1176">
        <f>IF($V1176,IF($U1176="","",$U1176),IF($T1176="","",$T1176))</f>
        <v/>
      </c>
      <c r="AG1176">
        <f>IF($V1176,IF($O1176="","",$O1176),IF($P1176="","",$P1176))</f>
        <v/>
      </c>
      <c r="AH1176" t="n">
        <v>0.03343753926611142</v>
      </c>
      <c r="AI1176">
        <f>IF($Y1176="worse","Yes",IF($Y1176="worse, not significant","Not sure",IF(OR($Y1176="too few losses to test",$Y1176="too few loans to test"),"Too few losses",IF($Y1176="","","No"))))</f>
        <v/>
      </c>
      <c r="AJ1176">
        <f>IF($AA1176="yes","Yes",IF($AA1176="","","No"))</f>
        <v/>
      </c>
    </row>
    <row r="1177">
      <c r="A1177" t="inlineStr">
        <is>
          <t>three-way</t>
        </is>
      </c>
      <c r="B1177" t="inlineStr">
        <is>
          <t>ORIG_BAL x ASSET_CLASS / SYS_FLAG</t>
        </is>
      </c>
      <c r="C1177" t="inlineStr">
        <is>
          <t>26,324 - 37,950</t>
        </is>
      </c>
      <c r="D1177" t="inlineStr">
        <is>
          <t>1 / SYS_FLAG N</t>
        </is>
      </c>
      <c r="E1177" t="inlineStr">
        <is>
          <t>ranr_rate</t>
        </is>
      </c>
      <c r="F1177" t="inlineStr">
        <is>
          <t>Profit after losses: RANR per booked dollar</t>
        </is>
      </c>
      <c r="G1177" t="n">
        <v>215</v>
      </c>
      <c r="H1177" t="n">
        <v>6853317.409999999</v>
      </c>
      <c r="I1177" t="b">
        <v>0</v>
      </c>
      <c r="J1177" t="b">
        <v>0</v>
      </c>
      <c r="K1177" t="n">
        <v>0.01131240922696641</v>
      </c>
      <c r="L1177" t="n">
        <v>0.7315790160114423</v>
      </c>
      <c r="M1177" t="n">
        <v>0.008888617024261691</v>
      </c>
      <c r="N1177" t="n">
        <v>0.738148407381484</v>
      </c>
      <c r="O1177" t="n">
        <v>-77527.53110421356</v>
      </c>
      <c r="P1177" t="n">
        <v>-60916.51380319498</v>
      </c>
      <c r="Q1177">
        <f>'_live'!$C$23</f>
        <v/>
      </c>
      <c r="R1177" t="inlineStr">
        <is>
          <t>shuffled: 4,206 of 10,000</t>
        </is>
      </c>
      <c r="S1177" t="inlineStr">
        <is>
          <t>shuffled: 4,982 of 10,000</t>
        </is>
      </c>
      <c r="T1177" t="n">
        <v>0.1276896350399429</v>
      </c>
      <c r="U1177" t="n">
        <v>0.1301134272426477</v>
      </c>
      <c r="V1177">
        <f>AND(judged_band,NOT($J1177))</f>
        <v/>
      </c>
      <c r="W1177">
        <f>IF($K1177="","",IF(profit_kind="test",IF(OR(NOT(AND(ISNUMBER($L1177),$L1177&lt;significance_bar)),$K1177=0),"in line",IF($K1177&lt;0,"worse","better")),IF(OR($K1177=0,IF(profit_kind="points",ABS($K1177),ABS($K1177*$H1177))&lt;profit_line*(1-1E-9)),"in line",IF(AND(ISNUMBER($L1177),$L1177&lt;significance_bar),IF($K1177&lt;0,"worse","better"),IF($K1177&lt;0,"worse, not significant","better, not significant")))))</f>
        <v/>
      </c>
      <c r="X1177">
        <f>IF($M1177="","",IF(profit_kind="test",IF(OR(NOT(AND(ISNUMBER($N1177),$N1177&lt;significance_bar)),$M1177=0),"in line",IF($M1177&lt;0,"worse","better")),IF(OR($M1177=0,IF(profit_kind="points",ABS($M1177),ABS($M1177*$H1177))&lt;profit_line*(1-1E-9)),"in line",IF(AND(ISNUMBER($N1177),$N1177&lt;significance_bar),IF($M1177&lt;0,"worse","better"),IF($M1177&lt;0,"worse, not significant","better, not significant")))))</f>
        <v/>
      </c>
      <c r="Y1177">
        <f>IF($V1177,$X1177,$W1177)</f>
        <v/>
      </c>
      <c r="Z1177">
        <f>IF($V1177,IF($P1177="","",$P1177),IF($O1177="","",$O1177))</f>
        <v/>
      </c>
      <c r="AA1177">
        <f>IF(OR($Q1177="",$Z1177=""),"",IF(AND($Z1177&gt;0,$Z1177&gt;=$Q1177),"yes","below the line"))</f>
        <v/>
      </c>
      <c r="AB1177">
        <f>IF($V1177,IF($M1177="","",$M1177),IF($K1177="","",$K1177))</f>
        <v/>
      </c>
      <c r="AC1177">
        <f>IF($V1177,IF($N1177="","",$N1177),IF($L1177="","",$L1177))</f>
        <v/>
      </c>
      <c r="AD1177">
        <f>IF($Y1177="","",IF($Y1177="in line",IF(profit_kind="test",IF(ROUND($AB1177*100,2)=0,"0.00",TEXT($AB1177*100,"+0.00;-0.00"))&amp;" points against "&amp;IF($V1177,"its band","the book")&amp;", "&amp;IF($AC1177="","not tested","not significant"),IF(profit_kind="points","within "&amp;TEXT(profit_line*100,"0.00")&amp;" points of "&amp;IF($V1177,"its band","the book")&amp;" ("&amp;IF(ROUND($AB1177*100,2)=0,"0.00",TEXT($AB1177*100,"+0.00;-0.00"))&amp;")","within $"&amp;TEXT(profit_line,"#,##0")&amp;" of "&amp;IF($V1177,"its band","the book")&amp;" ("&amp;IF(ROUND($AB1177*100,2)=0,"0.00",TEXT($AB1177*100,"+0.00;-0.00"))&amp;" points)")),IF(LEFT($Y1177,5)="worse","short of ","ahead of ")&amp;IF($V1177,"its band","the book")&amp;" by "&amp;TEXT(ABS($AB1177)*100,"0.00")&amp;" points"&amp;IF($Z1177="",""," ($"&amp;TEXT(ABS($Z1177),"#,##0")&amp;")")&amp;IF(RIGHT($Y1177,15)="not significant"," (not significant)","")))</f>
        <v/>
      </c>
      <c r="AE1177">
        <f>IF($V1177,IF($S1177="","",$S1177),IF($R1177="","",$R1177))</f>
        <v/>
      </c>
      <c r="AF1177">
        <f>IF($V1177,IF($U1177="","",$U1177),IF($T1177="","",$T1177))</f>
        <v/>
      </c>
      <c r="AG1177">
        <f>IF($V1177,IF($O1177="","",$O1177),IF($P1177="","",$P1177))</f>
        <v/>
      </c>
      <c r="AH1177" t="n">
        <v>0.1390020442669093</v>
      </c>
      <c r="AI1177">
        <f>IF($Y1177="worse","Yes",IF($Y1177="worse, not significant","Not sure",IF(OR($Y1177="too few losses to test",$Y1177="too few loans to test"),"Too few losses",IF($Y1177="","","No"))))</f>
        <v/>
      </c>
      <c r="AJ1177">
        <f>IF($AA1177="yes","Yes",IF($AA1177="","","No"))</f>
        <v/>
      </c>
    </row>
    <row r="1178">
      <c r="A1178" t="inlineStr">
        <is>
          <t>three-way</t>
        </is>
      </c>
      <c r="B1178" t="inlineStr">
        <is>
          <t>ORIG_BAL x ASSET_CLASS / SYS_FLAG</t>
        </is>
      </c>
      <c r="C1178" t="inlineStr">
        <is>
          <t>26,324 - 37,950</t>
        </is>
      </c>
      <c r="D1178" t="inlineStr">
        <is>
          <t>1 / SYS_FLAG N</t>
        </is>
      </c>
      <c r="E1178" t="inlineStr">
        <is>
          <t>contribution_rate</t>
        </is>
      </c>
      <c r="F1178" t="inlineStr">
        <is>
          <t>Contribution before losses per booked dollar</t>
        </is>
      </c>
      <c r="G1178" t="n">
        <v>215</v>
      </c>
      <c r="H1178" t="n">
        <v>6853317.409999999</v>
      </c>
      <c r="I1178" t="b">
        <v>0</v>
      </c>
      <c r="J1178" t="b">
        <v>0</v>
      </c>
      <c r="K1178" t="n">
        <v>0.002924811628040008</v>
      </c>
      <c r="L1178" t="n">
        <v>0.9955004499550044</v>
      </c>
      <c r="M1178" t="n">
        <v>0.004257490763937832</v>
      </c>
      <c r="N1178" t="n">
        <v>0.892759208927592</v>
      </c>
      <c r="O1178" t="n">
        <v>-20044.66245141719</v>
      </c>
      <c r="P1178" t="n">
        <v>-29177.93557540933</v>
      </c>
      <c r="Q1178">
        <f>'_live'!$C$24</f>
        <v/>
      </c>
      <c r="R1178" t="inlineStr">
        <is>
          <t>shuffled: 7,557 of 10,000</t>
        </is>
      </c>
      <c r="S1178" t="inlineStr">
        <is>
          <t>shuffled: 6,353 of 10,000</t>
        </is>
      </c>
      <c r="T1178" t="n">
        <v>0.1695147719049808</v>
      </c>
      <c r="U1178" t="n">
        <v>0.168182092769083</v>
      </c>
      <c r="V1178">
        <f>AND(judged_band,NOT($J1178))</f>
        <v/>
      </c>
      <c r="W1178">
        <f>IF($K1178="","",IF(profit_kind="test",IF(OR(NOT(AND(ISNUMBER($L1178),$L1178&lt;significance_bar)),$K1178=0),"in line",IF($K1178&lt;0,"worse","better")),IF(OR($K1178=0,IF(profit_kind="points",ABS($K1178),ABS($K1178*$H1178))&lt;profit_line*(1-1E-9)),"in line",IF(AND(ISNUMBER($L1178),$L1178&lt;significance_bar),IF($K1178&lt;0,"worse","better"),IF($K1178&lt;0,"worse, not significant","better, not significant")))))</f>
        <v/>
      </c>
      <c r="X1178">
        <f>IF($M1178="","",IF(profit_kind="test",IF(OR(NOT(AND(ISNUMBER($N1178),$N1178&lt;significance_bar)),$M1178=0),"in line",IF($M1178&lt;0,"worse","better")),IF(OR($M1178=0,IF(profit_kind="points",ABS($M1178),ABS($M1178*$H1178))&lt;profit_line*(1-1E-9)),"in line",IF(AND(ISNUMBER($N1178),$N1178&lt;significance_bar),IF($M1178&lt;0,"worse","better"),IF($M1178&lt;0,"worse, not significant","better, not significant")))))</f>
        <v/>
      </c>
      <c r="Y1178">
        <f>IF($V1178,$X1178,$W1178)</f>
        <v/>
      </c>
      <c r="Z1178">
        <f>IF($V1178,IF($P1178="","",$P1178),IF($O1178="","",$O1178))</f>
        <v/>
      </c>
      <c r="AA1178">
        <f>IF(OR($Q1178="",$Z1178=""),"",IF(AND($Z1178&gt;0,$Z1178&gt;=$Q1178),"yes","below the line"))</f>
        <v/>
      </c>
      <c r="AB1178">
        <f>IF($V1178,IF($M1178="","",$M1178),IF($K1178="","",$K1178))</f>
        <v/>
      </c>
      <c r="AC1178">
        <f>IF($V1178,IF($N1178="","",$N1178),IF($L1178="","",$L1178))</f>
        <v/>
      </c>
      <c r="AD1178">
        <f>IF($Y1178="","",IF($Y1178="in line",IF(profit_kind="test",IF(ROUND($AB1178*100,2)=0,"0.00",TEXT($AB1178*100,"+0.00;-0.00"))&amp;" points against "&amp;IF($V1178,"its band","the book")&amp;", "&amp;IF($AC1178="","not tested","not significant"),IF(profit_kind="points","within "&amp;TEXT(profit_line*100,"0.00")&amp;" points of "&amp;IF($V1178,"its band","the book")&amp;" ("&amp;IF(ROUND($AB1178*100,2)=0,"0.00",TEXT($AB1178*100,"+0.00;-0.00"))&amp;")","within $"&amp;TEXT(profit_line,"#,##0")&amp;" of "&amp;IF($V1178,"its band","the book")&amp;" ("&amp;IF(ROUND($AB1178*100,2)=0,"0.00",TEXT($AB1178*100,"+0.00;-0.00"))&amp;" points)")),IF(LEFT($Y1178,5)="worse","short of ","ahead of ")&amp;IF($V1178,"its band","the book")&amp;" by "&amp;TEXT(ABS($AB1178)*100,"0.00")&amp;" points"&amp;IF($Z1178="",""," ($"&amp;TEXT(ABS($Z1178),"#,##0")&amp;")")&amp;IF(RIGHT($Y1178,15)="not significant"," (not significant)","")))</f>
        <v/>
      </c>
      <c r="AE1178">
        <f>IF($V1178,IF($S1178="","",$S1178),IF($R1178="","",$R1178))</f>
        <v/>
      </c>
      <c r="AF1178">
        <f>IF($V1178,IF($U1178="","",$U1178),IF($T1178="","",$T1178))</f>
        <v/>
      </c>
      <c r="AG1178">
        <f>IF($V1178,IF($O1178="","",$O1178),IF($P1178="","",$P1178))</f>
        <v/>
      </c>
      <c r="AH1178" t="n">
        <v>0.1724395835330208</v>
      </c>
      <c r="AI1178">
        <f>IF($Y1178="worse","Yes",IF($Y1178="worse, not significant","Not sure",IF(OR($Y1178="too few losses to test",$Y1178="too few loans to test"),"Too few losses",IF($Y1178="","","No"))))</f>
        <v/>
      </c>
      <c r="AJ1178">
        <f>IF($AA1178="yes","Yes",IF($AA1178="","","No"))</f>
        <v/>
      </c>
    </row>
    <row r="1179">
      <c r="A1179" t="inlineStr">
        <is>
          <t>three-way</t>
        </is>
      </c>
      <c r="B1179" t="inlineStr">
        <is>
          <t>ORIG_BAL x ASSET_CLASS / SYS_FLAG</t>
        </is>
      </c>
      <c r="C1179" t="inlineStr">
        <is>
          <t>26,324 - 37,950</t>
        </is>
      </c>
      <c r="D1179" t="inlineStr">
        <is>
          <t>3 / SYS_FLAG N</t>
        </is>
      </c>
      <c r="E1179" t="inlineStr">
        <is>
          <t>outcome_loans</t>
        </is>
      </c>
      <c r="F1179" t="inlineStr">
        <is>
          <t>Outcome, share of loans</t>
        </is>
      </c>
      <c r="G1179" t="n">
        <v>198</v>
      </c>
      <c r="H1179" t="n">
        <v>198</v>
      </c>
      <c r="I1179" t="b">
        <v>1</v>
      </c>
      <c r="J1179" t="b">
        <v>0</v>
      </c>
      <c r="K1179" t="n">
        <v>0.5812965722801788</v>
      </c>
      <c r="M1179" t="n">
        <v>0.6300630063006301</v>
      </c>
      <c r="O1179" t="n">
        <v>-6.482630431995897</v>
      </c>
      <c r="P1179" t="n">
        <v>-5.284285714285716</v>
      </c>
      <c r="Q1179">
        <f>'_live'!$C$20</f>
        <v/>
      </c>
      <c r="T1179" t="n">
        <v>0.07819510319189847</v>
      </c>
      <c r="U1179" t="n">
        <v>0.07214285714285715</v>
      </c>
      <c r="V1179">
        <f>AND(judged_band,NOT($J1179))</f>
        <v/>
      </c>
      <c r="W1179">
        <f>IF($K1179="","",IF($I1179,"too few losses to test",IF(AND($K1179&gt;better_at,$K1179&lt;worse_at),"in line",IF($K1179&gt;=worse_at,IF(AND(ISNUMBER($L1179),$L1179&lt;significance_bar),"worse","worse, not significant"),IF(AND(ISNUMBER($L1179),$L1179&lt;significance_bar),"better","better, not significant")))))</f>
        <v/>
      </c>
      <c r="X1179">
        <f>IF($M1179="","",IF($I1179,"too few losses to test",IF(AND($M1179&gt;better_at,$M1179&lt;worse_at),"in line",IF($M1179&gt;=worse_at,IF(AND(ISNUMBER($N1179),$N1179&lt;significance_bar),"worse","worse, not significant"),IF(AND(ISNUMBER($N1179),$N1179&lt;significance_bar),"better","better, not significant")))))</f>
        <v/>
      </c>
      <c r="Y1179">
        <f>IF($V1179,$X1179,$W1179)</f>
        <v/>
      </c>
      <c r="Z1179">
        <f>IF($V1179,IF($P1179="","",$P1179),IF($O1179="","",$O1179))</f>
        <v/>
      </c>
      <c r="AA1179">
        <f>IF(OR($Q1179="",$Z1179=""),"",IF(AND($Z1179&gt;0,$Z1179&gt;=$Q1179),"yes","below the line"))</f>
        <v/>
      </c>
      <c r="AB1179">
        <f>IF($V1179,IF($M1179="","",$M1179),IF($K1179="","",$K1179))</f>
        <v/>
      </c>
      <c r="AC1179">
        <f>IF($V1179,IF($N1179="","",$N1179),IF($L1179="","",$L1179))</f>
        <v/>
      </c>
      <c r="AD1179">
        <f>$Y1179</f>
        <v/>
      </c>
      <c r="AE1179">
        <f>IF($V1179,IF($S1179="","",$S1179),IF($R1179="","",$R1179))</f>
        <v/>
      </c>
      <c r="AF1179">
        <f>IF($V1179,IF($U1179="","",$U1179),IF($T1179="","",$T1179))</f>
        <v/>
      </c>
      <c r="AG1179">
        <f>IF($V1179,IF($O1179="","",$O1179),IF($P1179="","",$P1179))</f>
        <v/>
      </c>
      <c r="AH1179" t="n">
        <v>0.04545454545454546</v>
      </c>
      <c r="AI1179">
        <f>IF($Y1179="worse","Yes",IF($Y1179="worse, not significant","Not sure",IF(OR($Y1179="too few losses to test",$Y1179="too few loans to test"),"Too few losses",IF($Y1179="","","No"))))</f>
        <v/>
      </c>
      <c r="AJ1179">
        <f>IF($AA1179="yes","Yes",IF($AA1179="","","No"))</f>
        <v/>
      </c>
    </row>
    <row r="1180">
      <c r="A1180" t="inlineStr">
        <is>
          <t>three-way</t>
        </is>
      </c>
      <c r="B1180" t="inlineStr">
        <is>
          <t>ORIG_BAL x ASSET_CLASS / SYS_FLAG</t>
        </is>
      </c>
      <c r="C1180" t="inlineStr">
        <is>
          <t>26,324 - 37,950</t>
        </is>
      </c>
      <c r="D1180" t="inlineStr">
        <is>
          <t>3 / SYS_FLAG N</t>
        </is>
      </c>
      <c r="E1180" t="inlineStr">
        <is>
          <t>outcome_booked</t>
        </is>
      </c>
      <c r="F1180" t="inlineStr">
        <is>
          <t>Outcome, share of booked dollars</t>
        </is>
      </c>
      <c r="G1180" t="n">
        <v>198</v>
      </c>
      <c r="H1180" t="n">
        <v>6296249.490000001</v>
      </c>
      <c r="I1180" t="b">
        <v>1</v>
      </c>
      <c r="J1180" t="b">
        <v>0</v>
      </c>
      <c r="K1180" t="n">
        <v>0.5979618168247718</v>
      </c>
      <c r="M1180" t="n">
        <v>0.6325254908723885</v>
      </c>
      <c r="O1180" t="n">
        <v>-191293.3831407363</v>
      </c>
      <c r="P1180" t="n">
        <v>-165293.3132855927</v>
      </c>
      <c r="Q1180">
        <f>'_live'!$C$21</f>
        <v/>
      </c>
      <c r="T1180" t="n">
        <v>0.0755702254010802</v>
      </c>
      <c r="U1180" t="n">
        <v>0.07144077184361902</v>
      </c>
      <c r="V1180">
        <f>AND(judged_band,NOT($J1180))</f>
        <v/>
      </c>
      <c r="W1180">
        <f>IF($K1180="","",IF($I1180,"too few losses to test",IF(AND($K1180&gt;better_at,$K1180&lt;worse_at),"in line",IF($K1180&gt;=worse_at,IF(AND(ISNUMBER($L1180),$L1180&lt;significance_bar),"worse","worse, not significant"),IF(AND(ISNUMBER($L1180),$L1180&lt;significance_bar),"better","better, not significant")))))</f>
        <v/>
      </c>
      <c r="X1180">
        <f>IF($M1180="","",IF($I1180,"too few losses to test",IF(AND($M1180&gt;better_at,$M1180&lt;worse_at),"in line",IF($M1180&gt;=worse_at,IF(AND(ISNUMBER($N1180),$N1180&lt;significance_bar),"worse","worse, not significant"),IF(AND(ISNUMBER($N1180),$N1180&lt;significance_bar),"better","better, not significant")))))</f>
        <v/>
      </c>
      <c r="Y1180">
        <f>IF($V1180,$X1180,$W1180)</f>
        <v/>
      </c>
      <c r="Z1180">
        <f>IF($V1180,IF($P1180="","",$P1180),IF($O1180="","",$O1180))</f>
        <v/>
      </c>
      <c r="AA1180">
        <f>IF(OR($Q1180="",$Z1180=""),"",IF(AND($Z1180&gt;0,$Z1180&gt;=$Q1180),"yes","below the line"))</f>
        <v/>
      </c>
      <c r="AB1180">
        <f>IF($V1180,IF($M1180="","",$M1180),IF($K1180="","",$K1180))</f>
        <v/>
      </c>
      <c r="AC1180">
        <f>IF($V1180,IF($N1180="","",$N1180),IF($L1180="","",$L1180))</f>
        <v/>
      </c>
      <c r="AD1180">
        <f>$Y1180</f>
        <v/>
      </c>
      <c r="AE1180">
        <f>IF($V1180,IF($S1180="","",$S1180),IF($R1180="","",$R1180))</f>
        <v/>
      </c>
      <c r="AF1180">
        <f>IF($V1180,IF($U1180="","",$U1180),IF($T1180="","",$T1180))</f>
        <v/>
      </c>
      <c r="AG1180">
        <f>IF($V1180,IF($O1180="","",$O1180),IF($P1180="","",$P1180))</f>
        <v/>
      </c>
      <c r="AH1180" t="n">
        <v>0.04518810927868743</v>
      </c>
      <c r="AI1180">
        <f>IF($Y1180="worse","Yes",IF($Y1180="worse, not significant","Not sure",IF(OR($Y1180="too few losses to test",$Y1180="too few loans to test"),"Too few losses",IF($Y1180="","","No"))))</f>
        <v/>
      </c>
      <c r="AJ1180">
        <f>IF($AA1180="yes","Yes",IF($AA1180="","","No"))</f>
        <v/>
      </c>
    </row>
    <row r="1181">
      <c r="A1181" t="inlineStr">
        <is>
          <t>three-way</t>
        </is>
      </c>
      <c r="B1181" t="inlineStr">
        <is>
          <t>ORIG_BAL x ASSET_CLASS / SYS_FLAG</t>
        </is>
      </c>
      <c r="C1181" t="inlineStr">
        <is>
          <t>26,324 - 37,950</t>
        </is>
      </c>
      <c r="D1181" t="inlineStr">
        <is>
          <t>3 / SYS_FLAG N</t>
        </is>
      </c>
      <c r="E1181" t="inlineStr">
        <is>
          <t>gco_rate</t>
        </is>
      </c>
      <c r="F1181" t="inlineStr">
        <is>
          <t>GCO per booked dollar</t>
        </is>
      </c>
      <c r="G1181" t="n">
        <v>198</v>
      </c>
      <c r="H1181" t="n">
        <v>6296249.490000001</v>
      </c>
      <c r="I1181" t="b">
        <v>1</v>
      </c>
      <c r="J1181" t="b">
        <v>0</v>
      </c>
      <c r="K1181" t="n">
        <v>0.6733539939801801</v>
      </c>
      <c r="M1181" t="n">
        <v>0.7290125468792776</v>
      </c>
      <c r="O1181" t="n">
        <v>-86254.7528382765</v>
      </c>
      <c r="P1181" t="n">
        <v>-66094.19288038011</v>
      </c>
      <c r="Q1181">
        <f>'_live'!$C$22</f>
        <v/>
      </c>
      <c r="T1181" t="n">
        <v>0.04193954881515924</v>
      </c>
      <c r="U1181" t="n">
        <v>0.03873755372428548</v>
      </c>
      <c r="V1181">
        <f>AND(judged_band,NOT($J1181))</f>
        <v/>
      </c>
      <c r="W1181">
        <f>IF($K1181="","",IF($I1181,"too few losses to test",IF(AND($K1181&gt;better_at,$K1181&lt;worse_at),"in line",IF($K1181&gt;=worse_at,IF(AND(ISNUMBER($L1181),$L1181&lt;significance_bar),"worse","worse, not significant"),IF(AND(ISNUMBER($L1181),$L1181&lt;significance_bar),"better","better, not significant")))))</f>
        <v/>
      </c>
      <c r="X1181">
        <f>IF($M1181="","",IF($I1181,"too few losses to test",IF(AND($M1181&gt;better_at,$M1181&lt;worse_at),"in line",IF($M1181&gt;=worse_at,IF(AND(ISNUMBER($N1181),$N1181&lt;significance_bar),"worse","worse, not significant"),IF(AND(ISNUMBER($N1181),$N1181&lt;significance_bar),"better","better, not significant")))))</f>
        <v/>
      </c>
      <c r="Y1181">
        <f>IF($V1181,$X1181,$W1181)</f>
        <v/>
      </c>
      <c r="Z1181">
        <f>IF($V1181,IF($P1181="","",$P1181),IF($O1181="","",$O1181))</f>
        <v/>
      </c>
      <c r="AA1181">
        <f>IF(OR($Q1181="",$Z1181=""),"",IF(AND($Z1181&gt;0,$Z1181&gt;=$Q1181),"yes","below the line"))</f>
        <v/>
      </c>
      <c r="AB1181">
        <f>IF($V1181,IF($M1181="","",$M1181),IF($K1181="","",$K1181))</f>
        <v/>
      </c>
      <c r="AC1181">
        <f>IF($V1181,IF($N1181="","",$N1181),IF($L1181="","",$L1181))</f>
        <v/>
      </c>
      <c r="AD1181">
        <f>$Y1181</f>
        <v/>
      </c>
      <c r="AE1181">
        <f>IF($V1181,IF($S1181="","",$S1181),IF($R1181="","",$R1181))</f>
        <v/>
      </c>
      <c r="AF1181">
        <f>IF($V1181,IF($U1181="","",$U1181),IF($T1181="","",$T1181))</f>
        <v/>
      </c>
      <c r="AG1181">
        <f>IF($V1181,IF($O1181="","",$O1181),IF($P1181="","",$P1181))</f>
        <v/>
      </c>
      <c r="AH1181" t="n">
        <v>0.02824016270041421</v>
      </c>
      <c r="AI1181">
        <f>IF($Y1181="worse","Yes",IF($Y1181="worse, not significant","Not sure",IF(OR($Y1181="too few losses to test",$Y1181="too few loans to test"),"Too few losses",IF($Y1181="","","No"))))</f>
        <v/>
      </c>
      <c r="AJ1181">
        <f>IF($AA1181="yes","Yes",IF($AA1181="","","No"))</f>
        <v/>
      </c>
    </row>
    <row r="1182">
      <c r="A1182" t="inlineStr">
        <is>
          <t>three-way</t>
        </is>
      </c>
      <c r="B1182" t="inlineStr">
        <is>
          <t>ORIG_BAL x ASSET_CLASS / SYS_FLAG</t>
        </is>
      </c>
      <c r="C1182" t="inlineStr">
        <is>
          <t>26,324 - 37,950</t>
        </is>
      </c>
      <c r="D1182" t="inlineStr">
        <is>
          <t>3 / SYS_FLAG N</t>
        </is>
      </c>
      <c r="E1182" t="inlineStr">
        <is>
          <t>ranr_rate</t>
        </is>
      </c>
      <c r="F1182" t="inlineStr">
        <is>
          <t>Profit after losses: RANR per booked dollar</t>
        </is>
      </c>
      <c r="G1182" t="n">
        <v>198</v>
      </c>
      <c r="H1182" t="n">
        <v>6296249.490000001</v>
      </c>
      <c r="I1182" t="b">
        <v>0</v>
      </c>
      <c r="J1182" t="b">
        <v>0</v>
      </c>
      <c r="K1182" t="n">
        <v>0.006084889989420417</v>
      </c>
      <c r="L1182" t="n">
        <v>0.8799120087991201</v>
      </c>
      <c r="M1182" t="n">
        <v>0.002994066921208544</v>
      </c>
      <c r="N1182" t="n">
        <v>0.9519048095190481</v>
      </c>
      <c r="O1182" t="n">
        <v>-38311.98549259442</v>
      </c>
      <c r="P1182" t="n">
        <v>-18851.39232568513</v>
      </c>
      <c r="Q1182">
        <f>'_live'!$C$23</f>
        <v/>
      </c>
      <c r="R1182" t="inlineStr">
        <is>
          <t>shuffled: 6,772 of 10,000</t>
        </is>
      </c>
      <c r="S1182" t="inlineStr">
        <is>
          <t>shuffled: 8,200 of 10,000</t>
        </is>
      </c>
      <c r="T1182" t="n">
        <v>0.127841592965117</v>
      </c>
      <c r="U1182" t="n">
        <v>0.1309324160333289</v>
      </c>
      <c r="V1182">
        <f>AND(judged_band,NOT($J1182))</f>
        <v/>
      </c>
      <c r="W1182">
        <f>IF($K1182="","",IF(profit_kind="test",IF(OR(NOT(AND(ISNUMBER($L1182),$L1182&lt;significance_bar)),$K1182=0),"in line",IF($K1182&lt;0,"worse","better")),IF(OR($K1182=0,IF(profit_kind="points",ABS($K1182),ABS($K1182*$H1182))&lt;profit_line*(1-1E-9)),"in line",IF(AND(ISNUMBER($L1182),$L1182&lt;significance_bar),IF($K1182&lt;0,"worse","better"),IF($K1182&lt;0,"worse, not significant","better, not significant")))))</f>
        <v/>
      </c>
      <c r="X1182">
        <f>IF($M1182="","",IF(profit_kind="test",IF(OR(NOT(AND(ISNUMBER($N1182),$N1182&lt;significance_bar)),$M1182=0),"in line",IF($M1182&lt;0,"worse","better")),IF(OR($M1182=0,IF(profit_kind="points",ABS($M1182),ABS($M1182*$H1182))&lt;profit_line*(1-1E-9)),"in line",IF(AND(ISNUMBER($N1182),$N1182&lt;significance_bar),IF($M1182&lt;0,"worse","better"),IF($M1182&lt;0,"worse, not significant","better, not significant")))))</f>
        <v/>
      </c>
      <c r="Y1182">
        <f>IF($V1182,$X1182,$W1182)</f>
        <v/>
      </c>
      <c r="Z1182">
        <f>IF($V1182,IF($P1182="","",$P1182),IF($O1182="","",$O1182))</f>
        <v/>
      </c>
      <c r="AA1182">
        <f>IF(OR($Q1182="",$Z1182=""),"",IF(AND($Z1182&gt;0,$Z1182&gt;=$Q1182),"yes","below the line"))</f>
        <v/>
      </c>
      <c r="AB1182">
        <f>IF($V1182,IF($M1182="","",$M1182),IF($K1182="","",$K1182))</f>
        <v/>
      </c>
      <c r="AC1182">
        <f>IF($V1182,IF($N1182="","",$N1182),IF($L1182="","",$L1182))</f>
        <v/>
      </c>
      <c r="AD1182">
        <f>IF($Y1182="","",IF($Y1182="in line",IF(profit_kind="test",IF(ROUND($AB1182*100,2)=0,"0.00",TEXT($AB1182*100,"+0.00;-0.00"))&amp;" points against "&amp;IF($V1182,"its band","the book")&amp;", "&amp;IF($AC1182="","not tested","not significant"),IF(profit_kind="points","within "&amp;TEXT(profit_line*100,"0.00")&amp;" points of "&amp;IF($V1182,"its band","the book")&amp;" ("&amp;IF(ROUND($AB1182*100,2)=0,"0.00",TEXT($AB1182*100,"+0.00;-0.00"))&amp;")","within $"&amp;TEXT(profit_line,"#,##0")&amp;" of "&amp;IF($V1182,"its band","the book")&amp;" ("&amp;IF(ROUND($AB1182*100,2)=0,"0.00",TEXT($AB1182*100,"+0.00;-0.00"))&amp;" points)")),IF(LEFT($Y1182,5)="worse","short of ","ahead of ")&amp;IF($V1182,"its band","the book")&amp;" by "&amp;TEXT(ABS($AB1182)*100,"0.00")&amp;" points"&amp;IF($Z1182="",""," ($"&amp;TEXT(ABS($Z1182),"#,##0")&amp;")")&amp;IF(RIGHT($Y1182,15)="not significant"," (not significant)","")))</f>
        <v/>
      </c>
      <c r="AE1182">
        <f>IF($V1182,IF($S1182="","",$S1182),IF($R1182="","",$R1182))</f>
        <v/>
      </c>
      <c r="AF1182">
        <f>IF($V1182,IF($U1182="","",$U1182),IF($T1182="","",$T1182))</f>
        <v/>
      </c>
      <c r="AG1182">
        <f>IF($V1182,IF($O1182="","",$O1182),IF($P1182="","",$P1182))</f>
        <v/>
      </c>
      <c r="AH1182" t="n">
        <v>0.1339264829545374</v>
      </c>
      <c r="AI1182">
        <f>IF($Y1182="worse","Yes",IF($Y1182="worse, not significant","Not sure",IF(OR($Y1182="too few losses to test",$Y1182="too few loans to test"),"Too few losses",IF($Y1182="","","No"))))</f>
        <v/>
      </c>
      <c r="AJ1182">
        <f>IF($AA1182="yes","Yes",IF($AA1182="","","No"))</f>
        <v/>
      </c>
    </row>
    <row r="1183">
      <c r="A1183" t="inlineStr">
        <is>
          <t>three-way</t>
        </is>
      </c>
      <c r="B1183" t="inlineStr">
        <is>
          <t>ORIG_BAL x ASSET_CLASS / SYS_FLAG</t>
        </is>
      </c>
      <c r="C1183" t="inlineStr">
        <is>
          <t>26,324 - 37,950</t>
        </is>
      </c>
      <c r="D1183" t="inlineStr">
        <is>
          <t>3 / SYS_FLAG N</t>
        </is>
      </c>
      <c r="E1183" t="inlineStr">
        <is>
          <t>contribution_rate</t>
        </is>
      </c>
      <c r="F1183" t="inlineStr">
        <is>
          <t>Contribution before losses per booked dollar</t>
        </is>
      </c>
      <c r="G1183" t="n">
        <v>198</v>
      </c>
      <c r="H1183" t="n">
        <v>6296249.490000001</v>
      </c>
      <c r="I1183" t="b">
        <v>0</v>
      </c>
      <c r="J1183" t="b">
        <v>0</v>
      </c>
      <c r="K1183" t="n">
        <v>-0.007611541960815954</v>
      </c>
      <c r="L1183" t="n">
        <v>0.774705138181834</v>
      </c>
      <c r="M1183" t="n">
        <v>-0.00750332410266269</v>
      </c>
      <c r="N1183" t="n">
        <v>0.8694368658372257</v>
      </c>
      <c r="O1183" t="n">
        <v>47924.1671889011</v>
      </c>
      <c r="P1183" t="n">
        <v>47242.80055469472</v>
      </c>
      <c r="Q1183">
        <f>'_live'!$C$24</f>
        <v/>
      </c>
      <c r="R1183" t="inlineStr">
        <is>
          <t>shuffled: 4,233 of 10,000</t>
        </is>
      </c>
      <c r="S1183" t="inlineStr">
        <is>
          <t>shuffled: 4,118 of 10,000</t>
        </is>
      </c>
      <c r="T1183" t="n">
        <v>0.1697781876157677</v>
      </c>
      <c r="U1183" t="n">
        <v>0.1696699697576144</v>
      </c>
      <c r="V1183">
        <f>AND(judged_band,NOT($J1183))</f>
        <v/>
      </c>
      <c r="W1183">
        <f>IF($K1183="","",IF(profit_kind="test",IF(OR(NOT(AND(ISNUMBER($L1183),$L1183&lt;significance_bar)),$K1183=0),"in line",IF($K1183&lt;0,"worse","better")),IF(OR($K1183=0,IF(profit_kind="points",ABS($K1183),ABS($K1183*$H1183))&lt;profit_line*(1-1E-9)),"in line",IF(AND(ISNUMBER($L1183),$L1183&lt;significance_bar),IF($K1183&lt;0,"worse","better"),IF($K1183&lt;0,"worse, not significant","better, not significant")))))</f>
        <v/>
      </c>
      <c r="X1183">
        <f>IF($M1183="","",IF(profit_kind="test",IF(OR(NOT(AND(ISNUMBER($N1183),$N1183&lt;significance_bar)),$M1183=0),"in line",IF($M1183&lt;0,"worse","better")),IF(OR($M1183=0,IF(profit_kind="points",ABS($M1183),ABS($M1183*$H1183))&lt;profit_line*(1-1E-9)),"in line",IF(AND(ISNUMBER($N1183),$N1183&lt;significance_bar),IF($M1183&lt;0,"worse","better"),IF($M1183&lt;0,"worse, not significant","better, not significant")))))</f>
        <v/>
      </c>
      <c r="Y1183">
        <f>IF($V1183,$X1183,$W1183)</f>
        <v/>
      </c>
      <c r="Z1183">
        <f>IF($V1183,IF($P1183="","",$P1183),IF($O1183="","",$O1183))</f>
        <v/>
      </c>
      <c r="AA1183">
        <f>IF(OR($Q1183="",$Z1183=""),"",IF(AND($Z1183&gt;0,$Z1183&gt;=$Q1183),"yes","below the line"))</f>
        <v/>
      </c>
      <c r="AB1183">
        <f>IF($V1183,IF($M1183="","",$M1183),IF($K1183="","",$K1183))</f>
        <v/>
      </c>
      <c r="AC1183">
        <f>IF($V1183,IF($N1183="","",$N1183),IF($L1183="","",$L1183))</f>
        <v/>
      </c>
      <c r="AD1183">
        <f>IF($Y1183="","",IF($Y1183="in line",IF(profit_kind="test",IF(ROUND($AB1183*100,2)=0,"0.00",TEXT($AB1183*100,"+0.00;-0.00"))&amp;" points against "&amp;IF($V1183,"its band","the book")&amp;", "&amp;IF($AC1183="","not tested","not significant"),IF(profit_kind="points","within "&amp;TEXT(profit_line*100,"0.00")&amp;" points of "&amp;IF($V1183,"its band","the book")&amp;" ("&amp;IF(ROUND($AB1183*100,2)=0,"0.00",TEXT($AB1183*100,"+0.00;-0.00"))&amp;")","within $"&amp;TEXT(profit_line,"#,##0")&amp;" of "&amp;IF($V1183,"its band","the book")&amp;" ("&amp;IF(ROUND($AB1183*100,2)=0,"0.00",TEXT($AB1183*100,"+0.00;-0.00"))&amp;" points)")),IF(LEFT($Y1183,5)="worse","short of ","ahead of ")&amp;IF($V1183,"its band","the book")&amp;" by "&amp;TEXT(ABS($AB1183)*100,"0.00")&amp;" points"&amp;IF($Z1183="",""," ($"&amp;TEXT(ABS($Z1183),"#,##0")&amp;")")&amp;IF(RIGHT($Y1183,15)="not significant"," (not significant)","")))</f>
        <v/>
      </c>
      <c r="AE1183">
        <f>IF($V1183,IF($S1183="","",$S1183),IF($R1183="","",$R1183))</f>
        <v/>
      </c>
      <c r="AF1183">
        <f>IF($V1183,IF($U1183="","",$U1183),IF($T1183="","",$T1183))</f>
        <v/>
      </c>
      <c r="AG1183">
        <f>IF($V1183,IF($O1183="","",$O1183),IF($P1183="","",$P1183))</f>
        <v/>
      </c>
      <c r="AH1183" t="n">
        <v>0.1621666456549517</v>
      </c>
      <c r="AI1183">
        <f>IF($Y1183="worse","Yes",IF($Y1183="worse, not significant","Not sure",IF(OR($Y1183="too few losses to test",$Y1183="too few loans to test"),"Too few losses",IF($Y1183="","","No"))))</f>
        <v/>
      </c>
      <c r="AJ1183">
        <f>IF($AA1183="yes","Yes",IF($AA1183="","","No"))</f>
        <v/>
      </c>
    </row>
    <row r="1184">
      <c r="A1184" t="inlineStr">
        <is>
          <t>three-way</t>
        </is>
      </c>
      <c r="B1184" t="inlineStr">
        <is>
          <t>ORIG_BAL x ASSET_CLASS / SYS_FLAG</t>
        </is>
      </c>
      <c r="C1184" t="inlineStr">
        <is>
          <t>5,005 - 15,448</t>
        </is>
      </c>
      <c r="D1184" t="inlineStr">
        <is>
          <t>3 / SYS_FLAG Y</t>
        </is>
      </c>
      <c r="E1184" t="inlineStr">
        <is>
          <t>outcome_loans</t>
        </is>
      </c>
      <c r="F1184" t="inlineStr">
        <is>
          <t>Outcome, share of loans</t>
        </is>
      </c>
      <c r="G1184" t="n">
        <v>184</v>
      </c>
      <c r="H1184" t="n">
        <v>184</v>
      </c>
      <c r="I1184" t="b">
        <v>0</v>
      </c>
      <c r="J1184" t="b">
        <v>0</v>
      </c>
      <c r="K1184" t="n">
        <v>1.272064674817333</v>
      </c>
      <c r="L1184" t="n">
        <v>0.5639229556355464</v>
      </c>
      <c r="M1184" t="n">
        <v>1.319254658385093</v>
      </c>
      <c r="N1184" t="n">
        <v>0.57171124817441</v>
      </c>
      <c r="O1184" t="n">
        <v>3.849776071657068</v>
      </c>
      <c r="P1184" t="n">
        <v>4.35593220338983</v>
      </c>
      <c r="Q1184">
        <f>'_live'!$C$20</f>
        <v/>
      </c>
      <c r="R1184" t="inlineStr">
        <is>
          <t>z test</t>
        </is>
      </c>
      <c r="S1184" t="inlineStr">
        <is>
          <t>z test</t>
        </is>
      </c>
      <c r="T1184" t="n">
        <v>0.07690339091490724</v>
      </c>
      <c r="U1184" t="n">
        <v>0.07415254237288135</v>
      </c>
      <c r="V1184">
        <f>AND(judged_band,NOT($J1184))</f>
        <v/>
      </c>
      <c r="W1184">
        <f>IF($K1184="","",IF($I1184,"too few losses to test",IF(AND($K1184&gt;better_at,$K1184&lt;worse_at),"in line",IF($K1184&gt;=worse_at,IF(AND(ISNUMBER($L1184),$L1184&lt;significance_bar),"worse","worse, not significant"),IF(AND(ISNUMBER($L1184),$L1184&lt;significance_bar),"better","better, not significant")))))</f>
        <v/>
      </c>
      <c r="X1184">
        <f>IF($M1184="","",IF($I1184,"too few losses to test",IF(AND($M1184&gt;better_at,$M1184&lt;worse_at),"in line",IF($M1184&gt;=worse_at,IF(AND(ISNUMBER($N1184),$N1184&lt;significance_bar),"worse","worse, not significant"),IF(AND(ISNUMBER($N1184),$N1184&lt;significance_bar),"better","better, not significant")))))</f>
        <v/>
      </c>
      <c r="Y1184">
        <f>IF($V1184,$X1184,$W1184)</f>
        <v/>
      </c>
      <c r="Z1184">
        <f>IF($V1184,IF($P1184="","",$P1184),IF($O1184="","",$O1184))</f>
        <v/>
      </c>
      <c r="AA1184">
        <f>IF(OR($Q1184="",$Z1184=""),"",IF(AND($Z1184&gt;0,$Z1184&gt;=$Q1184),"yes","below the line"))</f>
        <v/>
      </c>
      <c r="AB1184">
        <f>IF($V1184,IF($M1184="","",$M1184),IF($K1184="","",$K1184))</f>
        <v/>
      </c>
      <c r="AC1184">
        <f>IF($V1184,IF($N1184="","",$N1184),IF($L1184="","",$L1184))</f>
        <v/>
      </c>
      <c r="AD1184">
        <f>$Y1184</f>
        <v/>
      </c>
      <c r="AE1184">
        <f>IF($V1184,IF($S1184="","",$S1184),IF($R1184="","",$R1184))</f>
        <v/>
      </c>
      <c r="AF1184">
        <f>IF($V1184,IF($U1184="","",$U1184),IF($T1184="","",$T1184))</f>
        <v/>
      </c>
      <c r="AG1184">
        <f>IF($V1184,IF($O1184="","",$O1184),IF($P1184="","",$P1184))</f>
        <v/>
      </c>
      <c r="AH1184" t="n">
        <v>0.09782608695652174</v>
      </c>
      <c r="AI1184">
        <f>IF($Y1184="worse","Yes",IF($Y1184="worse, not significant","Not sure",IF(OR($Y1184="too few losses to test",$Y1184="too few loans to test"),"Too few losses",IF($Y1184="","","No"))))</f>
        <v/>
      </c>
      <c r="AJ1184">
        <f>IF($AA1184="yes","Yes",IF($AA1184="","","No"))</f>
        <v/>
      </c>
    </row>
    <row r="1185">
      <c r="A1185" t="inlineStr">
        <is>
          <t>three-way</t>
        </is>
      </c>
      <c r="B1185" t="inlineStr">
        <is>
          <t>ORIG_BAL x ASSET_CLASS / SYS_FLAG</t>
        </is>
      </c>
      <c r="C1185" t="inlineStr">
        <is>
          <t>5,005 - 15,448</t>
        </is>
      </c>
      <c r="D1185" t="inlineStr">
        <is>
          <t>3 / SYS_FLAG Y</t>
        </is>
      </c>
      <c r="E1185" t="inlineStr">
        <is>
          <t>outcome_booked</t>
        </is>
      </c>
      <c r="F1185" t="inlineStr">
        <is>
          <t>Outcome, share of booked dollars</t>
        </is>
      </c>
      <c r="G1185" t="n">
        <v>184</v>
      </c>
      <c r="H1185" t="n">
        <v>1825047.829999999</v>
      </c>
      <c r="I1185" t="b">
        <v>0</v>
      </c>
      <c r="J1185" t="b">
        <v>0</v>
      </c>
      <c r="K1185" t="n">
        <v>1.271107987071959</v>
      </c>
      <c r="L1185" t="n">
        <v>0.7069410705988224</v>
      </c>
      <c r="M1185" t="n">
        <v>1.298283363417781</v>
      </c>
      <c r="N1185" t="n">
        <v>0.6170582941705829</v>
      </c>
      <c r="O1185" t="n">
        <v>36953.34555975153</v>
      </c>
      <c r="P1185" t="n">
        <v>39806.44905669548</v>
      </c>
      <c r="Q1185">
        <f>'_live'!$C$21</f>
        <v/>
      </c>
      <c r="R1185" t="inlineStr">
        <is>
          <t>shuffled: 3,487 of 10,000</t>
        </is>
      </c>
      <c r="S1185" t="inlineStr">
        <is>
          <t>shuffled: 3,184 of 10,000</t>
        </is>
      </c>
      <c r="T1185" t="n">
        <v>0.07468565601387472</v>
      </c>
      <c r="U1185" t="n">
        <v>0.07312235260338605</v>
      </c>
      <c r="V1185">
        <f>AND(judged_band,NOT($J1185))</f>
        <v/>
      </c>
      <c r="W1185">
        <f>IF($K1185="","",IF($I1185,"too few losses to test",IF(AND($K1185&gt;better_at,$K1185&lt;worse_at),"in line",IF($K1185&gt;=worse_at,IF(AND(ISNUMBER($L1185),$L1185&lt;significance_bar),"worse","worse, not significant"),IF(AND(ISNUMBER($L1185),$L1185&lt;significance_bar),"better","better, not significant")))))</f>
        <v/>
      </c>
      <c r="X1185">
        <f>IF($M1185="","",IF($I1185,"too few losses to test",IF(AND($M1185&gt;better_at,$M1185&lt;worse_at),"in line",IF($M1185&gt;=worse_at,IF(AND(ISNUMBER($N1185),$N1185&lt;significance_bar),"worse","worse, not significant"),IF(AND(ISNUMBER($N1185),$N1185&lt;significance_bar),"better","better, not significant")))))</f>
        <v/>
      </c>
      <c r="Y1185">
        <f>IF($V1185,$X1185,$W1185)</f>
        <v/>
      </c>
      <c r="Z1185">
        <f>IF($V1185,IF($P1185="","",$P1185),IF($O1185="","",$O1185))</f>
        <v/>
      </c>
      <c r="AA1185">
        <f>IF(OR($Q1185="",$Z1185=""),"",IF(AND($Z1185&gt;0,$Z1185&gt;=$Q1185),"yes","below the line"))</f>
        <v/>
      </c>
      <c r="AB1185">
        <f>IF($V1185,IF($M1185="","",$M1185),IF($K1185="","",$K1185))</f>
        <v/>
      </c>
      <c r="AC1185">
        <f>IF($V1185,IF($N1185="","",$N1185),IF($L1185="","",$L1185))</f>
        <v/>
      </c>
      <c r="AD1185">
        <f>$Y1185</f>
        <v/>
      </c>
      <c r="AE1185">
        <f>IF($V1185,IF($S1185="","",$S1185),IF($R1185="","",$R1185))</f>
        <v/>
      </c>
      <c r="AF1185">
        <f>IF($V1185,IF($U1185="","",$U1185),IF($T1185="","",$T1185))</f>
        <v/>
      </c>
      <c r="AG1185">
        <f>IF($V1185,IF($O1185="","",$O1185),IF($P1185="","",$P1185))</f>
        <v/>
      </c>
      <c r="AH1185" t="n">
        <v>0.09493353387894501</v>
      </c>
      <c r="AI1185">
        <f>IF($Y1185="worse","Yes",IF($Y1185="worse, not significant","Not sure",IF(OR($Y1185="too few losses to test",$Y1185="too few loans to test"),"Too few losses",IF($Y1185="","","No"))))</f>
        <v/>
      </c>
      <c r="AJ1185">
        <f>IF($AA1185="yes","Yes",IF($AA1185="","","No"))</f>
        <v/>
      </c>
    </row>
    <row r="1186">
      <c r="A1186" t="inlineStr">
        <is>
          <t>three-way</t>
        </is>
      </c>
      <c r="B1186" t="inlineStr">
        <is>
          <t>ORIG_BAL x ASSET_CLASS / SYS_FLAG</t>
        </is>
      </c>
      <c r="C1186" t="inlineStr">
        <is>
          <t>5,005 - 15,448</t>
        </is>
      </c>
      <c r="D1186" t="inlineStr">
        <is>
          <t>3 / SYS_FLAG Y</t>
        </is>
      </c>
      <c r="E1186" t="inlineStr">
        <is>
          <t>gco_rate</t>
        </is>
      </c>
      <c r="F1186" t="inlineStr">
        <is>
          <t>GCO per booked dollar</t>
        </is>
      </c>
      <c r="G1186" t="n">
        <v>184</v>
      </c>
      <c r="H1186" t="n">
        <v>1825047.829999999</v>
      </c>
      <c r="I1186" t="b">
        <v>0</v>
      </c>
      <c r="J1186" t="b">
        <v>0</v>
      </c>
      <c r="K1186" t="n">
        <v>1.387037421592899</v>
      </c>
      <c r="L1186" t="n">
        <v>0.5204812852048128</v>
      </c>
      <c r="M1186" t="n">
        <v>1.462478285089994</v>
      </c>
      <c r="N1186" t="n">
        <v>0.4877734448777344</v>
      </c>
      <c r="O1186" t="n">
        <v>29308.13843113615</v>
      </c>
      <c r="P1186" t="n">
        <v>33214.32066735173</v>
      </c>
      <c r="Q1186">
        <f>'_live'!$C$22</f>
        <v/>
      </c>
      <c r="R1186" t="inlineStr">
        <is>
          <t>shuffled: 1,951 of 10,000</t>
        </is>
      </c>
      <c r="S1186" t="inlineStr">
        <is>
          <t>shuffled: 1,371 of 10,000</t>
        </is>
      </c>
      <c r="T1186" t="n">
        <v>0.04149168055988094</v>
      </c>
      <c r="U1186" t="n">
        <v>0.03935136282573389</v>
      </c>
      <c r="V1186">
        <f>AND(judged_band,NOT($J1186))</f>
        <v/>
      </c>
      <c r="W1186">
        <f>IF($K1186="","",IF($I1186,"too few losses to test",IF(AND($K1186&gt;better_at,$K1186&lt;worse_at),"in line",IF($K1186&gt;=worse_at,IF(AND(ISNUMBER($L1186),$L1186&lt;significance_bar),"worse","worse, not significant"),IF(AND(ISNUMBER($L1186),$L1186&lt;significance_bar),"better","better, not significant")))))</f>
        <v/>
      </c>
      <c r="X1186">
        <f>IF($M1186="","",IF($I1186,"too few losses to test",IF(AND($M1186&gt;better_at,$M1186&lt;worse_at),"in line",IF($M1186&gt;=worse_at,IF(AND(ISNUMBER($N1186),$N1186&lt;significance_bar),"worse","worse, not significant"),IF(AND(ISNUMBER($N1186),$N1186&lt;significance_bar),"better","better, not significant")))))</f>
        <v/>
      </c>
      <c r="Y1186">
        <f>IF($V1186,$X1186,$W1186)</f>
        <v/>
      </c>
      <c r="Z1186">
        <f>IF($V1186,IF($P1186="","",$P1186),IF($O1186="","",$O1186))</f>
        <v/>
      </c>
      <c r="AA1186">
        <f>IF(OR($Q1186="",$Z1186=""),"",IF(AND($Z1186&gt;0,$Z1186&gt;=$Q1186),"yes","below the line"))</f>
        <v/>
      </c>
      <c r="AB1186">
        <f>IF($V1186,IF($M1186="","",$M1186),IF($K1186="","",$K1186))</f>
        <v/>
      </c>
      <c r="AC1186">
        <f>IF($V1186,IF($N1186="","",$N1186),IF($L1186="","",$L1186))</f>
        <v/>
      </c>
      <c r="AD1186">
        <f>$Y1186</f>
        <v/>
      </c>
      <c r="AE1186">
        <f>IF($V1186,IF($S1186="","",$S1186),IF($R1186="","",$R1186))</f>
        <v/>
      </c>
      <c r="AF1186">
        <f>IF($V1186,IF($U1186="","",$U1186),IF($T1186="","",$T1186))</f>
        <v/>
      </c>
      <c r="AG1186">
        <f>IF($V1186,IF($O1186="","",$O1186),IF($P1186="","",$P1186))</f>
        <v/>
      </c>
      <c r="AH1186" t="n">
        <v>0.05755051362133345</v>
      </c>
      <c r="AI1186">
        <f>IF($Y1186="worse","Yes",IF($Y1186="worse, not significant","Not sure",IF(OR($Y1186="too few losses to test",$Y1186="too few loans to test"),"Too few losses",IF($Y1186="","","No"))))</f>
        <v/>
      </c>
      <c r="AJ1186">
        <f>IF($AA1186="yes","Yes",IF($AA1186="","","No"))</f>
        <v/>
      </c>
    </row>
    <row r="1187">
      <c r="A1187" t="inlineStr">
        <is>
          <t>three-way</t>
        </is>
      </c>
      <c r="B1187" t="inlineStr">
        <is>
          <t>ORIG_BAL x ASSET_CLASS / SYS_FLAG</t>
        </is>
      </c>
      <c r="C1187" t="inlineStr">
        <is>
          <t>5,005 - 15,448</t>
        </is>
      </c>
      <c r="D1187" t="inlineStr">
        <is>
          <t>3 / SYS_FLAG Y</t>
        </is>
      </c>
      <c r="E1187" t="inlineStr">
        <is>
          <t>ranr_rate</t>
        </is>
      </c>
      <c r="F1187" t="inlineStr">
        <is>
          <t>Profit after losses: RANR per booked dollar</t>
        </is>
      </c>
      <c r="G1187" t="n">
        <v>184</v>
      </c>
      <c r="H1187" t="n">
        <v>1825047.829999999</v>
      </c>
      <c r="I1187" t="b">
        <v>0</v>
      </c>
      <c r="J1187" t="b">
        <v>0</v>
      </c>
      <c r="K1187" t="n">
        <v>0.00623136197339344</v>
      </c>
      <c r="L1187" t="n">
        <v>0.8799120087991201</v>
      </c>
      <c r="M1187" t="n">
        <v>-0.01408623643077561</v>
      </c>
      <c r="N1187" t="n">
        <v>0.6513634350850629</v>
      </c>
      <c r="O1187" t="n">
        <v>-11372.53364748618</v>
      </c>
      <c r="P1187" t="n">
        <v>25708.05523085396</v>
      </c>
      <c r="Q1187">
        <f>'_live'!$C$23</f>
        <v/>
      </c>
      <c r="R1187" t="inlineStr">
        <is>
          <t>shuffled: 6,805 of 10,000</t>
        </is>
      </c>
      <c r="S1187" t="inlineStr">
        <is>
          <t>shuffled: 3,419 of 10,000</t>
        </is>
      </c>
      <c r="T1187" t="n">
        <v>0.1279459817513462</v>
      </c>
      <c r="U1187" t="n">
        <v>0.1482635801555152</v>
      </c>
      <c r="V1187">
        <f>AND(judged_band,NOT($J1187))</f>
        <v/>
      </c>
      <c r="W1187">
        <f>IF($K1187="","",IF(profit_kind="test",IF(OR(NOT(AND(ISNUMBER($L1187),$L1187&lt;significance_bar)),$K1187=0),"in line",IF($K1187&lt;0,"worse","better")),IF(OR($K1187=0,IF(profit_kind="points",ABS($K1187),ABS($K1187*$H1187))&lt;profit_line*(1-1E-9)),"in line",IF(AND(ISNUMBER($L1187),$L1187&lt;significance_bar),IF($K1187&lt;0,"worse","better"),IF($K1187&lt;0,"worse, not significant","better, not significant")))))</f>
        <v/>
      </c>
      <c r="X1187">
        <f>IF($M1187="","",IF(profit_kind="test",IF(OR(NOT(AND(ISNUMBER($N1187),$N1187&lt;significance_bar)),$M1187=0),"in line",IF($M1187&lt;0,"worse","better")),IF(OR($M1187=0,IF(profit_kind="points",ABS($M1187),ABS($M1187*$H1187))&lt;profit_line*(1-1E-9)),"in line",IF(AND(ISNUMBER($N1187),$N1187&lt;significance_bar),IF($M1187&lt;0,"worse","better"),IF($M1187&lt;0,"worse, not significant","better, not significant")))))</f>
        <v/>
      </c>
      <c r="Y1187">
        <f>IF($V1187,$X1187,$W1187)</f>
        <v/>
      </c>
      <c r="Z1187">
        <f>IF($V1187,IF($P1187="","",$P1187),IF($O1187="","",$O1187))</f>
        <v/>
      </c>
      <c r="AA1187">
        <f>IF(OR($Q1187="",$Z1187=""),"",IF(AND($Z1187&gt;0,$Z1187&gt;=$Q1187),"yes","below the line"))</f>
        <v/>
      </c>
      <c r="AB1187">
        <f>IF($V1187,IF($M1187="","",$M1187),IF($K1187="","",$K1187))</f>
        <v/>
      </c>
      <c r="AC1187">
        <f>IF($V1187,IF($N1187="","",$N1187),IF($L1187="","",$L1187))</f>
        <v/>
      </c>
      <c r="AD1187">
        <f>IF($Y1187="","",IF($Y1187="in line",IF(profit_kind="test",IF(ROUND($AB1187*100,2)=0,"0.00",TEXT($AB1187*100,"+0.00;-0.00"))&amp;" points against "&amp;IF($V1187,"its band","the book")&amp;", "&amp;IF($AC1187="","not tested","not significant"),IF(profit_kind="points","within "&amp;TEXT(profit_line*100,"0.00")&amp;" points of "&amp;IF($V1187,"its band","the book")&amp;" ("&amp;IF(ROUND($AB1187*100,2)=0,"0.00",TEXT($AB1187*100,"+0.00;-0.00"))&amp;")","within $"&amp;TEXT(profit_line,"#,##0")&amp;" of "&amp;IF($V1187,"its band","the book")&amp;" ("&amp;IF(ROUND($AB1187*100,2)=0,"0.00",TEXT($AB1187*100,"+0.00;-0.00"))&amp;" points)")),IF(LEFT($Y1187,5)="worse","short of ","ahead of ")&amp;IF($V1187,"its band","the book")&amp;" by "&amp;TEXT(ABS($AB1187)*100,"0.00")&amp;" points"&amp;IF($Z1187="",""," ($"&amp;TEXT(ABS($Z1187),"#,##0")&amp;")")&amp;IF(RIGHT($Y1187,15)="not significant"," (not significant)","")))</f>
        <v/>
      </c>
      <c r="AE1187">
        <f>IF($V1187,IF($S1187="","",$S1187),IF($R1187="","",$R1187))</f>
        <v/>
      </c>
      <c r="AF1187">
        <f>IF($V1187,IF($U1187="","",$U1187),IF($T1187="","",$T1187))</f>
        <v/>
      </c>
      <c r="AG1187">
        <f>IF($V1187,IF($O1187="","",$O1187),IF($P1187="","",$P1187))</f>
        <v/>
      </c>
      <c r="AH1187" t="n">
        <v>0.1341773437247396</v>
      </c>
      <c r="AI1187">
        <f>IF($Y1187="worse","Yes",IF($Y1187="worse, not significant","Not sure",IF(OR($Y1187="too few losses to test",$Y1187="too few loans to test"),"Too few losses",IF($Y1187="","","No"))))</f>
        <v/>
      </c>
      <c r="AJ1187">
        <f>IF($AA1187="yes","Yes",IF($AA1187="","","No"))</f>
        <v/>
      </c>
    </row>
    <row r="1188">
      <c r="A1188" t="inlineStr">
        <is>
          <t>three-way</t>
        </is>
      </c>
      <c r="B1188" t="inlineStr">
        <is>
          <t>ORIG_BAL x ASSET_CLASS / SYS_FLAG</t>
        </is>
      </c>
      <c r="C1188" t="inlineStr">
        <is>
          <t>5,005 - 15,448</t>
        </is>
      </c>
      <c r="D1188" t="inlineStr">
        <is>
          <t>3 / SYS_FLAG Y</t>
        </is>
      </c>
      <c r="E1188" t="inlineStr">
        <is>
          <t>contribution_rate</t>
        </is>
      </c>
      <c r="F1188" t="inlineStr">
        <is>
          <t>Contribution before losses per booked dollar</t>
        </is>
      </c>
      <c r="G1188" t="n">
        <v>184</v>
      </c>
      <c r="H1188" t="n">
        <v>1825047.829999999</v>
      </c>
      <c r="I1188" t="b">
        <v>0</v>
      </c>
      <c r="J1188" t="b">
        <v>0</v>
      </c>
      <c r="K1188" t="n">
        <v>0.02229308147482975</v>
      </c>
      <c r="L1188" t="n">
        <v>0.168649801686498</v>
      </c>
      <c r="M1188" t="n">
        <v>0.004112914364823889</v>
      </c>
      <c r="N1188" t="n">
        <v>0.892759208927592</v>
      </c>
      <c r="O1188" t="n">
        <v>-40685.93996965123</v>
      </c>
      <c r="P1188" t="n">
        <v>-7506.265436497692</v>
      </c>
      <c r="Q1188">
        <f>'_live'!$C$24</f>
        <v/>
      </c>
      <c r="R1188" t="inlineStr">
        <is>
          <t>shuffled: 252 of 10,000</t>
        </is>
      </c>
      <c r="S1188" t="inlineStr">
        <is>
          <t>shuffled: 6,805 of 10,000</t>
        </is>
      </c>
      <c r="T1188" t="n">
        <v>0.1694347758712432</v>
      </c>
      <c r="U1188" t="n">
        <v>0.1876149429812491</v>
      </c>
      <c r="V1188">
        <f>AND(judged_band,NOT($J1188))</f>
        <v/>
      </c>
      <c r="W1188">
        <f>IF($K1188="","",IF(profit_kind="test",IF(OR(NOT(AND(ISNUMBER($L1188),$L1188&lt;significance_bar)),$K1188=0),"in line",IF($K1188&lt;0,"worse","better")),IF(OR($K1188=0,IF(profit_kind="points",ABS($K1188),ABS($K1188*$H1188))&lt;profit_line*(1-1E-9)),"in line",IF(AND(ISNUMBER($L1188),$L1188&lt;significance_bar),IF($K1188&lt;0,"worse","better"),IF($K1188&lt;0,"worse, not significant","better, not significant")))))</f>
        <v/>
      </c>
      <c r="X1188">
        <f>IF($M1188="","",IF(profit_kind="test",IF(OR(NOT(AND(ISNUMBER($N1188),$N1188&lt;significance_bar)),$M1188=0),"in line",IF($M1188&lt;0,"worse","better")),IF(OR($M1188=0,IF(profit_kind="points",ABS($M1188),ABS($M1188*$H1188))&lt;profit_line*(1-1E-9)),"in line",IF(AND(ISNUMBER($N1188),$N1188&lt;significance_bar),IF($M1188&lt;0,"worse","better"),IF($M1188&lt;0,"worse, not significant","better, not significant")))))</f>
        <v/>
      </c>
      <c r="Y1188">
        <f>IF($V1188,$X1188,$W1188)</f>
        <v/>
      </c>
      <c r="Z1188">
        <f>IF($V1188,IF($P1188="","",$P1188),IF($O1188="","",$O1188))</f>
        <v/>
      </c>
      <c r="AA1188">
        <f>IF(OR($Q1188="",$Z1188=""),"",IF(AND($Z1188&gt;0,$Z1188&gt;=$Q1188),"yes","below the line"))</f>
        <v/>
      </c>
      <c r="AB1188">
        <f>IF($V1188,IF($M1188="","",$M1188),IF($K1188="","",$K1188))</f>
        <v/>
      </c>
      <c r="AC1188">
        <f>IF($V1188,IF($N1188="","",$N1188),IF($L1188="","",$L1188))</f>
        <v/>
      </c>
      <c r="AD1188">
        <f>IF($Y1188="","",IF($Y1188="in line",IF(profit_kind="test",IF(ROUND($AB1188*100,2)=0,"0.00",TEXT($AB1188*100,"+0.00;-0.00"))&amp;" points against "&amp;IF($V1188,"its band","the book")&amp;", "&amp;IF($AC1188="","not tested","not significant"),IF(profit_kind="points","within "&amp;TEXT(profit_line*100,"0.00")&amp;" points of "&amp;IF($V1188,"its band","the book")&amp;" ("&amp;IF(ROUND($AB1188*100,2)=0,"0.00",TEXT($AB1188*100,"+0.00;-0.00"))&amp;")","within $"&amp;TEXT(profit_line,"#,##0")&amp;" of "&amp;IF($V1188,"its band","the book")&amp;" ("&amp;IF(ROUND($AB1188*100,2)=0,"0.00",TEXT($AB1188*100,"+0.00;-0.00"))&amp;" points)")),IF(LEFT($Y1188,5)="worse","short of ","ahead of ")&amp;IF($V1188,"its band","the book")&amp;" by "&amp;TEXT(ABS($AB1188)*100,"0.00")&amp;" points"&amp;IF($Z1188="",""," ($"&amp;TEXT(ABS($Z1188),"#,##0")&amp;")")&amp;IF(RIGHT($Y1188,15)="not significant"," (not significant)","")))</f>
        <v/>
      </c>
      <c r="AE1188">
        <f>IF($V1188,IF($S1188="","",$S1188),IF($R1188="","",$R1188))</f>
        <v/>
      </c>
      <c r="AF1188">
        <f>IF($V1188,IF($U1188="","",$U1188),IF($T1188="","",$T1188))</f>
        <v/>
      </c>
      <c r="AG1188">
        <f>IF($V1188,IF($O1188="","",$O1188),IF($P1188="","",$P1188))</f>
        <v/>
      </c>
      <c r="AH1188" t="n">
        <v>0.1917278573460729</v>
      </c>
      <c r="AI1188">
        <f>IF($Y1188="worse","Yes",IF($Y1188="worse, not significant","Not sure",IF(OR($Y1188="too few losses to test",$Y1188="too few loans to test"),"Too few losses",IF($Y1188="","","No"))))</f>
        <v/>
      </c>
      <c r="AJ1188">
        <f>IF($AA1188="yes","Yes",IF($AA1188="","","No"))</f>
        <v/>
      </c>
    </row>
    <row r="1189">
      <c r="A1189" t="inlineStr">
        <is>
          <t>three-way</t>
        </is>
      </c>
      <c r="B1189" t="inlineStr">
        <is>
          <t>ORIG_BAL x ASSET_CLASS / SYS_FLAG</t>
        </is>
      </c>
      <c r="C1189" t="inlineStr">
        <is>
          <t>26,324 - 37,950</t>
        </is>
      </c>
      <c r="D1189" t="inlineStr">
        <is>
          <t>4 / SYS_FLAG N</t>
        </is>
      </c>
      <c r="E1189" t="inlineStr">
        <is>
          <t>outcome_loans</t>
        </is>
      </c>
      <c r="F1189" t="inlineStr">
        <is>
          <t>Outcome, share of loans</t>
        </is>
      </c>
      <c r="G1189" t="n">
        <v>218</v>
      </c>
      <c r="H1189" t="n">
        <v>218</v>
      </c>
      <c r="I1189" t="b">
        <v>0</v>
      </c>
      <c r="J1189" t="b">
        <v>0</v>
      </c>
      <c r="K1189" t="n">
        <v>1.007932274680728</v>
      </c>
      <c r="L1189" t="n">
        <v>0.9733186245437661</v>
      </c>
      <c r="M1189" t="n">
        <v>1.157147084936372</v>
      </c>
      <c r="N1189" t="n">
        <v>0.6966234522943614</v>
      </c>
      <c r="O1189" t="n">
        <v>0.1337874309214762</v>
      </c>
      <c r="P1189" t="n">
        <v>2.308695652173913</v>
      </c>
      <c r="Q1189">
        <f>'_live'!$C$20</f>
        <v/>
      </c>
      <c r="R1189" t="inlineStr">
        <is>
          <t>z test</t>
        </is>
      </c>
      <c r="S1189" t="inlineStr">
        <is>
          <t>z test</t>
        </is>
      </c>
      <c r="T1189" t="n">
        <v>0.07736794756458039</v>
      </c>
      <c r="U1189" t="n">
        <v>0.06739130434782609</v>
      </c>
      <c r="V1189">
        <f>AND(judged_band,NOT($J1189))</f>
        <v/>
      </c>
      <c r="W1189">
        <f>IF($K1189="","",IF($I1189,"too few losses to test",IF(AND($K1189&gt;better_at,$K1189&lt;worse_at),"in line",IF($K1189&gt;=worse_at,IF(AND(ISNUMBER($L1189),$L1189&lt;significance_bar),"worse","worse, not significant"),IF(AND(ISNUMBER($L1189),$L1189&lt;significance_bar),"better","better, not significant")))))</f>
        <v/>
      </c>
      <c r="X1189">
        <f>IF($M1189="","",IF($I1189,"too few losses to test",IF(AND($M1189&gt;better_at,$M1189&lt;worse_at),"in line",IF($M1189&gt;=worse_at,IF(AND(ISNUMBER($N1189),$N1189&lt;significance_bar),"worse","worse, not significant"),IF(AND(ISNUMBER($N1189),$N1189&lt;significance_bar),"better","better, not significant")))))</f>
        <v/>
      </c>
      <c r="Y1189">
        <f>IF($V1189,$X1189,$W1189)</f>
        <v/>
      </c>
      <c r="Z1189">
        <f>IF($V1189,IF($P1189="","",$P1189),IF($O1189="","",$O1189))</f>
        <v/>
      </c>
      <c r="AA1189">
        <f>IF(OR($Q1189="",$Z1189=""),"",IF(AND($Z1189&gt;0,$Z1189&gt;=$Q1189),"yes","below the line"))</f>
        <v/>
      </c>
      <c r="AB1189">
        <f>IF($V1189,IF($M1189="","",$M1189),IF($K1189="","",$K1189))</f>
        <v/>
      </c>
      <c r="AC1189">
        <f>IF($V1189,IF($N1189="","",$N1189),IF($L1189="","",$L1189))</f>
        <v/>
      </c>
      <c r="AD1189">
        <f>$Y1189</f>
        <v/>
      </c>
      <c r="AE1189">
        <f>IF($V1189,IF($S1189="","",$S1189),IF($R1189="","",$R1189))</f>
        <v/>
      </c>
      <c r="AF1189">
        <f>IF($V1189,IF($U1189="","",$U1189),IF($T1189="","",$T1189))</f>
        <v/>
      </c>
      <c r="AG1189">
        <f>IF($V1189,IF($O1189="","",$O1189),IF($P1189="","",$P1189))</f>
        <v/>
      </c>
      <c r="AH1189" t="n">
        <v>0.07798165137614679</v>
      </c>
      <c r="AI1189">
        <f>IF($Y1189="worse","Yes",IF($Y1189="worse, not significant","Not sure",IF(OR($Y1189="too few losses to test",$Y1189="too few loans to test"),"Too few losses",IF($Y1189="","","No"))))</f>
        <v/>
      </c>
      <c r="AJ1189">
        <f>IF($AA1189="yes","Yes",IF($AA1189="","","No"))</f>
        <v/>
      </c>
    </row>
    <row r="1190">
      <c r="A1190" t="inlineStr">
        <is>
          <t>three-way</t>
        </is>
      </c>
      <c r="B1190" t="inlineStr">
        <is>
          <t>ORIG_BAL x ASSET_CLASS / SYS_FLAG</t>
        </is>
      </c>
      <c r="C1190" t="inlineStr">
        <is>
          <t>26,324 - 37,950</t>
        </is>
      </c>
      <c r="D1190" t="inlineStr">
        <is>
          <t>4 / SYS_FLAG N</t>
        </is>
      </c>
      <c r="E1190" t="inlineStr">
        <is>
          <t>outcome_booked</t>
        </is>
      </c>
      <c r="F1190" t="inlineStr">
        <is>
          <t>Outcome, share of booked dollars</t>
        </is>
      </c>
      <c r="G1190" t="n">
        <v>218</v>
      </c>
      <c r="H1190" t="n">
        <v>6945678.99</v>
      </c>
      <c r="I1190" t="b">
        <v>0</v>
      </c>
      <c r="J1190" t="b">
        <v>0</v>
      </c>
      <c r="K1190" t="n">
        <v>1.073691745953733</v>
      </c>
      <c r="L1190" t="n">
        <v>0.8704233024973365</v>
      </c>
      <c r="M1190" t="n">
        <v>1.208540667839056</v>
      </c>
      <c r="N1190" t="n">
        <v>0.6326407359264073</v>
      </c>
      <c r="O1190" t="n">
        <v>38224.52574003889</v>
      </c>
      <c r="P1190" t="n">
        <v>96101.98646869959</v>
      </c>
      <c r="Q1190">
        <f>'_live'!$C$21</f>
        <v/>
      </c>
      <c r="R1190" t="inlineStr">
        <is>
          <t>shuffled: 7,888 of 10,000</t>
        </is>
      </c>
      <c r="S1190" t="inlineStr">
        <is>
          <t>shuffled: 4,512 of 10,000</t>
        </is>
      </c>
      <c r="T1190" t="n">
        <v>0.07468072955959647</v>
      </c>
      <c r="U1190" t="n">
        <v>0.06634785658749548</v>
      </c>
      <c r="V1190">
        <f>AND(judged_band,NOT($J1190))</f>
        <v/>
      </c>
      <c r="W1190">
        <f>IF($K1190="","",IF($I1190,"too few losses to test",IF(AND($K1190&gt;better_at,$K1190&lt;worse_at),"in line",IF($K1190&gt;=worse_at,IF(AND(ISNUMBER($L1190),$L1190&lt;significance_bar),"worse","worse, not significant"),IF(AND(ISNUMBER($L1190),$L1190&lt;significance_bar),"better","better, not significant")))))</f>
        <v/>
      </c>
      <c r="X1190">
        <f>IF($M1190="","",IF($I1190,"too few losses to test",IF(AND($M1190&gt;better_at,$M1190&lt;worse_at),"in line",IF($M1190&gt;=worse_at,IF(AND(ISNUMBER($N1190),$N1190&lt;significance_bar),"worse","worse, not significant"),IF(AND(ISNUMBER($N1190),$N1190&lt;significance_bar),"better","better, not significant")))))</f>
        <v/>
      </c>
      <c r="Y1190">
        <f>IF($V1190,$X1190,$W1190)</f>
        <v/>
      </c>
      <c r="Z1190">
        <f>IF($V1190,IF($P1190="","",$P1190),IF($O1190="","",$O1190))</f>
        <v/>
      </c>
      <c r="AA1190">
        <f>IF(OR($Q1190="",$Z1190=""),"",IF(AND($Z1190&gt;0,$Z1190&gt;=$Q1190),"yes","below the line"))</f>
        <v/>
      </c>
      <c r="AB1190">
        <f>IF($V1190,IF($M1190="","",$M1190),IF($K1190="","",$K1190))</f>
        <v/>
      </c>
      <c r="AC1190">
        <f>IF($V1190,IF($N1190="","",$N1190),IF($L1190="","",$L1190))</f>
        <v/>
      </c>
      <c r="AD1190">
        <f>$Y1190</f>
        <v/>
      </c>
      <c r="AE1190">
        <f>IF($V1190,IF($S1190="","",$S1190),IF($R1190="","",$R1190))</f>
        <v/>
      </c>
      <c r="AF1190">
        <f>IF($V1190,IF($U1190="","",$U1190),IF($T1190="","",$T1190))</f>
        <v/>
      </c>
      <c r="AG1190">
        <f>IF($V1190,IF($O1190="","",$O1190),IF($P1190="","",$P1190))</f>
        <v/>
      </c>
      <c r="AH1190" t="n">
        <v>0.08018408290994168</v>
      </c>
      <c r="AI1190">
        <f>IF($Y1190="worse","Yes",IF($Y1190="worse, not significant","Not sure",IF(OR($Y1190="too few losses to test",$Y1190="too few loans to test"),"Too few losses",IF($Y1190="","","No"))))</f>
        <v/>
      </c>
      <c r="AJ1190">
        <f>IF($AA1190="yes","Yes",IF($AA1190="","","No"))</f>
        <v/>
      </c>
    </row>
    <row r="1191">
      <c r="A1191" t="inlineStr">
        <is>
          <t>three-way</t>
        </is>
      </c>
      <c r="B1191" t="inlineStr">
        <is>
          <t>ORIG_BAL x ASSET_CLASS / SYS_FLAG</t>
        </is>
      </c>
      <c r="C1191" t="inlineStr">
        <is>
          <t>26,324 - 37,950</t>
        </is>
      </c>
      <c r="D1191" t="inlineStr">
        <is>
          <t>4 / SYS_FLAG N</t>
        </is>
      </c>
      <c r="E1191" t="inlineStr">
        <is>
          <t>gco_rate</t>
        </is>
      </c>
      <c r="F1191" t="inlineStr">
        <is>
          <t>GCO per booked dollar</t>
        </is>
      </c>
      <c r="G1191" t="n">
        <v>218</v>
      </c>
      <c r="H1191" t="n">
        <v>6945678.99</v>
      </c>
      <c r="I1191" t="b">
        <v>0</v>
      </c>
      <c r="J1191" t="b">
        <v>0</v>
      </c>
      <c r="K1191" t="n">
        <v>1.052947848932813</v>
      </c>
      <c r="L1191" t="n">
        <v>0.9412575983780932</v>
      </c>
      <c r="M1191" t="n">
        <v>1.199622395593157</v>
      </c>
      <c r="N1191" t="n">
        <v>0.7733044877330449</v>
      </c>
      <c r="O1191" t="n">
        <v>15278.92438686074</v>
      </c>
      <c r="P1191" t="n">
        <v>50561.0425544937</v>
      </c>
      <c r="Q1191">
        <f>'_live'!$C$22</f>
        <v/>
      </c>
      <c r="R1191" t="inlineStr">
        <is>
          <t>shuffled: 8,490 of 10,000</t>
        </is>
      </c>
      <c r="S1191" t="inlineStr">
        <is>
          <t>shuffled: 4,810 of 10,000</t>
        </is>
      </c>
      <c r="T1191" t="n">
        <v>0.04154605129730293</v>
      </c>
      <c r="U1191" t="n">
        <v>0.03646632932650207</v>
      </c>
      <c r="V1191">
        <f>AND(judged_band,NOT($J1191))</f>
        <v/>
      </c>
      <c r="W1191">
        <f>IF($K1191="","",IF($I1191,"too few losses to test",IF(AND($K1191&gt;better_at,$K1191&lt;worse_at),"in line",IF($K1191&gt;=worse_at,IF(AND(ISNUMBER($L1191),$L1191&lt;significance_bar),"worse","worse, not significant"),IF(AND(ISNUMBER($L1191),$L1191&lt;significance_bar),"better","better, not significant")))))</f>
        <v/>
      </c>
      <c r="X1191">
        <f>IF($M1191="","",IF($I1191,"too few losses to test",IF(AND($M1191&gt;better_at,$M1191&lt;worse_at),"in line",IF($M1191&gt;=worse_at,IF(AND(ISNUMBER($N1191),$N1191&lt;significance_bar),"worse","worse, not significant"),IF(AND(ISNUMBER($N1191),$N1191&lt;significance_bar),"better","better, not significant")))))</f>
        <v/>
      </c>
      <c r="Y1191">
        <f>IF($V1191,$X1191,$W1191)</f>
        <v/>
      </c>
      <c r="Z1191">
        <f>IF($V1191,IF($P1191="","",$P1191),IF($O1191="","",$O1191))</f>
        <v/>
      </c>
      <c r="AA1191">
        <f>IF(OR($Q1191="",$Z1191=""),"",IF(AND($Z1191&gt;0,$Z1191&gt;=$Q1191),"yes","below the line"))</f>
        <v/>
      </c>
      <c r="AB1191">
        <f>IF($V1191,IF($M1191="","",$M1191),IF($K1191="","",$K1191))</f>
        <v/>
      </c>
      <c r="AC1191">
        <f>IF($V1191,IF($N1191="","",$N1191),IF($L1191="","",$L1191))</f>
        <v/>
      </c>
      <c r="AD1191">
        <f>$Y1191</f>
        <v/>
      </c>
      <c r="AE1191">
        <f>IF($V1191,IF($S1191="","",$S1191),IF($R1191="","",$R1191))</f>
        <v/>
      </c>
      <c r="AF1191">
        <f>IF($V1191,IF($U1191="","",$U1191),IF($T1191="","",$T1191))</f>
        <v/>
      </c>
      <c r="AG1191">
        <f>IF($V1191,IF($O1191="","",$O1191),IF($P1191="","",$P1191))</f>
        <v/>
      </c>
      <c r="AH1191" t="n">
        <v>0.04374582534514742</v>
      </c>
      <c r="AI1191">
        <f>IF($Y1191="worse","Yes",IF($Y1191="worse, not significant","Not sure",IF(OR($Y1191="too few losses to test",$Y1191="too few loans to test"),"Too few losses",IF($Y1191="","","No"))))</f>
        <v/>
      </c>
      <c r="AJ1191">
        <f>IF($AA1191="yes","Yes",IF($AA1191="","","No"))</f>
        <v/>
      </c>
    </row>
    <row r="1192">
      <c r="A1192" t="inlineStr">
        <is>
          <t>three-way</t>
        </is>
      </c>
      <c r="B1192" t="inlineStr">
        <is>
          <t>ORIG_BAL x ASSET_CLASS / SYS_FLAG</t>
        </is>
      </c>
      <c r="C1192" t="inlineStr">
        <is>
          <t>26,324 - 37,950</t>
        </is>
      </c>
      <c r="D1192" t="inlineStr">
        <is>
          <t>4 / SYS_FLAG N</t>
        </is>
      </c>
      <c r="E1192" t="inlineStr">
        <is>
          <t>ranr_rate</t>
        </is>
      </c>
      <c r="F1192" t="inlineStr">
        <is>
          <t>Profit after losses: RANR per booked dollar</t>
        </is>
      </c>
      <c r="G1192" t="n">
        <v>218</v>
      </c>
      <c r="H1192" t="n">
        <v>6945678.99</v>
      </c>
      <c r="I1192" t="b">
        <v>0</v>
      </c>
      <c r="J1192" t="b">
        <v>0</v>
      </c>
      <c r="K1192" t="n">
        <v>0.005776376638879033</v>
      </c>
      <c r="L1192" t="n">
        <v>0.8799120087991201</v>
      </c>
      <c r="M1192" t="n">
        <v>0.002672981432172122</v>
      </c>
      <c r="N1192" t="n">
        <v>0.9519048095190481</v>
      </c>
      <c r="O1192" t="n">
        <v>-40120.85785898904</v>
      </c>
      <c r="P1192" t="n">
        <v>-18565.67097409815</v>
      </c>
      <c r="Q1192">
        <f>'_live'!$C$23</f>
        <v/>
      </c>
      <c r="R1192" t="inlineStr">
        <is>
          <t>shuffled: 6,819 of 10,000</t>
        </is>
      </c>
      <c r="S1192" t="inlineStr">
        <is>
          <t>shuffled: 8,357 of 10,000</t>
        </is>
      </c>
      <c r="T1192" t="n">
        <v>0.127834583691437</v>
      </c>
      <c r="U1192" t="n">
        <v>0.130937978898144</v>
      </c>
      <c r="V1192">
        <f>AND(judged_band,NOT($J1192))</f>
        <v/>
      </c>
      <c r="W1192">
        <f>IF($K1192="","",IF(profit_kind="test",IF(OR(NOT(AND(ISNUMBER($L1192),$L1192&lt;significance_bar)),$K1192=0),"in line",IF($K1192&lt;0,"worse","better")),IF(OR($K1192=0,IF(profit_kind="points",ABS($K1192),ABS($K1192*$H1192))&lt;profit_line*(1-1E-9)),"in line",IF(AND(ISNUMBER($L1192),$L1192&lt;significance_bar),IF($K1192&lt;0,"worse","better"),IF($K1192&lt;0,"worse, not significant","better, not significant")))))</f>
        <v/>
      </c>
      <c r="X1192">
        <f>IF($M1192="","",IF(profit_kind="test",IF(OR(NOT(AND(ISNUMBER($N1192),$N1192&lt;significance_bar)),$M1192=0),"in line",IF($M1192&lt;0,"worse","better")),IF(OR($M1192=0,IF(profit_kind="points",ABS($M1192),ABS($M1192*$H1192))&lt;profit_line*(1-1E-9)),"in line",IF(AND(ISNUMBER($N1192),$N1192&lt;significance_bar),IF($M1192&lt;0,"worse","better"),IF($M1192&lt;0,"worse, not significant","better, not significant")))))</f>
        <v/>
      </c>
      <c r="Y1192">
        <f>IF($V1192,$X1192,$W1192)</f>
        <v/>
      </c>
      <c r="Z1192">
        <f>IF($V1192,IF($P1192="","",$P1192),IF($O1192="","",$O1192))</f>
        <v/>
      </c>
      <c r="AA1192">
        <f>IF(OR($Q1192="",$Z1192=""),"",IF(AND($Z1192&gt;0,$Z1192&gt;=$Q1192),"yes","below the line"))</f>
        <v/>
      </c>
      <c r="AB1192">
        <f>IF($V1192,IF($M1192="","",$M1192),IF($K1192="","",$K1192))</f>
        <v/>
      </c>
      <c r="AC1192">
        <f>IF($V1192,IF($N1192="","",$N1192),IF($L1192="","",$L1192))</f>
        <v/>
      </c>
      <c r="AD1192">
        <f>IF($Y1192="","",IF($Y1192="in line",IF(profit_kind="test",IF(ROUND($AB1192*100,2)=0,"0.00",TEXT($AB1192*100,"+0.00;-0.00"))&amp;" points against "&amp;IF($V1192,"its band","the book")&amp;", "&amp;IF($AC1192="","not tested","not significant"),IF(profit_kind="points","within "&amp;TEXT(profit_line*100,"0.00")&amp;" points of "&amp;IF($V1192,"its band","the book")&amp;" ("&amp;IF(ROUND($AB1192*100,2)=0,"0.00",TEXT($AB1192*100,"+0.00;-0.00"))&amp;")","within $"&amp;TEXT(profit_line,"#,##0")&amp;" of "&amp;IF($V1192,"its band","the book")&amp;" ("&amp;IF(ROUND($AB1192*100,2)=0,"0.00",TEXT($AB1192*100,"+0.00;-0.00"))&amp;" points)")),IF(LEFT($Y1192,5)="worse","short of ","ahead of ")&amp;IF($V1192,"its band","the book")&amp;" by "&amp;TEXT(ABS($AB1192)*100,"0.00")&amp;" points"&amp;IF($Z1192="",""," ($"&amp;TEXT(ABS($Z1192),"#,##0")&amp;")")&amp;IF(RIGHT($Y1192,15)="not significant"," (not significant)","")))</f>
        <v/>
      </c>
      <c r="AE1192">
        <f>IF($V1192,IF($S1192="","",$S1192),IF($R1192="","",$R1192))</f>
        <v/>
      </c>
      <c r="AF1192">
        <f>IF($V1192,IF($U1192="","",$U1192),IF($T1192="","",$T1192))</f>
        <v/>
      </c>
      <c r="AG1192">
        <f>IF($V1192,IF($O1192="","",$O1192),IF($P1192="","",$P1192))</f>
        <v/>
      </c>
      <c r="AH1192" t="n">
        <v>0.1336109603303161</v>
      </c>
      <c r="AI1192">
        <f>IF($Y1192="worse","Yes",IF($Y1192="worse, not significant","Not sure",IF(OR($Y1192="too few losses to test",$Y1192="too few loans to test"),"Too few losses",IF($Y1192="","","No"))))</f>
        <v/>
      </c>
      <c r="AJ1192">
        <f>IF($AA1192="yes","Yes",IF($AA1192="","","No"))</f>
        <v/>
      </c>
    </row>
    <row r="1193">
      <c r="A1193" t="inlineStr">
        <is>
          <t>three-way</t>
        </is>
      </c>
      <c r="B1193" t="inlineStr">
        <is>
          <t>ORIG_BAL x ASSET_CLASS / SYS_FLAG</t>
        </is>
      </c>
      <c r="C1193" t="inlineStr">
        <is>
          <t>26,324 - 37,950</t>
        </is>
      </c>
      <c r="D1193" t="inlineStr">
        <is>
          <t>4 / SYS_FLAG N</t>
        </is>
      </c>
      <c r="E1193" t="inlineStr">
        <is>
          <t>contribution_rate</t>
        </is>
      </c>
      <c r="F1193" t="inlineStr">
        <is>
          <t>Contribution before losses per booked dollar</t>
        </is>
      </c>
      <c r="G1193" t="n">
        <v>218</v>
      </c>
      <c r="H1193" t="n">
        <v>6945678.99</v>
      </c>
      <c r="I1193" t="b">
        <v>0</v>
      </c>
      <c r="J1193" t="b">
        <v>0</v>
      </c>
      <c r="K1193" t="n">
        <v>0.007979113600051824</v>
      </c>
      <c r="L1193" t="n">
        <v>0.774705138181834</v>
      </c>
      <c r="M1193" t="n">
        <v>0.00995247745081751</v>
      </c>
      <c r="N1193" t="n">
        <v>0.798978925636848</v>
      </c>
      <c r="O1193" t="n">
        <v>-55420.36169070331</v>
      </c>
      <c r="P1193" t="n">
        <v>-69126.71352859191</v>
      </c>
      <c r="Q1193">
        <f>'_live'!$C$24</f>
        <v/>
      </c>
      <c r="R1193" t="inlineStr">
        <is>
          <t>shuffled: 3,769 of 10,000</t>
        </is>
      </c>
      <c r="S1193" t="inlineStr">
        <is>
          <t>shuffled: 2,652 of 10,000</t>
        </is>
      </c>
      <c r="T1193" t="n">
        <v>0.1693776720754117</v>
      </c>
      <c r="U1193" t="n">
        <v>0.1674043082246461</v>
      </c>
      <c r="V1193">
        <f>AND(judged_band,NOT($J1193))</f>
        <v/>
      </c>
      <c r="W1193">
        <f>IF($K1193="","",IF(profit_kind="test",IF(OR(NOT(AND(ISNUMBER($L1193),$L1193&lt;significance_bar)),$K1193=0),"in line",IF($K1193&lt;0,"worse","better")),IF(OR($K1193=0,IF(profit_kind="points",ABS($K1193),ABS($K1193*$H1193))&lt;profit_line*(1-1E-9)),"in line",IF(AND(ISNUMBER($L1193),$L1193&lt;significance_bar),IF($K1193&lt;0,"worse","better"),IF($K1193&lt;0,"worse, not significant","better, not significant")))))</f>
        <v/>
      </c>
      <c r="X1193">
        <f>IF($M1193="","",IF(profit_kind="test",IF(OR(NOT(AND(ISNUMBER($N1193),$N1193&lt;significance_bar)),$M1193=0),"in line",IF($M1193&lt;0,"worse","better")),IF(OR($M1193=0,IF(profit_kind="points",ABS($M1193),ABS($M1193*$H1193))&lt;profit_line*(1-1E-9)),"in line",IF(AND(ISNUMBER($N1193),$N1193&lt;significance_bar),IF($M1193&lt;0,"worse","better"),IF($M1193&lt;0,"worse, not significant","better, not significant")))))</f>
        <v/>
      </c>
      <c r="Y1193">
        <f>IF($V1193,$X1193,$W1193)</f>
        <v/>
      </c>
      <c r="Z1193">
        <f>IF($V1193,IF($P1193="","",$P1193),IF($O1193="","",$O1193))</f>
        <v/>
      </c>
      <c r="AA1193">
        <f>IF(OR($Q1193="",$Z1193=""),"",IF(AND($Z1193&gt;0,$Z1193&gt;=$Q1193),"yes","below the line"))</f>
        <v/>
      </c>
      <c r="AB1193">
        <f>IF($V1193,IF($M1193="","",$M1193),IF($K1193="","",$K1193))</f>
        <v/>
      </c>
      <c r="AC1193">
        <f>IF($V1193,IF($N1193="","",$N1193),IF($L1193="","",$L1193))</f>
        <v/>
      </c>
      <c r="AD1193">
        <f>IF($Y1193="","",IF($Y1193="in line",IF(profit_kind="test",IF(ROUND($AB1193*100,2)=0,"0.00",TEXT($AB1193*100,"+0.00;-0.00"))&amp;" points against "&amp;IF($V1193,"its band","the book")&amp;", "&amp;IF($AC1193="","not tested","not significant"),IF(profit_kind="points","within "&amp;TEXT(profit_line*100,"0.00")&amp;" points of "&amp;IF($V1193,"its band","the book")&amp;" ("&amp;IF(ROUND($AB1193*100,2)=0,"0.00",TEXT($AB1193*100,"+0.00;-0.00"))&amp;")","within $"&amp;TEXT(profit_line,"#,##0")&amp;" of "&amp;IF($V1193,"its band","the book")&amp;" ("&amp;IF(ROUND($AB1193*100,2)=0,"0.00",TEXT($AB1193*100,"+0.00;-0.00"))&amp;" points)")),IF(LEFT($Y1193,5)="worse","short of ","ahead of ")&amp;IF($V1193,"its band","the book")&amp;" by "&amp;TEXT(ABS($AB1193)*100,"0.00")&amp;" points"&amp;IF($Z1193="",""," ($"&amp;TEXT(ABS($Z1193),"#,##0")&amp;")")&amp;IF(RIGHT($Y1193,15)="not significant"," (not significant)","")))</f>
        <v/>
      </c>
      <c r="AE1193">
        <f>IF($V1193,IF($S1193="","",$S1193),IF($R1193="","",$R1193))</f>
        <v/>
      </c>
      <c r="AF1193">
        <f>IF($V1193,IF($U1193="","",$U1193),IF($T1193="","",$T1193))</f>
        <v/>
      </c>
      <c r="AG1193">
        <f>IF($V1193,IF($O1193="","",$O1193),IF($P1193="","",$P1193))</f>
        <v/>
      </c>
      <c r="AH1193" t="n">
        <v>0.1773567856754636</v>
      </c>
      <c r="AI1193">
        <f>IF($Y1193="worse","Yes",IF($Y1193="worse, not significant","Not sure",IF(OR($Y1193="too few losses to test",$Y1193="too few loans to test"),"Too few losses",IF($Y1193="","","No"))))</f>
        <v/>
      </c>
      <c r="AJ1193">
        <f>IF($AA1193="yes","Yes",IF($AA1193="","","No"))</f>
        <v/>
      </c>
    </row>
    <row r="1194">
      <c r="A1194" t="inlineStr">
        <is>
          <t>three-way</t>
        </is>
      </c>
      <c r="B1194" t="inlineStr">
        <is>
          <t>ORIG_BAL x ASSET_CLASS / SYS_FLAG</t>
        </is>
      </c>
      <c r="C1194" t="inlineStr">
        <is>
          <t>26,324 - 37,950</t>
        </is>
      </c>
      <c r="D1194" t="inlineStr">
        <is>
          <t>3 / SYS_FLAG Y</t>
        </is>
      </c>
      <c r="E1194" t="inlineStr">
        <is>
          <t>outcome_loans</t>
        </is>
      </c>
      <c r="F1194" t="inlineStr">
        <is>
          <t>Outcome, share of loans</t>
        </is>
      </c>
      <c r="G1194" t="n">
        <v>169</v>
      </c>
      <c r="H1194" t="n">
        <v>169</v>
      </c>
      <c r="I1194" t="b">
        <v>0</v>
      </c>
      <c r="J1194" t="b">
        <v>0</v>
      </c>
      <c r="K1194" t="n">
        <v>0.8382318592338835</v>
      </c>
      <c r="L1194" t="n">
        <v>0.7933268312298792</v>
      </c>
      <c r="M1194" t="n">
        <v>0.9395134779750164</v>
      </c>
      <c r="N1194" t="n">
        <v>0.8946811478392365</v>
      </c>
      <c r="O1194" t="n">
        <v>-2.122860791826309</v>
      </c>
      <c r="P1194" t="n">
        <v>-0.7081875437368783</v>
      </c>
      <c r="Q1194">
        <f>'_live'!$C$20</f>
        <v/>
      </c>
      <c r="R1194" t="inlineStr">
        <is>
          <t>z test</t>
        </is>
      </c>
      <c r="S1194" t="inlineStr">
        <is>
          <t>z test</t>
        </is>
      </c>
      <c r="T1194" t="n">
        <v>0.07765006385696041</v>
      </c>
      <c r="U1194" t="n">
        <v>0.06927921623512946</v>
      </c>
      <c r="V1194">
        <f>AND(judged_band,NOT($J1194))</f>
        <v/>
      </c>
      <c r="W1194">
        <f>IF($K1194="","",IF($I1194,"too few losses to test",IF(AND($K1194&gt;better_at,$K1194&lt;worse_at),"in line",IF($K1194&gt;=worse_at,IF(AND(ISNUMBER($L1194),$L1194&lt;significance_bar),"worse","worse, not significant"),IF(AND(ISNUMBER($L1194),$L1194&lt;significance_bar),"better","better, not significant")))))</f>
        <v/>
      </c>
      <c r="X1194">
        <f>IF($M1194="","",IF($I1194,"too few losses to test",IF(AND($M1194&gt;better_at,$M1194&lt;worse_at),"in line",IF($M1194&gt;=worse_at,IF(AND(ISNUMBER($N1194),$N1194&lt;significance_bar),"worse","worse, not significant"),IF(AND(ISNUMBER($N1194),$N1194&lt;significance_bar),"better","better, not significant")))))</f>
        <v/>
      </c>
      <c r="Y1194">
        <f>IF($V1194,$X1194,$W1194)</f>
        <v/>
      </c>
      <c r="Z1194">
        <f>IF($V1194,IF($P1194="","",$P1194),IF($O1194="","",$O1194))</f>
        <v/>
      </c>
      <c r="AA1194">
        <f>IF(OR($Q1194="",$Z1194=""),"",IF(AND($Z1194&gt;0,$Z1194&gt;=$Q1194),"yes","below the line"))</f>
        <v/>
      </c>
      <c r="AB1194">
        <f>IF($V1194,IF($M1194="","",$M1194),IF($K1194="","",$K1194))</f>
        <v/>
      </c>
      <c r="AC1194">
        <f>IF($V1194,IF($N1194="","",$N1194),IF($L1194="","",$L1194))</f>
        <v/>
      </c>
      <c r="AD1194">
        <f>$Y1194</f>
        <v/>
      </c>
      <c r="AE1194">
        <f>IF($V1194,IF($S1194="","",$S1194),IF($R1194="","",$R1194))</f>
        <v/>
      </c>
      <c r="AF1194">
        <f>IF($V1194,IF($U1194="","",$U1194),IF($T1194="","",$T1194))</f>
        <v/>
      </c>
      <c r="AG1194">
        <f>IF($V1194,IF($O1194="","",$O1194),IF($P1194="","",$P1194))</f>
        <v/>
      </c>
      <c r="AH1194" t="n">
        <v>0.0650887573964497</v>
      </c>
      <c r="AI1194">
        <f>IF($Y1194="worse","Yes",IF($Y1194="worse, not significant","Not sure",IF(OR($Y1194="too few losses to test",$Y1194="too few loans to test"),"Too few losses",IF($Y1194="","","No"))))</f>
        <v/>
      </c>
      <c r="AJ1194">
        <f>IF($AA1194="yes","Yes",IF($AA1194="","","No"))</f>
        <v/>
      </c>
    </row>
    <row r="1195">
      <c r="A1195" t="inlineStr">
        <is>
          <t>three-way</t>
        </is>
      </c>
      <c r="B1195" t="inlineStr">
        <is>
          <t>ORIG_BAL x ASSET_CLASS / SYS_FLAG</t>
        </is>
      </c>
      <c r="C1195" t="inlineStr">
        <is>
          <t>26,324 - 37,950</t>
        </is>
      </c>
      <c r="D1195" t="inlineStr">
        <is>
          <t>3 / SYS_FLAG Y</t>
        </is>
      </c>
      <c r="E1195" t="inlineStr">
        <is>
          <t>outcome_booked</t>
        </is>
      </c>
      <c r="F1195" t="inlineStr">
        <is>
          <t>Outcome, share of booked dollars</t>
        </is>
      </c>
      <c r="G1195" t="n">
        <v>169</v>
      </c>
      <c r="H1195" t="n">
        <v>5441729.010000002</v>
      </c>
      <c r="I1195" t="b">
        <v>0</v>
      </c>
      <c r="J1195" t="b">
        <v>0</v>
      </c>
      <c r="K1195" t="n">
        <v>0.8680035947888476</v>
      </c>
      <c r="L1195" t="n">
        <v>0.8613995743282814</v>
      </c>
      <c r="M1195" t="n">
        <v>0.9496493720400172</v>
      </c>
      <c r="N1195" t="n">
        <v>0.9301469853014698</v>
      </c>
      <c r="O1195" t="n">
        <v>-53898.76765146659</v>
      </c>
      <c r="P1195" t="n">
        <v>-18792.29673580226</v>
      </c>
      <c r="Q1195">
        <f>'_live'!$C$21</f>
        <v/>
      </c>
      <c r="R1195" t="inlineStr">
        <is>
          <t>shuffled: 6,657 of 10,000</t>
        </is>
      </c>
      <c r="S1195" t="inlineStr">
        <is>
          <t>shuffled: 8,720 of 10,000</t>
        </is>
      </c>
      <c r="T1195" t="n">
        <v>0.07503775305626005</v>
      </c>
      <c r="U1195" t="n">
        <v>0.06858640811586503</v>
      </c>
      <c r="V1195">
        <f>AND(judged_band,NOT($J1195))</f>
        <v/>
      </c>
      <c r="W1195">
        <f>IF($K1195="","",IF($I1195,"too few losses to test",IF(AND($K1195&gt;better_at,$K1195&lt;worse_at),"in line",IF($K1195&gt;=worse_at,IF(AND(ISNUMBER($L1195),$L1195&lt;significance_bar),"worse","worse, not significant"),IF(AND(ISNUMBER($L1195),$L1195&lt;significance_bar),"better","better, not significant")))))</f>
        <v/>
      </c>
      <c r="X1195">
        <f>IF($M1195="","",IF($I1195,"too few losses to test",IF(AND($M1195&gt;better_at,$M1195&lt;worse_at),"in line",IF($M1195&gt;=worse_at,IF(AND(ISNUMBER($N1195),$N1195&lt;significance_bar),"worse","worse, not significant"),IF(AND(ISNUMBER($N1195),$N1195&lt;significance_bar),"better","better, not significant")))))</f>
        <v/>
      </c>
      <c r="Y1195">
        <f>IF($V1195,$X1195,$W1195)</f>
        <v/>
      </c>
      <c r="Z1195">
        <f>IF($V1195,IF($P1195="","",$P1195),IF($O1195="","",$O1195))</f>
        <v/>
      </c>
      <c r="AA1195">
        <f>IF(OR($Q1195="",$Z1195=""),"",IF(AND($Z1195&gt;0,$Z1195&gt;=$Q1195),"yes","below the line"))</f>
        <v/>
      </c>
      <c r="AB1195">
        <f>IF($V1195,IF($M1195="","",$M1195),IF($K1195="","",$K1195))</f>
        <v/>
      </c>
      <c r="AC1195">
        <f>IF($V1195,IF($N1195="","",$N1195),IF($L1195="","",$L1195))</f>
        <v/>
      </c>
      <c r="AD1195">
        <f>$Y1195</f>
        <v/>
      </c>
      <c r="AE1195">
        <f>IF($V1195,IF($S1195="","",$S1195),IF($R1195="","",$R1195))</f>
        <v/>
      </c>
      <c r="AF1195">
        <f>IF($V1195,IF($U1195="","",$U1195),IF($T1195="","",$T1195))</f>
        <v/>
      </c>
      <c r="AG1195">
        <f>IF($V1195,IF($O1195="","",$O1195),IF($P1195="","",$P1195))</f>
        <v/>
      </c>
      <c r="AH1195" t="n">
        <v>0.06513303939771156</v>
      </c>
      <c r="AI1195">
        <f>IF($Y1195="worse","Yes",IF($Y1195="worse, not significant","Not sure",IF(OR($Y1195="too few losses to test",$Y1195="too few loans to test"),"Too few losses",IF($Y1195="","","No"))))</f>
        <v/>
      </c>
      <c r="AJ1195">
        <f>IF($AA1195="yes","Yes",IF($AA1195="","","No"))</f>
        <v/>
      </c>
    </row>
    <row r="1196">
      <c r="A1196" t="inlineStr">
        <is>
          <t>three-way</t>
        </is>
      </c>
      <c r="B1196" t="inlineStr">
        <is>
          <t>ORIG_BAL x ASSET_CLASS / SYS_FLAG</t>
        </is>
      </c>
      <c r="C1196" t="inlineStr">
        <is>
          <t>26,324 - 37,950</t>
        </is>
      </c>
      <c r="D1196" t="inlineStr">
        <is>
          <t>3 / SYS_FLAG Y</t>
        </is>
      </c>
      <c r="E1196" t="inlineStr">
        <is>
          <t>gco_rate</t>
        </is>
      </c>
      <c r="F1196" t="inlineStr">
        <is>
          <t>GCO per booked dollar</t>
        </is>
      </c>
      <c r="G1196" t="n">
        <v>169</v>
      </c>
      <c r="H1196" t="n">
        <v>5441729.010000002</v>
      </c>
      <c r="I1196" t="b">
        <v>0</v>
      </c>
      <c r="J1196" t="b">
        <v>0</v>
      </c>
      <c r="K1196" t="n">
        <v>0.8439358228624835</v>
      </c>
      <c r="L1196" t="n">
        <v>0.9412575983780932</v>
      </c>
      <c r="M1196" t="n">
        <v>0.9340831797332976</v>
      </c>
      <c r="N1196" t="n">
        <v>0.8843115688431157</v>
      </c>
      <c r="O1196" t="n">
        <v>-35450.32324505522</v>
      </c>
      <c r="P1196" t="n">
        <v>-13528.10895441359</v>
      </c>
      <c r="Q1196">
        <f>'_live'!$C$22</f>
        <v/>
      </c>
      <c r="R1196" t="inlineStr">
        <is>
          <t>shuffled: 6,180 of 10,000</t>
        </is>
      </c>
      <c r="S1196" t="inlineStr">
        <is>
          <t>shuffled: 8,346 of 10,000</t>
        </is>
      </c>
      <c r="T1196" t="n">
        <v>0.04174265437099654</v>
      </c>
      <c r="U1196" t="n">
        <v>0.03771411596889011</v>
      </c>
      <c r="V1196">
        <f>AND(judged_band,NOT($J1196))</f>
        <v/>
      </c>
      <c r="W1196">
        <f>IF($K1196="","",IF($I1196,"too few losses to test",IF(AND($K1196&gt;better_at,$K1196&lt;worse_at),"in line",IF($K1196&gt;=worse_at,IF(AND(ISNUMBER($L1196),$L1196&lt;significance_bar),"worse","worse, not significant"),IF(AND(ISNUMBER($L1196),$L1196&lt;significance_bar),"better","better, not significant")))))</f>
        <v/>
      </c>
      <c r="X1196">
        <f>IF($M1196="","",IF($I1196,"too few losses to test",IF(AND($M1196&gt;better_at,$M1196&lt;worse_at),"in line",IF($M1196&gt;=worse_at,IF(AND(ISNUMBER($N1196),$N1196&lt;significance_bar),"worse","worse, not significant"),IF(AND(ISNUMBER($N1196),$N1196&lt;significance_bar),"better","better, not significant")))))</f>
        <v/>
      </c>
      <c r="Y1196">
        <f>IF($V1196,$X1196,$W1196)</f>
        <v/>
      </c>
      <c r="Z1196">
        <f>IF($V1196,IF($P1196="","",$P1196),IF($O1196="","",$O1196))</f>
        <v/>
      </c>
      <c r="AA1196">
        <f>IF(OR($Q1196="",$Z1196=""),"",IF(AND($Z1196&gt;0,$Z1196&gt;=$Q1196),"yes","below the line"))</f>
        <v/>
      </c>
      <c r="AB1196">
        <f>IF($V1196,IF($M1196="","",$M1196),IF($K1196="","",$K1196))</f>
        <v/>
      </c>
      <c r="AC1196">
        <f>IF($V1196,IF($N1196="","",$N1196),IF($L1196="","",$L1196))</f>
        <v/>
      </c>
      <c r="AD1196">
        <f>$Y1196</f>
        <v/>
      </c>
      <c r="AE1196">
        <f>IF($V1196,IF($S1196="","",$S1196),IF($R1196="","",$R1196))</f>
        <v/>
      </c>
      <c r="AF1196">
        <f>IF($V1196,IF($U1196="","",$U1196),IF($T1196="","",$T1196))</f>
        <v/>
      </c>
      <c r="AG1196">
        <f>IF($V1196,IF($O1196="","",$O1196),IF($P1196="","",$P1196))</f>
        <v/>
      </c>
      <c r="AH1196" t="n">
        <v>0.03522812136505121</v>
      </c>
      <c r="AI1196">
        <f>IF($Y1196="worse","Yes",IF($Y1196="worse, not significant","Not sure",IF(OR($Y1196="too few losses to test",$Y1196="too few loans to test"),"Too few losses",IF($Y1196="","","No"))))</f>
        <v/>
      </c>
      <c r="AJ1196">
        <f>IF($AA1196="yes","Yes",IF($AA1196="","","No"))</f>
        <v/>
      </c>
    </row>
    <row r="1197">
      <c r="A1197" t="inlineStr">
        <is>
          <t>three-way</t>
        </is>
      </c>
      <c r="B1197" t="inlineStr">
        <is>
          <t>ORIG_BAL x ASSET_CLASS / SYS_FLAG</t>
        </is>
      </c>
      <c r="C1197" t="inlineStr">
        <is>
          <t>26,324 - 37,950</t>
        </is>
      </c>
      <c r="D1197" t="inlineStr">
        <is>
          <t>3 / SYS_FLAG Y</t>
        </is>
      </c>
      <c r="E1197" t="inlineStr">
        <is>
          <t>ranr_rate</t>
        </is>
      </c>
      <c r="F1197" t="inlineStr">
        <is>
          <t>Profit after losses: RANR per booked dollar</t>
        </is>
      </c>
      <c r="G1197" t="n">
        <v>169</v>
      </c>
      <c r="H1197" t="n">
        <v>5441729.010000002</v>
      </c>
      <c r="I1197" t="b">
        <v>0</v>
      </c>
      <c r="J1197" t="b">
        <v>0</v>
      </c>
      <c r="K1197" t="n">
        <v>0.008802779530678012</v>
      </c>
      <c r="L1197" t="n">
        <v>0.8120616509777595</v>
      </c>
      <c r="M1197" t="n">
        <v>0.00593675345868111</v>
      </c>
      <c r="N1197" t="n">
        <v>0.826220408262204</v>
      </c>
      <c r="O1197" t="n">
        <v>-47902.3407407247</v>
      </c>
      <c r="P1197" t="n">
        <v>-32306.20352132281</v>
      </c>
      <c r="Q1197">
        <f>'_live'!$C$23</f>
        <v/>
      </c>
      <c r="R1197" t="inlineStr">
        <is>
          <t>shuffled: 5,684 of 10,000</t>
        </is>
      </c>
      <c r="S1197" t="inlineStr">
        <is>
          <t>shuffled: 6,816 of 10,000</t>
        </is>
      </c>
      <c r="T1197" t="n">
        <v>0.127804430904448</v>
      </c>
      <c r="U1197" t="n">
        <v>0.1306704569764449</v>
      </c>
      <c r="V1197">
        <f>AND(judged_band,NOT($J1197))</f>
        <v/>
      </c>
      <c r="W1197">
        <f>IF($K1197="","",IF(profit_kind="test",IF(OR(NOT(AND(ISNUMBER($L1197),$L1197&lt;significance_bar)),$K1197=0),"in line",IF($K1197&lt;0,"worse","better")),IF(OR($K1197=0,IF(profit_kind="points",ABS($K1197),ABS($K1197*$H1197))&lt;profit_line*(1-1E-9)),"in line",IF(AND(ISNUMBER($L1197),$L1197&lt;significance_bar),IF($K1197&lt;0,"worse","better"),IF($K1197&lt;0,"worse, not significant","better, not significant")))))</f>
        <v/>
      </c>
      <c r="X1197">
        <f>IF($M1197="","",IF(profit_kind="test",IF(OR(NOT(AND(ISNUMBER($N1197),$N1197&lt;significance_bar)),$M1197=0),"in line",IF($M1197&lt;0,"worse","better")),IF(OR($M1197=0,IF(profit_kind="points",ABS($M1197),ABS($M1197*$H1197))&lt;profit_line*(1-1E-9)),"in line",IF(AND(ISNUMBER($N1197),$N1197&lt;significance_bar),IF($M1197&lt;0,"worse","better"),IF($M1197&lt;0,"worse, not significant","better, not significant")))))</f>
        <v/>
      </c>
      <c r="Y1197">
        <f>IF($V1197,$X1197,$W1197)</f>
        <v/>
      </c>
      <c r="Z1197">
        <f>IF($V1197,IF($P1197="","",$P1197),IF($O1197="","",$O1197))</f>
        <v/>
      </c>
      <c r="AA1197">
        <f>IF(OR($Q1197="",$Z1197=""),"",IF(AND($Z1197&gt;0,$Z1197&gt;=$Q1197),"yes","below the line"))</f>
        <v/>
      </c>
      <c r="AB1197">
        <f>IF($V1197,IF($M1197="","",$M1197),IF($K1197="","",$K1197))</f>
        <v/>
      </c>
      <c r="AC1197">
        <f>IF($V1197,IF($N1197="","",$N1197),IF($L1197="","",$L1197))</f>
        <v/>
      </c>
      <c r="AD1197">
        <f>IF($Y1197="","",IF($Y1197="in line",IF(profit_kind="test",IF(ROUND($AB1197*100,2)=0,"0.00",TEXT($AB1197*100,"+0.00;-0.00"))&amp;" points against "&amp;IF($V1197,"its band","the book")&amp;", "&amp;IF($AC1197="","not tested","not significant"),IF(profit_kind="points","within "&amp;TEXT(profit_line*100,"0.00")&amp;" points of "&amp;IF($V1197,"its band","the book")&amp;" ("&amp;IF(ROUND($AB1197*100,2)=0,"0.00",TEXT($AB1197*100,"+0.00;-0.00"))&amp;")","within $"&amp;TEXT(profit_line,"#,##0")&amp;" of "&amp;IF($V1197,"its band","the book")&amp;" ("&amp;IF(ROUND($AB1197*100,2)=0,"0.00",TEXT($AB1197*100,"+0.00;-0.00"))&amp;" points)")),IF(LEFT($Y1197,5)="worse","short of ","ahead of ")&amp;IF($V1197,"its band","the book")&amp;" by "&amp;TEXT(ABS($AB1197)*100,"0.00")&amp;" points"&amp;IF($Z1197="",""," ($"&amp;TEXT(ABS($Z1197),"#,##0")&amp;")")&amp;IF(RIGHT($Y1197,15)="not significant"," (not significant)","")))</f>
        <v/>
      </c>
      <c r="AE1197">
        <f>IF($V1197,IF($S1197="","",$S1197),IF($R1197="","",$R1197))</f>
        <v/>
      </c>
      <c r="AF1197">
        <f>IF($V1197,IF($U1197="","",$U1197),IF($T1197="","",$T1197))</f>
        <v/>
      </c>
      <c r="AG1197">
        <f>IF($V1197,IF($O1197="","",$O1197),IF($P1197="","",$P1197))</f>
        <v/>
      </c>
      <c r="AH1197" t="n">
        <v>0.136607210435126</v>
      </c>
      <c r="AI1197">
        <f>IF($Y1197="worse","Yes",IF($Y1197="worse, not significant","Not sure",IF(OR($Y1197="too few losses to test",$Y1197="too few loans to test"),"Too few losses",IF($Y1197="","","No"))))</f>
        <v/>
      </c>
      <c r="AJ1197">
        <f>IF($AA1197="yes","Yes",IF($AA1197="","","No"))</f>
        <v/>
      </c>
    </row>
    <row r="1198">
      <c r="A1198" t="inlineStr">
        <is>
          <t>three-way</t>
        </is>
      </c>
      <c r="B1198" t="inlineStr">
        <is>
          <t>ORIG_BAL x ASSET_CLASS / SYS_FLAG</t>
        </is>
      </c>
      <c r="C1198" t="inlineStr">
        <is>
          <t>26,324 - 37,950</t>
        </is>
      </c>
      <c r="D1198" t="inlineStr">
        <is>
          <t>3 / SYS_FLAG Y</t>
        </is>
      </c>
      <c r="E1198" t="inlineStr">
        <is>
          <t>contribution_rate</t>
        </is>
      </c>
      <c r="F1198" t="inlineStr">
        <is>
          <t>Contribution before losses per booked dollar</t>
        </is>
      </c>
      <c r="G1198" t="n">
        <v>169</v>
      </c>
      <c r="H1198" t="n">
        <v>5441729.010000002</v>
      </c>
      <c r="I1198" t="b">
        <v>0</v>
      </c>
      <c r="J1198" t="b">
        <v>0</v>
      </c>
      <c r="K1198" t="n">
        <v>0.002291196533687978</v>
      </c>
      <c r="L1198" t="n">
        <v>0.9955004499550044</v>
      </c>
      <c r="M1198" t="n">
        <v>0.003450758854842195</v>
      </c>
      <c r="N1198" t="n">
        <v>0.892759208927592</v>
      </c>
      <c r="O1198" t="n">
        <v>-12468.07064498134</v>
      </c>
      <c r="P1198" t="n">
        <v>-18778.09456690913</v>
      </c>
      <c r="Q1198">
        <f>'_live'!$C$24</f>
        <v/>
      </c>
      <c r="R1198" t="inlineStr">
        <is>
          <t>shuffled: 8,214 of 10,000</t>
        </is>
      </c>
      <c r="S1198" t="inlineStr">
        <is>
          <t>shuffled: 7,255 of 10,000</t>
        </is>
      </c>
      <c r="T1198" t="n">
        <v>0.1695441352664893</v>
      </c>
      <c r="U1198" t="n">
        <v>0.168384572945335</v>
      </c>
      <c r="V1198">
        <f>AND(judged_band,NOT($J1198))</f>
        <v/>
      </c>
      <c r="W1198">
        <f>IF($K1198="","",IF(profit_kind="test",IF(OR(NOT(AND(ISNUMBER($L1198),$L1198&lt;significance_bar)),$K1198=0),"in line",IF($K1198&lt;0,"worse","better")),IF(OR($K1198=0,IF(profit_kind="points",ABS($K1198),ABS($K1198*$H1198))&lt;profit_line*(1-1E-9)),"in line",IF(AND(ISNUMBER($L1198),$L1198&lt;significance_bar),IF($K1198&lt;0,"worse","better"),IF($K1198&lt;0,"worse, not significant","better, not significant")))))</f>
        <v/>
      </c>
      <c r="X1198">
        <f>IF($M1198="","",IF(profit_kind="test",IF(OR(NOT(AND(ISNUMBER($N1198),$N1198&lt;significance_bar)),$M1198=0),"in line",IF($M1198&lt;0,"worse","better")),IF(OR($M1198=0,IF(profit_kind="points",ABS($M1198),ABS($M1198*$H1198))&lt;profit_line*(1-1E-9)),"in line",IF(AND(ISNUMBER($N1198),$N1198&lt;significance_bar),IF($M1198&lt;0,"worse","better"),IF($M1198&lt;0,"worse, not significant","better, not significant")))))</f>
        <v/>
      </c>
      <c r="Y1198">
        <f>IF($V1198,$X1198,$W1198)</f>
        <v/>
      </c>
      <c r="Z1198">
        <f>IF($V1198,IF($P1198="","",$P1198),IF($O1198="","",$O1198))</f>
        <v/>
      </c>
      <c r="AA1198">
        <f>IF(OR($Q1198="",$Z1198=""),"",IF(AND($Z1198&gt;0,$Z1198&gt;=$Q1198),"yes","below the line"))</f>
        <v/>
      </c>
      <c r="AB1198">
        <f>IF($V1198,IF($M1198="","",$M1198),IF($K1198="","",$K1198))</f>
        <v/>
      </c>
      <c r="AC1198">
        <f>IF($V1198,IF($N1198="","",$N1198),IF($L1198="","",$L1198))</f>
        <v/>
      </c>
      <c r="AD1198">
        <f>IF($Y1198="","",IF($Y1198="in line",IF(profit_kind="test",IF(ROUND($AB1198*100,2)=0,"0.00",TEXT($AB1198*100,"+0.00;-0.00"))&amp;" points against "&amp;IF($V1198,"its band","the book")&amp;", "&amp;IF($AC1198="","not tested","not significant"),IF(profit_kind="points","within "&amp;TEXT(profit_line*100,"0.00")&amp;" points of "&amp;IF($V1198,"its band","the book")&amp;" ("&amp;IF(ROUND($AB1198*100,2)=0,"0.00",TEXT($AB1198*100,"+0.00;-0.00"))&amp;")","within $"&amp;TEXT(profit_line,"#,##0")&amp;" of "&amp;IF($V1198,"its band","the book")&amp;" ("&amp;IF(ROUND($AB1198*100,2)=0,"0.00",TEXT($AB1198*100,"+0.00;-0.00"))&amp;" points)")),IF(LEFT($Y1198,5)="worse","short of ","ahead of ")&amp;IF($V1198,"its band","the book")&amp;" by "&amp;TEXT(ABS($AB1198)*100,"0.00")&amp;" points"&amp;IF($Z1198="",""," ($"&amp;TEXT(ABS($Z1198),"#,##0")&amp;")")&amp;IF(RIGHT($Y1198,15)="not significant"," (not significant)","")))</f>
        <v/>
      </c>
      <c r="AE1198">
        <f>IF($V1198,IF($S1198="","",$S1198),IF($R1198="","",$R1198))</f>
        <v/>
      </c>
      <c r="AF1198">
        <f>IF($V1198,IF($U1198="","",$U1198),IF($T1198="","",$T1198))</f>
        <v/>
      </c>
      <c r="AG1198">
        <f>IF($V1198,IF($O1198="","",$O1198),IF($P1198="","",$P1198))</f>
        <v/>
      </c>
      <c r="AH1198" t="n">
        <v>0.1718353318001772</v>
      </c>
      <c r="AI1198">
        <f>IF($Y1198="worse","Yes",IF($Y1198="worse, not significant","Not sure",IF(OR($Y1198="too few losses to test",$Y1198="too few loans to test"),"Too few losses",IF($Y1198="","","No"))))</f>
        <v/>
      </c>
      <c r="AJ1198">
        <f>IF($AA1198="yes","Yes",IF($AA1198="","","No"))</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676"/>
  <sheetViews>
    <sheetView tabSelected="0" workbookViewId="0">
      <selection activeCell="A1" sqref="A1"/>
    </sheetView>
  </sheetViews>
  <sheetFormatPr baseColWidth="8" defaultRowHeight="15"/>
  <sheetData>
    <row r="1">
      <c r="A1" s="139" t="inlineStr">
        <is>
          <t>Pockets</t>
        </is>
      </c>
      <c r="B1" s="139" t="inlineStr">
        <is>
          <t>Measure</t>
        </is>
      </c>
      <c r="C1" s="139" t="inlineStr">
        <is>
          <t>_pockets row</t>
        </is>
      </c>
      <c r="D1" s="139" t="inlineStr">
        <is>
          <t>Band</t>
        </is>
      </c>
      <c r="E1" s="139" t="inlineStr">
        <is>
          <t>Segment</t>
        </is>
      </c>
      <c r="F1" s="139" t="inlineStr">
        <is>
          <t>Half</t>
        </is>
      </c>
      <c r="G1" s="139" t="inlineStr">
        <is>
          <t>Loans</t>
        </is>
      </c>
      <c r="H1" s="139" t="inlineStr">
        <is>
          <t>Could have caught (last Run)</t>
        </is>
      </c>
      <c r="I1" s="139" t="inlineStr">
        <is>
          <t>Holds fixed?</t>
        </is>
      </c>
      <c r="J1" s="139" t="inlineStr">
        <is>
          <t>Order (last Run)</t>
        </is>
      </c>
      <c r="K1" s="139" t="inlineStr">
        <is>
          <t>Worse? (live)</t>
        </is>
      </c>
      <c r="L1" s="139" t="inlineStr">
        <is>
          <t>Material? (live)</t>
        </is>
      </c>
      <c r="M1" s="139" t="inlineStr">
        <is>
          <t>Shown now (1: yes)</t>
        </is>
      </c>
      <c r="N1" s="139" t="inlineStr">
        <is>
          <t>Shown so far</t>
        </is>
      </c>
      <c r="O1" s="139" t="inlineStr">
        <is>
          <t>Kind (key)</t>
        </is>
      </c>
      <c r="P1" s="139" t="inlineStr">
        <is>
          <t>Measure (key)</t>
        </is>
      </c>
    </row>
    <row r="2">
      <c r="A2" t="inlineStr">
        <is>
          <t>Two-way</t>
        </is>
      </c>
      <c r="B2" t="inlineStr">
        <is>
          <t>Bad loans</t>
        </is>
      </c>
      <c r="C2" t="n">
        <v>29</v>
      </c>
      <c r="D2" t="inlineStr">
        <is>
          <t>FICO 496 - 653</t>
        </is>
      </c>
      <c r="E2" t="inlineStr">
        <is>
          <t>Broker</t>
        </is>
      </c>
      <c r="G2" t="n">
        <v>523</v>
      </c>
      <c r="H2" t="n">
        <v>1.464786027829929</v>
      </c>
      <c r="J2" t="n">
        <v>1</v>
      </c>
      <c r="K2">
        <f>'_pockets'!$AI$29</f>
        <v/>
      </c>
      <c r="L2">
        <f>'_pockets'!$AJ$29</f>
        <v/>
      </c>
      <c r="M2">
        <f>IF(AND($A2='Pockets'!$D$17,$B2='Pockets'!$C$17,OR('Pockets'!$E$17="All",AND('Pockets'!$E$17="Worse and material",$K2="Yes",$L2="Yes"),AND('Pockets'!$E$17="Worse or not sure",OR($K2="Yes",$K2="Not sure")))),1,0)</f>
        <v/>
      </c>
      <c r="N2">
        <f>$M2</f>
        <v/>
      </c>
      <c r="O2" t="inlineStr">
        <is>
          <t>grids</t>
        </is>
      </c>
      <c r="P2" t="inlineStr">
        <is>
          <t>outcome_loans</t>
        </is>
      </c>
    </row>
    <row r="3">
      <c r="A3" t="inlineStr">
        <is>
          <t>Two-way</t>
        </is>
      </c>
      <c r="B3" t="inlineStr">
        <is>
          <t>Bad loans</t>
        </is>
      </c>
      <c r="C3" t="n">
        <v>39</v>
      </c>
      <c r="D3" t="inlineStr">
        <is>
          <t>FICO 712 - 745</t>
        </is>
      </c>
      <c r="E3" t="inlineStr">
        <is>
          <t>Online</t>
        </is>
      </c>
      <c r="G3" t="n">
        <v>564</v>
      </c>
      <c r="H3" t="n">
        <v>1.448150295811065</v>
      </c>
      <c r="J3" t="n">
        <v>2</v>
      </c>
      <c r="K3">
        <f>'_pockets'!$AI$39</f>
        <v/>
      </c>
      <c r="L3">
        <f>'_pockets'!$AJ$39</f>
        <v/>
      </c>
      <c r="M3">
        <f>IF(AND($A3='Pockets'!$D$17,$B3='Pockets'!$C$17,OR('Pockets'!$E$17="All",AND('Pockets'!$E$17="Worse and material",$K3="Yes",$L3="Yes"),AND('Pockets'!$E$17="Worse or not sure",OR($K3="Yes",$K3="Not sure")))),1,0)</f>
        <v/>
      </c>
      <c r="N3">
        <f>$N2+$M3</f>
        <v/>
      </c>
      <c r="O3" t="inlineStr">
        <is>
          <t>grids</t>
        </is>
      </c>
      <c r="P3" t="inlineStr">
        <is>
          <t>outcome_loans</t>
        </is>
      </c>
    </row>
    <row r="4">
      <c r="A4" t="inlineStr">
        <is>
          <t>Two-way</t>
        </is>
      </c>
      <c r="B4" t="inlineStr">
        <is>
          <t>Bad loans</t>
        </is>
      </c>
      <c r="C4" t="n">
        <v>149</v>
      </c>
      <c r="D4" t="inlineStr">
        <is>
          <t>FICO 496 - 653</t>
        </is>
      </c>
      <c r="E4" t="inlineStr">
        <is>
          <t>ASSET_CLASS 4</t>
        </is>
      </c>
      <c r="G4" t="n">
        <v>392</v>
      </c>
      <c r="H4" t="n">
        <v>1.535532051077121</v>
      </c>
      <c r="J4" t="n">
        <v>3</v>
      </c>
      <c r="K4">
        <f>'_pockets'!$AI$149</f>
        <v/>
      </c>
      <c r="L4">
        <f>'_pockets'!$AJ$149</f>
        <v/>
      </c>
      <c r="M4">
        <f>IF(AND($A4='Pockets'!$D$17,$B4='Pockets'!$C$17,OR('Pockets'!$E$17="All",AND('Pockets'!$E$17="Worse and material",$K4="Yes",$L4="Yes"),AND('Pockets'!$E$17="Worse or not sure",OR($K4="Yes",$K4="Not sure")))),1,0)</f>
        <v/>
      </c>
      <c r="N4">
        <f>$N3+$M4</f>
        <v/>
      </c>
      <c r="O4" t="inlineStr">
        <is>
          <t>grids</t>
        </is>
      </c>
      <c r="P4" t="inlineStr">
        <is>
          <t>outcome_loans</t>
        </is>
      </c>
    </row>
    <row r="5">
      <c r="A5" t="inlineStr">
        <is>
          <t>Two-way</t>
        </is>
      </c>
      <c r="B5" t="inlineStr">
        <is>
          <t>Bad loans</t>
        </is>
      </c>
      <c r="C5" t="n">
        <v>364</v>
      </c>
      <c r="D5" t="inlineStr">
        <is>
          <t>ORIG_BAL 37,951 - 49,151</t>
        </is>
      </c>
      <c r="E5" t="inlineStr">
        <is>
          <t>ASSET_CLASS 4</t>
        </is>
      </c>
      <c r="G5" t="n">
        <v>414</v>
      </c>
      <c r="H5" t="n">
        <v>1.521210593461203</v>
      </c>
      <c r="J5" t="n">
        <v>4</v>
      </c>
      <c r="K5">
        <f>'_pockets'!$AI$364</f>
        <v/>
      </c>
      <c r="L5">
        <f>'_pockets'!$AJ$364</f>
        <v/>
      </c>
      <c r="M5">
        <f>IF(AND($A5='Pockets'!$D$17,$B5='Pockets'!$C$17,OR('Pockets'!$E$17="All",AND('Pockets'!$E$17="Worse and material",$K5="Yes",$L5="Yes"),AND('Pockets'!$E$17="Worse or not sure",OR($K5="Yes",$K5="Not sure")))),1,0)</f>
        <v/>
      </c>
      <c r="N5">
        <f>$N4+$M5</f>
        <v/>
      </c>
      <c r="O5" t="inlineStr">
        <is>
          <t>grids</t>
        </is>
      </c>
      <c r="P5" t="inlineStr">
        <is>
          <t>outcome_loans</t>
        </is>
      </c>
    </row>
    <row r="6">
      <c r="A6" t="inlineStr">
        <is>
          <t>Two-way</t>
        </is>
      </c>
      <c r="B6" t="inlineStr">
        <is>
          <t>Bad loans</t>
        </is>
      </c>
      <c r="C6" t="n">
        <v>189</v>
      </c>
      <c r="D6" t="inlineStr">
        <is>
          <t>FICO 654 - 685</t>
        </is>
      </c>
      <c r="E6" t="inlineStr">
        <is>
          <t>ASSET_CLASS 4</t>
        </is>
      </c>
      <c r="G6" t="n">
        <v>410</v>
      </c>
      <c r="H6" t="n">
        <v>1.523724118574306</v>
      </c>
      <c r="J6" t="n">
        <v>5</v>
      </c>
      <c r="K6">
        <f>'_pockets'!$AI$189</f>
        <v/>
      </c>
      <c r="L6">
        <f>'_pockets'!$AJ$189</f>
        <v/>
      </c>
      <c r="M6">
        <f>IF(AND($A6='Pockets'!$D$17,$B6='Pockets'!$C$17,OR('Pockets'!$E$17="All",AND('Pockets'!$E$17="Worse and material",$K6="Yes",$L6="Yes"),AND('Pockets'!$E$17="Worse or not sure",OR($K6="Yes",$K6="Not sure")))),1,0)</f>
        <v/>
      </c>
      <c r="N6">
        <f>$N5+$M6</f>
        <v/>
      </c>
      <c r="O6" t="inlineStr">
        <is>
          <t>grids</t>
        </is>
      </c>
      <c r="P6" t="inlineStr">
        <is>
          <t>outcome_loans</t>
        </is>
      </c>
    </row>
    <row r="7">
      <c r="A7" t="inlineStr">
        <is>
          <t>Two-way</t>
        </is>
      </c>
      <c r="B7" t="inlineStr">
        <is>
          <t>Bad loans</t>
        </is>
      </c>
      <c r="C7" t="n">
        <v>324</v>
      </c>
      <c r="D7" t="inlineStr">
        <is>
          <t>ORIG_BAL 26,324 - 37,950</t>
        </is>
      </c>
      <c r="E7" t="inlineStr">
        <is>
          <t>ASSET_CLASS 4</t>
        </is>
      </c>
      <c r="G7" t="n">
        <v>412</v>
      </c>
      <c r="H7" t="n">
        <v>1.522462543491954</v>
      </c>
      <c r="J7" t="n">
        <v>6</v>
      </c>
      <c r="K7">
        <f>'_pockets'!$AI$324</f>
        <v/>
      </c>
      <c r="L7">
        <f>'_pockets'!$AJ$324</f>
        <v/>
      </c>
      <c r="M7">
        <f>IF(AND($A7='Pockets'!$D$17,$B7='Pockets'!$C$17,OR('Pockets'!$E$17="All",AND('Pockets'!$E$17="Worse and material",$K7="Yes",$L7="Yes"),AND('Pockets'!$E$17="Worse or not sure",OR($K7="Yes",$K7="Not sure")))),1,0)</f>
        <v/>
      </c>
      <c r="N7">
        <f>$N6+$M7</f>
        <v/>
      </c>
      <c r="O7" t="inlineStr">
        <is>
          <t>grids</t>
        </is>
      </c>
      <c r="P7" t="inlineStr">
        <is>
          <t>outcome_loans</t>
        </is>
      </c>
    </row>
    <row r="8">
      <c r="A8" t="inlineStr">
        <is>
          <t>Two-way</t>
        </is>
      </c>
      <c r="B8" t="inlineStr">
        <is>
          <t>Bad loans</t>
        </is>
      </c>
      <c r="C8" t="n">
        <v>124</v>
      </c>
      <c r="D8" t="inlineStr">
        <is>
          <t>FICO 712 - 745</t>
        </is>
      </c>
      <c r="E8" t="inlineStr">
        <is>
          <t>ASSET_CLASS 4</t>
        </is>
      </c>
      <c r="G8" t="n">
        <v>427</v>
      </c>
      <c r="H8" t="n">
        <v>1.513299527641975</v>
      </c>
      <c r="J8" t="n">
        <v>7</v>
      </c>
      <c r="K8">
        <f>'_pockets'!$AI$124</f>
        <v/>
      </c>
      <c r="L8">
        <f>'_pockets'!$AJ$124</f>
        <v/>
      </c>
      <c r="M8">
        <f>IF(AND($A8='Pockets'!$D$17,$B8='Pockets'!$C$17,OR('Pockets'!$E$17="All",AND('Pockets'!$E$17="Worse and material",$K8="Yes",$L8="Yes"),AND('Pockets'!$E$17="Worse or not sure",OR($K8="Yes",$K8="Not sure")))),1,0)</f>
        <v/>
      </c>
      <c r="N8">
        <f>$N7+$M8</f>
        <v/>
      </c>
      <c r="O8" t="inlineStr">
        <is>
          <t>grids</t>
        </is>
      </c>
      <c r="P8" t="inlineStr">
        <is>
          <t>outcome_loans</t>
        </is>
      </c>
    </row>
    <row r="9">
      <c r="A9" t="inlineStr">
        <is>
          <t>Two-way</t>
        </is>
      </c>
      <c r="B9" t="inlineStr">
        <is>
          <t>Bad loans</t>
        </is>
      </c>
      <c r="C9" t="n">
        <v>249</v>
      </c>
      <c r="D9" t="inlineStr">
        <is>
          <t>ORIG_BAL 15,449 - 26,323</t>
        </is>
      </c>
      <c r="E9" t="inlineStr">
        <is>
          <t>Broker</t>
        </is>
      </c>
      <c r="G9" t="n">
        <v>537</v>
      </c>
      <c r="H9" t="n">
        <v>1.458879081319792</v>
      </c>
      <c r="J9" t="n">
        <v>8</v>
      </c>
      <c r="K9">
        <f>'_pockets'!$AI$249</f>
        <v/>
      </c>
      <c r="L9">
        <f>'_pockets'!$AJ$249</f>
        <v/>
      </c>
      <c r="M9">
        <f>IF(AND($A9='Pockets'!$D$17,$B9='Pockets'!$C$17,OR('Pockets'!$E$17="All",AND('Pockets'!$E$17="Worse and material",$K9="Yes",$L9="Yes"),AND('Pockets'!$E$17="Worse or not sure",OR($K9="Yes",$K9="Not sure")))),1,0)</f>
        <v/>
      </c>
      <c r="N9">
        <f>$N8+$M9</f>
        <v/>
      </c>
      <c r="O9" t="inlineStr">
        <is>
          <t>grids</t>
        </is>
      </c>
      <c r="P9" t="inlineStr">
        <is>
          <t>outcome_loans</t>
        </is>
      </c>
    </row>
    <row r="10">
      <c r="A10" t="inlineStr">
        <is>
          <t>Two-way</t>
        </is>
      </c>
      <c r="B10" t="inlineStr">
        <is>
          <t>Bad loans</t>
        </is>
      </c>
      <c r="C10" t="n">
        <v>299</v>
      </c>
      <c r="D10" t="inlineStr">
        <is>
          <t>ORIG_BAL 49,152 - 59,984</t>
        </is>
      </c>
      <c r="E10" t="inlineStr">
        <is>
          <t>Broker</t>
        </is>
      </c>
      <c r="G10" t="n">
        <v>520</v>
      </c>
      <c r="H10" t="n">
        <v>1.466084548274256</v>
      </c>
      <c r="J10" t="n">
        <v>9</v>
      </c>
      <c r="K10">
        <f>'_pockets'!$AI$299</f>
        <v/>
      </c>
      <c r="L10">
        <f>'_pockets'!$AJ$299</f>
        <v/>
      </c>
      <c r="M10">
        <f>IF(AND($A10='Pockets'!$D$17,$B10='Pockets'!$C$17,OR('Pockets'!$E$17="All",AND('Pockets'!$E$17="Worse and material",$K10="Yes",$L10="Yes"),AND('Pockets'!$E$17="Worse or not sure",OR($K10="Yes",$K10="Not sure")))),1,0)</f>
        <v/>
      </c>
      <c r="N10">
        <f>$N9+$M10</f>
        <v/>
      </c>
      <c r="O10" t="inlineStr">
        <is>
          <t>grids</t>
        </is>
      </c>
      <c r="P10" t="inlineStr">
        <is>
          <t>outcome_loans</t>
        </is>
      </c>
    </row>
    <row r="11">
      <c r="A11" t="inlineStr">
        <is>
          <t>Two-way</t>
        </is>
      </c>
      <c r="B11" t="inlineStr">
        <is>
          <t>Bad loans</t>
        </is>
      </c>
      <c r="C11" t="n">
        <v>64</v>
      </c>
      <c r="D11" t="inlineStr">
        <is>
          <t>FICO 686 - 711</t>
        </is>
      </c>
      <c r="E11" t="inlineStr">
        <is>
          <t>Online</t>
        </is>
      </c>
      <c r="G11" t="n">
        <v>546</v>
      </c>
      <c r="H11" t="n">
        <v>1.455209255059828</v>
      </c>
      <c r="J11" t="n">
        <v>10</v>
      </c>
      <c r="K11">
        <f>'_pockets'!$AI$64</f>
        <v/>
      </c>
      <c r="L11">
        <f>'_pockets'!$AJ$64</f>
        <v/>
      </c>
      <c r="M11">
        <f>IF(AND($A11='Pockets'!$D$17,$B11='Pockets'!$C$17,OR('Pockets'!$E$17="All",AND('Pockets'!$E$17="Worse and material",$K11="Yes",$L11="Yes"),AND('Pockets'!$E$17="Worse or not sure",OR($K11="Yes",$K11="Not sure")))),1,0)</f>
        <v/>
      </c>
      <c r="N11">
        <f>$N10+$M11</f>
        <v/>
      </c>
      <c r="O11" t="inlineStr">
        <is>
          <t>grids</t>
        </is>
      </c>
      <c r="P11" t="inlineStr">
        <is>
          <t>outcome_loans</t>
        </is>
      </c>
    </row>
    <row r="12">
      <c r="A12" t="inlineStr">
        <is>
          <t>Two-way</t>
        </is>
      </c>
      <c r="B12" t="inlineStr">
        <is>
          <t>Bad loans</t>
        </is>
      </c>
      <c r="C12" t="n">
        <v>344</v>
      </c>
      <c r="D12" t="inlineStr">
        <is>
          <t>ORIG_BAL 15,449 - 26,323</t>
        </is>
      </c>
      <c r="E12" t="inlineStr">
        <is>
          <t>ASSET_CLASS 4</t>
        </is>
      </c>
      <c r="G12" t="n">
        <v>413</v>
      </c>
      <c r="H12" t="n">
        <v>1.521835372804717</v>
      </c>
      <c r="J12" t="n">
        <v>11</v>
      </c>
      <c r="K12">
        <f>'_pockets'!$AI$344</f>
        <v/>
      </c>
      <c r="L12">
        <f>'_pockets'!$AJ$344</f>
        <v/>
      </c>
      <c r="M12">
        <f>IF(AND($A12='Pockets'!$D$17,$B12='Pockets'!$C$17,OR('Pockets'!$E$17="All",AND('Pockets'!$E$17="Worse and material",$K12="Yes",$L12="Yes"),AND('Pockets'!$E$17="Worse or not sure",OR($K12="Yes",$K12="Not sure")))),1,0)</f>
        <v/>
      </c>
      <c r="N12">
        <f>$N11+$M12</f>
        <v/>
      </c>
      <c r="O12" t="inlineStr">
        <is>
          <t>grids</t>
        </is>
      </c>
      <c r="P12" t="inlineStr">
        <is>
          <t>outcome_loans</t>
        </is>
      </c>
    </row>
    <row r="13">
      <c r="A13" t="inlineStr">
        <is>
          <t>Two-way</t>
        </is>
      </c>
      <c r="B13" t="inlineStr">
        <is>
          <t>Bad loans</t>
        </is>
      </c>
      <c r="C13" t="n">
        <v>349</v>
      </c>
      <c r="D13" t="inlineStr">
        <is>
          <t>ORIG_BAL 5,005 - 15,448</t>
        </is>
      </c>
      <c r="E13" t="inlineStr">
        <is>
          <t>ASSET_CLASS 4</t>
        </is>
      </c>
      <c r="G13" t="n">
        <v>425</v>
      </c>
      <c r="H13" t="n">
        <v>1.514491717053445</v>
      </c>
      <c r="J13" t="n">
        <v>12</v>
      </c>
      <c r="K13">
        <f>'_pockets'!$AI$349</f>
        <v/>
      </c>
      <c r="L13">
        <f>'_pockets'!$AJ$349</f>
        <v/>
      </c>
      <c r="M13">
        <f>IF(AND($A13='Pockets'!$D$17,$B13='Pockets'!$C$17,OR('Pockets'!$E$17="All",AND('Pockets'!$E$17="Worse and material",$K13="Yes",$L13="Yes"),AND('Pockets'!$E$17="Worse or not sure",OR($K13="Yes",$K13="Not sure")))),1,0)</f>
        <v/>
      </c>
      <c r="N13">
        <f>$N12+$M13</f>
        <v/>
      </c>
      <c r="O13" t="inlineStr">
        <is>
          <t>grids</t>
        </is>
      </c>
      <c r="P13" t="inlineStr">
        <is>
          <t>outcome_loans</t>
        </is>
      </c>
    </row>
    <row r="14">
      <c r="A14" t="inlineStr">
        <is>
          <t>Two-way</t>
        </is>
      </c>
      <c r="B14" t="inlineStr">
        <is>
          <t>Bad loans</t>
        </is>
      </c>
      <c r="C14" t="n">
        <v>384</v>
      </c>
      <c r="D14" t="inlineStr">
        <is>
          <t>ORIG_BAL 49,152 - 59,984</t>
        </is>
      </c>
      <c r="E14" t="inlineStr">
        <is>
          <t>ASSET_CLASS 4</t>
        </is>
      </c>
      <c r="G14" t="n">
        <v>384</v>
      </c>
      <c r="H14" t="n">
        <v>1.541058412532188</v>
      </c>
      <c r="J14" t="n">
        <v>13</v>
      </c>
      <c r="K14">
        <f>'_pockets'!$AI$384</f>
        <v/>
      </c>
      <c r="L14">
        <f>'_pockets'!$AJ$384</f>
        <v/>
      </c>
      <c r="M14">
        <f>IF(AND($A14='Pockets'!$D$17,$B14='Pockets'!$C$17,OR('Pockets'!$E$17="All",AND('Pockets'!$E$17="Worse and material",$K14="Yes",$L14="Yes"),AND('Pockets'!$E$17="Worse or not sure",OR($K14="Yes",$K14="Not sure")))),1,0)</f>
        <v/>
      </c>
      <c r="N14">
        <f>$N13+$M14</f>
        <v/>
      </c>
      <c r="O14" t="inlineStr">
        <is>
          <t>grids</t>
        </is>
      </c>
      <c r="P14" t="inlineStr">
        <is>
          <t>outcome_loans</t>
        </is>
      </c>
    </row>
    <row r="15">
      <c r="A15" t="inlineStr">
        <is>
          <t>Two-way</t>
        </is>
      </c>
      <c r="B15" t="inlineStr">
        <is>
          <t>Bad loans</t>
        </is>
      </c>
      <c r="C15" t="n">
        <v>154</v>
      </c>
      <c r="D15" t="inlineStr">
        <is>
          <t>FICO 686 - 711</t>
        </is>
      </c>
      <c r="E15" t="inlineStr">
        <is>
          <t>ASSET_CLASS 4</t>
        </is>
      </c>
      <c r="G15" t="n">
        <v>407</v>
      </c>
      <c r="H15" t="n">
        <v>1.525634792681764</v>
      </c>
      <c r="J15" t="n">
        <v>14</v>
      </c>
      <c r="K15">
        <f>'_pockets'!$AI$154</f>
        <v/>
      </c>
      <c r="L15">
        <f>'_pockets'!$AJ$154</f>
        <v/>
      </c>
      <c r="M15">
        <f>IF(AND($A15='Pockets'!$D$17,$B15='Pockets'!$C$17,OR('Pockets'!$E$17="All",AND('Pockets'!$E$17="Worse and material",$K15="Yes",$L15="Yes"),AND('Pockets'!$E$17="Worse or not sure",OR($K15="Yes",$K15="Not sure")))),1,0)</f>
        <v/>
      </c>
      <c r="N15">
        <f>$N14+$M15</f>
        <v/>
      </c>
      <c r="O15" t="inlineStr">
        <is>
          <t>grids</t>
        </is>
      </c>
      <c r="P15" t="inlineStr">
        <is>
          <t>outcome_loans</t>
        </is>
      </c>
    </row>
    <row r="16">
      <c r="A16" t="inlineStr">
        <is>
          <t>Two-way</t>
        </is>
      </c>
      <c r="B16" t="inlineStr">
        <is>
          <t>Bad loans</t>
        </is>
      </c>
      <c r="C16" t="n">
        <v>259</v>
      </c>
      <c r="D16" t="inlineStr">
        <is>
          <t>ORIG_BAL 37,951 - 49,151</t>
        </is>
      </c>
      <c r="E16" t="inlineStr">
        <is>
          <t>Broker</t>
        </is>
      </c>
      <c r="G16" t="n">
        <v>531</v>
      </c>
      <c r="H16" t="n">
        <v>1.461380354433167</v>
      </c>
      <c r="J16" t="n">
        <v>15</v>
      </c>
      <c r="K16">
        <f>'_pockets'!$AI$259</f>
        <v/>
      </c>
      <c r="L16">
        <f>'_pockets'!$AJ$259</f>
        <v/>
      </c>
      <c r="M16">
        <f>IF(AND($A16='Pockets'!$D$17,$B16='Pockets'!$C$17,OR('Pockets'!$E$17="All",AND('Pockets'!$E$17="Worse and material",$K16="Yes",$L16="Yes"),AND('Pockets'!$E$17="Worse or not sure",OR($K16="Yes",$K16="Not sure")))),1,0)</f>
        <v/>
      </c>
      <c r="N16">
        <f>$N15+$M16</f>
        <v/>
      </c>
      <c r="O16" t="inlineStr">
        <is>
          <t>grids</t>
        </is>
      </c>
      <c r="P16" t="inlineStr">
        <is>
          <t>outcome_loans</t>
        </is>
      </c>
    </row>
    <row r="17">
      <c r="A17" t="inlineStr">
        <is>
          <t>Two-way</t>
        </is>
      </c>
      <c r="B17" t="inlineStr">
        <is>
          <t>Bad loans</t>
        </is>
      </c>
      <c r="C17" t="n">
        <v>379</v>
      </c>
      <c r="D17" t="inlineStr">
        <is>
          <t>ORIG_BAL 37,951 - 49,151</t>
        </is>
      </c>
      <c r="E17" t="inlineStr">
        <is>
          <t>ASSET_CLASS 3</t>
        </is>
      </c>
      <c r="G17" t="n">
        <v>382</v>
      </c>
      <c r="H17" t="n">
        <v>1.542468439762461</v>
      </c>
      <c r="J17" t="n">
        <v>16</v>
      </c>
      <c r="K17">
        <f>'_pockets'!$AI$379</f>
        <v/>
      </c>
      <c r="L17">
        <f>'_pockets'!$AJ$379</f>
        <v/>
      </c>
      <c r="M17">
        <f>IF(AND($A17='Pockets'!$D$17,$B17='Pockets'!$C$17,OR('Pockets'!$E$17="All",AND('Pockets'!$E$17="Worse and material",$K17="Yes",$L17="Yes"),AND('Pockets'!$E$17="Worse or not sure",OR($K17="Yes",$K17="Not sure")))),1,0)</f>
        <v/>
      </c>
      <c r="N17">
        <f>$N16+$M17</f>
        <v/>
      </c>
      <c r="O17" t="inlineStr">
        <is>
          <t>grids</t>
        </is>
      </c>
      <c r="P17" t="inlineStr">
        <is>
          <t>outcome_loans</t>
        </is>
      </c>
    </row>
    <row r="18">
      <c r="A18" t="inlineStr">
        <is>
          <t>Two-way</t>
        </is>
      </c>
      <c r="B18" t="inlineStr">
        <is>
          <t>Bad loans</t>
        </is>
      </c>
      <c r="C18" t="n">
        <v>94</v>
      </c>
      <c r="D18" t="inlineStr">
        <is>
          <t>FICO (marked missing)</t>
        </is>
      </c>
      <c r="E18" t="inlineStr">
        <is>
          <t>Broker</t>
        </is>
      </c>
      <c r="G18" t="n">
        <v>54</v>
      </c>
      <c r="H18" t="n">
        <v>2.515266476498722</v>
      </c>
      <c r="J18" t="n">
        <v>17</v>
      </c>
      <c r="K18">
        <f>'_pockets'!$AI$94</f>
        <v/>
      </c>
      <c r="L18">
        <f>'_pockets'!$AJ$94</f>
        <v/>
      </c>
      <c r="M18">
        <f>IF(AND($A18='Pockets'!$D$17,$B18='Pockets'!$C$17,OR('Pockets'!$E$17="All",AND('Pockets'!$E$17="Worse and material",$K18="Yes",$L18="Yes"),AND('Pockets'!$E$17="Worse or not sure",OR($K18="Yes",$K18="Not sure")))),1,0)</f>
        <v/>
      </c>
      <c r="N18">
        <f>$N17+$M18</f>
        <v/>
      </c>
      <c r="O18" t="inlineStr">
        <is>
          <t>grids</t>
        </is>
      </c>
      <c r="P18" t="inlineStr">
        <is>
          <t>outcome_loans</t>
        </is>
      </c>
    </row>
    <row r="19">
      <c r="A19" t="inlineStr">
        <is>
          <t>Two-way</t>
        </is>
      </c>
      <c r="B19" t="inlineStr">
        <is>
          <t>Bad loans</t>
        </is>
      </c>
      <c r="C19" t="n">
        <v>264</v>
      </c>
      <c r="D19" t="inlineStr">
        <is>
          <t>ORIG_BAL 5,005 - 15,448</t>
        </is>
      </c>
      <c r="E19" t="inlineStr">
        <is>
          <t>Broker</t>
        </is>
      </c>
      <c r="G19" t="n">
        <v>514</v>
      </c>
      <c r="H19" t="n">
        <v>1.468717580190998</v>
      </c>
      <c r="J19" t="n">
        <v>18</v>
      </c>
      <c r="K19">
        <f>'_pockets'!$AI$264</f>
        <v/>
      </c>
      <c r="L19">
        <f>'_pockets'!$AJ$264</f>
        <v/>
      </c>
      <c r="M19">
        <f>IF(AND($A19='Pockets'!$D$17,$B19='Pockets'!$C$17,OR('Pockets'!$E$17="All",AND('Pockets'!$E$17="Worse and material",$K19="Yes",$L19="Yes"),AND('Pockets'!$E$17="Worse or not sure",OR($K19="Yes",$K19="Not sure")))),1,0)</f>
        <v/>
      </c>
      <c r="N19">
        <f>$N18+$M19</f>
        <v/>
      </c>
      <c r="O19" t="inlineStr">
        <is>
          <t>grids</t>
        </is>
      </c>
      <c r="P19" t="inlineStr">
        <is>
          <t>outcome_loans</t>
        </is>
      </c>
    </row>
    <row r="20">
      <c r="A20" t="inlineStr">
        <is>
          <t>Two-way</t>
        </is>
      </c>
      <c r="B20" t="inlineStr">
        <is>
          <t>Bad loans</t>
        </is>
      </c>
      <c r="C20" t="n">
        <v>224</v>
      </c>
      <c r="D20" t="inlineStr">
        <is>
          <t>ORIG_BAL 5,005 - 15,448</t>
        </is>
      </c>
      <c r="E20" t="inlineStr">
        <is>
          <t>Online</t>
        </is>
      </c>
      <c r="G20" t="n">
        <v>544</v>
      </c>
      <c r="H20" t="n">
        <v>1.456016433185209</v>
      </c>
      <c r="J20" t="n">
        <v>19</v>
      </c>
      <c r="K20">
        <f>'_pockets'!$AI$224</f>
        <v/>
      </c>
      <c r="L20">
        <f>'_pockets'!$AJ$224</f>
        <v/>
      </c>
      <c r="M20">
        <f>IF(AND($A20='Pockets'!$D$17,$B20='Pockets'!$C$17,OR('Pockets'!$E$17="All",AND('Pockets'!$E$17="Worse and material",$K20="Yes",$L20="Yes"),AND('Pockets'!$E$17="Worse or not sure",OR($K20="Yes",$K20="Not sure")))),1,0)</f>
        <v/>
      </c>
      <c r="N20">
        <f>$N19+$M20</f>
        <v/>
      </c>
      <c r="O20" t="inlineStr">
        <is>
          <t>grids</t>
        </is>
      </c>
      <c r="P20" t="inlineStr">
        <is>
          <t>outcome_loans</t>
        </is>
      </c>
    </row>
    <row r="21">
      <c r="A21" t="inlineStr">
        <is>
          <t>Two-way</t>
        </is>
      </c>
      <c r="B21" t="inlineStr">
        <is>
          <t>Bad loans</t>
        </is>
      </c>
      <c r="C21" t="n">
        <v>229</v>
      </c>
      <c r="D21" t="inlineStr">
        <is>
          <t>ORIG_BAL 26,324 - 37,950</t>
        </is>
      </c>
      <c r="E21" t="inlineStr">
        <is>
          <t>Broker</t>
        </is>
      </c>
      <c r="G21" t="n">
        <v>553</v>
      </c>
      <c r="H21" t="n">
        <v>1.452420729342193</v>
      </c>
      <c r="J21" t="n">
        <v>20</v>
      </c>
      <c r="K21">
        <f>'_pockets'!$AI$229</f>
        <v/>
      </c>
      <c r="L21">
        <f>'_pockets'!$AJ$229</f>
        <v/>
      </c>
      <c r="M21">
        <f>IF(AND($A21='Pockets'!$D$17,$B21='Pockets'!$C$17,OR('Pockets'!$E$17="All",AND('Pockets'!$E$17="Worse and material",$K21="Yes",$L21="Yes"),AND('Pockets'!$E$17="Worse or not sure",OR($K21="Yes",$K21="Not sure")))),1,0)</f>
        <v/>
      </c>
      <c r="N21">
        <f>$N20+$M21</f>
        <v/>
      </c>
      <c r="O21" t="inlineStr">
        <is>
          <t>grids</t>
        </is>
      </c>
      <c r="P21" t="inlineStr">
        <is>
          <t>outcome_loans</t>
        </is>
      </c>
    </row>
    <row r="22">
      <c r="A22" t="inlineStr">
        <is>
          <t>Two-way</t>
        </is>
      </c>
      <c r="B22" t="inlineStr">
        <is>
          <t>Bad loans</t>
        </is>
      </c>
      <c r="C22" t="n">
        <v>209</v>
      </c>
      <c r="D22" t="inlineStr">
        <is>
          <t>FICO 686 - 711</t>
        </is>
      </c>
      <c r="E22" t="inlineStr">
        <is>
          <t>ASSET_CLASS 3</t>
        </is>
      </c>
      <c r="G22" t="n">
        <v>388</v>
      </c>
      <c r="H22" t="n">
        <v>1.53827278277665</v>
      </c>
      <c r="J22" t="n">
        <v>21</v>
      </c>
      <c r="K22">
        <f>'_pockets'!$AI$209</f>
        <v/>
      </c>
      <c r="L22">
        <f>'_pockets'!$AJ$209</f>
        <v/>
      </c>
      <c r="M22">
        <f>IF(AND($A22='Pockets'!$D$17,$B22='Pockets'!$C$17,OR('Pockets'!$E$17="All",AND('Pockets'!$E$17="Worse and material",$K22="Yes",$L22="Yes"),AND('Pockets'!$E$17="Worse or not sure",OR($K22="Yes",$K22="Not sure")))),1,0)</f>
        <v/>
      </c>
      <c r="N22">
        <f>$N21+$M22</f>
        <v/>
      </c>
      <c r="O22" t="inlineStr">
        <is>
          <t>grids</t>
        </is>
      </c>
      <c r="P22" t="inlineStr">
        <is>
          <t>outcome_loans</t>
        </is>
      </c>
    </row>
    <row r="23">
      <c r="A23" t="inlineStr">
        <is>
          <t>Two-way</t>
        </is>
      </c>
      <c r="B23" t="inlineStr">
        <is>
          <t>Bad loans</t>
        </is>
      </c>
      <c r="C23" t="n">
        <v>24</v>
      </c>
      <c r="D23" t="inlineStr">
        <is>
          <t>FICO 746 - 921</t>
        </is>
      </c>
      <c r="E23" t="inlineStr">
        <is>
          <t>Branch</t>
        </is>
      </c>
      <c r="G23" t="n">
        <v>518</v>
      </c>
      <c r="H23" t="n">
        <v>1.466956849722849</v>
      </c>
      <c r="J23" t="n">
        <v>22</v>
      </c>
      <c r="K23">
        <f>'_pockets'!$AI$24</f>
        <v/>
      </c>
      <c r="L23">
        <f>'_pockets'!$AJ$24</f>
        <v/>
      </c>
      <c r="M23">
        <f>IF(AND($A23='Pockets'!$D$17,$B23='Pockets'!$C$17,OR('Pockets'!$E$17="All",AND('Pockets'!$E$17="Worse and material",$K23="Yes",$L23="Yes"),AND('Pockets'!$E$17="Worse or not sure",OR($K23="Yes",$K23="Not sure")))),1,0)</f>
        <v/>
      </c>
      <c r="N23">
        <f>$N22+$M23</f>
        <v/>
      </c>
      <c r="O23" t="inlineStr">
        <is>
          <t>grids</t>
        </is>
      </c>
      <c r="P23" t="inlineStr">
        <is>
          <t>outcome_loans</t>
        </is>
      </c>
    </row>
    <row r="24">
      <c r="A24" t="inlineStr">
        <is>
          <t>Two-way</t>
        </is>
      </c>
      <c r="B24" t="inlineStr">
        <is>
          <t>Bad loans</t>
        </is>
      </c>
      <c r="C24" t="n">
        <v>54</v>
      </c>
      <c r="D24" t="inlineStr">
        <is>
          <t>FICO 654 - 685</t>
        </is>
      </c>
      <c r="E24" t="inlineStr">
        <is>
          <t>Branch</t>
        </is>
      </c>
      <c r="G24" t="n">
        <v>503</v>
      </c>
      <c r="H24" t="n">
        <v>1.473673649827915</v>
      </c>
      <c r="J24" t="n">
        <v>23</v>
      </c>
      <c r="K24">
        <f>'_pockets'!$AI$54</f>
        <v/>
      </c>
      <c r="L24">
        <f>'_pockets'!$AJ$54</f>
        <v/>
      </c>
      <c r="M24">
        <f>IF(AND($A24='Pockets'!$D$17,$B24='Pockets'!$C$17,OR('Pockets'!$E$17="All",AND('Pockets'!$E$17="Worse and material",$K24="Yes",$L24="Yes"),AND('Pockets'!$E$17="Worse or not sure",OR($K24="Yes",$K24="Not sure")))),1,0)</f>
        <v/>
      </c>
      <c r="N24">
        <f>$N23+$M24</f>
        <v/>
      </c>
      <c r="O24" t="inlineStr">
        <is>
          <t>grids</t>
        </is>
      </c>
      <c r="P24" t="inlineStr">
        <is>
          <t>outcome_loans</t>
        </is>
      </c>
    </row>
    <row r="25">
      <c r="A25" t="inlineStr">
        <is>
          <t>Two-way</t>
        </is>
      </c>
      <c r="B25" t="inlineStr">
        <is>
          <t>Bad loans</t>
        </is>
      </c>
      <c r="C25" t="n">
        <v>219</v>
      </c>
      <c r="D25" t="inlineStr">
        <is>
          <t>FICO (marked missing)</t>
        </is>
      </c>
      <c r="E25" t="inlineStr">
        <is>
          <t>ASSET_CLASS 2</t>
        </is>
      </c>
      <c r="G25" t="n">
        <v>36</v>
      </c>
      <c r="H25" t="n">
        <v>2.890952952258553</v>
      </c>
      <c r="J25" t="n">
        <v>24</v>
      </c>
      <c r="K25">
        <f>'_pockets'!$AI$219</f>
        <v/>
      </c>
      <c r="L25">
        <f>'_pockets'!$AJ$219</f>
        <v/>
      </c>
      <c r="M25">
        <f>IF(AND($A25='Pockets'!$D$17,$B25='Pockets'!$C$17,OR('Pockets'!$E$17="All",AND('Pockets'!$E$17="Worse and material",$K25="Yes",$L25="Yes"),AND('Pockets'!$E$17="Worse or not sure",OR($K25="Yes",$K25="Not sure")))),1,0)</f>
        <v/>
      </c>
      <c r="N25">
        <f>$N24+$M25</f>
        <v/>
      </c>
      <c r="O25" t="inlineStr">
        <is>
          <t>grids</t>
        </is>
      </c>
      <c r="P25" t="inlineStr">
        <is>
          <t>outcome_loans</t>
        </is>
      </c>
    </row>
    <row r="26">
      <c r="A26" t="inlineStr">
        <is>
          <t>Two-way</t>
        </is>
      </c>
      <c r="B26" t="inlineStr">
        <is>
          <t>Bad loans</t>
        </is>
      </c>
      <c r="C26" t="n">
        <v>399</v>
      </c>
      <c r="D26" t="inlineStr">
        <is>
          <t>ORIG_BAL 15,449 - 26,323</t>
        </is>
      </c>
      <c r="E26" t="inlineStr">
        <is>
          <t>ASSET_CLASS 3</t>
        </is>
      </c>
      <c r="G26" t="n">
        <v>427</v>
      </c>
      <c r="H26" t="n">
        <v>1.513299527641975</v>
      </c>
      <c r="J26" t="n">
        <v>25</v>
      </c>
      <c r="K26">
        <f>'_pockets'!$AI$399</f>
        <v/>
      </c>
      <c r="L26">
        <f>'_pockets'!$AJ$399</f>
        <v/>
      </c>
      <c r="M26">
        <f>IF(AND($A26='Pockets'!$D$17,$B26='Pockets'!$C$17,OR('Pockets'!$E$17="All",AND('Pockets'!$E$17="Worse and material",$K26="Yes",$L26="Yes"),AND('Pockets'!$E$17="Worse or not sure",OR($K26="Yes",$K26="Not sure")))),1,0)</f>
        <v/>
      </c>
      <c r="N26">
        <f>$N25+$M26</f>
        <v/>
      </c>
      <c r="O26" t="inlineStr">
        <is>
          <t>grids</t>
        </is>
      </c>
      <c r="P26" t="inlineStr">
        <is>
          <t>outcome_loans</t>
        </is>
      </c>
    </row>
    <row r="27">
      <c r="A27" t="inlineStr">
        <is>
          <t>Two-way</t>
        </is>
      </c>
      <c r="B27" t="inlineStr">
        <is>
          <t>Bad loans</t>
        </is>
      </c>
      <c r="C27" t="n">
        <v>369</v>
      </c>
      <c r="D27" t="inlineStr">
        <is>
          <t>ORIG_BAL 5,005 - 15,448</t>
        </is>
      </c>
      <c r="E27" t="inlineStr">
        <is>
          <t>ASSET_CLASS 3</t>
        </is>
      </c>
      <c r="G27" t="n">
        <v>354</v>
      </c>
      <c r="H27" t="n">
        <v>1.563511561112954</v>
      </c>
      <c r="J27" t="n">
        <v>26</v>
      </c>
      <c r="K27">
        <f>'_pockets'!$AI$369</f>
        <v/>
      </c>
      <c r="L27">
        <f>'_pockets'!$AJ$369</f>
        <v/>
      </c>
      <c r="M27">
        <f>IF(AND($A27='Pockets'!$D$17,$B27='Pockets'!$C$17,OR('Pockets'!$E$17="All",AND('Pockets'!$E$17="Worse and material",$K27="Yes",$L27="Yes"),AND('Pockets'!$E$17="Worse or not sure",OR($K27="Yes",$K27="Not sure")))),1,0)</f>
        <v/>
      </c>
      <c r="N27">
        <f>$N26+$M27</f>
        <v/>
      </c>
      <c r="O27" t="inlineStr">
        <is>
          <t>grids</t>
        </is>
      </c>
      <c r="P27" t="inlineStr">
        <is>
          <t>outcome_loans</t>
        </is>
      </c>
    </row>
    <row r="28">
      <c r="A28" t="inlineStr">
        <is>
          <t>Two-way</t>
        </is>
      </c>
      <c r="B28" t="inlineStr">
        <is>
          <t>Bad loans</t>
        </is>
      </c>
      <c r="C28" t="n">
        <v>184</v>
      </c>
      <c r="D28" t="inlineStr">
        <is>
          <t>FICO 746 - 921</t>
        </is>
      </c>
      <c r="E28" t="inlineStr">
        <is>
          <t>ASSET_CLASS 3</t>
        </is>
      </c>
      <c r="G28" t="n">
        <v>385</v>
      </c>
      <c r="H28" t="n">
        <v>1.540357730630177</v>
      </c>
      <c r="J28" t="n">
        <v>27</v>
      </c>
      <c r="K28">
        <f>'_pockets'!$AI$184</f>
        <v/>
      </c>
      <c r="L28">
        <f>'_pockets'!$AJ$184</f>
        <v/>
      </c>
      <c r="M28">
        <f>IF(AND($A28='Pockets'!$D$17,$B28='Pockets'!$C$17,OR('Pockets'!$E$17="All",AND('Pockets'!$E$17="Worse and material",$K28="Yes",$L28="Yes"),AND('Pockets'!$E$17="Worse or not sure",OR($K28="Yes",$K28="Not sure")))),1,0)</f>
        <v/>
      </c>
      <c r="N28">
        <f>$N27+$M28</f>
        <v/>
      </c>
      <c r="O28" t="inlineStr">
        <is>
          <t>grids</t>
        </is>
      </c>
      <c r="P28" t="inlineStr">
        <is>
          <t>outcome_loans</t>
        </is>
      </c>
    </row>
    <row r="29">
      <c r="A29" t="inlineStr">
        <is>
          <t>Two-way</t>
        </is>
      </c>
      <c r="B29" t="inlineStr">
        <is>
          <t>Bad loans</t>
        </is>
      </c>
      <c r="C29" t="n">
        <v>334</v>
      </c>
      <c r="D29" t="inlineStr">
        <is>
          <t>ORIG_BAL 15,449 - 26,323</t>
        </is>
      </c>
      <c r="E29" t="inlineStr">
        <is>
          <t>ASSET_CLASS 1</t>
        </is>
      </c>
      <c r="G29" t="n">
        <v>404</v>
      </c>
      <c r="H29" t="n">
        <v>1.527567811320828</v>
      </c>
      <c r="J29" t="n">
        <v>28</v>
      </c>
      <c r="K29">
        <f>'_pockets'!$AI$334</f>
        <v/>
      </c>
      <c r="L29">
        <f>'_pockets'!$AJ$334</f>
        <v/>
      </c>
      <c r="M29">
        <f>IF(AND($A29='Pockets'!$D$17,$B29='Pockets'!$C$17,OR('Pockets'!$E$17="All",AND('Pockets'!$E$17="Worse and material",$K29="Yes",$L29="Yes"),AND('Pockets'!$E$17="Worse or not sure",OR($K29="Yes",$K29="Not sure")))),1,0)</f>
        <v/>
      </c>
      <c r="N29">
        <f>$N28+$M29</f>
        <v/>
      </c>
      <c r="O29" t="inlineStr">
        <is>
          <t>grids</t>
        </is>
      </c>
      <c r="P29" t="inlineStr">
        <is>
          <t>outcome_loans</t>
        </is>
      </c>
    </row>
    <row r="30">
      <c r="A30" t="inlineStr">
        <is>
          <t>Two-way</t>
        </is>
      </c>
      <c r="B30" t="inlineStr">
        <is>
          <t>Bad loans</t>
        </is>
      </c>
      <c r="C30" t="n">
        <v>174</v>
      </c>
      <c r="D30" t="inlineStr">
        <is>
          <t>FICO 496 - 653</t>
        </is>
      </c>
      <c r="E30" t="inlineStr">
        <is>
          <t>ASSET_CLASS 3</t>
        </is>
      </c>
      <c r="G30" t="n">
        <v>350</v>
      </c>
      <c r="H30" t="n">
        <v>1.566732582657731</v>
      </c>
      <c r="J30" t="n">
        <v>29</v>
      </c>
      <c r="K30">
        <f>'_pockets'!$AI$174</f>
        <v/>
      </c>
      <c r="L30">
        <f>'_pockets'!$AJ$174</f>
        <v/>
      </c>
      <c r="M30">
        <f>IF(AND($A30='Pockets'!$D$17,$B30='Pockets'!$C$17,OR('Pockets'!$E$17="All",AND('Pockets'!$E$17="Worse and material",$K30="Yes",$L30="Yes"),AND('Pockets'!$E$17="Worse or not sure",OR($K30="Yes",$K30="Not sure")))),1,0)</f>
        <v/>
      </c>
      <c r="N30">
        <f>$N29+$M30</f>
        <v/>
      </c>
      <c r="O30" t="inlineStr">
        <is>
          <t>grids</t>
        </is>
      </c>
      <c r="P30" t="inlineStr">
        <is>
          <t>outcome_loans</t>
        </is>
      </c>
    </row>
    <row r="31">
      <c r="A31" t="inlineStr">
        <is>
          <t>Two-way</t>
        </is>
      </c>
      <c r="B31" t="inlineStr">
        <is>
          <t>Bad loans</t>
        </is>
      </c>
      <c r="C31" t="n">
        <v>164</v>
      </c>
      <c r="D31" t="inlineStr">
        <is>
          <t>FICO 746 - 921</t>
        </is>
      </c>
      <c r="E31" t="inlineStr">
        <is>
          <t>ASSET_CLASS 4</t>
        </is>
      </c>
      <c r="G31" t="n">
        <v>373</v>
      </c>
      <c r="H31" t="n">
        <v>1.548960422417389</v>
      </c>
      <c r="J31" t="n">
        <v>30</v>
      </c>
      <c r="K31">
        <f>'_pockets'!$AI$164</f>
        <v/>
      </c>
      <c r="L31">
        <f>'_pockets'!$AJ$164</f>
        <v/>
      </c>
      <c r="M31">
        <f>IF(AND($A31='Pockets'!$D$17,$B31='Pockets'!$C$17,OR('Pockets'!$E$17="All",AND('Pockets'!$E$17="Worse and material",$K31="Yes",$L31="Yes"),AND('Pockets'!$E$17="Worse or not sure",OR($K31="Yes",$K31="Not sure")))),1,0)</f>
        <v/>
      </c>
      <c r="N31">
        <f>$N30+$M31</f>
        <v/>
      </c>
      <c r="O31" t="inlineStr">
        <is>
          <t>grids</t>
        </is>
      </c>
      <c r="P31" t="inlineStr">
        <is>
          <t>outcome_loans</t>
        </is>
      </c>
    </row>
    <row r="32">
      <c r="A32" t="inlineStr">
        <is>
          <t>Two-way</t>
        </is>
      </c>
      <c r="B32" t="inlineStr">
        <is>
          <t>Bad loans</t>
        </is>
      </c>
      <c r="C32" t="n">
        <v>129</v>
      </c>
      <c r="D32" t="inlineStr">
        <is>
          <t>FICO 746 - 921</t>
        </is>
      </c>
      <c r="E32" t="inlineStr">
        <is>
          <t>ASSET_CLASS 2</t>
        </is>
      </c>
      <c r="G32" t="n">
        <v>399</v>
      </c>
      <c r="H32" t="n">
        <v>1.530840329248716</v>
      </c>
      <c r="J32" t="n">
        <v>31</v>
      </c>
      <c r="K32">
        <f>'_pockets'!$AI$129</f>
        <v/>
      </c>
      <c r="L32">
        <f>'_pockets'!$AJ$129</f>
        <v/>
      </c>
      <c r="M32">
        <f>IF(AND($A32='Pockets'!$D$17,$B32='Pockets'!$C$17,OR('Pockets'!$E$17="All",AND('Pockets'!$E$17="Worse and material",$K32="Yes",$L32="Yes"),AND('Pockets'!$E$17="Worse or not sure",OR($K32="Yes",$K32="Not sure")))),1,0)</f>
        <v/>
      </c>
      <c r="N32">
        <f>$N31+$M32</f>
        <v/>
      </c>
      <c r="O32" t="inlineStr">
        <is>
          <t>grids</t>
        </is>
      </c>
      <c r="P32" t="inlineStr">
        <is>
          <t>outcome_loans</t>
        </is>
      </c>
    </row>
    <row r="33">
      <c r="A33" t="inlineStr">
        <is>
          <t>Two-way</t>
        </is>
      </c>
      <c r="B33" t="inlineStr">
        <is>
          <t>Bad loans</t>
        </is>
      </c>
      <c r="C33" t="n">
        <v>134</v>
      </c>
      <c r="D33" t="inlineStr">
        <is>
          <t>FICO 496 - 653</t>
        </is>
      </c>
      <c r="E33" t="inlineStr">
        <is>
          <t>ASSET_CLASS 1</t>
        </is>
      </c>
      <c r="G33" t="n">
        <v>420</v>
      </c>
      <c r="H33" t="n">
        <v>1.517511317901789</v>
      </c>
      <c r="J33" t="n">
        <v>32</v>
      </c>
      <c r="K33">
        <f>'_pockets'!$AI$134</f>
        <v/>
      </c>
      <c r="L33">
        <f>'_pockets'!$AJ$134</f>
        <v/>
      </c>
      <c r="M33">
        <f>IF(AND($A33='Pockets'!$D$17,$B33='Pockets'!$C$17,OR('Pockets'!$E$17="All",AND('Pockets'!$E$17="Worse and material",$K33="Yes",$L33="Yes"),AND('Pockets'!$E$17="Worse or not sure",OR($K33="Yes",$K33="Not sure")))),1,0)</f>
        <v/>
      </c>
      <c r="N33">
        <f>$N32+$M33</f>
        <v/>
      </c>
      <c r="O33" t="inlineStr">
        <is>
          <t>grids</t>
        </is>
      </c>
      <c r="P33" t="inlineStr">
        <is>
          <t>outcome_loans</t>
        </is>
      </c>
    </row>
    <row r="34">
      <c r="A34" t="inlineStr">
        <is>
          <t>Two-way</t>
        </is>
      </c>
      <c r="B34" t="inlineStr">
        <is>
          <t>Bad loans</t>
        </is>
      </c>
      <c r="C34" t="n">
        <v>79</v>
      </c>
      <c r="D34" t="inlineStr">
        <is>
          <t>FICO 496 - 653</t>
        </is>
      </c>
      <c r="E34" t="inlineStr">
        <is>
          <t>Online</t>
        </is>
      </c>
      <c r="G34" t="n">
        <v>531</v>
      </c>
      <c r="H34" t="n">
        <v>1.461380354433167</v>
      </c>
      <c r="J34" t="n">
        <v>33</v>
      </c>
      <c r="K34">
        <f>'_pockets'!$AI$79</f>
        <v/>
      </c>
      <c r="L34">
        <f>'_pockets'!$AJ$79</f>
        <v/>
      </c>
      <c r="M34">
        <f>IF(AND($A34='Pockets'!$D$17,$B34='Pockets'!$C$17,OR('Pockets'!$E$17="All",AND('Pockets'!$E$17="Worse and material",$K34="Yes",$L34="Yes"),AND('Pockets'!$E$17="Worse or not sure",OR($K34="Yes",$K34="Not sure")))),1,0)</f>
        <v/>
      </c>
      <c r="N34">
        <f>$N33+$M34</f>
        <v/>
      </c>
      <c r="O34" t="inlineStr">
        <is>
          <t>grids</t>
        </is>
      </c>
      <c r="P34" t="inlineStr">
        <is>
          <t>outcome_loans</t>
        </is>
      </c>
    </row>
    <row r="35">
      <c r="A35" t="inlineStr">
        <is>
          <t>Two-way</t>
        </is>
      </c>
      <c r="B35" t="inlineStr">
        <is>
          <t>Bad loans</t>
        </is>
      </c>
      <c r="C35" t="n">
        <v>119</v>
      </c>
      <c r="D35" t="inlineStr">
        <is>
          <t>FICO 496 - 653</t>
        </is>
      </c>
      <c r="E35" t="inlineStr">
        <is>
          <t>ASSET_CLASS 2</t>
        </is>
      </c>
      <c r="G35" t="n">
        <v>393</v>
      </c>
      <c r="H35" t="n">
        <v>1.534853746149558</v>
      </c>
      <c r="J35" t="n">
        <v>34</v>
      </c>
      <c r="K35">
        <f>'_pockets'!$AI$119</f>
        <v/>
      </c>
      <c r="L35">
        <f>'_pockets'!$AJ$119</f>
        <v/>
      </c>
      <c r="M35">
        <f>IF(AND($A35='Pockets'!$D$17,$B35='Pockets'!$C$17,OR('Pockets'!$E$17="All",AND('Pockets'!$E$17="Worse and material",$K35="Yes",$L35="Yes"),AND('Pockets'!$E$17="Worse or not sure",OR($K35="Yes",$K35="Not sure")))),1,0)</f>
        <v/>
      </c>
      <c r="N35">
        <f>$N34+$M35</f>
        <v/>
      </c>
      <c r="O35" t="inlineStr">
        <is>
          <t>grids</t>
        </is>
      </c>
      <c r="P35" t="inlineStr">
        <is>
          <t>outcome_loans</t>
        </is>
      </c>
    </row>
    <row r="36">
      <c r="A36" t="inlineStr">
        <is>
          <t>Two-way</t>
        </is>
      </c>
      <c r="B36" t="inlineStr">
        <is>
          <t>Bad loans</t>
        </is>
      </c>
      <c r="C36" t="n">
        <v>19</v>
      </c>
      <c r="D36" t="inlineStr">
        <is>
          <t>FICO 496 - 653</t>
        </is>
      </c>
      <c r="E36" t="inlineStr">
        <is>
          <t>Branch</t>
        </is>
      </c>
      <c r="G36" t="n">
        <v>501</v>
      </c>
      <c r="H36" t="n">
        <v>1.474593245223238</v>
      </c>
      <c r="J36" t="n">
        <v>35</v>
      </c>
      <c r="K36">
        <f>'_pockets'!$AI$19</f>
        <v/>
      </c>
      <c r="L36">
        <f>'_pockets'!$AJ$19</f>
        <v/>
      </c>
      <c r="M36">
        <f>IF(AND($A36='Pockets'!$D$17,$B36='Pockets'!$C$17,OR('Pockets'!$E$17="All",AND('Pockets'!$E$17="Worse and material",$K36="Yes",$L36="Yes"),AND('Pockets'!$E$17="Worse or not sure",OR($K36="Yes",$K36="Not sure")))),1,0)</f>
        <v/>
      </c>
      <c r="N36">
        <f>$N35+$M36</f>
        <v/>
      </c>
      <c r="O36" t="inlineStr">
        <is>
          <t>grids</t>
        </is>
      </c>
      <c r="P36" t="inlineStr">
        <is>
          <t>outcome_loans</t>
        </is>
      </c>
    </row>
    <row r="37">
      <c r="A37" t="inlineStr">
        <is>
          <t>Two-way</t>
        </is>
      </c>
      <c r="B37" t="inlineStr">
        <is>
          <t>Bad loans</t>
        </is>
      </c>
      <c r="C37" t="n">
        <v>254</v>
      </c>
      <c r="D37" t="inlineStr">
        <is>
          <t>ORIG_BAL 15,449 - 26,323</t>
        </is>
      </c>
      <c r="E37" t="inlineStr">
        <is>
          <t>Online</t>
        </is>
      </c>
      <c r="G37" t="n">
        <v>538</v>
      </c>
      <c r="H37" t="n">
        <v>1.458466512569198</v>
      </c>
      <c r="J37" t="n">
        <v>36</v>
      </c>
      <c r="K37">
        <f>'_pockets'!$AI$254</f>
        <v/>
      </c>
      <c r="L37">
        <f>'_pockets'!$AJ$254</f>
        <v/>
      </c>
      <c r="M37">
        <f>IF(AND($A37='Pockets'!$D$17,$B37='Pockets'!$C$17,OR('Pockets'!$E$17="All",AND('Pockets'!$E$17="Worse and material",$K37="Yes",$L37="Yes"),AND('Pockets'!$E$17="Worse or not sure",OR($K37="Yes",$K37="Not sure")))),1,0)</f>
        <v/>
      </c>
      <c r="N37">
        <f>$N36+$M37</f>
        <v/>
      </c>
      <c r="O37" t="inlineStr">
        <is>
          <t>grids</t>
        </is>
      </c>
      <c r="P37" t="inlineStr">
        <is>
          <t>outcome_loans</t>
        </is>
      </c>
    </row>
    <row r="38">
      <c r="A38" t="inlineStr">
        <is>
          <t>Two-way</t>
        </is>
      </c>
      <c r="B38" t="inlineStr">
        <is>
          <t>Bad loans</t>
        </is>
      </c>
      <c r="C38" t="n">
        <v>69</v>
      </c>
      <c r="D38" t="inlineStr">
        <is>
          <t>FICO 654 - 685</t>
        </is>
      </c>
      <c r="E38" t="inlineStr">
        <is>
          <t>Online</t>
        </is>
      </c>
      <c r="G38" t="n">
        <v>505</v>
      </c>
      <c r="H38" t="n">
        <v>1.472759830638605</v>
      </c>
      <c r="J38" t="n">
        <v>37</v>
      </c>
      <c r="K38">
        <f>'_pockets'!$AI$69</f>
        <v/>
      </c>
      <c r="L38">
        <f>'_pockets'!$AJ$69</f>
        <v/>
      </c>
      <c r="M38">
        <f>IF(AND($A38='Pockets'!$D$17,$B38='Pockets'!$C$17,OR('Pockets'!$E$17="All",AND('Pockets'!$E$17="Worse and material",$K38="Yes",$L38="Yes"),AND('Pockets'!$E$17="Worse or not sure",OR($K38="Yes",$K38="Not sure")))),1,0)</f>
        <v/>
      </c>
      <c r="N38">
        <f>$N37+$M38</f>
        <v/>
      </c>
      <c r="O38" t="inlineStr">
        <is>
          <t>grids</t>
        </is>
      </c>
      <c r="P38" t="inlineStr">
        <is>
          <t>outcome_loans</t>
        </is>
      </c>
    </row>
    <row r="39">
      <c r="A39" t="inlineStr">
        <is>
          <t>Two-way</t>
        </is>
      </c>
      <c r="B39" t="inlineStr">
        <is>
          <t>Bad loans</t>
        </is>
      </c>
      <c r="C39" t="n">
        <v>74</v>
      </c>
      <c r="D39" t="inlineStr">
        <is>
          <t>FICO 654 - 685</t>
        </is>
      </c>
      <c r="E39" t="inlineStr">
        <is>
          <t>Broker</t>
        </is>
      </c>
      <c r="G39" t="n">
        <v>531</v>
      </c>
      <c r="H39" t="n">
        <v>1.461380354433167</v>
      </c>
      <c r="J39" t="n">
        <v>38</v>
      </c>
      <c r="K39">
        <f>'_pockets'!$AI$74</f>
        <v/>
      </c>
      <c r="L39">
        <f>'_pockets'!$AJ$74</f>
        <v/>
      </c>
      <c r="M39">
        <f>IF(AND($A39='Pockets'!$D$17,$B39='Pockets'!$C$17,OR('Pockets'!$E$17="All",AND('Pockets'!$E$17="Worse and material",$K39="Yes",$L39="Yes"),AND('Pockets'!$E$17="Worse or not sure",OR($K39="Yes",$K39="Not sure")))),1,0)</f>
        <v/>
      </c>
      <c r="N39">
        <f>$N38+$M39</f>
        <v/>
      </c>
      <c r="O39" t="inlineStr">
        <is>
          <t>grids</t>
        </is>
      </c>
      <c r="P39" t="inlineStr">
        <is>
          <t>outcome_loans</t>
        </is>
      </c>
    </row>
    <row r="40">
      <c r="A40" t="inlineStr">
        <is>
          <t>Two-way</t>
        </is>
      </c>
      <c r="B40" t="inlineStr">
        <is>
          <t>Bad loans</t>
        </is>
      </c>
      <c r="C40" t="n">
        <v>179</v>
      </c>
      <c r="D40" t="inlineStr">
        <is>
          <t>FICO 654 - 685</t>
        </is>
      </c>
      <c r="E40" t="inlineStr">
        <is>
          <t>ASSET_CLASS 3</t>
        </is>
      </c>
      <c r="G40" t="n">
        <v>377</v>
      </c>
      <c r="H40" t="n">
        <v>1.546044958168855</v>
      </c>
      <c r="J40" t="n">
        <v>39</v>
      </c>
      <c r="K40">
        <f>'_pockets'!$AI$179</f>
        <v/>
      </c>
      <c r="L40">
        <f>'_pockets'!$AJ$179</f>
        <v/>
      </c>
      <c r="M40">
        <f>IF(AND($A40='Pockets'!$D$17,$B40='Pockets'!$C$17,OR('Pockets'!$E$17="All",AND('Pockets'!$E$17="Worse and material",$K40="Yes",$L40="Yes"),AND('Pockets'!$E$17="Worse or not sure",OR($K40="Yes",$K40="Not sure")))),1,0)</f>
        <v/>
      </c>
      <c r="N40">
        <f>$N39+$M40</f>
        <v/>
      </c>
      <c r="O40" t="inlineStr">
        <is>
          <t>grids</t>
        </is>
      </c>
      <c r="P40" t="inlineStr">
        <is>
          <t>outcome_loans</t>
        </is>
      </c>
    </row>
    <row r="41">
      <c r="A41" t="inlineStr">
        <is>
          <t>Two-way</t>
        </is>
      </c>
      <c r="B41" t="inlineStr">
        <is>
          <t>Bad loans</t>
        </is>
      </c>
      <c r="C41" t="n">
        <v>234</v>
      </c>
      <c r="D41" t="inlineStr">
        <is>
          <t>ORIG_BAL 37,951 - 49,151</t>
        </is>
      </c>
      <c r="E41" t="inlineStr">
        <is>
          <t>Branch</t>
        </is>
      </c>
      <c r="G41" t="n">
        <v>526</v>
      </c>
      <c r="H41" t="n">
        <v>1.463499270801653</v>
      </c>
      <c r="J41" t="n">
        <v>40</v>
      </c>
      <c r="K41">
        <f>'_pockets'!$AI$234</f>
        <v/>
      </c>
      <c r="L41">
        <f>'_pockets'!$AJ$234</f>
        <v/>
      </c>
      <c r="M41">
        <f>IF(AND($A41='Pockets'!$D$17,$B41='Pockets'!$C$17,OR('Pockets'!$E$17="All",AND('Pockets'!$E$17="Worse and material",$K41="Yes",$L41="Yes"),AND('Pockets'!$E$17="Worse or not sure",OR($K41="Yes",$K41="Not sure")))),1,0)</f>
        <v/>
      </c>
      <c r="N41">
        <f>$N40+$M41</f>
        <v/>
      </c>
      <c r="O41" t="inlineStr">
        <is>
          <t>grids</t>
        </is>
      </c>
      <c r="P41" t="inlineStr">
        <is>
          <t>outcome_loans</t>
        </is>
      </c>
    </row>
    <row r="42">
      <c r="A42" t="inlineStr">
        <is>
          <t>Two-way</t>
        </is>
      </c>
      <c r="B42" t="inlineStr">
        <is>
          <t>Bad loans</t>
        </is>
      </c>
      <c r="C42" t="n">
        <v>289</v>
      </c>
      <c r="D42" t="inlineStr">
        <is>
          <t>ORIG_BAL 37,951 - 49,151</t>
        </is>
      </c>
      <c r="E42" t="inlineStr">
        <is>
          <t>Online</t>
        </is>
      </c>
      <c r="G42" t="n">
        <v>543</v>
      </c>
      <c r="H42" t="n">
        <v>1.456421792313635</v>
      </c>
      <c r="J42" t="n">
        <v>41</v>
      </c>
      <c r="K42">
        <f>'_pockets'!$AI$289</f>
        <v/>
      </c>
      <c r="L42">
        <f>'_pockets'!$AJ$289</f>
        <v/>
      </c>
      <c r="M42">
        <f>IF(AND($A42='Pockets'!$D$17,$B42='Pockets'!$C$17,OR('Pockets'!$E$17="All",AND('Pockets'!$E$17="Worse and material",$K42="Yes",$L42="Yes"),AND('Pockets'!$E$17="Worse or not sure",OR($K42="Yes",$K42="Not sure")))),1,0)</f>
        <v/>
      </c>
      <c r="N42">
        <f>$N41+$M42</f>
        <v/>
      </c>
      <c r="O42" t="inlineStr">
        <is>
          <t>grids</t>
        </is>
      </c>
      <c r="P42" t="inlineStr">
        <is>
          <t>outcome_loans</t>
        </is>
      </c>
    </row>
    <row r="43">
      <c r="A43" t="inlineStr">
        <is>
          <t>Two-way</t>
        </is>
      </c>
      <c r="B43" t="inlineStr">
        <is>
          <t>Bad dollars</t>
        </is>
      </c>
      <c r="C43" t="n">
        <v>30</v>
      </c>
      <c r="D43" t="inlineStr">
        <is>
          <t>FICO 496 - 653</t>
        </is>
      </c>
      <c r="E43" t="inlineStr">
        <is>
          <t>Broker</t>
        </is>
      </c>
      <c r="G43" t="n">
        <v>523</v>
      </c>
      <c r="H43" t="n">
        <v>1.507862277408946</v>
      </c>
      <c r="J43" t="n">
        <v>1</v>
      </c>
      <c r="K43">
        <f>'_pockets'!$AI$30</f>
        <v/>
      </c>
      <c r="L43">
        <f>'_pockets'!$AJ$30</f>
        <v/>
      </c>
      <c r="M43">
        <f>IF(AND($A43='Pockets'!$D$17,$B43='Pockets'!$C$17,OR('Pockets'!$E$17="All",AND('Pockets'!$E$17="Worse and material",$K43="Yes",$L43="Yes"),AND('Pockets'!$E$17="Worse or not sure",OR($K43="Yes",$K43="Not sure")))),1,0)</f>
        <v/>
      </c>
      <c r="N43">
        <f>$N42+$M43</f>
        <v/>
      </c>
      <c r="O43" t="inlineStr">
        <is>
          <t>grids</t>
        </is>
      </c>
      <c r="P43" t="inlineStr">
        <is>
          <t>outcome_booked</t>
        </is>
      </c>
    </row>
    <row r="44">
      <c r="A44" t="inlineStr">
        <is>
          <t>Two-way</t>
        </is>
      </c>
      <c r="B44" t="inlineStr">
        <is>
          <t>Bad dollars</t>
        </is>
      </c>
      <c r="C44" t="n">
        <v>150</v>
      </c>
      <c r="D44" t="inlineStr">
        <is>
          <t>FICO 496 - 653</t>
        </is>
      </c>
      <c r="E44" t="inlineStr">
        <is>
          <t>ASSET_CLASS 4</t>
        </is>
      </c>
      <c r="G44" t="n">
        <v>392</v>
      </c>
      <c r="H44" t="n">
        <v>1.592202791842569</v>
      </c>
      <c r="J44" t="n">
        <v>2</v>
      </c>
      <c r="K44">
        <f>'_pockets'!$AI$150</f>
        <v/>
      </c>
      <c r="L44">
        <f>'_pockets'!$AJ$150</f>
        <v/>
      </c>
      <c r="M44">
        <f>IF(AND($A44='Pockets'!$D$17,$B44='Pockets'!$C$17,OR('Pockets'!$E$17="All",AND('Pockets'!$E$17="Worse and material",$K44="Yes",$L44="Yes"),AND('Pockets'!$E$17="Worse or not sure",OR($K44="Yes",$K44="Not sure")))),1,0)</f>
        <v/>
      </c>
      <c r="N44">
        <f>$N43+$M44</f>
        <v/>
      </c>
      <c r="O44" t="inlineStr">
        <is>
          <t>grids</t>
        </is>
      </c>
      <c r="P44" t="inlineStr">
        <is>
          <t>outcome_booked</t>
        </is>
      </c>
    </row>
    <row r="45">
      <c r="A45" t="inlineStr">
        <is>
          <t>Two-way</t>
        </is>
      </c>
      <c r="B45" t="inlineStr">
        <is>
          <t>Bad dollars</t>
        </is>
      </c>
      <c r="C45" t="n">
        <v>365</v>
      </c>
      <c r="D45" t="inlineStr">
        <is>
          <t>ORIG_BAL 37,951 - 49,151</t>
        </is>
      </c>
      <c r="E45" t="inlineStr">
        <is>
          <t>ASSET_CLASS 4</t>
        </is>
      </c>
      <c r="G45" t="n">
        <v>414</v>
      </c>
      <c r="H45" t="n">
        <v>1.57516685859874</v>
      </c>
      <c r="J45" t="n">
        <v>3</v>
      </c>
      <c r="K45">
        <f>'_pockets'!$AI$365</f>
        <v/>
      </c>
      <c r="L45">
        <f>'_pockets'!$AJ$365</f>
        <v/>
      </c>
      <c r="M45">
        <f>IF(AND($A45='Pockets'!$D$17,$B45='Pockets'!$C$17,OR('Pockets'!$E$17="All",AND('Pockets'!$E$17="Worse and material",$K45="Yes",$L45="Yes"),AND('Pockets'!$E$17="Worse or not sure",OR($K45="Yes",$K45="Not sure")))),1,0)</f>
        <v/>
      </c>
      <c r="N45">
        <f>$N44+$M45</f>
        <v/>
      </c>
      <c r="O45" t="inlineStr">
        <is>
          <t>grids</t>
        </is>
      </c>
      <c r="P45" t="inlineStr">
        <is>
          <t>outcome_booked</t>
        </is>
      </c>
    </row>
    <row r="46">
      <c r="A46" t="inlineStr">
        <is>
          <t>Two-way</t>
        </is>
      </c>
      <c r="B46" t="inlineStr">
        <is>
          <t>Bad dollars</t>
        </is>
      </c>
      <c r="C46" t="n">
        <v>40</v>
      </c>
      <c r="D46" t="inlineStr">
        <is>
          <t>FICO 712 - 745</t>
        </is>
      </c>
      <c r="E46" t="inlineStr">
        <is>
          <t>Online</t>
        </is>
      </c>
      <c r="G46" t="n">
        <v>564</v>
      </c>
      <c r="H46" t="n">
        <v>1.487935097568543</v>
      </c>
      <c r="J46" t="n">
        <v>4</v>
      </c>
      <c r="K46">
        <f>'_pockets'!$AI$40</f>
        <v/>
      </c>
      <c r="L46">
        <f>'_pockets'!$AJ$40</f>
        <v/>
      </c>
      <c r="M46">
        <f>IF(AND($A46='Pockets'!$D$17,$B46='Pockets'!$C$17,OR('Pockets'!$E$17="All",AND('Pockets'!$E$17="Worse and material",$K46="Yes",$L46="Yes"),AND('Pockets'!$E$17="Worse or not sure",OR($K46="Yes",$K46="Not sure")))),1,0)</f>
        <v/>
      </c>
      <c r="N46">
        <f>$N45+$M46</f>
        <v/>
      </c>
      <c r="O46" t="inlineStr">
        <is>
          <t>grids</t>
        </is>
      </c>
      <c r="P46" t="inlineStr">
        <is>
          <t>outcome_booked</t>
        </is>
      </c>
    </row>
    <row r="47">
      <c r="A47" t="inlineStr">
        <is>
          <t>Two-way</t>
        </is>
      </c>
      <c r="B47" t="inlineStr">
        <is>
          <t>Bad dollars</t>
        </is>
      </c>
      <c r="C47" t="n">
        <v>125</v>
      </c>
      <c r="D47" t="inlineStr">
        <is>
          <t>FICO 712 - 745</t>
        </is>
      </c>
      <c r="E47" t="inlineStr">
        <is>
          <t>ASSET_CLASS 4</t>
        </is>
      </c>
      <c r="G47" t="n">
        <v>427</v>
      </c>
      <c r="H47" t="n">
        <v>1.565749979913249</v>
      </c>
      <c r="J47" t="n">
        <v>5</v>
      </c>
      <c r="K47">
        <f>'_pockets'!$AI$125</f>
        <v/>
      </c>
      <c r="L47">
        <f>'_pockets'!$AJ$125</f>
        <v/>
      </c>
      <c r="M47">
        <f>IF(AND($A47='Pockets'!$D$17,$B47='Pockets'!$C$17,OR('Pockets'!$E$17="All",AND('Pockets'!$E$17="Worse and material",$K47="Yes",$L47="Yes"),AND('Pockets'!$E$17="Worse or not sure",OR($K47="Yes",$K47="Not sure")))),1,0)</f>
        <v/>
      </c>
      <c r="N47">
        <f>$N46+$M47</f>
        <v/>
      </c>
      <c r="O47" t="inlineStr">
        <is>
          <t>grids</t>
        </is>
      </c>
      <c r="P47" t="inlineStr">
        <is>
          <t>outcome_booked</t>
        </is>
      </c>
    </row>
    <row r="48">
      <c r="A48" t="inlineStr">
        <is>
          <t>Two-way</t>
        </is>
      </c>
      <c r="B48" t="inlineStr">
        <is>
          <t>Bad dollars</t>
        </is>
      </c>
      <c r="C48" t="n">
        <v>65</v>
      </c>
      <c r="D48" t="inlineStr">
        <is>
          <t>FICO 686 - 711</t>
        </is>
      </c>
      <c r="E48" t="inlineStr">
        <is>
          <t>Online</t>
        </is>
      </c>
      <c r="G48" t="n">
        <v>546</v>
      </c>
      <c r="H48" t="n">
        <v>1.496396790753007</v>
      </c>
      <c r="J48" t="n">
        <v>6</v>
      </c>
      <c r="K48">
        <f>'_pockets'!$AI$65</f>
        <v/>
      </c>
      <c r="L48">
        <f>'_pockets'!$AJ$65</f>
        <v/>
      </c>
      <c r="M48">
        <f>IF(AND($A48='Pockets'!$D$17,$B48='Pockets'!$C$17,OR('Pockets'!$E$17="All",AND('Pockets'!$E$17="Worse and material",$K48="Yes",$L48="Yes"),AND('Pockets'!$E$17="Worse or not sure",OR($K48="Yes",$K48="Not sure")))),1,0)</f>
        <v/>
      </c>
      <c r="N48">
        <f>$N47+$M48</f>
        <v/>
      </c>
      <c r="O48" t="inlineStr">
        <is>
          <t>grids</t>
        </is>
      </c>
      <c r="P48" t="inlineStr">
        <is>
          <t>outcome_booked</t>
        </is>
      </c>
    </row>
    <row r="49">
      <c r="A49" t="inlineStr">
        <is>
          <t>Two-way</t>
        </is>
      </c>
      <c r="B49" t="inlineStr">
        <is>
          <t>Bad dollars</t>
        </is>
      </c>
      <c r="C49" t="n">
        <v>325</v>
      </c>
      <c r="D49" t="inlineStr">
        <is>
          <t>ORIG_BAL 26,324 - 37,950</t>
        </is>
      </c>
      <c r="E49" t="inlineStr">
        <is>
          <t>ASSET_CLASS 4</t>
        </is>
      </c>
      <c r="G49" t="n">
        <v>412</v>
      </c>
      <c r="H49" t="n">
        <v>1.576656666342092</v>
      </c>
      <c r="J49" t="n">
        <v>7</v>
      </c>
      <c r="K49">
        <f>'_pockets'!$AI$325</f>
        <v/>
      </c>
      <c r="L49">
        <f>'_pockets'!$AJ$325</f>
        <v/>
      </c>
      <c r="M49">
        <f>IF(AND($A49='Pockets'!$D$17,$B49='Pockets'!$C$17,OR('Pockets'!$E$17="All",AND('Pockets'!$E$17="Worse and material",$K49="Yes",$L49="Yes"),AND('Pockets'!$E$17="Worse or not sure",OR($K49="Yes",$K49="Not sure")))),1,0)</f>
        <v/>
      </c>
      <c r="N49">
        <f>$N48+$M49</f>
        <v/>
      </c>
      <c r="O49" t="inlineStr">
        <is>
          <t>grids</t>
        </is>
      </c>
      <c r="P49" t="inlineStr">
        <is>
          <t>outcome_booked</t>
        </is>
      </c>
    </row>
    <row r="50">
      <c r="A50" t="inlineStr">
        <is>
          <t>Two-way</t>
        </is>
      </c>
      <c r="B50" t="inlineStr">
        <is>
          <t>Bad dollars</t>
        </is>
      </c>
      <c r="C50" t="n">
        <v>300</v>
      </c>
      <c r="D50" t="inlineStr">
        <is>
          <t>ORIG_BAL 49,152 - 59,984</t>
        </is>
      </c>
      <c r="E50" t="inlineStr">
        <is>
          <t>Broker</t>
        </is>
      </c>
      <c r="G50" t="n">
        <v>520</v>
      </c>
      <c r="H50" t="n">
        <v>1.50941571294241</v>
      </c>
      <c r="J50" t="n">
        <v>8</v>
      </c>
      <c r="K50">
        <f>'_pockets'!$AI$300</f>
        <v/>
      </c>
      <c r="L50">
        <f>'_pockets'!$AJ$300</f>
        <v/>
      </c>
      <c r="M50">
        <f>IF(AND($A50='Pockets'!$D$17,$B50='Pockets'!$C$17,OR('Pockets'!$E$17="All",AND('Pockets'!$E$17="Worse and material",$K50="Yes",$L50="Yes"),AND('Pockets'!$E$17="Worse or not sure",OR($K50="Yes",$K50="Not sure")))),1,0)</f>
        <v/>
      </c>
      <c r="N50">
        <f>$N49+$M50</f>
        <v/>
      </c>
      <c r="O50" t="inlineStr">
        <is>
          <t>grids</t>
        </is>
      </c>
      <c r="P50" t="inlineStr">
        <is>
          <t>outcome_booked</t>
        </is>
      </c>
    </row>
    <row r="51">
      <c r="A51" t="inlineStr">
        <is>
          <t>Two-way</t>
        </is>
      </c>
      <c r="B51" t="inlineStr">
        <is>
          <t>Bad dollars</t>
        </is>
      </c>
      <c r="C51" t="n">
        <v>385</v>
      </c>
      <c r="D51" t="inlineStr">
        <is>
          <t>ORIG_BAL 49,152 - 59,984</t>
        </is>
      </c>
      <c r="E51" t="inlineStr">
        <is>
          <t>ASSET_CLASS 4</t>
        </is>
      </c>
      <c r="G51" t="n">
        <v>384</v>
      </c>
      <c r="H51" t="n">
        <v>1.598773175862453</v>
      </c>
      <c r="J51" t="n">
        <v>9</v>
      </c>
      <c r="K51">
        <f>'_pockets'!$AI$385</f>
        <v/>
      </c>
      <c r="L51">
        <f>'_pockets'!$AJ$385</f>
        <v/>
      </c>
      <c r="M51">
        <f>IF(AND($A51='Pockets'!$D$17,$B51='Pockets'!$C$17,OR('Pockets'!$E$17="All",AND('Pockets'!$E$17="Worse and material",$K51="Yes",$L51="Yes"),AND('Pockets'!$E$17="Worse or not sure",OR($K51="Yes",$K51="Not sure")))),1,0)</f>
        <v/>
      </c>
      <c r="N51">
        <f>$N50+$M51</f>
        <v/>
      </c>
      <c r="O51" t="inlineStr">
        <is>
          <t>grids</t>
        </is>
      </c>
      <c r="P51" t="inlineStr">
        <is>
          <t>outcome_booked</t>
        </is>
      </c>
    </row>
    <row r="52">
      <c r="A52" t="inlineStr">
        <is>
          <t>Two-way</t>
        </is>
      </c>
      <c r="B52" t="inlineStr">
        <is>
          <t>Bad dollars</t>
        </is>
      </c>
      <c r="C52" t="n">
        <v>190</v>
      </c>
      <c r="D52" t="inlineStr">
        <is>
          <t>FICO 654 - 685</t>
        </is>
      </c>
      <c r="E52" t="inlineStr">
        <is>
          <t>ASSET_CLASS 4</t>
        </is>
      </c>
      <c r="G52" t="n">
        <v>410</v>
      </c>
      <c r="H52" t="n">
        <v>1.578157811852914</v>
      </c>
      <c r="J52" t="n">
        <v>10</v>
      </c>
      <c r="K52">
        <f>'_pockets'!$AI$190</f>
        <v/>
      </c>
      <c r="L52">
        <f>'_pockets'!$AJ$190</f>
        <v/>
      </c>
      <c r="M52">
        <f>IF(AND($A52='Pockets'!$D$17,$B52='Pockets'!$C$17,OR('Pockets'!$E$17="All",AND('Pockets'!$E$17="Worse and material",$K52="Yes",$L52="Yes"),AND('Pockets'!$E$17="Worse or not sure",OR($K52="Yes",$K52="Not sure")))),1,0)</f>
        <v/>
      </c>
      <c r="N52">
        <f>$N51+$M52</f>
        <v/>
      </c>
      <c r="O52" t="inlineStr">
        <is>
          <t>grids</t>
        </is>
      </c>
      <c r="P52" t="inlineStr">
        <is>
          <t>outcome_booked</t>
        </is>
      </c>
    </row>
    <row r="53">
      <c r="A53" t="inlineStr">
        <is>
          <t>Two-way</t>
        </is>
      </c>
      <c r="B53" t="inlineStr">
        <is>
          <t>Bad dollars</t>
        </is>
      </c>
      <c r="C53" t="n">
        <v>250</v>
      </c>
      <c r="D53" t="inlineStr">
        <is>
          <t>ORIG_BAL 15,449 - 26,323</t>
        </is>
      </c>
      <c r="E53" t="inlineStr">
        <is>
          <t>Broker</t>
        </is>
      </c>
      <c r="G53" t="n">
        <v>537</v>
      </c>
      <c r="H53" t="n">
        <v>1.500792236745585</v>
      </c>
      <c r="J53" t="n">
        <v>11</v>
      </c>
      <c r="K53">
        <f>'_pockets'!$AI$250</f>
        <v/>
      </c>
      <c r="L53">
        <f>'_pockets'!$AJ$250</f>
        <v/>
      </c>
      <c r="M53">
        <f>IF(AND($A53='Pockets'!$D$17,$B53='Pockets'!$C$17,OR('Pockets'!$E$17="All",AND('Pockets'!$E$17="Worse and material",$K53="Yes",$L53="Yes"),AND('Pockets'!$E$17="Worse or not sure",OR($K53="Yes",$K53="Not sure")))),1,0)</f>
        <v/>
      </c>
      <c r="N53">
        <f>$N52+$M53</f>
        <v/>
      </c>
      <c r="O53" t="inlineStr">
        <is>
          <t>grids</t>
        </is>
      </c>
      <c r="P53" t="inlineStr">
        <is>
          <t>outcome_booked</t>
        </is>
      </c>
    </row>
    <row r="54">
      <c r="A54" t="inlineStr">
        <is>
          <t>Two-way</t>
        </is>
      </c>
      <c r="B54" t="inlineStr">
        <is>
          <t>Bad dollars</t>
        </is>
      </c>
      <c r="C54" t="n">
        <v>260</v>
      </c>
      <c r="D54" t="inlineStr">
        <is>
          <t>ORIG_BAL 37,951 - 49,151</t>
        </is>
      </c>
      <c r="E54" t="inlineStr">
        <is>
          <t>Broker</t>
        </is>
      </c>
      <c r="G54" t="n">
        <v>531</v>
      </c>
      <c r="H54" t="n">
        <v>1.50378673024631</v>
      </c>
      <c r="J54" t="n">
        <v>12</v>
      </c>
      <c r="K54">
        <f>'_pockets'!$AI$260</f>
        <v/>
      </c>
      <c r="L54">
        <f>'_pockets'!$AJ$260</f>
        <v/>
      </c>
      <c r="M54">
        <f>IF(AND($A54='Pockets'!$D$17,$B54='Pockets'!$C$17,OR('Pockets'!$E$17="All",AND('Pockets'!$E$17="Worse and material",$K54="Yes",$L54="Yes"),AND('Pockets'!$E$17="Worse or not sure",OR($K54="Yes",$K54="Not sure")))),1,0)</f>
        <v/>
      </c>
      <c r="N54">
        <f>$N53+$M54</f>
        <v/>
      </c>
      <c r="O54" t="inlineStr">
        <is>
          <t>grids</t>
        </is>
      </c>
      <c r="P54" t="inlineStr">
        <is>
          <t>outcome_booked</t>
        </is>
      </c>
    </row>
    <row r="55">
      <c r="A55" t="inlineStr">
        <is>
          <t>Two-way</t>
        </is>
      </c>
      <c r="B55" t="inlineStr">
        <is>
          <t>Bad dollars</t>
        </is>
      </c>
      <c r="C55" t="n">
        <v>380</v>
      </c>
      <c r="D55" t="inlineStr">
        <is>
          <t>ORIG_BAL 37,951 - 49,151</t>
        </is>
      </c>
      <c r="E55" t="inlineStr">
        <is>
          <t>ASSET_CLASS 3</t>
        </is>
      </c>
      <c r="G55" t="n">
        <v>382</v>
      </c>
      <c r="H55" t="n">
        <v>1.60044930767158</v>
      </c>
      <c r="J55" t="n">
        <v>13</v>
      </c>
      <c r="K55">
        <f>'_pockets'!$AI$380</f>
        <v/>
      </c>
      <c r="L55">
        <f>'_pockets'!$AJ$380</f>
        <v/>
      </c>
      <c r="M55">
        <f>IF(AND($A55='Pockets'!$D$17,$B55='Pockets'!$C$17,OR('Pockets'!$E$17="All",AND('Pockets'!$E$17="Worse and material",$K55="Yes",$L55="Yes"),AND('Pockets'!$E$17="Worse or not sure",OR($K55="Yes",$K55="Not sure")))),1,0)</f>
        <v/>
      </c>
      <c r="N55">
        <f>$N54+$M55</f>
        <v/>
      </c>
      <c r="O55" t="inlineStr">
        <is>
          <t>grids</t>
        </is>
      </c>
      <c r="P55" t="inlineStr">
        <is>
          <t>outcome_booked</t>
        </is>
      </c>
    </row>
    <row r="56">
      <c r="A56" t="inlineStr">
        <is>
          <t>Two-way</t>
        </is>
      </c>
      <c r="B56" t="inlineStr">
        <is>
          <t>Bad dollars</t>
        </is>
      </c>
      <c r="C56" t="n">
        <v>345</v>
      </c>
      <c r="D56" t="inlineStr">
        <is>
          <t>ORIG_BAL 15,449 - 26,323</t>
        </is>
      </c>
      <c r="E56" t="inlineStr">
        <is>
          <t>ASSET_CLASS 4</t>
        </is>
      </c>
      <c r="G56" t="n">
        <v>413</v>
      </c>
      <c r="H56" t="n">
        <v>1.575910354095393</v>
      </c>
      <c r="J56" t="n">
        <v>14</v>
      </c>
      <c r="K56">
        <f>'_pockets'!$AI$345</f>
        <v/>
      </c>
      <c r="L56">
        <f>'_pockets'!$AJ$345</f>
        <v/>
      </c>
      <c r="M56">
        <f>IF(AND($A56='Pockets'!$D$17,$B56='Pockets'!$C$17,OR('Pockets'!$E$17="All",AND('Pockets'!$E$17="Worse and material",$K56="Yes",$L56="Yes"),AND('Pockets'!$E$17="Worse or not sure",OR($K56="Yes",$K56="Not sure")))),1,0)</f>
        <v/>
      </c>
      <c r="N56">
        <f>$N55+$M56</f>
        <v/>
      </c>
      <c r="O56" t="inlineStr">
        <is>
          <t>grids</t>
        </is>
      </c>
      <c r="P56" t="inlineStr">
        <is>
          <t>outcome_booked</t>
        </is>
      </c>
    </row>
    <row r="57">
      <c r="A57" t="inlineStr">
        <is>
          <t>Two-way</t>
        </is>
      </c>
      <c r="B57" t="inlineStr">
        <is>
          <t>Bad dollars</t>
        </is>
      </c>
      <c r="C57" t="n">
        <v>130</v>
      </c>
      <c r="D57" t="inlineStr">
        <is>
          <t>FICO 746 - 921</t>
        </is>
      </c>
      <c r="E57" t="inlineStr">
        <is>
          <t>ASSET_CLASS 2</t>
        </is>
      </c>
      <c r="G57" t="n">
        <v>399</v>
      </c>
      <c r="H57" t="n">
        <v>1.586623298130326</v>
      </c>
      <c r="J57" t="n">
        <v>15</v>
      </c>
      <c r="K57">
        <f>'_pockets'!$AI$130</f>
        <v/>
      </c>
      <c r="L57">
        <f>'_pockets'!$AJ$130</f>
        <v/>
      </c>
      <c r="M57">
        <f>IF(AND($A57='Pockets'!$D$17,$B57='Pockets'!$C$17,OR('Pockets'!$E$17="All",AND('Pockets'!$E$17="Worse and material",$K57="Yes",$L57="Yes"),AND('Pockets'!$E$17="Worse or not sure",OR($K57="Yes",$K57="Not sure")))),1,0)</f>
        <v/>
      </c>
      <c r="N57">
        <f>$N56+$M57</f>
        <v/>
      </c>
      <c r="O57" t="inlineStr">
        <is>
          <t>grids</t>
        </is>
      </c>
      <c r="P57" t="inlineStr">
        <is>
          <t>outcome_booked</t>
        </is>
      </c>
    </row>
    <row r="58">
      <c r="A58" t="inlineStr">
        <is>
          <t>Two-way</t>
        </is>
      </c>
      <c r="B58" t="inlineStr">
        <is>
          <t>Bad dollars</t>
        </is>
      </c>
      <c r="C58" t="n">
        <v>230</v>
      </c>
      <c r="D58" t="inlineStr">
        <is>
          <t>ORIG_BAL 26,324 - 37,950</t>
        </is>
      </c>
      <c r="E58" t="inlineStr">
        <is>
          <t>Broker</t>
        </is>
      </c>
      <c r="G58" t="n">
        <v>553</v>
      </c>
      <c r="H58" t="n">
        <v>1.493055268738885</v>
      </c>
      <c r="J58" t="n">
        <v>16</v>
      </c>
      <c r="K58">
        <f>'_pockets'!$AI$230</f>
        <v/>
      </c>
      <c r="L58">
        <f>'_pockets'!$AJ$230</f>
        <v/>
      </c>
      <c r="M58">
        <f>IF(AND($A58='Pockets'!$D$17,$B58='Pockets'!$C$17,OR('Pockets'!$E$17="All",AND('Pockets'!$E$17="Worse and material",$K58="Yes",$L58="Yes"),AND('Pockets'!$E$17="Worse or not sure",OR($K58="Yes",$K58="Not sure")))),1,0)</f>
        <v/>
      </c>
      <c r="N58">
        <f>$N57+$M58</f>
        <v/>
      </c>
      <c r="O58" t="inlineStr">
        <is>
          <t>grids</t>
        </is>
      </c>
      <c r="P58" t="inlineStr">
        <is>
          <t>outcome_booked</t>
        </is>
      </c>
    </row>
    <row r="59">
      <c r="A59" t="inlineStr">
        <is>
          <t>Two-way</t>
        </is>
      </c>
      <c r="B59" t="inlineStr">
        <is>
          <t>Bad dollars</t>
        </is>
      </c>
      <c r="C59" t="n">
        <v>55</v>
      </c>
      <c r="D59" t="inlineStr">
        <is>
          <t>FICO 654 - 685</t>
        </is>
      </c>
      <c r="E59" t="inlineStr">
        <is>
          <t>Branch</t>
        </is>
      </c>
      <c r="G59" t="n">
        <v>503</v>
      </c>
      <c r="H59" t="n">
        <v>1.518489457951721</v>
      </c>
      <c r="J59" t="n">
        <v>17</v>
      </c>
      <c r="K59">
        <f>'_pockets'!$AI$55</f>
        <v/>
      </c>
      <c r="L59">
        <f>'_pockets'!$AJ$55</f>
        <v/>
      </c>
      <c r="M59">
        <f>IF(AND($A59='Pockets'!$D$17,$B59='Pockets'!$C$17,OR('Pockets'!$E$17="All",AND('Pockets'!$E$17="Worse and material",$K59="Yes",$L59="Yes"),AND('Pockets'!$E$17="Worse or not sure",OR($K59="Yes",$K59="Not sure")))),1,0)</f>
        <v/>
      </c>
      <c r="N59">
        <f>$N58+$M59</f>
        <v/>
      </c>
      <c r="O59" t="inlineStr">
        <is>
          <t>grids</t>
        </is>
      </c>
      <c r="P59" t="inlineStr">
        <is>
          <t>outcome_booked</t>
        </is>
      </c>
    </row>
    <row r="60">
      <c r="A60" t="inlineStr">
        <is>
          <t>Two-way</t>
        </is>
      </c>
      <c r="B60" t="inlineStr">
        <is>
          <t>Bad dollars</t>
        </is>
      </c>
      <c r="C60" t="n">
        <v>155</v>
      </c>
      <c r="D60" t="inlineStr">
        <is>
          <t>FICO 686 - 711</t>
        </is>
      </c>
      <c r="E60" t="inlineStr">
        <is>
          <t>ASSET_CLASS 4</t>
        </is>
      </c>
      <c r="G60" t="n">
        <v>407</v>
      </c>
      <c r="H60" t="n">
        <v>1.580431102130149</v>
      </c>
      <c r="J60" t="n">
        <v>18</v>
      </c>
      <c r="K60">
        <f>'_pockets'!$AI$155</f>
        <v/>
      </c>
      <c r="L60">
        <f>'_pockets'!$AJ$155</f>
        <v/>
      </c>
      <c r="M60">
        <f>IF(AND($A60='Pockets'!$D$17,$B60='Pockets'!$C$17,OR('Pockets'!$E$17="All",AND('Pockets'!$E$17="Worse and material",$K60="Yes",$L60="Yes"),AND('Pockets'!$E$17="Worse or not sure",OR($K60="Yes",$K60="Not sure")))),1,0)</f>
        <v/>
      </c>
      <c r="N60">
        <f>$N59+$M60</f>
        <v/>
      </c>
      <c r="O60" t="inlineStr">
        <is>
          <t>grids</t>
        </is>
      </c>
      <c r="P60" t="inlineStr">
        <is>
          <t>outcome_booked</t>
        </is>
      </c>
    </row>
    <row r="61">
      <c r="A61" t="inlineStr">
        <is>
          <t>Two-way</t>
        </is>
      </c>
      <c r="B61" t="inlineStr">
        <is>
          <t>Bad dollars</t>
        </is>
      </c>
      <c r="C61" t="n">
        <v>350</v>
      </c>
      <c r="D61" t="inlineStr">
        <is>
          <t>ORIG_BAL 5,005 - 15,448</t>
        </is>
      </c>
      <c r="E61" t="inlineStr">
        <is>
          <t>ASSET_CLASS 4</t>
        </is>
      </c>
      <c r="G61" t="n">
        <v>425</v>
      </c>
      <c r="H61" t="n">
        <v>1.567169414365422</v>
      </c>
      <c r="J61" t="n">
        <v>19</v>
      </c>
      <c r="K61">
        <f>'_pockets'!$AI$350</f>
        <v/>
      </c>
      <c r="L61">
        <f>'_pockets'!$AJ$350</f>
        <v/>
      </c>
      <c r="M61">
        <f>IF(AND($A61='Pockets'!$D$17,$B61='Pockets'!$C$17,OR('Pockets'!$E$17="All",AND('Pockets'!$E$17="Worse and material",$K61="Yes",$L61="Yes"),AND('Pockets'!$E$17="Worse or not sure",OR($K61="Yes",$K61="Not sure")))),1,0)</f>
        <v/>
      </c>
      <c r="N61">
        <f>$N60+$M61</f>
        <v/>
      </c>
      <c r="O61" t="inlineStr">
        <is>
          <t>grids</t>
        </is>
      </c>
      <c r="P61" t="inlineStr">
        <is>
          <t>outcome_booked</t>
        </is>
      </c>
    </row>
    <row r="62">
      <c r="A62" t="inlineStr">
        <is>
          <t>Two-way</t>
        </is>
      </c>
      <c r="B62" t="inlineStr">
        <is>
          <t>Bad dollars</t>
        </is>
      </c>
      <c r="C62" t="n">
        <v>95</v>
      </c>
      <c r="D62" t="inlineStr">
        <is>
          <t>FICO (marked missing)</t>
        </is>
      </c>
      <c r="E62" t="inlineStr">
        <is>
          <t>Broker</t>
        </is>
      </c>
      <c r="G62" t="n">
        <v>54</v>
      </c>
      <c r="H62" t="n">
        <v>2.775118494361108</v>
      </c>
      <c r="J62" t="n">
        <v>20</v>
      </c>
      <c r="K62">
        <f>'_pockets'!$AI$95</f>
        <v/>
      </c>
      <c r="L62">
        <f>'_pockets'!$AJ$95</f>
        <v/>
      </c>
      <c r="M62">
        <f>IF(AND($A62='Pockets'!$D$17,$B62='Pockets'!$C$17,OR('Pockets'!$E$17="All",AND('Pockets'!$E$17="Worse and material",$K62="Yes",$L62="Yes"),AND('Pockets'!$E$17="Worse or not sure",OR($K62="Yes",$K62="Not sure")))),1,0)</f>
        <v/>
      </c>
      <c r="N62">
        <f>$N61+$M62</f>
        <v/>
      </c>
      <c r="O62" t="inlineStr">
        <is>
          <t>grids</t>
        </is>
      </c>
      <c r="P62" t="inlineStr">
        <is>
          <t>outcome_booked</t>
        </is>
      </c>
    </row>
    <row r="63">
      <c r="A63" t="inlineStr">
        <is>
          <t>Two-way</t>
        </is>
      </c>
      <c r="B63" t="inlineStr">
        <is>
          <t>Bad dollars</t>
        </is>
      </c>
      <c r="C63" t="n">
        <v>210</v>
      </c>
      <c r="D63" t="inlineStr">
        <is>
          <t>FICO 686 - 711</t>
        </is>
      </c>
      <c r="E63" t="inlineStr">
        <is>
          <t>ASSET_CLASS 3</t>
        </is>
      </c>
      <c r="G63" t="n">
        <v>388</v>
      </c>
      <c r="H63" t="n">
        <v>1.59546151206406</v>
      </c>
      <c r="J63" t="n">
        <v>21</v>
      </c>
      <c r="K63">
        <f>'_pockets'!$AI$210</f>
        <v/>
      </c>
      <c r="L63">
        <f>'_pockets'!$AJ$210</f>
        <v/>
      </c>
      <c r="M63">
        <f>IF(AND($A63='Pockets'!$D$17,$B63='Pockets'!$C$17,OR('Pockets'!$E$17="All",AND('Pockets'!$E$17="Worse and material",$K63="Yes",$L63="Yes"),AND('Pockets'!$E$17="Worse or not sure",OR($K63="Yes",$K63="Not sure")))),1,0)</f>
        <v/>
      </c>
      <c r="N63">
        <f>$N62+$M63</f>
        <v/>
      </c>
      <c r="O63" t="inlineStr">
        <is>
          <t>grids</t>
        </is>
      </c>
      <c r="P63" t="inlineStr">
        <is>
          <t>outcome_booked</t>
        </is>
      </c>
    </row>
    <row r="64">
      <c r="A64" t="inlineStr">
        <is>
          <t>Two-way</t>
        </is>
      </c>
      <c r="B64" t="inlineStr">
        <is>
          <t>Bad dollars</t>
        </is>
      </c>
      <c r="C64" t="n">
        <v>25</v>
      </c>
      <c r="D64" t="inlineStr">
        <is>
          <t>FICO 746 - 921</t>
        </is>
      </c>
      <c r="E64" t="inlineStr">
        <is>
          <t>Branch</t>
        </is>
      </c>
      <c r="G64" t="n">
        <v>518</v>
      </c>
      <c r="H64" t="n">
        <v>1.510459107688015</v>
      </c>
      <c r="J64" t="n">
        <v>22</v>
      </c>
      <c r="K64">
        <f>'_pockets'!$AI$25</f>
        <v/>
      </c>
      <c r="L64">
        <f>'_pockets'!$AJ$25</f>
        <v/>
      </c>
      <c r="M64">
        <f>IF(AND($A64='Pockets'!$D$17,$B64='Pockets'!$C$17,OR('Pockets'!$E$17="All",AND('Pockets'!$E$17="Worse and material",$K64="Yes",$L64="Yes"),AND('Pockets'!$E$17="Worse or not sure",OR($K64="Yes",$K64="Not sure")))),1,0)</f>
        <v/>
      </c>
      <c r="N64">
        <f>$N63+$M64</f>
        <v/>
      </c>
      <c r="O64" t="inlineStr">
        <is>
          <t>grids</t>
        </is>
      </c>
      <c r="P64" t="inlineStr">
        <is>
          <t>outcome_booked</t>
        </is>
      </c>
    </row>
    <row r="65">
      <c r="A65" t="inlineStr">
        <is>
          <t>Two-way</t>
        </is>
      </c>
      <c r="B65" t="inlineStr">
        <is>
          <t>Bad dollars</t>
        </is>
      </c>
      <c r="C65" t="n">
        <v>220</v>
      </c>
      <c r="D65" t="inlineStr">
        <is>
          <t>FICO (marked missing)</t>
        </is>
      </c>
      <c r="E65" t="inlineStr">
        <is>
          <t>ASSET_CLASS 2</t>
        </is>
      </c>
      <c r="G65" t="n">
        <v>36</v>
      </c>
      <c r="H65" t="n">
        <v>3.248325025675372</v>
      </c>
      <c r="J65" t="n">
        <v>23</v>
      </c>
      <c r="K65">
        <f>'_pockets'!$AI$220</f>
        <v/>
      </c>
      <c r="L65">
        <f>'_pockets'!$AJ$220</f>
        <v/>
      </c>
      <c r="M65">
        <f>IF(AND($A65='Pockets'!$D$17,$B65='Pockets'!$C$17,OR('Pockets'!$E$17="All",AND('Pockets'!$E$17="Worse and material",$K65="Yes",$L65="Yes"),AND('Pockets'!$E$17="Worse or not sure",OR($K65="Yes",$K65="Not sure")))),1,0)</f>
        <v/>
      </c>
      <c r="N65">
        <f>$N64+$M65</f>
        <v/>
      </c>
      <c r="O65" t="inlineStr">
        <is>
          <t>grids</t>
        </is>
      </c>
      <c r="P65" t="inlineStr">
        <is>
          <t>outcome_booked</t>
        </is>
      </c>
    </row>
    <row r="66">
      <c r="A66" t="inlineStr">
        <is>
          <t>Two-way</t>
        </is>
      </c>
      <c r="B66" t="inlineStr">
        <is>
          <t>Bad dollars</t>
        </is>
      </c>
      <c r="C66" t="n">
        <v>400</v>
      </c>
      <c r="D66" t="inlineStr">
        <is>
          <t>ORIG_BAL 15,449 - 26,323</t>
        </is>
      </c>
      <c r="E66" t="inlineStr">
        <is>
          <t>ASSET_CLASS 3</t>
        </is>
      </c>
      <c r="G66" t="n">
        <v>427</v>
      </c>
      <c r="H66" t="n">
        <v>1.565749979913249</v>
      </c>
      <c r="J66" t="n">
        <v>24</v>
      </c>
      <c r="K66">
        <f>'_pockets'!$AI$400</f>
        <v/>
      </c>
      <c r="L66">
        <f>'_pockets'!$AJ$400</f>
        <v/>
      </c>
      <c r="M66">
        <f>IF(AND($A66='Pockets'!$D$17,$B66='Pockets'!$C$17,OR('Pockets'!$E$17="All",AND('Pockets'!$E$17="Worse and material",$K66="Yes",$L66="Yes"),AND('Pockets'!$E$17="Worse or not sure",OR($K66="Yes",$K66="Not sure")))),1,0)</f>
        <v/>
      </c>
      <c r="N66">
        <f>$N65+$M66</f>
        <v/>
      </c>
      <c r="O66" t="inlineStr">
        <is>
          <t>grids</t>
        </is>
      </c>
      <c r="P66" t="inlineStr">
        <is>
          <t>outcome_booked</t>
        </is>
      </c>
    </row>
    <row r="67">
      <c r="A67" t="inlineStr">
        <is>
          <t>Two-way</t>
        </is>
      </c>
      <c r="B67" t="inlineStr">
        <is>
          <t>Bad dollars</t>
        </is>
      </c>
      <c r="C67" t="n">
        <v>180</v>
      </c>
      <c r="D67" t="inlineStr">
        <is>
          <t>FICO 654 - 685</t>
        </is>
      </c>
      <c r="E67" t="inlineStr">
        <is>
          <t>ASSET_CLASS 3</t>
        </is>
      </c>
      <c r="G67" t="n">
        <v>377</v>
      </c>
      <c r="H67" t="n">
        <v>1.604700327407687</v>
      </c>
      <c r="J67" t="n">
        <v>25</v>
      </c>
      <c r="K67">
        <f>'_pockets'!$AI$180</f>
        <v/>
      </c>
      <c r="L67">
        <f>'_pockets'!$AJ$180</f>
        <v/>
      </c>
      <c r="M67">
        <f>IF(AND($A67='Pockets'!$D$17,$B67='Pockets'!$C$17,OR('Pockets'!$E$17="All",AND('Pockets'!$E$17="Worse and material",$K67="Yes",$L67="Yes"),AND('Pockets'!$E$17="Worse or not sure",OR($K67="Yes",$K67="Not sure")))),1,0)</f>
        <v/>
      </c>
      <c r="N67">
        <f>$N66+$M67</f>
        <v/>
      </c>
      <c r="O67" t="inlineStr">
        <is>
          <t>grids</t>
        </is>
      </c>
      <c r="P67" t="inlineStr">
        <is>
          <t>outcome_booked</t>
        </is>
      </c>
    </row>
    <row r="68">
      <c r="A68" t="inlineStr">
        <is>
          <t>Two-way</t>
        </is>
      </c>
      <c r="B68" t="inlineStr">
        <is>
          <t>Bad dollars</t>
        </is>
      </c>
      <c r="C68" t="n">
        <v>140</v>
      </c>
      <c r="D68" t="inlineStr">
        <is>
          <t>FICO 686 - 711</t>
        </is>
      </c>
      <c r="E68" t="inlineStr">
        <is>
          <t>ASSET_CLASS 1</t>
        </is>
      </c>
      <c r="G68" t="n">
        <v>372</v>
      </c>
      <c r="H68" t="n">
        <v>1.609040446254195</v>
      </c>
      <c r="J68" t="n">
        <v>26</v>
      </c>
      <c r="K68">
        <f>'_pockets'!$AI$140</f>
        <v/>
      </c>
      <c r="L68">
        <f>'_pockets'!$AJ$140</f>
        <v/>
      </c>
      <c r="M68">
        <f>IF(AND($A68='Pockets'!$D$17,$B68='Pockets'!$C$17,OR('Pockets'!$E$17="All",AND('Pockets'!$E$17="Worse and material",$K68="Yes",$L68="Yes"),AND('Pockets'!$E$17="Worse or not sure",OR($K68="Yes",$K68="Not sure")))),1,0)</f>
        <v/>
      </c>
      <c r="N68">
        <f>$N67+$M68</f>
        <v/>
      </c>
      <c r="O68" t="inlineStr">
        <is>
          <t>grids</t>
        </is>
      </c>
      <c r="P68" t="inlineStr">
        <is>
          <t>outcome_booked</t>
        </is>
      </c>
    </row>
    <row r="69">
      <c r="A69" t="inlineStr">
        <is>
          <t>Two-way</t>
        </is>
      </c>
      <c r="B69" t="inlineStr">
        <is>
          <t>Bad dollars</t>
        </is>
      </c>
      <c r="C69" t="n">
        <v>265</v>
      </c>
      <c r="D69" t="inlineStr">
        <is>
          <t>ORIG_BAL 5,005 - 15,448</t>
        </is>
      </c>
      <c r="E69" t="inlineStr">
        <is>
          <t>Broker</t>
        </is>
      </c>
      <c r="G69" t="n">
        <v>514</v>
      </c>
      <c r="H69" t="n">
        <v>1.512564827196084</v>
      </c>
      <c r="J69" t="n">
        <v>27</v>
      </c>
      <c r="K69">
        <f>'_pockets'!$AI$265</f>
        <v/>
      </c>
      <c r="L69">
        <f>'_pockets'!$AJ$265</f>
        <v/>
      </c>
      <c r="M69">
        <f>IF(AND($A69='Pockets'!$D$17,$B69='Pockets'!$C$17,OR('Pockets'!$E$17="All",AND('Pockets'!$E$17="Worse and material",$K69="Yes",$L69="Yes"),AND('Pockets'!$E$17="Worse or not sure",OR($K69="Yes",$K69="Not sure")))),1,0)</f>
        <v/>
      </c>
      <c r="N69">
        <f>$N68+$M69</f>
        <v/>
      </c>
      <c r="O69" t="inlineStr">
        <is>
          <t>grids</t>
        </is>
      </c>
      <c r="P69" t="inlineStr">
        <is>
          <t>outcome_booked</t>
        </is>
      </c>
    </row>
    <row r="70">
      <c r="A70" t="inlineStr">
        <is>
          <t>Two-way</t>
        </is>
      </c>
      <c r="B70" t="inlineStr">
        <is>
          <t>Bad dollars</t>
        </is>
      </c>
      <c r="C70" t="n">
        <v>225</v>
      </c>
      <c r="D70" t="inlineStr">
        <is>
          <t>ORIG_BAL 5,005 - 15,448</t>
        </is>
      </c>
      <c r="E70" t="inlineStr">
        <is>
          <t>Online</t>
        </is>
      </c>
      <c r="G70" t="n">
        <v>544</v>
      </c>
      <c r="H70" t="n">
        <v>1.497363775120005</v>
      </c>
      <c r="J70" t="n">
        <v>28</v>
      </c>
      <c r="K70">
        <f>'_pockets'!$AI$225</f>
        <v/>
      </c>
      <c r="L70">
        <f>'_pockets'!$AJ$225</f>
        <v/>
      </c>
      <c r="M70">
        <f>IF(AND($A70='Pockets'!$D$17,$B70='Pockets'!$C$17,OR('Pockets'!$E$17="All",AND('Pockets'!$E$17="Worse and material",$K70="Yes",$L70="Yes"),AND('Pockets'!$E$17="Worse or not sure",OR($K70="Yes",$K70="Not sure")))),1,0)</f>
        <v/>
      </c>
      <c r="N70">
        <f>$N69+$M70</f>
        <v/>
      </c>
      <c r="O70" t="inlineStr">
        <is>
          <t>grids</t>
        </is>
      </c>
      <c r="P70" t="inlineStr">
        <is>
          <t>outcome_booked</t>
        </is>
      </c>
    </row>
    <row r="71">
      <c r="A71" t="inlineStr">
        <is>
          <t>Two-way</t>
        </is>
      </c>
      <c r="B71" t="inlineStr">
        <is>
          <t>Bad dollars</t>
        </is>
      </c>
      <c r="C71" t="n">
        <v>255</v>
      </c>
      <c r="D71" t="inlineStr">
        <is>
          <t>ORIG_BAL 15,449 - 26,323</t>
        </is>
      </c>
      <c r="E71" t="inlineStr">
        <is>
          <t>Online</t>
        </is>
      </c>
      <c r="G71" t="n">
        <v>538</v>
      </c>
      <c r="H71" t="n">
        <v>1.500298211132487</v>
      </c>
      <c r="J71" t="n">
        <v>29</v>
      </c>
      <c r="K71">
        <f>'_pockets'!$AI$255</f>
        <v/>
      </c>
      <c r="L71">
        <f>'_pockets'!$AJ$255</f>
        <v/>
      </c>
      <c r="M71">
        <f>IF(AND($A71='Pockets'!$D$17,$B71='Pockets'!$C$17,OR('Pockets'!$E$17="All",AND('Pockets'!$E$17="Worse and material",$K71="Yes",$L71="Yes"),AND('Pockets'!$E$17="Worse or not sure",OR($K71="Yes",$K71="Not sure")))),1,0)</f>
        <v/>
      </c>
      <c r="N71">
        <f>$N70+$M71</f>
        <v/>
      </c>
      <c r="O71" t="inlineStr">
        <is>
          <t>grids</t>
        </is>
      </c>
      <c r="P71" t="inlineStr">
        <is>
          <t>outcome_booked</t>
        </is>
      </c>
    </row>
    <row r="72">
      <c r="A72" t="inlineStr">
        <is>
          <t>Two-way</t>
        </is>
      </c>
      <c r="B72" t="inlineStr">
        <is>
          <t>Bad dollars</t>
        </is>
      </c>
      <c r="C72" t="n">
        <v>335</v>
      </c>
      <c r="D72" t="inlineStr">
        <is>
          <t>ORIG_BAL 15,449 - 26,323</t>
        </is>
      </c>
      <c r="E72" t="inlineStr">
        <is>
          <t>ASSET_CLASS 1</t>
        </is>
      </c>
      <c r="G72" t="n">
        <v>404</v>
      </c>
      <c r="H72" t="n">
        <v>1.582730718573631</v>
      </c>
      <c r="J72" t="n">
        <v>30</v>
      </c>
      <c r="K72">
        <f>'_pockets'!$AI$335</f>
        <v/>
      </c>
      <c r="L72">
        <f>'_pockets'!$AJ$335</f>
        <v/>
      </c>
      <c r="M72">
        <f>IF(AND($A72='Pockets'!$D$17,$B72='Pockets'!$C$17,OR('Pockets'!$E$17="All",AND('Pockets'!$E$17="Worse and material",$K72="Yes",$L72="Yes"),AND('Pockets'!$E$17="Worse or not sure",OR($K72="Yes",$K72="Not sure")))),1,0)</f>
        <v/>
      </c>
      <c r="N72">
        <f>$N71+$M72</f>
        <v/>
      </c>
      <c r="O72" t="inlineStr">
        <is>
          <t>grids</t>
        </is>
      </c>
      <c r="P72" t="inlineStr">
        <is>
          <t>outcome_booked</t>
        </is>
      </c>
    </row>
    <row r="73">
      <c r="A73" t="inlineStr">
        <is>
          <t>Two-way</t>
        </is>
      </c>
      <c r="B73" t="inlineStr">
        <is>
          <t>Bad dollars</t>
        </is>
      </c>
      <c r="C73" t="n">
        <v>370</v>
      </c>
      <c r="D73" t="inlineStr">
        <is>
          <t>ORIG_BAL 5,005 - 15,448</t>
        </is>
      </c>
      <c r="E73" t="inlineStr">
        <is>
          <t>ASSET_CLASS 3</t>
        </is>
      </c>
      <c r="G73" t="n">
        <v>354</v>
      </c>
      <c r="H73" t="n">
        <v>1.625452466094408</v>
      </c>
      <c r="J73" t="n">
        <v>31</v>
      </c>
      <c r="K73">
        <f>'_pockets'!$AI$370</f>
        <v/>
      </c>
      <c r="L73">
        <f>'_pockets'!$AJ$370</f>
        <v/>
      </c>
      <c r="M73">
        <f>IF(AND($A73='Pockets'!$D$17,$B73='Pockets'!$C$17,OR('Pockets'!$E$17="All",AND('Pockets'!$E$17="Worse and material",$K73="Yes",$L73="Yes"),AND('Pockets'!$E$17="Worse or not sure",OR($K73="Yes",$K73="Not sure")))),1,0)</f>
        <v/>
      </c>
      <c r="N73">
        <f>$N72+$M73</f>
        <v/>
      </c>
      <c r="O73" t="inlineStr">
        <is>
          <t>grids</t>
        </is>
      </c>
      <c r="P73" t="inlineStr">
        <is>
          <t>outcome_booked</t>
        </is>
      </c>
    </row>
    <row r="74">
      <c r="A74" t="inlineStr">
        <is>
          <t>Two-way</t>
        </is>
      </c>
      <c r="B74" t="inlineStr">
        <is>
          <t>Bad dollars</t>
        </is>
      </c>
      <c r="C74" t="n">
        <v>215</v>
      </c>
      <c r="D74" t="inlineStr">
        <is>
          <t>FICO (marked missing)</t>
        </is>
      </c>
      <c r="E74" t="inlineStr">
        <is>
          <t>ASSET_CLASS 4</t>
        </is>
      </c>
      <c r="G74" t="n">
        <v>39</v>
      </c>
      <c r="H74" t="n">
        <v>3.145013153546541</v>
      </c>
      <c r="J74" t="n">
        <v>32</v>
      </c>
      <c r="K74">
        <f>'_pockets'!$AI$215</f>
        <v/>
      </c>
      <c r="L74">
        <f>'_pockets'!$AJ$215</f>
        <v/>
      </c>
      <c r="M74">
        <f>IF(AND($A74='Pockets'!$D$17,$B74='Pockets'!$C$17,OR('Pockets'!$E$17="All",AND('Pockets'!$E$17="Worse and material",$K74="Yes",$L74="Yes"),AND('Pockets'!$E$17="Worse or not sure",OR($K74="Yes",$K74="Not sure")))),1,0)</f>
        <v/>
      </c>
      <c r="N74">
        <f>$N73+$M74</f>
        <v/>
      </c>
      <c r="O74" t="inlineStr">
        <is>
          <t>grids</t>
        </is>
      </c>
      <c r="P74" t="inlineStr">
        <is>
          <t>outcome_booked</t>
        </is>
      </c>
    </row>
    <row r="75">
      <c r="A75" t="inlineStr">
        <is>
          <t>Two-way</t>
        </is>
      </c>
      <c r="B75" t="inlineStr">
        <is>
          <t>Bad dollars</t>
        </is>
      </c>
      <c r="C75" t="n">
        <v>175</v>
      </c>
      <c r="D75" t="inlineStr">
        <is>
          <t>FICO 496 - 653</t>
        </is>
      </c>
      <c r="E75" t="inlineStr">
        <is>
          <t>ASSET_CLASS 3</t>
        </is>
      </c>
      <c r="G75" t="n">
        <v>350</v>
      </c>
      <c r="H75" t="n">
        <v>1.629278045295928</v>
      </c>
      <c r="J75" t="n">
        <v>33</v>
      </c>
      <c r="K75">
        <f>'_pockets'!$AI$175</f>
        <v/>
      </c>
      <c r="L75">
        <f>'_pockets'!$AJ$175</f>
        <v/>
      </c>
      <c r="M75">
        <f>IF(AND($A75='Pockets'!$D$17,$B75='Pockets'!$C$17,OR('Pockets'!$E$17="All",AND('Pockets'!$E$17="Worse and material",$K75="Yes",$L75="Yes"),AND('Pockets'!$E$17="Worse or not sure",OR($K75="Yes",$K75="Not sure")))),1,0)</f>
        <v/>
      </c>
      <c r="N75">
        <f>$N74+$M75</f>
        <v/>
      </c>
      <c r="O75" t="inlineStr">
        <is>
          <t>grids</t>
        </is>
      </c>
      <c r="P75" t="inlineStr">
        <is>
          <t>outcome_booked</t>
        </is>
      </c>
    </row>
    <row r="76">
      <c r="A76" t="inlineStr">
        <is>
          <t>Two-way</t>
        </is>
      </c>
      <c r="B76" t="inlineStr">
        <is>
          <t>Bad dollars</t>
        </is>
      </c>
      <c r="C76" t="n">
        <v>135</v>
      </c>
      <c r="D76" t="inlineStr">
        <is>
          <t>FICO 496 - 653</t>
        </is>
      </c>
      <c r="E76" t="inlineStr">
        <is>
          <t>ASSET_CLASS 1</t>
        </is>
      </c>
      <c r="G76" t="n">
        <v>420</v>
      </c>
      <c r="H76" t="n">
        <v>1.570764067819862</v>
      </c>
      <c r="J76" t="n">
        <v>34</v>
      </c>
      <c r="K76">
        <f>'_pockets'!$AI$135</f>
        <v/>
      </c>
      <c r="L76">
        <f>'_pockets'!$AJ$135</f>
        <v/>
      </c>
      <c r="M76">
        <f>IF(AND($A76='Pockets'!$D$17,$B76='Pockets'!$C$17,OR('Pockets'!$E$17="All",AND('Pockets'!$E$17="Worse and material",$K76="Yes",$L76="Yes"),AND('Pockets'!$E$17="Worse or not sure",OR($K76="Yes",$K76="Not sure")))),1,0)</f>
        <v/>
      </c>
      <c r="N76">
        <f>$N75+$M76</f>
        <v/>
      </c>
      <c r="O76" t="inlineStr">
        <is>
          <t>grids</t>
        </is>
      </c>
      <c r="P76" t="inlineStr">
        <is>
          <t>outcome_booked</t>
        </is>
      </c>
    </row>
    <row r="77">
      <c r="A77" t="inlineStr">
        <is>
          <t>Two-way</t>
        </is>
      </c>
      <c r="B77" t="inlineStr">
        <is>
          <t>Bad dollars</t>
        </is>
      </c>
      <c r="C77" t="n">
        <v>20</v>
      </c>
      <c r="D77" t="inlineStr">
        <is>
          <t>FICO 496 - 653</t>
        </is>
      </c>
      <c r="E77" t="inlineStr">
        <is>
          <t>Branch</t>
        </is>
      </c>
      <c r="G77" t="n">
        <v>501</v>
      </c>
      <c r="H77" t="n">
        <v>1.519588375545581</v>
      </c>
      <c r="J77" t="n">
        <v>35</v>
      </c>
      <c r="K77">
        <f>'_pockets'!$AI$20</f>
        <v/>
      </c>
      <c r="L77">
        <f>'_pockets'!$AJ$20</f>
        <v/>
      </c>
      <c r="M77">
        <f>IF(AND($A77='Pockets'!$D$17,$B77='Pockets'!$C$17,OR('Pockets'!$E$17="All",AND('Pockets'!$E$17="Worse and material",$K77="Yes",$L77="Yes"),AND('Pockets'!$E$17="Worse or not sure",OR($K77="Yes",$K77="Not sure")))),1,0)</f>
        <v/>
      </c>
      <c r="N77">
        <f>$N76+$M77</f>
        <v/>
      </c>
      <c r="O77" t="inlineStr">
        <is>
          <t>grids</t>
        </is>
      </c>
      <c r="P77" t="inlineStr">
        <is>
          <t>outcome_booked</t>
        </is>
      </c>
    </row>
    <row r="78">
      <c r="A78" t="inlineStr">
        <is>
          <t>Two-way</t>
        </is>
      </c>
      <c r="B78" t="inlineStr">
        <is>
          <t>Bad dollars</t>
        </is>
      </c>
      <c r="C78" t="n">
        <v>120</v>
      </c>
      <c r="D78" t="inlineStr">
        <is>
          <t>FICO 496 - 653</t>
        </is>
      </c>
      <c r="E78" t="inlineStr">
        <is>
          <t>ASSET_CLASS 2</t>
        </is>
      </c>
      <c r="G78" t="n">
        <v>393</v>
      </c>
      <c r="H78" t="n">
        <v>1.591396221153347</v>
      </c>
      <c r="J78" t="n">
        <v>36</v>
      </c>
      <c r="K78">
        <f>'_pockets'!$AI$120</f>
        <v/>
      </c>
      <c r="L78">
        <f>'_pockets'!$AJ$120</f>
        <v/>
      </c>
      <c r="M78">
        <f>IF(AND($A78='Pockets'!$D$17,$B78='Pockets'!$C$17,OR('Pockets'!$E$17="All",AND('Pockets'!$E$17="Worse and material",$K78="Yes",$L78="Yes"),AND('Pockets'!$E$17="Worse or not sure",OR($K78="Yes",$K78="Not sure")))),1,0)</f>
        <v/>
      </c>
      <c r="N78">
        <f>$N77+$M78</f>
        <v/>
      </c>
      <c r="O78" t="inlineStr">
        <is>
          <t>grids</t>
        </is>
      </c>
      <c r="P78" t="inlineStr">
        <is>
          <t>outcome_booked</t>
        </is>
      </c>
    </row>
    <row r="79">
      <c r="A79" t="inlineStr">
        <is>
          <t>Two-way</t>
        </is>
      </c>
      <c r="B79" t="inlineStr">
        <is>
          <t>Bad dollars</t>
        </is>
      </c>
      <c r="C79" t="n">
        <v>80</v>
      </c>
      <c r="D79" t="inlineStr">
        <is>
          <t>FICO 496 - 653</t>
        </is>
      </c>
      <c r="E79" t="inlineStr">
        <is>
          <t>Online</t>
        </is>
      </c>
      <c r="G79" t="n">
        <v>531</v>
      </c>
      <c r="H79" t="n">
        <v>1.50378673024631</v>
      </c>
      <c r="J79" t="n">
        <v>37</v>
      </c>
      <c r="K79">
        <f>'_pockets'!$AI$80</f>
        <v/>
      </c>
      <c r="L79">
        <f>'_pockets'!$AJ$80</f>
        <v/>
      </c>
      <c r="M79">
        <f>IF(AND($A79='Pockets'!$D$17,$B79='Pockets'!$C$17,OR('Pockets'!$E$17="All",AND('Pockets'!$E$17="Worse and material",$K79="Yes",$L79="Yes"),AND('Pockets'!$E$17="Worse or not sure",OR($K79="Yes",$K79="Not sure")))),1,0)</f>
        <v/>
      </c>
      <c r="N79">
        <f>$N78+$M79</f>
        <v/>
      </c>
      <c r="O79" t="inlineStr">
        <is>
          <t>grids</t>
        </is>
      </c>
      <c r="P79" t="inlineStr">
        <is>
          <t>outcome_booked</t>
        </is>
      </c>
    </row>
    <row r="80">
      <c r="A80" t="inlineStr">
        <is>
          <t>Two-way</t>
        </is>
      </c>
      <c r="B80" t="inlineStr">
        <is>
          <t>Bad dollars</t>
        </is>
      </c>
      <c r="C80" t="n">
        <v>290</v>
      </c>
      <c r="D80" t="inlineStr">
        <is>
          <t>ORIG_BAL 37,951 - 49,151</t>
        </is>
      </c>
      <c r="E80" t="inlineStr">
        <is>
          <t>Online</t>
        </is>
      </c>
      <c r="G80" t="n">
        <v>543</v>
      </c>
      <c r="H80" t="n">
        <v>1.497849343479017</v>
      </c>
      <c r="J80" t="n">
        <v>38</v>
      </c>
      <c r="K80">
        <f>'_pockets'!$AI$290</f>
        <v/>
      </c>
      <c r="L80">
        <f>'_pockets'!$AJ$290</f>
        <v/>
      </c>
      <c r="M80">
        <f>IF(AND($A80='Pockets'!$D$17,$B80='Pockets'!$C$17,OR('Pockets'!$E$17="All",AND('Pockets'!$E$17="Worse and material",$K80="Yes",$L80="Yes"),AND('Pockets'!$E$17="Worse or not sure",OR($K80="Yes",$K80="Not sure")))),1,0)</f>
        <v/>
      </c>
      <c r="N80">
        <f>$N79+$M80</f>
        <v/>
      </c>
      <c r="O80" t="inlineStr">
        <is>
          <t>grids</t>
        </is>
      </c>
      <c r="P80" t="inlineStr">
        <is>
          <t>outcome_booked</t>
        </is>
      </c>
    </row>
    <row r="81">
      <c r="A81" t="inlineStr">
        <is>
          <t>Two-way</t>
        </is>
      </c>
      <c r="B81" t="inlineStr">
        <is>
          <t>Bad dollars</t>
        </is>
      </c>
      <c r="C81" t="n">
        <v>235</v>
      </c>
      <c r="D81" t="inlineStr">
        <is>
          <t>ORIG_BAL 37,951 - 49,151</t>
        </is>
      </c>
      <c r="E81" t="inlineStr">
        <is>
          <t>Branch</t>
        </is>
      </c>
      <c r="G81" t="n">
        <v>526</v>
      </c>
      <c r="H81" t="n">
        <v>1.506322647266765</v>
      </c>
      <c r="J81" t="n">
        <v>39</v>
      </c>
      <c r="K81">
        <f>'_pockets'!$AI$235</f>
        <v/>
      </c>
      <c r="L81">
        <f>'_pockets'!$AJ$235</f>
        <v/>
      </c>
      <c r="M81">
        <f>IF(AND($A81='Pockets'!$D$17,$B81='Pockets'!$C$17,OR('Pockets'!$E$17="All",AND('Pockets'!$E$17="Worse and material",$K81="Yes",$L81="Yes"),AND('Pockets'!$E$17="Worse or not sure",OR($K81="Yes",$K81="Not sure")))),1,0)</f>
        <v/>
      </c>
      <c r="N81">
        <f>$N80+$M81</f>
        <v/>
      </c>
      <c r="O81" t="inlineStr">
        <is>
          <t>grids</t>
        </is>
      </c>
      <c r="P81" t="inlineStr">
        <is>
          <t>outcome_booked</t>
        </is>
      </c>
    </row>
    <row r="82">
      <c r="A82" t="inlineStr">
        <is>
          <t>Two-way</t>
        </is>
      </c>
      <c r="B82" t="inlineStr">
        <is>
          <t>Bad dollars</t>
        </is>
      </c>
      <c r="C82" t="n">
        <v>70</v>
      </c>
      <c r="D82" t="inlineStr">
        <is>
          <t>FICO 654 - 685</t>
        </is>
      </c>
      <c r="E82" t="inlineStr">
        <is>
          <t>Online</t>
        </is>
      </c>
      <c r="G82" t="n">
        <v>505</v>
      </c>
      <c r="H82" t="n">
        <v>1.517397323008664</v>
      </c>
      <c r="J82" t="n">
        <v>40</v>
      </c>
      <c r="K82">
        <f>'_pockets'!$AI$70</f>
        <v/>
      </c>
      <c r="L82">
        <f>'_pockets'!$AJ$70</f>
        <v/>
      </c>
      <c r="M82">
        <f>IF(AND($A82='Pockets'!$D$17,$B82='Pockets'!$C$17,OR('Pockets'!$E$17="All",AND('Pockets'!$E$17="Worse and material",$K82="Yes",$L82="Yes"),AND('Pockets'!$E$17="Worse or not sure",OR($K82="Yes",$K82="Not sure")))),1,0)</f>
        <v/>
      </c>
      <c r="N82">
        <f>$N81+$M82</f>
        <v/>
      </c>
      <c r="O82" t="inlineStr">
        <is>
          <t>grids</t>
        </is>
      </c>
      <c r="P82" t="inlineStr">
        <is>
          <t>outcome_booked</t>
        </is>
      </c>
    </row>
    <row r="83">
      <c r="A83" t="inlineStr">
        <is>
          <t>Two-way</t>
        </is>
      </c>
      <c r="B83" t="inlineStr">
        <is>
          <t>Bad dollars</t>
        </is>
      </c>
      <c r="C83" t="n">
        <v>75</v>
      </c>
      <c r="D83" t="inlineStr">
        <is>
          <t>FICO 654 - 685</t>
        </is>
      </c>
      <c r="E83" t="inlineStr">
        <is>
          <t>Broker</t>
        </is>
      </c>
      <c r="G83" t="n">
        <v>531</v>
      </c>
      <c r="H83" t="n">
        <v>1.50378673024631</v>
      </c>
      <c r="J83" t="n">
        <v>41</v>
      </c>
      <c r="K83">
        <f>'_pockets'!$AI$75</f>
        <v/>
      </c>
      <c r="L83">
        <f>'_pockets'!$AJ$75</f>
        <v/>
      </c>
      <c r="M83">
        <f>IF(AND($A83='Pockets'!$D$17,$B83='Pockets'!$C$17,OR('Pockets'!$E$17="All",AND('Pockets'!$E$17="Worse and material",$K83="Yes",$L83="Yes"),AND('Pockets'!$E$17="Worse or not sure",OR($K83="Yes",$K83="Not sure")))),1,0)</f>
        <v/>
      </c>
      <c r="N83">
        <f>$N82+$M83</f>
        <v/>
      </c>
      <c r="O83" t="inlineStr">
        <is>
          <t>grids</t>
        </is>
      </c>
      <c r="P83" t="inlineStr">
        <is>
          <t>outcome_booked</t>
        </is>
      </c>
    </row>
    <row r="84">
      <c r="A84" t="inlineStr">
        <is>
          <t>Two-way</t>
        </is>
      </c>
      <c r="B84" t="inlineStr">
        <is>
          <t>Charge-offs</t>
        </is>
      </c>
      <c r="C84" t="n">
        <v>31</v>
      </c>
      <c r="D84" t="inlineStr">
        <is>
          <t>FICO 496 - 653</t>
        </is>
      </c>
      <c r="E84" t="inlineStr">
        <is>
          <t>Broker</t>
        </is>
      </c>
      <c r="G84" t="n">
        <v>523</v>
      </c>
      <c r="H84" t="n">
        <v>1.526452452779882</v>
      </c>
      <c r="J84" t="n">
        <v>1</v>
      </c>
      <c r="K84">
        <f>'_pockets'!$AI$31</f>
        <v/>
      </c>
      <c r="L84">
        <f>'_pockets'!$AJ$31</f>
        <v/>
      </c>
      <c r="M84">
        <f>IF(AND($A84='Pockets'!$D$17,$B84='Pockets'!$C$17,OR('Pockets'!$E$17="All",AND('Pockets'!$E$17="Worse and material",$K84="Yes",$L84="Yes"),AND('Pockets'!$E$17="Worse or not sure",OR($K84="Yes",$K84="Not sure")))),1,0)</f>
        <v/>
      </c>
      <c r="N84">
        <f>$N83+$M84</f>
        <v/>
      </c>
      <c r="O84" t="inlineStr">
        <is>
          <t>grids</t>
        </is>
      </c>
      <c r="P84" t="inlineStr">
        <is>
          <t>gco_rate</t>
        </is>
      </c>
    </row>
    <row r="85">
      <c r="A85" t="inlineStr">
        <is>
          <t>Two-way</t>
        </is>
      </c>
      <c r="B85" t="inlineStr">
        <is>
          <t>Charge-offs</t>
        </is>
      </c>
      <c r="C85" t="n">
        <v>151</v>
      </c>
      <c r="D85" t="inlineStr">
        <is>
          <t>FICO 496 - 653</t>
        </is>
      </c>
      <c r="E85" t="inlineStr">
        <is>
          <t>ASSET_CLASS 4</t>
        </is>
      </c>
      <c r="G85" t="n">
        <v>392</v>
      </c>
      <c r="H85" t="n">
        <v>1.614052582173903</v>
      </c>
      <c r="J85" t="n">
        <v>2</v>
      </c>
      <c r="K85">
        <f>'_pockets'!$AI$151</f>
        <v/>
      </c>
      <c r="L85">
        <f>'_pockets'!$AJ$151</f>
        <v/>
      </c>
      <c r="M85">
        <f>IF(AND($A85='Pockets'!$D$17,$B85='Pockets'!$C$17,OR('Pockets'!$E$17="All",AND('Pockets'!$E$17="Worse and material",$K85="Yes",$L85="Yes"),AND('Pockets'!$E$17="Worse or not sure",OR($K85="Yes",$K85="Not sure")))),1,0)</f>
        <v/>
      </c>
      <c r="N85">
        <f>$N84+$M85</f>
        <v/>
      </c>
      <c r="O85" t="inlineStr">
        <is>
          <t>grids</t>
        </is>
      </c>
      <c r="P85" t="inlineStr">
        <is>
          <t>gco_rate</t>
        </is>
      </c>
    </row>
    <row r="86">
      <c r="A86" t="inlineStr">
        <is>
          <t>Two-way</t>
        </is>
      </c>
      <c r="B86" t="inlineStr">
        <is>
          <t>Charge-offs</t>
        </is>
      </c>
      <c r="C86" t="n">
        <v>366</v>
      </c>
      <c r="D86" t="inlineStr">
        <is>
          <t>ORIG_BAL 37,951 - 49,151</t>
        </is>
      </c>
      <c r="E86" t="inlineStr">
        <is>
          <t>ASSET_CLASS 4</t>
        </is>
      </c>
      <c r="G86" t="n">
        <v>414</v>
      </c>
      <c r="H86" t="n">
        <v>1.596355004118796</v>
      </c>
      <c r="J86" t="n">
        <v>3</v>
      </c>
      <c r="K86">
        <f>'_pockets'!$AI$366</f>
        <v/>
      </c>
      <c r="L86">
        <f>'_pockets'!$AJ$366</f>
        <v/>
      </c>
      <c r="M86">
        <f>IF(AND($A86='Pockets'!$D$17,$B86='Pockets'!$C$17,OR('Pockets'!$E$17="All",AND('Pockets'!$E$17="Worse and material",$K86="Yes",$L86="Yes"),AND('Pockets'!$E$17="Worse or not sure",OR($K86="Yes",$K86="Not sure")))),1,0)</f>
        <v/>
      </c>
      <c r="N86">
        <f>$N85+$M86</f>
        <v/>
      </c>
      <c r="O86" t="inlineStr">
        <is>
          <t>grids</t>
        </is>
      </c>
      <c r="P86" t="inlineStr">
        <is>
          <t>gco_rate</t>
        </is>
      </c>
    </row>
    <row r="87">
      <c r="A87" t="inlineStr">
        <is>
          <t>Two-way</t>
        </is>
      </c>
      <c r="B87" t="inlineStr">
        <is>
          <t>Charge-offs</t>
        </is>
      </c>
      <c r="C87" t="n">
        <v>41</v>
      </c>
      <c r="D87" t="inlineStr">
        <is>
          <t>FICO 712 - 745</t>
        </is>
      </c>
      <c r="E87" t="inlineStr">
        <is>
          <t>Online</t>
        </is>
      </c>
      <c r="G87" t="n">
        <v>564</v>
      </c>
      <c r="H87" t="n">
        <v>1.50576113984669</v>
      </c>
      <c r="J87" t="n">
        <v>4</v>
      </c>
      <c r="K87">
        <f>'_pockets'!$AI$41</f>
        <v/>
      </c>
      <c r="L87">
        <f>'_pockets'!$AJ$41</f>
        <v/>
      </c>
      <c r="M87">
        <f>IF(AND($A87='Pockets'!$D$17,$B87='Pockets'!$C$17,OR('Pockets'!$E$17="All",AND('Pockets'!$E$17="Worse and material",$K87="Yes",$L87="Yes"),AND('Pockets'!$E$17="Worse or not sure",OR($K87="Yes",$K87="Not sure")))),1,0)</f>
        <v/>
      </c>
      <c r="N87">
        <f>$N86+$M87</f>
        <v/>
      </c>
      <c r="O87" t="inlineStr">
        <is>
          <t>grids</t>
        </is>
      </c>
      <c r="P87" t="inlineStr">
        <is>
          <t>gco_rate</t>
        </is>
      </c>
    </row>
    <row r="88">
      <c r="A88" t="inlineStr">
        <is>
          <t>Two-way</t>
        </is>
      </c>
      <c r="B88" t="inlineStr">
        <is>
          <t>Charge-offs</t>
        </is>
      </c>
      <c r="C88" t="n">
        <v>301</v>
      </c>
      <c r="D88" t="inlineStr">
        <is>
          <t>ORIG_BAL 49,152 - 59,984</t>
        </is>
      </c>
      <c r="E88" t="inlineStr">
        <is>
          <t>Broker</t>
        </is>
      </c>
      <c r="G88" t="n">
        <v>520</v>
      </c>
      <c r="H88" t="n">
        <v>1.52806555585233</v>
      </c>
      <c r="J88" t="n">
        <v>5</v>
      </c>
      <c r="K88">
        <f>'_pockets'!$AI$301</f>
        <v/>
      </c>
      <c r="L88">
        <f>'_pockets'!$AJ$301</f>
        <v/>
      </c>
      <c r="M88">
        <f>IF(AND($A88='Pockets'!$D$17,$B88='Pockets'!$C$17,OR('Pockets'!$E$17="All",AND('Pockets'!$E$17="Worse and material",$K88="Yes",$L88="Yes"),AND('Pockets'!$E$17="Worse or not sure",OR($K88="Yes",$K88="Not sure")))),1,0)</f>
        <v/>
      </c>
      <c r="N88">
        <f>$N87+$M88</f>
        <v/>
      </c>
      <c r="O88" t="inlineStr">
        <is>
          <t>grids</t>
        </is>
      </c>
      <c r="P88" t="inlineStr">
        <is>
          <t>gco_rate</t>
        </is>
      </c>
    </row>
    <row r="89">
      <c r="A89" t="inlineStr">
        <is>
          <t>Two-way</t>
        </is>
      </c>
      <c r="B89" t="inlineStr">
        <is>
          <t>Charge-offs</t>
        </is>
      </c>
      <c r="C89" t="n">
        <v>191</v>
      </c>
      <c r="D89" t="inlineStr">
        <is>
          <t>FICO 654 - 685</t>
        </is>
      </c>
      <c r="E89" t="inlineStr">
        <is>
          <t>ASSET_CLASS 4</t>
        </is>
      </c>
      <c r="G89" t="n">
        <v>410</v>
      </c>
      <c r="H89" t="n">
        <v>1.59946200447568</v>
      </c>
      <c r="J89" t="n">
        <v>6</v>
      </c>
      <c r="K89">
        <f>'_pockets'!$AI$191</f>
        <v/>
      </c>
      <c r="L89">
        <f>'_pockets'!$AJ$191</f>
        <v/>
      </c>
      <c r="M89">
        <f>IF(AND($A89='Pockets'!$D$17,$B89='Pockets'!$C$17,OR('Pockets'!$E$17="All",AND('Pockets'!$E$17="Worse and material",$K89="Yes",$L89="Yes"),AND('Pockets'!$E$17="Worse or not sure",OR($K89="Yes",$K89="Not sure")))),1,0)</f>
        <v/>
      </c>
      <c r="N89">
        <f>$N88+$M89</f>
        <v/>
      </c>
      <c r="O89" t="inlineStr">
        <is>
          <t>grids</t>
        </is>
      </c>
      <c r="P89" t="inlineStr">
        <is>
          <t>gco_rate</t>
        </is>
      </c>
    </row>
    <row r="90">
      <c r="A90" t="inlineStr">
        <is>
          <t>Two-way</t>
        </is>
      </c>
      <c r="B90" t="inlineStr">
        <is>
          <t>Charge-offs</t>
        </is>
      </c>
      <c r="C90" t="n">
        <v>386</v>
      </c>
      <c r="D90" t="inlineStr">
        <is>
          <t>ORIG_BAL 49,152 - 59,984</t>
        </is>
      </c>
      <c r="E90" t="inlineStr">
        <is>
          <t>ASSET_CLASS 4</t>
        </is>
      </c>
      <c r="G90" t="n">
        <v>384</v>
      </c>
      <c r="H90" t="n">
        <v>1.620878574178848</v>
      </c>
      <c r="J90" t="n">
        <v>7</v>
      </c>
      <c r="K90">
        <f>'_pockets'!$AI$386</f>
        <v/>
      </c>
      <c r="L90">
        <f>'_pockets'!$AJ$386</f>
        <v/>
      </c>
      <c r="M90">
        <f>IF(AND($A90='Pockets'!$D$17,$B90='Pockets'!$C$17,OR('Pockets'!$E$17="All",AND('Pockets'!$E$17="Worse and material",$K90="Yes",$L90="Yes"),AND('Pockets'!$E$17="Worse or not sure",OR($K90="Yes",$K90="Not sure")))),1,0)</f>
        <v/>
      </c>
      <c r="N90">
        <f>$N89+$M90</f>
        <v/>
      </c>
      <c r="O90" t="inlineStr">
        <is>
          <t>grids</t>
        </is>
      </c>
      <c r="P90" t="inlineStr">
        <is>
          <t>gco_rate</t>
        </is>
      </c>
    </row>
    <row r="91">
      <c r="A91" t="inlineStr">
        <is>
          <t>Two-way</t>
        </is>
      </c>
      <c r="B91" t="inlineStr">
        <is>
          <t>Charge-offs</t>
        </is>
      </c>
      <c r="C91" t="n">
        <v>66</v>
      </c>
      <c r="D91" t="inlineStr">
        <is>
          <t>FICO 686 - 711</t>
        </is>
      </c>
      <c r="E91" t="inlineStr">
        <is>
          <t>Online</t>
        </is>
      </c>
      <c r="G91" t="n">
        <v>546</v>
      </c>
      <c r="H91" t="n">
        <v>1.514547018225334</v>
      </c>
      <c r="J91" t="n">
        <v>8</v>
      </c>
      <c r="K91">
        <f>'_pockets'!$AI$66</f>
        <v/>
      </c>
      <c r="L91">
        <f>'_pockets'!$AJ$66</f>
        <v/>
      </c>
      <c r="M91">
        <f>IF(AND($A91='Pockets'!$D$17,$B91='Pockets'!$C$17,OR('Pockets'!$E$17="All",AND('Pockets'!$E$17="Worse and material",$K91="Yes",$L91="Yes"),AND('Pockets'!$E$17="Worse or not sure",OR($K91="Yes",$K91="Not sure")))),1,0)</f>
        <v/>
      </c>
      <c r="N91">
        <f>$N90+$M91</f>
        <v/>
      </c>
      <c r="O91" t="inlineStr">
        <is>
          <t>grids</t>
        </is>
      </c>
      <c r="P91" t="inlineStr">
        <is>
          <t>gco_rate</t>
        </is>
      </c>
    </row>
    <row r="92">
      <c r="A92" t="inlineStr">
        <is>
          <t>Two-way</t>
        </is>
      </c>
      <c r="B92" t="inlineStr">
        <is>
          <t>Charge-offs</t>
        </is>
      </c>
      <c r="C92" t="n">
        <v>326</v>
      </c>
      <c r="D92" t="inlineStr">
        <is>
          <t>ORIG_BAL 26,324 - 37,950</t>
        </is>
      </c>
      <c r="E92" t="inlineStr">
        <is>
          <t>ASSET_CLASS 4</t>
        </is>
      </c>
      <c r="G92" t="n">
        <v>412</v>
      </c>
      <c r="H92" t="n">
        <v>1.59790260925522</v>
      </c>
      <c r="J92" t="n">
        <v>9</v>
      </c>
      <c r="K92">
        <f>'_pockets'!$AI$326</f>
        <v/>
      </c>
      <c r="L92">
        <f>'_pockets'!$AJ$326</f>
        <v/>
      </c>
      <c r="M92">
        <f>IF(AND($A92='Pockets'!$D$17,$B92='Pockets'!$C$17,OR('Pockets'!$E$17="All",AND('Pockets'!$E$17="Worse and material",$K92="Yes",$L92="Yes"),AND('Pockets'!$E$17="Worse or not sure",OR($K92="Yes",$K92="Not sure")))),1,0)</f>
        <v/>
      </c>
      <c r="N92">
        <f>$N91+$M92</f>
        <v/>
      </c>
      <c r="O92" t="inlineStr">
        <is>
          <t>grids</t>
        </is>
      </c>
      <c r="P92" t="inlineStr">
        <is>
          <t>gco_rate</t>
        </is>
      </c>
    </row>
    <row r="93">
      <c r="A93" t="inlineStr">
        <is>
          <t>Two-way</t>
        </is>
      </c>
      <c r="B93" t="inlineStr">
        <is>
          <t>Charge-offs</t>
        </is>
      </c>
      <c r="C93" t="n">
        <v>126</v>
      </c>
      <c r="D93" t="inlineStr">
        <is>
          <t>FICO 712 - 745</t>
        </is>
      </c>
      <c r="E93" t="inlineStr">
        <is>
          <t>ASSET_CLASS 4</t>
        </is>
      </c>
      <c r="G93" t="n">
        <v>427</v>
      </c>
      <c r="H93" t="n">
        <v>1.586573081902287</v>
      </c>
      <c r="J93" t="n">
        <v>10</v>
      </c>
      <c r="K93">
        <f>'_pockets'!$AI$126</f>
        <v/>
      </c>
      <c r="L93">
        <f>'_pockets'!$AJ$126</f>
        <v/>
      </c>
      <c r="M93">
        <f>IF(AND($A93='Pockets'!$D$17,$B93='Pockets'!$C$17,OR('Pockets'!$E$17="All",AND('Pockets'!$E$17="Worse and material",$K93="Yes",$L93="Yes"),AND('Pockets'!$E$17="Worse or not sure",OR($K93="Yes",$K93="Not sure")))),1,0)</f>
        <v/>
      </c>
      <c r="N93">
        <f>$N92+$M93</f>
        <v/>
      </c>
      <c r="O93" t="inlineStr">
        <is>
          <t>grids</t>
        </is>
      </c>
      <c r="P93" t="inlineStr">
        <is>
          <t>gco_rate</t>
        </is>
      </c>
    </row>
    <row r="94">
      <c r="A94" t="inlineStr">
        <is>
          <t>Two-way</t>
        </is>
      </c>
      <c r="B94" t="inlineStr">
        <is>
          <t>Charge-offs</t>
        </is>
      </c>
      <c r="C94" t="n">
        <v>251</v>
      </c>
      <c r="D94" t="inlineStr">
        <is>
          <t>ORIG_BAL 15,449 - 26,323</t>
        </is>
      </c>
      <c r="E94" t="inlineStr">
        <is>
          <t>Broker</t>
        </is>
      </c>
      <c r="G94" t="n">
        <v>537</v>
      </c>
      <c r="H94" t="n">
        <v>1.519111031794549</v>
      </c>
      <c r="J94" t="n">
        <v>11</v>
      </c>
      <c r="K94">
        <f>'_pockets'!$AI$251</f>
        <v/>
      </c>
      <c r="L94">
        <f>'_pockets'!$AJ$251</f>
        <v/>
      </c>
      <c r="M94">
        <f>IF(AND($A94='Pockets'!$D$17,$B94='Pockets'!$C$17,OR('Pockets'!$E$17="All",AND('Pockets'!$E$17="Worse and material",$K94="Yes",$L94="Yes"),AND('Pockets'!$E$17="Worse or not sure",OR($K94="Yes",$K94="Not sure")))),1,0)</f>
        <v/>
      </c>
      <c r="N94">
        <f>$N93+$M94</f>
        <v/>
      </c>
      <c r="O94" t="inlineStr">
        <is>
          <t>grids</t>
        </is>
      </c>
      <c r="P94" t="inlineStr">
        <is>
          <t>gco_rate</t>
        </is>
      </c>
    </row>
    <row r="95">
      <c r="A95" t="inlineStr">
        <is>
          <t>Two-way</t>
        </is>
      </c>
      <c r="B95" t="inlineStr">
        <is>
          <t>Charge-offs</t>
        </is>
      </c>
      <c r="C95" t="n">
        <v>261</v>
      </c>
      <c r="D95" t="inlineStr">
        <is>
          <t>ORIG_BAL 37,951 - 49,151</t>
        </is>
      </c>
      <c r="E95" t="inlineStr">
        <is>
          <t>Broker</t>
        </is>
      </c>
      <c r="G95" t="n">
        <v>531</v>
      </c>
      <c r="H95" t="n">
        <v>1.522220431423272</v>
      </c>
      <c r="J95" t="n">
        <v>12</v>
      </c>
      <c r="K95">
        <f>'_pockets'!$AI$261</f>
        <v/>
      </c>
      <c r="L95">
        <f>'_pockets'!$AJ$261</f>
        <v/>
      </c>
      <c r="M95">
        <f>IF(AND($A95='Pockets'!$D$17,$B95='Pockets'!$C$17,OR('Pockets'!$E$17="All",AND('Pockets'!$E$17="Worse and material",$K95="Yes",$L95="Yes"),AND('Pockets'!$E$17="Worse or not sure",OR($K95="Yes",$K95="Not sure")))),1,0)</f>
        <v/>
      </c>
      <c r="N95">
        <f>$N94+$M95</f>
        <v/>
      </c>
      <c r="O95" t="inlineStr">
        <is>
          <t>grids</t>
        </is>
      </c>
      <c r="P95" t="inlineStr">
        <is>
          <t>gco_rate</t>
        </is>
      </c>
    </row>
    <row r="96">
      <c r="A96" t="inlineStr">
        <is>
          <t>Two-way</t>
        </is>
      </c>
      <c r="B96" t="inlineStr">
        <is>
          <t>Charge-offs</t>
        </is>
      </c>
      <c r="C96" t="n">
        <v>381</v>
      </c>
      <c r="D96" t="inlineStr">
        <is>
          <t>ORIG_BAL 37,951 - 49,151</t>
        </is>
      </c>
      <c r="E96" t="inlineStr">
        <is>
          <t>ASSET_CLASS 3</t>
        </is>
      </c>
      <c r="G96" t="n">
        <v>382</v>
      </c>
      <c r="H96" t="n">
        <v>1.622619950333113</v>
      </c>
      <c r="J96" t="n">
        <v>13</v>
      </c>
      <c r="K96">
        <f>'_pockets'!$AI$381</f>
        <v/>
      </c>
      <c r="L96">
        <f>'_pockets'!$AJ$381</f>
        <v/>
      </c>
      <c r="M96">
        <f>IF(AND($A96='Pockets'!$D$17,$B96='Pockets'!$C$17,OR('Pockets'!$E$17="All",AND('Pockets'!$E$17="Worse and material",$K96="Yes",$L96="Yes"),AND('Pockets'!$E$17="Worse or not sure",OR($K96="Yes",$K96="Not sure")))),1,0)</f>
        <v/>
      </c>
      <c r="N96">
        <f>$N95+$M96</f>
        <v/>
      </c>
      <c r="O96" t="inlineStr">
        <is>
          <t>grids</t>
        </is>
      </c>
      <c r="P96" t="inlineStr">
        <is>
          <t>gco_rate</t>
        </is>
      </c>
    </row>
    <row r="97">
      <c r="A97" t="inlineStr">
        <is>
          <t>Two-way</t>
        </is>
      </c>
      <c r="B97" t="inlineStr">
        <is>
          <t>Charge-offs</t>
        </is>
      </c>
      <c r="C97" t="n">
        <v>156</v>
      </c>
      <c r="D97" t="inlineStr">
        <is>
          <t>FICO 686 - 711</t>
        </is>
      </c>
      <c r="E97" t="inlineStr">
        <is>
          <t>ASSET_CLASS 4</t>
        </is>
      </c>
      <c r="G97" t="n">
        <v>407</v>
      </c>
      <c r="H97" t="n">
        <v>1.601823530173228</v>
      </c>
      <c r="J97" t="n">
        <v>14</v>
      </c>
      <c r="K97">
        <f>'_pockets'!$AI$156</f>
        <v/>
      </c>
      <c r="L97">
        <f>'_pockets'!$AJ$156</f>
        <v/>
      </c>
      <c r="M97">
        <f>IF(AND($A97='Pockets'!$D$17,$B97='Pockets'!$C$17,OR('Pockets'!$E$17="All",AND('Pockets'!$E$17="Worse and material",$K97="Yes",$L97="Yes"),AND('Pockets'!$E$17="Worse or not sure",OR($K97="Yes",$K97="Not sure")))),1,0)</f>
        <v/>
      </c>
      <c r="N97">
        <f>$N96+$M97</f>
        <v/>
      </c>
      <c r="O97" t="inlineStr">
        <is>
          <t>grids</t>
        </is>
      </c>
      <c r="P97" t="inlineStr">
        <is>
          <t>gco_rate</t>
        </is>
      </c>
    </row>
    <row r="98">
      <c r="A98" t="inlineStr">
        <is>
          <t>Two-way</t>
        </is>
      </c>
      <c r="B98" t="inlineStr">
        <is>
          <t>Charge-offs</t>
        </is>
      </c>
      <c r="C98" t="n">
        <v>56</v>
      </c>
      <c r="D98" t="inlineStr">
        <is>
          <t>FICO 654 - 685</t>
        </is>
      </c>
      <c r="E98" t="inlineStr">
        <is>
          <t>Branch</t>
        </is>
      </c>
      <c r="G98" t="n">
        <v>503</v>
      </c>
      <c r="H98" t="n">
        <v>1.537488107510056</v>
      </c>
      <c r="J98" t="n">
        <v>15</v>
      </c>
      <c r="K98">
        <f>'_pockets'!$AI$56</f>
        <v/>
      </c>
      <c r="L98">
        <f>'_pockets'!$AJ$56</f>
        <v/>
      </c>
      <c r="M98">
        <f>IF(AND($A98='Pockets'!$D$17,$B98='Pockets'!$C$17,OR('Pockets'!$E$17="All",AND('Pockets'!$E$17="Worse and material",$K98="Yes",$L98="Yes"),AND('Pockets'!$E$17="Worse or not sure",OR($K98="Yes",$K98="Not sure")))),1,0)</f>
        <v/>
      </c>
      <c r="N98">
        <f>$N97+$M98</f>
        <v/>
      </c>
      <c r="O98" t="inlineStr">
        <is>
          <t>grids</t>
        </is>
      </c>
      <c r="P98" t="inlineStr">
        <is>
          <t>gco_rate</t>
        </is>
      </c>
    </row>
    <row r="99">
      <c r="A99" t="inlineStr">
        <is>
          <t>Two-way</t>
        </is>
      </c>
      <c r="B99" t="inlineStr">
        <is>
          <t>Charge-offs</t>
        </is>
      </c>
      <c r="C99" t="n">
        <v>346</v>
      </c>
      <c r="D99" t="inlineStr">
        <is>
          <t>ORIG_BAL 15,449 - 26,323</t>
        </is>
      </c>
      <c r="E99" t="inlineStr">
        <is>
          <t>ASSET_CLASS 4</t>
        </is>
      </c>
      <c r="G99" t="n">
        <v>413</v>
      </c>
      <c r="H99" t="n">
        <v>1.597127342132227</v>
      </c>
      <c r="J99" t="n">
        <v>16</v>
      </c>
      <c r="K99">
        <f>'_pockets'!$AI$346</f>
        <v/>
      </c>
      <c r="L99">
        <f>'_pockets'!$AJ$346</f>
        <v/>
      </c>
      <c r="M99">
        <f>IF(AND($A99='Pockets'!$D$17,$B99='Pockets'!$C$17,OR('Pockets'!$E$17="All",AND('Pockets'!$E$17="Worse and material",$K99="Yes",$L99="Yes"),AND('Pockets'!$E$17="Worse or not sure",OR($K99="Yes",$K99="Not sure")))),1,0)</f>
        <v/>
      </c>
      <c r="N99">
        <f>$N98+$M99</f>
        <v/>
      </c>
      <c r="O99" t="inlineStr">
        <is>
          <t>grids</t>
        </is>
      </c>
      <c r="P99" t="inlineStr">
        <is>
          <t>gco_rate</t>
        </is>
      </c>
    </row>
    <row r="100">
      <c r="A100" t="inlineStr">
        <is>
          <t>Two-way</t>
        </is>
      </c>
      <c r="B100" t="inlineStr">
        <is>
          <t>Charge-offs</t>
        </is>
      </c>
      <c r="C100" t="n">
        <v>131</v>
      </c>
      <c r="D100" t="inlineStr">
        <is>
          <t>FICO 746 - 921</t>
        </is>
      </c>
      <c r="E100" t="inlineStr">
        <is>
          <t>ASSET_CLASS 2</t>
        </is>
      </c>
      <c r="G100" t="n">
        <v>399</v>
      </c>
      <c r="H100" t="n">
        <v>1.608256214780859</v>
      </c>
      <c r="J100" t="n">
        <v>17</v>
      </c>
      <c r="K100">
        <f>'_pockets'!$AI$131</f>
        <v/>
      </c>
      <c r="L100">
        <f>'_pockets'!$AJ$131</f>
        <v/>
      </c>
      <c r="M100">
        <f>IF(AND($A100='Pockets'!$D$17,$B100='Pockets'!$C$17,OR('Pockets'!$E$17="All",AND('Pockets'!$E$17="Worse and material",$K100="Yes",$L100="Yes"),AND('Pockets'!$E$17="Worse or not sure",OR($K100="Yes",$K100="Not sure")))),1,0)</f>
        <v/>
      </c>
      <c r="N100">
        <f>$N99+$M100</f>
        <v/>
      </c>
      <c r="O100" t="inlineStr">
        <is>
          <t>grids</t>
        </is>
      </c>
      <c r="P100" t="inlineStr">
        <is>
          <t>gco_rate</t>
        </is>
      </c>
    </row>
    <row r="101">
      <c r="A101" t="inlineStr">
        <is>
          <t>Two-way</t>
        </is>
      </c>
      <c r="B101" t="inlineStr">
        <is>
          <t>Charge-offs</t>
        </is>
      </c>
      <c r="C101" t="n">
        <v>231</v>
      </c>
      <c r="D101" t="inlineStr">
        <is>
          <t>ORIG_BAL 26,324 - 37,950</t>
        </is>
      </c>
      <c r="E101" t="inlineStr">
        <is>
          <t>Broker</t>
        </is>
      </c>
      <c r="G101" t="n">
        <v>553</v>
      </c>
      <c r="H101" t="n">
        <v>1.511077424266149</v>
      </c>
      <c r="J101" t="n">
        <v>18</v>
      </c>
      <c r="K101">
        <f>'_pockets'!$AI$231</f>
        <v/>
      </c>
      <c r="L101">
        <f>'_pockets'!$AJ$231</f>
        <v/>
      </c>
      <c r="M101">
        <f>IF(AND($A101='Pockets'!$D$17,$B101='Pockets'!$C$17,OR('Pockets'!$E$17="All",AND('Pockets'!$E$17="Worse and material",$K101="Yes",$L101="Yes"),AND('Pockets'!$E$17="Worse or not sure",OR($K101="Yes",$K101="Not sure")))),1,0)</f>
        <v/>
      </c>
      <c r="N101">
        <f>$N100+$M101</f>
        <v/>
      </c>
      <c r="O101" t="inlineStr">
        <is>
          <t>grids</t>
        </is>
      </c>
      <c r="P101" t="inlineStr">
        <is>
          <t>gco_rate</t>
        </is>
      </c>
    </row>
    <row r="102">
      <c r="A102" t="inlineStr">
        <is>
          <t>Two-way</t>
        </is>
      </c>
      <c r="B102" t="inlineStr">
        <is>
          <t>Charge-offs</t>
        </is>
      </c>
      <c r="C102" t="n">
        <v>26</v>
      </c>
      <c r="D102" t="inlineStr">
        <is>
          <t>FICO 746 - 921</t>
        </is>
      </c>
      <c r="E102" t="inlineStr">
        <is>
          <t>Branch</t>
        </is>
      </c>
      <c r="G102" t="n">
        <v>518</v>
      </c>
      <c r="H102" t="n">
        <v>1.529149035433254</v>
      </c>
      <c r="J102" t="n">
        <v>19</v>
      </c>
      <c r="K102">
        <f>'_pockets'!$AI$26</f>
        <v/>
      </c>
      <c r="L102">
        <f>'_pockets'!$AJ$26</f>
        <v/>
      </c>
      <c r="M102">
        <f>IF(AND($A102='Pockets'!$D$17,$B102='Pockets'!$C$17,OR('Pockets'!$E$17="All",AND('Pockets'!$E$17="Worse and material",$K102="Yes",$L102="Yes"),AND('Pockets'!$E$17="Worse or not sure",OR($K102="Yes",$K102="Not sure")))),1,0)</f>
        <v/>
      </c>
      <c r="N102">
        <f>$N101+$M102</f>
        <v/>
      </c>
      <c r="O102" t="inlineStr">
        <is>
          <t>grids</t>
        </is>
      </c>
      <c r="P102" t="inlineStr">
        <is>
          <t>gco_rate</t>
        </is>
      </c>
    </row>
    <row r="103">
      <c r="A103" t="inlineStr">
        <is>
          <t>Two-way</t>
        </is>
      </c>
      <c r="B103" t="inlineStr">
        <is>
          <t>Charge-offs</t>
        </is>
      </c>
      <c r="C103" t="n">
        <v>96</v>
      </c>
      <c r="D103" t="inlineStr">
        <is>
          <t>FICO (marked missing)</t>
        </is>
      </c>
      <c r="E103" t="inlineStr">
        <is>
          <t>Broker</t>
        </is>
      </c>
      <c r="G103" t="n">
        <v>54</v>
      </c>
      <c r="H103" t="n">
        <v>2.845904937669949</v>
      </c>
      <c r="J103" t="n">
        <v>20</v>
      </c>
      <c r="K103">
        <f>'_pockets'!$AI$96</f>
        <v/>
      </c>
      <c r="L103">
        <f>'_pockets'!$AJ$96</f>
        <v/>
      </c>
      <c r="M103">
        <f>IF(AND($A103='Pockets'!$D$17,$B103='Pockets'!$C$17,OR('Pockets'!$E$17="All",AND('Pockets'!$E$17="Worse and material",$K103="Yes",$L103="Yes"),AND('Pockets'!$E$17="Worse or not sure",OR($K103="Yes",$K103="Not sure")))),1,0)</f>
        <v/>
      </c>
      <c r="N103">
        <f>$N102+$M103</f>
        <v/>
      </c>
      <c r="O103" t="inlineStr">
        <is>
          <t>grids</t>
        </is>
      </c>
      <c r="P103" t="inlineStr">
        <is>
          <t>gco_rate</t>
        </is>
      </c>
    </row>
    <row r="104">
      <c r="A104" t="inlineStr">
        <is>
          <t>Two-way</t>
        </is>
      </c>
      <c r="B104" t="inlineStr">
        <is>
          <t>Charge-offs</t>
        </is>
      </c>
      <c r="C104" t="n">
        <v>351</v>
      </c>
      <c r="D104" t="inlineStr">
        <is>
          <t>ORIG_BAL 5,005 - 15,448</t>
        </is>
      </c>
      <c r="E104" t="inlineStr">
        <is>
          <t>ASSET_CLASS 4</t>
        </is>
      </c>
      <c r="G104" t="n">
        <v>425</v>
      </c>
      <c r="H104" t="n">
        <v>1.588047508745581</v>
      </c>
      <c r="J104" t="n">
        <v>21</v>
      </c>
      <c r="K104">
        <f>'_pockets'!$AI$351</f>
        <v/>
      </c>
      <c r="L104">
        <f>'_pockets'!$AJ$351</f>
        <v/>
      </c>
      <c r="M104">
        <f>IF(AND($A104='Pockets'!$D$17,$B104='Pockets'!$C$17,OR('Pockets'!$E$17="All",AND('Pockets'!$E$17="Worse and material",$K104="Yes",$L104="Yes"),AND('Pockets'!$E$17="Worse or not sure",OR($K104="Yes",$K104="Not sure")))),1,0)</f>
        <v/>
      </c>
      <c r="N104">
        <f>$N103+$M104</f>
        <v/>
      </c>
      <c r="O104" t="inlineStr">
        <is>
          <t>grids</t>
        </is>
      </c>
      <c r="P104" t="inlineStr">
        <is>
          <t>gco_rate</t>
        </is>
      </c>
    </row>
    <row r="105">
      <c r="A105" t="inlineStr">
        <is>
          <t>Two-way</t>
        </is>
      </c>
      <c r="B105" t="inlineStr">
        <is>
          <t>Charge-offs</t>
        </is>
      </c>
      <c r="C105" t="n">
        <v>181</v>
      </c>
      <c r="D105" t="inlineStr">
        <is>
          <t>FICO 654 - 685</t>
        </is>
      </c>
      <c r="E105" t="inlineStr">
        <is>
          <t>ASSET_CLASS 3</t>
        </is>
      </c>
      <c r="G105" t="n">
        <v>377</v>
      </c>
      <c r="H105" t="n">
        <v>1.627036511817176</v>
      </c>
      <c r="J105" t="n">
        <v>22</v>
      </c>
      <c r="K105">
        <f>'_pockets'!$AI$181</f>
        <v/>
      </c>
      <c r="L105">
        <f>'_pockets'!$AJ$181</f>
        <v/>
      </c>
      <c r="M105">
        <f>IF(AND($A105='Pockets'!$D$17,$B105='Pockets'!$C$17,OR('Pockets'!$E$17="All",AND('Pockets'!$E$17="Worse and material",$K105="Yes",$L105="Yes"),AND('Pockets'!$E$17="Worse or not sure",OR($K105="Yes",$K105="Not sure")))),1,0)</f>
        <v/>
      </c>
      <c r="N105">
        <f>$N104+$M105</f>
        <v/>
      </c>
      <c r="O105" t="inlineStr">
        <is>
          <t>grids</t>
        </is>
      </c>
      <c r="P105" t="inlineStr">
        <is>
          <t>gco_rate</t>
        </is>
      </c>
    </row>
    <row r="106">
      <c r="A106" t="inlineStr">
        <is>
          <t>Two-way</t>
        </is>
      </c>
      <c r="B106" t="inlineStr">
        <is>
          <t>Charge-offs</t>
        </is>
      </c>
      <c r="C106" t="n">
        <v>401</v>
      </c>
      <c r="D106" t="inlineStr">
        <is>
          <t>ORIG_BAL 15,449 - 26,323</t>
        </is>
      </c>
      <c r="E106" t="inlineStr">
        <is>
          <t>ASSET_CLASS 3</t>
        </is>
      </c>
      <c r="G106" t="n">
        <v>427</v>
      </c>
      <c r="H106" t="n">
        <v>1.586573081902287</v>
      </c>
      <c r="J106" t="n">
        <v>23</v>
      </c>
      <c r="K106">
        <f>'_pockets'!$AI$401</f>
        <v/>
      </c>
      <c r="L106">
        <f>'_pockets'!$AJ$401</f>
        <v/>
      </c>
      <c r="M106">
        <f>IF(AND($A106='Pockets'!$D$17,$B106='Pockets'!$C$17,OR('Pockets'!$E$17="All",AND('Pockets'!$E$17="Worse and material",$K106="Yes",$L106="Yes"),AND('Pockets'!$E$17="Worse or not sure",OR($K106="Yes",$K106="Not sure")))),1,0)</f>
        <v/>
      </c>
      <c r="N106">
        <f>$N105+$M106</f>
        <v/>
      </c>
      <c r="O106" t="inlineStr">
        <is>
          <t>grids</t>
        </is>
      </c>
      <c r="P106" t="inlineStr">
        <is>
          <t>gco_rate</t>
        </is>
      </c>
    </row>
    <row r="107">
      <c r="A107" t="inlineStr">
        <is>
          <t>Two-way</t>
        </is>
      </c>
      <c r="B107" t="inlineStr">
        <is>
          <t>Charge-offs</t>
        </is>
      </c>
      <c r="C107" t="n">
        <v>141</v>
      </c>
      <c r="D107" t="inlineStr">
        <is>
          <t>FICO 686 - 711</t>
        </is>
      </c>
      <c r="E107" t="inlineStr">
        <is>
          <t>ASSET_CLASS 1</t>
        </is>
      </c>
      <c r="G107" t="n">
        <v>372</v>
      </c>
      <c r="H107" t="n">
        <v>1.631545743130565</v>
      </c>
      <c r="J107" t="n">
        <v>24</v>
      </c>
      <c r="K107">
        <f>'_pockets'!$AI$141</f>
        <v/>
      </c>
      <c r="L107">
        <f>'_pockets'!$AJ$141</f>
        <v/>
      </c>
      <c r="M107">
        <f>IF(AND($A107='Pockets'!$D$17,$B107='Pockets'!$C$17,OR('Pockets'!$E$17="All",AND('Pockets'!$E$17="Worse and material",$K107="Yes",$L107="Yes"),AND('Pockets'!$E$17="Worse or not sure",OR($K107="Yes",$K107="Not sure")))),1,0)</f>
        <v/>
      </c>
      <c r="N107">
        <f>$N106+$M107</f>
        <v/>
      </c>
      <c r="O107" t="inlineStr">
        <is>
          <t>grids</t>
        </is>
      </c>
      <c r="P107" t="inlineStr">
        <is>
          <t>gco_rate</t>
        </is>
      </c>
    </row>
    <row r="108">
      <c r="A108" t="inlineStr">
        <is>
          <t>Two-way</t>
        </is>
      </c>
      <c r="B108" t="inlineStr">
        <is>
          <t>Charge-offs</t>
        </is>
      </c>
      <c r="C108" t="n">
        <v>211</v>
      </c>
      <c r="D108" t="inlineStr">
        <is>
          <t>FICO 686 - 711</t>
        </is>
      </c>
      <c r="E108" t="inlineStr">
        <is>
          <t>ASSET_CLASS 3</t>
        </is>
      </c>
      <c r="G108" t="n">
        <v>388</v>
      </c>
      <c r="H108" t="n">
        <v>1.617438047075257</v>
      </c>
      <c r="J108" t="n">
        <v>25</v>
      </c>
      <c r="K108">
        <f>'_pockets'!$AI$211</f>
        <v/>
      </c>
      <c r="L108">
        <f>'_pockets'!$AJ$211</f>
        <v/>
      </c>
      <c r="M108">
        <f>IF(AND($A108='Pockets'!$D$17,$B108='Pockets'!$C$17,OR('Pockets'!$E$17="All",AND('Pockets'!$E$17="Worse and material",$K108="Yes",$L108="Yes"),AND('Pockets'!$E$17="Worse or not sure",OR($K108="Yes",$K108="Not sure")))),1,0)</f>
        <v/>
      </c>
      <c r="N108">
        <f>$N107+$M108</f>
        <v/>
      </c>
      <c r="O108" t="inlineStr">
        <is>
          <t>grids</t>
        </is>
      </c>
      <c r="P108" t="inlineStr">
        <is>
          <t>gco_rate</t>
        </is>
      </c>
    </row>
    <row r="109">
      <c r="A109" t="inlineStr">
        <is>
          <t>Two-way</t>
        </is>
      </c>
      <c r="B109" t="inlineStr">
        <is>
          <t>Charge-offs</t>
        </is>
      </c>
      <c r="C109" t="n">
        <v>221</v>
      </c>
      <c r="D109" t="inlineStr">
        <is>
          <t>FICO (marked missing)</t>
        </is>
      </c>
      <c r="E109" t="inlineStr">
        <is>
          <t>ASSET_CLASS 2</t>
        </is>
      </c>
      <c r="G109" t="n">
        <v>36</v>
      </c>
      <c r="H109" t="n">
        <v>3.33989142619436</v>
      </c>
      <c r="J109" t="n">
        <v>26</v>
      </c>
      <c r="K109">
        <f>'_pockets'!$AI$221</f>
        <v/>
      </c>
      <c r="L109">
        <f>'_pockets'!$AJ$221</f>
        <v/>
      </c>
      <c r="M109">
        <f>IF(AND($A109='Pockets'!$D$17,$B109='Pockets'!$C$17,OR('Pockets'!$E$17="All",AND('Pockets'!$E$17="Worse and material",$K109="Yes",$L109="Yes"),AND('Pockets'!$E$17="Worse or not sure",OR($K109="Yes",$K109="Not sure")))),1,0)</f>
        <v/>
      </c>
      <c r="N109">
        <f>$N108+$M109</f>
        <v/>
      </c>
      <c r="O109" t="inlineStr">
        <is>
          <t>grids</t>
        </is>
      </c>
      <c r="P109" t="inlineStr">
        <is>
          <t>gco_rate</t>
        </is>
      </c>
    </row>
    <row r="110">
      <c r="A110" t="inlineStr">
        <is>
          <t>Two-way</t>
        </is>
      </c>
      <c r="B110" t="inlineStr">
        <is>
          <t>Charge-offs</t>
        </is>
      </c>
      <c r="C110" t="n">
        <v>266</v>
      </c>
      <c r="D110" t="inlineStr">
        <is>
          <t>ORIG_BAL 5,005 - 15,448</t>
        </is>
      </c>
      <c r="E110" t="inlineStr">
        <is>
          <t>Broker</t>
        </is>
      </c>
      <c r="G110" t="n">
        <v>514</v>
      </c>
      <c r="H110" t="n">
        <v>1.531335671384449</v>
      </c>
      <c r="J110" t="n">
        <v>27</v>
      </c>
      <c r="K110">
        <f>'_pockets'!$AI$266</f>
        <v/>
      </c>
      <c r="L110">
        <f>'_pockets'!$AJ$266</f>
        <v/>
      </c>
      <c r="M110">
        <f>IF(AND($A110='Pockets'!$D$17,$B110='Pockets'!$C$17,OR('Pockets'!$E$17="All",AND('Pockets'!$E$17="Worse and material",$K110="Yes",$L110="Yes"),AND('Pockets'!$E$17="Worse or not sure",OR($K110="Yes",$K110="Not sure")))),1,0)</f>
        <v/>
      </c>
      <c r="N110">
        <f>$N109+$M110</f>
        <v/>
      </c>
      <c r="O110" t="inlineStr">
        <is>
          <t>grids</t>
        </is>
      </c>
      <c r="P110" t="inlineStr">
        <is>
          <t>gco_rate</t>
        </is>
      </c>
    </row>
    <row r="111">
      <c r="A111" t="inlineStr">
        <is>
          <t>Two-way</t>
        </is>
      </c>
      <c r="B111" t="inlineStr">
        <is>
          <t>Charge-offs</t>
        </is>
      </c>
      <c r="C111" t="n">
        <v>371</v>
      </c>
      <c r="D111" t="inlineStr">
        <is>
          <t>ORIG_BAL 5,005 - 15,448</t>
        </is>
      </c>
      <c r="E111" t="inlineStr">
        <is>
          <t>ASSET_CLASS 3</t>
        </is>
      </c>
      <c r="G111" t="n">
        <v>354</v>
      </c>
      <c r="H111" t="n">
        <v>1.648598172864423</v>
      </c>
      <c r="J111" t="n">
        <v>28</v>
      </c>
      <c r="K111">
        <f>'_pockets'!$AI$371</f>
        <v/>
      </c>
      <c r="L111">
        <f>'_pockets'!$AJ$371</f>
        <v/>
      </c>
      <c r="M111">
        <f>IF(AND($A111='Pockets'!$D$17,$B111='Pockets'!$C$17,OR('Pockets'!$E$17="All",AND('Pockets'!$E$17="Worse and material",$K111="Yes",$L111="Yes"),AND('Pockets'!$E$17="Worse or not sure",OR($K111="Yes",$K111="Not sure")))),1,0)</f>
        <v/>
      </c>
      <c r="N111">
        <f>$N110+$M111</f>
        <v/>
      </c>
      <c r="O111" t="inlineStr">
        <is>
          <t>grids</t>
        </is>
      </c>
      <c r="P111" t="inlineStr">
        <is>
          <t>gco_rate</t>
        </is>
      </c>
    </row>
    <row r="112">
      <c r="A112" t="inlineStr">
        <is>
          <t>Two-way</t>
        </is>
      </c>
      <c r="B112" t="inlineStr">
        <is>
          <t>Charge-offs</t>
        </is>
      </c>
      <c r="C112" t="n">
        <v>336</v>
      </c>
      <c r="D112" t="inlineStr">
        <is>
          <t>ORIG_BAL 15,449 - 26,323</t>
        </is>
      </c>
      <c r="E112" t="inlineStr">
        <is>
          <t>ASSET_CLASS 1</t>
        </is>
      </c>
      <c r="G112" t="n">
        <v>404</v>
      </c>
      <c r="H112" t="n">
        <v>1.604212432960697</v>
      </c>
      <c r="J112" t="n">
        <v>29</v>
      </c>
      <c r="K112">
        <f>'_pockets'!$AI$336</f>
        <v/>
      </c>
      <c r="L112">
        <f>'_pockets'!$AJ$336</f>
        <v/>
      </c>
      <c r="M112">
        <f>IF(AND($A112='Pockets'!$D$17,$B112='Pockets'!$C$17,OR('Pockets'!$E$17="All",AND('Pockets'!$E$17="Worse and material",$K112="Yes",$L112="Yes"),AND('Pockets'!$E$17="Worse or not sure",OR($K112="Yes",$K112="Not sure")))),1,0)</f>
        <v/>
      </c>
      <c r="N112">
        <f>$N111+$M112</f>
        <v/>
      </c>
      <c r="O112" t="inlineStr">
        <is>
          <t>grids</t>
        </is>
      </c>
      <c r="P112" t="inlineStr">
        <is>
          <t>gco_rate</t>
        </is>
      </c>
    </row>
    <row r="113">
      <c r="A113" t="inlineStr">
        <is>
          <t>Two-way</t>
        </is>
      </c>
      <c r="B113" t="inlineStr">
        <is>
          <t>Charge-offs</t>
        </is>
      </c>
      <c r="C113" t="n">
        <v>226</v>
      </c>
      <c r="D113" t="inlineStr">
        <is>
          <t>ORIG_BAL 5,005 - 15,448</t>
        </is>
      </c>
      <c r="E113" t="inlineStr">
        <is>
          <t>Online</t>
        </is>
      </c>
      <c r="G113" t="n">
        <v>544</v>
      </c>
      <c r="H113" t="n">
        <v>1.515551077056318</v>
      </c>
      <c r="J113" t="n">
        <v>30</v>
      </c>
      <c r="K113">
        <f>'_pockets'!$AI$226</f>
        <v/>
      </c>
      <c r="L113">
        <f>'_pockets'!$AJ$226</f>
        <v/>
      </c>
      <c r="M113">
        <f>IF(AND($A113='Pockets'!$D$17,$B113='Pockets'!$C$17,OR('Pockets'!$E$17="All",AND('Pockets'!$E$17="Worse and material",$K113="Yes",$L113="Yes"),AND('Pockets'!$E$17="Worse or not sure",OR($K113="Yes",$K113="Not sure")))),1,0)</f>
        <v/>
      </c>
      <c r="N113">
        <f>$N112+$M113</f>
        <v/>
      </c>
      <c r="O113" t="inlineStr">
        <is>
          <t>grids</t>
        </is>
      </c>
      <c r="P113" t="inlineStr">
        <is>
          <t>gco_rate</t>
        </is>
      </c>
    </row>
    <row r="114">
      <c r="A114" t="inlineStr">
        <is>
          <t>Two-way</t>
        </is>
      </c>
      <c r="B114" t="inlineStr">
        <is>
          <t>Charge-offs</t>
        </is>
      </c>
      <c r="C114" t="n">
        <v>361</v>
      </c>
      <c r="D114" t="inlineStr">
        <is>
          <t>ORIG_BAL 49,152 - 59,984</t>
        </is>
      </c>
      <c r="E114" t="inlineStr">
        <is>
          <t>ASSET_CLASS 1</t>
        </is>
      </c>
      <c r="G114" t="n">
        <v>413</v>
      </c>
      <c r="H114" t="n">
        <v>1.597127342132227</v>
      </c>
      <c r="J114" t="n">
        <v>31</v>
      </c>
      <c r="K114">
        <f>'_pockets'!$AI$361</f>
        <v/>
      </c>
      <c r="L114">
        <f>'_pockets'!$AJ$361</f>
        <v/>
      </c>
      <c r="M114">
        <f>IF(AND($A114='Pockets'!$D$17,$B114='Pockets'!$C$17,OR('Pockets'!$E$17="All",AND('Pockets'!$E$17="Worse and material",$K114="Yes",$L114="Yes"),AND('Pockets'!$E$17="Worse or not sure",OR($K114="Yes",$K114="Not sure")))),1,0)</f>
        <v/>
      </c>
      <c r="N114">
        <f>$N113+$M114</f>
        <v/>
      </c>
      <c r="O114" t="inlineStr">
        <is>
          <t>grids</t>
        </is>
      </c>
      <c r="P114" t="inlineStr">
        <is>
          <t>gco_rate</t>
        </is>
      </c>
    </row>
    <row r="115">
      <c r="A115" t="inlineStr">
        <is>
          <t>Two-way</t>
        </is>
      </c>
      <c r="B115" t="inlineStr">
        <is>
          <t>Charge-offs</t>
        </is>
      </c>
      <c r="C115" t="n">
        <v>176</v>
      </c>
      <c r="D115" t="inlineStr">
        <is>
          <t>FICO 496 - 653</t>
        </is>
      </c>
      <c r="E115" t="inlineStr">
        <is>
          <t>ASSET_CLASS 3</t>
        </is>
      </c>
      <c r="G115" t="n">
        <v>350</v>
      </c>
      <c r="H115" t="n">
        <v>1.652573236078345</v>
      </c>
      <c r="J115" t="n">
        <v>32</v>
      </c>
      <c r="K115">
        <f>'_pockets'!$AI$176</f>
        <v/>
      </c>
      <c r="L115">
        <f>'_pockets'!$AJ$176</f>
        <v/>
      </c>
      <c r="M115">
        <f>IF(AND($A115='Pockets'!$D$17,$B115='Pockets'!$C$17,OR('Pockets'!$E$17="All",AND('Pockets'!$E$17="Worse and material",$K115="Yes",$L115="Yes"),AND('Pockets'!$E$17="Worse or not sure",OR($K115="Yes",$K115="Not sure")))),1,0)</f>
        <v/>
      </c>
      <c r="N115">
        <f>$N114+$M115</f>
        <v/>
      </c>
      <c r="O115" t="inlineStr">
        <is>
          <t>grids</t>
        </is>
      </c>
      <c r="P115" t="inlineStr">
        <is>
          <t>gco_rate</t>
        </is>
      </c>
    </row>
    <row r="116">
      <c r="A116" t="inlineStr">
        <is>
          <t>Two-way</t>
        </is>
      </c>
      <c r="B116" t="inlineStr">
        <is>
          <t>Charge-offs</t>
        </is>
      </c>
      <c r="C116" t="n">
        <v>136</v>
      </c>
      <c r="D116" t="inlineStr">
        <is>
          <t>FICO 496 - 653</t>
        </is>
      </c>
      <c r="E116" t="inlineStr">
        <is>
          <t>ASSET_CLASS 1</t>
        </is>
      </c>
      <c r="G116" t="n">
        <v>420</v>
      </c>
      <c r="H116" t="n">
        <v>1.591781478365131</v>
      </c>
      <c r="J116" t="n">
        <v>33</v>
      </c>
      <c r="K116">
        <f>'_pockets'!$AI$136</f>
        <v/>
      </c>
      <c r="L116">
        <f>'_pockets'!$AJ$136</f>
        <v/>
      </c>
      <c r="M116">
        <f>IF(AND($A116='Pockets'!$D$17,$B116='Pockets'!$C$17,OR('Pockets'!$E$17="All",AND('Pockets'!$E$17="Worse and material",$K116="Yes",$L116="Yes"),AND('Pockets'!$E$17="Worse or not sure",OR($K116="Yes",$K116="Not sure")))),1,0)</f>
        <v/>
      </c>
      <c r="N116">
        <f>$N115+$M116</f>
        <v/>
      </c>
      <c r="O116" t="inlineStr">
        <is>
          <t>grids</t>
        </is>
      </c>
      <c r="P116" t="inlineStr">
        <is>
          <t>gco_rate</t>
        </is>
      </c>
    </row>
    <row r="117">
      <c r="A117" t="inlineStr">
        <is>
          <t>Two-way</t>
        </is>
      </c>
      <c r="B117" t="inlineStr">
        <is>
          <t>Charge-offs</t>
        </is>
      </c>
      <c r="C117" t="n">
        <v>121</v>
      </c>
      <c r="D117" t="inlineStr">
        <is>
          <t>FICO 496 - 653</t>
        </is>
      </c>
      <c r="E117" t="inlineStr">
        <is>
          <t>ASSET_CLASS 2</t>
        </is>
      </c>
      <c r="G117" t="n">
        <v>394</v>
      </c>
      <c r="H117" t="n">
        <v>1.612380046491247</v>
      </c>
      <c r="J117" t="n">
        <v>34</v>
      </c>
      <c r="K117">
        <f>'_pockets'!$AI$121</f>
        <v/>
      </c>
      <c r="L117">
        <f>'_pockets'!$AJ$121</f>
        <v/>
      </c>
      <c r="M117">
        <f>IF(AND($A117='Pockets'!$D$17,$B117='Pockets'!$C$17,OR('Pockets'!$E$17="All",AND('Pockets'!$E$17="Worse and material",$K117="Yes",$L117="Yes"),AND('Pockets'!$E$17="Worse or not sure",OR($K117="Yes",$K117="Not sure")))),1,0)</f>
        <v/>
      </c>
      <c r="N117">
        <f>$N116+$M117</f>
        <v/>
      </c>
      <c r="O117" t="inlineStr">
        <is>
          <t>grids</t>
        </is>
      </c>
      <c r="P117" t="inlineStr">
        <is>
          <t>gco_rate</t>
        </is>
      </c>
    </row>
    <row r="118">
      <c r="A118" t="inlineStr">
        <is>
          <t>Two-way</t>
        </is>
      </c>
      <c r="B118" t="inlineStr">
        <is>
          <t>Charge-offs</t>
        </is>
      </c>
      <c r="C118" t="n">
        <v>81</v>
      </c>
      <c r="D118" t="inlineStr">
        <is>
          <t>FICO 496 - 653</t>
        </is>
      </c>
      <c r="E118" t="inlineStr">
        <is>
          <t>Online</t>
        </is>
      </c>
      <c r="G118" t="n">
        <v>531</v>
      </c>
      <c r="H118" t="n">
        <v>1.522220431423272</v>
      </c>
      <c r="J118" t="n">
        <v>35</v>
      </c>
      <c r="K118">
        <f>'_pockets'!$AI$81</f>
        <v/>
      </c>
      <c r="L118">
        <f>'_pockets'!$AJ$81</f>
        <v/>
      </c>
      <c r="M118">
        <f>IF(AND($A118='Pockets'!$D$17,$B118='Pockets'!$C$17,OR('Pockets'!$E$17="All",AND('Pockets'!$E$17="Worse and material",$K118="Yes",$L118="Yes"),AND('Pockets'!$E$17="Worse or not sure",OR($K118="Yes",$K118="Not sure")))),1,0)</f>
        <v/>
      </c>
      <c r="N118">
        <f>$N117+$M118</f>
        <v/>
      </c>
      <c r="O118" t="inlineStr">
        <is>
          <t>grids</t>
        </is>
      </c>
      <c r="P118" t="inlineStr">
        <is>
          <t>gco_rate</t>
        </is>
      </c>
    </row>
    <row r="119">
      <c r="A119" t="inlineStr">
        <is>
          <t>Two-way</t>
        </is>
      </c>
      <c r="B119" t="inlineStr">
        <is>
          <t>Charge-offs</t>
        </is>
      </c>
      <c r="C119" t="n">
        <v>21</v>
      </c>
      <c r="D119" t="inlineStr">
        <is>
          <t>FICO 496 - 653</t>
        </is>
      </c>
      <c r="E119" t="inlineStr">
        <is>
          <t>Branch</t>
        </is>
      </c>
      <c r="G119" t="n">
        <v>502</v>
      </c>
      <c r="H119" t="n">
        <v>1.5380578187653</v>
      </c>
      <c r="J119" t="n">
        <v>36</v>
      </c>
      <c r="K119">
        <f>'_pockets'!$AI$21</f>
        <v/>
      </c>
      <c r="L119">
        <f>'_pockets'!$AJ$21</f>
        <v/>
      </c>
      <c r="M119">
        <f>IF(AND($A119='Pockets'!$D$17,$B119='Pockets'!$C$17,OR('Pockets'!$E$17="All",AND('Pockets'!$E$17="Worse and material",$K119="Yes",$L119="Yes"),AND('Pockets'!$E$17="Worse or not sure",OR($K119="Yes",$K119="Not sure")))),1,0)</f>
        <v/>
      </c>
      <c r="N119">
        <f>$N118+$M119</f>
        <v/>
      </c>
      <c r="O119" t="inlineStr">
        <is>
          <t>grids</t>
        </is>
      </c>
      <c r="P119" t="inlineStr">
        <is>
          <t>gco_rate</t>
        </is>
      </c>
    </row>
    <row r="120">
      <c r="A120" t="inlineStr">
        <is>
          <t>Two-way</t>
        </is>
      </c>
      <c r="B120" t="inlineStr">
        <is>
          <t>Charge-offs</t>
        </is>
      </c>
      <c r="C120" t="n">
        <v>256</v>
      </c>
      <c r="D120" t="inlineStr">
        <is>
          <t>ORIG_BAL 15,449 - 26,323</t>
        </is>
      </c>
      <c r="E120" t="inlineStr">
        <is>
          <t>Online</t>
        </is>
      </c>
      <c r="G120" t="n">
        <v>538</v>
      </c>
      <c r="H120" t="n">
        <v>1.518598054313211</v>
      </c>
      <c r="J120" t="n">
        <v>37</v>
      </c>
      <c r="K120">
        <f>'_pockets'!$AI$256</f>
        <v/>
      </c>
      <c r="L120">
        <f>'_pockets'!$AJ$256</f>
        <v/>
      </c>
      <c r="M120">
        <f>IF(AND($A120='Pockets'!$D$17,$B120='Pockets'!$C$17,OR('Pockets'!$E$17="All",AND('Pockets'!$E$17="Worse and material",$K120="Yes",$L120="Yes"),AND('Pockets'!$E$17="Worse or not sure",OR($K120="Yes",$K120="Not sure")))),1,0)</f>
        <v/>
      </c>
      <c r="N120">
        <f>$N119+$M120</f>
        <v/>
      </c>
      <c r="O120" t="inlineStr">
        <is>
          <t>grids</t>
        </is>
      </c>
      <c r="P120" t="inlineStr">
        <is>
          <t>gco_rate</t>
        </is>
      </c>
    </row>
    <row r="121">
      <c r="A121" t="inlineStr">
        <is>
          <t>Two-way</t>
        </is>
      </c>
      <c r="B121" t="inlineStr">
        <is>
          <t>Charge-offs</t>
        </is>
      </c>
      <c r="C121" t="n">
        <v>291</v>
      </c>
      <c r="D121" t="inlineStr">
        <is>
          <t>ORIG_BAL 37,951 - 49,151</t>
        </is>
      </c>
      <c r="E121" t="inlineStr">
        <is>
          <t>Online</t>
        </is>
      </c>
      <c r="G121" t="n">
        <v>543</v>
      </c>
      <c r="H121" t="n">
        <v>1.51605526435139</v>
      </c>
      <c r="J121" t="n">
        <v>38</v>
      </c>
      <c r="K121">
        <f>'_pockets'!$AI$291</f>
        <v/>
      </c>
      <c r="L121">
        <f>'_pockets'!$AJ$291</f>
        <v/>
      </c>
      <c r="M121">
        <f>IF(AND($A121='Pockets'!$D$17,$B121='Pockets'!$C$17,OR('Pockets'!$E$17="All",AND('Pockets'!$E$17="Worse and material",$K121="Yes",$L121="Yes"),AND('Pockets'!$E$17="Worse or not sure",OR($K121="Yes",$K121="Not sure")))),1,0)</f>
        <v/>
      </c>
      <c r="N121">
        <f>$N120+$M121</f>
        <v/>
      </c>
      <c r="O121" t="inlineStr">
        <is>
          <t>grids</t>
        </is>
      </c>
      <c r="P121" t="inlineStr">
        <is>
          <t>gco_rate</t>
        </is>
      </c>
    </row>
    <row r="122">
      <c r="A122" t="inlineStr">
        <is>
          <t>Two-way</t>
        </is>
      </c>
      <c r="B122" t="inlineStr">
        <is>
          <t>Charge-offs</t>
        </is>
      </c>
      <c r="C122" t="n">
        <v>236</v>
      </c>
      <c r="D122" t="inlineStr">
        <is>
          <t>ORIG_BAL 37,951 - 49,151</t>
        </is>
      </c>
      <c r="E122" t="inlineStr">
        <is>
          <t>Branch</t>
        </is>
      </c>
      <c r="G122" t="n">
        <v>525</v>
      </c>
      <c r="H122" t="n">
        <v>1.525385035822323</v>
      </c>
      <c r="J122" t="n">
        <v>39</v>
      </c>
      <c r="K122">
        <f>'_pockets'!$AI$236</f>
        <v/>
      </c>
      <c r="L122">
        <f>'_pockets'!$AJ$236</f>
        <v/>
      </c>
      <c r="M122">
        <f>IF(AND($A122='Pockets'!$D$17,$B122='Pockets'!$C$17,OR('Pockets'!$E$17="All",AND('Pockets'!$E$17="Worse and material",$K122="Yes",$L122="Yes"),AND('Pockets'!$E$17="Worse or not sure",OR($K122="Yes",$K122="Not sure")))),1,0)</f>
        <v/>
      </c>
      <c r="N122">
        <f>$N121+$M122</f>
        <v/>
      </c>
      <c r="O122" t="inlineStr">
        <is>
          <t>grids</t>
        </is>
      </c>
      <c r="P122" t="inlineStr">
        <is>
          <t>gco_rate</t>
        </is>
      </c>
    </row>
    <row r="123">
      <c r="A123" t="inlineStr">
        <is>
          <t>Two-way</t>
        </is>
      </c>
      <c r="B123" t="inlineStr">
        <is>
          <t>Charge-offs</t>
        </is>
      </c>
      <c r="C123" t="n">
        <v>71</v>
      </c>
      <c r="D123" t="inlineStr">
        <is>
          <t>FICO 654 - 685</t>
        </is>
      </c>
      <c r="E123" t="inlineStr">
        <is>
          <t>Online</t>
        </is>
      </c>
      <c r="G123" t="n">
        <v>505</v>
      </c>
      <c r="H123" t="n">
        <v>1.536353963902831</v>
      </c>
      <c r="J123" t="n">
        <v>40</v>
      </c>
      <c r="K123">
        <f>'_pockets'!$AI$71</f>
        <v/>
      </c>
      <c r="L123">
        <f>'_pockets'!$AJ$71</f>
        <v/>
      </c>
      <c r="M123">
        <f>IF(AND($A123='Pockets'!$D$17,$B123='Pockets'!$C$17,OR('Pockets'!$E$17="All",AND('Pockets'!$E$17="Worse and material",$K123="Yes",$L123="Yes"),AND('Pockets'!$E$17="Worse or not sure",OR($K123="Yes",$K123="Not sure")))),1,0)</f>
        <v/>
      </c>
      <c r="N123">
        <f>$N122+$M123</f>
        <v/>
      </c>
      <c r="O123" t="inlineStr">
        <is>
          <t>grids</t>
        </is>
      </c>
      <c r="P123" t="inlineStr">
        <is>
          <t>gco_rate</t>
        </is>
      </c>
    </row>
    <row r="124">
      <c r="A124" t="inlineStr">
        <is>
          <t>Two-way</t>
        </is>
      </c>
      <c r="B124" t="inlineStr">
        <is>
          <t>Charge-offs</t>
        </is>
      </c>
      <c r="C124" t="n">
        <v>76</v>
      </c>
      <c r="D124" t="inlineStr">
        <is>
          <t>FICO 654 - 685</t>
        </is>
      </c>
      <c r="E124" t="inlineStr">
        <is>
          <t>Broker</t>
        </is>
      </c>
      <c r="G124" t="n">
        <v>531</v>
      </c>
      <c r="H124" t="n">
        <v>1.522220431423272</v>
      </c>
      <c r="J124" t="n">
        <v>41</v>
      </c>
      <c r="K124">
        <f>'_pockets'!$AI$76</f>
        <v/>
      </c>
      <c r="L124">
        <f>'_pockets'!$AJ$76</f>
        <v/>
      </c>
      <c r="M124">
        <f>IF(AND($A124='Pockets'!$D$17,$B124='Pockets'!$C$17,OR('Pockets'!$E$17="All",AND('Pockets'!$E$17="Worse and material",$K124="Yes",$L124="Yes"),AND('Pockets'!$E$17="Worse or not sure",OR($K124="Yes",$K124="Not sure")))),1,0)</f>
        <v/>
      </c>
      <c r="N124">
        <f>$N123+$M124</f>
        <v/>
      </c>
      <c r="O124" t="inlineStr">
        <is>
          <t>grids</t>
        </is>
      </c>
      <c r="P124" t="inlineStr">
        <is>
          <t>gco_rate</t>
        </is>
      </c>
    </row>
    <row r="125">
      <c r="A125" t="inlineStr">
        <is>
          <t>Two-way</t>
        </is>
      </c>
      <c r="B125" t="inlineStr">
        <is>
          <t>Kept after losses</t>
        </is>
      </c>
      <c r="C125" t="n">
        <v>32</v>
      </c>
      <c r="D125" t="inlineStr">
        <is>
          <t>FICO 496 - 653</t>
        </is>
      </c>
      <c r="E125" t="inlineStr">
        <is>
          <t>Broker</t>
        </is>
      </c>
      <c r="G125" t="n">
        <v>523</v>
      </c>
      <c r="H125" t="n">
        <v>-2.57623637023422</v>
      </c>
      <c r="J125" t="n">
        <v>1</v>
      </c>
      <c r="K125">
        <f>'_pockets'!$AI$32</f>
        <v/>
      </c>
      <c r="L125">
        <f>'_pockets'!$AJ$32</f>
        <v/>
      </c>
      <c r="M125">
        <f>IF(AND($A125='Pockets'!$D$17,$B125='Pockets'!$C$17,OR('Pockets'!$E$17="All",AND('Pockets'!$E$17="Worse and material",$K125="Yes",$L125="Yes"),AND('Pockets'!$E$17="Worse or not sure",OR($K125="Yes",$K125="Not sure")))),1,0)</f>
        <v/>
      </c>
      <c r="N125">
        <f>$N124+$M125</f>
        <v/>
      </c>
      <c r="O125" t="inlineStr">
        <is>
          <t>grids</t>
        </is>
      </c>
      <c r="P125" t="inlineStr">
        <is>
          <t>ranr_rate</t>
        </is>
      </c>
    </row>
    <row r="126">
      <c r="A126" t="inlineStr">
        <is>
          <t>Two-way</t>
        </is>
      </c>
      <c r="B126" t="inlineStr">
        <is>
          <t>Kept after losses</t>
        </is>
      </c>
      <c r="C126" t="n">
        <v>302</v>
      </c>
      <c r="D126" t="inlineStr">
        <is>
          <t>ORIG_BAL 49,152 - 59,984</t>
        </is>
      </c>
      <c r="E126" t="inlineStr">
        <is>
          <t>Broker</t>
        </is>
      </c>
      <c r="G126" t="n">
        <v>520</v>
      </c>
      <c r="H126" t="n">
        <v>-2.583138899359265</v>
      </c>
      <c r="J126" t="n">
        <v>2</v>
      </c>
      <c r="K126">
        <f>'_pockets'!$AI$302</f>
        <v/>
      </c>
      <c r="L126">
        <f>'_pockets'!$AJ$302</f>
        <v/>
      </c>
      <c r="M126">
        <f>IF(AND($A126='Pockets'!$D$17,$B126='Pockets'!$C$17,OR('Pockets'!$E$17="All",AND('Pockets'!$E$17="Worse and material",$K126="Yes",$L126="Yes"),AND('Pockets'!$E$17="Worse or not sure",OR($K126="Yes",$K126="Not sure")))),1,0)</f>
        <v/>
      </c>
      <c r="N126">
        <f>$N125+$M126</f>
        <v/>
      </c>
      <c r="O126" t="inlineStr">
        <is>
          <t>grids</t>
        </is>
      </c>
      <c r="P126" t="inlineStr">
        <is>
          <t>ranr_rate</t>
        </is>
      </c>
    </row>
    <row r="127">
      <c r="A127" t="inlineStr">
        <is>
          <t>Two-way</t>
        </is>
      </c>
      <c r="B127" t="inlineStr">
        <is>
          <t>Kept after losses</t>
        </is>
      </c>
      <c r="C127" t="n">
        <v>152</v>
      </c>
      <c r="D127" t="inlineStr">
        <is>
          <t>FICO 496 - 653</t>
        </is>
      </c>
      <c r="E127" t="inlineStr">
        <is>
          <t>ASSET_CLASS 4</t>
        </is>
      </c>
      <c r="G127" t="n">
        <v>392</v>
      </c>
      <c r="H127" t="n">
        <v>-2.949996198155777</v>
      </c>
      <c r="J127" t="n">
        <v>3</v>
      </c>
      <c r="K127">
        <f>'_pockets'!$AI$152</f>
        <v/>
      </c>
      <c r="L127">
        <f>'_pockets'!$AJ$152</f>
        <v/>
      </c>
      <c r="M127">
        <f>IF(AND($A127='Pockets'!$D$17,$B127='Pockets'!$C$17,OR('Pockets'!$E$17="All",AND('Pockets'!$E$17="Worse and material",$K127="Yes",$L127="Yes"),AND('Pockets'!$E$17="Worse or not sure",OR($K127="Yes",$K127="Not sure")))),1,0)</f>
        <v/>
      </c>
      <c r="N127">
        <f>$N126+$M127</f>
        <v/>
      </c>
      <c r="O127" t="inlineStr">
        <is>
          <t>grids</t>
        </is>
      </c>
      <c r="P127" t="inlineStr">
        <is>
          <t>ranr_rate</t>
        </is>
      </c>
    </row>
    <row r="128">
      <c r="A128" t="inlineStr">
        <is>
          <t>Two-way</t>
        </is>
      </c>
      <c r="B128" t="inlineStr">
        <is>
          <t>Kept after losses</t>
        </is>
      </c>
      <c r="C128" t="n">
        <v>252</v>
      </c>
      <c r="D128" t="inlineStr">
        <is>
          <t>ORIG_BAL 15,449 - 26,323</t>
        </is>
      </c>
      <c r="E128" t="inlineStr">
        <is>
          <t>Broker</t>
        </is>
      </c>
      <c r="G128" t="n">
        <v>537</v>
      </c>
      <c r="H128" t="n">
        <v>-2.544816269941326</v>
      </c>
      <c r="J128" t="n">
        <v>4</v>
      </c>
      <c r="K128">
        <f>'_pockets'!$AI$252</f>
        <v/>
      </c>
      <c r="L128">
        <f>'_pockets'!$AJ$252</f>
        <v/>
      </c>
      <c r="M128">
        <f>IF(AND($A128='Pockets'!$D$17,$B128='Pockets'!$C$17,OR('Pockets'!$E$17="All",AND('Pockets'!$E$17="Worse and material",$K128="Yes",$L128="Yes"),AND('Pockets'!$E$17="Worse or not sure",OR($K128="Yes",$K128="Not sure")))),1,0)</f>
        <v/>
      </c>
      <c r="N128">
        <f>$N127+$M128</f>
        <v/>
      </c>
      <c r="O128" t="inlineStr">
        <is>
          <t>grids</t>
        </is>
      </c>
      <c r="P128" t="inlineStr">
        <is>
          <t>ranr_rate</t>
        </is>
      </c>
    </row>
    <row r="129">
      <c r="A129" t="inlineStr">
        <is>
          <t>Two-way</t>
        </is>
      </c>
      <c r="B129" t="inlineStr">
        <is>
          <t>Kept after losses</t>
        </is>
      </c>
      <c r="C129" t="n">
        <v>367</v>
      </c>
      <c r="D129" t="inlineStr">
        <is>
          <t>ORIG_BAL 37,951 - 49,151</t>
        </is>
      </c>
      <c r="E129" t="inlineStr">
        <is>
          <t>ASSET_CLASS 4</t>
        </is>
      </c>
      <c r="G129" t="n">
        <v>414</v>
      </c>
      <c r="H129" t="n">
        <v>-2.874704671970373</v>
      </c>
      <c r="J129" t="n">
        <v>5</v>
      </c>
      <c r="K129">
        <f>'_pockets'!$AI$367</f>
        <v/>
      </c>
      <c r="L129">
        <f>'_pockets'!$AJ$367</f>
        <v/>
      </c>
      <c r="M129">
        <f>IF(AND($A129='Pockets'!$D$17,$B129='Pockets'!$C$17,OR('Pockets'!$E$17="All",AND('Pockets'!$E$17="Worse and material",$K129="Yes",$L129="Yes"),AND('Pockets'!$E$17="Worse or not sure",OR($K129="Yes",$K129="Not sure")))),1,0)</f>
        <v/>
      </c>
      <c r="N129">
        <f>$N128+$M129</f>
        <v/>
      </c>
      <c r="O129" t="inlineStr">
        <is>
          <t>grids</t>
        </is>
      </c>
      <c r="P129" t="inlineStr">
        <is>
          <t>ranr_rate</t>
        </is>
      </c>
    </row>
    <row r="130">
      <c r="A130" t="inlineStr">
        <is>
          <t>Two-way</t>
        </is>
      </c>
      <c r="B130" t="inlineStr">
        <is>
          <t>Kept after losses</t>
        </is>
      </c>
      <c r="C130" t="n">
        <v>192</v>
      </c>
      <c r="D130" t="inlineStr">
        <is>
          <t>FICO 654 - 685</t>
        </is>
      </c>
      <c r="E130" t="inlineStr">
        <is>
          <t>ASSET_CLASS 4</t>
        </is>
      </c>
      <c r="G130" t="n">
        <v>410</v>
      </c>
      <c r="H130" t="n">
        <v>-2.887932200381736</v>
      </c>
      <c r="J130" t="n">
        <v>6</v>
      </c>
      <c r="K130">
        <f>'_pockets'!$AI$192</f>
        <v/>
      </c>
      <c r="L130">
        <f>'_pockets'!$AJ$192</f>
        <v/>
      </c>
      <c r="M130">
        <f>IF(AND($A130='Pockets'!$D$17,$B130='Pockets'!$C$17,OR('Pockets'!$E$17="All",AND('Pockets'!$E$17="Worse and material",$K130="Yes",$L130="Yes"),AND('Pockets'!$E$17="Worse or not sure",OR($K130="Yes",$K130="Not sure")))),1,0)</f>
        <v/>
      </c>
      <c r="N130">
        <f>$N129+$M130</f>
        <v/>
      </c>
      <c r="O130" t="inlineStr">
        <is>
          <t>grids</t>
        </is>
      </c>
      <c r="P130" t="inlineStr">
        <is>
          <t>ranr_rate</t>
        </is>
      </c>
    </row>
    <row r="131">
      <c r="A131" t="inlineStr">
        <is>
          <t>Two-way</t>
        </is>
      </c>
      <c r="B131" t="inlineStr">
        <is>
          <t>Kept after losses</t>
        </is>
      </c>
      <c r="C131" t="n">
        <v>237</v>
      </c>
      <c r="D131" t="inlineStr">
        <is>
          <t>ORIG_BAL 37,951 - 49,151</t>
        </is>
      </c>
      <c r="E131" t="inlineStr">
        <is>
          <t>Branch</t>
        </is>
      </c>
      <c r="G131" t="n">
        <v>526</v>
      </c>
      <c r="H131" t="n">
        <v>-2.569394763657176</v>
      </c>
      <c r="J131" t="n">
        <v>7</v>
      </c>
      <c r="K131">
        <f>'_pockets'!$AI$237</f>
        <v/>
      </c>
      <c r="L131">
        <f>'_pockets'!$AJ$237</f>
        <v/>
      </c>
      <c r="M131">
        <f>IF(AND($A131='Pockets'!$D$17,$B131='Pockets'!$C$17,OR('Pockets'!$E$17="All",AND('Pockets'!$E$17="Worse and material",$K131="Yes",$L131="Yes"),AND('Pockets'!$E$17="Worse or not sure",OR($K131="Yes",$K131="Not sure")))),1,0)</f>
        <v/>
      </c>
      <c r="N131">
        <f>$N130+$M131</f>
        <v/>
      </c>
      <c r="O131" t="inlineStr">
        <is>
          <t>grids</t>
        </is>
      </c>
      <c r="P131" t="inlineStr">
        <is>
          <t>ranr_rate</t>
        </is>
      </c>
    </row>
    <row r="132">
      <c r="A132" t="inlineStr">
        <is>
          <t>Two-way</t>
        </is>
      </c>
      <c r="B132" t="inlineStr">
        <is>
          <t>Kept after losses</t>
        </is>
      </c>
      <c r="C132" t="n">
        <v>37</v>
      </c>
      <c r="D132" t="inlineStr">
        <is>
          <t>FICO 686 - 711</t>
        </is>
      </c>
      <c r="E132" t="inlineStr">
        <is>
          <t>Broker</t>
        </is>
      </c>
      <c r="G132" t="n">
        <v>501</v>
      </c>
      <c r="H132" t="n">
        <v>-2.628328334371023</v>
      </c>
      <c r="J132" t="n">
        <v>8</v>
      </c>
      <c r="K132">
        <f>'_pockets'!$AI$37</f>
        <v/>
      </c>
      <c r="L132">
        <f>'_pockets'!$AJ$37</f>
        <v/>
      </c>
      <c r="M132">
        <f>IF(AND($A132='Pockets'!$D$17,$B132='Pockets'!$C$17,OR('Pockets'!$E$17="All",AND('Pockets'!$E$17="Worse and material",$K132="Yes",$L132="Yes"),AND('Pockets'!$E$17="Worse or not sure",OR($K132="Yes",$K132="Not sure")))),1,0)</f>
        <v/>
      </c>
      <c r="N132">
        <f>$N131+$M132</f>
        <v/>
      </c>
      <c r="O132" t="inlineStr">
        <is>
          <t>grids</t>
        </is>
      </c>
      <c r="P132" t="inlineStr">
        <is>
          <t>ranr_rate</t>
        </is>
      </c>
    </row>
    <row r="133">
      <c r="A133" t="inlineStr">
        <is>
          <t>Two-way</t>
        </is>
      </c>
      <c r="B133" t="inlineStr">
        <is>
          <t>Kept after losses</t>
        </is>
      </c>
      <c r="C133" t="n">
        <v>232</v>
      </c>
      <c r="D133" t="inlineStr">
        <is>
          <t>ORIG_BAL 26,324 - 37,950</t>
        </is>
      </c>
      <c r="E133" t="inlineStr">
        <is>
          <t>Broker</t>
        </is>
      </c>
      <c r="G133" t="n">
        <v>553</v>
      </c>
      <c r="H133" t="n">
        <v>-2.510424220480884</v>
      </c>
      <c r="J133" t="n">
        <v>9</v>
      </c>
      <c r="K133">
        <f>'_pockets'!$AI$232</f>
        <v/>
      </c>
      <c r="L133">
        <f>'_pockets'!$AJ$232</f>
        <v/>
      </c>
      <c r="M133">
        <f>IF(AND($A133='Pockets'!$D$17,$B133='Pockets'!$C$17,OR('Pockets'!$E$17="All",AND('Pockets'!$E$17="Worse and material",$K133="Yes",$L133="Yes"),AND('Pockets'!$E$17="Worse or not sure",OR($K133="Yes",$K133="Not sure")))),1,0)</f>
        <v/>
      </c>
      <c r="N133">
        <f>$N132+$M133</f>
        <v/>
      </c>
      <c r="O133" t="inlineStr">
        <is>
          <t>grids</t>
        </is>
      </c>
      <c r="P133" t="inlineStr">
        <is>
          <t>ranr_rate</t>
        </is>
      </c>
    </row>
    <row r="134">
      <c r="A134" t="inlineStr">
        <is>
          <t>Two-way</t>
        </is>
      </c>
      <c r="B134" t="inlineStr">
        <is>
          <t>Kept after losses</t>
        </is>
      </c>
      <c r="C134" t="n">
        <v>57</v>
      </c>
      <c r="D134" t="inlineStr">
        <is>
          <t>FICO 654 - 685</t>
        </is>
      </c>
      <c r="E134" t="inlineStr">
        <is>
          <t>Branch</t>
        </is>
      </c>
      <c r="G134" t="n">
        <v>503</v>
      </c>
      <c r="H134" t="n">
        <v>-2.62344773470867</v>
      </c>
      <c r="J134" t="n">
        <v>10</v>
      </c>
      <c r="K134">
        <f>'_pockets'!$AI$57</f>
        <v/>
      </c>
      <c r="L134">
        <f>'_pockets'!$AJ$57</f>
        <v/>
      </c>
      <c r="M134">
        <f>IF(AND($A134='Pockets'!$D$17,$B134='Pockets'!$C$17,OR('Pockets'!$E$17="All",AND('Pockets'!$E$17="Worse and material",$K134="Yes",$L134="Yes"),AND('Pockets'!$E$17="Worse or not sure",OR($K134="Yes",$K134="Not sure")))),1,0)</f>
        <v/>
      </c>
      <c r="N134">
        <f>$N133+$M134</f>
        <v/>
      </c>
      <c r="O134" t="inlineStr">
        <is>
          <t>grids</t>
        </is>
      </c>
      <c r="P134" t="inlineStr">
        <is>
          <t>ranr_rate</t>
        </is>
      </c>
    </row>
    <row r="135">
      <c r="A135" t="inlineStr">
        <is>
          <t>Two-way</t>
        </is>
      </c>
      <c r="B135" t="inlineStr">
        <is>
          <t>Kept after losses</t>
        </is>
      </c>
      <c r="C135" t="n">
        <v>87</v>
      </c>
      <c r="D135" t="inlineStr">
        <is>
          <t>FICO 686 - 711</t>
        </is>
      </c>
      <c r="E135" t="inlineStr">
        <is>
          <t>Branch</t>
        </is>
      </c>
      <c r="G135" t="n">
        <v>515</v>
      </c>
      <c r="H135" t="n">
        <v>-2.59478090908457</v>
      </c>
      <c r="J135" t="n">
        <v>11</v>
      </c>
      <c r="K135">
        <f>'_pockets'!$AI$87</f>
        <v/>
      </c>
      <c r="L135">
        <f>'_pockets'!$AJ$87</f>
        <v/>
      </c>
      <c r="M135">
        <f>IF(AND($A135='Pockets'!$D$17,$B135='Pockets'!$C$17,OR('Pockets'!$E$17="All",AND('Pockets'!$E$17="Worse and material",$K135="Yes",$L135="Yes"),AND('Pockets'!$E$17="Worse or not sure",OR($K135="Yes",$K135="Not sure")))),1,0)</f>
        <v/>
      </c>
      <c r="N135">
        <f>$N134+$M135</f>
        <v/>
      </c>
      <c r="O135" t="inlineStr">
        <is>
          <t>grids</t>
        </is>
      </c>
      <c r="P135" t="inlineStr">
        <is>
          <t>ranr_rate</t>
        </is>
      </c>
    </row>
    <row r="136">
      <c r="A136" t="inlineStr">
        <is>
          <t>Two-way</t>
        </is>
      </c>
      <c r="B136" t="inlineStr">
        <is>
          <t>Kept after losses</t>
        </is>
      </c>
      <c r="C136" t="n">
        <v>17</v>
      </c>
      <c r="D136" t="inlineStr">
        <is>
          <t>FICO 712 - 745</t>
        </is>
      </c>
      <c r="E136" t="inlineStr">
        <is>
          <t>Branch</t>
        </is>
      </c>
      <c r="G136" t="n">
        <v>537</v>
      </c>
      <c r="H136" t="n">
        <v>-2.544816269941326</v>
      </c>
      <c r="J136" t="n">
        <v>12</v>
      </c>
      <c r="K136">
        <f>'_pockets'!$AI$17</f>
        <v/>
      </c>
      <c r="L136">
        <f>'_pockets'!$AJ$17</f>
        <v/>
      </c>
      <c r="M136">
        <f>IF(AND($A136='Pockets'!$D$17,$B136='Pockets'!$C$17,OR('Pockets'!$E$17="All",AND('Pockets'!$E$17="Worse and material",$K136="Yes",$L136="Yes"),AND('Pockets'!$E$17="Worse or not sure",OR($K136="Yes",$K136="Not sure")))),1,0)</f>
        <v/>
      </c>
      <c r="N136">
        <f>$N135+$M136</f>
        <v/>
      </c>
      <c r="O136" t="inlineStr">
        <is>
          <t>grids</t>
        </is>
      </c>
      <c r="P136" t="inlineStr">
        <is>
          <t>ranr_rate</t>
        </is>
      </c>
    </row>
    <row r="137">
      <c r="A137" t="inlineStr">
        <is>
          <t>Two-way</t>
        </is>
      </c>
      <c r="B137" t="inlineStr">
        <is>
          <t>Kept after losses</t>
        </is>
      </c>
      <c r="C137" t="n">
        <v>262</v>
      </c>
      <c r="D137" t="inlineStr">
        <is>
          <t>ORIG_BAL 37,951 - 49,151</t>
        </is>
      </c>
      <c r="E137" t="inlineStr">
        <is>
          <t>Broker</t>
        </is>
      </c>
      <c r="G137" t="n">
        <v>531</v>
      </c>
      <c r="H137" t="n">
        <v>-2.558125122195801</v>
      </c>
      <c r="J137" t="n">
        <v>13</v>
      </c>
      <c r="K137">
        <f>'_pockets'!$AI$262</f>
        <v/>
      </c>
      <c r="L137">
        <f>'_pockets'!$AJ$262</f>
        <v/>
      </c>
      <c r="M137">
        <f>IF(AND($A137='Pockets'!$D$17,$B137='Pockets'!$C$17,OR('Pockets'!$E$17="All",AND('Pockets'!$E$17="Worse and material",$K137="Yes",$L137="Yes"),AND('Pockets'!$E$17="Worse or not sure",OR($K137="Yes",$K137="Not sure")))),1,0)</f>
        <v/>
      </c>
      <c r="N137">
        <f>$N136+$M137</f>
        <v/>
      </c>
      <c r="O137" t="inlineStr">
        <is>
          <t>grids</t>
        </is>
      </c>
      <c r="P137" t="inlineStr">
        <is>
          <t>ranr_rate</t>
        </is>
      </c>
    </row>
    <row r="138">
      <c r="A138" t="inlineStr">
        <is>
          <t>Two-way</t>
        </is>
      </c>
      <c r="B138" t="inlineStr">
        <is>
          <t>Kept after losses</t>
        </is>
      </c>
      <c r="C138" t="n">
        <v>387</v>
      </c>
      <c r="D138" t="inlineStr">
        <is>
          <t>ORIG_BAL 49,152 - 59,984</t>
        </is>
      </c>
      <c r="E138" t="inlineStr">
        <is>
          <t>ASSET_CLASS 4</t>
        </is>
      </c>
      <c r="G138" t="n">
        <v>384</v>
      </c>
      <c r="H138" t="n">
        <v>-2.979000882661107</v>
      </c>
      <c r="J138" t="n">
        <v>14</v>
      </c>
      <c r="K138">
        <f>'_pockets'!$AI$387</f>
        <v/>
      </c>
      <c r="L138">
        <f>'_pockets'!$AJ$387</f>
        <v/>
      </c>
      <c r="M138">
        <f>IF(AND($A138='Pockets'!$D$17,$B138='Pockets'!$C$17,OR('Pockets'!$E$17="All",AND('Pockets'!$E$17="Worse and material",$K138="Yes",$L138="Yes"),AND('Pockets'!$E$17="Worse or not sure",OR($K138="Yes",$K138="Not sure")))),1,0)</f>
        <v/>
      </c>
      <c r="N138">
        <f>$N137+$M138</f>
        <v/>
      </c>
      <c r="O138" t="inlineStr">
        <is>
          <t>grids</t>
        </is>
      </c>
      <c r="P138" t="inlineStr">
        <is>
          <t>ranr_rate</t>
        </is>
      </c>
    </row>
    <row r="139">
      <c r="A139" t="inlineStr">
        <is>
          <t>Two-way</t>
        </is>
      </c>
      <c r="B139" t="inlineStr">
        <is>
          <t>Kept after losses</t>
        </is>
      </c>
      <c r="C139" t="n">
        <v>212</v>
      </c>
      <c r="D139" t="inlineStr">
        <is>
          <t>FICO 686 - 711</t>
        </is>
      </c>
      <c r="E139" t="inlineStr">
        <is>
          <t>ASSET_CLASS 3</t>
        </is>
      </c>
      <c r="G139" t="n">
        <v>388</v>
      </c>
      <c r="H139" t="n">
        <v>-2.964384092905167</v>
      </c>
      <c r="J139" t="n">
        <v>15</v>
      </c>
      <c r="K139">
        <f>'_pockets'!$AI$212</f>
        <v/>
      </c>
      <c r="L139">
        <f>'_pockets'!$AJ$212</f>
        <v/>
      </c>
      <c r="M139">
        <f>IF(AND($A139='Pockets'!$D$17,$B139='Pockets'!$C$17,OR('Pockets'!$E$17="All",AND('Pockets'!$E$17="Worse and material",$K139="Yes",$L139="Yes"),AND('Pockets'!$E$17="Worse or not sure",OR($K139="Yes",$K139="Not sure")))),1,0)</f>
        <v/>
      </c>
      <c r="N139">
        <f>$N138+$M139</f>
        <v/>
      </c>
      <c r="O139" t="inlineStr">
        <is>
          <t>grids</t>
        </is>
      </c>
      <c r="P139" t="inlineStr">
        <is>
          <t>ranr_rate</t>
        </is>
      </c>
    </row>
    <row r="140">
      <c r="A140" t="inlineStr">
        <is>
          <t>Two-way</t>
        </is>
      </c>
      <c r="B140" t="inlineStr">
        <is>
          <t>Kept after losses</t>
        </is>
      </c>
      <c r="C140" t="n">
        <v>382</v>
      </c>
      <c r="D140" t="inlineStr">
        <is>
          <t>ORIG_BAL 37,951 - 49,151</t>
        </is>
      </c>
      <c r="E140" t="inlineStr">
        <is>
          <t>ASSET_CLASS 3</t>
        </is>
      </c>
      <c r="G140" t="n">
        <v>382</v>
      </c>
      <c r="H140" t="n">
        <v>-2.986396986353928</v>
      </c>
      <c r="J140" t="n">
        <v>16</v>
      </c>
      <c r="K140">
        <f>'_pockets'!$AI$382</f>
        <v/>
      </c>
      <c r="L140">
        <f>'_pockets'!$AJ$382</f>
        <v/>
      </c>
      <c r="M140">
        <f>IF(AND($A140='Pockets'!$D$17,$B140='Pockets'!$C$17,OR('Pockets'!$E$17="All",AND('Pockets'!$E$17="Worse and material",$K140="Yes",$L140="Yes"),AND('Pockets'!$E$17="Worse or not sure",OR($K140="Yes",$K140="Not sure")))),1,0)</f>
        <v/>
      </c>
      <c r="N140">
        <f>$N139+$M140</f>
        <v/>
      </c>
      <c r="O140" t="inlineStr">
        <is>
          <t>grids</t>
        </is>
      </c>
      <c r="P140" t="inlineStr">
        <is>
          <t>ranr_rate</t>
        </is>
      </c>
    </row>
    <row r="141">
      <c r="A141" t="inlineStr">
        <is>
          <t>Two-way</t>
        </is>
      </c>
      <c r="B141" t="inlineStr">
        <is>
          <t>Kept after losses</t>
        </is>
      </c>
      <c r="C141" t="n">
        <v>247</v>
      </c>
      <c r="D141" t="inlineStr">
        <is>
          <t>ORIG_BAL 26,324 - 37,950</t>
        </is>
      </c>
      <c r="E141" t="inlineStr">
        <is>
          <t>Branch</t>
        </is>
      </c>
      <c r="G141" t="n">
        <v>518</v>
      </c>
      <c r="H141" t="n">
        <v>-2.587774867455973</v>
      </c>
      <c r="J141" t="n">
        <v>17</v>
      </c>
      <c r="K141">
        <f>'_pockets'!$AI$247</f>
        <v/>
      </c>
      <c r="L141">
        <f>'_pockets'!$AJ$247</f>
        <v/>
      </c>
      <c r="M141">
        <f>IF(AND($A141='Pockets'!$D$17,$B141='Pockets'!$C$17,OR('Pockets'!$E$17="All",AND('Pockets'!$E$17="Worse and material",$K141="Yes",$L141="Yes"),AND('Pockets'!$E$17="Worse or not sure",OR($K141="Yes",$K141="Not sure")))),1,0)</f>
        <v/>
      </c>
      <c r="N141">
        <f>$N140+$M141</f>
        <v/>
      </c>
      <c r="O141" t="inlineStr">
        <is>
          <t>grids</t>
        </is>
      </c>
      <c r="P141" t="inlineStr">
        <is>
          <t>ranr_rate</t>
        </is>
      </c>
    </row>
    <row r="142">
      <c r="A142" t="inlineStr">
        <is>
          <t>Two-way</t>
        </is>
      </c>
      <c r="B142" t="inlineStr">
        <is>
          <t>Kept after losses</t>
        </is>
      </c>
      <c r="C142" t="n">
        <v>327</v>
      </c>
      <c r="D142" t="inlineStr">
        <is>
          <t>ORIG_BAL 26,324 - 37,950</t>
        </is>
      </c>
      <c r="E142" t="inlineStr">
        <is>
          <t>ASSET_CLASS 4</t>
        </is>
      </c>
      <c r="G142" t="n">
        <v>412</v>
      </c>
      <c r="H142" t="n">
        <v>-2.881293820911253</v>
      </c>
      <c r="J142" t="n">
        <v>18</v>
      </c>
      <c r="K142">
        <f>'_pockets'!$AI$327</f>
        <v/>
      </c>
      <c r="L142">
        <f>'_pockets'!$AJ$327</f>
        <v/>
      </c>
      <c r="M142">
        <f>IF(AND($A142='Pockets'!$D$17,$B142='Pockets'!$C$17,OR('Pockets'!$E$17="All",AND('Pockets'!$E$17="Worse and material",$K142="Yes",$L142="Yes"),AND('Pockets'!$E$17="Worse or not sure",OR($K142="Yes",$K142="Not sure")))),1,0)</f>
        <v/>
      </c>
      <c r="N142">
        <f>$N141+$M142</f>
        <v/>
      </c>
      <c r="O142" t="inlineStr">
        <is>
          <t>grids</t>
        </is>
      </c>
      <c r="P142" t="inlineStr">
        <is>
          <t>ranr_rate</t>
        </is>
      </c>
    </row>
    <row r="143">
      <c r="A143" t="inlineStr">
        <is>
          <t>Two-way</t>
        </is>
      </c>
      <c r="B143" t="inlineStr">
        <is>
          <t>Kept after losses</t>
        </is>
      </c>
      <c r="C143" t="n">
        <v>77</v>
      </c>
      <c r="D143" t="inlineStr">
        <is>
          <t>FICO 654 - 685</t>
        </is>
      </c>
      <c r="E143" t="inlineStr">
        <is>
          <t>Broker</t>
        </is>
      </c>
      <c r="G143" t="n">
        <v>531</v>
      </c>
      <c r="H143" t="n">
        <v>-2.558125122195801</v>
      </c>
      <c r="J143" t="n">
        <v>19</v>
      </c>
      <c r="K143">
        <f>'_pockets'!$AI$77</f>
        <v/>
      </c>
      <c r="L143">
        <f>'_pockets'!$AJ$77</f>
        <v/>
      </c>
      <c r="M143">
        <f>IF(AND($A143='Pockets'!$D$17,$B143='Pockets'!$C$17,OR('Pockets'!$E$17="All",AND('Pockets'!$E$17="Worse and material",$K143="Yes",$L143="Yes"),AND('Pockets'!$E$17="Worse or not sure",OR($K143="Yes",$K143="Not sure")))),1,0)</f>
        <v/>
      </c>
      <c r="N143">
        <f>$N142+$M143</f>
        <v/>
      </c>
      <c r="O143" t="inlineStr">
        <is>
          <t>grids</t>
        </is>
      </c>
      <c r="P143" t="inlineStr">
        <is>
          <t>ranr_rate</t>
        </is>
      </c>
    </row>
    <row r="144">
      <c r="A144" t="inlineStr">
        <is>
          <t>Two-way</t>
        </is>
      </c>
      <c r="B144" t="inlineStr">
        <is>
          <t>Kept after losses</t>
        </is>
      </c>
      <c r="C144" t="n">
        <v>127</v>
      </c>
      <c r="D144" t="inlineStr">
        <is>
          <t>FICO 712 - 745</t>
        </is>
      </c>
      <c r="E144" t="inlineStr">
        <is>
          <t>ASSET_CLASS 4</t>
        </is>
      </c>
      <c r="G144" t="n">
        <v>427</v>
      </c>
      <c r="H144" t="n">
        <v>-2.833035116263248</v>
      </c>
      <c r="J144" t="n">
        <v>20</v>
      </c>
      <c r="K144">
        <f>'_pockets'!$AI$127</f>
        <v/>
      </c>
      <c r="L144">
        <f>'_pockets'!$AJ$127</f>
        <v/>
      </c>
      <c r="M144">
        <f>IF(AND($A144='Pockets'!$D$17,$B144='Pockets'!$C$17,OR('Pockets'!$E$17="All",AND('Pockets'!$E$17="Worse and material",$K144="Yes",$L144="Yes"),AND('Pockets'!$E$17="Worse or not sure",OR($K144="Yes",$K144="Not sure")))),1,0)</f>
        <v/>
      </c>
      <c r="N144">
        <f>$N143+$M144</f>
        <v/>
      </c>
      <c r="O144" t="inlineStr">
        <is>
          <t>grids</t>
        </is>
      </c>
      <c r="P144" t="inlineStr">
        <is>
          <t>ranr_rate</t>
        </is>
      </c>
    </row>
    <row r="145">
      <c r="A145" t="inlineStr">
        <is>
          <t>Two-way</t>
        </is>
      </c>
      <c r="B145" t="inlineStr">
        <is>
          <t>Kept after losses</t>
        </is>
      </c>
      <c r="C145" t="n">
        <v>132</v>
      </c>
      <c r="D145" t="inlineStr">
        <is>
          <t>FICO 746 - 921</t>
        </is>
      </c>
      <c r="E145" t="inlineStr">
        <is>
          <t>ASSET_CLASS 2</t>
        </is>
      </c>
      <c r="G145" t="n">
        <v>399</v>
      </c>
      <c r="H145" t="n">
        <v>-2.925350806685462</v>
      </c>
      <c r="J145" t="n">
        <v>21</v>
      </c>
      <c r="K145">
        <f>'_pockets'!$AI$132</f>
        <v/>
      </c>
      <c r="L145">
        <f>'_pockets'!$AJ$132</f>
        <v/>
      </c>
      <c r="M145">
        <f>IF(AND($A145='Pockets'!$D$17,$B145='Pockets'!$C$17,OR('Pockets'!$E$17="All",AND('Pockets'!$E$17="Worse and material",$K145="Yes",$L145="Yes"),AND('Pockets'!$E$17="Worse or not sure",OR($K145="Yes",$K145="Not sure")))),1,0)</f>
        <v/>
      </c>
      <c r="N145">
        <f>$N144+$M145</f>
        <v/>
      </c>
      <c r="O145" t="inlineStr">
        <is>
          <t>grids</t>
        </is>
      </c>
      <c r="P145" t="inlineStr">
        <is>
          <t>ranr_rate</t>
        </is>
      </c>
    </row>
    <row r="146">
      <c r="A146" t="inlineStr">
        <is>
          <t>Two-way</t>
        </is>
      </c>
      <c r="B146" t="inlineStr">
        <is>
          <t>Kept after losses</t>
        </is>
      </c>
      <c r="C146" t="n">
        <v>62</v>
      </c>
      <c r="D146" t="inlineStr">
        <is>
          <t>FICO 712 - 745</t>
        </is>
      </c>
      <c r="E146" t="inlineStr">
        <is>
          <t>Broker</t>
        </is>
      </c>
      <c r="G146" t="n">
        <v>509</v>
      </c>
      <c r="H146" t="n">
        <v>-2.608983892862613</v>
      </c>
      <c r="J146" t="n">
        <v>22</v>
      </c>
      <c r="K146">
        <f>'_pockets'!$AI$62</f>
        <v/>
      </c>
      <c r="L146">
        <f>'_pockets'!$AJ$62</f>
        <v/>
      </c>
      <c r="M146">
        <f>IF(AND($A146='Pockets'!$D$17,$B146='Pockets'!$C$17,OR('Pockets'!$E$17="All",AND('Pockets'!$E$17="Worse and material",$K146="Yes",$L146="Yes"),AND('Pockets'!$E$17="Worse or not sure",OR($K146="Yes",$K146="Not sure")))),1,0)</f>
        <v/>
      </c>
      <c r="N146">
        <f>$N145+$M146</f>
        <v/>
      </c>
      <c r="O146" t="inlineStr">
        <is>
          <t>grids</t>
        </is>
      </c>
      <c r="P146" t="inlineStr">
        <is>
          <t>ranr_rate</t>
        </is>
      </c>
    </row>
    <row r="147">
      <c r="A147" t="inlineStr">
        <is>
          <t>Two-way</t>
        </is>
      </c>
      <c r="B147" t="inlineStr">
        <is>
          <t>Kept after losses</t>
        </is>
      </c>
      <c r="C147" t="n">
        <v>347</v>
      </c>
      <c r="D147" t="inlineStr">
        <is>
          <t>ORIG_BAL 15,449 - 26,323</t>
        </is>
      </c>
      <c r="E147" t="inlineStr">
        <is>
          <t>ASSET_CLASS 4</t>
        </is>
      </c>
      <c r="G147" t="n">
        <v>413</v>
      </c>
      <c r="H147" t="n">
        <v>-2.877993129974437</v>
      </c>
      <c r="J147" t="n">
        <v>23</v>
      </c>
      <c r="K147">
        <f>'_pockets'!$AI$347</f>
        <v/>
      </c>
      <c r="L147">
        <f>'_pockets'!$AJ$347</f>
        <v/>
      </c>
      <c r="M147">
        <f>IF(AND($A147='Pockets'!$D$17,$B147='Pockets'!$C$17,OR('Pockets'!$E$17="All",AND('Pockets'!$E$17="Worse and material",$K147="Yes",$L147="Yes"),AND('Pockets'!$E$17="Worse or not sure",OR($K147="Yes",$K147="Not sure")))),1,0)</f>
        <v/>
      </c>
      <c r="N147">
        <f>$N146+$M147</f>
        <v/>
      </c>
      <c r="O147" t="inlineStr">
        <is>
          <t>grids</t>
        </is>
      </c>
      <c r="P147" t="inlineStr">
        <is>
          <t>ranr_rate</t>
        </is>
      </c>
    </row>
    <row r="148">
      <c r="A148" t="inlineStr">
        <is>
          <t>Two-way</t>
        </is>
      </c>
      <c r="B148" t="inlineStr">
        <is>
          <t>Kept after losses</t>
        </is>
      </c>
      <c r="C148" t="n">
        <v>402</v>
      </c>
      <c r="D148" t="inlineStr">
        <is>
          <t>ORIG_BAL 15,449 - 26,323</t>
        </is>
      </c>
      <c r="E148" t="inlineStr">
        <is>
          <t>ASSET_CLASS 3</t>
        </is>
      </c>
      <c r="G148" t="n">
        <v>427</v>
      </c>
      <c r="H148" t="n">
        <v>-2.833035116263248</v>
      </c>
      <c r="J148" t="n">
        <v>24</v>
      </c>
      <c r="K148">
        <f>'_pockets'!$AI$402</f>
        <v/>
      </c>
      <c r="L148">
        <f>'_pockets'!$AJ$402</f>
        <v/>
      </c>
      <c r="M148">
        <f>IF(AND($A148='Pockets'!$D$17,$B148='Pockets'!$C$17,OR('Pockets'!$E$17="All",AND('Pockets'!$E$17="Worse and material",$K148="Yes",$L148="Yes"),AND('Pockets'!$E$17="Worse or not sure",OR($K148="Yes",$K148="Not sure")))),1,0)</f>
        <v/>
      </c>
      <c r="N148">
        <f>$N147+$M148</f>
        <v/>
      </c>
      <c r="O148" t="inlineStr">
        <is>
          <t>grids</t>
        </is>
      </c>
      <c r="P148" t="inlineStr">
        <is>
          <t>ranr_rate</t>
        </is>
      </c>
    </row>
    <row r="149">
      <c r="A149" t="inlineStr">
        <is>
          <t>Two-way</t>
        </is>
      </c>
      <c r="B149" t="inlineStr">
        <is>
          <t>Kept after losses</t>
        </is>
      </c>
      <c r="C149" t="n">
        <v>392</v>
      </c>
      <c r="D149" t="inlineStr">
        <is>
          <t>ORIG_BAL 49,152 - 59,984</t>
        </is>
      </c>
      <c r="E149" t="inlineStr">
        <is>
          <t>ASSET_CLASS 2</t>
        </is>
      </c>
      <c r="G149" t="n">
        <v>398</v>
      </c>
      <c r="H149" t="n">
        <v>-2.928830885046813</v>
      </c>
      <c r="J149" t="n">
        <v>25</v>
      </c>
      <c r="K149">
        <f>'_pockets'!$AI$392</f>
        <v/>
      </c>
      <c r="L149">
        <f>'_pockets'!$AJ$392</f>
        <v/>
      </c>
      <c r="M149">
        <f>IF(AND($A149='Pockets'!$D$17,$B149='Pockets'!$C$17,OR('Pockets'!$E$17="All",AND('Pockets'!$E$17="Worse and material",$K149="Yes",$L149="Yes"),AND('Pockets'!$E$17="Worse or not sure",OR($K149="Yes",$K149="Not sure")))),1,0)</f>
        <v/>
      </c>
      <c r="N149">
        <f>$N148+$M149</f>
        <v/>
      </c>
      <c r="O149" t="inlineStr">
        <is>
          <t>grids</t>
        </is>
      </c>
      <c r="P149" t="inlineStr">
        <is>
          <t>ranr_rate</t>
        </is>
      </c>
    </row>
    <row r="150">
      <c r="A150" t="inlineStr">
        <is>
          <t>Two-way</t>
        </is>
      </c>
      <c r="B150" t="inlineStr">
        <is>
          <t>Kept after losses</t>
        </is>
      </c>
      <c r="C150" t="n">
        <v>97</v>
      </c>
      <c r="D150" t="inlineStr">
        <is>
          <t>FICO (marked missing)</t>
        </is>
      </c>
      <c r="E150" t="inlineStr">
        <is>
          <t>Broker</t>
        </is>
      </c>
      <c r="G150" t="n">
        <v>54</v>
      </c>
      <c r="H150" t="n">
        <v>-7.77727341693524</v>
      </c>
      <c r="J150" t="n">
        <v>26</v>
      </c>
      <c r="K150">
        <f>'_pockets'!$AI$97</f>
        <v/>
      </c>
      <c r="L150">
        <f>'_pockets'!$AJ$97</f>
        <v/>
      </c>
      <c r="M150">
        <f>IF(AND($A150='Pockets'!$D$17,$B150='Pockets'!$C$17,OR('Pockets'!$E$17="All",AND('Pockets'!$E$17="Worse and material",$K150="Yes",$L150="Yes"),AND('Pockets'!$E$17="Worse or not sure",OR($K150="Yes",$K150="Not sure")))),1,0)</f>
        <v/>
      </c>
      <c r="N150">
        <f>$N149+$M150</f>
        <v/>
      </c>
      <c r="O150" t="inlineStr">
        <is>
          <t>grids</t>
        </is>
      </c>
      <c r="P150" t="inlineStr">
        <is>
          <t>ranr_rate</t>
        </is>
      </c>
    </row>
    <row r="151">
      <c r="A151" t="inlineStr">
        <is>
          <t>Two-way</t>
        </is>
      </c>
      <c r="B151" t="inlineStr">
        <is>
          <t>Kept after losses</t>
        </is>
      </c>
      <c r="C151" t="n">
        <v>222</v>
      </c>
      <c r="D151" t="inlineStr">
        <is>
          <t>FICO (marked missing)</t>
        </is>
      </c>
      <c r="E151" t="inlineStr">
        <is>
          <t>ASSET_CLASS 2</t>
        </is>
      </c>
      <c r="G151" t="n">
        <v>36</v>
      </c>
      <c r="H151" t="n">
        <v>-9.514404026460207</v>
      </c>
      <c r="J151" t="n">
        <v>27</v>
      </c>
      <c r="K151">
        <f>'_pockets'!$AI$222</f>
        <v/>
      </c>
      <c r="L151">
        <f>'_pockets'!$AJ$222</f>
        <v/>
      </c>
      <c r="M151">
        <f>IF(AND($A151='Pockets'!$D$17,$B151='Pockets'!$C$17,OR('Pockets'!$E$17="All",AND('Pockets'!$E$17="Worse and material",$K151="Yes",$L151="Yes"),AND('Pockets'!$E$17="Worse or not sure",OR($K151="Yes",$K151="Not sure")))),1,0)</f>
        <v/>
      </c>
      <c r="N151">
        <f>$N150+$M151</f>
        <v/>
      </c>
      <c r="O151" t="inlineStr">
        <is>
          <t>grids</t>
        </is>
      </c>
      <c r="P151" t="inlineStr">
        <is>
          <t>ranr_rate</t>
        </is>
      </c>
    </row>
    <row r="152">
      <c r="A152" t="inlineStr">
        <is>
          <t>Two-way</t>
        </is>
      </c>
      <c r="B152" t="inlineStr">
        <is>
          <t>Kept after losses</t>
        </is>
      </c>
      <c r="C152" t="n">
        <v>182</v>
      </c>
      <c r="D152" t="inlineStr">
        <is>
          <t>FICO 654 - 685</t>
        </is>
      </c>
      <c r="E152" t="inlineStr">
        <is>
          <t>ASSET_CLASS 3</t>
        </is>
      </c>
      <c r="G152" t="n">
        <v>377</v>
      </c>
      <c r="H152" t="n">
        <v>-3.005149281758492</v>
      </c>
      <c r="J152" t="n">
        <v>28</v>
      </c>
      <c r="K152">
        <f>'_pockets'!$AI$182</f>
        <v/>
      </c>
      <c r="L152">
        <f>'_pockets'!$AJ$182</f>
        <v/>
      </c>
      <c r="M152">
        <f>IF(AND($A152='Pockets'!$D$17,$B152='Pockets'!$C$17,OR('Pockets'!$E$17="All",AND('Pockets'!$E$17="Worse and material",$K152="Yes",$L152="Yes"),AND('Pockets'!$E$17="Worse or not sure",OR($K152="Yes",$K152="Not sure")))),1,0)</f>
        <v/>
      </c>
      <c r="N152">
        <f>$N151+$M152</f>
        <v/>
      </c>
      <c r="O152" t="inlineStr">
        <is>
          <t>grids</t>
        </is>
      </c>
      <c r="P152" t="inlineStr">
        <is>
          <t>ranr_rate</t>
        </is>
      </c>
    </row>
    <row r="153">
      <c r="A153" t="inlineStr">
        <is>
          <t>Two-way</t>
        </is>
      </c>
      <c r="B153" t="inlineStr">
        <is>
          <t>Kept after losses</t>
        </is>
      </c>
      <c r="C153" t="n">
        <v>27</v>
      </c>
      <c r="D153" t="inlineStr">
        <is>
          <t>FICO 746 - 921</t>
        </is>
      </c>
      <c r="E153" t="inlineStr">
        <is>
          <t>Branch</t>
        </is>
      </c>
      <c r="G153" t="n">
        <v>518</v>
      </c>
      <c r="H153" t="n">
        <v>-2.587774867455973</v>
      </c>
      <c r="J153" t="n">
        <v>29</v>
      </c>
      <c r="K153">
        <f>'_pockets'!$AI$27</f>
        <v/>
      </c>
      <c r="L153">
        <f>'_pockets'!$AJ$27</f>
        <v/>
      </c>
      <c r="M153">
        <f>IF(AND($A153='Pockets'!$D$17,$B153='Pockets'!$C$17,OR('Pockets'!$E$17="All",AND('Pockets'!$E$17="Worse and material",$K153="Yes",$L153="Yes"),AND('Pockets'!$E$17="Worse or not sure",OR($K153="Yes",$K153="Not sure")))),1,0)</f>
        <v/>
      </c>
      <c r="N153">
        <f>$N152+$M153</f>
        <v/>
      </c>
      <c r="O153" t="inlineStr">
        <is>
          <t>grids</t>
        </is>
      </c>
      <c r="P153" t="inlineStr">
        <is>
          <t>ranr_rate</t>
        </is>
      </c>
    </row>
    <row r="154">
      <c r="A154" t="inlineStr">
        <is>
          <t>Two-way</t>
        </is>
      </c>
      <c r="B154" t="inlineStr">
        <is>
          <t>Kept after losses</t>
        </is>
      </c>
      <c r="C154" t="n">
        <v>352</v>
      </c>
      <c r="D154" t="inlineStr">
        <is>
          <t>ORIG_BAL 5,005 - 15,448</t>
        </is>
      </c>
      <c r="E154" t="inlineStr">
        <is>
          <t>ASSET_CLASS 4</t>
        </is>
      </c>
      <c r="G154" t="n">
        <v>425</v>
      </c>
      <c r="H154" t="n">
        <v>-2.839318306082282</v>
      </c>
      <c r="J154" t="n">
        <v>30</v>
      </c>
      <c r="K154">
        <f>'_pockets'!$AI$352</f>
        <v/>
      </c>
      <c r="L154">
        <f>'_pockets'!$AJ$352</f>
        <v/>
      </c>
      <c r="M154">
        <f>IF(AND($A154='Pockets'!$D$17,$B154='Pockets'!$C$17,OR('Pockets'!$E$17="All",AND('Pockets'!$E$17="Worse and material",$K154="Yes",$L154="Yes"),AND('Pockets'!$E$17="Worse or not sure",OR($K154="Yes",$K154="Not sure")))),1,0)</f>
        <v/>
      </c>
      <c r="N154">
        <f>$N153+$M154</f>
        <v/>
      </c>
      <c r="O154" t="inlineStr">
        <is>
          <t>grids</t>
        </is>
      </c>
      <c r="P154" t="inlineStr">
        <is>
          <t>ranr_rate</t>
        </is>
      </c>
    </row>
    <row r="155">
      <c r="A155" t="inlineStr">
        <is>
          <t>Two-way</t>
        </is>
      </c>
      <c r="B155" t="inlineStr">
        <is>
          <t>Kept after losses</t>
        </is>
      </c>
      <c r="C155" t="n">
        <v>272</v>
      </c>
      <c r="D155" t="inlineStr">
        <is>
          <t>ORIG_BAL 5,005 - 15,448</t>
        </is>
      </c>
      <c r="E155" t="inlineStr">
        <is>
          <t>Branch</t>
        </is>
      </c>
      <c r="G155" t="n">
        <v>542</v>
      </c>
      <c r="H155" t="n">
        <v>-2.533900067582121</v>
      </c>
      <c r="J155" t="n">
        <v>31</v>
      </c>
      <c r="K155">
        <f>'_pockets'!$AI$272</f>
        <v/>
      </c>
      <c r="L155">
        <f>'_pockets'!$AJ$272</f>
        <v/>
      </c>
      <c r="M155">
        <f>IF(AND($A155='Pockets'!$D$17,$B155='Pockets'!$C$17,OR('Pockets'!$E$17="All",AND('Pockets'!$E$17="Worse and material",$K155="Yes",$L155="Yes"),AND('Pockets'!$E$17="Worse or not sure",OR($K155="Yes",$K155="Not sure")))),1,0)</f>
        <v/>
      </c>
      <c r="N155">
        <f>$N154+$M155</f>
        <v/>
      </c>
      <c r="O155" t="inlineStr">
        <is>
          <t>grids</t>
        </is>
      </c>
      <c r="P155" t="inlineStr">
        <is>
          <t>ranr_rate</t>
        </is>
      </c>
    </row>
    <row r="156">
      <c r="A156" t="inlineStr">
        <is>
          <t>Two-way</t>
        </is>
      </c>
      <c r="B156" t="inlineStr">
        <is>
          <t>Kept after losses</t>
        </is>
      </c>
      <c r="C156" t="n">
        <v>142</v>
      </c>
      <c r="D156" t="inlineStr">
        <is>
          <t>FICO 686 - 711</t>
        </is>
      </c>
      <c r="E156" t="inlineStr">
        <is>
          <t>ASSET_CLASS 1</t>
        </is>
      </c>
      <c r="G156" t="n">
        <v>372</v>
      </c>
      <c r="H156" t="n">
        <v>-3.02428597036371</v>
      </c>
      <c r="J156" t="n">
        <v>32</v>
      </c>
      <c r="K156">
        <f>'_pockets'!$AI$142</f>
        <v/>
      </c>
      <c r="L156">
        <f>'_pockets'!$AJ$142</f>
        <v/>
      </c>
      <c r="M156">
        <f>IF(AND($A156='Pockets'!$D$17,$B156='Pockets'!$C$17,OR('Pockets'!$E$17="All",AND('Pockets'!$E$17="Worse and material",$K156="Yes",$L156="Yes"),AND('Pockets'!$E$17="Worse or not sure",OR($K156="Yes",$K156="Not sure")))),1,0)</f>
        <v/>
      </c>
      <c r="N156">
        <f>$N155+$M156</f>
        <v/>
      </c>
      <c r="O156" t="inlineStr">
        <is>
          <t>grids</t>
        </is>
      </c>
      <c r="P156" t="inlineStr">
        <is>
          <t>ranr_rate</t>
        </is>
      </c>
    </row>
    <row r="157">
      <c r="A157" t="inlineStr">
        <is>
          <t>Two-way</t>
        </is>
      </c>
      <c r="B157" t="inlineStr">
        <is>
          <t>Kept after losses</t>
        </is>
      </c>
      <c r="C157" t="n">
        <v>357</v>
      </c>
      <c r="D157" t="inlineStr">
        <is>
          <t>ORIG_BAL 5,005 - 15,448</t>
        </is>
      </c>
      <c r="E157" t="inlineStr">
        <is>
          <t>ASSET_CLASS 2</t>
        </is>
      </c>
      <c r="G157" t="n">
        <v>404</v>
      </c>
      <c r="H157" t="n">
        <v>-2.908148814360132</v>
      </c>
      <c r="J157" t="n">
        <v>33</v>
      </c>
      <c r="K157">
        <f>'_pockets'!$AI$357</f>
        <v/>
      </c>
      <c r="L157">
        <f>'_pockets'!$AJ$357</f>
        <v/>
      </c>
      <c r="M157">
        <f>IF(AND($A157='Pockets'!$D$17,$B157='Pockets'!$C$17,OR('Pockets'!$E$17="All",AND('Pockets'!$E$17="Worse and material",$K157="Yes",$L157="Yes"),AND('Pockets'!$E$17="Worse or not sure",OR($K157="Yes",$K157="Not sure")))),1,0)</f>
        <v/>
      </c>
      <c r="N157">
        <f>$N156+$M157</f>
        <v/>
      </c>
      <c r="O157" t="inlineStr">
        <is>
          <t>grids</t>
        </is>
      </c>
      <c r="P157" t="inlineStr">
        <is>
          <t>ranr_rate</t>
        </is>
      </c>
    </row>
    <row r="158">
      <c r="A158" t="inlineStr">
        <is>
          <t>Two-way</t>
        </is>
      </c>
      <c r="B158" t="inlineStr">
        <is>
          <t>Kept after losses</t>
        </is>
      </c>
      <c r="C158" t="n">
        <v>117</v>
      </c>
      <c r="D158" t="inlineStr">
        <is>
          <t>FICO 712 - 745</t>
        </is>
      </c>
      <c r="E158" t="inlineStr">
        <is>
          <t>ASSET_CLASS 2</t>
        </is>
      </c>
      <c r="G158" t="n">
        <v>430</v>
      </c>
      <c r="H158" t="n">
        <v>-2.823694562384432</v>
      </c>
      <c r="J158" t="n">
        <v>34</v>
      </c>
      <c r="K158">
        <f>'_pockets'!$AI$117</f>
        <v/>
      </c>
      <c r="L158">
        <f>'_pockets'!$AJ$117</f>
        <v/>
      </c>
      <c r="M158">
        <f>IF(AND($A158='Pockets'!$D$17,$B158='Pockets'!$C$17,OR('Pockets'!$E$17="All",AND('Pockets'!$E$17="Worse and material",$K158="Yes",$L158="Yes"),AND('Pockets'!$E$17="Worse or not sure",OR($K158="Yes",$K158="Not sure")))),1,0)</f>
        <v/>
      </c>
      <c r="N158">
        <f>$N157+$M158</f>
        <v/>
      </c>
      <c r="O158" t="inlineStr">
        <is>
          <t>grids</t>
        </is>
      </c>
      <c r="P158" t="inlineStr">
        <is>
          <t>ranr_rate</t>
        </is>
      </c>
    </row>
    <row r="159">
      <c r="A159" t="inlineStr">
        <is>
          <t>Two-way</t>
        </is>
      </c>
      <c r="B159" t="inlineStr">
        <is>
          <t>Kept after losses</t>
        </is>
      </c>
      <c r="C159" t="n">
        <v>267</v>
      </c>
      <c r="D159" t="inlineStr">
        <is>
          <t>ORIG_BAL 5,005 - 15,448</t>
        </is>
      </c>
      <c r="E159" t="inlineStr">
        <is>
          <t>Broker</t>
        </is>
      </c>
      <c r="G159" t="n">
        <v>514</v>
      </c>
      <c r="H159" t="n">
        <v>-2.597130282159654</v>
      </c>
      <c r="J159" t="n">
        <v>35</v>
      </c>
      <c r="K159">
        <f>'_pockets'!$AI$267</f>
        <v/>
      </c>
      <c r="L159">
        <f>'_pockets'!$AJ$267</f>
        <v/>
      </c>
      <c r="M159">
        <f>IF(AND($A159='Pockets'!$D$17,$B159='Pockets'!$C$17,OR('Pockets'!$E$17="All",AND('Pockets'!$E$17="Worse and material",$K159="Yes",$L159="Yes"),AND('Pockets'!$E$17="Worse or not sure",OR($K159="Yes",$K159="Not sure")))),1,0)</f>
        <v/>
      </c>
      <c r="N159">
        <f>$N158+$M159</f>
        <v/>
      </c>
      <c r="O159" t="inlineStr">
        <is>
          <t>grids</t>
        </is>
      </c>
      <c r="P159" t="inlineStr">
        <is>
          <t>ranr_rate</t>
        </is>
      </c>
    </row>
    <row r="160">
      <c r="A160" t="inlineStr">
        <is>
          <t>Two-way</t>
        </is>
      </c>
      <c r="B160" t="inlineStr">
        <is>
          <t>Kept after losses</t>
        </is>
      </c>
      <c r="C160" t="n">
        <v>92</v>
      </c>
      <c r="D160" t="inlineStr">
        <is>
          <t>FICO (marked missing)</t>
        </is>
      </c>
      <c r="E160" t="inlineStr">
        <is>
          <t>Branch</t>
        </is>
      </c>
      <c r="G160" t="n">
        <v>51</v>
      </c>
      <c r="H160" t="n">
        <v>-8.001237848606335</v>
      </c>
      <c r="J160" t="n">
        <v>36</v>
      </c>
      <c r="K160">
        <f>'_pockets'!$AI$92</f>
        <v/>
      </c>
      <c r="L160">
        <f>'_pockets'!$AJ$92</f>
        <v/>
      </c>
      <c r="M160">
        <f>IF(AND($A160='Pockets'!$D$17,$B160='Pockets'!$C$17,OR('Pockets'!$E$17="All",AND('Pockets'!$E$17="Worse and material",$K160="Yes",$L160="Yes"),AND('Pockets'!$E$17="Worse or not sure",OR($K160="Yes",$K160="Not sure")))),1,0)</f>
        <v/>
      </c>
      <c r="N160">
        <f>$N159+$M160</f>
        <v/>
      </c>
      <c r="O160" t="inlineStr">
        <is>
          <t>grids</t>
        </is>
      </c>
      <c r="P160" t="inlineStr">
        <is>
          <t>ranr_rate</t>
        </is>
      </c>
    </row>
    <row r="161">
      <c r="A161" t="inlineStr">
        <is>
          <t>Two-way</t>
        </is>
      </c>
      <c r="B161" t="inlineStr">
        <is>
          <t>Kept after losses</t>
        </is>
      </c>
      <c r="C161" t="n">
        <v>372</v>
      </c>
      <c r="D161" t="inlineStr">
        <is>
          <t>ORIG_BAL 5,005 - 15,448</t>
        </is>
      </c>
      <c r="E161" t="inlineStr">
        <is>
          <t>ASSET_CLASS 3</t>
        </is>
      </c>
      <c r="G161" t="n">
        <v>354</v>
      </c>
      <c r="H161" t="n">
        <v>-3.096569430004628</v>
      </c>
      <c r="J161" t="n">
        <v>37</v>
      </c>
      <c r="K161">
        <f>'_pockets'!$AI$372</f>
        <v/>
      </c>
      <c r="L161">
        <f>'_pockets'!$AJ$372</f>
        <v/>
      </c>
      <c r="M161">
        <f>IF(AND($A161='Pockets'!$D$17,$B161='Pockets'!$C$17,OR('Pockets'!$E$17="All",AND('Pockets'!$E$17="Worse and material",$K161="Yes",$L161="Yes"),AND('Pockets'!$E$17="Worse or not sure",OR($K161="Yes",$K161="Not sure")))),1,0)</f>
        <v/>
      </c>
      <c r="N161">
        <f>$N160+$M161</f>
        <v/>
      </c>
      <c r="O161" t="inlineStr">
        <is>
          <t>grids</t>
        </is>
      </c>
      <c r="P161" t="inlineStr">
        <is>
          <t>ranr_rate</t>
        </is>
      </c>
    </row>
    <row r="162">
      <c r="A162" t="inlineStr">
        <is>
          <t>Two-way</t>
        </is>
      </c>
      <c r="B162" t="inlineStr">
        <is>
          <t>Kept after losses</t>
        </is>
      </c>
      <c r="C162" t="n">
        <v>52</v>
      </c>
      <c r="D162" t="inlineStr">
        <is>
          <t>FICO 746 - 921</t>
        </is>
      </c>
      <c r="E162" t="inlineStr">
        <is>
          <t>Online</t>
        </is>
      </c>
      <c r="G162" t="n">
        <v>517</v>
      </c>
      <c r="H162" t="n">
        <v>-2.590103235738988</v>
      </c>
      <c r="J162" t="n">
        <v>38</v>
      </c>
      <c r="K162">
        <f>'_pockets'!$AI$52</f>
        <v/>
      </c>
      <c r="L162">
        <f>'_pockets'!$AJ$52</f>
        <v/>
      </c>
      <c r="M162">
        <f>IF(AND($A162='Pockets'!$D$17,$B162='Pockets'!$C$17,OR('Pockets'!$E$17="All",AND('Pockets'!$E$17="Worse and material",$K162="Yes",$L162="Yes"),AND('Pockets'!$E$17="Worse or not sure",OR($K162="Yes",$K162="Not sure")))),1,0)</f>
        <v/>
      </c>
      <c r="N162">
        <f>$N161+$M162</f>
        <v/>
      </c>
      <c r="O162" t="inlineStr">
        <is>
          <t>grids</t>
        </is>
      </c>
      <c r="P162" t="inlineStr">
        <is>
          <t>ranr_rate</t>
        </is>
      </c>
    </row>
    <row r="163">
      <c r="A163" t="inlineStr">
        <is>
          <t>Two-way</t>
        </is>
      </c>
      <c r="B163" t="inlineStr">
        <is>
          <t>Kept after losses</t>
        </is>
      </c>
      <c r="C163" t="n">
        <v>202</v>
      </c>
      <c r="D163" t="inlineStr">
        <is>
          <t>FICO (marked missing)</t>
        </is>
      </c>
      <c r="E163" t="inlineStr">
        <is>
          <t>ASSET_CLASS 3</t>
        </is>
      </c>
      <c r="G163" t="n">
        <v>43</v>
      </c>
      <c r="H163" t="n">
        <v>-8.70942699043948</v>
      </c>
      <c r="J163" t="n">
        <v>39</v>
      </c>
      <c r="K163">
        <f>'_pockets'!$AI$202</f>
        <v/>
      </c>
      <c r="L163">
        <f>'_pockets'!$AJ$202</f>
        <v/>
      </c>
      <c r="M163">
        <f>IF(AND($A163='Pockets'!$D$17,$B163='Pockets'!$C$17,OR('Pockets'!$E$17="All",AND('Pockets'!$E$17="Worse and material",$K163="Yes",$L163="Yes"),AND('Pockets'!$E$17="Worse or not sure",OR($K163="Yes",$K163="Not sure")))),1,0)</f>
        <v/>
      </c>
      <c r="N163">
        <f>$N162+$M163</f>
        <v/>
      </c>
      <c r="O163" t="inlineStr">
        <is>
          <t>grids</t>
        </is>
      </c>
      <c r="P163" t="inlineStr">
        <is>
          <t>ranr_rate</t>
        </is>
      </c>
    </row>
    <row r="164">
      <c r="A164" t="inlineStr">
        <is>
          <t>Two-way</t>
        </is>
      </c>
      <c r="B164" t="inlineStr">
        <is>
          <t>Kept after losses</t>
        </is>
      </c>
      <c r="C164" t="n">
        <v>47</v>
      </c>
      <c r="D164" t="inlineStr">
        <is>
          <t>FICO 746 - 921</t>
        </is>
      </c>
      <c r="E164" t="inlineStr">
        <is>
          <t>Broker</t>
        </is>
      </c>
      <c r="G164" t="n">
        <v>536</v>
      </c>
      <c r="H164" t="n">
        <v>-2.54701839930311</v>
      </c>
      <c r="J164" t="n">
        <v>40</v>
      </c>
      <c r="K164">
        <f>'_pockets'!$AI$47</f>
        <v/>
      </c>
      <c r="L164">
        <f>'_pockets'!$AJ$47</f>
        <v/>
      </c>
      <c r="M164">
        <f>IF(AND($A164='Pockets'!$D$17,$B164='Pockets'!$C$17,OR('Pockets'!$E$17="All",AND('Pockets'!$E$17="Worse and material",$K164="Yes",$L164="Yes"),AND('Pockets'!$E$17="Worse or not sure",OR($K164="Yes",$K164="Not sure")))),1,0)</f>
        <v/>
      </c>
      <c r="N164">
        <f>$N163+$M164</f>
        <v/>
      </c>
      <c r="O164" t="inlineStr">
        <is>
          <t>grids</t>
        </is>
      </c>
      <c r="P164" t="inlineStr">
        <is>
          <t>ranr_rate</t>
        </is>
      </c>
    </row>
    <row r="165">
      <c r="A165" t="inlineStr">
        <is>
          <t>Two-way</t>
        </is>
      </c>
      <c r="B165" t="inlineStr">
        <is>
          <t>Kept after losses</t>
        </is>
      </c>
      <c r="C165" t="n">
        <v>147</v>
      </c>
      <c r="D165" t="inlineStr">
        <is>
          <t>FICO 746 - 921</t>
        </is>
      </c>
      <c r="E165" t="inlineStr">
        <is>
          <t>ASSET_CLASS 1</t>
        </is>
      </c>
      <c r="G165" t="n">
        <v>414</v>
      </c>
      <c r="H165" t="n">
        <v>-2.874704671970373</v>
      </c>
      <c r="J165" t="n">
        <v>41</v>
      </c>
      <c r="K165">
        <f>'_pockets'!$AI$147</f>
        <v/>
      </c>
      <c r="L165">
        <f>'_pockets'!$AJ$147</f>
        <v/>
      </c>
      <c r="M165">
        <f>IF(AND($A165='Pockets'!$D$17,$B165='Pockets'!$C$17,OR('Pockets'!$E$17="All",AND('Pockets'!$E$17="Worse and material",$K165="Yes",$L165="Yes"),AND('Pockets'!$E$17="Worse or not sure",OR($K165="Yes",$K165="Not sure")))),1,0)</f>
        <v/>
      </c>
      <c r="N165">
        <f>$N164+$M165</f>
        <v/>
      </c>
      <c r="O165" t="inlineStr">
        <is>
          <t>grids</t>
        </is>
      </c>
      <c r="P165" t="inlineStr">
        <is>
          <t>ranr_rate</t>
        </is>
      </c>
    </row>
    <row r="166">
      <c r="A166" t="inlineStr">
        <is>
          <t>Two-way</t>
        </is>
      </c>
      <c r="B166" t="inlineStr">
        <is>
          <t>Kept after losses</t>
        </is>
      </c>
      <c r="C166" t="n">
        <v>187</v>
      </c>
      <c r="D166" t="inlineStr">
        <is>
          <t>FICO 746 - 921</t>
        </is>
      </c>
      <c r="E166" t="inlineStr">
        <is>
          <t>ASSET_CLASS 3</t>
        </is>
      </c>
      <c r="G166" t="n">
        <v>385</v>
      </c>
      <c r="H166" t="n">
        <v>-2.975324900744644</v>
      </c>
      <c r="J166" t="n">
        <v>42</v>
      </c>
      <c r="K166">
        <f>'_pockets'!$AI$187</f>
        <v/>
      </c>
      <c r="L166">
        <f>'_pockets'!$AJ$187</f>
        <v/>
      </c>
      <c r="M166">
        <f>IF(AND($A166='Pockets'!$D$17,$B166='Pockets'!$C$17,OR('Pockets'!$E$17="All",AND('Pockets'!$E$17="Worse and material",$K166="Yes",$L166="Yes"),AND('Pockets'!$E$17="Worse or not sure",OR($K166="Yes",$K166="Not sure")))),1,0)</f>
        <v/>
      </c>
      <c r="N166">
        <f>$N165+$M166</f>
        <v/>
      </c>
      <c r="O166" t="inlineStr">
        <is>
          <t>grids</t>
        </is>
      </c>
      <c r="P166" t="inlineStr">
        <is>
          <t>ranr_rate</t>
        </is>
      </c>
    </row>
    <row r="167">
      <c r="A167" t="inlineStr">
        <is>
          <t>Two-way</t>
        </is>
      </c>
      <c r="B167" t="inlineStr">
        <is>
          <t>Kept after losses</t>
        </is>
      </c>
      <c r="C167" t="n">
        <v>167</v>
      </c>
      <c r="D167" t="inlineStr">
        <is>
          <t>FICO 746 - 921</t>
        </is>
      </c>
      <c r="E167" t="inlineStr">
        <is>
          <t>ASSET_CLASS 4</t>
        </is>
      </c>
      <c r="G167" t="n">
        <v>373</v>
      </c>
      <c r="H167" t="n">
        <v>-3.020427262272253</v>
      </c>
      <c r="J167" t="n">
        <v>43</v>
      </c>
      <c r="K167">
        <f>'_pockets'!$AI$167</f>
        <v/>
      </c>
      <c r="L167">
        <f>'_pockets'!$AJ$167</f>
        <v/>
      </c>
      <c r="M167">
        <f>IF(AND($A167='Pockets'!$D$17,$B167='Pockets'!$C$17,OR('Pockets'!$E$17="All",AND('Pockets'!$E$17="Worse and material",$K167="Yes",$L167="Yes"),AND('Pockets'!$E$17="Worse or not sure",OR($K167="Yes",$K167="Not sure")))),1,0)</f>
        <v/>
      </c>
      <c r="N167">
        <f>$N166+$M167</f>
        <v/>
      </c>
      <c r="O167" t="inlineStr">
        <is>
          <t>grids</t>
        </is>
      </c>
      <c r="P167" t="inlineStr">
        <is>
          <t>ranr_rate</t>
        </is>
      </c>
    </row>
    <row r="168">
      <c r="A168" t="inlineStr">
        <is>
          <t>Two-way</t>
        </is>
      </c>
      <c r="B168" t="inlineStr">
        <is>
          <t>Kept after losses</t>
        </is>
      </c>
      <c r="C168" t="n">
        <v>42</v>
      </c>
      <c r="D168" t="inlineStr">
        <is>
          <t>FICO 712 - 745</t>
        </is>
      </c>
      <c r="E168" t="inlineStr">
        <is>
          <t>Online</t>
        </is>
      </c>
      <c r="G168" t="n">
        <v>564</v>
      </c>
      <c r="H168" t="n">
        <v>-2.487660781617332</v>
      </c>
      <c r="J168" t="n">
        <v>44</v>
      </c>
      <c r="K168">
        <f>'_pockets'!$AI$42</f>
        <v/>
      </c>
      <c r="L168">
        <f>'_pockets'!$AJ$42</f>
        <v/>
      </c>
      <c r="M168">
        <f>IF(AND($A168='Pockets'!$D$17,$B168='Pockets'!$C$17,OR('Pockets'!$E$17="All",AND('Pockets'!$E$17="Worse and material",$K168="Yes",$L168="Yes"),AND('Pockets'!$E$17="Worse or not sure",OR($K168="Yes",$K168="Not sure")))),1,0)</f>
        <v/>
      </c>
      <c r="N168">
        <f>$N167+$M168</f>
        <v/>
      </c>
      <c r="O168" t="inlineStr">
        <is>
          <t>grids</t>
        </is>
      </c>
      <c r="P168" t="inlineStr">
        <is>
          <t>ranr_rate</t>
        </is>
      </c>
    </row>
    <row r="169">
      <c r="A169" t="inlineStr">
        <is>
          <t>Two-way</t>
        </is>
      </c>
      <c r="B169" t="inlineStr">
        <is>
          <t>Kept after losses</t>
        </is>
      </c>
      <c r="C169" t="n">
        <v>207</v>
      </c>
      <c r="D169" t="inlineStr">
        <is>
          <t>FICO 712 - 745</t>
        </is>
      </c>
      <c r="E169" t="inlineStr">
        <is>
          <t>ASSET_CLASS 3</t>
        </is>
      </c>
      <c r="G169" t="n">
        <v>392</v>
      </c>
      <c r="H169" t="n">
        <v>-2.949996198155777</v>
      </c>
      <c r="J169" t="n">
        <v>45</v>
      </c>
      <c r="K169">
        <f>'_pockets'!$AI$207</f>
        <v/>
      </c>
      <c r="L169">
        <f>'_pockets'!$AJ$207</f>
        <v/>
      </c>
      <c r="M169">
        <f>IF(AND($A169='Pockets'!$D$17,$B169='Pockets'!$C$17,OR('Pockets'!$E$17="All",AND('Pockets'!$E$17="Worse and material",$K169="Yes",$L169="Yes"),AND('Pockets'!$E$17="Worse or not sure",OR($K169="Yes",$K169="Not sure")))),1,0)</f>
        <v/>
      </c>
      <c r="N169">
        <f>$N168+$M169</f>
        <v/>
      </c>
      <c r="O169" t="inlineStr">
        <is>
          <t>grids</t>
        </is>
      </c>
      <c r="P169" t="inlineStr">
        <is>
          <t>ranr_rate</t>
        </is>
      </c>
    </row>
    <row r="170">
      <c r="A170" t="inlineStr">
        <is>
          <t>Two-way</t>
        </is>
      </c>
      <c r="B170" t="inlineStr">
        <is>
          <t>Kept after losses</t>
        </is>
      </c>
      <c r="C170" t="n">
        <v>112</v>
      </c>
      <c r="D170" t="inlineStr">
        <is>
          <t>FICO 712 - 745</t>
        </is>
      </c>
      <c r="E170" t="inlineStr">
        <is>
          <t>ASSET_CLASS 1</t>
        </is>
      </c>
      <c r="G170" t="n">
        <v>361</v>
      </c>
      <c r="H170" t="n">
        <v>-3.067805134252851</v>
      </c>
      <c r="J170" t="n">
        <v>46</v>
      </c>
      <c r="K170">
        <f>'_pockets'!$AI$112</f>
        <v/>
      </c>
      <c r="L170">
        <f>'_pockets'!$AJ$112</f>
        <v/>
      </c>
      <c r="M170">
        <f>IF(AND($A170='Pockets'!$D$17,$B170='Pockets'!$C$17,OR('Pockets'!$E$17="All",AND('Pockets'!$E$17="Worse and material",$K170="Yes",$L170="Yes"),AND('Pockets'!$E$17="Worse or not sure",OR($K170="Yes",$K170="Not sure")))),1,0)</f>
        <v/>
      </c>
      <c r="N170">
        <f>$N169+$M170</f>
        <v/>
      </c>
      <c r="O170" t="inlineStr">
        <is>
          <t>grids</t>
        </is>
      </c>
      <c r="P170" t="inlineStr">
        <is>
          <t>ranr_rate</t>
        </is>
      </c>
    </row>
    <row r="171">
      <c r="A171" t="inlineStr">
        <is>
          <t>Two-way</t>
        </is>
      </c>
      <c r="B171" t="inlineStr">
        <is>
          <t>Kept after losses</t>
        </is>
      </c>
      <c r="C171" t="n">
        <v>297</v>
      </c>
      <c r="D171" t="inlineStr">
        <is>
          <t>ORIG_BAL 15,449 - 26,323</t>
        </is>
      </c>
      <c r="E171" t="inlineStr">
        <is>
          <t>Branch</t>
        </is>
      </c>
      <c r="G171" t="n">
        <v>525</v>
      </c>
      <c r="H171" t="n">
        <v>-2.571668583892419</v>
      </c>
      <c r="J171" t="n">
        <v>47</v>
      </c>
      <c r="K171">
        <f>'_pockets'!$AI$297</f>
        <v/>
      </c>
      <c r="L171">
        <f>'_pockets'!$AJ$297</f>
        <v/>
      </c>
      <c r="M171">
        <f>IF(AND($A171='Pockets'!$D$17,$B171='Pockets'!$C$17,OR('Pockets'!$E$17="All",AND('Pockets'!$E$17="Worse and material",$K171="Yes",$L171="Yes"),AND('Pockets'!$E$17="Worse or not sure",OR($K171="Yes",$K171="Not sure")))),1,0)</f>
        <v/>
      </c>
      <c r="N171">
        <f>$N170+$M171</f>
        <v/>
      </c>
      <c r="O171" t="inlineStr">
        <is>
          <t>grids</t>
        </is>
      </c>
      <c r="P171" t="inlineStr">
        <is>
          <t>ranr_rate</t>
        </is>
      </c>
    </row>
    <row r="172">
      <c r="A172" t="inlineStr">
        <is>
          <t>Two-way</t>
        </is>
      </c>
      <c r="B172" t="inlineStr">
        <is>
          <t>Kept after losses</t>
        </is>
      </c>
      <c r="C172" t="n">
        <v>337</v>
      </c>
      <c r="D172" t="inlineStr">
        <is>
          <t>ORIG_BAL 15,449 - 26,323</t>
        </is>
      </c>
      <c r="E172" t="inlineStr">
        <is>
          <t>ASSET_CLASS 1</t>
        </is>
      </c>
      <c r="G172" t="n">
        <v>404</v>
      </c>
      <c r="H172" t="n">
        <v>-2.908148814360132</v>
      </c>
      <c r="J172" t="n">
        <v>48</v>
      </c>
      <c r="K172">
        <f>'_pockets'!$AI$337</f>
        <v/>
      </c>
      <c r="L172">
        <f>'_pockets'!$AJ$337</f>
        <v/>
      </c>
      <c r="M172">
        <f>IF(AND($A172='Pockets'!$D$17,$B172='Pockets'!$C$17,OR('Pockets'!$E$17="All",AND('Pockets'!$E$17="Worse and material",$K172="Yes",$L172="Yes"),AND('Pockets'!$E$17="Worse or not sure",OR($K172="Yes",$K172="Not sure")))),1,0)</f>
        <v/>
      </c>
      <c r="N172">
        <f>$N171+$M172</f>
        <v/>
      </c>
      <c r="O172" t="inlineStr">
        <is>
          <t>grids</t>
        </is>
      </c>
      <c r="P172" t="inlineStr">
        <is>
          <t>ranr_rate</t>
        </is>
      </c>
    </row>
    <row r="173">
      <c r="A173" t="inlineStr">
        <is>
          <t>Two-way</t>
        </is>
      </c>
      <c r="B173" t="inlineStr">
        <is>
          <t>Earned before losses</t>
        </is>
      </c>
      <c r="C173" t="n">
        <v>238</v>
      </c>
      <c r="D173" t="inlineStr">
        <is>
          <t>ORIG_BAL 37,951 - 49,151</t>
        </is>
      </c>
      <c r="E173" t="inlineStr">
        <is>
          <t>Branch</t>
        </is>
      </c>
      <c r="G173" t="n">
        <v>525</v>
      </c>
      <c r="H173" t="n">
        <v>-1.68934286405473</v>
      </c>
      <c r="J173" t="n">
        <v>1</v>
      </c>
      <c r="K173">
        <f>'_pockets'!$AI$238</f>
        <v/>
      </c>
      <c r="L173">
        <f>'_pockets'!$AJ$238</f>
        <v/>
      </c>
      <c r="M173">
        <f>IF(AND($A173='Pockets'!$D$17,$B173='Pockets'!$C$17,OR('Pockets'!$E$17="All",AND('Pockets'!$E$17="Worse and material",$K173="Yes",$L173="Yes"),AND('Pockets'!$E$17="Worse or not sure",OR($K173="Yes",$K173="Not sure")))),1,0)</f>
        <v/>
      </c>
      <c r="N173">
        <f>$N172+$M173</f>
        <v/>
      </c>
      <c r="O173" t="inlineStr">
        <is>
          <t>grids</t>
        </is>
      </c>
      <c r="P173" t="inlineStr">
        <is>
          <t>contribution_rate</t>
        </is>
      </c>
    </row>
    <row r="174">
      <c r="A174" t="inlineStr">
        <is>
          <t>Two-way</t>
        </is>
      </c>
      <c r="B174" t="inlineStr">
        <is>
          <t>Earned before losses</t>
        </is>
      </c>
      <c r="C174" t="n">
        <v>38</v>
      </c>
      <c r="D174" t="inlineStr">
        <is>
          <t>FICO 686 - 711</t>
        </is>
      </c>
      <c r="E174" t="inlineStr">
        <is>
          <t>Broker</t>
        </is>
      </c>
      <c r="G174" t="n">
        <v>501</v>
      </c>
      <c r="H174" t="n">
        <v>-1.726562587794613</v>
      </c>
      <c r="J174" t="n">
        <v>2</v>
      </c>
      <c r="K174">
        <f>'_pockets'!$AI$38</f>
        <v/>
      </c>
      <c r="L174">
        <f>'_pockets'!$AJ$38</f>
        <v/>
      </c>
      <c r="M174">
        <f>IF(AND($A174='Pockets'!$D$17,$B174='Pockets'!$C$17,OR('Pockets'!$E$17="All",AND('Pockets'!$E$17="Worse and material",$K174="Yes",$L174="Yes"),AND('Pockets'!$E$17="Worse or not sure",OR($K174="Yes",$K174="Not sure")))),1,0)</f>
        <v/>
      </c>
      <c r="N174">
        <f>$N173+$M174</f>
        <v/>
      </c>
      <c r="O174" t="inlineStr">
        <is>
          <t>grids</t>
        </is>
      </c>
      <c r="P174" t="inlineStr">
        <is>
          <t>contribution_rate</t>
        </is>
      </c>
    </row>
    <row r="175">
      <c r="A175" t="inlineStr">
        <is>
          <t>Two-way</t>
        </is>
      </c>
      <c r="B175" t="inlineStr">
        <is>
          <t>Earned before losses</t>
        </is>
      </c>
      <c r="C175" t="n">
        <v>88</v>
      </c>
      <c r="D175" t="inlineStr">
        <is>
          <t>FICO 686 - 711</t>
        </is>
      </c>
      <c r="E175" t="inlineStr">
        <is>
          <t>Branch</t>
        </is>
      </c>
      <c r="G175" t="n">
        <v>515</v>
      </c>
      <c r="H175" t="n">
        <v>-1.704525321854186</v>
      </c>
      <c r="J175" t="n">
        <v>3</v>
      </c>
      <c r="K175">
        <f>'_pockets'!$AI$88</f>
        <v/>
      </c>
      <c r="L175">
        <f>'_pockets'!$AJ$88</f>
        <v/>
      </c>
      <c r="M175">
        <f>IF(AND($A175='Pockets'!$D$17,$B175='Pockets'!$C$17,OR('Pockets'!$E$17="All",AND('Pockets'!$E$17="Worse and material",$K175="Yes",$L175="Yes"),AND('Pockets'!$E$17="Worse or not sure",OR($K175="Yes",$K175="Not sure")))),1,0)</f>
        <v/>
      </c>
      <c r="N175">
        <f>$N174+$M175</f>
        <v/>
      </c>
      <c r="O175" t="inlineStr">
        <is>
          <t>grids</t>
        </is>
      </c>
      <c r="P175" t="inlineStr">
        <is>
          <t>contribution_rate</t>
        </is>
      </c>
    </row>
    <row r="176">
      <c r="A176" t="inlineStr">
        <is>
          <t>Two-way</t>
        </is>
      </c>
      <c r="B176" t="inlineStr">
        <is>
          <t>Earned before losses</t>
        </is>
      </c>
      <c r="C176" t="n">
        <v>18</v>
      </c>
      <c r="D176" t="inlineStr">
        <is>
          <t>FICO 712 - 745</t>
        </is>
      </c>
      <c r="E176" t="inlineStr">
        <is>
          <t>Branch</t>
        </is>
      </c>
      <c r="G176" t="n">
        <v>536</v>
      </c>
      <c r="H176" t="n">
        <v>-1.673150190798175</v>
      </c>
      <c r="J176" t="n">
        <v>4</v>
      </c>
      <c r="K176">
        <f>'_pockets'!$AI$18</f>
        <v/>
      </c>
      <c r="L176">
        <f>'_pockets'!$AJ$18</f>
        <v/>
      </c>
      <c r="M176">
        <f>IF(AND($A176='Pockets'!$D$17,$B176='Pockets'!$C$17,OR('Pockets'!$E$17="All",AND('Pockets'!$E$17="Worse and material",$K176="Yes",$L176="Yes"),AND('Pockets'!$E$17="Worse or not sure",OR($K176="Yes",$K176="Not sure")))),1,0)</f>
        <v/>
      </c>
      <c r="N176">
        <f>$N175+$M176</f>
        <v/>
      </c>
      <c r="O176" t="inlineStr">
        <is>
          <t>grids</t>
        </is>
      </c>
      <c r="P176" t="inlineStr">
        <is>
          <t>contribution_rate</t>
        </is>
      </c>
    </row>
    <row r="177">
      <c r="A177" t="inlineStr">
        <is>
          <t>Two-way</t>
        </is>
      </c>
      <c r="B177" t="inlineStr">
        <is>
          <t>Earned before losses</t>
        </is>
      </c>
      <c r="C177" t="n">
        <v>63</v>
      </c>
      <c r="D177" t="inlineStr">
        <is>
          <t>FICO 712 - 745</t>
        </is>
      </c>
      <c r="E177" t="inlineStr">
        <is>
          <t>Broker</t>
        </is>
      </c>
      <c r="G177" t="n">
        <v>509</v>
      </c>
      <c r="H177" t="n">
        <v>-1.713855245385327</v>
      </c>
      <c r="J177" t="n">
        <v>5</v>
      </c>
      <c r="K177">
        <f>'_pockets'!$AI$63</f>
        <v/>
      </c>
      <c r="L177">
        <f>'_pockets'!$AJ$63</f>
        <v/>
      </c>
      <c r="M177">
        <f>IF(AND($A177='Pockets'!$D$17,$B177='Pockets'!$C$17,OR('Pockets'!$E$17="All",AND('Pockets'!$E$17="Worse and material",$K177="Yes",$L177="Yes"),AND('Pockets'!$E$17="Worse or not sure",OR($K177="Yes",$K177="Not sure")))),1,0)</f>
        <v/>
      </c>
      <c r="N177">
        <f>$N176+$M177</f>
        <v/>
      </c>
      <c r="O177" t="inlineStr">
        <is>
          <t>grids</t>
        </is>
      </c>
      <c r="P177" t="inlineStr">
        <is>
          <t>contribution_rate</t>
        </is>
      </c>
    </row>
    <row r="178">
      <c r="A178" t="inlineStr">
        <is>
          <t>Two-way</t>
        </is>
      </c>
      <c r="B178" t="inlineStr">
        <is>
          <t>Earned before losses</t>
        </is>
      </c>
      <c r="C178" t="n">
        <v>233</v>
      </c>
      <c r="D178" t="inlineStr">
        <is>
          <t>ORIG_BAL 26,324 - 37,950</t>
        </is>
      </c>
      <c r="E178" t="inlineStr">
        <is>
          <t>Broker</t>
        </is>
      </c>
      <c r="G178" t="n">
        <v>553</v>
      </c>
      <c r="H178" t="n">
        <v>-1.6491115286818</v>
      </c>
      <c r="J178" t="n">
        <v>6</v>
      </c>
      <c r="K178">
        <f>'_pockets'!$AI$233</f>
        <v/>
      </c>
      <c r="L178">
        <f>'_pockets'!$AJ$233</f>
        <v/>
      </c>
      <c r="M178">
        <f>IF(AND($A178='Pockets'!$D$17,$B178='Pockets'!$C$17,OR('Pockets'!$E$17="All",AND('Pockets'!$E$17="Worse and material",$K178="Yes",$L178="Yes"),AND('Pockets'!$E$17="Worse or not sure",OR($K178="Yes",$K178="Not sure")))),1,0)</f>
        <v/>
      </c>
      <c r="N178">
        <f>$N177+$M178</f>
        <v/>
      </c>
      <c r="O178" t="inlineStr">
        <is>
          <t>grids</t>
        </is>
      </c>
      <c r="P178" t="inlineStr">
        <is>
          <t>contribution_rate</t>
        </is>
      </c>
    </row>
    <row r="179">
      <c r="A179" t="inlineStr">
        <is>
          <t>Two-way</t>
        </is>
      </c>
      <c r="B179" t="inlineStr">
        <is>
          <t>Earned before losses</t>
        </is>
      </c>
      <c r="C179" t="n">
        <v>253</v>
      </c>
      <c r="D179" t="inlineStr">
        <is>
          <t>ORIG_BAL 15,449 - 26,323</t>
        </is>
      </c>
      <c r="E179" t="inlineStr">
        <is>
          <t>Broker</t>
        </is>
      </c>
      <c r="G179" t="n">
        <v>537</v>
      </c>
      <c r="H179" t="n">
        <v>-1.671703615096666</v>
      </c>
      <c r="J179" t="n">
        <v>7</v>
      </c>
      <c r="K179">
        <f>'_pockets'!$AI$253</f>
        <v/>
      </c>
      <c r="L179">
        <f>'_pockets'!$AJ$253</f>
        <v/>
      </c>
      <c r="M179">
        <f>IF(AND($A179='Pockets'!$D$17,$B179='Pockets'!$C$17,OR('Pockets'!$E$17="All",AND('Pockets'!$E$17="Worse and material",$K179="Yes",$L179="Yes"),AND('Pockets'!$E$17="Worse or not sure",OR($K179="Yes",$K179="Not sure")))),1,0)</f>
        <v/>
      </c>
      <c r="N179">
        <f>$N178+$M179</f>
        <v/>
      </c>
      <c r="O179" t="inlineStr">
        <is>
          <t>grids</t>
        </is>
      </c>
      <c r="P179" t="inlineStr">
        <is>
          <t>contribution_rate</t>
        </is>
      </c>
    </row>
    <row r="180">
      <c r="A180" t="inlineStr">
        <is>
          <t>Two-way</t>
        </is>
      </c>
      <c r="B180" t="inlineStr">
        <is>
          <t>Earned before losses</t>
        </is>
      </c>
      <c r="C180" t="n">
        <v>273</v>
      </c>
      <c r="D180" t="inlineStr">
        <is>
          <t>ORIG_BAL 5,005 - 15,448</t>
        </is>
      </c>
      <c r="E180" t="inlineStr">
        <is>
          <t>Branch</t>
        </is>
      </c>
      <c r="G180" t="n">
        <v>542</v>
      </c>
      <c r="H180" t="n">
        <v>-1.664532777333787</v>
      </c>
      <c r="J180" t="n">
        <v>8</v>
      </c>
      <c r="K180">
        <f>'_pockets'!$AI$273</f>
        <v/>
      </c>
      <c r="L180">
        <f>'_pockets'!$AJ$273</f>
        <v/>
      </c>
      <c r="M180">
        <f>IF(AND($A180='Pockets'!$D$17,$B180='Pockets'!$C$17,OR('Pockets'!$E$17="All",AND('Pockets'!$E$17="Worse and material",$K180="Yes",$L180="Yes"),AND('Pockets'!$E$17="Worse or not sure",OR($K180="Yes",$K180="Not sure")))),1,0)</f>
        <v/>
      </c>
      <c r="N180">
        <f>$N179+$M180</f>
        <v/>
      </c>
      <c r="O180" t="inlineStr">
        <is>
          <t>grids</t>
        </is>
      </c>
      <c r="P180" t="inlineStr">
        <is>
          <t>contribution_rate</t>
        </is>
      </c>
    </row>
    <row r="181">
      <c r="A181" t="inlineStr">
        <is>
          <t>Two-way</t>
        </is>
      </c>
      <c r="B181" t="inlineStr">
        <is>
          <t>Earned before losses</t>
        </is>
      </c>
      <c r="C181" t="n">
        <v>303</v>
      </c>
      <c r="D181" t="inlineStr">
        <is>
          <t>ORIG_BAL 49,152 - 59,984</t>
        </is>
      </c>
      <c r="E181" t="inlineStr">
        <is>
          <t>Broker</t>
        </is>
      </c>
      <c r="G181" t="n">
        <v>520</v>
      </c>
      <c r="H181" t="n">
        <v>-1.696877699806696</v>
      </c>
      <c r="J181" t="n">
        <v>9</v>
      </c>
      <c r="K181">
        <f>'_pockets'!$AI$303</f>
        <v/>
      </c>
      <c r="L181">
        <f>'_pockets'!$AJ$303</f>
        <v/>
      </c>
      <c r="M181">
        <f>IF(AND($A181='Pockets'!$D$17,$B181='Pockets'!$C$17,OR('Pockets'!$E$17="All",AND('Pockets'!$E$17="Worse and material",$K181="Yes",$L181="Yes"),AND('Pockets'!$E$17="Worse or not sure",OR($K181="Yes",$K181="Not sure")))),1,0)</f>
        <v/>
      </c>
      <c r="N181">
        <f>$N180+$M181</f>
        <v/>
      </c>
      <c r="O181" t="inlineStr">
        <is>
          <t>grids</t>
        </is>
      </c>
      <c r="P181" t="inlineStr">
        <is>
          <t>contribution_rate</t>
        </is>
      </c>
    </row>
    <row r="182">
      <c r="A182" t="inlineStr">
        <is>
          <t>Two-way</t>
        </is>
      </c>
      <c r="B182" t="inlineStr">
        <is>
          <t>Earned before losses</t>
        </is>
      </c>
      <c r="C182" t="n">
        <v>288</v>
      </c>
      <c r="D182" t="inlineStr">
        <is>
          <t>ORIG_BAL 49,152 - 59,984</t>
        </is>
      </c>
      <c r="E182" t="inlineStr">
        <is>
          <t>Branch</t>
        </is>
      </c>
      <c r="G182" t="n">
        <v>515</v>
      </c>
      <c r="H182" t="n">
        <v>-1.704525321854186</v>
      </c>
      <c r="J182" t="n">
        <v>10</v>
      </c>
      <c r="K182">
        <f>'_pockets'!$AI$288</f>
        <v/>
      </c>
      <c r="L182">
        <f>'_pockets'!$AJ$288</f>
        <v/>
      </c>
      <c r="M182">
        <f>IF(AND($A182='Pockets'!$D$17,$B182='Pockets'!$C$17,OR('Pockets'!$E$17="All",AND('Pockets'!$E$17="Worse and material",$K182="Yes",$L182="Yes"),AND('Pockets'!$E$17="Worse or not sure",OR($K182="Yes",$K182="Not sure")))),1,0)</f>
        <v/>
      </c>
      <c r="N182">
        <f>$N181+$M182</f>
        <v/>
      </c>
      <c r="O182" t="inlineStr">
        <is>
          <t>grids</t>
        </is>
      </c>
      <c r="P182" t="inlineStr">
        <is>
          <t>contribution_rate</t>
        </is>
      </c>
    </row>
    <row r="183">
      <c r="A183" t="inlineStr">
        <is>
          <t>Two-way</t>
        </is>
      </c>
      <c r="B183" t="inlineStr">
        <is>
          <t>Earned before losses</t>
        </is>
      </c>
      <c r="C183" t="n">
        <v>78</v>
      </c>
      <c r="D183" t="inlineStr">
        <is>
          <t>FICO 654 - 685</t>
        </is>
      </c>
      <c r="E183" t="inlineStr">
        <is>
          <t>Broker</t>
        </is>
      </c>
      <c r="G183" t="n">
        <v>531</v>
      </c>
      <c r="H183" t="n">
        <v>-1.680446181873959</v>
      </c>
      <c r="J183" t="n">
        <v>11</v>
      </c>
      <c r="K183">
        <f>'_pockets'!$AI$78</f>
        <v/>
      </c>
      <c r="L183">
        <f>'_pockets'!$AJ$78</f>
        <v/>
      </c>
      <c r="M183">
        <f>IF(AND($A183='Pockets'!$D$17,$B183='Pockets'!$C$17,OR('Pockets'!$E$17="All",AND('Pockets'!$E$17="Worse and material",$K183="Yes",$L183="Yes"),AND('Pockets'!$E$17="Worse or not sure",OR($K183="Yes",$K183="Not sure")))),1,0)</f>
        <v/>
      </c>
      <c r="N183">
        <f>$N182+$M183</f>
        <v/>
      </c>
      <c r="O183" t="inlineStr">
        <is>
          <t>grids</t>
        </is>
      </c>
      <c r="P183" t="inlineStr">
        <is>
          <t>contribution_rate</t>
        </is>
      </c>
    </row>
    <row r="184">
      <c r="A184" t="inlineStr">
        <is>
          <t>Two-way</t>
        </is>
      </c>
      <c r="B184" t="inlineStr">
        <is>
          <t>Earned before losses</t>
        </is>
      </c>
      <c r="C184" t="n">
        <v>248</v>
      </c>
      <c r="D184" t="inlineStr">
        <is>
          <t>ORIG_BAL 26,324 - 37,950</t>
        </is>
      </c>
      <c r="E184" t="inlineStr">
        <is>
          <t>Branch</t>
        </is>
      </c>
      <c r="G184" t="n">
        <v>518</v>
      </c>
      <c r="H184" t="n">
        <v>-1.699923061552088</v>
      </c>
      <c r="J184" t="n">
        <v>12</v>
      </c>
      <c r="K184">
        <f>'_pockets'!$AI$248</f>
        <v/>
      </c>
      <c r="L184">
        <f>'_pockets'!$AJ$248</f>
        <v/>
      </c>
      <c r="M184">
        <f>IF(AND($A184='Pockets'!$D$17,$B184='Pockets'!$C$17,OR('Pockets'!$E$17="All",AND('Pockets'!$E$17="Worse and material",$K184="Yes",$L184="Yes"),AND('Pockets'!$E$17="Worse or not sure",OR($K184="Yes",$K184="Not sure")))),1,0)</f>
        <v/>
      </c>
      <c r="N184">
        <f>$N183+$M184</f>
        <v/>
      </c>
      <c r="O184" t="inlineStr">
        <is>
          <t>grids</t>
        </is>
      </c>
      <c r="P184" t="inlineStr">
        <is>
          <t>contribution_rate</t>
        </is>
      </c>
    </row>
    <row r="185">
      <c r="A185" t="inlineStr">
        <is>
          <t>Two-way</t>
        </is>
      </c>
      <c r="B185" t="inlineStr">
        <is>
          <t>Earned before losses</t>
        </is>
      </c>
      <c r="C185" t="n">
        <v>58</v>
      </c>
      <c r="D185" t="inlineStr">
        <is>
          <t>FICO 654 - 685</t>
        </is>
      </c>
      <c r="E185" t="inlineStr">
        <is>
          <t>Branch</t>
        </is>
      </c>
      <c r="G185" t="n">
        <v>503</v>
      </c>
      <c r="H185" t="n">
        <v>-1.723356527093468</v>
      </c>
      <c r="J185" t="n">
        <v>13</v>
      </c>
      <c r="K185">
        <f>'_pockets'!$AI$58</f>
        <v/>
      </c>
      <c r="L185">
        <f>'_pockets'!$AJ$58</f>
        <v/>
      </c>
      <c r="M185">
        <f>IF(AND($A185='Pockets'!$D$17,$B185='Pockets'!$C$17,OR('Pockets'!$E$17="All",AND('Pockets'!$E$17="Worse and material",$K185="Yes",$L185="Yes"),AND('Pockets'!$E$17="Worse or not sure",OR($K185="Yes",$K185="Not sure")))),1,0)</f>
        <v/>
      </c>
      <c r="N185">
        <f>$N184+$M185</f>
        <v/>
      </c>
      <c r="O185" t="inlineStr">
        <is>
          <t>grids</t>
        </is>
      </c>
      <c r="P185" t="inlineStr">
        <is>
          <t>contribution_rate</t>
        </is>
      </c>
    </row>
    <row r="186">
      <c r="A186" t="inlineStr">
        <is>
          <t>Two-way</t>
        </is>
      </c>
      <c r="B186" t="inlineStr">
        <is>
          <t>Earned before losses</t>
        </is>
      </c>
      <c r="C186" t="n">
        <v>378</v>
      </c>
      <c r="D186" t="inlineStr">
        <is>
          <t>ORIG_BAL 49,152 - 59,984</t>
        </is>
      </c>
      <c r="E186" t="inlineStr">
        <is>
          <t>ASSET_CLASS 3</t>
        </is>
      </c>
      <c r="G186" t="n">
        <v>405</v>
      </c>
      <c r="H186" t="n">
        <v>-1.908142184793432</v>
      </c>
      <c r="J186" t="n">
        <v>14</v>
      </c>
      <c r="K186">
        <f>'_pockets'!$AI$378</f>
        <v/>
      </c>
      <c r="L186">
        <f>'_pockets'!$AJ$378</f>
        <v/>
      </c>
      <c r="M186">
        <f>IF(AND($A186='Pockets'!$D$17,$B186='Pockets'!$C$17,OR('Pockets'!$E$17="All",AND('Pockets'!$E$17="Worse and material",$K186="Yes",$L186="Yes"),AND('Pockets'!$E$17="Worse or not sure",OR($K186="Yes",$K186="Not sure")))),1,0)</f>
        <v/>
      </c>
      <c r="N186">
        <f>$N185+$M186</f>
        <v/>
      </c>
      <c r="O186" t="inlineStr">
        <is>
          <t>grids</t>
        </is>
      </c>
      <c r="P186" t="inlineStr">
        <is>
          <t>contribution_rate</t>
        </is>
      </c>
    </row>
    <row r="187">
      <c r="A187" t="inlineStr">
        <is>
          <t>Two-way</t>
        </is>
      </c>
      <c r="B187" t="inlineStr">
        <is>
          <t>Earned before losses</t>
        </is>
      </c>
      <c r="C187" t="n">
        <v>393</v>
      </c>
      <c r="D187" t="inlineStr">
        <is>
          <t>ORIG_BAL 49,152 - 59,984</t>
        </is>
      </c>
      <c r="E187" t="inlineStr">
        <is>
          <t>ASSET_CLASS 2</t>
        </is>
      </c>
      <c r="G187" t="n">
        <v>398</v>
      </c>
      <c r="H187" t="n">
        <v>-1.923962541467082</v>
      </c>
      <c r="J187" t="n">
        <v>15</v>
      </c>
      <c r="K187">
        <f>'_pockets'!$AI$393</f>
        <v/>
      </c>
      <c r="L187">
        <f>'_pockets'!$AJ$393</f>
        <v/>
      </c>
      <c r="M187">
        <f>IF(AND($A187='Pockets'!$D$17,$B187='Pockets'!$C$17,OR('Pockets'!$E$17="All",AND('Pockets'!$E$17="Worse and material",$K187="Yes",$L187="Yes"),AND('Pockets'!$E$17="Worse or not sure",OR($K187="Yes",$K187="Not sure")))),1,0)</f>
        <v/>
      </c>
      <c r="N187">
        <f>$N186+$M187</f>
        <v/>
      </c>
      <c r="O187" t="inlineStr">
        <is>
          <t>grids</t>
        </is>
      </c>
      <c r="P187" t="inlineStr">
        <is>
          <t>contribution_rate</t>
        </is>
      </c>
    </row>
    <row r="188">
      <c r="A188" t="inlineStr">
        <is>
          <t>Two-way</t>
        </is>
      </c>
      <c r="B188" t="inlineStr">
        <is>
          <t>Earned before losses</t>
        </is>
      </c>
      <c r="C188" t="n">
        <v>313</v>
      </c>
      <c r="D188" t="inlineStr">
        <is>
          <t>ORIG_BAL 26,324 - 37,950</t>
        </is>
      </c>
      <c r="E188" t="inlineStr">
        <is>
          <t>ASSET_CLASS 2</t>
        </is>
      </c>
      <c r="G188" t="n">
        <v>432</v>
      </c>
      <c r="H188" t="n">
        <v>-1.850844371559658</v>
      </c>
      <c r="J188" t="n">
        <v>16</v>
      </c>
      <c r="K188">
        <f>'_pockets'!$AI$313</f>
        <v/>
      </c>
      <c r="L188">
        <f>'_pockets'!$AJ$313</f>
        <v/>
      </c>
      <c r="M188">
        <f>IF(AND($A188='Pockets'!$D$17,$B188='Pockets'!$C$17,OR('Pockets'!$E$17="All",AND('Pockets'!$E$17="Worse and material",$K188="Yes",$L188="Yes"),AND('Pockets'!$E$17="Worse or not sure",OR($K188="Yes",$K188="Not sure")))),1,0)</f>
        <v/>
      </c>
      <c r="N188">
        <f>$N187+$M188</f>
        <v/>
      </c>
      <c r="O188" t="inlineStr">
        <is>
          <t>grids</t>
        </is>
      </c>
      <c r="P188" t="inlineStr">
        <is>
          <t>contribution_rate</t>
        </is>
      </c>
    </row>
    <row r="189">
      <c r="A189" t="inlineStr">
        <is>
          <t>Two-way</t>
        </is>
      </c>
      <c r="B189" t="inlineStr">
        <is>
          <t>Earned before losses</t>
        </is>
      </c>
      <c r="C189" t="n">
        <v>123</v>
      </c>
      <c r="D189" t="inlineStr">
        <is>
          <t>FICO 496 - 653</t>
        </is>
      </c>
      <c r="E189" t="inlineStr">
        <is>
          <t>ASSET_CLASS 2</t>
        </is>
      </c>
      <c r="G189" t="n">
        <v>394</v>
      </c>
      <c r="H189" t="n">
        <v>-1.933195517493483</v>
      </c>
      <c r="J189" t="n">
        <v>17</v>
      </c>
      <c r="K189">
        <f>'_pockets'!$AI$123</f>
        <v/>
      </c>
      <c r="L189">
        <f>'_pockets'!$AJ$123</f>
        <v/>
      </c>
      <c r="M189">
        <f>IF(AND($A189='Pockets'!$D$17,$B189='Pockets'!$C$17,OR('Pockets'!$E$17="All",AND('Pockets'!$E$17="Worse and material",$K189="Yes",$L189="Yes"),AND('Pockets'!$E$17="Worse or not sure",OR($K189="Yes",$K189="Not sure")))),1,0)</f>
        <v/>
      </c>
      <c r="N189">
        <f>$N188+$M189</f>
        <v/>
      </c>
      <c r="O189" t="inlineStr">
        <is>
          <t>grids</t>
        </is>
      </c>
      <c r="P189" t="inlineStr">
        <is>
          <t>contribution_rate</t>
        </is>
      </c>
    </row>
    <row r="190">
      <c r="A190" t="inlineStr">
        <is>
          <t>Two-way</t>
        </is>
      </c>
      <c r="B190" t="inlineStr">
        <is>
          <t>Earned before losses</t>
        </is>
      </c>
      <c r="C190" t="n">
        <v>298</v>
      </c>
      <c r="D190" t="inlineStr">
        <is>
          <t>ORIG_BAL 15,449 - 26,323</t>
        </is>
      </c>
      <c r="E190" t="inlineStr">
        <is>
          <t>Branch</t>
        </is>
      </c>
      <c r="G190" t="n">
        <v>525</v>
      </c>
      <c r="H190" t="n">
        <v>-1.68934286405473</v>
      </c>
      <c r="J190" t="n">
        <v>18</v>
      </c>
      <c r="K190">
        <f>'_pockets'!$AI$298</f>
        <v/>
      </c>
      <c r="L190">
        <f>'_pockets'!$AJ$298</f>
        <v/>
      </c>
      <c r="M190">
        <f>IF(AND($A190='Pockets'!$D$17,$B190='Pockets'!$C$17,OR('Pockets'!$E$17="All",AND('Pockets'!$E$17="Worse and material",$K190="Yes",$L190="Yes"),AND('Pockets'!$E$17="Worse or not sure",OR($K190="Yes",$K190="Not sure")))),1,0)</f>
        <v/>
      </c>
      <c r="N190">
        <f>$N189+$M190</f>
        <v/>
      </c>
      <c r="O190" t="inlineStr">
        <is>
          <t>grids</t>
        </is>
      </c>
      <c r="P190" t="inlineStr">
        <is>
          <t>contribution_rate</t>
        </is>
      </c>
    </row>
    <row r="191">
      <c r="A191" t="inlineStr">
        <is>
          <t>Two-way</t>
        </is>
      </c>
      <c r="B191" t="inlineStr">
        <is>
          <t>Earned before losses</t>
        </is>
      </c>
      <c r="C191" t="n">
        <v>213</v>
      </c>
      <c r="D191" t="inlineStr">
        <is>
          <t>FICO 686 - 711</t>
        </is>
      </c>
      <c r="E191" t="inlineStr">
        <is>
          <t>ASSET_CLASS 3</t>
        </is>
      </c>
      <c r="G191" t="n">
        <v>388</v>
      </c>
      <c r="H191" t="n">
        <v>-1.947317439661805</v>
      </c>
      <c r="J191" t="n">
        <v>19</v>
      </c>
      <c r="K191">
        <f>'_pockets'!$AI$213</f>
        <v/>
      </c>
      <c r="L191">
        <f>'_pockets'!$AJ$213</f>
        <v/>
      </c>
      <c r="M191">
        <f>IF(AND($A191='Pockets'!$D$17,$B191='Pockets'!$C$17,OR('Pockets'!$E$17="All",AND('Pockets'!$E$17="Worse and material",$K191="Yes",$L191="Yes"),AND('Pockets'!$E$17="Worse or not sure",OR($K191="Yes",$K191="Not sure")))),1,0)</f>
        <v/>
      </c>
      <c r="N191">
        <f>$N190+$M191</f>
        <v/>
      </c>
      <c r="O191" t="inlineStr">
        <is>
          <t>grids</t>
        </is>
      </c>
      <c r="P191" t="inlineStr">
        <is>
          <t>contribution_rate</t>
        </is>
      </c>
    </row>
    <row r="192">
      <c r="A192" t="inlineStr">
        <is>
          <t>Two-way</t>
        </is>
      </c>
      <c r="B192" t="inlineStr">
        <is>
          <t>Earned before losses</t>
        </is>
      </c>
      <c r="C192" t="n">
        <v>118</v>
      </c>
      <c r="D192" t="inlineStr">
        <is>
          <t>FICO 712 - 745</t>
        </is>
      </c>
      <c r="E192" t="inlineStr">
        <is>
          <t>ASSET_CLASS 2</t>
        </is>
      </c>
      <c r="G192" t="n">
        <v>430</v>
      </c>
      <c r="H192" t="n">
        <v>-1.854898521239641</v>
      </c>
      <c r="J192" t="n">
        <v>20</v>
      </c>
      <c r="K192">
        <f>'_pockets'!$AI$118</f>
        <v/>
      </c>
      <c r="L192">
        <f>'_pockets'!$AJ$118</f>
        <v/>
      </c>
      <c r="M192">
        <f>IF(AND($A192='Pockets'!$D$17,$B192='Pockets'!$C$17,OR('Pockets'!$E$17="All",AND('Pockets'!$E$17="Worse and material",$K192="Yes",$L192="Yes"),AND('Pockets'!$E$17="Worse or not sure",OR($K192="Yes",$K192="Not sure")))),1,0)</f>
        <v/>
      </c>
      <c r="N192">
        <f>$N191+$M192</f>
        <v/>
      </c>
      <c r="O192" t="inlineStr">
        <is>
          <t>grids</t>
        </is>
      </c>
      <c r="P192" t="inlineStr">
        <is>
          <t>contribution_rate</t>
        </is>
      </c>
    </row>
    <row r="193">
      <c r="A193" t="inlineStr">
        <is>
          <t>Two-way</t>
        </is>
      </c>
      <c r="B193" t="inlineStr">
        <is>
          <t>Earned before losses</t>
        </is>
      </c>
      <c r="C193" t="n">
        <v>318</v>
      </c>
      <c r="D193" t="inlineStr">
        <is>
          <t>ORIG_BAL 37,951 - 49,151</t>
        </is>
      </c>
      <c r="E193" t="inlineStr">
        <is>
          <t>ASSET_CLASS 1</t>
        </is>
      </c>
      <c r="G193" t="n">
        <v>383</v>
      </c>
      <c r="H193" t="n">
        <v>-1.95934360449496</v>
      </c>
      <c r="J193" t="n">
        <v>21</v>
      </c>
      <c r="K193">
        <f>'_pockets'!$AI$318</f>
        <v/>
      </c>
      <c r="L193">
        <f>'_pockets'!$AJ$318</f>
        <v/>
      </c>
      <c r="M193">
        <f>IF(AND($A193='Pockets'!$D$17,$B193='Pockets'!$C$17,OR('Pockets'!$E$17="All",AND('Pockets'!$E$17="Worse and material",$K193="Yes",$L193="Yes"),AND('Pockets'!$E$17="Worse or not sure",OR($K193="Yes",$K193="Not sure")))),1,0)</f>
        <v/>
      </c>
      <c r="N193">
        <f>$N192+$M193</f>
        <v/>
      </c>
      <c r="O193" t="inlineStr">
        <is>
          <t>grids</t>
        </is>
      </c>
      <c r="P193" t="inlineStr">
        <is>
          <t>contribution_rate</t>
        </is>
      </c>
    </row>
    <row r="194">
      <c r="A194" t="inlineStr">
        <is>
          <t>Two-way</t>
        </is>
      </c>
      <c r="B194" t="inlineStr">
        <is>
          <t>Earned before losses</t>
        </is>
      </c>
      <c r="C194" t="n">
        <v>398</v>
      </c>
      <c r="D194" t="inlineStr">
        <is>
          <t>ORIG_BAL 15,449 - 26,323</t>
        </is>
      </c>
      <c r="E194" t="inlineStr">
        <is>
          <t>ASSET_CLASS 2</t>
        </is>
      </c>
      <c r="G194" t="n">
        <v>356</v>
      </c>
      <c r="H194" t="n">
        <v>-2.028693458440784</v>
      </c>
      <c r="J194" t="n">
        <v>22</v>
      </c>
      <c r="K194">
        <f>'_pockets'!$AI$398</f>
        <v/>
      </c>
      <c r="L194">
        <f>'_pockets'!$AJ$398</f>
        <v/>
      </c>
      <c r="M194">
        <f>IF(AND($A194='Pockets'!$D$17,$B194='Pockets'!$C$17,OR('Pockets'!$E$17="All",AND('Pockets'!$E$17="Worse and material",$K194="Yes",$L194="Yes"),AND('Pockets'!$E$17="Worse or not sure",OR($K194="Yes",$K194="Not sure")))),1,0)</f>
        <v/>
      </c>
      <c r="N194">
        <f>$N193+$M194</f>
        <v/>
      </c>
      <c r="O194" t="inlineStr">
        <is>
          <t>grids</t>
        </is>
      </c>
      <c r="P194" t="inlineStr">
        <is>
          <t>contribution_rate</t>
        </is>
      </c>
    </row>
    <row r="195">
      <c r="A195" t="inlineStr">
        <is>
          <t>Two-way</t>
        </is>
      </c>
      <c r="B195" t="inlineStr">
        <is>
          <t>Earned before losses</t>
        </is>
      </c>
      <c r="C195" t="n">
        <v>83</v>
      </c>
      <c r="D195" t="inlineStr">
        <is>
          <t>FICO 496 - 653</t>
        </is>
      </c>
      <c r="E195" t="inlineStr">
        <is>
          <t>Online</t>
        </is>
      </c>
      <c r="G195" t="n">
        <v>531</v>
      </c>
      <c r="H195" t="n">
        <v>-1.680446181873959</v>
      </c>
      <c r="J195" t="n">
        <v>23</v>
      </c>
      <c r="K195">
        <f>'_pockets'!$AI$83</f>
        <v/>
      </c>
      <c r="L195">
        <f>'_pockets'!$AJ$83</f>
        <v/>
      </c>
      <c r="M195">
        <f>IF(AND($A195='Pockets'!$D$17,$B195='Pockets'!$C$17,OR('Pockets'!$E$17="All",AND('Pockets'!$E$17="Worse and material",$K195="Yes",$L195="Yes"),AND('Pockets'!$E$17="Worse or not sure",OR($K195="Yes",$K195="Not sure")))),1,0)</f>
        <v/>
      </c>
      <c r="N195">
        <f>$N194+$M195</f>
        <v/>
      </c>
      <c r="O195" t="inlineStr">
        <is>
          <t>grids</t>
        </is>
      </c>
      <c r="P195" t="inlineStr">
        <is>
          <t>contribution_rate</t>
        </is>
      </c>
    </row>
    <row r="196">
      <c r="A196" t="inlineStr">
        <is>
          <t>Two-way</t>
        </is>
      </c>
      <c r="B196" t="inlineStr">
        <is>
          <t>Earned before losses</t>
        </is>
      </c>
      <c r="C196" t="n">
        <v>263</v>
      </c>
      <c r="D196" t="inlineStr">
        <is>
          <t>ORIG_BAL 37,951 - 49,151</t>
        </is>
      </c>
      <c r="E196" t="inlineStr">
        <is>
          <t>Broker</t>
        </is>
      </c>
      <c r="G196" t="n">
        <v>531</v>
      </c>
      <c r="H196" t="n">
        <v>-1.680446181873959</v>
      </c>
      <c r="J196" t="n">
        <v>24</v>
      </c>
      <c r="K196">
        <f>'_pockets'!$AI$263</f>
        <v/>
      </c>
      <c r="L196">
        <f>'_pockets'!$AJ$263</f>
        <v/>
      </c>
      <c r="M196">
        <f>IF(AND($A196='Pockets'!$D$17,$B196='Pockets'!$C$17,OR('Pockets'!$E$17="All",AND('Pockets'!$E$17="Worse and material",$K196="Yes",$L196="Yes"),AND('Pockets'!$E$17="Worse or not sure",OR($K196="Yes",$K196="Not sure")))),1,0)</f>
        <v/>
      </c>
      <c r="N196">
        <f>$N195+$M196</f>
        <v/>
      </c>
      <c r="O196" t="inlineStr">
        <is>
          <t>grids</t>
        </is>
      </c>
      <c r="P196" t="inlineStr">
        <is>
          <t>contribution_rate</t>
        </is>
      </c>
    </row>
    <row r="197">
      <c r="A197" t="inlineStr">
        <is>
          <t>Two-way</t>
        </is>
      </c>
      <c r="B197" t="inlineStr">
        <is>
          <t>Earned before losses</t>
        </is>
      </c>
      <c r="C197" t="n">
        <v>193</v>
      </c>
      <c r="D197" t="inlineStr">
        <is>
          <t>FICO 654 - 685</t>
        </is>
      </c>
      <c r="E197" t="inlineStr">
        <is>
          <t>ASSET_CLASS 4</t>
        </is>
      </c>
      <c r="G197" t="n">
        <v>410</v>
      </c>
      <c r="H197" t="n">
        <v>-1.897096203884834</v>
      </c>
      <c r="J197" t="n">
        <v>25</v>
      </c>
      <c r="K197">
        <f>'_pockets'!$AI$193</f>
        <v/>
      </c>
      <c r="L197">
        <f>'_pockets'!$AJ$193</f>
        <v/>
      </c>
      <c r="M197">
        <f>IF(AND($A197='Pockets'!$D$17,$B197='Pockets'!$C$17,OR('Pockets'!$E$17="All",AND('Pockets'!$E$17="Worse and material",$K197="Yes",$L197="Yes"),AND('Pockets'!$E$17="Worse or not sure",OR($K197="Yes",$K197="Not sure")))),1,0)</f>
        <v/>
      </c>
      <c r="N197">
        <f>$N196+$M197</f>
        <v/>
      </c>
      <c r="O197" t="inlineStr">
        <is>
          <t>grids</t>
        </is>
      </c>
      <c r="P197" t="inlineStr">
        <is>
          <t>contribution_rate</t>
        </is>
      </c>
    </row>
    <row r="198">
      <c r="A198" t="inlineStr">
        <is>
          <t>Two-way</t>
        </is>
      </c>
      <c r="B198" t="inlineStr">
        <is>
          <t>Earned before losses</t>
        </is>
      </c>
      <c r="C198" t="n">
        <v>93</v>
      </c>
      <c r="D198" t="inlineStr">
        <is>
          <t>FICO (marked missing)</t>
        </is>
      </c>
      <c r="E198" t="inlineStr">
        <is>
          <t>Branch</t>
        </is>
      </c>
      <c r="G198" t="n">
        <v>51</v>
      </c>
      <c r="H198" t="n">
        <v>-5.256035016781256</v>
      </c>
      <c r="J198" t="n">
        <v>26</v>
      </c>
      <c r="K198">
        <f>'_pockets'!$AI$93</f>
        <v/>
      </c>
      <c r="L198">
        <f>'_pockets'!$AJ$93</f>
        <v/>
      </c>
      <c r="M198">
        <f>IF(AND($A198='Pockets'!$D$17,$B198='Pockets'!$C$17,OR('Pockets'!$E$17="All",AND('Pockets'!$E$17="Worse and material",$K198="Yes",$L198="Yes"),AND('Pockets'!$E$17="Worse or not sure",OR($K198="Yes",$K198="Not sure")))),1,0)</f>
        <v/>
      </c>
      <c r="N198">
        <f>$N197+$M198</f>
        <v/>
      </c>
      <c r="O198" t="inlineStr">
        <is>
          <t>grids</t>
        </is>
      </c>
      <c r="P198" t="inlineStr">
        <is>
          <t>contribution_rate</t>
        </is>
      </c>
    </row>
    <row r="199">
      <c r="A199" t="inlineStr">
        <is>
          <t>Two-way</t>
        </is>
      </c>
      <c r="B199" t="inlineStr">
        <is>
          <t>Earned before losses</t>
        </is>
      </c>
      <c r="C199" t="n">
        <v>358</v>
      </c>
      <c r="D199" t="inlineStr">
        <is>
          <t>ORIG_BAL 5,005 - 15,448</t>
        </is>
      </c>
      <c r="E199" t="inlineStr">
        <is>
          <t>ASSET_CLASS 2</t>
        </is>
      </c>
      <c r="G199" t="n">
        <v>404</v>
      </c>
      <c r="H199" t="n">
        <v>-1.910376492957031</v>
      </c>
      <c r="J199" t="n">
        <v>27</v>
      </c>
      <c r="K199">
        <f>'_pockets'!$AI$358</f>
        <v/>
      </c>
      <c r="L199">
        <f>'_pockets'!$AJ$358</f>
        <v/>
      </c>
      <c r="M199">
        <f>IF(AND($A199='Pockets'!$D$17,$B199='Pockets'!$C$17,OR('Pockets'!$E$17="All",AND('Pockets'!$E$17="Worse and material",$K199="Yes",$L199="Yes"),AND('Pockets'!$E$17="Worse or not sure",OR($K199="Yes",$K199="Not sure")))),1,0)</f>
        <v/>
      </c>
      <c r="N199">
        <f>$N198+$M199</f>
        <v/>
      </c>
      <c r="O199" t="inlineStr">
        <is>
          <t>grids</t>
        </is>
      </c>
      <c r="P199" t="inlineStr">
        <is>
          <t>contribution_rate</t>
        </is>
      </c>
    </row>
    <row r="200">
      <c r="A200" t="inlineStr">
        <is>
          <t>Two-way</t>
        </is>
      </c>
      <c r="B200" t="inlineStr">
        <is>
          <t>Earned before losses</t>
        </is>
      </c>
      <c r="C200" t="n">
        <v>23</v>
      </c>
      <c r="D200" t="inlineStr">
        <is>
          <t>FICO 496 - 653</t>
        </is>
      </c>
      <c r="E200" t="inlineStr">
        <is>
          <t>Branch</t>
        </is>
      </c>
      <c r="G200" t="n">
        <v>502</v>
      </c>
      <c r="H200" t="n">
        <v>-1.724957093665302</v>
      </c>
      <c r="J200" t="n">
        <v>28</v>
      </c>
      <c r="K200">
        <f>'_pockets'!$AI$23</f>
        <v/>
      </c>
      <c r="L200">
        <f>'_pockets'!$AJ$23</f>
        <v/>
      </c>
      <c r="M200">
        <f>IF(AND($A200='Pockets'!$D$17,$B200='Pockets'!$C$17,OR('Pockets'!$E$17="All",AND('Pockets'!$E$17="Worse and material",$K200="Yes",$L200="Yes"),AND('Pockets'!$E$17="Worse or not sure",OR($K200="Yes",$K200="Not sure")))),1,0)</f>
        <v/>
      </c>
      <c r="N200">
        <f>$N199+$M200</f>
        <v/>
      </c>
      <c r="O200" t="inlineStr">
        <is>
          <t>grids</t>
        </is>
      </c>
      <c r="P200" t="inlineStr">
        <is>
          <t>contribution_rate</t>
        </is>
      </c>
    </row>
    <row r="201">
      <c r="A201" t="inlineStr">
        <is>
          <t>Two-way</t>
        </is>
      </c>
      <c r="B201" t="inlineStr">
        <is>
          <t>Earned before losses</t>
        </is>
      </c>
      <c r="C201" t="n">
        <v>53</v>
      </c>
      <c r="D201" t="inlineStr">
        <is>
          <t>FICO 746 - 921</t>
        </is>
      </c>
      <c r="E201" t="inlineStr">
        <is>
          <t>Online</t>
        </is>
      </c>
      <c r="G201" t="n">
        <v>517</v>
      </c>
      <c r="H201" t="n">
        <v>-1.701452563848922</v>
      </c>
      <c r="J201" t="n">
        <v>29</v>
      </c>
      <c r="K201">
        <f>'_pockets'!$AI$53</f>
        <v/>
      </c>
      <c r="L201">
        <f>'_pockets'!$AJ$53</f>
        <v/>
      </c>
      <c r="M201">
        <f>IF(AND($A201='Pockets'!$D$17,$B201='Pockets'!$C$17,OR('Pockets'!$E$17="All",AND('Pockets'!$E$17="Worse and material",$K201="Yes",$L201="Yes"),AND('Pockets'!$E$17="Worse or not sure",OR($K201="Yes",$K201="Not sure")))),1,0)</f>
        <v/>
      </c>
      <c r="N201">
        <f>$N200+$M201</f>
        <v/>
      </c>
      <c r="O201" t="inlineStr">
        <is>
          <t>grids</t>
        </is>
      </c>
      <c r="P201" t="inlineStr">
        <is>
          <t>contribution_rate</t>
        </is>
      </c>
    </row>
    <row r="202">
      <c r="A202" t="inlineStr">
        <is>
          <t>Two-way</t>
        </is>
      </c>
      <c r="B202" t="inlineStr">
        <is>
          <t>Earned before losses</t>
        </is>
      </c>
      <c r="C202" t="n">
        <v>133</v>
      </c>
      <c r="D202" t="inlineStr">
        <is>
          <t>FICO 746 - 921</t>
        </is>
      </c>
      <c r="E202" t="inlineStr">
        <is>
          <t>ASSET_CLASS 2</t>
        </is>
      </c>
      <c r="G202" t="n">
        <v>399</v>
      </c>
      <c r="H202" t="n">
        <v>-1.921676478546325</v>
      </c>
      <c r="J202" t="n">
        <v>30</v>
      </c>
      <c r="K202">
        <f>'_pockets'!$AI$133</f>
        <v/>
      </c>
      <c r="L202">
        <f>'_pockets'!$AJ$133</f>
        <v/>
      </c>
      <c r="M202">
        <f>IF(AND($A202='Pockets'!$D$17,$B202='Pockets'!$C$17,OR('Pockets'!$E$17="All",AND('Pockets'!$E$17="Worse and material",$K202="Yes",$L202="Yes"),AND('Pockets'!$E$17="Worse or not sure",OR($K202="Yes",$K202="Not sure")))),1,0)</f>
        <v/>
      </c>
      <c r="N202">
        <f>$N201+$M202</f>
        <v/>
      </c>
      <c r="O202" t="inlineStr">
        <is>
          <t>grids</t>
        </is>
      </c>
      <c r="P202" t="inlineStr">
        <is>
          <t>contribution_rate</t>
        </is>
      </c>
    </row>
    <row r="203">
      <c r="A203" t="inlineStr">
        <is>
          <t>Two-way</t>
        </is>
      </c>
      <c r="B203" t="inlineStr">
        <is>
          <t>Earned before losses</t>
        </is>
      </c>
      <c r="C203" t="n">
        <v>208</v>
      </c>
      <c r="D203" t="inlineStr">
        <is>
          <t>FICO 712 - 745</t>
        </is>
      </c>
      <c r="E203" t="inlineStr">
        <is>
          <t>ASSET_CLASS 3</t>
        </is>
      </c>
      <c r="G203" t="n">
        <v>392</v>
      </c>
      <c r="H203" t="n">
        <v>-1.937866032887387</v>
      </c>
      <c r="J203" t="n">
        <v>31</v>
      </c>
      <c r="K203">
        <f>'_pockets'!$AI$208</f>
        <v/>
      </c>
      <c r="L203">
        <f>'_pockets'!$AJ$208</f>
        <v/>
      </c>
      <c r="M203">
        <f>IF(AND($A203='Pockets'!$D$17,$B203='Pockets'!$C$17,OR('Pockets'!$E$17="All",AND('Pockets'!$E$17="Worse and material",$K203="Yes",$L203="Yes"),AND('Pockets'!$E$17="Worse or not sure",OR($K203="Yes",$K203="Not sure")))),1,0)</f>
        <v/>
      </c>
      <c r="N203">
        <f>$N202+$M203</f>
        <v/>
      </c>
      <c r="O203" t="inlineStr">
        <is>
          <t>grids</t>
        </is>
      </c>
      <c r="P203" t="inlineStr">
        <is>
          <t>contribution_rate</t>
        </is>
      </c>
    </row>
    <row r="204">
      <c r="A204" t="inlineStr">
        <is>
          <t>Two-way</t>
        </is>
      </c>
      <c r="B204" t="inlineStr">
        <is>
          <t>Earned before losses</t>
        </is>
      </c>
      <c r="C204" t="n">
        <v>408</v>
      </c>
      <c r="D204" t="inlineStr">
        <is>
          <t>ORIG_BAL 26,324 - 37,950</t>
        </is>
      </c>
      <c r="E204" t="inlineStr">
        <is>
          <t>ASSET_CLASS 3</t>
        </is>
      </c>
      <c r="G204" t="n">
        <v>367</v>
      </c>
      <c r="H204" t="n">
        <v>-1.999498973786139</v>
      </c>
      <c r="J204" t="n">
        <v>32</v>
      </c>
      <c r="K204">
        <f>'_pockets'!$AI$408</f>
        <v/>
      </c>
      <c r="L204">
        <f>'_pockets'!$AJ$408</f>
        <v/>
      </c>
      <c r="M204">
        <f>IF(AND($A204='Pockets'!$D$17,$B204='Pockets'!$C$17,OR('Pockets'!$E$17="All",AND('Pockets'!$E$17="Worse and material",$K204="Yes",$L204="Yes"),AND('Pockets'!$E$17="Worse or not sure",OR($K204="Yes",$K204="Not sure")))),1,0)</f>
        <v/>
      </c>
      <c r="N204">
        <f>$N203+$M204</f>
        <v/>
      </c>
      <c r="O204" t="inlineStr">
        <is>
          <t>grids</t>
        </is>
      </c>
      <c r="P204" t="inlineStr">
        <is>
          <t>contribution_rate</t>
        </is>
      </c>
    </row>
    <row r="205">
      <c r="A205" t="inlineStr">
        <is>
          <t>Two-way</t>
        </is>
      </c>
      <c r="B205" t="inlineStr">
        <is>
          <t>Earned before losses</t>
        </is>
      </c>
      <c r="C205" t="n">
        <v>198</v>
      </c>
      <c r="D205" t="inlineStr">
        <is>
          <t>FICO 686 - 711</t>
        </is>
      </c>
      <c r="E205" t="inlineStr">
        <is>
          <t>ASSET_CLASS 2</t>
        </is>
      </c>
      <c r="G205" t="n">
        <v>395</v>
      </c>
      <c r="H205" t="n">
        <v>-1.930873852335372</v>
      </c>
      <c r="J205" t="n">
        <v>33</v>
      </c>
      <c r="K205">
        <f>'_pockets'!$AI$198</f>
        <v/>
      </c>
      <c r="L205">
        <f>'_pockets'!$AJ$198</f>
        <v/>
      </c>
      <c r="M205">
        <f>IF(AND($A205='Pockets'!$D$17,$B205='Pockets'!$C$17,OR('Pockets'!$E$17="All",AND('Pockets'!$E$17="Worse and material",$K205="Yes",$L205="Yes"),AND('Pockets'!$E$17="Worse or not sure",OR($K205="Yes",$K205="Not sure")))),1,0)</f>
        <v/>
      </c>
      <c r="N205">
        <f>$N204+$M205</f>
        <v/>
      </c>
      <c r="O205" t="inlineStr">
        <is>
          <t>grids</t>
        </is>
      </c>
      <c r="P205" t="inlineStr">
        <is>
          <t>contribution_rate</t>
        </is>
      </c>
    </row>
    <row r="206">
      <c r="A206" t="inlineStr">
        <is>
          <t>Two-way</t>
        </is>
      </c>
      <c r="B206" t="inlineStr">
        <is>
          <t>Earned before losses</t>
        </is>
      </c>
      <c r="C206" t="n">
        <v>403</v>
      </c>
      <c r="D206" t="inlineStr">
        <is>
          <t>ORIG_BAL 15,449 - 26,323</t>
        </is>
      </c>
      <c r="E206" t="inlineStr">
        <is>
          <t>ASSET_CLASS 3</t>
        </is>
      </c>
      <c r="G206" t="n">
        <v>427</v>
      </c>
      <c r="H206" t="n">
        <v>-1.861034327234625</v>
      </c>
      <c r="J206" t="n">
        <v>34</v>
      </c>
      <c r="K206">
        <f>'_pockets'!$AI$403</f>
        <v/>
      </c>
      <c r="L206">
        <f>'_pockets'!$AJ$403</f>
        <v/>
      </c>
      <c r="M206">
        <f>IF(AND($A206='Pockets'!$D$17,$B206='Pockets'!$C$17,OR('Pockets'!$E$17="All",AND('Pockets'!$E$17="Worse and material",$K206="Yes",$L206="Yes"),AND('Pockets'!$E$17="Worse or not sure",OR($K206="Yes",$K206="Not sure")))),1,0)</f>
        <v/>
      </c>
      <c r="N206">
        <f>$N205+$M206</f>
        <v/>
      </c>
      <c r="O206" t="inlineStr">
        <is>
          <t>grids</t>
        </is>
      </c>
      <c r="P206" t="inlineStr">
        <is>
          <t>contribution_rate</t>
        </is>
      </c>
    </row>
    <row r="207">
      <c r="A207" t="inlineStr">
        <is>
          <t>Two-way</t>
        </is>
      </c>
      <c r="B207" t="inlineStr">
        <is>
          <t>Earned before losses</t>
        </is>
      </c>
      <c r="C207" t="n">
        <v>178</v>
      </c>
      <c r="D207" t="inlineStr">
        <is>
          <t>FICO 496 - 653</t>
        </is>
      </c>
      <c r="E207" t="inlineStr">
        <is>
          <t>ASSET_CLASS 3</t>
        </is>
      </c>
      <c r="G207" t="n">
        <v>350</v>
      </c>
      <c r="H207" t="n">
        <v>-2.045205644576562</v>
      </c>
      <c r="J207" t="n">
        <v>35</v>
      </c>
      <c r="K207">
        <f>'_pockets'!$AI$178</f>
        <v/>
      </c>
      <c r="L207">
        <f>'_pockets'!$AJ$178</f>
        <v/>
      </c>
      <c r="M207">
        <f>IF(AND($A207='Pockets'!$D$17,$B207='Pockets'!$C$17,OR('Pockets'!$E$17="All",AND('Pockets'!$E$17="Worse and material",$K207="Yes",$L207="Yes"),AND('Pockets'!$E$17="Worse or not sure",OR($K207="Yes",$K207="Not sure")))),1,0)</f>
        <v/>
      </c>
      <c r="N207">
        <f>$N206+$M207</f>
        <v/>
      </c>
      <c r="O207" t="inlineStr">
        <is>
          <t>grids</t>
        </is>
      </c>
      <c r="P207" t="inlineStr">
        <is>
          <t>contribution_rate</t>
        </is>
      </c>
    </row>
    <row r="208">
      <c r="A208" t="inlineStr">
        <is>
          <t>Two-way</t>
        </is>
      </c>
      <c r="B208" t="inlineStr">
        <is>
          <t>Earned before losses</t>
        </is>
      </c>
      <c r="C208" t="n">
        <v>223</v>
      </c>
      <c r="D208" t="inlineStr">
        <is>
          <t>FICO (marked missing)</t>
        </is>
      </c>
      <c r="E208" t="inlineStr">
        <is>
          <t>ASSET_CLASS 2</t>
        </is>
      </c>
      <c r="G208" t="n">
        <v>36</v>
      </c>
      <c r="H208" t="n">
        <v>-6.250037275017217</v>
      </c>
      <c r="J208" t="n">
        <v>36</v>
      </c>
      <c r="K208">
        <f>'_pockets'!$AI$223</f>
        <v/>
      </c>
      <c r="L208">
        <f>'_pockets'!$AJ$223</f>
        <v/>
      </c>
      <c r="M208">
        <f>IF(AND($A208='Pockets'!$D$17,$B208='Pockets'!$C$17,OR('Pockets'!$E$17="All",AND('Pockets'!$E$17="Worse and material",$K208="Yes",$L208="Yes"),AND('Pockets'!$E$17="Worse or not sure",OR($K208="Yes",$K208="Not sure")))),1,0)</f>
        <v/>
      </c>
      <c r="N208">
        <f>$N207+$M208</f>
        <v/>
      </c>
      <c r="O208" t="inlineStr">
        <is>
          <t>grids</t>
        </is>
      </c>
      <c r="P208" t="inlineStr">
        <is>
          <t>contribution_rate</t>
        </is>
      </c>
    </row>
    <row r="209">
      <c r="A209" t="inlineStr">
        <is>
          <t>Two-way</t>
        </is>
      </c>
      <c r="B209" t="inlineStr">
        <is>
          <t>Earned before losses</t>
        </is>
      </c>
      <c r="C209" t="n">
        <v>383</v>
      </c>
      <c r="D209" t="inlineStr">
        <is>
          <t>ORIG_BAL 37,951 - 49,151</t>
        </is>
      </c>
      <c r="E209" t="inlineStr">
        <is>
          <t>ASSET_CLASS 3</t>
        </is>
      </c>
      <c r="G209" t="n">
        <v>382</v>
      </c>
      <c r="H209" t="n">
        <v>-1.961777708300168</v>
      </c>
      <c r="J209" t="n">
        <v>37</v>
      </c>
      <c r="K209">
        <f>'_pockets'!$AI$383</f>
        <v/>
      </c>
      <c r="L209">
        <f>'_pockets'!$AJ$383</f>
        <v/>
      </c>
      <c r="M209">
        <f>IF(AND($A209='Pockets'!$D$17,$B209='Pockets'!$C$17,OR('Pockets'!$E$17="All",AND('Pockets'!$E$17="Worse and material",$K209="Yes",$L209="Yes"),AND('Pockets'!$E$17="Worse or not sure",OR($K209="Yes",$K209="Not sure")))),1,0)</f>
        <v/>
      </c>
      <c r="N209">
        <f>$N208+$M209</f>
        <v/>
      </c>
      <c r="O209" t="inlineStr">
        <is>
          <t>grids</t>
        </is>
      </c>
      <c r="P209" t="inlineStr">
        <is>
          <t>contribution_rate</t>
        </is>
      </c>
    </row>
    <row r="210">
      <c r="A210" t="inlineStr">
        <is>
          <t>Two-way</t>
        </is>
      </c>
      <c r="B210" t="inlineStr">
        <is>
          <t>Earned before losses</t>
        </is>
      </c>
      <c r="C210" t="n">
        <v>168</v>
      </c>
      <c r="D210" t="inlineStr">
        <is>
          <t>FICO 746 - 921</t>
        </is>
      </c>
      <c r="E210" t="inlineStr">
        <is>
          <t>ASSET_CLASS 4</t>
        </is>
      </c>
      <c r="G210" t="n">
        <v>373</v>
      </c>
      <c r="H210" t="n">
        <v>-1.984132196973086</v>
      </c>
      <c r="J210" t="n">
        <v>38</v>
      </c>
      <c r="K210">
        <f>'_pockets'!$AI$168</f>
        <v/>
      </c>
      <c r="L210">
        <f>'_pockets'!$AJ$168</f>
        <v/>
      </c>
      <c r="M210">
        <f>IF(AND($A210='Pockets'!$D$17,$B210='Pockets'!$C$17,OR('Pockets'!$E$17="All",AND('Pockets'!$E$17="Worse and material",$K210="Yes",$L210="Yes"),AND('Pockets'!$E$17="Worse or not sure",OR($K210="Yes",$K210="Not sure")))),1,0)</f>
        <v/>
      </c>
      <c r="N210">
        <f>$N209+$M210</f>
        <v/>
      </c>
      <c r="O210" t="inlineStr">
        <is>
          <t>grids</t>
        </is>
      </c>
      <c r="P210" t="inlineStr">
        <is>
          <t>contribution_rate</t>
        </is>
      </c>
    </row>
    <row r="211">
      <c r="A211" t="inlineStr">
        <is>
          <t>Two-way</t>
        </is>
      </c>
      <c r="B211" t="inlineStr">
        <is>
          <t>Earned before losses</t>
        </is>
      </c>
      <c r="C211" t="n">
        <v>98</v>
      </c>
      <c r="D211" t="inlineStr">
        <is>
          <t>FICO (marked missing)</t>
        </is>
      </c>
      <c r="E211" t="inlineStr">
        <is>
          <t>Broker</t>
        </is>
      </c>
      <c r="G211" t="n">
        <v>54</v>
      </c>
      <c r="H211" t="n">
        <v>-5.108912290708759</v>
      </c>
      <c r="J211" t="n">
        <v>39</v>
      </c>
      <c r="K211">
        <f>'_pockets'!$AI$98</f>
        <v/>
      </c>
      <c r="L211">
        <f>'_pockets'!$AJ$98</f>
        <v/>
      </c>
      <c r="M211">
        <f>IF(AND($A211='Pockets'!$D$17,$B211='Pockets'!$C$17,OR('Pockets'!$E$17="All",AND('Pockets'!$E$17="Worse and material",$K211="Yes",$L211="Yes"),AND('Pockets'!$E$17="Worse or not sure",OR($K211="Yes",$K211="Not sure")))),1,0)</f>
        <v/>
      </c>
      <c r="N211">
        <f>$N210+$M211</f>
        <v/>
      </c>
      <c r="O211" t="inlineStr">
        <is>
          <t>grids</t>
        </is>
      </c>
      <c r="P211" t="inlineStr">
        <is>
          <t>contribution_rate</t>
        </is>
      </c>
    </row>
    <row r="212">
      <c r="A212" t="inlineStr">
        <is>
          <t>Two-way</t>
        </is>
      </c>
      <c r="B212" t="inlineStr">
        <is>
          <t>Earned before losses</t>
        </is>
      </c>
      <c r="C212" t="n">
        <v>113</v>
      </c>
      <c r="D212" t="inlineStr">
        <is>
          <t>FICO 712 - 745</t>
        </is>
      </c>
      <c r="E212" t="inlineStr">
        <is>
          <t>ASSET_CLASS 1</t>
        </is>
      </c>
      <c r="G212" t="n">
        <v>360</v>
      </c>
      <c r="H212" t="n">
        <v>-2.017919639174049</v>
      </c>
      <c r="J212" t="n">
        <v>40</v>
      </c>
      <c r="K212">
        <f>'_pockets'!$AI$113</f>
        <v/>
      </c>
      <c r="L212">
        <f>'_pockets'!$AJ$113</f>
        <v/>
      </c>
      <c r="M212">
        <f>IF(AND($A212='Pockets'!$D$17,$B212='Pockets'!$C$17,OR('Pockets'!$E$17="All",AND('Pockets'!$E$17="Worse and material",$K212="Yes",$L212="Yes"),AND('Pockets'!$E$17="Worse or not sure",OR($K212="Yes",$K212="Not sure")))),1,0)</f>
        <v/>
      </c>
      <c r="N212">
        <f>$N211+$M212</f>
        <v/>
      </c>
      <c r="O212" t="inlineStr">
        <is>
          <t>grids</t>
        </is>
      </c>
      <c r="P212" t="inlineStr">
        <is>
          <t>contribution_rate</t>
        </is>
      </c>
    </row>
    <row r="213">
      <c r="A213" t="inlineStr">
        <is>
          <t>Two-way</t>
        </is>
      </c>
      <c r="B213" t="inlineStr">
        <is>
          <t>Earned before losses</t>
        </is>
      </c>
      <c r="C213" t="n">
        <v>203</v>
      </c>
      <c r="D213" t="inlineStr">
        <is>
          <t>FICO (marked missing)</t>
        </is>
      </c>
      <c r="E213" t="inlineStr">
        <is>
          <t>ASSET_CLASS 3</t>
        </is>
      </c>
      <c r="G213" t="n">
        <v>43</v>
      </c>
      <c r="H213" t="n">
        <v>-5.72124603816749</v>
      </c>
      <c r="J213" t="n">
        <v>41</v>
      </c>
      <c r="K213">
        <f>'_pockets'!$AI$203</f>
        <v/>
      </c>
      <c r="L213">
        <f>'_pockets'!$AJ$203</f>
        <v/>
      </c>
      <c r="M213">
        <f>IF(AND($A213='Pockets'!$D$17,$B213='Pockets'!$C$17,OR('Pockets'!$E$17="All",AND('Pockets'!$E$17="Worse and material",$K213="Yes",$L213="Yes"),AND('Pockets'!$E$17="Worse or not sure",OR($K213="Yes",$K213="Not sure")))),1,0)</f>
        <v/>
      </c>
      <c r="N213">
        <f>$N212+$M213</f>
        <v/>
      </c>
      <c r="O213" t="inlineStr">
        <is>
          <t>grids</t>
        </is>
      </c>
      <c r="P213" t="inlineStr">
        <is>
          <t>contribution_rate</t>
        </is>
      </c>
    </row>
    <row r="214">
      <c r="A214" t="inlineStr">
        <is>
          <t>Two-way</t>
        </is>
      </c>
      <c r="B214" t="inlineStr">
        <is>
          <t>Earned before losses</t>
        </is>
      </c>
      <c r="C214" t="n">
        <v>13</v>
      </c>
      <c r="D214" t="inlineStr">
        <is>
          <t>FICO (blank)</t>
        </is>
      </c>
      <c r="E214" t="inlineStr">
        <is>
          <t>Broker</t>
        </is>
      </c>
      <c r="G214" t="n">
        <v>1</v>
      </c>
      <c r="J214" t="n">
        <v>42</v>
      </c>
      <c r="K214">
        <f>'_pockets'!$AI$13</f>
        <v/>
      </c>
      <c r="L214">
        <f>'_pockets'!$AJ$13</f>
        <v/>
      </c>
      <c r="M214">
        <f>IF(AND($A214='Pockets'!$D$17,$B214='Pockets'!$C$17,OR('Pockets'!$E$17="All",AND('Pockets'!$E$17="Worse and material",$K214="Yes",$L214="Yes"),AND('Pockets'!$E$17="Worse or not sure",OR($K214="Yes",$K214="Not sure")))),1,0)</f>
        <v/>
      </c>
      <c r="N214">
        <f>$N213+$M214</f>
        <v/>
      </c>
      <c r="O214" t="inlineStr">
        <is>
          <t>grids</t>
        </is>
      </c>
      <c r="P214" t="inlineStr">
        <is>
          <t>contribution_rate</t>
        </is>
      </c>
    </row>
    <row r="215">
      <c r="A215" t="inlineStr">
        <is>
          <t>Two-way</t>
        </is>
      </c>
      <c r="B215" t="inlineStr">
        <is>
          <t>Earned before losses</t>
        </is>
      </c>
      <c r="C215" t="n">
        <v>108</v>
      </c>
      <c r="D215" t="inlineStr">
        <is>
          <t>FICO (blank)</t>
        </is>
      </c>
      <c r="E215" t="inlineStr">
        <is>
          <t>ASSET_CLASS 2</t>
        </is>
      </c>
      <c r="G215" t="n">
        <v>1</v>
      </c>
      <c r="J215" t="n">
        <v>43</v>
      </c>
      <c r="K215">
        <f>'_pockets'!$AI$108</f>
        <v/>
      </c>
      <c r="L215">
        <f>'_pockets'!$AJ$108</f>
        <v/>
      </c>
      <c r="M215">
        <f>IF(AND($A215='Pockets'!$D$17,$B215='Pockets'!$C$17,OR('Pockets'!$E$17="All",AND('Pockets'!$E$17="Worse and material",$K215="Yes",$L215="Yes"),AND('Pockets'!$E$17="Worse or not sure",OR($K215="Yes",$K215="Not sure")))),1,0)</f>
        <v/>
      </c>
      <c r="N215">
        <f>$N214+$M215</f>
        <v/>
      </c>
      <c r="O215" t="inlineStr">
        <is>
          <t>grids</t>
        </is>
      </c>
      <c r="P215" t="inlineStr">
        <is>
          <t>contribution_rate</t>
        </is>
      </c>
    </row>
    <row r="216">
      <c r="A216" t="inlineStr">
        <is>
          <t>Two-way</t>
        </is>
      </c>
      <c r="B216" t="inlineStr">
        <is>
          <t>Earned before losses</t>
        </is>
      </c>
      <c r="C216" t="n">
        <v>48</v>
      </c>
      <c r="D216" t="inlineStr">
        <is>
          <t>FICO 746 - 921</t>
        </is>
      </c>
      <c r="E216" t="inlineStr">
        <is>
          <t>Broker</t>
        </is>
      </c>
      <c r="G216" t="n">
        <v>536</v>
      </c>
      <c r="H216" t="n">
        <v>-1.673150190798175</v>
      </c>
      <c r="J216" t="n">
        <v>44</v>
      </c>
      <c r="K216">
        <f>'_pockets'!$AI$48</f>
        <v/>
      </c>
      <c r="L216">
        <f>'_pockets'!$AJ$48</f>
        <v/>
      </c>
      <c r="M216">
        <f>IF(AND($A216='Pockets'!$D$17,$B216='Pockets'!$C$17,OR('Pockets'!$E$17="All",AND('Pockets'!$E$17="Worse and material",$K216="Yes",$L216="Yes"),AND('Pockets'!$E$17="Worse or not sure",OR($K216="Yes",$K216="Not sure")))),1,0)</f>
        <v/>
      </c>
      <c r="N216">
        <f>$N215+$M216</f>
        <v/>
      </c>
      <c r="O216" t="inlineStr">
        <is>
          <t>grids</t>
        </is>
      </c>
      <c r="P216" t="inlineStr">
        <is>
          <t>contribution_rate</t>
        </is>
      </c>
    </row>
    <row r="217">
      <c r="A217" t="inlineStr">
        <is>
          <t>Two-way</t>
        </is>
      </c>
      <c r="B217" t="inlineStr">
        <is>
          <t>Earned before losses</t>
        </is>
      </c>
      <c r="C217" t="n">
        <v>28</v>
      </c>
      <c r="D217" t="inlineStr">
        <is>
          <t>FICO 746 - 921</t>
        </is>
      </c>
      <c r="E217" t="inlineStr">
        <is>
          <t>Branch</t>
        </is>
      </c>
      <c r="G217" t="n">
        <v>518</v>
      </c>
      <c r="H217" t="n">
        <v>-1.699923061552088</v>
      </c>
      <c r="J217" t="n">
        <v>45</v>
      </c>
      <c r="K217">
        <f>'_pockets'!$AI$28</f>
        <v/>
      </c>
      <c r="L217">
        <f>'_pockets'!$AJ$28</f>
        <v/>
      </c>
      <c r="M217">
        <f>IF(AND($A217='Pockets'!$D$17,$B217='Pockets'!$C$17,OR('Pockets'!$E$17="All",AND('Pockets'!$E$17="Worse and material",$K217="Yes",$L217="Yes"),AND('Pockets'!$E$17="Worse or not sure",OR($K217="Yes",$K217="Not sure")))),1,0)</f>
        <v/>
      </c>
      <c r="N217">
        <f>$N216+$M217</f>
        <v/>
      </c>
      <c r="O217" t="inlineStr">
        <is>
          <t>grids</t>
        </is>
      </c>
      <c r="P217" t="inlineStr">
        <is>
          <t>contribution_rate</t>
        </is>
      </c>
    </row>
    <row r="218">
      <c r="A218" t="inlineStr">
        <is>
          <t>Two-way</t>
        </is>
      </c>
      <c r="B218" t="inlineStr">
        <is>
          <t>Earned before losses</t>
        </is>
      </c>
      <c r="C218" t="n">
        <v>148</v>
      </c>
      <c r="D218" t="inlineStr">
        <is>
          <t>FICO 746 - 921</t>
        </is>
      </c>
      <c r="E218" t="inlineStr">
        <is>
          <t>ASSET_CLASS 1</t>
        </is>
      </c>
      <c r="G218" t="n">
        <v>414</v>
      </c>
      <c r="H218" t="n">
        <v>-1.888407044068783</v>
      </c>
      <c r="J218" t="n">
        <v>46</v>
      </c>
      <c r="K218">
        <f>'_pockets'!$AI$148</f>
        <v/>
      </c>
      <c r="L218">
        <f>'_pockets'!$AJ$148</f>
        <v/>
      </c>
      <c r="M218">
        <f>IF(AND($A218='Pockets'!$D$17,$B218='Pockets'!$C$17,OR('Pockets'!$E$17="All",AND('Pockets'!$E$17="Worse and material",$K218="Yes",$L218="Yes"),AND('Pockets'!$E$17="Worse or not sure",OR($K218="Yes",$K218="Not sure")))),1,0)</f>
        <v/>
      </c>
      <c r="N218">
        <f>$N217+$M218</f>
        <v/>
      </c>
      <c r="O218" t="inlineStr">
        <is>
          <t>grids</t>
        </is>
      </c>
      <c r="P218" t="inlineStr">
        <is>
          <t>contribution_rate</t>
        </is>
      </c>
    </row>
    <row r="219">
      <c r="A219" t="inlineStr">
        <is>
          <t>Two-way</t>
        </is>
      </c>
      <c r="B219" t="inlineStr">
        <is>
          <t>Earned before losses</t>
        </is>
      </c>
      <c r="C219" t="n">
        <v>188</v>
      </c>
      <c r="D219" t="inlineStr">
        <is>
          <t>FICO 746 - 921</t>
        </is>
      </c>
      <c r="E219" t="inlineStr">
        <is>
          <t>ASSET_CLASS 3</t>
        </is>
      </c>
      <c r="G219" t="n">
        <v>385</v>
      </c>
      <c r="H219" t="n">
        <v>-1.954504455666212</v>
      </c>
      <c r="J219" t="n">
        <v>47</v>
      </c>
      <c r="K219">
        <f>'_pockets'!$AI$188</f>
        <v/>
      </c>
      <c r="L219">
        <f>'_pockets'!$AJ$188</f>
        <v/>
      </c>
      <c r="M219">
        <f>IF(AND($A219='Pockets'!$D$17,$B219='Pockets'!$C$17,OR('Pockets'!$E$17="All",AND('Pockets'!$E$17="Worse and material",$K219="Yes",$L219="Yes"),AND('Pockets'!$E$17="Worse or not sure",OR($K219="Yes",$K219="Not sure")))),1,0)</f>
        <v/>
      </c>
      <c r="N219">
        <f>$N218+$M219</f>
        <v/>
      </c>
      <c r="O219" t="inlineStr">
        <is>
          <t>grids</t>
        </is>
      </c>
      <c r="P219" t="inlineStr">
        <is>
          <t>contribution_rate</t>
        </is>
      </c>
    </row>
    <row r="220">
      <c r="A220" t="inlineStr">
        <is>
          <t>Two-way</t>
        </is>
      </c>
      <c r="B220" t="inlineStr">
        <is>
          <t>Earned before losses</t>
        </is>
      </c>
      <c r="C220" t="n">
        <v>128</v>
      </c>
      <c r="D220" t="inlineStr">
        <is>
          <t>FICO 712 - 745</t>
        </is>
      </c>
      <c r="E220" t="inlineStr">
        <is>
          <t>ASSET_CLASS 4</t>
        </is>
      </c>
      <c r="G220" t="n">
        <v>427</v>
      </c>
      <c r="H220" t="n">
        <v>-1.861034327234625</v>
      </c>
      <c r="J220" t="n">
        <v>48</v>
      </c>
      <c r="K220">
        <f>'_pockets'!$AI$128</f>
        <v/>
      </c>
      <c r="L220">
        <f>'_pockets'!$AJ$128</f>
        <v/>
      </c>
      <c r="M220">
        <f>IF(AND($A220='Pockets'!$D$17,$B220='Pockets'!$C$17,OR('Pockets'!$E$17="All",AND('Pockets'!$E$17="Worse and material",$K220="Yes",$L220="Yes"),AND('Pockets'!$E$17="Worse or not sure",OR($K220="Yes",$K220="Not sure")))),1,0)</f>
        <v/>
      </c>
      <c r="N220">
        <f>$N219+$M220</f>
        <v/>
      </c>
      <c r="O220" t="inlineStr">
        <is>
          <t>grids</t>
        </is>
      </c>
      <c r="P220" t="inlineStr">
        <is>
          <t>contribution_rate</t>
        </is>
      </c>
    </row>
    <row r="221">
      <c r="A221" t="inlineStr">
        <is>
          <t>Two-way</t>
        </is>
      </c>
      <c r="B221" t="inlineStr">
        <is>
          <t>Earned before losses</t>
        </is>
      </c>
      <c r="C221" t="n">
        <v>43</v>
      </c>
      <c r="D221" t="inlineStr">
        <is>
          <t>FICO 712 - 745</t>
        </is>
      </c>
      <c r="E221" t="inlineStr">
        <is>
          <t>Online</t>
        </is>
      </c>
      <c r="G221" t="n">
        <v>564</v>
      </c>
      <c r="H221" t="n">
        <v>-1.634158262403751</v>
      </c>
      <c r="J221" t="n">
        <v>49</v>
      </c>
      <c r="K221">
        <f>'_pockets'!$AI$43</f>
        <v/>
      </c>
      <c r="L221">
        <f>'_pockets'!$AJ$43</f>
        <v/>
      </c>
      <c r="M221">
        <f>IF(AND($A221='Pockets'!$D$17,$B221='Pockets'!$C$17,OR('Pockets'!$E$17="All",AND('Pockets'!$E$17="Worse and material",$K221="Yes",$L221="Yes"),AND('Pockets'!$E$17="Worse or not sure",OR($K221="Yes",$K221="Not sure")))),1,0)</f>
        <v/>
      </c>
      <c r="N221">
        <f>$N220+$M221</f>
        <v/>
      </c>
      <c r="O221" t="inlineStr">
        <is>
          <t>grids</t>
        </is>
      </c>
      <c r="P221" t="inlineStr">
        <is>
          <t>contribution_rate</t>
        </is>
      </c>
    </row>
    <row r="222">
      <c r="A222" t="inlineStr">
        <is>
          <t>Split by SYS_FLAG</t>
        </is>
      </c>
      <c r="B222" t="inlineStr">
        <is>
          <t>Bad loans</t>
        </is>
      </c>
      <c r="C222" t="n">
        <v>539</v>
      </c>
      <c r="D222" t="inlineStr">
        <is>
          <t>FICO 496 - 653</t>
        </is>
      </c>
      <c r="E222" t="inlineStr">
        <is>
          <t>Broker</t>
        </is>
      </c>
      <c r="F222" t="inlineStr">
        <is>
          <t>Y</t>
        </is>
      </c>
      <c r="G222" t="n">
        <v>265</v>
      </c>
      <c r="H222" t="n">
        <v>1.652493453789482</v>
      </c>
      <c r="J222" t="n">
        <v>1</v>
      </c>
      <c r="K222">
        <f>'_pockets'!$AI$539</f>
        <v/>
      </c>
      <c r="L222">
        <f>'_pockets'!$AJ$539</f>
        <v/>
      </c>
      <c r="M222">
        <f>IF(AND($A222='Pockets'!$D$17,$B222='Pockets'!$C$17,OR('Pockets'!$E$17="All",AND('Pockets'!$E$17="Worse and material",$K222="Yes",$L222="Yes"),AND('Pockets'!$E$17="Worse or not sure",OR($K222="Yes",$K222="Not sure")))),1,0)</f>
        <v/>
      </c>
      <c r="N222">
        <f>$N221+$M222</f>
        <v/>
      </c>
      <c r="O222" t="inlineStr">
        <is>
          <t>three-way</t>
        </is>
      </c>
      <c r="P222" t="inlineStr">
        <is>
          <t>outcome_loans</t>
        </is>
      </c>
    </row>
    <row r="223">
      <c r="A223" t="inlineStr">
        <is>
          <t>Split by SYS_FLAG</t>
        </is>
      </c>
      <c r="B223" t="inlineStr">
        <is>
          <t>Bad loans</t>
        </is>
      </c>
      <c r="C223" t="n">
        <v>1149</v>
      </c>
      <c r="D223" t="inlineStr">
        <is>
          <t>ORIG_BAL 37,951 - 49,151</t>
        </is>
      </c>
      <c r="E223" t="inlineStr">
        <is>
          <t>ASSET_CLASS 4</t>
        </is>
      </c>
      <c r="F223" t="inlineStr">
        <is>
          <t>Y</t>
        </is>
      </c>
      <c r="G223" t="n">
        <v>189</v>
      </c>
      <c r="H223" t="n">
        <v>1.776757224535108</v>
      </c>
      <c r="J223" t="n">
        <v>2</v>
      </c>
      <c r="K223">
        <f>'_pockets'!$AI$1149</f>
        <v/>
      </c>
      <c r="L223">
        <f>'_pockets'!$AJ$1149</f>
        <v/>
      </c>
      <c r="M223">
        <f>IF(AND($A223='Pockets'!$D$17,$B223='Pockets'!$C$17,OR('Pockets'!$E$17="All",AND('Pockets'!$E$17="Worse and material",$K223="Yes",$L223="Yes"),AND('Pockets'!$E$17="Worse or not sure",OR($K223="Yes",$K223="Not sure")))),1,0)</f>
        <v/>
      </c>
      <c r="N223">
        <f>$N222+$M223</f>
        <v/>
      </c>
      <c r="O223" t="inlineStr">
        <is>
          <t>three-way</t>
        </is>
      </c>
      <c r="P223" t="inlineStr">
        <is>
          <t>outcome_loans</t>
        </is>
      </c>
    </row>
    <row r="224">
      <c r="A224" t="inlineStr">
        <is>
          <t>Split by SYS_FLAG</t>
        </is>
      </c>
      <c r="B224" t="inlineStr">
        <is>
          <t>Bad loans</t>
        </is>
      </c>
      <c r="C224" t="n">
        <v>509</v>
      </c>
      <c r="D224" t="inlineStr">
        <is>
          <t>FICO 712 - 745</t>
        </is>
      </c>
      <c r="E224" t="inlineStr">
        <is>
          <t>Online</t>
        </is>
      </c>
      <c r="F224" t="inlineStr">
        <is>
          <t>Y</t>
        </is>
      </c>
      <c r="G224" t="n">
        <v>278</v>
      </c>
      <c r="H224" t="n">
        <v>1.636742156051363</v>
      </c>
      <c r="J224" t="n">
        <v>3</v>
      </c>
      <c r="K224">
        <f>'_pockets'!$AI$509</f>
        <v/>
      </c>
      <c r="L224">
        <f>'_pockets'!$AJ$509</f>
        <v/>
      </c>
      <c r="M224">
        <f>IF(AND($A224='Pockets'!$D$17,$B224='Pockets'!$C$17,OR('Pockets'!$E$17="All",AND('Pockets'!$E$17="Worse and material",$K224="Yes",$L224="Yes"),AND('Pockets'!$E$17="Worse or not sure",OR($K224="Yes",$K224="Not sure")))),1,0)</f>
        <v/>
      </c>
      <c r="N224">
        <f>$N223+$M224</f>
        <v/>
      </c>
      <c r="O224" t="inlineStr">
        <is>
          <t>three-way</t>
        </is>
      </c>
      <c r="P224" t="inlineStr">
        <is>
          <t>outcome_loans</t>
        </is>
      </c>
    </row>
    <row r="225">
      <c r="A225" t="inlineStr">
        <is>
          <t>Split by SYS_FLAG</t>
        </is>
      </c>
      <c r="B225" t="inlineStr">
        <is>
          <t>Bad loans</t>
        </is>
      </c>
      <c r="C225" t="n">
        <v>784</v>
      </c>
      <c r="D225" t="inlineStr">
        <is>
          <t>FICO 496 - 653</t>
        </is>
      </c>
      <c r="E225" t="inlineStr">
        <is>
          <t>ASSET_CLASS 4</t>
        </is>
      </c>
      <c r="F225" t="inlineStr">
        <is>
          <t>Y</t>
        </is>
      </c>
      <c r="G225" t="n">
        <v>189</v>
      </c>
      <c r="H225" t="n">
        <v>1.776757224535108</v>
      </c>
      <c r="J225" t="n">
        <v>4</v>
      </c>
      <c r="K225">
        <f>'_pockets'!$AI$784</f>
        <v/>
      </c>
      <c r="L225">
        <f>'_pockets'!$AJ$784</f>
        <v/>
      </c>
      <c r="M225">
        <f>IF(AND($A225='Pockets'!$D$17,$B225='Pockets'!$C$17,OR('Pockets'!$E$17="All",AND('Pockets'!$E$17="Worse and material",$K225="Yes",$L225="Yes"),AND('Pockets'!$E$17="Worse or not sure",OR($K225="Yes",$K225="Not sure")))),1,0)</f>
        <v/>
      </c>
      <c r="N225">
        <f>$N224+$M225</f>
        <v/>
      </c>
      <c r="O225" t="inlineStr">
        <is>
          <t>three-way</t>
        </is>
      </c>
      <c r="P225" t="inlineStr">
        <is>
          <t>outcome_loans</t>
        </is>
      </c>
    </row>
    <row r="226">
      <c r="A226" t="inlineStr">
        <is>
          <t>Split by SYS_FLAG</t>
        </is>
      </c>
      <c r="B226" t="inlineStr">
        <is>
          <t>Bad loans</t>
        </is>
      </c>
      <c r="C226" t="n">
        <v>969</v>
      </c>
      <c r="D226" t="inlineStr">
        <is>
          <t>ORIG_BAL 37,951 - 49,151</t>
        </is>
      </c>
      <c r="E226" t="inlineStr">
        <is>
          <t>Broker</t>
        </is>
      </c>
      <c r="F226" t="inlineStr">
        <is>
          <t>Y</t>
        </is>
      </c>
      <c r="G226" t="n">
        <v>249</v>
      </c>
      <c r="H226" t="n">
        <v>1.673630183948054</v>
      </c>
      <c r="J226" t="n">
        <v>5</v>
      </c>
      <c r="K226">
        <f>'_pockets'!$AI$969</f>
        <v/>
      </c>
      <c r="L226">
        <f>'_pockets'!$AJ$969</f>
        <v/>
      </c>
      <c r="M226">
        <f>IF(AND($A226='Pockets'!$D$17,$B226='Pockets'!$C$17,OR('Pockets'!$E$17="All",AND('Pockets'!$E$17="Worse and material",$K226="Yes",$L226="Yes"),AND('Pockets'!$E$17="Worse or not sure",OR($K226="Yes",$K226="Not sure")))),1,0)</f>
        <v/>
      </c>
      <c r="N226">
        <f>$N225+$M226</f>
        <v/>
      </c>
      <c r="O226" t="inlineStr">
        <is>
          <t>three-way</t>
        </is>
      </c>
      <c r="P226" t="inlineStr">
        <is>
          <t>outcome_loans</t>
        </is>
      </c>
    </row>
    <row r="227">
      <c r="A227" t="inlineStr">
        <is>
          <t>Split by SYS_FLAG</t>
        </is>
      </c>
      <c r="B227" t="inlineStr">
        <is>
          <t>Bad loans</t>
        </is>
      </c>
      <c r="C227" t="n">
        <v>979</v>
      </c>
      <c r="D227" t="inlineStr">
        <is>
          <t>ORIG_BAL 15,449 - 26,323</t>
        </is>
      </c>
      <c r="E227" t="inlineStr">
        <is>
          <t>Broker</t>
        </is>
      </c>
      <c r="F227" t="inlineStr">
        <is>
          <t>Y</t>
        </is>
      </c>
      <c r="G227" t="n">
        <v>244</v>
      </c>
      <c r="H227" t="n">
        <v>1.680678337905755</v>
      </c>
      <c r="J227" t="n">
        <v>6</v>
      </c>
      <c r="K227">
        <f>'_pockets'!$AI$979</f>
        <v/>
      </c>
      <c r="L227">
        <f>'_pockets'!$AJ$979</f>
        <v/>
      </c>
      <c r="M227">
        <f>IF(AND($A227='Pockets'!$D$17,$B227='Pockets'!$C$17,OR('Pockets'!$E$17="All",AND('Pockets'!$E$17="Worse and material",$K227="Yes",$L227="Yes"),AND('Pockets'!$E$17="Worse or not sure",OR($K227="Yes",$K227="Not sure")))),1,0)</f>
        <v/>
      </c>
      <c r="N227">
        <f>$N226+$M227</f>
        <v/>
      </c>
      <c r="O227" t="inlineStr">
        <is>
          <t>three-way</t>
        </is>
      </c>
      <c r="P227" t="inlineStr">
        <is>
          <t>outcome_loans</t>
        </is>
      </c>
    </row>
    <row r="228">
      <c r="A228" t="inlineStr">
        <is>
          <t>Split by SYS_FLAG</t>
        </is>
      </c>
      <c r="B228" t="inlineStr">
        <is>
          <t>Bad loans</t>
        </is>
      </c>
      <c r="C228" t="n">
        <v>974</v>
      </c>
      <c r="D228" t="inlineStr">
        <is>
          <t>ORIG_BAL 37,951 - 49,151</t>
        </is>
      </c>
      <c r="E228" t="inlineStr">
        <is>
          <t>Online</t>
        </is>
      </c>
      <c r="F228" t="inlineStr">
        <is>
          <t>Y</t>
        </is>
      </c>
      <c r="G228" t="n">
        <v>254</v>
      </c>
      <c r="H228" t="n">
        <v>1.666800763360692</v>
      </c>
      <c r="J228" t="n">
        <v>7</v>
      </c>
      <c r="K228">
        <f>'_pockets'!$AI$974</f>
        <v/>
      </c>
      <c r="L228">
        <f>'_pockets'!$AJ$974</f>
        <v/>
      </c>
      <c r="M228">
        <f>IF(AND($A228='Pockets'!$D$17,$B228='Pockets'!$C$17,OR('Pockets'!$E$17="All",AND('Pockets'!$E$17="Worse and material",$K228="Yes",$L228="Yes"),AND('Pockets'!$E$17="Worse or not sure",OR($K228="Yes",$K228="Not sure")))),1,0)</f>
        <v/>
      </c>
      <c r="N228">
        <f>$N227+$M228</f>
        <v/>
      </c>
      <c r="O228" t="inlineStr">
        <is>
          <t>three-way</t>
        </is>
      </c>
      <c r="P228" t="inlineStr">
        <is>
          <t>outcome_loans</t>
        </is>
      </c>
    </row>
    <row r="229">
      <c r="A229" t="inlineStr">
        <is>
          <t>Split by SYS_FLAG</t>
        </is>
      </c>
      <c r="B229" t="inlineStr">
        <is>
          <t>Bad loans</t>
        </is>
      </c>
      <c r="C229" t="n">
        <v>804</v>
      </c>
      <c r="D229" t="inlineStr">
        <is>
          <t>FICO 654 - 685</t>
        </is>
      </c>
      <c r="E229" t="inlineStr">
        <is>
          <t>ASSET_CLASS 4</t>
        </is>
      </c>
      <c r="F229" t="inlineStr">
        <is>
          <t>Y</t>
        </is>
      </c>
      <c r="G229" t="n">
        <v>191</v>
      </c>
      <c r="H229" t="n">
        <v>1.772515643463992</v>
      </c>
      <c r="J229" t="n">
        <v>8</v>
      </c>
      <c r="K229">
        <f>'_pockets'!$AI$804</f>
        <v/>
      </c>
      <c r="L229">
        <f>'_pockets'!$AJ$804</f>
        <v/>
      </c>
      <c r="M229">
        <f>IF(AND($A229='Pockets'!$D$17,$B229='Pockets'!$C$17,OR('Pockets'!$E$17="All",AND('Pockets'!$E$17="Worse and material",$K229="Yes",$L229="Yes"),AND('Pockets'!$E$17="Worse or not sure",OR($K229="Yes",$K229="Not sure")))),1,0)</f>
        <v/>
      </c>
      <c r="N229">
        <f>$N228+$M229</f>
        <v/>
      </c>
      <c r="O229" t="inlineStr">
        <is>
          <t>three-way</t>
        </is>
      </c>
      <c r="P229" t="inlineStr">
        <is>
          <t>outcome_loans</t>
        </is>
      </c>
    </row>
    <row r="230">
      <c r="A230" t="inlineStr">
        <is>
          <t>Split by SYS_FLAG</t>
        </is>
      </c>
      <c r="B230" t="inlineStr">
        <is>
          <t>Bad loans</t>
        </is>
      </c>
      <c r="C230" t="n">
        <v>474</v>
      </c>
      <c r="D230" t="inlineStr">
        <is>
          <t>FICO 686 - 711</t>
        </is>
      </c>
      <c r="E230" t="inlineStr">
        <is>
          <t>Online</t>
        </is>
      </c>
      <c r="F230" t="inlineStr">
        <is>
          <t>Y</t>
        </is>
      </c>
      <c r="G230" t="n">
        <v>249</v>
      </c>
      <c r="H230" t="n">
        <v>1.673630183948054</v>
      </c>
      <c r="J230" t="n">
        <v>9</v>
      </c>
      <c r="K230">
        <f>'_pockets'!$AI$474</f>
        <v/>
      </c>
      <c r="L230">
        <f>'_pockets'!$AJ$474</f>
        <v/>
      </c>
      <c r="M230">
        <f>IF(AND($A230='Pockets'!$D$17,$B230='Pockets'!$C$17,OR('Pockets'!$E$17="All",AND('Pockets'!$E$17="Worse and material",$K230="Yes",$L230="Yes"),AND('Pockets'!$E$17="Worse or not sure",OR($K230="Yes",$K230="Not sure")))),1,0)</f>
        <v/>
      </c>
      <c r="N230">
        <f>$N229+$M230</f>
        <v/>
      </c>
      <c r="O230" t="inlineStr">
        <is>
          <t>three-way</t>
        </is>
      </c>
      <c r="P230" t="inlineStr">
        <is>
          <t>outcome_loans</t>
        </is>
      </c>
    </row>
    <row r="231">
      <c r="A231" t="inlineStr">
        <is>
          <t>Split by SYS_FLAG</t>
        </is>
      </c>
      <c r="B231" t="inlineStr">
        <is>
          <t>Bad loans</t>
        </is>
      </c>
      <c r="C231" t="n">
        <v>619</v>
      </c>
      <c r="D231" t="inlineStr">
        <is>
          <t>FICO 712 - 745</t>
        </is>
      </c>
      <c r="E231" t="inlineStr">
        <is>
          <t>ASSET_CLASS 4</t>
        </is>
      </c>
      <c r="F231" t="inlineStr">
        <is>
          <t>Y</t>
        </is>
      </c>
      <c r="G231" t="n">
        <v>207</v>
      </c>
      <c r="H231" t="n">
        <v>1.740925722934131</v>
      </c>
      <c r="J231" t="n">
        <v>10</v>
      </c>
      <c r="K231">
        <f>'_pockets'!$AI$619</f>
        <v/>
      </c>
      <c r="L231">
        <f>'_pockets'!$AJ$619</f>
        <v/>
      </c>
      <c r="M231">
        <f>IF(AND($A231='Pockets'!$D$17,$B231='Pockets'!$C$17,OR('Pockets'!$E$17="All",AND('Pockets'!$E$17="Worse and material",$K231="Yes",$L231="Yes"),AND('Pockets'!$E$17="Worse or not sure",OR($K231="Yes",$K231="Not sure")))),1,0)</f>
        <v/>
      </c>
      <c r="N231">
        <f>$N230+$M231</f>
        <v/>
      </c>
      <c r="O231" t="inlineStr">
        <is>
          <t>three-way</t>
        </is>
      </c>
      <c r="P231" t="inlineStr">
        <is>
          <t>outcome_loans</t>
        </is>
      </c>
    </row>
    <row r="232">
      <c r="A232" t="inlineStr">
        <is>
          <t>Split by SYS_FLAG</t>
        </is>
      </c>
      <c r="B232" t="inlineStr">
        <is>
          <t>Bad loans</t>
        </is>
      </c>
      <c r="C232" t="n">
        <v>1019</v>
      </c>
      <c r="D232" t="inlineStr">
        <is>
          <t>ORIG_BAL 26,324 - 37,950</t>
        </is>
      </c>
      <c r="E232" t="inlineStr">
        <is>
          <t>ASSET_CLASS 4</t>
        </is>
      </c>
      <c r="F232" t="inlineStr">
        <is>
          <t>Y</t>
        </is>
      </c>
      <c r="G232" t="n">
        <v>194</v>
      </c>
      <c r="H232" t="n">
        <v>1.766282281624315</v>
      </c>
      <c r="J232" t="n">
        <v>11</v>
      </c>
      <c r="K232">
        <f>'_pockets'!$AI$1019</f>
        <v/>
      </c>
      <c r="L232">
        <f>'_pockets'!$AJ$1019</f>
        <v/>
      </c>
      <c r="M232">
        <f>IF(AND($A232='Pockets'!$D$17,$B232='Pockets'!$C$17,OR('Pockets'!$E$17="All",AND('Pockets'!$E$17="Worse and material",$K232="Yes",$L232="Yes"),AND('Pockets'!$E$17="Worse or not sure",OR($K232="Yes",$K232="Not sure")))),1,0)</f>
        <v/>
      </c>
      <c r="N232">
        <f>$N231+$M232</f>
        <v/>
      </c>
      <c r="O232" t="inlineStr">
        <is>
          <t>three-way</t>
        </is>
      </c>
      <c r="P232" t="inlineStr">
        <is>
          <t>outcome_loans</t>
        </is>
      </c>
    </row>
    <row r="233">
      <c r="A233" t="inlineStr">
        <is>
          <t>Split by SYS_FLAG</t>
        </is>
      </c>
      <c r="B233" t="inlineStr">
        <is>
          <t>Bad loans</t>
        </is>
      </c>
      <c r="C233" t="n">
        <v>1154</v>
      </c>
      <c r="D233" t="inlineStr">
        <is>
          <t>ORIG_BAL 49,152 - 59,984</t>
        </is>
      </c>
      <c r="E233" t="inlineStr">
        <is>
          <t>ASSET_CLASS 4</t>
        </is>
      </c>
      <c r="F233" t="inlineStr">
        <is>
          <t>Y</t>
        </is>
      </c>
      <c r="G233" t="n">
        <v>171</v>
      </c>
      <c r="H233" t="n">
        <v>1.818379758996963</v>
      </c>
      <c r="J233" t="n">
        <v>12</v>
      </c>
      <c r="K233">
        <f>'_pockets'!$AI$1154</f>
        <v/>
      </c>
      <c r="L233">
        <f>'_pockets'!$AJ$1154</f>
        <v/>
      </c>
      <c r="M233">
        <f>IF(AND($A233='Pockets'!$D$17,$B233='Pockets'!$C$17,OR('Pockets'!$E$17="All",AND('Pockets'!$E$17="Worse and material",$K233="Yes",$L233="Yes"),AND('Pockets'!$E$17="Worse or not sure",OR($K233="Yes",$K233="Not sure")))),1,0)</f>
        <v/>
      </c>
      <c r="N233">
        <f>$N232+$M233</f>
        <v/>
      </c>
      <c r="O233" t="inlineStr">
        <is>
          <t>three-way</t>
        </is>
      </c>
      <c r="P233" t="inlineStr">
        <is>
          <t>outcome_loans</t>
        </is>
      </c>
    </row>
    <row r="234">
      <c r="A234" t="inlineStr">
        <is>
          <t>Split by SYS_FLAG</t>
        </is>
      </c>
      <c r="B234" t="inlineStr">
        <is>
          <t>Bad loans</t>
        </is>
      </c>
      <c r="C234" t="n">
        <v>954</v>
      </c>
      <c r="D234" t="inlineStr">
        <is>
          <t>ORIG_BAL 49,152 - 59,984</t>
        </is>
      </c>
      <c r="E234" t="inlineStr">
        <is>
          <t>Broker</t>
        </is>
      </c>
      <c r="F234" t="inlineStr">
        <is>
          <t>Y</t>
        </is>
      </c>
      <c r="G234" t="n">
        <v>242</v>
      </c>
      <c r="H234" t="n">
        <v>1.683561434076145</v>
      </c>
      <c r="J234" t="n">
        <v>13</v>
      </c>
      <c r="K234">
        <f>'_pockets'!$AI$954</f>
        <v/>
      </c>
      <c r="L234">
        <f>'_pockets'!$AJ$954</f>
        <v/>
      </c>
      <c r="M234">
        <f>IF(AND($A234='Pockets'!$D$17,$B234='Pockets'!$C$17,OR('Pockets'!$E$17="All",AND('Pockets'!$E$17="Worse and material",$K234="Yes",$L234="Yes"),AND('Pockets'!$E$17="Worse or not sure",OR($K234="Yes",$K234="Not sure")))),1,0)</f>
        <v/>
      </c>
      <c r="N234">
        <f>$N233+$M234</f>
        <v/>
      </c>
      <c r="O234" t="inlineStr">
        <is>
          <t>three-way</t>
        </is>
      </c>
      <c r="P234" t="inlineStr">
        <is>
          <t>outcome_loans</t>
        </is>
      </c>
    </row>
    <row r="235">
      <c r="A235" t="inlineStr">
        <is>
          <t>Split by SYS_FLAG</t>
        </is>
      </c>
      <c r="B235" t="inlineStr">
        <is>
          <t>Bad loans</t>
        </is>
      </c>
      <c r="C235" t="n">
        <v>439</v>
      </c>
      <c r="D235" t="inlineStr">
        <is>
          <t>FICO 496 - 653</t>
        </is>
      </c>
      <c r="E235" t="inlineStr">
        <is>
          <t>Broker</t>
        </is>
      </c>
      <c r="F235" t="inlineStr">
        <is>
          <t>N</t>
        </is>
      </c>
      <c r="G235" t="n">
        <v>258</v>
      </c>
      <c r="H235" t="n">
        <v>1.661487378609934</v>
      </c>
      <c r="J235" t="n">
        <v>14</v>
      </c>
      <c r="K235">
        <f>'_pockets'!$AI$439</f>
        <v/>
      </c>
      <c r="L235">
        <f>'_pockets'!$AJ$439</f>
        <v/>
      </c>
      <c r="M235">
        <f>IF(AND($A235='Pockets'!$D$17,$B235='Pockets'!$C$17,OR('Pockets'!$E$17="All",AND('Pockets'!$E$17="Worse and material",$K235="Yes",$L235="Yes"),AND('Pockets'!$E$17="Worse or not sure",OR($K235="Yes",$K235="Not sure")))),1,0)</f>
        <v/>
      </c>
      <c r="N235">
        <f>$N234+$M235</f>
        <v/>
      </c>
      <c r="O235" t="inlineStr">
        <is>
          <t>three-way</t>
        </is>
      </c>
      <c r="P235" t="inlineStr">
        <is>
          <t>outcome_loans</t>
        </is>
      </c>
    </row>
    <row r="236">
      <c r="A236" t="inlineStr">
        <is>
          <t>Split by SYS_FLAG</t>
        </is>
      </c>
      <c r="B236" t="inlineStr">
        <is>
          <t>Bad loans</t>
        </is>
      </c>
      <c r="C236" t="n">
        <v>759</v>
      </c>
      <c r="D236" t="inlineStr">
        <is>
          <t>FICO 496 - 653</t>
        </is>
      </c>
      <c r="E236" t="inlineStr">
        <is>
          <t>ASSET_CLASS 1</t>
        </is>
      </c>
      <c r="F236" t="inlineStr">
        <is>
          <t>Y</t>
        </is>
      </c>
      <c r="G236" t="n">
        <v>186</v>
      </c>
      <c r="H236" t="n">
        <v>1.783253341014059</v>
      </c>
      <c r="J236" t="n">
        <v>15</v>
      </c>
      <c r="K236">
        <f>'_pockets'!$AI$759</f>
        <v/>
      </c>
      <c r="L236">
        <f>'_pockets'!$AJ$759</f>
        <v/>
      </c>
      <c r="M236">
        <f>IF(AND($A236='Pockets'!$D$17,$B236='Pockets'!$C$17,OR('Pockets'!$E$17="All",AND('Pockets'!$E$17="Worse and material",$K236="Yes",$L236="Yes"),AND('Pockets'!$E$17="Worse or not sure",OR($K236="Yes",$K236="Not sure")))),1,0)</f>
        <v/>
      </c>
      <c r="N236">
        <f>$N235+$M236</f>
        <v/>
      </c>
      <c r="O236" t="inlineStr">
        <is>
          <t>three-way</t>
        </is>
      </c>
      <c r="P236" t="inlineStr">
        <is>
          <t>outcome_loans</t>
        </is>
      </c>
    </row>
    <row r="237">
      <c r="A237" t="inlineStr">
        <is>
          <t>Split by SYS_FLAG</t>
        </is>
      </c>
      <c r="B237" t="inlineStr">
        <is>
          <t>Bad loans</t>
        </is>
      </c>
      <c r="C237" t="n">
        <v>899</v>
      </c>
      <c r="D237" t="inlineStr">
        <is>
          <t>ORIG_BAL 49,152 - 59,984</t>
        </is>
      </c>
      <c r="E237" t="inlineStr">
        <is>
          <t>Online</t>
        </is>
      </c>
      <c r="F237" t="inlineStr">
        <is>
          <t>Y</t>
        </is>
      </c>
      <c r="G237" t="n">
        <v>274</v>
      </c>
      <c r="H237" t="n">
        <v>1.641463532232868</v>
      </c>
      <c r="J237" t="n">
        <v>16</v>
      </c>
      <c r="K237">
        <f>'_pockets'!$AI$899</f>
        <v/>
      </c>
      <c r="L237">
        <f>'_pockets'!$AJ$899</f>
        <v/>
      </c>
      <c r="M237">
        <f>IF(AND($A237='Pockets'!$D$17,$B237='Pockets'!$C$17,OR('Pockets'!$E$17="All",AND('Pockets'!$E$17="Worse and material",$K237="Yes",$L237="Yes"),AND('Pockets'!$E$17="Worse or not sure",OR($K237="Yes",$K237="Not sure")))),1,0)</f>
        <v/>
      </c>
      <c r="N237">
        <f>$N236+$M237</f>
        <v/>
      </c>
      <c r="O237" t="inlineStr">
        <is>
          <t>three-way</t>
        </is>
      </c>
      <c r="P237" t="inlineStr">
        <is>
          <t>outcome_loans</t>
        </is>
      </c>
    </row>
    <row r="238">
      <c r="A238" t="inlineStr">
        <is>
          <t>Split by SYS_FLAG</t>
        </is>
      </c>
      <c r="B238" t="inlineStr">
        <is>
          <t>Bad loans</t>
        </is>
      </c>
      <c r="C238" t="n">
        <v>929</v>
      </c>
      <c r="D238" t="inlineStr">
        <is>
          <t>ORIG_BAL 5,005 - 15,448</t>
        </is>
      </c>
      <c r="E238" t="inlineStr">
        <is>
          <t>Online</t>
        </is>
      </c>
      <c r="F238" t="inlineStr">
        <is>
          <t>Y</t>
        </is>
      </c>
      <c r="G238" t="n">
        <v>242</v>
      </c>
      <c r="H238" t="n">
        <v>1.683561434076145</v>
      </c>
      <c r="J238" t="n">
        <v>17</v>
      </c>
      <c r="K238">
        <f>'_pockets'!$AI$929</f>
        <v/>
      </c>
      <c r="L238">
        <f>'_pockets'!$AJ$929</f>
        <v/>
      </c>
      <c r="M238">
        <f>IF(AND($A238='Pockets'!$D$17,$B238='Pockets'!$C$17,OR('Pockets'!$E$17="All",AND('Pockets'!$E$17="Worse and material",$K238="Yes",$L238="Yes"),AND('Pockets'!$E$17="Worse or not sure",OR($K238="Yes",$K238="Not sure")))),1,0)</f>
        <v/>
      </c>
      <c r="N238">
        <f>$N237+$M238</f>
        <v/>
      </c>
      <c r="O238" t="inlineStr">
        <is>
          <t>three-way</t>
        </is>
      </c>
      <c r="P238" t="inlineStr">
        <is>
          <t>outcome_loans</t>
        </is>
      </c>
    </row>
    <row r="239">
      <c r="A239" t="inlineStr">
        <is>
          <t>Split by SYS_FLAG</t>
        </is>
      </c>
      <c r="B239" t="inlineStr">
        <is>
          <t>Bad loans</t>
        </is>
      </c>
      <c r="C239" t="n">
        <v>559</v>
      </c>
      <c r="D239" t="inlineStr">
        <is>
          <t>FICO 654 - 685</t>
        </is>
      </c>
      <c r="E239" t="inlineStr">
        <is>
          <t>Online</t>
        </is>
      </c>
      <c r="F239" t="inlineStr">
        <is>
          <t>Y</t>
        </is>
      </c>
      <c r="G239" t="n">
        <v>236</v>
      </c>
      <c r="H239" t="n">
        <v>1.692439853142426</v>
      </c>
      <c r="J239" t="n">
        <v>18</v>
      </c>
      <c r="K239">
        <f>'_pockets'!$AI$559</f>
        <v/>
      </c>
      <c r="L239">
        <f>'_pockets'!$AJ$559</f>
        <v/>
      </c>
      <c r="M239">
        <f>IF(AND($A239='Pockets'!$D$17,$B239='Pockets'!$C$17,OR('Pockets'!$E$17="All",AND('Pockets'!$E$17="Worse and material",$K239="Yes",$L239="Yes"),AND('Pockets'!$E$17="Worse or not sure",OR($K239="Yes",$K239="Not sure")))),1,0)</f>
        <v/>
      </c>
      <c r="N239">
        <f>$N238+$M239</f>
        <v/>
      </c>
      <c r="O239" t="inlineStr">
        <is>
          <t>three-way</t>
        </is>
      </c>
      <c r="P239" t="inlineStr">
        <is>
          <t>outcome_loans</t>
        </is>
      </c>
    </row>
    <row r="240">
      <c r="A240" t="inlineStr">
        <is>
          <t>Split by SYS_FLAG</t>
        </is>
      </c>
      <c r="B240" t="inlineStr">
        <is>
          <t>Bad loans</t>
        </is>
      </c>
      <c r="C240" t="n">
        <v>1139</v>
      </c>
      <c r="D240" t="inlineStr">
        <is>
          <t>ORIG_BAL 37,951 - 49,151</t>
        </is>
      </c>
      <c r="E240" t="inlineStr">
        <is>
          <t>ASSET_CLASS 3</t>
        </is>
      </c>
      <c r="F240" t="inlineStr">
        <is>
          <t>Y</t>
        </is>
      </c>
      <c r="G240" t="n">
        <v>195</v>
      </c>
      <c r="H240" t="n">
        <v>1.764237989033877</v>
      </c>
      <c r="J240" t="n">
        <v>19</v>
      </c>
      <c r="K240">
        <f>'_pockets'!$AI$1139</f>
        <v/>
      </c>
      <c r="L240">
        <f>'_pockets'!$AJ$1139</f>
        <v/>
      </c>
      <c r="M240">
        <f>IF(AND($A240='Pockets'!$D$17,$B240='Pockets'!$C$17,OR('Pockets'!$E$17="All",AND('Pockets'!$E$17="Worse and material",$K240="Yes",$L240="Yes"),AND('Pockets'!$E$17="Worse or not sure",OR($K240="Yes",$K240="Not sure")))),1,0)</f>
        <v/>
      </c>
      <c r="N240">
        <f>$N239+$M240</f>
        <v/>
      </c>
      <c r="O240" t="inlineStr">
        <is>
          <t>three-way</t>
        </is>
      </c>
      <c r="P240" t="inlineStr">
        <is>
          <t>outcome_loans</t>
        </is>
      </c>
    </row>
    <row r="241">
      <c r="A241" t="inlineStr">
        <is>
          <t>Split by SYS_FLAG</t>
        </is>
      </c>
      <c r="B241" t="inlineStr">
        <is>
          <t>Bad loans</t>
        </is>
      </c>
      <c r="C241" t="n">
        <v>1054</v>
      </c>
      <c r="D241" t="inlineStr">
        <is>
          <t>ORIG_BAL 49,152 - 59,984</t>
        </is>
      </c>
      <c r="E241" t="inlineStr">
        <is>
          <t>ASSET_CLASS 1</t>
        </is>
      </c>
      <c r="F241" t="inlineStr">
        <is>
          <t>Y</t>
        </is>
      </c>
      <c r="G241" t="n">
        <v>195</v>
      </c>
      <c r="H241" t="n">
        <v>1.764237989033877</v>
      </c>
      <c r="J241" t="n">
        <v>20</v>
      </c>
      <c r="K241">
        <f>'_pockets'!$AI$1054</f>
        <v/>
      </c>
      <c r="L241">
        <f>'_pockets'!$AJ$1054</f>
        <v/>
      </c>
      <c r="M241">
        <f>IF(AND($A241='Pockets'!$D$17,$B241='Pockets'!$C$17,OR('Pockets'!$E$17="All",AND('Pockets'!$E$17="Worse and material",$K241="Yes",$L241="Yes"),AND('Pockets'!$E$17="Worse or not sure",OR($K241="Yes",$K241="Not sure")))),1,0)</f>
        <v/>
      </c>
      <c r="N241">
        <f>$N240+$M241</f>
        <v/>
      </c>
      <c r="O241" t="inlineStr">
        <is>
          <t>three-way</t>
        </is>
      </c>
      <c r="P241" t="inlineStr">
        <is>
          <t>outcome_loans</t>
        </is>
      </c>
    </row>
    <row r="242">
      <c r="A242" t="inlineStr">
        <is>
          <t>Split by SYS_FLAG</t>
        </is>
      </c>
      <c r="B242" t="inlineStr">
        <is>
          <t>Bad loans</t>
        </is>
      </c>
      <c r="C242" t="n">
        <v>904</v>
      </c>
      <c r="D242" t="inlineStr">
        <is>
          <t>ORIG_BAL 26,324 - 37,950</t>
        </is>
      </c>
      <c r="E242" t="inlineStr">
        <is>
          <t>Online</t>
        </is>
      </c>
      <c r="F242" t="inlineStr">
        <is>
          <t>Y</t>
        </is>
      </c>
      <c r="G242" t="n">
        <v>231</v>
      </c>
      <c r="H242" t="n">
        <v>1.700113662524463</v>
      </c>
      <c r="J242" t="n">
        <v>21</v>
      </c>
      <c r="K242">
        <f>'_pockets'!$AI$904</f>
        <v/>
      </c>
      <c r="L242">
        <f>'_pockets'!$AJ$904</f>
        <v/>
      </c>
      <c r="M242">
        <f>IF(AND($A242='Pockets'!$D$17,$B242='Pockets'!$C$17,OR('Pockets'!$E$17="All",AND('Pockets'!$E$17="Worse and material",$K242="Yes",$L242="Yes"),AND('Pockets'!$E$17="Worse or not sure",OR($K242="Yes",$K242="Not sure")))),1,0)</f>
        <v/>
      </c>
      <c r="N242">
        <f>$N241+$M242</f>
        <v/>
      </c>
      <c r="O242" t="inlineStr">
        <is>
          <t>three-way</t>
        </is>
      </c>
      <c r="P242" t="inlineStr">
        <is>
          <t>outcome_loans</t>
        </is>
      </c>
    </row>
    <row r="243">
      <c r="A243" t="inlineStr">
        <is>
          <t>Split by SYS_FLAG</t>
        </is>
      </c>
      <c r="B243" t="inlineStr">
        <is>
          <t>Bad loans</t>
        </is>
      </c>
      <c r="C243" t="n">
        <v>889</v>
      </c>
      <c r="D243" t="inlineStr">
        <is>
          <t>ORIG_BAL 5,005 - 15,448</t>
        </is>
      </c>
      <c r="E243" t="inlineStr">
        <is>
          <t>Broker</t>
        </is>
      </c>
      <c r="F243" t="inlineStr">
        <is>
          <t>Y</t>
        </is>
      </c>
      <c r="G243" t="n">
        <v>237</v>
      </c>
      <c r="H243" t="n">
        <v>1.690935646900933</v>
      </c>
      <c r="J243" t="n">
        <v>22</v>
      </c>
      <c r="K243">
        <f>'_pockets'!$AI$889</f>
        <v/>
      </c>
      <c r="L243">
        <f>'_pockets'!$AJ$889</f>
        <v/>
      </c>
      <c r="M243">
        <f>IF(AND($A243='Pockets'!$D$17,$B243='Pockets'!$C$17,OR('Pockets'!$E$17="All",AND('Pockets'!$E$17="Worse and material",$K243="Yes",$L243="Yes"),AND('Pockets'!$E$17="Worse or not sure",OR($K243="Yes",$K243="Not sure")))),1,0)</f>
        <v/>
      </c>
      <c r="N243">
        <f>$N242+$M243</f>
        <v/>
      </c>
      <c r="O243" t="inlineStr">
        <is>
          <t>three-way</t>
        </is>
      </c>
      <c r="P243" t="inlineStr">
        <is>
          <t>outcome_loans</t>
        </is>
      </c>
    </row>
    <row r="244">
      <c r="A244" t="inlineStr">
        <is>
          <t>Split by SYS_FLAG</t>
        </is>
      </c>
      <c r="B244" t="inlineStr">
        <is>
          <t>Bad loans</t>
        </is>
      </c>
      <c r="C244" t="n">
        <v>484</v>
      </c>
      <c r="D244" t="inlineStr">
        <is>
          <t>FICO 654 - 685</t>
        </is>
      </c>
      <c r="E244" t="inlineStr">
        <is>
          <t>Branch</t>
        </is>
      </c>
      <c r="F244" t="inlineStr">
        <is>
          <t>Y</t>
        </is>
      </c>
      <c r="G244" t="n">
        <v>254</v>
      </c>
      <c r="H244" t="n">
        <v>1.666800763360692</v>
      </c>
      <c r="J244" t="n">
        <v>23</v>
      </c>
      <c r="K244">
        <f>'_pockets'!$AI$484</f>
        <v/>
      </c>
      <c r="L244">
        <f>'_pockets'!$AJ$484</f>
        <v/>
      </c>
      <c r="M244">
        <f>IF(AND($A244='Pockets'!$D$17,$B244='Pockets'!$C$17,OR('Pockets'!$E$17="All",AND('Pockets'!$E$17="Worse and material",$K244="Yes",$L244="Yes"),AND('Pockets'!$E$17="Worse or not sure",OR($K244="Yes",$K244="Not sure")))),1,0)</f>
        <v/>
      </c>
      <c r="N244">
        <f>$N243+$M244</f>
        <v/>
      </c>
      <c r="O244" t="inlineStr">
        <is>
          <t>three-way</t>
        </is>
      </c>
      <c r="P244" t="inlineStr">
        <is>
          <t>outcome_loans</t>
        </is>
      </c>
    </row>
    <row r="245">
      <c r="A245" t="inlineStr">
        <is>
          <t>Split by SYS_FLAG</t>
        </is>
      </c>
      <c r="B245" t="inlineStr">
        <is>
          <t>Bad loans</t>
        </is>
      </c>
      <c r="C245" t="n">
        <v>689</v>
      </c>
      <c r="D245" t="inlineStr">
        <is>
          <t>FICO 496 - 653</t>
        </is>
      </c>
      <c r="E245" t="inlineStr">
        <is>
          <t>ASSET_CLASS 3</t>
        </is>
      </c>
      <c r="F245" t="inlineStr">
        <is>
          <t>Y</t>
        </is>
      </c>
      <c r="G245" t="n">
        <v>166</v>
      </c>
      <c r="H245" t="n">
        <v>1.831183586776139</v>
      </c>
      <c r="J245" t="n">
        <v>24</v>
      </c>
      <c r="K245">
        <f>'_pockets'!$AI$689</f>
        <v/>
      </c>
      <c r="L245">
        <f>'_pockets'!$AJ$689</f>
        <v/>
      </c>
      <c r="M245">
        <f>IF(AND($A245='Pockets'!$D$17,$B245='Pockets'!$C$17,OR('Pockets'!$E$17="All",AND('Pockets'!$E$17="Worse and material",$K245="Yes",$L245="Yes"),AND('Pockets'!$E$17="Worse or not sure",OR($K245="Yes",$K245="Not sure")))),1,0)</f>
        <v/>
      </c>
      <c r="N245">
        <f>$N244+$M245</f>
        <v/>
      </c>
      <c r="O245" t="inlineStr">
        <is>
          <t>three-way</t>
        </is>
      </c>
      <c r="P245" t="inlineStr">
        <is>
          <t>outcome_loans</t>
        </is>
      </c>
    </row>
    <row r="246">
      <c r="A246" t="inlineStr">
        <is>
          <t>Split by SYS_FLAG</t>
        </is>
      </c>
      <c r="B246" t="inlineStr">
        <is>
          <t>Bad loans</t>
        </is>
      </c>
      <c r="C246" t="n">
        <v>1039</v>
      </c>
      <c r="D246" t="inlineStr">
        <is>
          <t>ORIG_BAL 15,449 - 26,323</t>
        </is>
      </c>
      <c r="E246" t="inlineStr">
        <is>
          <t>ASSET_CLASS 4</t>
        </is>
      </c>
      <c r="F246" t="inlineStr">
        <is>
          <t>N</t>
        </is>
      </c>
      <c r="G246" t="n">
        <v>223</v>
      </c>
      <c r="H246" t="n">
        <v>1.712949673074177</v>
      </c>
      <c r="J246" t="n">
        <v>25</v>
      </c>
      <c r="K246">
        <f>'_pockets'!$AI$1039</f>
        <v/>
      </c>
      <c r="L246">
        <f>'_pockets'!$AJ$1039</f>
        <v/>
      </c>
      <c r="M246">
        <f>IF(AND($A246='Pockets'!$D$17,$B246='Pockets'!$C$17,OR('Pockets'!$E$17="All",AND('Pockets'!$E$17="Worse and material",$K246="Yes",$L246="Yes"),AND('Pockets'!$E$17="Worse or not sure",OR($K246="Yes",$K246="Not sure")))),1,0)</f>
        <v/>
      </c>
      <c r="N246">
        <f>$N245+$M246</f>
        <v/>
      </c>
      <c r="O246" t="inlineStr">
        <is>
          <t>three-way</t>
        </is>
      </c>
      <c r="P246" t="inlineStr">
        <is>
          <t>outcome_loans</t>
        </is>
      </c>
    </row>
    <row r="247">
      <c r="A247" t="inlineStr">
        <is>
          <t>Split by SYS_FLAG</t>
        </is>
      </c>
      <c r="B247" t="inlineStr">
        <is>
          <t>Bad loans</t>
        </is>
      </c>
      <c r="C247" t="n">
        <v>814</v>
      </c>
      <c r="D247" t="inlineStr">
        <is>
          <t>FICO 686 - 711</t>
        </is>
      </c>
      <c r="E247" t="inlineStr">
        <is>
          <t>ASSET_CLASS 3</t>
        </is>
      </c>
      <c r="F247" t="inlineStr">
        <is>
          <t>Y</t>
        </is>
      </c>
      <c r="G247" t="n">
        <v>196</v>
      </c>
      <c r="H247" t="n">
        <v>1.762210077571128</v>
      </c>
      <c r="J247" t="n">
        <v>26</v>
      </c>
      <c r="K247">
        <f>'_pockets'!$AI$814</f>
        <v/>
      </c>
      <c r="L247">
        <f>'_pockets'!$AJ$814</f>
        <v/>
      </c>
      <c r="M247">
        <f>IF(AND($A247='Pockets'!$D$17,$B247='Pockets'!$C$17,OR('Pockets'!$E$17="All",AND('Pockets'!$E$17="Worse and material",$K247="Yes",$L247="Yes"),AND('Pockets'!$E$17="Worse or not sure",OR($K247="Yes",$K247="Not sure")))),1,0)</f>
        <v/>
      </c>
      <c r="N247">
        <f>$N246+$M247</f>
        <v/>
      </c>
      <c r="O247" t="inlineStr">
        <is>
          <t>three-way</t>
        </is>
      </c>
      <c r="P247" t="inlineStr">
        <is>
          <t>outcome_loans</t>
        </is>
      </c>
    </row>
    <row r="248">
      <c r="A248" t="inlineStr">
        <is>
          <t>Split by SYS_FLAG</t>
        </is>
      </c>
      <c r="B248" t="inlineStr">
        <is>
          <t>Bad loans</t>
        </is>
      </c>
      <c r="C248" t="n">
        <v>434</v>
      </c>
      <c r="D248" t="inlineStr">
        <is>
          <t>FICO 746 - 921</t>
        </is>
      </c>
      <c r="E248" t="inlineStr">
        <is>
          <t>Branch</t>
        </is>
      </c>
      <c r="F248" t="inlineStr">
        <is>
          <t>Y</t>
        </is>
      </c>
      <c r="G248" t="n">
        <v>239</v>
      </c>
      <c r="H248" t="n">
        <v>1.687956913454374</v>
      </c>
      <c r="J248" t="n">
        <v>27</v>
      </c>
      <c r="K248">
        <f>'_pockets'!$AI$434</f>
        <v/>
      </c>
      <c r="L248">
        <f>'_pockets'!$AJ$434</f>
        <v/>
      </c>
      <c r="M248">
        <f>IF(AND($A248='Pockets'!$D$17,$B248='Pockets'!$C$17,OR('Pockets'!$E$17="All",AND('Pockets'!$E$17="Worse and material",$K248="Yes",$L248="Yes"),AND('Pockets'!$E$17="Worse or not sure",OR($K248="Yes",$K248="Not sure")))),1,0)</f>
        <v/>
      </c>
      <c r="N248">
        <f>$N247+$M248</f>
        <v/>
      </c>
      <c r="O248" t="inlineStr">
        <is>
          <t>three-way</t>
        </is>
      </c>
      <c r="P248" t="inlineStr">
        <is>
          <t>outcome_loans</t>
        </is>
      </c>
    </row>
    <row r="249">
      <c r="A249" t="inlineStr">
        <is>
          <t>Split by SYS_FLAG</t>
        </is>
      </c>
      <c r="B249" t="inlineStr">
        <is>
          <t>Bad loans</t>
        </is>
      </c>
      <c r="C249" t="n">
        <v>1109</v>
      </c>
      <c r="D249" t="inlineStr">
        <is>
          <t>ORIG_BAL 5,005 - 15,448</t>
        </is>
      </c>
      <c r="E249" t="inlineStr">
        <is>
          <t>ASSET_CLASS 2</t>
        </is>
      </c>
      <c r="F249" t="inlineStr">
        <is>
          <t>Y</t>
        </is>
      </c>
      <c r="G249" t="n">
        <v>160</v>
      </c>
      <c r="H249" t="n">
        <v>1.847370522184179</v>
      </c>
      <c r="J249" t="n">
        <v>28</v>
      </c>
      <c r="K249">
        <f>'_pockets'!$AI$1109</f>
        <v/>
      </c>
      <c r="L249">
        <f>'_pockets'!$AJ$1109</f>
        <v/>
      </c>
      <c r="M249">
        <f>IF(AND($A249='Pockets'!$D$17,$B249='Pockets'!$C$17,OR('Pockets'!$E$17="All",AND('Pockets'!$E$17="Worse and material",$K249="Yes",$L249="Yes"),AND('Pockets'!$E$17="Worse or not sure",OR($K249="Yes",$K249="Not sure")))),1,0)</f>
        <v/>
      </c>
      <c r="N249">
        <f>$N248+$M249</f>
        <v/>
      </c>
      <c r="O249" t="inlineStr">
        <is>
          <t>three-way</t>
        </is>
      </c>
      <c r="P249" t="inlineStr">
        <is>
          <t>outcome_loans</t>
        </is>
      </c>
    </row>
    <row r="250">
      <c r="A250" t="inlineStr">
        <is>
          <t>Split by SYS_FLAG</t>
        </is>
      </c>
      <c r="B250" t="inlineStr">
        <is>
          <t>Bad loans</t>
        </is>
      </c>
      <c r="C250" t="n">
        <v>519</v>
      </c>
      <c r="D250" t="inlineStr">
        <is>
          <t>FICO 654 - 685</t>
        </is>
      </c>
      <c r="E250" t="inlineStr">
        <is>
          <t>Broker</t>
        </is>
      </c>
      <c r="F250" t="inlineStr">
        <is>
          <t>Y</t>
        </is>
      </c>
      <c r="G250" t="n">
        <v>244</v>
      </c>
      <c r="H250" t="n">
        <v>1.680678337905755</v>
      </c>
      <c r="J250" t="n">
        <v>29</v>
      </c>
      <c r="K250">
        <f>'_pockets'!$AI$519</f>
        <v/>
      </c>
      <c r="L250">
        <f>'_pockets'!$AJ$519</f>
        <v/>
      </c>
      <c r="M250">
        <f>IF(AND($A250='Pockets'!$D$17,$B250='Pockets'!$C$17,OR('Pockets'!$E$17="All",AND('Pockets'!$E$17="Worse and material",$K250="Yes",$L250="Yes"),AND('Pockets'!$E$17="Worse or not sure",OR($K250="Yes",$K250="Not sure")))),1,0)</f>
        <v/>
      </c>
      <c r="N250">
        <f>$N249+$M250</f>
        <v/>
      </c>
      <c r="O250" t="inlineStr">
        <is>
          <t>three-way</t>
        </is>
      </c>
      <c r="P250" t="inlineStr">
        <is>
          <t>outcome_loans</t>
        </is>
      </c>
    </row>
    <row r="251">
      <c r="A251" t="inlineStr">
        <is>
          <t>Split by SYS_FLAG</t>
        </is>
      </c>
      <c r="B251" t="inlineStr">
        <is>
          <t>Bad loans</t>
        </is>
      </c>
      <c r="C251" t="n">
        <v>1094</v>
      </c>
      <c r="D251" t="inlineStr">
        <is>
          <t>ORIG_BAL 5,005 - 15,448</t>
        </is>
      </c>
      <c r="E251" t="inlineStr">
        <is>
          <t>ASSET_CLASS 4</t>
        </is>
      </c>
      <c r="F251" t="inlineStr">
        <is>
          <t>N</t>
        </is>
      </c>
      <c r="G251" t="n">
        <v>229</v>
      </c>
      <c r="H251" t="n">
        <v>1.703256607666763</v>
      </c>
      <c r="J251" t="n">
        <v>30</v>
      </c>
      <c r="K251">
        <f>'_pockets'!$AI$1094</f>
        <v/>
      </c>
      <c r="L251">
        <f>'_pockets'!$AJ$1094</f>
        <v/>
      </c>
      <c r="M251">
        <f>IF(AND($A251='Pockets'!$D$17,$B251='Pockets'!$C$17,OR('Pockets'!$E$17="All",AND('Pockets'!$E$17="Worse and material",$K251="Yes",$L251="Yes"),AND('Pockets'!$E$17="Worse or not sure",OR($K251="Yes",$K251="Not sure")))),1,0)</f>
        <v/>
      </c>
      <c r="N251">
        <f>$N250+$M251</f>
        <v/>
      </c>
      <c r="O251" t="inlineStr">
        <is>
          <t>three-way</t>
        </is>
      </c>
      <c r="P251" t="inlineStr">
        <is>
          <t>outcome_loans</t>
        </is>
      </c>
    </row>
    <row r="252">
      <c r="A252" t="inlineStr">
        <is>
          <t>Split by SYS_FLAG</t>
        </is>
      </c>
      <c r="B252" t="inlineStr">
        <is>
          <t>Bad loans</t>
        </is>
      </c>
      <c r="C252" t="n">
        <v>654</v>
      </c>
      <c r="D252" t="inlineStr">
        <is>
          <t>FICO 686 - 711</t>
        </is>
      </c>
      <c r="E252" t="inlineStr">
        <is>
          <t>ASSET_CLASS 4</t>
        </is>
      </c>
      <c r="F252" t="inlineStr">
        <is>
          <t>Y</t>
        </is>
      </c>
      <c r="G252" t="n">
        <v>172</v>
      </c>
      <c r="H252" t="n">
        <v>1.81588926760954</v>
      </c>
      <c r="J252" t="n">
        <v>31</v>
      </c>
      <c r="K252">
        <f>'_pockets'!$AI$654</f>
        <v/>
      </c>
      <c r="L252">
        <f>'_pockets'!$AJ$654</f>
        <v/>
      </c>
      <c r="M252">
        <f>IF(AND($A252='Pockets'!$D$17,$B252='Pockets'!$C$17,OR('Pockets'!$E$17="All",AND('Pockets'!$E$17="Worse and material",$K252="Yes",$L252="Yes"),AND('Pockets'!$E$17="Worse or not sure",OR($K252="Yes",$K252="Not sure")))),1,0)</f>
        <v/>
      </c>
      <c r="N252">
        <f>$N251+$M252</f>
        <v/>
      </c>
      <c r="O252" t="inlineStr">
        <is>
          <t>three-way</t>
        </is>
      </c>
      <c r="P252" t="inlineStr">
        <is>
          <t>outcome_loans</t>
        </is>
      </c>
    </row>
    <row r="253">
      <c r="A253" t="inlineStr">
        <is>
          <t>Split by SYS_FLAG</t>
        </is>
      </c>
      <c r="B253" t="inlineStr">
        <is>
          <t>Bad loans</t>
        </is>
      </c>
      <c r="C253" t="n">
        <v>669</v>
      </c>
      <c r="D253" t="inlineStr">
        <is>
          <t>FICO 654 - 685</t>
        </is>
      </c>
      <c r="E253" t="inlineStr">
        <is>
          <t>ASSET_CLASS 1</t>
        </is>
      </c>
      <c r="F253" t="inlineStr">
        <is>
          <t>Y</t>
        </is>
      </c>
      <c r="G253" t="n">
        <v>187</v>
      </c>
      <c r="H253" t="n">
        <v>1.781069809996498</v>
      </c>
      <c r="J253" t="n">
        <v>32</v>
      </c>
      <c r="K253">
        <f>'_pockets'!$AI$669</f>
        <v/>
      </c>
      <c r="L253">
        <f>'_pockets'!$AJ$669</f>
        <v/>
      </c>
      <c r="M253">
        <f>IF(AND($A253='Pockets'!$D$17,$B253='Pockets'!$C$17,OR('Pockets'!$E$17="All",AND('Pockets'!$E$17="Worse and material",$K253="Yes",$L253="Yes"),AND('Pockets'!$E$17="Worse or not sure",OR($K253="Yes",$K253="Not sure")))),1,0)</f>
        <v/>
      </c>
      <c r="N253">
        <f>$N252+$M253</f>
        <v/>
      </c>
      <c r="O253" t="inlineStr">
        <is>
          <t>three-way</t>
        </is>
      </c>
      <c r="P253" t="inlineStr">
        <is>
          <t>outcome_loans</t>
        </is>
      </c>
    </row>
    <row r="254">
      <c r="A254" t="inlineStr">
        <is>
          <t>Split by SYS_FLAG</t>
        </is>
      </c>
      <c r="B254" t="inlineStr">
        <is>
          <t>Bad loans</t>
        </is>
      </c>
      <c r="C254" t="n">
        <v>1114</v>
      </c>
      <c r="D254" t="inlineStr">
        <is>
          <t>ORIG_BAL 5,005 - 15,448</t>
        </is>
      </c>
      <c r="E254" t="inlineStr">
        <is>
          <t>ASSET_CLASS 1</t>
        </is>
      </c>
      <c r="F254" t="inlineStr">
        <is>
          <t>Y</t>
        </is>
      </c>
      <c r="G254" t="n">
        <v>180</v>
      </c>
      <c r="H254" t="n">
        <v>1.796752114093341</v>
      </c>
      <c r="J254" t="n">
        <v>33</v>
      </c>
      <c r="K254">
        <f>'_pockets'!$AI$1114</f>
        <v/>
      </c>
      <c r="L254">
        <f>'_pockets'!$AJ$1114</f>
        <v/>
      </c>
      <c r="M254">
        <f>IF(AND($A254='Pockets'!$D$17,$B254='Pockets'!$C$17,OR('Pockets'!$E$17="All",AND('Pockets'!$E$17="Worse and material",$K254="Yes",$L254="Yes"),AND('Pockets'!$E$17="Worse or not sure",OR($K254="Yes",$K254="Not sure")))),1,0)</f>
        <v/>
      </c>
      <c r="N254">
        <f>$N253+$M254</f>
        <v/>
      </c>
      <c r="O254" t="inlineStr">
        <is>
          <t>three-way</t>
        </is>
      </c>
      <c r="P254" t="inlineStr">
        <is>
          <t>outcome_loans</t>
        </is>
      </c>
    </row>
    <row r="255">
      <c r="A255" t="inlineStr">
        <is>
          <t>Split by SYS_FLAG</t>
        </is>
      </c>
      <c r="B255" t="inlineStr">
        <is>
          <t>Bad loans</t>
        </is>
      </c>
      <c r="C255" t="n">
        <v>844</v>
      </c>
      <c r="D255" t="inlineStr">
        <is>
          <t>ORIG_BAL 26,324 - 37,950</t>
        </is>
      </c>
      <c r="E255" t="inlineStr">
        <is>
          <t>Broker</t>
        </is>
      </c>
      <c r="F255" t="inlineStr">
        <is>
          <t>Y</t>
        </is>
      </c>
      <c r="G255" t="n">
        <v>248</v>
      </c>
      <c r="H255" t="n">
        <v>1.675021954165917</v>
      </c>
      <c r="J255" t="n">
        <v>34</v>
      </c>
      <c r="K255">
        <f>'_pockets'!$AI$844</f>
        <v/>
      </c>
      <c r="L255">
        <f>'_pockets'!$AJ$844</f>
        <v/>
      </c>
      <c r="M255">
        <f>IF(AND($A255='Pockets'!$D$17,$B255='Pockets'!$C$17,OR('Pockets'!$E$17="All",AND('Pockets'!$E$17="Worse and material",$K255="Yes",$L255="Yes"),AND('Pockets'!$E$17="Worse or not sure",OR($K255="Yes",$K255="Not sure")))),1,0)</f>
        <v/>
      </c>
      <c r="N255">
        <f>$N254+$M255</f>
        <v/>
      </c>
      <c r="O255" t="inlineStr">
        <is>
          <t>three-way</t>
        </is>
      </c>
      <c r="P255" t="inlineStr">
        <is>
          <t>outcome_loans</t>
        </is>
      </c>
    </row>
    <row r="256">
      <c r="A256" t="inlineStr">
        <is>
          <t>Split by SYS_FLAG</t>
        </is>
      </c>
      <c r="B256" t="inlineStr">
        <is>
          <t>Bad loans</t>
        </is>
      </c>
      <c r="C256" t="n">
        <v>1144</v>
      </c>
      <c r="D256" t="inlineStr">
        <is>
          <t>ORIG_BAL 15,449 - 26,323</t>
        </is>
      </c>
      <c r="E256" t="inlineStr">
        <is>
          <t>ASSET_CLASS 3</t>
        </is>
      </c>
      <c r="F256" t="inlineStr">
        <is>
          <t>Y</t>
        </is>
      </c>
      <c r="G256" t="n">
        <v>193</v>
      </c>
      <c r="H256" t="n">
        <v>1.7683431730409</v>
      </c>
      <c r="J256" t="n">
        <v>35</v>
      </c>
      <c r="K256">
        <f>'_pockets'!$AI$1144</f>
        <v/>
      </c>
      <c r="L256">
        <f>'_pockets'!$AJ$1144</f>
        <v/>
      </c>
      <c r="M256">
        <f>IF(AND($A256='Pockets'!$D$17,$B256='Pockets'!$C$17,OR('Pockets'!$E$17="All",AND('Pockets'!$E$17="Worse and material",$K256="Yes",$L256="Yes"),AND('Pockets'!$E$17="Worse or not sure",OR($K256="Yes",$K256="Not sure")))),1,0)</f>
        <v/>
      </c>
      <c r="N256">
        <f>$N255+$M256</f>
        <v/>
      </c>
      <c r="O256" t="inlineStr">
        <is>
          <t>three-way</t>
        </is>
      </c>
      <c r="P256" t="inlineStr">
        <is>
          <t>outcome_loans</t>
        </is>
      </c>
    </row>
    <row r="257">
      <c r="A257" t="inlineStr">
        <is>
          <t>Split by SYS_FLAG</t>
        </is>
      </c>
      <c r="B257" t="inlineStr">
        <is>
          <t>Bad loans</t>
        </is>
      </c>
      <c r="C257" t="n">
        <v>1044</v>
      </c>
      <c r="D257" t="inlineStr">
        <is>
          <t>ORIG_BAL 5,005 - 15,448</t>
        </is>
      </c>
      <c r="E257" t="inlineStr">
        <is>
          <t>ASSET_CLASS 4</t>
        </is>
      </c>
      <c r="F257" t="inlineStr">
        <is>
          <t>Y</t>
        </is>
      </c>
      <c r="G257" t="n">
        <v>196</v>
      </c>
      <c r="H257" t="n">
        <v>1.762210077571128</v>
      </c>
      <c r="J257" t="n">
        <v>36</v>
      </c>
      <c r="K257">
        <f>'_pockets'!$AI$1044</f>
        <v/>
      </c>
      <c r="L257">
        <f>'_pockets'!$AJ$1044</f>
        <v/>
      </c>
      <c r="M257">
        <f>IF(AND($A257='Pockets'!$D$17,$B257='Pockets'!$C$17,OR('Pockets'!$E$17="All",AND('Pockets'!$E$17="Worse and material",$K257="Yes",$L257="Yes"),AND('Pockets'!$E$17="Worse or not sure",OR($K257="Yes",$K257="Not sure")))),1,0)</f>
        <v/>
      </c>
      <c r="N257">
        <f>$N256+$M257</f>
        <v/>
      </c>
      <c r="O257" t="inlineStr">
        <is>
          <t>three-way</t>
        </is>
      </c>
      <c r="P257" t="inlineStr">
        <is>
          <t>outcome_loans</t>
        </is>
      </c>
    </row>
    <row r="258">
      <c r="A258" t="inlineStr">
        <is>
          <t>Split by SYS_FLAG</t>
        </is>
      </c>
      <c r="B258" t="inlineStr">
        <is>
          <t>Bad loans</t>
        </is>
      </c>
      <c r="C258" t="n">
        <v>1184</v>
      </c>
      <c r="D258" t="inlineStr">
        <is>
          <t>ORIG_BAL 5,005 - 15,448</t>
        </is>
      </c>
      <c r="E258" t="inlineStr">
        <is>
          <t>ASSET_CLASS 3</t>
        </is>
      </c>
      <c r="F258" t="inlineStr">
        <is>
          <t>Y</t>
        </is>
      </c>
      <c r="G258" t="n">
        <v>184</v>
      </c>
      <c r="H258" t="n">
        <v>1.787676144367746</v>
      </c>
      <c r="J258" t="n">
        <v>37</v>
      </c>
      <c r="K258">
        <f>'_pockets'!$AI$1184</f>
        <v/>
      </c>
      <c r="L258">
        <f>'_pockets'!$AJ$1184</f>
        <v/>
      </c>
      <c r="M258">
        <f>IF(AND($A258='Pockets'!$D$17,$B258='Pockets'!$C$17,OR('Pockets'!$E$17="All",AND('Pockets'!$E$17="Worse and material",$K258="Yes",$L258="Yes"),AND('Pockets'!$E$17="Worse or not sure",OR($K258="Yes",$K258="Not sure")))),1,0)</f>
        <v/>
      </c>
      <c r="N258">
        <f>$N257+$M258</f>
        <v/>
      </c>
      <c r="O258" t="inlineStr">
        <is>
          <t>three-way</t>
        </is>
      </c>
      <c r="P258" t="inlineStr">
        <is>
          <t>outcome_loans</t>
        </is>
      </c>
    </row>
    <row r="259">
      <c r="A259" t="inlineStr">
        <is>
          <t>Split by SYS_FLAG</t>
        </is>
      </c>
      <c r="B259" t="inlineStr">
        <is>
          <t>Bad loans</t>
        </is>
      </c>
      <c r="C259" t="n">
        <v>724</v>
      </c>
      <c r="D259" t="inlineStr">
        <is>
          <t>FICO 746 - 921</t>
        </is>
      </c>
      <c r="E259" t="inlineStr">
        <is>
          <t>ASSET_CLASS 1</t>
        </is>
      </c>
      <c r="F259" t="inlineStr">
        <is>
          <t>Y</t>
        </is>
      </c>
      <c r="G259" t="n">
        <v>183</v>
      </c>
      <c r="H259" t="n">
        <v>1.789915937385259</v>
      </c>
      <c r="J259" t="n">
        <v>38</v>
      </c>
      <c r="K259">
        <f>'_pockets'!$AI$724</f>
        <v/>
      </c>
      <c r="L259">
        <f>'_pockets'!$AJ$724</f>
        <v/>
      </c>
      <c r="M259">
        <f>IF(AND($A259='Pockets'!$D$17,$B259='Pockets'!$C$17,OR('Pockets'!$E$17="All",AND('Pockets'!$E$17="Worse and material",$K259="Yes",$L259="Yes"),AND('Pockets'!$E$17="Worse or not sure",OR($K259="Yes",$K259="Not sure")))),1,0)</f>
        <v/>
      </c>
      <c r="N259">
        <f>$N258+$M259</f>
        <v/>
      </c>
      <c r="O259" t="inlineStr">
        <is>
          <t>three-way</t>
        </is>
      </c>
      <c r="P259" t="inlineStr">
        <is>
          <t>outcome_loans</t>
        </is>
      </c>
    </row>
    <row r="260">
      <c r="A260" t="inlineStr">
        <is>
          <t>Split by SYS_FLAG</t>
        </is>
      </c>
      <c r="B260" t="inlineStr">
        <is>
          <t>Bad loans</t>
        </is>
      </c>
      <c r="C260" t="n">
        <v>694</v>
      </c>
      <c r="D260" t="inlineStr">
        <is>
          <t>FICO 686 - 711</t>
        </is>
      </c>
      <c r="E260" t="inlineStr">
        <is>
          <t>ASSET_CLASS 4</t>
        </is>
      </c>
      <c r="F260" t="inlineStr">
        <is>
          <t>N</t>
        </is>
      </c>
      <c r="G260" t="n">
        <v>235</v>
      </c>
      <c r="H260" t="n">
        <v>1.693954096277094</v>
      </c>
      <c r="J260" t="n">
        <v>39</v>
      </c>
      <c r="K260">
        <f>'_pockets'!$AI$694</f>
        <v/>
      </c>
      <c r="L260">
        <f>'_pockets'!$AJ$694</f>
        <v/>
      </c>
      <c r="M260">
        <f>IF(AND($A260='Pockets'!$D$17,$B260='Pockets'!$C$17,OR('Pockets'!$E$17="All",AND('Pockets'!$E$17="Worse and material",$K260="Yes",$L260="Yes"),AND('Pockets'!$E$17="Worse or not sure",OR($K260="Yes",$K260="Not sure")))),1,0)</f>
        <v/>
      </c>
      <c r="N260">
        <f>$N259+$M260</f>
        <v/>
      </c>
      <c r="O260" t="inlineStr">
        <is>
          <t>three-way</t>
        </is>
      </c>
      <c r="P260" t="inlineStr">
        <is>
          <t>outcome_loans</t>
        </is>
      </c>
    </row>
    <row r="261">
      <c r="A261" t="inlineStr">
        <is>
          <t>Split by SYS_FLAG</t>
        </is>
      </c>
      <c r="B261" t="inlineStr">
        <is>
          <t>Bad loans</t>
        </is>
      </c>
      <c r="C261" t="n">
        <v>589</v>
      </c>
      <c r="D261" t="inlineStr">
        <is>
          <t>FICO (marked missing)</t>
        </is>
      </c>
      <c r="E261" t="inlineStr">
        <is>
          <t>Broker</t>
        </is>
      </c>
      <c r="F261" t="inlineStr">
        <is>
          <t>Y</t>
        </is>
      </c>
      <c r="G261" t="n">
        <v>25</v>
      </c>
      <c r="H261" t="n">
        <v>3.310134245763284</v>
      </c>
      <c r="J261" t="n">
        <v>40</v>
      </c>
      <c r="K261">
        <f>'_pockets'!$AI$589</f>
        <v/>
      </c>
      <c r="L261">
        <f>'_pockets'!$AJ$589</f>
        <v/>
      </c>
      <c r="M261">
        <f>IF(AND($A261='Pockets'!$D$17,$B261='Pockets'!$C$17,OR('Pockets'!$E$17="All",AND('Pockets'!$E$17="Worse and material",$K261="Yes",$L261="Yes"),AND('Pockets'!$E$17="Worse or not sure",OR($K261="Yes",$K261="Not sure")))),1,0)</f>
        <v/>
      </c>
      <c r="N261">
        <f>$N260+$M261</f>
        <v/>
      </c>
      <c r="O261" t="inlineStr">
        <is>
          <t>three-way</t>
        </is>
      </c>
      <c r="P261" t="inlineStr">
        <is>
          <t>outcome_loans</t>
        </is>
      </c>
    </row>
    <row r="262">
      <c r="A262" t="inlineStr">
        <is>
          <t>Split by SYS_FLAG</t>
        </is>
      </c>
      <c r="B262" t="inlineStr">
        <is>
          <t>Bad loans</t>
        </is>
      </c>
      <c r="C262" t="n">
        <v>924</v>
      </c>
      <c r="D262" t="inlineStr">
        <is>
          <t>ORIG_BAL 49,152 - 59,984</t>
        </is>
      </c>
      <c r="E262" t="inlineStr">
        <is>
          <t>Branch</t>
        </is>
      </c>
      <c r="F262" t="inlineStr">
        <is>
          <t>Y</t>
        </is>
      </c>
      <c r="G262" t="n">
        <v>226</v>
      </c>
      <c r="H262" t="n">
        <v>1.708052660295702</v>
      </c>
      <c r="J262" t="n">
        <v>41</v>
      </c>
      <c r="K262">
        <f>'_pockets'!$AI$924</f>
        <v/>
      </c>
      <c r="L262">
        <f>'_pockets'!$AJ$924</f>
        <v/>
      </c>
      <c r="M262">
        <f>IF(AND($A262='Pockets'!$D$17,$B262='Pockets'!$C$17,OR('Pockets'!$E$17="All",AND('Pockets'!$E$17="Worse and material",$K262="Yes",$L262="Yes"),AND('Pockets'!$E$17="Worse or not sure",OR($K262="Yes",$K262="Not sure")))),1,0)</f>
        <v/>
      </c>
      <c r="N262">
        <f>$N261+$M262</f>
        <v/>
      </c>
      <c r="O262" t="inlineStr">
        <is>
          <t>three-way</t>
        </is>
      </c>
      <c r="P262" t="inlineStr">
        <is>
          <t>outcome_loans</t>
        </is>
      </c>
    </row>
    <row r="263">
      <c r="A263" t="inlineStr">
        <is>
          <t>Split by SYS_FLAG</t>
        </is>
      </c>
      <c r="B263" t="inlineStr">
        <is>
          <t>Bad loans</t>
        </is>
      </c>
      <c r="C263" t="n">
        <v>649</v>
      </c>
      <c r="D263" t="inlineStr">
        <is>
          <t>FICO 496 - 653</t>
        </is>
      </c>
      <c r="E263" t="inlineStr">
        <is>
          <t>ASSET_CLASS 4</t>
        </is>
      </c>
      <c r="F263" t="inlineStr">
        <is>
          <t>N</t>
        </is>
      </c>
      <c r="G263" t="n">
        <v>203</v>
      </c>
      <c r="H263" t="n">
        <v>1.748455889302835</v>
      </c>
      <c r="J263" t="n">
        <v>42</v>
      </c>
      <c r="K263">
        <f>'_pockets'!$AI$649</f>
        <v/>
      </c>
      <c r="L263">
        <f>'_pockets'!$AJ$649</f>
        <v/>
      </c>
      <c r="M263">
        <f>IF(AND($A263='Pockets'!$D$17,$B263='Pockets'!$C$17,OR('Pockets'!$E$17="All",AND('Pockets'!$E$17="Worse and material",$K263="Yes",$L263="Yes"),AND('Pockets'!$E$17="Worse or not sure",OR($K263="Yes",$K263="Not sure")))),1,0)</f>
        <v/>
      </c>
      <c r="N263">
        <f>$N262+$M263</f>
        <v/>
      </c>
      <c r="O263" t="inlineStr">
        <is>
          <t>three-way</t>
        </is>
      </c>
      <c r="P263" t="inlineStr">
        <is>
          <t>outcome_loans</t>
        </is>
      </c>
    </row>
    <row r="264">
      <c r="A264" t="inlineStr">
        <is>
          <t>Split by SYS_FLAG</t>
        </is>
      </c>
      <c r="B264" t="inlineStr">
        <is>
          <t>Bad loans</t>
        </is>
      </c>
      <c r="C264" t="n">
        <v>1124</v>
      </c>
      <c r="D264" t="inlineStr">
        <is>
          <t>ORIG_BAL 49,152 - 59,984</t>
        </is>
      </c>
      <c r="E264" t="inlineStr">
        <is>
          <t>ASSET_CLASS 2</t>
        </is>
      </c>
      <c r="F264" t="inlineStr">
        <is>
          <t>Y</t>
        </is>
      </c>
      <c r="G264" t="n">
        <v>197</v>
      </c>
      <c r="H264" t="n">
        <v>1.760198333487843</v>
      </c>
      <c r="J264" t="n">
        <v>43</v>
      </c>
      <c r="K264">
        <f>'_pockets'!$AI$1124</f>
        <v/>
      </c>
      <c r="L264">
        <f>'_pockets'!$AJ$1124</f>
        <v/>
      </c>
      <c r="M264">
        <f>IF(AND($A264='Pockets'!$D$17,$B264='Pockets'!$C$17,OR('Pockets'!$E$17="All",AND('Pockets'!$E$17="Worse and material",$K264="Yes",$L264="Yes"),AND('Pockets'!$E$17="Worse or not sure",OR($K264="Yes",$K264="Not sure")))),1,0)</f>
        <v/>
      </c>
      <c r="N264">
        <f>$N263+$M264</f>
        <v/>
      </c>
      <c r="O264" t="inlineStr">
        <is>
          <t>three-way</t>
        </is>
      </c>
      <c r="P264" t="inlineStr">
        <is>
          <t>outcome_loans</t>
        </is>
      </c>
    </row>
    <row r="265">
      <c r="A265" t="inlineStr">
        <is>
          <t>Split by SYS_FLAG</t>
        </is>
      </c>
      <c r="B265" t="inlineStr">
        <is>
          <t>Bad loans</t>
        </is>
      </c>
      <c r="C265" t="n">
        <v>1169</v>
      </c>
      <c r="D265" t="inlineStr">
        <is>
          <t>ORIG_BAL 15,449 - 26,323</t>
        </is>
      </c>
      <c r="E265" t="inlineStr">
        <is>
          <t>ASSET_CLASS 4</t>
        </is>
      </c>
      <c r="F265" t="inlineStr">
        <is>
          <t>Y</t>
        </is>
      </c>
      <c r="G265" t="n">
        <v>190</v>
      </c>
      <c r="H265" t="n">
        <v>1.774627678477992</v>
      </c>
      <c r="J265" t="n">
        <v>44</v>
      </c>
      <c r="K265">
        <f>'_pockets'!$AI$1169</f>
        <v/>
      </c>
      <c r="L265">
        <f>'_pockets'!$AJ$1169</f>
        <v/>
      </c>
      <c r="M265">
        <f>IF(AND($A265='Pockets'!$D$17,$B265='Pockets'!$C$17,OR('Pockets'!$E$17="All",AND('Pockets'!$E$17="Worse and material",$K265="Yes",$L265="Yes"),AND('Pockets'!$E$17="Worse or not sure",OR($K265="Yes",$K265="Not sure")))),1,0)</f>
        <v/>
      </c>
      <c r="N265">
        <f>$N264+$M265</f>
        <v/>
      </c>
      <c r="O265" t="inlineStr">
        <is>
          <t>three-way</t>
        </is>
      </c>
      <c r="P265" t="inlineStr">
        <is>
          <t>outcome_loans</t>
        </is>
      </c>
    </row>
    <row r="266">
      <c r="A266" t="inlineStr">
        <is>
          <t>Split by SYS_FLAG</t>
        </is>
      </c>
      <c r="B266" t="inlineStr">
        <is>
          <t>Bad loans</t>
        </is>
      </c>
      <c r="C266" t="n">
        <v>1134</v>
      </c>
      <c r="D266" t="inlineStr">
        <is>
          <t>ORIG_BAL 15,449 - 26,323</t>
        </is>
      </c>
      <c r="E266" t="inlineStr">
        <is>
          <t>ASSET_CLASS 1</t>
        </is>
      </c>
      <c r="F266" t="inlineStr">
        <is>
          <t>Y</t>
        </is>
      </c>
      <c r="G266" t="n">
        <v>180</v>
      </c>
      <c r="H266" t="n">
        <v>1.796752114093341</v>
      </c>
      <c r="J266" t="n">
        <v>45</v>
      </c>
      <c r="K266">
        <f>'_pockets'!$AI$1134</f>
        <v/>
      </c>
      <c r="L266">
        <f>'_pockets'!$AJ$1134</f>
        <v/>
      </c>
      <c r="M266">
        <f>IF(AND($A266='Pockets'!$D$17,$B266='Pockets'!$C$17,OR('Pockets'!$E$17="All",AND('Pockets'!$E$17="Worse and material",$K266="Yes",$L266="Yes"),AND('Pockets'!$E$17="Worse or not sure",OR($K266="Yes",$K266="Not sure")))),1,0)</f>
        <v/>
      </c>
      <c r="N266">
        <f>$N265+$M266</f>
        <v/>
      </c>
      <c r="O266" t="inlineStr">
        <is>
          <t>three-way</t>
        </is>
      </c>
      <c r="P266" t="inlineStr">
        <is>
          <t>outcome_loans</t>
        </is>
      </c>
    </row>
    <row r="267">
      <c r="A267" t="inlineStr">
        <is>
          <t>Split by SYS_FLAG</t>
        </is>
      </c>
      <c r="B267" t="inlineStr">
        <is>
          <t>Bad loans</t>
        </is>
      </c>
      <c r="C267" t="n">
        <v>714</v>
      </c>
      <c r="D267" t="inlineStr">
        <is>
          <t>FICO 654 - 685</t>
        </is>
      </c>
      <c r="E267" t="inlineStr">
        <is>
          <t>ASSET_CLASS 2</t>
        </is>
      </c>
      <c r="F267" t="inlineStr">
        <is>
          <t>Y</t>
        </is>
      </c>
      <c r="G267" t="n">
        <v>163</v>
      </c>
      <c r="H267" t="n">
        <v>1.83916021215109</v>
      </c>
      <c r="J267" t="n">
        <v>46</v>
      </c>
      <c r="K267">
        <f>'_pockets'!$AI$714</f>
        <v/>
      </c>
      <c r="L267">
        <f>'_pockets'!$AJ$714</f>
        <v/>
      </c>
      <c r="M267">
        <f>IF(AND($A267='Pockets'!$D$17,$B267='Pockets'!$C$17,OR('Pockets'!$E$17="All",AND('Pockets'!$E$17="Worse and material",$K267="Yes",$L267="Yes"),AND('Pockets'!$E$17="Worse or not sure",OR($K267="Yes",$K267="Not sure")))),1,0)</f>
        <v/>
      </c>
      <c r="N267">
        <f>$N266+$M267</f>
        <v/>
      </c>
      <c r="O267" t="inlineStr">
        <is>
          <t>three-way</t>
        </is>
      </c>
      <c r="P267" t="inlineStr">
        <is>
          <t>outcome_loans</t>
        </is>
      </c>
    </row>
    <row r="268">
      <c r="A268" t="inlineStr">
        <is>
          <t>Split by SYS_FLAG</t>
        </is>
      </c>
      <c r="B268" t="inlineStr">
        <is>
          <t>Bad loans</t>
        </is>
      </c>
      <c r="C268" t="n">
        <v>834</v>
      </c>
      <c r="D268" t="inlineStr">
        <is>
          <t>FICO (marked missing)</t>
        </is>
      </c>
      <c r="E268" t="inlineStr">
        <is>
          <t>ASSET_CLASS 2</t>
        </is>
      </c>
      <c r="F268" t="inlineStr">
        <is>
          <t>Y</t>
        </is>
      </c>
      <c r="G268" t="n">
        <v>18</v>
      </c>
      <c r="H268" t="n">
        <v>3.766891604626315</v>
      </c>
      <c r="J268" t="n">
        <v>47</v>
      </c>
      <c r="K268">
        <f>'_pockets'!$AI$834</f>
        <v/>
      </c>
      <c r="L268">
        <f>'_pockets'!$AJ$834</f>
        <v/>
      </c>
      <c r="M268">
        <f>IF(AND($A268='Pockets'!$D$17,$B268='Pockets'!$C$17,OR('Pockets'!$E$17="All",AND('Pockets'!$E$17="Worse and material",$K268="Yes",$L268="Yes"),AND('Pockets'!$E$17="Worse or not sure",OR($K268="Yes",$K268="Not sure")))),1,0)</f>
        <v/>
      </c>
      <c r="N268">
        <f>$N267+$M268</f>
        <v/>
      </c>
      <c r="O268" t="inlineStr">
        <is>
          <t>three-way</t>
        </is>
      </c>
      <c r="P268" t="inlineStr">
        <is>
          <t>outcome_loans</t>
        </is>
      </c>
    </row>
    <row r="269">
      <c r="A269" t="inlineStr">
        <is>
          <t>Split by SYS_FLAG</t>
        </is>
      </c>
      <c r="B269" t="inlineStr">
        <is>
          <t>Bad loans</t>
        </is>
      </c>
      <c r="C269" t="n">
        <v>864</v>
      </c>
      <c r="D269" t="inlineStr">
        <is>
          <t>ORIG_BAL 26,324 - 37,950</t>
        </is>
      </c>
      <c r="E269" t="inlineStr">
        <is>
          <t>Branch</t>
        </is>
      </c>
      <c r="F269" t="inlineStr">
        <is>
          <t>Y</t>
        </is>
      </c>
      <c r="G269" t="n">
        <v>236</v>
      </c>
      <c r="H269" t="n">
        <v>1.692439853142426</v>
      </c>
      <c r="J269" t="n">
        <v>48</v>
      </c>
      <c r="K269">
        <f>'_pockets'!$AI$864</f>
        <v/>
      </c>
      <c r="L269">
        <f>'_pockets'!$AJ$864</f>
        <v/>
      </c>
      <c r="M269">
        <f>IF(AND($A269='Pockets'!$D$17,$B269='Pockets'!$C$17,OR('Pockets'!$E$17="All",AND('Pockets'!$E$17="Worse and material",$K269="Yes",$L269="Yes"),AND('Pockets'!$E$17="Worse or not sure",OR($K269="Yes",$K269="Not sure")))),1,0)</f>
        <v/>
      </c>
      <c r="N269">
        <f>$N268+$M269</f>
        <v/>
      </c>
      <c r="O269" t="inlineStr">
        <is>
          <t>three-way</t>
        </is>
      </c>
      <c r="P269" t="inlineStr">
        <is>
          <t>outcome_loans</t>
        </is>
      </c>
    </row>
    <row r="270">
      <c r="A270" t="inlineStr">
        <is>
          <t>Split by SYS_FLAG</t>
        </is>
      </c>
      <c r="B270" t="inlineStr">
        <is>
          <t>Bad loans</t>
        </is>
      </c>
      <c r="C270" t="n">
        <v>549</v>
      </c>
      <c r="D270" t="inlineStr">
        <is>
          <t>FICO 746 - 921</t>
        </is>
      </c>
      <c r="E270" t="inlineStr">
        <is>
          <t>Broker</t>
        </is>
      </c>
      <c r="F270" t="inlineStr">
        <is>
          <t>Y</t>
        </is>
      </c>
      <c r="G270" t="n">
        <v>237</v>
      </c>
      <c r="H270" t="n">
        <v>1.690935646900933</v>
      </c>
      <c r="J270" t="n">
        <v>49</v>
      </c>
      <c r="K270">
        <f>'_pockets'!$AI$549</f>
        <v/>
      </c>
      <c r="L270">
        <f>'_pockets'!$AJ$549</f>
        <v/>
      </c>
      <c r="M270">
        <f>IF(AND($A270='Pockets'!$D$17,$B270='Pockets'!$C$17,OR('Pockets'!$E$17="All",AND('Pockets'!$E$17="Worse and material",$K270="Yes",$L270="Yes"),AND('Pockets'!$E$17="Worse or not sure",OR($K270="Yes",$K270="Not sure")))),1,0)</f>
        <v/>
      </c>
      <c r="N270">
        <f>$N269+$M270</f>
        <v/>
      </c>
      <c r="O270" t="inlineStr">
        <is>
          <t>three-way</t>
        </is>
      </c>
      <c r="P270" t="inlineStr">
        <is>
          <t>outcome_loans</t>
        </is>
      </c>
    </row>
    <row r="271">
      <c r="A271" t="inlineStr">
        <is>
          <t>Split by SYS_FLAG</t>
        </is>
      </c>
      <c r="B271" t="inlineStr">
        <is>
          <t>Bad loans</t>
        </is>
      </c>
      <c r="C271" t="n">
        <v>999</v>
      </c>
      <c r="D271" t="inlineStr">
        <is>
          <t>ORIG_BAL 26,324 - 37,950</t>
        </is>
      </c>
      <c r="E271" t="inlineStr">
        <is>
          <t>ASSET_CLASS 2</t>
        </is>
      </c>
      <c r="F271" t="inlineStr">
        <is>
          <t>Y</t>
        </is>
      </c>
      <c r="G271" t="n">
        <v>179</v>
      </c>
      <c r="H271" t="n">
        <v>1.799070701356365</v>
      </c>
      <c r="J271" t="n">
        <v>50</v>
      </c>
      <c r="K271">
        <f>'_pockets'!$AI$999</f>
        <v/>
      </c>
      <c r="L271">
        <f>'_pockets'!$AJ$999</f>
        <v/>
      </c>
      <c r="M271">
        <f>IF(AND($A271='Pockets'!$D$17,$B271='Pockets'!$C$17,OR('Pockets'!$E$17="All",AND('Pockets'!$E$17="Worse and material",$K271="Yes",$L271="Yes"),AND('Pockets'!$E$17="Worse or not sure",OR($K271="Yes",$K271="Not sure")))),1,0)</f>
        <v/>
      </c>
      <c r="N271">
        <f>$N270+$M271</f>
        <v/>
      </c>
      <c r="O271" t="inlineStr">
        <is>
          <t>three-way</t>
        </is>
      </c>
      <c r="P271" t="inlineStr">
        <is>
          <t>outcome_loans</t>
        </is>
      </c>
    </row>
    <row r="272">
      <c r="A272" t="inlineStr">
        <is>
          <t>Split by SYS_FLAG</t>
        </is>
      </c>
      <c r="B272" t="inlineStr">
        <is>
          <t>Bad loans</t>
        </is>
      </c>
      <c r="C272" t="n">
        <v>479</v>
      </c>
      <c r="D272" t="inlineStr">
        <is>
          <t>FICO 746 - 921</t>
        </is>
      </c>
      <c r="E272" t="inlineStr">
        <is>
          <t>Online</t>
        </is>
      </c>
      <c r="F272" t="inlineStr">
        <is>
          <t>Y</t>
        </is>
      </c>
      <c r="G272" t="n">
        <v>225</v>
      </c>
      <c r="H272" t="n">
        <v>1.709673609563677</v>
      </c>
      <c r="J272" t="n">
        <v>51</v>
      </c>
      <c r="K272">
        <f>'_pockets'!$AI$479</f>
        <v/>
      </c>
      <c r="L272">
        <f>'_pockets'!$AJ$479</f>
        <v/>
      </c>
      <c r="M272">
        <f>IF(AND($A272='Pockets'!$D$17,$B272='Pockets'!$C$17,OR('Pockets'!$E$17="All",AND('Pockets'!$E$17="Worse and material",$K272="Yes",$L272="Yes"),AND('Pockets'!$E$17="Worse or not sure",OR($K272="Yes",$K272="Not sure")))),1,0)</f>
        <v/>
      </c>
      <c r="N272">
        <f>$N271+$M272</f>
        <v/>
      </c>
      <c r="O272" t="inlineStr">
        <is>
          <t>three-way</t>
        </is>
      </c>
      <c r="P272" t="inlineStr">
        <is>
          <t>outcome_loans</t>
        </is>
      </c>
    </row>
    <row r="273">
      <c r="A273" t="inlineStr">
        <is>
          <t>Split by SYS_FLAG</t>
        </is>
      </c>
      <c r="B273" t="inlineStr">
        <is>
          <t>Bad loans</t>
        </is>
      </c>
      <c r="C273" t="n">
        <v>764</v>
      </c>
      <c r="D273" t="inlineStr">
        <is>
          <t>FICO 746 - 921</t>
        </is>
      </c>
      <c r="E273" t="inlineStr">
        <is>
          <t>ASSET_CLASS 3</t>
        </is>
      </c>
      <c r="F273" t="inlineStr">
        <is>
          <t>Y</t>
        </is>
      </c>
      <c r="G273" t="n">
        <v>174</v>
      </c>
      <c r="H273" t="n">
        <v>1.810975785012481</v>
      </c>
      <c r="J273" t="n">
        <v>52</v>
      </c>
      <c r="K273">
        <f>'_pockets'!$AI$764</f>
        <v/>
      </c>
      <c r="L273">
        <f>'_pockets'!$AJ$764</f>
        <v/>
      </c>
      <c r="M273">
        <f>IF(AND($A273='Pockets'!$D$17,$B273='Pockets'!$C$17,OR('Pockets'!$E$17="All",AND('Pockets'!$E$17="Worse and material",$K273="Yes",$L273="Yes"),AND('Pockets'!$E$17="Worse or not sure",OR($K273="Yes",$K273="Not sure")))),1,0)</f>
        <v/>
      </c>
      <c r="N273">
        <f>$N272+$M273</f>
        <v/>
      </c>
      <c r="O273" t="inlineStr">
        <is>
          <t>three-way</t>
        </is>
      </c>
      <c r="P273" t="inlineStr">
        <is>
          <t>outcome_loans</t>
        </is>
      </c>
    </row>
    <row r="274">
      <c r="A274" t="inlineStr">
        <is>
          <t>Split by SYS_FLAG</t>
        </is>
      </c>
      <c r="B274" t="inlineStr">
        <is>
          <t>Bad loans</t>
        </is>
      </c>
      <c r="C274" t="n">
        <v>1034</v>
      </c>
      <c r="D274" t="inlineStr">
        <is>
          <t>ORIG_BAL 26,324 - 37,950</t>
        </is>
      </c>
      <c r="E274" t="inlineStr">
        <is>
          <t>ASSET_CLASS 1</t>
        </is>
      </c>
      <c r="F274" t="inlineStr">
        <is>
          <t>Y</t>
        </is>
      </c>
      <c r="G274" t="n">
        <v>173</v>
      </c>
      <c r="H274" t="n">
        <v>1.813421387684223</v>
      </c>
      <c r="J274" t="n">
        <v>53</v>
      </c>
      <c r="K274">
        <f>'_pockets'!$AI$1034</f>
        <v/>
      </c>
      <c r="L274">
        <f>'_pockets'!$AJ$1034</f>
        <v/>
      </c>
      <c r="M274">
        <f>IF(AND($A274='Pockets'!$D$17,$B274='Pockets'!$C$17,OR('Pockets'!$E$17="All",AND('Pockets'!$E$17="Worse and material",$K274="Yes",$L274="Yes"),AND('Pockets'!$E$17="Worse or not sure",OR($K274="Yes",$K274="Not sure")))),1,0)</f>
        <v/>
      </c>
      <c r="N274">
        <f>$N273+$M274</f>
        <v/>
      </c>
      <c r="O274" t="inlineStr">
        <is>
          <t>three-way</t>
        </is>
      </c>
      <c r="P274" t="inlineStr">
        <is>
          <t>outcome_loans</t>
        </is>
      </c>
    </row>
    <row r="275">
      <c r="A275" t="inlineStr">
        <is>
          <t>Split by SYS_FLAG</t>
        </is>
      </c>
      <c r="B275" t="inlineStr">
        <is>
          <t>Bad loans</t>
        </is>
      </c>
      <c r="C275" t="n">
        <v>1189</v>
      </c>
      <c r="D275" t="inlineStr">
        <is>
          <t>ORIG_BAL 26,324 - 37,950</t>
        </is>
      </c>
      <c r="E275" t="inlineStr">
        <is>
          <t>ASSET_CLASS 4</t>
        </is>
      </c>
      <c r="F275" t="inlineStr">
        <is>
          <t>N</t>
        </is>
      </c>
      <c r="G275" t="n">
        <v>218</v>
      </c>
      <c r="H275" t="n">
        <v>1.721345364081568</v>
      </c>
      <c r="J275" t="n">
        <v>54</v>
      </c>
      <c r="K275">
        <f>'_pockets'!$AI$1189</f>
        <v/>
      </c>
      <c r="L275">
        <f>'_pockets'!$AJ$1189</f>
        <v/>
      </c>
      <c r="M275">
        <f>IF(AND($A275='Pockets'!$D$17,$B275='Pockets'!$C$17,OR('Pockets'!$E$17="All",AND('Pockets'!$E$17="Worse and material",$K275="Yes",$L275="Yes"),AND('Pockets'!$E$17="Worse or not sure",OR($K275="Yes",$K275="Not sure")))),1,0)</f>
        <v/>
      </c>
      <c r="N275">
        <f>$N274+$M275</f>
        <v/>
      </c>
      <c r="O275" t="inlineStr">
        <is>
          <t>three-way</t>
        </is>
      </c>
      <c r="P275" t="inlineStr">
        <is>
          <t>outcome_loans</t>
        </is>
      </c>
    </row>
    <row r="276">
      <c r="A276" t="inlineStr">
        <is>
          <t>Split by SYS_FLAG</t>
        </is>
      </c>
      <c r="B276" t="inlineStr">
        <is>
          <t>Bad loans</t>
        </is>
      </c>
      <c r="C276" t="n">
        <v>624</v>
      </c>
      <c r="D276" t="inlineStr">
        <is>
          <t>FICO 746 - 921</t>
        </is>
      </c>
      <c r="E276" t="inlineStr">
        <is>
          <t>ASSET_CLASS 2</t>
        </is>
      </c>
      <c r="F276" t="inlineStr">
        <is>
          <t>Y</t>
        </is>
      </c>
      <c r="G276" t="n">
        <v>180</v>
      </c>
      <c r="H276" t="n">
        <v>1.796752114093341</v>
      </c>
      <c r="J276" t="n">
        <v>55</v>
      </c>
      <c r="K276">
        <f>'_pockets'!$AI$624</f>
        <v/>
      </c>
      <c r="L276">
        <f>'_pockets'!$AJ$624</f>
        <v/>
      </c>
      <c r="M276">
        <f>IF(AND($A276='Pockets'!$D$17,$B276='Pockets'!$C$17,OR('Pockets'!$E$17="All",AND('Pockets'!$E$17="Worse and material",$K276="Yes",$L276="Yes"),AND('Pockets'!$E$17="Worse or not sure",OR($K276="Yes",$K276="Not sure")))),1,0)</f>
        <v/>
      </c>
      <c r="N276">
        <f>$N275+$M276</f>
        <v/>
      </c>
      <c r="O276" t="inlineStr">
        <is>
          <t>three-way</t>
        </is>
      </c>
      <c r="P276" t="inlineStr">
        <is>
          <t>outcome_loans</t>
        </is>
      </c>
    </row>
    <row r="277">
      <c r="A277" t="inlineStr">
        <is>
          <t>Split by SYS_FLAG</t>
        </is>
      </c>
      <c r="B277" t="inlineStr">
        <is>
          <t>Bad loans</t>
        </is>
      </c>
      <c r="C277" t="n">
        <v>739</v>
      </c>
      <c r="D277" t="inlineStr">
        <is>
          <t>FICO 712 - 745</t>
        </is>
      </c>
      <c r="E277" t="inlineStr">
        <is>
          <t>ASSET_CLASS 3</t>
        </is>
      </c>
      <c r="F277" t="inlineStr">
        <is>
          <t>Y</t>
        </is>
      </c>
      <c r="G277" t="n">
        <v>169</v>
      </c>
      <c r="H277" t="n">
        <v>1.823429948240661</v>
      </c>
      <c r="J277" t="n">
        <v>56</v>
      </c>
      <c r="K277">
        <f>'_pockets'!$AI$739</f>
        <v/>
      </c>
      <c r="L277">
        <f>'_pockets'!$AJ$739</f>
        <v/>
      </c>
      <c r="M277">
        <f>IF(AND($A277='Pockets'!$D$17,$B277='Pockets'!$C$17,OR('Pockets'!$E$17="All",AND('Pockets'!$E$17="Worse and material",$K277="Yes",$L277="Yes"),AND('Pockets'!$E$17="Worse or not sure",OR($K277="Yes",$K277="Not sure")))),1,0)</f>
        <v/>
      </c>
      <c r="N277">
        <f>$N276+$M277</f>
        <v/>
      </c>
      <c r="O277" t="inlineStr">
        <is>
          <t>three-way</t>
        </is>
      </c>
      <c r="P277" t="inlineStr">
        <is>
          <t>outcome_loans</t>
        </is>
      </c>
    </row>
    <row r="278">
      <c r="A278" t="inlineStr">
        <is>
          <t>Split by SYS_FLAG</t>
        </is>
      </c>
      <c r="B278" t="inlineStr">
        <is>
          <t>Bad loans</t>
        </is>
      </c>
      <c r="C278" t="n">
        <v>779</v>
      </c>
      <c r="D278" t="inlineStr">
        <is>
          <t>FICO 654 - 685</t>
        </is>
      </c>
      <c r="E278" t="inlineStr">
        <is>
          <t>ASSET_CLASS 3</t>
        </is>
      </c>
      <c r="F278" t="inlineStr">
        <is>
          <t>Y</t>
        </is>
      </c>
      <c r="G278" t="n">
        <v>193</v>
      </c>
      <c r="H278" t="n">
        <v>1.7683431730409</v>
      </c>
      <c r="J278" t="n">
        <v>57</v>
      </c>
      <c r="K278">
        <f>'_pockets'!$AI$779</f>
        <v/>
      </c>
      <c r="L278">
        <f>'_pockets'!$AJ$779</f>
        <v/>
      </c>
      <c r="M278">
        <f>IF(AND($A278='Pockets'!$D$17,$B278='Pockets'!$C$17,OR('Pockets'!$E$17="All",AND('Pockets'!$E$17="Worse and material",$K278="Yes",$L278="Yes"),AND('Pockets'!$E$17="Worse or not sure",OR($K278="Yes",$K278="Not sure")))),1,0)</f>
        <v/>
      </c>
      <c r="N278">
        <f>$N277+$M278</f>
        <v/>
      </c>
      <c r="O278" t="inlineStr">
        <is>
          <t>three-way</t>
        </is>
      </c>
      <c r="P278" t="inlineStr">
        <is>
          <t>outcome_loans</t>
        </is>
      </c>
    </row>
    <row r="279">
      <c r="A279" t="inlineStr">
        <is>
          <t>Split by SYS_FLAG</t>
        </is>
      </c>
      <c r="B279" t="inlineStr">
        <is>
          <t>Bad loans</t>
        </is>
      </c>
      <c r="C279" t="n">
        <v>869</v>
      </c>
      <c r="D279" t="inlineStr">
        <is>
          <t>ORIG_BAL 37,951 - 49,151</t>
        </is>
      </c>
      <c r="E279" t="inlineStr">
        <is>
          <t>Branch</t>
        </is>
      </c>
      <c r="F279" t="inlineStr">
        <is>
          <t>Y</t>
        </is>
      </c>
      <c r="G279" t="n">
        <v>257</v>
      </c>
      <c r="H279" t="n">
        <v>1.662803545702996</v>
      </c>
      <c r="J279" t="n">
        <v>58</v>
      </c>
      <c r="K279">
        <f>'_pockets'!$AI$869</f>
        <v/>
      </c>
      <c r="L279">
        <f>'_pockets'!$AJ$869</f>
        <v/>
      </c>
      <c r="M279">
        <f>IF(AND($A279='Pockets'!$D$17,$B279='Pockets'!$C$17,OR('Pockets'!$E$17="All",AND('Pockets'!$E$17="Worse and material",$K279="Yes",$L279="Yes"),AND('Pockets'!$E$17="Worse or not sure",OR($K279="Yes",$K279="Not sure")))),1,0)</f>
        <v/>
      </c>
      <c r="N279">
        <f>$N278+$M279</f>
        <v/>
      </c>
      <c r="O279" t="inlineStr">
        <is>
          <t>three-way</t>
        </is>
      </c>
      <c r="P279" t="inlineStr">
        <is>
          <t>outcome_loans</t>
        </is>
      </c>
    </row>
    <row r="280">
      <c r="A280" t="inlineStr">
        <is>
          <t>Split by SYS_FLAG</t>
        </is>
      </c>
      <c r="B280" t="inlineStr">
        <is>
          <t>Bad loans</t>
        </is>
      </c>
      <c r="C280" t="n">
        <v>699</v>
      </c>
      <c r="D280" t="inlineStr">
        <is>
          <t>FICO 654 - 685</t>
        </is>
      </c>
      <c r="E280" t="inlineStr">
        <is>
          <t>ASSET_CLASS 4</t>
        </is>
      </c>
      <c r="F280" t="inlineStr">
        <is>
          <t>N</t>
        </is>
      </c>
      <c r="G280" t="n">
        <v>219</v>
      </c>
      <c r="H280" t="n">
        <v>1.719642186694777</v>
      </c>
      <c r="J280" t="n">
        <v>59</v>
      </c>
      <c r="K280">
        <f>'_pockets'!$AI$699</f>
        <v/>
      </c>
      <c r="L280">
        <f>'_pockets'!$AJ$699</f>
        <v/>
      </c>
      <c r="M280">
        <f>IF(AND($A280='Pockets'!$D$17,$B280='Pockets'!$C$17,OR('Pockets'!$E$17="All",AND('Pockets'!$E$17="Worse and material",$K280="Yes",$L280="Yes"),AND('Pockets'!$E$17="Worse or not sure",OR($K280="Yes",$K280="Not sure")))),1,0)</f>
        <v/>
      </c>
      <c r="N280">
        <f>$N279+$M280</f>
        <v/>
      </c>
      <c r="O280" t="inlineStr">
        <is>
          <t>three-way</t>
        </is>
      </c>
      <c r="P280" t="inlineStr">
        <is>
          <t>outcome_loans</t>
        </is>
      </c>
    </row>
    <row r="281">
      <c r="A281" t="inlineStr">
        <is>
          <t>Split by SYS_FLAG</t>
        </is>
      </c>
      <c r="B281" t="inlineStr">
        <is>
          <t>Bad loans</t>
        </is>
      </c>
      <c r="C281" t="n">
        <v>664</v>
      </c>
      <c r="D281" t="inlineStr">
        <is>
          <t>FICO 746 - 921</t>
        </is>
      </c>
      <c r="E281" t="inlineStr">
        <is>
          <t>ASSET_CLASS 4</t>
        </is>
      </c>
      <c r="F281" t="inlineStr">
        <is>
          <t>Y</t>
        </is>
      </c>
      <c r="G281" t="n">
        <v>164</v>
      </c>
      <c r="H281" t="n">
        <v>1.836475914727798</v>
      </c>
      <c r="J281" t="n">
        <v>60</v>
      </c>
      <c r="K281">
        <f>'_pockets'!$AI$664</f>
        <v/>
      </c>
      <c r="L281">
        <f>'_pockets'!$AJ$664</f>
        <v/>
      </c>
      <c r="M281">
        <f>IF(AND($A281='Pockets'!$D$17,$B281='Pockets'!$C$17,OR('Pockets'!$E$17="All",AND('Pockets'!$E$17="Worse and material",$K281="Yes",$L281="Yes"),AND('Pockets'!$E$17="Worse or not sure",OR($K281="Yes",$K281="Not sure")))),1,0)</f>
        <v/>
      </c>
      <c r="N281">
        <f>$N280+$M281</f>
        <v/>
      </c>
      <c r="O281" t="inlineStr">
        <is>
          <t>three-way</t>
        </is>
      </c>
      <c r="P281" t="inlineStr">
        <is>
          <t>outcome_loans</t>
        </is>
      </c>
    </row>
    <row r="282">
      <c r="A282" t="inlineStr">
        <is>
          <t>Split by SYS_FLAG</t>
        </is>
      </c>
      <c r="B282" t="inlineStr">
        <is>
          <t>Bad loans</t>
        </is>
      </c>
      <c r="C282" t="n">
        <v>949</v>
      </c>
      <c r="D282" t="inlineStr">
        <is>
          <t>ORIG_BAL 49,152 - 59,984</t>
        </is>
      </c>
      <c r="E282" t="inlineStr">
        <is>
          <t>Broker</t>
        </is>
      </c>
      <c r="F282" t="inlineStr">
        <is>
          <t>N</t>
        </is>
      </c>
      <c r="G282" t="n">
        <v>278</v>
      </c>
      <c r="H282" t="n">
        <v>1.636742156051363</v>
      </c>
      <c r="J282" t="n">
        <v>61</v>
      </c>
      <c r="K282">
        <f>'_pockets'!$AI$949</f>
        <v/>
      </c>
      <c r="L282">
        <f>'_pockets'!$AJ$949</f>
        <v/>
      </c>
      <c r="M282">
        <f>IF(AND($A282='Pockets'!$D$17,$B282='Pockets'!$C$17,OR('Pockets'!$E$17="All",AND('Pockets'!$E$17="Worse and material",$K282="Yes",$L282="Yes"),AND('Pockets'!$E$17="Worse or not sure",OR($K282="Yes",$K282="Not sure")))),1,0)</f>
        <v/>
      </c>
      <c r="N282">
        <f>$N281+$M282</f>
        <v/>
      </c>
      <c r="O282" t="inlineStr">
        <is>
          <t>three-way</t>
        </is>
      </c>
      <c r="P282" t="inlineStr">
        <is>
          <t>outcome_loans</t>
        </is>
      </c>
    </row>
    <row r="283">
      <c r="A283" t="inlineStr">
        <is>
          <t>Split by SYS_FLAG</t>
        </is>
      </c>
      <c r="B283" t="inlineStr">
        <is>
          <t>Bad loans</t>
        </is>
      </c>
      <c r="C283" t="n">
        <v>639</v>
      </c>
      <c r="D283" t="inlineStr">
        <is>
          <t>FICO 712 - 745</t>
        </is>
      </c>
      <c r="E283" t="inlineStr">
        <is>
          <t>ASSET_CLASS 4</t>
        </is>
      </c>
      <c r="F283" t="inlineStr">
        <is>
          <t>N</t>
        </is>
      </c>
      <c r="G283" t="n">
        <v>220</v>
      </c>
      <c r="H283" t="n">
        <v>1.717951169134258</v>
      </c>
      <c r="J283" t="n">
        <v>62</v>
      </c>
      <c r="K283">
        <f>'_pockets'!$AI$639</f>
        <v/>
      </c>
      <c r="L283">
        <f>'_pockets'!$AJ$639</f>
        <v/>
      </c>
      <c r="M283">
        <f>IF(AND($A283='Pockets'!$D$17,$B283='Pockets'!$C$17,OR('Pockets'!$E$17="All",AND('Pockets'!$E$17="Worse and material",$K283="Yes",$L283="Yes"),AND('Pockets'!$E$17="Worse or not sure",OR($K283="Yes",$K283="Not sure")))),1,0)</f>
        <v/>
      </c>
      <c r="N283">
        <f>$N282+$M283</f>
        <v/>
      </c>
      <c r="O283" t="inlineStr">
        <is>
          <t>three-way</t>
        </is>
      </c>
      <c r="P283" t="inlineStr">
        <is>
          <t>outcome_loans</t>
        </is>
      </c>
    </row>
    <row r="284">
      <c r="A284" t="inlineStr">
        <is>
          <t>Split by SYS_FLAG</t>
        </is>
      </c>
      <c r="B284" t="inlineStr">
        <is>
          <t>Bad loans</t>
        </is>
      </c>
      <c r="C284" t="n">
        <v>609</v>
      </c>
      <c r="D284" t="inlineStr">
        <is>
          <t>FICO 712 - 745</t>
        </is>
      </c>
      <c r="E284" t="inlineStr">
        <is>
          <t>ASSET_CLASS 2</t>
        </is>
      </c>
      <c r="F284" t="inlineStr">
        <is>
          <t>Y</t>
        </is>
      </c>
      <c r="G284" t="n">
        <v>184</v>
      </c>
      <c r="H284" t="n">
        <v>1.787676144367746</v>
      </c>
      <c r="J284" t="n">
        <v>63</v>
      </c>
      <c r="K284">
        <f>'_pockets'!$AI$609</f>
        <v/>
      </c>
      <c r="L284">
        <f>'_pockets'!$AJ$609</f>
        <v/>
      </c>
      <c r="M284">
        <f>IF(AND($A284='Pockets'!$D$17,$B284='Pockets'!$C$17,OR('Pockets'!$E$17="All",AND('Pockets'!$E$17="Worse and material",$K284="Yes",$L284="Yes"),AND('Pockets'!$E$17="Worse or not sure",OR($K284="Yes",$K284="Not sure")))),1,0)</f>
        <v/>
      </c>
      <c r="N284">
        <f>$N283+$M284</f>
        <v/>
      </c>
      <c r="O284" t="inlineStr">
        <is>
          <t>three-way</t>
        </is>
      </c>
      <c r="P284" t="inlineStr">
        <is>
          <t>outcome_loans</t>
        </is>
      </c>
    </row>
    <row r="285">
      <c r="A285" t="inlineStr">
        <is>
          <t>Split by SYS_FLAG</t>
        </is>
      </c>
      <c r="B285" t="inlineStr">
        <is>
          <t>Bad loans</t>
        </is>
      </c>
      <c r="C285" t="n">
        <v>444</v>
      </c>
      <c r="D285" t="inlineStr">
        <is>
          <t>FICO 686 - 711</t>
        </is>
      </c>
      <c r="E285" t="inlineStr">
        <is>
          <t>Broker</t>
        </is>
      </c>
      <c r="F285" t="inlineStr">
        <is>
          <t>Y</t>
        </is>
      </c>
      <c r="G285" t="n">
        <v>230</v>
      </c>
      <c r="H285" t="n">
        <v>1.701679773788075</v>
      </c>
      <c r="J285" t="n">
        <v>64</v>
      </c>
      <c r="K285">
        <f>'_pockets'!$AI$444</f>
        <v/>
      </c>
      <c r="L285">
        <f>'_pockets'!$AJ$444</f>
        <v/>
      </c>
      <c r="M285">
        <f>IF(AND($A285='Pockets'!$D$17,$B285='Pockets'!$C$17,OR('Pockets'!$E$17="All",AND('Pockets'!$E$17="Worse and material",$K285="Yes",$L285="Yes"),AND('Pockets'!$E$17="Worse or not sure",OR($K285="Yes",$K285="Not sure")))),1,0)</f>
        <v/>
      </c>
      <c r="N285">
        <f>$N284+$M285</f>
        <v/>
      </c>
      <c r="O285" t="inlineStr">
        <is>
          <t>three-way</t>
        </is>
      </c>
      <c r="P285" t="inlineStr">
        <is>
          <t>outcome_loans</t>
        </is>
      </c>
    </row>
    <row r="286">
      <c r="A286" t="inlineStr">
        <is>
          <t>Split by SYS_FLAG</t>
        </is>
      </c>
      <c r="B286" t="inlineStr">
        <is>
          <t>Bad loans</t>
        </is>
      </c>
      <c r="C286" t="n">
        <v>874</v>
      </c>
      <c r="D286" t="inlineStr">
        <is>
          <t>ORIG_BAL 15,449 - 26,323</t>
        </is>
      </c>
      <c r="E286" t="inlineStr">
        <is>
          <t>Broker</t>
        </is>
      </c>
      <c r="F286" t="inlineStr">
        <is>
          <t>N</t>
        </is>
      </c>
      <c r="G286" t="n">
        <v>293</v>
      </c>
      <c r="H286" t="n">
        <v>1.619946387626755</v>
      </c>
      <c r="J286" t="n">
        <v>65</v>
      </c>
      <c r="K286">
        <f>'_pockets'!$AI$874</f>
        <v/>
      </c>
      <c r="L286">
        <f>'_pockets'!$AJ$874</f>
        <v/>
      </c>
      <c r="M286">
        <f>IF(AND($A286='Pockets'!$D$17,$B286='Pockets'!$C$17,OR('Pockets'!$E$17="All",AND('Pockets'!$E$17="Worse and material",$K286="Yes",$L286="Yes"),AND('Pockets'!$E$17="Worse or not sure",OR($K286="Yes",$K286="Not sure")))),1,0)</f>
        <v/>
      </c>
      <c r="N286">
        <f>$N285+$M286</f>
        <v/>
      </c>
      <c r="O286" t="inlineStr">
        <is>
          <t>three-way</t>
        </is>
      </c>
      <c r="P286" t="inlineStr">
        <is>
          <t>outcome_loans</t>
        </is>
      </c>
    </row>
    <row r="287">
      <c r="A287" t="inlineStr">
        <is>
          <t>Split by SYS_FLAG</t>
        </is>
      </c>
      <c r="B287" t="inlineStr">
        <is>
          <t>Bad loans</t>
        </is>
      </c>
      <c r="C287" t="n">
        <v>734</v>
      </c>
      <c r="D287" t="inlineStr">
        <is>
          <t>FICO (marked missing)</t>
        </is>
      </c>
      <c r="E287" t="inlineStr">
        <is>
          <t>ASSET_CLASS 3</t>
        </is>
      </c>
      <c r="F287" t="inlineStr">
        <is>
          <t>Y</t>
        </is>
      </c>
      <c r="G287" t="n">
        <v>22</v>
      </c>
      <c r="H287" t="n">
        <v>3.478265383332805</v>
      </c>
      <c r="J287" t="n">
        <v>66</v>
      </c>
      <c r="K287">
        <f>'_pockets'!$AI$734</f>
        <v/>
      </c>
      <c r="L287">
        <f>'_pockets'!$AJ$734</f>
        <v/>
      </c>
      <c r="M287">
        <f>IF(AND($A287='Pockets'!$D$17,$B287='Pockets'!$C$17,OR('Pockets'!$E$17="All",AND('Pockets'!$E$17="Worse and material",$K287="Yes",$L287="Yes"),AND('Pockets'!$E$17="Worse or not sure",OR($K287="Yes",$K287="Not sure")))),1,0)</f>
        <v/>
      </c>
      <c r="N287">
        <f>$N286+$M287</f>
        <v/>
      </c>
      <c r="O287" t="inlineStr">
        <is>
          <t>three-way</t>
        </is>
      </c>
      <c r="P287" t="inlineStr">
        <is>
          <t>outcome_loans</t>
        </is>
      </c>
    </row>
    <row r="288">
      <c r="A288" t="inlineStr">
        <is>
          <t>Split by SYS_FLAG</t>
        </is>
      </c>
      <c r="B288" t="inlineStr">
        <is>
          <t>Bad loans</t>
        </is>
      </c>
      <c r="C288" t="n">
        <v>449</v>
      </c>
      <c r="D288" t="inlineStr">
        <is>
          <t>FICO 712 - 745</t>
        </is>
      </c>
      <c r="E288" t="inlineStr">
        <is>
          <t>Online</t>
        </is>
      </c>
      <c r="F288" t="inlineStr">
        <is>
          <t>N</t>
        </is>
      </c>
      <c r="G288" t="n">
        <v>286</v>
      </c>
      <c r="H288" t="n">
        <v>1.627612144919008</v>
      </c>
      <c r="J288" t="n">
        <v>67</v>
      </c>
      <c r="K288">
        <f>'_pockets'!$AI$449</f>
        <v/>
      </c>
      <c r="L288">
        <f>'_pockets'!$AJ$449</f>
        <v/>
      </c>
      <c r="M288">
        <f>IF(AND($A288='Pockets'!$D$17,$B288='Pockets'!$C$17,OR('Pockets'!$E$17="All",AND('Pockets'!$E$17="Worse and material",$K288="Yes",$L288="Yes"),AND('Pockets'!$E$17="Worse or not sure",OR($K288="Yes",$K288="Not sure")))),1,0)</f>
        <v/>
      </c>
      <c r="N288">
        <f>$N287+$M288</f>
        <v/>
      </c>
      <c r="O288" t="inlineStr">
        <is>
          <t>three-way</t>
        </is>
      </c>
      <c r="P288" t="inlineStr">
        <is>
          <t>outcome_loans</t>
        </is>
      </c>
    </row>
    <row r="289">
      <c r="A289" t="inlineStr">
        <is>
          <t>Split by SYS_FLAG</t>
        </is>
      </c>
      <c r="B289" t="inlineStr">
        <is>
          <t>Bad loans</t>
        </is>
      </c>
      <c r="C289" t="n">
        <v>1089</v>
      </c>
      <c r="D289" t="inlineStr">
        <is>
          <t>ORIG_BAL 49,152 - 59,984</t>
        </is>
      </c>
      <c r="E289" t="inlineStr">
        <is>
          <t>ASSET_CLASS 3</t>
        </is>
      </c>
      <c r="F289" t="inlineStr">
        <is>
          <t>Y</t>
        </is>
      </c>
      <c r="G289" t="n">
        <v>179</v>
      </c>
      <c r="H289" t="n">
        <v>1.799070701356365</v>
      </c>
      <c r="J289" t="n">
        <v>68</v>
      </c>
      <c r="K289">
        <f>'_pockets'!$AI$1089</f>
        <v/>
      </c>
      <c r="L289">
        <f>'_pockets'!$AJ$1089</f>
        <v/>
      </c>
      <c r="M289">
        <f>IF(AND($A289='Pockets'!$D$17,$B289='Pockets'!$C$17,OR('Pockets'!$E$17="All",AND('Pockets'!$E$17="Worse and material",$K289="Yes",$L289="Yes"),AND('Pockets'!$E$17="Worse or not sure",OR($K289="Yes",$K289="Not sure")))),1,0)</f>
        <v/>
      </c>
      <c r="N289">
        <f>$N288+$M289</f>
        <v/>
      </c>
      <c r="O289" t="inlineStr">
        <is>
          <t>three-way</t>
        </is>
      </c>
      <c r="P289" t="inlineStr">
        <is>
          <t>outcome_loans</t>
        </is>
      </c>
    </row>
    <row r="290">
      <c r="A290" t="inlineStr">
        <is>
          <t>Split by SYS_FLAG</t>
        </is>
      </c>
      <c r="B290" t="inlineStr">
        <is>
          <t>Bad loans</t>
        </is>
      </c>
      <c r="C290" t="n">
        <v>529</v>
      </c>
      <c r="D290" t="inlineStr">
        <is>
          <t>FICO (marked missing)</t>
        </is>
      </c>
      <c r="E290" t="inlineStr">
        <is>
          <t>Online</t>
        </is>
      </c>
      <c r="F290" t="inlineStr">
        <is>
          <t>Y</t>
        </is>
      </c>
      <c r="G290" t="n">
        <v>25</v>
      </c>
      <c r="H290" t="n">
        <v>3.310134245763284</v>
      </c>
      <c r="J290" t="n">
        <v>69</v>
      </c>
      <c r="K290">
        <f>'_pockets'!$AI$529</f>
        <v/>
      </c>
      <c r="L290">
        <f>'_pockets'!$AJ$529</f>
        <v/>
      </c>
      <c r="M290">
        <f>IF(AND($A290='Pockets'!$D$17,$B290='Pockets'!$C$17,OR('Pockets'!$E$17="All",AND('Pockets'!$E$17="Worse and material",$K290="Yes",$L290="Yes"),AND('Pockets'!$E$17="Worse or not sure",OR($K290="Yes",$K290="Not sure")))),1,0)</f>
        <v/>
      </c>
      <c r="N290">
        <f>$N289+$M290</f>
        <v/>
      </c>
      <c r="O290" t="inlineStr">
        <is>
          <t>three-way</t>
        </is>
      </c>
      <c r="P290" t="inlineStr">
        <is>
          <t>outcome_loans</t>
        </is>
      </c>
    </row>
    <row r="291">
      <c r="A291" t="inlineStr">
        <is>
          <t>Split by SYS_FLAG</t>
        </is>
      </c>
      <c r="B291" t="inlineStr">
        <is>
          <t>Bad loans</t>
        </is>
      </c>
      <c r="C291" t="n">
        <v>1024</v>
      </c>
      <c r="D291" t="inlineStr">
        <is>
          <t>ORIG_BAL 37,951 - 49,151</t>
        </is>
      </c>
      <c r="E291" t="inlineStr">
        <is>
          <t>ASSET_CLASS 2</t>
        </is>
      </c>
      <c r="F291" t="inlineStr">
        <is>
          <t>Y</t>
        </is>
      </c>
      <c r="G291" t="n">
        <v>199</v>
      </c>
      <c r="H291" t="n">
        <v>1.756222511672635</v>
      </c>
      <c r="J291" t="n">
        <v>70</v>
      </c>
      <c r="K291">
        <f>'_pockets'!$AI$1024</f>
        <v/>
      </c>
      <c r="L291">
        <f>'_pockets'!$AJ$1024</f>
        <v/>
      </c>
      <c r="M291">
        <f>IF(AND($A291='Pockets'!$D$17,$B291='Pockets'!$C$17,OR('Pockets'!$E$17="All",AND('Pockets'!$E$17="Worse and material",$K291="Yes",$L291="Yes"),AND('Pockets'!$E$17="Worse or not sure",OR($K291="Yes",$K291="Not sure")))),1,0)</f>
        <v/>
      </c>
      <c r="N291">
        <f>$N290+$M291</f>
        <v/>
      </c>
      <c r="O291" t="inlineStr">
        <is>
          <t>three-way</t>
        </is>
      </c>
      <c r="P291" t="inlineStr">
        <is>
          <t>outcome_loans</t>
        </is>
      </c>
    </row>
    <row r="292">
      <c r="A292" t="inlineStr">
        <is>
          <t>Split by SYS_FLAG</t>
        </is>
      </c>
      <c r="B292" t="inlineStr">
        <is>
          <t>Bad loans</t>
        </is>
      </c>
      <c r="C292" t="n">
        <v>584</v>
      </c>
      <c r="D292" t="inlineStr">
        <is>
          <t>FICO (marked missing)</t>
        </is>
      </c>
      <c r="E292" t="inlineStr">
        <is>
          <t>Broker</t>
        </is>
      </c>
      <c r="F292" t="inlineStr">
        <is>
          <t>N</t>
        </is>
      </c>
      <c r="G292" t="n">
        <v>29</v>
      </c>
      <c r="H292" t="n">
        <v>3.129201097431379</v>
      </c>
      <c r="J292" t="n">
        <v>71</v>
      </c>
      <c r="K292">
        <f>'_pockets'!$AI$584</f>
        <v/>
      </c>
      <c r="L292">
        <f>'_pockets'!$AJ$584</f>
        <v/>
      </c>
      <c r="M292">
        <f>IF(AND($A292='Pockets'!$D$17,$B292='Pockets'!$C$17,OR('Pockets'!$E$17="All",AND('Pockets'!$E$17="Worse and material",$K292="Yes",$L292="Yes"),AND('Pockets'!$E$17="Worse or not sure",OR($K292="Yes",$K292="Not sure")))),1,0)</f>
        <v/>
      </c>
      <c r="N292">
        <f>$N291+$M292</f>
        <v/>
      </c>
      <c r="O292" t="inlineStr">
        <is>
          <t>three-way</t>
        </is>
      </c>
      <c r="P292" t="inlineStr">
        <is>
          <t>outcome_loans</t>
        </is>
      </c>
    </row>
    <row r="293">
      <c r="A293" t="inlineStr">
        <is>
          <t>Split by SYS_FLAG</t>
        </is>
      </c>
      <c r="B293" t="inlineStr">
        <is>
          <t>Bad loans</t>
        </is>
      </c>
      <c r="C293" t="n">
        <v>879</v>
      </c>
      <c r="D293" t="inlineStr">
        <is>
          <t>ORIG_BAL 15,449 - 26,323</t>
        </is>
      </c>
      <c r="E293" t="inlineStr">
        <is>
          <t>Online</t>
        </is>
      </c>
      <c r="F293" t="inlineStr">
        <is>
          <t>N</t>
        </is>
      </c>
      <c r="G293" t="n">
        <v>300</v>
      </c>
      <c r="H293" t="n">
        <v>1.612563103422725</v>
      </c>
      <c r="J293" t="n">
        <v>72</v>
      </c>
      <c r="K293">
        <f>'_pockets'!$AI$879</f>
        <v/>
      </c>
      <c r="L293">
        <f>'_pockets'!$AJ$879</f>
        <v/>
      </c>
      <c r="M293">
        <f>IF(AND($A293='Pockets'!$D$17,$B293='Pockets'!$C$17,OR('Pockets'!$E$17="All",AND('Pockets'!$E$17="Worse and material",$K293="Yes",$L293="Yes"),AND('Pockets'!$E$17="Worse or not sure",OR($K293="Yes",$K293="Not sure")))),1,0)</f>
        <v/>
      </c>
      <c r="N293">
        <f>$N292+$M293</f>
        <v/>
      </c>
      <c r="O293" t="inlineStr">
        <is>
          <t>three-way</t>
        </is>
      </c>
      <c r="P293" t="inlineStr">
        <is>
          <t>outcome_loans</t>
        </is>
      </c>
    </row>
    <row r="294">
      <c r="A294" t="inlineStr">
        <is>
          <t>Split by SYS_FLAG</t>
        </is>
      </c>
      <c r="B294" t="inlineStr">
        <is>
          <t>Bad loans</t>
        </is>
      </c>
      <c r="C294" t="n">
        <v>829</v>
      </c>
      <c r="D294" t="inlineStr">
        <is>
          <t>FICO (marked missing)</t>
        </is>
      </c>
      <c r="E294" t="inlineStr">
        <is>
          <t>ASSET_CLASS 1</t>
        </is>
      </c>
      <c r="F294" t="inlineStr">
        <is>
          <t>Y</t>
        </is>
      </c>
      <c r="G294" t="n">
        <v>15</v>
      </c>
      <c r="H294" t="n">
        <v>4.05726502244459</v>
      </c>
      <c r="J294" t="n">
        <v>73</v>
      </c>
      <c r="K294">
        <f>'_pockets'!$AI$829</f>
        <v/>
      </c>
      <c r="L294">
        <f>'_pockets'!$AJ$829</f>
        <v/>
      </c>
      <c r="M294">
        <f>IF(AND($A294='Pockets'!$D$17,$B294='Pockets'!$C$17,OR('Pockets'!$E$17="All",AND('Pockets'!$E$17="Worse and material",$K294="Yes",$L294="Yes"),AND('Pockets'!$E$17="Worse or not sure",OR($K294="Yes",$K294="Not sure")))),1,0)</f>
        <v/>
      </c>
      <c r="N294">
        <f>$N293+$M294</f>
        <v/>
      </c>
      <c r="O294" t="inlineStr">
        <is>
          <t>three-way</t>
        </is>
      </c>
      <c r="P294" t="inlineStr">
        <is>
          <t>outcome_loans</t>
        </is>
      </c>
    </row>
    <row r="295">
      <c r="A295" t="inlineStr">
        <is>
          <t>Split by SYS_FLAG</t>
        </is>
      </c>
      <c r="B295" t="inlineStr">
        <is>
          <t>Bad loans</t>
        </is>
      </c>
      <c r="C295" t="n">
        <v>544</v>
      </c>
      <c r="D295" t="inlineStr">
        <is>
          <t>FICO 496 - 653</t>
        </is>
      </c>
      <c r="E295" t="inlineStr">
        <is>
          <t>Online</t>
        </is>
      </c>
      <c r="F295" t="inlineStr">
        <is>
          <t>Y</t>
        </is>
      </c>
      <c r="G295" t="n">
        <v>226</v>
      </c>
      <c r="H295" t="n">
        <v>1.708052660295702</v>
      </c>
      <c r="J295" t="n">
        <v>74</v>
      </c>
      <c r="K295">
        <f>'_pockets'!$AI$544</f>
        <v/>
      </c>
      <c r="L295">
        <f>'_pockets'!$AJ$544</f>
        <v/>
      </c>
      <c r="M295">
        <f>IF(AND($A295='Pockets'!$D$17,$B295='Pockets'!$C$17,OR('Pockets'!$E$17="All",AND('Pockets'!$E$17="Worse and material",$K295="Yes",$L295="Yes"),AND('Pockets'!$E$17="Worse or not sure",OR($K295="Yes",$K295="Not sure")))),1,0)</f>
        <v/>
      </c>
      <c r="N295">
        <f>$N294+$M295</f>
        <v/>
      </c>
      <c r="O295" t="inlineStr">
        <is>
          <t>three-way</t>
        </is>
      </c>
      <c r="P295" t="inlineStr">
        <is>
          <t>outcome_loans</t>
        </is>
      </c>
    </row>
    <row r="296">
      <c r="A296" t="inlineStr">
        <is>
          <t>Split by SYS_FLAG</t>
        </is>
      </c>
      <c r="B296" t="inlineStr">
        <is>
          <t>Bad loans</t>
        </is>
      </c>
      <c r="C296" t="n">
        <v>494</v>
      </c>
      <c r="D296" t="inlineStr">
        <is>
          <t>FICO 496 - 653</t>
        </is>
      </c>
      <c r="E296" t="inlineStr">
        <is>
          <t>Branch</t>
        </is>
      </c>
      <c r="F296" t="inlineStr">
        <is>
          <t>Y</t>
        </is>
      </c>
      <c r="G296" t="n">
        <v>231</v>
      </c>
      <c r="H296" t="n">
        <v>1.700113662524463</v>
      </c>
      <c r="J296" t="n">
        <v>75</v>
      </c>
      <c r="K296">
        <f>'_pockets'!$AI$494</f>
        <v/>
      </c>
      <c r="L296">
        <f>'_pockets'!$AJ$494</f>
        <v/>
      </c>
      <c r="M296">
        <f>IF(AND($A296='Pockets'!$D$17,$B296='Pockets'!$C$17,OR('Pockets'!$E$17="All",AND('Pockets'!$E$17="Worse and material",$K296="Yes",$L296="Yes"),AND('Pockets'!$E$17="Worse or not sure",OR($K296="Yes",$K296="Not sure")))),1,0)</f>
        <v/>
      </c>
      <c r="N296">
        <f>$N295+$M296</f>
        <v/>
      </c>
      <c r="O296" t="inlineStr">
        <is>
          <t>three-way</t>
        </is>
      </c>
      <c r="P296" t="inlineStr">
        <is>
          <t>outcome_loans</t>
        </is>
      </c>
    </row>
    <row r="297">
      <c r="A297" t="inlineStr">
        <is>
          <t>Split by SYS_FLAG</t>
        </is>
      </c>
      <c r="B297" t="inlineStr">
        <is>
          <t>Bad loans</t>
        </is>
      </c>
      <c r="C297" t="n">
        <v>794</v>
      </c>
      <c r="D297" t="inlineStr">
        <is>
          <t>FICO 496 - 653</t>
        </is>
      </c>
      <c r="E297" t="inlineStr">
        <is>
          <t>ASSET_CLASS 2</t>
        </is>
      </c>
      <c r="F297" t="inlineStr">
        <is>
          <t>Y</t>
        </is>
      </c>
      <c r="G297" t="n">
        <v>181</v>
      </c>
      <c r="H297" t="n">
        <v>1.794453646254576</v>
      </c>
      <c r="J297" t="n">
        <v>76</v>
      </c>
      <c r="K297">
        <f>'_pockets'!$AI$794</f>
        <v/>
      </c>
      <c r="L297">
        <f>'_pockets'!$AJ$794</f>
        <v/>
      </c>
      <c r="M297">
        <f>IF(AND($A297='Pockets'!$D$17,$B297='Pockets'!$C$17,OR('Pockets'!$E$17="All",AND('Pockets'!$E$17="Worse and material",$K297="Yes",$L297="Yes"),AND('Pockets'!$E$17="Worse or not sure",OR($K297="Yes",$K297="Not sure")))),1,0)</f>
        <v/>
      </c>
      <c r="N297">
        <f>$N296+$M297</f>
        <v/>
      </c>
      <c r="O297" t="inlineStr">
        <is>
          <t>three-way</t>
        </is>
      </c>
      <c r="P297" t="inlineStr">
        <is>
          <t>outcome_loans</t>
        </is>
      </c>
    </row>
    <row r="298">
      <c r="A298" t="inlineStr">
        <is>
          <t>Split by SYS_FLAG</t>
        </is>
      </c>
      <c r="B298" t="inlineStr">
        <is>
          <t>Bad loans</t>
        </is>
      </c>
      <c r="C298" t="n">
        <v>674</v>
      </c>
      <c r="D298" t="inlineStr">
        <is>
          <t>FICO 496 - 653</t>
        </is>
      </c>
      <c r="E298" t="inlineStr">
        <is>
          <t>ASSET_CLASS 3</t>
        </is>
      </c>
      <c r="F298" t="inlineStr">
        <is>
          <t>N</t>
        </is>
      </c>
      <c r="G298" t="n">
        <v>184</v>
      </c>
      <c r="H298" t="n">
        <v>1.787676144367746</v>
      </c>
      <c r="J298" t="n">
        <v>77</v>
      </c>
      <c r="K298">
        <f>'_pockets'!$AI$674</f>
        <v/>
      </c>
      <c r="L298">
        <f>'_pockets'!$AJ$674</f>
        <v/>
      </c>
      <c r="M298">
        <f>IF(AND($A298='Pockets'!$D$17,$B298='Pockets'!$C$17,OR('Pockets'!$E$17="All",AND('Pockets'!$E$17="Worse and material",$K298="Yes",$L298="Yes"),AND('Pockets'!$E$17="Worse or not sure",OR($K298="Yes",$K298="Not sure")))),1,0)</f>
        <v/>
      </c>
      <c r="N298">
        <f>$N297+$M298</f>
        <v/>
      </c>
      <c r="O298" t="inlineStr">
        <is>
          <t>three-way</t>
        </is>
      </c>
      <c r="P298" t="inlineStr">
        <is>
          <t>outcome_loans</t>
        </is>
      </c>
    </row>
    <row r="299">
      <c r="A299" t="inlineStr">
        <is>
          <t>Split by SYS_FLAG</t>
        </is>
      </c>
      <c r="B299" t="inlineStr">
        <is>
          <t>Bad loans</t>
        </is>
      </c>
      <c r="C299" t="n">
        <v>614</v>
      </c>
      <c r="D299" t="inlineStr">
        <is>
          <t>FICO 496 - 653</t>
        </is>
      </c>
      <c r="E299" t="inlineStr">
        <is>
          <t>ASSET_CLASS 2</t>
        </is>
      </c>
      <c r="F299" t="inlineStr">
        <is>
          <t>N</t>
        </is>
      </c>
      <c r="G299" t="n">
        <v>212</v>
      </c>
      <c r="H299" t="n">
        <v>1.731828000356066</v>
      </c>
      <c r="J299" t="n">
        <v>78</v>
      </c>
      <c r="K299">
        <f>'_pockets'!$AI$614</f>
        <v/>
      </c>
      <c r="L299">
        <f>'_pockets'!$AJ$614</f>
        <v/>
      </c>
      <c r="M299">
        <f>IF(AND($A299='Pockets'!$D$17,$B299='Pockets'!$C$17,OR('Pockets'!$E$17="All",AND('Pockets'!$E$17="Worse and material",$K299="Yes",$L299="Yes"),AND('Pockets'!$E$17="Worse or not sure",OR($K299="Yes",$K299="Not sure")))),1,0)</f>
        <v/>
      </c>
      <c r="N299">
        <f>$N298+$M299</f>
        <v/>
      </c>
      <c r="O299" t="inlineStr">
        <is>
          <t>three-way</t>
        </is>
      </c>
      <c r="P299" t="inlineStr">
        <is>
          <t>outcome_loans</t>
        </is>
      </c>
    </row>
    <row r="300">
      <c r="A300" t="inlineStr">
        <is>
          <t>Split by SYS_FLAG</t>
        </is>
      </c>
      <c r="B300" t="inlineStr">
        <is>
          <t>Bad loans</t>
        </is>
      </c>
      <c r="C300" t="n">
        <v>934</v>
      </c>
      <c r="D300" t="inlineStr">
        <is>
          <t>ORIG_BAL 15,449 - 26,323</t>
        </is>
      </c>
      <c r="E300" t="inlineStr">
        <is>
          <t>Online</t>
        </is>
      </c>
      <c r="F300" t="inlineStr">
        <is>
          <t>Y</t>
        </is>
      </c>
      <c r="G300" t="n">
        <v>238</v>
      </c>
      <c r="H300" t="n">
        <v>1.689441369237026</v>
      </c>
      <c r="J300" t="n">
        <v>79</v>
      </c>
      <c r="K300">
        <f>'_pockets'!$AI$934</f>
        <v/>
      </c>
      <c r="L300">
        <f>'_pockets'!$AJ$934</f>
        <v/>
      </c>
      <c r="M300">
        <f>IF(AND($A300='Pockets'!$D$17,$B300='Pockets'!$C$17,OR('Pockets'!$E$17="All",AND('Pockets'!$E$17="Worse and material",$K300="Yes",$L300="Yes"),AND('Pockets'!$E$17="Worse or not sure",OR($K300="Yes",$K300="Not sure")))),1,0)</f>
        <v/>
      </c>
      <c r="N300">
        <f>$N299+$M300</f>
        <v/>
      </c>
      <c r="O300" t="inlineStr">
        <is>
          <t>three-way</t>
        </is>
      </c>
      <c r="P300" t="inlineStr">
        <is>
          <t>outcome_loans</t>
        </is>
      </c>
    </row>
    <row r="301">
      <c r="A301" t="inlineStr">
        <is>
          <t>Split by SYS_FLAG</t>
        </is>
      </c>
      <c r="B301" t="inlineStr">
        <is>
          <t>Bad loans</t>
        </is>
      </c>
      <c r="C301" t="n">
        <v>429</v>
      </c>
      <c r="D301" t="inlineStr">
        <is>
          <t>FICO 496 - 653</t>
        </is>
      </c>
      <c r="E301" t="inlineStr">
        <is>
          <t>Branch</t>
        </is>
      </c>
      <c r="F301" t="inlineStr">
        <is>
          <t>N</t>
        </is>
      </c>
      <c r="G301" t="n">
        <v>270</v>
      </c>
      <c r="H301" t="n">
        <v>1.64629441685791</v>
      </c>
      <c r="J301" t="n">
        <v>80</v>
      </c>
      <c r="K301">
        <f>'_pockets'!$AI$429</f>
        <v/>
      </c>
      <c r="L301">
        <f>'_pockets'!$AJ$429</f>
        <v/>
      </c>
      <c r="M301">
        <f>IF(AND($A301='Pockets'!$D$17,$B301='Pockets'!$C$17,OR('Pockets'!$E$17="All",AND('Pockets'!$E$17="Worse and material",$K301="Yes",$L301="Yes"),AND('Pockets'!$E$17="Worse or not sure",OR($K301="Yes",$K301="Not sure")))),1,0)</f>
        <v/>
      </c>
      <c r="N301">
        <f>$N300+$M301</f>
        <v/>
      </c>
      <c r="O301" t="inlineStr">
        <is>
          <t>three-way</t>
        </is>
      </c>
      <c r="P301" t="inlineStr">
        <is>
          <t>outcome_loans</t>
        </is>
      </c>
    </row>
    <row r="302">
      <c r="A302" t="inlineStr">
        <is>
          <t>Split by SYS_FLAG</t>
        </is>
      </c>
      <c r="B302" t="inlineStr">
        <is>
          <t>Bad loans</t>
        </is>
      </c>
      <c r="C302" t="n">
        <v>1129</v>
      </c>
      <c r="D302" t="inlineStr">
        <is>
          <t>ORIG_BAL 15,449 - 26,323</t>
        </is>
      </c>
      <c r="E302" t="inlineStr">
        <is>
          <t>ASSET_CLASS 3</t>
        </is>
      </c>
      <c r="F302" t="inlineStr">
        <is>
          <t>N</t>
        </is>
      </c>
      <c r="G302" t="n">
        <v>234</v>
      </c>
      <c r="H302" t="n">
        <v>1.695478486271386</v>
      </c>
      <c r="J302" t="n">
        <v>81</v>
      </c>
      <c r="K302">
        <f>'_pockets'!$AI$1129</f>
        <v/>
      </c>
      <c r="L302">
        <f>'_pockets'!$AJ$1129</f>
        <v/>
      </c>
      <c r="M302">
        <f>IF(AND($A302='Pockets'!$D$17,$B302='Pockets'!$C$17,OR('Pockets'!$E$17="All",AND('Pockets'!$E$17="Worse and material",$K302="Yes",$L302="Yes"),AND('Pockets'!$E$17="Worse or not sure",OR($K302="Yes",$K302="Not sure")))),1,0)</f>
        <v/>
      </c>
      <c r="N302">
        <f>$N301+$M302</f>
        <v/>
      </c>
      <c r="O302" t="inlineStr">
        <is>
          <t>three-way</t>
        </is>
      </c>
      <c r="P302" t="inlineStr">
        <is>
          <t>outcome_loans</t>
        </is>
      </c>
    </row>
    <row r="303">
      <c r="A303" t="inlineStr">
        <is>
          <t>Split by SYS_FLAG</t>
        </is>
      </c>
      <c r="B303" t="inlineStr">
        <is>
          <t>Bad loans</t>
        </is>
      </c>
      <c r="C303" t="n">
        <v>629</v>
      </c>
      <c r="D303" t="inlineStr">
        <is>
          <t>FICO 496 - 653</t>
        </is>
      </c>
      <c r="E303" t="inlineStr">
        <is>
          <t>ASSET_CLASS 1</t>
        </is>
      </c>
      <c r="F303" t="inlineStr">
        <is>
          <t>N</t>
        </is>
      </c>
      <c r="G303" t="n">
        <v>234</v>
      </c>
      <c r="H303" t="n">
        <v>1.695478486271386</v>
      </c>
      <c r="J303" t="n">
        <v>82</v>
      </c>
      <c r="K303">
        <f>'_pockets'!$AI$629</f>
        <v/>
      </c>
      <c r="L303">
        <f>'_pockets'!$AJ$629</f>
        <v/>
      </c>
      <c r="M303">
        <f>IF(AND($A303='Pockets'!$D$17,$B303='Pockets'!$C$17,OR('Pockets'!$E$17="All",AND('Pockets'!$E$17="Worse and material",$K303="Yes",$L303="Yes"),AND('Pockets'!$E$17="Worse or not sure",OR($K303="Yes",$K303="Not sure")))),1,0)</f>
        <v/>
      </c>
      <c r="N303">
        <f>$N302+$M303</f>
        <v/>
      </c>
      <c r="O303" t="inlineStr">
        <is>
          <t>three-way</t>
        </is>
      </c>
      <c r="P303" t="inlineStr">
        <is>
          <t>outcome_loans</t>
        </is>
      </c>
    </row>
    <row r="304">
      <c r="A304" t="inlineStr">
        <is>
          <t>Split by SYS_FLAG</t>
        </is>
      </c>
      <c r="B304" t="inlineStr">
        <is>
          <t>Bad loans</t>
        </is>
      </c>
      <c r="C304" t="n">
        <v>1029</v>
      </c>
      <c r="D304" t="inlineStr">
        <is>
          <t>ORIG_BAL 15,449 - 26,323</t>
        </is>
      </c>
      <c r="E304" t="inlineStr">
        <is>
          <t>ASSET_CLASS 1</t>
        </is>
      </c>
      <c r="F304" t="inlineStr">
        <is>
          <t>N</t>
        </is>
      </c>
      <c r="G304" t="n">
        <v>224</v>
      </c>
      <c r="H304" t="n">
        <v>1.711305903675129</v>
      </c>
      <c r="J304" t="n">
        <v>83</v>
      </c>
      <c r="K304">
        <f>'_pockets'!$AI$1029</f>
        <v/>
      </c>
      <c r="L304">
        <f>'_pockets'!$AJ$1029</f>
        <v/>
      </c>
      <c r="M304">
        <f>IF(AND($A304='Pockets'!$D$17,$B304='Pockets'!$C$17,OR('Pockets'!$E$17="All",AND('Pockets'!$E$17="Worse and material",$K304="Yes",$L304="Yes"),AND('Pockets'!$E$17="Worse or not sure",OR($K304="Yes",$K304="Not sure")))),1,0)</f>
        <v/>
      </c>
      <c r="N304">
        <f>$N303+$M304</f>
        <v/>
      </c>
      <c r="O304" t="inlineStr">
        <is>
          <t>three-way</t>
        </is>
      </c>
      <c r="P304" t="inlineStr">
        <is>
          <t>outcome_loans</t>
        </is>
      </c>
    </row>
    <row r="305">
      <c r="A305" t="inlineStr">
        <is>
          <t>Split by SYS_FLAG</t>
        </is>
      </c>
      <c r="B305" t="inlineStr">
        <is>
          <t>Bad loans</t>
        </is>
      </c>
      <c r="C305" t="n">
        <v>1159</v>
      </c>
      <c r="D305" t="inlineStr">
        <is>
          <t>ORIG_BAL 37,951 - 49,151</t>
        </is>
      </c>
      <c r="E305" t="inlineStr">
        <is>
          <t>ASSET_CLASS 1</t>
        </is>
      </c>
      <c r="F305" t="inlineStr">
        <is>
          <t>Y</t>
        </is>
      </c>
      <c r="G305" t="n">
        <v>177</v>
      </c>
      <c r="H305" t="n">
        <v>1.803769399799352</v>
      </c>
      <c r="J305" t="n">
        <v>84</v>
      </c>
      <c r="K305">
        <f>'_pockets'!$AI$1159</f>
        <v/>
      </c>
      <c r="L305">
        <f>'_pockets'!$AJ$1159</f>
        <v/>
      </c>
      <c r="M305">
        <f>IF(AND($A305='Pockets'!$D$17,$B305='Pockets'!$C$17,OR('Pockets'!$E$17="All",AND('Pockets'!$E$17="Worse and material",$K305="Yes",$L305="Yes"),AND('Pockets'!$E$17="Worse or not sure",OR($K305="Yes",$K305="Not sure")))),1,0)</f>
        <v/>
      </c>
      <c r="N305">
        <f>$N304+$M305</f>
        <v/>
      </c>
      <c r="O305" t="inlineStr">
        <is>
          <t>three-way</t>
        </is>
      </c>
      <c r="P305" t="inlineStr">
        <is>
          <t>outcome_loans</t>
        </is>
      </c>
    </row>
    <row r="306">
      <c r="A306" t="inlineStr">
        <is>
          <t>Split by SYS_FLAG</t>
        </is>
      </c>
      <c r="B306" t="inlineStr">
        <is>
          <t>Bad dollars</t>
        </is>
      </c>
      <c r="C306" t="n">
        <v>540</v>
      </c>
      <c r="D306" t="inlineStr">
        <is>
          <t>FICO 496 - 653</t>
        </is>
      </c>
      <c r="E306" t="inlineStr">
        <is>
          <t>Broker</t>
        </is>
      </c>
      <c r="F306" t="inlineStr">
        <is>
          <t>Y</t>
        </is>
      </c>
      <c r="G306" t="n">
        <v>265</v>
      </c>
      <c r="H306" t="n">
        <v>1.731069331063485</v>
      </c>
      <c r="J306" t="n">
        <v>1</v>
      </c>
      <c r="K306">
        <f>'_pockets'!$AI$540</f>
        <v/>
      </c>
      <c r="L306">
        <f>'_pockets'!$AJ$540</f>
        <v/>
      </c>
      <c r="M306">
        <f>IF(AND($A306='Pockets'!$D$17,$B306='Pockets'!$C$17,OR('Pockets'!$E$17="All",AND('Pockets'!$E$17="Worse and material",$K306="Yes",$L306="Yes"),AND('Pockets'!$E$17="Worse or not sure",OR($K306="Yes",$K306="Not sure")))),1,0)</f>
        <v/>
      </c>
      <c r="N306">
        <f>$N305+$M306</f>
        <v/>
      </c>
      <c r="O306" t="inlineStr">
        <is>
          <t>three-way</t>
        </is>
      </c>
      <c r="P306" t="inlineStr">
        <is>
          <t>outcome_booked</t>
        </is>
      </c>
    </row>
    <row r="307">
      <c r="A307" t="inlineStr">
        <is>
          <t>Split by SYS_FLAG</t>
        </is>
      </c>
      <c r="B307" t="inlineStr">
        <is>
          <t>Bad dollars</t>
        </is>
      </c>
      <c r="C307" t="n">
        <v>785</v>
      </c>
      <c r="D307" t="inlineStr">
        <is>
          <t>FICO 496 - 653</t>
        </is>
      </c>
      <c r="E307" t="inlineStr">
        <is>
          <t>ASSET_CLASS 4</t>
        </is>
      </c>
      <c r="F307" t="inlineStr">
        <is>
          <t>Y</t>
        </is>
      </c>
      <c r="G307" t="n">
        <v>189</v>
      </c>
      <c r="H307" t="n">
        <v>1.878721832492019</v>
      </c>
      <c r="J307" t="n">
        <v>2</v>
      </c>
      <c r="K307">
        <f>'_pockets'!$AI$785</f>
        <v/>
      </c>
      <c r="L307">
        <f>'_pockets'!$AJ$785</f>
        <v/>
      </c>
      <c r="M307">
        <f>IF(AND($A307='Pockets'!$D$17,$B307='Pockets'!$C$17,OR('Pockets'!$E$17="All",AND('Pockets'!$E$17="Worse and material",$K307="Yes",$L307="Yes"),AND('Pockets'!$E$17="Worse or not sure",OR($K307="Yes",$K307="Not sure")))),1,0)</f>
        <v/>
      </c>
      <c r="N307">
        <f>$N306+$M307</f>
        <v/>
      </c>
      <c r="O307" t="inlineStr">
        <is>
          <t>three-way</t>
        </is>
      </c>
      <c r="P307" t="inlineStr">
        <is>
          <t>outcome_booked</t>
        </is>
      </c>
    </row>
    <row r="308">
      <c r="A308" t="inlineStr">
        <is>
          <t>Split by SYS_FLAG</t>
        </is>
      </c>
      <c r="B308" t="inlineStr">
        <is>
          <t>Bad dollars</t>
        </is>
      </c>
      <c r="C308" t="n">
        <v>1150</v>
      </c>
      <c r="D308" t="inlineStr">
        <is>
          <t>ORIG_BAL 37,951 - 49,151</t>
        </is>
      </c>
      <c r="E308" t="inlineStr">
        <is>
          <t>ASSET_CLASS 4</t>
        </is>
      </c>
      <c r="F308" t="inlineStr">
        <is>
          <t>Y</t>
        </is>
      </c>
      <c r="G308" t="n">
        <v>189</v>
      </c>
      <c r="H308" t="n">
        <v>1.878721832492019</v>
      </c>
      <c r="J308" t="n">
        <v>3</v>
      </c>
      <c r="K308">
        <f>'_pockets'!$AI$1150</f>
        <v/>
      </c>
      <c r="L308">
        <f>'_pockets'!$AJ$1150</f>
        <v/>
      </c>
      <c r="M308">
        <f>IF(AND($A308='Pockets'!$D$17,$B308='Pockets'!$C$17,OR('Pockets'!$E$17="All",AND('Pockets'!$E$17="Worse and material",$K308="Yes",$L308="Yes"),AND('Pockets'!$E$17="Worse or not sure",OR($K308="Yes",$K308="Not sure")))),1,0)</f>
        <v/>
      </c>
      <c r="N308">
        <f>$N307+$M308</f>
        <v/>
      </c>
      <c r="O308" t="inlineStr">
        <is>
          <t>three-way</t>
        </is>
      </c>
      <c r="P308" t="inlineStr">
        <is>
          <t>outcome_booked</t>
        </is>
      </c>
    </row>
    <row r="309">
      <c r="A309" t="inlineStr">
        <is>
          <t>Split by SYS_FLAG</t>
        </is>
      </c>
      <c r="B309" t="inlineStr">
        <is>
          <t>Bad dollars</t>
        </is>
      </c>
      <c r="C309" t="n">
        <v>970</v>
      </c>
      <c r="D309" t="inlineStr">
        <is>
          <t>ORIG_BAL 37,951 - 49,151</t>
        </is>
      </c>
      <c r="E309" t="inlineStr">
        <is>
          <t>Broker</t>
        </is>
      </c>
      <c r="F309" t="inlineStr">
        <is>
          <t>Y</t>
        </is>
      </c>
      <c r="G309" t="n">
        <v>249</v>
      </c>
      <c r="H309" t="n">
        <v>1.756157756901132</v>
      </c>
      <c r="J309" t="n">
        <v>4</v>
      </c>
      <c r="K309">
        <f>'_pockets'!$AI$970</f>
        <v/>
      </c>
      <c r="L309">
        <f>'_pockets'!$AJ$970</f>
        <v/>
      </c>
      <c r="M309">
        <f>IF(AND($A309='Pockets'!$D$17,$B309='Pockets'!$C$17,OR('Pockets'!$E$17="All",AND('Pockets'!$E$17="Worse and material",$K309="Yes",$L309="Yes"),AND('Pockets'!$E$17="Worse or not sure",OR($K309="Yes",$K309="Not sure")))),1,0)</f>
        <v/>
      </c>
      <c r="N309">
        <f>$N308+$M309</f>
        <v/>
      </c>
      <c r="O309" t="inlineStr">
        <is>
          <t>three-way</t>
        </is>
      </c>
      <c r="P309" t="inlineStr">
        <is>
          <t>outcome_booked</t>
        </is>
      </c>
    </row>
    <row r="310">
      <c r="A310" t="inlineStr">
        <is>
          <t>Split by SYS_FLAG</t>
        </is>
      </c>
      <c r="B310" t="inlineStr">
        <is>
          <t>Bad dollars</t>
        </is>
      </c>
      <c r="C310" t="n">
        <v>975</v>
      </c>
      <c r="D310" t="inlineStr">
        <is>
          <t>ORIG_BAL 37,951 - 49,151</t>
        </is>
      </c>
      <c r="E310" t="inlineStr">
        <is>
          <t>Online</t>
        </is>
      </c>
      <c r="F310" t="inlineStr">
        <is>
          <t>Y</t>
        </is>
      </c>
      <c r="G310" t="n">
        <v>254</v>
      </c>
      <c r="H310" t="n">
        <v>1.748050825405188</v>
      </c>
      <c r="J310" t="n">
        <v>5</v>
      </c>
      <c r="K310">
        <f>'_pockets'!$AI$975</f>
        <v/>
      </c>
      <c r="L310">
        <f>'_pockets'!$AJ$975</f>
        <v/>
      </c>
      <c r="M310">
        <f>IF(AND($A310='Pockets'!$D$17,$B310='Pockets'!$C$17,OR('Pockets'!$E$17="All",AND('Pockets'!$E$17="Worse and material",$K310="Yes",$L310="Yes"),AND('Pockets'!$E$17="Worse or not sure",OR($K310="Yes",$K310="Not sure")))),1,0)</f>
        <v/>
      </c>
      <c r="N310">
        <f>$N309+$M310</f>
        <v/>
      </c>
      <c r="O310" t="inlineStr">
        <is>
          <t>three-way</t>
        </is>
      </c>
      <c r="P310" t="inlineStr">
        <is>
          <t>outcome_booked</t>
        </is>
      </c>
    </row>
    <row r="311">
      <c r="A311" t="inlineStr">
        <is>
          <t>Split by SYS_FLAG</t>
        </is>
      </c>
      <c r="B311" t="inlineStr">
        <is>
          <t>Bad dollars</t>
        </is>
      </c>
      <c r="C311" t="n">
        <v>510</v>
      </c>
      <c r="D311" t="inlineStr">
        <is>
          <t>FICO 712 - 745</t>
        </is>
      </c>
      <c r="E311" t="inlineStr">
        <is>
          <t>Online</t>
        </is>
      </c>
      <c r="F311" t="inlineStr">
        <is>
          <t>Y</t>
        </is>
      </c>
      <c r="G311" t="n">
        <v>278</v>
      </c>
      <c r="H311" t="n">
        <v>1.712376281476606</v>
      </c>
      <c r="J311" t="n">
        <v>6</v>
      </c>
      <c r="K311">
        <f>'_pockets'!$AI$510</f>
        <v/>
      </c>
      <c r="L311">
        <f>'_pockets'!$AJ$510</f>
        <v/>
      </c>
      <c r="M311">
        <f>IF(AND($A311='Pockets'!$D$17,$B311='Pockets'!$C$17,OR('Pockets'!$E$17="All",AND('Pockets'!$E$17="Worse and material",$K311="Yes",$L311="Yes"),AND('Pockets'!$E$17="Worse or not sure",OR($K311="Yes",$K311="Not sure")))),1,0)</f>
        <v/>
      </c>
      <c r="N311">
        <f>$N310+$M311</f>
        <v/>
      </c>
      <c r="O311" t="inlineStr">
        <is>
          <t>three-way</t>
        </is>
      </c>
      <c r="P311" t="inlineStr">
        <is>
          <t>outcome_booked</t>
        </is>
      </c>
    </row>
    <row r="312">
      <c r="A312" t="inlineStr">
        <is>
          <t>Split by SYS_FLAG</t>
        </is>
      </c>
      <c r="B312" t="inlineStr">
        <is>
          <t>Bad dollars</t>
        </is>
      </c>
      <c r="C312" t="n">
        <v>1155</v>
      </c>
      <c r="D312" t="inlineStr">
        <is>
          <t>ORIG_BAL 49,152 - 59,984</t>
        </is>
      </c>
      <c r="E312" t="inlineStr">
        <is>
          <t>ASSET_CLASS 4</t>
        </is>
      </c>
      <c r="F312" t="inlineStr">
        <is>
          <t>Y</t>
        </is>
      </c>
      <c r="G312" t="n">
        <v>171</v>
      </c>
      <c r="H312" t="n">
        <v>1.92830024767384</v>
      </c>
      <c r="J312" t="n">
        <v>7</v>
      </c>
      <c r="K312">
        <f>'_pockets'!$AI$1155</f>
        <v/>
      </c>
      <c r="L312">
        <f>'_pockets'!$AJ$1155</f>
        <v/>
      </c>
      <c r="M312">
        <f>IF(AND($A312='Pockets'!$D$17,$B312='Pockets'!$C$17,OR('Pockets'!$E$17="All",AND('Pockets'!$E$17="Worse and material",$K312="Yes",$L312="Yes"),AND('Pockets'!$E$17="Worse or not sure",OR($K312="Yes",$K312="Not sure")))),1,0)</f>
        <v/>
      </c>
      <c r="N312">
        <f>$N311+$M312</f>
        <v/>
      </c>
      <c r="O312" t="inlineStr">
        <is>
          <t>three-way</t>
        </is>
      </c>
      <c r="P312" t="inlineStr">
        <is>
          <t>outcome_booked</t>
        </is>
      </c>
    </row>
    <row r="313">
      <c r="A313" t="inlineStr">
        <is>
          <t>Split by SYS_FLAG</t>
        </is>
      </c>
      <c r="B313" t="inlineStr">
        <is>
          <t>Bad dollars</t>
        </is>
      </c>
      <c r="C313" t="n">
        <v>475</v>
      </c>
      <c r="D313" t="inlineStr">
        <is>
          <t>FICO 686 - 711</t>
        </is>
      </c>
      <c r="E313" t="inlineStr">
        <is>
          <t>Online</t>
        </is>
      </c>
      <c r="F313" t="inlineStr">
        <is>
          <t>Y</t>
        </is>
      </c>
      <c r="G313" t="n">
        <v>249</v>
      </c>
      <c r="H313" t="n">
        <v>1.756157756901132</v>
      </c>
      <c r="J313" t="n">
        <v>8</v>
      </c>
      <c r="K313">
        <f>'_pockets'!$AI$475</f>
        <v/>
      </c>
      <c r="L313">
        <f>'_pockets'!$AJ$475</f>
        <v/>
      </c>
      <c r="M313">
        <f>IF(AND($A313='Pockets'!$D$17,$B313='Pockets'!$C$17,OR('Pockets'!$E$17="All",AND('Pockets'!$E$17="Worse and material",$K313="Yes",$L313="Yes"),AND('Pockets'!$E$17="Worse or not sure",OR($K313="Yes",$K313="Not sure")))),1,0)</f>
        <v/>
      </c>
      <c r="N313">
        <f>$N312+$M313</f>
        <v/>
      </c>
      <c r="O313" t="inlineStr">
        <is>
          <t>three-way</t>
        </is>
      </c>
      <c r="P313" t="inlineStr">
        <is>
          <t>outcome_booked</t>
        </is>
      </c>
    </row>
    <row r="314">
      <c r="A314" t="inlineStr">
        <is>
          <t>Split by SYS_FLAG</t>
        </is>
      </c>
      <c r="B314" t="inlineStr">
        <is>
          <t>Bad dollars</t>
        </is>
      </c>
      <c r="C314" t="n">
        <v>620</v>
      </c>
      <c r="D314" t="inlineStr">
        <is>
          <t>FICO 712 - 745</t>
        </is>
      </c>
      <c r="E314" t="inlineStr">
        <is>
          <t>ASSET_CLASS 4</t>
        </is>
      </c>
      <c r="F314" t="inlineStr">
        <is>
          <t>Y</t>
        </is>
      </c>
      <c r="G314" t="n">
        <v>207</v>
      </c>
      <c r="H314" t="n">
        <v>1.836098601592007</v>
      </c>
      <c r="J314" t="n">
        <v>9</v>
      </c>
      <c r="K314">
        <f>'_pockets'!$AI$620</f>
        <v/>
      </c>
      <c r="L314">
        <f>'_pockets'!$AJ$620</f>
        <v/>
      </c>
      <c r="M314">
        <f>IF(AND($A314='Pockets'!$D$17,$B314='Pockets'!$C$17,OR('Pockets'!$E$17="All",AND('Pockets'!$E$17="Worse and material",$K314="Yes",$L314="Yes"),AND('Pockets'!$E$17="Worse or not sure",OR($K314="Yes",$K314="Not sure")))),1,0)</f>
        <v/>
      </c>
      <c r="N314">
        <f>$N313+$M314</f>
        <v/>
      </c>
      <c r="O314" t="inlineStr">
        <is>
          <t>three-way</t>
        </is>
      </c>
      <c r="P314" t="inlineStr">
        <is>
          <t>outcome_booked</t>
        </is>
      </c>
    </row>
    <row r="315">
      <c r="A315" t="inlineStr">
        <is>
          <t>Split by SYS_FLAG</t>
        </is>
      </c>
      <c r="B315" t="inlineStr">
        <is>
          <t>Bad dollars</t>
        </is>
      </c>
      <c r="C315" t="n">
        <v>805</v>
      </c>
      <c r="D315" t="inlineStr">
        <is>
          <t>FICO 654 - 685</t>
        </is>
      </c>
      <c r="E315" t="inlineStr">
        <is>
          <t>ASSET_CLASS 4</t>
        </is>
      </c>
      <c r="F315" t="inlineStr">
        <is>
          <t>Y</t>
        </is>
      </c>
      <c r="G315" t="n">
        <v>191</v>
      </c>
      <c r="H315" t="n">
        <v>1.873673686041768</v>
      </c>
      <c r="J315" t="n">
        <v>10</v>
      </c>
      <c r="K315">
        <f>'_pockets'!$AI$805</f>
        <v/>
      </c>
      <c r="L315">
        <f>'_pockets'!$AJ$805</f>
        <v/>
      </c>
      <c r="M315">
        <f>IF(AND($A315='Pockets'!$D$17,$B315='Pockets'!$C$17,OR('Pockets'!$E$17="All",AND('Pockets'!$E$17="Worse and material",$K315="Yes",$L315="Yes"),AND('Pockets'!$E$17="Worse or not sure",OR($K315="Yes",$K315="Not sure")))),1,0)</f>
        <v/>
      </c>
      <c r="N315">
        <f>$N314+$M315</f>
        <v/>
      </c>
      <c r="O315" t="inlineStr">
        <is>
          <t>three-way</t>
        </is>
      </c>
      <c r="P315" t="inlineStr">
        <is>
          <t>outcome_booked</t>
        </is>
      </c>
    </row>
    <row r="316">
      <c r="A316" t="inlineStr">
        <is>
          <t>Split by SYS_FLAG</t>
        </is>
      </c>
      <c r="B316" t="inlineStr">
        <is>
          <t>Bad dollars</t>
        </is>
      </c>
      <c r="C316" t="n">
        <v>560</v>
      </c>
      <c r="D316" t="inlineStr">
        <is>
          <t>FICO 654 - 685</t>
        </is>
      </c>
      <c r="E316" t="inlineStr">
        <is>
          <t>Online</t>
        </is>
      </c>
      <c r="F316" t="inlineStr">
        <is>
          <t>Y</t>
        </is>
      </c>
      <c r="G316" t="n">
        <v>236</v>
      </c>
      <c r="H316" t="n">
        <v>1.778490395996388</v>
      </c>
      <c r="J316" t="n">
        <v>11</v>
      </c>
      <c r="K316">
        <f>'_pockets'!$AI$560</f>
        <v/>
      </c>
      <c r="L316">
        <f>'_pockets'!$AJ$560</f>
        <v/>
      </c>
      <c r="M316">
        <f>IF(AND($A316='Pockets'!$D$17,$B316='Pockets'!$C$17,OR('Pockets'!$E$17="All",AND('Pockets'!$E$17="Worse and material",$K316="Yes",$L316="Yes"),AND('Pockets'!$E$17="Worse or not sure",OR($K316="Yes",$K316="Not sure")))),1,0)</f>
        <v/>
      </c>
      <c r="N316">
        <f>$N315+$M316</f>
        <v/>
      </c>
      <c r="O316" t="inlineStr">
        <is>
          <t>three-way</t>
        </is>
      </c>
      <c r="P316" t="inlineStr">
        <is>
          <t>outcome_booked</t>
        </is>
      </c>
    </row>
    <row r="317">
      <c r="A317" t="inlineStr">
        <is>
          <t>Split by SYS_FLAG</t>
        </is>
      </c>
      <c r="B317" t="inlineStr">
        <is>
          <t>Bad dollars</t>
        </is>
      </c>
      <c r="C317" t="n">
        <v>1020</v>
      </c>
      <c r="D317" t="inlineStr">
        <is>
          <t>ORIG_BAL 26,324 - 37,950</t>
        </is>
      </c>
      <c r="E317" t="inlineStr">
        <is>
          <t>ASSET_CLASS 4</t>
        </is>
      </c>
      <c r="F317" t="inlineStr">
        <is>
          <t>Y</t>
        </is>
      </c>
      <c r="G317" t="n">
        <v>194</v>
      </c>
      <c r="H317" t="n">
        <v>1.866256320082394</v>
      </c>
      <c r="J317" t="n">
        <v>12</v>
      </c>
      <c r="K317">
        <f>'_pockets'!$AI$1020</f>
        <v/>
      </c>
      <c r="L317">
        <f>'_pockets'!$AJ$1020</f>
        <v/>
      </c>
      <c r="M317">
        <f>IF(AND($A317='Pockets'!$D$17,$B317='Pockets'!$C$17,OR('Pockets'!$E$17="All",AND('Pockets'!$E$17="Worse and material",$K317="Yes",$L317="Yes"),AND('Pockets'!$E$17="Worse or not sure",OR($K317="Yes",$K317="Not sure")))),1,0)</f>
        <v/>
      </c>
      <c r="N317">
        <f>$N316+$M317</f>
        <v/>
      </c>
      <c r="O317" t="inlineStr">
        <is>
          <t>three-way</t>
        </is>
      </c>
      <c r="P317" t="inlineStr">
        <is>
          <t>outcome_booked</t>
        </is>
      </c>
    </row>
    <row r="318">
      <c r="A318" t="inlineStr">
        <is>
          <t>Split by SYS_FLAG</t>
        </is>
      </c>
      <c r="B318" t="inlineStr">
        <is>
          <t>Bad dollars</t>
        </is>
      </c>
      <c r="C318" t="n">
        <v>955</v>
      </c>
      <c r="D318" t="inlineStr">
        <is>
          <t>ORIG_BAL 49,152 - 59,984</t>
        </is>
      </c>
      <c r="E318" t="inlineStr">
        <is>
          <t>Broker</t>
        </is>
      </c>
      <c r="F318" t="inlineStr">
        <is>
          <t>Y</t>
        </is>
      </c>
      <c r="G318" t="n">
        <v>242</v>
      </c>
      <c r="H318" t="n">
        <v>1.767948202126342</v>
      </c>
      <c r="J318" t="n">
        <v>13</v>
      </c>
      <c r="K318">
        <f>'_pockets'!$AI$955</f>
        <v/>
      </c>
      <c r="L318">
        <f>'_pockets'!$AJ$955</f>
        <v/>
      </c>
      <c r="M318">
        <f>IF(AND($A318='Pockets'!$D$17,$B318='Pockets'!$C$17,OR('Pockets'!$E$17="All",AND('Pockets'!$E$17="Worse and material",$K318="Yes",$L318="Yes"),AND('Pockets'!$E$17="Worse or not sure",OR($K318="Yes",$K318="Not sure")))),1,0)</f>
        <v/>
      </c>
      <c r="N318">
        <f>$N317+$M318</f>
        <v/>
      </c>
      <c r="O318" t="inlineStr">
        <is>
          <t>three-way</t>
        </is>
      </c>
      <c r="P318" t="inlineStr">
        <is>
          <t>outcome_booked</t>
        </is>
      </c>
    </row>
    <row r="319">
      <c r="A319" t="inlineStr">
        <is>
          <t>Split by SYS_FLAG</t>
        </is>
      </c>
      <c r="B319" t="inlineStr">
        <is>
          <t>Bad dollars</t>
        </is>
      </c>
      <c r="C319" t="n">
        <v>900</v>
      </c>
      <c r="D319" t="inlineStr">
        <is>
          <t>ORIG_BAL 49,152 - 59,984</t>
        </is>
      </c>
      <c r="E319" t="inlineStr">
        <is>
          <t>Online</t>
        </is>
      </c>
      <c r="F319" t="inlineStr">
        <is>
          <t>Y</t>
        </is>
      </c>
      <c r="G319" t="n">
        <v>274</v>
      </c>
      <c r="H319" t="n">
        <v>1.717979259067084</v>
      </c>
      <c r="J319" t="n">
        <v>14</v>
      </c>
      <c r="K319">
        <f>'_pockets'!$AI$900</f>
        <v/>
      </c>
      <c r="L319">
        <f>'_pockets'!$AJ$900</f>
        <v/>
      </c>
      <c r="M319">
        <f>IF(AND($A319='Pockets'!$D$17,$B319='Pockets'!$C$17,OR('Pockets'!$E$17="All",AND('Pockets'!$E$17="Worse and material",$K319="Yes",$L319="Yes"),AND('Pockets'!$E$17="Worse or not sure",OR($K319="Yes",$K319="Not sure")))),1,0)</f>
        <v/>
      </c>
      <c r="N319">
        <f>$N318+$M319</f>
        <v/>
      </c>
      <c r="O319" t="inlineStr">
        <is>
          <t>three-way</t>
        </is>
      </c>
      <c r="P319" t="inlineStr">
        <is>
          <t>outcome_booked</t>
        </is>
      </c>
    </row>
    <row r="320">
      <c r="A320" t="inlineStr">
        <is>
          <t>Split by SYS_FLAG</t>
        </is>
      </c>
      <c r="B320" t="inlineStr">
        <is>
          <t>Bad dollars</t>
        </is>
      </c>
      <c r="C320" t="n">
        <v>1055</v>
      </c>
      <c r="D320" t="inlineStr">
        <is>
          <t>ORIG_BAL 49,152 - 59,984</t>
        </is>
      </c>
      <c r="E320" t="inlineStr">
        <is>
          <t>ASSET_CLASS 1</t>
        </is>
      </c>
      <c r="F320" t="inlineStr">
        <is>
          <t>Y</t>
        </is>
      </c>
      <c r="G320" t="n">
        <v>195</v>
      </c>
      <c r="H320" t="n">
        <v>1.863824055426152</v>
      </c>
      <c r="J320" t="n">
        <v>15</v>
      </c>
      <c r="K320">
        <f>'_pockets'!$AI$1055</f>
        <v/>
      </c>
      <c r="L320">
        <f>'_pockets'!$AJ$1055</f>
        <v/>
      </c>
      <c r="M320">
        <f>IF(AND($A320='Pockets'!$D$17,$B320='Pockets'!$C$17,OR('Pockets'!$E$17="All",AND('Pockets'!$E$17="Worse and material",$K320="Yes",$L320="Yes"),AND('Pockets'!$E$17="Worse or not sure",OR($K320="Yes",$K320="Not sure")))),1,0)</f>
        <v/>
      </c>
      <c r="N320">
        <f>$N319+$M320</f>
        <v/>
      </c>
      <c r="O320" t="inlineStr">
        <is>
          <t>three-way</t>
        </is>
      </c>
      <c r="P320" t="inlineStr">
        <is>
          <t>outcome_booked</t>
        </is>
      </c>
    </row>
    <row r="321">
      <c r="A321" t="inlineStr">
        <is>
          <t>Split by SYS_FLAG</t>
        </is>
      </c>
      <c r="B321" t="inlineStr">
        <is>
          <t>Bad dollars</t>
        </is>
      </c>
      <c r="C321" t="n">
        <v>1140</v>
      </c>
      <c r="D321" t="inlineStr">
        <is>
          <t>ORIG_BAL 37,951 - 49,151</t>
        </is>
      </c>
      <c r="E321" t="inlineStr">
        <is>
          <t>ASSET_CLASS 3</t>
        </is>
      </c>
      <c r="F321" t="inlineStr">
        <is>
          <t>Y</t>
        </is>
      </c>
      <c r="G321" t="n">
        <v>195</v>
      </c>
      <c r="H321" t="n">
        <v>1.863824055426152</v>
      </c>
      <c r="J321" t="n">
        <v>16</v>
      </c>
      <c r="K321">
        <f>'_pockets'!$AI$1140</f>
        <v/>
      </c>
      <c r="L321">
        <f>'_pockets'!$AJ$1140</f>
        <v/>
      </c>
      <c r="M321">
        <f>IF(AND($A321='Pockets'!$D$17,$B321='Pockets'!$C$17,OR('Pockets'!$E$17="All",AND('Pockets'!$E$17="Worse and material",$K321="Yes",$L321="Yes"),AND('Pockets'!$E$17="Worse or not sure",OR($K321="Yes",$K321="Not sure")))),1,0)</f>
        <v/>
      </c>
      <c r="N321">
        <f>$N320+$M321</f>
        <v/>
      </c>
      <c r="O321" t="inlineStr">
        <is>
          <t>three-way</t>
        </is>
      </c>
      <c r="P321" t="inlineStr">
        <is>
          <t>outcome_booked</t>
        </is>
      </c>
    </row>
    <row r="322">
      <c r="A322" t="inlineStr">
        <is>
          <t>Split by SYS_FLAG</t>
        </is>
      </c>
      <c r="B322" t="inlineStr">
        <is>
          <t>Bad dollars</t>
        </is>
      </c>
      <c r="C322" t="n">
        <v>440</v>
      </c>
      <c r="D322" t="inlineStr">
        <is>
          <t>FICO 496 - 653</t>
        </is>
      </c>
      <c r="E322" t="inlineStr">
        <is>
          <t>Broker</t>
        </is>
      </c>
      <c r="F322" t="inlineStr">
        <is>
          <t>N</t>
        </is>
      </c>
      <c r="G322" t="n">
        <v>258</v>
      </c>
      <c r="H322" t="n">
        <v>1.741744008205755</v>
      </c>
      <c r="J322" t="n">
        <v>17</v>
      </c>
      <c r="K322">
        <f>'_pockets'!$AI$440</f>
        <v/>
      </c>
      <c r="L322">
        <f>'_pockets'!$AJ$440</f>
        <v/>
      </c>
      <c r="M322">
        <f>IF(AND($A322='Pockets'!$D$17,$B322='Pockets'!$C$17,OR('Pockets'!$E$17="All",AND('Pockets'!$E$17="Worse and material",$K322="Yes",$L322="Yes"),AND('Pockets'!$E$17="Worse or not sure",OR($K322="Yes",$K322="Not sure")))),1,0)</f>
        <v/>
      </c>
      <c r="N322">
        <f>$N321+$M322</f>
        <v/>
      </c>
      <c r="O322" t="inlineStr">
        <is>
          <t>three-way</t>
        </is>
      </c>
      <c r="P322" t="inlineStr">
        <is>
          <t>outcome_booked</t>
        </is>
      </c>
    </row>
    <row r="323">
      <c r="A323" t="inlineStr">
        <is>
          <t>Split by SYS_FLAG</t>
        </is>
      </c>
      <c r="B323" t="inlineStr">
        <is>
          <t>Bad dollars</t>
        </is>
      </c>
      <c r="C323" t="n">
        <v>485</v>
      </c>
      <c r="D323" t="inlineStr">
        <is>
          <t>FICO 654 - 685</t>
        </is>
      </c>
      <c r="E323" t="inlineStr">
        <is>
          <t>Branch</t>
        </is>
      </c>
      <c r="F323" t="inlineStr">
        <is>
          <t>Y</t>
        </is>
      </c>
      <c r="G323" t="n">
        <v>254</v>
      </c>
      <c r="H323" t="n">
        <v>1.748050825405188</v>
      </c>
      <c r="J323" t="n">
        <v>18</v>
      </c>
      <c r="K323">
        <f>'_pockets'!$AI$485</f>
        <v/>
      </c>
      <c r="L323">
        <f>'_pockets'!$AJ$485</f>
        <v/>
      </c>
      <c r="M323">
        <f>IF(AND($A323='Pockets'!$D$17,$B323='Pockets'!$C$17,OR('Pockets'!$E$17="All",AND('Pockets'!$E$17="Worse and material",$K323="Yes",$L323="Yes"),AND('Pockets'!$E$17="Worse or not sure",OR($K323="Yes",$K323="Not sure")))),1,0)</f>
        <v/>
      </c>
      <c r="N323">
        <f>$N322+$M323</f>
        <v/>
      </c>
      <c r="O323" t="inlineStr">
        <is>
          <t>three-way</t>
        </is>
      </c>
      <c r="P323" t="inlineStr">
        <is>
          <t>outcome_booked</t>
        </is>
      </c>
    </row>
    <row r="324">
      <c r="A324" t="inlineStr">
        <is>
          <t>Split by SYS_FLAG</t>
        </is>
      </c>
      <c r="B324" t="inlineStr">
        <is>
          <t>Bad dollars</t>
        </is>
      </c>
      <c r="C324" t="n">
        <v>760</v>
      </c>
      <c r="D324" t="inlineStr">
        <is>
          <t>FICO 496 - 653</t>
        </is>
      </c>
      <c r="E324" t="inlineStr">
        <is>
          <t>ASSET_CLASS 1</t>
        </is>
      </c>
      <c r="F324" t="inlineStr">
        <is>
          <t>Y</t>
        </is>
      </c>
      <c r="G324" t="n">
        <v>186</v>
      </c>
      <c r="H324" t="n">
        <v>1.886454664827914</v>
      </c>
      <c r="J324" t="n">
        <v>19</v>
      </c>
      <c r="K324">
        <f>'_pockets'!$AI$760</f>
        <v/>
      </c>
      <c r="L324">
        <f>'_pockets'!$AJ$760</f>
        <v/>
      </c>
      <c r="M324">
        <f>IF(AND($A324='Pockets'!$D$17,$B324='Pockets'!$C$17,OR('Pockets'!$E$17="All",AND('Pockets'!$E$17="Worse and material",$K324="Yes",$L324="Yes"),AND('Pockets'!$E$17="Worse or not sure",OR($K324="Yes",$K324="Not sure")))),1,0)</f>
        <v/>
      </c>
      <c r="N324">
        <f>$N323+$M324</f>
        <v/>
      </c>
      <c r="O324" t="inlineStr">
        <is>
          <t>three-way</t>
        </is>
      </c>
      <c r="P324" t="inlineStr">
        <is>
          <t>outcome_booked</t>
        </is>
      </c>
    </row>
    <row r="325">
      <c r="A325" t="inlineStr">
        <is>
          <t>Split by SYS_FLAG</t>
        </is>
      </c>
      <c r="B325" t="inlineStr">
        <is>
          <t>Bad dollars</t>
        </is>
      </c>
      <c r="C325" t="n">
        <v>905</v>
      </c>
      <c r="D325" t="inlineStr">
        <is>
          <t>ORIG_BAL 26,324 - 37,950</t>
        </is>
      </c>
      <c r="E325" t="inlineStr">
        <is>
          <t>Online</t>
        </is>
      </c>
      <c r="F325" t="inlineStr">
        <is>
          <t>Y</t>
        </is>
      </c>
      <c r="G325" t="n">
        <v>231</v>
      </c>
      <c r="H325" t="n">
        <v>1.787603677458908</v>
      </c>
      <c r="J325" t="n">
        <v>20</v>
      </c>
      <c r="K325">
        <f>'_pockets'!$AI$905</f>
        <v/>
      </c>
      <c r="L325">
        <f>'_pockets'!$AJ$905</f>
        <v/>
      </c>
      <c r="M325">
        <f>IF(AND($A325='Pockets'!$D$17,$B325='Pockets'!$C$17,OR('Pockets'!$E$17="All",AND('Pockets'!$E$17="Worse and material",$K325="Yes",$L325="Yes"),AND('Pockets'!$E$17="Worse or not sure",OR($K325="Yes",$K325="Not sure")))),1,0)</f>
        <v/>
      </c>
      <c r="N325">
        <f>$N324+$M325</f>
        <v/>
      </c>
      <c r="O325" t="inlineStr">
        <is>
          <t>three-way</t>
        </is>
      </c>
      <c r="P325" t="inlineStr">
        <is>
          <t>outcome_booked</t>
        </is>
      </c>
    </row>
    <row r="326">
      <c r="A326" t="inlineStr">
        <is>
          <t>Split by SYS_FLAG</t>
        </is>
      </c>
      <c r="B326" t="inlineStr">
        <is>
          <t>Bad dollars</t>
        </is>
      </c>
      <c r="C326" t="n">
        <v>980</v>
      </c>
      <c r="D326" t="inlineStr">
        <is>
          <t>ORIG_BAL 15,449 - 26,323</t>
        </is>
      </c>
      <c r="E326" t="inlineStr">
        <is>
          <t>Broker</t>
        </is>
      </c>
      <c r="F326" t="inlineStr">
        <is>
          <t>Y</t>
        </is>
      </c>
      <c r="G326" t="n">
        <v>244</v>
      </c>
      <c r="H326" t="n">
        <v>1.764525179215748</v>
      </c>
      <c r="J326" t="n">
        <v>21</v>
      </c>
      <c r="K326">
        <f>'_pockets'!$AI$980</f>
        <v/>
      </c>
      <c r="L326">
        <f>'_pockets'!$AJ$980</f>
        <v/>
      </c>
      <c r="M326">
        <f>IF(AND($A326='Pockets'!$D$17,$B326='Pockets'!$C$17,OR('Pockets'!$E$17="All",AND('Pockets'!$E$17="Worse and material",$K326="Yes",$L326="Yes"),AND('Pockets'!$E$17="Worse or not sure",OR($K326="Yes",$K326="Not sure")))),1,0)</f>
        <v/>
      </c>
      <c r="N326">
        <f>$N325+$M326</f>
        <v/>
      </c>
      <c r="O326" t="inlineStr">
        <is>
          <t>three-way</t>
        </is>
      </c>
      <c r="P326" t="inlineStr">
        <is>
          <t>outcome_booked</t>
        </is>
      </c>
    </row>
    <row r="327">
      <c r="A327" t="inlineStr">
        <is>
          <t>Split by SYS_FLAG</t>
        </is>
      </c>
      <c r="B327" t="inlineStr">
        <is>
          <t>Bad dollars</t>
        </is>
      </c>
      <c r="C327" t="n">
        <v>925</v>
      </c>
      <c r="D327" t="inlineStr">
        <is>
          <t>ORIG_BAL 49,152 - 59,984</t>
        </is>
      </c>
      <c r="E327" t="inlineStr">
        <is>
          <t>Branch</t>
        </is>
      </c>
      <c r="F327" t="inlineStr">
        <is>
          <t>Y</t>
        </is>
      </c>
      <c r="G327" t="n">
        <v>226</v>
      </c>
      <c r="H327" t="n">
        <v>1.797033429832368</v>
      </c>
      <c r="J327" t="n">
        <v>22</v>
      </c>
      <c r="K327">
        <f>'_pockets'!$AI$925</f>
        <v/>
      </c>
      <c r="L327">
        <f>'_pockets'!$AJ$925</f>
        <v/>
      </c>
      <c r="M327">
        <f>IF(AND($A327='Pockets'!$D$17,$B327='Pockets'!$C$17,OR('Pockets'!$E$17="All",AND('Pockets'!$E$17="Worse and material",$K327="Yes",$L327="Yes"),AND('Pockets'!$E$17="Worse or not sure",OR($K327="Yes",$K327="Not sure")))),1,0)</f>
        <v/>
      </c>
      <c r="N327">
        <f>$N326+$M327</f>
        <v/>
      </c>
      <c r="O327" t="inlineStr">
        <is>
          <t>three-way</t>
        </is>
      </c>
      <c r="P327" t="inlineStr">
        <is>
          <t>outcome_booked</t>
        </is>
      </c>
    </row>
    <row r="328">
      <c r="A328" t="inlineStr">
        <is>
          <t>Split by SYS_FLAG</t>
        </is>
      </c>
      <c r="B328" t="inlineStr">
        <is>
          <t>Bad dollars</t>
        </is>
      </c>
      <c r="C328" t="n">
        <v>815</v>
      </c>
      <c r="D328" t="inlineStr">
        <is>
          <t>FICO 686 - 711</t>
        </is>
      </c>
      <c r="E328" t="inlineStr">
        <is>
          <t>ASSET_CLASS 3</t>
        </is>
      </c>
      <c r="F328" t="inlineStr">
        <is>
          <t>Y</t>
        </is>
      </c>
      <c r="G328" t="n">
        <v>196</v>
      </c>
      <c r="H328" t="n">
        <v>1.861411441103017</v>
      </c>
      <c r="J328" t="n">
        <v>23</v>
      </c>
      <c r="K328">
        <f>'_pockets'!$AI$815</f>
        <v/>
      </c>
      <c r="L328">
        <f>'_pockets'!$AJ$815</f>
        <v/>
      </c>
      <c r="M328">
        <f>IF(AND($A328='Pockets'!$D$17,$B328='Pockets'!$C$17,OR('Pockets'!$E$17="All",AND('Pockets'!$E$17="Worse and material",$K328="Yes",$L328="Yes"),AND('Pockets'!$E$17="Worse or not sure",OR($K328="Yes",$K328="Not sure")))),1,0)</f>
        <v/>
      </c>
      <c r="N328">
        <f>$N327+$M328</f>
        <v/>
      </c>
      <c r="O328" t="inlineStr">
        <is>
          <t>three-way</t>
        </is>
      </c>
      <c r="P328" t="inlineStr">
        <is>
          <t>outcome_booked</t>
        </is>
      </c>
    </row>
    <row r="329">
      <c r="A329" t="inlineStr">
        <is>
          <t>Split by SYS_FLAG</t>
        </is>
      </c>
      <c r="B329" t="inlineStr">
        <is>
          <t>Bad dollars</t>
        </is>
      </c>
      <c r="C329" t="n">
        <v>1125</v>
      </c>
      <c r="D329" t="inlineStr">
        <is>
          <t>ORIG_BAL 49,152 - 59,984</t>
        </is>
      </c>
      <c r="E329" t="inlineStr">
        <is>
          <t>ASSET_CLASS 2</t>
        </is>
      </c>
      <c r="F329" t="inlineStr">
        <is>
          <t>Y</t>
        </is>
      </c>
      <c r="G329" t="n">
        <v>197</v>
      </c>
      <c r="H329" t="n">
        <v>1.859018217468696</v>
      </c>
      <c r="J329" t="n">
        <v>24</v>
      </c>
      <c r="K329">
        <f>'_pockets'!$AI$1125</f>
        <v/>
      </c>
      <c r="L329">
        <f>'_pockets'!$AJ$1125</f>
        <v/>
      </c>
      <c r="M329">
        <f>IF(AND($A329='Pockets'!$D$17,$B329='Pockets'!$C$17,OR('Pockets'!$E$17="All",AND('Pockets'!$E$17="Worse and material",$K329="Yes",$L329="Yes"),AND('Pockets'!$E$17="Worse or not sure",OR($K329="Yes",$K329="Not sure")))),1,0)</f>
        <v/>
      </c>
      <c r="N329">
        <f>$N328+$M329</f>
        <v/>
      </c>
      <c r="O329" t="inlineStr">
        <is>
          <t>three-way</t>
        </is>
      </c>
      <c r="P329" t="inlineStr">
        <is>
          <t>outcome_booked</t>
        </is>
      </c>
    </row>
    <row r="330">
      <c r="A330" t="inlineStr">
        <is>
          <t>Split by SYS_FLAG</t>
        </is>
      </c>
      <c r="B330" t="inlineStr">
        <is>
          <t>Bad dollars</t>
        </is>
      </c>
      <c r="C330" t="n">
        <v>690</v>
      </c>
      <c r="D330" t="inlineStr">
        <is>
          <t>FICO 496 - 653</t>
        </is>
      </c>
      <c r="E330" t="inlineStr">
        <is>
          <t>ASSET_CLASS 3</t>
        </is>
      </c>
      <c r="F330" t="inlineStr">
        <is>
          <t>Y</t>
        </is>
      </c>
      <c r="G330" t="n">
        <v>166</v>
      </c>
      <c r="H330" t="n">
        <v>1.943567469394093</v>
      </c>
      <c r="J330" t="n">
        <v>25</v>
      </c>
      <c r="K330">
        <f>'_pockets'!$AI$690</f>
        <v/>
      </c>
      <c r="L330">
        <f>'_pockets'!$AJ$690</f>
        <v/>
      </c>
      <c r="M330">
        <f>IF(AND($A330='Pockets'!$D$17,$B330='Pockets'!$C$17,OR('Pockets'!$E$17="All",AND('Pockets'!$E$17="Worse and material",$K330="Yes",$L330="Yes"),AND('Pockets'!$E$17="Worse or not sure",OR($K330="Yes",$K330="Not sure")))),1,0)</f>
        <v/>
      </c>
      <c r="N330">
        <f>$N329+$M330</f>
        <v/>
      </c>
      <c r="O330" t="inlineStr">
        <is>
          <t>three-way</t>
        </is>
      </c>
      <c r="P330" t="inlineStr">
        <is>
          <t>outcome_booked</t>
        </is>
      </c>
    </row>
    <row r="331">
      <c r="A331" t="inlineStr">
        <is>
          <t>Split by SYS_FLAG</t>
        </is>
      </c>
      <c r="B331" t="inlineStr">
        <is>
          <t>Bad dollars</t>
        </is>
      </c>
      <c r="C331" t="n">
        <v>625</v>
      </c>
      <c r="D331" t="inlineStr">
        <is>
          <t>FICO 746 - 921</t>
        </is>
      </c>
      <c r="E331" t="inlineStr">
        <is>
          <t>ASSET_CLASS 2</t>
        </is>
      </c>
      <c r="F331" t="inlineStr">
        <is>
          <t>Y</t>
        </is>
      </c>
      <c r="G331" t="n">
        <v>180</v>
      </c>
      <c r="H331" t="n">
        <v>1.902529037069279</v>
      </c>
      <c r="J331" t="n">
        <v>26</v>
      </c>
      <c r="K331">
        <f>'_pockets'!$AI$625</f>
        <v/>
      </c>
      <c r="L331">
        <f>'_pockets'!$AJ$625</f>
        <v/>
      </c>
      <c r="M331">
        <f>IF(AND($A331='Pockets'!$D$17,$B331='Pockets'!$C$17,OR('Pockets'!$E$17="All",AND('Pockets'!$E$17="Worse and material",$K331="Yes",$L331="Yes"),AND('Pockets'!$E$17="Worse or not sure",OR($K331="Yes",$K331="Not sure")))),1,0)</f>
        <v/>
      </c>
      <c r="N331">
        <f>$N330+$M331</f>
        <v/>
      </c>
      <c r="O331" t="inlineStr">
        <is>
          <t>three-way</t>
        </is>
      </c>
      <c r="P331" t="inlineStr">
        <is>
          <t>outcome_booked</t>
        </is>
      </c>
    </row>
    <row r="332">
      <c r="A332" t="inlineStr">
        <is>
          <t>Split by SYS_FLAG</t>
        </is>
      </c>
      <c r="B332" t="inlineStr">
        <is>
          <t>Bad dollars</t>
        </is>
      </c>
      <c r="C332" t="n">
        <v>780</v>
      </c>
      <c r="D332" t="inlineStr">
        <is>
          <t>FICO 654 - 685</t>
        </is>
      </c>
      <c r="E332" t="inlineStr">
        <is>
          <t>ASSET_CLASS 3</t>
        </is>
      </c>
      <c r="F332" t="inlineStr">
        <is>
          <t>Y</t>
        </is>
      </c>
      <c r="G332" t="n">
        <v>193</v>
      </c>
      <c r="H332" t="n">
        <v>1.868708499572346</v>
      </c>
      <c r="J332" t="n">
        <v>27</v>
      </c>
      <c r="K332">
        <f>'_pockets'!$AI$780</f>
        <v/>
      </c>
      <c r="L332">
        <f>'_pockets'!$AJ$780</f>
        <v/>
      </c>
      <c r="M332">
        <f>IF(AND($A332='Pockets'!$D$17,$B332='Pockets'!$C$17,OR('Pockets'!$E$17="All",AND('Pockets'!$E$17="Worse and material",$K332="Yes",$L332="Yes"),AND('Pockets'!$E$17="Worse or not sure",OR($K332="Yes",$K332="Not sure")))),1,0)</f>
        <v/>
      </c>
      <c r="N332">
        <f>$N331+$M332</f>
        <v/>
      </c>
      <c r="O332" t="inlineStr">
        <is>
          <t>three-way</t>
        </is>
      </c>
      <c r="P332" t="inlineStr">
        <is>
          <t>outcome_booked</t>
        </is>
      </c>
    </row>
    <row r="333">
      <c r="A333" t="inlineStr">
        <is>
          <t>Split by SYS_FLAG</t>
        </is>
      </c>
      <c r="B333" t="inlineStr">
        <is>
          <t>Bad dollars</t>
        </is>
      </c>
      <c r="C333" t="n">
        <v>845</v>
      </c>
      <c r="D333" t="inlineStr">
        <is>
          <t>ORIG_BAL 26,324 - 37,950</t>
        </is>
      </c>
      <c r="E333" t="inlineStr">
        <is>
          <t>Broker</t>
        </is>
      </c>
      <c r="F333" t="inlineStr">
        <is>
          <t>Y</t>
        </is>
      </c>
      <c r="G333" t="n">
        <v>248</v>
      </c>
      <c r="H333" t="n">
        <v>1.757809966586656</v>
      </c>
      <c r="J333" t="n">
        <v>28</v>
      </c>
      <c r="K333">
        <f>'_pockets'!$AI$845</f>
        <v/>
      </c>
      <c r="L333">
        <f>'_pockets'!$AJ$845</f>
        <v/>
      </c>
      <c r="M333">
        <f>IF(AND($A333='Pockets'!$D$17,$B333='Pockets'!$C$17,OR('Pockets'!$E$17="All",AND('Pockets'!$E$17="Worse and material",$K333="Yes",$L333="Yes"),AND('Pockets'!$E$17="Worse or not sure",OR($K333="Yes",$K333="Not sure")))),1,0)</f>
        <v/>
      </c>
      <c r="N333">
        <f>$N332+$M333</f>
        <v/>
      </c>
      <c r="O333" t="inlineStr">
        <is>
          <t>three-way</t>
        </is>
      </c>
      <c r="P333" t="inlineStr">
        <is>
          <t>outcome_booked</t>
        </is>
      </c>
    </row>
    <row r="334">
      <c r="A334" t="inlineStr">
        <is>
          <t>Split by SYS_FLAG</t>
        </is>
      </c>
      <c r="B334" t="inlineStr">
        <is>
          <t>Bad dollars</t>
        </is>
      </c>
      <c r="C334" t="n">
        <v>715</v>
      </c>
      <c r="D334" t="inlineStr">
        <is>
          <t>FICO 654 - 685</t>
        </is>
      </c>
      <c r="E334" t="inlineStr">
        <is>
          <t>ASSET_CLASS 2</t>
        </is>
      </c>
      <c r="F334" t="inlineStr">
        <is>
          <t>Y</t>
        </is>
      </c>
      <c r="G334" t="n">
        <v>163</v>
      </c>
      <c r="H334" t="n">
        <v>1.953082810453426</v>
      </c>
      <c r="J334" t="n">
        <v>29</v>
      </c>
      <c r="K334">
        <f>'_pockets'!$AI$715</f>
        <v/>
      </c>
      <c r="L334">
        <f>'_pockets'!$AJ$715</f>
        <v/>
      </c>
      <c r="M334">
        <f>IF(AND($A334='Pockets'!$D$17,$B334='Pockets'!$C$17,OR('Pockets'!$E$17="All",AND('Pockets'!$E$17="Worse and material",$K334="Yes",$L334="Yes"),AND('Pockets'!$E$17="Worse or not sure",OR($K334="Yes",$K334="Not sure")))),1,0)</f>
        <v/>
      </c>
      <c r="N334">
        <f>$N333+$M334</f>
        <v/>
      </c>
      <c r="O334" t="inlineStr">
        <is>
          <t>three-way</t>
        </is>
      </c>
      <c r="P334" t="inlineStr">
        <is>
          <t>outcome_booked</t>
        </is>
      </c>
    </row>
    <row r="335">
      <c r="A335" t="inlineStr">
        <is>
          <t>Split by SYS_FLAG</t>
        </is>
      </c>
      <c r="B335" t="inlineStr">
        <is>
          <t>Bad dollars</t>
        </is>
      </c>
      <c r="C335" t="n">
        <v>435</v>
      </c>
      <c r="D335" t="inlineStr">
        <is>
          <t>FICO 746 - 921</t>
        </is>
      </c>
      <c r="E335" t="inlineStr">
        <is>
          <t>Branch</t>
        </is>
      </c>
      <c r="F335" t="inlineStr">
        <is>
          <t>Y</t>
        </is>
      </c>
      <c r="G335" t="n">
        <v>239</v>
      </c>
      <c r="H335" t="n">
        <v>1.773167162528496</v>
      </c>
      <c r="J335" t="n">
        <v>30</v>
      </c>
      <c r="K335">
        <f>'_pockets'!$AI$435</f>
        <v/>
      </c>
      <c r="L335">
        <f>'_pockets'!$AJ$435</f>
        <v/>
      </c>
      <c r="M335">
        <f>IF(AND($A335='Pockets'!$D$17,$B335='Pockets'!$C$17,OR('Pockets'!$E$17="All",AND('Pockets'!$E$17="Worse and material",$K335="Yes",$L335="Yes"),AND('Pockets'!$E$17="Worse or not sure",OR($K335="Yes",$K335="Not sure")))),1,0)</f>
        <v/>
      </c>
      <c r="N335">
        <f>$N334+$M335</f>
        <v/>
      </c>
      <c r="O335" t="inlineStr">
        <is>
          <t>three-way</t>
        </is>
      </c>
      <c r="P335" t="inlineStr">
        <is>
          <t>outcome_booked</t>
        </is>
      </c>
    </row>
    <row r="336">
      <c r="A336" t="inlineStr">
        <is>
          <t>Split by SYS_FLAG</t>
        </is>
      </c>
      <c r="B336" t="inlineStr">
        <is>
          <t>Bad dollars</t>
        </is>
      </c>
      <c r="C336" t="n">
        <v>930</v>
      </c>
      <c r="D336" t="inlineStr">
        <is>
          <t>ORIG_BAL 5,005 - 15,448</t>
        </is>
      </c>
      <c r="E336" t="inlineStr">
        <is>
          <t>Online</t>
        </is>
      </c>
      <c r="F336" t="inlineStr">
        <is>
          <t>Y</t>
        </is>
      </c>
      <c r="G336" t="n">
        <v>242</v>
      </c>
      <c r="H336" t="n">
        <v>1.767948202126342</v>
      </c>
      <c r="J336" t="n">
        <v>31</v>
      </c>
      <c r="K336">
        <f>'_pockets'!$AI$930</f>
        <v/>
      </c>
      <c r="L336">
        <f>'_pockets'!$AJ$930</f>
        <v/>
      </c>
      <c r="M336">
        <f>IF(AND($A336='Pockets'!$D$17,$B336='Pockets'!$C$17,OR('Pockets'!$E$17="All",AND('Pockets'!$E$17="Worse and material",$K336="Yes",$L336="Yes"),AND('Pockets'!$E$17="Worse or not sure",OR($K336="Yes",$K336="Not sure")))),1,0)</f>
        <v/>
      </c>
      <c r="N336">
        <f>$N335+$M336</f>
        <v/>
      </c>
      <c r="O336" t="inlineStr">
        <is>
          <t>three-way</t>
        </is>
      </c>
      <c r="P336" t="inlineStr">
        <is>
          <t>outcome_booked</t>
        </is>
      </c>
    </row>
    <row r="337">
      <c r="A337" t="inlineStr">
        <is>
          <t>Split by SYS_FLAG</t>
        </is>
      </c>
      <c r="B337" t="inlineStr">
        <is>
          <t>Bad dollars</t>
        </is>
      </c>
      <c r="C337" t="n">
        <v>655</v>
      </c>
      <c r="D337" t="inlineStr">
        <is>
          <t>FICO 686 - 711</t>
        </is>
      </c>
      <c r="E337" t="inlineStr">
        <is>
          <t>ASSET_CLASS 4</t>
        </is>
      </c>
      <c r="F337" t="inlineStr">
        <is>
          <t>Y</t>
        </is>
      </c>
      <c r="G337" t="n">
        <v>172</v>
      </c>
      <c r="H337" t="n">
        <v>1.925331509381614</v>
      </c>
      <c r="J337" t="n">
        <v>32</v>
      </c>
      <c r="K337">
        <f>'_pockets'!$AI$655</f>
        <v/>
      </c>
      <c r="L337">
        <f>'_pockets'!$AJ$655</f>
        <v/>
      </c>
      <c r="M337">
        <f>IF(AND($A337='Pockets'!$D$17,$B337='Pockets'!$C$17,OR('Pockets'!$E$17="All",AND('Pockets'!$E$17="Worse and material",$K337="Yes",$L337="Yes"),AND('Pockets'!$E$17="Worse or not sure",OR($K337="Yes",$K337="Not sure")))),1,0)</f>
        <v/>
      </c>
      <c r="N337">
        <f>$N336+$M337</f>
        <v/>
      </c>
      <c r="O337" t="inlineStr">
        <is>
          <t>three-way</t>
        </is>
      </c>
      <c r="P337" t="inlineStr">
        <is>
          <t>outcome_booked</t>
        </is>
      </c>
    </row>
    <row r="338">
      <c r="A338" t="inlineStr">
        <is>
          <t>Split by SYS_FLAG</t>
        </is>
      </c>
      <c r="B338" t="inlineStr">
        <is>
          <t>Bad dollars</t>
        </is>
      </c>
      <c r="C338" t="n">
        <v>1040</v>
      </c>
      <c r="D338" t="inlineStr">
        <is>
          <t>ORIG_BAL 15,449 - 26,323</t>
        </is>
      </c>
      <c r="E338" t="inlineStr">
        <is>
          <t>ASSET_CLASS 4</t>
        </is>
      </c>
      <c r="F338" t="inlineStr">
        <is>
          <t>N</t>
        </is>
      </c>
      <c r="G338" t="n">
        <v>223</v>
      </c>
      <c r="H338" t="n">
        <v>1.802850820303666</v>
      </c>
      <c r="J338" t="n">
        <v>33</v>
      </c>
      <c r="K338">
        <f>'_pockets'!$AI$1040</f>
        <v/>
      </c>
      <c r="L338">
        <f>'_pockets'!$AJ$1040</f>
        <v/>
      </c>
      <c r="M338">
        <f>IF(AND($A338='Pockets'!$D$17,$B338='Pockets'!$C$17,OR('Pockets'!$E$17="All",AND('Pockets'!$E$17="Worse and material",$K338="Yes",$L338="Yes"),AND('Pockets'!$E$17="Worse or not sure",OR($K338="Yes",$K338="Not sure")))),1,0)</f>
        <v/>
      </c>
      <c r="N338">
        <f>$N337+$M338</f>
        <v/>
      </c>
      <c r="O338" t="inlineStr">
        <is>
          <t>three-way</t>
        </is>
      </c>
      <c r="P338" t="inlineStr">
        <is>
          <t>outcome_booked</t>
        </is>
      </c>
    </row>
    <row r="339">
      <c r="A339" t="inlineStr">
        <is>
          <t>Split by SYS_FLAG</t>
        </is>
      </c>
      <c r="B339" t="inlineStr">
        <is>
          <t>Bad dollars</t>
        </is>
      </c>
      <c r="C339" t="n">
        <v>725</v>
      </c>
      <c r="D339" t="inlineStr">
        <is>
          <t>FICO 746 - 921</t>
        </is>
      </c>
      <c r="E339" t="inlineStr">
        <is>
          <t>ASSET_CLASS 1</t>
        </is>
      </c>
      <c r="F339" t="inlineStr">
        <is>
          <t>Y</t>
        </is>
      </c>
      <c r="G339" t="n">
        <v>183</v>
      </c>
      <c r="H339" t="n">
        <v>1.894387517377712</v>
      </c>
      <c r="J339" t="n">
        <v>34</v>
      </c>
      <c r="K339">
        <f>'_pockets'!$AI$725</f>
        <v/>
      </c>
      <c r="L339">
        <f>'_pockets'!$AJ$725</f>
        <v/>
      </c>
      <c r="M339">
        <f>IF(AND($A339='Pockets'!$D$17,$B339='Pockets'!$C$17,OR('Pockets'!$E$17="All",AND('Pockets'!$E$17="Worse and material",$K339="Yes",$L339="Yes"),AND('Pockets'!$E$17="Worse or not sure",OR($K339="Yes",$K339="Not sure")))),1,0)</f>
        <v/>
      </c>
      <c r="N339">
        <f>$N338+$M339</f>
        <v/>
      </c>
      <c r="O339" t="inlineStr">
        <is>
          <t>three-way</t>
        </is>
      </c>
      <c r="P339" t="inlineStr">
        <is>
          <t>outcome_booked</t>
        </is>
      </c>
    </row>
    <row r="340">
      <c r="A340" t="inlineStr">
        <is>
          <t>Split by SYS_FLAG</t>
        </is>
      </c>
      <c r="B340" t="inlineStr">
        <is>
          <t>Bad dollars</t>
        </is>
      </c>
      <c r="C340" t="n">
        <v>550</v>
      </c>
      <c r="D340" t="inlineStr">
        <is>
          <t>FICO 746 - 921</t>
        </is>
      </c>
      <c r="E340" t="inlineStr">
        <is>
          <t>Broker</t>
        </is>
      </c>
      <c r="F340" t="inlineStr">
        <is>
          <t>Y</t>
        </is>
      </c>
      <c r="G340" t="n">
        <v>237</v>
      </c>
      <c r="H340" t="n">
        <v>1.776704187791218</v>
      </c>
      <c r="J340" t="n">
        <v>35</v>
      </c>
      <c r="K340">
        <f>'_pockets'!$AI$550</f>
        <v/>
      </c>
      <c r="L340">
        <f>'_pockets'!$AJ$550</f>
        <v/>
      </c>
      <c r="M340">
        <f>IF(AND($A340='Pockets'!$D$17,$B340='Pockets'!$C$17,OR('Pockets'!$E$17="All",AND('Pockets'!$E$17="Worse and material",$K340="Yes",$L340="Yes"),AND('Pockets'!$E$17="Worse or not sure",OR($K340="Yes",$K340="Not sure")))),1,0)</f>
        <v/>
      </c>
      <c r="N340">
        <f>$N339+$M340</f>
        <v/>
      </c>
      <c r="O340" t="inlineStr">
        <is>
          <t>three-way</t>
        </is>
      </c>
      <c r="P340" t="inlineStr">
        <is>
          <t>outcome_booked</t>
        </is>
      </c>
    </row>
    <row r="341">
      <c r="A341" t="inlineStr">
        <is>
          <t>Split by SYS_FLAG</t>
        </is>
      </c>
      <c r="B341" t="inlineStr">
        <is>
          <t>Bad dollars</t>
        </is>
      </c>
      <c r="C341" t="n">
        <v>480</v>
      </c>
      <c r="D341" t="inlineStr">
        <is>
          <t>FICO 746 - 921</t>
        </is>
      </c>
      <c r="E341" t="inlineStr">
        <is>
          <t>Online</t>
        </is>
      </c>
      <c r="F341" t="inlineStr">
        <is>
          <t>Y</t>
        </is>
      </c>
      <c r="G341" t="n">
        <v>225</v>
      </c>
      <c r="H341" t="n">
        <v>1.798958958563741</v>
      </c>
      <c r="J341" t="n">
        <v>36</v>
      </c>
      <c r="K341">
        <f>'_pockets'!$AI$480</f>
        <v/>
      </c>
      <c r="L341">
        <f>'_pockets'!$AJ$480</f>
        <v/>
      </c>
      <c r="M341">
        <f>IF(AND($A341='Pockets'!$D$17,$B341='Pockets'!$C$17,OR('Pockets'!$E$17="All",AND('Pockets'!$E$17="Worse and material",$K341="Yes",$L341="Yes"),AND('Pockets'!$E$17="Worse or not sure",OR($K341="Yes",$K341="Not sure")))),1,0)</f>
        <v/>
      </c>
      <c r="N341">
        <f>$N340+$M341</f>
        <v/>
      </c>
      <c r="O341" t="inlineStr">
        <is>
          <t>three-way</t>
        </is>
      </c>
      <c r="P341" t="inlineStr">
        <is>
          <t>outcome_booked</t>
        </is>
      </c>
    </row>
    <row r="342">
      <c r="A342" t="inlineStr">
        <is>
          <t>Split by SYS_FLAG</t>
        </is>
      </c>
      <c r="B342" t="inlineStr">
        <is>
          <t>Bad dollars</t>
        </is>
      </c>
      <c r="C342" t="n">
        <v>590</v>
      </c>
      <c r="D342" t="inlineStr">
        <is>
          <t>FICO (marked missing)</t>
        </is>
      </c>
      <c r="E342" t="inlineStr">
        <is>
          <t>Broker</t>
        </is>
      </c>
      <c r="F342" t="inlineStr">
        <is>
          <t>Y</t>
        </is>
      </c>
      <c r="G342" t="n">
        <v>25</v>
      </c>
      <c r="H342" t="n">
        <v>3.792822861026263</v>
      </c>
      <c r="J342" t="n">
        <v>37</v>
      </c>
      <c r="K342">
        <f>'_pockets'!$AI$590</f>
        <v/>
      </c>
      <c r="L342">
        <f>'_pockets'!$AJ$590</f>
        <v/>
      </c>
      <c r="M342">
        <f>IF(AND($A342='Pockets'!$D$17,$B342='Pockets'!$C$17,OR('Pockets'!$E$17="All",AND('Pockets'!$E$17="Worse and material",$K342="Yes",$L342="Yes"),AND('Pockets'!$E$17="Worse or not sure",OR($K342="Yes",$K342="Not sure")))),1,0)</f>
        <v/>
      </c>
      <c r="N342">
        <f>$N341+$M342</f>
        <v/>
      </c>
      <c r="O342" t="inlineStr">
        <is>
          <t>three-way</t>
        </is>
      </c>
      <c r="P342" t="inlineStr">
        <is>
          <t>outcome_booked</t>
        </is>
      </c>
    </row>
    <row r="343">
      <c r="A343" t="inlineStr">
        <is>
          <t>Split by SYS_FLAG</t>
        </is>
      </c>
      <c r="B343" t="inlineStr">
        <is>
          <t>Bad dollars</t>
        </is>
      </c>
      <c r="C343" t="n">
        <v>1000</v>
      </c>
      <c r="D343" t="inlineStr">
        <is>
          <t>ORIG_BAL 26,324 - 37,950</t>
        </is>
      </c>
      <c r="E343" t="inlineStr">
        <is>
          <t>ASSET_CLASS 2</t>
        </is>
      </c>
      <c r="F343" t="inlineStr">
        <is>
          <t>Y</t>
        </is>
      </c>
      <c r="G343" t="n">
        <v>179</v>
      </c>
      <c r="H343" t="n">
        <v>1.905290817268532</v>
      </c>
      <c r="J343" t="n">
        <v>38</v>
      </c>
      <c r="K343">
        <f>'_pockets'!$AI$1000</f>
        <v/>
      </c>
      <c r="L343">
        <f>'_pockets'!$AJ$1000</f>
        <v/>
      </c>
      <c r="M343">
        <f>IF(AND($A343='Pockets'!$D$17,$B343='Pockets'!$C$17,OR('Pockets'!$E$17="All",AND('Pockets'!$E$17="Worse and material",$K343="Yes",$L343="Yes"),AND('Pockets'!$E$17="Worse or not sure",OR($K343="Yes",$K343="Not sure")))),1,0)</f>
        <v/>
      </c>
      <c r="N343">
        <f>$N342+$M343</f>
        <v/>
      </c>
      <c r="O343" t="inlineStr">
        <is>
          <t>three-way</t>
        </is>
      </c>
      <c r="P343" t="inlineStr">
        <is>
          <t>outcome_booked</t>
        </is>
      </c>
    </row>
    <row r="344">
      <c r="A344" t="inlineStr">
        <is>
          <t>Split by SYS_FLAG</t>
        </is>
      </c>
      <c r="B344" t="inlineStr">
        <is>
          <t>Bad dollars</t>
        </is>
      </c>
      <c r="C344" t="n">
        <v>1145</v>
      </c>
      <c r="D344" t="inlineStr">
        <is>
          <t>ORIG_BAL 15,449 - 26,323</t>
        </is>
      </c>
      <c r="E344" t="inlineStr">
        <is>
          <t>ASSET_CLASS 3</t>
        </is>
      </c>
      <c r="F344" t="inlineStr">
        <is>
          <t>Y</t>
        </is>
      </c>
      <c r="G344" t="n">
        <v>193</v>
      </c>
      <c r="H344" t="n">
        <v>1.868708499572346</v>
      </c>
      <c r="J344" t="n">
        <v>39</v>
      </c>
      <c r="K344">
        <f>'_pockets'!$AI$1145</f>
        <v/>
      </c>
      <c r="L344">
        <f>'_pockets'!$AJ$1145</f>
        <v/>
      </c>
      <c r="M344">
        <f>IF(AND($A344='Pockets'!$D$17,$B344='Pockets'!$C$17,OR('Pockets'!$E$17="All",AND('Pockets'!$E$17="Worse and material",$K344="Yes",$L344="Yes"),AND('Pockets'!$E$17="Worse or not sure",OR($K344="Yes",$K344="Not sure")))),1,0)</f>
        <v/>
      </c>
      <c r="N344">
        <f>$N343+$M344</f>
        <v/>
      </c>
      <c r="O344" t="inlineStr">
        <is>
          <t>three-way</t>
        </is>
      </c>
      <c r="P344" t="inlineStr">
        <is>
          <t>outcome_booked</t>
        </is>
      </c>
    </row>
    <row r="345">
      <c r="A345" t="inlineStr">
        <is>
          <t>Split by SYS_FLAG</t>
        </is>
      </c>
      <c r="B345" t="inlineStr">
        <is>
          <t>Bad dollars</t>
        </is>
      </c>
      <c r="C345" t="n">
        <v>1190</v>
      </c>
      <c r="D345" t="inlineStr">
        <is>
          <t>ORIG_BAL 26,324 - 37,950</t>
        </is>
      </c>
      <c r="E345" t="inlineStr">
        <is>
          <t>ASSET_CLASS 4</t>
        </is>
      </c>
      <c r="F345" t="inlineStr">
        <is>
          <t>N</t>
        </is>
      </c>
      <c r="G345" t="n">
        <v>218</v>
      </c>
      <c r="H345" t="n">
        <v>1.812826034990193</v>
      </c>
      <c r="J345" t="n">
        <v>40</v>
      </c>
      <c r="K345">
        <f>'_pockets'!$AI$1190</f>
        <v/>
      </c>
      <c r="L345">
        <f>'_pockets'!$AJ$1190</f>
        <v/>
      </c>
      <c r="M345">
        <f>IF(AND($A345='Pockets'!$D$17,$B345='Pockets'!$C$17,OR('Pockets'!$E$17="All",AND('Pockets'!$E$17="Worse and material",$K345="Yes",$L345="Yes"),AND('Pockets'!$E$17="Worse or not sure",OR($K345="Yes",$K345="Not sure")))),1,0)</f>
        <v/>
      </c>
      <c r="N345">
        <f>$N344+$M345</f>
        <v/>
      </c>
      <c r="O345" t="inlineStr">
        <is>
          <t>three-way</t>
        </is>
      </c>
      <c r="P345" t="inlineStr">
        <is>
          <t>outcome_booked</t>
        </is>
      </c>
    </row>
    <row r="346">
      <c r="A346" t="inlineStr">
        <is>
          <t>Split by SYS_FLAG</t>
        </is>
      </c>
      <c r="B346" t="inlineStr">
        <is>
          <t>Bad dollars</t>
        </is>
      </c>
      <c r="C346" t="n">
        <v>835</v>
      </c>
      <c r="D346" t="inlineStr">
        <is>
          <t>FICO (marked missing)</t>
        </is>
      </c>
      <c r="E346" t="inlineStr">
        <is>
          <t>ASSET_CLASS 2</t>
        </is>
      </c>
      <c r="F346" t="inlineStr">
        <is>
          <t>Y</t>
        </is>
      </c>
      <c r="G346" t="n">
        <v>18</v>
      </c>
      <c r="H346" t="n">
        <v>4.40845194303626</v>
      </c>
      <c r="J346" t="n">
        <v>41</v>
      </c>
      <c r="K346">
        <f>'_pockets'!$AI$835</f>
        <v/>
      </c>
      <c r="L346">
        <f>'_pockets'!$AJ$835</f>
        <v/>
      </c>
      <c r="M346">
        <f>IF(AND($A346='Pockets'!$D$17,$B346='Pockets'!$C$17,OR('Pockets'!$E$17="All",AND('Pockets'!$E$17="Worse and material",$K346="Yes",$L346="Yes"),AND('Pockets'!$E$17="Worse or not sure",OR($K346="Yes",$K346="Not sure")))),1,0)</f>
        <v/>
      </c>
      <c r="N346">
        <f>$N345+$M346</f>
        <v/>
      </c>
      <c r="O346" t="inlineStr">
        <is>
          <t>three-way</t>
        </is>
      </c>
      <c r="P346" t="inlineStr">
        <is>
          <t>outcome_booked</t>
        </is>
      </c>
    </row>
    <row r="347">
      <c r="A347" t="inlineStr">
        <is>
          <t>Split by SYS_FLAG</t>
        </is>
      </c>
      <c r="B347" t="inlineStr">
        <is>
          <t>Bad dollars</t>
        </is>
      </c>
      <c r="C347" t="n">
        <v>650</v>
      </c>
      <c r="D347" t="inlineStr">
        <is>
          <t>FICO 496 - 653</t>
        </is>
      </c>
      <c r="E347" t="inlineStr">
        <is>
          <t>ASSET_CLASS 4</t>
        </is>
      </c>
      <c r="F347" t="inlineStr">
        <is>
          <t>N</t>
        </is>
      </c>
      <c r="G347" t="n">
        <v>203</v>
      </c>
      <c r="H347" t="n">
        <v>1.845052124002008</v>
      </c>
      <c r="J347" t="n">
        <v>42</v>
      </c>
      <c r="K347">
        <f>'_pockets'!$AI$650</f>
        <v/>
      </c>
      <c r="L347">
        <f>'_pockets'!$AJ$650</f>
        <v/>
      </c>
      <c r="M347">
        <f>IF(AND($A347='Pockets'!$D$17,$B347='Pockets'!$C$17,OR('Pockets'!$E$17="All",AND('Pockets'!$E$17="Worse and material",$K347="Yes",$L347="Yes"),AND('Pockets'!$E$17="Worse or not sure",OR($K347="Yes",$K347="Not sure")))),1,0)</f>
        <v/>
      </c>
      <c r="N347">
        <f>$N346+$M347</f>
        <v/>
      </c>
      <c r="O347" t="inlineStr">
        <is>
          <t>three-way</t>
        </is>
      </c>
      <c r="P347" t="inlineStr">
        <is>
          <t>outcome_booked</t>
        </is>
      </c>
    </row>
    <row r="348">
      <c r="A348" t="inlineStr">
        <is>
          <t>Split by SYS_FLAG</t>
        </is>
      </c>
      <c r="B348" t="inlineStr">
        <is>
          <t>Bad dollars</t>
        </is>
      </c>
      <c r="C348" t="n">
        <v>1135</v>
      </c>
      <c r="D348" t="inlineStr">
        <is>
          <t>ORIG_BAL 15,449 - 26,323</t>
        </is>
      </c>
      <c r="E348" t="inlineStr">
        <is>
          <t>ASSET_CLASS 1</t>
        </is>
      </c>
      <c r="F348" t="inlineStr">
        <is>
          <t>Y</t>
        </is>
      </c>
      <c r="G348" t="n">
        <v>180</v>
      </c>
      <c r="H348" t="n">
        <v>1.902529037069279</v>
      </c>
      <c r="J348" t="n">
        <v>43</v>
      </c>
      <c r="K348">
        <f>'_pockets'!$AI$1135</f>
        <v/>
      </c>
      <c r="L348">
        <f>'_pockets'!$AJ$1135</f>
        <v/>
      </c>
      <c r="M348">
        <f>IF(AND($A348='Pockets'!$D$17,$B348='Pockets'!$C$17,OR('Pockets'!$E$17="All",AND('Pockets'!$E$17="Worse and material",$K348="Yes",$L348="Yes"),AND('Pockets'!$E$17="Worse or not sure",OR($K348="Yes",$K348="Not sure")))),1,0)</f>
        <v/>
      </c>
      <c r="N348">
        <f>$N347+$M348</f>
        <v/>
      </c>
      <c r="O348" t="inlineStr">
        <is>
          <t>three-way</t>
        </is>
      </c>
      <c r="P348" t="inlineStr">
        <is>
          <t>outcome_booked</t>
        </is>
      </c>
    </row>
    <row r="349">
      <c r="A349" t="inlineStr">
        <is>
          <t>Split by SYS_FLAG</t>
        </is>
      </c>
      <c r="B349" t="inlineStr">
        <is>
          <t>Bad dollars</t>
        </is>
      </c>
      <c r="C349" t="n">
        <v>670</v>
      </c>
      <c r="D349" t="inlineStr">
        <is>
          <t>FICO 654 - 685</t>
        </is>
      </c>
      <c r="E349" t="inlineStr">
        <is>
          <t>ASSET_CLASS 1</t>
        </is>
      </c>
      <c r="F349" t="inlineStr">
        <is>
          <t>Y</t>
        </is>
      </c>
      <c r="G349" t="n">
        <v>187</v>
      </c>
      <c r="H349" t="n">
        <v>1.883855242127517</v>
      </c>
      <c r="J349" t="n">
        <v>44</v>
      </c>
      <c r="K349">
        <f>'_pockets'!$AI$670</f>
        <v/>
      </c>
      <c r="L349">
        <f>'_pockets'!$AJ$670</f>
        <v/>
      </c>
      <c r="M349">
        <f>IF(AND($A349='Pockets'!$D$17,$B349='Pockets'!$C$17,OR('Pockets'!$E$17="All",AND('Pockets'!$E$17="Worse and material",$K349="Yes",$L349="Yes"),AND('Pockets'!$E$17="Worse or not sure",OR($K349="Yes",$K349="Not sure")))),1,0)</f>
        <v/>
      </c>
      <c r="N349">
        <f>$N348+$M349</f>
        <v/>
      </c>
      <c r="O349" t="inlineStr">
        <is>
          <t>three-way</t>
        </is>
      </c>
      <c r="P349" t="inlineStr">
        <is>
          <t>outcome_booked</t>
        </is>
      </c>
    </row>
    <row r="350">
      <c r="A350" t="inlineStr">
        <is>
          <t>Split by SYS_FLAG</t>
        </is>
      </c>
      <c r="B350" t="inlineStr">
        <is>
          <t>Bad dollars</t>
        </is>
      </c>
      <c r="C350" t="n">
        <v>950</v>
      </c>
      <c r="D350" t="inlineStr">
        <is>
          <t>ORIG_BAL 49,152 - 59,984</t>
        </is>
      </c>
      <c r="E350" t="inlineStr">
        <is>
          <t>Broker</t>
        </is>
      </c>
      <c r="F350" t="inlineStr">
        <is>
          <t>N</t>
        </is>
      </c>
      <c r="G350" t="n">
        <v>278</v>
      </c>
      <c r="H350" t="n">
        <v>1.712376281476606</v>
      </c>
      <c r="J350" t="n">
        <v>45</v>
      </c>
      <c r="K350">
        <f>'_pockets'!$AI$950</f>
        <v/>
      </c>
      <c r="L350">
        <f>'_pockets'!$AJ$950</f>
        <v/>
      </c>
      <c r="M350">
        <f>IF(AND($A350='Pockets'!$D$17,$B350='Pockets'!$C$17,OR('Pockets'!$E$17="All",AND('Pockets'!$E$17="Worse and material",$K350="Yes",$L350="Yes"),AND('Pockets'!$E$17="Worse or not sure",OR($K350="Yes",$K350="Not sure")))),1,0)</f>
        <v/>
      </c>
      <c r="N350">
        <f>$N349+$M350</f>
        <v/>
      </c>
      <c r="O350" t="inlineStr">
        <is>
          <t>three-way</t>
        </is>
      </c>
      <c r="P350" t="inlineStr">
        <is>
          <t>outcome_booked</t>
        </is>
      </c>
    </row>
    <row r="351">
      <c r="A351" t="inlineStr">
        <is>
          <t>Split by SYS_FLAG</t>
        </is>
      </c>
      <c r="B351" t="inlineStr">
        <is>
          <t>Bad dollars</t>
        </is>
      </c>
      <c r="C351" t="n">
        <v>865</v>
      </c>
      <c r="D351" t="inlineStr">
        <is>
          <t>ORIG_BAL 26,324 - 37,950</t>
        </is>
      </c>
      <c r="E351" t="inlineStr">
        <is>
          <t>Branch</t>
        </is>
      </c>
      <c r="F351" t="inlineStr">
        <is>
          <t>Y</t>
        </is>
      </c>
      <c r="G351" t="n">
        <v>236</v>
      </c>
      <c r="H351" t="n">
        <v>1.778490395996388</v>
      </c>
      <c r="J351" t="n">
        <v>46</v>
      </c>
      <c r="K351">
        <f>'_pockets'!$AI$865</f>
        <v/>
      </c>
      <c r="L351">
        <f>'_pockets'!$AJ$865</f>
        <v/>
      </c>
      <c r="M351">
        <f>IF(AND($A351='Pockets'!$D$17,$B351='Pockets'!$C$17,OR('Pockets'!$E$17="All",AND('Pockets'!$E$17="Worse and material",$K351="Yes",$L351="Yes"),AND('Pockets'!$E$17="Worse or not sure",OR($K351="Yes",$K351="Not sure")))),1,0)</f>
        <v/>
      </c>
      <c r="N351">
        <f>$N350+$M351</f>
        <v/>
      </c>
      <c r="O351" t="inlineStr">
        <is>
          <t>three-way</t>
        </is>
      </c>
      <c r="P351" t="inlineStr">
        <is>
          <t>outcome_booked</t>
        </is>
      </c>
    </row>
    <row r="352">
      <c r="A352" t="inlineStr">
        <is>
          <t>Split by SYS_FLAG</t>
        </is>
      </c>
      <c r="B352" t="inlineStr">
        <is>
          <t>Bad dollars</t>
        </is>
      </c>
      <c r="C352" t="n">
        <v>520</v>
      </c>
      <c r="D352" t="inlineStr">
        <is>
          <t>FICO 654 - 685</t>
        </is>
      </c>
      <c r="E352" t="inlineStr">
        <is>
          <t>Broker</t>
        </is>
      </c>
      <c r="F352" t="inlineStr">
        <is>
          <t>Y</t>
        </is>
      </c>
      <c r="G352" t="n">
        <v>244</v>
      </c>
      <c r="H352" t="n">
        <v>1.764525179215748</v>
      </c>
      <c r="J352" t="n">
        <v>47</v>
      </c>
      <c r="K352">
        <f>'_pockets'!$AI$520</f>
        <v/>
      </c>
      <c r="L352">
        <f>'_pockets'!$AJ$520</f>
        <v/>
      </c>
      <c r="M352">
        <f>IF(AND($A352='Pockets'!$D$17,$B352='Pockets'!$C$17,OR('Pockets'!$E$17="All",AND('Pockets'!$E$17="Worse and material",$K352="Yes",$L352="Yes"),AND('Pockets'!$E$17="Worse or not sure",OR($K352="Yes",$K352="Not sure")))),1,0)</f>
        <v/>
      </c>
      <c r="N352">
        <f>$N351+$M352</f>
        <v/>
      </c>
      <c r="O352" t="inlineStr">
        <is>
          <t>three-way</t>
        </is>
      </c>
      <c r="P352" t="inlineStr">
        <is>
          <t>outcome_booked</t>
        </is>
      </c>
    </row>
    <row r="353">
      <c r="A353" t="inlineStr">
        <is>
          <t>Split by SYS_FLAG</t>
        </is>
      </c>
      <c r="B353" t="inlineStr">
        <is>
          <t>Bad dollars</t>
        </is>
      </c>
      <c r="C353" t="n">
        <v>635</v>
      </c>
      <c r="D353" t="inlineStr">
        <is>
          <t>FICO 686 - 711</t>
        </is>
      </c>
      <c r="E353" t="inlineStr">
        <is>
          <t>ASSET_CLASS 1</t>
        </is>
      </c>
      <c r="F353" t="inlineStr">
        <is>
          <t>Y</t>
        </is>
      </c>
      <c r="G353" t="n">
        <v>167</v>
      </c>
      <c r="H353" t="n">
        <v>1.940456088306094</v>
      </c>
      <c r="J353" t="n">
        <v>48</v>
      </c>
      <c r="K353">
        <f>'_pockets'!$AI$635</f>
        <v/>
      </c>
      <c r="L353">
        <f>'_pockets'!$AJ$635</f>
        <v/>
      </c>
      <c r="M353">
        <f>IF(AND($A353='Pockets'!$D$17,$B353='Pockets'!$C$17,OR('Pockets'!$E$17="All",AND('Pockets'!$E$17="Worse and material",$K353="Yes",$L353="Yes"),AND('Pockets'!$E$17="Worse or not sure",OR($K353="Yes",$K353="Not sure")))),1,0)</f>
        <v/>
      </c>
      <c r="N353">
        <f>$N352+$M353</f>
        <v/>
      </c>
      <c r="O353" t="inlineStr">
        <is>
          <t>three-way</t>
        </is>
      </c>
      <c r="P353" t="inlineStr">
        <is>
          <t>outcome_booked</t>
        </is>
      </c>
    </row>
    <row r="354">
      <c r="A354" t="inlineStr">
        <is>
          <t>Split by SYS_FLAG</t>
        </is>
      </c>
      <c r="B354" t="inlineStr">
        <is>
          <t>Bad dollars</t>
        </is>
      </c>
      <c r="C354" t="n">
        <v>1170</v>
      </c>
      <c r="D354" t="inlineStr">
        <is>
          <t>ORIG_BAL 15,449 - 26,323</t>
        </is>
      </c>
      <c r="E354" t="inlineStr">
        <is>
          <t>ASSET_CLASS 4</t>
        </is>
      </c>
      <c r="F354" t="inlineStr">
        <is>
          <t>Y</t>
        </is>
      </c>
      <c r="G354" t="n">
        <v>190</v>
      </c>
      <c r="H354" t="n">
        <v>1.876187247372801</v>
      </c>
      <c r="J354" t="n">
        <v>49</v>
      </c>
      <c r="K354">
        <f>'_pockets'!$AI$1170</f>
        <v/>
      </c>
      <c r="L354">
        <f>'_pockets'!$AJ$1170</f>
        <v/>
      </c>
      <c r="M354">
        <f>IF(AND($A354='Pockets'!$D$17,$B354='Pockets'!$C$17,OR('Pockets'!$E$17="All",AND('Pockets'!$E$17="Worse and material",$K354="Yes",$L354="Yes"),AND('Pockets'!$E$17="Worse or not sure",OR($K354="Yes",$K354="Not sure")))),1,0)</f>
        <v/>
      </c>
      <c r="N354">
        <f>$N353+$M354</f>
        <v/>
      </c>
      <c r="O354" t="inlineStr">
        <is>
          <t>three-way</t>
        </is>
      </c>
      <c r="P354" t="inlineStr">
        <is>
          <t>outcome_booked</t>
        </is>
      </c>
    </row>
    <row r="355">
      <c r="A355" t="inlineStr">
        <is>
          <t>Split by SYS_FLAG</t>
        </is>
      </c>
      <c r="B355" t="inlineStr">
        <is>
          <t>Bad dollars</t>
        </is>
      </c>
      <c r="C355" t="n">
        <v>890</v>
      </c>
      <c r="D355" t="inlineStr">
        <is>
          <t>ORIG_BAL 5,005 - 15,448</t>
        </is>
      </c>
      <c r="E355" t="inlineStr">
        <is>
          <t>Broker</t>
        </is>
      </c>
      <c r="F355" t="inlineStr">
        <is>
          <t>Y</t>
        </is>
      </c>
      <c r="G355" t="n">
        <v>237</v>
      </c>
      <c r="H355" t="n">
        <v>1.776704187791218</v>
      </c>
      <c r="J355" t="n">
        <v>50</v>
      </c>
      <c r="K355">
        <f>'_pockets'!$AI$890</f>
        <v/>
      </c>
      <c r="L355">
        <f>'_pockets'!$AJ$890</f>
        <v/>
      </c>
      <c r="M355">
        <f>IF(AND($A355='Pockets'!$D$17,$B355='Pockets'!$C$17,OR('Pockets'!$E$17="All",AND('Pockets'!$E$17="Worse and material",$K355="Yes",$L355="Yes"),AND('Pockets'!$E$17="Worse or not sure",OR($K355="Yes",$K355="Not sure")))),1,0)</f>
        <v/>
      </c>
      <c r="N355">
        <f>$N354+$M355</f>
        <v/>
      </c>
      <c r="O355" t="inlineStr">
        <is>
          <t>three-way</t>
        </is>
      </c>
      <c r="P355" t="inlineStr">
        <is>
          <t>outcome_booked</t>
        </is>
      </c>
    </row>
    <row r="356">
      <c r="A356" t="inlineStr">
        <is>
          <t>Split by SYS_FLAG</t>
        </is>
      </c>
      <c r="B356" t="inlineStr">
        <is>
          <t>Bad dollars</t>
        </is>
      </c>
      <c r="C356" t="n">
        <v>1045</v>
      </c>
      <c r="D356" t="inlineStr">
        <is>
          <t>ORIG_BAL 5,005 - 15,448</t>
        </is>
      </c>
      <c r="E356" t="inlineStr">
        <is>
          <t>ASSET_CLASS 4</t>
        </is>
      </c>
      <c r="F356" t="inlineStr">
        <is>
          <t>Y</t>
        </is>
      </c>
      <c r="G356" t="n">
        <v>196</v>
      </c>
      <c r="H356" t="n">
        <v>1.861411441103017</v>
      </c>
      <c r="J356" t="n">
        <v>51</v>
      </c>
      <c r="K356">
        <f>'_pockets'!$AI$1045</f>
        <v/>
      </c>
      <c r="L356">
        <f>'_pockets'!$AJ$1045</f>
        <v/>
      </c>
      <c r="M356">
        <f>IF(AND($A356='Pockets'!$D$17,$B356='Pockets'!$C$17,OR('Pockets'!$E$17="All",AND('Pockets'!$E$17="Worse and material",$K356="Yes",$L356="Yes"),AND('Pockets'!$E$17="Worse or not sure",OR($K356="Yes",$K356="Not sure")))),1,0)</f>
        <v/>
      </c>
      <c r="N356">
        <f>$N355+$M356</f>
        <v/>
      </c>
      <c r="O356" t="inlineStr">
        <is>
          <t>three-way</t>
        </is>
      </c>
      <c r="P356" t="inlineStr">
        <is>
          <t>outcome_booked</t>
        </is>
      </c>
    </row>
    <row r="357">
      <c r="A357" t="inlineStr">
        <is>
          <t>Split by SYS_FLAG</t>
        </is>
      </c>
      <c r="B357" t="inlineStr">
        <is>
          <t>Bad dollars</t>
        </is>
      </c>
      <c r="C357" t="n">
        <v>1035</v>
      </c>
      <c r="D357" t="inlineStr">
        <is>
          <t>ORIG_BAL 26,324 - 37,950</t>
        </is>
      </c>
      <c r="E357" t="inlineStr">
        <is>
          <t>ASSET_CLASS 1</t>
        </is>
      </c>
      <c r="F357" t="inlineStr">
        <is>
          <t>Y</t>
        </is>
      </c>
      <c r="G357" t="n">
        <v>173</v>
      </c>
      <c r="H357" t="n">
        <v>1.922390012464813</v>
      </c>
      <c r="J357" t="n">
        <v>52</v>
      </c>
      <c r="K357">
        <f>'_pockets'!$AI$1035</f>
        <v/>
      </c>
      <c r="L357">
        <f>'_pockets'!$AJ$1035</f>
        <v/>
      </c>
      <c r="M357">
        <f>IF(AND($A357='Pockets'!$D$17,$B357='Pockets'!$C$17,OR('Pockets'!$E$17="All",AND('Pockets'!$E$17="Worse and material",$K357="Yes",$L357="Yes"),AND('Pockets'!$E$17="Worse or not sure",OR($K357="Yes",$K357="Not sure")))),1,0)</f>
        <v/>
      </c>
      <c r="N357">
        <f>$N356+$M357</f>
        <v/>
      </c>
      <c r="O357" t="inlineStr">
        <is>
          <t>three-way</t>
        </is>
      </c>
      <c r="P357" t="inlineStr">
        <is>
          <t>outcome_booked</t>
        </is>
      </c>
    </row>
    <row r="358">
      <c r="A358" t="inlineStr">
        <is>
          <t>Split by SYS_FLAG</t>
        </is>
      </c>
      <c r="B358" t="inlineStr">
        <is>
          <t>Bad dollars</t>
        </is>
      </c>
      <c r="C358" t="n">
        <v>1095</v>
      </c>
      <c r="D358" t="inlineStr">
        <is>
          <t>ORIG_BAL 5,005 - 15,448</t>
        </is>
      </c>
      <c r="E358" t="inlineStr">
        <is>
          <t>ASSET_CLASS 4</t>
        </is>
      </c>
      <c r="F358" t="inlineStr">
        <is>
          <t>N</t>
        </is>
      </c>
      <c r="G358" t="n">
        <v>229</v>
      </c>
      <c r="H358" t="n">
        <v>1.791336598660566</v>
      </c>
      <c r="J358" t="n">
        <v>53</v>
      </c>
      <c r="K358">
        <f>'_pockets'!$AI$1095</f>
        <v/>
      </c>
      <c r="L358">
        <f>'_pockets'!$AJ$1095</f>
        <v/>
      </c>
      <c r="M358">
        <f>IF(AND($A358='Pockets'!$D$17,$B358='Pockets'!$C$17,OR('Pockets'!$E$17="All",AND('Pockets'!$E$17="Worse and material",$K358="Yes",$L358="Yes"),AND('Pockets'!$E$17="Worse or not sure",OR($K358="Yes",$K358="Not sure")))),1,0)</f>
        <v/>
      </c>
      <c r="N358">
        <f>$N357+$M358</f>
        <v/>
      </c>
      <c r="O358" t="inlineStr">
        <is>
          <t>three-way</t>
        </is>
      </c>
      <c r="P358" t="inlineStr">
        <is>
          <t>outcome_booked</t>
        </is>
      </c>
    </row>
    <row r="359">
      <c r="A359" t="inlineStr">
        <is>
          <t>Split by SYS_FLAG</t>
        </is>
      </c>
      <c r="B359" t="inlineStr">
        <is>
          <t>Bad dollars</t>
        </is>
      </c>
      <c r="C359" t="n">
        <v>1110</v>
      </c>
      <c r="D359" t="inlineStr">
        <is>
          <t>ORIG_BAL 5,005 - 15,448</t>
        </is>
      </c>
      <c r="E359" t="inlineStr">
        <is>
          <t>ASSET_CLASS 2</t>
        </is>
      </c>
      <c r="F359" t="inlineStr">
        <is>
          <t>Y</t>
        </is>
      </c>
      <c r="G359" t="n">
        <v>160</v>
      </c>
      <c r="H359" t="n">
        <v>1.962880245672787</v>
      </c>
      <c r="J359" t="n">
        <v>54</v>
      </c>
      <c r="K359">
        <f>'_pockets'!$AI$1110</f>
        <v/>
      </c>
      <c r="L359">
        <f>'_pockets'!$AJ$1110</f>
        <v/>
      </c>
      <c r="M359">
        <f>IF(AND($A359='Pockets'!$D$17,$B359='Pockets'!$C$17,OR('Pockets'!$E$17="All",AND('Pockets'!$E$17="Worse and material",$K359="Yes",$L359="Yes"),AND('Pockets'!$E$17="Worse or not sure",OR($K359="Yes",$K359="Not sure")))),1,0)</f>
        <v/>
      </c>
      <c r="N359">
        <f>$N358+$M359</f>
        <v/>
      </c>
      <c r="O359" t="inlineStr">
        <is>
          <t>three-way</t>
        </is>
      </c>
      <c r="P359" t="inlineStr">
        <is>
          <t>outcome_booked</t>
        </is>
      </c>
    </row>
    <row r="360">
      <c r="A360" t="inlineStr">
        <is>
          <t>Split by SYS_FLAG</t>
        </is>
      </c>
      <c r="B360" t="inlineStr">
        <is>
          <t>Bad dollars</t>
        </is>
      </c>
      <c r="C360" t="n">
        <v>770</v>
      </c>
      <c r="D360" t="inlineStr">
        <is>
          <t>FICO 686 - 711</t>
        </is>
      </c>
      <c r="E360" t="inlineStr">
        <is>
          <t>ASSET_CLASS 2</t>
        </is>
      </c>
      <c r="F360" t="inlineStr">
        <is>
          <t>Y</t>
        </is>
      </c>
      <c r="G360" t="n">
        <v>179</v>
      </c>
      <c r="H360" t="n">
        <v>1.905290817268532</v>
      </c>
      <c r="J360" t="n">
        <v>55</v>
      </c>
      <c r="K360">
        <f>'_pockets'!$AI$770</f>
        <v/>
      </c>
      <c r="L360">
        <f>'_pockets'!$AJ$770</f>
        <v/>
      </c>
      <c r="M360">
        <f>IF(AND($A360='Pockets'!$D$17,$B360='Pockets'!$C$17,OR('Pockets'!$E$17="All",AND('Pockets'!$E$17="Worse and material",$K360="Yes",$L360="Yes"),AND('Pockets'!$E$17="Worse or not sure",OR($K360="Yes",$K360="Not sure")))),1,0)</f>
        <v/>
      </c>
      <c r="N360">
        <f>$N359+$M360</f>
        <v/>
      </c>
      <c r="O360" t="inlineStr">
        <is>
          <t>three-way</t>
        </is>
      </c>
      <c r="P360" t="inlineStr">
        <is>
          <t>outcome_booked</t>
        </is>
      </c>
    </row>
    <row r="361">
      <c r="A361" t="inlineStr">
        <is>
          <t>Split by SYS_FLAG</t>
        </is>
      </c>
      <c r="B361" t="inlineStr">
        <is>
          <t>Bad dollars</t>
        </is>
      </c>
      <c r="C361" t="n">
        <v>765</v>
      </c>
      <c r="D361" t="inlineStr">
        <is>
          <t>FICO 746 - 921</t>
        </is>
      </c>
      <c r="E361" t="inlineStr">
        <is>
          <t>ASSET_CLASS 3</t>
        </is>
      </c>
      <c r="F361" t="inlineStr">
        <is>
          <t>Y</t>
        </is>
      </c>
      <c r="G361" t="n">
        <v>174</v>
      </c>
      <c r="H361" t="n">
        <v>1.919475348677897</v>
      </c>
      <c r="J361" t="n">
        <v>56</v>
      </c>
      <c r="K361">
        <f>'_pockets'!$AI$765</f>
        <v/>
      </c>
      <c r="L361">
        <f>'_pockets'!$AJ$765</f>
        <v/>
      </c>
      <c r="M361">
        <f>IF(AND($A361='Pockets'!$D$17,$B361='Pockets'!$C$17,OR('Pockets'!$E$17="All",AND('Pockets'!$E$17="Worse and material",$K361="Yes",$L361="Yes"),AND('Pockets'!$E$17="Worse or not sure",OR($K361="Yes",$K361="Not sure")))),1,0)</f>
        <v/>
      </c>
      <c r="N361">
        <f>$N360+$M361</f>
        <v/>
      </c>
      <c r="O361" t="inlineStr">
        <is>
          <t>three-way</t>
        </is>
      </c>
      <c r="P361" t="inlineStr">
        <is>
          <t>outcome_booked</t>
        </is>
      </c>
    </row>
    <row r="362">
      <c r="A362" t="inlineStr">
        <is>
          <t>Split by SYS_FLAG</t>
        </is>
      </c>
      <c r="B362" t="inlineStr">
        <is>
          <t>Bad dollars</t>
        </is>
      </c>
      <c r="C362" t="n">
        <v>870</v>
      </c>
      <c r="D362" t="inlineStr">
        <is>
          <t>ORIG_BAL 37,951 - 49,151</t>
        </is>
      </c>
      <c r="E362" t="inlineStr">
        <is>
          <t>Branch</t>
        </is>
      </c>
      <c r="F362" t="inlineStr">
        <is>
          <t>Y</t>
        </is>
      </c>
      <c r="G362" t="n">
        <v>257</v>
      </c>
      <c r="H362" t="n">
        <v>1.743306219572847</v>
      </c>
      <c r="J362" t="n">
        <v>57</v>
      </c>
      <c r="K362">
        <f>'_pockets'!$AI$870</f>
        <v/>
      </c>
      <c r="L362">
        <f>'_pockets'!$AJ$870</f>
        <v/>
      </c>
      <c r="M362">
        <f>IF(AND($A362='Pockets'!$D$17,$B362='Pockets'!$C$17,OR('Pockets'!$E$17="All",AND('Pockets'!$E$17="Worse and material",$K362="Yes",$L362="Yes"),AND('Pockets'!$E$17="Worse or not sure",OR($K362="Yes",$K362="Not sure")))),1,0)</f>
        <v/>
      </c>
      <c r="N362">
        <f>$N361+$M362</f>
        <v/>
      </c>
      <c r="O362" t="inlineStr">
        <is>
          <t>three-way</t>
        </is>
      </c>
      <c r="P362" t="inlineStr">
        <is>
          <t>outcome_booked</t>
        </is>
      </c>
    </row>
    <row r="363">
      <c r="A363" t="inlineStr">
        <is>
          <t>Split by SYS_FLAG</t>
        </is>
      </c>
      <c r="B363" t="inlineStr">
        <is>
          <t>Bad dollars</t>
        </is>
      </c>
      <c r="C363" t="n">
        <v>700</v>
      </c>
      <c r="D363" t="inlineStr">
        <is>
          <t>FICO 654 - 685</t>
        </is>
      </c>
      <c r="E363" t="inlineStr">
        <is>
          <t>ASSET_CLASS 4</t>
        </is>
      </c>
      <c r="F363" t="inlineStr">
        <is>
          <t>N</t>
        </is>
      </c>
      <c r="G363" t="n">
        <v>219</v>
      </c>
      <c r="H363" t="n">
        <v>1.810802263524882</v>
      </c>
      <c r="J363" t="n">
        <v>58</v>
      </c>
      <c r="K363">
        <f>'_pockets'!$AI$700</f>
        <v/>
      </c>
      <c r="L363">
        <f>'_pockets'!$AJ$700</f>
        <v/>
      </c>
      <c r="M363">
        <f>IF(AND($A363='Pockets'!$D$17,$B363='Pockets'!$C$17,OR('Pockets'!$E$17="All",AND('Pockets'!$E$17="Worse and material",$K363="Yes",$L363="Yes"),AND('Pockets'!$E$17="Worse or not sure",OR($K363="Yes",$K363="Not sure")))),1,0)</f>
        <v/>
      </c>
      <c r="N363">
        <f>$N362+$M363</f>
        <v/>
      </c>
      <c r="O363" t="inlineStr">
        <is>
          <t>three-way</t>
        </is>
      </c>
      <c r="P363" t="inlineStr">
        <is>
          <t>outcome_booked</t>
        </is>
      </c>
    </row>
    <row r="364">
      <c r="A364" t="inlineStr">
        <is>
          <t>Split by SYS_FLAG</t>
        </is>
      </c>
      <c r="B364" t="inlineStr">
        <is>
          <t>Bad dollars</t>
        </is>
      </c>
      <c r="C364" t="n">
        <v>1185</v>
      </c>
      <c r="D364" t="inlineStr">
        <is>
          <t>ORIG_BAL 5,005 - 15,448</t>
        </is>
      </c>
      <c r="E364" t="inlineStr">
        <is>
          <t>ASSET_CLASS 3</t>
        </is>
      </c>
      <c r="F364" t="inlineStr">
        <is>
          <t>Y</t>
        </is>
      </c>
      <c r="G364" t="n">
        <v>184</v>
      </c>
      <c r="H364" t="n">
        <v>1.891720485451258</v>
      </c>
      <c r="J364" t="n">
        <v>59</v>
      </c>
      <c r="K364">
        <f>'_pockets'!$AI$1185</f>
        <v/>
      </c>
      <c r="L364">
        <f>'_pockets'!$AJ$1185</f>
        <v/>
      </c>
      <c r="M364">
        <f>IF(AND($A364='Pockets'!$D$17,$B364='Pockets'!$C$17,OR('Pockets'!$E$17="All",AND('Pockets'!$E$17="Worse and material",$K364="Yes",$L364="Yes"),AND('Pockets'!$E$17="Worse or not sure",OR($K364="Yes",$K364="Not sure")))),1,0)</f>
        <v/>
      </c>
      <c r="N364">
        <f>$N363+$M364</f>
        <v/>
      </c>
      <c r="O364" t="inlineStr">
        <is>
          <t>three-way</t>
        </is>
      </c>
      <c r="P364" t="inlineStr">
        <is>
          <t>outcome_booked</t>
        </is>
      </c>
    </row>
    <row r="365">
      <c r="A365" t="inlineStr">
        <is>
          <t>Split by SYS_FLAG</t>
        </is>
      </c>
      <c r="B365" t="inlineStr">
        <is>
          <t>Bad dollars</t>
        </is>
      </c>
      <c r="C365" t="n">
        <v>1115</v>
      </c>
      <c r="D365" t="inlineStr">
        <is>
          <t>ORIG_BAL 5,005 - 15,448</t>
        </is>
      </c>
      <c r="E365" t="inlineStr">
        <is>
          <t>ASSET_CLASS 1</t>
        </is>
      </c>
      <c r="F365" t="inlineStr">
        <is>
          <t>Y</t>
        </is>
      </c>
      <c r="G365" t="n">
        <v>180</v>
      </c>
      <c r="H365" t="n">
        <v>1.902529037069279</v>
      </c>
      <c r="J365" t="n">
        <v>60</v>
      </c>
      <c r="K365">
        <f>'_pockets'!$AI$1115</f>
        <v/>
      </c>
      <c r="L365">
        <f>'_pockets'!$AJ$1115</f>
        <v/>
      </c>
      <c r="M365">
        <f>IF(AND($A365='Pockets'!$D$17,$B365='Pockets'!$C$17,OR('Pockets'!$E$17="All",AND('Pockets'!$E$17="Worse and material",$K365="Yes",$L365="Yes"),AND('Pockets'!$E$17="Worse or not sure",OR($K365="Yes",$K365="Not sure")))),1,0)</f>
        <v/>
      </c>
      <c r="N365">
        <f>$N364+$M365</f>
        <v/>
      </c>
      <c r="O365" t="inlineStr">
        <is>
          <t>three-way</t>
        </is>
      </c>
      <c r="P365" t="inlineStr">
        <is>
          <t>outcome_booked</t>
        </is>
      </c>
    </row>
    <row r="366">
      <c r="A366" t="inlineStr">
        <is>
          <t>Split by SYS_FLAG</t>
        </is>
      </c>
      <c r="B366" t="inlineStr">
        <is>
          <t>Bad dollars</t>
        </is>
      </c>
      <c r="C366" t="n">
        <v>875</v>
      </c>
      <c r="D366" t="inlineStr">
        <is>
          <t>ORIG_BAL 15,449 - 26,323</t>
        </is>
      </c>
      <c r="E366" t="inlineStr">
        <is>
          <t>Broker</t>
        </is>
      </c>
      <c r="F366" t="inlineStr">
        <is>
          <t>N</t>
        </is>
      </c>
      <c r="G366" t="n">
        <v>293</v>
      </c>
      <c r="H366" t="n">
        <v>1.692444734921831</v>
      </c>
      <c r="J366" t="n">
        <v>61</v>
      </c>
      <c r="K366">
        <f>'_pockets'!$AI$875</f>
        <v/>
      </c>
      <c r="L366">
        <f>'_pockets'!$AJ$875</f>
        <v/>
      </c>
      <c r="M366">
        <f>IF(AND($A366='Pockets'!$D$17,$B366='Pockets'!$C$17,OR('Pockets'!$E$17="All",AND('Pockets'!$E$17="Worse and material",$K366="Yes",$L366="Yes"),AND('Pockets'!$E$17="Worse or not sure",OR($K366="Yes",$K366="Not sure")))),1,0)</f>
        <v/>
      </c>
      <c r="N366">
        <f>$N365+$M366</f>
        <v/>
      </c>
      <c r="O366" t="inlineStr">
        <is>
          <t>three-way</t>
        </is>
      </c>
      <c r="P366" t="inlineStr">
        <is>
          <t>outcome_booked</t>
        </is>
      </c>
    </row>
    <row r="367">
      <c r="A367" t="inlineStr">
        <is>
          <t>Split by SYS_FLAG</t>
        </is>
      </c>
      <c r="B367" t="inlineStr">
        <is>
          <t>Bad dollars</t>
        </is>
      </c>
      <c r="C367" t="n">
        <v>425</v>
      </c>
      <c r="D367" t="inlineStr">
        <is>
          <t>FICO 712 - 745</t>
        </is>
      </c>
      <c r="E367" t="inlineStr">
        <is>
          <t>Branch</t>
        </is>
      </c>
      <c r="F367" t="inlineStr">
        <is>
          <t>Y</t>
        </is>
      </c>
      <c r="G367" t="n">
        <v>230</v>
      </c>
      <c r="H367" t="n">
        <v>1.789463739229201</v>
      </c>
      <c r="J367" t="n">
        <v>62</v>
      </c>
      <c r="K367">
        <f>'_pockets'!$AI$425</f>
        <v/>
      </c>
      <c r="L367">
        <f>'_pockets'!$AJ$425</f>
        <v/>
      </c>
      <c r="M367">
        <f>IF(AND($A367='Pockets'!$D$17,$B367='Pockets'!$C$17,OR('Pockets'!$E$17="All",AND('Pockets'!$E$17="Worse and material",$K367="Yes",$L367="Yes"),AND('Pockets'!$E$17="Worse or not sure",OR($K367="Yes",$K367="Not sure")))),1,0)</f>
        <v/>
      </c>
      <c r="N367">
        <f>$N366+$M367</f>
        <v/>
      </c>
      <c r="O367" t="inlineStr">
        <is>
          <t>three-way</t>
        </is>
      </c>
      <c r="P367" t="inlineStr">
        <is>
          <t>outcome_booked</t>
        </is>
      </c>
    </row>
    <row r="368">
      <c r="A368" t="inlineStr">
        <is>
          <t>Split by SYS_FLAG</t>
        </is>
      </c>
      <c r="B368" t="inlineStr">
        <is>
          <t>Bad dollars</t>
        </is>
      </c>
      <c r="C368" t="n">
        <v>880</v>
      </c>
      <c r="D368" t="inlineStr">
        <is>
          <t>ORIG_BAL 15,449 - 26,323</t>
        </is>
      </c>
      <c r="E368" t="inlineStr">
        <is>
          <t>Online</t>
        </is>
      </c>
      <c r="F368" t="inlineStr">
        <is>
          <t>N</t>
        </is>
      </c>
      <c r="G368" t="n">
        <v>300</v>
      </c>
      <c r="H368" t="n">
        <v>1.683682821612953</v>
      </c>
      <c r="J368" t="n">
        <v>63</v>
      </c>
      <c r="K368">
        <f>'_pockets'!$AI$880</f>
        <v/>
      </c>
      <c r="L368">
        <f>'_pockets'!$AJ$880</f>
        <v/>
      </c>
      <c r="M368">
        <f>IF(AND($A368='Pockets'!$D$17,$B368='Pockets'!$C$17,OR('Pockets'!$E$17="All",AND('Pockets'!$E$17="Worse and material",$K368="Yes",$L368="Yes"),AND('Pockets'!$E$17="Worse or not sure",OR($K368="Yes",$K368="Not sure")))),1,0)</f>
        <v/>
      </c>
      <c r="N368">
        <f>$N367+$M368</f>
        <v/>
      </c>
      <c r="O368" t="inlineStr">
        <is>
          <t>three-way</t>
        </is>
      </c>
      <c r="P368" t="inlineStr">
        <is>
          <t>outcome_booked</t>
        </is>
      </c>
    </row>
    <row r="369">
      <c r="A369" t="inlineStr">
        <is>
          <t>Split by SYS_FLAG</t>
        </is>
      </c>
      <c r="B369" t="inlineStr">
        <is>
          <t>Bad dollars</t>
        </is>
      </c>
      <c r="C369" t="n">
        <v>1090</v>
      </c>
      <c r="D369" t="inlineStr">
        <is>
          <t>ORIG_BAL 49,152 - 59,984</t>
        </is>
      </c>
      <c r="E369" t="inlineStr">
        <is>
          <t>ASSET_CLASS 3</t>
        </is>
      </c>
      <c r="F369" t="inlineStr">
        <is>
          <t>Y</t>
        </is>
      </c>
      <c r="G369" t="n">
        <v>179</v>
      </c>
      <c r="H369" t="n">
        <v>1.905290817268532</v>
      </c>
      <c r="J369" t="n">
        <v>64</v>
      </c>
      <c r="K369">
        <f>'_pockets'!$AI$1090</f>
        <v/>
      </c>
      <c r="L369">
        <f>'_pockets'!$AJ$1090</f>
        <v/>
      </c>
      <c r="M369">
        <f>IF(AND($A369='Pockets'!$D$17,$B369='Pockets'!$C$17,OR('Pockets'!$E$17="All",AND('Pockets'!$E$17="Worse and material",$K369="Yes",$L369="Yes"),AND('Pockets'!$E$17="Worse or not sure",OR($K369="Yes",$K369="Not sure")))),1,0)</f>
        <v/>
      </c>
      <c r="N369">
        <f>$N368+$M369</f>
        <v/>
      </c>
      <c r="O369" t="inlineStr">
        <is>
          <t>three-way</t>
        </is>
      </c>
      <c r="P369" t="inlineStr">
        <is>
          <t>outcome_booked</t>
        </is>
      </c>
    </row>
    <row r="370">
      <c r="A370" t="inlineStr">
        <is>
          <t>Split by SYS_FLAG</t>
        </is>
      </c>
      <c r="B370" t="inlineStr">
        <is>
          <t>Bad dollars</t>
        </is>
      </c>
      <c r="C370" t="n">
        <v>445</v>
      </c>
      <c r="D370" t="inlineStr">
        <is>
          <t>FICO 686 - 711</t>
        </is>
      </c>
      <c r="E370" t="inlineStr">
        <is>
          <t>Broker</t>
        </is>
      </c>
      <c r="F370" t="inlineStr">
        <is>
          <t>Y</t>
        </is>
      </c>
      <c r="G370" t="n">
        <v>230</v>
      </c>
      <c r="H370" t="n">
        <v>1.789463739229201</v>
      </c>
      <c r="J370" t="n">
        <v>65</v>
      </c>
      <c r="K370">
        <f>'_pockets'!$AI$445</f>
        <v/>
      </c>
      <c r="L370">
        <f>'_pockets'!$AJ$445</f>
        <v/>
      </c>
      <c r="M370">
        <f>IF(AND($A370='Pockets'!$D$17,$B370='Pockets'!$C$17,OR('Pockets'!$E$17="All",AND('Pockets'!$E$17="Worse and material",$K370="Yes",$L370="Yes"),AND('Pockets'!$E$17="Worse or not sure",OR($K370="Yes",$K370="Not sure")))),1,0)</f>
        <v/>
      </c>
      <c r="N370">
        <f>$N369+$M370</f>
        <v/>
      </c>
      <c r="O370" t="inlineStr">
        <is>
          <t>three-way</t>
        </is>
      </c>
      <c r="P370" t="inlineStr">
        <is>
          <t>outcome_booked</t>
        </is>
      </c>
    </row>
    <row r="371">
      <c r="A371" t="inlineStr">
        <is>
          <t>Split by SYS_FLAG</t>
        </is>
      </c>
      <c r="B371" t="inlineStr">
        <is>
          <t>Bad dollars</t>
        </is>
      </c>
      <c r="C371" t="n">
        <v>1025</v>
      </c>
      <c r="D371" t="inlineStr">
        <is>
          <t>ORIG_BAL 37,951 - 49,151</t>
        </is>
      </c>
      <c r="E371" t="inlineStr">
        <is>
          <t>ASSET_CLASS 2</t>
        </is>
      </c>
      <c r="F371" t="inlineStr">
        <is>
          <t>Y</t>
        </is>
      </c>
      <c r="G371" t="n">
        <v>199</v>
      </c>
      <c r="H371" t="n">
        <v>1.854288927293069</v>
      </c>
      <c r="J371" t="n">
        <v>66</v>
      </c>
      <c r="K371">
        <f>'_pockets'!$AI$1025</f>
        <v/>
      </c>
      <c r="L371">
        <f>'_pockets'!$AJ$1025</f>
        <v/>
      </c>
      <c r="M371">
        <f>IF(AND($A371='Pockets'!$D$17,$B371='Pockets'!$C$17,OR('Pockets'!$E$17="All",AND('Pockets'!$E$17="Worse and material",$K371="Yes",$L371="Yes"),AND('Pockets'!$E$17="Worse or not sure",OR($K371="Yes",$K371="Not sure")))),1,0)</f>
        <v/>
      </c>
      <c r="N371">
        <f>$N370+$M371</f>
        <v/>
      </c>
      <c r="O371" t="inlineStr">
        <is>
          <t>three-way</t>
        </is>
      </c>
      <c r="P371" t="inlineStr">
        <is>
          <t>outcome_booked</t>
        </is>
      </c>
    </row>
    <row r="372">
      <c r="A372" t="inlineStr">
        <is>
          <t>Split by SYS_FLAG</t>
        </is>
      </c>
      <c r="B372" t="inlineStr">
        <is>
          <t>Bad dollars</t>
        </is>
      </c>
      <c r="C372" t="n">
        <v>735</v>
      </c>
      <c r="D372" t="inlineStr">
        <is>
          <t>FICO (marked missing)</t>
        </is>
      </c>
      <c r="E372" t="inlineStr">
        <is>
          <t>ASSET_CLASS 3</t>
        </is>
      </c>
      <c r="F372" t="inlineStr">
        <is>
          <t>Y</t>
        </is>
      </c>
      <c r="G372" t="n">
        <v>22</v>
      </c>
      <c r="H372" t="n">
        <v>4.016580485581801</v>
      </c>
      <c r="J372" t="n">
        <v>67</v>
      </c>
      <c r="K372">
        <f>'_pockets'!$AI$735</f>
        <v/>
      </c>
      <c r="L372">
        <f>'_pockets'!$AJ$735</f>
        <v/>
      </c>
      <c r="M372">
        <f>IF(AND($A372='Pockets'!$D$17,$B372='Pockets'!$C$17,OR('Pockets'!$E$17="All",AND('Pockets'!$E$17="Worse and material",$K372="Yes",$L372="Yes"),AND('Pockets'!$E$17="Worse or not sure",OR($K372="Yes",$K372="Not sure")))),1,0)</f>
        <v/>
      </c>
      <c r="N372">
        <f>$N371+$M372</f>
        <v/>
      </c>
      <c r="O372" t="inlineStr">
        <is>
          <t>three-way</t>
        </is>
      </c>
      <c r="P372" t="inlineStr">
        <is>
          <t>outcome_booked</t>
        </is>
      </c>
    </row>
    <row r="373">
      <c r="A373" t="inlineStr">
        <is>
          <t>Split by SYS_FLAG</t>
        </is>
      </c>
      <c r="B373" t="inlineStr">
        <is>
          <t>Bad dollars</t>
        </is>
      </c>
      <c r="C373" t="n">
        <v>530</v>
      </c>
      <c r="D373" t="inlineStr">
        <is>
          <t>FICO (marked missing)</t>
        </is>
      </c>
      <c r="E373" t="inlineStr">
        <is>
          <t>Online</t>
        </is>
      </c>
      <c r="F373" t="inlineStr">
        <is>
          <t>Y</t>
        </is>
      </c>
      <c r="G373" t="n">
        <v>25</v>
      </c>
      <c r="H373" t="n">
        <v>3.792822861026263</v>
      </c>
      <c r="J373" t="n">
        <v>68</v>
      </c>
      <c r="K373">
        <f>'_pockets'!$AI$530</f>
        <v/>
      </c>
      <c r="L373">
        <f>'_pockets'!$AJ$530</f>
        <v/>
      </c>
      <c r="M373">
        <f>IF(AND($A373='Pockets'!$D$17,$B373='Pockets'!$C$17,OR('Pockets'!$E$17="All",AND('Pockets'!$E$17="Worse and material",$K373="Yes",$L373="Yes"),AND('Pockets'!$E$17="Worse or not sure",OR($K373="Yes",$K373="Not sure")))),1,0)</f>
        <v/>
      </c>
      <c r="N373">
        <f>$N372+$M373</f>
        <v/>
      </c>
      <c r="O373" t="inlineStr">
        <is>
          <t>three-way</t>
        </is>
      </c>
      <c r="P373" t="inlineStr">
        <is>
          <t>outcome_booked</t>
        </is>
      </c>
    </row>
    <row r="374">
      <c r="A374" t="inlineStr">
        <is>
          <t>Split by SYS_FLAG</t>
        </is>
      </c>
      <c r="B374" t="inlineStr">
        <is>
          <t>Bad dollars</t>
        </is>
      </c>
      <c r="C374" t="n">
        <v>610</v>
      </c>
      <c r="D374" t="inlineStr">
        <is>
          <t>FICO 712 - 745</t>
        </is>
      </c>
      <c r="E374" t="inlineStr">
        <is>
          <t>ASSET_CLASS 2</t>
        </is>
      </c>
      <c r="F374" t="inlineStr">
        <is>
          <t>Y</t>
        </is>
      </c>
      <c r="G374" t="n">
        <v>183</v>
      </c>
      <c r="H374" t="n">
        <v>1.894387517377712</v>
      </c>
      <c r="J374" t="n">
        <v>69</v>
      </c>
      <c r="K374">
        <f>'_pockets'!$AI$610</f>
        <v/>
      </c>
      <c r="L374">
        <f>'_pockets'!$AJ$610</f>
        <v/>
      </c>
      <c r="M374">
        <f>IF(AND($A374='Pockets'!$D$17,$B374='Pockets'!$C$17,OR('Pockets'!$E$17="All",AND('Pockets'!$E$17="Worse and material",$K374="Yes",$L374="Yes"),AND('Pockets'!$E$17="Worse or not sure",OR($K374="Yes",$K374="Not sure")))),1,0)</f>
        <v/>
      </c>
      <c r="N374">
        <f>$N373+$M374</f>
        <v/>
      </c>
      <c r="O374" t="inlineStr">
        <is>
          <t>three-way</t>
        </is>
      </c>
      <c r="P374" t="inlineStr">
        <is>
          <t>outcome_booked</t>
        </is>
      </c>
    </row>
    <row r="375">
      <c r="A375" t="inlineStr">
        <is>
          <t>Split by SYS_FLAG</t>
        </is>
      </c>
      <c r="B375" t="inlineStr">
        <is>
          <t>Bad dollars</t>
        </is>
      </c>
      <c r="C375" t="n">
        <v>965</v>
      </c>
      <c r="D375" t="inlineStr">
        <is>
          <t>ORIG_BAL 5,005 - 15,448</t>
        </is>
      </c>
      <c r="E375" t="inlineStr">
        <is>
          <t>Branch</t>
        </is>
      </c>
      <c r="F375" t="inlineStr">
        <is>
          <t>Y</t>
        </is>
      </c>
      <c r="G375" t="n">
        <v>241</v>
      </c>
      <c r="H375" t="n">
        <v>1.769676477688372</v>
      </c>
      <c r="J375" t="n">
        <v>70</v>
      </c>
      <c r="K375">
        <f>'_pockets'!$AI$965</f>
        <v/>
      </c>
      <c r="L375">
        <f>'_pockets'!$AJ$965</f>
        <v/>
      </c>
      <c r="M375">
        <f>IF(AND($A375='Pockets'!$D$17,$B375='Pockets'!$C$17,OR('Pockets'!$E$17="All",AND('Pockets'!$E$17="Worse and material",$K375="Yes",$L375="Yes"),AND('Pockets'!$E$17="Worse or not sure",OR($K375="Yes",$K375="Not sure")))),1,0)</f>
        <v/>
      </c>
      <c r="N375">
        <f>$N374+$M375</f>
        <v/>
      </c>
      <c r="O375" t="inlineStr">
        <is>
          <t>three-way</t>
        </is>
      </c>
      <c r="P375" t="inlineStr">
        <is>
          <t>outcome_booked</t>
        </is>
      </c>
    </row>
    <row r="376">
      <c r="A376" t="inlineStr">
        <is>
          <t>Split by SYS_FLAG</t>
        </is>
      </c>
      <c r="B376" t="inlineStr">
        <is>
          <t>Bad dollars</t>
        </is>
      </c>
      <c r="C376" t="n">
        <v>665</v>
      </c>
      <c r="D376" t="inlineStr">
        <is>
          <t>FICO 746 - 921</t>
        </is>
      </c>
      <c r="E376" t="inlineStr">
        <is>
          <t>ASSET_CLASS 4</t>
        </is>
      </c>
      <c r="F376" t="inlineStr">
        <is>
          <t>Y</t>
        </is>
      </c>
      <c r="G376" t="n">
        <v>164</v>
      </c>
      <c r="H376" t="n">
        <v>1.949880350935438</v>
      </c>
      <c r="J376" t="n">
        <v>71</v>
      </c>
      <c r="K376">
        <f>'_pockets'!$AI$665</f>
        <v/>
      </c>
      <c r="L376">
        <f>'_pockets'!$AJ$665</f>
        <v/>
      </c>
      <c r="M376">
        <f>IF(AND($A376='Pockets'!$D$17,$B376='Pockets'!$C$17,OR('Pockets'!$E$17="All",AND('Pockets'!$E$17="Worse and material",$K376="Yes",$L376="Yes"),AND('Pockets'!$E$17="Worse or not sure",OR($K376="Yes",$K376="Not sure")))),1,0)</f>
        <v/>
      </c>
      <c r="N376">
        <f>$N375+$M376</f>
        <v/>
      </c>
      <c r="O376" t="inlineStr">
        <is>
          <t>three-way</t>
        </is>
      </c>
      <c r="P376" t="inlineStr">
        <is>
          <t>outcome_booked</t>
        </is>
      </c>
    </row>
    <row r="377">
      <c r="A377" t="inlineStr">
        <is>
          <t>Split by SYS_FLAG</t>
        </is>
      </c>
      <c r="B377" t="inlineStr">
        <is>
          <t>Bad dollars</t>
        </is>
      </c>
      <c r="C377" t="n">
        <v>450</v>
      </c>
      <c r="D377" t="inlineStr">
        <is>
          <t>FICO 712 - 745</t>
        </is>
      </c>
      <c r="E377" t="inlineStr">
        <is>
          <t>Online</t>
        </is>
      </c>
      <c r="F377" t="inlineStr">
        <is>
          <t>N</t>
        </is>
      </c>
      <c r="G377" t="n">
        <v>286</v>
      </c>
      <c r="H377" t="n">
        <v>1.701541679693632</v>
      </c>
      <c r="J377" t="n">
        <v>72</v>
      </c>
      <c r="K377">
        <f>'_pockets'!$AI$450</f>
        <v/>
      </c>
      <c r="L377">
        <f>'_pockets'!$AJ$450</f>
        <v/>
      </c>
      <c r="M377">
        <f>IF(AND($A377='Pockets'!$D$17,$B377='Pockets'!$C$17,OR('Pockets'!$E$17="All",AND('Pockets'!$E$17="Worse and material",$K377="Yes",$L377="Yes"),AND('Pockets'!$E$17="Worse or not sure",OR($K377="Yes",$K377="Not sure")))),1,0)</f>
        <v/>
      </c>
      <c r="N377">
        <f>$N376+$M377</f>
        <v/>
      </c>
      <c r="O377" t="inlineStr">
        <is>
          <t>three-way</t>
        </is>
      </c>
      <c r="P377" t="inlineStr">
        <is>
          <t>outcome_booked</t>
        </is>
      </c>
    </row>
    <row r="378">
      <c r="A378" t="inlineStr">
        <is>
          <t>Split by SYS_FLAG</t>
        </is>
      </c>
      <c r="B378" t="inlineStr">
        <is>
          <t>Bad dollars</t>
        </is>
      </c>
      <c r="C378" t="n">
        <v>640</v>
      </c>
      <c r="D378" t="inlineStr">
        <is>
          <t>FICO 712 - 745</t>
        </is>
      </c>
      <c r="E378" t="inlineStr">
        <is>
          <t>ASSET_CLASS 4</t>
        </is>
      </c>
      <c r="F378" t="inlineStr">
        <is>
          <t>N</t>
        </is>
      </c>
      <c r="G378" t="n">
        <v>220</v>
      </c>
      <c r="H378" t="n">
        <v>1.808793025850869</v>
      </c>
      <c r="J378" t="n">
        <v>73</v>
      </c>
      <c r="K378">
        <f>'_pockets'!$AI$640</f>
        <v/>
      </c>
      <c r="L378">
        <f>'_pockets'!$AJ$640</f>
        <v/>
      </c>
      <c r="M378">
        <f>IF(AND($A378='Pockets'!$D$17,$B378='Pockets'!$C$17,OR('Pockets'!$E$17="All",AND('Pockets'!$E$17="Worse and material",$K378="Yes",$L378="Yes"),AND('Pockets'!$E$17="Worse or not sure",OR($K378="Yes",$K378="Not sure")))),1,0)</f>
        <v/>
      </c>
      <c r="N378">
        <f>$N377+$M378</f>
        <v/>
      </c>
      <c r="O378" t="inlineStr">
        <is>
          <t>three-way</t>
        </is>
      </c>
      <c r="P378" t="inlineStr">
        <is>
          <t>outcome_booked</t>
        </is>
      </c>
    </row>
    <row r="379">
      <c r="A379" t="inlineStr">
        <is>
          <t>Split by SYS_FLAG</t>
        </is>
      </c>
      <c r="B379" t="inlineStr">
        <is>
          <t>Bad dollars</t>
        </is>
      </c>
      <c r="C379" t="n">
        <v>585</v>
      </c>
      <c r="D379" t="inlineStr">
        <is>
          <t>FICO (marked missing)</t>
        </is>
      </c>
      <c r="E379" t="inlineStr">
        <is>
          <t>Broker</t>
        </is>
      </c>
      <c r="F379" t="inlineStr">
        <is>
          <t>N</t>
        </is>
      </c>
      <c r="G379" t="n">
        <v>29</v>
      </c>
      <c r="H379" t="n">
        <v>3.555532964376312</v>
      </c>
      <c r="J379" t="n">
        <v>74</v>
      </c>
      <c r="K379">
        <f>'_pockets'!$AI$585</f>
        <v/>
      </c>
      <c r="L379">
        <f>'_pockets'!$AJ$585</f>
        <v/>
      </c>
      <c r="M379">
        <f>IF(AND($A379='Pockets'!$D$17,$B379='Pockets'!$C$17,OR('Pockets'!$E$17="All",AND('Pockets'!$E$17="Worse and material",$K379="Yes",$L379="Yes"),AND('Pockets'!$E$17="Worse or not sure",OR($K379="Yes",$K379="Not sure")))),1,0)</f>
        <v/>
      </c>
      <c r="N379">
        <f>$N378+$M379</f>
        <v/>
      </c>
      <c r="O379" t="inlineStr">
        <is>
          <t>three-way</t>
        </is>
      </c>
      <c r="P379" t="inlineStr">
        <is>
          <t>outcome_booked</t>
        </is>
      </c>
    </row>
    <row r="380">
      <c r="A380" t="inlineStr">
        <is>
          <t>Split by SYS_FLAG</t>
        </is>
      </c>
      <c r="B380" t="inlineStr">
        <is>
          <t>Bad dollars</t>
        </is>
      </c>
      <c r="C380" t="n">
        <v>810</v>
      </c>
      <c r="D380" t="inlineStr">
        <is>
          <t>FICO (marked missing)</t>
        </is>
      </c>
      <c r="E380" t="inlineStr">
        <is>
          <t>ASSET_CLASS 4</t>
        </is>
      </c>
      <c r="F380" t="inlineStr">
        <is>
          <t>Y</t>
        </is>
      </c>
      <c r="G380" t="n">
        <v>17</v>
      </c>
      <c r="H380" t="n">
        <v>4.530044787381362</v>
      </c>
      <c r="J380" t="n">
        <v>75</v>
      </c>
      <c r="K380">
        <f>'_pockets'!$AI$810</f>
        <v/>
      </c>
      <c r="L380">
        <f>'_pockets'!$AJ$810</f>
        <v/>
      </c>
      <c r="M380">
        <f>IF(AND($A380='Pockets'!$D$17,$B380='Pockets'!$C$17,OR('Pockets'!$E$17="All",AND('Pockets'!$E$17="Worse and material",$K380="Yes",$L380="Yes"),AND('Pockets'!$E$17="Worse or not sure",OR($K380="Yes",$K380="Not sure")))),1,0)</f>
        <v/>
      </c>
      <c r="N380">
        <f>$N379+$M380</f>
        <v/>
      </c>
      <c r="O380" t="inlineStr">
        <is>
          <t>three-way</t>
        </is>
      </c>
      <c r="P380" t="inlineStr">
        <is>
          <t>outcome_booked</t>
        </is>
      </c>
    </row>
    <row r="381">
      <c r="A381" t="inlineStr">
        <is>
          <t>Split by SYS_FLAG</t>
        </is>
      </c>
      <c r="B381" t="inlineStr">
        <is>
          <t>Bad dollars</t>
        </is>
      </c>
      <c r="C381" t="n">
        <v>730</v>
      </c>
      <c r="D381" t="inlineStr">
        <is>
          <t>FICO 712 - 745</t>
        </is>
      </c>
      <c r="E381" t="inlineStr">
        <is>
          <t>ASSET_CLASS 1</t>
        </is>
      </c>
      <c r="F381" t="inlineStr">
        <is>
          <t>Y</t>
        </is>
      </c>
      <c r="G381" t="n">
        <v>167</v>
      </c>
      <c r="H381" t="n">
        <v>1.940456088306094</v>
      </c>
      <c r="J381" t="n">
        <v>76</v>
      </c>
      <c r="K381">
        <f>'_pockets'!$AI$730</f>
        <v/>
      </c>
      <c r="L381">
        <f>'_pockets'!$AJ$730</f>
        <v/>
      </c>
      <c r="M381">
        <f>IF(AND($A381='Pockets'!$D$17,$B381='Pockets'!$C$17,OR('Pockets'!$E$17="All",AND('Pockets'!$E$17="Worse and material",$K381="Yes",$L381="Yes"),AND('Pockets'!$E$17="Worse or not sure",OR($K381="Yes",$K381="Not sure")))),1,0)</f>
        <v/>
      </c>
      <c r="N381">
        <f>$N380+$M381</f>
        <v/>
      </c>
      <c r="O381" t="inlineStr">
        <is>
          <t>three-way</t>
        </is>
      </c>
      <c r="P381" t="inlineStr">
        <is>
          <t>outcome_booked</t>
        </is>
      </c>
    </row>
    <row r="382">
      <c r="A382" t="inlineStr">
        <is>
          <t>Split by SYS_FLAG</t>
        </is>
      </c>
      <c r="B382" t="inlineStr">
        <is>
          <t>Bad dollars</t>
        </is>
      </c>
      <c r="C382" t="n">
        <v>545</v>
      </c>
      <c r="D382" t="inlineStr">
        <is>
          <t>FICO 496 - 653</t>
        </is>
      </c>
      <c r="E382" t="inlineStr">
        <is>
          <t>Online</t>
        </is>
      </c>
      <c r="F382" t="inlineStr">
        <is>
          <t>Y</t>
        </is>
      </c>
      <c r="G382" t="n">
        <v>226</v>
      </c>
      <c r="H382" t="n">
        <v>1.797033429832368</v>
      </c>
      <c r="J382" t="n">
        <v>77</v>
      </c>
      <c r="K382">
        <f>'_pockets'!$AI$545</f>
        <v/>
      </c>
      <c r="L382">
        <f>'_pockets'!$AJ$545</f>
        <v/>
      </c>
      <c r="M382">
        <f>IF(AND($A382='Pockets'!$D$17,$B382='Pockets'!$C$17,OR('Pockets'!$E$17="All",AND('Pockets'!$E$17="Worse and material",$K382="Yes",$L382="Yes"),AND('Pockets'!$E$17="Worse or not sure",OR($K382="Yes",$K382="Not sure")))),1,0)</f>
        <v/>
      </c>
      <c r="N382">
        <f>$N381+$M382</f>
        <v/>
      </c>
      <c r="O382" t="inlineStr">
        <is>
          <t>three-way</t>
        </is>
      </c>
      <c r="P382" t="inlineStr">
        <is>
          <t>outcome_booked</t>
        </is>
      </c>
    </row>
    <row r="383">
      <c r="A383" t="inlineStr">
        <is>
          <t>Split by SYS_FLAG</t>
        </is>
      </c>
      <c r="B383" t="inlineStr">
        <is>
          <t>Bad dollars</t>
        </is>
      </c>
      <c r="C383" t="n">
        <v>495</v>
      </c>
      <c r="D383" t="inlineStr">
        <is>
          <t>FICO 496 - 653</t>
        </is>
      </c>
      <c r="E383" t="inlineStr">
        <is>
          <t>Branch</t>
        </is>
      </c>
      <c r="F383" t="inlineStr">
        <is>
          <t>Y</t>
        </is>
      </c>
      <c r="G383" t="n">
        <v>231</v>
      </c>
      <c r="H383" t="n">
        <v>1.787603677458908</v>
      </c>
      <c r="J383" t="n">
        <v>78</v>
      </c>
      <c r="K383">
        <f>'_pockets'!$AI$495</f>
        <v/>
      </c>
      <c r="L383">
        <f>'_pockets'!$AJ$495</f>
        <v/>
      </c>
      <c r="M383">
        <f>IF(AND($A383='Pockets'!$D$17,$B383='Pockets'!$C$17,OR('Pockets'!$E$17="All",AND('Pockets'!$E$17="Worse and material",$K383="Yes",$L383="Yes"),AND('Pockets'!$E$17="Worse or not sure",OR($K383="Yes",$K383="Not sure")))),1,0)</f>
        <v/>
      </c>
      <c r="N383">
        <f>$N382+$M383</f>
        <v/>
      </c>
      <c r="O383" t="inlineStr">
        <is>
          <t>three-way</t>
        </is>
      </c>
      <c r="P383" t="inlineStr">
        <is>
          <t>outcome_booked</t>
        </is>
      </c>
    </row>
    <row r="384">
      <c r="A384" t="inlineStr">
        <is>
          <t>Split by SYS_FLAG</t>
        </is>
      </c>
      <c r="B384" t="inlineStr">
        <is>
          <t>Bad dollars</t>
        </is>
      </c>
      <c r="C384" t="n">
        <v>795</v>
      </c>
      <c r="D384" t="inlineStr">
        <is>
          <t>FICO 496 - 653</t>
        </is>
      </c>
      <c r="E384" t="inlineStr">
        <is>
          <t>ASSET_CLASS 2</t>
        </is>
      </c>
      <c r="F384" t="inlineStr">
        <is>
          <t>Y</t>
        </is>
      </c>
      <c r="G384" t="n">
        <v>181</v>
      </c>
      <c r="H384" t="n">
        <v>1.899791456879921</v>
      </c>
      <c r="J384" t="n">
        <v>79</v>
      </c>
      <c r="K384">
        <f>'_pockets'!$AI$795</f>
        <v/>
      </c>
      <c r="L384">
        <f>'_pockets'!$AJ$795</f>
        <v/>
      </c>
      <c r="M384">
        <f>IF(AND($A384='Pockets'!$D$17,$B384='Pockets'!$C$17,OR('Pockets'!$E$17="All",AND('Pockets'!$E$17="Worse and material",$K384="Yes",$L384="Yes"),AND('Pockets'!$E$17="Worse or not sure",OR($K384="Yes",$K384="Not sure")))),1,0)</f>
        <v/>
      </c>
      <c r="N384">
        <f>$N383+$M384</f>
        <v/>
      </c>
      <c r="O384" t="inlineStr">
        <is>
          <t>three-way</t>
        </is>
      </c>
      <c r="P384" t="inlineStr">
        <is>
          <t>outcome_booked</t>
        </is>
      </c>
    </row>
    <row r="385">
      <c r="A385" t="inlineStr">
        <is>
          <t>Split by SYS_FLAG</t>
        </is>
      </c>
      <c r="B385" t="inlineStr">
        <is>
          <t>Bad dollars</t>
        </is>
      </c>
      <c r="C385" t="n">
        <v>675</v>
      </c>
      <c r="D385" t="inlineStr">
        <is>
          <t>FICO 496 - 653</t>
        </is>
      </c>
      <c r="E385" t="inlineStr">
        <is>
          <t>ASSET_CLASS 3</t>
        </is>
      </c>
      <c r="F385" t="inlineStr">
        <is>
          <t>N</t>
        </is>
      </c>
      <c r="G385" t="n">
        <v>184</v>
      </c>
      <c r="H385" t="n">
        <v>1.891720485451258</v>
      </c>
      <c r="J385" t="n">
        <v>80</v>
      </c>
      <c r="K385">
        <f>'_pockets'!$AI$675</f>
        <v/>
      </c>
      <c r="L385">
        <f>'_pockets'!$AJ$675</f>
        <v/>
      </c>
      <c r="M385">
        <f>IF(AND($A385='Pockets'!$D$17,$B385='Pockets'!$C$17,OR('Pockets'!$E$17="All",AND('Pockets'!$E$17="Worse and material",$K385="Yes",$L385="Yes"),AND('Pockets'!$E$17="Worse or not sure",OR($K385="Yes",$K385="Not sure")))),1,0)</f>
        <v/>
      </c>
      <c r="N385">
        <f>$N384+$M385</f>
        <v/>
      </c>
      <c r="O385" t="inlineStr">
        <is>
          <t>three-way</t>
        </is>
      </c>
      <c r="P385" t="inlineStr">
        <is>
          <t>outcome_booked</t>
        </is>
      </c>
    </row>
    <row r="386">
      <c r="A386" t="inlineStr">
        <is>
          <t>Split by SYS_FLAG</t>
        </is>
      </c>
      <c r="B386" t="inlineStr">
        <is>
          <t>Bad dollars</t>
        </is>
      </c>
      <c r="C386" t="n">
        <v>615</v>
      </c>
      <c r="D386" t="inlineStr">
        <is>
          <t>FICO 496 - 653</t>
        </is>
      </c>
      <c r="E386" t="inlineStr">
        <is>
          <t>ASSET_CLASS 2</t>
        </is>
      </c>
      <c r="F386" t="inlineStr">
        <is>
          <t>N</t>
        </is>
      </c>
      <c r="G386" t="n">
        <v>212</v>
      </c>
      <c r="H386" t="n">
        <v>1.825283810113044</v>
      </c>
      <c r="J386" t="n">
        <v>81</v>
      </c>
      <c r="K386">
        <f>'_pockets'!$AI$615</f>
        <v/>
      </c>
      <c r="L386">
        <f>'_pockets'!$AJ$615</f>
        <v/>
      </c>
      <c r="M386">
        <f>IF(AND($A386='Pockets'!$D$17,$B386='Pockets'!$C$17,OR('Pockets'!$E$17="All",AND('Pockets'!$E$17="Worse and material",$K386="Yes",$L386="Yes"),AND('Pockets'!$E$17="Worse or not sure",OR($K386="Yes",$K386="Not sure")))),1,0)</f>
        <v/>
      </c>
      <c r="N386">
        <f>$N385+$M386</f>
        <v/>
      </c>
      <c r="O386" t="inlineStr">
        <is>
          <t>three-way</t>
        </is>
      </c>
      <c r="P386" t="inlineStr">
        <is>
          <t>outcome_booked</t>
        </is>
      </c>
    </row>
    <row r="387">
      <c r="A387" t="inlineStr">
        <is>
          <t>Split by SYS_FLAG</t>
        </is>
      </c>
      <c r="B387" t="inlineStr">
        <is>
          <t>Bad dollars</t>
        </is>
      </c>
      <c r="C387" t="n">
        <v>935</v>
      </c>
      <c r="D387" t="inlineStr">
        <is>
          <t>ORIG_BAL 15,449 - 26,323</t>
        </is>
      </c>
      <c r="E387" t="inlineStr">
        <is>
          <t>Online</t>
        </is>
      </c>
      <c r="F387" t="inlineStr">
        <is>
          <t>Y</t>
        </is>
      </c>
      <c r="G387" t="n">
        <v>238</v>
      </c>
      <c r="H387" t="n">
        <v>1.774929819505649</v>
      </c>
      <c r="J387" t="n">
        <v>82</v>
      </c>
      <c r="K387">
        <f>'_pockets'!$AI$935</f>
        <v/>
      </c>
      <c r="L387">
        <f>'_pockets'!$AJ$935</f>
        <v/>
      </c>
      <c r="M387">
        <f>IF(AND($A387='Pockets'!$D$17,$B387='Pockets'!$C$17,OR('Pockets'!$E$17="All",AND('Pockets'!$E$17="Worse and material",$K387="Yes",$L387="Yes"),AND('Pockets'!$E$17="Worse or not sure",OR($K387="Yes",$K387="Not sure")))),1,0)</f>
        <v/>
      </c>
      <c r="N387">
        <f>$N386+$M387</f>
        <v/>
      </c>
      <c r="O387" t="inlineStr">
        <is>
          <t>three-way</t>
        </is>
      </c>
      <c r="P387" t="inlineStr">
        <is>
          <t>outcome_booked</t>
        </is>
      </c>
    </row>
    <row r="388">
      <c r="A388" t="inlineStr">
        <is>
          <t>Split by SYS_FLAG</t>
        </is>
      </c>
      <c r="B388" t="inlineStr">
        <is>
          <t>Bad dollars</t>
        </is>
      </c>
      <c r="C388" t="n">
        <v>1130</v>
      </c>
      <c r="D388" t="inlineStr">
        <is>
          <t>ORIG_BAL 15,449 - 26,323</t>
        </is>
      </c>
      <c r="E388" t="inlineStr">
        <is>
          <t>ASSET_CLASS 3</t>
        </is>
      </c>
      <c r="F388" t="inlineStr">
        <is>
          <t>N</t>
        </is>
      </c>
      <c r="G388" t="n">
        <v>234</v>
      </c>
      <c r="H388" t="n">
        <v>1.782098856509703</v>
      </c>
      <c r="J388" t="n">
        <v>83</v>
      </c>
      <c r="K388">
        <f>'_pockets'!$AI$1130</f>
        <v/>
      </c>
      <c r="L388">
        <f>'_pockets'!$AJ$1130</f>
        <v/>
      </c>
      <c r="M388">
        <f>IF(AND($A388='Pockets'!$D$17,$B388='Pockets'!$C$17,OR('Pockets'!$E$17="All",AND('Pockets'!$E$17="Worse and material",$K388="Yes",$L388="Yes"),AND('Pockets'!$E$17="Worse or not sure",OR($K388="Yes",$K388="Not sure")))),1,0)</f>
        <v/>
      </c>
      <c r="N388">
        <f>$N387+$M388</f>
        <v/>
      </c>
      <c r="O388" t="inlineStr">
        <is>
          <t>three-way</t>
        </is>
      </c>
      <c r="P388" t="inlineStr">
        <is>
          <t>outcome_booked</t>
        </is>
      </c>
    </row>
    <row r="389">
      <c r="A389" t="inlineStr">
        <is>
          <t>Split by SYS_FLAG</t>
        </is>
      </c>
      <c r="B389" t="inlineStr">
        <is>
          <t>Bad dollars</t>
        </is>
      </c>
      <c r="C389" t="n">
        <v>430</v>
      </c>
      <c r="D389" t="inlineStr">
        <is>
          <t>FICO 496 - 653</t>
        </is>
      </c>
      <c r="E389" t="inlineStr">
        <is>
          <t>Branch</t>
        </is>
      </c>
      <c r="F389" t="inlineStr">
        <is>
          <t>N</t>
        </is>
      </c>
      <c r="G389" t="n">
        <v>270</v>
      </c>
      <c r="H389" t="n">
        <v>1.723712329541575</v>
      </c>
      <c r="J389" t="n">
        <v>84</v>
      </c>
      <c r="K389">
        <f>'_pockets'!$AI$430</f>
        <v/>
      </c>
      <c r="L389">
        <f>'_pockets'!$AJ$430</f>
        <v/>
      </c>
      <c r="M389">
        <f>IF(AND($A389='Pockets'!$D$17,$B389='Pockets'!$C$17,OR('Pockets'!$E$17="All",AND('Pockets'!$E$17="Worse and material",$K389="Yes",$L389="Yes"),AND('Pockets'!$E$17="Worse or not sure",OR($K389="Yes",$K389="Not sure")))),1,0)</f>
        <v/>
      </c>
      <c r="N389">
        <f>$N388+$M389</f>
        <v/>
      </c>
      <c r="O389" t="inlineStr">
        <is>
          <t>three-way</t>
        </is>
      </c>
      <c r="P389" t="inlineStr">
        <is>
          <t>outcome_booked</t>
        </is>
      </c>
    </row>
    <row r="390">
      <c r="A390" t="inlineStr">
        <is>
          <t>Split by SYS_FLAG</t>
        </is>
      </c>
      <c r="B390" t="inlineStr">
        <is>
          <t>Bad dollars</t>
        </is>
      </c>
      <c r="C390" t="n">
        <v>1030</v>
      </c>
      <c r="D390" t="inlineStr">
        <is>
          <t>ORIG_BAL 15,449 - 26,323</t>
        </is>
      </c>
      <c r="E390" t="inlineStr">
        <is>
          <t>ASSET_CLASS 1</t>
        </is>
      </c>
      <c r="F390" t="inlineStr">
        <is>
          <t>N</t>
        </is>
      </c>
      <c r="G390" t="n">
        <v>224</v>
      </c>
      <c r="H390" t="n">
        <v>1.800898036197763</v>
      </c>
      <c r="J390" t="n">
        <v>85</v>
      </c>
      <c r="K390">
        <f>'_pockets'!$AI$1030</f>
        <v/>
      </c>
      <c r="L390">
        <f>'_pockets'!$AJ$1030</f>
        <v/>
      </c>
      <c r="M390">
        <f>IF(AND($A390='Pockets'!$D$17,$B390='Pockets'!$C$17,OR('Pockets'!$E$17="All",AND('Pockets'!$E$17="Worse and material",$K390="Yes",$L390="Yes"),AND('Pockets'!$E$17="Worse or not sure",OR($K390="Yes",$K390="Not sure")))),1,0)</f>
        <v/>
      </c>
      <c r="N390">
        <f>$N389+$M390</f>
        <v/>
      </c>
      <c r="O390" t="inlineStr">
        <is>
          <t>three-way</t>
        </is>
      </c>
      <c r="P390" t="inlineStr">
        <is>
          <t>outcome_booked</t>
        </is>
      </c>
    </row>
    <row r="391">
      <c r="A391" t="inlineStr">
        <is>
          <t>Split by SYS_FLAG</t>
        </is>
      </c>
      <c r="B391" t="inlineStr">
        <is>
          <t>Bad dollars</t>
        </is>
      </c>
      <c r="C391" t="n">
        <v>1160</v>
      </c>
      <c r="D391" t="inlineStr">
        <is>
          <t>ORIG_BAL 37,951 - 49,151</t>
        </is>
      </c>
      <c r="E391" t="inlineStr">
        <is>
          <t>ASSET_CLASS 1</t>
        </is>
      </c>
      <c r="F391" t="inlineStr">
        <is>
          <t>Y</t>
        </is>
      </c>
      <c r="G391" t="n">
        <v>177</v>
      </c>
      <c r="H391" t="n">
        <v>1.910888399048516</v>
      </c>
      <c r="J391" t="n">
        <v>86</v>
      </c>
      <c r="K391">
        <f>'_pockets'!$AI$1160</f>
        <v/>
      </c>
      <c r="L391">
        <f>'_pockets'!$AJ$1160</f>
        <v/>
      </c>
      <c r="M391">
        <f>IF(AND($A391='Pockets'!$D$17,$B391='Pockets'!$C$17,OR('Pockets'!$E$17="All",AND('Pockets'!$E$17="Worse and material",$K391="Yes",$L391="Yes"),AND('Pockets'!$E$17="Worse or not sure",OR($K391="Yes",$K391="Not sure")))),1,0)</f>
        <v/>
      </c>
      <c r="N391">
        <f>$N390+$M391</f>
        <v/>
      </c>
      <c r="O391" t="inlineStr">
        <is>
          <t>three-way</t>
        </is>
      </c>
      <c r="P391" t="inlineStr">
        <is>
          <t>outcome_booked</t>
        </is>
      </c>
    </row>
    <row r="392">
      <c r="A392" t="inlineStr">
        <is>
          <t>Split by SYS_FLAG</t>
        </is>
      </c>
      <c r="B392" t="inlineStr">
        <is>
          <t>Charge-offs</t>
        </is>
      </c>
      <c r="C392" t="n">
        <v>541</v>
      </c>
      <c r="D392" t="inlineStr">
        <is>
          <t>FICO 496 - 653</t>
        </is>
      </c>
      <c r="E392" t="inlineStr">
        <is>
          <t>Broker</t>
        </is>
      </c>
      <c r="F392" t="inlineStr">
        <is>
          <t>Y</t>
        </is>
      </c>
      <c r="G392" t="n">
        <v>265</v>
      </c>
      <c r="H392" t="n">
        <v>1.758369793334915</v>
      </c>
      <c r="J392" t="n">
        <v>1</v>
      </c>
      <c r="K392">
        <f>'_pockets'!$AI$541</f>
        <v/>
      </c>
      <c r="L392">
        <f>'_pockets'!$AJ$541</f>
        <v/>
      </c>
      <c r="M392">
        <f>IF(AND($A392='Pockets'!$D$17,$B392='Pockets'!$C$17,OR('Pockets'!$E$17="All",AND('Pockets'!$E$17="Worse and material",$K392="Yes",$L392="Yes"),AND('Pockets'!$E$17="Worse or not sure",OR($K392="Yes",$K392="Not sure")))),1,0)</f>
        <v/>
      </c>
      <c r="N392">
        <f>$N391+$M392</f>
        <v/>
      </c>
      <c r="O392" t="inlineStr">
        <is>
          <t>three-way</t>
        </is>
      </c>
      <c r="P392" t="inlineStr">
        <is>
          <t>gco_rate</t>
        </is>
      </c>
    </row>
    <row r="393">
      <c r="A393" t="inlineStr">
        <is>
          <t>Split by SYS_FLAG</t>
        </is>
      </c>
      <c r="B393" t="inlineStr">
        <is>
          <t>Charge-offs</t>
        </is>
      </c>
      <c r="C393" t="n">
        <v>1151</v>
      </c>
      <c r="D393" t="inlineStr">
        <is>
          <t>ORIG_BAL 37,951 - 49,151</t>
        </is>
      </c>
      <c r="E393" t="inlineStr">
        <is>
          <t>ASSET_CLASS 4</t>
        </is>
      </c>
      <c r="F393" t="inlineStr">
        <is>
          <t>Y</t>
        </is>
      </c>
      <c r="G393" t="n">
        <v>189</v>
      </c>
      <c r="H393" t="n">
        <v>1.911921251519346</v>
      </c>
      <c r="J393" t="n">
        <v>2</v>
      </c>
      <c r="K393">
        <f>'_pockets'!$AI$1151</f>
        <v/>
      </c>
      <c r="L393">
        <f>'_pockets'!$AJ$1151</f>
        <v/>
      </c>
      <c r="M393">
        <f>IF(AND($A393='Pockets'!$D$17,$B393='Pockets'!$C$17,OR('Pockets'!$E$17="All",AND('Pockets'!$E$17="Worse and material",$K393="Yes",$L393="Yes"),AND('Pockets'!$E$17="Worse or not sure",OR($K393="Yes",$K393="Not sure")))),1,0)</f>
        <v/>
      </c>
      <c r="N393">
        <f>$N392+$M393</f>
        <v/>
      </c>
      <c r="O393" t="inlineStr">
        <is>
          <t>three-way</t>
        </is>
      </c>
      <c r="P393" t="inlineStr">
        <is>
          <t>gco_rate</t>
        </is>
      </c>
    </row>
    <row r="394">
      <c r="A394" t="inlineStr">
        <is>
          <t>Split by SYS_FLAG</t>
        </is>
      </c>
      <c r="B394" t="inlineStr">
        <is>
          <t>Charge-offs</t>
        </is>
      </c>
      <c r="C394" t="n">
        <v>786</v>
      </c>
      <c r="D394" t="inlineStr">
        <is>
          <t>FICO 496 - 653</t>
        </is>
      </c>
      <c r="E394" t="inlineStr">
        <is>
          <t>ASSET_CLASS 4</t>
        </is>
      </c>
      <c r="F394" t="inlineStr">
        <is>
          <t>Y</t>
        </is>
      </c>
      <c r="G394" t="n">
        <v>189</v>
      </c>
      <c r="H394" t="n">
        <v>1.911921251519346</v>
      </c>
      <c r="J394" t="n">
        <v>3</v>
      </c>
      <c r="K394">
        <f>'_pockets'!$AI$786</f>
        <v/>
      </c>
      <c r="L394">
        <f>'_pockets'!$AJ$786</f>
        <v/>
      </c>
      <c r="M394">
        <f>IF(AND($A394='Pockets'!$D$17,$B394='Pockets'!$C$17,OR('Pockets'!$E$17="All",AND('Pockets'!$E$17="Worse and material",$K394="Yes",$L394="Yes"),AND('Pockets'!$E$17="Worse or not sure",OR($K394="Yes",$K394="Not sure")))),1,0)</f>
        <v/>
      </c>
      <c r="N394">
        <f>$N393+$M394</f>
        <v/>
      </c>
      <c r="O394" t="inlineStr">
        <is>
          <t>three-way</t>
        </is>
      </c>
      <c r="P394" t="inlineStr">
        <is>
          <t>gco_rate</t>
        </is>
      </c>
    </row>
    <row r="395">
      <c r="A395" t="inlineStr">
        <is>
          <t>Split by SYS_FLAG</t>
        </is>
      </c>
      <c r="B395" t="inlineStr">
        <is>
          <t>Charge-offs</t>
        </is>
      </c>
      <c r="C395" t="n">
        <v>976</v>
      </c>
      <c r="D395" t="inlineStr">
        <is>
          <t>ORIG_BAL 37,951 - 49,151</t>
        </is>
      </c>
      <c r="E395" t="inlineStr">
        <is>
          <t>Online</t>
        </is>
      </c>
      <c r="F395" t="inlineStr">
        <is>
          <t>Y</t>
        </is>
      </c>
      <c r="G395" t="n">
        <v>254</v>
      </c>
      <c r="H395" t="n">
        <v>1.776024518762917</v>
      </c>
      <c r="J395" t="n">
        <v>4</v>
      </c>
      <c r="K395">
        <f>'_pockets'!$AI$976</f>
        <v/>
      </c>
      <c r="L395">
        <f>'_pockets'!$AJ$976</f>
        <v/>
      </c>
      <c r="M395">
        <f>IF(AND($A395='Pockets'!$D$17,$B395='Pockets'!$C$17,OR('Pockets'!$E$17="All",AND('Pockets'!$E$17="Worse and material",$K395="Yes",$L395="Yes"),AND('Pockets'!$E$17="Worse or not sure",OR($K395="Yes",$K395="Not sure")))),1,0)</f>
        <v/>
      </c>
      <c r="N395">
        <f>$N394+$M395</f>
        <v/>
      </c>
      <c r="O395" t="inlineStr">
        <is>
          <t>three-way</t>
        </is>
      </c>
      <c r="P395" t="inlineStr">
        <is>
          <t>gco_rate</t>
        </is>
      </c>
    </row>
    <row r="396">
      <c r="A396" t="inlineStr">
        <is>
          <t>Split by SYS_FLAG</t>
        </is>
      </c>
      <c r="B396" t="inlineStr">
        <is>
          <t>Charge-offs</t>
        </is>
      </c>
      <c r="C396" t="n">
        <v>971</v>
      </c>
      <c r="D396" t="inlineStr">
        <is>
          <t>ORIG_BAL 37,951 - 49,151</t>
        </is>
      </c>
      <c r="E396" t="inlineStr">
        <is>
          <t>Broker</t>
        </is>
      </c>
      <c r="F396" t="inlineStr">
        <is>
          <t>Y</t>
        </is>
      </c>
      <c r="G396" t="n">
        <v>249</v>
      </c>
      <c r="H396" t="n">
        <v>1.784453341475952</v>
      </c>
      <c r="J396" t="n">
        <v>5</v>
      </c>
      <c r="K396">
        <f>'_pockets'!$AI$971</f>
        <v/>
      </c>
      <c r="L396">
        <f>'_pockets'!$AJ$971</f>
        <v/>
      </c>
      <c r="M396">
        <f>IF(AND($A396='Pockets'!$D$17,$B396='Pockets'!$C$17,OR('Pockets'!$E$17="All",AND('Pockets'!$E$17="Worse and material",$K396="Yes",$L396="Yes"),AND('Pockets'!$E$17="Worse or not sure",OR($K396="Yes",$K396="Not sure")))),1,0)</f>
        <v/>
      </c>
      <c r="N396">
        <f>$N395+$M396</f>
        <v/>
      </c>
      <c r="O396" t="inlineStr">
        <is>
          <t>three-way</t>
        </is>
      </c>
      <c r="P396" t="inlineStr">
        <is>
          <t>gco_rate</t>
        </is>
      </c>
    </row>
    <row r="397">
      <c r="A397" t="inlineStr">
        <is>
          <t>Split by SYS_FLAG</t>
        </is>
      </c>
      <c r="B397" t="inlineStr">
        <is>
          <t>Charge-offs</t>
        </is>
      </c>
      <c r="C397" t="n">
        <v>511</v>
      </c>
      <c r="D397" t="inlineStr">
        <is>
          <t>FICO 712 - 745</t>
        </is>
      </c>
      <c r="E397" t="inlineStr">
        <is>
          <t>Online</t>
        </is>
      </c>
      <c r="F397" t="inlineStr">
        <is>
          <t>Y</t>
        </is>
      </c>
      <c r="G397" t="n">
        <v>278</v>
      </c>
      <c r="H397" t="n">
        <v>1.738937289700018</v>
      </c>
      <c r="J397" t="n">
        <v>6</v>
      </c>
      <c r="K397">
        <f>'_pockets'!$AI$511</f>
        <v/>
      </c>
      <c r="L397">
        <f>'_pockets'!$AJ$511</f>
        <v/>
      </c>
      <c r="M397">
        <f>IF(AND($A397='Pockets'!$D$17,$B397='Pockets'!$C$17,OR('Pockets'!$E$17="All",AND('Pockets'!$E$17="Worse and material",$K397="Yes",$L397="Yes"),AND('Pockets'!$E$17="Worse or not sure",OR($K397="Yes",$K397="Not sure")))),1,0)</f>
        <v/>
      </c>
      <c r="N397">
        <f>$N396+$M397</f>
        <v/>
      </c>
      <c r="O397" t="inlineStr">
        <is>
          <t>three-way</t>
        </is>
      </c>
      <c r="P397" t="inlineStr">
        <is>
          <t>gco_rate</t>
        </is>
      </c>
    </row>
    <row r="398">
      <c r="A398" t="inlineStr">
        <is>
          <t>Split by SYS_FLAG</t>
        </is>
      </c>
      <c r="B398" t="inlineStr">
        <is>
          <t>Charge-offs</t>
        </is>
      </c>
      <c r="C398" t="n">
        <v>441</v>
      </c>
      <c r="D398" t="inlineStr">
        <is>
          <t>FICO 496 - 653</t>
        </is>
      </c>
      <c r="E398" t="inlineStr">
        <is>
          <t>Broker</t>
        </is>
      </c>
      <c r="F398" t="inlineStr">
        <is>
          <t>N</t>
        </is>
      </c>
      <c r="G398" t="n">
        <v>258</v>
      </c>
      <c r="H398" t="n">
        <v>1.769467504419893</v>
      </c>
      <c r="J398" t="n">
        <v>7</v>
      </c>
      <c r="K398">
        <f>'_pockets'!$AI$441</f>
        <v/>
      </c>
      <c r="L398">
        <f>'_pockets'!$AJ$441</f>
        <v/>
      </c>
      <c r="M398">
        <f>IF(AND($A398='Pockets'!$D$17,$B398='Pockets'!$C$17,OR('Pockets'!$E$17="All",AND('Pockets'!$E$17="Worse and material",$K398="Yes",$L398="Yes"),AND('Pockets'!$E$17="Worse or not sure",OR($K398="Yes",$K398="Not sure")))),1,0)</f>
        <v/>
      </c>
      <c r="N398">
        <f>$N397+$M398</f>
        <v/>
      </c>
      <c r="O398" t="inlineStr">
        <is>
          <t>three-way</t>
        </is>
      </c>
      <c r="P398" t="inlineStr">
        <is>
          <t>gco_rate</t>
        </is>
      </c>
    </row>
    <row r="399">
      <c r="A399" t="inlineStr">
        <is>
          <t>Split by SYS_FLAG</t>
        </is>
      </c>
      <c r="B399" t="inlineStr">
        <is>
          <t>Charge-offs</t>
        </is>
      </c>
      <c r="C399" t="n">
        <v>476</v>
      </c>
      <c r="D399" t="inlineStr">
        <is>
          <t>FICO 686 - 711</t>
        </is>
      </c>
      <c r="E399" t="inlineStr">
        <is>
          <t>Online</t>
        </is>
      </c>
      <c r="F399" t="inlineStr">
        <is>
          <t>Y</t>
        </is>
      </c>
      <c r="G399" t="n">
        <v>249</v>
      </c>
      <c r="H399" t="n">
        <v>1.784453341475952</v>
      </c>
      <c r="J399" t="n">
        <v>8</v>
      </c>
      <c r="K399">
        <f>'_pockets'!$AI$476</f>
        <v/>
      </c>
      <c r="L399">
        <f>'_pockets'!$AJ$476</f>
        <v/>
      </c>
      <c r="M399">
        <f>IF(AND($A399='Pockets'!$D$17,$B399='Pockets'!$C$17,OR('Pockets'!$E$17="All",AND('Pockets'!$E$17="Worse and material",$K399="Yes",$L399="Yes"),AND('Pockets'!$E$17="Worse or not sure",OR($K399="Yes",$K399="Not sure")))),1,0)</f>
        <v/>
      </c>
      <c r="N399">
        <f>$N398+$M399</f>
        <v/>
      </c>
      <c r="O399" t="inlineStr">
        <is>
          <t>three-way</t>
        </is>
      </c>
      <c r="P399" t="inlineStr">
        <is>
          <t>gco_rate</t>
        </is>
      </c>
    </row>
    <row r="400">
      <c r="A400" t="inlineStr">
        <is>
          <t>Split by SYS_FLAG</t>
        </is>
      </c>
      <c r="B400" t="inlineStr">
        <is>
          <t>Charge-offs</t>
        </is>
      </c>
      <c r="C400" t="n">
        <v>1156</v>
      </c>
      <c r="D400" t="inlineStr">
        <is>
          <t>ORIG_BAL 49,152 - 59,984</t>
        </is>
      </c>
      <c r="E400" t="inlineStr">
        <is>
          <t>ASSET_CLASS 4</t>
        </is>
      </c>
      <c r="F400" t="inlineStr">
        <is>
          <t>Y</t>
        </is>
      </c>
      <c r="G400" t="n">
        <v>171</v>
      </c>
      <c r="H400" t="n">
        <v>1.963502367697125</v>
      </c>
      <c r="J400" t="n">
        <v>9</v>
      </c>
      <c r="K400">
        <f>'_pockets'!$AI$1156</f>
        <v/>
      </c>
      <c r="L400">
        <f>'_pockets'!$AJ$1156</f>
        <v/>
      </c>
      <c r="M400">
        <f>IF(AND($A400='Pockets'!$D$17,$B400='Pockets'!$C$17,OR('Pockets'!$E$17="All",AND('Pockets'!$E$17="Worse and material",$K400="Yes",$L400="Yes"),AND('Pockets'!$E$17="Worse or not sure",OR($K400="Yes",$K400="Not sure")))),1,0)</f>
        <v/>
      </c>
      <c r="N400">
        <f>$N399+$M400</f>
        <v/>
      </c>
      <c r="O400" t="inlineStr">
        <is>
          <t>three-way</t>
        </is>
      </c>
      <c r="P400" t="inlineStr">
        <is>
          <t>gco_rate</t>
        </is>
      </c>
    </row>
    <row r="401">
      <c r="A401" t="inlineStr">
        <is>
          <t>Split by SYS_FLAG</t>
        </is>
      </c>
      <c r="B401" t="inlineStr">
        <is>
          <t>Charge-offs</t>
        </is>
      </c>
      <c r="C401" t="n">
        <v>806</v>
      </c>
      <c r="D401" t="inlineStr">
        <is>
          <t>FICO 654 - 685</t>
        </is>
      </c>
      <c r="E401" t="inlineStr">
        <is>
          <t>ASSET_CLASS 4</t>
        </is>
      </c>
      <c r="F401" t="inlineStr">
        <is>
          <t>Y</t>
        </is>
      </c>
      <c r="G401" t="n">
        <v>191</v>
      </c>
      <c r="H401" t="n">
        <v>1.90666978551677</v>
      </c>
      <c r="J401" t="n">
        <v>10</v>
      </c>
      <c r="K401">
        <f>'_pockets'!$AI$806</f>
        <v/>
      </c>
      <c r="L401">
        <f>'_pockets'!$AJ$806</f>
        <v/>
      </c>
      <c r="M401">
        <f>IF(AND($A401='Pockets'!$D$17,$B401='Pockets'!$C$17,OR('Pockets'!$E$17="All",AND('Pockets'!$E$17="Worse and material",$K401="Yes",$L401="Yes"),AND('Pockets'!$E$17="Worse or not sure",OR($K401="Yes",$K401="Not sure")))),1,0)</f>
        <v/>
      </c>
      <c r="N401">
        <f>$N400+$M401</f>
        <v/>
      </c>
      <c r="O401" t="inlineStr">
        <is>
          <t>three-way</t>
        </is>
      </c>
      <c r="P401" t="inlineStr">
        <is>
          <t>gco_rate</t>
        </is>
      </c>
    </row>
    <row r="402">
      <c r="A402" t="inlineStr">
        <is>
          <t>Split by SYS_FLAG</t>
        </is>
      </c>
      <c r="B402" t="inlineStr">
        <is>
          <t>Charge-offs</t>
        </is>
      </c>
      <c r="C402" t="n">
        <v>621</v>
      </c>
      <c r="D402" t="inlineStr">
        <is>
          <t>FICO 712 - 745</t>
        </is>
      </c>
      <c r="E402" t="inlineStr">
        <is>
          <t>ASSET_CLASS 4</t>
        </is>
      </c>
      <c r="F402" t="inlineStr">
        <is>
          <t>Y</t>
        </is>
      </c>
      <c r="G402" t="n">
        <v>207</v>
      </c>
      <c r="H402" t="n">
        <v>1.867584875235872</v>
      </c>
      <c r="J402" t="n">
        <v>11</v>
      </c>
      <c r="K402">
        <f>'_pockets'!$AI$621</f>
        <v/>
      </c>
      <c r="L402">
        <f>'_pockets'!$AJ$621</f>
        <v/>
      </c>
      <c r="M402">
        <f>IF(AND($A402='Pockets'!$D$17,$B402='Pockets'!$C$17,OR('Pockets'!$E$17="All",AND('Pockets'!$E$17="Worse and material",$K402="Yes",$L402="Yes"),AND('Pockets'!$E$17="Worse or not sure",OR($K402="Yes",$K402="Not sure")))),1,0)</f>
        <v/>
      </c>
      <c r="N402">
        <f>$N401+$M402</f>
        <v/>
      </c>
      <c r="O402" t="inlineStr">
        <is>
          <t>three-way</t>
        </is>
      </c>
      <c r="P402" t="inlineStr">
        <is>
          <t>gco_rate</t>
        </is>
      </c>
    </row>
    <row r="403">
      <c r="A403" t="inlineStr">
        <is>
          <t>Split by SYS_FLAG</t>
        </is>
      </c>
      <c r="B403" t="inlineStr">
        <is>
          <t>Charge-offs</t>
        </is>
      </c>
      <c r="C403" t="n">
        <v>486</v>
      </c>
      <c r="D403" t="inlineStr">
        <is>
          <t>FICO 654 - 685</t>
        </is>
      </c>
      <c r="E403" t="inlineStr">
        <is>
          <t>Branch</t>
        </is>
      </c>
      <c r="F403" t="inlineStr">
        <is>
          <t>Y</t>
        </is>
      </c>
      <c r="G403" t="n">
        <v>254</v>
      </c>
      <c r="H403" t="n">
        <v>1.776024518762917</v>
      </c>
      <c r="J403" t="n">
        <v>12</v>
      </c>
      <c r="K403">
        <f>'_pockets'!$AI$486</f>
        <v/>
      </c>
      <c r="L403">
        <f>'_pockets'!$AJ$486</f>
        <v/>
      </c>
      <c r="M403">
        <f>IF(AND($A403='Pockets'!$D$17,$B403='Pockets'!$C$17,OR('Pockets'!$E$17="All",AND('Pockets'!$E$17="Worse and material",$K403="Yes",$L403="Yes"),AND('Pockets'!$E$17="Worse or not sure",OR($K403="Yes",$K403="Not sure")))),1,0)</f>
        <v/>
      </c>
      <c r="N403">
        <f>$N402+$M403</f>
        <v/>
      </c>
      <c r="O403" t="inlineStr">
        <is>
          <t>three-way</t>
        </is>
      </c>
      <c r="P403" t="inlineStr">
        <is>
          <t>gco_rate</t>
        </is>
      </c>
    </row>
    <row r="404">
      <c r="A404" t="inlineStr">
        <is>
          <t>Split by SYS_FLAG</t>
        </is>
      </c>
      <c r="B404" t="inlineStr">
        <is>
          <t>Charge-offs</t>
        </is>
      </c>
      <c r="C404" t="n">
        <v>561</v>
      </c>
      <c r="D404" t="inlineStr">
        <is>
          <t>FICO 654 - 685</t>
        </is>
      </c>
      <c r="E404" t="inlineStr">
        <is>
          <t>Online</t>
        </is>
      </c>
      <c r="F404" t="inlineStr">
        <is>
          <t>Y</t>
        </is>
      </c>
      <c r="G404" t="n">
        <v>236</v>
      </c>
      <c r="H404" t="n">
        <v>1.807674337953708</v>
      </c>
      <c r="J404" t="n">
        <v>13</v>
      </c>
      <c r="K404">
        <f>'_pockets'!$AI$561</f>
        <v/>
      </c>
      <c r="L404">
        <f>'_pockets'!$AJ$561</f>
        <v/>
      </c>
      <c r="M404">
        <f>IF(AND($A404='Pockets'!$D$17,$B404='Pockets'!$C$17,OR('Pockets'!$E$17="All",AND('Pockets'!$E$17="Worse and material",$K404="Yes",$L404="Yes"),AND('Pockets'!$E$17="Worse or not sure",OR($K404="Yes",$K404="Not sure")))),1,0)</f>
        <v/>
      </c>
      <c r="N404">
        <f>$N403+$M404</f>
        <v/>
      </c>
      <c r="O404" t="inlineStr">
        <is>
          <t>three-way</t>
        </is>
      </c>
      <c r="P404" t="inlineStr">
        <is>
          <t>gco_rate</t>
        </is>
      </c>
    </row>
    <row r="405">
      <c r="A405" t="inlineStr">
        <is>
          <t>Split by SYS_FLAG</t>
        </is>
      </c>
      <c r="B405" t="inlineStr">
        <is>
          <t>Charge-offs</t>
        </is>
      </c>
      <c r="C405" t="n">
        <v>1021</v>
      </c>
      <c r="D405" t="inlineStr">
        <is>
          <t>ORIG_BAL 26,324 - 37,950</t>
        </is>
      </c>
      <c r="E405" t="inlineStr">
        <is>
          <t>ASSET_CLASS 4</t>
        </is>
      </c>
      <c r="F405" t="inlineStr">
        <is>
          <t>Y</t>
        </is>
      </c>
      <c r="G405" t="n">
        <v>194</v>
      </c>
      <c r="H405" t="n">
        <v>1.89895388068572</v>
      </c>
      <c r="J405" t="n">
        <v>14</v>
      </c>
      <c r="K405">
        <f>'_pockets'!$AI$1021</f>
        <v/>
      </c>
      <c r="L405">
        <f>'_pockets'!$AJ$1021</f>
        <v/>
      </c>
      <c r="M405">
        <f>IF(AND($A405='Pockets'!$D$17,$B405='Pockets'!$C$17,OR('Pockets'!$E$17="All",AND('Pockets'!$E$17="Worse and material",$K405="Yes",$L405="Yes"),AND('Pockets'!$E$17="Worse or not sure",OR($K405="Yes",$K405="Not sure")))),1,0)</f>
        <v/>
      </c>
      <c r="N405">
        <f>$N404+$M405</f>
        <v/>
      </c>
      <c r="O405" t="inlineStr">
        <is>
          <t>three-way</t>
        </is>
      </c>
      <c r="P405" t="inlineStr">
        <is>
          <t>gco_rate</t>
        </is>
      </c>
    </row>
    <row r="406">
      <c r="A406" t="inlineStr">
        <is>
          <t>Split by SYS_FLAG</t>
        </is>
      </c>
      <c r="B406" t="inlineStr">
        <is>
          <t>Charge-offs</t>
        </is>
      </c>
      <c r="C406" t="n">
        <v>956</v>
      </c>
      <c r="D406" t="inlineStr">
        <is>
          <t>ORIG_BAL 49,152 - 59,984</t>
        </is>
      </c>
      <c r="E406" t="inlineStr">
        <is>
          <t>Broker</t>
        </is>
      </c>
      <c r="F406" t="inlineStr">
        <is>
          <t>Y</t>
        </is>
      </c>
      <c r="G406" t="n">
        <v>242</v>
      </c>
      <c r="H406" t="n">
        <v>1.796712496545756</v>
      </c>
      <c r="J406" t="n">
        <v>15</v>
      </c>
      <c r="K406">
        <f>'_pockets'!$AI$956</f>
        <v/>
      </c>
      <c r="L406">
        <f>'_pockets'!$AJ$956</f>
        <v/>
      </c>
      <c r="M406">
        <f>IF(AND($A406='Pockets'!$D$17,$B406='Pockets'!$C$17,OR('Pockets'!$E$17="All",AND('Pockets'!$E$17="Worse and material",$K406="Yes",$L406="Yes"),AND('Pockets'!$E$17="Worse or not sure",OR($K406="Yes",$K406="Not sure")))),1,0)</f>
        <v/>
      </c>
      <c r="N406">
        <f>$N405+$M406</f>
        <v/>
      </c>
      <c r="O406" t="inlineStr">
        <is>
          <t>three-way</t>
        </is>
      </c>
      <c r="P406" t="inlineStr">
        <is>
          <t>gco_rate</t>
        </is>
      </c>
    </row>
    <row r="407">
      <c r="A407" t="inlineStr">
        <is>
          <t>Split by SYS_FLAG</t>
        </is>
      </c>
      <c r="B407" t="inlineStr">
        <is>
          <t>Charge-offs</t>
        </is>
      </c>
      <c r="C407" t="n">
        <v>901</v>
      </c>
      <c r="D407" t="inlineStr">
        <is>
          <t>ORIG_BAL 49,152 - 59,984</t>
        </is>
      </c>
      <c r="E407" t="inlineStr">
        <is>
          <t>Online</t>
        </is>
      </c>
      <c r="F407" t="inlineStr">
        <is>
          <t>Y</t>
        </is>
      </c>
      <c r="G407" t="n">
        <v>274</v>
      </c>
      <c r="H407" t="n">
        <v>1.744761727343092</v>
      </c>
      <c r="J407" t="n">
        <v>16</v>
      </c>
      <c r="K407">
        <f>'_pockets'!$AI$901</f>
        <v/>
      </c>
      <c r="L407">
        <f>'_pockets'!$AJ$901</f>
        <v/>
      </c>
      <c r="M407">
        <f>IF(AND($A407='Pockets'!$D$17,$B407='Pockets'!$C$17,OR('Pockets'!$E$17="All",AND('Pockets'!$E$17="Worse and material",$K407="Yes",$L407="Yes"),AND('Pockets'!$E$17="Worse or not sure",OR($K407="Yes",$K407="Not sure")))),1,0)</f>
        <v/>
      </c>
      <c r="N407">
        <f>$N406+$M407</f>
        <v/>
      </c>
      <c r="O407" t="inlineStr">
        <is>
          <t>three-way</t>
        </is>
      </c>
      <c r="P407" t="inlineStr">
        <is>
          <t>gco_rate</t>
        </is>
      </c>
    </row>
    <row r="408">
      <c r="A408" t="inlineStr">
        <is>
          <t>Split by SYS_FLAG</t>
        </is>
      </c>
      <c r="B408" t="inlineStr">
        <is>
          <t>Charge-offs</t>
        </is>
      </c>
      <c r="C408" t="n">
        <v>1056</v>
      </c>
      <c r="D408" t="inlineStr">
        <is>
          <t>ORIG_BAL 49,152 - 59,984</t>
        </is>
      </c>
      <c r="E408" t="inlineStr">
        <is>
          <t>ASSET_CLASS 1</t>
        </is>
      </c>
      <c r="F408" t="inlineStr">
        <is>
          <t>Y</t>
        </is>
      </c>
      <c r="G408" t="n">
        <v>195</v>
      </c>
      <c r="H408" t="n">
        <v>1.896423773619334</v>
      </c>
      <c r="J408" t="n">
        <v>17</v>
      </c>
      <c r="K408">
        <f>'_pockets'!$AI$1056</f>
        <v/>
      </c>
      <c r="L408">
        <f>'_pockets'!$AJ$1056</f>
        <v/>
      </c>
      <c r="M408">
        <f>IF(AND($A408='Pockets'!$D$17,$B408='Pockets'!$C$17,OR('Pockets'!$E$17="All",AND('Pockets'!$E$17="Worse and material",$K408="Yes",$L408="Yes"),AND('Pockets'!$E$17="Worse or not sure",OR($K408="Yes",$K408="Not sure")))),1,0)</f>
        <v/>
      </c>
      <c r="N408">
        <f>$N407+$M408</f>
        <v/>
      </c>
      <c r="O408" t="inlineStr">
        <is>
          <t>three-way</t>
        </is>
      </c>
      <c r="P408" t="inlineStr">
        <is>
          <t>gco_rate</t>
        </is>
      </c>
    </row>
    <row r="409">
      <c r="A409" t="inlineStr">
        <is>
          <t>Split by SYS_FLAG</t>
        </is>
      </c>
      <c r="B409" t="inlineStr">
        <is>
          <t>Charge-offs</t>
        </is>
      </c>
      <c r="C409" t="n">
        <v>1141</v>
      </c>
      <c r="D409" t="inlineStr">
        <is>
          <t>ORIG_BAL 37,951 - 49,151</t>
        </is>
      </c>
      <c r="E409" t="inlineStr">
        <is>
          <t>ASSET_CLASS 3</t>
        </is>
      </c>
      <c r="F409" t="inlineStr">
        <is>
          <t>Y</t>
        </is>
      </c>
      <c r="G409" t="n">
        <v>195</v>
      </c>
      <c r="H409" t="n">
        <v>1.896423773619334</v>
      </c>
      <c r="J409" t="n">
        <v>18</v>
      </c>
      <c r="K409">
        <f>'_pockets'!$AI$1141</f>
        <v/>
      </c>
      <c r="L409">
        <f>'_pockets'!$AJ$1141</f>
        <v/>
      </c>
      <c r="M409">
        <f>IF(AND($A409='Pockets'!$D$17,$B409='Pockets'!$C$17,OR('Pockets'!$E$17="All",AND('Pockets'!$E$17="Worse and material",$K409="Yes",$L409="Yes"),AND('Pockets'!$E$17="Worse or not sure",OR($K409="Yes",$K409="Not sure")))),1,0)</f>
        <v/>
      </c>
      <c r="N409">
        <f>$N408+$M409</f>
        <v/>
      </c>
      <c r="O409" t="inlineStr">
        <is>
          <t>three-way</t>
        </is>
      </c>
      <c r="P409" t="inlineStr">
        <is>
          <t>gco_rate</t>
        </is>
      </c>
    </row>
    <row r="410">
      <c r="A410" t="inlineStr">
        <is>
          <t>Split by SYS_FLAG</t>
        </is>
      </c>
      <c r="B410" t="inlineStr">
        <is>
          <t>Charge-offs</t>
        </is>
      </c>
      <c r="C410" t="n">
        <v>761</v>
      </c>
      <c r="D410" t="inlineStr">
        <is>
          <t>FICO 496 - 653</t>
        </is>
      </c>
      <c r="E410" t="inlineStr">
        <is>
          <t>ASSET_CLASS 1</t>
        </is>
      </c>
      <c r="F410" t="inlineStr">
        <is>
          <t>Y</t>
        </is>
      </c>
      <c r="G410" t="n">
        <v>186</v>
      </c>
      <c r="H410" t="n">
        <v>1.919965748584618</v>
      </c>
      <c r="J410" t="n">
        <v>19</v>
      </c>
      <c r="K410">
        <f>'_pockets'!$AI$761</f>
        <v/>
      </c>
      <c r="L410">
        <f>'_pockets'!$AJ$761</f>
        <v/>
      </c>
      <c r="M410">
        <f>IF(AND($A410='Pockets'!$D$17,$B410='Pockets'!$C$17,OR('Pockets'!$E$17="All",AND('Pockets'!$E$17="Worse and material",$K410="Yes",$L410="Yes"),AND('Pockets'!$E$17="Worse or not sure",OR($K410="Yes",$K410="Not sure")))),1,0)</f>
        <v/>
      </c>
      <c r="N410">
        <f>$N409+$M410</f>
        <v/>
      </c>
      <c r="O410" t="inlineStr">
        <is>
          <t>three-way</t>
        </is>
      </c>
      <c r="P410" t="inlineStr">
        <is>
          <t>gco_rate</t>
        </is>
      </c>
    </row>
    <row r="411">
      <c r="A411" t="inlineStr">
        <is>
          <t>Split by SYS_FLAG</t>
        </is>
      </c>
      <c r="B411" t="inlineStr">
        <is>
          <t>Charge-offs</t>
        </is>
      </c>
      <c r="C411" t="n">
        <v>981</v>
      </c>
      <c r="D411" t="inlineStr">
        <is>
          <t>ORIG_BAL 15,449 - 26,323</t>
        </is>
      </c>
      <c r="E411" t="inlineStr">
        <is>
          <t>Broker</t>
        </is>
      </c>
      <c r="F411" t="inlineStr">
        <is>
          <t>Y</t>
        </is>
      </c>
      <c r="G411" t="n">
        <v>244</v>
      </c>
      <c r="H411" t="n">
        <v>1.793153328610977</v>
      </c>
      <c r="J411" t="n">
        <v>20</v>
      </c>
      <c r="K411">
        <f>'_pockets'!$AI$981</f>
        <v/>
      </c>
      <c r="L411">
        <f>'_pockets'!$AJ$981</f>
        <v/>
      </c>
      <c r="M411">
        <f>IF(AND($A411='Pockets'!$D$17,$B411='Pockets'!$C$17,OR('Pockets'!$E$17="All",AND('Pockets'!$E$17="Worse and material",$K411="Yes",$L411="Yes"),AND('Pockets'!$E$17="Worse or not sure",OR($K411="Yes",$K411="Not sure")))),1,0)</f>
        <v/>
      </c>
      <c r="N411">
        <f>$N410+$M411</f>
        <v/>
      </c>
      <c r="O411" t="inlineStr">
        <is>
          <t>three-way</t>
        </is>
      </c>
      <c r="P411" t="inlineStr">
        <is>
          <t>gco_rate</t>
        </is>
      </c>
    </row>
    <row r="412">
      <c r="A412" t="inlineStr">
        <is>
          <t>Split by SYS_FLAG</t>
        </is>
      </c>
      <c r="B412" t="inlineStr">
        <is>
          <t>Charge-offs</t>
        </is>
      </c>
      <c r="C412" t="n">
        <v>906</v>
      </c>
      <c r="D412" t="inlineStr">
        <is>
          <t>ORIG_BAL 26,324 - 37,950</t>
        </is>
      </c>
      <c r="E412" t="inlineStr">
        <is>
          <t>Online</t>
        </is>
      </c>
      <c r="F412" t="inlineStr">
        <is>
          <t>Y</t>
        </is>
      </c>
      <c r="G412" t="n">
        <v>231</v>
      </c>
      <c r="H412" t="n">
        <v>1.817150809607721</v>
      </c>
      <c r="J412" t="n">
        <v>21</v>
      </c>
      <c r="K412">
        <f>'_pockets'!$AI$906</f>
        <v/>
      </c>
      <c r="L412">
        <f>'_pockets'!$AJ$906</f>
        <v/>
      </c>
      <c r="M412">
        <f>IF(AND($A412='Pockets'!$D$17,$B412='Pockets'!$C$17,OR('Pockets'!$E$17="All",AND('Pockets'!$E$17="Worse and material",$K412="Yes",$L412="Yes"),AND('Pockets'!$E$17="Worse or not sure",OR($K412="Yes",$K412="Not sure")))),1,0)</f>
        <v/>
      </c>
      <c r="N412">
        <f>$N411+$M412</f>
        <v/>
      </c>
      <c r="O412" t="inlineStr">
        <is>
          <t>three-way</t>
        </is>
      </c>
      <c r="P412" t="inlineStr">
        <is>
          <t>gco_rate</t>
        </is>
      </c>
    </row>
    <row r="413">
      <c r="A413" t="inlineStr">
        <is>
          <t>Split by SYS_FLAG</t>
        </is>
      </c>
      <c r="B413" t="inlineStr">
        <is>
          <t>Charge-offs</t>
        </is>
      </c>
      <c r="C413" t="n">
        <v>691</v>
      </c>
      <c r="D413" t="inlineStr">
        <is>
          <t>FICO 496 - 653</t>
        </is>
      </c>
      <c r="E413" t="inlineStr">
        <is>
          <t>ASSET_CLASS 3</t>
        </is>
      </c>
      <c r="F413" t="inlineStr">
        <is>
          <t>Y</t>
        </is>
      </c>
      <c r="G413" t="n">
        <v>166</v>
      </c>
      <c r="H413" t="n">
        <v>1.979388416822829</v>
      </c>
      <c r="J413" t="n">
        <v>22</v>
      </c>
      <c r="K413">
        <f>'_pockets'!$AI$691</f>
        <v/>
      </c>
      <c r="L413">
        <f>'_pockets'!$AJ$691</f>
        <v/>
      </c>
      <c r="M413">
        <f>IF(AND($A413='Pockets'!$D$17,$B413='Pockets'!$C$17,OR('Pockets'!$E$17="All",AND('Pockets'!$E$17="Worse and material",$K413="Yes",$L413="Yes"),AND('Pockets'!$E$17="Worse or not sure",OR($K413="Yes",$K413="Not sure")))),1,0)</f>
        <v/>
      </c>
      <c r="N413">
        <f>$N412+$M413</f>
        <v/>
      </c>
      <c r="O413" t="inlineStr">
        <is>
          <t>three-way</t>
        </is>
      </c>
      <c r="P413" t="inlineStr">
        <is>
          <t>gco_rate</t>
        </is>
      </c>
    </row>
    <row r="414">
      <c r="A414" t="inlineStr">
        <is>
          <t>Split by SYS_FLAG</t>
        </is>
      </c>
      <c r="B414" t="inlineStr">
        <is>
          <t>Charge-offs</t>
        </is>
      </c>
      <c r="C414" t="n">
        <v>951</v>
      </c>
      <c r="D414" t="inlineStr">
        <is>
          <t>ORIG_BAL 49,152 - 59,984</t>
        </is>
      </c>
      <c r="E414" t="inlineStr">
        <is>
          <t>Broker</t>
        </is>
      </c>
      <c r="F414" t="inlineStr">
        <is>
          <t>N</t>
        </is>
      </c>
      <c r="G414" t="n">
        <v>278</v>
      </c>
      <c r="H414" t="n">
        <v>1.738937289700018</v>
      </c>
      <c r="J414" t="n">
        <v>23</v>
      </c>
      <c r="K414">
        <f>'_pockets'!$AI$951</f>
        <v/>
      </c>
      <c r="L414">
        <f>'_pockets'!$AJ$951</f>
        <v/>
      </c>
      <c r="M414">
        <f>IF(AND($A414='Pockets'!$D$17,$B414='Pockets'!$C$17,OR('Pockets'!$E$17="All",AND('Pockets'!$E$17="Worse and material",$K414="Yes",$L414="Yes"),AND('Pockets'!$E$17="Worse or not sure",OR($K414="Yes",$K414="Not sure")))),1,0)</f>
        <v/>
      </c>
      <c r="N414">
        <f>$N413+$M414</f>
        <v/>
      </c>
      <c r="O414" t="inlineStr">
        <is>
          <t>three-way</t>
        </is>
      </c>
      <c r="P414" t="inlineStr">
        <is>
          <t>gco_rate</t>
        </is>
      </c>
    </row>
    <row r="415">
      <c r="A415" t="inlineStr">
        <is>
          <t>Split by SYS_FLAG</t>
        </is>
      </c>
      <c r="B415" t="inlineStr">
        <is>
          <t>Charge-offs</t>
        </is>
      </c>
      <c r="C415" t="n">
        <v>651</v>
      </c>
      <c r="D415" t="inlineStr">
        <is>
          <t>FICO 496 - 653</t>
        </is>
      </c>
      <c r="E415" t="inlineStr">
        <is>
          <t>ASSET_CLASS 4</t>
        </is>
      </c>
      <c r="F415" t="inlineStr">
        <is>
          <t>N</t>
        </is>
      </c>
      <c r="G415" t="n">
        <v>203</v>
      </c>
      <c r="H415" t="n">
        <v>1.87689759141844</v>
      </c>
      <c r="J415" t="n">
        <v>24</v>
      </c>
      <c r="K415">
        <f>'_pockets'!$AI$651</f>
        <v/>
      </c>
      <c r="L415">
        <f>'_pockets'!$AJ$651</f>
        <v/>
      </c>
      <c r="M415">
        <f>IF(AND($A415='Pockets'!$D$17,$B415='Pockets'!$C$17,OR('Pockets'!$E$17="All",AND('Pockets'!$E$17="Worse and material",$K415="Yes",$L415="Yes"),AND('Pockets'!$E$17="Worse or not sure",OR($K415="Yes",$K415="Not sure")))),1,0)</f>
        <v/>
      </c>
      <c r="N415">
        <f>$N414+$M415</f>
        <v/>
      </c>
      <c r="O415" t="inlineStr">
        <is>
          <t>three-way</t>
        </is>
      </c>
      <c r="P415" t="inlineStr">
        <is>
          <t>gco_rate</t>
        </is>
      </c>
    </row>
    <row r="416">
      <c r="A416" t="inlineStr">
        <is>
          <t>Split by SYS_FLAG</t>
        </is>
      </c>
      <c r="B416" t="inlineStr">
        <is>
          <t>Charge-offs</t>
        </is>
      </c>
      <c r="C416" t="n">
        <v>656</v>
      </c>
      <c r="D416" t="inlineStr">
        <is>
          <t>FICO 686 - 711</t>
        </is>
      </c>
      <c r="E416" t="inlineStr">
        <is>
          <t>ASSET_CLASS 4</t>
        </is>
      </c>
      <c r="F416" t="inlineStr">
        <is>
          <t>Y</t>
        </is>
      </c>
      <c r="G416" t="n">
        <v>172</v>
      </c>
      <c r="H416" t="n">
        <v>1.960413411682196</v>
      </c>
      <c r="J416" t="n">
        <v>25</v>
      </c>
      <c r="K416">
        <f>'_pockets'!$AI$656</f>
        <v/>
      </c>
      <c r="L416">
        <f>'_pockets'!$AJ$656</f>
        <v/>
      </c>
      <c r="M416">
        <f>IF(AND($A416='Pockets'!$D$17,$B416='Pockets'!$C$17,OR('Pockets'!$E$17="All",AND('Pockets'!$E$17="Worse and material",$K416="Yes",$L416="Yes"),AND('Pockets'!$E$17="Worse or not sure",OR($K416="Yes",$K416="Not sure")))),1,0)</f>
        <v/>
      </c>
      <c r="N416">
        <f>$N415+$M416</f>
        <v/>
      </c>
      <c r="O416" t="inlineStr">
        <is>
          <t>three-way</t>
        </is>
      </c>
      <c r="P416" t="inlineStr">
        <is>
          <t>gco_rate</t>
        </is>
      </c>
    </row>
    <row r="417">
      <c r="A417" t="inlineStr">
        <is>
          <t>Split by SYS_FLAG</t>
        </is>
      </c>
      <c r="B417" t="inlineStr">
        <is>
          <t>Charge-offs</t>
        </is>
      </c>
      <c r="C417" t="n">
        <v>816</v>
      </c>
      <c r="D417" t="inlineStr">
        <is>
          <t>FICO 686 - 711</t>
        </is>
      </c>
      <c r="E417" t="inlineStr">
        <is>
          <t>ASSET_CLASS 3</t>
        </is>
      </c>
      <c r="F417" t="inlineStr">
        <is>
          <t>Y</t>
        </is>
      </c>
      <c r="G417" t="n">
        <v>196</v>
      </c>
      <c r="H417" t="n">
        <v>1.893914133256593</v>
      </c>
      <c r="J417" t="n">
        <v>26</v>
      </c>
      <c r="K417">
        <f>'_pockets'!$AI$816</f>
        <v/>
      </c>
      <c r="L417">
        <f>'_pockets'!$AJ$816</f>
        <v/>
      </c>
      <c r="M417">
        <f>IF(AND($A417='Pockets'!$D$17,$B417='Pockets'!$C$17,OR('Pockets'!$E$17="All",AND('Pockets'!$E$17="Worse and material",$K417="Yes",$L417="Yes"),AND('Pockets'!$E$17="Worse or not sure",OR($K417="Yes",$K417="Not sure")))),1,0)</f>
        <v/>
      </c>
      <c r="N417">
        <f>$N416+$M417</f>
        <v/>
      </c>
      <c r="O417" t="inlineStr">
        <is>
          <t>three-way</t>
        </is>
      </c>
      <c r="P417" t="inlineStr">
        <is>
          <t>gco_rate</t>
        </is>
      </c>
    </row>
    <row r="418">
      <c r="A418" t="inlineStr">
        <is>
          <t>Split by SYS_FLAG</t>
        </is>
      </c>
      <c r="B418" t="inlineStr">
        <is>
          <t>Charge-offs</t>
        </is>
      </c>
      <c r="C418" t="n">
        <v>781</v>
      </c>
      <c r="D418" t="inlineStr">
        <is>
          <t>FICO 654 - 685</t>
        </is>
      </c>
      <c r="E418" t="inlineStr">
        <is>
          <t>ASSET_CLASS 3</t>
        </is>
      </c>
      <c r="F418" t="inlineStr">
        <is>
          <t>Y</t>
        </is>
      </c>
      <c r="G418" t="n">
        <v>193</v>
      </c>
      <c r="H418" t="n">
        <v>1.901504730190231</v>
      </c>
      <c r="J418" t="n">
        <v>27</v>
      </c>
      <c r="K418">
        <f>'_pockets'!$AI$781</f>
        <v/>
      </c>
      <c r="L418">
        <f>'_pockets'!$AJ$781</f>
        <v/>
      </c>
      <c r="M418">
        <f>IF(AND($A418='Pockets'!$D$17,$B418='Pockets'!$C$17,OR('Pockets'!$E$17="All",AND('Pockets'!$E$17="Worse and material",$K418="Yes",$L418="Yes"),AND('Pockets'!$E$17="Worse or not sure",OR($K418="Yes",$K418="Not sure")))),1,0)</f>
        <v/>
      </c>
      <c r="N418">
        <f>$N417+$M418</f>
        <v/>
      </c>
      <c r="O418" t="inlineStr">
        <is>
          <t>three-way</t>
        </is>
      </c>
      <c r="P418" t="inlineStr">
        <is>
          <t>gco_rate</t>
        </is>
      </c>
    </row>
    <row r="419">
      <c r="A419" t="inlineStr">
        <is>
          <t>Split by SYS_FLAG</t>
        </is>
      </c>
      <c r="B419" t="inlineStr">
        <is>
          <t>Charge-offs</t>
        </is>
      </c>
      <c r="C419" t="n">
        <v>1126</v>
      </c>
      <c r="D419" t="inlineStr">
        <is>
          <t>ORIG_BAL 49,152 - 59,984</t>
        </is>
      </c>
      <c r="E419" t="inlineStr">
        <is>
          <t>ASSET_CLASS 2</t>
        </is>
      </c>
      <c r="F419" t="inlineStr">
        <is>
          <t>Y</t>
        </is>
      </c>
      <c r="G419" t="n">
        <v>197</v>
      </c>
      <c r="H419" t="n">
        <v>1.891424688929007</v>
      </c>
      <c r="J419" t="n">
        <v>28</v>
      </c>
      <c r="K419">
        <f>'_pockets'!$AI$1126</f>
        <v/>
      </c>
      <c r="L419">
        <f>'_pockets'!$AJ$1126</f>
        <v/>
      </c>
      <c r="M419">
        <f>IF(AND($A419='Pockets'!$D$17,$B419='Pockets'!$C$17,OR('Pockets'!$E$17="All",AND('Pockets'!$E$17="Worse and material",$K419="Yes",$L419="Yes"),AND('Pockets'!$E$17="Worse or not sure",OR($K419="Yes",$K419="Not sure")))),1,0)</f>
        <v/>
      </c>
      <c r="N419">
        <f>$N418+$M419</f>
        <v/>
      </c>
      <c r="O419" t="inlineStr">
        <is>
          <t>three-way</t>
        </is>
      </c>
      <c r="P419" t="inlineStr">
        <is>
          <t>gco_rate</t>
        </is>
      </c>
    </row>
    <row r="420">
      <c r="A420" t="inlineStr">
        <is>
          <t>Split by SYS_FLAG</t>
        </is>
      </c>
      <c r="B420" t="inlineStr">
        <is>
          <t>Charge-offs</t>
        </is>
      </c>
      <c r="C420" t="n">
        <v>626</v>
      </c>
      <c r="D420" t="inlineStr">
        <is>
          <t>FICO 746 - 921</t>
        </is>
      </c>
      <c r="E420" t="inlineStr">
        <is>
          <t>ASSET_CLASS 2</t>
        </is>
      </c>
      <c r="F420" t="inlineStr">
        <is>
          <t>Y</t>
        </is>
      </c>
      <c r="G420" t="n">
        <v>180</v>
      </c>
      <c r="H420" t="n">
        <v>1.936688816548304</v>
      </c>
      <c r="J420" t="n">
        <v>29</v>
      </c>
      <c r="K420">
        <f>'_pockets'!$AI$626</f>
        <v/>
      </c>
      <c r="L420">
        <f>'_pockets'!$AJ$626</f>
        <v/>
      </c>
      <c r="M420">
        <f>IF(AND($A420='Pockets'!$D$17,$B420='Pockets'!$C$17,OR('Pockets'!$E$17="All",AND('Pockets'!$E$17="Worse and material",$K420="Yes",$L420="Yes"),AND('Pockets'!$E$17="Worse or not sure",OR($K420="Yes",$K420="Not sure")))),1,0)</f>
        <v/>
      </c>
      <c r="N420">
        <f>$N419+$M420</f>
        <v/>
      </c>
      <c r="O420" t="inlineStr">
        <is>
          <t>three-way</t>
        </is>
      </c>
      <c r="P420" t="inlineStr">
        <is>
          <t>gco_rate</t>
        </is>
      </c>
    </row>
    <row r="421">
      <c r="A421" t="inlineStr">
        <is>
          <t>Split by SYS_FLAG</t>
        </is>
      </c>
      <c r="B421" t="inlineStr">
        <is>
          <t>Charge-offs</t>
        </is>
      </c>
      <c r="C421" t="n">
        <v>926</v>
      </c>
      <c r="D421" t="inlineStr">
        <is>
          <t>ORIG_BAL 49,152 - 59,984</t>
        </is>
      </c>
      <c r="E421" t="inlineStr">
        <is>
          <t>Branch</t>
        </is>
      </c>
      <c r="F421" t="inlineStr">
        <is>
          <t>Y</t>
        </is>
      </c>
      <c r="G421" t="n">
        <v>226</v>
      </c>
      <c r="H421" t="n">
        <v>1.826956773989503</v>
      </c>
      <c r="J421" t="n">
        <v>30</v>
      </c>
      <c r="K421">
        <f>'_pockets'!$AI$926</f>
        <v/>
      </c>
      <c r="L421">
        <f>'_pockets'!$AJ$926</f>
        <v/>
      </c>
      <c r="M421">
        <f>IF(AND($A421='Pockets'!$D$17,$B421='Pockets'!$C$17,OR('Pockets'!$E$17="All",AND('Pockets'!$E$17="Worse and material",$K421="Yes",$L421="Yes"),AND('Pockets'!$E$17="Worse or not sure",OR($K421="Yes",$K421="Not sure")))),1,0)</f>
        <v/>
      </c>
      <c r="N421">
        <f>$N420+$M421</f>
        <v/>
      </c>
      <c r="O421" t="inlineStr">
        <is>
          <t>three-way</t>
        </is>
      </c>
      <c r="P421" t="inlineStr">
        <is>
          <t>gco_rate</t>
        </is>
      </c>
    </row>
    <row r="422">
      <c r="A422" t="inlineStr">
        <is>
          <t>Split by SYS_FLAG</t>
        </is>
      </c>
      <c r="B422" t="inlineStr">
        <is>
          <t>Charge-offs</t>
        </is>
      </c>
      <c r="C422" t="n">
        <v>551</v>
      </c>
      <c r="D422" t="inlineStr">
        <is>
          <t>FICO 746 - 921</t>
        </is>
      </c>
      <c r="E422" t="inlineStr">
        <is>
          <t>Broker</t>
        </is>
      </c>
      <c r="F422" t="inlineStr">
        <is>
          <t>Y</t>
        </is>
      </c>
      <c r="G422" t="n">
        <v>237</v>
      </c>
      <c r="H422" t="n">
        <v>1.805816990102185</v>
      </c>
      <c r="J422" t="n">
        <v>31</v>
      </c>
      <c r="K422">
        <f>'_pockets'!$AI$551</f>
        <v/>
      </c>
      <c r="L422">
        <f>'_pockets'!$AJ$551</f>
        <v/>
      </c>
      <c r="M422">
        <f>IF(AND($A422='Pockets'!$D$17,$B422='Pockets'!$C$17,OR('Pockets'!$E$17="All",AND('Pockets'!$E$17="Worse and material",$K422="Yes",$L422="Yes"),AND('Pockets'!$E$17="Worse or not sure",OR($K422="Yes",$K422="Not sure")))),1,0)</f>
        <v/>
      </c>
      <c r="N422">
        <f>$N421+$M422</f>
        <v/>
      </c>
      <c r="O422" t="inlineStr">
        <is>
          <t>three-way</t>
        </is>
      </c>
      <c r="P422" t="inlineStr">
        <is>
          <t>gco_rate</t>
        </is>
      </c>
    </row>
    <row r="423">
      <c r="A423" t="inlineStr">
        <is>
          <t>Split by SYS_FLAG</t>
        </is>
      </c>
      <c r="B423" t="inlineStr">
        <is>
          <t>Charge-offs</t>
        </is>
      </c>
      <c r="C423" t="n">
        <v>931</v>
      </c>
      <c r="D423" t="inlineStr">
        <is>
          <t>ORIG_BAL 5,005 - 15,448</t>
        </is>
      </c>
      <c r="E423" t="inlineStr">
        <is>
          <t>Online</t>
        </is>
      </c>
      <c r="F423" t="inlineStr">
        <is>
          <t>Y</t>
        </is>
      </c>
      <c r="G423" t="n">
        <v>242</v>
      </c>
      <c r="H423" t="n">
        <v>1.796712496545756</v>
      </c>
      <c r="J423" t="n">
        <v>32</v>
      </c>
      <c r="K423">
        <f>'_pockets'!$AI$931</f>
        <v/>
      </c>
      <c r="L423">
        <f>'_pockets'!$AJ$931</f>
        <v/>
      </c>
      <c r="M423">
        <f>IF(AND($A423='Pockets'!$D$17,$B423='Pockets'!$C$17,OR('Pockets'!$E$17="All",AND('Pockets'!$E$17="Worse and material",$K423="Yes",$L423="Yes"),AND('Pockets'!$E$17="Worse or not sure",OR($K423="Yes",$K423="Not sure")))),1,0)</f>
        <v/>
      </c>
      <c r="N423">
        <f>$N422+$M423</f>
        <v/>
      </c>
      <c r="O423" t="inlineStr">
        <is>
          <t>three-way</t>
        </is>
      </c>
      <c r="P423" t="inlineStr">
        <is>
          <t>gco_rate</t>
        </is>
      </c>
    </row>
    <row r="424">
      <c r="A424" t="inlineStr">
        <is>
          <t>Split by SYS_FLAG</t>
        </is>
      </c>
      <c r="B424" t="inlineStr">
        <is>
          <t>Charge-offs</t>
        </is>
      </c>
      <c r="C424" t="n">
        <v>716</v>
      </c>
      <c r="D424" t="inlineStr">
        <is>
          <t>FICO 654 - 685</t>
        </is>
      </c>
      <c r="E424" t="inlineStr">
        <is>
          <t>ASSET_CLASS 2</t>
        </is>
      </c>
      <c r="F424" t="inlineStr">
        <is>
          <t>Y</t>
        </is>
      </c>
      <c r="G424" t="n">
        <v>163</v>
      </c>
      <c r="H424" t="n">
        <v>1.989289938911757</v>
      </c>
      <c r="J424" t="n">
        <v>33</v>
      </c>
      <c r="K424">
        <f>'_pockets'!$AI$716</f>
        <v/>
      </c>
      <c r="L424">
        <f>'_pockets'!$AJ$716</f>
        <v/>
      </c>
      <c r="M424">
        <f>IF(AND($A424='Pockets'!$D$17,$B424='Pockets'!$C$17,OR('Pockets'!$E$17="All",AND('Pockets'!$E$17="Worse and material",$K424="Yes",$L424="Yes"),AND('Pockets'!$E$17="Worse or not sure",OR($K424="Yes",$K424="Not sure")))),1,0)</f>
        <v/>
      </c>
      <c r="N424">
        <f>$N423+$M424</f>
        <v/>
      </c>
      <c r="O424" t="inlineStr">
        <is>
          <t>three-way</t>
        </is>
      </c>
      <c r="P424" t="inlineStr">
        <is>
          <t>gco_rate</t>
        </is>
      </c>
    </row>
    <row r="425">
      <c r="A425" t="inlineStr">
        <is>
          <t>Split by SYS_FLAG</t>
        </is>
      </c>
      <c r="B425" t="inlineStr">
        <is>
          <t>Charge-offs</t>
        </is>
      </c>
      <c r="C425" t="n">
        <v>1041</v>
      </c>
      <c r="D425" t="inlineStr">
        <is>
          <t>ORIG_BAL 15,449 - 26,323</t>
        </is>
      </c>
      <c r="E425" t="inlineStr">
        <is>
          <t>ASSET_CLASS 4</t>
        </is>
      </c>
      <c r="F425" t="inlineStr">
        <is>
          <t>N</t>
        </is>
      </c>
      <c r="G425" t="n">
        <v>223</v>
      </c>
      <c r="H425" t="n">
        <v>1.833006463176066</v>
      </c>
      <c r="J425" t="n">
        <v>34</v>
      </c>
      <c r="K425">
        <f>'_pockets'!$AI$1041</f>
        <v/>
      </c>
      <c r="L425">
        <f>'_pockets'!$AJ$1041</f>
        <v/>
      </c>
      <c r="M425">
        <f>IF(AND($A425='Pockets'!$D$17,$B425='Pockets'!$C$17,OR('Pockets'!$E$17="All",AND('Pockets'!$E$17="Worse and material",$K425="Yes",$L425="Yes"),AND('Pockets'!$E$17="Worse or not sure",OR($K425="Yes",$K425="Not sure")))),1,0)</f>
        <v/>
      </c>
      <c r="N425">
        <f>$N424+$M425</f>
        <v/>
      </c>
      <c r="O425" t="inlineStr">
        <is>
          <t>three-way</t>
        </is>
      </c>
      <c r="P425" t="inlineStr">
        <is>
          <t>gco_rate</t>
        </is>
      </c>
    </row>
    <row r="426">
      <c r="A426" t="inlineStr">
        <is>
          <t>Split by SYS_FLAG</t>
        </is>
      </c>
      <c r="B426" t="inlineStr">
        <is>
          <t>Charge-offs</t>
        </is>
      </c>
      <c r="C426" t="n">
        <v>1146</v>
      </c>
      <c r="D426" t="inlineStr">
        <is>
          <t>ORIG_BAL 15,449 - 26,323</t>
        </is>
      </c>
      <c r="E426" t="inlineStr">
        <is>
          <t>ASSET_CLASS 3</t>
        </is>
      </c>
      <c r="F426" t="inlineStr">
        <is>
          <t>Y</t>
        </is>
      </c>
      <c r="G426" t="n">
        <v>193</v>
      </c>
      <c r="H426" t="n">
        <v>1.901504730190231</v>
      </c>
      <c r="J426" t="n">
        <v>35</v>
      </c>
      <c r="K426">
        <f>'_pockets'!$AI$1146</f>
        <v/>
      </c>
      <c r="L426">
        <f>'_pockets'!$AJ$1146</f>
        <v/>
      </c>
      <c r="M426">
        <f>IF(AND($A426='Pockets'!$D$17,$B426='Pockets'!$C$17,OR('Pockets'!$E$17="All",AND('Pockets'!$E$17="Worse and material",$K426="Yes",$L426="Yes"),AND('Pockets'!$E$17="Worse or not sure",OR($K426="Yes",$K426="Not sure")))),1,0)</f>
        <v/>
      </c>
      <c r="N426">
        <f>$N425+$M426</f>
        <v/>
      </c>
      <c r="O426" t="inlineStr">
        <is>
          <t>three-way</t>
        </is>
      </c>
      <c r="P426" t="inlineStr">
        <is>
          <t>gco_rate</t>
        </is>
      </c>
    </row>
    <row r="427">
      <c r="A427" t="inlineStr">
        <is>
          <t>Split by SYS_FLAG</t>
        </is>
      </c>
      <c r="B427" t="inlineStr">
        <is>
          <t>Charge-offs</t>
        </is>
      </c>
      <c r="C427" t="n">
        <v>866</v>
      </c>
      <c r="D427" t="inlineStr">
        <is>
          <t>ORIG_BAL 26,324 - 37,950</t>
        </is>
      </c>
      <c r="E427" t="inlineStr">
        <is>
          <t>Branch</t>
        </is>
      </c>
      <c r="F427" t="inlineStr">
        <is>
          <t>Y</t>
        </is>
      </c>
      <c r="G427" t="n">
        <v>236</v>
      </c>
      <c r="H427" t="n">
        <v>1.807674337953708</v>
      </c>
      <c r="J427" t="n">
        <v>36</v>
      </c>
      <c r="K427">
        <f>'_pockets'!$AI$866</f>
        <v/>
      </c>
      <c r="L427">
        <f>'_pockets'!$AJ$866</f>
        <v/>
      </c>
      <c r="M427">
        <f>IF(AND($A427='Pockets'!$D$17,$B427='Pockets'!$C$17,OR('Pockets'!$E$17="All",AND('Pockets'!$E$17="Worse and material",$K427="Yes",$L427="Yes"),AND('Pockets'!$E$17="Worse or not sure",OR($K427="Yes",$K427="Not sure")))),1,0)</f>
        <v/>
      </c>
      <c r="N427">
        <f>$N426+$M427</f>
        <v/>
      </c>
      <c r="O427" t="inlineStr">
        <is>
          <t>three-way</t>
        </is>
      </c>
      <c r="P427" t="inlineStr">
        <is>
          <t>gco_rate</t>
        </is>
      </c>
    </row>
    <row r="428">
      <c r="A428" t="inlineStr">
        <is>
          <t>Split by SYS_FLAG</t>
        </is>
      </c>
      <c r="B428" t="inlineStr">
        <is>
          <t>Charge-offs</t>
        </is>
      </c>
      <c r="C428" t="n">
        <v>1136</v>
      </c>
      <c r="D428" t="inlineStr">
        <is>
          <t>ORIG_BAL 15,449 - 26,323</t>
        </is>
      </c>
      <c r="E428" t="inlineStr">
        <is>
          <t>ASSET_CLASS 1</t>
        </is>
      </c>
      <c r="F428" t="inlineStr">
        <is>
          <t>Y</t>
        </is>
      </c>
      <c r="G428" t="n">
        <v>180</v>
      </c>
      <c r="H428" t="n">
        <v>1.936688816548304</v>
      </c>
      <c r="J428" t="n">
        <v>37</v>
      </c>
      <c r="K428">
        <f>'_pockets'!$AI$1136</f>
        <v/>
      </c>
      <c r="L428">
        <f>'_pockets'!$AJ$1136</f>
        <v/>
      </c>
      <c r="M428">
        <f>IF(AND($A428='Pockets'!$D$17,$B428='Pockets'!$C$17,OR('Pockets'!$E$17="All",AND('Pockets'!$E$17="Worse and material",$K428="Yes",$L428="Yes"),AND('Pockets'!$E$17="Worse or not sure",OR($K428="Yes",$K428="Not sure")))),1,0)</f>
        <v/>
      </c>
      <c r="N428">
        <f>$N427+$M428</f>
        <v/>
      </c>
      <c r="O428" t="inlineStr">
        <is>
          <t>three-way</t>
        </is>
      </c>
      <c r="P428" t="inlineStr">
        <is>
          <t>gco_rate</t>
        </is>
      </c>
    </row>
    <row r="429">
      <c r="A429" t="inlineStr">
        <is>
          <t>Split by SYS_FLAG</t>
        </is>
      </c>
      <c r="B429" t="inlineStr">
        <is>
          <t>Charge-offs</t>
        </is>
      </c>
      <c r="C429" t="n">
        <v>1191</v>
      </c>
      <c r="D429" t="inlineStr">
        <is>
          <t>ORIG_BAL 26,324 - 37,950</t>
        </is>
      </c>
      <c r="E429" t="inlineStr">
        <is>
          <t>ASSET_CLASS 4</t>
        </is>
      </c>
      <c r="F429" t="inlineStr">
        <is>
          <t>N</t>
        </is>
      </c>
      <c r="G429" t="n">
        <v>218</v>
      </c>
      <c r="H429" t="n">
        <v>1.843380370341902</v>
      </c>
      <c r="J429" t="n">
        <v>38</v>
      </c>
      <c r="K429">
        <f>'_pockets'!$AI$1191</f>
        <v/>
      </c>
      <c r="L429">
        <f>'_pockets'!$AJ$1191</f>
        <v/>
      </c>
      <c r="M429">
        <f>IF(AND($A429='Pockets'!$D$17,$B429='Pockets'!$C$17,OR('Pockets'!$E$17="All",AND('Pockets'!$E$17="Worse and material",$K429="Yes",$L429="Yes"),AND('Pockets'!$E$17="Worse or not sure",OR($K429="Yes",$K429="Not sure")))),1,0)</f>
        <v/>
      </c>
      <c r="N429">
        <f>$N428+$M429</f>
        <v/>
      </c>
      <c r="O429" t="inlineStr">
        <is>
          <t>three-way</t>
        </is>
      </c>
      <c r="P429" t="inlineStr">
        <is>
          <t>gco_rate</t>
        </is>
      </c>
    </row>
    <row r="430">
      <c r="A430" t="inlineStr">
        <is>
          <t>Split by SYS_FLAG</t>
        </is>
      </c>
      <c r="B430" t="inlineStr">
        <is>
          <t>Charge-offs</t>
        </is>
      </c>
      <c r="C430" t="n">
        <v>591</v>
      </c>
      <c r="D430" t="inlineStr">
        <is>
          <t>FICO (marked missing)</t>
        </is>
      </c>
      <c r="E430" t="inlineStr">
        <is>
          <t>Broker</t>
        </is>
      </c>
      <c r="F430" t="inlineStr">
        <is>
          <t>Y</t>
        </is>
      </c>
      <c r="G430" t="n">
        <v>25</v>
      </c>
      <c r="H430" t="n">
        <v>3.908905986532663</v>
      </c>
      <c r="J430" t="n">
        <v>39</v>
      </c>
      <c r="K430">
        <f>'_pockets'!$AI$591</f>
        <v/>
      </c>
      <c r="L430">
        <f>'_pockets'!$AJ$591</f>
        <v/>
      </c>
      <c r="M430">
        <f>IF(AND($A430='Pockets'!$D$17,$B430='Pockets'!$C$17,OR('Pockets'!$E$17="All",AND('Pockets'!$E$17="Worse and material",$K430="Yes",$L430="Yes"),AND('Pockets'!$E$17="Worse or not sure",OR($K430="Yes",$K430="Not sure")))),1,0)</f>
        <v/>
      </c>
      <c r="N430">
        <f>$N429+$M430</f>
        <v/>
      </c>
      <c r="O430" t="inlineStr">
        <is>
          <t>three-way</t>
        </is>
      </c>
      <c r="P430" t="inlineStr">
        <is>
          <t>gco_rate</t>
        </is>
      </c>
    </row>
    <row r="431">
      <c r="A431" t="inlineStr">
        <is>
          <t>Split by SYS_FLAG</t>
        </is>
      </c>
      <c r="B431" t="inlineStr">
        <is>
          <t>Charge-offs</t>
        </is>
      </c>
      <c r="C431" t="n">
        <v>436</v>
      </c>
      <c r="D431" t="inlineStr">
        <is>
          <t>FICO 746 - 921</t>
        </is>
      </c>
      <c r="E431" t="inlineStr">
        <is>
          <t>Branch</t>
        </is>
      </c>
      <c r="F431" t="inlineStr">
        <is>
          <t>Y</t>
        </is>
      </c>
      <c r="G431" t="n">
        <v>239</v>
      </c>
      <c r="H431" t="n">
        <v>1.802139139561763</v>
      </c>
      <c r="J431" t="n">
        <v>40</v>
      </c>
      <c r="K431">
        <f>'_pockets'!$AI$436</f>
        <v/>
      </c>
      <c r="L431">
        <f>'_pockets'!$AJ$436</f>
        <v/>
      </c>
      <c r="M431">
        <f>IF(AND($A431='Pockets'!$D$17,$B431='Pockets'!$C$17,OR('Pockets'!$E$17="All",AND('Pockets'!$E$17="Worse and material",$K431="Yes",$L431="Yes"),AND('Pockets'!$E$17="Worse or not sure",OR($K431="Yes",$K431="Not sure")))),1,0)</f>
        <v/>
      </c>
      <c r="N431">
        <f>$N430+$M431</f>
        <v/>
      </c>
      <c r="O431" t="inlineStr">
        <is>
          <t>three-way</t>
        </is>
      </c>
      <c r="P431" t="inlineStr">
        <is>
          <t>gco_rate</t>
        </is>
      </c>
    </row>
    <row r="432">
      <c r="A432" t="inlineStr">
        <is>
          <t>Split by SYS_FLAG</t>
        </is>
      </c>
      <c r="B432" t="inlineStr">
        <is>
          <t>Charge-offs</t>
        </is>
      </c>
      <c r="C432" t="n">
        <v>876</v>
      </c>
      <c r="D432" t="inlineStr">
        <is>
          <t>ORIG_BAL 15,449 - 26,323</t>
        </is>
      </c>
      <c r="E432" t="inlineStr">
        <is>
          <t>Broker</t>
        </is>
      </c>
      <c r="F432" t="inlineStr">
        <is>
          <t>N</t>
        </is>
      </c>
      <c r="G432" t="n">
        <v>293</v>
      </c>
      <c r="H432" t="n">
        <v>1.71821920812212</v>
      </c>
      <c r="J432" t="n">
        <v>41</v>
      </c>
      <c r="K432">
        <f>'_pockets'!$AI$876</f>
        <v/>
      </c>
      <c r="L432">
        <f>'_pockets'!$AJ$876</f>
        <v/>
      </c>
      <c r="M432">
        <f>IF(AND($A432='Pockets'!$D$17,$B432='Pockets'!$C$17,OR('Pockets'!$E$17="All",AND('Pockets'!$E$17="Worse and material",$K432="Yes",$L432="Yes"),AND('Pockets'!$E$17="Worse or not sure",OR($K432="Yes",$K432="Not sure")))),1,0)</f>
        <v/>
      </c>
      <c r="N432">
        <f>$N431+$M432</f>
        <v/>
      </c>
      <c r="O432" t="inlineStr">
        <is>
          <t>three-way</t>
        </is>
      </c>
      <c r="P432" t="inlineStr">
        <is>
          <t>gco_rate</t>
        </is>
      </c>
    </row>
    <row r="433">
      <c r="A433" t="inlineStr">
        <is>
          <t>Split by SYS_FLAG</t>
        </is>
      </c>
      <c r="B433" t="inlineStr">
        <is>
          <t>Charge-offs</t>
        </is>
      </c>
      <c r="C433" t="n">
        <v>836</v>
      </c>
      <c r="D433" t="inlineStr">
        <is>
          <t>FICO (marked missing)</t>
        </is>
      </c>
      <c r="E433" t="inlineStr">
        <is>
          <t>ASSET_CLASS 2</t>
        </is>
      </c>
      <c r="F433" t="inlineStr">
        <is>
          <t>Y</t>
        </is>
      </c>
      <c r="G433" t="n">
        <v>18</v>
      </c>
      <c r="H433" t="n">
        <v>4.552903450111931</v>
      </c>
      <c r="J433" t="n">
        <v>42</v>
      </c>
      <c r="K433">
        <f>'_pockets'!$AI$836</f>
        <v/>
      </c>
      <c r="L433">
        <f>'_pockets'!$AJ$836</f>
        <v/>
      </c>
      <c r="M433">
        <f>IF(AND($A433='Pockets'!$D$17,$B433='Pockets'!$C$17,OR('Pockets'!$E$17="All",AND('Pockets'!$E$17="Worse and material",$K433="Yes",$L433="Yes"),AND('Pockets'!$E$17="Worse or not sure",OR($K433="Yes",$K433="Not sure")))),1,0)</f>
        <v/>
      </c>
      <c r="N433">
        <f>$N432+$M433</f>
        <v/>
      </c>
      <c r="O433" t="inlineStr">
        <is>
          <t>three-way</t>
        </is>
      </c>
      <c r="P433" t="inlineStr">
        <is>
          <t>gco_rate</t>
        </is>
      </c>
    </row>
    <row r="434">
      <c r="A434" t="inlineStr">
        <is>
          <t>Split by SYS_FLAG</t>
        </is>
      </c>
      <c r="B434" t="inlineStr">
        <is>
          <t>Charge-offs</t>
        </is>
      </c>
      <c r="C434" t="n">
        <v>891</v>
      </c>
      <c r="D434" t="inlineStr">
        <is>
          <t>ORIG_BAL 5,005 - 15,448</t>
        </is>
      </c>
      <c r="E434" t="inlineStr">
        <is>
          <t>Broker</t>
        </is>
      </c>
      <c r="F434" t="inlineStr">
        <is>
          <t>Y</t>
        </is>
      </c>
      <c r="G434" t="n">
        <v>237</v>
      </c>
      <c r="H434" t="n">
        <v>1.805816990102185</v>
      </c>
      <c r="J434" t="n">
        <v>43</v>
      </c>
      <c r="K434">
        <f>'_pockets'!$AI$891</f>
        <v/>
      </c>
      <c r="L434">
        <f>'_pockets'!$AJ$891</f>
        <v/>
      </c>
      <c r="M434">
        <f>IF(AND($A434='Pockets'!$D$17,$B434='Pockets'!$C$17,OR('Pockets'!$E$17="All",AND('Pockets'!$E$17="Worse and material",$K434="Yes",$L434="Yes"),AND('Pockets'!$E$17="Worse or not sure",OR($K434="Yes",$K434="Not sure")))),1,0)</f>
        <v/>
      </c>
      <c r="N434">
        <f>$N433+$M434</f>
        <v/>
      </c>
      <c r="O434" t="inlineStr">
        <is>
          <t>three-way</t>
        </is>
      </c>
      <c r="P434" t="inlineStr">
        <is>
          <t>gco_rate</t>
        </is>
      </c>
    </row>
    <row r="435">
      <c r="A435" t="inlineStr">
        <is>
          <t>Split by SYS_FLAG</t>
        </is>
      </c>
      <c r="B435" t="inlineStr">
        <is>
          <t>Charge-offs</t>
        </is>
      </c>
      <c r="C435" t="n">
        <v>726</v>
      </c>
      <c r="D435" t="inlineStr">
        <is>
          <t>FICO 746 - 921</t>
        </is>
      </c>
      <c r="E435" t="inlineStr">
        <is>
          <t>ASSET_CLASS 1</t>
        </is>
      </c>
      <c r="F435" t="inlineStr">
        <is>
          <t>Y</t>
        </is>
      </c>
      <c r="G435" t="n">
        <v>183</v>
      </c>
      <c r="H435" t="n">
        <v>1.928218598472405</v>
      </c>
      <c r="J435" t="n">
        <v>44</v>
      </c>
      <c r="K435">
        <f>'_pockets'!$AI$726</f>
        <v/>
      </c>
      <c r="L435">
        <f>'_pockets'!$AJ$726</f>
        <v/>
      </c>
      <c r="M435">
        <f>IF(AND($A435='Pockets'!$D$17,$B435='Pockets'!$C$17,OR('Pockets'!$E$17="All",AND('Pockets'!$E$17="Worse and material",$K435="Yes",$L435="Yes"),AND('Pockets'!$E$17="Worse or not sure",OR($K435="Yes",$K435="Not sure")))),1,0)</f>
        <v/>
      </c>
      <c r="N435">
        <f>$N434+$M435</f>
        <v/>
      </c>
      <c r="O435" t="inlineStr">
        <is>
          <t>three-way</t>
        </is>
      </c>
      <c r="P435" t="inlineStr">
        <is>
          <t>gco_rate</t>
        </is>
      </c>
    </row>
    <row r="436">
      <c r="A436" t="inlineStr">
        <is>
          <t>Split by SYS_FLAG</t>
        </is>
      </c>
      <c r="B436" t="inlineStr">
        <is>
          <t>Charge-offs</t>
        </is>
      </c>
      <c r="C436" t="n">
        <v>481</v>
      </c>
      <c r="D436" t="inlineStr">
        <is>
          <t>FICO 746 - 921</t>
        </is>
      </c>
      <c r="E436" t="inlineStr">
        <is>
          <t>Online</t>
        </is>
      </c>
      <c r="F436" t="inlineStr">
        <is>
          <t>Y</t>
        </is>
      </c>
      <c r="G436" t="n">
        <v>225</v>
      </c>
      <c r="H436" t="n">
        <v>1.828959175099692</v>
      </c>
      <c r="J436" t="n">
        <v>45</v>
      </c>
      <c r="K436">
        <f>'_pockets'!$AI$481</f>
        <v/>
      </c>
      <c r="L436">
        <f>'_pockets'!$AJ$481</f>
        <v/>
      </c>
      <c r="M436">
        <f>IF(AND($A436='Pockets'!$D$17,$B436='Pockets'!$C$17,OR('Pockets'!$E$17="All",AND('Pockets'!$E$17="Worse and material",$K436="Yes",$L436="Yes"),AND('Pockets'!$E$17="Worse or not sure",OR($K436="Yes",$K436="Not sure")))),1,0)</f>
        <v/>
      </c>
      <c r="N436">
        <f>$N435+$M436</f>
        <v/>
      </c>
      <c r="O436" t="inlineStr">
        <is>
          <t>three-way</t>
        </is>
      </c>
      <c r="P436" t="inlineStr">
        <is>
          <t>gco_rate</t>
        </is>
      </c>
    </row>
    <row r="437">
      <c r="A437" t="inlineStr">
        <is>
          <t>Split by SYS_FLAG</t>
        </is>
      </c>
      <c r="B437" t="inlineStr">
        <is>
          <t>Charge-offs</t>
        </is>
      </c>
      <c r="C437" t="n">
        <v>846</v>
      </c>
      <c r="D437" t="inlineStr">
        <is>
          <t>ORIG_BAL 26,324 - 37,950</t>
        </is>
      </c>
      <c r="E437" t="inlineStr">
        <is>
          <t>Broker</t>
        </is>
      </c>
      <c r="F437" t="inlineStr">
        <is>
          <t>Y</t>
        </is>
      </c>
      <c r="G437" t="n">
        <v>248</v>
      </c>
      <c r="H437" t="n">
        <v>1.786171192009447</v>
      </c>
      <c r="J437" t="n">
        <v>46</v>
      </c>
      <c r="K437">
        <f>'_pockets'!$AI$846</f>
        <v/>
      </c>
      <c r="L437">
        <f>'_pockets'!$AJ$846</f>
        <v/>
      </c>
      <c r="M437">
        <f>IF(AND($A437='Pockets'!$D$17,$B437='Pockets'!$C$17,OR('Pockets'!$E$17="All",AND('Pockets'!$E$17="Worse and material",$K437="Yes",$L437="Yes"),AND('Pockets'!$E$17="Worse or not sure",OR($K437="Yes",$K437="Not sure")))),1,0)</f>
        <v/>
      </c>
      <c r="N437">
        <f>$N436+$M437</f>
        <v/>
      </c>
      <c r="O437" t="inlineStr">
        <is>
          <t>three-way</t>
        </is>
      </c>
      <c r="P437" t="inlineStr">
        <is>
          <t>gco_rate</t>
        </is>
      </c>
    </row>
    <row r="438">
      <c r="A438" t="inlineStr">
        <is>
          <t>Split by SYS_FLAG</t>
        </is>
      </c>
      <c r="B438" t="inlineStr">
        <is>
          <t>Charge-offs</t>
        </is>
      </c>
      <c r="C438" t="n">
        <v>1046</v>
      </c>
      <c r="D438" t="inlineStr">
        <is>
          <t>ORIG_BAL 5,005 - 15,448</t>
        </is>
      </c>
      <c r="E438" t="inlineStr">
        <is>
          <t>ASSET_CLASS 4</t>
        </is>
      </c>
      <c r="F438" t="inlineStr">
        <is>
          <t>Y</t>
        </is>
      </c>
      <c r="G438" t="n">
        <v>196</v>
      </c>
      <c r="H438" t="n">
        <v>1.893914133256593</v>
      </c>
      <c r="J438" t="n">
        <v>47</v>
      </c>
      <c r="K438">
        <f>'_pockets'!$AI$1046</f>
        <v/>
      </c>
      <c r="L438">
        <f>'_pockets'!$AJ$1046</f>
        <v/>
      </c>
      <c r="M438">
        <f>IF(AND($A438='Pockets'!$D$17,$B438='Pockets'!$C$17,OR('Pockets'!$E$17="All",AND('Pockets'!$E$17="Worse and material",$K438="Yes",$L438="Yes"),AND('Pockets'!$E$17="Worse or not sure",OR($K438="Yes",$K438="Not sure")))),1,0)</f>
        <v/>
      </c>
      <c r="N438">
        <f>$N437+$M438</f>
        <v/>
      </c>
      <c r="O438" t="inlineStr">
        <is>
          <t>three-way</t>
        </is>
      </c>
      <c r="P438" t="inlineStr">
        <is>
          <t>gco_rate</t>
        </is>
      </c>
    </row>
    <row r="439">
      <c r="A439" t="inlineStr">
        <is>
          <t>Split by SYS_FLAG</t>
        </is>
      </c>
      <c r="B439" t="inlineStr">
        <is>
          <t>Charge-offs</t>
        </is>
      </c>
      <c r="C439" t="n">
        <v>1001</v>
      </c>
      <c r="D439" t="inlineStr">
        <is>
          <t>ORIG_BAL 26,324 - 37,950</t>
        </is>
      </c>
      <c r="E439" t="inlineStr">
        <is>
          <t>ASSET_CLASS 2</t>
        </is>
      </c>
      <c r="F439" t="inlineStr">
        <is>
          <t>Y</t>
        </is>
      </c>
      <c r="G439" t="n">
        <v>179</v>
      </c>
      <c r="H439" t="n">
        <v>1.939562163385701</v>
      </c>
      <c r="J439" t="n">
        <v>48</v>
      </c>
      <c r="K439">
        <f>'_pockets'!$AI$1001</f>
        <v/>
      </c>
      <c r="L439">
        <f>'_pockets'!$AJ$1001</f>
        <v/>
      </c>
      <c r="M439">
        <f>IF(AND($A439='Pockets'!$D$17,$B439='Pockets'!$C$17,OR('Pockets'!$E$17="All",AND('Pockets'!$E$17="Worse and material",$K439="Yes",$L439="Yes"),AND('Pockets'!$E$17="Worse or not sure",OR($K439="Yes",$K439="Not sure")))),1,0)</f>
        <v/>
      </c>
      <c r="N439">
        <f>$N438+$M439</f>
        <v/>
      </c>
      <c r="O439" t="inlineStr">
        <is>
          <t>three-way</t>
        </is>
      </c>
      <c r="P439" t="inlineStr">
        <is>
          <t>gco_rate</t>
        </is>
      </c>
    </row>
    <row r="440">
      <c r="A440" t="inlineStr">
        <is>
          <t>Split by SYS_FLAG</t>
        </is>
      </c>
      <c r="B440" t="inlineStr">
        <is>
          <t>Charge-offs</t>
        </is>
      </c>
      <c r="C440" t="n">
        <v>636</v>
      </c>
      <c r="D440" t="inlineStr">
        <is>
          <t>FICO 686 - 711</t>
        </is>
      </c>
      <c r="E440" t="inlineStr">
        <is>
          <t>ASSET_CLASS 1</t>
        </is>
      </c>
      <c r="F440" t="inlineStr">
        <is>
          <t>Y</t>
        </is>
      </c>
      <c r="G440" t="n">
        <v>167</v>
      </c>
      <c r="H440" t="n">
        <v>1.976150842278434</v>
      </c>
      <c r="J440" t="n">
        <v>49</v>
      </c>
      <c r="K440">
        <f>'_pockets'!$AI$636</f>
        <v/>
      </c>
      <c r="L440">
        <f>'_pockets'!$AJ$636</f>
        <v/>
      </c>
      <c r="M440">
        <f>IF(AND($A440='Pockets'!$D$17,$B440='Pockets'!$C$17,OR('Pockets'!$E$17="All",AND('Pockets'!$E$17="Worse and material",$K440="Yes",$L440="Yes"),AND('Pockets'!$E$17="Worse or not sure",OR($K440="Yes",$K440="Not sure")))),1,0)</f>
        <v/>
      </c>
      <c r="N440">
        <f>$N439+$M440</f>
        <v/>
      </c>
      <c r="O440" t="inlineStr">
        <is>
          <t>three-way</t>
        </is>
      </c>
      <c r="P440" t="inlineStr">
        <is>
          <t>gco_rate</t>
        </is>
      </c>
    </row>
    <row r="441">
      <c r="A441" t="inlineStr">
        <is>
          <t>Split by SYS_FLAG</t>
        </is>
      </c>
      <c r="B441" t="inlineStr">
        <is>
          <t>Charge-offs</t>
        </is>
      </c>
      <c r="C441" t="n">
        <v>1171</v>
      </c>
      <c r="D441" t="inlineStr">
        <is>
          <t>ORIG_BAL 15,449 - 26,323</t>
        </is>
      </c>
      <c r="E441" t="inlineStr">
        <is>
          <t>ASSET_CLASS 4</t>
        </is>
      </c>
      <c r="F441" t="inlineStr">
        <is>
          <t>Y</t>
        </is>
      </c>
      <c r="G441" t="n">
        <v>190</v>
      </c>
      <c r="H441" t="n">
        <v>1.909284569253305</v>
      </c>
      <c r="J441" t="n">
        <v>50</v>
      </c>
      <c r="K441">
        <f>'_pockets'!$AI$1171</f>
        <v/>
      </c>
      <c r="L441">
        <f>'_pockets'!$AJ$1171</f>
        <v/>
      </c>
      <c r="M441">
        <f>IF(AND($A441='Pockets'!$D$17,$B441='Pockets'!$C$17,OR('Pockets'!$E$17="All",AND('Pockets'!$E$17="Worse and material",$K441="Yes",$L441="Yes"),AND('Pockets'!$E$17="Worse or not sure",OR($K441="Yes",$K441="Not sure")))),1,0)</f>
        <v/>
      </c>
      <c r="N441">
        <f>$N440+$M441</f>
        <v/>
      </c>
      <c r="O441" t="inlineStr">
        <is>
          <t>three-way</t>
        </is>
      </c>
      <c r="P441" t="inlineStr">
        <is>
          <t>gco_rate</t>
        </is>
      </c>
    </row>
    <row r="442">
      <c r="A442" t="inlineStr">
        <is>
          <t>Split by SYS_FLAG</t>
        </is>
      </c>
      <c r="B442" t="inlineStr">
        <is>
          <t>Charge-offs</t>
        </is>
      </c>
      <c r="C442" t="n">
        <v>1186</v>
      </c>
      <c r="D442" t="inlineStr">
        <is>
          <t>ORIG_BAL 5,005 - 15,448</t>
        </is>
      </c>
      <c r="E442" t="inlineStr">
        <is>
          <t>ASSET_CLASS 3</t>
        </is>
      </c>
      <c r="F442" t="inlineStr">
        <is>
          <t>Y</t>
        </is>
      </c>
      <c r="G442" t="n">
        <v>184</v>
      </c>
      <c r="H442" t="n">
        <v>1.925443952632495</v>
      </c>
      <c r="J442" t="n">
        <v>51</v>
      </c>
      <c r="K442">
        <f>'_pockets'!$AI$1186</f>
        <v/>
      </c>
      <c r="L442">
        <f>'_pockets'!$AJ$1186</f>
        <v/>
      </c>
      <c r="M442">
        <f>IF(AND($A442='Pockets'!$D$17,$B442='Pockets'!$C$17,OR('Pockets'!$E$17="All",AND('Pockets'!$E$17="Worse and material",$K442="Yes",$L442="Yes"),AND('Pockets'!$E$17="Worse or not sure",OR($K442="Yes",$K442="Not sure")))),1,0)</f>
        <v/>
      </c>
      <c r="N442">
        <f>$N441+$M442</f>
        <v/>
      </c>
      <c r="O442" t="inlineStr">
        <is>
          <t>three-way</t>
        </is>
      </c>
      <c r="P442" t="inlineStr">
        <is>
          <t>gco_rate</t>
        </is>
      </c>
    </row>
    <row r="443">
      <c r="A443" t="inlineStr">
        <is>
          <t>Split by SYS_FLAG</t>
        </is>
      </c>
      <c r="B443" t="inlineStr">
        <is>
          <t>Charge-offs</t>
        </is>
      </c>
      <c r="C443" t="n">
        <v>991</v>
      </c>
      <c r="D443" t="inlineStr">
        <is>
          <t>ORIG_BAL 26,324 - 37,950</t>
        </is>
      </c>
      <c r="E443" t="inlineStr">
        <is>
          <t>Broker</t>
        </is>
      </c>
      <c r="F443" t="inlineStr">
        <is>
          <t>N</t>
        </is>
      </c>
      <c r="G443" t="n">
        <v>305</v>
      </c>
      <c r="H443" t="n">
        <v>1.702809064307684</v>
      </c>
      <c r="J443" t="n">
        <v>52</v>
      </c>
      <c r="K443">
        <f>'_pockets'!$AI$991</f>
        <v/>
      </c>
      <c r="L443">
        <f>'_pockets'!$AJ$991</f>
        <v/>
      </c>
      <c r="M443">
        <f>IF(AND($A443='Pockets'!$D$17,$B443='Pockets'!$C$17,OR('Pockets'!$E$17="All",AND('Pockets'!$E$17="Worse and material",$K443="Yes",$L443="Yes"),AND('Pockets'!$E$17="Worse or not sure",OR($K443="Yes",$K443="Not sure")))),1,0)</f>
        <v/>
      </c>
      <c r="N443">
        <f>$N442+$M443</f>
        <v/>
      </c>
      <c r="O443" t="inlineStr">
        <is>
          <t>three-way</t>
        </is>
      </c>
      <c r="P443" t="inlineStr">
        <is>
          <t>gco_rate</t>
        </is>
      </c>
    </row>
    <row r="444">
      <c r="A444" t="inlineStr">
        <is>
          <t>Split by SYS_FLAG</t>
        </is>
      </c>
      <c r="B444" t="inlineStr">
        <is>
          <t>Charge-offs</t>
        </is>
      </c>
      <c r="C444" t="n">
        <v>766</v>
      </c>
      <c r="D444" t="inlineStr">
        <is>
          <t>FICO 746 - 921</t>
        </is>
      </c>
      <c r="E444" t="inlineStr">
        <is>
          <t>ASSET_CLASS 3</t>
        </is>
      </c>
      <c r="F444" t="inlineStr">
        <is>
          <t>Y</t>
        </is>
      </c>
      <c r="G444" t="n">
        <v>174</v>
      </c>
      <c r="H444" t="n">
        <v>1.954320218153123</v>
      </c>
      <c r="J444" t="n">
        <v>53</v>
      </c>
      <c r="K444">
        <f>'_pockets'!$AI$766</f>
        <v/>
      </c>
      <c r="L444">
        <f>'_pockets'!$AJ$766</f>
        <v/>
      </c>
      <c r="M444">
        <f>IF(AND($A444='Pockets'!$D$17,$B444='Pockets'!$C$17,OR('Pockets'!$E$17="All",AND('Pockets'!$E$17="Worse and material",$K444="Yes",$L444="Yes"),AND('Pockets'!$E$17="Worse or not sure",OR($K444="Yes",$K444="Not sure")))),1,0)</f>
        <v/>
      </c>
      <c r="N444">
        <f>$N443+$M444</f>
        <v/>
      </c>
      <c r="O444" t="inlineStr">
        <is>
          <t>three-way</t>
        </is>
      </c>
      <c r="P444" t="inlineStr">
        <is>
          <t>gco_rate</t>
        </is>
      </c>
    </row>
    <row r="445">
      <c r="A445" t="inlineStr">
        <is>
          <t>Split by SYS_FLAG</t>
        </is>
      </c>
      <c r="B445" t="inlineStr">
        <is>
          <t>Charge-offs</t>
        </is>
      </c>
      <c r="C445" t="n">
        <v>1111</v>
      </c>
      <c r="D445" t="inlineStr">
        <is>
          <t>ORIG_BAL 5,005 - 15,448</t>
        </is>
      </c>
      <c r="E445" t="inlineStr">
        <is>
          <t>ASSET_CLASS 2</t>
        </is>
      </c>
      <c r="F445" t="inlineStr">
        <is>
          <t>Y</t>
        </is>
      </c>
      <c r="G445" t="n">
        <v>160</v>
      </c>
      <c r="H445" t="n">
        <v>1.999485398097949</v>
      </c>
      <c r="J445" t="n">
        <v>54</v>
      </c>
      <c r="K445">
        <f>'_pockets'!$AI$1111</f>
        <v/>
      </c>
      <c r="L445">
        <f>'_pockets'!$AJ$1111</f>
        <v/>
      </c>
      <c r="M445">
        <f>IF(AND($A445='Pockets'!$D$17,$B445='Pockets'!$C$17,OR('Pockets'!$E$17="All",AND('Pockets'!$E$17="Worse and material",$K445="Yes",$L445="Yes"),AND('Pockets'!$E$17="Worse or not sure",OR($K445="Yes",$K445="Not sure")))),1,0)</f>
        <v/>
      </c>
      <c r="N445">
        <f>$N444+$M445</f>
        <v/>
      </c>
      <c r="O445" t="inlineStr">
        <is>
          <t>three-way</t>
        </is>
      </c>
      <c r="P445" t="inlineStr">
        <is>
          <t>gco_rate</t>
        </is>
      </c>
    </row>
    <row r="446">
      <c r="A446" t="inlineStr">
        <is>
          <t>Split by SYS_FLAG</t>
        </is>
      </c>
      <c r="B446" t="inlineStr">
        <is>
          <t>Charge-offs</t>
        </is>
      </c>
      <c r="C446" t="n">
        <v>521</v>
      </c>
      <c r="D446" t="inlineStr">
        <is>
          <t>FICO 654 - 685</t>
        </is>
      </c>
      <c r="E446" t="inlineStr">
        <is>
          <t>Broker</t>
        </is>
      </c>
      <c r="F446" t="inlineStr">
        <is>
          <t>Y</t>
        </is>
      </c>
      <c r="G446" t="n">
        <v>244</v>
      </c>
      <c r="H446" t="n">
        <v>1.793153328610977</v>
      </c>
      <c r="J446" t="n">
        <v>55</v>
      </c>
      <c r="K446">
        <f>'_pockets'!$AI$521</f>
        <v/>
      </c>
      <c r="L446">
        <f>'_pockets'!$AJ$521</f>
        <v/>
      </c>
      <c r="M446">
        <f>IF(AND($A446='Pockets'!$D$17,$B446='Pockets'!$C$17,OR('Pockets'!$E$17="All",AND('Pockets'!$E$17="Worse and material",$K446="Yes",$L446="Yes"),AND('Pockets'!$E$17="Worse or not sure",OR($K446="Yes",$K446="Not sure")))),1,0)</f>
        <v/>
      </c>
      <c r="N446">
        <f>$N445+$M446</f>
        <v/>
      </c>
      <c r="O446" t="inlineStr">
        <is>
          <t>three-way</t>
        </is>
      </c>
      <c r="P446" t="inlineStr">
        <is>
          <t>gco_rate</t>
        </is>
      </c>
    </row>
    <row r="447">
      <c r="A447" t="inlineStr">
        <is>
          <t>Split by SYS_FLAG</t>
        </is>
      </c>
      <c r="B447" t="inlineStr">
        <is>
          <t>Charge-offs</t>
        </is>
      </c>
      <c r="C447" t="n">
        <v>671</v>
      </c>
      <c r="D447" t="inlineStr">
        <is>
          <t>FICO 654 - 685</t>
        </is>
      </c>
      <c r="E447" t="inlineStr">
        <is>
          <t>ASSET_CLASS 1</t>
        </is>
      </c>
      <c r="F447" t="inlineStr">
        <is>
          <t>Y</t>
        </is>
      </c>
      <c r="G447" t="n">
        <v>187</v>
      </c>
      <c r="H447" t="n">
        <v>1.917261529363642</v>
      </c>
      <c r="J447" t="n">
        <v>56</v>
      </c>
      <c r="K447">
        <f>'_pockets'!$AI$671</f>
        <v/>
      </c>
      <c r="L447">
        <f>'_pockets'!$AJ$671</f>
        <v/>
      </c>
      <c r="M447">
        <f>IF(AND($A447='Pockets'!$D$17,$B447='Pockets'!$C$17,OR('Pockets'!$E$17="All",AND('Pockets'!$E$17="Worse and material",$K447="Yes",$L447="Yes"),AND('Pockets'!$E$17="Worse or not sure",OR($K447="Yes",$K447="Not sure")))),1,0)</f>
        <v/>
      </c>
      <c r="N447">
        <f>$N446+$M447</f>
        <v/>
      </c>
      <c r="O447" t="inlineStr">
        <is>
          <t>three-way</t>
        </is>
      </c>
      <c r="P447" t="inlineStr">
        <is>
          <t>gco_rate</t>
        </is>
      </c>
    </row>
    <row r="448">
      <c r="A448" t="inlineStr">
        <is>
          <t>Split by SYS_FLAG</t>
        </is>
      </c>
      <c r="B448" t="inlineStr">
        <is>
          <t>Charge-offs</t>
        </is>
      </c>
      <c r="C448" t="n">
        <v>426</v>
      </c>
      <c r="D448" t="inlineStr">
        <is>
          <t>FICO 712 - 745</t>
        </is>
      </c>
      <c r="E448" t="inlineStr">
        <is>
          <t>Branch</t>
        </is>
      </c>
      <c r="F448" t="inlineStr">
        <is>
          <t>Y</t>
        </is>
      </c>
      <c r="G448" t="n">
        <v>230</v>
      </c>
      <c r="H448" t="n">
        <v>1.819085048028324</v>
      </c>
      <c r="J448" t="n">
        <v>57</v>
      </c>
      <c r="K448">
        <f>'_pockets'!$AI$426</f>
        <v/>
      </c>
      <c r="L448">
        <f>'_pockets'!$AJ$426</f>
        <v/>
      </c>
      <c r="M448">
        <f>IF(AND($A448='Pockets'!$D$17,$B448='Pockets'!$C$17,OR('Pockets'!$E$17="All",AND('Pockets'!$E$17="Worse and material",$K448="Yes",$L448="Yes"),AND('Pockets'!$E$17="Worse or not sure",OR($K448="Yes",$K448="Not sure")))),1,0)</f>
        <v/>
      </c>
      <c r="N448">
        <f>$N447+$M448</f>
        <v/>
      </c>
      <c r="O448" t="inlineStr">
        <is>
          <t>three-way</t>
        </is>
      </c>
      <c r="P448" t="inlineStr">
        <is>
          <t>gco_rate</t>
        </is>
      </c>
    </row>
    <row r="449">
      <c r="A449" t="inlineStr">
        <is>
          <t>Split by SYS_FLAG</t>
        </is>
      </c>
      <c r="B449" t="inlineStr">
        <is>
          <t>Charge-offs</t>
        </is>
      </c>
      <c r="C449" t="n">
        <v>736</v>
      </c>
      <c r="D449" t="inlineStr">
        <is>
          <t>FICO (marked missing)</t>
        </is>
      </c>
      <c r="E449" t="inlineStr">
        <is>
          <t>ASSET_CLASS 3</t>
        </is>
      </c>
      <c r="F449" t="inlineStr">
        <is>
          <t>Y</t>
        </is>
      </c>
      <c r="G449" t="n">
        <v>22</v>
      </c>
      <c r="H449" t="n">
        <v>4.142900988376738</v>
      </c>
      <c r="J449" t="n">
        <v>58</v>
      </c>
      <c r="K449">
        <f>'_pockets'!$AI$736</f>
        <v/>
      </c>
      <c r="L449">
        <f>'_pockets'!$AJ$736</f>
        <v/>
      </c>
      <c r="M449">
        <f>IF(AND($A449='Pockets'!$D$17,$B449='Pockets'!$C$17,OR('Pockets'!$E$17="All",AND('Pockets'!$E$17="Worse and material",$K449="Yes",$L449="Yes"),AND('Pockets'!$E$17="Worse or not sure",OR($K449="Yes",$K449="Not sure")))),1,0)</f>
        <v/>
      </c>
      <c r="N449">
        <f>$N448+$M449</f>
        <v/>
      </c>
      <c r="O449" t="inlineStr">
        <is>
          <t>three-way</t>
        </is>
      </c>
      <c r="P449" t="inlineStr">
        <is>
          <t>gco_rate</t>
        </is>
      </c>
    </row>
    <row r="450">
      <c r="A450" t="inlineStr">
        <is>
          <t>Split by SYS_FLAG</t>
        </is>
      </c>
      <c r="B450" t="inlineStr">
        <is>
          <t>Charge-offs</t>
        </is>
      </c>
      <c r="C450" t="n">
        <v>1096</v>
      </c>
      <c r="D450" t="inlineStr">
        <is>
          <t>ORIG_BAL 5,005 - 15,448</t>
        </is>
      </c>
      <c r="E450" t="inlineStr">
        <is>
          <t>ASSET_CLASS 4</t>
        </is>
      </c>
      <c r="F450" t="inlineStr">
        <is>
          <t>N</t>
        </is>
      </c>
      <c r="G450" t="n">
        <v>229</v>
      </c>
      <c r="H450" t="n">
        <v>1.821032610816088</v>
      </c>
      <c r="J450" t="n">
        <v>59</v>
      </c>
      <c r="K450">
        <f>'_pockets'!$AI$1096</f>
        <v/>
      </c>
      <c r="L450">
        <f>'_pockets'!$AJ$1096</f>
        <v/>
      </c>
      <c r="M450">
        <f>IF(AND($A450='Pockets'!$D$17,$B450='Pockets'!$C$17,OR('Pockets'!$E$17="All",AND('Pockets'!$E$17="Worse and material",$K450="Yes",$L450="Yes"),AND('Pockets'!$E$17="Worse or not sure",OR($K450="Yes",$K450="Not sure")))),1,0)</f>
        <v/>
      </c>
      <c r="N450">
        <f>$N449+$M450</f>
        <v/>
      </c>
      <c r="O450" t="inlineStr">
        <is>
          <t>three-way</t>
        </is>
      </c>
      <c r="P450" t="inlineStr">
        <is>
          <t>gco_rate</t>
        </is>
      </c>
    </row>
    <row r="451">
      <c r="A451" t="inlineStr">
        <is>
          <t>Split by SYS_FLAG</t>
        </is>
      </c>
      <c r="B451" t="inlineStr">
        <is>
          <t>Charge-offs</t>
        </is>
      </c>
      <c r="C451" t="n">
        <v>1091</v>
      </c>
      <c r="D451" t="inlineStr">
        <is>
          <t>ORIG_BAL 49,152 - 59,984</t>
        </is>
      </c>
      <c r="E451" t="inlineStr">
        <is>
          <t>ASSET_CLASS 3</t>
        </is>
      </c>
      <c r="F451" t="inlineStr">
        <is>
          <t>Y</t>
        </is>
      </c>
      <c r="G451" t="n">
        <v>179</v>
      </c>
      <c r="H451" t="n">
        <v>1.939562163385701</v>
      </c>
      <c r="J451" t="n">
        <v>60</v>
      </c>
      <c r="K451">
        <f>'_pockets'!$AI$1091</f>
        <v/>
      </c>
      <c r="L451">
        <f>'_pockets'!$AJ$1091</f>
        <v/>
      </c>
      <c r="M451">
        <f>IF(AND($A451='Pockets'!$D$17,$B451='Pockets'!$C$17,OR('Pockets'!$E$17="All",AND('Pockets'!$E$17="Worse and material",$K451="Yes",$L451="Yes"),AND('Pockets'!$E$17="Worse or not sure",OR($K451="Yes",$K451="Not sure")))),1,0)</f>
        <v/>
      </c>
      <c r="N451">
        <f>$N450+$M451</f>
        <v/>
      </c>
      <c r="O451" t="inlineStr">
        <is>
          <t>three-way</t>
        </is>
      </c>
      <c r="P451" t="inlineStr">
        <is>
          <t>gco_rate</t>
        </is>
      </c>
    </row>
    <row r="452">
      <c r="A452" t="inlineStr">
        <is>
          <t>Split by SYS_FLAG</t>
        </is>
      </c>
      <c r="B452" t="inlineStr">
        <is>
          <t>Charge-offs</t>
        </is>
      </c>
      <c r="C452" t="n">
        <v>531</v>
      </c>
      <c r="D452" t="inlineStr">
        <is>
          <t>FICO (marked missing)</t>
        </is>
      </c>
      <c r="E452" t="inlineStr">
        <is>
          <t>Online</t>
        </is>
      </c>
      <c r="F452" t="inlineStr">
        <is>
          <t>Y</t>
        </is>
      </c>
      <c r="G452" t="n">
        <v>25</v>
      </c>
      <c r="H452" t="n">
        <v>3.908905986532663</v>
      </c>
      <c r="J452" t="n">
        <v>61</v>
      </c>
      <c r="K452">
        <f>'_pockets'!$AI$531</f>
        <v/>
      </c>
      <c r="L452">
        <f>'_pockets'!$AJ$531</f>
        <v/>
      </c>
      <c r="M452">
        <f>IF(AND($A452='Pockets'!$D$17,$B452='Pockets'!$C$17,OR('Pockets'!$E$17="All",AND('Pockets'!$E$17="Worse and material",$K452="Yes",$L452="Yes"),AND('Pockets'!$E$17="Worse or not sure",OR($K452="Yes",$K452="Not sure")))),1,0)</f>
        <v/>
      </c>
      <c r="N452">
        <f>$N451+$M452</f>
        <v/>
      </c>
      <c r="O452" t="inlineStr">
        <is>
          <t>three-way</t>
        </is>
      </c>
      <c r="P452" t="inlineStr">
        <is>
          <t>gco_rate</t>
        </is>
      </c>
    </row>
    <row r="453">
      <c r="A453" t="inlineStr">
        <is>
          <t>Split by SYS_FLAG</t>
        </is>
      </c>
      <c r="B453" t="inlineStr">
        <is>
          <t>Charge-offs</t>
        </is>
      </c>
      <c r="C453" t="n">
        <v>536</v>
      </c>
      <c r="D453" t="inlineStr">
        <is>
          <t>FICO 746 - 921</t>
        </is>
      </c>
      <c r="E453" t="inlineStr">
        <is>
          <t>Branch</t>
        </is>
      </c>
      <c r="F453" t="inlineStr">
        <is>
          <t>N</t>
        </is>
      </c>
      <c r="G453" t="n">
        <v>279</v>
      </c>
      <c r="H453" t="n">
        <v>1.737501745251619</v>
      </c>
      <c r="J453" t="n">
        <v>62</v>
      </c>
      <c r="K453">
        <f>'_pockets'!$AI$536</f>
        <v/>
      </c>
      <c r="L453">
        <f>'_pockets'!$AJ$536</f>
        <v/>
      </c>
      <c r="M453">
        <f>IF(AND($A453='Pockets'!$D$17,$B453='Pockets'!$C$17,OR('Pockets'!$E$17="All",AND('Pockets'!$E$17="Worse and material",$K453="Yes",$L453="Yes"),AND('Pockets'!$E$17="Worse or not sure",OR($K453="Yes",$K453="Not sure")))),1,0)</f>
        <v/>
      </c>
      <c r="N453">
        <f>$N452+$M453</f>
        <v/>
      </c>
      <c r="O453" t="inlineStr">
        <is>
          <t>three-way</t>
        </is>
      </c>
      <c r="P453" t="inlineStr">
        <is>
          <t>gco_rate</t>
        </is>
      </c>
    </row>
    <row r="454">
      <c r="A454" t="inlineStr">
        <is>
          <t>Split by SYS_FLAG</t>
        </is>
      </c>
      <c r="B454" t="inlineStr">
        <is>
          <t>Charge-offs</t>
        </is>
      </c>
      <c r="C454" t="n">
        <v>1116</v>
      </c>
      <c r="D454" t="inlineStr">
        <is>
          <t>ORIG_BAL 5,005 - 15,448</t>
        </is>
      </c>
      <c r="E454" t="inlineStr">
        <is>
          <t>ASSET_CLASS 1</t>
        </is>
      </c>
      <c r="F454" t="inlineStr">
        <is>
          <t>Y</t>
        </is>
      </c>
      <c r="G454" t="n">
        <v>180</v>
      </c>
      <c r="H454" t="n">
        <v>1.936688816548304</v>
      </c>
      <c r="J454" t="n">
        <v>63</v>
      </c>
      <c r="K454">
        <f>'_pockets'!$AI$1116</f>
        <v/>
      </c>
      <c r="L454">
        <f>'_pockets'!$AJ$1116</f>
        <v/>
      </c>
      <c r="M454">
        <f>IF(AND($A454='Pockets'!$D$17,$B454='Pockets'!$C$17,OR('Pockets'!$E$17="All",AND('Pockets'!$E$17="Worse and material",$K454="Yes",$L454="Yes"),AND('Pockets'!$E$17="Worse or not sure",OR($K454="Yes",$K454="Not sure")))),1,0)</f>
        <v/>
      </c>
      <c r="N454">
        <f>$N453+$M454</f>
        <v/>
      </c>
      <c r="O454" t="inlineStr">
        <is>
          <t>three-way</t>
        </is>
      </c>
      <c r="P454" t="inlineStr">
        <is>
          <t>gco_rate</t>
        </is>
      </c>
    </row>
    <row r="455">
      <c r="A455" t="inlineStr">
        <is>
          <t>Split by SYS_FLAG</t>
        </is>
      </c>
      <c r="B455" t="inlineStr">
        <is>
          <t>Charge-offs</t>
        </is>
      </c>
      <c r="C455" t="n">
        <v>1036</v>
      </c>
      <c r="D455" t="inlineStr">
        <is>
          <t>ORIG_BAL 26,324 - 37,950</t>
        </is>
      </c>
      <c r="E455" t="inlineStr">
        <is>
          <t>ASSET_CLASS 1</t>
        </is>
      </c>
      <c r="F455" t="inlineStr">
        <is>
          <t>Y</t>
        </is>
      </c>
      <c r="G455" t="n">
        <v>173</v>
      </c>
      <c r="H455" t="n">
        <v>1.957352837071518</v>
      </c>
      <c r="J455" t="n">
        <v>64</v>
      </c>
      <c r="K455">
        <f>'_pockets'!$AI$1036</f>
        <v/>
      </c>
      <c r="L455">
        <f>'_pockets'!$AJ$1036</f>
        <v/>
      </c>
      <c r="M455">
        <f>IF(AND($A455='Pockets'!$D$17,$B455='Pockets'!$C$17,OR('Pockets'!$E$17="All",AND('Pockets'!$E$17="Worse and material",$K455="Yes",$L455="Yes"),AND('Pockets'!$E$17="Worse or not sure",OR($K455="Yes",$K455="Not sure")))),1,0)</f>
        <v/>
      </c>
      <c r="N455">
        <f>$N454+$M455</f>
        <v/>
      </c>
      <c r="O455" t="inlineStr">
        <is>
          <t>three-way</t>
        </is>
      </c>
      <c r="P455" t="inlineStr">
        <is>
          <t>gco_rate</t>
        </is>
      </c>
    </row>
    <row r="456">
      <c r="A456" t="inlineStr">
        <is>
          <t>Split by SYS_FLAG</t>
        </is>
      </c>
      <c r="B456" t="inlineStr">
        <is>
          <t>Charge-offs</t>
        </is>
      </c>
      <c r="C456" t="n">
        <v>751</v>
      </c>
      <c r="D456" t="inlineStr">
        <is>
          <t>FICO 686 - 711</t>
        </is>
      </c>
      <c r="E456" t="inlineStr">
        <is>
          <t>ASSET_CLASS 1</t>
        </is>
      </c>
      <c r="F456" t="inlineStr">
        <is>
          <t>N</t>
        </is>
      </c>
      <c r="G456" t="n">
        <v>205</v>
      </c>
      <c r="H456" t="n">
        <v>1.872205292319323</v>
      </c>
      <c r="J456" t="n">
        <v>65</v>
      </c>
      <c r="K456">
        <f>'_pockets'!$AI$751</f>
        <v/>
      </c>
      <c r="L456">
        <f>'_pockets'!$AJ$751</f>
        <v/>
      </c>
      <c r="M456">
        <f>IF(AND($A456='Pockets'!$D$17,$B456='Pockets'!$C$17,OR('Pockets'!$E$17="All",AND('Pockets'!$E$17="Worse and material",$K456="Yes",$L456="Yes"),AND('Pockets'!$E$17="Worse or not sure",OR($K456="Yes",$K456="Not sure")))),1,0)</f>
        <v/>
      </c>
      <c r="N456">
        <f>$N455+$M456</f>
        <v/>
      </c>
      <c r="O456" t="inlineStr">
        <is>
          <t>three-way</t>
        </is>
      </c>
      <c r="P456" t="inlineStr">
        <is>
          <t>gco_rate</t>
        </is>
      </c>
    </row>
    <row r="457">
      <c r="A457" t="inlineStr">
        <is>
          <t>Split by SYS_FLAG</t>
        </is>
      </c>
      <c r="B457" t="inlineStr">
        <is>
          <t>Charge-offs</t>
        </is>
      </c>
      <c r="C457" t="n">
        <v>966</v>
      </c>
      <c r="D457" t="inlineStr">
        <is>
          <t>ORIG_BAL 5,005 - 15,448</t>
        </is>
      </c>
      <c r="E457" t="inlineStr">
        <is>
          <t>Branch</t>
        </is>
      </c>
      <c r="F457" t="inlineStr">
        <is>
          <t>Y</t>
        </is>
      </c>
      <c r="G457" t="n">
        <v>241</v>
      </c>
      <c r="H457" t="n">
        <v>1.798509532558087</v>
      </c>
      <c r="J457" t="n">
        <v>66</v>
      </c>
      <c r="K457">
        <f>'_pockets'!$AI$966</f>
        <v/>
      </c>
      <c r="L457">
        <f>'_pockets'!$AJ$966</f>
        <v/>
      </c>
      <c r="M457">
        <f>IF(AND($A457='Pockets'!$D$17,$B457='Pockets'!$C$17,OR('Pockets'!$E$17="All",AND('Pockets'!$E$17="Worse and material",$K457="Yes",$L457="Yes"),AND('Pockets'!$E$17="Worse or not sure",OR($K457="Yes",$K457="Not sure")))),1,0)</f>
        <v/>
      </c>
      <c r="N457">
        <f>$N456+$M457</f>
        <v/>
      </c>
      <c r="O457" t="inlineStr">
        <is>
          <t>three-way</t>
        </is>
      </c>
      <c r="P457" t="inlineStr">
        <is>
          <t>gco_rate</t>
        </is>
      </c>
    </row>
    <row r="458">
      <c r="A458" t="inlineStr">
        <is>
          <t>Split by SYS_FLAG</t>
        </is>
      </c>
      <c r="B458" t="inlineStr">
        <is>
          <t>Charge-offs</t>
        </is>
      </c>
      <c r="C458" t="n">
        <v>731</v>
      </c>
      <c r="D458" t="inlineStr">
        <is>
          <t>FICO 712 - 745</t>
        </is>
      </c>
      <c r="E458" t="inlineStr">
        <is>
          <t>ASSET_CLASS 1</t>
        </is>
      </c>
      <c r="F458" t="inlineStr">
        <is>
          <t>Y</t>
        </is>
      </c>
      <c r="G458" t="n">
        <v>167</v>
      </c>
      <c r="H458" t="n">
        <v>1.976150842278434</v>
      </c>
      <c r="J458" t="n">
        <v>67</v>
      </c>
      <c r="K458">
        <f>'_pockets'!$AI$731</f>
        <v/>
      </c>
      <c r="L458">
        <f>'_pockets'!$AJ$731</f>
        <v/>
      </c>
      <c r="M458">
        <f>IF(AND($A458='Pockets'!$D$17,$B458='Pockets'!$C$17,OR('Pockets'!$E$17="All",AND('Pockets'!$E$17="Worse and material",$K458="Yes",$L458="Yes"),AND('Pockets'!$E$17="Worse or not sure",OR($K458="Yes",$K458="Not sure")))),1,0)</f>
        <v/>
      </c>
      <c r="N458">
        <f>$N457+$M458</f>
        <v/>
      </c>
      <c r="O458" t="inlineStr">
        <is>
          <t>three-way</t>
        </is>
      </c>
      <c r="P458" t="inlineStr">
        <is>
          <t>gco_rate</t>
        </is>
      </c>
    </row>
    <row r="459">
      <c r="A459" t="inlineStr">
        <is>
          <t>Split by SYS_FLAG</t>
        </is>
      </c>
      <c r="B459" t="inlineStr">
        <is>
          <t>Charge-offs</t>
        </is>
      </c>
      <c r="C459" t="n">
        <v>696</v>
      </c>
      <c r="D459" t="inlineStr">
        <is>
          <t>FICO 686 - 711</t>
        </is>
      </c>
      <c r="E459" t="inlineStr">
        <is>
          <t>ASSET_CLASS 4</t>
        </is>
      </c>
      <c r="F459" t="inlineStr">
        <is>
          <t>N</t>
        </is>
      </c>
      <c r="G459" t="n">
        <v>235</v>
      </c>
      <c r="H459" t="n">
        <v>1.809544148260605</v>
      </c>
      <c r="J459" t="n">
        <v>68</v>
      </c>
      <c r="K459">
        <f>'_pockets'!$AI$696</f>
        <v/>
      </c>
      <c r="L459">
        <f>'_pockets'!$AJ$696</f>
        <v/>
      </c>
      <c r="M459">
        <f>IF(AND($A459='Pockets'!$D$17,$B459='Pockets'!$C$17,OR('Pockets'!$E$17="All",AND('Pockets'!$E$17="Worse and material",$K459="Yes",$L459="Yes"),AND('Pockets'!$E$17="Worse or not sure",OR($K459="Yes",$K459="Not sure")))),1,0)</f>
        <v/>
      </c>
      <c r="N459">
        <f>$N458+$M459</f>
        <v/>
      </c>
      <c r="O459" t="inlineStr">
        <is>
          <t>three-way</t>
        </is>
      </c>
      <c r="P459" t="inlineStr">
        <is>
          <t>gco_rate</t>
        </is>
      </c>
    </row>
    <row r="460">
      <c r="A460" t="inlineStr">
        <is>
          <t>Split by SYS_FLAG</t>
        </is>
      </c>
      <c r="B460" t="inlineStr">
        <is>
          <t>Charge-offs</t>
        </is>
      </c>
      <c r="C460" t="n">
        <v>666</v>
      </c>
      <c r="D460" t="inlineStr">
        <is>
          <t>FICO 746 - 921</t>
        </is>
      </c>
      <c r="E460" t="inlineStr">
        <is>
          <t>ASSET_CLASS 4</t>
        </is>
      </c>
      <c r="F460" t="inlineStr">
        <is>
          <t>Y</t>
        </is>
      </c>
      <c r="G460" t="n">
        <v>164</v>
      </c>
      <c r="H460" t="n">
        <v>1.985957465034529</v>
      </c>
      <c r="J460" t="n">
        <v>69</v>
      </c>
      <c r="K460">
        <f>'_pockets'!$AI$666</f>
        <v/>
      </c>
      <c r="L460">
        <f>'_pockets'!$AJ$666</f>
        <v/>
      </c>
      <c r="M460">
        <f>IF(AND($A460='Pockets'!$D$17,$B460='Pockets'!$C$17,OR('Pockets'!$E$17="All",AND('Pockets'!$E$17="Worse and material",$K460="Yes",$L460="Yes"),AND('Pockets'!$E$17="Worse or not sure",OR($K460="Yes",$K460="Not sure")))),1,0)</f>
        <v/>
      </c>
      <c r="N460">
        <f>$N459+$M460</f>
        <v/>
      </c>
      <c r="O460" t="inlineStr">
        <is>
          <t>three-way</t>
        </is>
      </c>
      <c r="P460" t="inlineStr">
        <is>
          <t>gco_rate</t>
        </is>
      </c>
    </row>
    <row r="461">
      <c r="A461" t="inlineStr">
        <is>
          <t>Split by SYS_FLAG</t>
        </is>
      </c>
      <c r="B461" t="inlineStr">
        <is>
          <t>Charge-offs</t>
        </is>
      </c>
      <c r="C461" t="n">
        <v>586</v>
      </c>
      <c r="D461" t="inlineStr">
        <is>
          <t>FICO (marked missing)</t>
        </is>
      </c>
      <c r="E461" t="inlineStr">
        <is>
          <t>Broker</t>
        </is>
      </c>
      <c r="F461" t="inlineStr">
        <is>
          <t>N</t>
        </is>
      </c>
      <c r="G461" t="n">
        <v>29</v>
      </c>
      <c r="H461" t="n">
        <v>3.66085941820241</v>
      </c>
      <c r="J461" t="n">
        <v>70</v>
      </c>
      <c r="K461">
        <f>'_pockets'!$AI$586</f>
        <v/>
      </c>
      <c r="L461">
        <f>'_pockets'!$AJ$586</f>
        <v/>
      </c>
      <c r="M461">
        <f>IF(AND($A461='Pockets'!$D$17,$B461='Pockets'!$C$17,OR('Pockets'!$E$17="All",AND('Pockets'!$E$17="Worse and material",$K461="Yes",$L461="Yes"),AND('Pockets'!$E$17="Worse or not sure",OR($K461="Yes",$K461="Not sure")))),1,0)</f>
        <v/>
      </c>
      <c r="N461">
        <f>$N460+$M461</f>
        <v/>
      </c>
      <c r="O461" t="inlineStr">
        <is>
          <t>three-way</t>
        </is>
      </c>
      <c r="P461" t="inlineStr">
        <is>
          <t>gco_rate</t>
        </is>
      </c>
    </row>
    <row r="462">
      <c r="A462" t="inlineStr">
        <is>
          <t>Split by SYS_FLAG</t>
        </is>
      </c>
      <c r="B462" t="inlineStr">
        <is>
          <t>Charge-offs</t>
        </is>
      </c>
      <c r="C462" t="n">
        <v>811</v>
      </c>
      <c r="D462" t="inlineStr">
        <is>
          <t>FICO (marked missing)</t>
        </is>
      </c>
      <c r="E462" t="inlineStr">
        <is>
          <t>ASSET_CLASS 4</t>
        </is>
      </c>
      <c r="F462" t="inlineStr">
        <is>
          <t>Y</t>
        </is>
      </c>
      <c r="G462" t="n">
        <v>17</v>
      </c>
      <c r="H462" t="n">
        <v>4.680170887807336</v>
      </c>
      <c r="J462" t="n">
        <v>71</v>
      </c>
      <c r="K462">
        <f>'_pockets'!$AI$811</f>
        <v/>
      </c>
      <c r="L462">
        <f>'_pockets'!$AJ$811</f>
        <v/>
      </c>
      <c r="M462">
        <f>IF(AND($A462='Pockets'!$D$17,$B462='Pockets'!$C$17,OR('Pockets'!$E$17="All",AND('Pockets'!$E$17="Worse and material",$K462="Yes",$L462="Yes"),AND('Pockets'!$E$17="Worse or not sure",OR($K462="Yes",$K462="Not sure")))),1,0)</f>
        <v/>
      </c>
      <c r="N462">
        <f>$N461+$M462</f>
        <v/>
      </c>
      <c r="O462" t="inlineStr">
        <is>
          <t>three-way</t>
        </is>
      </c>
      <c r="P462" t="inlineStr">
        <is>
          <t>gco_rate</t>
        </is>
      </c>
    </row>
    <row r="463">
      <c r="A463" t="inlineStr">
        <is>
          <t>Split by SYS_FLAG</t>
        </is>
      </c>
      <c r="B463" t="inlineStr">
        <is>
          <t>Charge-offs</t>
        </is>
      </c>
      <c r="C463" t="n">
        <v>826</v>
      </c>
      <c r="D463" t="inlineStr">
        <is>
          <t>FICO (marked missing)</t>
        </is>
      </c>
      <c r="E463" t="inlineStr">
        <is>
          <t>ASSET_CLASS 2</t>
        </is>
      </c>
      <c r="F463" t="inlineStr">
        <is>
          <t>N</t>
        </is>
      </c>
      <c r="G463" t="n">
        <v>18</v>
      </c>
      <c r="H463" t="n">
        <v>4.552903450111931</v>
      </c>
      <c r="J463" t="n">
        <v>72</v>
      </c>
      <c r="K463">
        <f>'_pockets'!$AI$826</f>
        <v/>
      </c>
      <c r="L463">
        <f>'_pockets'!$AJ$826</f>
        <v/>
      </c>
      <c r="M463">
        <f>IF(AND($A463='Pockets'!$D$17,$B463='Pockets'!$C$17,OR('Pockets'!$E$17="All",AND('Pockets'!$E$17="Worse and material",$K463="Yes",$L463="Yes"),AND('Pockets'!$E$17="Worse or not sure",OR($K463="Yes",$K463="Not sure")))),1,0)</f>
        <v/>
      </c>
      <c r="N463">
        <f>$N462+$M463</f>
        <v/>
      </c>
      <c r="O463" t="inlineStr">
        <is>
          <t>three-way</t>
        </is>
      </c>
      <c r="P463" t="inlineStr">
        <is>
          <t>gco_rate</t>
        </is>
      </c>
    </row>
    <row r="464">
      <c r="A464" t="inlineStr">
        <is>
          <t>Split by SYS_FLAG</t>
        </is>
      </c>
      <c r="B464" t="inlineStr">
        <is>
          <t>Charge-offs</t>
        </is>
      </c>
      <c r="C464" t="n">
        <v>546</v>
      </c>
      <c r="D464" t="inlineStr">
        <is>
          <t>FICO 496 - 653</t>
        </is>
      </c>
      <c r="E464" t="inlineStr">
        <is>
          <t>Online</t>
        </is>
      </c>
      <c r="F464" t="inlineStr">
        <is>
          <t>Y</t>
        </is>
      </c>
      <c r="G464" t="n">
        <v>226</v>
      </c>
      <c r="H464" t="n">
        <v>1.826956773989503</v>
      </c>
      <c r="J464" t="n">
        <v>73</v>
      </c>
      <c r="K464">
        <f>'_pockets'!$AI$546</f>
        <v/>
      </c>
      <c r="L464">
        <f>'_pockets'!$AJ$546</f>
        <v/>
      </c>
      <c r="M464">
        <f>IF(AND($A464='Pockets'!$D$17,$B464='Pockets'!$C$17,OR('Pockets'!$E$17="All",AND('Pockets'!$E$17="Worse and material",$K464="Yes",$L464="Yes"),AND('Pockets'!$E$17="Worse or not sure",OR($K464="Yes",$K464="Not sure")))),1,0)</f>
        <v/>
      </c>
      <c r="N464">
        <f>$N463+$M464</f>
        <v/>
      </c>
      <c r="O464" t="inlineStr">
        <is>
          <t>three-way</t>
        </is>
      </c>
      <c r="P464" t="inlineStr">
        <is>
          <t>gco_rate</t>
        </is>
      </c>
    </row>
    <row r="465">
      <c r="A465" t="inlineStr">
        <is>
          <t>Split by SYS_FLAG</t>
        </is>
      </c>
      <c r="B465" t="inlineStr">
        <is>
          <t>Charge-offs</t>
        </is>
      </c>
      <c r="C465" t="n">
        <v>496</v>
      </c>
      <c r="D465" t="inlineStr">
        <is>
          <t>FICO 496 - 653</t>
        </is>
      </c>
      <c r="E465" t="inlineStr">
        <is>
          <t>Branch</t>
        </is>
      </c>
      <c r="F465" t="inlineStr">
        <is>
          <t>Y</t>
        </is>
      </c>
      <c r="G465" t="n">
        <v>231</v>
      </c>
      <c r="H465" t="n">
        <v>1.817150809607721</v>
      </c>
      <c r="J465" t="n">
        <v>74</v>
      </c>
      <c r="K465">
        <f>'_pockets'!$AI$496</f>
        <v/>
      </c>
      <c r="L465">
        <f>'_pockets'!$AJ$496</f>
        <v/>
      </c>
      <c r="M465">
        <f>IF(AND($A465='Pockets'!$D$17,$B465='Pockets'!$C$17,OR('Pockets'!$E$17="All",AND('Pockets'!$E$17="Worse and material",$K465="Yes",$L465="Yes"),AND('Pockets'!$E$17="Worse or not sure",OR($K465="Yes",$K465="Not sure")))),1,0)</f>
        <v/>
      </c>
      <c r="N465">
        <f>$N464+$M465</f>
        <v/>
      </c>
      <c r="O465" t="inlineStr">
        <is>
          <t>three-way</t>
        </is>
      </c>
      <c r="P465" t="inlineStr">
        <is>
          <t>gco_rate</t>
        </is>
      </c>
    </row>
    <row r="466">
      <c r="A466" t="inlineStr">
        <is>
          <t>Split by SYS_FLAG</t>
        </is>
      </c>
      <c r="B466" t="inlineStr">
        <is>
          <t>Charge-offs</t>
        </is>
      </c>
      <c r="C466" t="n">
        <v>796</v>
      </c>
      <c r="D466" t="inlineStr">
        <is>
          <t>FICO 496 - 653</t>
        </is>
      </c>
      <c r="E466" t="inlineStr">
        <is>
          <t>ASSET_CLASS 2</t>
        </is>
      </c>
      <c r="F466" t="inlineStr">
        <is>
          <t>Y</t>
        </is>
      </c>
      <c r="G466" t="n">
        <v>181</v>
      </c>
      <c r="H466" t="n">
        <v>1.933840679782042</v>
      </c>
      <c r="J466" t="n">
        <v>75</v>
      </c>
      <c r="K466">
        <f>'_pockets'!$AI$796</f>
        <v/>
      </c>
      <c r="L466">
        <f>'_pockets'!$AJ$796</f>
        <v/>
      </c>
      <c r="M466">
        <f>IF(AND($A466='Pockets'!$D$17,$B466='Pockets'!$C$17,OR('Pockets'!$E$17="All",AND('Pockets'!$E$17="Worse and material",$K466="Yes",$L466="Yes"),AND('Pockets'!$E$17="Worse or not sure",OR($K466="Yes",$K466="Not sure")))),1,0)</f>
        <v/>
      </c>
      <c r="N466">
        <f>$N465+$M466</f>
        <v/>
      </c>
      <c r="O466" t="inlineStr">
        <is>
          <t>three-way</t>
        </is>
      </c>
      <c r="P466" t="inlineStr">
        <is>
          <t>gco_rate</t>
        </is>
      </c>
    </row>
    <row r="467">
      <c r="A467" t="inlineStr">
        <is>
          <t>Split by SYS_FLAG</t>
        </is>
      </c>
      <c r="B467" t="inlineStr">
        <is>
          <t>Charge-offs</t>
        </is>
      </c>
      <c r="C467" t="n">
        <v>676</v>
      </c>
      <c r="D467" t="inlineStr">
        <is>
          <t>FICO 496 - 653</t>
        </is>
      </c>
      <c r="E467" t="inlineStr">
        <is>
          <t>ASSET_CLASS 3</t>
        </is>
      </c>
      <c r="F467" t="inlineStr">
        <is>
          <t>N</t>
        </is>
      </c>
      <c r="G467" t="n">
        <v>184</v>
      </c>
      <c r="H467" t="n">
        <v>1.925443952632495</v>
      </c>
      <c r="J467" t="n">
        <v>76</v>
      </c>
      <c r="K467">
        <f>'_pockets'!$AI$676</f>
        <v/>
      </c>
      <c r="L467">
        <f>'_pockets'!$AJ$676</f>
        <v/>
      </c>
      <c r="M467">
        <f>IF(AND($A467='Pockets'!$D$17,$B467='Pockets'!$C$17,OR('Pockets'!$E$17="All",AND('Pockets'!$E$17="Worse and material",$K467="Yes",$L467="Yes"),AND('Pockets'!$E$17="Worse or not sure",OR($K467="Yes",$K467="Not sure")))),1,0)</f>
        <v/>
      </c>
      <c r="N467">
        <f>$N466+$M467</f>
        <v/>
      </c>
      <c r="O467" t="inlineStr">
        <is>
          <t>three-way</t>
        </is>
      </c>
      <c r="P467" t="inlineStr">
        <is>
          <t>gco_rate</t>
        </is>
      </c>
    </row>
    <row r="468">
      <c r="A468" t="inlineStr">
        <is>
          <t>Split by SYS_FLAG</t>
        </is>
      </c>
      <c r="B468" t="inlineStr">
        <is>
          <t>Charge-offs</t>
        </is>
      </c>
      <c r="C468" t="n">
        <v>616</v>
      </c>
      <c r="D468" t="inlineStr">
        <is>
          <t>FICO 496 - 653</t>
        </is>
      </c>
      <c r="E468" t="inlineStr">
        <is>
          <t>ASSET_CLASS 2</t>
        </is>
      </c>
      <c r="F468" t="inlineStr">
        <is>
          <t>N</t>
        </is>
      </c>
      <c r="G468" t="n">
        <v>213</v>
      </c>
      <c r="H468" t="n">
        <v>1.854137295979501</v>
      </c>
      <c r="J468" t="n">
        <v>77</v>
      </c>
      <c r="K468">
        <f>'_pockets'!$AI$616</f>
        <v/>
      </c>
      <c r="L468">
        <f>'_pockets'!$AJ$616</f>
        <v/>
      </c>
      <c r="M468">
        <f>IF(AND($A468='Pockets'!$D$17,$B468='Pockets'!$C$17,OR('Pockets'!$E$17="All",AND('Pockets'!$E$17="Worse and material",$K468="Yes",$L468="Yes"),AND('Pockets'!$E$17="Worse or not sure",OR($K468="Yes",$K468="Not sure")))),1,0)</f>
        <v/>
      </c>
      <c r="N468">
        <f>$N467+$M468</f>
        <v/>
      </c>
      <c r="O468" t="inlineStr">
        <is>
          <t>three-way</t>
        </is>
      </c>
      <c r="P468" t="inlineStr">
        <is>
          <t>gco_rate</t>
        </is>
      </c>
    </row>
    <row r="469">
      <c r="A469" t="inlineStr">
        <is>
          <t>Split by SYS_FLAG</t>
        </is>
      </c>
      <c r="B469" t="inlineStr">
        <is>
          <t>Charge-offs</t>
        </is>
      </c>
      <c r="C469" t="n">
        <v>871</v>
      </c>
      <c r="D469" t="inlineStr">
        <is>
          <t>ORIG_BAL 37,951 - 49,151</t>
        </is>
      </c>
      <c r="E469" t="inlineStr">
        <is>
          <t>Branch</t>
        </is>
      </c>
      <c r="F469" t="inlineStr">
        <is>
          <t>Y</t>
        </is>
      </c>
      <c r="G469" t="n">
        <v>257</v>
      </c>
      <c r="H469" t="n">
        <v>1.771091672184101</v>
      </c>
      <c r="J469" t="n">
        <v>78</v>
      </c>
      <c r="K469">
        <f>'_pockets'!$AI$871</f>
        <v/>
      </c>
      <c r="L469">
        <f>'_pockets'!$AJ$871</f>
        <v/>
      </c>
      <c r="M469">
        <f>IF(AND($A469='Pockets'!$D$17,$B469='Pockets'!$C$17,OR('Pockets'!$E$17="All",AND('Pockets'!$E$17="Worse and material",$K469="Yes",$L469="Yes"),AND('Pockets'!$E$17="Worse or not sure",OR($K469="Yes",$K469="Not sure")))),1,0)</f>
        <v/>
      </c>
      <c r="N469">
        <f>$N468+$M469</f>
        <v/>
      </c>
      <c r="O469" t="inlineStr">
        <is>
          <t>three-way</t>
        </is>
      </c>
      <c r="P469" t="inlineStr">
        <is>
          <t>gco_rate</t>
        </is>
      </c>
    </row>
    <row r="470">
      <c r="A470" t="inlineStr">
        <is>
          <t>Split by SYS_FLAG</t>
        </is>
      </c>
      <c r="B470" t="inlineStr">
        <is>
          <t>Charge-offs</t>
        </is>
      </c>
      <c r="C470" t="n">
        <v>881</v>
      </c>
      <c r="D470" t="inlineStr">
        <is>
          <t>ORIG_BAL 15,449 - 26,323</t>
        </is>
      </c>
      <c r="E470" t="inlineStr">
        <is>
          <t>Online</t>
        </is>
      </c>
      <c r="F470" t="inlineStr">
        <is>
          <t>N</t>
        </is>
      </c>
      <c r="G470" t="n">
        <v>300</v>
      </c>
      <c r="H470" t="n">
        <v>1.70911216576356</v>
      </c>
      <c r="J470" t="n">
        <v>79</v>
      </c>
      <c r="K470">
        <f>'_pockets'!$AI$881</f>
        <v/>
      </c>
      <c r="L470">
        <f>'_pockets'!$AJ$881</f>
        <v/>
      </c>
      <c r="M470">
        <f>IF(AND($A470='Pockets'!$D$17,$B470='Pockets'!$C$17,OR('Pockets'!$E$17="All",AND('Pockets'!$E$17="Worse and material",$K470="Yes",$L470="Yes"),AND('Pockets'!$E$17="Worse or not sure",OR($K470="Yes",$K470="Not sure")))),1,0)</f>
        <v/>
      </c>
      <c r="N470">
        <f>$N469+$M470</f>
        <v/>
      </c>
      <c r="O470" t="inlineStr">
        <is>
          <t>three-way</t>
        </is>
      </c>
      <c r="P470" t="inlineStr">
        <is>
          <t>gco_rate</t>
        </is>
      </c>
    </row>
    <row r="471">
      <c r="A471" t="inlineStr">
        <is>
          <t>Split by SYS_FLAG</t>
        </is>
      </c>
      <c r="B471" t="inlineStr">
        <is>
          <t>Charge-offs</t>
        </is>
      </c>
      <c r="C471" t="n">
        <v>1131</v>
      </c>
      <c r="D471" t="inlineStr">
        <is>
          <t>ORIG_BAL 15,449 - 26,323</t>
        </is>
      </c>
      <c r="E471" t="inlineStr">
        <is>
          <t>ASSET_CLASS 3</t>
        </is>
      </c>
      <c r="F471" t="inlineStr">
        <is>
          <t>N</t>
        </is>
      </c>
      <c r="G471" t="n">
        <v>234</v>
      </c>
      <c r="H471" t="n">
        <v>1.811426559184606</v>
      </c>
      <c r="J471" t="n">
        <v>80</v>
      </c>
      <c r="K471">
        <f>'_pockets'!$AI$1131</f>
        <v/>
      </c>
      <c r="L471">
        <f>'_pockets'!$AJ$1131</f>
        <v/>
      </c>
      <c r="M471">
        <f>IF(AND($A471='Pockets'!$D$17,$B471='Pockets'!$C$17,OR('Pockets'!$E$17="All",AND('Pockets'!$E$17="Worse and material",$K471="Yes",$L471="Yes"),AND('Pockets'!$E$17="Worse or not sure",OR($K471="Yes",$K471="Not sure")))),1,0)</f>
        <v/>
      </c>
      <c r="N471">
        <f>$N470+$M471</f>
        <v/>
      </c>
      <c r="O471" t="inlineStr">
        <is>
          <t>three-way</t>
        </is>
      </c>
      <c r="P471" t="inlineStr">
        <is>
          <t>gco_rate</t>
        </is>
      </c>
    </row>
    <row r="472">
      <c r="A472" t="inlineStr">
        <is>
          <t>Split by SYS_FLAG</t>
        </is>
      </c>
      <c r="B472" t="inlineStr">
        <is>
          <t>Charge-offs</t>
        </is>
      </c>
      <c r="C472" t="n">
        <v>936</v>
      </c>
      <c r="D472" t="inlineStr">
        <is>
          <t>ORIG_BAL 15,449 - 26,323</t>
        </is>
      </c>
      <c r="E472" t="inlineStr">
        <is>
          <t>Online</t>
        </is>
      </c>
      <c r="F472" t="inlineStr">
        <is>
          <t>Y</t>
        </is>
      </c>
      <c r="G472" t="n">
        <v>238</v>
      </c>
      <c r="H472" t="n">
        <v>1.8039719686411</v>
      </c>
      <c r="J472" t="n">
        <v>81</v>
      </c>
      <c r="K472">
        <f>'_pockets'!$AI$936</f>
        <v/>
      </c>
      <c r="L472">
        <f>'_pockets'!$AJ$936</f>
        <v/>
      </c>
      <c r="M472">
        <f>IF(AND($A472='Pockets'!$D$17,$B472='Pockets'!$C$17,OR('Pockets'!$E$17="All",AND('Pockets'!$E$17="Worse and material",$K472="Yes",$L472="Yes"),AND('Pockets'!$E$17="Worse or not sure",OR($K472="Yes",$K472="Not sure")))),1,0)</f>
        <v/>
      </c>
      <c r="N472">
        <f>$N471+$M472</f>
        <v/>
      </c>
      <c r="O472" t="inlineStr">
        <is>
          <t>three-way</t>
        </is>
      </c>
      <c r="P472" t="inlineStr">
        <is>
          <t>gco_rate</t>
        </is>
      </c>
    </row>
    <row r="473">
      <c r="A473" t="inlineStr">
        <is>
          <t>Split by SYS_FLAG</t>
        </is>
      </c>
      <c r="B473" t="inlineStr">
        <is>
          <t>Charge-offs</t>
        </is>
      </c>
      <c r="C473" t="n">
        <v>1026</v>
      </c>
      <c r="D473" t="inlineStr">
        <is>
          <t>ORIG_BAL 37,951 - 49,151</t>
        </is>
      </c>
      <c r="E473" t="inlineStr">
        <is>
          <t>ASSET_CLASS 2</t>
        </is>
      </c>
      <c r="F473" t="inlineStr">
        <is>
          <t>Y</t>
        </is>
      </c>
      <c r="G473" t="n">
        <v>199</v>
      </c>
      <c r="H473" t="n">
        <v>1.886505330327829</v>
      </c>
      <c r="J473" t="n">
        <v>82</v>
      </c>
      <c r="K473">
        <f>'_pockets'!$AI$1026</f>
        <v/>
      </c>
      <c r="L473">
        <f>'_pockets'!$AJ$1026</f>
        <v/>
      </c>
      <c r="M473">
        <f>IF(AND($A473='Pockets'!$D$17,$B473='Pockets'!$C$17,OR('Pockets'!$E$17="All",AND('Pockets'!$E$17="Worse and material",$K473="Yes",$L473="Yes"),AND('Pockets'!$E$17="Worse or not sure",OR($K473="Yes",$K473="Not sure")))),1,0)</f>
        <v/>
      </c>
      <c r="N473">
        <f>$N472+$M473</f>
        <v/>
      </c>
      <c r="O473" t="inlineStr">
        <is>
          <t>three-way</t>
        </is>
      </c>
      <c r="P473" t="inlineStr">
        <is>
          <t>gco_rate</t>
        </is>
      </c>
    </row>
    <row r="474">
      <c r="A474" t="inlineStr">
        <is>
          <t>Split by SYS_FLAG</t>
        </is>
      </c>
      <c r="B474" t="inlineStr">
        <is>
          <t>Charge-offs</t>
        </is>
      </c>
      <c r="C474" t="n">
        <v>1031</v>
      </c>
      <c r="D474" t="inlineStr">
        <is>
          <t>ORIG_BAL 15,449 - 26,323</t>
        </is>
      </c>
      <c r="E474" t="inlineStr">
        <is>
          <t>ASSET_CLASS 1</t>
        </is>
      </c>
      <c r="F474" t="inlineStr">
        <is>
          <t>N</t>
        </is>
      </c>
      <c r="G474" t="n">
        <v>224</v>
      </c>
      <c r="H474" t="n">
        <v>1.830975683427167</v>
      </c>
      <c r="J474" t="n">
        <v>83</v>
      </c>
      <c r="K474">
        <f>'_pockets'!$AI$1031</f>
        <v/>
      </c>
      <c r="L474">
        <f>'_pockets'!$AJ$1031</f>
        <v/>
      </c>
      <c r="M474">
        <f>IF(AND($A474='Pockets'!$D$17,$B474='Pockets'!$C$17,OR('Pockets'!$E$17="All",AND('Pockets'!$E$17="Worse and material",$K474="Yes",$L474="Yes"),AND('Pockets'!$E$17="Worse or not sure",OR($K474="Yes",$K474="Not sure")))),1,0)</f>
        <v/>
      </c>
      <c r="N474">
        <f>$N473+$M474</f>
        <v/>
      </c>
      <c r="O474" t="inlineStr">
        <is>
          <t>three-way</t>
        </is>
      </c>
      <c r="P474" t="inlineStr">
        <is>
          <t>gco_rate</t>
        </is>
      </c>
    </row>
    <row r="475">
      <c r="A475" t="inlineStr">
        <is>
          <t>Split by SYS_FLAG</t>
        </is>
      </c>
      <c r="B475" t="inlineStr">
        <is>
          <t>Charge-offs</t>
        </is>
      </c>
      <c r="C475" t="n">
        <v>701</v>
      </c>
      <c r="D475" t="inlineStr">
        <is>
          <t>FICO 654 - 685</t>
        </is>
      </c>
      <c r="E475" t="inlineStr">
        <is>
          <t>ASSET_CLASS 4</t>
        </is>
      </c>
      <c r="F475" t="inlineStr">
        <is>
          <t>N</t>
        </is>
      </c>
      <c r="G475" t="n">
        <v>219</v>
      </c>
      <c r="H475" t="n">
        <v>1.841275675045903</v>
      </c>
      <c r="J475" t="n">
        <v>84</v>
      </c>
      <c r="K475">
        <f>'_pockets'!$AI$701</f>
        <v/>
      </c>
      <c r="L475">
        <f>'_pockets'!$AJ$701</f>
        <v/>
      </c>
      <c r="M475">
        <f>IF(AND($A475='Pockets'!$D$17,$B475='Pockets'!$C$17,OR('Pockets'!$E$17="All",AND('Pockets'!$E$17="Worse and material",$K475="Yes",$L475="Yes"),AND('Pockets'!$E$17="Worse or not sure",OR($K475="Yes",$K475="Not sure")))),1,0)</f>
        <v/>
      </c>
      <c r="N475">
        <f>$N474+$M475</f>
        <v/>
      </c>
      <c r="O475" t="inlineStr">
        <is>
          <t>three-way</t>
        </is>
      </c>
      <c r="P475" t="inlineStr">
        <is>
          <t>gco_rate</t>
        </is>
      </c>
    </row>
    <row r="476">
      <c r="A476" t="inlineStr">
        <is>
          <t>Split by SYS_FLAG</t>
        </is>
      </c>
      <c r="B476" t="inlineStr">
        <is>
          <t>Charge-offs</t>
        </is>
      </c>
      <c r="C476" t="n">
        <v>431</v>
      </c>
      <c r="D476" t="inlineStr">
        <is>
          <t>FICO 496 - 653</t>
        </is>
      </c>
      <c r="E476" t="inlineStr">
        <is>
          <t>Branch</t>
        </is>
      </c>
      <c r="F476" t="inlineStr">
        <is>
          <t>N</t>
        </is>
      </c>
      <c r="G476" t="n">
        <v>271</v>
      </c>
      <c r="H476" t="n">
        <v>1.749218625901148</v>
      </c>
      <c r="J476" t="n">
        <v>85</v>
      </c>
      <c r="K476">
        <f>'_pockets'!$AI$431</f>
        <v/>
      </c>
      <c r="L476">
        <f>'_pockets'!$AJ$431</f>
        <v/>
      </c>
      <c r="M476">
        <f>IF(AND($A476='Pockets'!$D$17,$B476='Pockets'!$C$17,OR('Pockets'!$E$17="All",AND('Pockets'!$E$17="Worse and material",$K476="Yes",$L476="Yes"),AND('Pockets'!$E$17="Worse or not sure",OR($K476="Yes",$K476="Not sure")))),1,0)</f>
        <v/>
      </c>
      <c r="N476">
        <f>$N475+$M476</f>
        <v/>
      </c>
      <c r="O476" t="inlineStr">
        <is>
          <t>three-way</t>
        </is>
      </c>
      <c r="P476" t="inlineStr">
        <is>
          <t>gco_rate</t>
        </is>
      </c>
    </row>
    <row r="477">
      <c r="A477" t="inlineStr">
        <is>
          <t>Split by SYS_FLAG</t>
        </is>
      </c>
      <c r="B477" t="inlineStr">
        <is>
          <t>Charge-offs</t>
        </is>
      </c>
      <c r="C477" t="n">
        <v>631</v>
      </c>
      <c r="D477" t="inlineStr">
        <is>
          <t>FICO 496 - 653</t>
        </is>
      </c>
      <c r="E477" t="inlineStr">
        <is>
          <t>ASSET_CLASS 1</t>
        </is>
      </c>
      <c r="F477" t="inlineStr">
        <is>
          <t>N</t>
        </is>
      </c>
      <c r="G477" t="n">
        <v>234</v>
      </c>
      <c r="H477" t="n">
        <v>1.811426559184606</v>
      </c>
      <c r="J477" t="n">
        <v>86</v>
      </c>
      <c r="K477">
        <f>'_pockets'!$AI$631</f>
        <v/>
      </c>
      <c r="L477">
        <f>'_pockets'!$AJ$631</f>
        <v/>
      </c>
      <c r="M477">
        <f>IF(AND($A477='Pockets'!$D$17,$B477='Pockets'!$C$17,OR('Pockets'!$E$17="All",AND('Pockets'!$E$17="Worse and material",$K477="Yes",$L477="Yes"),AND('Pockets'!$E$17="Worse or not sure",OR($K477="Yes",$K477="Not sure")))),1,0)</f>
        <v/>
      </c>
      <c r="N477">
        <f>$N476+$M477</f>
        <v/>
      </c>
      <c r="O477" t="inlineStr">
        <is>
          <t>three-way</t>
        </is>
      </c>
      <c r="P477" t="inlineStr">
        <is>
          <t>gco_rate</t>
        </is>
      </c>
    </row>
    <row r="478">
      <c r="A478" t="inlineStr">
        <is>
          <t>Split by SYS_FLAG</t>
        </is>
      </c>
      <c r="B478" t="inlineStr">
        <is>
          <t>Kept after losses</t>
        </is>
      </c>
      <c r="C478" t="n">
        <v>542</v>
      </c>
      <c r="D478" t="inlineStr">
        <is>
          <t>FICO 496 - 653</t>
        </is>
      </c>
      <c r="E478" t="inlineStr">
        <is>
          <t>Broker</t>
        </is>
      </c>
      <c r="F478" t="inlineStr">
        <is>
          <t>Y</t>
        </is>
      </c>
      <c r="G478" t="n">
        <v>265</v>
      </c>
      <c r="H478" t="n">
        <v>-3.558329630749638</v>
      </c>
      <c r="J478" t="n">
        <v>1</v>
      </c>
      <c r="K478">
        <f>'_pockets'!$AI$542</f>
        <v/>
      </c>
      <c r="L478">
        <f>'_pockets'!$AJ$542</f>
        <v/>
      </c>
      <c r="M478">
        <f>IF(AND($A478='Pockets'!$D$17,$B478='Pockets'!$C$17,OR('Pockets'!$E$17="All",AND('Pockets'!$E$17="Worse and material",$K478="Yes",$L478="Yes"),AND('Pockets'!$E$17="Worse or not sure",OR($K478="Yes",$K478="Not sure")))),1,0)</f>
        <v/>
      </c>
      <c r="N478">
        <f>$N477+$M478</f>
        <v/>
      </c>
      <c r="O478" t="inlineStr">
        <is>
          <t>three-way</t>
        </is>
      </c>
      <c r="P478" t="inlineStr">
        <is>
          <t>ranr_rate</t>
        </is>
      </c>
    </row>
    <row r="479">
      <c r="A479" t="inlineStr">
        <is>
          <t>Split by SYS_FLAG</t>
        </is>
      </c>
      <c r="B479" t="inlineStr">
        <is>
          <t>Kept after losses</t>
        </is>
      </c>
      <c r="C479" t="n">
        <v>1152</v>
      </c>
      <c r="D479" t="inlineStr">
        <is>
          <t>ORIG_BAL 37,951 - 49,151</t>
        </is>
      </c>
      <c r="E479" t="inlineStr">
        <is>
          <t>ASSET_CLASS 4</t>
        </is>
      </c>
      <c r="F479" t="inlineStr">
        <is>
          <t>Y</t>
        </is>
      </c>
      <c r="G479" t="n">
        <v>189</v>
      </c>
      <c r="H479" t="n">
        <v>-4.192902647421834</v>
      </c>
      <c r="J479" t="n">
        <v>2</v>
      </c>
      <c r="K479">
        <f>'_pockets'!$AI$1152</f>
        <v/>
      </c>
      <c r="L479">
        <f>'_pockets'!$AJ$1152</f>
        <v/>
      </c>
      <c r="M479">
        <f>IF(AND($A479='Pockets'!$D$17,$B479='Pockets'!$C$17,OR('Pockets'!$E$17="All",AND('Pockets'!$E$17="Worse and material",$K479="Yes",$L479="Yes"),AND('Pockets'!$E$17="Worse or not sure",OR($K479="Yes",$K479="Not sure")))),1,0)</f>
        <v/>
      </c>
      <c r="N479">
        <f>$N478+$M479</f>
        <v/>
      </c>
      <c r="O479" t="inlineStr">
        <is>
          <t>three-way</t>
        </is>
      </c>
      <c r="P479" t="inlineStr">
        <is>
          <t>ranr_rate</t>
        </is>
      </c>
    </row>
    <row r="480">
      <c r="A480" t="inlineStr">
        <is>
          <t>Split by SYS_FLAG</t>
        </is>
      </c>
      <c r="B480" t="inlineStr">
        <is>
          <t>Kept after losses</t>
        </is>
      </c>
      <c r="C480" t="n">
        <v>957</v>
      </c>
      <c r="D480" t="inlineStr">
        <is>
          <t>ORIG_BAL 49,152 - 59,984</t>
        </is>
      </c>
      <c r="E480" t="inlineStr">
        <is>
          <t>Broker</t>
        </is>
      </c>
      <c r="F480" t="inlineStr">
        <is>
          <t>Y</t>
        </is>
      </c>
      <c r="G480" t="n">
        <v>242</v>
      </c>
      <c r="H480" t="n">
        <v>-3.718061928865932</v>
      </c>
      <c r="J480" t="n">
        <v>3</v>
      </c>
      <c r="K480">
        <f>'_pockets'!$AI$957</f>
        <v/>
      </c>
      <c r="L480">
        <f>'_pockets'!$AJ$957</f>
        <v/>
      </c>
      <c r="M480">
        <f>IF(AND($A480='Pockets'!$D$17,$B480='Pockets'!$C$17,OR('Pockets'!$E$17="All",AND('Pockets'!$E$17="Worse and material",$K480="Yes",$L480="Yes"),AND('Pockets'!$E$17="Worse or not sure",OR($K480="Yes",$K480="Not sure")))),1,0)</f>
        <v/>
      </c>
      <c r="N480">
        <f>$N479+$M480</f>
        <v/>
      </c>
      <c r="O480" t="inlineStr">
        <is>
          <t>three-way</t>
        </is>
      </c>
      <c r="P480" t="inlineStr">
        <is>
          <t>ranr_rate</t>
        </is>
      </c>
    </row>
    <row r="481">
      <c r="A481" t="inlineStr">
        <is>
          <t>Split by SYS_FLAG</t>
        </is>
      </c>
      <c r="B481" t="inlineStr">
        <is>
          <t>Kept after losses</t>
        </is>
      </c>
      <c r="C481" t="n">
        <v>787</v>
      </c>
      <c r="D481" t="inlineStr">
        <is>
          <t>FICO 496 - 653</t>
        </is>
      </c>
      <c r="E481" t="inlineStr">
        <is>
          <t>ASSET_CLASS 4</t>
        </is>
      </c>
      <c r="F481" t="inlineStr">
        <is>
          <t>Y</t>
        </is>
      </c>
      <c r="G481" t="n">
        <v>189</v>
      </c>
      <c r="H481" t="n">
        <v>-4.192902647421834</v>
      </c>
      <c r="J481" t="n">
        <v>4</v>
      </c>
      <c r="K481">
        <f>'_pockets'!$AI$787</f>
        <v/>
      </c>
      <c r="L481">
        <f>'_pockets'!$AJ$787</f>
        <v/>
      </c>
      <c r="M481">
        <f>IF(AND($A481='Pockets'!$D$17,$B481='Pockets'!$C$17,OR('Pockets'!$E$17="All",AND('Pockets'!$E$17="Worse and material",$K481="Yes",$L481="Yes"),AND('Pockets'!$E$17="Worse or not sure",OR($K481="Yes",$K481="Not sure")))),1,0)</f>
        <v/>
      </c>
      <c r="N481">
        <f>$N480+$M481</f>
        <v/>
      </c>
      <c r="O481" t="inlineStr">
        <is>
          <t>three-way</t>
        </is>
      </c>
      <c r="P481" t="inlineStr">
        <is>
          <t>ranr_rate</t>
        </is>
      </c>
    </row>
    <row r="482">
      <c r="A482" t="inlineStr">
        <is>
          <t>Split by SYS_FLAG</t>
        </is>
      </c>
      <c r="B482" t="inlineStr">
        <is>
          <t>Kept after losses</t>
        </is>
      </c>
      <c r="C482" t="n">
        <v>972</v>
      </c>
      <c r="D482" t="inlineStr">
        <is>
          <t>ORIG_BAL 37,951 - 49,151</t>
        </is>
      </c>
      <c r="E482" t="inlineStr">
        <is>
          <t>Broker</t>
        </is>
      </c>
      <c r="F482" t="inlineStr">
        <is>
          <t>Y</t>
        </is>
      </c>
      <c r="G482" t="n">
        <v>249</v>
      </c>
      <c r="H482" t="n">
        <v>-3.667082436878989</v>
      </c>
      <c r="J482" t="n">
        <v>5</v>
      </c>
      <c r="K482">
        <f>'_pockets'!$AI$972</f>
        <v/>
      </c>
      <c r="L482">
        <f>'_pockets'!$AJ$972</f>
        <v/>
      </c>
      <c r="M482">
        <f>IF(AND($A482='Pockets'!$D$17,$B482='Pockets'!$C$17,OR('Pockets'!$E$17="All",AND('Pockets'!$E$17="Worse and material",$K482="Yes",$L482="Yes"),AND('Pockets'!$E$17="Worse or not sure",OR($K482="Yes",$K482="Not sure")))),1,0)</f>
        <v/>
      </c>
      <c r="N482">
        <f>$N481+$M482</f>
        <v/>
      </c>
      <c r="O482" t="inlineStr">
        <is>
          <t>three-way</t>
        </is>
      </c>
      <c r="P482" t="inlineStr">
        <is>
          <t>ranr_rate</t>
        </is>
      </c>
    </row>
    <row r="483">
      <c r="A483" t="inlineStr">
        <is>
          <t>Split by SYS_FLAG</t>
        </is>
      </c>
      <c r="B483" t="inlineStr">
        <is>
          <t>Kept after losses</t>
        </is>
      </c>
      <c r="C483" t="n">
        <v>807</v>
      </c>
      <c r="D483" t="inlineStr">
        <is>
          <t>FICO 654 - 685</t>
        </is>
      </c>
      <c r="E483" t="inlineStr">
        <is>
          <t>ASSET_CLASS 4</t>
        </is>
      </c>
      <c r="F483" t="inlineStr">
        <is>
          <t>Y</t>
        </is>
      </c>
      <c r="G483" t="n">
        <v>191</v>
      </c>
      <c r="H483" t="n">
        <v>-4.171426655472364</v>
      </c>
      <c r="J483" t="n">
        <v>6</v>
      </c>
      <c r="K483">
        <f>'_pockets'!$AI$807</f>
        <v/>
      </c>
      <c r="L483">
        <f>'_pockets'!$AJ$807</f>
        <v/>
      </c>
      <c r="M483">
        <f>IF(AND($A483='Pockets'!$D$17,$B483='Pockets'!$C$17,OR('Pockets'!$E$17="All",AND('Pockets'!$E$17="Worse and material",$K483="Yes",$L483="Yes"),AND('Pockets'!$E$17="Worse or not sure",OR($K483="Yes",$K483="Not sure")))),1,0)</f>
        <v/>
      </c>
      <c r="N483">
        <f>$N482+$M483</f>
        <v/>
      </c>
      <c r="O483" t="inlineStr">
        <is>
          <t>three-way</t>
        </is>
      </c>
      <c r="P483" t="inlineStr">
        <is>
          <t>ranr_rate</t>
        </is>
      </c>
    </row>
    <row r="484">
      <c r="A484" t="inlineStr">
        <is>
          <t>Split by SYS_FLAG</t>
        </is>
      </c>
      <c r="B484" t="inlineStr">
        <is>
          <t>Kept after losses</t>
        </is>
      </c>
      <c r="C484" t="n">
        <v>487</v>
      </c>
      <c r="D484" t="inlineStr">
        <is>
          <t>FICO 654 - 685</t>
        </is>
      </c>
      <c r="E484" t="inlineStr">
        <is>
          <t>Branch</t>
        </is>
      </c>
      <c r="F484" t="inlineStr">
        <is>
          <t>Y</t>
        </is>
      </c>
      <c r="G484" t="n">
        <v>254</v>
      </c>
      <c r="H484" t="n">
        <v>-3.631981507029823</v>
      </c>
      <c r="J484" t="n">
        <v>7</v>
      </c>
      <c r="K484">
        <f>'_pockets'!$AI$487</f>
        <v/>
      </c>
      <c r="L484">
        <f>'_pockets'!$AJ$487</f>
        <v/>
      </c>
      <c r="M484">
        <f>IF(AND($A484='Pockets'!$D$17,$B484='Pockets'!$C$17,OR('Pockets'!$E$17="All",AND('Pockets'!$E$17="Worse and material",$K484="Yes",$L484="Yes"),AND('Pockets'!$E$17="Worse or not sure",OR($K484="Yes",$K484="Not sure")))),1,0)</f>
        <v/>
      </c>
      <c r="N484">
        <f>$N483+$M484</f>
        <v/>
      </c>
      <c r="O484" t="inlineStr">
        <is>
          <t>three-way</t>
        </is>
      </c>
      <c r="P484" t="inlineStr">
        <is>
          <t>ranr_rate</t>
        </is>
      </c>
    </row>
    <row r="485">
      <c r="A485" t="inlineStr">
        <is>
          <t>Split by SYS_FLAG</t>
        </is>
      </c>
      <c r="B485" t="inlineStr">
        <is>
          <t>Kept after losses</t>
        </is>
      </c>
      <c r="C485" t="n">
        <v>447</v>
      </c>
      <c r="D485" t="inlineStr">
        <is>
          <t>FICO 686 - 711</t>
        </is>
      </c>
      <c r="E485" t="inlineStr">
        <is>
          <t>Broker</t>
        </is>
      </c>
      <c r="F485" t="inlineStr">
        <is>
          <t>Y</t>
        </is>
      </c>
      <c r="G485" t="n">
        <v>230</v>
      </c>
      <c r="H485" t="n">
        <v>-3.81087513522319</v>
      </c>
      <c r="J485" t="n">
        <v>8</v>
      </c>
      <c r="K485">
        <f>'_pockets'!$AI$447</f>
        <v/>
      </c>
      <c r="L485">
        <f>'_pockets'!$AJ$447</f>
        <v/>
      </c>
      <c r="M485">
        <f>IF(AND($A485='Pockets'!$D$17,$B485='Pockets'!$C$17,OR('Pockets'!$E$17="All",AND('Pockets'!$E$17="Worse and material",$K485="Yes",$L485="Yes"),AND('Pockets'!$E$17="Worse or not sure",OR($K485="Yes",$K485="Not sure")))),1,0)</f>
        <v/>
      </c>
      <c r="N485">
        <f>$N484+$M485</f>
        <v/>
      </c>
      <c r="O485" t="inlineStr">
        <is>
          <t>three-way</t>
        </is>
      </c>
      <c r="P485" t="inlineStr">
        <is>
          <t>ranr_rate</t>
        </is>
      </c>
    </row>
    <row r="486">
      <c r="A486" t="inlineStr">
        <is>
          <t>Split by SYS_FLAG</t>
        </is>
      </c>
      <c r="B486" t="inlineStr">
        <is>
          <t>Kept after losses</t>
        </is>
      </c>
      <c r="C486" t="n">
        <v>982</v>
      </c>
      <c r="D486" t="inlineStr">
        <is>
          <t>ORIG_BAL 15,449 - 26,323</t>
        </is>
      </c>
      <c r="E486" t="inlineStr">
        <is>
          <t>Broker</t>
        </is>
      </c>
      <c r="F486" t="inlineStr">
        <is>
          <t>Y</t>
        </is>
      </c>
      <c r="G486" t="n">
        <v>244</v>
      </c>
      <c r="H486" t="n">
        <v>-3.703270057049184</v>
      </c>
      <c r="J486" t="n">
        <v>9</v>
      </c>
      <c r="K486">
        <f>'_pockets'!$AI$982</f>
        <v/>
      </c>
      <c r="L486">
        <f>'_pockets'!$AJ$982</f>
        <v/>
      </c>
      <c r="M486">
        <f>IF(AND($A486='Pockets'!$D$17,$B486='Pockets'!$C$17,OR('Pockets'!$E$17="All",AND('Pockets'!$E$17="Worse and material",$K486="Yes",$L486="Yes"),AND('Pockets'!$E$17="Worse or not sure",OR($K486="Yes",$K486="Not sure")))),1,0)</f>
        <v/>
      </c>
      <c r="N486">
        <f>$N485+$M486</f>
        <v/>
      </c>
      <c r="O486" t="inlineStr">
        <is>
          <t>three-way</t>
        </is>
      </c>
      <c r="P486" t="inlineStr">
        <is>
          <t>ranr_rate</t>
        </is>
      </c>
    </row>
    <row r="487">
      <c r="A487" t="inlineStr">
        <is>
          <t>Split by SYS_FLAG</t>
        </is>
      </c>
      <c r="B487" t="inlineStr">
        <is>
          <t>Kept after losses</t>
        </is>
      </c>
      <c r="C487" t="n">
        <v>1142</v>
      </c>
      <c r="D487" t="inlineStr">
        <is>
          <t>ORIG_BAL 37,951 - 49,151</t>
        </is>
      </c>
      <c r="E487" t="inlineStr">
        <is>
          <t>ASSET_CLASS 3</t>
        </is>
      </c>
      <c r="F487" t="inlineStr">
        <is>
          <t>Y</t>
        </is>
      </c>
      <c r="G487" t="n">
        <v>195</v>
      </c>
      <c r="H487" t="n">
        <v>-4.129478999737247</v>
      </c>
      <c r="J487" t="n">
        <v>10</v>
      </c>
      <c r="K487">
        <f>'_pockets'!$AI$1142</f>
        <v/>
      </c>
      <c r="L487">
        <f>'_pockets'!$AJ$1142</f>
        <v/>
      </c>
      <c r="M487">
        <f>IF(AND($A487='Pockets'!$D$17,$B487='Pockets'!$C$17,OR('Pockets'!$E$17="All",AND('Pockets'!$E$17="Worse and material",$K487="Yes",$L487="Yes"),AND('Pockets'!$E$17="Worse or not sure",OR($K487="Yes",$K487="Not sure")))),1,0)</f>
        <v/>
      </c>
      <c r="N487">
        <f>$N486+$M487</f>
        <v/>
      </c>
      <c r="O487" t="inlineStr">
        <is>
          <t>three-way</t>
        </is>
      </c>
      <c r="P487" t="inlineStr">
        <is>
          <t>ranr_rate</t>
        </is>
      </c>
    </row>
    <row r="488">
      <c r="A488" t="inlineStr">
        <is>
          <t>Split by SYS_FLAG</t>
        </is>
      </c>
      <c r="B488" t="inlineStr">
        <is>
          <t>Kept after losses</t>
        </is>
      </c>
      <c r="C488" t="n">
        <v>442</v>
      </c>
      <c r="D488" t="inlineStr">
        <is>
          <t>FICO 496 - 653</t>
        </is>
      </c>
      <c r="E488" t="inlineStr">
        <is>
          <t>Broker</t>
        </is>
      </c>
      <c r="F488" t="inlineStr">
        <is>
          <t>N</t>
        </is>
      </c>
      <c r="G488" t="n">
        <v>258</v>
      </c>
      <c r="H488" t="n">
        <v>-3.604647582275089</v>
      </c>
      <c r="J488" t="n">
        <v>11</v>
      </c>
      <c r="K488">
        <f>'_pockets'!$AI$442</f>
        <v/>
      </c>
      <c r="L488">
        <f>'_pockets'!$AJ$442</f>
        <v/>
      </c>
      <c r="M488">
        <f>IF(AND($A488='Pockets'!$D$17,$B488='Pockets'!$C$17,OR('Pockets'!$E$17="All",AND('Pockets'!$E$17="Worse and material",$K488="Yes",$L488="Yes"),AND('Pockets'!$E$17="Worse or not sure",OR($K488="Yes",$K488="Not sure")))),1,0)</f>
        <v/>
      </c>
      <c r="N488">
        <f>$N487+$M488</f>
        <v/>
      </c>
      <c r="O488" t="inlineStr">
        <is>
          <t>three-way</t>
        </is>
      </c>
      <c r="P488" t="inlineStr">
        <is>
          <t>ranr_rate</t>
        </is>
      </c>
    </row>
    <row r="489">
      <c r="A489" t="inlineStr">
        <is>
          <t>Split by SYS_FLAG</t>
        </is>
      </c>
      <c r="B489" t="inlineStr">
        <is>
          <t>Kept after losses</t>
        </is>
      </c>
      <c r="C489" t="n">
        <v>1157</v>
      </c>
      <c r="D489" t="inlineStr">
        <is>
          <t>ORIG_BAL 49,152 - 59,984</t>
        </is>
      </c>
      <c r="E489" t="inlineStr">
        <is>
          <t>ASSET_CLASS 4</t>
        </is>
      </c>
      <c r="F489" t="inlineStr">
        <is>
          <t>Y</t>
        </is>
      </c>
      <c r="G489" t="n">
        <v>171</v>
      </c>
      <c r="H489" t="n">
        <v>-4.402990356124487</v>
      </c>
      <c r="J489" t="n">
        <v>12</v>
      </c>
      <c r="K489">
        <f>'_pockets'!$AI$1157</f>
        <v/>
      </c>
      <c r="L489">
        <f>'_pockets'!$AJ$1157</f>
        <v/>
      </c>
      <c r="M489">
        <f>IF(AND($A489='Pockets'!$D$17,$B489='Pockets'!$C$17,OR('Pockets'!$E$17="All",AND('Pockets'!$E$17="Worse and material",$K489="Yes",$L489="Yes"),AND('Pockets'!$E$17="Worse or not sure",OR($K489="Yes",$K489="Not sure")))),1,0)</f>
        <v/>
      </c>
      <c r="N489">
        <f>$N488+$M489</f>
        <v/>
      </c>
      <c r="O489" t="inlineStr">
        <is>
          <t>three-way</t>
        </is>
      </c>
      <c r="P489" t="inlineStr">
        <is>
          <t>ranr_rate</t>
        </is>
      </c>
    </row>
    <row r="490">
      <c r="A490" t="inlineStr">
        <is>
          <t>Split by SYS_FLAG</t>
        </is>
      </c>
      <c r="B490" t="inlineStr">
        <is>
          <t>Kept after losses</t>
        </is>
      </c>
      <c r="C490" t="n">
        <v>1127</v>
      </c>
      <c r="D490" t="inlineStr">
        <is>
          <t>ORIG_BAL 49,152 - 59,984</t>
        </is>
      </c>
      <c r="E490" t="inlineStr">
        <is>
          <t>ASSET_CLASS 2</t>
        </is>
      </c>
      <c r="F490" t="inlineStr">
        <is>
          <t>Y</t>
        </is>
      </c>
      <c r="G490" t="n">
        <v>197</v>
      </c>
      <c r="H490" t="n">
        <v>-4.108990260368546</v>
      </c>
      <c r="J490" t="n">
        <v>13</v>
      </c>
      <c r="K490">
        <f>'_pockets'!$AI$1127</f>
        <v/>
      </c>
      <c r="L490">
        <f>'_pockets'!$AJ$1127</f>
        <v/>
      </c>
      <c r="M490">
        <f>IF(AND($A490='Pockets'!$D$17,$B490='Pockets'!$C$17,OR('Pockets'!$E$17="All",AND('Pockets'!$E$17="Worse and material",$K490="Yes",$L490="Yes"),AND('Pockets'!$E$17="Worse or not sure",OR($K490="Yes",$K490="Not sure")))),1,0)</f>
        <v/>
      </c>
      <c r="N490">
        <f>$N489+$M490</f>
        <v/>
      </c>
      <c r="O490" t="inlineStr">
        <is>
          <t>three-way</t>
        </is>
      </c>
      <c r="P490" t="inlineStr">
        <is>
          <t>ranr_rate</t>
        </is>
      </c>
    </row>
    <row r="491">
      <c r="A491" t="inlineStr">
        <is>
          <t>Split by SYS_FLAG</t>
        </is>
      </c>
      <c r="B491" t="inlineStr">
        <is>
          <t>Kept after losses</t>
        </is>
      </c>
      <c r="C491" t="n">
        <v>977</v>
      </c>
      <c r="D491" t="inlineStr">
        <is>
          <t>ORIG_BAL 37,951 - 49,151</t>
        </is>
      </c>
      <c r="E491" t="inlineStr">
        <is>
          <t>Online</t>
        </is>
      </c>
      <c r="F491" t="inlineStr">
        <is>
          <t>Y</t>
        </is>
      </c>
      <c r="G491" t="n">
        <v>254</v>
      </c>
      <c r="H491" t="n">
        <v>-3.631981507029823</v>
      </c>
      <c r="J491" t="n">
        <v>14</v>
      </c>
      <c r="K491">
        <f>'_pockets'!$AI$977</f>
        <v/>
      </c>
      <c r="L491">
        <f>'_pockets'!$AJ$977</f>
        <v/>
      </c>
      <c r="M491">
        <f>IF(AND($A491='Pockets'!$D$17,$B491='Pockets'!$C$17,OR('Pockets'!$E$17="All",AND('Pockets'!$E$17="Worse and material",$K491="Yes",$L491="Yes"),AND('Pockets'!$E$17="Worse or not sure",OR($K491="Yes",$K491="Not sure")))),1,0)</f>
        <v/>
      </c>
      <c r="N491">
        <f>$N490+$M491</f>
        <v/>
      </c>
      <c r="O491" t="inlineStr">
        <is>
          <t>three-way</t>
        </is>
      </c>
      <c r="P491" t="inlineStr">
        <is>
          <t>ranr_rate</t>
        </is>
      </c>
    </row>
    <row r="492">
      <c r="A492" t="inlineStr">
        <is>
          <t>Split by SYS_FLAG</t>
        </is>
      </c>
      <c r="B492" t="inlineStr">
        <is>
          <t>Kept after losses</t>
        </is>
      </c>
      <c r="C492" t="n">
        <v>952</v>
      </c>
      <c r="D492" t="inlineStr">
        <is>
          <t>ORIG_BAL 49,152 - 59,984</t>
        </is>
      </c>
      <c r="E492" t="inlineStr">
        <is>
          <t>Broker</t>
        </is>
      </c>
      <c r="F492" t="inlineStr">
        <is>
          <t>N</t>
        </is>
      </c>
      <c r="G492" t="n">
        <v>278</v>
      </c>
      <c r="H492" t="n">
        <v>-3.477058709496619</v>
      </c>
      <c r="J492" t="n">
        <v>15</v>
      </c>
      <c r="K492">
        <f>'_pockets'!$AI$952</f>
        <v/>
      </c>
      <c r="L492">
        <f>'_pockets'!$AJ$952</f>
        <v/>
      </c>
      <c r="M492">
        <f>IF(AND($A492='Pockets'!$D$17,$B492='Pockets'!$C$17,OR('Pockets'!$E$17="All",AND('Pockets'!$E$17="Worse and material",$K492="Yes",$L492="Yes"),AND('Pockets'!$E$17="Worse or not sure",OR($K492="Yes",$K492="Not sure")))),1,0)</f>
        <v/>
      </c>
      <c r="N492">
        <f>$N491+$M492</f>
        <v/>
      </c>
      <c r="O492" t="inlineStr">
        <is>
          <t>three-way</t>
        </is>
      </c>
      <c r="P492" t="inlineStr">
        <is>
          <t>ranr_rate</t>
        </is>
      </c>
    </row>
    <row r="493">
      <c r="A493" t="inlineStr">
        <is>
          <t>Split by SYS_FLAG</t>
        </is>
      </c>
      <c r="B493" t="inlineStr">
        <is>
          <t>Kept after losses</t>
        </is>
      </c>
      <c r="C493" t="n">
        <v>872</v>
      </c>
      <c r="D493" t="inlineStr">
        <is>
          <t>ORIG_BAL 37,951 - 49,151</t>
        </is>
      </c>
      <c r="E493" t="inlineStr">
        <is>
          <t>Branch</t>
        </is>
      </c>
      <c r="F493" t="inlineStr">
        <is>
          <t>Y</t>
        </is>
      </c>
      <c r="G493" t="n">
        <v>257</v>
      </c>
      <c r="H493" t="n">
        <v>-3.611420448411321</v>
      </c>
      <c r="J493" t="n">
        <v>16</v>
      </c>
      <c r="K493">
        <f>'_pockets'!$AI$872</f>
        <v/>
      </c>
      <c r="L493">
        <f>'_pockets'!$AJ$872</f>
        <v/>
      </c>
      <c r="M493">
        <f>IF(AND($A493='Pockets'!$D$17,$B493='Pockets'!$C$17,OR('Pockets'!$E$17="All",AND('Pockets'!$E$17="Worse and material",$K493="Yes",$L493="Yes"),AND('Pockets'!$E$17="Worse or not sure",OR($K493="Yes",$K493="Not sure")))),1,0)</f>
        <v/>
      </c>
      <c r="N493">
        <f>$N492+$M493</f>
        <v/>
      </c>
      <c r="O493" t="inlineStr">
        <is>
          <t>three-way</t>
        </is>
      </c>
      <c r="P493" t="inlineStr">
        <is>
          <t>ranr_rate</t>
        </is>
      </c>
    </row>
    <row r="494">
      <c r="A494" t="inlineStr">
        <is>
          <t>Split by SYS_FLAG</t>
        </is>
      </c>
      <c r="B494" t="inlineStr">
        <is>
          <t>Kept after losses</t>
        </is>
      </c>
      <c r="C494" t="n">
        <v>902</v>
      </c>
      <c r="D494" t="inlineStr">
        <is>
          <t>ORIG_BAL 49,152 - 59,984</t>
        </is>
      </c>
      <c r="E494" t="inlineStr">
        <is>
          <t>Online</t>
        </is>
      </c>
      <c r="F494" t="inlineStr">
        <is>
          <t>Y</t>
        </is>
      </c>
      <c r="G494" t="n">
        <v>274</v>
      </c>
      <c r="H494" t="n">
        <v>-3.501439868534056</v>
      </c>
      <c r="J494" t="n">
        <v>17</v>
      </c>
      <c r="K494">
        <f>'_pockets'!$AI$902</f>
        <v/>
      </c>
      <c r="L494">
        <f>'_pockets'!$AJ$902</f>
        <v/>
      </c>
      <c r="M494">
        <f>IF(AND($A494='Pockets'!$D$17,$B494='Pockets'!$C$17,OR('Pockets'!$E$17="All",AND('Pockets'!$E$17="Worse and material",$K494="Yes",$L494="Yes"),AND('Pockets'!$E$17="Worse or not sure",OR($K494="Yes",$K494="Not sure")))),1,0)</f>
        <v/>
      </c>
      <c r="N494">
        <f>$N493+$M494</f>
        <v/>
      </c>
      <c r="O494" t="inlineStr">
        <is>
          <t>three-way</t>
        </is>
      </c>
      <c r="P494" t="inlineStr">
        <is>
          <t>ranr_rate</t>
        </is>
      </c>
    </row>
    <row r="495">
      <c r="A495" t="inlineStr">
        <is>
          <t>Split by SYS_FLAG</t>
        </is>
      </c>
      <c r="B495" t="inlineStr">
        <is>
          <t>Kept after losses</t>
        </is>
      </c>
      <c r="C495" t="n">
        <v>992</v>
      </c>
      <c r="D495" t="inlineStr">
        <is>
          <t>ORIG_BAL 26,324 - 37,950</t>
        </is>
      </c>
      <c r="E495" t="inlineStr">
        <is>
          <t>Broker</t>
        </is>
      </c>
      <c r="F495" t="inlineStr">
        <is>
          <t>N</t>
        </is>
      </c>
      <c r="G495" t="n">
        <v>305</v>
      </c>
      <c r="H495" t="n">
        <v>-3.325409914362533</v>
      </c>
      <c r="J495" t="n">
        <v>18</v>
      </c>
      <c r="K495">
        <f>'_pockets'!$AI$992</f>
        <v/>
      </c>
      <c r="L495">
        <f>'_pockets'!$AJ$992</f>
        <v/>
      </c>
      <c r="M495">
        <f>IF(AND($A495='Pockets'!$D$17,$B495='Pockets'!$C$17,OR('Pockets'!$E$17="All",AND('Pockets'!$E$17="Worse and material",$K495="Yes",$L495="Yes"),AND('Pockets'!$E$17="Worse or not sure",OR($K495="Yes",$K495="Not sure")))),1,0)</f>
        <v/>
      </c>
      <c r="N495">
        <f>$N494+$M495</f>
        <v/>
      </c>
      <c r="O495" t="inlineStr">
        <is>
          <t>three-way</t>
        </is>
      </c>
      <c r="P495" t="inlineStr">
        <is>
          <t>ranr_rate</t>
        </is>
      </c>
    </row>
    <row r="496">
      <c r="A496" t="inlineStr">
        <is>
          <t>Split by SYS_FLAG</t>
        </is>
      </c>
      <c r="B496" t="inlineStr">
        <is>
          <t>Kept after losses</t>
        </is>
      </c>
      <c r="C496" t="n">
        <v>427</v>
      </c>
      <c r="D496" t="inlineStr">
        <is>
          <t>FICO 712 - 745</t>
        </is>
      </c>
      <c r="E496" t="inlineStr">
        <is>
          <t>Branch</t>
        </is>
      </c>
      <c r="F496" t="inlineStr">
        <is>
          <t>Y</t>
        </is>
      </c>
      <c r="G496" t="n">
        <v>230</v>
      </c>
      <c r="H496" t="n">
        <v>-3.81087513522319</v>
      </c>
      <c r="J496" t="n">
        <v>19</v>
      </c>
      <c r="K496">
        <f>'_pockets'!$AI$427</f>
        <v/>
      </c>
      <c r="L496">
        <f>'_pockets'!$AJ$427</f>
        <v/>
      </c>
      <c r="M496">
        <f>IF(AND($A496='Pockets'!$D$17,$B496='Pockets'!$C$17,OR('Pockets'!$E$17="All",AND('Pockets'!$E$17="Worse and material",$K496="Yes",$L496="Yes"),AND('Pockets'!$E$17="Worse or not sure",OR($K496="Yes",$K496="Not sure")))),1,0)</f>
        <v/>
      </c>
      <c r="N496">
        <f>$N495+$M496</f>
        <v/>
      </c>
      <c r="O496" t="inlineStr">
        <is>
          <t>three-way</t>
        </is>
      </c>
      <c r="P496" t="inlineStr">
        <is>
          <t>ranr_rate</t>
        </is>
      </c>
    </row>
    <row r="497">
      <c r="A497" t="inlineStr">
        <is>
          <t>Split by SYS_FLAG</t>
        </is>
      </c>
      <c r="B497" t="inlineStr">
        <is>
          <t>Kept after losses</t>
        </is>
      </c>
      <c r="C497" t="n">
        <v>782</v>
      </c>
      <c r="D497" t="inlineStr">
        <is>
          <t>FICO 654 - 685</t>
        </is>
      </c>
      <c r="E497" t="inlineStr">
        <is>
          <t>ASSET_CLASS 3</t>
        </is>
      </c>
      <c r="F497" t="inlineStr">
        <is>
          <t>Y</t>
        </is>
      </c>
      <c r="G497" t="n">
        <v>193</v>
      </c>
      <c r="H497" t="n">
        <v>-4.15028833715379</v>
      </c>
      <c r="J497" t="n">
        <v>20</v>
      </c>
      <c r="K497">
        <f>'_pockets'!$AI$782</f>
        <v/>
      </c>
      <c r="L497">
        <f>'_pockets'!$AJ$782</f>
        <v/>
      </c>
      <c r="M497">
        <f>IF(AND($A497='Pockets'!$D$17,$B497='Pockets'!$C$17,OR('Pockets'!$E$17="All",AND('Pockets'!$E$17="Worse and material",$K497="Yes",$L497="Yes"),AND('Pockets'!$E$17="Worse or not sure",OR($K497="Yes",$K497="Not sure")))),1,0)</f>
        <v/>
      </c>
      <c r="N497">
        <f>$N496+$M497</f>
        <v/>
      </c>
      <c r="O497" t="inlineStr">
        <is>
          <t>three-way</t>
        </is>
      </c>
      <c r="P497" t="inlineStr">
        <is>
          <t>ranr_rate</t>
        </is>
      </c>
    </row>
    <row r="498">
      <c r="A498" t="inlineStr">
        <is>
          <t>Split by SYS_FLAG</t>
        </is>
      </c>
      <c r="B498" t="inlineStr">
        <is>
          <t>Kept after losses</t>
        </is>
      </c>
      <c r="C498" t="n">
        <v>577</v>
      </c>
      <c r="D498" t="inlineStr">
        <is>
          <t>FICO 686 - 711</t>
        </is>
      </c>
      <c r="E498" t="inlineStr">
        <is>
          <t>Branch</t>
        </is>
      </c>
      <c r="F498" t="inlineStr">
        <is>
          <t>N</t>
        </is>
      </c>
      <c r="G498" t="n">
        <v>280</v>
      </c>
      <c r="H498" t="n">
        <v>-3.4650672018409</v>
      </c>
      <c r="J498" t="n">
        <v>21</v>
      </c>
      <c r="K498">
        <f>'_pockets'!$AI$577</f>
        <v/>
      </c>
      <c r="L498">
        <f>'_pockets'!$AJ$577</f>
        <v/>
      </c>
      <c r="M498">
        <f>IF(AND($A498='Pockets'!$D$17,$B498='Pockets'!$C$17,OR('Pockets'!$E$17="All",AND('Pockets'!$E$17="Worse and material",$K498="Yes",$L498="Yes"),AND('Pockets'!$E$17="Worse or not sure",OR($K498="Yes",$K498="Not sure")))),1,0)</f>
        <v/>
      </c>
      <c r="N498">
        <f>$N497+$M498</f>
        <v/>
      </c>
      <c r="O498" t="inlineStr">
        <is>
          <t>three-way</t>
        </is>
      </c>
      <c r="P498" t="inlineStr">
        <is>
          <t>ranr_rate</t>
        </is>
      </c>
    </row>
    <row r="499">
      <c r="A499" t="inlineStr">
        <is>
          <t>Split by SYS_FLAG</t>
        </is>
      </c>
      <c r="B499" t="inlineStr">
        <is>
          <t>Kept after losses</t>
        </is>
      </c>
      <c r="C499" t="n">
        <v>817</v>
      </c>
      <c r="D499" t="inlineStr">
        <is>
          <t>FICO 686 - 711</t>
        </is>
      </c>
      <c r="E499" t="inlineStr">
        <is>
          <t>ASSET_CLASS 3</t>
        </is>
      </c>
      <c r="F499" t="inlineStr">
        <is>
          <t>Y</t>
        </is>
      </c>
      <c r="G499" t="n">
        <v>196</v>
      </c>
      <c r="H499" t="n">
        <v>-4.119195067510546</v>
      </c>
      <c r="J499" t="n">
        <v>22</v>
      </c>
      <c r="K499">
        <f>'_pockets'!$AI$817</f>
        <v/>
      </c>
      <c r="L499">
        <f>'_pockets'!$AJ$817</f>
        <v/>
      </c>
      <c r="M499">
        <f>IF(AND($A499='Pockets'!$D$17,$B499='Pockets'!$C$17,OR('Pockets'!$E$17="All",AND('Pockets'!$E$17="Worse and material",$K499="Yes",$L499="Yes"),AND('Pockets'!$E$17="Worse or not sure",OR($K499="Yes",$K499="Not sure")))),1,0)</f>
        <v/>
      </c>
      <c r="N499">
        <f>$N498+$M499</f>
        <v/>
      </c>
      <c r="O499" t="inlineStr">
        <is>
          <t>three-way</t>
        </is>
      </c>
      <c r="P499" t="inlineStr">
        <is>
          <t>ranr_rate</t>
        </is>
      </c>
    </row>
    <row r="500">
      <c r="A500" t="inlineStr">
        <is>
          <t>Split by SYS_FLAG</t>
        </is>
      </c>
      <c r="B500" t="inlineStr">
        <is>
          <t>Kept after losses</t>
        </is>
      </c>
      <c r="C500" t="n">
        <v>867</v>
      </c>
      <c r="D500" t="inlineStr">
        <is>
          <t>ORIG_BAL 26,324 - 37,950</t>
        </is>
      </c>
      <c r="E500" t="inlineStr">
        <is>
          <t>Branch</t>
        </is>
      </c>
      <c r="F500" t="inlineStr">
        <is>
          <t>Y</t>
        </is>
      </c>
      <c r="G500" t="n">
        <v>236</v>
      </c>
      <c r="H500" t="n">
        <v>-3.763573512320165</v>
      </c>
      <c r="J500" t="n">
        <v>23</v>
      </c>
      <c r="K500">
        <f>'_pockets'!$AI$867</f>
        <v/>
      </c>
      <c r="L500">
        <f>'_pockets'!$AJ$867</f>
        <v/>
      </c>
      <c r="M500">
        <f>IF(AND($A500='Pockets'!$D$17,$B500='Pockets'!$C$17,OR('Pockets'!$E$17="All",AND('Pockets'!$E$17="Worse and material",$K500="Yes",$L500="Yes"),AND('Pockets'!$E$17="Worse or not sure",OR($K500="Yes",$K500="Not sure")))),1,0)</f>
        <v/>
      </c>
      <c r="N500">
        <f>$N499+$M500</f>
        <v/>
      </c>
      <c r="O500" t="inlineStr">
        <is>
          <t>three-way</t>
        </is>
      </c>
      <c r="P500" t="inlineStr">
        <is>
          <t>ranr_rate</t>
        </is>
      </c>
    </row>
    <row r="501">
      <c r="A501" t="inlineStr">
        <is>
          <t>Split by SYS_FLAG</t>
        </is>
      </c>
      <c r="B501" t="inlineStr">
        <is>
          <t>Kept after losses</t>
        </is>
      </c>
      <c r="C501" t="n">
        <v>622</v>
      </c>
      <c r="D501" t="inlineStr">
        <is>
          <t>FICO 712 - 745</t>
        </is>
      </c>
      <c r="E501" t="inlineStr">
        <is>
          <t>ASSET_CLASS 4</t>
        </is>
      </c>
      <c r="F501" t="inlineStr">
        <is>
          <t>Y</t>
        </is>
      </c>
      <c r="G501" t="n">
        <v>207</v>
      </c>
      <c r="H501" t="n">
        <v>-4.011082117651476</v>
      </c>
      <c r="J501" t="n">
        <v>24</v>
      </c>
      <c r="K501">
        <f>'_pockets'!$AI$622</f>
        <v/>
      </c>
      <c r="L501">
        <f>'_pockets'!$AJ$622</f>
        <v/>
      </c>
      <c r="M501">
        <f>IF(AND($A501='Pockets'!$D$17,$B501='Pockets'!$C$17,OR('Pockets'!$E$17="All",AND('Pockets'!$E$17="Worse and material",$K501="Yes",$L501="Yes"),AND('Pockets'!$E$17="Worse or not sure",OR($K501="Yes",$K501="Not sure")))),1,0)</f>
        <v/>
      </c>
      <c r="N501">
        <f>$N500+$M501</f>
        <v/>
      </c>
      <c r="O501" t="inlineStr">
        <is>
          <t>three-way</t>
        </is>
      </c>
      <c r="P501" t="inlineStr">
        <is>
          <t>ranr_rate</t>
        </is>
      </c>
    </row>
    <row r="502">
      <c r="A502" t="inlineStr">
        <is>
          <t>Split by SYS_FLAG</t>
        </is>
      </c>
      <c r="B502" t="inlineStr">
        <is>
          <t>Kept after losses</t>
        </is>
      </c>
      <c r="C502" t="n">
        <v>877</v>
      </c>
      <c r="D502" t="inlineStr">
        <is>
          <t>ORIG_BAL 15,449 - 26,323</t>
        </is>
      </c>
      <c r="E502" t="inlineStr">
        <is>
          <t>Broker</t>
        </is>
      </c>
      <c r="F502" t="inlineStr">
        <is>
          <t>N</t>
        </is>
      </c>
      <c r="G502" t="n">
        <v>293</v>
      </c>
      <c r="H502" t="n">
        <v>-3.390180998593137</v>
      </c>
      <c r="J502" t="n">
        <v>25</v>
      </c>
      <c r="K502">
        <f>'_pockets'!$AI$877</f>
        <v/>
      </c>
      <c r="L502">
        <f>'_pockets'!$AJ$877</f>
        <v/>
      </c>
      <c r="M502">
        <f>IF(AND($A502='Pockets'!$D$17,$B502='Pockets'!$C$17,OR('Pockets'!$E$17="All",AND('Pockets'!$E$17="Worse and material",$K502="Yes",$L502="Yes"),AND('Pockets'!$E$17="Worse or not sure",OR($K502="Yes",$K502="Not sure")))),1,0)</f>
        <v/>
      </c>
      <c r="N502">
        <f>$N501+$M502</f>
        <v/>
      </c>
      <c r="O502" t="inlineStr">
        <is>
          <t>three-way</t>
        </is>
      </c>
      <c r="P502" t="inlineStr">
        <is>
          <t>ranr_rate</t>
        </is>
      </c>
    </row>
    <row r="503">
      <c r="A503" t="inlineStr">
        <is>
          <t>Split by SYS_FLAG</t>
        </is>
      </c>
      <c r="B503" t="inlineStr">
        <is>
          <t>Kept after losses</t>
        </is>
      </c>
      <c r="C503" t="n">
        <v>522</v>
      </c>
      <c r="D503" t="inlineStr">
        <is>
          <t>FICO 654 - 685</t>
        </is>
      </c>
      <c r="E503" t="inlineStr">
        <is>
          <t>Broker</t>
        </is>
      </c>
      <c r="F503" t="inlineStr">
        <is>
          <t>Y</t>
        </is>
      </c>
      <c r="G503" t="n">
        <v>244</v>
      </c>
      <c r="H503" t="n">
        <v>-3.703270057049184</v>
      </c>
      <c r="J503" t="n">
        <v>26</v>
      </c>
      <c r="K503">
        <f>'_pockets'!$AI$522</f>
        <v/>
      </c>
      <c r="L503">
        <f>'_pockets'!$AJ$522</f>
        <v/>
      </c>
      <c r="M503">
        <f>IF(AND($A503='Pockets'!$D$17,$B503='Pockets'!$C$17,OR('Pockets'!$E$17="All",AND('Pockets'!$E$17="Worse and material",$K503="Yes",$L503="Yes"),AND('Pockets'!$E$17="Worse or not sure",OR($K503="Yes",$K503="Not sure")))),1,0)</f>
        <v/>
      </c>
      <c r="N503">
        <f>$N502+$M503</f>
        <v/>
      </c>
      <c r="O503" t="inlineStr">
        <is>
          <t>three-way</t>
        </is>
      </c>
      <c r="P503" t="inlineStr">
        <is>
          <t>ranr_rate</t>
        </is>
      </c>
    </row>
    <row r="504">
      <c r="A504" t="inlineStr">
        <is>
          <t>Split by SYS_FLAG</t>
        </is>
      </c>
      <c r="B504" t="inlineStr">
        <is>
          <t>Kept after losses</t>
        </is>
      </c>
      <c r="C504" t="n">
        <v>852</v>
      </c>
      <c r="D504" t="inlineStr">
        <is>
          <t>ORIG_BAL 37,951 - 49,151</t>
        </is>
      </c>
      <c r="E504" t="inlineStr">
        <is>
          <t>Branch</t>
        </is>
      </c>
      <c r="F504" t="inlineStr">
        <is>
          <t>N</t>
        </is>
      </c>
      <c r="G504" t="n">
        <v>269</v>
      </c>
      <c r="H504" t="n">
        <v>-3.532688226561486</v>
      </c>
      <c r="J504" t="n">
        <v>27</v>
      </c>
      <c r="K504">
        <f>'_pockets'!$AI$852</f>
        <v/>
      </c>
      <c r="L504">
        <f>'_pockets'!$AJ$852</f>
        <v/>
      </c>
      <c r="M504">
        <f>IF(AND($A504='Pockets'!$D$17,$B504='Pockets'!$C$17,OR('Pockets'!$E$17="All",AND('Pockets'!$E$17="Worse and material",$K504="Yes",$L504="Yes"),AND('Pockets'!$E$17="Worse or not sure",OR($K504="Yes",$K504="Not sure")))),1,0)</f>
        <v/>
      </c>
      <c r="N504">
        <f>$N503+$M504</f>
        <v/>
      </c>
      <c r="O504" t="inlineStr">
        <is>
          <t>three-way</t>
        </is>
      </c>
      <c r="P504" t="inlineStr">
        <is>
          <t>ranr_rate</t>
        </is>
      </c>
    </row>
    <row r="505">
      <c r="A505" t="inlineStr">
        <is>
          <t>Split by SYS_FLAG</t>
        </is>
      </c>
      <c r="B505" t="inlineStr">
        <is>
          <t>Kept after losses</t>
        </is>
      </c>
      <c r="C505" t="n">
        <v>762</v>
      </c>
      <c r="D505" t="inlineStr">
        <is>
          <t>FICO 496 - 653</t>
        </is>
      </c>
      <c r="E505" t="inlineStr">
        <is>
          <t>ASSET_CLASS 1</t>
        </is>
      </c>
      <c r="F505" t="inlineStr">
        <is>
          <t>Y</t>
        </is>
      </c>
      <c r="G505" t="n">
        <v>186</v>
      </c>
      <c r="H505" t="n">
        <v>-4.225769591809444</v>
      </c>
      <c r="J505" t="n">
        <v>28</v>
      </c>
      <c r="K505">
        <f>'_pockets'!$AI$762</f>
        <v/>
      </c>
      <c r="L505">
        <f>'_pockets'!$AJ$762</f>
        <v/>
      </c>
      <c r="M505">
        <f>IF(AND($A505='Pockets'!$D$17,$B505='Pockets'!$C$17,OR('Pockets'!$E$17="All",AND('Pockets'!$E$17="Worse and material",$K505="Yes",$L505="Yes"),AND('Pockets'!$E$17="Worse or not sure",OR($K505="Yes",$K505="Not sure")))),1,0)</f>
        <v/>
      </c>
      <c r="N505">
        <f>$N504+$M505</f>
        <v/>
      </c>
      <c r="O505" t="inlineStr">
        <is>
          <t>three-way</t>
        </is>
      </c>
      <c r="P505" t="inlineStr">
        <is>
          <t>ranr_rate</t>
        </is>
      </c>
    </row>
    <row r="506">
      <c r="A506" t="inlineStr">
        <is>
          <t>Split by SYS_FLAG</t>
        </is>
      </c>
      <c r="B506" t="inlineStr">
        <is>
          <t>Kept after losses</t>
        </is>
      </c>
      <c r="C506" t="n">
        <v>1022</v>
      </c>
      <c r="D506" t="inlineStr">
        <is>
          <t>ORIG_BAL 26,324 - 37,950</t>
        </is>
      </c>
      <c r="E506" t="inlineStr">
        <is>
          <t>ASSET_CLASS 4</t>
        </is>
      </c>
      <c r="F506" t="inlineStr">
        <is>
          <t>Y</t>
        </is>
      </c>
      <c r="G506" t="n">
        <v>194</v>
      </c>
      <c r="H506" t="n">
        <v>-4.139843076855238</v>
      </c>
      <c r="J506" t="n">
        <v>29</v>
      </c>
      <c r="K506">
        <f>'_pockets'!$AI$1022</f>
        <v/>
      </c>
      <c r="L506">
        <f>'_pockets'!$AJ$1022</f>
        <v/>
      </c>
      <c r="M506">
        <f>IF(AND($A506='Pockets'!$D$17,$B506='Pockets'!$C$17,OR('Pockets'!$E$17="All",AND('Pockets'!$E$17="Worse and material",$K506="Yes",$L506="Yes"),AND('Pockets'!$E$17="Worse or not sure",OR($K506="Yes",$K506="Not sure")))),1,0)</f>
        <v/>
      </c>
      <c r="N506">
        <f>$N505+$M506</f>
        <v/>
      </c>
      <c r="O506" t="inlineStr">
        <is>
          <t>three-way</t>
        </is>
      </c>
      <c r="P506" t="inlineStr">
        <is>
          <t>ranr_rate</t>
        </is>
      </c>
    </row>
    <row r="507">
      <c r="A507" t="inlineStr">
        <is>
          <t>Split by SYS_FLAG</t>
        </is>
      </c>
      <c r="B507" t="inlineStr">
        <is>
          <t>Kept after losses</t>
        </is>
      </c>
      <c r="C507" t="n">
        <v>1042</v>
      </c>
      <c r="D507" t="inlineStr">
        <is>
          <t>ORIG_BAL 15,449 - 26,323</t>
        </is>
      </c>
      <c r="E507" t="inlineStr">
        <is>
          <t>ASSET_CLASS 4</t>
        </is>
      </c>
      <c r="F507" t="inlineStr">
        <is>
          <t>N</t>
        </is>
      </c>
      <c r="G507" t="n">
        <v>223</v>
      </c>
      <c r="H507" t="n">
        <v>-3.868482534444551</v>
      </c>
      <c r="J507" t="n">
        <v>30</v>
      </c>
      <c r="K507">
        <f>'_pockets'!$AI$1042</f>
        <v/>
      </c>
      <c r="L507">
        <f>'_pockets'!$AJ$1042</f>
        <v/>
      </c>
      <c r="M507">
        <f>IF(AND($A507='Pockets'!$D$17,$B507='Pockets'!$C$17,OR('Pockets'!$E$17="All",AND('Pockets'!$E$17="Worse and material",$K507="Yes",$L507="Yes"),AND('Pockets'!$E$17="Worse or not sure",OR($K507="Yes",$K507="Not sure")))),1,0)</f>
        <v/>
      </c>
      <c r="N507">
        <f>$N506+$M507</f>
        <v/>
      </c>
      <c r="O507" t="inlineStr">
        <is>
          <t>three-way</t>
        </is>
      </c>
      <c r="P507" t="inlineStr">
        <is>
          <t>ranr_rate</t>
        </is>
      </c>
    </row>
    <row r="508">
      <c r="A508" t="inlineStr">
        <is>
          <t>Split by SYS_FLAG</t>
        </is>
      </c>
      <c r="B508" t="inlineStr">
        <is>
          <t>Kept after losses</t>
        </is>
      </c>
      <c r="C508" t="n">
        <v>1057</v>
      </c>
      <c r="D508" t="inlineStr">
        <is>
          <t>ORIG_BAL 49,152 - 59,984</t>
        </is>
      </c>
      <c r="E508" t="inlineStr">
        <is>
          <t>ASSET_CLASS 1</t>
        </is>
      </c>
      <c r="F508" t="inlineStr">
        <is>
          <t>Y</t>
        </is>
      </c>
      <c r="G508" t="n">
        <v>195</v>
      </c>
      <c r="H508" t="n">
        <v>-4.129478999737247</v>
      </c>
      <c r="J508" t="n">
        <v>31</v>
      </c>
      <c r="K508">
        <f>'_pockets'!$AI$1057</f>
        <v/>
      </c>
      <c r="L508">
        <f>'_pockets'!$AJ$1057</f>
        <v/>
      </c>
      <c r="M508">
        <f>IF(AND($A508='Pockets'!$D$17,$B508='Pockets'!$C$17,OR('Pockets'!$E$17="All",AND('Pockets'!$E$17="Worse and material",$K508="Yes",$L508="Yes"),AND('Pockets'!$E$17="Worse or not sure",OR($K508="Yes",$K508="Not sure")))),1,0)</f>
        <v/>
      </c>
      <c r="N508">
        <f>$N507+$M508</f>
        <v/>
      </c>
      <c r="O508" t="inlineStr">
        <is>
          <t>three-way</t>
        </is>
      </c>
      <c r="P508" t="inlineStr">
        <is>
          <t>ranr_rate</t>
        </is>
      </c>
    </row>
    <row r="509">
      <c r="A509" t="inlineStr">
        <is>
          <t>Split by SYS_FLAG</t>
        </is>
      </c>
      <c r="B509" t="inlineStr">
        <is>
          <t>Kept after losses</t>
        </is>
      </c>
      <c r="C509" t="n">
        <v>927</v>
      </c>
      <c r="D509" t="inlineStr">
        <is>
          <t>ORIG_BAL 49,152 - 59,984</t>
        </is>
      </c>
      <c r="E509" t="inlineStr">
        <is>
          <t>Branch</t>
        </is>
      </c>
      <c r="F509" t="inlineStr">
        <is>
          <t>Y</t>
        </is>
      </c>
      <c r="G509" t="n">
        <v>226</v>
      </c>
      <c r="H509" t="n">
        <v>-3.84346246812027</v>
      </c>
      <c r="J509" t="n">
        <v>32</v>
      </c>
      <c r="K509">
        <f>'_pockets'!$AI$927</f>
        <v/>
      </c>
      <c r="L509">
        <f>'_pockets'!$AJ$927</f>
        <v/>
      </c>
      <c r="M509">
        <f>IF(AND($A509='Pockets'!$D$17,$B509='Pockets'!$C$17,OR('Pockets'!$E$17="All",AND('Pockets'!$E$17="Worse and material",$K509="Yes",$L509="Yes"),AND('Pockets'!$E$17="Worse or not sure",OR($K509="Yes",$K509="Not sure")))),1,0)</f>
        <v/>
      </c>
      <c r="N509">
        <f>$N508+$M509</f>
        <v/>
      </c>
      <c r="O509" t="inlineStr">
        <is>
          <t>three-way</t>
        </is>
      </c>
      <c r="P509" t="inlineStr">
        <is>
          <t>ranr_rate</t>
        </is>
      </c>
    </row>
    <row r="510">
      <c r="A510" t="inlineStr">
        <is>
          <t>Split by SYS_FLAG</t>
        </is>
      </c>
      <c r="B510" t="inlineStr">
        <is>
          <t>Kept after losses</t>
        </is>
      </c>
      <c r="C510" t="n">
        <v>627</v>
      </c>
      <c r="D510" t="inlineStr">
        <is>
          <t>FICO 746 - 921</t>
        </is>
      </c>
      <c r="E510" t="inlineStr">
        <is>
          <t>ASSET_CLASS 2</t>
        </is>
      </c>
      <c r="F510" t="inlineStr">
        <is>
          <t>Y</t>
        </is>
      </c>
      <c r="G510" t="n">
        <v>180</v>
      </c>
      <c r="H510" t="n">
        <v>-4.293973291489264</v>
      </c>
      <c r="J510" t="n">
        <v>33</v>
      </c>
      <c r="K510">
        <f>'_pockets'!$AI$627</f>
        <v/>
      </c>
      <c r="L510">
        <f>'_pockets'!$AJ$627</f>
        <v/>
      </c>
      <c r="M510">
        <f>IF(AND($A510='Pockets'!$D$17,$B510='Pockets'!$C$17,OR('Pockets'!$E$17="All",AND('Pockets'!$E$17="Worse and material",$K510="Yes",$L510="Yes"),AND('Pockets'!$E$17="Worse or not sure",OR($K510="Yes",$K510="Not sure")))),1,0)</f>
        <v/>
      </c>
      <c r="N510">
        <f>$N509+$M510</f>
        <v/>
      </c>
      <c r="O510" t="inlineStr">
        <is>
          <t>three-way</t>
        </is>
      </c>
      <c r="P510" t="inlineStr">
        <is>
          <t>ranr_rate</t>
        </is>
      </c>
    </row>
    <row r="511">
      <c r="A511" t="inlineStr">
        <is>
          <t>Split by SYS_FLAG</t>
        </is>
      </c>
      <c r="B511" t="inlineStr">
        <is>
          <t>Kept after losses</t>
        </is>
      </c>
      <c r="C511" t="n">
        <v>562</v>
      </c>
      <c r="D511" t="inlineStr">
        <is>
          <t>FICO 654 - 685</t>
        </is>
      </c>
      <c r="E511" t="inlineStr">
        <is>
          <t>Online</t>
        </is>
      </c>
      <c r="F511" t="inlineStr">
        <is>
          <t>Y</t>
        </is>
      </c>
      <c r="G511" t="n">
        <v>236</v>
      </c>
      <c r="H511" t="n">
        <v>-3.763573512320165</v>
      </c>
      <c r="J511" t="n">
        <v>34</v>
      </c>
      <c r="K511">
        <f>'_pockets'!$AI$562</f>
        <v/>
      </c>
      <c r="L511">
        <f>'_pockets'!$AJ$562</f>
        <v/>
      </c>
      <c r="M511">
        <f>IF(AND($A511='Pockets'!$D$17,$B511='Pockets'!$C$17,OR('Pockets'!$E$17="All",AND('Pockets'!$E$17="Worse and material",$K511="Yes",$L511="Yes"),AND('Pockets'!$E$17="Worse or not sure",OR($K511="Yes",$K511="Not sure")))),1,0)</f>
        <v/>
      </c>
      <c r="N511">
        <f>$N510+$M511</f>
        <v/>
      </c>
      <c r="O511" t="inlineStr">
        <is>
          <t>three-way</t>
        </is>
      </c>
      <c r="P511" t="inlineStr">
        <is>
          <t>ranr_rate</t>
        </is>
      </c>
    </row>
    <row r="512">
      <c r="A512" t="inlineStr">
        <is>
          <t>Split by SYS_FLAG</t>
        </is>
      </c>
      <c r="B512" t="inlineStr">
        <is>
          <t>Kept after losses</t>
        </is>
      </c>
      <c r="C512" t="n">
        <v>657</v>
      </c>
      <c r="D512" t="inlineStr">
        <is>
          <t>FICO 686 - 711</t>
        </is>
      </c>
      <c r="E512" t="inlineStr">
        <is>
          <t>ASSET_CLASS 4</t>
        </is>
      </c>
      <c r="F512" t="inlineStr">
        <is>
          <t>Y</t>
        </is>
      </c>
      <c r="G512" t="n">
        <v>172</v>
      </c>
      <c r="H512" t="n">
        <v>-4.390452749065276</v>
      </c>
      <c r="J512" t="n">
        <v>35</v>
      </c>
      <c r="K512">
        <f>'_pockets'!$AI$657</f>
        <v/>
      </c>
      <c r="L512">
        <f>'_pockets'!$AJ$657</f>
        <v/>
      </c>
      <c r="M512">
        <f>IF(AND($A512='Pockets'!$D$17,$B512='Pockets'!$C$17,OR('Pockets'!$E$17="All",AND('Pockets'!$E$17="Worse and material",$K512="Yes",$L512="Yes"),AND('Pockets'!$E$17="Worse or not sure",OR($K512="Yes",$K512="Not sure")))),1,0)</f>
        <v/>
      </c>
      <c r="N512">
        <f>$N511+$M512</f>
        <v/>
      </c>
      <c r="O512" t="inlineStr">
        <is>
          <t>three-way</t>
        </is>
      </c>
      <c r="P512" t="inlineStr">
        <is>
          <t>ranr_rate</t>
        </is>
      </c>
    </row>
    <row r="513">
      <c r="A513" t="inlineStr">
        <is>
          <t>Split by SYS_FLAG</t>
        </is>
      </c>
      <c r="B513" t="inlineStr">
        <is>
          <t>Kept after losses</t>
        </is>
      </c>
      <c r="C513" t="n">
        <v>507</v>
      </c>
      <c r="D513" t="inlineStr">
        <is>
          <t>FICO 712 - 745</t>
        </is>
      </c>
      <c r="E513" t="inlineStr">
        <is>
          <t>Broker</t>
        </is>
      </c>
      <c r="F513" t="inlineStr">
        <is>
          <t>N</t>
        </is>
      </c>
      <c r="G513" t="n">
        <v>291</v>
      </c>
      <c r="H513" t="n">
        <v>-3.40136979248773</v>
      </c>
      <c r="J513" t="n">
        <v>36</v>
      </c>
      <c r="K513">
        <f>'_pockets'!$AI$507</f>
        <v/>
      </c>
      <c r="L513">
        <f>'_pockets'!$AJ$507</f>
        <v/>
      </c>
      <c r="M513">
        <f>IF(AND($A513='Pockets'!$D$17,$B513='Pockets'!$C$17,OR('Pockets'!$E$17="All",AND('Pockets'!$E$17="Worse and material",$K513="Yes",$L513="Yes"),AND('Pockets'!$E$17="Worse or not sure",OR($K513="Yes",$K513="Not sure")))),1,0)</f>
        <v/>
      </c>
      <c r="N513">
        <f>$N512+$M513</f>
        <v/>
      </c>
      <c r="O513" t="inlineStr">
        <is>
          <t>three-way</t>
        </is>
      </c>
      <c r="P513" t="inlineStr">
        <is>
          <t>ranr_rate</t>
        </is>
      </c>
    </row>
    <row r="514">
      <c r="A514" t="inlineStr">
        <is>
          <t>Split by SYS_FLAG</t>
        </is>
      </c>
      <c r="B514" t="inlineStr">
        <is>
          <t>Kept after losses</t>
        </is>
      </c>
      <c r="C514" t="n">
        <v>772</v>
      </c>
      <c r="D514" t="inlineStr">
        <is>
          <t>FICO 686 - 711</t>
        </is>
      </c>
      <c r="E514" t="inlineStr">
        <is>
          <t>ASSET_CLASS 2</t>
        </is>
      </c>
      <c r="F514" t="inlineStr">
        <is>
          <t>Y</t>
        </is>
      </c>
      <c r="G514" t="n">
        <v>179</v>
      </c>
      <c r="H514" t="n">
        <v>-4.305675599695102</v>
      </c>
      <c r="J514" t="n">
        <v>37</v>
      </c>
      <c r="K514">
        <f>'_pockets'!$AI$772</f>
        <v/>
      </c>
      <c r="L514">
        <f>'_pockets'!$AJ$772</f>
        <v/>
      </c>
      <c r="M514">
        <f>IF(AND($A514='Pockets'!$D$17,$B514='Pockets'!$C$17,OR('Pockets'!$E$17="All",AND('Pockets'!$E$17="Worse and material",$K514="Yes",$L514="Yes"),AND('Pockets'!$E$17="Worse or not sure",OR($K514="Yes",$K514="Not sure")))),1,0)</f>
        <v/>
      </c>
      <c r="N514">
        <f>$N513+$M514</f>
        <v/>
      </c>
      <c r="O514" t="inlineStr">
        <is>
          <t>three-way</t>
        </is>
      </c>
      <c r="P514" t="inlineStr">
        <is>
          <t>ranr_rate</t>
        </is>
      </c>
    </row>
    <row r="515">
      <c r="A515" t="inlineStr">
        <is>
          <t>Split by SYS_FLAG</t>
        </is>
      </c>
      <c r="B515" t="inlineStr">
        <is>
          <t>Kept after losses</t>
        </is>
      </c>
      <c r="C515" t="n">
        <v>847</v>
      </c>
      <c r="D515" t="inlineStr">
        <is>
          <t>ORIG_BAL 26,324 - 37,950</t>
        </is>
      </c>
      <c r="E515" t="inlineStr">
        <is>
          <t>Broker</t>
        </is>
      </c>
      <c r="F515" t="inlineStr">
        <is>
          <t>Y</t>
        </is>
      </c>
      <c r="G515" t="n">
        <v>248</v>
      </c>
      <c r="H515" t="n">
        <v>-3.674231270764568</v>
      </c>
      <c r="J515" t="n">
        <v>38</v>
      </c>
      <c r="K515">
        <f>'_pockets'!$AI$847</f>
        <v/>
      </c>
      <c r="L515">
        <f>'_pockets'!$AJ$847</f>
        <v/>
      </c>
      <c r="M515">
        <f>IF(AND($A515='Pockets'!$D$17,$B515='Pockets'!$C$17,OR('Pockets'!$E$17="All",AND('Pockets'!$E$17="Worse and material",$K515="Yes",$L515="Yes"),AND('Pockets'!$E$17="Worse or not sure",OR($K515="Yes",$K515="Not sure")))),1,0)</f>
        <v/>
      </c>
      <c r="N515">
        <f>$N514+$M515</f>
        <v/>
      </c>
      <c r="O515" t="inlineStr">
        <is>
          <t>three-way</t>
        </is>
      </c>
      <c r="P515" t="inlineStr">
        <is>
          <t>ranr_rate</t>
        </is>
      </c>
    </row>
    <row r="516">
      <c r="A516" t="inlineStr">
        <is>
          <t>Split by SYS_FLAG</t>
        </is>
      </c>
      <c r="B516" t="inlineStr">
        <is>
          <t>Kept after losses</t>
        </is>
      </c>
      <c r="C516" t="n">
        <v>557</v>
      </c>
      <c r="D516" t="inlineStr">
        <is>
          <t>FICO 686 - 711</t>
        </is>
      </c>
      <c r="E516" t="inlineStr">
        <is>
          <t>Branch</t>
        </is>
      </c>
      <c r="F516" t="inlineStr">
        <is>
          <t>Y</t>
        </is>
      </c>
      <c r="G516" t="n">
        <v>235</v>
      </c>
      <c r="H516" t="n">
        <v>-3.771329718567285</v>
      </c>
      <c r="J516" t="n">
        <v>39</v>
      </c>
      <c r="K516">
        <f>'_pockets'!$AI$557</f>
        <v/>
      </c>
      <c r="L516">
        <f>'_pockets'!$AJ$557</f>
        <v/>
      </c>
      <c r="M516">
        <f>IF(AND($A516='Pockets'!$D$17,$B516='Pockets'!$C$17,OR('Pockets'!$E$17="All",AND('Pockets'!$E$17="Worse and material",$K516="Yes",$L516="Yes"),AND('Pockets'!$E$17="Worse or not sure",OR($K516="Yes",$K516="Not sure")))),1,0)</f>
        <v/>
      </c>
      <c r="N516">
        <f>$N515+$M516</f>
        <v/>
      </c>
      <c r="O516" t="inlineStr">
        <is>
          <t>three-way</t>
        </is>
      </c>
      <c r="P516" t="inlineStr">
        <is>
          <t>ranr_rate</t>
        </is>
      </c>
    </row>
    <row r="517">
      <c r="A517" t="inlineStr">
        <is>
          <t>Split by SYS_FLAG</t>
        </is>
      </c>
      <c r="B517" t="inlineStr">
        <is>
          <t>Kept after losses</t>
        </is>
      </c>
      <c r="C517" t="n">
        <v>1092</v>
      </c>
      <c r="D517" t="inlineStr">
        <is>
          <t>ORIG_BAL 49,152 - 59,984</t>
        </is>
      </c>
      <c r="E517" t="inlineStr">
        <is>
          <t>ASSET_CLASS 3</t>
        </is>
      </c>
      <c r="F517" t="inlineStr">
        <is>
          <t>Y</t>
        </is>
      </c>
      <c r="G517" t="n">
        <v>179</v>
      </c>
      <c r="H517" t="n">
        <v>-4.305675599695102</v>
      </c>
      <c r="J517" t="n">
        <v>40</v>
      </c>
      <c r="K517">
        <f>'_pockets'!$AI$1092</f>
        <v/>
      </c>
      <c r="L517">
        <f>'_pockets'!$AJ$1092</f>
        <v/>
      </c>
      <c r="M517">
        <f>IF(AND($A517='Pockets'!$D$17,$B517='Pockets'!$C$17,OR('Pockets'!$E$17="All",AND('Pockets'!$E$17="Worse and material",$K517="Yes",$L517="Yes"),AND('Pockets'!$E$17="Worse or not sure",OR($K517="Yes",$K517="Not sure")))),1,0)</f>
        <v/>
      </c>
      <c r="N517">
        <f>$N516+$M517</f>
        <v/>
      </c>
      <c r="O517" t="inlineStr">
        <is>
          <t>three-way</t>
        </is>
      </c>
      <c r="P517" t="inlineStr">
        <is>
          <t>ranr_rate</t>
        </is>
      </c>
    </row>
    <row r="518">
      <c r="A518" t="inlineStr">
        <is>
          <t>Split by SYS_FLAG</t>
        </is>
      </c>
      <c r="B518" t="inlineStr">
        <is>
          <t>Kept after losses</t>
        </is>
      </c>
      <c r="C518" t="n">
        <v>692</v>
      </c>
      <c r="D518" t="inlineStr">
        <is>
          <t>FICO 496 - 653</t>
        </is>
      </c>
      <c r="E518" t="inlineStr">
        <is>
          <t>ASSET_CLASS 3</t>
        </is>
      </c>
      <c r="F518" t="inlineStr">
        <is>
          <t>Y</t>
        </is>
      </c>
      <c r="G518" t="n">
        <v>166</v>
      </c>
      <c r="H518" t="n">
        <v>-4.467382006264032</v>
      </c>
      <c r="J518" t="n">
        <v>41</v>
      </c>
      <c r="K518">
        <f>'_pockets'!$AI$692</f>
        <v/>
      </c>
      <c r="L518">
        <f>'_pockets'!$AJ$692</f>
        <v/>
      </c>
      <c r="M518">
        <f>IF(AND($A518='Pockets'!$D$17,$B518='Pockets'!$C$17,OR('Pockets'!$E$17="All",AND('Pockets'!$E$17="Worse and material",$K518="Yes",$L518="Yes"),AND('Pockets'!$E$17="Worse or not sure",OR($K518="Yes",$K518="Not sure")))),1,0)</f>
        <v/>
      </c>
      <c r="N518">
        <f>$N517+$M518</f>
        <v/>
      </c>
      <c r="O518" t="inlineStr">
        <is>
          <t>three-way</t>
        </is>
      </c>
      <c r="P518" t="inlineStr">
        <is>
          <t>ranr_rate</t>
        </is>
      </c>
    </row>
    <row r="519">
      <c r="A519" t="inlineStr">
        <is>
          <t>Split by SYS_FLAG</t>
        </is>
      </c>
      <c r="B519" t="inlineStr">
        <is>
          <t>Kept after losses</t>
        </is>
      </c>
      <c r="C519" t="n">
        <v>1147</v>
      </c>
      <c r="D519" t="inlineStr">
        <is>
          <t>ORIG_BAL 15,449 - 26,323</t>
        </is>
      </c>
      <c r="E519" t="inlineStr">
        <is>
          <t>ASSET_CLASS 3</t>
        </is>
      </c>
      <c r="F519" t="inlineStr">
        <is>
          <t>Y</t>
        </is>
      </c>
      <c r="G519" t="n">
        <v>193</v>
      </c>
      <c r="H519" t="n">
        <v>-4.15028833715379</v>
      </c>
      <c r="J519" t="n">
        <v>42</v>
      </c>
      <c r="K519">
        <f>'_pockets'!$AI$1147</f>
        <v/>
      </c>
      <c r="L519">
        <f>'_pockets'!$AJ$1147</f>
        <v/>
      </c>
      <c r="M519">
        <f>IF(AND($A519='Pockets'!$D$17,$B519='Pockets'!$C$17,OR('Pockets'!$E$17="All",AND('Pockets'!$E$17="Worse and material",$K519="Yes",$L519="Yes"),AND('Pockets'!$E$17="Worse or not sure",OR($K519="Yes",$K519="Not sure")))),1,0)</f>
        <v/>
      </c>
      <c r="N519">
        <f>$N518+$M519</f>
        <v/>
      </c>
      <c r="O519" t="inlineStr">
        <is>
          <t>three-way</t>
        </is>
      </c>
      <c r="P519" t="inlineStr">
        <is>
          <t>ranr_rate</t>
        </is>
      </c>
    </row>
    <row r="520">
      <c r="A520" t="inlineStr">
        <is>
          <t>Split by SYS_FLAG</t>
        </is>
      </c>
      <c r="B520" t="inlineStr">
        <is>
          <t>Kept after losses</t>
        </is>
      </c>
      <c r="C520" t="n">
        <v>652</v>
      </c>
      <c r="D520" t="inlineStr">
        <is>
          <t>FICO 496 - 653</t>
        </is>
      </c>
      <c r="E520" t="inlineStr">
        <is>
          <t>ASSET_CLASS 4</t>
        </is>
      </c>
      <c r="F520" t="inlineStr">
        <is>
          <t>N</t>
        </is>
      </c>
      <c r="G520" t="n">
        <v>203</v>
      </c>
      <c r="H520" t="n">
        <v>-4.049368160317101</v>
      </c>
      <c r="J520" t="n">
        <v>43</v>
      </c>
      <c r="K520">
        <f>'_pockets'!$AI$652</f>
        <v/>
      </c>
      <c r="L520">
        <f>'_pockets'!$AJ$652</f>
        <v/>
      </c>
      <c r="M520">
        <f>IF(AND($A520='Pockets'!$D$17,$B520='Pockets'!$C$17,OR('Pockets'!$E$17="All",AND('Pockets'!$E$17="Worse and material",$K520="Yes",$L520="Yes"),AND('Pockets'!$E$17="Worse or not sure",OR($K520="Yes",$K520="Not sure")))),1,0)</f>
        <v/>
      </c>
      <c r="N520">
        <f>$N519+$M520</f>
        <v/>
      </c>
      <c r="O520" t="inlineStr">
        <is>
          <t>three-way</t>
        </is>
      </c>
      <c r="P520" t="inlineStr">
        <is>
          <t>ranr_rate</t>
        </is>
      </c>
    </row>
    <row r="521">
      <c r="A521" t="inlineStr">
        <is>
          <t>Split by SYS_FLAG</t>
        </is>
      </c>
      <c r="B521" t="inlineStr">
        <is>
          <t>Kept after losses</t>
        </is>
      </c>
      <c r="C521" t="n">
        <v>717</v>
      </c>
      <c r="D521" t="inlineStr">
        <is>
          <t>FICO 654 - 685</t>
        </is>
      </c>
      <c r="E521" t="inlineStr">
        <is>
          <t>ASSET_CLASS 2</t>
        </is>
      </c>
      <c r="F521" t="inlineStr">
        <is>
          <t>Y</t>
        </is>
      </c>
      <c r="G521" t="n">
        <v>163</v>
      </c>
      <c r="H521" t="n">
        <v>-4.507442362754577</v>
      </c>
      <c r="J521" t="n">
        <v>44</v>
      </c>
      <c r="K521">
        <f>'_pockets'!$AI$717</f>
        <v/>
      </c>
      <c r="L521">
        <f>'_pockets'!$AJ$717</f>
        <v/>
      </c>
      <c r="M521">
        <f>IF(AND($A521='Pockets'!$D$17,$B521='Pockets'!$C$17,OR('Pockets'!$E$17="All",AND('Pockets'!$E$17="Worse and material",$K521="Yes",$L521="Yes"),AND('Pockets'!$E$17="Worse or not sure",OR($K521="Yes",$K521="Not sure")))),1,0)</f>
        <v/>
      </c>
      <c r="N521">
        <f>$N520+$M521</f>
        <v/>
      </c>
      <c r="O521" t="inlineStr">
        <is>
          <t>three-way</t>
        </is>
      </c>
      <c r="P521" t="inlineStr">
        <is>
          <t>ranr_rate</t>
        </is>
      </c>
    </row>
    <row r="522">
      <c r="A522" t="inlineStr">
        <is>
          <t>Split by SYS_FLAG</t>
        </is>
      </c>
      <c r="B522" t="inlineStr">
        <is>
          <t>Kept after losses</t>
        </is>
      </c>
      <c r="C522" t="n">
        <v>1137</v>
      </c>
      <c r="D522" t="inlineStr">
        <is>
          <t>ORIG_BAL 15,449 - 26,323</t>
        </is>
      </c>
      <c r="E522" t="inlineStr">
        <is>
          <t>ASSET_CLASS 1</t>
        </is>
      </c>
      <c r="F522" t="inlineStr">
        <is>
          <t>Y</t>
        </is>
      </c>
      <c r="G522" t="n">
        <v>180</v>
      </c>
      <c r="H522" t="n">
        <v>-4.293973291489264</v>
      </c>
      <c r="J522" t="n">
        <v>45</v>
      </c>
      <c r="K522">
        <f>'_pockets'!$AI$1137</f>
        <v/>
      </c>
      <c r="L522">
        <f>'_pockets'!$AJ$1137</f>
        <v/>
      </c>
      <c r="M522">
        <f>IF(AND($A522='Pockets'!$D$17,$B522='Pockets'!$C$17,OR('Pockets'!$E$17="All",AND('Pockets'!$E$17="Worse and material",$K522="Yes",$L522="Yes"),AND('Pockets'!$E$17="Worse or not sure",OR($K522="Yes",$K522="Not sure")))),1,0)</f>
        <v/>
      </c>
      <c r="N522">
        <f>$N521+$M522</f>
        <v/>
      </c>
      <c r="O522" t="inlineStr">
        <is>
          <t>three-way</t>
        </is>
      </c>
      <c r="P522" t="inlineStr">
        <is>
          <t>ranr_rate</t>
        </is>
      </c>
    </row>
    <row r="523">
      <c r="A523" t="inlineStr">
        <is>
          <t>Split by SYS_FLAG</t>
        </is>
      </c>
      <c r="B523" t="inlineStr">
        <is>
          <t>Kept after losses</t>
        </is>
      </c>
      <c r="C523" t="n">
        <v>552</v>
      </c>
      <c r="D523" t="inlineStr">
        <is>
          <t>FICO 746 - 921</t>
        </is>
      </c>
      <c r="E523" t="inlineStr">
        <is>
          <t>Broker</t>
        </is>
      </c>
      <c r="F523" t="inlineStr">
        <is>
          <t>Y</t>
        </is>
      </c>
      <c r="G523" t="n">
        <v>237</v>
      </c>
      <c r="H523" t="n">
        <v>-3.755867006548794</v>
      </c>
      <c r="J523" t="n">
        <v>46</v>
      </c>
      <c r="K523">
        <f>'_pockets'!$AI$552</f>
        <v/>
      </c>
      <c r="L523">
        <f>'_pockets'!$AJ$552</f>
        <v/>
      </c>
      <c r="M523">
        <f>IF(AND($A523='Pockets'!$D$17,$B523='Pockets'!$C$17,OR('Pockets'!$E$17="All",AND('Pockets'!$E$17="Worse and material",$K523="Yes",$L523="Yes"),AND('Pockets'!$E$17="Worse or not sure",OR($K523="Yes",$K523="Not sure")))),1,0)</f>
        <v/>
      </c>
      <c r="N523">
        <f>$N522+$M523</f>
        <v/>
      </c>
      <c r="O523" t="inlineStr">
        <is>
          <t>three-way</t>
        </is>
      </c>
      <c r="P523" t="inlineStr">
        <is>
          <t>ranr_rate</t>
        </is>
      </c>
    </row>
    <row r="524">
      <c r="A524" t="inlineStr">
        <is>
          <t>Split by SYS_FLAG</t>
        </is>
      </c>
      <c r="B524" t="inlineStr">
        <is>
          <t>Kept after losses</t>
        </is>
      </c>
      <c r="C524" t="n">
        <v>482</v>
      </c>
      <c r="D524" t="inlineStr">
        <is>
          <t>FICO 746 - 921</t>
        </is>
      </c>
      <c r="E524" t="inlineStr">
        <is>
          <t>Online</t>
        </is>
      </c>
      <c r="F524" t="inlineStr">
        <is>
          <t>Y</t>
        </is>
      </c>
      <c r="G524" t="n">
        <v>225</v>
      </c>
      <c r="H524" t="n">
        <v>-3.851746270336815</v>
      </c>
      <c r="J524" t="n">
        <v>47</v>
      </c>
      <c r="K524">
        <f>'_pockets'!$AI$482</f>
        <v/>
      </c>
      <c r="L524">
        <f>'_pockets'!$AJ$482</f>
        <v/>
      </c>
      <c r="M524">
        <f>IF(AND($A524='Pockets'!$D$17,$B524='Pockets'!$C$17,OR('Pockets'!$E$17="All",AND('Pockets'!$E$17="Worse and material",$K524="Yes",$L524="Yes"),AND('Pockets'!$E$17="Worse or not sure",OR($K524="Yes",$K524="Not sure")))),1,0)</f>
        <v/>
      </c>
      <c r="N524">
        <f>$N523+$M524</f>
        <v/>
      </c>
      <c r="O524" t="inlineStr">
        <is>
          <t>three-way</t>
        </is>
      </c>
      <c r="P524" t="inlineStr">
        <is>
          <t>ranr_rate</t>
        </is>
      </c>
    </row>
    <row r="525">
      <c r="A525" t="inlineStr">
        <is>
          <t>Split by SYS_FLAG</t>
        </is>
      </c>
      <c r="B525" t="inlineStr">
        <is>
          <t>Kept after losses</t>
        </is>
      </c>
      <c r="C525" t="n">
        <v>1112</v>
      </c>
      <c r="D525" t="inlineStr">
        <is>
          <t>ORIG_BAL 5,005 - 15,448</t>
        </is>
      </c>
      <c r="E525" t="inlineStr">
        <is>
          <t>ASSET_CLASS 2</t>
        </is>
      </c>
      <c r="F525" t="inlineStr">
        <is>
          <t>Y</t>
        </is>
      </c>
      <c r="G525" t="n">
        <v>160</v>
      </c>
      <c r="H525" t="n">
        <v>-4.5486327544254</v>
      </c>
      <c r="J525" t="n">
        <v>48</v>
      </c>
      <c r="K525">
        <f>'_pockets'!$AI$1112</f>
        <v/>
      </c>
      <c r="L525">
        <f>'_pockets'!$AJ$1112</f>
        <v/>
      </c>
      <c r="M525">
        <f>IF(AND($A525='Pockets'!$D$17,$B525='Pockets'!$C$17,OR('Pockets'!$E$17="All",AND('Pockets'!$E$17="Worse and material",$K525="Yes",$L525="Yes"),AND('Pockets'!$E$17="Worse or not sure",OR($K525="Yes",$K525="Not sure")))),1,0)</f>
        <v/>
      </c>
      <c r="N525">
        <f>$N524+$M525</f>
        <v/>
      </c>
      <c r="O525" t="inlineStr">
        <is>
          <t>three-way</t>
        </is>
      </c>
      <c r="P525" t="inlineStr">
        <is>
          <t>ranr_rate</t>
        </is>
      </c>
    </row>
    <row r="526">
      <c r="A526" t="inlineStr">
        <is>
          <t>Split by SYS_FLAG</t>
        </is>
      </c>
      <c r="B526" t="inlineStr">
        <is>
          <t>Kept after losses</t>
        </is>
      </c>
      <c r="C526" t="n">
        <v>892</v>
      </c>
      <c r="D526" t="inlineStr">
        <is>
          <t>ORIG_BAL 5,005 - 15,448</t>
        </is>
      </c>
      <c r="E526" t="inlineStr">
        <is>
          <t>Broker</t>
        </is>
      </c>
      <c r="F526" t="inlineStr">
        <is>
          <t>Y</t>
        </is>
      </c>
      <c r="G526" t="n">
        <v>237</v>
      </c>
      <c r="H526" t="n">
        <v>-3.755867006548794</v>
      </c>
      <c r="J526" t="n">
        <v>49</v>
      </c>
      <c r="K526">
        <f>'_pockets'!$AI$892</f>
        <v/>
      </c>
      <c r="L526">
        <f>'_pockets'!$AJ$892</f>
        <v/>
      </c>
      <c r="M526">
        <f>IF(AND($A526='Pockets'!$D$17,$B526='Pockets'!$C$17,OR('Pockets'!$E$17="All",AND('Pockets'!$E$17="Worse and material",$K526="Yes",$L526="Yes"),AND('Pockets'!$E$17="Worse or not sure",OR($K526="Yes",$K526="Not sure")))),1,0)</f>
        <v/>
      </c>
      <c r="N526">
        <f>$N525+$M526</f>
        <v/>
      </c>
      <c r="O526" t="inlineStr">
        <is>
          <t>three-way</t>
        </is>
      </c>
      <c r="P526" t="inlineStr">
        <is>
          <t>ranr_rate</t>
        </is>
      </c>
    </row>
    <row r="527">
      <c r="A527" t="inlineStr">
        <is>
          <t>Split by SYS_FLAG</t>
        </is>
      </c>
      <c r="B527" t="inlineStr">
        <is>
          <t>Kept after losses</t>
        </is>
      </c>
      <c r="C527" t="n">
        <v>737</v>
      </c>
      <c r="D527" t="inlineStr">
        <is>
          <t>FICO (marked missing)</t>
        </is>
      </c>
      <c r="E527" t="inlineStr">
        <is>
          <t>ASSET_CLASS 3</t>
        </is>
      </c>
      <c r="F527" t="inlineStr">
        <is>
          <t>Y</t>
        </is>
      </c>
      <c r="G527" t="n">
        <v>22</v>
      </c>
      <c r="H527" t="n">
        <v>-12.16018162082152</v>
      </c>
      <c r="J527" t="n">
        <v>50</v>
      </c>
      <c r="K527">
        <f>'_pockets'!$AI$737</f>
        <v/>
      </c>
      <c r="L527">
        <f>'_pockets'!$AJ$737</f>
        <v/>
      </c>
      <c r="M527">
        <f>IF(AND($A527='Pockets'!$D$17,$B527='Pockets'!$C$17,OR('Pockets'!$E$17="All",AND('Pockets'!$E$17="Worse and material",$K527="Yes",$L527="Yes"),AND('Pockets'!$E$17="Worse or not sure",OR($K527="Yes",$K527="Not sure")))),1,0)</f>
        <v/>
      </c>
      <c r="N527">
        <f>$N526+$M527</f>
        <v/>
      </c>
      <c r="O527" t="inlineStr">
        <is>
          <t>three-way</t>
        </is>
      </c>
      <c r="P527" t="inlineStr">
        <is>
          <t>ranr_rate</t>
        </is>
      </c>
    </row>
    <row r="528">
      <c r="A528" t="inlineStr">
        <is>
          <t>Split by SYS_FLAG</t>
        </is>
      </c>
      <c r="B528" t="inlineStr">
        <is>
          <t>Kept after losses</t>
        </is>
      </c>
      <c r="C528" t="n">
        <v>592</v>
      </c>
      <c r="D528" t="inlineStr">
        <is>
          <t>FICO (marked missing)</t>
        </is>
      </c>
      <c r="E528" t="inlineStr">
        <is>
          <t>Broker</t>
        </is>
      </c>
      <c r="F528" t="inlineStr">
        <is>
          <t>Y</t>
        </is>
      </c>
      <c r="G528" t="n">
        <v>25</v>
      </c>
      <c r="H528" t="n">
        <v>-11.40940713703047</v>
      </c>
      <c r="J528" t="n">
        <v>51</v>
      </c>
      <c r="K528">
        <f>'_pockets'!$AI$592</f>
        <v/>
      </c>
      <c r="L528">
        <f>'_pockets'!$AJ$592</f>
        <v/>
      </c>
      <c r="M528">
        <f>IF(AND($A528='Pockets'!$D$17,$B528='Pockets'!$C$17,OR('Pockets'!$E$17="All",AND('Pockets'!$E$17="Worse and material",$K528="Yes",$L528="Yes"),AND('Pockets'!$E$17="Worse or not sure",OR($K528="Yes",$K528="Not sure")))),1,0)</f>
        <v/>
      </c>
      <c r="N528">
        <f>$N527+$M528</f>
        <v/>
      </c>
      <c r="O528" t="inlineStr">
        <is>
          <t>three-way</t>
        </is>
      </c>
      <c r="P528" t="inlineStr">
        <is>
          <t>ranr_rate</t>
        </is>
      </c>
    </row>
    <row r="529">
      <c r="A529" t="inlineStr">
        <is>
          <t>Split by SYS_FLAG</t>
        </is>
      </c>
      <c r="B529" t="inlineStr">
        <is>
          <t>Kept after losses</t>
        </is>
      </c>
      <c r="C529" t="n">
        <v>1002</v>
      </c>
      <c r="D529" t="inlineStr">
        <is>
          <t>ORIG_BAL 26,324 - 37,950</t>
        </is>
      </c>
      <c r="E529" t="inlineStr">
        <is>
          <t>ASSET_CLASS 2</t>
        </is>
      </c>
      <c r="F529" t="inlineStr">
        <is>
          <t>Y</t>
        </is>
      </c>
      <c r="G529" t="n">
        <v>179</v>
      </c>
      <c r="H529" t="n">
        <v>-4.305675599695102</v>
      </c>
      <c r="J529" t="n">
        <v>52</v>
      </c>
      <c r="K529">
        <f>'_pockets'!$AI$1002</f>
        <v/>
      </c>
      <c r="L529">
        <f>'_pockets'!$AJ$1002</f>
        <v/>
      </c>
      <c r="M529">
        <f>IF(AND($A529='Pockets'!$D$17,$B529='Pockets'!$C$17,OR('Pockets'!$E$17="All",AND('Pockets'!$E$17="Worse and material",$K529="Yes",$L529="Yes"),AND('Pockets'!$E$17="Worse or not sure",OR($K529="Yes",$K529="Not sure")))),1,0)</f>
        <v/>
      </c>
      <c r="N529">
        <f>$N528+$M529</f>
        <v/>
      </c>
      <c r="O529" t="inlineStr">
        <is>
          <t>three-way</t>
        </is>
      </c>
      <c r="P529" t="inlineStr">
        <is>
          <t>ranr_rate</t>
        </is>
      </c>
    </row>
    <row r="530">
      <c r="A530" t="inlineStr">
        <is>
          <t>Split by SYS_FLAG</t>
        </is>
      </c>
      <c r="B530" t="inlineStr">
        <is>
          <t>Kept after losses</t>
        </is>
      </c>
      <c r="C530" t="n">
        <v>437</v>
      </c>
      <c r="D530" t="inlineStr">
        <is>
          <t>FICO 746 - 921</t>
        </is>
      </c>
      <c r="E530" t="inlineStr">
        <is>
          <t>Branch</t>
        </is>
      </c>
      <c r="F530" t="inlineStr">
        <is>
          <t>Y</t>
        </is>
      </c>
      <c r="G530" t="n">
        <v>239</v>
      </c>
      <c r="H530" t="n">
        <v>-3.74060101019733</v>
      </c>
      <c r="J530" t="n">
        <v>53</v>
      </c>
      <c r="K530">
        <f>'_pockets'!$AI$437</f>
        <v/>
      </c>
      <c r="L530">
        <f>'_pockets'!$AJ$437</f>
        <v/>
      </c>
      <c r="M530">
        <f>IF(AND($A530='Pockets'!$D$17,$B530='Pockets'!$C$17,OR('Pockets'!$E$17="All",AND('Pockets'!$E$17="Worse and material",$K530="Yes",$L530="Yes"),AND('Pockets'!$E$17="Worse or not sure",OR($K530="Yes",$K530="Not sure")))),1,0)</f>
        <v/>
      </c>
      <c r="N530">
        <f>$N529+$M530</f>
        <v/>
      </c>
      <c r="O530" t="inlineStr">
        <is>
          <t>three-way</t>
        </is>
      </c>
      <c r="P530" t="inlineStr">
        <is>
          <t>ranr_rate</t>
        </is>
      </c>
    </row>
    <row r="531">
      <c r="A531" t="inlineStr">
        <is>
          <t>Split by SYS_FLAG</t>
        </is>
      </c>
      <c r="B531" t="inlineStr">
        <is>
          <t>Kept after losses</t>
        </is>
      </c>
      <c r="C531" t="n">
        <v>967</v>
      </c>
      <c r="D531" t="inlineStr">
        <is>
          <t>ORIG_BAL 5,005 - 15,448</t>
        </is>
      </c>
      <c r="E531" t="inlineStr">
        <is>
          <t>Branch</t>
        </is>
      </c>
      <c r="F531" t="inlineStr">
        <is>
          <t>Y</t>
        </is>
      </c>
      <c r="G531" t="n">
        <v>241</v>
      </c>
      <c r="H531" t="n">
        <v>-3.725527632982031</v>
      </c>
      <c r="J531" t="n">
        <v>54</v>
      </c>
      <c r="K531">
        <f>'_pockets'!$AI$967</f>
        <v/>
      </c>
      <c r="L531">
        <f>'_pockets'!$AJ$967</f>
        <v/>
      </c>
      <c r="M531">
        <f>IF(AND($A531='Pockets'!$D$17,$B531='Pockets'!$C$17,OR('Pockets'!$E$17="All",AND('Pockets'!$E$17="Worse and material",$K531="Yes",$L531="Yes"),AND('Pockets'!$E$17="Worse or not sure",OR($K531="Yes",$K531="Not sure")))),1,0)</f>
        <v/>
      </c>
      <c r="N531">
        <f>$N530+$M531</f>
        <v/>
      </c>
      <c r="O531" t="inlineStr">
        <is>
          <t>three-way</t>
        </is>
      </c>
      <c r="P531" t="inlineStr">
        <is>
          <t>ranr_rate</t>
        </is>
      </c>
    </row>
    <row r="532">
      <c r="A532" t="inlineStr">
        <is>
          <t>Split by SYS_FLAG</t>
        </is>
      </c>
      <c r="B532" t="inlineStr">
        <is>
          <t>Kept after losses</t>
        </is>
      </c>
      <c r="C532" t="n">
        <v>837</v>
      </c>
      <c r="D532" t="inlineStr">
        <is>
          <t>FICO (marked missing)</t>
        </is>
      </c>
      <c r="E532" t="inlineStr">
        <is>
          <t>ASSET_CLASS 2</t>
        </is>
      </c>
      <c r="F532" t="inlineStr">
        <is>
          <t>Y</t>
        </is>
      </c>
      <c r="G532" t="n">
        <v>18</v>
      </c>
      <c r="H532" t="n">
        <v>-13.44021728627589</v>
      </c>
      <c r="J532" t="n">
        <v>55</v>
      </c>
      <c r="K532">
        <f>'_pockets'!$AI$837</f>
        <v/>
      </c>
      <c r="L532">
        <f>'_pockets'!$AJ$837</f>
        <v/>
      </c>
      <c r="M532">
        <f>IF(AND($A532='Pockets'!$D$17,$B532='Pockets'!$C$17,OR('Pockets'!$E$17="All",AND('Pockets'!$E$17="Worse and material",$K532="Yes",$L532="Yes"),AND('Pockets'!$E$17="Worse or not sure",OR($K532="Yes",$K532="Not sure")))),1,0)</f>
        <v/>
      </c>
      <c r="N532">
        <f>$N531+$M532</f>
        <v/>
      </c>
      <c r="O532" t="inlineStr">
        <is>
          <t>three-way</t>
        </is>
      </c>
      <c r="P532" t="inlineStr">
        <is>
          <t>ranr_rate</t>
        </is>
      </c>
    </row>
    <row r="533">
      <c r="A533" t="inlineStr">
        <is>
          <t>Split by SYS_FLAG</t>
        </is>
      </c>
      <c r="B533" t="inlineStr">
        <is>
          <t>Kept after losses</t>
        </is>
      </c>
      <c r="C533" t="n">
        <v>727</v>
      </c>
      <c r="D533" t="inlineStr">
        <is>
          <t>FICO 746 - 921</t>
        </is>
      </c>
      <c r="E533" t="inlineStr">
        <is>
          <t>ASSET_CLASS 1</t>
        </is>
      </c>
      <c r="F533" t="inlineStr">
        <is>
          <t>Y</t>
        </is>
      </c>
      <c r="G533" t="n">
        <v>183</v>
      </c>
      <c r="H533" t="n">
        <v>-4.259448559186338</v>
      </c>
      <c r="J533" t="n">
        <v>56</v>
      </c>
      <c r="K533">
        <f>'_pockets'!$AI$727</f>
        <v/>
      </c>
      <c r="L533">
        <f>'_pockets'!$AJ$727</f>
        <v/>
      </c>
      <c r="M533">
        <f>IF(AND($A533='Pockets'!$D$17,$B533='Pockets'!$C$17,OR('Pockets'!$E$17="All",AND('Pockets'!$E$17="Worse and material",$K533="Yes",$L533="Yes"),AND('Pockets'!$E$17="Worse or not sure",OR($K533="Yes",$K533="Not sure")))),1,0)</f>
        <v/>
      </c>
      <c r="N533">
        <f>$N532+$M533</f>
        <v/>
      </c>
      <c r="O533" t="inlineStr">
        <is>
          <t>three-way</t>
        </is>
      </c>
      <c r="P533" t="inlineStr">
        <is>
          <t>ranr_rate</t>
        </is>
      </c>
    </row>
    <row r="534">
      <c r="A534" t="inlineStr">
        <is>
          <t>Split by SYS_FLAG</t>
        </is>
      </c>
      <c r="B534" t="inlineStr">
        <is>
          <t>Kept after losses</t>
        </is>
      </c>
      <c r="C534" t="n">
        <v>712</v>
      </c>
      <c r="D534" t="inlineStr">
        <is>
          <t>FICO 712 - 745</t>
        </is>
      </c>
      <c r="E534" t="inlineStr">
        <is>
          <t>ASSET_CLASS 2</t>
        </is>
      </c>
      <c r="F534" t="inlineStr">
        <is>
          <t>N</t>
        </is>
      </c>
      <c r="G534" t="n">
        <v>247</v>
      </c>
      <c r="H534" t="n">
        <v>-3.681424000112374</v>
      </c>
      <c r="J534" t="n">
        <v>57</v>
      </c>
      <c r="K534">
        <f>'_pockets'!$AI$712</f>
        <v/>
      </c>
      <c r="L534">
        <f>'_pockets'!$AJ$712</f>
        <v/>
      </c>
      <c r="M534">
        <f>IF(AND($A534='Pockets'!$D$17,$B534='Pockets'!$C$17,OR('Pockets'!$E$17="All",AND('Pockets'!$E$17="Worse and material",$K534="Yes",$L534="Yes"),AND('Pockets'!$E$17="Worse or not sure",OR($K534="Yes",$K534="Not sure")))),1,0)</f>
        <v/>
      </c>
      <c r="N534">
        <f>$N533+$M534</f>
        <v/>
      </c>
      <c r="O534" t="inlineStr">
        <is>
          <t>three-way</t>
        </is>
      </c>
      <c r="P534" t="inlineStr">
        <is>
          <t>ranr_rate</t>
        </is>
      </c>
    </row>
    <row r="535">
      <c r="A535" t="inlineStr">
        <is>
          <t>Split by SYS_FLAG</t>
        </is>
      </c>
      <c r="B535" t="inlineStr">
        <is>
          <t>Kept after losses</t>
        </is>
      </c>
      <c r="C535" t="n">
        <v>477</v>
      </c>
      <c r="D535" t="inlineStr">
        <is>
          <t>FICO 686 - 711</t>
        </is>
      </c>
      <c r="E535" t="inlineStr">
        <is>
          <t>Online</t>
        </is>
      </c>
      <c r="F535" t="inlineStr">
        <is>
          <t>Y</t>
        </is>
      </c>
      <c r="G535" t="n">
        <v>249</v>
      </c>
      <c r="H535" t="n">
        <v>-3.667082436878989</v>
      </c>
      <c r="J535" t="n">
        <v>58</v>
      </c>
      <c r="K535">
        <f>'_pockets'!$AI$477</f>
        <v/>
      </c>
      <c r="L535">
        <f>'_pockets'!$AJ$477</f>
        <v/>
      </c>
      <c r="M535">
        <f>IF(AND($A535='Pockets'!$D$17,$B535='Pockets'!$C$17,OR('Pockets'!$E$17="All",AND('Pockets'!$E$17="Worse and material",$K535="Yes",$L535="Yes"),AND('Pockets'!$E$17="Worse or not sure",OR($K535="Yes",$K535="Not sure")))),1,0)</f>
        <v/>
      </c>
      <c r="N535">
        <f>$N534+$M535</f>
        <v/>
      </c>
      <c r="O535" t="inlineStr">
        <is>
          <t>three-way</t>
        </is>
      </c>
      <c r="P535" t="inlineStr">
        <is>
          <t>ranr_rate</t>
        </is>
      </c>
    </row>
    <row r="536">
      <c r="A536" t="inlineStr">
        <is>
          <t>Split by SYS_FLAG</t>
        </is>
      </c>
      <c r="B536" t="inlineStr">
        <is>
          <t>Kept after losses</t>
        </is>
      </c>
      <c r="C536" t="n">
        <v>1047</v>
      </c>
      <c r="D536" t="inlineStr">
        <is>
          <t>ORIG_BAL 5,005 - 15,448</t>
        </is>
      </c>
      <c r="E536" t="inlineStr">
        <is>
          <t>ASSET_CLASS 4</t>
        </is>
      </c>
      <c r="F536" t="inlineStr">
        <is>
          <t>Y</t>
        </is>
      </c>
      <c r="G536" t="n">
        <v>196</v>
      </c>
      <c r="H536" t="n">
        <v>-4.119195067510546</v>
      </c>
      <c r="J536" t="n">
        <v>59</v>
      </c>
      <c r="K536">
        <f>'_pockets'!$AI$1047</f>
        <v/>
      </c>
      <c r="L536">
        <f>'_pockets'!$AJ$1047</f>
        <v/>
      </c>
      <c r="M536">
        <f>IF(AND($A536='Pockets'!$D$17,$B536='Pockets'!$C$17,OR('Pockets'!$E$17="All",AND('Pockets'!$E$17="Worse and material",$K536="Yes",$L536="Yes"),AND('Pockets'!$E$17="Worse or not sure",OR($K536="Yes",$K536="Not sure")))),1,0)</f>
        <v/>
      </c>
      <c r="N536">
        <f>$N535+$M536</f>
        <v/>
      </c>
      <c r="O536" t="inlineStr">
        <is>
          <t>three-way</t>
        </is>
      </c>
      <c r="P536" t="inlineStr">
        <is>
          <t>ranr_rate</t>
        </is>
      </c>
    </row>
    <row r="537">
      <c r="A537" t="inlineStr">
        <is>
          <t>Split by SYS_FLAG</t>
        </is>
      </c>
      <c r="B537" t="inlineStr">
        <is>
          <t>Kept after losses</t>
        </is>
      </c>
      <c r="C537" t="n">
        <v>742</v>
      </c>
      <c r="D537" t="inlineStr">
        <is>
          <t>FICO 712 - 745</t>
        </is>
      </c>
      <c r="E537" t="inlineStr">
        <is>
          <t>ASSET_CLASS 3</t>
        </is>
      </c>
      <c r="F537" t="inlineStr">
        <is>
          <t>Y</t>
        </is>
      </c>
      <c r="G537" t="n">
        <v>169</v>
      </c>
      <c r="H537" t="n">
        <v>-4.428401248928057</v>
      </c>
      <c r="J537" t="n">
        <v>60</v>
      </c>
      <c r="K537">
        <f>'_pockets'!$AI$742</f>
        <v/>
      </c>
      <c r="L537">
        <f>'_pockets'!$AJ$742</f>
        <v/>
      </c>
      <c r="M537">
        <f>IF(AND($A537='Pockets'!$D$17,$B537='Pockets'!$C$17,OR('Pockets'!$E$17="All",AND('Pockets'!$E$17="Worse and material",$K537="Yes",$L537="Yes"),AND('Pockets'!$E$17="Worse or not sure",OR($K537="Yes",$K537="Not sure")))),1,0)</f>
        <v/>
      </c>
      <c r="N537">
        <f>$N536+$M537</f>
        <v/>
      </c>
      <c r="O537" t="inlineStr">
        <is>
          <t>three-way</t>
        </is>
      </c>
      <c r="P537" t="inlineStr">
        <is>
          <t>ranr_rate</t>
        </is>
      </c>
    </row>
    <row r="538">
      <c r="A538" t="inlineStr">
        <is>
          <t>Split by SYS_FLAG</t>
        </is>
      </c>
      <c r="B538" t="inlineStr">
        <is>
          <t>Kept after losses</t>
        </is>
      </c>
      <c r="C538" t="n">
        <v>732</v>
      </c>
      <c r="D538" t="inlineStr">
        <is>
          <t>FICO 712 - 745</t>
        </is>
      </c>
      <c r="E538" t="inlineStr">
        <is>
          <t>ASSET_CLASS 1</t>
        </is>
      </c>
      <c r="F538" t="inlineStr">
        <is>
          <t>Y</t>
        </is>
      </c>
      <c r="G538" t="n">
        <v>167</v>
      </c>
      <c r="H538" t="n">
        <v>-4.454270864150215</v>
      </c>
      <c r="J538" t="n">
        <v>61</v>
      </c>
      <c r="K538">
        <f>'_pockets'!$AI$732</f>
        <v/>
      </c>
      <c r="L538">
        <f>'_pockets'!$AJ$732</f>
        <v/>
      </c>
      <c r="M538">
        <f>IF(AND($A538='Pockets'!$D$17,$B538='Pockets'!$C$17,OR('Pockets'!$E$17="All",AND('Pockets'!$E$17="Worse and material",$K538="Yes",$L538="Yes"),AND('Pockets'!$E$17="Worse or not sure",OR($K538="Yes",$K538="Not sure")))),1,0)</f>
        <v/>
      </c>
      <c r="N538">
        <f>$N537+$M538</f>
        <v/>
      </c>
      <c r="O538" t="inlineStr">
        <is>
          <t>three-way</t>
        </is>
      </c>
      <c r="P538" t="inlineStr">
        <is>
          <t>ranr_rate</t>
        </is>
      </c>
    </row>
    <row r="539">
      <c r="A539" t="inlineStr">
        <is>
          <t>Split by SYS_FLAG</t>
        </is>
      </c>
      <c r="B539" t="inlineStr">
        <is>
          <t>Kept after losses</t>
        </is>
      </c>
      <c r="C539" t="n">
        <v>637</v>
      </c>
      <c r="D539" t="inlineStr">
        <is>
          <t>FICO 686 - 711</t>
        </is>
      </c>
      <c r="E539" t="inlineStr">
        <is>
          <t>ASSET_CLASS 1</t>
        </is>
      </c>
      <c r="F539" t="inlineStr">
        <is>
          <t>Y</t>
        </is>
      </c>
      <c r="G539" t="n">
        <v>167</v>
      </c>
      <c r="H539" t="n">
        <v>-4.454270864150215</v>
      </c>
      <c r="J539" t="n">
        <v>62</v>
      </c>
      <c r="K539">
        <f>'_pockets'!$AI$637</f>
        <v/>
      </c>
      <c r="L539">
        <f>'_pockets'!$AJ$637</f>
        <v/>
      </c>
      <c r="M539">
        <f>IF(AND($A539='Pockets'!$D$17,$B539='Pockets'!$C$17,OR('Pockets'!$E$17="All",AND('Pockets'!$E$17="Worse and material",$K539="Yes",$L539="Yes"),AND('Pockets'!$E$17="Worse or not sure",OR($K539="Yes",$K539="Not sure")))),1,0)</f>
        <v/>
      </c>
      <c r="N539">
        <f>$N538+$M539</f>
        <v/>
      </c>
      <c r="O539" t="inlineStr">
        <is>
          <t>three-way</t>
        </is>
      </c>
      <c r="P539" t="inlineStr">
        <is>
          <t>ranr_rate</t>
        </is>
      </c>
    </row>
    <row r="540">
      <c r="A540" t="inlineStr">
        <is>
          <t>Split by SYS_FLAG</t>
        </is>
      </c>
      <c r="B540" t="inlineStr">
        <is>
          <t>Kept after losses</t>
        </is>
      </c>
      <c r="C540" t="n">
        <v>512</v>
      </c>
      <c r="D540" t="inlineStr">
        <is>
          <t>FICO 712 - 745</t>
        </is>
      </c>
      <c r="E540" t="inlineStr">
        <is>
          <t>Online</t>
        </is>
      </c>
      <c r="F540" t="inlineStr">
        <is>
          <t>Y</t>
        </is>
      </c>
      <c r="G540" t="n">
        <v>278</v>
      </c>
      <c r="H540" t="n">
        <v>-3.477058709496619</v>
      </c>
      <c r="J540" t="n">
        <v>63</v>
      </c>
      <c r="K540">
        <f>'_pockets'!$AI$512</f>
        <v/>
      </c>
      <c r="L540">
        <f>'_pockets'!$AJ$512</f>
        <v/>
      </c>
      <c r="M540">
        <f>IF(AND($A540='Pockets'!$D$17,$B540='Pockets'!$C$17,OR('Pockets'!$E$17="All",AND('Pockets'!$E$17="Worse and material",$K540="Yes",$L540="Yes"),AND('Pockets'!$E$17="Worse or not sure",OR($K540="Yes",$K540="Not sure")))),1,0)</f>
        <v/>
      </c>
      <c r="N540">
        <f>$N539+$M540</f>
        <v/>
      </c>
      <c r="O540" t="inlineStr">
        <is>
          <t>three-way</t>
        </is>
      </c>
      <c r="P540" t="inlineStr">
        <is>
          <t>ranr_rate</t>
        </is>
      </c>
    </row>
    <row r="541">
      <c r="A541" t="inlineStr">
        <is>
          <t>Split by SYS_FLAG</t>
        </is>
      </c>
      <c r="B541" t="inlineStr">
        <is>
          <t>Kept after losses</t>
        </is>
      </c>
      <c r="C541" t="n">
        <v>1187</v>
      </c>
      <c r="D541" t="inlineStr">
        <is>
          <t>ORIG_BAL 5,005 - 15,448</t>
        </is>
      </c>
      <c r="E541" t="inlineStr">
        <is>
          <t>ASSET_CLASS 3</t>
        </is>
      </c>
      <c r="F541" t="inlineStr">
        <is>
          <t>Y</t>
        </is>
      </c>
      <c r="G541" t="n">
        <v>184</v>
      </c>
      <c r="H541" t="n">
        <v>-4.248129968750006</v>
      </c>
      <c r="J541" t="n">
        <v>64</v>
      </c>
      <c r="K541">
        <f>'_pockets'!$AI$1187</f>
        <v/>
      </c>
      <c r="L541">
        <f>'_pockets'!$AJ$1187</f>
        <v/>
      </c>
      <c r="M541">
        <f>IF(AND($A541='Pockets'!$D$17,$B541='Pockets'!$C$17,OR('Pockets'!$E$17="All",AND('Pockets'!$E$17="Worse and material",$K541="Yes",$L541="Yes"),AND('Pockets'!$E$17="Worse or not sure",OR($K541="Yes",$K541="Not sure")))),1,0)</f>
        <v/>
      </c>
      <c r="N541">
        <f>$N540+$M541</f>
        <v/>
      </c>
      <c r="O541" t="inlineStr">
        <is>
          <t>three-way</t>
        </is>
      </c>
      <c r="P541" t="inlineStr">
        <is>
          <t>ranr_rate</t>
        </is>
      </c>
    </row>
    <row r="542">
      <c r="A542" t="inlineStr">
        <is>
          <t>Split by SYS_FLAG</t>
        </is>
      </c>
      <c r="B542" t="inlineStr">
        <is>
          <t>Kept after losses</t>
        </is>
      </c>
      <c r="C542" t="n">
        <v>932</v>
      </c>
      <c r="D542" t="inlineStr">
        <is>
          <t>ORIG_BAL 5,005 - 15,448</t>
        </is>
      </c>
      <c r="E542" t="inlineStr">
        <is>
          <t>Online</t>
        </is>
      </c>
      <c r="F542" t="inlineStr">
        <is>
          <t>Y</t>
        </is>
      </c>
      <c r="G542" t="n">
        <v>242</v>
      </c>
      <c r="H542" t="n">
        <v>-3.718061928865932</v>
      </c>
      <c r="J542" t="n">
        <v>65</v>
      </c>
      <c r="K542">
        <f>'_pockets'!$AI$932</f>
        <v/>
      </c>
      <c r="L542">
        <f>'_pockets'!$AJ$932</f>
        <v/>
      </c>
      <c r="M542">
        <f>IF(AND($A542='Pockets'!$D$17,$B542='Pockets'!$C$17,OR('Pockets'!$E$17="All",AND('Pockets'!$E$17="Worse and material",$K542="Yes",$L542="Yes"),AND('Pockets'!$E$17="Worse or not sure",OR($K542="Yes",$K542="Not sure")))),1,0)</f>
        <v/>
      </c>
      <c r="N542">
        <f>$N541+$M542</f>
        <v/>
      </c>
      <c r="O542" t="inlineStr">
        <is>
          <t>three-way</t>
        </is>
      </c>
      <c r="P542" t="inlineStr">
        <is>
          <t>ranr_rate</t>
        </is>
      </c>
    </row>
    <row r="543">
      <c r="A543" t="inlineStr">
        <is>
          <t>Split by SYS_FLAG</t>
        </is>
      </c>
      <c r="B543" t="inlineStr">
        <is>
          <t>Kept after losses</t>
        </is>
      </c>
      <c r="C543" t="n">
        <v>517</v>
      </c>
      <c r="D543" t="inlineStr">
        <is>
          <t>FICO 686 - 711</t>
        </is>
      </c>
      <c r="E543" t="inlineStr">
        <is>
          <t>Broker</t>
        </is>
      </c>
      <c r="F543" t="inlineStr">
        <is>
          <t>N</t>
        </is>
      </c>
      <c r="G543" t="n">
        <v>271</v>
      </c>
      <c r="H543" t="n">
        <v>-3.520083745273923</v>
      </c>
      <c r="J543" t="n">
        <v>66</v>
      </c>
      <c r="K543">
        <f>'_pockets'!$AI$517</f>
        <v/>
      </c>
      <c r="L543">
        <f>'_pockets'!$AJ$517</f>
        <v/>
      </c>
      <c r="M543">
        <f>IF(AND($A543='Pockets'!$D$17,$B543='Pockets'!$C$17,OR('Pockets'!$E$17="All",AND('Pockets'!$E$17="Worse and material",$K543="Yes",$L543="Yes"),AND('Pockets'!$E$17="Worse or not sure",OR($K543="Yes",$K543="Not sure")))),1,0)</f>
        <v/>
      </c>
      <c r="N543">
        <f>$N542+$M543</f>
        <v/>
      </c>
      <c r="O543" t="inlineStr">
        <is>
          <t>three-way</t>
        </is>
      </c>
      <c r="P543" t="inlineStr">
        <is>
          <t>ranr_rate</t>
        </is>
      </c>
    </row>
    <row r="544">
      <c r="A544" t="inlineStr">
        <is>
          <t>Split by SYS_FLAG</t>
        </is>
      </c>
      <c r="B544" t="inlineStr">
        <is>
          <t>Kept after losses</t>
        </is>
      </c>
      <c r="C544" t="n">
        <v>422</v>
      </c>
      <c r="D544" t="inlineStr">
        <is>
          <t>FICO 712 - 745</t>
        </is>
      </c>
      <c r="E544" t="inlineStr">
        <is>
          <t>Branch</t>
        </is>
      </c>
      <c r="F544" t="inlineStr">
        <is>
          <t>N</t>
        </is>
      </c>
      <c r="G544" t="n">
        <v>307</v>
      </c>
      <c r="H544" t="n">
        <v>-3.314991142989085</v>
      </c>
      <c r="J544" t="n">
        <v>67</v>
      </c>
      <c r="K544">
        <f>'_pockets'!$AI$422</f>
        <v/>
      </c>
      <c r="L544">
        <f>'_pockets'!$AJ$422</f>
        <v/>
      </c>
      <c r="M544">
        <f>IF(AND($A544='Pockets'!$D$17,$B544='Pockets'!$C$17,OR('Pockets'!$E$17="All",AND('Pockets'!$E$17="Worse and material",$K544="Yes",$L544="Yes"),AND('Pockets'!$E$17="Worse or not sure",OR($K544="Yes",$K544="Not sure")))),1,0)</f>
        <v/>
      </c>
      <c r="N544">
        <f>$N543+$M544</f>
        <v/>
      </c>
      <c r="O544" t="inlineStr">
        <is>
          <t>three-way</t>
        </is>
      </c>
      <c r="P544" t="inlineStr">
        <is>
          <t>ranr_rate</t>
        </is>
      </c>
    </row>
    <row r="545">
      <c r="A545" t="inlineStr">
        <is>
          <t>Split by SYS_FLAG</t>
        </is>
      </c>
      <c r="B545" t="inlineStr">
        <is>
          <t>Kept after losses</t>
        </is>
      </c>
      <c r="C545" t="n">
        <v>767</v>
      </c>
      <c r="D545" t="inlineStr">
        <is>
          <t>FICO 746 - 921</t>
        </is>
      </c>
      <c r="E545" t="inlineStr">
        <is>
          <t>ASSET_CLASS 3</t>
        </is>
      </c>
      <c r="F545" t="inlineStr">
        <is>
          <t>Y</t>
        </is>
      </c>
      <c r="G545" t="n">
        <v>174</v>
      </c>
      <c r="H545" t="n">
        <v>-4.365705145793554</v>
      </c>
      <c r="J545" t="n">
        <v>68</v>
      </c>
      <c r="K545">
        <f>'_pockets'!$AI$767</f>
        <v/>
      </c>
      <c r="L545">
        <f>'_pockets'!$AJ$767</f>
        <v/>
      </c>
      <c r="M545">
        <f>IF(AND($A545='Pockets'!$D$17,$B545='Pockets'!$C$17,OR('Pockets'!$E$17="All",AND('Pockets'!$E$17="Worse and material",$K545="Yes",$L545="Yes"),AND('Pockets'!$E$17="Worse or not sure",OR($K545="Yes",$K545="Not sure")))),1,0)</f>
        <v/>
      </c>
      <c r="N545">
        <f>$N544+$M545</f>
        <v/>
      </c>
      <c r="O545" t="inlineStr">
        <is>
          <t>three-way</t>
        </is>
      </c>
      <c r="P545" t="inlineStr">
        <is>
          <t>ranr_rate</t>
        </is>
      </c>
    </row>
    <row r="546">
      <c r="A546" t="inlineStr">
        <is>
          <t>Split by SYS_FLAG</t>
        </is>
      </c>
      <c r="B546" t="inlineStr">
        <is>
          <t>Kept after losses</t>
        </is>
      </c>
      <c r="C546" t="n">
        <v>582</v>
      </c>
      <c r="D546" t="inlineStr">
        <is>
          <t>FICO (marked missing)</t>
        </is>
      </c>
      <c r="E546" t="inlineStr">
        <is>
          <t>Branch</t>
        </is>
      </c>
      <c r="F546" t="inlineStr">
        <is>
          <t>Y</t>
        </is>
      </c>
      <c r="G546" t="n">
        <v>22</v>
      </c>
      <c r="H546" t="n">
        <v>-12.16018162082152</v>
      </c>
      <c r="J546" t="n">
        <v>69</v>
      </c>
      <c r="K546">
        <f>'_pockets'!$AI$582</f>
        <v/>
      </c>
      <c r="L546">
        <f>'_pockets'!$AJ$582</f>
        <v/>
      </c>
      <c r="M546">
        <f>IF(AND($A546='Pockets'!$D$17,$B546='Pockets'!$C$17,OR('Pockets'!$E$17="All",AND('Pockets'!$E$17="Worse and material",$K546="Yes",$L546="Yes"),AND('Pockets'!$E$17="Worse or not sure",OR($K546="Yes",$K546="Not sure")))),1,0)</f>
        <v/>
      </c>
      <c r="N546">
        <f>$N545+$M546</f>
        <v/>
      </c>
      <c r="O546" t="inlineStr">
        <is>
          <t>three-way</t>
        </is>
      </c>
      <c r="P546" t="inlineStr">
        <is>
          <t>ranr_rate</t>
        </is>
      </c>
    </row>
    <row r="547">
      <c r="A547" t="inlineStr">
        <is>
          <t>Split by SYS_FLAG</t>
        </is>
      </c>
      <c r="B547" t="inlineStr">
        <is>
          <t>Kept after losses</t>
        </is>
      </c>
      <c r="C547" t="n">
        <v>532</v>
      </c>
      <c r="D547" t="inlineStr">
        <is>
          <t>FICO (marked missing)</t>
        </is>
      </c>
      <c r="E547" t="inlineStr">
        <is>
          <t>Online</t>
        </is>
      </c>
      <c r="F547" t="inlineStr">
        <is>
          <t>Y</t>
        </is>
      </c>
      <c r="G547" t="n">
        <v>25</v>
      </c>
      <c r="H547" t="n">
        <v>-11.40940713703047</v>
      </c>
      <c r="J547" t="n">
        <v>70</v>
      </c>
      <c r="K547">
        <f>'_pockets'!$AI$532</f>
        <v/>
      </c>
      <c r="L547">
        <f>'_pockets'!$AJ$532</f>
        <v/>
      </c>
      <c r="M547">
        <f>IF(AND($A547='Pockets'!$D$17,$B547='Pockets'!$C$17,OR('Pockets'!$E$17="All",AND('Pockets'!$E$17="Worse and material",$K547="Yes",$L547="Yes"),AND('Pockets'!$E$17="Worse or not sure",OR($K547="Yes",$K547="Not sure")))),1,0)</f>
        <v/>
      </c>
      <c r="N547">
        <f>$N546+$M547</f>
        <v/>
      </c>
      <c r="O547" t="inlineStr">
        <is>
          <t>three-way</t>
        </is>
      </c>
      <c r="P547" t="inlineStr">
        <is>
          <t>ranr_rate</t>
        </is>
      </c>
    </row>
    <row r="548">
      <c r="A548" t="inlineStr">
        <is>
          <t>Split by SYS_FLAG</t>
        </is>
      </c>
      <c r="B548" t="inlineStr">
        <is>
          <t>Kept after losses</t>
        </is>
      </c>
      <c r="C548" t="n">
        <v>702</v>
      </c>
      <c r="D548" t="inlineStr">
        <is>
          <t>FICO 654 - 685</t>
        </is>
      </c>
      <c r="E548" t="inlineStr">
        <is>
          <t>ASSET_CLASS 4</t>
        </is>
      </c>
      <c r="F548" t="inlineStr">
        <is>
          <t>N</t>
        </is>
      </c>
      <c r="G548" t="n">
        <v>219</v>
      </c>
      <c r="H548" t="n">
        <v>-3.902647642493216</v>
      </c>
      <c r="J548" t="n">
        <v>71</v>
      </c>
      <c r="K548">
        <f>'_pockets'!$AI$702</f>
        <v/>
      </c>
      <c r="L548">
        <f>'_pockets'!$AJ$702</f>
        <v/>
      </c>
      <c r="M548">
        <f>IF(AND($A548='Pockets'!$D$17,$B548='Pockets'!$C$17,OR('Pockets'!$E$17="All",AND('Pockets'!$E$17="Worse and material",$K548="Yes",$L548="Yes"),AND('Pockets'!$E$17="Worse or not sure",OR($K548="Yes",$K548="Not sure")))),1,0)</f>
        <v/>
      </c>
      <c r="N548">
        <f>$N547+$M548</f>
        <v/>
      </c>
      <c r="O548" t="inlineStr">
        <is>
          <t>three-way</t>
        </is>
      </c>
      <c r="P548" t="inlineStr">
        <is>
          <t>ranr_rate</t>
        </is>
      </c>
    </row>
    <row r="549">
      <c r="A549" t="inlineStr">
        <is>
          <t>Split by SYS_FLAG</t>
        </is>
      </c>
      <c r="B549" t="inlineStr">
        <is>
          <t>Kept after losses</t>
        </is>
      </c>
      <c r="C549" t="n">
        <v>827</v>
      </c>
      <c r="D549" t="inlineStr">
        <is>
          <t>FICO (marked missing)</t>
        </is>
      </c>
      <c r="E549" t="inlineStr">
        <is>
          <t>ASSET_CLASS 2</t>
        </is>
      </c>
      <c r="F549" t="inlineStr">
        <is>
          <t>N</t>
        </is>
      </c>
      <c r="G549" t="n">
        <v>18</v>
      </c>
      <c r="H549" t="n">
        <v>-13.44021728627589</v>
      </c>
      <c r="J549" t="n">
        <v>72</v>
      </c>
      <c r="K549">
        <f>'_pockets'!$AI$827</f>
        <v/>
      </c>
      <c r="L549">
        <f>'_pockets'!$AJ$827</f>
        <v/>
      </c>
      <c r="M549">
        <f>IF(AND($A549='Pockets'!$D$17,$B549='Pockets'!$C$17,OR('Pockets'!$E$17="All",AND('Pockets'!$E$17="Worse and material",$K549="Yes",$L549="Yes"),AND('Pockets'!$E$17="Worse or not sure",OR($K549="Yes",$K549="Not sure")))),1,0)</f>
        <v/>
      </c>
      <c r="N549">
        <f>$N548+$M549</f>
        <v/>
      </c>
      <c r="O549" t="inlineStr">
        <is>
          <t>three-way</t>
        </is>
      </c>
      <c r="P549" t="inlineStr">
        <is>
          <t>ranr_rate</t>
        </is>
      </c>
    </row>
    <row r="550">
      <c r="A550" t="inlineStr">
        <is>
          <t>Split by SYS_FLAG</t>
        </is>
      </c>
      <c r="B550" t="inlineStr">
        <is>
          <t>Kept after losses</t>
        </is>
      </c>
      <c r="C550" t="n">
        <v>1037</v>
      </c>
      <c r="D550" t="inlineStr">
        <is>
          <t>ORIG_BAL 26,324 - 37,950</t>
        </is>
      </c>
      <c r="E550" t="inlineStr">
        <is>
          <t>ASSET_CLASS 1</t>
        </is>
      </c>
      <c r="F550" t="inlineStr">
        <is>
          <t>Y</t>
        </is>
      </c>
      <c r="G550" t="n">
        <v>173</v>
      </c>
      <c r="H550" t="n">
        <v>-4.37802487258003</v>
      </c>
      <c r="J550" t="n">
        <v>73</v>
      </c>
      <c r="K550">
        <f>'_pockets'!$AI$1037</f>
        <v/>
      </c>
      <c r="L550">
        <f>'_pockets'!$AJ$1037</f>
        <v/>
      </c>
      <c r="M550">
        <f>IF(AND($A550='Pockets'!$D$17,$B550='Pockets'!$C$17,OR('Pockets'!$E$17="All",AND('Pockets'!$E$17="Worse and material",$K550="Yes",$L550="Yes"),AND('Pockets'!$E$17="Worse or not sure",OR($K550="Yes",$K550="Not sure")))),1,0)</f>
        <v/>
      </c>
      <c r="N550">
        <f>$N549+$M550</f>
        <v/>
      </c>
      <c r="O550" t="inlineStr">
        <is>
          <t>three-way</t>
        </is>
      </c>
      <c r="P550" t="inlineStr">
        <is>
          <t>ranr_rate</t>
        </is>
      </c>
    </row>
    <row r="551">
      <c r="A551" t="inlineStr">
        <is>
          <t>Split by SYS_FLAG</t>
        </is>
      </c>
      <c r="B551" t="inlineStr">
        <is>
          <t>Kept after losses</t>
        </is>
      </c>
      <c r="C551" t="n">
        <v>667</v>
      </c>
      <c r="D551" t="inlineStr">
        <is>
          <t>FICO 746 - 921</t>
        </is>
      </c>
      <c r="E551" t="inlineStr">
        <is>
          <t>ASSET_CLASS 4</t>
        </is>
      </c>
      <c r="F551" t="inlineStr">
        <is>
          <t>Y</t>
        </is>
      </c>
      <c r="G551" t="n">
        <v>164</v>
      </c>
      <c r="H551" t="n">
        <v>-4.493965908257609</v>
      </c>
      <c r="J551" t="n">
        <v>74</v>
      </c>
      <c r="K551">
        <f>'_pockets'!$AI$667</f>
        <v/>
      </c>
      <c r="L551">
        <f>'_pockets'!$AJ$667</f>
        <v/>
      </c>
      <c r="M551">
        <f>IF(AND($A551='Pockets'!$D$17,$B551='Pockets'!$C$17,OR('Pockets'!$E$17="All",AND('Pockets'!$E$17="Worse and material",$K551="Yes",$L551="Yes"),AND('Pockets'!$E$17="Worse or not sure",OR($K551="Yes",$K551="Not sure")))),1,0)</f>
        <v/>
      </c>
      <c r="N551">
        <f>$N550+$M551</f>
        <v/>
      </c>
      <c r="O551" t="inlineStr">
        <is>
          <t>three-way</t>
        </is>
      </c>
      <c r="P551" t="inlineStr">
        <is>
          <t>ranr_rate</t>
        </is>
      </c>
    </row>
    <row r="552">
      <c r="A552" t="inlineStr">
        <is>
          <t>Split by SYS_FLAG</t>
        </is>
      </c>
      <c r="B552" t="inlineStr">
        <is>
          <t>Kept after losses</t>
        </is>
      </c>
      <c r="C552" t="n">
        <v>752</v>
      </c>
      <c r="D552" t="inlineStr">
        <is>
          <t>FICO 686 - 711</t>
        </is>
      </c>
      <c r="E552" t="inlineStr">
        <is>
          <t>ASSET_CLASS 1</t>
        </is>
      </c>
      <c r="F552" t="inlineStr">
        <is>
          <t>N</t>
        </is>
      </c>
      <c r="G552" t="n">
        <v>205</v>
      </c>
      <c r="H552" t="n">
        <v>-4.030083706012126</v>
      </c>
      <c r="J552" t="n">
        <v>75</v>
      </c>
      <c r="K552">
        <f>'_pockets'!$AI$752</f>
        <v/>
      </c>
      <c r="L552">
        <f>'_pockets'!$AJ$752</f>
        <v/>
      </c>
      <c r="M552">
        <f>IF(AND($A552='Pockets'!$D$17,$B552='Pockets'!$C$17,OR('Pockets'!$E$17="All",AND('Pockets'!$E$17="Worse and material",$K552="Yes",$L552="Yes"),AND('Pockets'!$E$17="Worse or not sure",OR($K552="Yes",$K552="Not sure")))),1,0)</f>
        <v/>
      </c>
      <c r="N552">
        <f>$N551+$M552</f>
        <v/>
      </c>
      <c r="O552" t="inlineStr">
        <is>
          <t>three-way</t>
        </is>
      </c>
      <c r="P552" t="inlineStr">
        <is>
          <t>ranr_rate</t>
        </is>
      </c>
    </row>
    <row r="553">
      <c r="A553" t="inlineStr">
        <is>
          <t>Split by SYS_FLAG</t>
        </is>
      </c>
      <c r="B553" t="inlineStr">
        <is>
          <t>Kept after losses</t>
        </is>
      </c>
      <c r="C553" t="n">
        <v>1117</v>
      </c>
      <c r="D553" t="inlineStr">
        <is>
          <t>ORIG_BAL 5,005 - 15,448</t>
        </is>
      </c>
      <c r="E553" t="inlineStr">
        <is>
          <t>ASSET_CLASS 1</t>
        </is>
      </c>
      <c r="F553" t="inlineStr">
        <is>
          <t>Y</t>
        </is>
      </c>
      <c r="G553" t="n">
        <v>180</v>
      </c>
      <c r="H553" t="n">
        <v>-4.293973291489264</v>
      </c>
      <c r="J553" t="n">
        <v>76</v>
      </c>
      <c r="K553">
        <f>'_pockets'!$AI$1117</f>
        <v/>
      </c>
      <c r="L553">
        <f>'_pockets'!$AJ$1117</f>
        <v/>
      </c>
      <c r="M553">
        <f>IF(AND($A553='Pockets'!$D$17,$B553='Pockets'!$C$17,OR('Pockets'!$E$17="All",AND('Pockets'!$E$17="Worse and material",$K553="Yes",$L553="Yes"),AND('Pockets'!$E$17="Worse or not sure",OR($K553="Yes",$K553="Not sure")))),1,0)</f>
        <v/>
      </c>
      <c r="N553">
        <f>$N552+$M553</f>
        <v/>
      </c>
      <c r="O553" t="inlineStr">
        <is>
          <t>three-way</t>
        </is>
      </c>
      <c r="P553" t="inlineStr">
        <is>
          <t>ranr_rate</t>
        </is>
      </c>
    </row>
    <row r="554">
      <c r="A554" t="inlineStr">
        <is>
          <t>Split by SYS_FLAG</t>
        </is>
      </c>
      <c r="B554" t="inlineStr">
        <is>
          <t>Kept after losses</t>
        </is>
      </c>
      <c r="C554" t="n">
        <v>587</v>
      </c>
      <c r="D554" t="inlineStr">
        <is>
          <t>FICO (marked missing)</t>
        </is>
      </c>
      <c r="E554" t="inlineStr">
        <is>
          <t>Broker</t>
        </is>
      </c>
      <c r="F554" t="inlineStr">
        <is>
          <t>N</t>
        </is>
      </c>
      <c r="G554" t="n">
        <v>29</v>
      </c>
      <c r="H554" t="n">
        <v>-10.59602656090819</v>
      </c>
      <c r="J554" t="n">
        <v>77</v>
      </c>
      <c r="K554">
        <f>'_pockets'!$AI$587</f>
        <v/>
      </c>
      <c r="L554">
        <f>'_pockets'!$AJ$587</f>
        <v/>
      </c>
      <c r="M554">
        <f>IF(AND($A554='Pockets'!$D$17,$B554='Pockets'!$C$17,OR('Pockets'!$E$17="All",AND('Pockets'!$E$17="Worse and material",$K554="Yes",$L554="Yes"),AND('Pockets'!$E$17="Worse or not sure",OR($K554="Yes",$K554="Not sure")))),1,0)</f>
        <v/>
      </c>
      <c r="N554">
        <f>$N553+$M554</f>
        <v/>
      </c>
      <c r="O554" t="inlineStr">
        <is>
          <t>three-way</t>
        </is>
      </c>
      <c r="P554" t="inlineStr">
        <is>
          <t>ranr_rate</t>
        </is>
      </c>
    </row>
    <row r="555">
      <c r="A555" t="inlineStr">
        <is>
          <t>Split by SYS_FLAG</t>
        </is>
      </c>
      <c r="B555" t="inlineStr">
        <is>
          <t>Kept after losses</t>
        </is>
      </c>
      <c r="C555" t="n">
        <v>1097</v>
      </c>
      <c r="D555" t="inlineStr">
        <is>
          <t>ORIG_BAL 5,005 - 15,448</t>
        </is>
      </c>
      <c r="E555" t="inlineStr">
        <is>
          <t>ASSET_CLASS 4</t>
        </is>
      </c>
      <c r="F555" t="inlineStr">
        <is>
          <t>N</t>
        </is>
      </c>
      <c r="G555" t="n">
        <v>229</v>
      </c>
      <c r="H555" t="n">
        <v>-3.818940986528518</v>
      </c>
      <c r="J555" t="n">
        <v>78</v>
      </c>
      <c r="K555">
        <f>'_pockets'!$AI$1097</f>
        <v/>
      </c>
      <c r="L555">
        <f>'_pockets'!$AJ$1097</f>
        <v/>
      </c>
      <c r="M555">
        <f>IF(AND($A555='Pockets'!$D$17,$B555='Pockets'!$C$17,OR('Pockets'!$E$17="All",AND('Pockets'!$E$17="Worse and material",$K555="Yes",$L555="Yes"),AND('Pockets'!$E$17="Worse or not sure",OR($K555="Yes",$K555="Not sure")))),1,0)</f>
        <v/>
      </c>
      <c r="N555">
        <f>$N554+$M555</f>
        <v/>
      </c>
      <c r="O555" t="inlineStr">
        <is>
          <t>three-way</t>
        </is>
      </c>
      <c r="P555" t="inlineStr">
        <is>
          <t>ranr_rate</t>
        </is>
      </c>
    </row>
    <row r="556">
      <c r="A556" t="inlineStr">
        <is>
          <t>Split by SYS_FLAG</t>
        </is>
      </c>
      <c r="B556" t="inlineStr">
        <is>
          <t>Kept after losses</t>
        </is>
      </c>
      <c r="C556" t="n">
        <v>567</v>
      </c>
      <c r="D556" t="inlineStr">
        <is>
          <t>FICO (marked missing)</t>
        </is>
      </c>
      <c r="E556" t="inlineStr">
        <is>
          <t>Branch</t>
        </is>
      </c>
      <c r="F556" t="inlineStr">
        <is>
          <t>N</t>
        </is>
      </c>
      <c r="G556" t="n">
        <v>29</v>
      </c>
      <c r="H556" t="n">
        <v>-10.59602656090819</v>
      </c>
      <c r="J556" t="n">
        <v>79</v>
      </c>
      <c r="K556">
        <f>'_pockets'!$AI$567</f>
        <v/>
      </c>
      <c r="L556">
        <f>'_pockets'!$AJ$567</f>
        <v/>
      </c>
      <c r="M556">
        <f>IF(AND($A556='Pockets'!$D$17,$B556='Pockets'!$C$17,OR('Pockets'!$E$17="All",AND('Pockets'!$E$17="Worse and material",$K556="Yes",$L556="Yes"),AND('Pockets'!$E$17="Worse or not sure",OR($K556="Yes",$K556="Not sure")))),1,0)</f>
        <v/>
      </c>
      <c r="N556">
        <f>$N555+$M556</f>
        <v/>
      </c>
      <c r="O556" t="inlineStr">
        <is>
          <t>three-way</t>
        </is>
      </c>
      <c r="P556" t="inlineStr">
        <is>
          <t>ranr_rate</t>
        </is>
      </c>
    </row>
    <row r="557">
      <c r="A557" t="inlineStr">
        <is>
          <t>Split by SYS_FLAG</t>
        </is>
      </c>
      <c r="B557" t="inlineStr">
        <is>
          <t>Kept after losses</t>
        </is>
      </c>
      <c r="C557" t="n">
        <v>537</v>
      </c>
      <c r="D557" t="inlineStr">
        <is>
          <t>FICO 746 - 921</t>
        </is>
      </c>
      <c r="E557" t="inlineStr">
        <is>
          <t>Branch</t>
        </is>
      </c>
      <c r="F557" t="inlineStr">
        <is>
          <t>N</t>
        </is>
      </c>
      <c r="G557" t="n">
        <v>279</v>
      </c>
      <c r="H557" t="n">
        <v>-3.471046614747157</v>
      </c>
      <c r="J557" t="n">
        <v>80</v>
      </c>
      <c r="K557">
        <f>'_pockets'!$AI$537</f>
        <v/>
      </c>
      <c r="L557">
        <f>'_pockets'!$AJ$537</f>
        <v/>
      </c>
      <c r="M557">
        <f>IF(AND($A557='Pockets'!$D$17,$B557='Pockets'!$C$17,OR('Pockets'!$E$17="All",AND('Pockets'!$E$17="Worse and material",$K557="Yes",$L557="Yes"),AND('Pockets'!$E$17="Worse or not sure",OR($K557="Yes",$K557="Not sure")))),1,0)</f>
        <v/>
      </c>
      <c r="N557">
        <f>$N556+$M557</f>
        <v/>
      </c>
      <c r="O557" t="inlineStr">
        <is>
          <t>three-way</t>
        </is>
      </c>
      <c r="P557" t="inlineStr">
        <is>
          <t>ranr_rate</t>
        </is>
      </c>
    </row>
    <row r="558">
      <c r="A558" t="inlineStr">
        <is>
          <t>Split by SYS_FLAG</t>
        </is>
      </c>
      <c r="B558" t="inlineStr">
        <is>
          <t>Kept after losses</t>
        </is>
      </c>
      <c r="C558" t="n">
        <v>462</v>
      </c>
      <c r="D558" t="inlineStr">
        <is>
          <t>FICO 746 - 921</t>
        </is>
      </c>
      <c r="E558" t="inlineStr">
        <is>
          <t>Online</t>
        </is>
      </c>
      <c r="F558" t="inlineStr">
        <is>
          <t>N</t>
        </is>
      </c>
      <c r="G558" t="n">
        <v>292</v>
      </c>
      <c r="H558" t="n">
        <v>-3.395760816297401</v>
      </c>
      <c r="J558" t="n">
        <v>81</v>
      </c>
      <c r="K558">
        <f>'_pockets'!$AI$462</f>
        <v/>
      </c>
      <c r="L558">
        <f>'_pockets'!$AJ$462</f>
        <v/>
      </c>
      <c r="M558">
        <f>IF(AND($A558='Pockets'!$D$17,$B558='Pockets'!$C$17,OR('Pockets'!$E$17="All",AND('Pockets'!$E$17="Worse and material",$K558="Yes",$L558="Yes"),AND('Pockets'!$E$17="Worse or not sure",OR($K558="Yes",$K558="Not sure")))),1,0)</f>
        <v/>
      </c>
      <c r="N558">
        <f>$N557+$M558</f>
        <v/>
      </c>
      <c r="O558" t="inlineStr">
        <is>
          <t>three-way</t>
        </is>
      </c>
      <c r="P558" t="inlineStr">
        <is>
          <t>ranr_rate</t>
        </is>
      </c>
    </row>
    <row r="559">
      <c r="A559" t="inlineStr">
        <is>
          <t>Split by SYS_FLAG</t>
        </is>
      </c>
      <c r="B559" t="inlineStr">
        <is>
          <t>Kept after losses</t>
        </is>
      </c>
      <c r="C559" t="n">
        <v>457</v>
      </c>
      <c r="D559" t="inlineStr">
        <is>
          <t>FICO 746 - 921</t>
        </is>
      </c>
      <c r="E559" t="inlineStr">
        <is>
          <t>Broker</t>
        </is>
      </c>
      <c r="F559" t="inlineStr">
        <is>
          <t>N</t>
        </is>
      </c>
      <c r="G559" t="n">
        <v>299</v>
      </c>
      <c r="H559" t="n">
        <v>-3.357300701198503</v>
      </c>
      <c r="J559" t="n">
        <v>82</v>
      </c>
      <c r="K559">
        <f>'_pockets'!$AI$457</f>
        <v/>
      </c>
      <c r="L559">
        <f>'_pockets'!$AJ$457</f>
        <v/>
      </c>
      <c r="M559">
        <f>IF(AND($A559='Pockets'!$D$17,$B559='Pockets'!$C$17,OR('Pockets'!$E$17="All",AND('Pockets'!$E$17="Worse and material",$K559="Yes",$L559="Yes"),AND('Pockets'!$E$17="Worse or not sure",OR($K559="Yes",$K559="Not sure")))),1,0)</f>
        <v/>
      </c>
      <c r="N559">
        <f>$N558+$M559</f>
        <v/>
      </c>
      <c r="O559" t="inlineStr">
        <is>
          <t>three-way</t>
        </is>
      </c>
      <c r="P559" t="inlineStr">
        <is>
          <t>ranr_rate</t>
        </is>
      </c>
    </row>
    <row r="560">
      <c r="A560" t="inlineStr">
        <is>
          <t>Split by SYS_FLAG</t>
        </is>
      </c>
      <c r="B560" t="inlineStr">
        <is>
          <t>Kept after losses</t>
        </is>
      </c>
      <c r="C560" t="n">
        <v>707</v>
      </c>
      <c r="D560" t="inlineStr">
        <is>
          <t>FICO 746 - 921</t>
        </is>
      </c>
      <c r="E560" t="inlineStr">
        <is>
          <t>ASSET_CLASS 2</t>
        </is>
      </c>
      <c r="F560" t="inlineStr">
        <is>
          <t>N</t>
        </is>
      </c>
      <c r="G560" t="n">
        <v>219</v>
      </c>
      <c r="H560" t="n">
        <v>-3.902647642493216</v>
      </c>
      <c r="J560" t="n">
        <v>83</v>
      </c>
      <c r="K560">
        <f>'_pockets'!$AI$707</f>
        <v/>
      </c>
      <c r="L560">
        <f>'_pockets'!$AJ$707</f>
        <v/>
      </c>
      <c r="M560">
        <f>IF(AND($A560='Pockets'!$D$17,$B560='Pockets'!$C$17,OR('Pockets'!$E$17="All",AND('Pockets'!$E$17="Worse and material",$K560="Yes",$L560="Yes"),AND('Pockets'!$E$17="Worse or not sure",OR($K560="Yes",$K560="Not sure")))),1,0)</f>
        <v/>
      </c>
      <c r="N560">
        <f>$N559+$M560</f>
        <v/>
      </c>
      <c r="O560" t="inlineStr">
        <is>
          <t>three-way</t>
        </is>
      </c>
      <c r="P560" t="inlineStr">
        <is>
          <t>ranr_rate</t>
        </is>
      </c>
    </row>
    <row r="561">
      <c r="A561" t="inlineStr">
        <is>
          <t>Split by SYS_FLAG</t>
        </is>
      </c>
      <c r="B561" t="inlineStr">
        <is>
          <t>Kept after losses</t>
        </is>
      </c>
      <c r="C561" t="n">
        <v>647</v>
      </c>
      <c r="D561" t="inlineStr">
        <is>
          <t>FICO 746 - 921</t>
        </is>
      </c>
      <c r="E561" t="inlineStr">
        <is>
          <t>ASSET_CLASS 1</t>
        </is>
      </c>
      <c r="F561" t="inlineStr">
        <is>
          <t>N</t>
        </is>
      </c>
      <c r="G561" t="n">
        <v>231</v>
      </c>
      <c r="H561" t="n">
        <v>-3.802862295069971</v>
      </c>
      <c r="J561" t="n">
        <v>84</v>
      </c>
      <c r="K561">
        <f>'_pockets'!$AI$647</f>
        <v/>
      </c>
      <c r="L561">
        <f>'_pockets'!$AJ$647</f>
        <v/>
      </c>
      <c r="M561">
        <f>IF(AND($A561='Pockets'!$D$17,$B561='Pockets'!$C$17,OR('Pockets'!$E$17="All",AND('Pockets'!$E$17="Worse and material",$K561="Yes",$L561="Yes"),AND('Pockets'!$E$17="Worse or not sure",OR($K561="Yes",$K561="Not sure")))),1,0)</f>
        <v/>
      </c>
      <c r="N561">
        <f>$N560+$M561</f>
        <v/>
      </c>
      <c r="O561" t="inlineStr">
        <is>
          <t>three-way</t>
        </is>
      </c>
      <c r="P561" t="inlineStr">
        <is>
          <t>ranr_rate</t>
        </is>
      </c>
    </row>
    <row r="562">
      <c r="A562" t="inlineStr">
        <is>
          <t>Split by SYS_FLAG</t>
        </is>
      </c>
      <c r="B562" t="inlineStr">
        <is>
          <t>Kept after losses</t>
        </is>
      </c>
      <c r="C562" t="n">
        <v>747</v>
      </c>
      <c r="D562" t="inlineStr">
        <is>
          <t>FICO 746 - 921</t>
        </is>
      </c>
      <c r="E562" t="inlineStr">
        <is>
          <t>ASSET_CLASS 4</t>
        </is>
      </c>
      <c r="F562" t="inlineStr">
        <is>
          <t>N</t>
        </is>
      </c>
      <c r="G562" t="n">
        <v>209</v>
      </c>
      <c r="H562" t="n">
        <v>-3.992356601805577</v>
      </c>
      <c r="J562" t="n">
        <v>85</v>
      </c>
      <c r="K562">
        <f>'_pockets'!$AI$747</f>
        <v/>
      </c>
      <c r="L562">
        <f>'_pockets'!$AJ$747</f>
        <v/>
      </c>
      <c r="M562">
        <f>IF(AND($A562='Pockets'!$D$17,$B562='Pockets'!$C$17,OR('Pockets'!$E$17="All",AND('Pockets'!$E$17="Worse and material",$K562="Yes",$L562="Yes"),AND('Pockets'!$E$17="Worse or not sure",OR($K562="Yes",$K562="Not sure")))),1,0)</f>
        <v/>
      </c>
      <c r="N562">
        <f>$N561+$M562</f>
        <v/>
      </c>
      <c r="O562" t="inlineStr">
        <is>
          <t>three-way</t>
        </is>
      </c>
      <c r="P562" t="inlineStr">
        <is>
          <t>ranr_rate</t>
        </is>
      </c>
    </row>
    <row r="563">
      <c r="A563" t="inlineStr">
        <is>
          <t>Split by SYS_FLAG</t>
        </is>
      </c>
      <c r="B563" t="inlineStr">
        <is>
          <t>Kept after losses</t>
        </is>
      </c>
      <c r="C563" t="n">
        <v>687</v>
      </c>
      <c r="D563" t="inlineStr">
        <is>
          <t>FICO 746 - 921</t>
        </is>
      </c>
      <c r="E563" t="inlineStr">
        <is>
          <t>ASSET_CLASS 3</t>
        </is>
      </c>
      <c r="F563" t="inlineStr">
        <is>
          <t>N</t>
        </is>
      </c>
      <c r="G563" t="n">
        <v>211</v>
      </c>
      <c r="H563" t="n">
        <v>-3.973900591118031</v>
      </c>
      <c r="J563" t="n">
        <v>86</v>
      </c>
      <c r="K563">
        <f>'_pockets'!$AI$687</f>
        <v/>
      </c>
      <c r="L563">
        <f>'_pockets'!$AJ$687</f>
        <v/>
      </c>
      <c r="M563">
        <f>IF(AND($A563='Pockets'!$D$17,$B563='Pockets'!$C$17,OR('Pockets'!$E$17="All",AND('Pockets'!$E$17="Worse and material",$K563="Yes",$L563="Yes"),AND('Pockets'!$E$17="Worse or not sure",OR($K563="Yes",$K563="Not sure")))),1,0)</f>
        <v/>
      </c>
      <c r="N563">
        <f>$N562+$M563</f>
        <v/>
      </c>
      <c r="O563" t="inlineStr">
        <is>
          <t>three-way</t>
        </is>
      </c>
      <c r="P563" t="inlineStr">
        <is>
          <t>ranr_rate</t>
        </is>
      </c>
    </row>
    <row r="564">
      <c r="A564" t="inlineStr">
        <is>
          <t>Split by SYS_FLAG</t>
        </is>
      </c>
      <c r="B564" t="inlineStr">
        <is>
          <t>Kept after losses</t>
        </is>
      </c>
      <c r="C564" t="n">
        <v>472</v>
      </c>
      <c r="D564" t="inlineStr">
        <is>
          <t>FICO 712 - 745</t>
        </is>
      </c>
      <c r="E564" t="inlineStr">
        <is>
          <t>Broker</t>
        </is>
      </c>
      <c r="F564" t="inlineStr">
        <is>
          <t>Y</t>
        </is>
      </c>
      <c r="G564" t="n">
        <v>218</v>
      </c>
      <c r="H564" t="n">
        <v>-3.911337064533781</v>
      </c>
      <c r="J564" t="n">
        <v>87</v>
      </c>
      <c r="K564">
        <f>'_pockets'!$AI$472</f>
        <v/>
      </c>
      <c r="L564">
        <f>'_pockets'!$AJ$472</f>
        <v/>
      </c>
      <c r="M564">
        <f>IF(AND($A564='Pockets'!$D$17,$B564='Pockets'!$C$17,OR('Pockets'!$E$17="All",AND('Pockets'!$E$17="Worse and material",$K564="Yes",$L564="Yes"),AND('Pockets'!$E$17="Worse or not sure",OR($K564="Yes",$K564="Not sure")))),1,0)</f>
        <v/>
      </c>
      <c r="N564">
        <f>$N563+$M564</f>
        <v/>
      </c>
      <c r="O564" t="inlineStr">
        <is>
          <t>three-way</t>
        </is>
      </c>
      <c r="P564" t="inlineStr">
        <is>
          <t>ranr_rate</t>
        </is>
      </c>
    </row>
    <row r="565">
      <c r="A565" t="inlineStr">
        <is>
          <t>Split by SYS_FLAG</t>
        </is>
      </c>
      <c r="B565" t="inlineStr">
        <is>
          <t>Kept after losses</t>
        </is>
      </c>
      <c r="C565" t="n">
        <v>612</v>
      </c>
      <c r="D565" t="inlineStr">
        <is>
          <t>FICO 712 - 745</t>
        </is>
      </c>
      <c r="E565" t="inlineStr">
        <is>
          <t>ASSET_CLASS 2</t>
        </is>
      </c>
      <c r="F565" t="inlineStr">
        <is>
          <t>Y</t>
        </is>
      </c>
      <c r="G565" t="n">
        <v>183</v>
      </c>
      <c r="H565" t="n">
        <v>-4.259448559186338</v>
      </c>
      <c r="J565" t="n">
        <v>88</v>
      </c>
      <c r="K565">
        <f>'_pockets'!$AI$612</f>
        <v/>
      </c>
      <c r="L565">
        <f>'_pockets'!$AJ$612</f>
        <v/>
      </c>
      <c r="M565">
        <f>IF(AND($A565='Pockets'!$D$17,$B565='Pockets'!$C$17,OR('Pockets'!$E$17="All",AND('Pockets'!$E$17="Worse and material",$K565="Yes",$L565="Yes"),AND('Pockets'!$E$17="Worse or not sure",OR($K565="Yes",$K565="Not sure")))),1,0)</f>
        <v/>
      </c>
      <c r="N565">
        <f>$N564+$M565</f>
        <v/>
      </c>
      <c r="O565" t="inlineStr">
        <is>
          <t>three-way</t>
        </is>
      </c>
      <c r="P565" t="inlineStr">
        <is>
          <t>ranr_rate</t>
        </is>
      </c>
    </row>
    <row r="566">
      <c r="A566" t="inlineStr">
        <is>
          <t>Split by SYS_FLAG</t>
        </is>
      </c>
      <c r="B566" t="inlineStr">
        <is>
          <t>Kept after losses</t>
        </is>
      </c>
      <c r="C566" t="n">
        <v>642</v>
      </c>
      <c r="D566" t="inlineStr">
        <is>
          <t>FICO 712 - 745</t>
        </is>
      </c>
      <c r="E566" t="inlineStr">
        <is>
          <t>ASSET_CLASS 4</t>
        </is>
      </c>
      <c r="F566" t="inlineStr">
        <is>
          <t>N</t>
        </is>
      </c>
      <c r="G566" t="n">
        <v>220</v>
      </c>
      <c r="H566" t="n">
        <v>-3.894018152914142</v>
      </c>
      <c r="J566" t="n">
        <v>89</v>
      </c>
      <c r="K566">
        <f>'_pockets'!$AI$642</f>
        <v/>
      </c>
      <c r="L566">
        <f>'_pockets'!$AJ$642</f>
        <v/>
      </c>
      <c r="M566">
        <f>IF(AND($A566='Pockets'!$D$17,$B566='Pockets'!$C$17,OR('Pockets'!$E$17="All",AND('Pockets'!$E$17="Worse and material",$K566="Yes",$L566="Yes"),AND('Pockets'!$E$17="Worse or not sure",OR($K566="Yes",$K566="Not sure")))),1,0)</f>
        <v/>
      </c>
      <c r="N566">
        <f>$N565+$M566</f>
        <v/>
      </c>
      <c r="O566" t="inlineStr">
        <is>
          <t>three-way</t>
        </is>
      </c>
      <c r="P566" t="inlineStr">
        <is>
          <t>ranr_rate</t>
        </is>
      </c>
    </row>
    <row r="567">
      <c r="A567" t="inlineStr">
        <is>
          <t>Split by SYS_FLAG</t>
        </is>
      </c>
      <c r="B567" t="inlineStr">
        <is>
          <t>Kept after losses</t>
        </is>
      </c>
      <c r="C567" t="n">
        <v>777</v>
      </c>
      <c r="D567" t="inlineStr">
        <is>
          <t>FICO 712 - 745</t>
        </is>
      </c>
      <c r="E567" t="inlineStr">
        <is>
          <t>ASSET_CLASS 3</t>
        </is>
      </c>
      <c r="F567" t="inlineStr">
        <is>
          <t>N</t>
        </is>
      </c>
      <c r="G567" t="n">
        <v>223</v>
      </c>
      <c r="H567" t="n">
        <v>-3.868482534444551</v>
      </c>
      <c r="J567" t="n">
        <v>90</v>
      </c>
      <c r="K567">
        <f>'_pockets'!$AI$777</f>
        <v/>
      </c>
      <c r="L567">
        <f>'_pockets'!$AJ$777</f>
        <v/>
      </c>
      <c r="M567">
        <f>IF(AND($A567='Pockets'!$D$17,$B567='Pockets'!$C$17,OR('Pockets'!$E$17="All",AND('Pockets'!$E$17="Worse and material",$K567="Yes",$L567="Yes"),AND('Pockets'!$E$17="Worse or not sure",OR($K567="Yes",$K567="Not sure")))),1,0)</f>
        <v/>
      </c>
      <c r="N567">
        <f>$N566+$M567</f>
        <v/>
      </c>
      <c r="O567" t="inlineStr">
        <is>
          <t>three-way</t>
        </is>
      </c>
      <c r="P567" t="inlineStr">
        <is>
          <t>ranr_rate</t>
        </is>
      </c>
    </row>
    <row r="568">
      <c r="A568" t="inlineStr">
        <is>
          <t>Split by SYS_FLAG</t>
        </is>
      </c>
      <c r="B568" t="inlineStr">
        <is>
          <t>Kept after losses</t>
        </is>
      </c>
      <c r="C568" t="n">
        <v>607</v>
      </c>
      <c r="D568" t="inlineStr">
        <is>
          <t>FICO 712 - 745</t>
        </is>
      </c>
      <c r="E568" t="inlineStr">
        <is>
          <t>ASSET_CLASS 1</t>
        </is>
      </c>
      <c r="F568" t="inlineStr">
        <is>
          <t>N</t>
        </is>
      </c>
      <c r="G568" t="n">
        <v>194</v>
      </c>
      <c r="H568" t="n">
        <v>-4.139843076855238</v>
      </c>
      <c r="J568" t="n">
        <v>91</v>
      </c>
      <c r="K568">
        <f>'_pockets'!$AI$607</f>
        <v/>
      </c>
      <c r="L568">
        <f>'_pockets'!$AJ$607</f>
        <v/>
      </c>
      <c r="M568">
        <f>IF(AND($A568='Pockets'!$D$17,$B568='Pockets'!$C$17,OR('Pockets'!$E$17="All",AND('Pockets'!$E$17="Worse and material",$K568="Yes",$L568="Yes"),AND('Pockets'!$E$17="Worse or not sure",OR($K568="Yes",$K568="Not sure")))),1,0)</f>
        <v/>
      </c>
      <c r="N568">
        <f>$N567+$M568</f>
        <v/>
      </c>
      <c r="O568" t="inlineStr">
        <is>
          <t>three-way</t>
        </is>
      </c>
      <c r="P568" t="inlineStr">
        <is>
          <t>ranr_rate</t>
        </is>
      </c>
    </row>
    <row r="569">
      <c r="A569" t="inlineStr">
        <is>
          <t>Split by SYS_FLAG</t>
        </is>
      </c>
      <c r="B569" t="inlineStr">
        <is>
          <t>Kept after losses</t>
        </is>
      </c>
      <c r="C569" t="n">
        <v>1132</v>
      </c>
      <c r="D569" t="inlineStr">
        <is>
          <t>ORIG_BAL 15,449 - 26,323</t>
        </is>
      </c>
      <c r="E569" t="inlineStr">
        <is>
          <t>ASSET_CLASS 3</t>
        </is>
      </c>
      <c r="F569" t="inlineStr">
        <is>
          <t>N</t>
        </is>
      </c>
      <c r="G569" t="n">
        <v>234</v>
      </c>
      <c r="H569" t="n">
        <v>-3.779136156597146</v>
      </c>
      <c r="J569" t="n">
        <v>92</v>
      </c>
      <c r="K569">
        <f>'_pockets'!$AI$1132</f>
        <v/>
      </c>
      <c r="L569">
        <f>'_pockets'!$AJ$1132</f>
        <v/>
      </c>
      <c r="M569">
        <f>IF(AND($A569='Pockets'!$D$17,$B569='Pockets'!$C$17,OR('Pockets'!$E$17="All",AND('Pockets'!$E$17="Worse and material",$K569="Yes",$L569="Yes"),AND('Pockets'!$E$17="Worse or not sure",OR($K569="Yes",$K569="Not sure")))),1,0)</f>
        <v/>
      </c>
      <c r="N569">
        <f>$N568+$M569</f>
        <v/>
      </c>
      <c r="O569" t="inlineStr">
        <is>
          <t>three-way</t>
        </is>
      </c>
      <c r="P569" t="inlineStr">
        <is>
          <t>ranr_rate</t>
        </is>
      </c>
    </row>
    <row r="570">
      <c r="A570" t="inlineStr">
        <is>
          <t>Split by SYS_FLAG</t>
        </is>
      </c>
      <c r="B570" t="inlineStr">
        <is>
          <t>Kept after losses</t>
        </is>
      </c>
      <c r="C570" t="n">
        <v>1027</v>
      </c>
      <c r="D570" t="inlineStr">
        <is>
          <t>ORIG_BAL 37,951 - 49,151</t>
        </is>
      </c>
      <c r="E570" t="inlineStr">
        <is>
          <t>ASSET_CLASS 2</t>
        </is>
      </c>
      <c r="F570" t="inlineStr">
        <is>
          <t>Y</t>
        </is>
      </c>
      <c r="G570" t="n">
        <v>199</v>
      </c>
      <c r="H570" t="n">
        <v>-4.088814032012918</v>
      </c>
      <c r="J570" t="n">
        <v>93</v>
      </c>
      <c r="K570">
        <f>'_pockets'!$AI$1027</f>
        <v/>
      </c>
      <c r="L570">
        <f>'_pockets'!$AJ$1027</f>
        <v/>
      </c>
      <c r="M570">
        <f>IF(AND($A570='Pockets'!$D$17,$B570='Pockets'!$C$17,OR('Pockets'!$E$17="All",AND('Pockets'!$E$17="Worse and material",$K570="Yes",$L570="Yes"),AND('Pockets'!$E$17="Worse or not sure",OR($K570="Yes",$K570="Not sure")))),1,0)</f>
        <v/>
      </c>
      <c r="N570">
        <f>$N569+$M570</f>
        <v/>
      </c>
      <c r="O570" t="inlineStr">
        <is>
          <t>three-way</t>
        </is>
      </c>
      <c r="P570" t="inlineStr">
        <is>
          <t>ranr_rate</t>
        </is>
      </c>
    </row>
    <row r="571">
      <c r="A571" t="inlineStr">
        <is>
          <t>Split by SYS_FLAG</t>
        </is>
      </c>
      <c r="B571" t="inlineStr">
        <is>
          <t>Kept after losses</t>
        </is>
      </c>
      <c r="C571" t="n">
        <v>942</v>
      </c>
      <c r="D571" t="inlineStr">
        <is>
          <t>ORIG_BAL 15,449 - 26,323</t>
        </is>
      </c>
      <c r="E571" t="inlineStr">
        <is>
          <t>Branch</t>
        </is>
      </c>
      <c r="F571" t="inlineStr">
        <is>
          <t>Y</t>
        </is>
      </c>
      <c r="G571" t="n">
        <v>251</v>
      </c>
      <c r="H571" t="n">
        <v>-3.652914701040563</v>
      </c>
      <c r="J571" t="n">
        <v>94</v>
      </c>
      <c r="K571">
        <f>'_pockets'!$AI$942</f>
        <v/>
      </c>
      <c r="L571">
        <f>'_pockets'!$AJ$942</f>
        <v/>
      </c>
      <c r="M571">
        <f>IF(AND($A571='Pockets'!$D$17,$B571='Pockets'!$C$17,OR('Pockets'!$E$17="All",AND('Pockets'!$E$17="Worse and material",$K571="Yes",$L571="Yes"),AND('Pockets'!$E$17="Worse or not sure",OR($K571="Yes",$K571="Not sure")))),1,0)</f>
        <v/>
      </c>
      <c r="N571">
        <f>$N570+$M571</f>
        <v/>
      </c>
      <c r="O571" t="inlineStr">
        <is>
          <t>three-way</t>
        </is>
      </c>
      <c r="P571" t="inlineStr">
        <is>
          <t>ranr_rate</t>
        </is>
      </c>
    </row>
    <row r="572">
      <c r="A572" t="inlineStr">
        <is>
          <t>Split by SYS_FLAG</t>
        </is>
      </c>
      <c r="B572" t="inlineStr">
        <is>
          <t>Kept after losses</t>
        </is>
      </c>
      <c r="C572" t="n">
        <v>452</v>
      </c>
      <c r="D572" t="inlineStr">
        <is>
          <t>FICO 712 - 745</t>
        </is>
      </c>
      <c r="E572" t="inlineStr">
        <is>
          <t>Online</t>
        </is>
      </c>
      <c r="F572" t="inlineStr">
        <is>
          <t>N</t>
        </is>
      </c>
      <c r="G572" t="n">
        <v>286</v>
      </c>
      <c r="H572" t="n">
        <v>-3.429860965810268</v>
      </c>
      <c r="J572" t="n">
        <v>95</v>
      </c>
      <c r="K572">
        <f>'_pockets'!$AI$452</f>
        <v/>
      </c>
      <c r="L572">
        <f>'_pockets'!$AJ$452</f>
        <v/>
      </c>
      <c r="M572">
        <f>IF(AND($A572='Pockets'!$D$17,$B572='Pockets'!$C$17,OR('Pockets'!$E$17="All",AND('Pockets'!$E$17="Worse and material",$K572="Yes",$L572="Yes"),AND('Pockets'!$E$17="Worse or not sure",OR($K572="Yes",$K572="Not sure")))),1,0)</f>
        <v/>
      </c>
      <c r="N572">
        <f>$N571+$M572</f>
        <v/>
      </c>
      <c r="O572" t="inlineStr">
        <is>
          <t>three-way</t>
        </is>
      </c>
      <c r="P572" t="inlineStr">
        <is>
          <t>ranr_rate</t>
        </is>
      </c>
    </row>
    <row r="573">
      <c r="A573" t="inlineStr">
        <is>
          <t>Split by SYS_FLAG</t>
        </is>
      </c>
      <c r="B573" t="inlineStr">
        <is>
          <t>Kept after losses</t>
        </is>
      </c>
      <c r="C573" t="n">
        <v>962</v>
      </c>
      <c r="D573" t="inlineStr">
        <is>
          <t>ORIG_BAL 15,449 - 26,323</t>
        </is>
      </c>
      <c r="E573" t="inlineStr">
        <is>
          <t>Branch</t>
        </is>
      </c>
      <c r="F573" t="inlineStr">
        <is>
          <t>N</t>
        </is>
      </c>
      <c r="G573" t="n">
        <v>274</v>
      </c>
      <c r="H573" t="n">
        <v>-3.501439868534056</v>
      </c>
      <c r="J573" t="n">
        <v>96</v>
      </c>
      <c r="K573">
        <f>'_pockets'!$AI$962</f>
        <v/>
      </c>
      <c r="L573">
        <f>'_pockets'!$AJ$962</f>
        <v/>
      </c>
      <c r="M573">
        <f>IF(AND($A573='Pockets'!$D$17,$B573='Pockets'!$C$17,OR('Pockets'!$E$17="All",AND('Pockets'!$E$17="Worse and material",$K573="Yes",$L573="Yes"),AND('Pockets'!$E$17="Worse or not sure",OR($K573="Yes",$K573="Not sure")))),1,0)</f>
        <v/>
      </c>
      <c r="N573">
        <f>$N572+$M573</f>
        <v/>
      </c>
      <c r="O573" t="inlineStr">
        <is>
          <t>three-way</t>
        </is>
      </c>
      <c r="P573" t="inlineStr">
        <is>
          <t>ranr_rate</t>
        </is>
      </c>
    </row>
    <row r="574">
      <c r="A574" t="inlineStr">
        <is>
          <t>Split by SYS_FLAG</t>
        </is>
      </c>
      <c r="B574" t="inlineStr">
        <is>
          <t>Kept after losses</t>
        </is>
      </c>
      <c r="C574" t="n">
        <v>1107</v>
      </c>
      <c r="D574" t="inlineStr">
        <is>
          <t>ORIG_BAL 15,449 - 26,323</t>
        </is>
      </c>
      <c r="E574" t="inlineStr">
        <is>
          <t>ASSET_CLASS 2</t>
        </is>
      </c>
      <c r="F574" t="inlineStr">
        <is>
          <t>N</t>
        </is>
      </c>
      <c r="G574" t="n">
        <v>186</v>
      </c>
      <c r="H574" t="n">
        <v>-4.225769591809444</v>
      </c>
      <c r="J574" t="n">
        <v>97</v>
      </c>
      <c r="K574">
        <f>'_pockets'!$AI$1107</f>
        <v/>
      </c>
      <c r="L574">
        <f>'_pockets'!$AJ$1107</f>
        <v/>
      </c>
      <c r="M574">
        <f>IF(AND($A574='Pockets'!$D$17,$B574='Pockets'!$C$17,OR('Pockets'!$E$17="All",AND('Pockets'!$E$17="Worse and material",$K574="Yes",$L574="Yes"),AND('Pockets'!$E$17="Worse or not sure",OR($K574="Yes",$K574="Not sure")))),1,0)</f>
        <v/>
      </c>
      <c r="N574">
        <f>$N573+$M574</f>
        <v/>
      </c>
      <c r="O574" t="inlineStr">
        <is>
          <t>three-way</t>
        </is>
      </c>
      <c r="P574" t="inlineStr">
        <is>
          <t>ranr_rate</t>
        </is>
      </c>
    </row>
    <row r="575">
      <c r="A575" t="inlineStr">
        <is>
          <t>Split by SYS_FLAG</t>
        </is>
      </c>
      <c r="B575" t="inlineStr">
        <is>
          <t>Earned before losses</t>
        </is>
      </c>
      <c r="C575" t="n">
        <v>448</v>
      </c>
      <c r="D575" t="inlineStr">
        <is>
          <t>FICO 686 - 711</t>
        </is>
      </c>
      <c r="E575" t="inlineStr">
        <is>
          <t>Broker</t>
        </is>
      </c>
      <c r="F575" t="inlineStr">
        <is>
          <t>Y</t>
        </is>
      </c>
      <c r="G575" t="n">
        <v>230</v>
      </c>
      <c r="H575" t="n">
        <v>-2.503377923570298</v>
      </c>
      <c r="J575" t="n">
        <v>1</v>
      </c>
      <c r="K575">
        <f>'_pockets'!$AI$448</f>
        <v/>
      </c>
      <c r="L575">
        <f>'_pockets'!$AJ$448</f>
        <v/>
      </c>
      <c r="M575">
        <f>IF(AND($A575='Pockets'!$D$17,$B575='Pockets'!$C$17,OR('Pockets'!$E$17="All",AND('Pockets'!$E$17="Worse and material",$K575="Yes",$L575="Yes"),AND('Pockets'!$E$17="Worse or not sure",OR($K575="Yes",$K575="Not sure")))),1,0)</f>
        <v/>
      </c>
      <c r="N575">
        <f>$N574+$M575</f>
        <v/>
      </c>
      <c r="O575" t="inlineStr">
        <is>
          <t>three-way</t>
        </is>
      </c>
      <c r="P575" t="inlineStr">
        <is>
          <t>contribution_rate</t>
        </is>
      </c>
    </row>
    <row r="576">
      <c r="A576" t="inlineStr">
        <is>
          <t>Split by SYS_FLAG</t>
        </is>
      </c>
      <c r="B576" t="inlineStr">
        <is>
          <t>Earned before losses</t>
        </is>
      </c>
      <c r="C576" t="n">
        <v>578</v>
      </c>
      <c r="D576" t="inlineStr">
        <is>
          <t>FICO 686 - 711</t>
        </is>
      </c>
      <c r="E576" t="inlineStr">
        <is>
          <t>Branch</t>
        </is>
      </c>
      <c r="F576" t="inlineStr">
        <is>
          <t>N</t>
        </is>
      </c>
      <c r="G576" t="n">
        <v>280</v>
      </c>
      <c r="H576" t="n">
        <v>-2.276216366488607</v>
      </c>
      <c r="J576" t="n">
        <v>2</v>
      </c>
      <c r="K576">
        <f>'_pockets'!$AI$578</f>
        <v/>
      </c>
      <c r="L576">
        <f>'_pockets'!$AJ$578</f>
        <v/>
      </c>
      <c r="M576">
        <f>IF(AND($A576='Pockets'!$D$17,$B576='Pockets'!$C$17,OR('Pockets'!$E$17="All",AND('Pockets'!$E$17="Worse and material",$K576="Yes",$L576="Yes"),AND('Pockets'!$E$17="Worse or not sure",OR($K576="Yes",$K576="Not sure")))),1,0)</f>
        <v/>
      </c>
      <c r="N576">
        <f>$N575+$M576</f>
        <v/>
      </c>
      <c r="O576" t="inlineStr">
        <is>
          <t>three-way</t>
        </is>
      </c>
      <c r="P576" t="inlineStr">
        <is>
          <t>contribution_rate</t>
        </is>
      </c>
    </row>
    <row r="577">
      <c r="A577" t="inlineStr">
        <is>
          <t>Split by SYS_FLAG</t>
        </is>
      </c>
      <c r="B577" t="inlineStr">
        <is>
          <t>Earned before losses</t>
        </is>
      </c>
      <c r="C577" t="n">
        <v>423</v>
      </c>
      <c r="D577" t="inlineStr">
        <is>
          <t>FICO 712 - 745</t>
        </is>
      </c>
      <c r="E577" t="inlineStr">
        <is>
          <t>Branch</t>
        </is>
      </c>
      <c r="F577" t="inlineStr">
        <is>
          <t>N</t>
        </is>
      </c>
      <c r="G577" t="n">
        <v>306</v>
      </c>
      <c r="H577" t="n">
        <v>-2.181044835695397</v>
      </c>
      <c r="J577" t="n">
        <v>3</v>
      </c>
      <c r="K577">
        <f>'_pockets'!$AI$423</f>
        <v/>
      </c>
      <c r="L577">
        <f>'_pockets'!$AJ$423</f>
        <v/>
      </c>
      <c r="M577">
        <f>IF(AND($A577='Pockets'!$D$17,$B577='Pockets'!$C$17,OR('Pockets'!$E$17="All",AND('Pockets'!$E$17="Worse and material",$K577="Yes",$L577="Yes"),AND('Pockets'!$E$17="Worse or not sure",OR($K577="Yes",$K577="Not sure")))),1,0)</f>
        <v/>
      </c>
      <c r="N577">
        <f>$N576+$M577</f>
        <v/>
      </c>
      <c r="O577" t="inlineStr">
        <is>
          <t>three-way</t>
        </is>
      </c>
      <c r="P577" t="inlineStr">
        <is>
          <t>contribution_rate</t>
        </is>
      </c>
    </row>
    <row r="578">
      <c r="A578" t="inlineStr">
        <is>
          <t>Split by SYS_FLAG</t>
        </is>
      </c>
      <c r="B578" t="inlineStr">
        <is>
          <t>Earned before losses</t>
        </is>
      </c>
      <c r="C578" t="n">
        <v>508</v>
      </c>
      <c r="D578" t="inlineStr">
        <is>
          <t>FICO 712 - 745</t>
        </is>
      </c>
      <c r="E578" t="inlineStr">
        <is>
          <t>Broker</t>
        </is>
      </c>
      <c r="F578" t="inlineStr">
        <is>
          <t>N</t>
        </is>
      </c>
      <c r="G578" t="n">
        <v>291</v>
      </c>
      <c r="H578" t="n">
        <v>-2.234373492616256</v>
      </c>
      <c r="J578" t="n">
        <v>4</v>
      </c>
      <c r="K578">
        <f>'_pockets'!$AI$508</f>
        <v/>
      </c>
      <c r="L578">
        <f>'_pockets'!$AJ$508</f>
        <v/>
      </c>
      <c r="M578">
        <f>IF(AND($A578='Pockets'!$D$17,$B578='Pockets'!$C$17,OR('Pockets'!$E$17="All",AND('Pockets'!$E$17="Worse and material",$K578="Yes",$L578="Yes"),AND('Pockets'!$E$17="Worse or not sure",OR($K578="Yes",$K578="Not sure")))),1,0)</f>
        <v/>
      </c>
      <c r="N578">
        <f>$N577+$M578</f>
        <v/>
      </c>
      <c r="O578" t="inlineStr">
        <is>
          <t>three-way</t>
        </is>
      </c>
      <c r="P578" t="inlineStr">
        <is>
          <t>contribution_rate</t>
        </is>
      </c>
    </row>
    <row r="579">
      <c r="A579" t="inlineStr">
        <is>
          <t>Split by SYS_FLAG</t>
        </is>
      </c>
      <c r="B579" t="inlineStr">
        <is>
          <t>Earned before losses</t>
        </is>
      </c>
      <c r="C579" t="n">
        <v>558</v>
      </c>
      <c r="D579" t="inlineStr">
        <is>
          <t>FICO 686 - 711</t>
        </is>
      </c>
      <c r="E579" t="inlineStr">
        <is>
          <t>Branch</t>
        </is>
      </c>
      <c r="F579" t="inlineStr">
        <is>
          <t>Y</t>
        </is>
      </c>
      <c r="G579" t="n">
        <v>235</v>
      </c>
      <c r="H579" t="n">
        <v>-2.477400496294085</v>
      </c>
      <c r="J579" t="n">
        <v>5</v>
      </c>
      <c r="K579">
        <f>'_pockets'!$AI$558</f>
        <v/>
      </c>
      <c r="L579">
        <f>'_pockets'!$AJ$558</f>
        <v/>
      </c>
      <c r="M579">
        <f>IF(AND($A579='Pockets'!$D$17,$B579='Pockets'!$C$17,OR('Pockets'!$E$17="All",AND('Pockets'!$E$17="Worse and material",$K579="Yes",$L579="Yes"),AND('Pockets'!$E$17="Worse or not sure",OR($K579="Yes",$K579="Not sure")))),1,0)</f>
        <v/>
      </c>
      <c r="N579">
        <f>$N578+$M579</f>
        <v/>
      </c>
      <c r="O579" t="inlineStr">
        <is>
          <t>three-way</t>
        </is>
      </c>
      <c r="P579" t="inlineStr">
        <is>
          <t>contribution_rate</t>
        </is>
      </c>
    </row>
    <row r="580">
      <c r="A580" t="inlineStr">
        <is>
          <t>Split by SYS_FLAG</t>
        </is>
      </c>
      <c r="B580" t="inlineStr">
        <is>
          <t>Earned before losses</t>
        </is>
      </c>
      <c r="C580" t="n">
        <v>428</v>
      </c>
      <c r="D580" t="inlineStr">
        <is>
          <t>FICO 712 - 745</t>
        </is>
      </c>
      <c r="E580" t="inlineStr">
        <is>
          <t>Branch</t>
        </is>
      </c>
      <c r="F580" t="inlineStr">
        <is>
          <t>Y</t>
        </is>
      </c>
      <c r="G580" t="n">
        <v>230</v>
      </c>
      <c r="H580" t="n">
        <v>-2.503377923570298</v>
      </c>
      <c r="J580" t="n">
        <v>6</v>
      </c>
      <c r="K580">
        <f>'_pockets'!$AI$428</f>
        <v/>
      </c>
      <c r="L580">
        <f>'_pockets'!$AJ$428</f>
        <v/>
      </c>
      <c r="M580">
        <f>IF(AND($A580='Pockets'!$D$17,$B580='Pockets'!$C$17,OR('Pockets'!$E$17="All",AND('Pockets'!$E$17="Worse and material",$K580="Yes",$L580="Yes"),AND('Pockets'!$E$17="Worse or not sure",OR($K580="Yes",$K580="Not sure")))),1,0)</f>
        <v/>
      </c>
      <c r="N580">
        <f>$N579+$M580</f>
        <v/>
      </c>
      <c r="O580" t="inlineStr">
        <is>
          <t>three-way</t>
        </is>
      </c>
      <c r="P580" t="inlineStr">
        <is>
          <t>contribution_rate</t>
        </is>
      </c>
    </row>
    <row r="581">
      <c r="A581" t="inlineStr">
        <is>
          <t>Split by SYS_FLAG</t>
        </is>
      </c>
      <c r="B581" t="inlineStr">
        <is>
          <t>Earned before losses</t>
        </is>
      </c>
      <c r="C581" t="n">
        <v>853</v>
      </c>
      <c r="D581" t="inlineStr">
        <is>
          <t>ORIG_BAL 37,951 - 49,151</t>
        </is>
      </c>
      <c r="E581" t="inlineStr">
        <is>
          <t>Branch</t>
        </is>
      </c>
      <c r="F581" t="inlineStr">
        <is>
          <t>N</t>
        </is>
      </c>
      <c r="G581" t="n">
        <v>268</v>
      </c>
      <c r="H581" t="n">
        <v>-2.324811795742961</v>
      </c>
      <c r="J581" t="n">
        <v>7</v>
      </c>
      <c r="K581">
        <f>'_pockets'!$AI$853</f>
        <v/>
      </c>
      <c r="L581">
        <f>'_pockets'!$AJ$853</f>
        <v/>
      </c>
      <c r="M581">
        <f>IF(AND($A581='Pockets'!$D$17,$B581='Pockets'!$C$17,OR('Pockets'!$E$17="All",AND('Pockets'!$E$17="Worse and material",$K581="Yes",$L581="Yes"),AND('Pockets'!$E$17="Worse or not sure",OR($K581="Yes",$K581="Not sure")))),1,0)</f>
        <v/>
      </c>
      <c r="N581">
        <f>$N580+$M581</f>
        <v/>
      </c>
      <c r="O581" t="inlineStr">
        <is>
          <t>three-way</t>
        </is>
      </c>
      <c r="P581" t="inlineStr">
        <is>
          <t>contribution_rate</t>
        </is>
      </c>
    </row>
    <row r="582">
      <c r="A582" t="inlineStr">
        <is>
          <t>Split by SYS_FLAG</t>
        </is>
      </c>
      <c r="B582" t="inlineStr">
        <is>
          <t>Earned before losses</t>
        </is>
      </c>
      <c r="C582" t="n">
        <v>873</v>
      </c>
      <c r="D582" t="inlineStr">
        <is>
          <t>ORIG_BAL 37,951 - 49,151</t>
        </is>
      </c>
      <c r="E582" t="inlineStr">
        <is>
          <t>Branch</t>
        </is>
      </c>
      <c r="F582" t="inlineStr">
        <is>
          <t>Y</t>
        </is>
      </c>
      <c r="G582" t="n">
        <v>257</v>
      </c>
      <c r="H582" t="n">
        <v>-2.372355937133785</v>
      </c>
      <c r="J582" t="n">
        <v>8</v>
      </c>
      <c r="K582">
        <f>'_pockets'!$AI$873</f>
        <v/>
      </c>
      <c r="L582">
        <f>'_pockets'!$AJ$873</f>
        <v/>
      </c>
      <c r="M582">
        <f>IF(AND($A582='Pockets'!$D$17,$B582='Pockets'!$C$17,OR('Pockets'!$E$17="All",AND('Pockets'!$E$17="Worse and material",$K582="Yes",$L582="Yes"),AND('Pockets'!$E$17="Worse or not sure",OR($K582="Yes",$K582="Not sure")))),1,0)</f>
        <v/>
      </c>
      <c r="N582">
        <f>$N581+$M582</f>
        <v/>
      </c>
      <c r="O582" t="inlineStr">
        <is>
          <t>three-way</t>
        </is>
      </c>
      <c r="P582" t="inlineStr">
        <is>
          <t>contribution_rate</t>
        </is>
      </c>
    </row>
    <row r="583">
      <c r="A583" t="inlineStr">
        <is>
          <t>Split by SYS_FLAG</t>
        </is>
      </c>
      <c r="B583" t="inlineStr">
        <is>
          <t>Earned before losses</t>
        </is>
      </c>
      <c r="C583" t="n">
        <v>913</v>
      </c>
      <c r="D583" t="inlineStr">
        <is>
          <t>ORIG_BAL 49,152 - 59,984</t>
        </is>
      </c>
      <c r="E583" t="inlineStr">
        <is>
          <t>Branch</t>
        </is>
      </c>
      <c r="F583" t="inlineStr">
        <is>
          <t>N</t>
        </is>
      </c>
      <c r="G583" t="n">
        <v>289</v>
      </c>
      <c r="H583" t="n">
        <v>-2.241800699107146</v>
      </c>
      <c r="J583" t="n">
        <v>9</v>
      </c>
      <c r="K583">
        <f>'_pockets'!$AI$913</f>
        <v/>
      </c>
      <c r="L583">
        <f>'_pockets'!$AJ$913</f>
        <v/>
      </c>
      <c r="M583">
        <f>IF(AND($A583='Pockets'!$D$17,$B583='Pockets'!$C$17,OR('Pockets'!$E$17="All",AND('Pockets'!$E$17="Worse and material",$K583="Yes",$L583="Yes"),AND('Pockets'!$E$17="Worse or not sure",OR($K583="Yes",$K583="Not sure")))),1,0)</f>
        <v/>
      </c>
      <c r="N583">
        <f>$N582+$M583</f>
        <v/>
      </c>
      <c r="O583" t="inlineStr">
        <is>
          <t>three-way</t>
        </is>
      </c>
      <c r="P583" t="inlineStr">
        <is>
          <t>contribution_rate</t>
        </is>
      </c>
    </row>
    <row r="584">
      <c r="A584" t="inlineStr">
        <is>
          <t>Split by SYS_FLAG</t>
        </is>
      </c>
      <c r="B584" t="inlineStr">
        <is>
          <t>Earned before losses</t>
        </is>
      </c>
      <c r="C584" t="n">
        <v>1128</v>
      </c>
      <c r="D584" t="inlineStr">
        <is>
          <t>ORIG_BAL 49,152 - 59,984</t>
        </is>
      </c>
      <c r="E584" t="inlineStr">
        <is>
          <t>ASSET_CLASS 2</t>
        </is>
      </c>
      <c r="F584" t="inlineStr">
        <is>
          <t>Y</t>
        </is>
      </c>
      <c r="G584" t="n">
        <v>197</v>
      </c>
      <c r="H584" t="n">
        <v>-2.699210113297153</v>
      </c>
      <c r="J584" t="n">
        <v>10</v>
      </c>
      <c r="K584">
        <f>'_pockets'!$AI$1128</f>
        <v/>
      </c>
      <c r="L584">
        <f>'_pockets'!$AJ$1128</f>
        <v/>
      </c>
      <c r="M584">
        <f>IF(AND($A584='Pockets'!$D$17,$B584='Pockets'!$C$17,OR('Pockets'!$E$17="All",AND('Pockets'!$E$17="Worse and material",$K584="Yes",$L584="Yes"),AND('Pockets'!$E$17="Worse or not sure",OR($K584="Yes",$K584="Not sure")))),1,0)</f>
        <v/>
      </c>
      <c r="N584">
        <f>$N583+$M584</f>
        <v/>
      </c>
      <c r="O584" t="inlineStr">
        <is>
          <t>three-way</t>
        </is>
      </c>
      <c r="P584" t="inlineStr">
        <is>
          <t>contribution_rate</t>
        </is>
      </c>
    </row>
    <row r="585">
      <c r="A585" t="inlineStr">
        <is>
          <t>Split by SYS_FLAG</t>
        </is>
      </c>
      <c r="B585" t="inlineStr">
        <is>
          <t>Earned before losses</t>
        </is>
      </c>
      <c r="C585" t="n">
        <v>993</v>
      </c>
      <c r="D585" t="inlineStr">
        <is>
          <t>ORIG_BAL 26,324 - 37,950</t>
        </is>
      </c>
      <c r="E585" t="inlineStr">
        <is>
          <t>Broker</t>
        </is>
      </c>
      <c r="F585" t="inlineStr">
        <is>
          <t>N</t>
        </is>
      </c>
      <c r="G585" t="n">
        <v>305</v>
      </c>
      <c r="H585" t="n">
        <v>-2.184475401137035</v>
      </c>
      <c r="J585" t="n">
        <v>11</v>
      </c>
      <c r="K585">
        <f>'_pockets'!$AI$993</f>
        <v/>
      </c>
      <c r="L585">
        <f>'_pockets'!$AJ$993</f>
        <v/>
      </c>
      <c r="M585">
        <f>IF(AND($A585='Pockets'!$D$17,$B585='Pockets'!$C$17,OR('Pockets'!$E$17="All",AND('Pockets'!$E$17="Worse and material",$K585="Yes",$L585="Yes"),AND('Pockets'!$E$17="Worse or not sure",OR($K585="Yes",$K585="Not sure")))),1,0)</f>
        <v/>
      </c>
      <c r="N585">
        <f>$N584+$M585</f>
        <v/>
      </c>
      <c r="O585" t="inlineStr">
        <is>
          <t>three-way</t>
        </is>
      </c>
      <c r="P585" t="inlineStr">
        <is>
          <t>contribution_rate</t>
        </is>
      </c>
    </row>
    <row r="586">
      <c r="A586" t="inlineStr">
        <is>
          <t>Split by SYS_FLAG</t>
        </is>
      </c>
      <c r="B586" t="inlineStr">
        <is>
          <t>Earned before losses</t>
        </is>
      </c>
      <c r="C586" t="n">
        <v>958</v>
      </c>
      <c r="D586" t="inlineStr">
        <is>
          <t>ORIG_BAL 49,152 - 59,984</t>
        </is>
      </c>
      <c r="E586" t="inlineStr">
        <is>
          <t>Broker</t>
        </is>
      </c>
      <c r="F586" t="inlineStr">
        <is>
          <t>Y</t>
        </is>
      </c>
      <c r="G586" t="n">
        <v>242</v>
      </c>
      <c r="H586" t="n">
        <v>-2.442408829397767</v>
      </c>
      <c r="J586" t="n">
        <v>12</v>
      </c>
      <c r="K586">
        <f>'_pockets'!$AI$958</f>
        <v/>
      </c>
      <c r="L586">
        <f>'_pockets'!$AJ$958</f>
        <v/>
      </c>
      <c r="M586">
        <f>IF(AND($A586='Pockets'!$D$17,$B586='Pockets'!$C$17,OR('Pockets'!$E$17="All",AND('Pockets'!$E$17="Worse and material",$K586="Yes",$L586="Yes"),AND('Pockets'!$E$17="Worse or not sure",OR($K586="Yes",$K586="Not sure")))),1,0)</f>
        <v/>
      </c>
      <c r="N586">
        <f>$N585+$M586</f>
        <v/>
      </c>
      <c r="O586" t="inlineStr">
        <is>
          <t>three-way</t>
        </is>
      </c>
      <c r="P586" t="inlineStr">
        <is>
          <t>contribution_rate</t>
        </is>
      </c>
    </row>
    <row r="587">
      <c r="A587" t="inlineStr">
        <is>
          <t>Split by SYS_FLAG</t>
        </is>
      </c>
      <c r="B587" t="inlineStr">
        <is>
          <t>Earned before losses</t>
        </is>
      </c>
      <c r="C587" t="n">
        <v>798</v>
      </c>
      <c r="D587" t="inlineStr">
        <is>
          <t>FICO 496 - 653</t>
        </is>
      </c>
      <c r="E587" t="inlineStr">
        <is>
          <t>ASSET_CLASS 2</t>
        </is>
      </c>
      <c r="F587" t="inlineStr">
        <is>
          <t>Y</t>
        </is>
      </c>
      <c r="G587" t="n">
        <v>181</v>
      </c>
      <c r="H587" t="n">
        <v>-2.81310278746514</v>
      </c>
      <c r="J587" t="n">
        <v>13</v>
      </c>
      <c r="K587">
        <f>'_pockets'!$AI$798</f>
        <v/>
      </c>
      <c r="L587">
        <f>'_pockets'!$AJ$798</f>
        <v/>
      </c>
      <c r="M587">
        <f>IF(AND($A587='Pockets'!$D$17,$B587='Pockets'!$C$17,OR('Pockets'!$E$17="All",AND('Pockets'!$E$17="Worse and material",$K587="Yes",$L587="Yes"),AND('Pockets'!$E$17="Worse or not sure",OR($K587="Yes",$K587="Not sure")))),1,0)</f>
        <v/>
      </c>
      <c r="N587">
        <f>$N586+$M587</f>
        <v/>
      </c>
      <c r="O587" t="inlineStr">
        <is>
          <t>three-way</t>
        </is>
      </c>
      <c r="P587" t="inlineStr">
        <is>
          <t>contribution_rate</t>
        </is>
      </c>
    </row>
    <row r="588">
      <c r="A588" t="inlineStr">
        <is>
          <t>Split by SYS_FLAG</t>
        </is>
      </c>
      <c r="B588" t="inlineStr">
        <is>
          <t>Earned before losses</t>
        </is>
      </c>
      <c r="C588" t="n">
        <v>953</v>
      </c>
      <c r="D588" t="inlineStr">
        <is>
          <t>ORIG_BAL 49,152 - 59,984</t>
        </is>
      </c>
      <c r="E588" t="inlineStr">
        <is>
          <t>Broker</t>
        </is>
      </c>
      <c r="F588" t="inlineStr">
        <is>
          <t>N</t>
        </is>
      </c>
      <c r="G588" t="n">
        <v>278</v>
      </c>
      <c r="H588" t="n">
        <v>-2.284093597024075</v>
      </c>
      <c r="J588" t="n">
        <v>14</v>
      </c>
      <c r="K588">
        <f>'_pockets'!$AI$953</f>
        <v/>
      </c>
      <c r="L588">
        <f>'_pockets'!$AJ$953</f>
        <v/>
      </c>
      <c r="M588">
        <f>IF(AND($A588='Pockets'!$D$17,$B588='Pockets'!$C$17,OR('Pockets'!$E$17="All",AND('Pockets'!$E$17="Worse and material",$K588="Yes",$L588="Yes"),AND('Pockets'!$E$17="Worse or not sure",OR($K588="Yes",$K588="Not sure")))),1,0)</f>
        <v/>
      </c>
      <c r="N588">
        <f>$N587+$M588</f>
        <v/>
      </c>
      <c r="O588" t="inlineStr">
        <is>
          <t>three-way</t>
        </is>
      </c>
      <c r="P588" t="inlineStr">
        <is>
          <t>contribution_rate</t>
        </is>
      </c>
    </row>
    <row r="589">
      <c r="A589" t="inlineStr">
        <is>
          <t>Split by SYS_FLAG</t>
        </is>
      </c>
      <c r="B589" t="inlineStr">
        <is>
          <t>Earned before losses</t>
        </is>
      </c>
      <c r="C589" t="n">
        <v>518</v>
      </c>
      <c r="D589" t="inlineStr">
        <is>
          <t>FICO 686 - 711</t>
        </is>
      </c>
      <c r="E589" t="inlineStr">
        <is>
          <t>Broker</t>
        </is>
      </c>
      <c r="F589" t="inlineStr">
        <is>
          <t>N</t>
        </is>
      </c>
      <c r="G589" t="n">
        <v>271</v>
      </c>
      <c r="H589" t="n">
        <v>-2.312356777274378</v>
      </c>
      <c r="J589" t="n">
        <v>15</v>
      </c>
      <c r="K589">
        <f>'_pockets'!$AI$518</f>
        <v/>
      </c>
      <c r="L589">
        <f>'_pockets'!$AJ$518</f>
        <v/>
      </c>
      <c r="M589">
        <f>IF(AND($A589='Pockets'!$D$17,$B589='Pockets'!$C$17,OR('Pockets'!$E$17="All",AND('Pockets'!$E$17="Worse and material",$K589="Yes",$L589="Yes"),AND('Pockets'!$E$17="Worse or not sure",OR($K589="Yes",$K589="Not sure")))),1,0)</f>
        <v/>
      </c>
      <c r="N589">
        <f>$N588+$M589</f>
        <v/>
      </c>
      <c r="O589" t="inlineStr">
        <is>
          <t>three-way</t>
        </is>
      </c>
      <c r="P589" t="inlineStr">
        <is>
          <t>contribution_rate</t>
        </is>
      </c>
    </row>
    <row r="590">
      <c r="A590" t="inlineStr">
        <is>
          <t>Split by SYS_FLAG</t>
        </is>
      </c>
      <c r="B590" t="inlineStr">
        <is>
          <t>Earned before losses</t>
        </is>
      </c>
      <c r="C590" t="n">
        <v>523</v>
      </c>
      <c r="D590" t="inlineStr">
        <is>
          <t>FICO 654 - 685</t>
        </is>
      </c>
      <c r="E590" t="inlineStr">
        <is>
          <t>Broker</t>
        </is>
      </c>
      <c r="F590" t="inlineStr">
        <is>
          <t>Y</t>
        </is>
      </c>
      <c r="G590" t="n">
        <v>244</v>
      </c>
      <c r="H590" t="n">
        <v>-2.432692033754823</v>
      </c>
      <c r="J590" t="n">
        <v>16</v>
      </c>
      <c r="K590">
        <f>'_pockets'!$AI$523</f>
        <v/>
      </c>
      <c r="L590">
        <f>'_pockets'!$AJ$523</f>
        <v/>
      </c>
      <c r="M590">
        <f>IF(AND($A590='Pockets'!$D$17,$B590='Pockets'!$C$17,OR('Pockets'!$E$17="All",AND('Pockets'!$E$17="Worse and material",$K590="Yes",$L590="Yes"),AND('Pockets'!$E$17="Worse or not sure",OR($K590="Yes",$K590="Not sure")))),1,0)</f>
        <v/>
      </c>
      <c r="N590">
        <f>$N589+$M590</f>
        <v/>
      </c>
      <c r="O590" t="inlineStr">
        <is>
          <t>three-way</t>
        </is>
      </c>
      <c r="P590" t="inlineStr">
        <is>
          <t>contribution_rate</t>
        </is>
      </c>
    </row>
    <row r="591">
      <c r="A591" t="inlineStr">
        <is>
          <t>Split by SYS_FLAG</t>
        </is>
      </c>
      <c r="B591" t="inlineStr">
        <is>
          <t>Earned before losses</t>
        </is>
      </c>
      <c r="C591" t="n">
        <v>1018</v>
      </c>
      <c r="D591" t="inlineStr">
        <is>
          <t>ORIG_BAL 26,324 - 37,950</t>
        </is>
      </c>
      <c r="E591" t="inlineStr">
        <is>
          <t>ASSET_CLASS 2</t>
        </is>
      </c>
      <c r="F591" t="inlineStr">
        <is>
          <t>N</t>
        </is>
      </c>
      <c r="G591" t="n">
        <v>253</v>
      </c>
      <c r="H591" t="n">
        <v>-2.390418673867845</v>
      </c>
      <c r="J591" t="n">
        <v>17</v>
      </c>
      <c r="K591">
        <f>'_pockets'!$AI$1018</f>
        <v/>
      </c>
      <c r="L591">
        <f>'_pockets'!$AJ$1018</f>
        <v/>
      </c>
      <c r="M591">
        <f>IF(AND($A591='Pockets'!$D$17,$B591='Pockets'!$C$17,OR('Pockets'!$E$17="All",AND('Pockets'!$E$17="Worse and material",$K591="Yes",$L591="Yes"),AND('Pockets'!$E$17="Worse or not sure",OR($K591="Yes",$K591="Not sure")))),1,0)</f>
        <v/>
      </c>
      <c r="N591">
        <f>$N590+$M591</f>
        <v/>
      </c>
      <c r="O591" t="inlineStr">
        <is>
          <t>three-way</t>
        </is>
      </c>
      <c r="P591" t="inlineStr">
        <is>
          <t>contribution_rate</t>
        </is>
      </c>
    </row>
    <row r="592">
      <c r="A592" t="inlineStr">
        <is>
          <t>Split by SYS_FLAG</t>
        </is>
      </c>
      <c r="B592" t="inlineStr">
        <is>
          <t>Earned before losses</t>
        </is>
      </c>
      <c r="C592" t="n">
        <v>713</v>
      </c>
      <c r="D592" t="inlineStr">
        <is>
          <t>FICO 712 - 745</t>
        </is>
      </c>
      <c r="E592" t="inlineStr">
        <is>
          <t>ASSET_CLASS 2</t>
        </is>
      </c>
      <c r="F592" t="inlineStr">
        <is>
          <t>N</t>
        </is>
      </c>
      <c r="G592" t="n">
        <v>247</v>
      </c>
      <c r="H592" t="n">
        <v>-2.418341337107754</v>
      </c>
      <c r="J592" t="n">
        <v>18</v>
      </c>
      <c r="K592">
        <f>'_pockets'!$AI$713</f>
        <v/>
      </c>
      <c r="L592">
        <f>'_pockets'!$AJ$713</f>
        <v/>
      </c>
      <c r="M592">
        <f>IF(AND($A592='Pockets'!$D$17,$B592='Pockets'!$C$17,OR('Pockets'!$E$17="All",AND('Pockets'!$E$17="Worse and material",$K592="Yes",$L592="Yes"),AND('Pockets'!$E$17="Worse or not sure",OR($K592="Yes",$K592="Not sure")))),1,0)</f>
        <v/>
      </c>
      <c r="N592">
        <f>$N591+$M592</f>
        <v/>
      </c>
      <c r="O592" t="inlineStr">
        <is>
          <t>three-way</t>
        </is>
      </c>
      <c r="P592" t="inlineStr">
        <is>
          <t>contribution_rate</t>
        </is>
      </c>
    </row>
    <row r="593">
      <c r="A593" t="inlineStr">
        <is>
          <t>Split by SYS_FLAG</t>
        </is>
      </c>
      <c r="B593" t="inlineStr">
        <is>
          <t>Earned before losses</t>
        </is>
      </c>
      <c r="C593" t="n">
        <v>878</v>
      </c>
      <c r="D593" t="inlineStr">
        <is>
          <t>ORIG_BAL 15,449 - 26,323</t>
        </is>
      </c>
      <c r="E593" t="inlineStr">
        <is>
          <t>Broker</t>
        </is>
      </c>
      <c r="F593" t="inlineStr">
        <is>
          <t>N</t>
        </is>
      </c>
      <c r="G593" t="n">
        <v>293</v>
      </c>
      <c r="H593" t="n">
        <v>-2.227023566418174</v>
      </c>
      <c r="J593" t="n">
        <v>19</v>
      </c>
      <c r="K593">
        <f>'_pockets'!$AI$878</f>
        <v/>
      </c>
      <c r="L593">
        <f>'_pockets'!$AJ$878</f>
        <v/>
      </c>
      <c r="M593">
        <f>IF(AND($A593='Pockets'!$D$17,$B593='Pockets'!$C$17,OR('Pockets'!$E$17="All",AND('Pockets'!$E$17="Worse and material",$K593="Yes",$L593="Yes"),AND('Pockets'!$E$17="Worse or not sure",OR($K593="Yes",$K593="Not sure")))),1,0)</f>
        <v/>
      </c>
      <c r="N593">
        <f>$N592+$M593</f>
        <v/>
      </c>
      <c r="O593" t="inlineStr">
        <is>
          <t>three-way</t>
        </is>
      </c>
      <c r="P593" t="inlineStr">
        <is>
          <t>contribution_rate</t>
        </is>
      </c>
    </row>
    <row r="594">
      <c r="A594" t="inlineStr">
        <is>
          <t>Split by SYS_FLAG</t>
        </is>
      </c>
      <c r="B594" t="inlineStr">
        <is>
          <t>Earned before losses</t>
        </is>
      </c>
      <c r="C594" t="n">
        <v>773</v>
      </c>
      <c r="D594" t="inlineStr">
        <is>
          <t>FICO 686 - 711</t>
        </is>
      </c>
      <c r="E594" t="inlineStr">
        <is>
          <t>ASSET_CLASS 2</t>
        </is>
      </c>
      <c r="F594" t="inlineStr">
        <is>
          <t>Y</t>
        </is>
      </c>
      <c r="G594" t="n">
        <v>179</v>
      </c>
      <c r="H594" t="n">
        <v>-2.82841298524499</v>
      </c>
      <c r="J594" t="n">
        <v>20</v>
      </c>
      <c r="K594">
        <f>'_pockets'!$AI$773</f>
        <v/>
      </c>
      <c r="L594">
        <f>'_pockets'!$AJ$773</f>
        <v/>
      </c>
      <c r="M594">
        <f>IF(AND($A594='Pockets'!$D$17,$B594='Pockets'!$C$17,OR('Pockets'!$E$17="All",AND('Pockets'!$E$17="Worse and material",$K594="Yes",$L594="Yes"),AND('Pockets'!$E$17="Worse or not sure",OR($K594="Yes",$K594="Not sure")))),1,0)</f>
        <v/>
      </c>
      <c r="N594">
        <f>$N593+$M594</f>
        <v/>
      </c>
      <c r="O594" t="inlineStr">
        <is>
          <t>three-way</t>
        </is>
      </c>
      <c r="P594" t="inlineStr">
        <is>
          <t>contribution_rate</t>
        </is>
      </c>
    </row>
    <row r="595">
      <c r="A595" t="inlineStr">
        <is>
          <t>Split by SYS_FLAG</t>
        </is>
      </c>
      <c r="B595" t="inlineStr">
        <is>
          <t>Earned before losses</t>
        </is>
      </c>
      <c r="C595" t="n">
        <v>1008</v>
      </c>
      <c r="D595" t="inlineStr">
        <is>
          <t>ORIG_BAL 37,951 - 49,151</t>
        </is>
      </c>
      <c r="E595" t="inlineStr">
        <is>
          <t>ASSET_CLASS 1</t>
        </is>
      </c>
      <c r="F595" t="inlineStr">
        <is>
          <t>N</t>
        </is>
      </c>
      <c r="G595" t="n">
        <v>206</v>
      </c>
      <c r="H595" t="n">
        <v>-2.641112266992605</v>
      </c>
      <c r="J595" t="n">
        <v>21</v>
      </c>
      <c r="K595">
        <f>'_pockets'!$AI$1008</f>
        <v/>
      </c>
      <c r="L595">
        <f>'_pockets'!$AJ$1008</f>
        <v/>
      </c>
      <c r="M595">
        <f>IF(AND($A595='Pockets'!$D$17,$B595='Pockets'!$C$17,OR('Pockets'!$E$17="All",AND('Pockets'!$E$17="Worse and material",$K595="Yes",$L595="Yes"),AND('Pockets'!$E$17="Worse or not sure",OR($K595="Yes",$K595="Not sure")))),1,0)</f>
        <v/>
      </c>
      <c r="N595">
        <f>$N594+$M595</f>
        <v/>
      </c>
      <c r="O595" t="inlineStr">
        <is>
          <t>three-way</t>
        </is>
      </c>
      <c r="P595" t="inlineStr">
        <is>
          <t>contribution_rate</t>
        </is>
      </c>
    </row>
    <row r="596">
      <c r="A596" t="inlineStr">
        <is>
          <t>Split by SYS_FLAG</t>
        </is>
      </c>
      <c r="B596" t="inlineStr">
        <is>
          <t>Earned before losses</t>
        </is>
      </c>
      <c r="C596" t="n">
        <v>868</v>
      </c>
      <c r="D596" t="inlineStr">
        <is>
          <t>ORIG_BAL 26,324 - 37,950</t>
        </is>
      </c>
      <c r="E596" t="inlineStr">
        <is>
          <t>Branch</t>
        </is>
      </c>
      <c r="F596" t="inlineStr">
        <is>
          <t>Y</t>
        </is>
      </c>
      <c r="G596" t="n">
        <v>236</v>
      </c>
      <c r="H596" t="n">
        <v>-2.472305436121283</v>
      </c>
      <c r="J596" t="n">
        <v>22</v>
      </c>
      <c r="K596">
        <f>'_pockets'!$AI$868</f>
        <v/>
      </c>
      <c r="L596">
        <f>'_pockets'!$AJ$868</f>
        <v/>
      </c>
      <c r="M596">
        <f>IF(AND($A596='Pockets'!$D$17,$B596='Pockets'!$C$17,OR('Pockets'!$E$17="All",AND('Pockets'!$E$17="Worse and material",$K596="Yes",$L596="Yes"),AND('Pockets'!$E$17="Worse or not sure",OR($K596="Yes",$K596="Not sure")))),1,0)</f>
        <v/>
      </c>
      <c r="N596">
        <f>$N595+$M596</f>
        <v/>
      </c>
      <c r="O596" t="inlineStr">
        <is>
          <t>three-way</t>
        </is>
      </c>
      <c r="P596" t="inlineStr">
        <is>
          <t>contribution_rate</t>
        </is>
      </c>
    </row>
    <row r="597">
      <c r="A597" t="inlineStr">
        <is>
          <t>Split by SYS_FLAG</t>
        </is>
      </c>
      <c r="B597" t="inlineStr">
        <is>
          <t>Earned before losses</t>
        </is>
      </c>
      <c r="C597" t="n">
        <v>473</v>
      </c>
      <c r="D597" t="inlineStr">
        <is>
          <t>FICO 712 - 745</t>
        </is>
      </c>
      <c r="E597" t="inlineStr">
        <is>
          <t>Broker</t>
        </is>
      </c>
      <c r="F597" t="inlineStr">
        <is>
          <t>Y</t>
        </is>
      </c>
      <c r="G597" t="n">
        <v>218</v>
      </c>
      <c r="H597" t="n">
        <v>-2.569371480191697</v>
      </c>
      <c r="J597" t="n">
        <v>23</v>
      </c>
      <c r="K597">
        <f>'_pockets'!$AI$473</f>
        <v/>
      </c>
      <c r="L597">
        <f>'_pockets'!$AJ$473</f>
        <v/>
      </c>
      <c r="M597">
        <f>IF(AND($A597='Pockets'!$D$17,$B597='Pockets'!$C$17,OR('Pockets'!$E$17="All",AND('Pockets'!$E$17="Worse and material",$K597="Yes",$L597="Yes"),AND('Pockets'!$E$17="Worse or not sure",OR($K597="Yes",$K597="Not sure")))),1,0)</f>
        <v/>
      </c>
      <c r="N597">
        <f>$N596+$M597</f>
        <v/>
      </c>
      <c r="O597" t="inlineStr">
        <is>
          <t>three-way</t>
        </is>
      </c>
      <c r="P597" t="inlineStr">
        <is>
          <t>contribution_rate</t>
        </is>
      </c>
    </row>
    <row r="598">
      <c r="A598" t="inlineStr">
        <is>
          <t>Split by SYS_FLAG</t>
        </is>
      </c>
      <c r="B598" t="inlineStr">
        <is>
          <t>Earned before losses</t>
        </is>
      </c>
      <c r="C598" t="n">
        <v>498</v>
      </c>
      <c r="D598" t="inlineStr">
        <is>
          <t>FICO 496 - 653</t>
        </is>
      </c>
      <c r="E598" t="inlineStr">
        <is>
          <t>Branch</t>
        </is>
      </c>
      <c r="F598" t="inlineStr">
        <is>
          <t>Y</t>
        </is>
      </c>
      <c r="G598" t="n">
        <v>231</v>
      </c>
      <c r="H598" t="n">
        <v>-2.498114280037263</v>
      </c>
      <c r="J598" t="n">
        <v>24</v>
      </c>
      <c r="K598">
        <f>'_pockets'!$AI$498</f>
        <v/>
      </c>
      <c r="L598">
        <f>'_pockets'!$AJ$498</f>
        <v/>
      </c>
      <c r="M598">
        <f>IF(AND($A598='Pockets'!$D$17,$B598='Pockets'!$C$17,OR('Pockets'!$E$17="All",AND('Pockets'!$E$17="Worse and material",$K598="Yes",$L598="Yes"),AND('Pockets'!$E$17="Worse or not sure",OR($K598="Yes",$K598="Not sure")))),1,0)</f>
        <v/>
      </c>
      <c r="N598">
        <f>$N597+$M598</f>
        <v/>
      </c>
      <c r="O598" t="inlineStr">
        <is>
          <t>three-way</t>
        </is>
      </c>
      <c r="P598" t="inlineStr">
        <is>
          <t>contribution_rate</t>
        </is>
      </c>
    </row>
    <row r="599">
      <c r="A599" t="inlineStr">
        <is>
          <t>Split by SYS_FLAG</t>
        </is>
      </c>
      <c r="B599" t="inlineStr">
        <is>
          <t>Earned before losses</t>
        </is>
      </c>
      <c r="C599" t="n">
        <v>783</v>
      </c>
      <c r="D599" t="inlineStr">
        <is>
          <t>FICO 654 - 685</t>
        </is>
      </c>
      <c r="E599" t="inlineStr">
        <is>
          <t>ASSET_CLASS 3</t>
        </is>
      </c>
      <c r="F599" t="inlineStr">
        <is>
          <t>Y</t>
        </is>
      </c>
      <c r="G599" t="n">
        <v>193</v>
      </c>
      <c r="H599" t="n">
        <v>-2.726338875237242</v>
      </c>
      <c r="J599" t="n">
        <v>25</v>
      </c>
      <c r="K599">
        <f>'_pockets'!$AI$783</f>
        <v/>
      </c>
      <c r="L599">
        <f>'_pockets'!$AJ$783</f>
        <v/>
      </c>
      <c r="M599">
        <f>IF(AND($A599='Pockets'!$D$17,$B599='Pockets'!$C$17,OR('Pockets'!$E$17="All",AND('Pockets'!$E$17="Worse and material",$K599="Yes",$L599="Yes"),AND('Pockets'!$E$17="Worse or not sure",OR($K599="Yes",$K599="Not sure")))),1,0)</f>
        <v/>
      </c>
      <c r="N599">
        <f>$N598+$M599</f>
        <v/>
      </c>
      <c r="O599" t="inlineStr">
        <is>
          <t>three-way</t>
        </is>
      </c>
      <c r="P599" t="inlineStr">
        <is>
          <t>contribution_rate</t>
        </is>
      </c>
    </row>
    <row r="600">
      <c r="A600" t="inlineStr">
        <is>
          <t>Split by SYS_FLAG</t>
        </is>
      </c>
      <c r="B600" t="inlineStr">
        <is>
          <t>Earned before losses</t>
        </is>
      </c>
      <c r="C600" t="n">
        <v>468</v>
      </c>
      <c r="D600" t="inlineStr">
        <is>
          <t>FICO 654 - 685</t>
        </is>
      </c>
      <c r="E600" t="inlineStr">
        <is>
          <t>Branch</t>
        </is>
      </c>
      <c r="F600" t="inlineStr">
        <is>
          <t>N</t>
        </is>
      </c>
      <c r="G600" t="n">
        <v>249</v>
      </c>
      <c r="H600" t="n">
        <v>-2.408920350127297</v>
      </c>
      <c r="J600" t="n">
        <v>26</v>
      </c>
      <c r="K600">
        <f>'_pockets'!$AI$468</f>
        <v/>
      </c>
      <c r="L600">
        <f>'_pockets'!$AJ$468</f>
        <v/>
      </c>
      <c r="M600">
        <f>IF(AND($A600='Pockets'!$D$17,$B600='Pockets'!$C$17,OR('Pockets'!$E$17="All",AND('Pockets'!$E$17="Worse and material",$K600="Yes",$L600="Yes"),AND('Pockets'!$E$17="Worse or not sure",OR($K600="Yes",$K600="Not sure")))),1,0)</f>
        <v/>
      </c>
      <c r="N600">
        <f>$N599+$M600</f>
        <v/>
      </c>
      <c r="O600" t="inlineStr">
        <is>
          <t>three-way</t>
        </is>
      </c>
      <c r="P600" t="inlineStr">
        <is>
          <t>contribution_rate</t>
        </is>
      </c>
    </row>
    <row r="601">
      <c r="A601" t="inlineStr">
        <is>
          <t>Split by SYS_FLAG</t>
        </is>
      </c>
      <c r="B601" t="inlineStr">
        <is>
          <t>Earned before losses</t>
        </is>
      </c>
      <c r="C601" t="n">
        <v>1143</v>
      </c>
      <c r="D601" t="inlineStr">
        <is>
          <t>ORIG_BAL 37,951 - 49,151</t>
        </is>
      </c>
      <c r="E601" t="inlineStr">
        <is>
          <t>ASSET_CLASS 3</t>
        </is>
      </c>
      <c r="F601" t="inlineStr">
        <is>
          <t>Y</t>
        </is>
      </c>
      <c r="G601" t="n">
        <v>195</v>
      </c>
      <c r="H601" t="n">
        <v>-2.71266919348924</v>
      </c>
      <c r="J601" t="n">
        <v>27</v>
      </c>
      <c r="K601">
        <f>'_pockets'!$AI$1143</f>
        <v/>
      </c>
      <c r="L601">
        <f>'_pockets'!$AJ$1143</f>
        <v/>
      </c>
      <c r="M601">
        <f>IF(AND($A601='Pockets'!$D$17,$B601='Pockets'!$C$17,OR('Pockets'!$E$17="All",AND('Pockets'!$E$17="Worse and material",$K601="Yes",$L601="Yes"),AND('Pockets'!$E$17="Worse or not sure",OR($K601="Yes",$K601="Not sure")))),1,0)</f>
        <v/>
      </c>
      <c r="N601">
        <f>$N600+$M601</f>
        <v/>
      </c>
      <c r="O601" t="inlineStr">
        <is>
          <t>three-way</t>
        </is>
      </c>
      <c r="P601" t="inlineStr">
        <is>
          <t>contribution_rate</t>
        </is>
      </c>
    </row>
    <row r="602">
      <c r="A602" t="inlineStr">
        <is>
          <t>Split by SYS_FLAG</t>
        </is>
      </c>
      <c r="B602" t="inlineStr">
        <is>
          <t>Earned before losses</t>
        </is>
      </c>
      <c r="C602" t="n">
        <v>1078</v>
      </c>
      <c r="D602" t="inlineStr">
        <is>
          <t>ORIG_BAL 49,152 - 59,984</t>
        </is>
      </c>
      <c r="E602" t="inlineStr">
        <is>
          <t>ASSET_CLASS 3</t>
        </is>
      </c>
      <c r="F602" t="inlineStr">
        <is>
          <t>N</t>
        </is>
      </c>
      <c r="G602" t="n">
        <v>226</v>
      </c>
      <c r="H602" t="n">
        <v>-2.524784579041438</v>
      </c>
      <c r="J602" t="n">
        <v>28</v>
      </c>
      <c r="K602">
        <f>'_pockets'!$AI$1078</f>
        <v/>
      </c>
      <c r="L602">
        <f>'_pockets'!$AJ$1078</f>
        <v/>
      </c>
      <c r="M602">
        <f>IF(AND($A602='Pockets'!$D$17,$B602='Pockets'!$C$17,OR('Pockets'!$E$17="All",AND('Pockets'!$E$17="Worse and material",$K602="Yes",$L602="Yes"),AND('Pockets'!$E$17="Worse or not sure",OR($K602="Yes",$K602="Not sure")))),1,0)</f>
        <v/>
      </c>
      <c r="N602">
        <f>$N601+$M602</f>
        <v/>
      </c>
      <c r="O602" t="inlineStr">
        <is>
          <t>three-way</t>
        </is>
      </c>
      <c r="P602" t="inlineStr">
        <is>
          <t>contribution_rate</t>
        </is>
      </c>
    </row>
    <row r="603">
      <c r="A603" t="inlineStr">
        <is>
          <t>Split by SYS_FLAG</t>
        </is>
      </c>
      <c r="B603" t="inlineStr">
        <is>
          <t>Earned before losses</t>
        </is>
      </c>
      <c r="C603" t="n">
        <v>1043</v>
      </c>
      <c r="D603" t="inlineStr">
        <is>
          <t>ORIG_BAL 15,449 - 26,323</t>
        </is>
      </c>
      <c r="E603" t="inlineStr">
        <is>
          <t>ASSET_CLASS 4</t>
        </is>
      </c>
      <c r="F603" t="inlineStr">
        <is>
          <t>N</t>
        </is>
      </c>
      <c r="G603" t="n">
        <v>223</v>
      </c>
      <c r="H603" t="n">
        <v>-2.541220289218607</v>
      </c>
      <c r="J603" t="n">
        <v>29</v>
      </c>
      <c r="K603">
        <f>'_pockets'!$AI$1043</f>
        <v/>
      </c>
      <c r="L603">
        <f>'_pockets'!$AJ$1043</f>
        <v/>
      </c>
      <c r="M603">
        <f>IF(AND($A603='Pockets'!$D$17,$B603='Pockets'!$C$17,OR('Pockets'!$E$17="All",AND('Pockets'!$E$17="Worse and material",$K603="Yes",$L603="Yes"),AND('Pockets'!$E$17="Worse or not sure",OR($K603="Yes",$K603="Not sure")))),1,0)</f>
        <v/>
      </c>
      <c r="N603">
        <f>$N602+$M603</f>
        <v/>
      </c>
      <c r="O603" t="inlineStr">
        <is>
          <t>three-way</t>
        </is>
      </c>
      <c r="P603" t="inlineStr">
        <is>
          <t>contribution_rate</t>
        </is>
      </c>
    </row>
    <row r="604">
      <c r="A604" t="inlineStr">
        <is>
          <t>Split by SYS_FLAG</t>
        </is>
      </c>
      <c r="B604" t="inlineStr">
        <is>
          <t>Earned before losses</t>
        </is>
      </c>
      <c r="C604" t="n">
        <v>863</v>
      </c>
      <c r="D604" t="inlineStr">
        <is>
          <t>ORIG_BAL 26,324 - 37,950</t>
        </is>
      </c>
      <c r="E604" t="inlineStr">
        <is>
          <t>Branch</t>
        </is>
      </c>
      <c r="F604" t="inlineStr">
        <is>
          <t>N</t>
        </is>
      </c>
      <c r="G604" t="n">
        <v>282</v>
      </c>
      <c r="H604" t="n">
        <v>-2.268424247288259</v>
      </c>
      <c r="J604" t="n">
        <v>30</v>
      </c>
      <c r="K604">
        <f>'_pockets'!$AI$863</f>
        <v/>
      </c>
      <c r="L604">
        <f>'_pockets'!$AJ$863</f>
        <v/>
      </c>
      <c r="M604">
        <f>IF(AND($A604='Pockets'!$D$17,$B604='Pockets'!$C$17,OR('Pockets'!$E$17="All",AND('Pockets'!$E$17="Worse and material",$K604="Yes",$L604="Yes"),AND('Pockets'!$E$17="Worse or not sure",OR($K604="Yes",$K604="Not sure")))),1,0)</f>
        <v/>
      </c>
      <c r="N604">
        <f>$N603+$M604</f>
        <v/>
      </c>
      <c r="O604" t="inlineStr">
        <is>
          <t>three-way</t>
        </is>
      </c>
      <c r="P604" t="inlineStr">
        <is>
          <t>contribution_rate</t>
        </is>
      </c>
    </row>
    <row r="605">
      <c r="A605" t="inlineStr">
        <is>
          <t>Split by SYS_FLAG</t>
        </is>
      </c>
      <c r="B605" t="inlineStr">
        <is>
          <t>Earned before losses</t>
        </is>
      </c>
      <c r="C605" t="n">
        <v>1093</v>
      </c>
      <c r="D605" t="inlineStr">
        <is>
          <t>ORIG_BAL 49,152 - 59,984</t>
        </is>
      </c>
      <c r="E605" t="inlineStr">
        <is>
          <t>ASSET_CLASS 3</t>
        </is>
      </c>
      <c r="F605" t="inlineStr">
        <is>
          <t>Y</t>
        </is>
      </c>
      <c r="G605" t="n">
        <v>179</v>
      </c>
      <c r="H605" t="n">
        <v>-2.82841298524499</v>
      </c>
      <c r="J605" t="n">
        <v>31</v>
      </c>
      <c r="K605">
        <f>'_pockets'!$AI$1093</f>
        <v/>
      </c>
      <c r="L605">
        <f>'_pockets'!$AJ$1093</f>
        <v/>
      </c>
      <c r="M605">
        <f>IF(AND($A605='Pockets'!$D$17,$B605='Pockets'!$C$17,OR('Pockets'!$E$17="All",AND('Pockets'!$E$17="Worse and material",$K605="Yes",$L605="Yes"),AND('Pockets'!$E$17="Worse or not sure",OR($K605="Yes",$K605="Not sure")))),1,0)</f>
        <v/>
      </c>
      <c r="N605">
        <f>$N604+$M605</f>
        <v/>
      </c>
      <c r="O605" t="inlineStr">
        <is>
          <t>three-way</t>
        </is>
      </c>
      <c r="P605" t="inlineStr">
        <is>
          <t>contribution_rate</t>
        </is>
      </c>
    </row>
    <row r="606">
      <c r="A606" t="inlineStr">
        <is>
          <t>Split by SYS_FLAG</t>
        </is>
      </c>
      <c r="B606" t="inlineStr">
        <is>
          <t>Earned before losses</t>
        </is>
      </c>
      <c r="C606" t="n">
        <v>488</v>
      </c>
      <c r="D606" t="inlineStr">
        <is>
          <t>FICO 654 - 685</t>
        </is>
      </c>
      <c r="E606" t="inlineStr">
        <is>
          <t>Branch</t>
        </is>
      </c>
      <c r="F606" t="inlineStr">
        <is>
          <t>Y</t>
        </is>
      </c>
      <c r="G606" t="n">
        <v>254</v>
      </c>
      <c r="H606" t="n">
        <v>-2.385862515669908</v>
      </c>
      <c r="J606" t="n">
        <v>32</v>
      </c>
      <c r="K606">
        <f>'_pockets'!$AI$488</f>
        <v/>
      </c>
      <c r="L606">
        <f>'_pockets'!$AJ$488</f>
        <v/>
      </c>
      <c r="M606">
        <f>IF(AND($A606='Pockets'!$D$17,$B606='Pockets'!$C$17,OR('Pockets'!$E$17="All",AND('Pockets'!$E$17="Worse and material",$K606="Yes",$L606="Yes"),AND('Pockets'!$E$17="Worse or not sure",OR($K606="Yes",$K606="Not sure")))),1,0)</f>
        <v/>
      </c>
      <c r="N606">
        <f>$N605+$M606</f>
        <v/>
      </c>
      <c r="O606" t="inlineStr">
        <is>
          <t>three-way</t>
        </is>
      </c>
      <c r="P606" t="inlineStr">
        <is>
          <t>contribution_rate</t>
        </is>
      </c>
    </row>
    <row r="607">
      <c r="A607" t="inlineStr">
        <is>
          <t>Split by SYS_FLAG</t>
        </is>
      </c>
      <c r="B607" t="inlineStr">
        <is>
          <t>Earned before losses</t>
        </is>
      </c>
      <c r="C607" t="n">
        <v>818</v>
      </c>
      <c r="D607" t="inlineStr">
        <is>
          <t>FICO 686 - 711</t>
        </is>
      </c>
      <c r="E607" t="inlineStr">
        <is>
          <t>ASSET_CLASS 3</t>
        </is>
      </c>
      <c r="F607" t="inlineStr">
        <is>
          <t>Y</t>
        </is>
      </c>
      <c r="G607" t="n">
        <v>196</v>
      </c>
      <c r="H607" t="n">
        <v>-2.705913664673004</v>
      </c>
      <c r="J607" t="n">
        <v>33</v>
      </c>
      <c r="K607">
        <f>'_pockets'!$AI$818</f>
        <v/>
      </c>
      <c r="L607">
        <f>'_pockets'!$AJ$818</f>
        <v/>
      </c>
      <c r="M607">
        <f>IF(AND($A607='Pockets'!$D$17,$B607='Pockets'!$C$17,OR('Pockets'!$E$17="All",AND('Pockets'!$E$17="Worse and material",$K607="Yes",$L607="Yes"),AND('Pockets'!$E$17="Worse or not sure",OR($K607="Yes",$K607="Not sure")))),1,0)</f>
        <v/>
      </c>
      <c r="N607">
        <f>$N606+$M607</f>
        <v/>
      </c>
      <c r="O607" t="inlineStr">
        <is>
          <t>three-way</t>
        </is>
      </c>
      <c r="P607" t="inlineStr">
        <is>
          <t>contribution_rate</t>
        </is>
      </c>
    </row>
    <row r="608">
      <c r="A608" t="inlineStr">
        <is>
          <t>Split by SYS_FLAG</t>
        </is>
      </c>
      <c r="B608" t="inlineStr">
        <is>
          <t>Earned before losses</t>
        </is>
      </c>
      <c r="C608" t="n">
        <v>678</v>
      </c>
      <c r="D608" t="inlineStr">
        <is>
          <t>FICO 496 - 653</t>
        </is>
      </c>
      <c r="E608" t="inlineStr">
        <is>
          <t>ASSET_CLASS 3</t>
        </is>
      </c>
      <c r="F608" t="inlineStr">
        <is>
          <t>N</t>
        </is>
      </c>
      <c r="G608" t="n">
        <v>184</v>
      </c>
      <c r="H608" t="n">
        <v>-2.790611178199036</v>
      </c>
      <c r="J608" t="n">
        <v>34</v>
      </c>
      <c r="K608">
        <f>'_pockets'!$AI$678</f>
        <v/>
      </c>
      <c r="L608">
        <f>'_pockets'!$AJ$678</f>
        <v/>
      </c>
      <c r="M608">
        <f>IF(AND($A608='Pockets'!$D$17,$B608='Pockets'!$C$17,OR('Pockets'!$E$17="All",AND('Pockets'!$E$17="Worse and material",$K608="Yes",$L608="Yes"),AND('Pockets'!$E$17="Worse or not sure",OR($K608="Yes",$K608="Not sure")))),1,0)</f>
        <v/>
      </c>
      <c r="N608">
        <f>$N607+$M608</f>
        <v/>
      </c>
      <c r="O608" t="inlineStr">
        <is>
          <t>three-way</t>
        </is>
      </c>
      <c r="P608" t="inlineStr">
        <is>
          <t>contribution_rate</t>
        </is>
      </c>
    </row>
    <row r="609">
      <c r="A609" t="inlineStr">
        <is>
          <t>Split by SYS_FLAG</t>
        </is>
      </c>
      <c r="B609" t="inlineStr">
        <is>
          <t>Earned before losses</t>
        </is>
      </c>
      <c r="C609" t="n">
        <v>848</v>
      </c>
      <c r="D609" t="inlineStr">
        <is>
          <t>ORIG_BAL 26,324 - 37,950</t>
        </is>
      </c>
      <c r="E609" t="inlineStr">
        <is>
          <t>Broker</t>
        </is>
      </c>
      <c r="F609" t="inlineStr">
        <is>
          <t>Y</t>
        </is>
      </c>
      <c r="G609" t="n">
        <v>248</v>
      </c>
      <c r="H609" t="n">
        <v>-2.413616426106518</v>
      </c>
      <c r="J609" t="n">
        <v>35</v>
      </c>
      <c r="K609">
        <f>'_pockets'!$AI$848</f>
        <v/>
      </c>
      <c r="L609">
        <f>'_pockets'!$AJ$848</f>
        <v/>
      </c>
      <c r="M609">
        <f>IF(AND($A609='Pockets'!$D$17,$B609='Pockets'!$C$17,OR('Pockets'!$E$17="All",AND('Pockets'!$E$17="Worse and material",$K609="Yes",$L609="Yes"),AND('Pockets'!$E$17="Worse or not sure",OR($K609="Yes",$K609="Not sure")))),1,0)</f>
        <v/>
      </c>
      <c r="N609">
        <f>$N608+$M609</f>
        <v/>
      </c>
      <c r="O609" t="inlineStr">
        <is>
          <t>three-way</t>
        </is>
      </c>
      <c r="P609" t="inlineStr">
        <is>
          <t>contribution_rate</t>
        </is>
      </c>
    </row>
    <row r="610">
      <c r="A610" t="inlineStr">
        <is>
          <t>Split by SYS_FLAG</t>
        </is>
      </c>
      <c r="B610" t="inlineStr">
        <is>
          <t>Earned before losses</t>
        </is>
      </c>
      <c r="C610" t="n">
        <v>758</v>
      </c>
      <c r="D610" t="inlineStr">
        <is>
          <t>FICO 654 - 685</t>
        </is>
      </c>
      <c r="E610" t="inlineStr">
        <is>
          <t>ASSET_CLASS 1</t>
        </is>
      </c>
      <c r="F610" t="inlineStr">
        <is>
          <t>N</t>
        </is>
      </c>
      <c r="G610" t="n">
        <v>210</v>
      </c>
      <c r="H610" t="n">
        <v>-2.61650955889408</v>
      </c>
      <c r="J610" t="n">
        <v>36</v>
      </c>
      <c r="K610">
        <f>'_pockets'!$AI$758</f>
        <v/>
      </c>
      <c r="L610">
        <f>'_pockets'!$AJ$758</f>
        <v/>
      </c>
      <c r="M610">
        <f>IF(AND($A610='Pockets'!$D$17,$B610='Pockets'!$C$17,OR('Pockets'!$E$17="All",AND('Pockets'!$E$17="Worse and material",$K610="Yes",$L610="Yes"),AND('Pockets'!$E$17="Worse or not sure",OR($K610="Yes",$K610="Not sure")))),1,0)</f>
        <v/>
      </c>
      <c r="N610">
        <f>$N609+$M610</f>
        <v/>
      </c>
      <c r="O610" t="inlineStr">
        <is>
          <t>three-way</t>
        </is>
      </c>
      <c r="P610" t="inlineStr">
        <is>
          <t>contribution_rate</t>
        </is>
      </c>
    </row>
    <row r="611">
      <c r="A611" t="inlineStr">
        <is>
          <t>Split by SYS_FLAG</t>
        </is>
      </c>
      <c r="B611" t="inlineStr">
        <is>
          <t>Earned before losses</t>
        </is>
      </c>
      <c r="C611" t="n">
        <v>528</v>
      </c>
      <c r="D611" t="inlineStr">
        <is>
          <t>FICO 654 - 685</t>
        </is>
      </c>
      <c r="E611" t="inlineStr">
        <is>
          <t>Broker</t>
        </is>
      </c>
      <c r="F611" t="inlineStr">
        <is>
          <t>N</t>
        </is>
      </c>
      <c r="G611" t="n">
        <v>287</v>
      </c>
      <c r="H611" t="n">
        <v>-2.249306532527898</v>
      </c>
      <c r="J611" t="n">
        <v>37</v>
      </c>
      <c r="K611">
        <f>'_pockets'!$AI$528</f>
        <v/>
      </c>
      <c r="L611">
        <f>'_pockets'!$AJ$528</f>
        <v/>
      </c>
      <c r="M611">
        <f>IF(AND($A611='Pockets'!$D$17,$B611='Pockets'!$C$17,OR('Pockets'!$E$17="All",AND('Pockets'!$E$17="Worse and material",$K611="Yes",$L611="Yes"),AND('Pockets'!$E$17="Worse or not sure",OR($K611="Yes",$K611="Not sure")))),1,0)</f>
        <v/>
      </c>
      <c r="N611">
        <f>$N610+$M611</f>
        <v/>
      </c>
      <c r="O611" t="inlineStr">
        <is>
          <t>three-way</t>
        </is>
      </c>
      <c r="P611" t="inlineStr">
        <is>
          <t>contribution_rate</t>
        </is>
      </c>
    </row>
    <row r="612">
      <c r="A612" t="inlineStr">
        <is>
          <t>Split by SYS_FLAG</t>
        </is>
      </c>
      <c r="B612" t="inlineStr">
        <is>
          <t>Earned before losses</t>
        </is>
      </c>
      <c r="C612" t="n">
        <v>573</v>
      </c>
      <c r="D612" t="inlineStr">
        <is>
          <t>FICO 496 - 653</t>
        </is>
      </c>
      <c r="E612" t="inlineStr">
        <is>
          <t>Online</t>
        </is>
      </c>
      <c r="F612" t="inlineStr">
        <is>
          <t>N</t>
        </is>
      </c>
      <c r="G612" t="n">
        <v>305</v>
      </c>
      <c r="H612" t="n">
        <v>-2.184475401137035</v>
      </c>
      <c r="J612" t="n">
        <v>38</v>
      </c>
      <c r="K612">
        <f>'_pockets'!$AI$573</f>
        <v/>
      </c>
      <c r="L612">
        <f>'_pockets'!$AJ$573</f>
        <v/>
      </c>
      <c r="M612">
        <f>IF(AND($A612='Pockets'!$D$17,$B612='Pockets'!$C$17,OR('Pockets'!$E$17="All",AND('Pockets'!$E$17="Worse and material",$K612="Yes",$L612="Yes"),AND('Pockets'!$E$17="Worse or not sure",OR($K612="Yes",$K612="Not sure")))),1,0)</f>
        <v/>
      </c>
      <c r="N612">
        <f>$N611+$M612</f>
        <v/>
      </c>
      <c r="O612" t="inlineStr">
        <is>
          <t>three-way</t>
        </is>
      </c>
      <c r="P612" t="inlineStr">
        <is>
          <t>contribution_rate</t>
        </is>
      </c>
    </row>
    <row r="613">
      <c r="A613" t="inlineStr">
        <is>
          <t>Split by SYS_FLAG</t>
        </is>
      </c>
      <c r="B613" t="inlineStr">
        <is>
          <t>Earned before losses</t>
        </is>
      </c>
      <c r="C613" t="n">
        <v>943</v>
      </c>
      <c r="D613" t="inlineStr">
        <is>
          <t>ORIG_BAL 15,449 - 26,323</t>
        </is>
      </c>
      <c r="E613" t="inlineStr">
        <is>
          <t>Branch</t>
        </is>
      </c>
      <c r="F613" t="inlineStr">
        <is>
          <t>Y</t>
        </is>
      </c>
      <c r="G613" t="n">
        <v>251</v>
      </c>
      <c r="H613" t="n">
        <v>-2.399613550730209</v>
      </c>
      <c r="J613" t="n">
        <v>39</v>
      </c>
      <c r="K613">
        <f>'_pockets'!$AI$943</f>
        <v/>
      </c>
      <c r="L613">
        <f>'_pockets'!$AJ$943</f>
        <v/>
      </c>
      <c r="M613">
        <f>IF(AND($A613='Pockets'!$D$17,$B613='Pockets'!$C$17,OR('Pockets'!$E$17="All",AND('Pockets'!$E$17="Worse and material",$K613="Yes",$L613="Yes"),AND('Pockets'!$E$17="Worse or not sure",OR($K613="Yes",$K613="Not sure")))),1,0)</f>
        <v/>
      </c>
      <c r="N613">
        <f>$N612+$M613</f>
        <v/>
      </c>
      <c r="O613" t="inlineStr">
        <is>
          <t>three-way</t>
        </is>
      </c>
      <c r="P613" t="inlineStr">
        <is>
          <t>contribution_rate</t>
        </is>
      </c>
    </row>
    <row r="614">
      <c r="A614" t="inlineStr">
        <is>
          <t>Split by SYS_FLAG</t>
        </is>
      </c>
      <c r="B614" t="inlineStr">
        <is>
          <t>Earned before losses</t>
        </is>
      </c>
      <c r="C614" t="n">
        <v>928</v>
      </c>
      <c r="D614" t="inlineStr">
        <is>
          <t>ORIG_BAL 49,152 - 59,984</t>
        </is>
      </c>
      <c r="E614" t="inlineStr">
        <is>
          <t>Branch</t>
        </is>
      </c>
      <c r="F614" t="inlineStr">
        <is>
          <t>Y</t>
        </is>
      </c>
      <c r="G614" t="n">
        <v>226</v>
      </c>
      <c r="H614" t="n">
        <v>-2.524784579041438</v>
      </c>
      <c r="J614" t="n">
        <v>40</v>
      </c>
      <c r="K614">
        <f>'_pockets'!$AI$928</f>
        <v/>
      </c>
      <c r="L614">
        <f>'_pockets'!$AJ$928</f>
        <v/>
      </c>
      <c r="M614">
        <f>IF(AND($A614='Pockets'!$D$17,$B614='Pockets'!$C$17,OR('Pockets'!$E$17="All",AND('Pockets'!$E$17="Worse and material",$K614="Yes",$L614="Yes"),AND('Pockets'!$E$17="Worse or not sure",OR($K614="Yes",$K614="Not sure")))),1,0)</f>
        <v/>
      </c>
      <c r="N614">
        <f>$N613+$M614</f>
        <v/>
      </c>
      <c r="O614" t="inlineStr">
        <is>
          <t>three-way</t>
        </is>
      </c>
      <c r="P614" t="inlineStr">
        <is>
          <t>contribution_rate</t>
        </is>
      </c>
    </row>
    <row r="615">
      <c r="A615" t="inlineStr">
        <is>
          <t>Split by SYS_FLAG</t>
        </is>
      </c>
      <c r="B615" t="inlineStr">
        <is>
          <t>Earned before losses</t>
        </is>
      </c>
      <c r="C615" t="n">
        <v>1183</v>
      </c>
      <c r="D615" t="inlineStr">
        <is>
          <t>ORIG_BAL 26,324 - 37,950</t>
        </is>
      </c>
      <c r="E615" t="inlineStr">
        <is>
          <t>ASSET_CLASS 3</t>
        </is>
      </c>
      <c r="F615" t="inlineStr">
        <is>
          <t>N</t>
        </is>
      </c>
      <c r="G615" t="n">
        <v>198</v>
      </c>
      <c r="H615" t="n">
        <v>-2.692557881313351</v>
      </c>
      <c r="J615" t="n">
        <v>41</v>
      </c>
      <c r="K615">
        <f>'_pockets'!$AI$1183</f>
        <v/>
      </c>
      <c r="L615">
        <f>'_pockets'!$AJ$1183</f>
        <v/>
      </c>
      <c r="M615">
        <f>IF(AND($A615='Pockets'!$D$17,$B615='Pockets'!$C$17,OR('Pockets'!$E$17="All",AND('Pockets'!$E$17="Worse and material",$K615="Yes",$L615="Yes"),AND('Pockets'!$E$17="Worse or not sure",OR($K615="Yes",$K615="Not sure")))),1,0)</f>
        <v/>
      </c>
      <c r="N615">
        <f>$N614+$M615</f>
        <v/>
      </c>
      <c r="O615" t="inlineStr">
        <is>
          <t>three-way</t>
        </is>
      </c>
      <c r="P615" t="inlineStr">
        <is>
          <t>contribution_rate</t>
        </is>
      </c>
    </row>
    <row r="616">
      <c r="A616" t="inlineStr">
        <is>
          <t>Split by SYS_FLAG</t>
        </is>
      </c>
      <c r="B616" t="inlineStr">
        <is>
          <t>Earned before losses</t>
        </is>
      </c>
      <c r="C616" t="n">
        <v>1168</v>
      </c>
      <c r="D616" t="inlineStr">
        <is>
          <t>ORIG_BAL 15,449 - 26,323</t>
        </is>
      </c>
      <c r="E616" t="inlineStr">
        <is>
          <t>ASSET_CLASS 2</t>
        </is>
      </c>
      <c r="F616" t="inlineStr">
        <is>
          <t>Y</t>
        </is>
      </c>
      <c r="G616" t="n">
        <v>170</v>
      </c>
      <c r="H616" t="n">
        <v>-2.900648306456116</v>
      </c>
      <c r="J616" t="n">
        <v>42</v>
      </c>
      <c r="K616">
        <f>'_pockets'!$AI$1168</f>
        <v/>
      </c>
      <c r="L616">
        <f>'_pockets'!$AJ$1168</f>
        <v/>
      </c>
      <c r="M616">
        <f>IF(AND($A616='Pockets'!$D$17,$B616='Pockets'!$C$17,OR('Pockets'!$E$17="All",AND('Pockets'!$E$17="Worse and material",$K616="Yes",$L616="Yes"),AND('Pockets'!$E$17="Worse or not sure",OR($K616="Yes",$K616="Not sure")))),1,0)</f>
        <v/>
      </c>
      <c r="N616">
        <f>$N615+$M616</f>
        <v/>
      </c>
      <c r="O616" t="inlineStr">
        <is>
          <t>three-way</t>
        </is>
      </c>
      <c r="P616" t="inlineStr">
        <is>
          <t>contribution_rate</t>
        </is>
      </c>
    </row>
    <row r="617">
      <c r="A617" t="inlineStr">
        <is>
          <t>Split by SYS_FLAG</t>
        </is>
      </c>
      <c r="B617" t="inlineStr">
        <is>
          <t>Earned before losses</t>
        </is>
      </c>
      <c r="C617" t="n">
        <v>808</v>
      </c>
      <c r="D617" t="inlineStr">
        <is>
          <t>FICO 654 - 685</t>
        </is>
      </c>
      <c r="E617" t="inlineStr">
        <is>
          <t>ASSET_CLASS 4</t>
        </is>
      </c>
      <c r="F617" t="inlineStr">
        <is>
          <t>Y</t>
        </is>
      </c>
      <c r="G617" t="n">
        <v>191</v>
      </c>
      <c r="H617" t="n">
        <v>-2.740224665257163</v>
      </c>
      <c r="J617" t="n">
        <v>43</v>
      </c>
      <c r="K617">
        <f>'_pockets'!$AI$808</f>
        <v/>
      </c>
      <c r="L617">
        <f>'_pockets'!$AJ$808</f>
        <v/>
      </c>
      <c r="M617">
        <f>IF(AND($A617='Pockets'!$D$17,$B617='Pockets'!$C$17,OR('Pockets'!$E$17="All",AND('Pockets'!$E$17="Worse and material",$K617="Yes",$L617="Yes"),AND('Pockets'!$E$17="Worse or not sure",OR($K617="Yes",$K617="Not sure")))),1,0)</f>
        <v/>
      </c>
      <c r="N617">
        <f>$N616+$M617</f>
        <v/>
      </c>
      <c r="O617" t="inlineStr">
        <is>
          <t>three-way</t>
        </is>
      </c>
      <c r="P617" t="inlineStr">
        <is>
          <t>contribution_rate</t>
        </is>
      </c>
    </row>
    <row r="618">
      <c r="A618" t="inlineStr">
        <is>
          <t>Split by SYS_FLAG</t>
        </is>
      </c>
      <c r="B618" t="inlineStr">
        <is>
          <t>Earned before losses</t>
        </is>
      </c>
      <c r="C618" t="n">
        <v>963</v>
      </c>
      <c r="D618" t="inlineStr">
        <is>
          <t>ORIG_BAL 15,449 - 26,323</t>
        </is>
      </c>
      <c r="E618" t="inlineStr">
        <is>
          <t>Branch</t>
        </is>
      </c>
      <c r="F618" t="inlineStr">
        <is>
          <t>N</t>
        </is>
      </c>
      <c r="G618" t="n">
        <v>274</v>
      </c>
      <c r="H618" t="n">
        <v>-2.300109599538922</v>
      </c>
      <c r="J618" t="n">
        <v>44</v>
      </c>
      <c r="K618">
        <f>'_pockets'!$AI$963</f>
        <v/>
      </c>
      <c r="L618">
        <f>'_pockets'!$AJ$963</f>
        <v/>
      </c>
      <c r="M618">
        <f>IF(AND($A618='Pockets'!$D$17,$B618='Pockets'!$C$17,OR('Pockets'!$E$17="All",AND('Pockets'!$E$17="Worse and material",$K618="Yes",$L618="Yes"),AND('Pockets'!$E$17="Worse or not sure",OR($K618="Yes",$K618="Not sure")))),1,0)</f>
        <v/>
      </c>
      <c r="N618">
        <f>$N617+$M618</f>
        <v/>
      </c>
      <c r="O618" t="inlineStr">
        <is>
          <t>three-way</t>
        </is>
      </c>
      <c r="P618" t="inlineStr">
        <is>
          <t>contribution_rate</t>
        </is>
      </c>
    </row>
    <row r="619">
      <c r="A619" t="inlineStr">
        <is>
          <t>Split by SYS_FLAG</t>
        </is>
      </c>
      <c r="B619" t="inlineStr">
        <is>
          <t>Earned before losses</t>
        </is>
      </c>
      <c r="C619" t="n">
        <v>738</v>
      </c>
      <c r="D619" t="inlineStr">
        <is>
          <t>FICO (marked missing)</t>
        </is>
      </c>
      <c r="E619" t="inlineStr">
        <is>
          <t>ASSET_CLASS 3</t>
        </is>
      </c>
      <c r="F619" t="inlineStr">
        <is>
          <t>Y</t>
        </is>
      </c>
      <c r="G619" t="n">
        <v>22</v>
      </c>
      <c r="H619" t="n">
        <v>-7.988054723482414</v>
      </c>
      <c r="J619" t="n">
        <v>45</v>
      </c>
      <c r="K619">
        <f>'_pockets'!$AI$738</f>
        <v/>
      </c>
      <c r="L619">
        <f>'_pockets'!$AJ$738</f>
        <v/>
      </c>
      <c r="M619">
        <f>IF(AND($A619='Pockets'!$D$17,$B619='Pockets'!$C$17,OR('Pockets'!$E$17="All",AND('Pockets'!$E$17="Worse and material",$K619="Yes",$L619="Yes"),AND('Pockets'!$E$17="Worse or not sure",OR($K619="Yes",$K619="Not sure")))),1,0)</f>
        <v/>
      </c>
      <c r="N619">
        <f>$N618+$M619</f>
        <v/>
      </c>
      <c r="O619" t="inlineStr">
        <is>
          <t>three-way</t>
        </is>
      </c>
      <c r="P619" t="inlineStr">
        <is>
          <t>contribution_rate</t>
        </is>
      </c>
    </row>
    <row r="620">
      <c r="A620" t="inlineStr">
        <is>
          <t>Split by SYS_FLAG</t>
        </is>
      </c>
      <c r="B620" t="inlineStr">
        <is>
          <t>Earned before losses</t>
        </is>
      </c>
      <c r="C620" t="n">
        <v>968</v>
      </c>
      <c r="D620" t="inlineStr">
        <is>
          <t>ORIG_BAL 5,005 - 15,448</t>
        </is>
      </c>
      <c r="E620" t="inlineStr">
        <is>
          <t>Branch</t>
        </is>
      </c>
      <c r="F620" t="inlineStr">
        <is>
          <t>Y</t>
        </is>
      </c>
      <c r="G620" t="n">
        <v>241</v>
      </c>
      <c r="H620" t="n">
        <v>-2.447313058102953</v>
      </c>
      <c r="J620" t="n">
        <v>46</v>
      </c>
      <c r="K620">
        <f>'_pockets'!$AI$968</f>
        <v/>
      </c>
      <c r="L620">
        <f>'_pockets'!$AJ$968</f>
        <v/>
      </c>
      <c r="M620">
        <f>IF(AND($A620='Pockets'!$D$17,$B620='Pockets'!$C$17,OR('Pockets'!$E$17="All",AND('Pockets'!$E$17="Worse and material",$K620="Yes",$L620="Yes"),AND('Pockets'!$E$17="Worse or not sure",OR($K620="Yes",$K620="Not sure")))),1,0)</f>
        <v/>
      </c>
      <c r="N620">
        <f>$N619+$M620</f>
        <v/>
      </c>
      <c r="O620" t="inlineStr">
        <is>
          <t>three-way</t>
        </is>
      </c>
      <c r="P620" t="inlineStr">
        <is>
          <t>contribution_rate</t>
        </is>
      </c>
    </row>
    <row r="621">
      <c r="A621" t="inlineStr">
        <is>
          <t>Split by SYS_FLAG</t>
        </is>
      </c>
      <c r="B621" t="inlineStr">
        <is>
          <t>Earned before losses</t>
        </is>
      </c>
      <c r="C621" t="n">
        <v>1108</v>
      </c>
      <c r="D621" t="inlineStr">
        <is>
          <t>ORIG_BAL 15,449 - 26,323</t>
        </is>
      </c>
      <c r="E621" t="inlineStr">
        <is>
          <t>ASSET_CLASS 2</t>
        </is>
      </c>
      <c r="F621" t="inlineStr">
        <is>
          <t>N</t>
        </is>
      </c>
      <c r="G621" t="n">
        <v>186</v>
      </c>
      <c r="H621" t="n">
        <v>-2.77592261519848</v>
      </c>
      <c r="J621" t="n">
        <v>47</v>
      </c>
      <c r="K621">
        <f>'_pockets'!$AI$1108</f>
        <v/>
      </c>
      <c r="L621">
        <f>'_pockets'!$AJ$1108</f>
        <v/>
      </c>
      <c r="M621">
        <f>IF(AND($A621='Pockets'!$D$17,$B621='Pockets'!$C$17,OR('Pockets'!$E$17="All",AND('Pockets'!$E$17="Worse and material",$K621="Yes",$L621="Yes"),AND('Pockets'!$E$17="Worse or not sure",OR($K621="Yes",$K621="Not sure")))),1,0)</f>
        <v/>
      </c>
      <c r="N621">
        <f>$N620+$M621</f>
        <v/>
      </c>
      <c r="O621" t="inlineStr">
        <is>
          <t>three-way</t>
        </is>
      </c>
      <c r="P621" t="inlineStr">
        <is>
          <t>contribution_rate</t>
        </is>
      </c>
    </row>
    <row r="622">
      <c r="A622" t="inlineStr">
        <is>
          <t>Split by SYS_FLAG</t>
        </is>
      </c>
      <c r="B622" t="inlineStr">
        <is>
          <t>Earned before losses</t>
        </is>
      </c>
      <c r="C622" t="n">
        <v>743</v>
      </c>
      <c r="D622" t="inlineStr">
        <is>
          <t>FICO 712 - 745</t>
        </is>
      </c>
      <c r="E622" t="inlineStr">
        <is>
          <t>ASSET_CLASS 3</t>
        </is>
      </c>
      <c r="F622" t="inlineStr">
        <is>
          <t>Y</t>
        </is>
      </c>
      <c r="G622" t="n">
        <v>169</v>
      </c>
      <c r="H622" t="n">
        <v>-2.909031645184372</v>
      </c>
      <c r="J622" t="n">
        <v>48</v>
      </c>
      <c r="K622">
        <f>'_pockets'!$AI$743</f>
        <v/>
      </c>
      <c r="L622">
        <f>'_pockets'!$AJ$743</f>
        <v/>
      </c>
      <c r="M622">
        <f>IF(AND($A622='Pockets'!$D$17,$B622='Pockets'!$C$17,OR('Pockets'!$E$17="All",AND('Pockets'!$E$17="Worse and material",$K622="Yes",$L622="Yes"),AND('Pockets'!$E$17="Worse or not sure",OR($K622="Yes",$K622="Not sure")))),1,0)</f>
        <v/>
      </c>
      <c r="N622">
        <f>$N621+$M622</f>
        <v/>
      </c>
      <c r="O622" t="inlineStr">
        <is>
          <t>three-way</t>
        </is>
      </c>
      <c r="P622" t="inlineStr">
        <is>
          <t>contribution_rate</t>
        </is>
      </c>
    </row>
    <row r="623">
      <c r="A623" t="inlineStr">
        <is>
          <t>Split by SYS_FLAG</t>
        </is>
      </c>
      <c r="B623" t="inlineStr">
        <is>
          <t>Earned before losses</t>
        </is>
      </c>
      <c r="C623" t="n">
        <v>888</v>
      </c>
      <c r="D623" t="inlineStr">
        <is>
          <t>ORIG_BAL 37,951 - 49,151</t>
        </is>
      </c>
      <c r="E623" t="inlineStr">
        <is>
          <t>Broker</t>
        </is>
      </c>
      <c r="F623" t="inlineStr">
        <is>
          <t>N</t>
        </is>
      </c>
      <c r="G623" t="n">
        <v>282</v>
      </c>
      <c r="H623" t="n">
        <v>-2.268424247288259</v>
      </c>
      <c r="J623" t="n">
        <v>49</v>
      </c>
      <c r="K623">
        <f>'_pockets'!$AI$888</f>
        <v/>
      </c>
      <c r="L623">
        <f>'_pockets'!$AJ$888</f>
        <v/>
      </c>
      <c r="M623">
        <f>IF(AND($A623='Pockets'!$D$17,$B623='Pockets'!$C$17,OR('Pockets'!$E$17="All",AND('Pockets'!$E$17="Worse and material",$K623="Yes",$L623="Yes"),AND('Pockets'!$E$17="Worse or not sure",OR($K623="Yes",$K623="Not sure")))),1,0)</f>
        <v/>
      </c>
      <c r="N623">
        <f>$N622+$M623</f>
        <v/>
      </c>
      <c r="O623" t="inlineStr">
        <is>
          <t>three-way</t>
        </is>
      </c>
      <c r="P623" t="inlineStr">
        <is>
          <t>contribution_rate</t>
        </is>
      </c>
    </row>
    <row r="624">
      <c r="A624" t="inlineStr">
        <is>
          <t>Split by SYS_FLAG</t>
        </is>
      </c>
      <c r="B624" t="inlineStr">
        <is>
          <t>Earned before losses</t>
        </is>
      </c>
      <c r="C624" t="n">
        <v>1113</v>
      </c>
      <c r="D624" t="inlineStr">
        <is>
          <t>ORIG_BAL 5,005 - 15,448</t>
        </is>
      </c>
      <c r="E624" t="inlineStr">
        <is>
          <t>ASSET_CLASS 2</t>
        </is>
      </c>
      <c r="F624" t="inlineStr">
        <is>
          <t>Y</t>
        </is>
      </c>
      <c r="G624" t="n">
        <v>160</v>
      </c>
      <c r="H624" t="n">
        <v>-2.98801190563261</v>
      </c>
      <c r="J624" t="n">
        <v>50</v>
      </c>
      <c r="K624">
        <f>'_pockets'!$AI$1113</f>
        <v/>
      </c>
      <c r="L624">
        <f>'_pockets'!$AJ$1113</f>
        <v/>
      </c>
      <c r="M624">
        <f>IF(AND($A624='Pockets'!$D$17,$B624='Pockets'!$C$17,OR('Pockets'!$E$17="All",AND('Pockets'!$E$17="Worse and material",$K624="Yes",$L624="Yes"),AND('Pockets'!$E$17="Worse or not sure",OR($K624="Yes",$K624="Not sure")))),1,0)</f>
        <v/>
      </c>
      <c r="N624">
        <f>$N623+$M624</f>
        <v/>
      </c>
      <c r="O624" t="inlineStr">
        <is>
          <t>three-way</t>
        </is>
      </c>
      <c r="P624" t="inlineStr">
        <is>
          <t>contribution_rate</t>
        </is>
      </c>
    </row>
    <row r="625">
      <c r="A625" t="inlineStr">
        <is>
          <t>Split by SYS_FLAG</t>
        </is>
      </c>
      <c r="B625" t="inlineStr">
        <is>
          <t>Earned before losses</t>
        </is>
      </c>
      <c r="C625" t="n">
        <v>628</v>
      </c>
      <c r="D625" t="inlineStr">
        <is>
          <t>FICO 746 - 921</t>
        </is>
      </c>
      <c r="E625" t="inlineStr">
        <is>
          <t>ASSET_CLASS 2</t>
        </is>
      </c>
      <c r="F625" t="inlineStr">
        <is>
          <t>Y</t>
        </is>
      </c>
      <c r="G625" t="n">
        <v>180</v>
      </c>
      <c r="H625" t="n">
        <v>-2.820725722144742</v>
      </c>
      <c r="J625" t="n">
        <v>51</v>
      </c>
      <c r="K625">
        <f>'_pockets'!$AI$628</f>
        <v/>
      </c>
      <c r="L625">
        <f>'_pockets'!$AJ$628</f>
        <v/>
      </c>
      <c r="M625">
        <f>IF(AND($A625='Pockets'!$D$17,$B625='Pockets'!$C$17,OR('Pockets'!$E$17="All",AND('Pockets'!$E$17="Worse and material",$K625="Yes",$L625="Yes"),AND('Pockets'!$E$17="Worse or not sure",OR($K625="Yes",$K625="Not sure")))),1,0)</f>
        <v/>
      </c>
      <c r="N625">
        <f>$N624+$M625</f>
        <v/>
      </c>
      <c r="O625" t="inlineStr">
        <is>
          <t>three-way</t>
        </is>
      </c>
      <c r="P625" t="inlineStr">
        <is>
          <t>contribution_rate</t>
        </is>
      </c>
    </row>
    <row r="626">
      <c r="A626" t="inlineStr">
        <is>
          <t>Split by SYS_FLAG</t>
        </is>
      </c>
      <c r="B626" t="inlineStr">
        <is>
          <t>Earned before losses</t>
        </is>
      </c>
      <c r="C626" t="n">
        <v>983</v>
      </c>
      <c r="D626" t="inlineStr">
        <is>
          <t>ORIG_BAL 15,449 - 26,323</t>
        </is>
      </c>
      <c r="E626" t="inlineStr">
        <is>
          <t>Broker</t>
        </is>
      </c>
      <c r="F626" t="inlineStr">
        <is>
          <t>Y</t>
        </is>
      </c>
      <c r="G626" t="n">
        <v>244</v>
      </c>
      <c r="H626" t="n">
        <v>-2.432692033754823</v>
      </c>
      <c r="J626" t="n">
        <v>52</v>
      </c>
      <c r="K626">
        <f>'_pockets'!$AI$983</f>
        <v/>
      </c>
      <c r="L626">
        <f>'_pockets'!$AJ$983</f>
        <v/>
      </c>
      <c r="M626">
        <f>IF(AND($A626='Pockets'!$D$17,$B626='Pockets'!$C$17,OR('Pockets'!$E$17="All",AND('Pockets'!$E$17="Worse and material",$K626="Yes",$L626="Yes"),AND('Pockets'!$E$17="Worse or not sure",OR($K626="Yes",$K626="Not sure")))),1,0)</f>
        <v/>
      </c>
      <c r="N626">
        <f>$N625+$M626</f>
        <v/>
      </c>
      <c r="O626" t="inlineStr">
        <is>
          <t>three-way</t>
        </is>
      </c>
      <c r="P626" t="inlineStr">
        <is>
          <t>contribution_rate</t>
        </is>
      </c>
    </row>
    <row r="627">
      <c r="A627" t="inlineStr">
        <is>
          <t>Split by SYS_FLAG</t>
        </is>
      </c>
      <c r="B627" t="inlineStr">
        <is>
          <t>Earned before losses</t>
        </is>
      </c>
      <c r="C627" t="n">
        <v>793</v>
      </c>
      <c r="D627" t="inlineStr">
        <is>
          <t>FICO 686 - 711</t>
        </is>
      </c>
      <c r="E627" t="inlineStr">
        <is>
          <t>ASSET_CLASS 3</t>
        </is>
      </c>
      <c r="F627" t="inlineStr">
        <is>
          <t>N</t>
        </is>
      </c>
      <c r="G627" t="n">
        <v>192</v>
      </c>
      <c r="H627" t="n">
        <v>-2.733254404703814</v>
      </c>
      <c r="J627" t="n">
        <v>53</v>
      </c>
      <c r="K627">
        <f>'_pockets'!$AI$793</f>
        <v/>
      </c>
      <c r="L627">
        <f>'_pockets'!$AJ$793</f>
        <v/>
      </c>
      <c r="M627">
        <f>IF(AND($A627='Pockets'!$D$17,$B627='Pockets'!$C$17,OR('Pockets'!$E$17="All",AND('Pockets'!$E$17="Worse and material",$K627="Yes",$L627="Yes"),AND('Pockets'!$E$17="Worse or not sure",OR($K627="Yes",$K627="Not sure")))),1,0)</f>
        <v/>
      </c>
      <c r="N627">
        <f>$N626+$M627</f>
        <v/>
      </c>
      <c r="O627" t="inlineStr">
        <is>
          <t>three-way</t>
        </is>
      </c>
      <c r="P627" t="inlineStr">
        <is>
          <t>contribution_rate</t>
        </is>
      </c>
    </row>
    <row r="628">
      <c r="A628" t="inlineStr">
        <is>
          <t>Split by SYS_FLAG</t>
        </is>
      </c>
      <c r="B628" t="inlineStr">
        <is>
          <t>Earned before losses</t>
        </is>
      </c>
      <c r="C628" t="n">
        <v>973</v>
      </c>
      <c r="D628" t="inlineStr">
        <is>
          <t>ORIG_BAL 37,951 - 49,151</t>
        </is>
      </c>
      <c r="E628" t="inlineStr">
        <is>
          <t>Broker</t>
        </is>
      </c>
      <c r="F628" t="inlineStr">
        <is>
          <t>Y</t>
        </is>
      </c>
      <c r="G628" t="n">
        <v>249</v>
      </c>
      <c r="H628" t="n">
        <v>-2.408920350127297</v>
      </c>
      <c r="J628" t="n">
        <v>54</v>
      </c>
      <c r="K628">
        <f>'_pockets'!$AI$973</f>
        <v/>
      </c>
      <c r="L628">
        <f>'_pockets'!$AJ$973</f>
        <v/>
      </c>
      <c r="M628">
        <f>IF(AND($A628='Pockets'!$D$17,$B628='Pockets'!$C$17,OR('Pockets'!$E$17="All",AND('Pockets'!$E$17="Worse and material",$K628="Yes",$L628="Yes"),AND('Pockets'!$E$17="Worse or not sure",OR($K628="Yes",$K628="Not sure")))),1,0)</f>
        <v/>
      </c>
      <c r="N628">
        <f>$N627+$M628</f>
        <v/>
      </c>
      <c r="O628" t="inlineStr">
        <is>
          <t>three-way</t>
        </is>
      </c>
      <c r="P628" t="inlineStr">
        <is>
          <t>contribution_rate</t>
        </is>
      </c>
    </row>
    <row r="629">
      <c r="A629" t="inlineStr">
        <is>
          <t>Split by SYS_FLAG</t>
        </is>
      </c>
      <c r="B629" t="inlineStr">
        <is>
          <t>Earned before losses</t>
        </is>
      </c>
      <c r="C629" t="n">
        <v>568</v>
      </c>
      <c r="D629" t="inlineStr">
        <is>
          <t>FICO (marked missing)</t>
        </is>
      </c>
      <c r="E629" t="inlineStr">
        <is>
          <t>Branch</t>
        </is>
      </c>
      <c r="F629" t="inlineStr">
        <is>
          <t>N</t>
        </is>
      </c>
      <c r="G629" t="n">
        <v>29</v>
      </c>
      <c r="H629" t="n">
        <v>-6.960557606748463</v>
      </c>
      <c r="J629" t="n">
        <v>55</v>
      </c>
      <c r="K629">
        <f>'_pockets'!$AI$568</f>
        <v/>
      </c>
      <c r="L629">
        <f>'_pockets'!$AJ$568</f>
        <v/>
      </c>
      <c r="M629">
        <f>IF(AND($A629='Pockets'!$D$17,$B629='Pockets'!$C$17,OR('Pockets'!$E$17="All",AND('Pockets'!$E$17="Worse and material",$K629="Yes",$L629="Yes"),AND('Pockets'!$E$17="Worse or not sure",OR($K629="Yes",$K629="Not sure")))),1,0)</f>
        <v/>
      </c>
      <c r="N629">
        <f>$N628+$M629</f>
        <v/>
      </c>
      <c r="O629" t="inlineStr">
        <is>
          <t>three-way</t>
        </is>
      </c>
      <c r="P629" t="inlineStr">
        <is>
          <t>contribution_rate</t>
        </is>
      </c>
    </row>
    <row r="630">
      <c r="A630" t="inlineStr">
        <is>
          <t>Split by SYS_FLAG</t>
        </is>
      </c>
      <c r="B630" t="inlineStr">
        <is>
          <t>Earned before losses</t>
        </is>
      </c>
      <c r="C630" t="n">
        <v>898</v>
      </c>
      <c r="D630" t="inlineStr">
        <is>
          <t>ORIG_BAL 5,005 - 15,448</t>
        </is>
      </c>
      <c r="E630" t="inlineStr">
        <is>
          <t>Branch</t>
        </is>
      </c>
      <c r="F630" t="inlineStr">
        <is>
          <t>N</t>
        </is>
      </c>
      <c r="G630" t="n">
        <v>301</v>
      </c>
      <c r="H630" t="n">
        <v>-2.198370833040149</v>
      </c>
      <c r="J630" t="n">
        <v>56</v>
      </c>
      <c r="K630">
        <f>'_pockets'!$AI$898</f>
        <v/>
      </c>
      <c r="L630">
        <f>'_pockets'!$AJ$898</f>
        <v/>
      </c>
      <c r="M630">
        <f>IF(AND($A630='Pockets'!$D$17,$B630='Pockets'!$C$17,OR('Pockets'!$E$17="All",AND('Pockets'!$E$17="Worse and material",$K630="Yes",$L630="Yes"),AND('Pockets'!$E$17="Worse or not sure",OR($K630="Yes",$K630="Not sure")))),1,0)</f>
        <v/>
      </c>
      <c r="N630">
        <f>$N629+$M630</f>
        <v/>
      </c>
      <c r="O630" t="inlineStr">
        <is>
          <t>three-way</t>
        </is>
      </c>
      <c r="P630" t="inlineStr">
        <is>
          <t>contribution_rate</t>
        </is>
      </c>
    </row>
    <row r="631">
      <c r="A631" t="inlineStr">
        <is>
          <t>Split by SYS_FLAG</t>
        </is>
      </c>
      <c r="B631" t="inlineStr">
        <is>
          <t>Earned before losses</t>
        </is>
      </c>
      <c r="C631" t="n">
        <v>1153</v>
      </c>
      <c r="D631" t="inlineStr">
        <is>
          <t>ORIG_BAL 37,951 - 49,151</t>
        </is>
      </c>
      <c r="E631" t="inlineStr">
        <is>
          <t>ASSET_CLASS 4</t>
        </is>
      </c>
      <c r="F631" t="inlineStr">
        <is>
          <t>Y</t>
        </is>
      </c>
      <c r="G631" t="n">
        <v>189</v>
      </c>
      <c r="H631" t="n">
        <v>-2.754332273822399</v>
      </c>
      <c r="J631" t="n">
        <v>57</v>
      </c>
      <c r="K631">
        <f>'_pockets'!$AI$1153</f>
        <v/>
      </c>
      <c r="L631">
        <f>'_pockets'!$AJ$1153</f>
        <v/>
      </c>
      <c r="M631">
        <f>IF(AND($A631='Pockets'!$D$17,$B631='Pockets'!$C$17,OR('Pockets'!$E$17="All",AND('Pockets'!$E$17="Worse and material",$K631="Yes",$L631="Yes"),AND('Pockets'!$E$17="Worse or not sure",OR($K631="Yes",$K631="Not sure")))),1,0)</f>
        <v/>
      </c>
      <c r="N631">
        <f>$N630+$M631</f>
        <v/>
      </c>
      <c r="O631" t="inlineStr">
        <is>
          <t>three-way</t>
        </is>
      </c>
      <c r="P631" t="inlineStr">
        <is>
          <t>contribution_rate</t>
        </is>
      </c>
    </row>
    <row r="632">
      <c r="A632" t="inlineStr">
        <is>
          <t>Split by SYS_FLAG</t>
        </is>
      </c>
      <c r="B632" t="inlineStr">
        <is>
          <t>Earned before losses</t>
        </is>
      </c>
      <c r="C632" t="n">
        <v>483</v>
      </c>
      <c r="D632" t="inlineStr">
        <is>
          <t>FICO 746 - 921</t>
        </is>
      </c>
      <c r="E632" t="inlineStr">
        <is>
          <t>Online</t>
        </is>
      </c>
      <c r="F632" t="inlineStr">
        <is>
          <t>Y</t>
        </is>
      </c>
      <c r="G632" t="n">
        <v>225</v>
      </c>
      <c r="H632" t="n">
        <v>-2.530226218133299</v>
      </c>
      <c r="J632" t="n">
        <v>58</v>
      </c>
      <c r="K632">
        <f>'_pockets'!$AI$483</f>
        <v/>
      </c>
      <c r="L632">
        <f>'_pockets'!$AJ$483</f>
        <v/>
      </c>
      <c r="M632">
        <f>IF(AND($A632='Pockets'!$D$17,$B632='Pockets'!$C$17,OR('Pockets'!$E$17="All",AND('Pockets'!$E$17="Worse and material",$K632="Yes",$L632="Yes"),AND('Pockets'!$E$17="Worse or not sure",OR($K632="Yes",$K632="Not sure")))),1,0)</f>
        <v/>
      </c>
      <c r="N632">
        <f>$N631+$M632</f>
        <v/>
      </c>
      <c r="O632" t="inlineStr">
        <is>
          <t>three-way</t>
        </is>
      </c>
      <c r="P632" t="inlineStr">
        <is>
          <t>contribution_rate</t>
        </is>
      </c>
    </row>
    <row r="633">
      <c r="A633" t="inlineStr">
        <is>
          <t>Split by SYS_FLAG</t>
        </is>
      </c>
      <c r="B633" t="inlineStr">
        <is>
          <t>Earned before losses</t>
        </is>
      </c>
      <c r="C633" t="n">
        <v>733</v>
      </c>
      <c r="D633" t="inlineStr">
        <is>
          <t>FICO 712 - 745</t>
        </is>
      </c>
      <c r="E633" t="inlineStr">
        <is>
          <t>ASSET_CLASS 1</t>
        </is>
      </c>
      <c r="F633" t="inlineStr">
        <is>
          <t>Y</t>
        </is>
      </c>
      <c r="G633" t="n">
        <v>167</v>
      </c>
      <c r="H633" t="n">
        <v>-2.926025434540191</v>
      </c>
      <c r="J633" t="n">
        <v>59</v>
      </c>
      <c r="K633">
        <f>'_pockets'!$AI$733</f>
        <v/>
      </c>
      <c r="L633">
        <f>'_pockets'!$AJ$733</f>
        <v/>
      </c>
      <c r="M633">
        <f>IF(AND($A633='Pockets'!$D$17,$B633='Pockets'!$C$17,OR('Pockets'!$E$17="All",AND('Pockets'!$E$17="Worse and material",$K633="Yes",$L633="Yes"),AND('Pockets'!$E$17="Worse or not sure",OR($K633="Yes",$K633="Not sure")))),1,0)</f>
        <v/>
      </c>
      <c r="N633">
        <f>$N632+$M633</f>
        <v/>
      </c>
      <c r="O633" t="inlineStr">
        <is>
          <t>three-way</t>
        </is>
      </c>
      <c r="P633" t="inlineStr">
        <is>
          <t>contribution_rate</t>
        </is>
      </c>
    </row>
    <row r="634">
      <c r="A634" t="inlineStr">
        <is>
          <t>Split by SYS_FLAG</t>
        </is>
      </c>
      <c r="B634" t="inlineStr">
        <is>
          <t>Earned before losses</t>
        </is>
      </c>
      <c r="C634" t="n">
        <v>583</v>
      </c>
      <c r="D634" t="inlineStr">
        <is>
          <t>FICO (marked missing)</t>
        </is>
      </c>
      <c r="E634" t="inlineStr">
        <is>
          <t>Branch</t>
        </is>
      </c>
      <c r="F634" t="inlineStr">
        <is>
          <t>Y</t>
        </is>
      </c>
      <c r="G634" t="n">
        <v>22</v>
      </c>
      <c r="H634" t="n">
        <v>-7.988054723482414</v>
      </c>
      <c r="J634" t="n">
        <v>60</v>
      </c>
      <c r="K634">
        <f>'_pockets'!$AI$583</f>
        <v/>
      </c>
      <c r="L634">
        <f>'_pockets'!$AJ$583</f>
        <v/>
      </c>
      <c r="M634">
        <f>IF(AND($A634='Pockets'!$D$17,$B634='Pockets'!$C$17,OR('Pockets'!$E$17="All",AND('Pockets'!$E$17="Worse and material",$K634="Yes",$L634="Yes"),AND('Pockets'!$E$17="Worse or not sure",OR($K634="Yes",$K634="Not sure")))),1,0)</f>
        <v/>
      </c>
      <c r="N634">
        <f>$N633+$M634</f>
        <v/>
      </c>
      <c r="O634" t="inlineStr">
        <is>
          <t>three-way</t>
        </is>
      </c>
      <c r="P634" t="inlineStr">
        <is>
          <t>contribution_rate</t>
        </is>
      </c>
    </row>
    <row r="635">
      <c r="A635" t="inlineStr">
        <is>
          <t>Split by SYS_FLAG</t>
        </is>
      </c>
      <c r="B635" t="inlineStr">
        <is>
          <t>Earned before losses</t>
        </is>
      </c>
      <c r="C635" t="n">
        <v>893</v>
      </c>
      <c r="D635" t="inlineStr">
        <is>
          <t>ORIG_BAL 5,005 - 15,448</t>
        </is>
      </c>
      <c r="E635" t="inlineStr">
        <is>
          <t>Broker</t>
        </is>
      </c>
      <c r="F635" t="inlineStr">
        <is>
          <t>Y</t>
        </is>
      </c>
      <c r="G635" t="n">
        <v>237</v>
      </c>
      <c r="H635" t="n">
        <v>-2.467243024296824</v>
      </c>
      <c r="J635" t="n">
        <v>61</v>
      </c>
      <c r="K635">
        <f>'_pockets'!$AI$893</f>
        <v/>
      </c>
      <c r="L635">
        <f>'_pockets'!$AJ$893</f>
        <v/>
      </c>
      <c r="M635">
        <f>IF(AND($A635='Pockets'!$D$17,$B635='Pockets'!$C$17,OR('Pockets'!$E$17="All",AND('Pockets'!$E$17="Worse and material",$K635="Yes",$L635="Yes"),AND('Pockets'!$E$17="Worse or not sure",OR($K635="Yes",$K635="Not sure")))),1,0)</f>
        <v/>
      </c>
      <c r="N635">
        <f>$N634+$M635</f>
        <v/>
      </c>
      <c r="O635" t="inlineStr">
        <is>
          <t>three-way</t>
        </is>
      </c>
      <c r="P635" t="inlineStr">
        <is>
          <t>contribution_rate</t>
        </is>
      </c>
    </row>
    <row r="636">
      <c r="A636" t="inlineStr">
        <is>
          <t>Split by SYS_FLAG</t>
        </is>
      </c>
      <c r="B636" t="inlineStr">
        <is>
          <t>Earned before losses</t>
        </is>
      </c>
      <c r="C636" t="n">
        <v>1053</v>
      </c>
      <c r="D636" t="inlineStr">
        <is>
          <t>ORIG_BAL 5,005 - 15,448</t>
        </is>
      </c>
      <c r="E636" t="inlineStr">
        <is>
          <t>ASSET_CLASS 2</t>
        </is>
      </c>
      <c r="F636" t="inlineStr">
        <is>
          <t>N</t>
        </is>
      </c>
      <c r="G636" t="n">
        <v>244</v>
      </c>
      <c r="H636" t="n">
        <v>-2.432692033754823</v>
      </c>
      <c r="J636" t="n">
        <v>62</v>
      </c>
      <c r="K636">
        <f>'_pockets'!$AI$1053</f>
        <v/>
      </c>
      <c r="L636">
        <f>'_pockets'!$AJ$1053</f>
        <v/>
      </c>
      <c r="M636">
        <f>IF(AND($A636='Pockets'!$D$17,$B636='Pockets'!$C$17,OR('Pockets'!$E$17="All",AND('Pockets'!$E$17="Worse and material",$K636="Yes",$L636="Yes"),AND('Pockets'!$E$17="Worse or not sure",OR($K636="Yes",$K636="Not sure")))),1,0)</f>
        <v/>
      </c>
      <c r="N636">
        <f>$N635+$M636</f>
        <v/>
      </c>
      <c r="O636" t="inlineStr">
        <is>
          <t>three-way</t>
        </is>
      </c>
      <c r="P636" t="inlineStr">
        <is>
          <t>contribution_rate</t>
        </is>
      </c>
    </row>
    <row r="637">
      <c r="A637" t="inlineStr">
        <is>
          <t>Split by SYS_FLAG</t>
        </is>
      </c>
      <c r="B637" t="inlineStr">
        <is>
          <t>Earned before losses</t>
        </is>
      </c>
      <c r="C637" t="n">
        <v>703</v>
      </c>
      <c r="D637" t="inlineStr">
        <is>
          <t>FICO 654 - 685</t>
        </is>
      </c>
      <c r="E637" t="inlineStr">
        <is>
          <t>ASSET_CLASS 4</t>
        </is>
      </c>
      <c r="F637" t="inlineStr">
        <is>
          <t>N</t>
        </is>
      </c>
      <c r="G637" t="n">
        <v>219</v>
      </c>
      <c r="H637" t="n">
        <v>-2.563663388567217</v>
      </c>
      <c r="J637" t="n">
        <v>63</v>
      </c>
      <c r="K637">
        <f>'_pockets'!$AI$703</f>
        <v/>
      </c>
      <c r="L637">
        <f>'_pockets'!$AJ$703</f>
        <v/>
      </c>
      <c r="M637">
        <f>IF(AND($A637='Pockets'!$D$17,$B637='Pockets'!$C$17,OR('Pockets'!$E$17="All",AND('Pockets'!$E$17="Worse and material",$K637="Yes",$L637="Yes"),AND('Pockets'!$E$17="Worse or not sure",OR($K637="Yes",$K637="Not sure")))),1,0)</f>
        <v/>
      </c>
      <c r="N637">
        <f>$N636+$M637</f>
        <v/>
      </c>
      <c r="O637" t="inlineStr">
        <is>
          <t>three-way</t>
        </is>
      </c>
      <c r="P637" t="inlineStr">
        <is>
          <t>contribution_rate</t>
        </is>
      </c>
    </row>
    <row r="638">
      <c r="A638" t="inlineStr">
        <is>
          <t>Split by SYS_FLAG</t>
        </is>
      </c>
      <c r="B638" t="inlineStr">
        <is>
          <t>Earned before losses</t>
        </is>
      </c>
      <c r="C638" t="n">
        <v>1003</v>
      </c>
      <c r="D638" t="inlineStr">
        <is>
          <t>ORIG_BAL 26,324 - 37,950</t>
        </is>
      </c>
      <c r="E638" t="inlineStr">
        <is>
          <t>ASSET_CLASS 2</t>
        </is>
      </c>
      <c r="F638" t="inlineStr">
        <is>
          <t>Y</t>
        </is>
      </c>
      <c r="G638" t="n">
        <v>179</v>
      </c>
      <c r="H638" t="n">
        <v>-2.82841298524499</v>
      </c>
      <c r="J638" t="n">
        <v>64</v>
      </c>
      <c r="K638">
        <f>'_pockets'!$AI$1003</f>
        <v/>
      </c>
      <c r="L638">
        <f>'_pockets'!$AJ$1003</f>
        <v/>
      </c>
      <c r="M638">
        <f>IF(AND($A638='Pockets'!$D$17,$B638='Pockets'!$C$17,OR('Pockets'!$E$17="All",AND('Pockets'!$E$17="Worse and material",$K638="Yes",$L638="Yes"),AND('Pockets'!$E$17="Worse or not sure",OR($K638="Yes",$K638="Not sure")))),1,0)</f>
        <v/>
      </c>
      <c r="N638">
        <f>$N637+$M638</f>
        <v/>
      </c>
      <c r="O638" t="inlineStr">
        <is>
          <t>three-way</t>
        </is>
      </c>
      <c r="P638" t="inlineStr">
        <is>
          <t>contribution_rate</t>
        </is>
      </c>
    </row>
    <row r="639">
      <c r="A639" t="inlineStr">
        <is>
          <t>Split by SYS_FLAG</t>
        </is>
      </c>
      <c r="B639" t="inlineStr">
        <is>
          <t>Earned before losses</t>
        </is>
      </c>
      <c r="C639" t="n">
        <v>548</v>
      </c>
      <c r="D639" t="inlineStr">
        <is>
          <t>FICO 496 - 653</t>
        </is>
      </c>
      <c r="E639" t="inlineStr">
        <is>
          <t>Online</t>
        </is>
      </c>
      <c r="F639" t="inlineStr">
        <is>
          <t>Y</t>
        </is>
      </c>
      <c r="G639" t="n">
        <v>226</v>
      </c>
      <c r="H639" t="n">
        <v>-2.524784579041438</v>
      </c>
      <c r="J639" t="n">
        <v>65</v>
      </c>
      <c r="K639">
        <f>'_pockets'!$AI$548</f>
        <v/>
      </c>
      <c r="L639">
        <f>'_pockets'!$AJ$548</f>
        <v/>
      </c>
      <c r="M639">
        <f>IF(AND($A639='Pockets'!$D$17,$B639='Pockets'!$C$17,OR('Pockets'!$E$17="All",AND('Pockets'!$E$17="Worse and material",$K639="Yes",$L639="Yes"),AND('Pockets'!$E$17="Worse or not sure",OR($K639="Yes",$K639="Not sure")))),1,0)</f>
        <v/>
      </c>
      <c r="N639">
        <f>$N638+$M639</f>
        <v/>
      </c>
      <c r="O639" t="inlineStr">
        <is>
          <t>three-way</t>
        </is>
      </c>
      <c r="P639" t="inlineStr">
        <is>
          <t>contribution_rate</t>
        </is>
      </c>
    </row>
    <row r="640">
      <c r="A640" t="inlineStr">
        <is>
          <t>Split by SYS_FLAG</t>
        </is>
      </c>
      <c r="B640" t="inlineStr">
        <is>
          <t>Earned before losses</t>
        </is>
      </c>
      <c r="C640" t="n">
        <v>1148</v>
      </c>
      <c r="D640" t="inlineStr">
        <is>
          <t>ORIG_BAL 15,449 - 26,323</t>
        </is>
      </c>
      <c r="E640" t="inlineStr">
        <is>
          <t>ASSET_CLASS 3</t>
        </is>
      </c>
      <c r="F640" t="inlineStr">
        <is>
          <t>Y</t>
        </is>
      </c>
      <c r="G640" t="n">
        <v>193</v>
      </c>
      <c r="H640" t="n">
        <v>-2.726338875237242</v>
      </c>
      <c r="J640" t="n">
        <v>66</v>
      </c>
      <c r="K640">
        <f>'_pockets'!$AI$1148</f>
        <v/>
      </c>
      <c r="L640">
        <f>'_pockets'!$AJ$1148</f>
        <v/>
      </c>
      <c r="M640">
        <f>IF(AND($A640='Pockets'!$D$17,$B640='Pockets'!$C$17,OR('Pockets'!$E$17="All",AND('Pockets'!$E$17="Worse and material",$K640="Yes",$L640="Yes"),AND('Pockets'!$E$17="Worse or not sure",OR($K640="Yes",$K640="Not sure")))),1,0)</f>
        <v/>
      </c>
      <c r="N640">
        <f>$N639+$M640</f>
        <v/>
      </c>
      <c r="O640" t="inlineStr">
        <is>
          <t>three-way</t>
        </is>
      </c>
      <c r="P640" t="inlineStr">
        <is>
          <t>contribution_rate</t>
        </is>
      </c>
    </row>
    <row r="641">
      <c r="A641" t="inlineStr">
        <is>
          <t>Split by SYS_FLAG</t>
        </is>
      </c>
      <c r="B641" t="inlineStr">
        <is>
          <t>Earned before losses</t>
        </is>
      </c>
      <c r="C641" t="n">
        <v>718</v>
      </c>
      <c r="D641" t="inlineStr">
        <is>
          <t>FICO 654 - 685</t>
        </is>
      </c>
      <c r="E641" t="inlineStr">
        <is>
          <t>ASSET_CLASS 2</t>
        </is>
      </c>
      <c r="F641" t="inlineStr">
        <is>
          <t>Y</t>
        </is>
      </c>
      <c r="G641" t="n">
        <v>163</v>
      </c>
      <c r="H641" t="n">
        <v>-2.960953873378878</v>
      </c>
      <c r="J641" t="n">
        <v>67</v>
      </c>
      <c r="K641">
        <f>'_pockets'!$AI$718</f>
        <v/>
      </c>
      <c r="L641">
        <f>'_pockets'!$AJ$718</f>
        <v/>
      </c>
      <c r="M641">
        <f>IF(AND($A641='Pockets'!$D$17,$B641='Pockets'!$C$17,OR('Pockets'!$E$17="All",AND('Pockets'!$E$17="Worse and material",$K641="Yes",$L641="Yes"),AND('Pockets'!$E$17="Worse or not sure",OR($K641="Yes",$K641="Not sure")))),1,0)</f>
        <v/>
      </c>
      <c r="N641">
        <f>$N640+$M641</f>
        <v/>
      </c>
      <c r="O641" t="inlineStr">
        <is>
          <t>three-way</t>
        </is>
      </c>
      <c r="P641" t="inlineStr">
        <is>
          <t>contribution_rate</t>
        </is>
      </c>
    </row>
    <row r="642">
      <c r="A642" t="inlineStr">
        <is>
          <t>Split by SYS_FLAG</t>
        </is>
      </c>
      <c r="B642" t="inlineStr">
        <is>
          <t>Earned before losses</t>
        </is>
      </c>
      <c r="C642" t="n">
        <v>1028</v>
      </c>
      <c r="D642" t="inlineStr">
        <is>
          <t>ORIG_BAL 37,951 - 49,151</t>
        </is>
      </c>
      <c r="E642" t="inlineStr">
        <is>
          <t>ASSET_CLASS 2</t>
        </is>
      </c>
      <c r="F642" t="inlineStr">
        <is>
          <t>Y</t>
        </is>
      </c>
      <c r="G642" t="n">
        <v>199</v>
      </c>
      <c r="H642" t="n">
        <v>-2.685956322269449</v>
      </c>
      <c r="J642" t="n">
        <v>68</v>
      </c>
      <c r="K642">
        <f>'_pockets'!$AI$1028</f>
        <v/>
      </c>
      <c r="L642">
        <f>'_pockets'!$AJ$1028</f>
        <v/>
      </c>
      <c r="M642">
        <f>IF(AND($A642='Pockets'!$D$17,$B642='Pockets'!$C$17,OR('Pockets'!$E$17="All",AND('Pockets'!$E$17="Worse and material",$K642="Yes",$L642="Yes"),AND('Pockets'!$E$17="Worse or not sure",OR($K642="Yes",$K642="Not sure")))),1,0)</f>
        <v/>
      </c>
      <c r="N642">
        <f>$N641+$M642</f>
        <v/>
      </c>
      <c r="O642" t="inlineStr">
        <is>
          <t>three-way</t>
        </is>
      </c>
      <c r="P642" t="inlineStr">
        <is>
          <t>contribution_rate</t>
        </is>
      </c>
    </row>
    <row r="643">
      <c r="A643" t="inlineStr">
        <is>
          <t>Split by SYS_FLAG</t>
        </is>
      </c>
      <c r="B643" t="inlineStr">
        <is>
          <t>Earned before losses</t>
        </is>
      </c>
      <c r="C643" t="n">
        <v>1138</v>
      </c>
      <c r="D643" t="inlineStr">
        <is>
          <t>ORIG_BAL 15,449 - 26,323</t>
        </is>
      </c>
      <c r="E643" t="inlineStr">
        <is>
          <t>ASSET_CLASS 1</t>
        </is>
      </c>
      <c r="F643" t="inlineStr">
        <is>
          <t>Y</t>
        </is>
      </c>
      <c r="G643" t="n">
        <v>180</v>
      </c>
      <c r="H643" t="n">
        <v>-2.820725722144742</v>
      </c>
      <c r="J643" t="n">
        <v>69</v>
      </c>
      <c r="K643">
        <f>'_pockets'!$AI$1138</f>
        <v/>
      </c>
      <c r="L643">
        <f>'_pockets'!$AJ$1138</f>
        <v/>
      </c>
      <c r="M643">
        <f>IF(AND($A643='Pockets'!$D$17,$B643='Pockets'!$C$17,OR('Pockets'!$E$17="All",AND('Pockets'!$E$17="Worse and material",$K643="Yes",$L643="Yes"),AND('Pockets'!$E$17="Worse or not sure",OR($K643="Yes",$K643="Not sure")))),1,0)</f>
        <v/>
      </c>
      <c r="N643">
        <f>$N642+$M643</f>
        <v/>
      </c>
      <c r="O643" t="inlineStr">
        <is>
          <t>three-way</t>
        </is>
      </c>
      <c r="P643" t="inlineStr">
        <is>
          <t>contribution_rate</t>
        </is>
      </c>
    </row>
    <row r="644">
      <c r="A644" t="inlineStr">
        <is>
          <t>Split by SYS_FLAG</t>
        </is>
      </c>
      <c r="B644" t="inlineStr">
        <is>
          <t>Earned before losses</t>
        </is>
      </c>
      <c r="C644" t="n">
        <v>463</v>
      </c>
      <c r="D644" t="inlineStr">
        <is>
          <t>FICO 746 - 921</t>
        </is>
      </c>
      <c r="E644" t="inlineStr">
        <is>
          <t>Online</t>
        </is>
      </c>
      <c r="F644" t="inlineStr">
        <is>
          <t>N</t>
        </is>
      </c>
      <c r="G644" t="n">
        <v>292</v>
      </c>
      <c r="H644" t="n">
        <v>-2.23068895238227</v>
      </c>
      <c r="J644" t="n">
        <v>70</v>
      </c>
      <c r="K644">
        <f>'_pockets'!$AI$463</f>
        <v/>
      </c>
      <c r="L644">
        <f>'_pockets'!$AJ$463</f>
        <v/>
      </c>
      <c r="M644">
        <f>IF(AND($A644='Pockets'!$D$17,$B644='Pockets'!$C$17,OR('Pockets'!$E$17="All",AND('Pockets'!$E$17="Worse and material",$K644="Yes",$L644="Yes"),AND('Pockets'!$E$17="Worse or not sure",OR($K644="Yes",$K644="Not sure")))),1,0)</f>
        <v/>
      </c>
      <c r="N644">
        <f>$N643+$M644</f>
        <v/>
      </c>
      <c r="O644" t="inlineStr">
        <is>
          <t>three-way</t>
        </is>
      </c>
      <c r="P644" t="inlineStr">
        <is>
          <t>contribution_rate</t>
        </is>
      </c>
    </row>
    <row r="645">
      <c r="A645" t="inlineStr">
        <is>
          <t>Split by SYS_FLAG</t>
        </is>
      </c>
      <c r="B645" t="inlineStr">
        <is>
          <t>Earned before losses</t>
        </is>
      </c>
      <c r="C645" t="n">
        <v>618</v>
      </c>
      <c r="D645" t="inlineStr">
        <is>
          <t>FICO 496 - 653</t>
        </is>
      </c>
      <c r="E645" t="inlineStr">
        <is>
          <t>ASSET_CLASS 2</t>
        </is>
      </c>
      <c r="F645" t="inlineStr">
        <is>
          <t>N</t>
        </is>
      </c>
      <c r="G645" t="n">
        <v>213</v>
      </c>
      <c r="H645" t="n">
        <v>-2.598518626858829</v>
      </c>
      <c r="J645" t="n">
        <v>71</v>
      </c>
      <c r="K645">
        <f>'_pockets'!$AI$618</f>
        <v/>
      </c>
      <c r="L645">
        <f>'_pockets'!$AJ$618</f>
        <v/>
      </c>
      <c r="M645">
        <f>IF(AND($A645='Pockets'!$D$17,$B645='Pockets'!$C$17,OR('Pockets'!$E$17="All",AND('Pockets'!$E$17="Worse and material",$K645="Yes",$L645="Yes"),AND('Pockets'!$E$17="Worse or not sure",OR($K645="Yes",$K645="Not sure")))),1,0)</f>
        <v/>
      </c>
      <c r="N645">
        <f>$N644+$M645</f>
        <v/>
      </c>
      <c r="O645" t="inlineStr">
        <is>
          <t>three-way</t>
        </is>
      </c>
      <c r="P645" t="inlineStr">
        <is>
          <t>contribution_rate</t>
        </is>
      </c>
    </row>
    <row r="646">
      <c r="A646" t="inlineStr">
        <is>
          <t>Split by SYS_FLAG</t>
        </is>
      </c>
      <c r="B646" t="inlineStr">
        <is>
          <t>Earned before losses</t>
        </is>
      </c>
      <c r="C646" t="n">
        <v>658</v>
      </c>
      <c r="D646" t="inlineStr">
        <is>
          <t>FICO 686 - 711</t>
        </is>
      </c>
      <c r="E646" t="inlineStr">
        <is>
          <t>ASSET_CLASS 4</t>
        </is>
      </c>
      <c r="F646" t="inlineStr">
        <is>
          <t>Y</t>
        </is>
      </c>
      <c r="G646" t="n">
        <v>172</v>
      </c>
      <c r="H646" t="n">
        <v>-2.884103218842526</v>
      </c>
      <c r="J646" t="n">
        <v>72</v>
      </c>
      <c r="K646">
        <f>'_pockets'!$AI$658</f>
        <v/>
      </c>
      <c r="L646">
        <f>'_pockets'!$AJ$658</f>
        <v/>
      </c>
      <c r="M646">
        <f>IF(AND($A646='Pockets'!$D$17,$B646='Pockets'!$C$17,OR('Pockets'!$E$17="All",AND('Pockets'!$E$17="Worse and material",$K646="Yes",$L646="Yes"),AND('Pockets'!$E$17="Worse or not sure",OR($K646="Yes",$K646="Not sure")))),1,0)</f>
        <v/>
      </c>
      <c r="N646">
        <f>$N645+$M646</f>
        <v/>
      </c>
      <c r="O646" t="inlineStr">
        <is>
          <t>three-way</t>
        </is>
      </c>
      <c r="P646" t="inlineStr">
        <is>
          <t>contribution_rate</t>
        </is>
      </c>
    </row>
    <row r="647">
      <c r="A647" t="inlineStr">
        <is>
          <t>Split by SYS_FLAG</t>
        </is>
      </c>
      <c r="B647" t="inlineStr">
        <is>
          <t>Earned before losses</t>
        </is>
      </c>
      <c r="C647" t="n">
        <v>828</v>
      </c>
      <c r="D647" t="inlineStr">
        <is>
          <t>FICO (marked missing)</t>
        </is>
      </c>
      <c r="E647" t="inlineStr">
        <is>
          <t>ASSET_CLASS 2</t>
        </is>
      </c>
      <c r="F647" t="inlineStr">
        <is>
          <t>N</t>
        </is>
      </c>
      <c r="G647" t="n">
        <v>18</v>
      </c>
      <c r="H647" t="n">
        <v>-8.828913181797466</v>
      </c>
      <c r="J647" t="n">
        <v>73</v>
      </c>
      <c r="K647">
        <f>'_pockets'!$AI$828</f>
        <v/>
      </c>
      <c r="L647">
        <f>'_pockets'!$AJ$828</f>
        <v/>
      </c>
      <c r="M647">
        <f>IF(AND($A647='Pockets'!$D$17,$B647='Pockets'!$C$17,OR('Pockets'!$E$17="All",AND('Pockets'!$E$17="Worse and material",$K647="Yes",$L647="Yes"),AND('Pockets'!$E$17="Worse or not sure",OR($K647="Yes",$K647="Not sure")))),1,0)</f>
        <v/>
      </c>
      <c r="N647">
        <f>$N646+$M647</f>
        <v/>
      </c>
      <c r="O647" t="inlineStr">
        <is>
          <t>three-way</t>
        </is>
      </c>
      <c r="P647" t="inlineStr">
        <is>
          <t>contribution_rate</t>
        </is>
      </c>
    </row>
    <row r="648">
      <c r="A648" t="inlineStr">
        <is>
          <t>Split by SYS_FLAG</t>
        </is>
      </c>
      <c r="B648" t="inlineStr">
        <is>
          <t>Earned before losses</t>
        </is>
      </c>
      <c r="C648" t="n">
        <v>593</v>
      </c>
      <c r="D648" t="inlineStr">
        <is>
          <t>FICO (marked missing)</t>
        </is>
      </c>
      <c r="E648" t="inlineStr">
        <is>
          <t>Broker</t>
        </is>
      </c>
      <c r="F648" t="inlineStr">
        <is>
          <t>Y</t>
        </is>
      </c>
      <c r="G648" t="n">
        <v>25</v>
      </c>
      <c r="H648" t="n">
        <v>-7.494869202160485</v>
      </c>
      <c r="J648" t="n">
        <v>74</v>
      </c>
      <c r="K648">
        <f>'_pockets'!$AI$593</f>
        <v/>
      </c>
      <c r="L648">
        <f>'_pockets'!$AJ$593</f>
        <v/>
      </c>
      <c r="M648">
        <f>IF(AND($A648='Pockets'!$D$17,$B648='Pockets'!$C$17,OR('Pockets'!$E$17="All",AND('Pockets'!$E$17="Worse and material",$K648="Yes",$L648="Yes"),AND('Pockets'!$E$17="Worse or not sure",OR($K648="Yes",$K648="Not sure")))),1,0)</f>
        <v/>
      </c>
      <c r="N648">
        <f>$N647+$M648</f>
        <v/>
      </c>
      <c r="O648" t="inlineStr">
        <is>
          <t>three-way</t>
        </is>
      </c>
      <c r="P648" t="inlineStr">
        <is>
          <t>contribution_rate</t>
        </is>
      </c>
    </row>
    <row r="649">
      <c r="A649" t="inlineStr">
        <is>
          <t>Split by SYS_FLAG</t>
        </is>
      </c>
      <c r="B649" t="inlineStr">
        <is>
          <t>Earned before losses</t>
        </is>
      </c>
      <c r="C649" t="n">
        <v>823</v>
      </c>
      <c r="D649" t="inlineStr">
        <is>
          <t>FICO (marked missing)</t>
        </is>
      </c>
      <c r="E649" t="inlineStr">
        <is>
          <t>ASSET_CLASS 4</t>
        </is>
      </c>
      <c r="F649" t="inlineStr">
        <is>
          <t>N</t>
        </is>
      </c>
      <c r="G649" t="n">
        <v>22</v>
      </c>
      <c r="H649" t="n">
        <v>-7.988054723482414</v>
      </c>
      <c r="J649" t="n">
        <v>75</v>
      </c>
      <c r="K649">
        <f>'_pockets'!$AI$823</f>
        <v/>
      </c>
      <c r="L649">
        <f>'_pockets'!$AJ$823</f>
        <v/>
      </c>
      <c r="M649">
        <f>IF(AND($A649='Pockets'!$D$17,$B649='Pockets'!$C$17,OR('Pockets'!$E$17="All",AND('Pockets'!$E$17="Worse and material",$K649="Yes",$L649="Yes"),AND('Pockets'!$E$17="Worse or not sure",OR($K649="Yes",$K649="Not sure")))),1,0)</f>
        <v/>
      </c>
      <c r="N649">
        <f>$N648+$M649</f>
        <v/>
      </c>
      <c r="O649" t="inlineStr">
        <is>
          <t>three-way</t>
        </is>
      </c>
      <c r="P649" t="inlineStr">
        <is>
          <t>contribution_rate</t>
        </is>
      </c>
    </row>
    <row r="650">
      <c r="A650" t="inlineStr">
        <is>
          <t>Split by SYS_FLAG</t>
        </is>
      </c>
      <c r="B650" t="inlineStr">
        <is>
          <t>Earned before losses</t>
        </is>
      </c>
      <c r="C650" t="n">
        <v>748</v>
      </c>
      <c r="D650" t="inlineStr">
        <is>
          <t>FICO 746 - 921</t>
        </is>
      </c>
      <c r="E650" t="inlineStr">
        <is>
          <t>ASSET_CLASS 4</t>
        </is>
      </c>
      <c r="F650" t="inlineStr">
        <is>
          <t>N</t>
        </is>
      </c>
      <c r="G650" t="n">
        <v>209</v>
      </c>
      <c r="H650" t="n">
        <v>-2.622593312860822</v>
      </c>
      <c r="J650" t="n">
        <v>76</v>
      </c>
      <c r="K650">
        <f>'_pockets'!$AI$748</f>
        <v/>
      </c>
      <c r="L650">
        <f>'_pockets'!$AJ$748</f>
        <v/>
      </c>
      <c r="M650">
        <f>IF(AND($A650='Pockets'!$D$17,$B650='Pockets'!$C$17,OR('Pockets'!$E$17="All",AND('Pockets'!$E$17="Worse and material",$K650="Yes",$L650="Yes"),AND('Pockets'!$E$17="Worse or not sure",OR($K650="Yes",$K650="Not sure")))),1,0)</f>
        <v/>
      </c>
      <c r="N650">
        <f>$N649+$M650</f>
        <v/>
      </c>
      <c r="O650" t="inlineStr">
        <is>
          <t>three-way</t>
        </is>
      </c>
      <c r="P650" t="inlineStr">
        <is>
          <t>contribution_rate</t>
        </is>
      </c>
    </row>
    <row r="651">
      <c r="A651" t="inlineStr">
        <is>
          <t>Split by SYS_FLAG</t>
        </is>
      </c>
      <c r="B651" t="inlineStr">
        <is>
          <t>Earned before losses</t>
        </is>
      </c>
      <c r="C651" t="n">
        <v>1133</v>
      </c>
      <c r="D651" t="inlineStr">
        <is>
          <t>ORIG_BAL 15,449 - 26,323</t>
        </is>
      </c>
      <c r="E651" t="inlineStr">
        <is>
          <t>ASSET_CLASS 3</t>
        </is>
      </c>
      <c r="F651" t="inlineStr">
        <is>
          <t>N</t>
        </is>
      </c>
      <c r="G651" t="n">
        <v>234</v>
      </c>
      <c r="H651" t="n">
        <v>-2.482528553831983</v>
      </c>
      <c r="J651" t="n">
        <v>77</v>
      </c>
      <c r="K651">
        <f>'_pockets'!$AI$1133</f>
        <v/>
      </c>
      <c r="L651">
        <f>'_pockets'!$AJ$1133</f>
        <v/>
      </c>
      <c r="M651">
        <f>IF(AND($A651='Pockets'!$D$17,$B651='Pockets'!$C$17,OR('Pockets'!$E$17="All",AND('Pockets'!$E$17="Worse and material",$K651="Yes",$L651="Yes"),AND('Pockets'!$E$17="Worse or not sure",OR($K651="Yes",$K651="Not sure")))),1,0)</f>
        <v/>
      </c>
      <c r="N651">
        <f>$N650+$M651</f>
        <v/>
      </c>
      <c r="O651" t="inlineStr">
        <is>
          <t>three-way</t>
        </is>
      </c>
      <c r="P651" t="inlineStr">
        <is>
          <t>contribution_rate</t>
        </is>
      </c>
    </row>
    <row r="652">
      <c r="A652" t="inlineStr">
        <is>
          <t>Split by SYS_FLAG</t>
        </is>
      </c>
      <c r="B652" t="inlineStr">
        <is>
          <t>Earned before losses</t>
        </is>
      </c>
      <c r="C652" t="n">
        <v>1073</v>
      </c>
      <c r="D652" t="inlineStr">
        <is>
          <t>ORIG_BAL 5,005 - 15,448</t>
        </is>
      </c>
      <c r="E652" t="inlineStr">
        <is>
          <t>ASSET_CLASS 3</t>
        </is>
      </c>
      <c r="F652" t="inlineStr">
        <is>
          <t>N</t>
        </is>
      </c>
      <c r="G652" t="n">
        <v>170</v>
      </c>
      <c r="H652" t="n">
        <v>-2.900648306456116</v>
      </c>
      <c r="J652" t="n">
        <v>78</v>
      </c>
      <c r="K652">
        <f>'_pockets'!$AI$1073</f>
        <v/>
      </c>
      <c r="L652">
        <f>'_pockets'!$AJ$1073</f>
        <v/>
      </c>
      <c r="M652">
        <f>IF(AND($A652='Pockets'!$D$17,$B652='Pockets'!$C$17,OR('Pockets'!$E$17="All",AND('Pockets'!$E$17="Worse and material",$K652="Yes",$L652="Yes"),AND('Pockets'!$E$17="Worse or not sure",OR($K652="Yes",$K652="Not sure")))),1,0)</f>
        <v/>
      </c>
      <c r="N652">
        <f>$N651+$M652</f>
        <v/>
      </c>
      <c r="O652" t="inlineStr">
        <is>
          <t>three-way</t>
        </is>
      </c>
      <c r="P652" t="inlineStr">
        <is>
          <t>contribution_rate</t>
        </is>
      </c>
    </row>
    <row r="653">
      <c r="A653" t="inlineStr">
        <is>
          <t>Split by SYS_FLAG</t>
        </is>
      </c>
      <c r="B653" t="inlineStr">
        <is>
          <t>Earned before losses</t>
        </is>
      </c>
      <c r="C653" t="n">
        <v>668</v>
      </c>
      <c r="D653" t="inlineStr">
        <is>
          <t>FICO 746 - 921</t>
        </is>
      </c>
      <c r="E653" t="inlineStr">
        <is>
          <t>ASSET_CLASS 4</t>
        </is>
      </c>
      <c r="F653" t="inlineStr">
        <is>
          <t>Y</t>
        </is>
      </c>
      <c r="G653" t="n">
        <v>164</v>
      </c>
      <c r="H653" t="n">
        <v>-2.952101169661384</v>
      </c>
      <c r="J653" t="n">
        <v>79</v>
      </c>
      <c r="K653">
        <f>'_pockets'!$AI$668</f>
        <v/>
      </c>
      <c r="L653">
        <f>'_pockets'!$AJ$668</f>
        <v/>
      </c>
      <c r="M653">
        <f>IF(AND($A653='Pockets'!$D$17,$B653='Pockets'!$C$17,OR('Pockets'!$E$17="All",AND('Pockets'!$E$17="Worse and material",$K653="Yes",$L653="Yes"),AND('Pockets'!$E$17="Worse or not sure",OR($K653="Yes",$K653="Not sure")))),1,0)</f>
        <v/>
      </c>
      <c r="N653">
        <f>$N652+$M653</f>
        <v/>
      </c>
      <c r="O653" t="inlineStr">
        <is>
          <t>three-way</t>
        </is>
      </c>
      <c r="P653" t="inlineStr">
        <is>
          <t>contribution_rate</t>
        </is>
      </c>
    </row>
    <row r="654">
      <c r="A654" t="inlineStr">
        <is>
          <t>Split by SYS_FLAG</t>
        </is>
      </c>
      <c r="B654" t="inlineStr">
        <is>
          <t>Earned before losses</t>
        </is>
      </c>
      <c r="C654" t="n">
        <v>838</v>
      </c>
      <c r="D654" t="inlineStr">
        <is>
          <t>FICO (marked missing)</t>
        </is>
      </c>
      <c r="E654" t="inlineStr">
        <is>
          <t>ASSET_CLASS 2</t>
        </is>
      </c>
      <c r="F654" t="inlineStr">
        <is>
          <t>Y</t>
        </is>
      </c>
      <c r="G654" t="n">
        <v>18</v>
      </c>
      <c r="H654" t="n">
        <v>-8.828913181797466</v>
      </c>
      <c r="J654" t="n">
        <v>80</v>
      </c>
      <c r="K654">
        <f>'_pockets'!$AI$838</f>
        <v/>
      </c>
      <c r="L654">
        <f>'_pockets'!$AJ$838</f>
        <v/>
      </c>
      <c r="M654">
        <f>IF(AND($A654='Pockets'!$D$17,$B654='Pockets'!$C$17,OR('Pockets'!$E$17="All",AND('Pockets'!$E$17="Worse and material",$K654="Yes",$L654="Yes"),AND('Pockets'!$E$17="Worse or not sure",OR($K654="Yes",$K654="Not sure")))),1,0)</f>
        <v/>
      </c>
      <c r="N654">
        <f>$N653+$M654</f>
        <v/>
      </c>
      <c r="O654" t="inlineStr">
        <is>
          <t>three-way</t>
        </is>
      </c>
      <c r="P654" t="inlineStr">
        <is>
          <t>contribution_rate</t>
        </is>
      </c>
    </row>
    <row r="655">
      <c r="A655" t="inlineStr">
        <is>
          <t>Split by SYS_FLAG</t>
        </is>
      </c>
      <c r="B655" t="inlineStr">
        <is>
          <t>Earned before losses</t>
        </is>
      </c>
      <c r="C655" t="n">
        <v>788</v>
      </c>
      <c r="D655" t="inlineStr">
        <is>
          <t>FICO 496 - 653</t>
        </is>
      </c>
      <c r="E655" t="inlineStr">
        <is>
          <t>ASSET_CLASS 4</t>
        </is>
      </c>
      <c r="F655" t="inlineStr">
        <is>
          <t>Y</t>
        </is>
      </c>
      <c r="G655" t="n">
        <v>189</v>
      </c>
      <c r="H655" t="n">
        <v>-2.754332273822399</v>
      </c>
      <c r="J655" t="n">
        <v>81</v>
      </c>
      <c r="K655">
        <f>'_pockets'!$AI$788</f>
        <v/>
      </c>
      <c r="L655">
        <f>'_pockets'!$AJ$788</f>
        <v/>
      </c>
      <c r="M655">
        <f>IF(AND($A655='Pockets'!$D$17,$B655='Pockets'!$C$17,OR('Pockets'!$E$17="All",AND('Pockets'!$E$17="Worse and material",$K655="Yes",$L655="Yes"),AND('Pockets'!$E$17="Worse or not sure",OR($K655="Yes",$K655="Not sure")))),1,0)</f>
        <v/>
      </c>
      <c r="N655">
        <f>$N654+$M655</f>
        <v/>
      </c>
      <c r="O655" t="inlineStr">
        <is>
          <t>three-way</t>
        </is>
      </c>
      <c r="P655" t="inlineStr">
        <is>
          <t>contribution_rate</t>
        </is>
      </c>
    </row>
    <row r="656">
      <c r="A656" t="inlineStr">
        <is>
          <t>Split by SYS_FLAG</t>
        </is>
      </c>
      <c r="B656" t="inlineStr">
        <is>
          <t>Earned before losses</t>
        </is>
      </c>
      <c r="C656" t="n">
        <v>553</v>
      </c>
      <c r="D656" t="inlineStr">
        <is>
          <t>FICO 746 - 921</t>
        </is>
      </c>
      <c r="E656" t="inlineStr">
        <is>
          <t>Broker</t>
        </is>
      </c>
      <c r="F656" t="inlineStr">
        <is>
          <t>Y</t>
        </is>
      </c>
      <c r="G656" t="n">
        <v>237</v>
      </c>
      <c r="H656" t="n">
        <v>-2.467243024296824</v>
      </c>
      <c r="J656" t="n">
        <v>82</v>
      </c>
      <c r="K656">
        <f>'_pockets'!$AI$553</f>
        <v/>
      </c>
      <c r="L656">
        <f>'_pockets'!$AJ$553</f>
        <v/>
      </c>
      <c r="M656">
        <f>IF(AND($A656='Pockets'!$D$17,$B656='Pockets'!$C$17,OR('Pockets'!$E$17="All",AND('Pockets'!$E$17="Worse and material",$K656="Yes",$L656="Yes"),AND('Pockets'!$E$17="Worse or not sure",OR($K656="Yes",$K656="Not sure")))),1,0)</f>
        <v/>
      </c>
      <c r="N656">
        <f>$N655+$M656</f>
        <v/>
      </c>
      <c r="O656" t="inlineStr">
        <is>
          <t>three-way</t>
        </is>
      </c>
      <c r="P656" t="inlineStr">
        <is>
          <t>contribution_rate</t>
        </is>
      </c>
    </row>
    <row r="657">
      <c r="A657" t="inlineStr">
        <is>
          <t>Split by SYS_FLAG</t>
        </is>
      </c>
      <c r="B657" t="inlineStr">
        <is>
          <t>Earned before losses</t>
        </is>
      </c>
      <c r="C657" t="n">
        <v>708</v>
      </c>
      <c r="D657" t="inlineStr">
        <is>
          <t>FICO 746 - 921</t>
        </is>
      </c>
      <c r="E657" t="inlineStr">
        <is>
          <t>ASSET_CLASS 2</t>
        </is>
      </c>
      <c r="F657" t="inlineStr">
        <is>
          <t>N</t>
        </is>
      </c>
      <c r="G657" t="n">
        <v>219</v>
      </c>
      <c r="H657" t="n">
        <v>-2.563663388567217</v>
      </c>
      <c r="J657" t="n">
        <v>83</v>
      </c>
      <c r="K657">
        <f>'_pockets'!$AI$708</f>
        <v/>
      </c>
      <c r="L657">
        <f>'_pockets'!$AJ$708</f>
        <v/>
      </c>
      <c r="M657">
        <f>IF(AND($A657='Pockets'!$D$17,$B657='Pockets'!$C$17,OR('Pockets'!$E$17="All",AND('Pockets'!$E$17="Worse and material",$K657="Yes",$L657="Yes"),AND('Pockets'!$E$17="Worse or not sure",OR($K657="Yes",$K657="Not sure")))),1,0)</f>
        <v/>
      </c>
      <c r="N657">
        <f>$N656+$M657</f>
        <v/>
      </c>
      <c r="O657" t="inlineStr">
        <is>
          <t>three-way</t>
        </is>
      </c>
      <c r="P657" t="inlineStr">
        <is>
          <t>contribution_rate</t>
        </is>
      </c>
    </row>
    <row r="658">
      <c r="A658" t="inlineStr">
        <is>
          <t>Split by SYS_FLAG</t>
        </is>
      </c>
      <c r="B658" t="inlineStr">
        <is>
          <t>Earned before losses</t>
        </is>
      </c>
      <c r="C658" t="n">
        <v>418</v>
      </c>
      <c r="D658" t="inlineStr">
        <is>
          <t>FICO (blank)</t>
        </is>
      </c>
      <c r="E658" t="inlineStr">
        <is>
          <t>Broker</t>
        </is>
      </c>
      <c r="F658" t="inlineStr">
        <is>
          <t>Y</t>
        </is>
      </c>
      <c r="G658" t="n">
        <v>1</v>
      </c>
      <c r="J658" t="n">
        <v>84</v>
      </c>
      <c r="K658">
        <f>'_pockets'!$AI$418</f>
        <v/>
      </c>
      <c r="L658">
        <f>'_pockets'!$AJ$418</f>
        <v/>
      </c>
      <c r="M658">
        <f>IF(AND($A658='Pockets'!$D$17,$B658='Pockets'!$C$17,OR('Pockets'!$E$17="All",AND('Pockets'!$E$17="Worse and material",$K658="Yes",$L658="Yes"),AND('Pockets'!$E$17="Worse or not sure",OR($K658="Yes",$K658="Not sure")))),1,0)</f>
        <v/>
      </c>
      <c r="N658">
        <f>$N657+$M658</f>
        <v/>
      </c>
      <c r="O658" t="inlineStr">
        <is>
          <t>three-way</t>
        </is>
      </c>
      <c r="P658" t="inlineStr">
        <is>
          <t>contribution_rate</t>
        </is>
      </c>
    </row>
    <row r="659">
      <c r="A659" t="inlineStr">
        <is>
          <t>Split by SYS_FLAG</t>
        </is>
      </c>
      <c r="B659" t="inlineStr">
        <is>
          <t>Earned before losses</t>
        </is>
      </c>
      <c r="C659" t="n">
        <v>603</v>
      </c>
      <c r="D659" t="inlineStr">
        <is>
          <t>FICO (blank)</t>
        </is>
      </c>
      <c r="E659" t="inlineStr">
        <is>
          <t>ASSET_CLASS 2</t>
        </is>
      </c>
      <c r="F659" t="inlineStr">
        <is>
          <t>Y</t>
        </is>
      </c>
      <c r="G659" t="n">
        <v>1</v>
      </c>
      <c r="J659" t="n">
        <v>85</v>
      </c>
      <c r="K659">
        <f>'_pockets'!$AI$603</f>
        <v/>
      </c>
      <c r="L659">
        <f>'_pockets'!$AJ$603</f>
        <v/>
      </c>
      <c r="M659">
        <f>IF(AND($A659='Pockets'!$D$17,$B659='Pockets'!$C$17,OR('Pockets'!$E$17="All",AND('Pockets'!$E$17="Worse and material",$K659="Yes",$L659="Yes"),AND('Pockets'!$E$17="Worse or not sure",OR($K659="Yes",$K659="Not sure")))),1,0)</f>
        <v/>
      </c>
      <c r="N659">
        <f>$N658+$M659</f>
        <v/>
      </c>
      <c r="O659" t="inlineStr">
        <is>
          <t>three-way</t>
        </is>
      </c>
      <c r="P659" t="inlineStr">
        <is>
          <t>contribution_rate</t>
        </is>
      </c>
    </row>
    <row r="660">
      <c r="A660" t="inlineStr">
        <is>
          <t>Split by SYS_FLAG</t>
        </is>
      </c>
      <c r="B660" t="inlineStr">
        <is>
          <t>Earned before losses</t>
        </is>
      </c>
      <c r="C660" t="n">
        <v>728</v>
      </c>
      <c r="D660" t="inlineStr">
        <is>
          <t>FICO 746 - 921</t>
        </is>
      </c>
      <c r="E660" t="inlineStr">
        <is>
          <t>ASSET_CLASS 1</t>
        </is>
      </c>
      <c r="F660" t="inlineStr">
        <is>
          <t>Y</t>
        </is>
      </c>
      <c r="G660" t="n">
        <v>183</v>
      </c>
      <c r="H660" t="n">
        <v>-2.798046376254133</v>
      </c>
      <c r="J660" t="n">
        <v>86</v>
      </c>
      <c r="K660">
        <f>'_pockets'!$AI$728</f>
        <v/>
      </c>
      <c r="L660">
        <f>'_pockets'!$AJ$728</f>
        <v/>
      </c>
      <c r="M660">
        <f>IF(AND($A660='Pockets'!$D$17,$B660='Pockets'!$C$17,OR('Pockets'!$E$17="All",AND('Pockets'!$E$17="Worse and material",$K660="Yes",$L660="Yes"),AND('Pockets'!$E$17="Worse or not sure",OR($K660="Yes",$K660="Not sure")))),1,0)</f>
        <v/>
      </c>
      <c r="N660">
        <f>$N659+$M660</f>
        <v/>
      </c>
      <c r="O660" t="inlineStr">
        <is>
          <t>three-way</t>
        </is>
      </c>
      <c r="P660" t="inlineStr">
        <is>
          <t>contribution_rate</t>
        </is>
      </c>
    </row>
    <row r="661">
      <c r="A661" t="inlineStr">
        <is>
          <t>Split by SYS_FLAG</t>
        </is>
      </c>
      <c r="B661" t="inlineStr">
        <is>
          <t>Earned before losses</t>
        </is>
      </c>
      <c r="C661" t="n">
        <v>438</v>
      </c>
      <c r="D661" t="inlineStr">
        <is>
          <t>FICO 746 - 921</t>
        </is>
      </c>
      <c r="E661" t="inlineStr">
        <is>
          <t>Branch</t>
        </is>
      </c>
      <c r="F661" t="inlineStr">
        <is>
          <t>Y</t>
        </is>
      </c>
      <c r="G661" t="n">
        <v>239</v>
      </c>
      <c r="H661" t="n">
        <v>-2.457214775239872</v>
      </c>
      <c r="J661" t="n">
        <v>87</v>
      </c>
      <c r="K661">
        <f>'_pockets'!$AI$438</f>
        <v/>
      </c>
      <c r="L661">
        <f>'_pockets'!$AJ$438</f>
        <v/>
      </c>
      <c r="M661">
        <f>IF(AND($A661='Pockets'!$D$17,$B661='Pockets'!$C$17,OR('Pockets'!$E$17="All",AND('Pockets'!$E$17="Worse and material",$K661="Yes",$L661="Yes"),AND('Pockets'!$E$17="Worse or not sure",OR($K661="Yes",$K661="Not sure")))),1,0)</f>
        <v/>
      </c>
      <c r="N661">
        <f>$N660+$M661</f>
        <v/>
      </c>
      <c r="O661" t="inlineStr">
        <is>
          <t>three-way</t>
        </is>
      </c>
      <c r="P661" t="inlineStr">
        <is>
          <t>contribution_rate</t>
        </is>
      </c>
    </row>
    <row r="662">
      <c r="A662" t="inlineStr">
        <is>
          <t>Split by SYS_FLAG</t>
        </is>
      </c>
      <c r="B662" t="inlineStr">
        <is>
          <t>Earned before losses</t>
        </is>
      </c>
      <c r="C662" t="n">
        <v>458</v>
      </c>
      <c r="D662" t="inlineStr">
        <is>
          <t>FICO 746 - 921</t>
        </is>
      </c>
      <c r="E662" t="inlineStr">
        <is>
          <t>Broker</t>
        </is>
      </c>
      <c r="F662" t="inlineStr">
        <is>
          <t>N</t>
        </is>
      </c>
      <c r="G662" t="n">
        <v>299</v>
      </c>
      <c r="H662" t="n">
        <v>-2.205424478013037</v>
      </c>
      <c r="J662" t="n">
        <v>88</v>
      </c>
      <c r="K662">
        <f>'_pockets'!$AI$458</f>
        <v/>
      </c>
      <c r="L662">
        <f>'_pockets'!$AJ$458</f>
        <v/>
      </c>
      <c r="M662">
        <f>IF(AND($A662='Pockets'!$D$17,$B662='Pockets'!$C$17,OR('Pockets'!$E$17="All",AND('Pockets'!$E$17="Worse and material",$K662="Yes",$L662="Yes"),AND('Pockets'!$E$17="Worse or not sure",OR($K662="Yes",$K662="Not sure")))),1,0)</f>
        <v/>
      </c>
      <c r="N662">
        <f>$N661+$M662</f>
        <v/>
      </c>
      <c r="O662" t="inlineStr">
        <is>
          <t>three-way</t>
        </is>
      </c>
      <c r="P662" t="inlineStr">
        <is>
          <t>contribution_rate</t>
        </is>
      </c>
    </row>
    <row r="663">
      <c r="A663" t="inlineStr">
        <is>
          <t>Split by SYS_FLAG</t>
        </is>
      </c>
      <c r="B663" t="inlineStr">
        <is>
          <t>Earned before losses</t>
        </is>
      </c>
      <c r="C663" t="n">
        <v>538</v>
      </c>
      <c r="D663" t="inlineStr">
        <is>
          <t>FICO 746 - 921</t>
        </is>
      </c>
      <c r="E663" t="inlineStr">
        <is>
          <t>Branch</t>
        </is>
      </c>
      <c r="F663" t="inlineStr">
        <is>
          <t>N</t>
        </is>
      </c>
      <c r="G663" t="n">
        <v>279</v>
      </c>
      <c r="H663" t="n">
        <v>-2.28014424737089</v>
      </c>
      <c r="J663" t="n">
        <v>89</v>
      </c>
      <c r="K663">
        <f>'_pockets'!$AI$538</f>
        <v/>
      </c>
      <c r="L663">
        <f>'_pockets'!$AJ$538</f>
        <v/>
      </c>
      <c r="M663">
        <f>IF(AND($A663='Pockets'!$D$17,$B663='Pockets'!$C$17,OR('Pockets'!$E$17="All",AND('Pockets'!$E$17="Worse and material",$K663="Yes",$L663="Yes"),AND('Pockets'!$E$17="Worse or not sure",OR($K663="Yes",$K663="Not sure")))),1,0)</f>
        <v/>
      </c>
      <c r="N663">
        <f>$N662+$M663</f>
        <v/>
      </c>
      <c r="O663" t="inlineStr">
        <is>
          <t>three-way</t>
        </is>
      </c>
      <c r="P663" t="inlineStr">
        <is>
          <t>contribution_rate</t>
        </is>
      </c>
    </row>
    <row r="664">
      <c r="A664" t="inlineStr">
        <is>
          <t>Split by SYS_FLAG</t>
        </is>
      </c>
      <c r="B664" t="inlineStr">
        <is>
          <t>Earned before losses</t>
        </is>
      </c>
      <c r="C664" t="n">
        <v>648</v>
      </c>
      <c r="D664" t="inlineStr">
        <is>
          <t>FICO 746 - 921</t>
        </is>
      </c>
      <c r="E664" t="inlineStr">
        <is>
          <t>ASSET_CLASS 1</t>
        </is>
      </c>
      <c r="F664" t="inlineStr">
        <is>
          <t>N</t>
        </is>
      </c>
      <c r="G664" t="n">
        <v>231</v>
      </c>
      <c r="H664" t="n">
        <v>-2.498114280037263</v>
      </c>
      <c r="J664" t="n">
        <v>90</v>
      </c>
      <c r="K664">
        <f>'_pockets'!$AI$648</f>
        <v/>
      </c>
      <c r="L664">
        <f>'_pockets'!$AJ$648</f>
        <v/>
      </c>
      <c r="M664">
        <f>IF(AND($A664='Pockets'!$D$17,$B664='Pockets'!$C$17,OR('Pockets'!$E$17="All",AND('Pockets'!$E$17="Worse and material",$K664="Yes",$L664="Yes"),AND('Pockets'!$E$17="Worse or not sure",OR($K664="Yes",$K664="Not sure")))),1,0)</f>
        <v/>
      </c>
      <c r="N664">
        <f>$N663+$M664</f>
        <v/>
      </c>
      <c r="O664" t="inlineStr">
        <is>
          <t>three-way</t>
        </is>
      </c>
      <c r="P664" t="inlineStr">
        <is>
          <t>contribution_rate</t>
        </is>
      </c>
    </row>
    <row r="665">
      <c r="A665" t="inlineStr">
        <is>
          <t>Split by SYS_FLAG</t>
        </is>
      </c>
      <c r="B665" t="inlineStr">
        <is>
          <t>Earned before losses</t>
        </is>
      </c>
      <c r="C665" t="n">
        <v>688</v>
      </c>
      <c r="D665" t="inlineStr">
        <is>
          <t>FICO 746 - 921</t>
        </is>
      </c>
      <c r="E665" t="inlineStr">
        <is>
          <t>ASSET_CLASS 3</t>
        </is>
      </c>
      <c r="F665" t="inlineStr">
        <is>
          <t>N</t>
        </is>
      </c>
      <c r="G665" t="n">
        <v>211</v>
      </c>
      <c r="H665" t="n">
        <v>-2.61046953654721</v>
      </c>
      <c r="J665" t="n">
        <v>91</v>
      </c>
      <c r="K665">
        <f>'_pockets'!$AI$688</f>
        <v/>
      </c>
      <c r="L665">
        <f>'_pockets'!$AJ$688</f>
        <v/>
      </c>
      <c r="M665">
        <f>IF(AND($A665='Pockets'!$D$17,$B665='Pockets'!$C$17,OR('Pockets'!$E$17="All",AND('Pockets'!$E$17="Worse and material",$K665="Yes",$L665="Yes"),AND('Pockets'!$E$17="Worse or not sure",OR($K665="Yes",$K665="Not sure")))),1,0)</f>
        <v/>
      </c>
      <c r="N665">
        <f>$N664+$M665</f>
        <v/>
      </c>
      <c r="O665" t="inlineStr">
        <is>
          <t>three-way</t>
        </is>
      </c>
      <c r="P665" t="inlineStr">
        <is>
          <t>contribution_rate</t>
        </is>
      </c>
    </row>
    <row r="666">
      <c r="A666" t="inlineStr">
        <is>
          <t>Split by SYS_FLAG</t>
        </is>
      </c>
      <c r="B666" t="inlineStr">
        <is>
          <t>Earned before losses</t>
        </is>
      </c>
      <c r="C666" t="n">
        <v>768</v>
      </c>
      <c r="D666" t="inlineStr">
        <is>
          <t>FICO 746 - 921</t>
        </is>
      </c>
      <c r="E666" t="inlineStr">
        <is>
          <t>ASSET_CLASS 3</t>
        </is>
      </c>
      <c r="F666" t="inlineStr">
        <is>
          <t>Y</t>
        </is>
      </c>
      <c r="G666" t="n">
        <v>174</v>
      </c>
      <c r="H666" t="n">
        <v>-2.867846481616206</v>
      </c>
      <c r="J666" t="n">
        <v>92</v>
      </c>
      <c r="K666">
        <f>'_pockets'!$AI$768</f>
        <v/>
      </c>
      <c r="L666">
        <f>'_pockets'!$AJ$768</f>
        <v/>
      </c>
      <c r="M666">
        <f>IF(AND($A666='Pockets'!$D$17,$B666='Pockets'!$C$17,OR('Pockets'!$E$17="All",AND('Pockets'!$E$17="Worse and material",$K666="Yes",$L666="Yes"),AND('Pockets'!$E$17="Worse or not sure",OR($K666="Yes",$K666="Not sure")))),1,0)</f>
        <v/>
      </c>
      <c r="N666">
        <f>$N665+$M666</f>
        <v/>
      </c>
      <c r="O666" t="inlineStr">
        <is>
          <t>three-way</t>
        </is>
      </c>
      <c r="P666" t="inlineStr">
        <is>
          <t>contribution_rate</t>
        </is>
      </c>
    </row>
    <row r="667">
      <c r="A667" t="inlineStr">
        <is>
          <t>Split by SYS_FLAG</t>
        </is>
      </c>
      <c r="B667" t="inlineStr">
        <is>
          <t>Earned before losses</t>
        </is>
      </c>
      <c r="C667" t="n">
        <v>778</v>
      </c>
      <c r="D667" t="inlineStr">
        <is>
          <t>FICO 712 - 745</t>
        </is>
      </c>
      <c r="E667" t="inlineStr">
        <is>
          <t>ASSET_CLASS 3</t>
        </is>
      </c>
      <c r="F667" t="inlineStr">
        <is>
          <t>N</t>
        </is>
      </c>
      <c r="G667" t="n">
        <v>223</v>
      </c>
      <c r="H667" t="n">
        <v>-2.541220289218607</v>
      </c>
      <c r="J667" t="n">
        <v>93</v>
      </c>
      <c r="K667">
        <f>'_pockets'!$AI$778</f>
        <v/>
      </c>
      <c r="L667">
        <f>'_pockets'!$AJ$778</f>
        <v/>
      </c>
      <c r="M667">
        <f>IF(AND($A667='Pockets'!$D$17,$B667='Pockets'!$C$17,OR('Pockets'!$E$17="All",AND('Pockets'!$E$17="Worse and material",$K667="Yes",$L667="Yes"),AND('Pockets'!$E$17="Worse or not sure",OR($K667="Yes",$K667="Not sure")))),1,0)</f>
        <v/>
      </c>
      <c r="N667">
        <f>$N666+$M667</f>
        <v/>
      </c>
      <c r="O667" t="inlineStr">
        <is>
          <t>three-way</t>
        </is>
      </c>
      <c r="P667" t="inlineStr">
        <is>
          <t>contribution_rate</t>
        </is>
      </c>
    </row>
    <row r="668">
      <c r="A668" t="inlineStr">
        <is>
          <t>Split by SYS_FLAG</t>
        </is>
      </c>
      <c r="B668" t="inlineStr">
        <is>
          <t>Earned before losses</t>
        </is>
      </c>
      <c r="C668" t="n">
        <v>643</v>
      </c>
      <c r="D668" t="inlineStr">
        <is>
          <t>FICO 712 - 745</t>
        </is>
      </c>
      <c r="E668" t="inlineStr">
        <is>
          <t>ASSET_CLASS 4</t>
        </is>
      </c>
      <c r="F668" t="inlineStr">
        <is>
          <t>N</t>
        </is>
      </c>
      <c r="G668" t="n">
        <v>220</v>
      </c>
      <c r="H668" t="n">
        <v>-2.557994666705477</v>
      </c>
      <c r="J668" t="n">
        <v>94</v>
      </c>
      <c r="K668">
        <f>'_pockets'!$AI$643</f>
        <v/>
      </c>
      <c r="L668">
        <f>'_pockets'!$AJ$643</f>
        <v/>
      </c>
      <c r="M668">
        <f>IF(AND($A668='Pockets'!$D$17,$B668='Pockets'!$C$17,OR('Pockets'!$E$17="All",AND('Pockets'!$E$17="Worse and material",$K668="Yes",$L668="Yes"),AND('Pockets'!$E$17="Worse or not sure",OR($K668="Yes",$K668="Not sure")))),1,0)</f>
        <v/>
      </c>
      <c r="N668">
        <f>$N667+$M668</f>
        <v/>
      </c>
      <c r="O668" t="inlineStr">
        <is>
          <t>three-way</t>
        </is>
      </c>
      <c r="P668" t="inlineStr">
        <is>
          <t>contribution_rate</t>
        </is>
      </c>
    </row>
    <row r="669">
      <c r="A669" t="inlineStr">
        <is>
          <t>Split by SYS_FLAG</t>
        </is>
      </c>
      <c r="B669" t="inlineStr">
        <is>
          <t>Earned before losses</t>
        </is>
      </c>
      <c r="C669" t="n">
        <v>613</v>
      </c>
      <c r="D669" t="inlineStr">
        <is>
          <t>FICO 712 - 745</t>
        </is>
      </c>
      <c r="E669" t="inlineStr">
        <is>
          <t>ASSET_CLASS 2</t>
        </is>
      </c>
      <c r="F669" t="inlineStr">
        <is>
          <t>Y</t>
        </is>
      </c>
      <c r="G669" t="n">
        <v>183</v>
      </c>
      <c r="H669" t="n">
        <v>-2.798046376254133</v>
      </c>
      <c r="J669" t="n">
        <v>95</v>
      </c>
      <c r="K669">
        <f>'_pockets'!$AI$613</f>
        <v/>
      </c>
      <c r="L669">
        <f>'_pockets'!$AJ$613</f>
        <v/>
      </c>
      <c r="M669">
        <f>IF(AND($A669='Pockets'!$D$17,$B669='Pockets'!$C$17,OR('Pockets'!$E$17="All",AND('Pockets'!$E$17="Worse and material",$K669="Yes",$L669="Yes"),AND('Pockets'!$E$17="Worse or not sure",OR($K669="Yes",$K669="Not sure")))),1,0)</f>
        <v/>
      </c>
      <c r="N669">
        <f>$N668+$M669</f>
        <v/>
      </c>
      <c r="O669" t="inlineStr">
        <is>
          <t>three-way</t>
        </is>
      </c>
      <c r="P669" t="inlineStr">
        <is>
          <t>contribution_rate</t>
        </is>
      </c>
    </row>
    <row r="670">
      <c r="A670" t="inlineStr">
        <is>
          <t>Split by SYS_FLAG</t>
        </is>
      </c>
      <c r="B670" t="inlineStr">
        <is>
          <t>Earned before losses</t>
        </is>
      </c>
      <c r="C670" t="n">
        <v>608</v>
      </c>
      <c r="D670" t="inlineStr">
        <is>
          <t>FICO 712 - 745</t>
        </is>
      </c>
      <c r="E670" t="inlineStr">
        <is>
          <t>ASSET_CLASS 1</t>
        </is>
      </c>
      <c r="F670" t="inlineStr">
        <is>
          <t>N</t>
        </is>
      </c>
      <c r="G670" t="n">
        <v>193</v>
      </c>
      <c r="H670" t="n">
        <v>-2.726338875237242</v>
      </c>
      <c r="J670" t="n">
        <v>96</v>
      </c>
      <c r="K670">
        <f>'_pockets'!$AI$608</f>
        <v/>
      </c>
      <c r="L670">
        <f>'_pockets'!$AJ$608</f>
        <v/>
      </c>
      <c r="M670">
        <f>IF(AND($A670='Pockets'!$D$17,$B670='Pockets'!$C$17,OR('Pockets'!$E$17="All",AND('Pockets'!$E$17="Worse and material",$K670="Yes",$L670="Yes"),AND('Pockets'!$E$17="Worse or not sure",OR($K670="Yes",$K670="Not sure")))),1,0)</f>
        <v/>
      </c>
      <c r="N670">
        <f>$N669+$M670</f>
        <v/>
      </c>
      <c r="O670" t="inlineStr">
        <is>
          <t>three-way</t>
        </is>
      </c>
      <c r="P670" t="inlineStr">
        <is>
          <t>contribution_rate</t>
        </is>
      </c>
    </row>
    <row r="671">
      <c r="A671" t="inlineStr">
        <is>
          <t>Split by SYS_FLAG</t>
        </is>
      </c>
      <c r="B671" t="inlineStr">
        <is>
          <t>Earned before losses</t>
        </is>
      </c>
      <c r="C671" t="n">
        <v>623</v>
      </c>
      <c r="D671" t="inlineStr">
        <is>
          <t>FICO 712 - 745</t>
        </is>
      </c>
      <c r="E671" t="inlineStr">
        <is>
          <t>ASSET_CLASS 4</t>
        </is>
      </c>
      <c r="F671" t="inlineStr">
        <is>
          <t>Y</t>
        </is>
      </c>
      <c r="G671" t="n">
        <v>207</v>
      </c>
      <c r="H671" t="n">
        <v>-2.634894127695313</v>
      </c>
      <c r="J671" t="n">
        <v>97</v>
      </c>
      <c r="K671">
        <f>'_pockets'!$AI$623</f>
        <v/>
      </c>
      <c r="L671">
        <f>'_pockets'!$AJ$623</f>
        <v/>
      </c>
      <c r="M671">
        <f>IF(AND($A671='Pockets'!$D$17,$B671='Pockets'!$C$17,OR('Pockets'!$E$17="All",AND('Pockets'!$E$17="Worse and material",$K671="Yes",$L671="Yes"),AND('Pockets'!$E$17="Worse or not sure",OR($K671="Yes",$K671="Not sure")))),1,0)</f>
        <v/>
      </c>
      <c r="N671">
        <f>$N670+$M671</f>
        <v/>
      </c>
      <c r="O671" t="inlineStr">
        <is>
          <t>three-way</t>
        </is>
      </c>
      <c r="P671" t="inlineStr">
        <is>
          <t>contribution_rate</t>
        </is>
      </c>
    </row>
    <row r="672">
      <c r="A672" t="inlineStr">
        <is>
          <t>Split by SYS_FLAG</t>
        </is>
      </c>
      <c r="B672" t="inlineStr">
        <is>
          <t>Earned before losses</t>
        </is>
      </c>
      <c r="C672" t="n">
        <v>513</v>
      </c>
      <c r="D672" t="inlineStr">
        <is>
          <t>FICO 712 - 745</t>
        </is>
      </c>
      <c r="E672" t="inlineStr">
        <is>
          <t>Online</t>
        </is>
      </c>
      <c r="F672" t="inlineStr">
        <is>
          <t>Y</t>
        </is>
      </c>
      <c r="G672" t="n">
        <v>278</v>
      </c>
      <c r="H672" t="n">
        <v>-2.284093597024075</v>
      </c>
      <c r="J672" t="n">
        <v>98</v>
      </c>
      <c r="K672">
        <f>'_pockets'!$AI$513</f>
        <v/>
      </c>
      <c r="L672">
        <f>'_pockets'!$AJ$513</f>
        <v/>
      </c>
      <c r="M672">
        <f>IF(AND($A672='Pockets'!$D$17,$B672='Pockets'!$C$17,OR('Pockets'!$E$17="All",AND('Pockets'!$E$17="Worse and material",$K672="Yes",$L672="Yes"),AND('Pockets'!$E$17="Worse or not sure",OR($K672="Yes",$K672="Not sure")))),1,0)</f>
        <v/>
      </c>
      <c r="N672">
        <f>$N671+$M672</f>
        <v/>
      </c>
      <c r="O672" t="inlineStr">
        <is>
          <t>three-way</t>
        </is>
      </c>
      <c r="P672" t="inlineStr">
        <is>
          <t>contribution_rate</t>
        </is>
      </c>
    </row>
    <row r="673">
      <c r="A673" t="inlineStr">
        <is>
          <t>Split by SYS_FLAG</t>
        </is>
      </c>
      <c r="B673" t="inlineStr">
        <is>
          <t>Earned before losses</t>
        </is>
      </c>
      <c r="C673" t="n">
        <v>453</v>
      </c>
      <c r="D673" t="inlineStr">
        <is>
          <t>FICO 712 - 745</t>
        </is>
      </c>
      <c r="E673" t="inlineStr">
        <is>
          <t>Online</t>
        </is>
      </c>
      <c r="F673" t="inlineStr">
        <is>
          <t>N</t>
        </is>
      </c>
      <c r="G673" t="n">
        <v>286</v>
      </c>
      <c r="H673" t="n">
        <v>-2.25308936417</v>
      </c>
      <c r="J673" t="n">
        <v>99</v>
      </c>
      <c r="K673">
        <f>'_pockets'!$AI$453</f>
        <v/>
      </c>
      <c r="L673">
        <f>'_pockets'!$AJ$453</f>
        <v/>
      </c>
      <c r="M673">
        <f>IF(AND($A673='Pockets'!$D$17,$B673='Pockets'!$C$17,OR('Pockets'!$E$17="All",AND('Pockets'!$E$17="Worse and material",$K673="Yes",$L673="Yes"),AND('Pockets'!$E$17="Worse or not sure",OR($K673="Yes",$K673="Not sure")))),1,0)</f>
        <v/>
      </c>
      <c r="N673">
        <f>$N672+$M673</f>
        <v/>
      </c>
      <c r="O673" t="inlineStr">
        <is>
          <t>three-way</t>
        </is>
      </c>
      <c r="P673" t="inlineStr">
        <is>
          <t>contribution_rate</t>
        </is>
      </c>
    </row>
    <row r="674">
      <c r="A674" t="inlineStr">
        <is>
          <t>Split by SYS_FLAG</t>
        </is>
      </c>
      <c r="B674" t="inlineStr">
        <is>
          <t>Earned before losses</t>
        </is>
      </c>
      <c r="C674" t="n">
        <v>1063</v>
      </c>
      <c r="D674" t="inlineStr">
        <is>
          <t>ORIG_BAL 49,152 - 59,984</t>
        </is>
      </c>
      <c r="E674" t="inlineStr">
        <is>
          <t>ASSET_CLASS 1</t>
        </is>
      </c>
      <c r="F674" t="inlineStr">
        <is>
          <t>N</t>
        </is>
      </c>
      <c r="G674" t="n">
        <v>218</v>
      </c>
      <c r="H674" t="n">
        <v>-2.569371480191697</v>
      </c>
      <c r="J674" t="n">
        <v>100</v>
      </c>
      <c r="K674">
        <f>'_pockets'!$AI$1063</f>
        <v/>
      </c>
      <c r="L674">
        <f>'_pockets'!$AJ$1063</f>
        <v/>
      </c>
      <c r="M674">
        <f>IF(AND($A674='Pockets'!$D$17,$B674='Pockets'!$C$17,OR('Pockets'!$E$17="All",AND('Pockets'!$E$17="Worse and material",$K674="Yes",$L674="Yes"),AND('Pockets'!$E$17="Worse or not sure",OR($K674="Yes",$K674="Not sure")))),1,0)</f>
        <v/>
      </c>
      <c r="N674">
        <f>$N673+$M674</f>
        <v/>
      </c>
      <c r="O674" t="inlineStr">
        <is>
          <t>three-way</t>
        </is>
      </c>
      <c r="P674" t="inlineStr">
        <is>
          <t>contribution_rate</t>
        </is>
      </c>
    </row>
    <row r="675">
      <c r="A675" t="inlineStr">
        <is>
          <t>Split by SYS_FLAG</t>
        </is>
      </c>
      <c r="B675" t="inlineStr">
        <is>
          <t>Earned before losses</t>
        </is>
      </c>
      <c r="C675" t="n">
        <v>1103</v>
      </c>
      <c r="D675" t="inlineStr">
        <is>
          <t>ORIG_BAL 49,152 - 59,984</t>
        </is>
      </c>
      <c r="E675" t="inlineStr">
        <is>
          <t>ASSET_CLASS 2</t>
        </is>
      </c>
      <c r="F675" t="inlineStr">
        <is>
          <t>N</t>
        </is>
      </c>
      <c r="G675" t="n">
        <v>201</v>
      </c>
      <c r="H675" t="n">
        <v>-2.672902693612813</v>
      </c>
      <c r="J675" t="n">
        <v>101</v>
      </c>
      <c r="K675">
        <f>'_pockets'!$AI$1103</f>
        <v/>
      </c>
      <c r="L675">
        <f>'_pockets'!$AJ$1103</f>
        <v/>
      </c>
      <c r="M675">
        <f>IF(AND($A675='Pockets'!$D$17,$B675='Pockets'!$C$17,OR('Pockets'!$E$17="All",AND('Pockets'!$E$17="Worse and material",$K675="Yes",$L675="Yes"),AND('Pockets'!$E$17="Worse or not sure",OR($K675="Yes",$K675="Not sure")))),1,0)</f>
        <v/>
      </c>
      <c r="N675">
        <f>$N674+$M675</f>
        <v/>
      </c>
      <c r="O675" t="inlineStr">
        <is>
          <t>three-way</t>
        </is>
      </c>
      <c r="P675" t="inlineStr">
        <is>
          <t>contribution_rate</t>
        </is>
      </c>
    </row>
    <row r="676">
      <c r="A676" t="inlineStr">
        <is>
          <t>Split by SYS_FLAG</t>
        </is>
      </c>
      <c r="B676" t="inlineStr">
        <is>
          <t>Earned before losses</t>
        </is>
      </c>
      <c r="C676" t="n">
        <v>1038</v>
      </c>
      <c r="D676" t="inlineStr">
        <is>
          <t>ORIG_BAL 26,324 - 37,950</t>
        </is>
      </c>
      <c r="E676" t="inlineStr">
        <is>
          <t>ASSET_CLASS 1</t>
        </is>
      </c>
      <c r="F676" t="inlineStr">
        <is>
          <t>Y</t>
        </is>
      </c>
      <c r="G676" t="n">
        <v>173</v>
      </c>
      <c r="H676" t="n">
        <v>-2.875939328341498</v>
      </c>
      <c r="J676" t="n">
        <v>102</v>
      </c>
      <c r="K676">
        <f>'_pockets'!$AI$1038</f>
        <v/>
      </c>
      <c r="L676">
        <f>'_pockets'!$AJ$1038</f>
        <v/>
      </c>
      <c r="M676">
        <f>IF(AND($A676='Pockets'!$D$17,$B676='Pockets'!$C$17,OR('Pockets'!$E$17="All",AND('Pockets'!$E$17="Worse and material",$K676="Yes",$L676="Yes"),AND('Pockets'!$E$17="Worse or not sure",OR($K676="Yes",$K676="Not sure")))),1,0)</f>
        <v/>
      </c>
      <c r="N676">
        <f>$N675+$M676</f>
        <v/>
      </c>
      <c r="O676" t="inlineStr">
        <is>
          <t>three-way</t>
        </is>
      </c>
      <c r="P676" t="inlineStr">
        <is>
          <t>contribution_rate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35"/>
  <sheetViews>
    <sheetView tabSelected="0" workbookViewId="0">
      <selection activeCell="A1" sqref="A1"/>
    </sheetView>
  </sheetViews>
  <sheetFormatPr baseColWidth="8" defaultRowHeight="15"/>
  <sheetData>
    <row r="1">
      <c r="A1">
        <f>IF(OR('Paid, cost, kept'!$AO$20&lt;&gt;0,'Paid, cost, kept'!$G$20="",'Paid, cost, kept'!$I$20=""),NA(),'Paid, cost, kept'!$G$20)</f>
        <v/>
      </c>
      <c r="B1">
        <f>IF(ISNA(A1),NA(),'Paid, cost, kept'!$I$20)</f>
        <v/>
      </c>
      <c r="C1">
        <f>IF('Paid, cost, kept'!$K$20="","",'Paid, cost, kept'!$B$20&amp;" / "&amp;'Paid, cost, kept'!$C$20)</f>
        <v/>
      </c>
      <c r="D1">
        <f>IF('Paid, cost, kept'!$K$20="",NA(),'Paid, cost, kept'!$G$20)</f>
        <v/>
      </c>
      <c r="E1">
        <f>IF('Paid, cost, kept'!$K$20="",NA(),'Paid, cost, kept'!$I$20)</f>
        <v/>
      </c>
      <c r="F1">
        <f>IF(AND(NOT(ISNA(A1)),'Paid, cost, kept'!$K$20="Net drain"),A1,NA())</f>
        <v/>
      </c>
      <c r="G1">
        <f>IF(ISNA(F1),NA(),B1)</f>
        <v/>
      </c>
      <c r="H1">
        <f>IF(AND(NOT(ISNA(A1)),OR('Paid, cost, kept'!$K$20="Priced for it",'Paid, cost, kept'!$K$20="Strong")),A1,NA())</f>
        <v/>
      </c>
      <c r="I1">
        <f>IF(ISNA(H1),NA(),B1)</f>
        <v/>
      </c>
      <c r="J1">
        <f>IF(C1="","",1)</f>
        <v/>
      </c>
    </row>
    <row r="2">
      <c r="A2">
        <f>IF(OR('Paid, cost, kept'!$AO$21&lt;&gt;0,'Paid, cost, kept'!$G$21="",'Paid, cost, kept'!$I$21=""),NA(),'Paid, cost, kept'!$G$21)</f>
        <v/>
      </c>
      <c r="B2">
        <f>IF(ISNA(A2),NA(),'Paid, cost, kept'!$I$21)</f>
        <v/>
      </c>
      <c r="C2">
        <f>IF('Paid, cost, kept'!$K$21="","",'Paid, cost, kept'!$B$21&amp;" / "&amp;'Paid, cost, kept'!$C$21)</f>
        <v/>
      </c>
      <c r="D2">
        <f>IF('Paid, cost, kept'!$K$21="",NA(),'Paid, cost, kept'!$G$21)</f>
        <v/>
      </c>
      <c r="E2">
        <f>IF('Paid, cost, kept'!$K$21="",NA(),'Paid, cost, kept'!$I$21)</f>
        <v/>
      </c>
      <c r="F2">
        <f>IF(AND(NOT(ISNA(A2)),'Paid, cost, kept'!$K$21="Net drain"),A2,NA())</f>
        <v/>
      </c>
      <c r="G2">
        <f>IF(ISNA(F2),NA(),B2)</f>
        <v/>
      </c>
      <c r="H2">
        <f>IF(AND(NOT(ISNA(A2)),OR('Paid, cost, kept'!$K$21="Priced for it",'Paid, cost, kept'!$K$21="Strong")),A2,NA())</f>
        <v/>
      </c>
      <c r="I2">
        <f>IF(ISNA(H2),NA(),B2)</f>
        <v/>
      </c>
      <c r="J2">
        <f>IF(C2="","",2)</f>
        <v/>
      </c>
    </row>
    <row r="3">
      <c r="A3">
        <f>IF(OR('Paid, cost, kept'!$AO$22&lt;&gt;0,'Paid, cost, kept'!$G$22="",'Paid, cost, kept'!$I$22=""),NA(),'Paid, cost, kept'!$G$22)</f>
        <v/>
      </c>
      <c r="B3">
        <f>IF(ISNA(A3),NA(),'Paid, cost, kept'!$I$22)</f>
        <v/>
      </c>
      <c r="C3">
        <f>IF('Paid, cost, kept'!$K$22="","",'Paid, cost, kept'!$B$22&amp;" / "&amp;'Paid, cost, kept'!$C$22)</f>
        <v/>
      </c>
      <c r="D3">
        <f>IF('Paid, cost, kept'!$K$22="",NA(),'Paid, cost, kept'!$G$22)</f>
        <v/>
      </c>
      <c r="E3">
        <f>IF('Paid, cost, kept'!$K$22="",NA(),'Paid, cost, kept'!$I$22)</f>
        <v/>
      </c>
      <c r="F3">
        <f>IF(AND(NOT(ISNA(A3)),'Paid, cost, kept'!$K$22="Net drain"),A3,NA())</f>
        <v/>
      </c>
      <c r="G3">
        <f>IF(ISNA(F3),NA(),B3)</f>
        <v/>
      </c>
      <c r="H3">
        <f>IF(AND(NOT(ISNA(A3)),OR('Paid, cost, kept'!$K$22="Priced for it",'Paid, cost, kept'!$K$22="Strong")),A3,NA())</f>
        <v/>
      </c>
      <c r="I3">
        <f>IF(ISNA(H3),NA(),B3)</f>
        <v/>
      </c>
      <c r="J3">
        <f>IF(C3="","",3)</f>
        <v/>
      </c>
    </row>
    <row r="4">
      <c r="A4">
        <f>IF(OR('Paid, cost, kept'!$AO$23&lt;&gt;0,'Paid, cost, kept'!$G$23="",'Paid, cost, kept'!$I$23=""),NA(),'Paid, cost, kept'!$G$23)</f>
        <v/>
      </c>
      <c r="B4">
        <f>IF(ISNA(A4),NA(),'Paid, cost, kept'!$I$23)</f>
        <v/>
      </c>
      <c r="C4">
        <f>IF('Paid, cost, kept'!$K$23="","",'Paid, cost, kept'!$B$23&amp;" / "&amp;'Paid, cost, kept'!$C$23)</f>
        <v/>
      </c>
      <c r="D4">
        <f>IF('Paid, cost, kept'!$K$23="",NA(),'Paid, cost, kept'!$G$23)</f>
        <v/>
      </c>
      <c r="E4">
        <f>IF('Paid, cost, kept'!$K$23="",NA(),'Paid, cost, kept'!$I$23)</f>
        <v/>
      </c>
      <c r="F4">
        <f>IF(AND(NOT(ISNA(A4)),'Paid, cost, kept'!$K$23="Net drain"),A4,NA())</f>
        <v/>
      </c>
      <c r="G4">
        <f>IF(ISNA(F4),NA(),B4)</f>
        <v/>
      </c>
      <c r="H4">
        <f>IF(AND(NOT(ISNA(A4)),OR('Paid, cost, kept'!$K$23="Priced for it",'Paid, cost, kept'!$K$23="Strong")),A4,NA())</f>
        <v/>
      </c>
      <c r="I4">
        <f>IF(ISNA(H4),NA(),B4)</f>
        <v/>
      </c>
      <c r="J4">
        <f>IF(C4="","",4)</f>
        <v/>
      </c>
    </row>
    <row r="5">
      <c r="A5">
        <f>IF(OR('Paid, cost, kept'!$AO$24&lt;&gt;0,'Paid, cost, kept'!$G$24="",'Paid, cost, kept'!$I$24=""),NA(),'Paid, cost, kept'!$G$24)</f>
        <v/>
      </c>
      <c r="B5">
        <f>IF(ISNA(A5),NA(),'Paid, cost, kept'!$I$24)</f>
        <v/>
      </c>
      <c r="C5">
        <f>IF('Paid, cost, kept'!$K$24="","",'Paid, cost, kept'!$B$24&amp;" / "&amp;'Paid, cost, kept'!$C$24)</f>
        <v/>
      </c>
      <c r="D5">
        <f>IF('Paid, cost, kept'!$K$24="",NA(),'Paid, cost, kept'!$G$24)</f>
        <v/>
      </c>
      <c r="E5">
        <f>IF('Paid, cost, kept'!$K$24="",NA(),'Paid, cost, kept'!$I$24)</f>
        <v/>
      </c>
      <c r="F5">
        <f>IF(AND(NOT(ISNA(A5)),'Paid, cost, kept'!$K$24="Net drain"),A5,NA())</f>
        <v/>
      </c>
      <c r="G5">
        <f>IF(ISNA(F5),NA(),B5)</f>
        <v/>
      </c>
      <c r="H5">
        <f>IF(AND(NOT(ISNA(A5)),OR('Paid, cost, kept'!$K$24="Priced for it",'Paid, cost, kept'!$K$24="Strong")),A5,NA())</f>
        <v/>
      </c>
      <c r="I5">
        <f>IF(ISNA(H5),NA(),B5)</f>
        <v/>
      </c>
      <c r="J5">
        <f>IF(C5="","",5)</f>
        <v/>
      </c>
    </row>
    <row r="6">
      <c r="A6">
        <f>IF(OR('Paid, cost, kept'!$AO$25&lt;&gt;0,'Paid, cost, kept'!$G$25="",'Paid, cost, kept'!$I$25=""),NA(),'Paid, cost, kept'!$G$25)</f>
        <v/>
      </c>
      <c r="B6">
        <f>IF(ISNA(A6),NA(),'Paid, cost, kept'!$I$25)</f>
        <v/>
      </c>
      <c r="C6">
        <f>IF('Paid, cost, kept'!$K$25="","",'Paid, cost, kept'!$B$25&amp;" / "&amp;'Paid, cost, kept'!$C$25)</f>
        <v/>
      </c>
      <c r="D6">
        <f>IF('Paid, cost, kept'!$K$25="",NA(),'Paid, cost, kept'!$G$25)</f>
        <v/>
      </c>
      <c r="E6">
        <f>IF('Paid, cost, kept'!$K$25="",NA(),'Paid, cost, kept'!$I$25)</f>
        <v/>
      </c>
      <c r="F6">
        <f>IF(AND(NOT(ISNA(A6)),'Paid, cost, kept'!$K$25="Net drain"),A6,NA())</f>
        <v/>
      </c>
      <c r="G6">
        <f>IF(ISNA(F6),NA(),B6)</f>
        <v/>
      </c>
      <c r="H6">
        <f>IF(AND(NOT(ISNA(A6)),OR('Paid, cost, kept'!$K$25="Priced for it",'Paid, cost, kept'!$K$25="Strong")),A6,NA())</f>
        <v/>
      </c>
      <c r="I6">
        <f>IF(ISNA(H6),NA(),B6)</f>
        <v/>
      </c>
      <c r="J6">
        <f>IF(C6="","",6)</f>
        <v/>
      </c>
    </row>
    <row r="7">
      <c r="A7">
        <f>IF(OR('Paid, cost, kept'!$AO$26&lt;&gt;0,'Paid, cost, kept'!$G$26="",'Paid, cost, kept'!$I$26=""),NA(),'Paid, cost, kept'!$G$26)</f>
        <v/>
      </c>
      <c r="B7">
        <f>IF(ISNA(A7),NA(),'Paid, cost, kept'!$I$26)</f>
        <v/>
      </c>
      <c r="C7">
        <f>IF('Paid, cost, kept'!$K$26="","",'Paid, cost, kept'!$B$26&amp;" / "&amp;'Paid, cost, kept'!$C$26)</f>
        <v/>
      </c>
      <c r="D7">
        <f>IF('Paid, cost, kept'!$K$26="",NA(),'Paid, cost, kept'!$G$26)</f>
        <v/>
      </c>
      <c r="E7">
        <f>IF('Paid, cost, kept'!$K$26="",NA(),'Paid, cost, kept'!$I$26)</f>
        <v/>
      </c>
      <c r="F7">
        <f>IF(AND(NOT(ISNA(A7)),'Paid, cost, kept'!$K$26="Net drain"),A7,NA())</f>
        <v/>
      </c>
      <c r="G7">
        <f>IF(ISNA(F7),NA(),B7)</f>
        <v/>
      </c>
      <c r="H7">
        <f>IF(AND(NOT(ISNA(A7)),OR('Paid, cost, kept'!$K$26="Priced for it",'Paid, cost, kept'!$K$26="Strong")),A7,NA())</f>
        <v/>
      </c>
      <c r="I7">
        <f>IF(ISNA(H7),NA(),B7)</f>
        <v/>
      </c>
      <c r="J7">
        <f>IF(C7="","",7)</f>
        <v/>
      </c>
    </row>
    <row r="8">
      <c r="A8">
        <f>IF(OR('Paid, cost, kept'!$AO$27&lt;&gt;0,'Paid, cost, kept'!$G$27="",'Paid, cost, kept'!$I$27=""),NA(),'Paid, cost, kept'!$G$27)</f>
        <v/>
      </c>
      <c r="B8">
        <f>IF(ISNA(A8),NA(),'Paid, cost, kept'!$I$27)</f>
        <v/>
      </c>
      <c r="C8">
        <f>IF('Paid, cost, kept'!$K$27="","",'Paid, cost, kept'!$B$27&amp;" / "&amp;'Paid, cost, kept'!$C$27)</f>
        <v/>
      </c>
      <c r="D8">
        <f>IF('Paid, cost, kept'!$K$27="",NA(),'Paid, cost, kept'!$G$27)</f>
        <v/>
      </c>
      <c r="E8">
        <f>IF('Paid, cost, kept'!$K$27="",NA(),'Paid, cost, kept'!$I$27)</f>
        <v/>
      </c>
      <c r="F8">
        <f>IF(AND(NOT(ISNA(A8)),'Paid, cost, kept'!$K$27="Net drain"),A8,NA())</f>
        <v/>
      </c>
      <c r="G8">
        <f>IF(ISNA(F8),NA(),B8)</f>
        <v/>
      </c>
      <c r="H8">
        <f>IF(AND(NOT(ISNA(A8)),OR('Paid, cost, kept'!$K$27="Priced for it",'Paid, cost, kept'!$K$27="Strong")),A8,NA())</f>
        <v/>
      </c>
      <c r="I8">
        <f>IF(ISNA(H8),NA(),B8)</f>
        <v/>
      </c>
      <c r="J8">
        <f>IF(C8="","",8)</f>
        <v/>
      </c>
    </row>
    <row r="9">
      <c r="A9">
        <f>IF(OR('Paid, cost, kept'!$AO$28&lt;&gt;0,'Paid, cost, kept'!$G$28="",'Paid, cost, kept'!$I$28=""),NA(),'Paid, cost, kept'!$G$28)</f>
        <v/>
      </c>
      <c r="B9">
        <f>IF(ISNA(A9),NA(),'Paid, cost, kept'!$I$28)</f>
        <v/>
      </c>
      <c r="C9">
        <f>IF('Paid, cost, kept'!$K$28="","",'Paid, cost, kept'!$B$28&amp;" / "&amp;'Paid, cost, kept'!$C$28)</f>
        <v/>
      </c>
      <c r="D9">
        <f>IF('Paid, cost, kept'!$K$28="",NA(),'Paid, cost, kept'!$G$28)</f>
        <v/>
      </c>
      <c r="E9">
        <f>IF('Paid, cost, kept'!$K$28="",NA(),'Paid, cost, kept'!$I$28)</f>
        <v/>
      </c>
      <c r="F9">
        <f>IF(AND(NOT(ISNA(A9)),'Paid, cost, kept'!$K$28="Net drain"),A9,NA())</f>
        <v/>
      </c>
      <c r="G9">
        <f>IF(ISNA(F9),NA(),B9)</f>
        <v/>
      </c>
      <c r="H9">
        <f>IF(AND(NOT(ISNA(A9)),OR('Paid, cost, kept'!$K$28="Priced for it",'Paid, cost, kept'!$K$28="Strong")),A9,NA())</f>
        <v/>
      </c>
      <c r="I9">
        <f>IF(ISNA(H9),NA(),B9)</f>
        <v/>
      </c>
      <c r="J9">
        <f>IF(C9="","",9)</f>
        <v/>
      </c>
    </row>
    <row r="10">
      <c r="A10">
        <f>IF(OR('Paid, cost, kept'!$AO$29&lt;&gt;0,'Paid, cost, kept'!$G$29="",'Paid, cost, kept'!$I$29=""),NA(),'Paid, cost, kept'!$G$29)</f>
        <v/>
      </c>
      <c r="B10">
        <f>IF(ISNA(A10),NA(),'Paid, cost, kept'!$I$29)</f>
        <v/>
      </c>
      <c r="C10">
        <f>IF('Paid, cost, kept'!$K$29="","",'Paid, cost, kept'!$B$29&amp;" / "&amp;'Paid, cost, kept'!$C$29)</f>
        <v/>
      </c>
      <c r="D10">
        <f>IF('Paid, cost, kept'!$K$29="",NA(),'Paid, cost, kept'!$G$29)</f>
        <v/>
      </c>
      <c r="E10">
        <f>IF('Paid, cost, kept'!$K$29="",NA(),'Paid, cost, kept'!$I$29)</f>
        <v/>
      </c>
      <c r="F10">
        <f>IF(AND(NOT(ISNA(A10)),'Paid, cost, kept'!$K$29="Net drain"),A10,NA())</f>
        <v/>
      </c>
      <c r="G10">
        <f>IF(ISNA(F10),NA(),B10)</f>
        <v/>
      </c>
      <c r="H10">
        <f>IF(AND(NOT(ISNA(A10)),OR('Paid, cost, kept'!$K$29="Priced for it",'Paid, cost, kept'!$K$29="Strong")),A10,NA())</f>
        <v/>
      </c>
      <c r="I10">
        <f>IF(ISNA(H10),NA(),B10)</f>
        <v/>
      </c>
      <c r="J10">
        <f>IF(C10="","",10)</f>
        <v/>
      </c>
    </row>
    <row r="11">
      <c r="A11">
        <f>IF(OR('Paid, cost, kept'!$AO$30&lt;&gt;0,'Paid, cost, kept'!$G$30="",'Paid, cost, kept'!$I$30=""),NA(),'Paid, cost, kept'!$G$30)</f>
        <v/>
      </c>
      <c r="B11">
        <f>IF(ISNA(A11),NA(),'Paid, cost, kept'!$I$30)</f>
        <v/>
      </c>
      <c r="C11">
        <f>IF('Paid, cost, kept'!$K$30="","",'Paid, cost, kept'!$B$30&amp;" / "&amp;'Paid, cost, kept'!$C$30)</f>
        <v/>
      </c>
      <c r="D11">
        <f>IF('Paid, cost, kept'!$K$30="",NA(),'Paid, cost, kept'!$G$30)</f>
        <v/>
      </c>
      <c r="E11">
        <f>IF('Paid, cost, kept'!$K$30="",NA(),'Paid, cost, kept'!$I$30)</f>
        <v/>
      </c>
      <c r="F11">
        <f>IF(AND(NOT(ISNA(A11)),'Paid, cost, kept'!$K$30="Net drain"),A11,NA())</f>
        <v/>
      </c>
      <c r="G11">
        <f>IF(ISNA(F11),NA(),B11)</f>
        <v/>
      </c>
      <c r="H11">
        <f>IF(AND(NOT(ISNA(A11)),OR('Paid, cost, kept'!$K$30="Priced for it",'Paid, cost, kept'!$K$30="Strong")),A11,NA())</f>
        <v/>
      </c>
      <c r="I11">
        <f>IF(ISNA(H11),NA(),B11)</f>
        <v/>
      </c>
      <c r="J11">
        <f>IF(C11="","",11)</f>
        <v/>
      </c>
    </row>
    <row r="12">
      <c r="A12">
        <f>IF(OR('Paid, cost, kept'!$AO$31&lt;&gt;0,'Paid, cost, kept'!$G$31="",'Paid, cost, kept'!$I$31=""),NA(),'Paid, cost, kept'!$G$31)</f>
        <v/>
      </c>
      <c r="B12">
        <f>IF(ISNA(A12),NA(),'Paid, cost, kept'!$I$31)</f>
        <v/>
      </c>
      <c r="C12">
        <f>IF('Paid, cost, kept'!$K$31="","",'Paid, cost, kept'!$B$31&amp;" / "&amp;'Paid, cost, kept'!$C$31)</f>
        <v/>
      </c>
      <c r="D12">
        <f>IF('Paid, cost, kept'!$K$31="",NA(),'Paid, cost, kept'!$G$31)</f>
        <v/>
      </c>
      <c r="E12">
        <f>IF('Paid, cost, kept'!$K$31="",NA(),'Paid, cost, kept'!$I$31)</f>
        <v/>
      </c>
      <c r="F12">
        <f>IF(AND(NOT(ISNA(A12)),'Paid, cost, kept'!$K$31="Net drain"),A12,NA())</f>
        <v/>
      </c>
      <c r="G12">
        <f>IF(ISNA(F12),NA(),B12)</f>
        <v/>
      </c>
      <c r="H12">
        <f>IF(AND(NOT(ISNA(A12)),OR('Paid, cost, kept'!$K$31="Priced for it",'Paid, cost, kept'!$K$31="Strong")),A12,NA())</f>
        <v/>
      </c>
      <c r="I12">
        <f>IF(ISNA(H12),NA(),B12)</f>
        <v/>
      </c>
      <c r="J12">
        <f>IF(C12="","",12)</f>
        <v/>
      </c>
    </row>
    <row r="13">
      <c r="A13">
        <f>IF(OR('Paid, cost, kept'!$AO$32&lt;&gt;0,'Paid, cost, kept'!$G$32="",'Paid, cost, kept'!$I$32=""),NA(),'Paid, cost, kept'!$G$32)</f>
        <v/>
      </c>
      <c r="B13">
        <f>IF(ISNA(A13),NA(),'Paid, cost, kept'!$I$32)</f>
        <v/>
      </c>
      <c r="C13">
        <f>IF('Paid, cost, kept'!$K$32="","",'Paid, cost, kept'!$B$32&amp;" / "&amp;'Paid, cost, kept'!$C$32)</f>
        <v/>
      </c>
      <c r="D13">
        <f>IF('Paid, cost, kept'!$K$32="",NA(),'Paid, cost, kept'!$G$32)</f>
        <v/>
      </c>
      <c r="E13">
        <f>IF('Paid, cost, kept'!$K$32="",NA(),'Paid, cost, kept'!$I$32)</f>
        <v/>
      </c>
      <c r="F13">
        <f>IF(AND(NOT(ISNA(A13)),'Paid, cost, kept'!$K$32="Net drain"),A13,NA())</f>
        <v/>
      </c>
      <c r="G13">
        <f>IF(ISNA(F13),NA(),B13)</f>
        <v/>
      </c>
      <c r="H13">
        <f>IF(AND(NOT(ISNA(A13)),OR('Paid, cost, kept'!$K$32="Priced for it",'Paid, cost, kept'!$K$32="Strong")),A13,NA())</f>
        <v/>
      </c>
      <c r="I13">
        <f>IF(ISNA(H13),NA(),B13)</f>
        <v/>
      </c>
      <c r="J13">
        <f>IF(C13="","",13)</f>
        <v/>
      </c>
    </row>
    <row r="14">
      <c r="A14">
        <f>IF(OR('Paid, cost, kept'!$AO$33&lt;&gt;0,'Paid, cost, kept'!$G$33="",'Paid, cost, kept'!$I$33=""),NA(),'Paid, cost, kept'!$G$33)</f>
        <v/>
      </c>
      <c r="B14">
        <f>IF(ISNA(A14),NA(),'Paid, cost, kept'!$I$33)</f>
        <v/>
      </c>
      <c r="C14">
        <f>IF('Paid, cost, kept'!$K$33="","",'Paid, cost, kept'!$B$33&amp;" / "&amp;'Paid, cost, kept'!$C$33)</f>
        <v/>
      </c>
      <c r="D14">
        <f>IF('Paid, cost, kept'!$K$33="",NA(),'Paid, cost, kept'!$G$33)</f>
        <v/>
      </c>
      <c r="E14">
        <f>IF('Paid, cost, kept'!$K$33="",NA(),'Paid, cost, kept'!$I$33)</f>
        <v/>
      </c>
      <c r="F14">
        <f>IF(AND(NOT(ISNA(A14)),'Paid, cost, kept'!$K$33="Net drain"),A14,NA())</f>
        <v/>
      </c>
      <c r="G14">
        <f>IF(ISNA(F14),NA(),B14)</f>
        <v/>
      </c>
      <c r="H14">
        <f>IF(AND(NOT(ISNA(A14)),OR('Paid, cost, kept'!$K$33="Priced for it",'Paid, cost, kept'!$K$33="Strong")),A14,NA())</f>
        <v/>
      </c>
      <c r="I14">
        <f>IF(ISNA(H14),NA(),B14)</f>
        <v/>
      </c>
      <c r="J14">
        <f>IF(C14="","",14)</f>
        <v/>
      </c>
    </row>
    <row r="15">
      <c r="A15">
        <f>IF(OR('Paid, cost, kept'!$AO$34&lt;&gt;0,'Paid, cost, kept'!$G$34="",'Paid, cost, kept'!$I$34=""),NA(),'Paid, cost, kept'!$G$34)</f>
        <v/>
      </c>
      <c r="B15">
        <f>IF(ISNA(A15),NA(),'Paid, cost, kept'!$I$34)</f>
        <v/>
      </c>
      <c r="C15">
        <f>IF('Paid, cost, kept'!$K$34="","",'Paid, cost, kept'!$B$34&amp;" / "&amp;'Paid, cost, kept'!$C$34)</f>
        <v/>
      </c>
      <c r="D15">
        <f>IF('Paid, cost, kept'!$K$34="",NA(),'Paid, cost, kept'!$G$34)</f>
        <v/>
      </c>
      <c r="E15">
        <f>IF('Paid, cost, kept'!$K$34="",NA(),'Paid, cost, kept'!$I$34)</f>
        <v/>
      </c>
      <c r="F15">
        <f>IF(AND(NOT(ISNA(A15)),'Paid, cost, kept'!$K$34="Net drain"),A15,NA())</f>
        <v/>
      </c>
      <c r="G15">
        <f>IF(ISNA(F15),NA(),B15)</f>
        <v/>
      </c>
      <c r="H15">
        <f>IF(AND(NOT(ISNA(A15)),OR('Paid, cost, kept'!$K$34="Priced for it",'Paid, cost, kept'!$K$34="Strong")),A15,NA())</f>
        <v/>
      </c>
      <c r="I15">
        <f>IF(ISNA(H15),NA(),B15)</f>
        <v/>
      </c>
      <c r="J15">
        <f>IF(C15="","",15)</f>
        <v/>
      </c>
    </row>
    <row r="16">
      <c r="A16">
        <f>IF(OR('Paid, cost, kept'!$AO$35&lt;&gt;0,'Paid, cost, kept'!$G$35="",'Paid, cost, kept'!$I$35=""),NA(),'Paid, cost, kept'!$G$35)</f>
        <v/>
      </c>
      <c r="B16">
        <f>IF(ISNA(A16),NA(),'Paid, cost, kept'!$I$35)</f>
        <v/>
      </c>
      <c r="C16">
        <f>IF('Paid, cost, kept'!$K$35="","",'Paid, cost, kept'!$B$35&amp;" / "&amp;'Paid, cost, kept'!$C$35)</f>
        <v/>
      </c>
      <c r="D16">
        <f>IF('Paid, cost, kept'!$K$35="",NA(),'Paid, cost, kept'!$G$35)</f>
        <v/>
      </c>
      <c r="E16">
        <f>IF('Paid, cost, kept'!$K$35="",NA(),'Paid, cost, kept'!$I$35)</f>
        <v/>
      </c>
      <c r="F16">
        <f>IF(AND(NOT(ISNA(A16)),'Paid, cost, kept'!$K$35="Net drain"),A16,NA())</f>
        <v/>
      </c>
      <c r="G16">
        <f>IF(ISNA(F16),NA(),B16)</f>
        <v/>
      </c>
      <c r="H16">
        <f>IF(AND(NOT(ISNA(A16)),OR('Paid, cost, kept'!$K$35="Priced for it",'Paid, cost, kept'!$K$35="Strong")),A16,NA())</f>
        <v/>
      </c>
      <c r="I16">
        <f>IF(ISNA(H16),NA(),B16)</f>
        <v/>
      </c>
      <c r="J16">
        <f>IF(C16="","",16)</f>
        <v/>
      </c>
    </row>
    <row r="17">
      <c r="A17">
        <f>IF(OR('Paid, cost, kept'!$AO$36&lt;&gt;0,'Paid, cost, kept'!$G$36="",'Paid, cost, kept'!$I$36=""),NA(),'Paid, cost, kept'!$G$36)</f>
        <v/>
      </c>
      <c r="B17">
        <f>IF(ISNA(A17),NA(),'Paid, cost, kept'!$I$36)</f>
        <v/>
      </c>
      <c r="C17">
        <f>IF('Paid, cost, kept'!$K$36="","",'Paid, cost, kept'!$B$36&amp;" / "&amp;'Paid, cost, kept'!$C$36)</f>
        <v/>
      </c>
      <c r="D17">
        <f>IF('Paid, cost, kept'!$K$36="",NA(),'Paid, cost, kept'!$G$36)</f>
        <v/>
      </c>
      <c r="E17">
        <f>IF('Paid, cost, kept'!$K$36="",NA(),'Paid, cost, kept'!$I$36)</f>
        <v/>
      </c>
      <c r="F17">
        <f>IF(AND(NOT(ISNA(A17)),'Paid, cost, kept'!$K$36="Net drain"),A17,NA())</f>
        <v/>
      </c>
      <c r="G17">
        <f>IF(ISNA(F17),NA(),B17)</f>
        <v/>
      </c>
      <c r="H17">
        <f>IF(AND(NOT(ISNA(A17)),OR('Paid, cost, kept'!$K$36="Priced for it",'Paid, cost, kept'!$K$36="Strong")),A17,NA())</f>
        <v/>
      </c>
      <c r="I17">
        <f>IF(ISNA(H17),NA(),B17)</f>
        <v/>
      </c>
      <c r="J17">
        <f>IF(C17="","",17)</f>
        <v/>
      </c>
    </row>
    <row r="18">
      <c r="A18">
        <f>IF(OR('Paid, cost, kept'!$AO$37&lt;&gt;0,'Paid, cost, kept'!$G$37="",'Paid, cost, kept'!$I$37=""),NA(),'Paid, cost, kept'!$G$37)</f>
        <v/>
      </c>
      <c r="B18">
        <f>IF(ISNA(A18),NA(),'Paid, cost, kept'!$I$37)</f>
        <v/>
      </c>
      <c r="C18">
        <f>IF('Paid, cost, kept'!$K$37="","",'Paid, cost, kept'!$B$37&amp;" / "&amp;'Paid, cost, kept'!$C$37)</f>
        <v/>
      </c>
      <c r="D18">
        <f>IF('Paid, cost, kept'!$K$37="",NA(),'Paid, cost, kept'!$G$37)</f>
        <v/>
      </c>
      <c r="E18">
        <f>IF('Paid, cost, kept'!$K$37="",NA(),'Paid, cost, kept'!$I$37)</f>
        <v/>
      </c>
      <c r="F18">
        <f>IF(AND(NOT(ISNA(A18)),'Paid, cost, kept'!$K$37="Net drain"),A18,NA())</f>
        <v/>
      </c>
      <c r="G18">
        <f>IF(ISNA(F18),NA(),B18)</f>
        <v/>
      </c>
      <c r="H18">
        <f>IF(AND(NOT(ISNA(A18)),OR('Paid, cost, kept'!$K$37="Priced for it",'Paid, cost, kept'!$K$37="Strong")),A18,NA())</f>
        <v/>
      </c>
      <c r="I18">
        <f>IF(ISNA(H18),NA(),B18)</f>
        <v/>
      </c>
      <c r="J18">
        <f>IF(C18="","",18)</f>
        <v/>
      </c>
    </row>
    <row r="19">
      <c r="A19">
        <f>IF(OR('Paid, cost, kept'!$AO$38&lt;&gt;0,'Paid, cost, kept'!$G$38="",'Paid, cost, kept'!$I$38=""),NA(),'Paid, cost, kept'!$G$38)</f>
        <v/>
      </c>
      <c r="B19">
        <f>IF(ISNA(A19),NA(),'Paid, cost, kept'!$I$38)</f>
        <v/>
      </c>
      <c r="C19">
        <f>IF('Paid, cost, kept'!$K$38="","",'Paid, cost, kept'!$B$38&amp;" / "&amp;'Paid, cost, kept'!$C$38)</f>
        <v/>
      </c>
      <c r="D19">
        <f>IF('Paid, cost, kept'!$K$38="",NA(),'Paid, cost, kept'!$G$38)</f>
        <v/>
      </c>
      <c r="E19">
        <f>IF('Paid, cost, kept'!$K$38="",NA(),'Paid, cost, kept'!$I$38)</f>
        <v/>
      </c>
      <c r="F19">
        <f>IF(AND(NOT(ISNA(A19)),'Paid, cost, kept'!$K$38="Net drain"),A19,NA())</f>
        <v/>
      </c>
      <c r="G19">
        <f>IF(ISNA(F19),NA(),B19)</f>
        <v/>
      </c>
      <c r="H19">
        <f>IF(AND(NOT(ISNA(A19)),OR('Paid, cost, kept'!$K$38="Priced for it",'Paid, cost, kept'!$K$38="Strong")),A19,NA())</f>
        <v/>
      </c>
      <c r="I19">
        <f>IF(ISNA(H19),NA(),B19)</f>
        <v/>
      </c>
      <c r="J19">
        <f>IF(C19="","",19)</f>
        <v/>
      </c>
    </row>
    <row r="20">
      <c r="A20">
        <f>IF(OR('Paid, cost, kept'!$AO$39&lt;&gt;0,'Paid, cost, kept'!$G$39="",'Paid, cost, kept'!$I$39=""),NA(),'Paid, cost, kept'!$G$39)</f>
        <v/>
      </c>
      <c r="B20">
        <f>IF(ISNA(A20),NA(),'Paid, cost, kept'!$I$39)</f>
        <v/>
      </c>
      <c r="C20">
        <f>IF('Paid, cost, kept'!$K$39="","",'Paid, cost, kept'!$B$39&amp;" / "&amp;'Paid, cost, kept'!$C$39)</f>
        <v/>
      </c>
      <c r="D20">
        <f>IF('Paid, cost, kept'!$K$39="",NA(),'Paid, cost, kept'!$G$39)</f>
        <v/>
      </c>
      <c r="E20">
        <f>IF('Paid, cost, kept'!$K$39="",NA(),'Paid, cost, kept'!$I$39)</f>
        <v/>
      </c>
      <c r="F20">
        <f>IF(AND(NOT(ISNA(A20)),'Paid, cost, kept'!$K$39="Net drain"),A20,NA())</f>
        <v/>
      </c>
      <c r="G20">
        <f>IF(ISNA(F20),NA(),B20)</f>
        <v/>
      </c>
      <c r="H20">
        <f>IF(AND(NOT(ISNA(A20)),OR('Paid, cost, kept'!$K$39="Priced for it",'Paid, cost, kept'!$K$39="Strong")),A20,NA())</f>
        <v/>
      </c>
      <c r="I20">
        <f>IF(ISNA(H20),NA(),B20)</f>
        <v/>
      </c>
      <c r="J20">
        <f>IF(C20="","",20)</f>
        <v/>
      </c>
    </row>
    <row r="21">
      <c r="A21">
        <f>IF(OR('Paid, cost, kept'!$AO$40&lt;&gt;0,'Paid, cost, kept'!$G$40="",'Paid, cost, kept'!$I$40=""),NA(),'Paid, cost, kept'!$G$40)</f>
        <v/>
      </c>
      <c r="B21">
        <f>IF(ISNA(A21),NA(),'Paid, cost, kept'!$I$40)</f>
        <v/>
      </c>
      <c r="C21">
        <f>IF('Paid, cost, kept'!$K$40="","",'Paid, cost, kept'!$B$40&amp;" / "&amp;'Paid, cost, kept'!$C$40)</f>
        <v/>
      </c>
      <c r="D21">
        <f>IF('Paid, cost, kept'!$K$40="",NA(),'Paid, cost, kept'!$G$40)</f>
        <v/>
      </c>
      <c r="E21">
        <f>IF('Paid, cost, kept'!$K$40="",NA(),'Paid, cost, kept'!$I$40)</f>
        <v/>
      </c>
      <c r="F21">
        <f>IF(AND(NOT(ISNA(A21)),'Paid, cost, kept'!$K$40="Net drain"),A21,NA())</f>
        <v/>
      </c>
      <c r="G21">
        <f>IF(ISNA(F21),NA(),B21)</f>
        <v/>
      </c>
      <c r="H21">
        <f>IF(AND(NOT(ISNA(A21)),OR('Paid, cost, kept'!$K$40="Priced for it",'Paid, cost, kept'!$K$40="Strong")),A21,NA())</f>
        <v/>
      </c>
      <c r="I21">
        <f>IF(ISNA(H21),NA(),B21)</f>
        <v/>
      </c>
      <c r="J21">
        <f>IF(C21="","",21)</f>
        <v/>
      </c>
    </row>
    <row r="22">
      <c r="A22">
        <f>IF(OR('Paid, cost, kept'!$AO$41&lt;&gt;0,'Paid, cost, kept'!$G$41="",'Paid, cost, kept'!$I$41=""),NA(),'Paid, cost, kept'!$G$41)</f>
        <v/>
      </c>
      <c r="B22">
        <f>IF(ISNA(A22),NA(),'Paid, cost, kept'!$I$41)</f>
        <v/>
      </c>
      <c r="C22">
        <f>IF('Paid, cost, kept'!$K$41="","",'Paid, cost, kept'!$B$41&amp;" / "&amp;'Paid, cost, kept'!$C$41)</f>
        <v/>
      </c>
      <c r="D22">
        <f>IF('Paid, cost, kept'!$K$41="",NA(),'Paid, cost, kept'!$G$41)</f>
        <v/>
      </c>
      <c r="E22">
        <f>IF('Paid, cost, kept'!$K$41="",NA(),'Paid, cost, kept'!$I$41)</f>
        <v/>
      </c>
      <c r="F22">
        <f>IF(AND(NOT(ISNA(A22)),'Paid, cost, kept'!$K$41="Net drain"),A22,NA())</f>
        <v/>
      </c>
      <c r="G22">
        <f>IF(ISNA(F22),NA(),B22)</f>
        <v/>
      </c>
      <c r="H22">
        <f>IF(AND(NOT(ISNA(A22)),OR('Paid, cost, kept'!$K$41="Priced for it",'Paid, cost, kept'!$K$41="Strong")),A22,NA())</f>
        <v/>
      </c>
      <c r="I22">
        <f>IF(ISNA(H22),NA(),B22)</f>
        <v/>
      </c>
      <c r="J22">
        <f>IF(C22="","",22)</f>
        <v/>
      </c>
    </row>
    <row r="23">
      <c r="A23">
        <f>IF(OR('Paid, cost, kept'!$AO$42&lt;&gt;0,'Paid, cost, kept'!$G$42="",'Paid, cost, kept'!$I$42=""),NA(),'Paid, cost, kept'!$G$42)</f>
        <v/>
      </c>
      <c r="B23">
        <f>IF(ISNA(A23),NA(),'Paid, cost, kept'!$I$42)</f>
        <v/>
      </c>
      <c r="C23">
        <f>IF('Paid, cost, kept'!$K$42="","",'Paid, cost, kept'!$B$42&amp;" / "&amp;'Paid, cost, kept'!$C$42)</f>
        <v/>
      </c>
      <c r="D23">
        <f>IF('Paid, cost, kept'!$K$42="",NA(),'Paid, cost, kept'!$G$42)</f>
        <v/>
      </c>
      <c r="E23">
        <f>IF('Paid, cost, kept'!$K$42="",NA(),'Paid, cost, kept'!$I$42)</f>
        <v/>
      </c>
      <c r="F23">
        <f>IF(AND(NOT(ISNA(A23)),'Paid, cost, kept'!$K$42="Net drain"),A23,NA())</f>
        <v/>
      </c>
      <c r="G23">
        <f>IF(ISNA(F23),NA(),B23)</f>
        <v/>
      </c>
      <c r="H23">
        <f>IF(AND(NOT(ISNA(A23)),OR('Paid, cost, kept'!$K$42="Priced for it",'Paid, cost, kept'!$K$42="Strong")),A23,NA())</f>
        <v/>
      </c>
      <c r="I23">
        <f>IF(ISNA(H23),NA(),B23)</f>
        <v/>
      </c>
      <c r="J23">
        <f>IF(C23="","",23)</f>
        <v/>
      </c>
    </row>
    <row r="24">
      <c r="A24">
        <f>IF(OR('Paid, cost, kept'!$AO$43&lt;&gt;0,'Paid, cost, kept'!$G$43="",'Paid, cost, kept'!$I$43=""),NA(),'Paid, cost, kept'!$G$43)</f>
        <v/>
      </c>
      <c r="B24">
        <f>IF(ISNA(A24),NA(),'Paid, cost, kept'!$I$43)</f>
        <v/>
      </c>
      <c r="C24">
        <f>IF('Paid, cost, kept'!$K$43="","",'Paid, cost, kept'!$B$43&amp;" / "&amp;'Paid, cost, kept'!$C$43)</f>
        <v/>
      </c>
      <c r="D24">
        <f>IF('Paid, cost, kept'!$K$43="",NA(),'Paid, cost, kept'!$G$43)</f>
        <v/>
      </c>
      <c r="E24">
        <f>IF('Paid, cost, kept'!$K$43="",NA(),'Paid, cost, kept'!$I$43)</f>
        <v/>
      </c>
      <c r="F24">
        <f>IF(AND(NOT(ISNA(A24)),'Paid, cost, kept'!$K$43="Net drain"),A24,NA())</f>
        <v/>
      </c>
      <c r="G24">
        <f>IF(ISNA(F24),NA(),B24)</f>
        <v/>
      </c>
      <c r="H24">
        <f>IF(AND(NOT(ISNA(A24)),OR('Paid, cost, kept'!$K$43="Priced for it",'Paid, cost, kept'!$K$43="Strong")),A24,NA())</f>
        <v/>
      </c>
      <c r="I24">
        <f>IF(ISNA(H24),NA(),B24)</f>
        <v/>
      </c>
      <c r="J24">
        <f>IF(C24="","",24)</f>
        <v/>
      </c>
    </row>
    <row r="25">
      <c r="A25">
        <f>IF(OR('Paid, cost, kept'!$AO$44&lt;&gt;0,'Paid, cost, kept'!$G$44="",'Paid, cost, kept'!$I$44=""),NA(),'Paid, cost, kept'!$G$44)</f>
        <v/>
      </c>
      <c r="B25">
        <f>IF(ISNA(A25),NA(),'Paid, cost, kept'!$I$44)</f>
        <v/>
      </c>
      <c r="C25">
        <f>IF('Paid, cost, kept'!$K$44="","",'Paid, cost, kept'!$B$44&amp;" / "&amp;'Paid, cost, kept'!$C$44)</f>
        <v/>
      </c>
      <c r="D25">
        <f>IF('Paid, cost, kept'!$K$44="",NA(),'Paid, cost, kept'!$G$44)</f>
        <v/>
      </c>
      <c r="E25">
        <f>IF('Paid, cost, kept'!$K$44="",NA(),'Paid, cost, kept'!$I$44)</f>
        <v/>
      </c>
      <c r="F25">
        <f>IF(AND(NOT(ISNA(A25)),'Paid, cost, kept'!$K$44="Net drain"),A25,NA())</f>
        <v/>
      </c>
      <c r="G25">
        <f>IF(ISNA(F25),NA(),B25)</f>
        <v/>
      </c>
      <c r="H25">
        <f>IF(AND(NOT(ISNA(A25)),OR('Paid, cost, kept'!$K$44="Priced for it",'Paid, cost, kept'!$K$44="Strong")),A25,NA())</f>
        <v/>
      </c>
      <c r="I25">
        <f>IF(ISNA(H25),NA(),B25)</f>
        <v/>
      </c>
      <c r="J25">
        <f>IF(C25="","",25)</f>
        <v/>
      </c>
    </row>
    <row r="28">
      <c r="A28" t="n">
        <v>1</v>
      </c>
      <c r="B28" t="n">
        <v>-12.5</v>
      </c>
    </row>
    <row r="29">
      <c r="A29" t="n">
        <v>1</v>
      </c>
      <c r="B29" t="n">
        <v>12.5</v>
      </c>
    </row>
    <row r="30">
      <c r="A30" t="n">
        <v>0.1</v>
      </c>
      <c r="B30" t="n">
        <v>0</v>
      </c>
    </row>
    <row r="31">
      <c r="A31" t="n">
        <v>10</v>
      </c>
      <c r="B31" t="n">
        <v>0</v>
      </c>
    </row>
    <row r="32">
      <c r="A32" t="n">
        <v>6.25</v>
      </c>
      <c r="B32" t="n">
        <v>11.25</v>
      </c>
    </row>
    <row r="33">
      <c r="A33" t="n">
        <v>6.25</v>
      </c>
      <c r="B33" t="n">
        <v>-11.25</v>
      </c>
    </row>
    <row r="34">
      <c r="A34" t="n">
        <v>0.16</v>
      </c>
      <c r="B34" t="n">
        <v>11.25</v>
      </c>
    </row>
    <row r="35">
      <c r="A35" t="n">
        <v>0.16</v>
      </c>
      <c r="B35" t="n">
        <v>-11.25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5"/>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The smallest significant gap in a typical pocket (suggested)</t>
        </is>
      </c>
      <c r="C2" t="inlineStr">
        <is>
          <t>The smallest significant gap in a typical pocket (suggested)</t>
        </is>
      </c>
    </row>
    <row r="3">
      <c r="A3" t="inlineStr">
        <is>
          <t>better_at</t>
        </is>
      </c>
      <c r="B3" t="inlineStr">
        <is>
          <t>The smallest significant gap in a typical pocket (suggested)</t>
        </is>
      </c>
      <c r="C3" t="inlineStr">
        <is>
          <t>The smallest significant gap in a typical pocket (suggested)</t>
        </is>
      </c>
    </row>
    <row r="4">
      <c r="A4" t="inlineStr">
        <is>
          <t>revenue_line</t>
        </is>
      </c>
      <c r="B4" t="inlineStr">
        <is>
          <t>Each pocket's own test (suggested)</t>
        </is>
      </c>
      <c r="C4" t="inlineStr">
        <is>
          <t>Each pocket's own test (suggested)</t>
        </is>
      </c>
    </row>
    <row r="5">
      <c r="A5" t="inlineStr">
        <is>
          <t>confidence</t>
        </is>
      </c>
      <c r="B5" t="inlineStr">
        <is>
          <t>95% sure</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Enough for 5 expected losses (suggested)</t>
        </is>
      </c>
      <c r="C8" t="inlineStr">
        <is>
          <t>Enough for 5 expected losses (suggested)</t>
        </is>
      </c>
    </row>
    <row r="9">
      <c r="A9" t="inlineStr">
        <is>
          <t>min_events</t>
        </is>
      </c>
      <c r="B9" t="inlineStr">
        <is>
          <t>10 losses</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row>
    <row r="15">
      <c r="A15" t="inlineStr">
        <is>
          <t>run_kind</t>
        </is>
      </c>
      <c r="B15" t="inlineStr">
        <is>
          <t>Where the book bleeds</t>
        </is>
      </c>
      <c r="C15" t="inlineStr">
        <is>
          <t>Where the book bleeds</t>
        </is>
      </c>
    </row>
    <row r="16">
      <c r="A16" t="inlineStr">
        <is>
          <t>new_variable_step</t>
        </is>
      </c>
    </row>
    <row r="17">
      <c r="A17" t="inlineStr">
        <is>
          <t>launcher|bands</t>
        </is>
      </c>
      <c r="B17" t="inlineStr">
        <is>
          <t>FICO, ORIG_BAL</t>
        </is>
      </c>
      <c r="C17" t="inlineStr">
        <is>
          <t>FICO, ORIG_BAL</t>
        </is>
      </c>
    </row>
    <row r="18">
      <c r="A18" t="inlineStr">
        <is>
          <t>launcher|segments</t>
        </is>
      </c>
      <c r="B18" t="inlineStr">
        <is>
          <t>CHANNEL, ASSET_CLASS</t>
        </is>
      </c>
      <c r="C18" t="inlineStr">
        <is>
          <t>CHANNEL, ASSET_CLASS</t>
        </is>
      </c>
    </row>
    <row r="19">
      <c r="A19" t="inlineStr">
        <is>
          <t>launcher|split</t>
        </is>
      </c>
      <c r="B19" t="inlineStr">
        <is>
          <t>SYS_FLAG</t>
        </is>
      </c>
      <c r="C19" t="inlineStr">
        <is>
          <t>SYS_FLAG</t>
        </is>
      </c>
    </row>
    <row r="20">
      <c r="A20" t="inlineStr">
        <is>
          <t>launcher|outcome</t>
        </is>
      </c>
    </row>
    <row r="21">
      <c r="A21" t="inlineStr">
        <is>
          <t>launcher|test</t>
        </is>
      </c>
    </row>
    <row r="22">
      <c r="A22" t="inlineStr">
        <is>
          <t>launcher|hold</t>
        </is>
      </c>
    </row>
    <row r="23">
      <c r="A23" t="inlineStr">
        <is>
          <t>prespec</t>
        </is>
      </c>
    </row>
    <row r="24">
      <c r="A24" t="inlineStr">
        <is>
          <t>few_values</t>
        </is>
      </c>
      <c r="B24" t="inlineStr">
        <is>
          <t>12 values</t>
        </is>
      </c>
      <c r="C24" t="inlineStr">
        <is>
          <t>12 values</t>
        </is>
      </c>
    </row>
    <row r="25">
      <c r="A25" t="inlineStr">
        <is>
          <t>many_values</t>
        </is>
      </c>
      <c r="B25" t="inlineStr">
        <is>
          <t>50 values</t>
        </is>
      </c>
      <c r="C25" t="inlineStr">
        <is>
          <t>50 values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6"/>
  <sheetViews>
    <sheetView tabSelected="0" workbookViewId="0">
      <selection activeCell="A1" sqref="A1"/>
    </sheetView>
  </sheetViews>
  <sheetFormatPr baseColWidth="8" defaultRowHeight="15"/>
  <sheetData>
    <row r="1">
      <c r="A1" t="inlineStr">
        <is>
          <t>stamp</t>
        </is>
      </c>
      <c r="B1" t="inlineStr">
        <is>
          <t>2026-09-29 21:05</t>
        </is>
      </c>
    </row>
    <row r="2">
      <c r="A2" t="inlineStr">
        <is>
          <t>measure</t>
        </is>
      </c>
      <c r="B2" t="inlineStr">
        <is>
          <t>gco_rate</t>
        </is>
      </c>
    </row>
    <row r="3">
      <c r="A3" t="inlineStr">
        <is>
          <t>measure_title</t>
        </is>
      </c>
      <c r="B3" t="inlineStr">
        <is>
          <t>charge-offs</t>
        </is>
      </c>
    </row>
    <row r="4">
      <c r="A4" t="inlineStr">
        <is>
          <t>pockets</t>
        </is>
      </c>
      <c r="B4" t="n">
        <v>81</v>
      </c>
    </row>
    <row r="5">
      <c r="A5" t="inlineStr">
        <is>
          <t>profit</t>
        </is>
      </c>
      <c r="B5" t="inlineStr">
        <is>
          <t>ranr_rate</t>
        </is>
      </c>
    </row>
    <row r="6">
      <c r="A6" t="inlineStr">
        <is>
          <t>top</t>
        </is>
      </c>
      <c r="B6" t="inlineStr">
        <is>
          <t>FICO 496 - 653</t>
        </is>
      </c>
      <c r="C6" t="inlineStr">
        <is>
          <t>Broker</t>
        </is>
      </c>
      <c r="D6" t="n">
        <v>523</v>
      </c>
      <c r="E6" t="n">
        <v>31</v>
      </c>
      <c r="F6">
        <f>IF(AND('_pockets'!$AI$31="Yes",'_pockets'!$AJ$31="Yes"),1,0)</f>
        <v/>
      </c>
      <c r="G6">
        <f>F6</f>
        <v/>
      </c>
    </row>
    <row r="7">
      <c r="A7" t="inlineStr">
        <is>
          <t>top</t>
        </is>
      </c>
      <c r="B7" t="inlineStr">
        <is>
          <t>FICO 496 - 653</t>
        </is>
      </c>
      <c r="C7" t="inlineStr">
        <is>
          <t>ASSET_CLASS 4</t>
        </is>
      </c>
      <c r="D7" t="n">
        <v>392</v>
      </c>
      <c r="E7" t="n">
        <v>151</v>
      </c>
      <c r="F7">
        <f>IF(AND('_pockets'!$AI$151="Yes",'_pockets'!$AJ$151="Yes"),1,0)</f>
        <v/>
      </c>
      <c r="G7">
        <f>G6+F7</f>
        <v/>
      </c>
    </row>
    <row r="8">
      <c r="A8" t="inlineStr">
        <is>
          <t>top</t>
        </is>
      </c>
      <c r="B8" t="inlineStr">
        <is>
          <t>ORIG_BAL 49,152 - 59,984</t>
        </is>
      </c>
      <c r="C8" t="inlineStr">
        <is>
          <t>Broker</t>
        </is>
      </c>
      <c r="D8" t="n">
        <v>520</v>
      </c>
      <c r="E8" t="n">
        <v>301</v>
      </c>
      <c r="F8">
        <f>IF(AND('_pockets'!$AI$301="Yes",'_pockets'!$AJ$301="Yes"),1,0)</f>
        <v/>
      </c>
      <c r="G8">
        <f>G7+F8</f>
        <v/>
      </c>
    </row>
    <row r="9">
      <c r="A9" t="inlineStr">
        <is>
          <t>top</t>
        </is>
      </c>
      <c r="B9" t="inlineStr">
        <is>
          <t>ORIG_BAL 37,951 - 49,151</t>
        </is>
      </c>
      <c r="C9" t="inlineStr">
        <is>
          <t>ASSET_CLASS 4</t>
        </is>
      </c>
      <c r="D9" t="n">
        <v>414</v>
      </c>
      <c r="E9" t="n">
        <v>366</v>
      </c>
      <c r="F9">
        <f>IF(AND('_pockets'!$AI$366="Yes",'_pockets'!$AJ$366="Yes"),1,0)</f>
        <v/>
      </c>
      <c r="G9">
        <f>G8+F9</f>
        <v/>
      </c>
    </row>
    <row r="10">
      <c r="A10" t="inlineStr">
        <is>
          <t>top</t>
        </is>
      </c>
      <c r="B10" t="inlineStr">
        <is>
          <t>FICO 712 - 745</t>
        </is>
      </c>
      <c r="C10" t="inlineStr">
        <is>
          <t>Online</t>
        </is>
      </c>
      <c r="D10" t="n">
        <v>564</v>
      </c>
      <c r="E10" t="n">
        <v>41</v>
      </c>
      <c r="F10">
        <f>IF(AND('_pockets'!$AI$41="Yes",'_pockets'!$AJ$41="Yes"),1,0)</f>
        <v/>
      </c>
      <c r="G10">
        <f>G9+F10</f>
        <v/>
      </c>
    </row>
    <row r="11">
      <c r="A11" t="inlineStr">
        <is>
          <t>top</t>
        </is>
      </c>
      <c r="B11" t="inlineStr">
        <is>
          <t>FICO 654 - 685</t>
        </is>
      </c>
      <c r="C11" t="inlineStr">
        <is>
          <t>ASSET_CLASS 4</t>
        </is>
      </c>
      <c r="D11" t="n">
        <v>410</v>
      </c>
      <c r="E11" t="n">
        <v>191</v>
      </c>
      <c r="F11">
        <f>IF(AND('_pockets'!$AI$191="Yes",'_pockets'!$AJ$191="Yes"),1,0)</f>
        <v/>
      </c>
      <c r="G11">
        <f>G10+F11</f>
        <v/>
      </c>
    </row>
    <row r="12">
      <c r="A12" t="inlineStr">
        <is>
          <t>top</t>
        </is>
      </c>
      <c r="B12" t="inlineStr">
        <is>
          <t>ORIG_BAL 49,152 - 59,984</t>
        </is>
      </c>
      <c r="C12" t="inlineStr">
        <is>
          <t>ASSET_CLASS 4</t>
        </is>
      </c>
      <c r="D12" t="n">
        <v>384</v>
      </c>
      <c r="E12" t="n">
        <v>386</v>
      </c>
      <c r="F12">
        <f>IF(AND('_pockets'!$AI$386="Yes",'_pockets'!$AJ$386="Yes"),1,0)</f>
        <v/>
      </c>
      <c r="G12">
        <f>G11+F12</f>
        <v/>
      </c>
    </row>
    <row r="13">
      <c r="A13" t="inlineStr">
        <is>
          <t>top</t>
        </is>
      </c>
      <c r="B13" t="inlineStr">
        <is>
          <t>FICO 686 - 711</t>
        </is>
      </c>
      <c r="C13" t="inlineStr">
        <is>
          <t>Online</t>
        </is>
      </c>
      <c r="D13" t="n">
        <v>546</v>
      </c>
      <c r="E13" t="n">
        <v>66</v>
      </c>
      <c r="F13">
        <f>IF(AND('_pockets'!$AI$66="Yes",'_pockets'!$AJ$66="Yes"),1,0)</f>
        <v/>
      </c>
      <c r="G13">
        <f>G12+F13</f>
        <v/>
      </c>
    </row>
    <row r="14">
      <c r="A14" t="inlineStr">
        <is>
          <t>top</t>
        </is>
      </c>
      <c r="B14" t="inlineStr">
        <is>
          <t>ORIG_BAL 26,324 - 37,950</t>
        </is>
      </c>
      <c r="C14" t="inlineStr">
        <is>
          <t>ASSET_CLASS 4</t>
        </is>
      </c>
      <c r="D14" t="n">
        <v>412</v>
      </c>
      <c r="E14" t="n">
        <v>326</v>
      </c>
      <c r="F14">
        <f>IF(AND('_pockets'!$AI$326="Yes",'_pockets'!$AJ$326="Yes"),1,0)</f>
        <v/>
      </c>
      <c r="G14">
        <f>G13+F14</f>
        <v/>
      </c>
    </row>
    <row r="15">
      <c r="A15" t="inlineStr">
        <is>
          <t>top</t>
        </is>
      </c>
      <c r="B15" t="inlineStr">
        <is>
          <t>FICO 712 - 745</t>
        </is>
      </c>
      <c r="C15" t="inlineStr">
        <is>
          <t>ASSET_CLASS 4</t>
        </is>
      </c>
      <c r="D15" t="n">
        <v>427</v>
      </c>
      <c r="E15" t="n">
        <v>126</v>
      </c>
      <c r="F15">
        <f>IF(AND('_pockets'!$AI$126="Yes",'_pockets'!$AJ$126="Yes"),1,0)</f>
        <v/>
      </c>
      <c r="G15">
        <f>G14+F15</f>
        <v/>
      </c>
    </row>
    <row r="16">
      <c r="A16" t="inlineStr">
        <is>
          <t>top</t>
        </is>
      </c>
      <c r="B16" t="inlineStr">
        <is>
          <t>ORIG_BAL 15,449 - 26,323</t>
        </is>
      </c>
      <c r="C16" t="inlineStr">
        <is>
          <t>Broker</t>
        </is>
      </c>
      <c r="D16" t="n">
        <v>537</v>
      </c>
      <c r="E16" t="n">
        <v>251</v>
      </c>
      <c r="F16">
        <f>IF(AND('_pockets'!$AI$251="Yes",'_pockets'!$AJ$251="Yes"),1,0)</f>
        <v/>
      </c>
      <c r="G16">
        <f>G15+F16</f>
        <v/>
      </c>
    </row>
    <row r="17">
      <c r="A17" t="inlineStr">
        <is>
          <t>top</t>
        </is>
      </c>
      <c r="B17" t="inlineStr">
        <is>
          <t>ORIG_BAL 37,951 - 49,151</t>
        </is>
      </c>
      <c r="C17" t="inlineStr">
        <is>
          <t>Broker</t>
        </is>
      </c>
      <c r="D17" t="n">
        <v>531</v>
      </c>
      <c r="E17" t="n">
        <v>261</v>
      </c>
      <c r="F17">
        <f>IF(AND('_pockets'!$AI$261="Yes",'_pockets'!$AJ$261="Yes"),1,0)</f>
        <v/>
      </c>
      <c r="G17">
        <f>G16+F17</f>
        <v/>
      </c>
    </row>
    <row r="18">
      <c r="A18" t="inlineStr">
        <is>
          <t>top</t>
        </is>
      </c>
      <c r="B18" t="inlineStr">
        <is>
          <t>ORIG_BAL 37,951 - 49,151</t>
        </is>
      </c>
      <c r="C18" t="inlineStr">
        <is>
          <t>ASSET_CLASS 3</t>
        </is>
      </c>
      <c r="D18" t="n">
        <v>382</v>
      </c>
      <c r="E18" t="n">
        <v>381</v>
      </c>
      <c r="F18">
        <f>IF(AND('_pockets'!$AI$381="Yes",'_pockets'!$AJ$381="Yes"),1,0)</f>
        <v/>
      </c>
      <c r="G18">
        <f>G17+F18</f>
        <v/>
      </c>
    </row>
    <row r="19">
      <c r="A19" t="inlineStr">
        <is>
          <t>top</t>
        </is>
      </c>
      <c r="B19" t="inlineStr">
        <is>
          <t>FICO 686 - 711</t>
        </is>
      </c>
      <c r="C19" t="inlineStr">
        <is>
          <t>ASSET_CLASS 4</t>
        </is>
      </c>
      <c r="D19" t="n">
        <v>407</v>
      </c>
      <c r="E19" t="n">
        <v>156</v>
      </c>
      <c r="F19">
        <f>IF(AND('_pockets'!$AI$156="Yes",'_pockets'!$AJ$156="Yes"),1,0)</f>
        <v/>
      </c>
      <c r="G19">
        <f>G18+F19</f>
        <v/>
      </c>
    </row>
    <row r="20">
      <c r="A20" t="inlineStr">
        <is>
          <t>top</t>
        </is>
      </c>
      <c r="B20" t="inlineStr">
        <is>
          <t>FICO 654 - 685</t>
        </is>
      </c>
      <c r="C20" t="inlineStr">
        <is>
          <t>Branch</t>
        </is>
      </c>
      <c r="D20" t="n">
        <v>503</v>
      </c>
      <c r="E20" t="n">
        <v>56</v>
      </c>
      <c r="F20">
        <f>IF(AND('_pockets'!$AI$56="Yes",'_pockets'!$AJ$56="Yes"),1,0)</f>
        <v/>
      </c>
      <c r="G20">
        <f>G19+F20</f>
        <v/>
      </c>
    </row>
    <row r="21">
      <c r="A21" t="inlineStr">
        <is>
          <t>top</t>
        </is>
      </c>
      <c r="B21" t="inlineStr">
        <is>
          <t>ORIG_BAL 15,449 - 26,323</t>
        </is>
      </c>
      <c r="C21" t="inlineStr">
        <is>
          <t>ASSET_CLASS 4</t>
        </is>
      </c>
      <c r="D21" t="n">
        <v>413</v>
      </c>
      <c r="E21" t="n">
        <v>346</v>
      </c>
      <c r="F21">
        <f>IF(AND('_pockets'!$AI$346="Yes",'_pockets'!$AJ$346="Yes"),1,0)</f>
        <v/>
      </c>
      <c r="G21">
        <f>G20+F21</f>
        <v/>
      </c>
    </row>
    <row r="22">
      <c r="A22" t="inlineStr">
        <is>
          <t>top</t>
        </is>
      </c>
      <c r="B22" t="inlineStr">
        <is>
          <t>FICO 746 - 921</t>
        </is>
      </c>
      <c r="C22" t="inlineStr">
        <is>
          <t>ASSET_CLASS 2</t>
        </is>
      </c>
      <c r="D22" t="n">
        <v>399</v>
      </c>
      <c r="E22" t="n">
        <v>131</v>
      </c>
      <c r="F22">
        <f>IF(AND('_pockets'!$AI$131="Yes",'_pockets'!$AJ$131="Yes"),1,0)</f>
        <v/>
      </c>
      <c r="G22">
        <f>G21+F22</f>
        <v/>
      </c>
    </row>
    <row r="23">
      <c r="A23" t="inlineStr">
        <is>
          <t>top</t>
        </is>
      </c>
      <c r="B23" t="inlineStr">
        <is>
          <t>ORIG_BAL 26,324 - 37,950</t>
        </is>
      </c>
      <c r="C23" t="inlineStr">
        <is>
          <t>Broker</t>
        </is>
      </c>
      <c r="D23" t="n">
        <v>553</v>
      </c>
      <c r="E23" t="n">
        <v>231</v>
      </c>
      <c r="F23">
        <f>IF(AND('_pockets'!$AI$231="Yes",'_pockets'!$AJ$231="Yes"),1,0)</f>
        <v/>
      </c>
      <c r="G23">
        <f>G22+F23</f>
        <v/>
      </c>
    </row>
    <row r="24">
      <c r="A24" t="inlineStr">
        <is>
          <t>top</t>
        </is>
      </c>
      <c r="B24" t="inlineStr">
        <is>
          <t>FICO 746 - 921</t>
        </is>
      </c>
      <c r="C24" t="inlineStr">
        <is>
          <t>Branch</t>
        </is>
      </c>
      <c r="D24" t="n">
        <v>518</v>
      </c>
      <c r="E24" t="n">
        <v>26</v>
      </c>
      <c r="F24">
        <f>IF(AND('_pockets'!$AI$26="Yes",'_pockets'!$AJ$26="Yes"),1,0)</f>
        <v/>
      </c>
      <c r="G24">
        <f>G23+F24</f>
        <v/>
      </c>
    </row>
    <row r="25">
      <c r="A25" t="inlineStr">
        <is>
          <t>top</t>
        </is>
      </c>
      <c r="B25" t="inlineStr">
        <is>
          <t>FICO (marked missing)</t>
        </is>
      </c>
      <c r="C25" t="inlineStr">
        <is>
          <t>Broker</t>
        </is>
      </c>
      <c r="D25" t="n">
        <v>54</v>
      </c>
      <c r="E25" t="n">
        <v>96</v>
      </c>
      <c r="F25">
        <f>IF(AND('_pockets'!$AI$96="Yes",'_pockets'!$AJ$96="Yes"),1,0)</f>
        <v/>
      </c>
      <c r="G25">
        <f>G24+F25</f>
        <v/>
      </c>
    </row>
    <row r="26">
      <c r="A26" t="inlineStr">
        <is>
          <t>top</t>
        </is>
      </c>
      <c r="B26" t="inlineStr">
        <is>
          <t>ORIG_BAL 5,005 - 15,448</t>
        </is>
      </c>
      <c r="C26" t="inlineStr">
        <is>
          <t>ASSET_CLASS 4</t>
        </is>
      </c>
      <c r="D26" t="n">
        <v>425</v>
      </c>
      <c r="E26" t="n">
        <v>351</v>
      </c>
      <c r="F26">
        <f>IF(AND('_pockets'!$AI$351="Yes",'_pockets'!$AJ$351="Yes"),1,0)</f>
        <v/>
      </c>
      <c r="G26">
        <f>G25+F26</f>
        <v/>
      </c>
    </row>
    <row r="27">
      <c r="A27" t="inlineStr">
        <is>
          <t>top</t>
        </is>
      </c>
      <c r="B27" t="inlineStr">
        <is>
          <t>FICO 654 - 685</t>
        </is>
      </c>
      <c r="C27" t="inlineStr">
        <is>
          <t>ASSET_CLASS 3</t>
        </is>
      </c>
      <c r="D27" t="n">
        <v>377</v>
      </c>
      <c r="E27" t="n">
        <v>181</v>
      </c>
      <c r="F27">
        <f>IF(AND('_pockets'!$AI$181="Yes",'_pockets'!$AJ$181="Yes"),1,0)</f>
        <v/>
      </c>
      <c r="G27">
        <f>G26+F27</f>
        <v/>
      </c>
    </row>
    <row r="28">
      <c r="A28" t="inlineStr">
        <is>
          <t>top</t>
        </is>
      </c>
      <c r="B28" t="inlineStr">
        <is>
          <t>ORIG_BAL 15,449 - 26,323</t>
        </is>
      </c>
      <c r="C28" t="inlineStr">
        <is>
          <t>ASSET_CLASS 3</t>
        </is>
      </c>
      <c r="D28" t="n">
        <v>427</v>
      </c>
      <c r="E28" t="n">
        <v>401</v>
      </c>
      <c r="F28">
        <f>IF(AND('_pockets'!$AI$401="Yes",'_pockets'!$AJ$401="Yes"),1,0)</f>
        <v/>
      </c>
      <c r="G28">
        <f>G27+F28</f>
        <v/>
      </c>
    </row>
    <row r="29">
      <c r="A29" t="inlineStr">
        <is>
          <t>top</t>
        </is>
      </c>
      <c r="B29" t="inlineStr">
        <is>
          <t>FICO 686 - 711</t>
        </is>
      </c>
      <c r="C29" t="inlineStr">
        <is>
          <t>ASSET_CLASS 1</t>
        </is>
      </c>
      <c r="D29" t="n">
        <v>372</v>
      </c>
      <c r="E29" t="n">
        <v>141</v>
      </c>
      <c r="F29">
        <f>IF(AND('_pockets'!$AI$141="Yes",'_pockets'!$AJ$141="Yes"),1,0)</f>
        <v/>
      </c>
      <c r="G29">
        <f>G28+F29</f>
        <v/>
      </c>
    </row>
    <row r="30">
      <c r="A30" t="inlineStr">
        <is>
          <t>top</t>
        </is>
      </c>
      <c r="B30" t="inlineStr">
        <is>
          <t>FICO 686 - 711</t>
        </is>
      </c>
      <c r="C30" t="inlineStr">
        <is>
          <t>ASSET_CLASS 3</t>
        </is>
      </c>
      <c r="D30" t="n">
        <v>388</v>
      </c>
      <c r="E30" t="n">
        <v>211</v>
      </c>
      <c r="F30">
        <f>IF(AND('_pockets'!$AI$211="Yes",'_pockets'!$AJ$211="Yes"),1,0)</f>
        <v/>
      </c>
      <c r="G30">
        <f>G29+F30</f>
        <v/>
      </c>
    </row>
    <row r="31">
      <c r="A31" t="inlineStr">
        <is>
          <t>top</t>
        </is>
      </c>
      <c r="B31" t="inlineStr">
        <is>
          <t>FICO (marked missing)</t>
        </is>
      </c>
      <c r="C31" t="inlineStr">
        <is>
          <t>ASSET_CLASS 2</t>
        </is>
      </c>
      <c r="D31" t="n">
        <v>36</v>
      </c>
      <c r="E31" t="n">
        <v>221</v>
      </c>
      <c r="F31">
        <f>IF(AND('_pockets'!$AI$221="Yes",'_pockets'!$AJ$221="Yes"),1,0)</f>
        <v/>
      </c>
      <c r="G31">
        <f>G30+F31</f>
        <v/>
      </c>
    </row>
    <row r="32">
      <c r="A32" t="inlineStr">
        <is>
          <t>top</t>
        </is>
      </c>
      <c r="B32" t="inlineStr">
        <is>
          <t>ORIG_BAL 5,005 - 15,448</t>
        </is>
      </c>
      <c r="C32" t="inlineStr">
        <is>
          <t>Broker</t>
        </is>
      </c>
      <c r="D32" t="n">
        <v>514</v>
      </c>
      <c r="E32" t="n">
        <v>266</v>
      </c>
      <c r="F32">
        <f>IF(AND('_pockets'!$AI$266="Yes",'_pockets'!$AJ$266="Yes"),1,0)</f>
        <v/>
      </c>
      <c r="G32">
        <f>G31+F32</f>
        <v/>
      </c>
    </row>
    <row r="33">
      <c r="A33" t="inlineStr">
        <is>
          <t>top</t>
        </is>
      </c>
      <c r="B33" t="inlineStr">
        <is>
          <t>ORIG_BAL 5,005 - 15,448</t>
        </is>
      </c>
      <c r="C33" t="inlineStr">
        <is>
          <t>ASSET_CLASS 3</t>
        </is>
      </c>
      <c r="D33" t="n">
        <v>354</v>
      </c>
      <c r="E33" t="n">
        <v>371</v>
      </c>
      <c r="F33">
        <f>IF(AND('_pockets'!$AI$371="Yes",'_pockets'!$AJ$371="Yes"),1,0)</f>
        <v/>
      </c>
      <c r="G33">
        <f>G32+F33</f>
        <v/>
      </c>
    </row>
    <row r="34">
      <c r="A34" t="inlineStr">
        <is>
          <t>top</t>
        </is>
      </c>
      <c r="B34" t="inlineStr">
        <is>
          <t>ORIG_BAL 15,449 - 26,323</t>
        </is>
      </c>
      <c r="C34" t="inlineStr">
        <is>
          <t>ASSET_CLASS 1</t>
        </is>
      </c>
      <c r="D34" t="n">
        <v>404</v>
      </c>
      <c r="E34" t="n">
        <v>336</v>
      </c>
      <c r="F34">
        <f>IF(AND('_pockets'!$AI$336="Yes",'_pockets'!$AJ$336="Yes"),1,0)</f>
        <v/>
      </c>
      <c r="G34">
        <f>G33+F34</f>
        <v/>
      </c>
    </row>
    <row r="35">
      <c r="A35" t="inlineStr">
        <is>
          <t>top</t>
        </is>
      </c>
      <c r="B35" t="inlineStr">
        <is>
          <t>ORIG_BAL 5,005 - 15,448</t>
        </is>
      </c>
      <c r="C35" t="inlineStr">
        <is>
          <t>Online</t>
        </is>
      </c>
      <c r="D35" t="n">
        <v>544</v>
      </c>
      <c r="E35" t="n">
        <v>226</v>
      </c>
      <c r="F35">
        <f>IF(AND('_pockets'!$AI$226="Yes",'_pockets'!$AJ$226="Yes"),1,0)</f>
        <v/>
      </c>
      <c r="G35">
        <f>G34+F35</f>
        <v/>
      </c>
    </row>
    <row r="36">
      <c r="A36" t="inlineStr">
        <is>
          <t>top</t>
        </is>
      </c>
      <c r="B36" t="inlineStr">
        <is>
          <t>ORIG_BAL 49,152 - 59,984</t>
        </is>
      </c>
      <c r="C36" t="inlineStr">
        <is>
          <t>ASSET_CLASS 1</t>
        </is>
      </c>
      <c r="D36" t="n">
        <v>413</v>
      </c>
      <c r="E36" t="n">
        <v>361</v>
      </c>
      <c r="F36">
        <f>IF(AND('_pockets'!$AI$361="Yes",'_pockets'!$AJ$361="Yes"),1,0)</f>
        <v/>
      </c>
      <c r="G36">
        <f>G35+F36</f>
        <v/>
      </c>
    </row>
    <row r="37">
      <c r="A37" t="inlineStr">
        <is>
          <t>top</t>
        </is>
      </c>
      <c r="B37" t="inlineStr">
        <is>
          <t>FICO 496 - 653</t>
        </is>
      </c>
      <c r="C37" t="inlineStr">
        <is>
          <t>ASSET_CLASS 3</t>
        </is>
      </c>
      <c r="D37" t="n">
        <v>350</v>
      </c>
      <c r="E37" t="n">
        <v>176</v>
      </c>
      <c r="F37">
        <f>IF(AND('_pockets'!$AI$176="Yes",'_pockets'!$AJ$176="Yes"),1,0)</f>
        <v/>
      </c>
      <c r="G37">
        <f>G36+F37</f>
        <v/>
      </c>
    </row>
    <row r="38">
      <c r="A38" t="inlineStr">
        <is>
          <t>top</t>
        </is>
      </c>
      <c r="B38" t="inlineStr">
        <is>
          <t>FICO 496 - 653</t>
        </is>
      </c>
      <c r="C38" t="inlineStr">
        <is>
          <t>ASSET_CLASS 1</t>
        </is>
      </c>
      <c r="D38" t="n">
        <v>420</v>
      </c>
      <c r="E38" t="n">
        <v>136</v>
      </c>
      <c r="F38">
        <f>IF(AND('_pockets'!$AI$136="Yes",'_pockets'!$AJ$136="Yes"),1,0)</f>
        <v/>
      </c>
      <c r="G38">
        <f>G37+F38</f>
        <v/>
      </c>
    </row>
    <row r="39">
      <c r="A39" t="inlineStr">
        <is>
          <t>top</t>
        </is>
      </c>
      <c r="B39" t="inlineStr">
        <is>
          <t>FICO 496 - 653</t>
        </is>
      </c>
      <c r="C39" t="inlineStr">
        <is>
          <t>ASSET_CLASS 2</t>
        </is>
      </c>
      <c r="D39" t="n">
        <v>394</v>
      </c>
      <c r="E39" t="n">
        <v>121</v>
      </c>
      <c r="F39">
        <f>IF(AND('_pockets'!$AI$121="Yes",'_pockets'!$AJ$121="Yes"),1,0)</f>
        <v/>
      </c>
      <c r="G39">
        <f>G38+F39</f>
        <v/>
      </c>
    </row>
    <row r="40">
      <c r="A40" t="inlineStr">
        <is>
          <t>top</t>
        </is>
      </c>
      <c r="B40" t="inlineStr">
        <is>
          <t>FICO 496 - 653</t>
        </is>
      </c>
      <c r="C40" t="inlineStr">
        <is>
          <t>Online</t>
        </is>
      </c>
      <c r="D40" t="n">
        <v>531</v>
      </c>
      <c r="E40" t="n">
        <v>81</v>
      </c>
      <c r="F40">
        <f>IF(AND('_pockets'!$AI$81="Yes",'_pockets'!$AJ$81="Yes"),1,0)</f>
        <v/>
      </c>
      <c r="G40">
        <f>G39+F40</f>
        <v/>
      </c>
    </row>
    <row r="41">
      <c r="A41" t="inlineStr">
        <is>
          <t>top</t>
        </is>
      </c>
      <c r="B41" t="inlineStr">
        <is>
          <t>FICO 496 - 653</t>
        </is>
      </c>
      <c r="C41" t="inlineStr">
        <is>
          <t>Branch</t>
        </is>
      </c>
      <c r="D41" t="n">
        <v>502</v>
      </c>
      <c r="E41" t="n">
        <v>21</v>
      </c>
      <c r="F41">
        <f>IF(AND('_pockets'!$AI$21="Yes",'_pockets'!$AJ$21="Yes"),1,0)</f>
        <v/>
      </c>
      <c r="G41">
        <f>G40+F41</f>
        <v/>
      </c>
    </row>
    <row r="42">
      <c r="A42" t="inlineStr">
        <is>
          <t>top</t>
        </is>
      </c>
      <c r="B42" t="inlineStr">
        <is>
          <t>ORIG_BAL 15,449 - 26,323</t>
        </is>
      </c>
      <c r="C42" t="inlineStr">
        <is>
          <t>Online</t>
        </is>
      </c>
      <c r="D42" t="n">
        <v>538</v>
      </c>
      <c r="E42" t="n">
        <v>256</v>
      </c>
      <c r="F42">
        <f>IF(AND('_pockets'!$AI$256="Yes",'_pockets'!$AJ$256="Yes"),1,0)</f>
        <v/>
      </c>
      <c r="G42">
        <f>G41+F42</f>
        <v/>
      </c>
    </row>
    <row r="43">
      <c r="A43" t="inlineStr">
        <is>
          <t>top</t>
        </is>
      </c>
      <c r="B43" t="inlineStr">
        <is>
          <t>ORIG_BAL 37,951 - 49,151</t>
        </is>
      </c>
      <c r="C43" t="inlineStr">
        <is>
          <t>Online</t>
        </is>
      </c>
      <c r="D43" t="n">
        <v>543</v>
      </c>
      <c r="E43" t="n">
        <v>291</v>
      </c>
      <c r="F43">
        <f>IF(AND('_pockets'!$AI$291="Yes",'_pockets'!$AJ$291="Yes"),1,0)</f>
        <v/>
      </c>
      <c r="G43">
        <f>G42+F43</f>
        <v/>
      </c>
    </row>
    <row r="44">
      <c r="A44" t="inlineStr">
        <is>
          <t>top</t>
        </is>
      </c>
      <c r="B44" t="inlineStr">
        <is>
          <t>ORIG_BAL 37,951 - 49,151</t>
        </is>
      </c>
      <c r="C44" t="inlineStr">
        <is>
          <t>Branch</t>
        </is>
      </c>
      <c r="D44" t="n">
        <v>525</v>
      </c>
      <c r="E44" t="n">
        <v>236</v>
      </c>
      <c r="F44">
        <f>IF(AND('_pockets'!$AI$236="Yes",'_pockets'!$AJ$236="Yes"),1,0)</f>
        <v/>
      </c>
      <c r="G44">
        <f>G43+F44</f>
        <v/>
      </c>
    </row>
    <row r="45">
      <c r="A45" t="inlineStr">
        <is>
          <t>top</t>
        </is>
      </c>
      <c r="B45" t="inlineStr">
        <is>
          <t>FICO 654 - 685</t>
        </is>
      </c>
      <c r="C45" t="inlineStr">
        <is>
          <t>Online</t>
        </is>
      </c>
      <c r="D45" t="n">
        <v>505</v>
      </c>
      <c r="E45" t="n">
        <v>71</v>
      </c>
      <c r="F45">
        <f>IF(AND('_pockets'!$AI$71="Yes",'_pockets'!$AJ$71="Yes"),1,0)</f>
        <v/>
      </c>
      <c r="G45">
        <f>G44+F45</f>
        <v/>
      </c>
    </row>
    <row r="46">
      <c r="A46" t="inlineStr">
        <is>
          <t>top</t>
        </is>
      </c>
      <c r="B46" t="inlineStr">
        <is>
          <t>FICO 654 - 685</t>
        </is>
      </c>
      <c r="C46" t="inlineStr">
        <is>
          <t>Broker</t>
        </is>
      </c>
      <c r="D46" t="n">
        <v>531</v>
      </c>
      <c r="E46" t="n">
        <v>76</v>
      </c>
      <c r="F46">
        <f>IF(AND('_pockets'!$AI$76="Yes",'_pockets'!$AJ$76="Yes"),1,0)</f>
        <v/>
      </c>
      <c r="G46">
        <f>G45+F46</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M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row>
    <row r="2">
      <c r="A2" t="n">
        <v>67</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row>
    <row r="3">
      <c r="A3" t="inlineStr">
        <is>
          <t>SYS_FLAG|FICO,ORIG_BAL</t>
        </is>
      </c>
      <c r="B3" t="inlineStr">
        <is>
          <t>FICO</t>
        </is>
      </c>
      <c r="O3" t="inlineStr">
        <is>
          <t>ORIG_BAL</t>
        </is>
      </c>
      <c r="AB3" t="inlineStr">
        <is>
          <t>REV_DEBT</t>
        </is>
      </c>
    </row>
    <row r="4">
      <c r="A4" t="inlineStr">
        <is>
          <t>FICO:None:None:[-9999.0]</t>
        </is>
      </c>
      <c r="B4" t="n">
        <v>550</v>
      </c>
      <c r="C4" t="n">
        <v>550.75</v>
      </c>
      <c r="D4" t="n">
        <v>3</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B4" t="n">
        <v>0</v>
      </c>
      <c r="AC4" t="n">
        <v>75</v>
      </c>
      <c r="AD4" t="n">
        <v>108</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B5" t="n">
        <v>150</v>
      </c>
      <c r="AC5" t="n">
        <v>225</v>
      </c>
      <c r="AD5" t="n">
        <v>12</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row>
    <row r="6">
      <c r="B6" t="n">
        <v>553</v>
      </c>
      <c r="C6" t="n">
        <v>553.75</v>
      </c>
      <c r="D6" t="n">
        <v>4</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B6" t="n">
        <v>300</v>
      </c>
      <c r="AC6" t="n">
        <v>375</v>
      </c>
      <c r="AD6" t="n">
        <v>7</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row>
    <row r="7">
      <c r="B7" t="n">
        <v>554.5</v>
      </c>
      <c r="C7" t="n">
        <v>555.25</v>
      </c>
      <c r="D7" t="n">
        <v>1</v>
      </c>
      <c r="E7" t="inlineStr">
        <is>
          <t>loans below the slices</t>
        </is>
      </c>
      <c r="F7" t="n">
        <v>21</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B7" t="n">
        <v>450</v>
      </c>
      <c r="AC7" t="n">
        <v>525</v>
      </c>
      <c r="AD7" t="n">
        <v>13</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row>
    <row r="8">
      <c r="B8" t="n">
        <v>556</v>
      </c>
      <c r="C8" t="n">
        <v>556.75</v>
      </c>
      <c r="D8" t="n">
        <v>3</v>
      </c>
      <c r="E8" t="inlineStr">
        <is>
          <t>loans above the slices</t>
        </is>
      </c>
      <c r="F8" t="n">
        <v>28</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B8" t="n">
        <v>600</v>
      </c>
      <c r="AC8" t="n">
        <v>675</v>
      </c>
      <c r="AD8" t="n">
        <v>14</v>
      </c>
      <c r="AE8" t="inlineStr">
        <is>
          <t>loans above the slices</t>
        </is>
      </c>
      <c r="AF8" t="n">
        <v>74</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row>
    <row r="9">
      <c r="B9" t="n">
        <v>557.5</v>
      </c>
      <c r="C9" t="n">
        <v>558.25</v>
      </c>
      <c r="D9" t="n">
        <v>4</v>
      </c>
      <c r="E9" t="inlineStr">
        <is>
          <t>likely code</t>
        </is>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B9" t="n">
        <v>750</v>
      </c>
      <c r="AC9" t="n">
        <v>825</v>
      </c>
      <c r="AD9" t="n">
        <v>9</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row>
    <row r="10">
      <c r="B10" t="n">
        <v>559</v>
      </c>
      <c r="C10" t="n">
        <v>559.75</v>
      </c>
      <c r="D10" t="n">
        <v>6</v>
      </c>
      <c r="E10" t="inlineStr">
        <is>
          <t>loans at the code</t>
        </is>
      </c>
      <c r="F10" t="n">
        <v>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B10" t="n">
        <v>900</v>
      </c>
      <c r="AC10" t="n">
        <v>975</v>
      </c>
      <c r="AD10" t="n">
        <v>9</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row>
    <row r="11">
      <c r="B11" t="n">
        <v>560.5</v>
      </c>
      <c r="C11" t="n">
        <v>561.25</v>
      </c>
      <c r="D11" t="n">
        <v>1</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B11" t="n">
        <v>1050</v>
      </c>
      <c r="AC11" t="n">
        <v>1125</v>
      </c>
      <c r="AD11" t="n">
        <v>11</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row>
    <row r="12">
      <c r="B12" t="n">
        <v>562</v>
      </c>
      <c r="C12" t="n">
        <v>562.75</v>
      </c>
      <c r="D12" t="n">
        <v>5</v>
      </c>
      <c r="E12" t="inlineStr">
        <is>
          <t>largest</t>
        </is>
      </c>
      <c r="F12" t="n">
        <v>921</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O12" t="n">
        <v>2400</v>
      </c>
      <c r="P12" t="n">
        <v>2550</v>
      </c>
      <c r="Q12" t="n">
        <v>0</v>
      </c>
      <c r="R12" t="inlineStr">
        <is>
          <t>largest</t>
        </is>
      </c>
      <c r="S12" t="n">
        <v>59983.86</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B12" t="n">
        <v>1200</v>
      </c>
      <c r="AC12" t="n">
        <v>1275</v>
      </c>
      <c r="AD12" t="n">
        <v>16</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row>
    <row r="13">
      <c r="B13" t="n">
        <v>563.5</v>
      </c>
      <c r="C13" t="n">
        <v>564.25</v>
      </c>
      <c r="D13" t="n">
        <v>1</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O13" t="n">
        <v>2700</v>
      </c>
      <c r="P13" t="n">
        <v>2850</v>
      </c>
      <c r="Q13" t="n">
        <v>0</v>
      </c>
      <c r="R13" t="inlineStr">
        <is>
          <t>bars</t>
        </is>
      </c>
      <c r="S13">
        <f>Look!$C$39</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B13" t="n">
        <v>1350</v>
      </c>
      <c r="AC13" t="n">
        <v>1425</v>
      </c>
      <c r="AD13" t="n">
        <v>24</v>
      </c>
      <c r="AE13" t="inlineStr">
        <is>
          <t>bars</t>
        </is>
      </c>
      <c r="AF13">
        <f>Look!$C$58</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row>
    <row r="14">
      <c r="B14" t="n">
        <v>565</v>
      </c>
      <c r="C14" t="n">
        <v>565.75</v>
      </c>
      <c r="D14" t="n">
        <v>4</v>
      </c>
      <c r="E14" t="inlineStr">
        <is>
          <t>from</t>
        </is>
      </c>
      <c r="F14">
        <f>Look!$C$21</f>
        <v/>
      </c>
      <c r="G14">
        <f>IF(11&lt;=$F$13,$F$14+(11-1)*$F$16,"")</f>
        <v/>
      </c>
      <c r="H14">
        <f>IF(11&gt;$F$13,"",SUMIFS($D$4:$D$203,$C$4:$C$203,"&gt;="&amp;$G$14,$C$4:$C$203,IF(11=$F$13,"&lt;=","&lt;")&amp;($G$14+$F$16)))</f>
        <v/>
      </c>
      <c r="I14">
        <f>IF(AND(MOD(0,$F$17)=0,MOD((INT(0/$F$17)+1)-1,$F$13/5)=0),TEXT(INDEX($G$4:$G$53,(INT(0/$F$17)+1)),"#,##0"),"")</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O14" t="n">
        <v>3000</v>
      </c>
      <c r="P14" t="n">
        <v>3150</v>
      </c>
      <c r="Q14" t="n">
        <v>0</v>
      </c>
      <c r="R14" t="inlineStr">
        <is>
          <t>from</t>
        </is>
      </c>
      <c r="S14">
        <f>Look!$C$40</f>
        <v/>
      </c>
      <c r="T14">
        <f>IF(11&lt;=$S$13,$S$14+(11-1)*$S$16,"")</f>
        <v/>
      </c>
      <c r="U14">
        <f>IF(11&gt;$S$13,"",SUMIFS($Q$4:$Q$203,$P$4:$P$203,"&gt;="&amp;$T$14,$P$4:$P$203,IF(11=$S$13,"&lt;=","&lt;")&amp;($T$14+$S$16)))</f>
        <v/>
      </c>
      <c r="V14">
        <f>IF(AND(MOD(0,$S$17)=0,MOD((INT(0/$S$17)+1)-1,$S$13/5)=0),TEXT(INDEX($T$4:$T$53,(INT(0/$S$17)+1)),"#,##0"),"")</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B14" t="n">
        <v>1500</v>
      </c>
      <c r="AC14" t="n">
        <v>1575</v>
      </c>
      <c r="AD14" t="n">
        <v>23</v>
      </c>
      <c r="AE14" t="inlineStr">
        <is>
          <t>from</t>
        </is>
      </c>
      <c r="AF14">
        <f>Look!$C$59</f>
        <v/>
      </c>
      <c r="AG14">
        <f>IF(11&lt;=$AF$13,$AF$14+(11-1)*$AF$16,"")</f>
        <v/>
      </c>
      <c r="AH14">
        <f>IF(11&gt;$AF$13,"",SUMIFS($AD$4:$AD$203,$AC$4:$AC$203,"&gt;="&amp;$AG$14,$AC$4:$AC$203,IF(11=$AF$13,"&lt;=","&lt;")&amp;($AG$14+$AF$16)))</f>
        <v/>
      </c>
      <c r="AI14">
        <f>IF(AND(MOD(0,$AF$17)=0,MOD((INT(0/$AF$17)+1)-1,$AF$13/5)=0),TEXT(INDEX($AG$4:$AG$53,(INT(0/$AF$17)+1)),"#,##0"),"")</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row>
    <row r="15">
      <c r="B15" t="n">
        <v>566.5</v>
      </c>
      <c r="C15" t="n">
        <v>567.25</v>
      </c>
      <c r="D15" t="n">
        <v>3</v>
      </c>
      <c r="E15" t="inlineStr">
        <is>
          <t>to</t>
        </is>
      </c>
      <c r="F15">
        <f>Look!$C$22</f>
        <v/>
      </c>
      <c r="G15">
        <f>IF(12&lt;=$F$13,$F$14+(12-1)*$F$16,"")</f>
        <v/>
      </c>
      <c r="H15">
        <f>IF(12&gt;$F$13,"",SUMIFS($D$4:$D$203,$C$4:$C$203,"&gt;="&amp;$G$15,$C$4:$C$203,IF(12=$F$13,"&lt;=","&lt;")&amp;($G$15+$F$16)))</f>
        <v/>
      </c>
      <c r="I15">
        <f>IF(AND(MOD(1,$F$17)=0,MOD((INT(1/$F$17)+1)-1,$F$13/5)=0),TEXT(INDEX($G$4:$G$53,(INT(1/$F$17)+1)),"#,##0"),"")</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O15" t="n">
        <v>3300</v>
      </c>
      <c r="P15" t="n">
        <v>3450</v>
      </c>
      <c r="Q15" t="n">
        <v>0</v>
      </c>
      <c r="R15" t="inlineStr">
        <is>
          <t>to</t>
        </is>
      </c>
      <c r="S15">
        <f>Look!$C$41</f>
        <v/>
      </c>
      <c r="T15">
        <f>IF(12&lt;=$S$13,$S$14+(12-1)*$S$16,"")</f>
        <v/>
      </c>
      <c r="U15">
        <f>IF(12&gt;$S$13,"",SUMIFS($Q$4:$Q$203,$P$4:$P$203,"&gt;="&amp;$T$15,$P$4:$P$203,IF(12=$S$13,"&lt;=","&lt;")&amp;($T$15+$S$16)))</f>
        <v/>
      </c>
      <c r="V15">
        <f>IF(AND(MOD(1,$S$17)=0,MOD((INT(1/$S$17)+1)-1,$S$13/5)=0),TEXT(INDEX($T$4:$T$53,(INT(1/$S$17)+1)),"#,##0"),"")</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B15" t="n">
        <v>1650</v>
      </c>
      <c r="AC15" t="n">
        <v>1725</v>
      </c>
      <c r="AD15" t="n">
        <v>15</v>
      </c>
      <c r="AE15" t="inlineStr">
        <is>
          <t>to</t>
        </is>
      </c>
      <c r="AF15">
        <f>Look!$C$60</f>
        <v/>
      </c>
      <c r="AG15">
        <f>IF(12&lt;=$AF$13,$AF$14+(12-1)*$AF$16,"")</f>
        <v/>
      </c>
      <c r="AH15">
        <f>IF(12&gt;$AF$13,"",SUMIFS($AD$4:$AD$203,$AC$4:$AC$203,"&gt;="&amp;$AG$15,$AC$4:$AC$203,IF(12=$AF$13,"&lt;=","&lt;")&amp;($AG$15+$AF$16)))</f>
        <v/>
      </c>
      <c r="AI15">
        <f>IF(AND(MOD(1,$AF$17)=0,MOD((INT(1/$AF$17)+1)-1,$AF$13/5)=0),TEXT(INDEX($AG$4:$AG$53,(INT(1/$AF$17)+1)),"#,##0"),"")</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row>
    <row r="16">
      <c r="B16" t="n">
        <v>568</v>
      </c>
      <c r="C16" t="n">
        <v>568.75</v>
      </c>
      <c r="D16" t="n">
        <v>4</v>
      </c>
      <c r="E16" t="inlineStr">
        <is>
          <t>bar width</t>
        </is>
      </c>
      <c r="F16">
        <f>($F$15-$F$14)/$F$13</f>
        <v/>
      </c>
      <c r="G16">
        <f>IF(13&lt;=$F$13,$F$14+(13-1)*$F$16,"")</f>
        <v/>
      </c>
      <c r="H16">
        <f>IF(13&gt;$F$13,"",SUMIFS($D$4:$D$203,$C$4:$C$203,"&gt;="&amp;$G$16,$C$4:$C$203,IF(13=$F$13,"&lt;=","&lt;")&amp;($G$16+$F$16)))</f>
        <v/>
      </c>
      <c r="I16">
        <f>IF(AND(MOD(2,$F$17)=0,MOD((INT(2/$F$17)+1)-1,$F$13/5)=0),TEXT(INDEX($G$4:$G$53,(INT(2/$F$17)+1)),"#,##0"),"")</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O16" t="n">
        <v>3600</v>
      </c>
      <c r="P16" t="n">
        <v>3750</v>
      </c>
      <c r="Q16" t="n">
        <v>0</v>
      </c>
      <c r="R16" t="inlineStr">
        <is>
          <t>bar width</t>
        </is>
      </c>
      <c r="S16">
        <f>($S$15-$S$14)/$S$13</f>
        <v/>
      </c>
      <c r="T16">
        <f>IF(13&lt;=$S$13,$S$14+(13-1)*$S$16,"")</f>
        <v/>
      </c>
      <c r="U16">
        <f>IF(13&gt;$S$13,"",SUMIFS($Q$4:$Q$203,$P$4:$P$203,"&gt;="&amp;$T$16,$P$4:$P$203,IF(13=$S$13,"&lt;=","&lt;")&amp;($T$16+$S$16)))</f>
        <v/>
      </c>
      <c r="V16">
        <f>IF(AND(MOD(2,$S$17)=0,MOD((INT(2/$S$17)+1)-1,$S$13/5)=0),TEXT(INDEX($T$4:$T$53,(INT(2/$S$17)+1)),"#,##0"),"")</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B16" t="n">
        <v>1800</v>
      </c>
      <c r="AC16" t="n">
        <v>1875</v>
      </c>
      <c r="AD16" t="n">
        <v>19</v>
      </c>
      <c r="AE16" t="inlineStr">
        <is>
          <t>bar width</t>
        </is>
      </c>
      <c r="AF16">
        <f>($AF$15-$AF$14)/$AF$13</f>
        <v/>
      </c>
      <c r="AG16">
        <f>IF(13&lt;=$AF$13,$AF$14+(13-1)*$AF$16,"")</f>
        <v/>
      </c>
      <c r="AH16">
        <f>IF(13&gt;$AF$13,"",SUMIFS($AD$4:$AD$203,$AC$4:$AC$203,"&gt;="&amp;$AG$16,$AC$4:$AC$203,IF(13=$AF$13,"&lt;=","&lt;")&amp;($AG$16+$AF$16)))</f>
        <v/>
      </c>
      <c r="AI16">
        <f>IF(AND(MOD(2,$AF$17)=0,MOD((INT(2/$AF$17)+1)-1,$AF$13/5)=0),TEXT(INDEX($AG$4:$AG$53,(INT(2/$AF$17)+1)),"#,##0"),"")</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IF(AND(MOD(3,$F$17)=0,MOD((INT(3/$F$17)+1)-1,$F$13/5)=0),TEXT(INDEX($G$4:$G$53,(INT(3/$F$17)+1)),"#,##0"),"")</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O17" t="n">
        <v>3900</v>
      </c>
      <c r="P17" t="n">
        <v>4050</v>
      </c>
      <c r="Q17" t="n">
        <v>0</v>
      </c>
      <c r="R17" t="inlineStr">
        <is>
          <t>chart slots per bar</t>
        </is>
      </c>
      <c r="S17">
        <f>100/$S$13</f>
        <v/>
      </c>
      <c r="T17">
        <f>IF(14&lt;=$S$13,$S$14+(14-1)*$S$16,"")</f>
        <v/>
      </c>
      <c r="U17">
        <f>IF(14&gt;$S$13,"",SUMIFS($Q$4:$Q$203,$P$4:$P$203,"&gt;="&amp;$T$17,$P$4:$P$203,IF(14=$S$13,"&lt;=","&lt;")&amp;($T$17+$S$16)))</f>
        <v/>
      </c>
      <c r="V17">
        <f>IF(AND(MOD(3,$S$17)=0,MOD((INT(3/$S$17)+1)-1,$S$13/5)=0),TEXT(INDEX($T$4:$T$53,(INT(3/$S$17)+1)),"#,##0"),"")</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B17" t="n">
        <v>1950</v>
      </c>
      <c r="AC17" t="n">
        <v>2025</v>
      </c>
      <c r="AD17" t="n">
        <v>24</v>
      </c>
      <c r="AE17" t="inlineStr">
        <is>
          <t>chart slots per bar</t>
        </is>
      </c>
      <c r="AF17">
        <f>100/$AF$13</f>
        <v/>
      </c>
      <c r="AG17">
        <f>IF(14&lt;=$AF$13,$AF$14+(14-1)*$AF$16,"")</f>
        <v/>
      </c>
      <c r="AH17">
        <f>IF(14&gt;$AF$13,"",SUMIFS($AD$4:$AD$203,$AC$4:$AC$203,"&gt;="&amp;$AG$17,$AC$4:$AC$203,IF(14=$AF$13,"&lt;=","&lt;")&amp;($AG$17+$AF$16)))</f>
        <v/>
      </c>
      <c r="AI17">
        <f>IF(AND(MOD(3,$AF$17)=0,MOD((INT(3/$AF$17)+1)-1,$AF$13/5)=0),TEXT(INDEX($AG$4:$AG$53,(INT(3/$AF$17)+1)),"#,##0"),"")</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row>
    <row r="18">
      <c r="B18" t="n">
        <v>571</v>
      </c>
      <c r="C18" t="n">
        <v>571.75</v>
      </c>
      <c r="D18" t="n">
        <v>11</v>
      </c>
      <c r="E18" t="inlineStr">
        <is>
          <t>low end bar</t>
        </is>
      </c>
      <c r="F18">
        <f>$F$7+SUMIFS($D$4:$D$203,$C$4:$C$203,"&lt;"&amp;$F$14)</f>
        <v/>
      </c>
      <c r="G18">
        <f>IF(15&lt;=$F$13,$F$14+(15-1)*$F$16,"")</f>
        <v/>
      </c>
      <c r="H18">
        <f>IF(15&gt;$F$13,"",SUMIFS($D$4:$D$203,$C$4:$C$203,"&gt;="&amp;$G$18,$C$4:$C$203,IF(15=$F$13,"&lt;=","&lt;")&amp;($G$18+$F$16)))</f>
        <v/>
      </c>
      <c r="I18">
        <f>IF(AND(MOD(4,$F$17)=0,MOD((INT(4/$F$17)+1)-1,$F$13/5)=0),TEXT(INDEX($G$4:$G$53,(INT(4/$F$17)+1)),"#,##0"),"")</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IF(AND(MOD(4,$S$17)=0,MOD((INT(4/$S$17)+1)-1,$S$13/5)=0),TEXT(INDEX($T$4:$T$53,(INT(4/$S$17)+1)),"#,##0"),"")</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B18" t="n">
        <v>2100</v>
      </c>
      <c r="AC18" t="n">
        <v>2175</v>
      </c>
      <c r="AD18" t="n">
        <v>28</v>
      </c>
      <c r="AE18" t="inlineStr">
        <is>
          <t>low end bar</t>
        </is>
      </c>
      <c r="AF18">
        <f>$AF$7+SUMIFS($AD$4:$AD$203,$AC$4:$AC$203,"&lt;"&amp;$AF$14)</f>
        <v/>
      </c>
      <c r="AG18">
        <f>IF(15&lt;=$AF$13,$AF$14+(15-1)*$AF$16,"")</f>
        <v/>
      </c>
      <c r="AH18">
        <f>IF(15&gt;$AF$13,"",SUMIFS($AD$4:$AD$203,$AC$4:$AC$203,"&gt;="&amp;$AG$18,$AC$4:$AC$203,IF(15=$AF$13,"&lt;=","&lt;")&amp;($AG$18+$AF$16)))</f>
        <v/>
      </c>
      <c r="AI18">
        <f>IF(AND(MOD(4,$AF$17)=0,MOD((INT(4/$AF$17)+1)-1,$AF$13/5)=0),TEXT(INDEX($AG$4:$AG$53,(INT(4/$AF$17)+1)),"#,##0"),"")</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row>
    <row r="19">
      <c r="B19" t="n">
        <v>572.5</v>
      </c>
      <c r="C19" t="n">
        <v>573.25</v>
      </c>
      <c r="D19" t="n">
        <v>3</v>
      </c>
      <c r="E19" t="inlineStr">
        <is>
          <t>high end bar</t>
        </is>
      </c>
      <c r="F19">
        <f>$F$8+SUMIFS($D$4:$D$203,$C$4:$C$203,"&gt;"&amp;$F$15)</f>
        <v/>
      </c>
      <c r="G19">
        <f>IF(16&lt;=$F$13,$F$14+(16-1)*$F$16,"")</f>
        <v/>
      </c>
      <c r="H19">
        <f>IF(16&gt;$F$13,"",SUMIFS($D$4:$D$203,$C$4:$C$203,"&gt;="&amp;$G$19,$C$4:$C$203,IF(16=$F$13,"&lt;=","&lt;")&amp;($G$19+$F$16)))</f>
        <v/>
      </c>
      <c r="I19">
        <f>IF(AND(MOD(5,$F$17)=0,MOD((INT(5/$F$17)+1)-1,$F$13/5)=0),TEXT(INDEX($G$4:$G$53,(INT(5/$F$17)+1)),"#,##0"),"")</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IF(AND(MOD(5,$S$17)=0,MOD((INT(5/$S$17)+1)-1,$S$13/5)=0),TEXT(INDEX($T$4:$T$53,(INT(5/$S$17)+1)),"#,##0"),"")</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B19" t="n">
        <v>2250</v>
      </c>
      <c r="AC19" t="n">
        <v>2325</v>
      </c>
      <c r="AD19" t="n">
        <v>25</v>
      </c>
      <c r="AE19" t="inlineStr">
        <is>
          <t>high end bar</t>
        </is>
      </c>
      <c r="AF19">
        <f>$AF$8+SUMIFS($AD$4:$AD$203,$AC$4:$AC$203,"&gt;"&amp;$AF$15)</f>
        <v/>
      </c>
      <c r="AG19">
        <f>IF(16&lt;=$AF$13,$AF$14+(16-1)*$AF$16,"")</f>
        <v/>
      </c>
      <c r="AH19">
        <f>IF(16&gt;$AF$13,"",SUMIFS($AD$4:$AD$203,$AC$4:$AC$203,"&gt;="&amp;$AG$19,$AC$4:$AC$203,IF(16=$AF$13,"&lt;=","&lt;")&amp;($AG$19+$AF$16)))</f>
        <v/>
      </c>
      <c r="AI19">
        <f>IF(AND(MOD(5,$AF$17)=0,MOD((INT(5/$AF$17)+1)-1,$AF$13/5)=0),TEXT(INDEX($AG$4:$AG$53,(INT(5/$AF$17)+1)),"#,##0"),"")</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row>
    <row r="20">
      <c r="B20" t="n">
        <v>574</v>
      </c>
      <c r="C20" t="n">
        <v>574.75</v>
      </c>
      <c r="D20" t="n">
        <v>6</v>
      </c>
      <c r="E20" t="inlineStr">
        <is>
          <t>band edges on Columns</t>
        </is>
      </c>
      <c r="F20">
        <f>Columns!$I$14&amp;""</f>
        <v/>
      </c>
      <c r="G20">
        <f>IF(17&lt;=$F$13,$F$14+(17-1)*$F$16,"")</f>
        <v/>
      </c>
      <c r="H20">
        <f>IF(17&gt;$F$13,"",SUMIFS($D$4:$D$203,$C$4:$C$203,"&gt;="&amp;$G$20,$C$4:$C$203,IF(17=$F$13,"&lt;=","&lt;")&amp;($G$20+$F$16)))</f>
        <v/>
      </c>
      <c r="I20">
        <f>IF(AND(MOD(6,$F$17)=0,MOD((INT(6/$F$17)+1)-1,$F$13/5)=0),TEXT(INDEX($G$4:$G$53,(INT(6/$F$17)+1)),"#,##0"),"")</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O20" t="n">
        <v>4800</v>
      </c>
      <c r="P20" t="n">
        <v>4950</v>
      </c>
      <c r="Q20" t="n">
        <v>15</v>
      </c>
      <c r="R20" t="inlineStr">
        <is>
          <t>band edges on Columns</t>
        </is>
      </c>
      <c r="S20">
        <f>Columns!$I$16&amp;""</f>
        <v/>
      </c>
      <c r="T20">
        <f>IF(17&lt;=$S$13,$S$14+(17-1)*$S$16,"")</f>
        <v/>
      </c>
      <c r="U20">
        <f>IF(17&gt;$S$13,"",SUMIFS($Q$4:$Q$203,$P$4:$P$203,"&gt;="&amp;$T$20,$P$4:$P$203,IF(17=$S$13,"&lt;=","&lt;")&amp;($T$20+$S$16)))</f>
        <v/>
      </c>
      <c r="V20">
        <f>IF(AND(MOD(6,$S$17)=0,MOD((INT(6/$S$17)+1)-1,$S$13/5)=0),TEXT(INDEX($T$4:$T$53,(INT(6/$S$17)+1)),"#,##0"),"")</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B20" t="n">
        <v>2400</v>
      </c>
      <c r="AC20" t="n">
        <v>2475</v>
      </c>
      <c r="AD20" t="n">
        <v>22</v>
      </c>
      <c r="AE20" t="inlineStr">
        <is>
          <t>band edges on Columns</t>
        </is>
      </c>
      <c r="AF20">
        <f>Columns!$I$21&amp;""</f>
        <v/>
      </c>
      <c r="AG20">
        <f>IF(17&lt;=$AF$13,$AF$14+(17-1)*$AF$16,"")</f>
        <v/>
      </c>
      <c r="AH20">
        <f>IF(17&gt;$AF$13,"",SUMIFS($AD$4:$AD$203,$AC$4:$AC$203,"&gt;="&amp;$AG$20,$AC$4:$AC$203,IF(17=$AF$13,"&lt;=","&lt;")&amp;($AG$20+$AF$16)))</f>
        <v/>
      </c>
      <c r="AI20">
        <f>IF(AND(MOD(6,$AF$17)=0,MOD((INT(6/$AF$17)+1)-1,$AF$13/5)=0),TEXT(INDEX($AG$4:$AG$53,(INT(6/$AF$17)+1)),"#,##0"),"")</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row>
    <row r="21">
      <c r="B21" t="n">
        <v>575.5</v>
      </c>
      <c r="C21" t="n">
        <v>576.25</v>
      </c>
      <c r="D21" t="n">
        <v>6</v>
      </c>
      <c r="E21" t="inlineStr">
        <is>
          <t>format</t>
        </is>
      </c>
      <c r="F21" t="inlineStr">
        <is>
          <t>#,##0</t>
        </is>
      </c>
      <c r="G21">
        <f>IF(18&lt;=$F$13,$F$14+(18-1)*$F$16,"")</f>
        <v/>
      </c>
      <c r="H21">
        <f>IF(18&gt;$F$13,"",SUMIFS($D$4:$D$203,$C$4:$C$203,"&gt;="&amp;$G$21,$C$4:$C$203,IF(18=$F$13,"&lt;=","&lt;")&amp;($G$21+$F$16)))</f>
        <v/>
      </c>
      <c r="I21">
        <f>IF(AND(MOD(7,$F$17)=0,MOD((INT(7/$F$17)+1)-1,$F$13/5)=0),TEXT(INDEX($G$4:$G$53,(INT(7/$F$17)+1)),"#,##0"),"")</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O21" t="n">
        <v>5100</v>
      </c>
      <c r="P21" t="n">
        <v>5250</v>
      </c>
      <c r="Q21" t="n">
        <v>48</v>
      </c>
      <c r="R21" t="inlineStr">
        <is>
          <t>format</t>
        </is>
      </c>
      <c r="S21" t="inlineStr">
        <is>
          <t>#,##0</t>
        </is>
      </c>
      <c r="T21">
        <f>IF(18&lt;=$S$13,$S$14+(18-1)*$S$16,"")</f>
        <v/>
      </c>
      <c r="U21">
        <f>IF(18&gt;$S$13,"",SUMIFS($Q$4:$Q$203,$P$4:$P$203,"&gt;="&amp;$T$21,$P$4:$P$203,IF(18=$S$13,"&lt;=","&lt;")&amp;($T$21+$S$16)))</f>
        <v/>
      </c>
      <c r="V21">
        <f>IF(AND(MOD(7,$S$17)=0,MOD((INT(7/$S$17)+1)-1,$S$13/5)=0),TEXT(INDEX($T$4:$T$53,(INT(7/$S$17)+1)),"#,##0"),"")</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B21" t="n">
        <v>2550</v>
      </c>
      <c r="AC21" t="n">
        <v>2625</v>
      </c>
      <c r="AD21" t="n">
        <v>30</v>
      </c>
      <c r="AE21" t="inlineStr">
        <is>
          <t>format</t>
        </is>
      </c>
      <c r="AF21" t="inlineStr">
        <is>
          <t>#,##0</t>
        </is>
      </c>
      <c r="AG21">
        <f>IF(18&lt;=$AF$13,$AF$14+(18-1)*$AF$16,"")</f>
        <v/>
      </c>
      <c r="AH21">
        <f>IF(18&gt;$AF$13,"",SUMIFS($AD$4:$AD$203,$AC$4:$AC$203,"&gt;="&amp;$AG$21,$AC$4:$AC$203,IF(18=$AF$13,"&lt;=","&lt;")&amp;($AG$21+$AF$16)))</f>
        <v/>
      </c>
      <c r="AI21">
        <f>IF(AND(MOD(7,$AF$17)=0,MOD((INT(7/$AF$17)+1)-1,$AF$13/5)=0),TEXT(INDEX($AG$4:$AG$53,(INT(7/$AF$17)+1)),"#,##0"),"")</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row>
    <row r="22">
      <c r="B22" t="n">
        <v>577</v>
      </c>
      <c r="C22" t="n">
        <v>577.75</v>
      </c>
      <c r="D22" t="n">
        <v>10</v>
      </c>
      <c r="G22">
        <f>IF(19&lt;=$F$13,$F$14+(19-1)*$F$16,"")</f>
        <v/>
      </c>
      <c r="H22">
        <f>IF(19&gt;$F$13,"",SUMIFS($D$4:$D$203,$C$4:$C$203,"&gt;="&amp;$G$22,$C$4:$C$203,IF(19=$F$13,"&lt;=","&lt;")&amp;($G$22+$F$16)))</f>
        <v/>
      </c>
      <c r="I22">
        <f>IF(AND(MOD(8,$F$17)=0,MOD((INT(8/$F$17)+1)-1,$F$13/5)=0),TEXT(INDEX($G$4:$G$53,(INT(8/$F$17)+1)),"#,##0"),"")</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O22" t="n">
        <v>5400</v>
      </c>
      <c r="P22" t="n">
        <v>5550</v>
      </c>
      <c r="Q22" t="n">
        <v>58</v>
      </c>
      <c r="T22">
        <f>IF(19&lt;=$S$13,$S$14+(19-1)*$S$16,"")</f>
        <v/>
      </c>
      <c r="U22">
        <f>IF(19&gt;$S$13,"",SUMIFS($Q$4:$Q$203,$P$4:$P$203,"&gt;="&amp;$T$22,$P$4:$P$203,IF(19=$S$13,"&lt;=","&lt;")&amp;($T$22+$S$16)))</f>
        <v/>
      </c>
      <c r="V22">
        <f>IF(AND(MOD(8,$S$17)=0,MOD((INT(8/$S$17)+1)-1,$S$13/5)=0),TEXT(INDEX($T$4:$T$53,(INT(8/$S$17)+1)),"#,##0"),"")</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B22" t="n">
        <v>2700</v>
      </c>
      <c r="AC22" t="n">
        <v>2775</v>
      </c>
      <c r="AD22" t="n">
        <v>18</v>
      </c>
      <c r="AG22">
        <f>IF(19&lt;=$AF$13,$AF$14+(19-1)*$AF$16,"")</f>
        <v/>
      </c>
      <c r="AH22">
        <f>IF(19&gt;$AF$13,"",SUMIFS($AD$4:$AD$203,$AC$4:$AC$203,"&gt;="&amp;$AG$22,$AC$4:$AC$203,IF(19=$AF$13,"&lt;=","&lt;")&amp;($AG$22+$AF$16)))</f>
        <v/>
      </c>
      <c r="AI22">
        <f>IF(AND(MOD(8,$AF$17)=0,MOD((INT(8/$AF$17)+1)-1,$AF$13/5)=0),TEXT(INDEX($AG$4:$AG$53,(INT(8/$AF$17)+1)),"#,##0"),"")</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row>
    <row r="23">
      <c r="B23" t="n">
        <v>578.5</v>
      </c>
      <c r="C23" t="n">
        <v>579.25</v>
      </c>
      <c r="D23" t="n">
        <v>3</v>
      </c>
      <c r="G23">
        <f>IF(20&lt;=$F$13,$F$14+(20-1)*$F$16,"")</f>
        <v/>
      </c>
      <c r="H23">
        <f>IF(20&gt;$F$13,"",SUMIFS($D$4:$D$203,$C$4:$C$203,"&gt;="&amp;$G$23,$C$4:$C$203,IF(20=$F$13,"&lt;=","&lt;")&amp;($G$23+$F$16)))</f>
        <v/>
      </c>
      <c r="I23">
        <f>IF(AND(MOD(9,$F$17)=0,MOD((INT(9/$F$17)+1)-1,$F$13/5)=0),TEXT(INDEX($G$4:$G$53,(INT(9/$F$17)+1)),"#,##0"),"")</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O23" t="n">
        <v>5700</v>
      </c>
      <c r="P23" t="n">
        <v>5850</v>
      </c>
      <c r="Q23" t="n">
        <v>39</v>
      </c>
      <c r="T23">
        <f>IF(20&lt;=$S$13,$S$14+(20-1)*$S$16,"")</f>
        <v/>
      </c>
      <c r="U23">
        <f>IF(20&gt;$S$13,"",SUMIFS($Q$4:$Q$203,$P$4:$P$203,"&gt;="&amp;$T$23,$P$4:$P$203,IF(20=$S$13,"&lt;=","&lt;")&amp;($T$23+$S$16)))</f>
        <v/>
      </c>
      <c r="V23">
        <f>IF(AND(MOD(9,$S$17)=0,MOD((INT(9/$S$17)+1)-1,$S$13/5)=0),TEXT(INDEX($T$4:$T$53,(INT(9/$S$17)+1)),"#,##0"),"")</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B23" t="n">
        <v>2850</v>
      </c>
      <c r="AC23" t="n">
        <v>2925</v>
      </c>
      <c r="AD23" t="n">
        <v>31</v>
      </c>
      <c r="AG23">
        <f>IF(20&lt;=$AF$13,$AF$14+(20-1)*$AF$16,"")</f>
        <v/>
      </c>
      <c r="AH23">
        <f>IF(20&gt;$AF$13,"",SUMIFS($AD$4:$AD$203,$AC$4:$AC$203,"&gt;="&amp;$AG$23,$AC$4:$AC$203,IF(20=$AF$13,"&lt;=","&lt;")&amp;($AG$23+$AF$16)))</f>
        <v/>
      </c>
      <c r="AI23">
        <f>IF(AND(MOD(9,$AF$17)=0,MOD((INT(9/$AF$17)+1)-1,$AF$13/5)=0),TEXT(INDEX($AG$4:$AG$53,(INT(9/$AF$17)+1)),"#,##0"),"")</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row>
    <row r="24">
      <c r="B24" t="n">
        <v>580</v>
      </c>
      <c r="C24" t="n">
        <v>580.75</v>
      </c>
      <c r="D24" t="n">
        <v>9</v>
      </c>
      <c r="G24">
        <f>IF(21&lt;=$F$13,$F$14+(21-1)*$F$16,"")</f>
        <v/>
      </c>
      <c r="H24">
        <f>IF(21&gt;$F$13,"",SUMIFS($D$4:$D$203,$C$4:$C$203,"&gt;="&amp;$G$24,$C$4:$C$203,IF(21=$F$13,"&lt;=","&lt;")&amp;($G$24+$F$16)))</f>
        <v/>
      </c>
      <c r="I24">
        <f>IF(AND(MOD(10,$F$17)=0,MOD((INT(10/$F$17)+1)-1,$F$13/5)=0),TEXT(INDEX($G$4:$G$53,(INT(10/$F$17)+1)),"#,##0"),"")</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O24" t="n">
        <v>6000</v>
      </c>
      <c r="P24" t="n">
        <v>6150</v>
      </c>
      <c r="Q24" t="n">
        <v>46</v>
      </c>
      <c r="T24">
        <f>IF(21&lt;=$S$13,$S$14+(21-1)*$S$16,"")</f>
        <v/>
      </c>
      <c r="U24">
        <f>IF(21&gt;$S$13,"",SUMIFS($Q$4:$Q$203,$P$4:$P$203,"&gt;="&amp;$T$24,$P$4:$P$203,IF(21=$S$13,"&lt;=","&lt;")&amp;($T$24+$S$16)))</f>
        <v/>
      </c>
      <c r="V24">
        <f>IF(AND(MOD(10,$S$17)=0,MOD((INT(10/$S$17)+1)-1,$S$13/5)=0),TEXT(INDEX($T$4:$T$53,(INT(10/$S$17)+1)),"#,##0"),"")</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B24" t="n">
        <v>3000</v>
      </c>
      <c r="AC24" t="n">
        <v>3075</v>
      </c>
      <c r="AD24" t="n">
        <v>25</v>
      </c>
      <c r="AG24">
        <f>IF(21&lt;=$AF$13,$AF$14+(21-1)*$AF$16,"")</f>
        <v/>
      </c>
      <c r="AH24">
        <f>IF(21&gt;$AF$13,"",SUMIFS($AD$4:$AD$203,$AC$4:$AC$203,"&gt;="&amp;$AG$24,$AC$4:$AC$203,IF(21=$AF$13,"&lt;=","&lt;")&amp;($AG$24+$AF$16)))</f>
        <v/>
      </c>
      <c r="AI24">
        <f>IF(AND(MOD(10,$AF$17)=0,MOD((INT(10/$AF$17)+1)-1,$AF$13/5)=0),TEXT(INDEX($AG$4:$AG$53,(INT(10/$AF$17)+1)),"#,##0"),"")</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row>
    <row r="25">
      <c r="B25" t="n">
        <v>581.5</v>
      </c>
      <c r="C25" t="n">
        <v>582.25</v>
      </c>
      <c r="D25" t="n">
        <v>4</v>
      </c>
      <c r="G25">
        <f>IF(22&lt;=$F$13,$F$14+(22-1)*$F$16,"")</f>
        <v/>
      </c>
      <c r="H25">
        <f>IF(22&gt;$F$13,"",SUMIFS($D$4:$D$203,$C$4:$C$203,"&gt;="&amp;$G$25,$C$4:$C$203,IF(22=$F$13,"&lt;=","&lt;")&amp;($G$25+$F$16)))</f>
        <v/>
      </c>
      <c r="I25">
        <f>IF(AND(MOD(11,$F$17)=0,MOD((INT(11/$F$17)+1)-1,$F$13/5)=0),TEXT(INDEX($G$4:$G$53,(INT(11/$F$17)+1)),"#,##0"),"")</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O25" t="n">
        <v>6300</v>
      </c>
      <c r="P25" t="n">
        <v>6450</v>
      </c>
      <c r="Q25" t="n">
        <v>44</v>
      </c>
      <c r="T25">
        <f>IF(22&lt;=$S$13,$S$14+(22-1)*$S$16,"")</f>
        <v/>
      </c>
      <c r="U25">
        <f>IF(22&gt;$S$13,"",SUMIFS($Q$4:$Q$203,$P$4:$P$203,"&gt;="&amp;$T$25,$P$4:$P$203,IF(22=$S$13,"&lt;=","&lt;")&amp;($T$25+$S$16)))</f>
        <v/>
      </c>
      <c r="V25">
        <f>IF(AND(MOD(11,$S$17)=0,MOD((INT(11/$S$17)+1)-1,$S$13/5)=0),TEXT(INDEX($T$4:$T$53,(INT(11/$S$17)+1)),"#,##0"),"")</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B25" t="n">
        <v>3150</v>
      </c>
      <c r="AC25" t="n">
        <v>3225</v>
      </c>
      <c r="AD25" t="n">
        <v>33</v>
      </c>
      <c r="AG25">
        <f>IF(22&lt;=$AF$13,$AF$14+(22-1)*$AF$16,"")</f>
        <v/>
      </c>
      <c r="AH25">
        <f>IF(22&gt;$AF$13,"",SUMIFS($AD$4:$AD$203,$AC$4:$AC$203,"&gt;="&amp;$AG$25,$AC$4:$AC$203,IF(22=$AF$13,"&lt;=","&lt;")&amp;($AG$25+$AF$16)))</f>
        <v/>
      </c>
      <c r="AI25">
        <f>IF(AND(MOD(11,$AF$17)=0,MOD((INT(11/$AF$17)+1)-1,$AF$13/5)=0),TEXT(INDEX($AG$4:$AG$53,(INT(11/$AF$17)+1)),"#,##0"),"")</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row>
    <row r="26">
      <c r="B26" t="n">
        <v>583</v>
      </c>
      <c r="C26" t="n">
        <v>583.75</v>
      </c>
      <c r="D26" t="n">
        <v>12</v>
      </c>
      <c r="G26">
        <f>IF(23&lt;=$F$13,$F$14+(23-1)*$F$16,"")</f>
        <v/>
      </c>
      <c r="H26">
        <f>IF(23&gt;$F$13,"",SUMIFS($D$4:$D$203,$C$4:$C$203,"&gt;="&amp;$G$26,$C$4:$C$203,IF(23=$F$13,"&lt;=","&lt;")&amp;($G$26+$F$16)))</f>
        <v/>
      </c>
      <c r="I26">
        <f>IF(AND(MOD(12,$F$17)=0,MOD((INT(12/$F$17)+1)-1,$F$13/5)=0),TEXT(INDEX($G$4:$G$53,(INT(12/$F$17)+1)),"#,##0"),"")</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O26" t="n">
        <v>6600</v>
      </c>
      <c r="P26" t="n">
        <v>6750</v>
      </c>
      <c r="Q26" t="n">
        <v>34</v>
      </c>
      <c r="T26">
        <f>IF(23&lt;=$S$13,$S$14+(23-1)*$S$16,"")</f>
        <v/>
      </c>
      <c r="U26">
        <f>IF(23&gt;$S$13,"",SUMIFS($Q$4:$Q$203,$P$4:$P$203,"&gt;="&amp;$T$26,$P$4:$P$203,IF(23=$S$13,"&lt;=","&lt;")&amp;($T$26+$S$16)))</f>
        <v/>
      </c>
      <c r="V26">
        <f>IF(AND(MOD(12,$S$17)=0,MOD((INT(12/$S$17)+1)-1,$S$13/5)=0),TEXT(INDEX($T$4:$T$53,(INT(12/$S$17)+1)),"#,##0"),"")</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B26" t="n">
        <v>3300</v>
      </c>
      <c r="AC26" t="n">
        <v>3375</v>
      </c>
      <c r="AD26" t="n">
        <v>25</v>
      </c>
      <c r="AG26">
        <f>IF(23&lt;=$AF$13,$AF$14+(23-1)*$AF$16,"")</f>
        <v/>
      </c>
      <c r="AH26">
        <f>IF(23&gt;$AF$13,"",SUMIFS($AD$4:$AD$203,$AC$4:$AC$203,"&gt;="&amp;$AG$26,$AC$4:$AC$203,IF(23=$AF$13,"&lt;=","&lt;")&amp;($AG$26+$AF$16)))</f>
        <v/>
      </c>
      <c r="AI26">
        <f>IF(AND(MOD(12,$AF$17)=0,MOD((INT(12/$AF$17)+1)-1,$AF$13/5)=0),TEXT(INDEX($AG$4:$AG$53,(INT(12/$AF$17)+1)),"#,##0"),"")</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row>
    <row r="27">
      <c r="B27" t="n">
        <v>584.5</v>
      </c>
      <c r="C27" t="n">
        <v>585.25</v>
      </c>
      <c r="D27" t="n">
        <v>6</v>
      </c>
      <c r="G27">
        <f>IF(24&lt;=$F$13,$F$14+(24-1)*$F$16,"")</f>
        <v/>
      </c>
      <c r="H27">
        <f>IF(24&gt;$F$13,"",SUMIFS($D$4:$D$203,$C$4:$C$203,"&gt;="&amp;$G$27,$C$4:$C$203,IF(24=$F$13,"&lt;=","&lt;")&amp;($G$27+$F$16)))</f>
        <v/>
      </c>
      <c r="I27">
        <f>IF(AND(MOD(13,$F$17)=0,MOD((INT(13/$F$17)+1)-1,$F$13/5)=0),TEXT(INDEX($G$4:$G$53,(INT(13/$F$17)+1)),"#,##0"),"")</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O27" t="n">
        <v>6900</v>
      </c>
      <c r="P27" t="n">
        <v>7050</v>
      </c>
      <c r="Q27" t="n">
        <v>47</v>
      </c>
      <c r="T27">
        <f>IF(24&lt;=$S$13,$S$14+(24-1)*$S$16,"")</f>
        <v/>
      </c>
      <c r="U27">
        <f>IF(24&gt;$S$13,"",SUMIFS($Q$4:$Q$203,$P$4:$P$203,"&gt;="&amp;$T$27,$P$4:$P$203,IF(24=$S$13,"&lt;=","&lt;")&amp;($T$27+$S$16)))</f>
        <v/>
      </c>
      <c r="V27">
        <f>IF(AND(MOD(13,$S$17)=0,MOD((INT(13/$S$17)+1)-1,$S$13/5)=0),TEXT(INDEX($T$4:$T$53,(INT(13/$S$17)+1)),"#,##0"),"")</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B27" t="n">
        <v>3450</v>
      </c>
      <c r="AC27" t="n">
        <v>3525</v>
      </c>
      <c r="AD27" t="n">
        <v>39</v>
      </c>
      <c r="AG27">
        <f>IF(24&lt;=$AF$13,$AF$14+(24-1)*$AF$16,"")</f>
        <v/>
      </c>
      <c r="AH27">
        <f>IF(24&gt;$AF$13,"",SUMIFS($AD$4:$AD$203,$AC$4:$AC$203,"&gt;="&amp;$AG$27,$AC$4:$AC$203,IF(24=$AF$13,"&lt;=","&lt;")&amp;($AG$27+$AF$16)))</f>
        <v/>
      </c>
      <c r="AI27">
        <f>IF(AND(MOD(13,$AF$17)=0,MOD((INT(13/$AF$17)+1)-1,$AF$13/5)=0),TEXT(INDEX($AG$4:$AG$53,(INT(13/$AF$17)+1)),"#,##0"),"")</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row>
    <row r="28">
      <c r="B28" t="n">
        <v>586</v>
      </c>
      <c r="C28" t="n">
        <v>586.75</v>
      </c>
      <c r="D28" t="n">
        <v>16</v>
      </c>
      <c r="G28">
        <f>IF(25&lt;=$F$13,$F$14+(25-1)*$F$16,"")</f>
        <v/>
      </c>
      <c r="H28">
        <f>IF(25&gt;$F$13,"",SUMIFS($D$4:$D$203,$C$4:$C$203,"&gt;="&amp;$G$28,$C$4:$C$203,IF(25=$F$13,"&lt;=","&lt;")&amp;($G$28+$F$16)))</f>
        <v/>
      </c>
      <c r="I28">
        <f>IF(AND(MOD(14,$F$17)=0,MOD((INT(14/$F$17)+1)-1,$F$13/5)=0),TEXT(INDEX($G$4:$G$53,(INT(14/$F$17)+1)),"#,##0"),"")</f>
        <v/>
      </c>
      <c r="J28">
        <f>IF(MOD(14,$F$17)=$F$17-1,0,INDEX($H$4:$H$53,(INT(14/$F$17)+1)))</f>
        <v/>
      </c>
      <c r="K28">
        <f>IFERROR(IF(AND($M$16&gt;=$F$14,$M$16&lt;=$F$15),10+0.5+100*($M$16-$F$14)/($F$15-$F$14),NA()),NA())</f>
        <v/>
      </c>
      <c r="L28">
        <f>IF(ISNA($K$28),NA(),0)</f>
        <v/>
      </c>
      <c r="O28" t="n">
        <v>7200</v>
      </c>
      <c r="P28" t="n">
        <v>7350</v>
      </c>
      <c r="Q28" t="n">
        <v>42</v>
      </c>
      <c r="T28">
        <f>IF(25&lt;=$S$13,$S$14+(25-1)*$S$16,"")</f>
        <v/>
      </c>
      <c r="U28">
        <f>IF(25&gt;$S$13,"",SUMIFS($Q$4:$Q$203,$P$4:$P$203,"&gt;="&amp;$T$28,$P$4:$P$203,IF(25=$S$13,"&lt;=","&lt;")&amp;($T$28+$S$16)))</f>
        <v/>
      </c>
      <c r="V28">
        <f>IF(AND(MOD(14,$S$17)=0,MOD((INT(14/$S$17)+1)-1,$S$13/5)=0),TEXT(INDEX($T$4:$T$53,(INT(14/$S$17)+1)),"#,##0"),"")</f>
        <v/>
      </c>
      <c r="W28">
        <f>IF(MOD(14,$S$17)=$S$17-1,0,INDEX($U$4:$U$53,(INT(14/$S$17)+1)))</f>
        <v/>
      </c>
      <c r="X28">
        <f>IFERROR(IF(AND($Z$16&gt;=$S$14,$Z$16&lt;=$S$15),10+0.5+100*($Z$16-$S$14)/($S$15-$S$14),NA()),NA())</f>
        <v/>
      </c>
      <c r="Y28">
        <f>IF(ISNA($X$28),NA(),0)</f>
        <v/>
      </c>
      <c r="AB28" t="n">
        <v>3600</v>
      </c>
      <c r="AC28" t="n">
        <v>3675</v>
      </c>
      <c r="AD28" t="n">
        <v>48</v>
      </c>
      <c r="AG28">
        <f>IF(25&lt;=$AF$13,$AF$14+(25-1)*$AF$16,"")</f>
        <v/>
      </c>
      <c r="AH28">
        <f>IF(25&gt;$AF$13,"",SUMIFS($AD$4:$AD$203,$AC$4:$AC$203,"&gt;="&amp;$AG$28,$AC$4:$AC$203,IF(25=$AF$13,"&lt;=","&lt;")&amp;($AG$28+$AF$16)))</f>
        <v/>
      </c>
      <c r="AI28">
        <f>IF(AND(MOD(14,$AF$17)=0,MOD((INT(14/$AF$17)+1)-1,$AF$13/5)=0),TEXT(INDEX($AG$4:$AG$53,(INT(14/$AF$17)+1)),"#,##0"),"")</f>
        <v/>
      </c>
      <c r="AJ28">
        <f>IF(MOD(14,$AF$17)=$AF$17-1,0,INDEX($AH$4:$AH$53,(INT(14/$AF$17)+1)))</f>
        <v/>
      </c>
      <c r="AK28">
        <f>IFERROR(IF(AND($AM$16&gt;=$AF$14,$AM$16&lt;=$AF$15),10+0.5+100*($AM$16-$AF$14)/($AF$15-$AF$14),NA()),NA())</f>
        <v/>
      </c>
      <c r="AL28">
        <f>IF(ISNA($AK$28),NA(),0)</f>
        <v/>
      </c>
    </row>
    <row r="29">
      <c r="B29" t="n">
        <v>587.5</v>
      </c>
      <c r="C29" t="n">
        <v>588.25</v>
      </c>
      <c r="D29" t="n">
        <v>7</v>
      </c>
      <c r="G29">
        <f>IF(26&lt;=$F$13,$F$14+(26-1)*$F$16,"")</f>
        <v/>
      </c>
      <c r="H29">
        <f>IF(26&gt;$F$13,"",SUMIFS($D$4:$D$203,$C$4:$C$203,"&gt;="&amp;$G$29,$C$4:$C$203,IF(26=$F$13,"&lt;=","&lt;")&amp;($G$29+$F$16)))</f>
        <v/>
      </c>
      <c r="I29">
        <f>IF(AND(MOD(15,$F$17)=0,MOD((INT(15/$F$17)+1)-1,$F$13/5)=0),TEXT(INDEX($G$4:$G$53,(INT(15/$F$17)+1)),"#,##0"),"")</f>
        <v/>
      </c>
      <c r="J29">
        <f>IF(MOD(15,$F$17)=$F$17-1,0,INDEX($H$4:$H$53,(INT(15/$F$17)+1)))</f>
        <v/>
      </c>
      <c r="K29">
        <f>IFERROR(IF(AND($M$16&gt;=$F$14,$M$16&lt;=$F$15),10+0.5+100*($M$16-$F$14)/($F$15-$F$14),NA()),NA())</f>
        <v/>
      </c>
      <c r="L29">
        <f>IF(ISNA($K$29),NA(),MAX($J$4:$J$123))</f>
        <v/>
      </c>
      <c r="O29" t="n">
        <v>7500</v>
      </c>
      <c r="P29" t="n">
        <v>7650</v>
      </c>
      <c r="Q29" t="n">
        <v>50</v>
      </c>
      <c r="T29">
        <f>IF(26&lt;=$S$13,$S$14+(26-1)*$S$16,"")</f>
        <v/>
      </c>
      <c r="U29">
        <f>IF(26&gt;$S$13,"",SUMIFS($Q$4:$Q$203,$P$4:$P$203,"&gt;="&amp;$T$29,$P$4:$P$203,IF(26=$S$13,"&lt;=","&lt;")&amp;($T$29+$S$16)))</f>
        <v/>
      </c>
      <c r="V29">
        <f>IF(AND(MOD(15,$S$17)=0,MOD((INT(15/$S$17)+1)-1,$S$13/5)=0),TEXT(INDEX($T$4:$T$53,(INT(15/$S$17)+1)),"#,##0"),"")</f>
        <v/>
      </c>
      <c r="W29">
        <f>IF(MOD(15,$S$17)=$S$17-1,0,INDEX($U$4:$U$53,(INT(15/$S$17)+1)))</f>
        <v/>
      </c>
      <c r="X29">
        <f>IFERROR(IF(AND($Z$16&gt;=$S$14,$Z$16&lt;=$S$15),10+0.5+100*($Z$16-$S$14)/($S$15-$S$14),NA()),NA())</f>
        <v/>
      </c>
      <c r="Y29">
        <f>IF(ISNA($X$29),NA(),MAX($W$4:$W$123))</f>
        <v/>
      </c>
      <c r="AB29" t="n">
        <v>3750</v>
      </c>
      <c r="AC29" t="n">
        <v>3825</v>
      </c>
      <c r="AD29" t="n">
        <v>39</v>
      </c>
      <c r="AG29">
        <f>IF(26&lt;=$AF$13,$AF$14+(26-1)*$AF$16,"")</f>
        <v/>
      </c>
      <c r="AH29">
        <f>IF(26&gt;$AF$13,"",SUMIFS($AD$4:$AD$203,$AC$4:$AC$203,"&gt;="&amp;$AG$29,$AC$4:$AC$203,IF(26=$AF$13,"&lt;=","&lt;")&amp;($AG$29+$AF$16)))</f>
        <v/>
      </c>
      <c r="AI29">
        <f>IF(AND(MOD(15,$AF$17)=0,MOD((INT(15/$AF$17)+1)-1,$AF$13/5)=0),TEXT(INDEX($AG$4:$AG$53,(INT(15/$AF$17)+1)),"#,##0"),"")</f>
        <v/>
      </c>
      <c r="AJ29">
        <f>IF(MOD(15,$AF$17)=$AF$17-1,0,INDEX($AH$4:$AH$53,(INT(15/$AF$17)+1)))</f>
        <v/>
      </c>
      <c r="AK29">
        <f>IFERROR(IF(AND($AM$16&gt;=$AF$14,$AM$16&lt;=$AF$15),10+0.5+100*($AM$16-$AF$14)/($AF$15-$AF$14),NA()),NA())</f>
        <v/>
      </c>
      <c r="AL29">
        <f>IF(ISNA($AK$29),NA(),MAX($AJ$4:$AJ$123))</f>
        <v/>
      </c>
    </row>
    <row r="30">
      <c r="B30" t="n">
        <v>589</v>
      </c>
      <c r="C30" t="n">
        <v>589.75</v>
      </c>
      <c r="D30" t="n">
        <v>13</v>
      </c>
      <c r="G30">
        <f>IF(27&lt;=$F$13,$F$14+(27-1)*$F$16,"")</f>
        <v/>
      </c>
      <c r="H30">
        <f>IF(27&gt;$F$13,"",SUMIFS($D$4:$D$203,$C$4:$C$203,"&gt;="&amp;$G$30,$C$4:$C$203,IF(27=$F$13,"&lt;=","&lt;")&amp;($G$30+$F$16)))</f>
        <v/>
      </c>
      <c r="I30">
        <f>IF(AND(MOD(16,$F$17)=0,MOD((INT(16/$F$17)+1)-1,$F$13/5)=0),TEXT(INDEX($G$4:$G$53,(INT(16/$F$17)+1)),"#,##0"),"")</f>
        <v/>
      </c>
      <c r="J30">
        <f>IF(MOD(16,$F$17)=$F$17-1,0,INDEX($H$4:$H$53,(INT(16/$F$17)+1)))</f>
        <v/>
      </c>
      <c r="K30">
        <f>IFERROR(IF(AND($M$17&gt;=$F$14,$M$17&lt;=$F$15),10+0.5+100*($M$17-$F$14)/($F$15-$F$14),NA()),NA())</f>
        <v/>
      </c>
      <c r="L30">
        <f>IF(ISNA($K$30),NA(),0)</f>
        <v/>
      </c>
      <c r="O30" t="n">
        <v>7800</v>
      </c>
      <c r="P30" t="n">
        <v>7950</v>
      </c>
      <c r="Q30" t="n">
        <v>50</v>
      </c>
      <c r="T30">
        <f>IF(27&lt;=$S$13,$S$14+(27-1)*$S$16,"")</f>
        <v/>
      </c>
      <c r="U30">
        <f>IF(27&gt;$S$13,"",SUMIFS($Q$4:$Q$203,$P$4:$P$203,"&gt;="&amp;$T$30,$P$4:$P$203,IF(27=$S$13,"&lt;=","&lt;")&amp;($T$30+$S$16)))</f>
        <v/>
      </c>
      <c r="V30">
        <f>IF(AND(MOD(16,$S$17)=0,MOD((INT(16/$S$17)+1)-1,$S$13/5)=0),TEXT(INDEX($T$4:$T$53,(INT(16/$S$17)+1)),"#,##0"),"")</f>
        <v/>
      </c>
      <c r="W30">
        <f>IF(MOD(16,$S$17)=$S$17-1,0,INDEX($U$4:$U$53,(INT(16/$S$17)+1)))</f>
        <v/>
      </c>
      <c r="X30">
        <f>IFERROR(IF(AND($Z$17&gt;=$S$14,$Z$17&lt;=$S$15),10+0.5+100*($Z$17-$S$14)/($S$15-$S$14),NA()),NA())</f>
        <v/>
      </c>
      <c r="Y30">
        <f>IF(ISNA($X$30),NA(),0)</f>
        <v/>
      </c>
      <c r="AB30" t="n">
        <v>3900</v>
      </c>
      <c r="AC30" t="n">
        <v>3975</v>
      </c>
      <c r="AD30" t="n">
        <v>47</v>
      </c>
      <c r="AG30">
        <f>IF(27&lt;=$AF$13,$AF$14+(27-1)*$AF$16,"")</f>
        <v/>
      </c>
      <c r="AH30">
        <f>IF(27&gt;$AF$13,"",SUMIFS($AD$4:$AD$203,$AC$4:$AC$203,"&gt;="&amp;$AG$30,$AC$4:$AC$203,IF(27=$AF$13,"&lt;=","&lt;")&amp;($AG$30+$AF$16)))</f>
        <v/>
      </c>
      <c r="AI30">
        <f>IF(AND(MOD(16,$AF$17)=0,MOD((INT(16/$AF$17)+1)-1,$AF$13/5)=0),TEXT(INDEX($AG$4:$AG$53,(INT(16/$AF$17)+1)),"#,##0"),"")</f>
        <v/>
      </c>
      <c r="AJ30">
        <f>IF(MOD(16,$AF$17)=$AF$17-1,0,INDEX($AH$4:$AH$53,(INT(16/$AF$17)+1)))</f>
        <v/>
      </c>
      <c r="AK30">
        <f>IFERROR(IF(AND($AM$17&gt;=$AF$14,$AM$17&lt;=$AF$15),10+0.5+100*($AM$17-$AF$14)/($AF$15-$AF$14),NA()),NA())</f>
        <v/>
      </c>
      <c r="AL30">
        <f>IF(ISNA($AK$30),NA(),0)</f>
        <v/>
      </c>
    </row>
    <row r="31">
      <c r="B31" t="n">
        <v>590.5</v>
      </c>
      <c r="C31" t="n">
        <v>591.25</v>
      </c>
      <c r="D31" t="n">
        <v>8</v>
      </c>
      <c r="G31">
        <f>IF(28&lt;=$F$13,$F$14+(28-1)*$F$16,"")</f>
        <v/>
      </c>
      <c r="H31">
        <f>IF(28&gt;$F$13,"",SUMIFS($D$4:$D$203,$C$4:$C$203,"&gt;="&amp;$G$31,$C$4:$C$203,IF(28=$F$13,"&lt;=","&lt;")&amp;($G$31+$F$16)))</f>
        <v/>
      </c>
      <c r="I31">
        <f>IF(AND(MOD(17,$F$17)=0,MOD((INT(17/$F$17)+1)-1,$F$13/5)=0),TEXT(INDEX($G$4:$G$53,(INT(17/$F$17)+1)),"#,##0"),"")</f>
        <v/>
      </c>
      <c r="J31">
        <f>IF(MOD(17,$F$17)=$F$17-1,0,INDEX($H$4:$H$53,(INT(17/$F$17)+1)))</f>
        <v/>
      </c>
      <c r="K31">
        <f>IFERROR(IF(AND($M$17&gt;=$F$14,$M$17&lt;=$F$15),10+0.5+100*($M$17-$F$14)/($F$15-$F$14),NA()),NA())</f>
        <v/>
      </c>
      <c r="L31">
        <f>IF(ISNA($K$31),NA(),MAX($J$4:$J$123))</f>
        <v/>
      </c>
      <c r="O31" t="n">
        <v>8100</v>
      </c>
      <c r="P31" t="n">
        <v>8250</v>
      </c>
      <c r="Q31" t="n">
        <v>57</v>
      </c>
      <c r="T31">
        <f>IF(28&lt;=$S$13,$S$14+(28-1)*$S$16,"")</f>
        <v/>
      </c>
      <c r="U31">
        <f>IF(28&gt;$S$13,"",SUMIFS($Q$4:$Q$203,$P$4:$P$203,"&gt;="&amp;$T$31,$P$4:$P$203,IF(28=$S$13,"&lt;=","&lt;")&amp;($T$31+$S$16)))</f>
        <v/>
      </c>
      <c r="V31">
        <f>IF(AND(MOD(17,$S$17)=0,MOD((INT(17/$S$17)+1)-1,$S$13/5)=0),TEXT(INDEX($T$4:$T$53,(INT(17/$S$17)+1)),"#,##0"),"")</f>
        <v/>
      </c>
      <c r="W31">
        <f>IF(MOD(17,$S$17)=$S$17-1,0,INDEX($U$4:$U$53,(INT(17/$S$17)+1)))</f>
        <v/>
      </c>
      <c r="X31">
        <f>IFERROR(IF(AND($Z$17&gt;=$S$14,$Z$17&lt;=$S$15),10+0.5+100*($Z$17-$S$14)/($S$15-$S$14),NA()),NA())</f>
        <v/>
      </c>
      <c r="Y31">
        <f>IF(ISNA($X$31),NA(),MAX($W$4:$W$123))</f>
        <v/>
      </c>
      <c r="AB31" t="n">
        <v>4050</v>
      </c>
      <c r="AC31" t="n">
        <v>4125</v>
      </c>
      <c r="AD31" t="n">
        <v>38</v>
      </c>
      <c r="AG31">
        <f>IF(28&lt;=$AF$13,$AF$14+(28-1)*$AF$16,"")</f>
        <v/>
      </c>
      <c r="AH31">
        <f>IF(28&gt;$AF$13,"",SUMIFS($AD$4:$AD$203,$AC$4:$AC$203,"&gt;="&amp;$AG$31,$AC$4:$AC$203,IF(28=$AF$13,"&lt;=","&lt;")&amp;($AG$31+$AF$16)))</f>
        <v/>
      </c>
      <c r="AI31">
        <f>IF(AND(MOD(17,$AF$17)=0,MOD((INT(17/$AF$17)+1)-1,$AF$13/5)=0),TEXT(INDEX($AG$4:$AG$53,(INT(17/$AF$17)+1)),"#,##0"),"")</f>
        <v/>
      </c>
      <c r="AJ31">
        <f>IF(MOD(17,$AF$17)=$AF$17-1,0,INDEX($AH$4:$AH$53,(INT(17/$AF$17)+1)))</f>
        <v/>
      </c>
      <c r="AK31">
        <f>IFERROR(IF(AND($AM$17&gt;=$AF$14,$AM$17&lt;=$AF$15),10+0.5+100*($AM$17-$AF$14)/($AF$15-$AF$14),NA()),NA())</f>
        <v/>
      </c>
      <c r="AL31">
        <f>IF(ISNA($AK$31),NA(),MAX($AJ$4:$AJ$123))</f>
        <v/>
      </c>
    </row>
    <row r="32">
      <c r="B32" t="n">
        <v>592</v>
      </c>
      <c r="C32" t="n">
        <v>592.75</v>
      </c>
      <c r="D32" t="n">
        <v>13</v>
      </c>
      <c r="G32">
        <f>IF(29&lt;=$F$13,$F$14+(29-1)*$F$16,"")</f>
        <v/>
      </c>
      <c r="H32">
        <f>IF(29&gt;$F$13,"",SUMIFS($D$4:$D$203,$C$4:$C$203,"&gt;="&amp;$G$32,$C$4:$C$203,IF(29=$F$13,"&lt;=","&lt;")&amp;($G$32+$F$16)))</f>
        <v/>
      </c>
      <c r="I32">
        <f>IF(AND(MOD(18,$F$17)=0,MOD((INT(18/$F$17)+1)-1,$F$13/5)=0),TEXT(INDEX($G$4:$G$53,(INT(18/$F$17)+1)),"#,##0"),"")</f>
        <v/>
      </c>
      <c r="J32">
        <f>IF(MOD(18,$F$17)=$F$17-1,0,INDEX($H$4:$H$53,(INT(18/$F$17)+1)))</f>
        <v/>
      </c>
      <c r="K32">
        <f>IFERROR(IF(AND($M$18&gt;=$F$14,$M$18&lt;=$F$15),10+0.5+100*($M$18-$F$14)/($F$15-$F$14),NA()),NA())</f>
        <v/>
      </c>
      <c r="L32">
        <f>IF(ISNA($K$32),NA(),0)</f>
        <v/>
      </c>
      <c r="O32" t="n">
        <v>8400</v>
      </c>
      <c r="P32" t="n">
        <v>8550</v>
      </c>
      <c r="Q32" t="n">
        <v>50</v>
      </c>
      <c r="T32">
        <f>IF(29&lt;=$S$13,$S$14+(29-1)*$S$16,"")</f>
        <v/>
      </c>
      <c r="U32">
        <f>IF(29&gt;$S$13,"",SUMIFS($Q$4:$Q$203,$P$4:$P$203,"&gt;="&amp;$T$32,$P$4:$P$203,IF(29=$S$13,"&lt;=","&lt;")&amp;($T$32+$S$16)))</f>
        <v/>
      </c>
      <c r="V32">
        <f>IF(AND(MOD(18,$S$17)=0,MOD((INT(18/$S$17)+1)-1,$S$13/5)=0),TEXT(INDEX($T$4:$T$53,(INT(18/$S$17)+1)),"#,##0"),"")</f>
        <v/>
      </c>
      <c r="W32">
        <f>IF(MOD(18,$S$17)=$S$17-1,0,INDEX($U$4:$U$53,(INT(18/$S$17)+1)))</f>
        <v/>
      </c>
      <c r="X32">
        <f>IFERROR(IF(AND($Z$18&gt;=$S$14,$Z$18&lt;=$S$15),10+0.5+100*($Z$18-$S$14)/($S$15-$S$14),NA()),NA())</f>
        <v/>
      </c>
      <c r="Y32">
        <f>IF(ISNA($X$32),NA(),0)</f>
        <v/>
      </c>
      <c r="AB32" t="n">
        <v>4200</v>
      </c>
      <c r="AC32" t="n">
        <v>4275</v>
      </c>
      <c r="AD32" t="n">
        <v>41</v>
      </c>
      <c r="AG32">
        <f>IF(29&lt;=$AF$13,$AF$14+(29-1)*$AF$16,"")</f>
        <v/>
      </c>
      <c r="AH32">
        <f>IF(29&gt;$AF$13,"",SUMIFS($AD$4:$AD$203,$AC$4:$AC$203,"&gt;="&amp;$AG$32,$AC$4:$AC$203,IF(29=$AF$13,"&lt;=","&lt;")&amp;($AG$32+$AF$16)))</f>
        <v/>
      </c>
      <c r="AI32">
        <f>IF(AND(MOD(18,$AF$17)=0,MOD((INT(18/$AF$17)+1)-1,$AF$13/5)=0),TEXT(INDEX($AG$4:$AG$53,(INT(18/$AF$17)+1)),"#,##0"),"")</f>
        <v/>
      </c>
      <c r="AJ32">
        <f>IF(MOD(18,$AF$17)=$AF$17-1,0,INDEX($AH$4:$AH$53,(INT(18/$AF$17)+1)))</f>
        <v/>
      </c>
      <c r="AK32">
        <f>IFERROR(IF(AND($AM$18&gt;=$AF$14,$AM$18&lt;=$AF$15),10+0.5+100*($AM$18-$AF$14)/($AF$15-$AF$14),NA()),NA())</f>
        <v/>
      </c>
      <c r="AL32">
        <f>IF(ISNA($AK$32),NA(),0)</f>
        <v/>
      </c>
    </row>
    <row r="33">
      <c r="B33" t="n">
        <v>593.5</v>
      </c>
      <c r="C33" t="n">
        <v>594.25</v>
      </c>
      <c r="D33" t="n">
        <v>8</v>
      </c>
      <c r="G33">
        <f>IF(30&lt;=$F$13,$F$14+(30-1)*$F$16,"")</f>
        <v/>
      </c>
      <c r="H33">
        <f>IF(30&gt;$F$13,"",SUMIFS($D$4:$D$203,$C$4:$C$203,"&gt;="&amp;$G$33,$C$4:$C$203,IF(30=$F$13,"&lt;=","&lt;")&amp;($G$33+$F$16)))</f>
        <v/>
      </c>
      <c r="I33">
        <f>IF(AND(MOD(19,$F$17)=0,MOD((INT(19/$F$17)+1)-1,$F$13/5)=0),TEXT(INDEX($G$4:$G$53,(INT(19/$F$17)+1)),"#,##0"),"")</f>
        <v/>
      </c>
      <c r="J33">
        <f>IF(MOD(19,$F$17)=$F$17-1,0,INDEX($H$4:$H$53,(INT(19/$F$17)+1)))</f>
        <v/>
      </c>
      <c r="K33">
        <f>IFERROR(IF(AND($M$18&gt;=$F$14,$M$18&lt;=$F$15),10+0.5+100*($M$18-$F$14)/($F$15-$F$14),NA()),NA())</f>
        <v/>
      </c>
      <c r="L33">
        <f>IF(ISNA($K$33),NA(),MAX($J$4:$J$123))</f>
        <v/>
      </c>
      <c r="O33" t="n">
        <v>8700</v>
      </c>
      <c r="P33" t="n">
        <v>8850</v>
      </c>
      <c r="Q33" t="n">
        <v>42</v>
      </c>
      <c r="T33">
        <f>IF(30&lt;=$S$13,$S$14+(30-1)*$S$16,"")</f>
        <v/>
      </c>
      <c r="U33">
        <f>IF(30&gt;$S$13,"",SUMIFS($Q$4:$Q$203,$P$4:$P$203,"&gt;="&amp;$T$33,$P$4:$P$203,IF(30=$S$13,"&lt;=","&lt;")&amp;($T$33+$S$16)))</f>
        <v/>
      </c>
      <c r="V33">
        <f>IF(AND(MOD(19,$S$17)=0,MOD((INT(19/$S$17)+1)-1,$S$13/5)=0),TEXT(INDEX($T$4:$T$53,(INT(19/$S$17)+1)),"#,##0"),"")</f>
        <v/>
      </c>
      <c r="W33">
        <f>IF(MOD(19,$S$17)=$S$17-1,0,INDEX($U$4:$U$53,(INT(19/$S$17)+1)))</f>
        <v/>
      </c>
      <c r="X33">
        <f>IFERROR(IF(AND($Z$18&gt;=$S$14,$Z$18&lt;=$S$15),10+0.5+100*($Z$18-$S$14)/($S$15-$S$14),NA()),NA())</f>
        <v/>
      </c>
      <c r="Y33">
        <f>IF(ISNA($X$33),NA(),MAX($W$4:$W$123))</f>
        <v/>
      </c>
      <c r="AB33" t="n">
        <v>4350</v>
      </c>
      <c r="AC33" t="n">
        <v>4425</v>
      </c>
      <c r="AD33" t="n">
        <v>50</v>
      </c>
      <c r="AG33">
        <f>IF(30&lt;=$AF$13,$AF$14+(30-1)*$AF$16,"")</f>
        <v/>
      </c>
      <c r="AH33">
        <f>IF(30&gt;$AF$13,"",SUMIFS($AD$4:$AD$203,$AC$4:$AC$203,"&gt;="&amp;$AG$33,$AC$4:$AC$203,IF(30=$AF$13,"&lt;=","&lt;")&amp;($AG$33+$AF$16)))</f>
        <v/>
      </c>
      <c r="AI33">
        <f>IF(AND(MOD(19,$AF$17)=0,MOD((INT(19/$AF$17)+1)-1,$AF$13/5)=0),TEXT(INDEX($AG$4:$AG$53,(INT(19/$AF$17)+1)),"#,##0"),"")</f>
        <v/>
      </c>
      <c r="AJ33">
        <f>IF(MOD(19,$AF$17)=$AF$17-1,0,INDEX($AH$4:$AH$53,(INT(19/$AF$17)+1)))</f>
        <v/>
      </c>
      <c r="AK33">
        <f>IFERROR(IF(AND($AM$18&gt;=$AF$14,$AM$18&lt;=$AF$15),10+0.5+100*($AM$18-$AF$14)/($AF$15-$AF$14),NA()),NA())</f>
        <v/>
      </c>
      <c r="AL33">
        <f>IF(ISNA($AK$33),NA(),MAX($AJ$4:$AJ$123))</f>
        <v/>
      </c>
    </row>
    <row r="34">
      <c r="B34" t="n">
        <v>595</v>
      </c>
      <c r="C34" t="n">
        <v>595.75</v>
      </c>
      <c r="D34" t="n">
        <v>17</v>
      </c>
      <c r="G34">
        <f>IF(31&lt;=$F$13,$F$14+(31-1)*$F$16,"")</f>
        <v/>
      </c>
      <c r="H34">
        <f>IF(31&gt;$F$13,"",SUMIFS($D$4:$D$203,$C$4:$C$203,"&gt;="&amp;$G$34,$C$4:$C$203,IF(31=$F$13,"&lt;=","&lt;")&amp;($G$34+$F$16)))</f>
        <v/>
      </c>
      <c r="I34">
        <f>IF(AND(MOD(20,$F$17)=0,MOD((INT(20/$F$17)+1)-1,$F$13/5)=0),TEXT(INDEX($G$4:$G$53,(INT(20/$F$17)+1)),"#,##0"),"")</f>
        <v/>
      </c>
      <c r="J34">
        <f>IF(MOD(20,$F$17)=$F$17-1,0,INDEX($H$4:$H$53,(INT(20/$F$17)+1)))</f>
        <v/>
      </c>
      <c r="K34">
        <f>IFERROR(IF(AND($M$19&gt;=$F$14,$M$19&lt;=$F$15),10+0.5+100*($M$19-$F$14)/($F$15-$F$14),NA()),NA())</f>
        <v/>
      </c>
      <c r="L34">
        <f>IF(ISNA($K$34),NA(),0)</f>
        <v/>
      </c>
      <c r="O34" t="n">
        <v>9000</v>
      </c>
      <c r="P34" t="n">
        <v>9150</v>
      </c>
      <c r="Q34" t="n">
        <v>41</v>
      </c>
      <c r="T34">
        <f>IF(31&lt;=$S$13,$S$14+(31-1)*$S$16,"")</f>
        <v/>
      </c>
      <c r="U34">
        <f>IF(31&gt;$S$13,"",SUMIFS($Q$4:$Q$203,$P$4:$P$203,"&gt;="&amp;$T$34,$P$4:$P$203,IF(31=$S$13,"&lt;=","&lt;")&amp;($T$34+$S$16)))</f>
        <v/>
      </c>
      <c r="V34">
        <f>IF(AND(MOD(20,$S$17)=0,MOD((INT(20/$S$17)+1)-1,$S$13/5)=0),TEXT(INDEX($T$4:$T$53,(INT(20/$S$17)+1)),"#,##0"),"")</f>
        <v/>
      </c>
      <c r="W34">
        <f>IF(MOD(20,$S$17)=$S$17-1,0,INDEX($U$4:$U$53,(INT(20/$S$17)+1)))</f>
        <v/>
      </c>
      <c r="X34">
        <f>IFERROR(IF(AND($Z$19&gt;=$S$14,$Z$19&lt;=$S$15),10+0.5+100*($Z$19-$S$14)/($S$15-$S$14),NA()),NA())</f>
        <v/>
      </c>
      <c r="Y34">
        <f>IF(ISNA($X$34),NA(),0)</f>
        <v/>
      </c>
      <c r="AB34" t="n">
        <v>4500</v>
      </c>
      <c r="AC34" t="n">
        <v>4575</v>
      </c>
      <c r="AD34" t="n">
        <v>39</v>
      </c>
      <c r="AG34">
        <f>IF(31&lt;=$AF$13,$AF$14+(31-1)*$AF$16,"")</f>
        <v/>
      </c>
      <c r="AH34">
        <f>IF(31&gt;$AF$13,"",SUMIFS($AD$4:$AD$203,$AC$4:$AC$203,"&gt;="&amp;$AG$34,$AC$4:$AC$203,IF(31=$AF$13,"&lt;=","&lt;")&amp;($AG$34+$AF$16)))</f>
        <v/>
      </c>
      <c r="AI34">
        <f>IF(AND(MOD(20,$AF$17)=0,MOD((INT(20/$AF$17)+1)-1,$AF$13/5)=0),TEXT(INDEX($AG$4:$AG$53,(INT(20/$AF$17)+1)),"#,##0"),"")</f>
        <v/>
      </c>
      <c r="AJ34">
        <f>IF(MOD(20,$AF$17)=$AF$17-1,0,INDEX($AH$4:$AH$53,(INT(20/$AF$17)+1)))</f>
        <v/>
      </c>
      <c r="AK34">
        <f>IFERROR(IF(AND($AM$19&gt;=$AF$14,$AM$19&lt;=$AF$15),10+0.5+100*($AM$19-$AF$14)/($AF$15-$AF$14),NA()),NA())</f>
        <v/>
      </c>
      <c r="AL34">
        <f>IF(ISNA($AK$34),NA(),0)</f>
        <v/>
      </c>
    </row>
    <row r="35">
      <c r="B35" t="n">
        <v>596.5</v>
      </c>
      <c r="C35" t="n">
        <v>597.25</v>
      </c>
      <c r="D35" t="n">
        <v>9</v>
      </c>
      <c r="G35">
        <f>IF(32&lt;=$F$13,$F$14+(32-1)*$F$16,"")</f>
        <v/>
      </c>
      <c r="H35">
        <f>IF(32&gt;$F$13,"",SUMIFS($D$4:$D$203,$C$4:$C$203,"&gt;="&amp;$G$35,$C$4:$C$203,IF(32=$F$13,"&lt;=","&lt;")&amp;($G$35+$F$16)))</f>
        <v/>
      </c>
      <c r="I35">
        <f>IF(AND(MOD(21,$F$17)=0,MOD((INT(21/$F$17)+1)-1,$F$13/5)=0),TEXT(INDEX($G$4:$G$53,(INT(21/$F$17)+1)),"#,##0"),"")</f>
        <v/>
      </c>
      <c r="J35">
        <f>IF(MOD(21,$F$17)=$F$17-1,0,INDEX($H$4:$H$53,(INT(21/$F$17)+1)))</f>
        <v/>
      </c>
      <c r="K35">
        <f>IFERROR(IF(AND($M$19&gt;=$F$14,$M$19&lt;=$F$15),10+0.5+100*($M$19-$F$14)/($F$15-$F$14),NA()),NA())</f>
        <v/>
      </c>
      <c r="L35">
        <f>IF(ISNA($K$35),NA(),MAX($J$4:$J$123))</f>
        <v/>
      </c>
      <c r="O35" t="n">
        <v>9300</v>
      </c>
      <c r="P35" t="n">
        <v>9450</v>
      </c>
      <c r="Q35" t="n">
        <v>46</v>
      </c>
      <c r="T35">
        <f>IF(32&lt;=$S$13,$S$14+(32-1)*$S$16,"")</f>
        <v/>
      </c>
      <c r="U35">
        <f>IF(32&gt;$S$13,"",SUMIFS($Q$4:$Q$203,$P$4:$P$203,"&gt;="&amp;$T$35,$P$4:$P$203,IF(32=$S$13,"&lt;=","&lt;")&amp;($T$35+$S$16)))</f>
        <v/>
      </c>
      <c r="V35">
        <f>IF(AND(MOD(21,$S$17)=0,MOD((INT(21/$S$17)+1)-1,$S$13/5)=0),TEXT(INDEX($T$4:$T$53,(INT(21/$S$17)+1)),"#,##0"),"")</f>
        <v/>
      </c>
      <c r="W35">
        <f>IF(MOD(21,$S$17)=$S$17-1,0,INDEX($U$4:$U$53,(INT(21/$S$17)+1)))</f>
        <v/>
      </c>
      <c r="X35">
        <f>IFERROR(IF(AND($Z$19&gt;=$S$14,$Z$19&lt;=$S$15),10+0.5+100*($Z$19-$S$14)/($S$15-$S$14),NA()),NA())</f>
        <v/>
      </c>
      <c r="Y35">
        <f>IF(ISNA($X$35),NA(),MAX($W$4:$W$123))</f>
        <v/>
      </c>
      <c r="AB35" t="n">
        <v>4650</v>
      </c>
      <c r="AC35" t="n">
        <v>4725</v>
      </c>
      <c r="AD35" t="n">
        <v>53</v>
      </c>
      <c r="AG35">
        <f>IF(32&lt;=$AF$13,$AF$14+(32-1)*$AF$16,"")</f>
        <v/>
      </c>
      <c r="AH35">
        <f>IF(32&gt;$AF$13,"",SUMIFS($AD$4:$AD$203,$AC$4:$AC$203,"&gt;="&amp;$AG$35,$AC$4:$AC$203,IF(32=$AF$13,"&lt;=","&lt;")&amp;($AG$35+$AF$16)))</f>
        <v/>
      </c>
      <c r="AI35">
        <f>IF(AND(MOD(21,$AF$17)=0,MOD((INT(21/$AF$17)+1)-1,$AF$13/5)=0),TEXT(INDEX($AG$4:$AG$53,(INT(21/$AF$17)+1)),"#,##0"),"")</f>
        <v/>
      </c>
      <c r="AJ35">
        <f>IF(MOD(21,$AF$17)=$AF$17-1,0,INDEX($AH$4:$AH$53,(INT(21/$AF$17)+1)))</f>
        <v/>
      </c>
      <c r="AK35">
        <f>IFERROR(IF(AND($AM$19&gt;=$AF$14,$AM$19&lt;=$AF$15),10+0.5+100*($AM$19-$AF$14)/($AF$15-$AF$14),NA()),NA())</f>
        <v/>
      </c>
      <c r="AL35">
        <f>IF(ISNA($AK$35),NA(),MAX($AJ$4:$AJ$123))</f>
        <v/>
      </c>
    </row>
    <row r="36">
      <c r="B36" t="n">
        <v>598</v>
      </c>
      <c r="C36" t="n">
        <v>598.75</v>
      </c>
      <c r="D36" t="n">
        <v>25</v>
      </c>
      <c r="G36">
        <f>IF(33&lt;=$F$13,$F$14+(33-1)*$F$16,"")</f>
        <v/>
      </c>
      <c r="H36">
        <f>IF(33&gt;$F$13,"",SUMIFS($D$4:$D$203,$C$4:$C$203,"&gt;="&amp;$G$36,$C$4:$C$203,IF(33=$F$13,"&lt;=","&lt;")&amp;($G$36+$F$16)))</f>
        <v/>
      </c>
      <c r="I36">
        <f>IF(AND(MOD(22,$F$17)=0,MOD((INT(22/$F$17)+1)-1,$F$13/5)=0),TEXT(INDEX($G$4:$G$53,(INT(22/$F$17)+1)),"#,##0"),"")</f>
        <v/>
      </c>
      <c r="J36">
        <f>IF(MOD(22,$F$17)=$F$17-1,0,INDEX($H$4:$H$53,(INT(22/$F$17)+1)))</f>
        <v/>
      </c>
      <c r="K36">
        <f>IFERROR(IF(AND($M$20&gt;=$F$14,$M$20&lt;=$F$15),10+0.5+100*($M$20-$F$14)/($F$15-$F$14),NA()),NA())</f>
        <v/>
      </c>
      <c r="L36">
        <f>IF(ISNA($K$36),NA(),0)</f>
        <v/>
      </c>
      <c r="O36" t="n">
        <v>9600</v>
      </c>
      <c r="P36" t="n">
        <v>9750</v>
      </c>
      <c r="Q36" t="n">
        <v>51</v>
      </c>
      <c r="T36">
        <f>IF(33&lt;=$S$13,$S$14+(33-1)*$S$16,"")</f>
        <v/>
      </c>
      <c r="U36">
        <f>IF(33&gt;$S$13,"",SUMIFS($Q$4:$Q$203,$P$4:$P$203,"&gt;="&amp;$T$36,$P$4:$P$203,IF(33=$S$13,"&lt;=","&lt;")&amp;($T$36+$S$16)))</f>
        <v/>
      </c>
      <c r="V36">
        <f>IF(AND(MOD(22,$S$17)=0,MOD((INT(22/$S$17)+1)-1,$S$13/5)=0),TEXT(INDEX($T$4:$T$53,(INT(22/$S$17)+1)),"#,##0"),"")</f>
        <v/>
      </c>
      <c r="W36">
        <f>IF(MOD(22,$S$17)=$S$17-1,0,INDEX($U$4:$U$53,(INT(22/$S$17)+1)))</f>
        <v/>
      </c>
      <c r="X36">
        <f>IFERROR(IF(AND($Z$20&gt;=$S$14,$Z$20&lt;=$S$15),10+0.5+100*($Z$20-$S$14)/($S$15-$S$14),NA()),NA())</f>
        <v/>
      </c>
      <c r="Y36">
        <f>IF(ISNA($X$36),NA(),0)</f>
        <v/>
      </c>
      <c r="AB36" t="n">
        <v>4800</v>
      </c>
      <c r="AC36" t="n">
        <v>4875</v>
      </c>
      <c r="AD36" t="n">
        <v>45</v>
      </c>
      <c r="AG36">
        <f>IF(33&lt;=$AF$13,$AF$14+(33-1)*$AF$16,"")</f>
        <v/>
      </c>
      <c r="AH36">
        <f>IF(33&gt;$AF$13,"",SUMIFS($AD$4:$AD$203,$AC$4:$AC$203,"&gt;="&amp;$AG$36,$AC$4:$AC$203,IF(33=$AF$13,"&lt;=","&lt;")&amp;($AG$36+$AF$16)))</f>
        <v/>
      </c>
      <c r="AI36">
        <f>IF(AND(MOD(22,$AF$17)=0,MOD((INT(22/$AF$17)+1)-1,$AF$13/5)=0),TEXT(INDEX($AG$4:$AG$53,(INT(22/$AF$17)+1)),"#,##0"),"")</f>
        <v/>
      </c>
      <c r="AJ36">
        <f>IF(MOD(22,$AF$17)=$AF$17-1,0,INDEX($AH$4:$AH$53,(INT(22/$AF$17)+1)))</f>
        <v/>
      </c>
      <c r="AK36">
        <f>IFERROR(IF(AND($AM$20&gt;=$AF$14,$AM$20&lt;=$AF$15),10+0.5+100*($AM$20-$AF$14)/($AF$15-$AF$14),NA()),NA())</f>
        <v/>
      </c>
      <c r="AL36">
        <f>IF(ISNA($AK$36),NA(),0)</f>
        <v/>
      </c>
    </row>
    <row r="37">
      <c r="B37" t="n">
        <v>599.5</v>
      </c>
      <c r="C37" t="n">
        <v>600.25</v>
      </c>
      <c r="D37" t="n">
        <v>12</v>
      </c>
      <c r="G37">
        <f>IF(34&lt;=$F$13,$F$14+(34-1)*$F$16,"")</f>
        <v/>
      </c>
      <c r="H37">
        <f>IF(34&gt;$F$13,"",SUMIFS($D$4:$D$203,$C$4:$C$203,"&gt;="&amp;$G$37,$C$4:$C$203,IF(34=$F$13,"&lt;=","&lt;")&amp;($G$37+$F$16)))</f>
        <v/>
      </c>
      <c r="I37">
        <f>IF(AND(MOD(23,$F$17)=0,MOD((INT(23/$F$17)+1)-1,$F$13/5)=0),TEXT(INDEX($G$4:$G$53,(INT(23/$F$17)+1)),"#,##0"),"")</f>
        <v/>
      </c>
      <c r="J37">
        <f>IF(MOD(23,$F$17)=$F$17-1,0,INDEX($H$4:$H$53,(INT(23/$F$17)+1)))</f>
        <v/>
      </c>
      <c r="K37">
        <f>IFERROR(IF(AND($M$20&gt;=$F$14,$M$20&lt;=$F$15),10+0.5+100*($M$20-$F$14)/($F$15-$F$14),NA()),NA())</f>
        <v/>
      </c>
      <c r="L37">
        <f>IF(ISNA($K$37),NA(),MAX($J$4:$J$123))</f>
        <v/>
      </c>
      <c r="O37" t="n">
        <v>9900</v>
      </c>
      <c r="P37" t="n">
        <v>10050</v>
      </c>
      <c r="Q37" t="n">
        <v>58</v>
      </c>
      <c r="T37">
        <f>IF(34&lt;=$S$13,$S$14+(34-1)*$S$16,"")</f>
        <v/>
      </c>
      <c r="U37">
        <f>IF(34&gt;$S$13,"",SUMIFS($Q$4:$Q$203,$P$4:$P$203,"&gt;="&amp;$T$37,$P$4:$P$203,IF(34=$S$13,"&lt;=","&lt;")&amp;($T$37+$S$16)))</f>
        <v/>
      </c>
      <c r="V37">
        <f>IF(AND(MOD(23,$S$17)=0,MOD((INT(23/$S$17)+1)-1,$S$13/5)=0),TEXT(INDEX($T$4:$T$53,(INT(23/$S$17)+1)),"#,##0"),"")</f>
        <v/>
      </c>
      <c r="W37">
        <f>IF(MOD(23,$S$17)=$S$17-1,0,INDEX($U$4:$U$53,(INT(23/$S$17)+1)))</f>
        <v/>
      </c>
      <c r="X37">
        <f>IFERROR(IF(AND($Z$20&gt;=$S$14,$Z$20&lt;=$S$15),10+0.5+100*($Z$20-$S$14)/($S$15-$S$14),NA()),NA())</f>
        <v/>
      </c>
      <c r="Y37">
        <f>IF(ISNA($X$37),NA(),MAX($W$4:$W$123))</f>
        <v/>
      </c>
      <c r="AB37" t="n">
        <v>4950</v>
      </c>
      <c r="AC37" t="n">
        <v>5025</v>
      </c>
      <c r="AD37" t="n">
        <v>52</v>
      </c>
      <c r="AG37">
        <f>IF(34&lt;=$AF$13,$AF$14+(34-1)*$AF$16,"")</f>
        <v/>
      </c>
      <c r="AH37">
        <f>IF(34&gt;$AF$13,"",SUMIFS($AD$4:$AD$203,$AC$4:$AC$203,"&gt;="&amp;$AG$37,$AC$4:$AC$203,IF(34=$AF$13,"&lt;=","&lt;")&amp;($AG$37+$AF$16)))</f>
        <v/>
      </c>
      <c r="AI37">
        <f>IF(AND(MOD(23,$AF$17)=0,MOD((INT(23/$AF$17)+1)-1,$AF$13/5)=0),TEXT(INDEX($AG$4:$AG$53,(INT(23/$AF$17)+1)),"#,##0"),"")</f>
        <v/>
      </c>
      <c r="AJ37">
        <f>IF(MOD(23,$AF$17)=$AF$17-1,0,INDEX($AH$4:$AH$53,(INT(23/$AF$17)+1)))</f>
        <v/>
      </c>
      <c r="AK37">
        <f>IFERROR(IF(AND($AM$20&gt;=$AF$14,$AM$20&lt;=$AF$15),10+0.5+100*($AM$20-$AF$14)/($AF$15-$AF$14),NA()),NA())</f>
        <v/>
      </c>
      <c r="AL37">
        <f>IF(ISNA($AK$37),NA(),MAX($AJ$4:$AJ$123))</f>
        <v/>
      </c>
    </row>
    <row r="38">
      <c r="B38" t="n">
        <v>601</v>
      </c>
      <c r="C38" t="n">
        <v>601.75</v>
      </c>
      <c r="D38" t="n">
        <v>25</v>
      </c>
      <c r="G38">
        <f>IF(35&lt;=$F$13,$F$14+(35-1)*$F$16,"")</f>
        <v/>
      </c>
      <c r="H38">
        <f>IF(35&gt;$F$13,"",SUMIFS($D$4:$D$203,$C$4:$C$203,"&gt;="&amp;$G$38,$C$4:$C$203,IF(35=$F$13,"&lt;=","&lt;")&amp;($G$38+$F$16)))</f>
        <v/>
      </c>
      <c r="I38">
        <f>IF(AND(MOD(24,$F$17)=0,MOD((INT(24/$F$17)+1)-1,$F$13/5)=0),TEXT(INDEX($G$4:$G$53,(INT(24/$F$17)+1)),"#,##0"),"")</f>
        <v/>
      </c>
      <c r="J38">
        <f>IF(MOD(24,$F$17)=$F$17-1,0,INDEX($H$4:$H$53,(INT(24/$F$17)+1)))</f>
        <v/>
      </c>
      <c r="K38">
        <f>IFERROR(IF(AND($M$21&gt;=$F$14,$M$21&lt;=$F$15),10+0.5+100*($M$21-$F$14)/($F$15-$F$14),NA()),NA())</f>
        <v/>
      </c>
      <c r="L38">
        <f>IF(ISNA($K$38),NA(),0)</f>
        <v/>
      </c>
      <c r="O38" t="n">
        <v>10200</v>
      </c>
      <c r="P38" t="n">
        <v>10350</v>
      </c>
      <c r="Q38" t="n">
        <v>40</v>
      </c>
      <c r="T38">
        <f>IF(35&lt;=$S$13,$S$14+(35-1)*$S$16,"")</f>
        <v/>
      </c>
      <c r="U38">
        <f>IF(35&gt;$S$13,"",SUMIFS($Q$4:$Q$203,$P$4:$P$203,"&gt;="&amp;$T$38,$P$4:$P$203,IF(35=$S$13,"&lt;=","&lt;")&amp;($T$38+$S$16)))</f>
        <v/>
      </c>
      <c r="V38">
        <f>IF(AND(MOD(24,$S$17)=0,MOD((INT(24/$S$17)+1)-1,$S$13/5)=0),TEXT(INDEX($T$4:$T$53,(INT(24/$S$17)+1)),"#,##0"),"")</f>
        <v/>
      </c>
      <c r="W38">
        <f>IF(MOD(24,$S$17)=$S$17-1,0,INDEX($U$4:$U$53,(INT(24/$S$17)+1)))</f>
        <v/>
      </c>
      <c r="X38">
        <f>IFERROR(IF(AND($Z$21&gt;=$S$14,$Z$21&lt;=$S$15),10+0.5+100*($Z$21-$S$14)/($S$15-$S$14),NA()),NA())</f>
        <v/>
      </c>
      <c r="Y38">
        <f>IF(ISNA($X$38),NA(),0)</f>
        <v/>
      </c>
      <c r="AB38" t="n">
        <v>5100</v>
      </c>
      <c r="AC38" t="n">
        <v>5175</v>
      </c>
      <c r="AD38" t="n">
        <v>46</v>
      </c>
      <c r="AG38">
        <f>IF(35&lt;=$AF$13,$AF$14+(35-1)*$AF$16,"")</f>
        <v/>
      </c>
      <c r="AH38">
        <f>IF(35&gt;$AF$13,"",SUMIFS($AD$4:$AD$203,$AC$4:$AC$203,"&gt;="&amp;$AG$38,$AC$4:$AC$203,IF(35=$AF$13,"&lt;=","&lt;")&amp;($AG$38+$AF$16)))</f>
        <v/>
      </c>
      <c r="AI38">
        <f>IF(AND(MOD(24,$AF$17)=0,MOD((INT(24/$AF$17)+1)-1,$AF$13/5)=0),TEXT(INDEX($AG$4:$AG$53,(INT(24/$AF$17)+1)),"#,##0"),"")</f>
        <v/>
      </c>
      <c r="AJ38">
        <f>IF(MOD(24,$AF$17)=$AF$17-1,0,INDEX($AH$4:$AH$53,(INT(24/$AF$17)+1)))</f>
        <v/>
      </c>
      <c r="AK38">
        <f>IFERROR(IF(AND($AM$21&gt;=$AF$14,$AM$21&lt;=$AF$15),10+0.5+100*($AM$21-$AF$14)/($AF$15-$AF$14),NA()),NA())</f>
        <v/>
      </c>
      <c r="AL38">
        <f>IF(ISNA($AK$38),NA(),0)</f>
        <v/>
      </c>
    </row>
    <row r="39">
      <c r="B39" t="n">
        <v>602.5</v>
      </c>
      <c r="C39" t="n">
        <v>603.25</v>
      </c>
      <c r="D39" t="n">
        <v>12</v>
      </c>
      <c r="G39">
        <f>IF(36&lt;=$F$13,$F$14+(36-1)*$F$16,"")</f>
        <v/>
      </c>
      <c r="H39">
        <f>IF(36&gt;$F$13,"",SUMIFS($D$4:$D$203,$C$4:$C$203,"&gt;="&amp;$G$39,$C$4:$C$203,IF(36=$F$13,"&lt;=","&lt;")&amp;($G$39+$F$16)))</f>
        <v/>
      </c>
      <c r="I39">
        <f>IF(AND(MOD(25,$F$17)=0,MOD((INT(25/$F$17)+1)-1,$F$13/5)=0),TEXT(INDEX($G$4:$G$53,(INT(25/$F$17)+1)),"#,##0"),"")</f>
        <v/>
      </c>
      <c r="J39">
        <f>IF(MOD(25,$F$17)=$F$17-1,0,INDEX($H$4:$H$53,(INT(25/$F$17)+1)))</f>
        <v/>
      </c>
      <c r="K39">
        <f>IFERROR(IF(AND($M$21&gt;=$F$14,$M$21&lt;=$F$15),10+0.5+100*($M$21-$F$14)/($F$15-$F$14),NA()),NA())</f>
        <v/>
      </c>
      <c r="L39">
        <f>IF(ISNA($K$39),NA(),MAX($J$4:$J$123))</f>
        <v/>
      </c>
      <c r="O39" t="n">
        <v>10500</v>
      </c>
      <c r="P39" t="n">
        <v>10650</v>
      </c>
      <c r="Q39" t="n">
        <v>56</v>
      </c>
      <c r="T39">
        <f>IF(36&lt;=$S$13,$S$14+(36-1)*$S$16,"")</f>
        <v/>
      </c>
      <c r="U39">
        <f>IF(36&gt;$S$13,"",SUMIFS($Q$4:$Q$203,$P$4:$P$203,"&gt;="&amp;$T$39,$P$4:$P$203,IF(36=$S$13,"&lt;=","&lt;")&amp;($T$39+$S$16)))</f>
        <v/>
      </c>
      <c r="V39">
        <f>IF(AND(MOD(25,$S$17)=0,MOD((INT(25/$S$17)+1)-1,$S$13/5)=0),TEXT(INDEX($T$4:$T$53,(INT(25/$S$17)+1)),"#,##0"),"")</f>
        <v/>
      </c>
      <c r="W39">
        <f>IF(MOD(25,$S$17)=$S$17-1,0,INDEX($U$4:$U$53,(INT(25/$S$17)+1)))</f>
        <v/>
      </c>
      <c r="X39">
        <f>IFERROR(IF(AND($Z$21&gt;=$S$14,$Z$21&lt;=$S$15),10+0.5+100*($Z$21-$S$14)/($S$15-$S$14),NA()),NA())</f>
        <v/>
      </c>
      <c r="Y39">
        <f>IF(ISNA($X$39),NA(),MAX($W$4:$W$123))</f>
        <v/>
      </c>
      <c r="AB39" t="n">
        <v>5250</v>
      </c>
      <c r="AC39" t="n">
        <v>5325</v>
      </c>
      <c r="AD39" t="n">
        <v>54</v>
      </c>
      <c r="AG39">
        <f>IF(36&lt;=$AF$13,$AF$14+(36-1)*$AF$16,"")</f>
        <v/>
      </c>
      <c r="AH39">
        <f>IF(36&gt;$AF$13,"",SUMIFS($AD$4:$AD$203,$AC$4:$AC$203,"&gt;="&amp;$AG$39,$AC$4:$AC$203,IF(36=$AF$13,"&lt;=","&lt;")&amp;($AG$39+$AF$16)))</f>
        <v/>
      </c>
      <c r="AI39">
        <f>IF(AND(MOD(25,$AF$17)=0,MOD((INT(25/$AF$17)+1)-1,$AF$13/5)=0),TEXT(INDEX($AG$4:$AG$53,(INT(25/$AF$17)+1)),"#,##0"),"")</f>
        <v/>
      </c>
      <c r="AJ39">
        <f>IF(MOD(25,$AF$17)=$AF$17-1,0,INDEX($AH$4:$AH$53,(INT(25/$AF$17)+1)))</f>
        <v/>
      </c>
      <c r="AK39">
        <f>IFERROR(IF(AND($AM$21&gt;=$AF$14,$AM$21&lt;=$AF$15),10+0.5+100*($AM$21-$AF$14)/($AF$15-$AF$14),NA()),NA())</f>
        <v/>
      </c>
      <c r="AL39">
        <f>IF(ISNA($AK$39),NA(),MAX($AJ$4:$AJ$123))</f>
        <v/>
      </c>
    </row>
    <row r="40">
      <c r="B40" t="n">
        <v>604</v>
      </c>
      <c r="C40" t="n">
        <v>604.75</v>
      </c>
      <c r="D40" t="n">
        <v>24</v>
      </c>
      <c r="G40">
        <f>IF(37&lt;=$F$13,$F$14+(37-1)*$F$16,"")</f>
        <v/>
      </c>
      <c r="H40">
        <f>IF(37&gt;$F$13,"",SUMIFS($D$4:$D$203,$C$4:$C$203,"&gt;="&amp;$G$40,$C$4:$C$203,IF(37=$F$13,"&lt;=","&lt;")&amp;($G$40+$F$16)))</f>
        <v/>
      </c>
      <c r="I40">
        <f>IF(AND(MOD(26,$F$17)=0,MOD((INT(26/$F$17)+1)-1,$F$13/5)=0),TEXT(INDEX($G$4:$G$53,(INT(26/$F$17)+1)),"#,##0"),"")</f>
        <v/>
      </c>
      <c r="J40">
        <f>IF(MOD(26,$F$17)=$F$17-1,0,INDEX($H$4:$H$53,(INT(26/$F$17)+1)))</f>
        <v/>
      </c>
      <c r="K40">
        <f>IFERROR(IF(AND($M$22&gt;=$F$14,$M$22&lt;=$F$15),10+0.5+100*($M$22-$F$14)/($F$15-$F$14),NA()),NA())</f>
        <v/>
      </c>
      <c r="L40">
        <f>IF(ISNA($K$40),NA(),0)</f>
        <v/>
      </c>
      <c r="O40" t="n">
        <v>10800</v>
      </c>
      <c r="P40" t="n">
        <v>10950</v>
      </c>
      <c r="Q40" t="n">
        <v>41</v>
      </c>
      <c r="T40">
        <f>IF(37&lt;=$S$13,$S$14+(37-1)*$S$16,"")</f>
        <v/>
      </c>
      <c r="U40">
        <f>IF(37&gt;$S$13,"",SUMIFS($Q$4:$Q$203,$P$4:$P$203,"&gt;="&amp;$T$40,$P$4:$P$203,IF(37=$S$13,"&lt;=","&lt;")&amp;($T$40+$S$16)))</f>
        <v/>
      </c>
      <c r="V40">
        <f>IF(AND(MOD(26,$S$17)=0,MOD((INT(26/$S$17)+1)-1,$S$13/5)=0),TEXT(INDEX($T$4:$T$53,(INT(26/$S$17)+1)),"#,##0"),"")</f>
        <v/>
      </c>
      <c r="W40">
        <f>IF(MOD(26,$S$17)=$S$17-1,0,INDEX($U$4:$U$53,(INT(26/$S$17)+1)))</f>
        <v/>
      </c>
      <c r="X40">
        <f>IFERROR(IF(AND($Z$22&gt;=$S$14,$Z$22&lt;=$S$15),10+0.5+100*($Z$22-$S$14)/($S$15-$S$14),NA()),NA())</f>
        <v/>
      </c>
      <c r="Y40">
        <f>IF(ISNA($X$40),NA(),0)</f>
        <v/>
      </c>
      <c r="AB40" t="n">
        <v>5400</v>
      </c>
      <c r="AC40" t="n">
        <v>5475</v>
      </c>
      <c r="AD40" t="n">
        <v>56</v>
      </c>
      <c r="AG40">
        <f>IF(37&lt;=$AF$13,$AF$14+(37-1)*$AF$16,"")</f>
        <v/>
      </c>
      <c r="AH40">
        <f>IF(37&gt;$AF$13,"",SUMIFS($AD$4:$AD$203,$AC$4:$AC$203,"&gt;="&amp;$AG$40,$AC$4:$AC$203,IF(37=$AF$13,"&lt;=","&lt;")&amp;($AG$40+$AF$16)))</f>
        <v/>
      </c>
      <c r="AI40">
        <f>IF(AND(MOD(26,$AF$17)=0,MOD((INT(26/$AF$17)+1)-1,$AF$13/5)=0),TEXT(INDEX($AG$4:$AG$53,(INT(26/$AF$17)+1)),"#,##0"),"")</f>
        <v/>
      </c>
      <c r="AJ40">
        <f>IF(MOD(26,$AF$17)=$AF$17-1,0,INDEX($AH$4:$AH$53,(INT(26/$AF$17)+1)))</f>
        <v/>
      </c>
      <c r="AK40">
        <f>IFERROR(IF(AND($AM$22&gt;=$AF$14,$AM$22&lt;=$AF$15),10+0.5+100*($AM$22-$AF$14)/($AF$15-$AF$14),NA()),NA())</f>
        <v/>
      </c>
      <c r="AL40">
        <f>IF(ISNA($AK$40),NA(),0)</f>
        <v/>
      </c>
    </row>
    <row r="41">
      <c r="B41" t="n">
        <v>605.5</v>
      </c>
      <c r="C41" t="n">
        <v>606.25</v>
      </c>
      <c r="D41" t="n">
        <v>17</v>
      </c>
      <c r="G41">
        <f>IF(38&lt;=$F$13,$F$14+(38-1)*$F$16,"")</f>
        <v/>
      </c>
      <c r="H41">
        <f>IF(38&gt;$F$13,"",SUMIFS($D$4:$D$203,$C$4:$C$203,"&gt;="&amp;$G$41,$C$4:$C$203,IF(38=$F$13,"&lt;=","&lt;")&amp;($G$41+$F$16)))</f>
        <v/>
      </c>
      <c r="I41">
        <f>IF(AND(MOD(27,$F$17)=0,MOD((INT(27/$F$17)+1)-1,$F$13/5)=0),TEXT(INDEX($G$4:$G$53,(INT(27/$F$17)+1)),"#,##0"),"")</f>
        <v/>
      </c>
      <c r="J41">
        <f>IF(MOD(27,$F$17)=$F$17-1,0,INDEX($H$4:$H$53,(INT(27/$F$17)+1)))</f>
        <v/>
      </c>
      <c r="K41">
        <f>IFERROR(IF(AND($M$22&gt;=$F$14,$M$22&lt;=$F$15),10+0.5+100*($M$22-$F$14)/($F$15-$F$14),NA()),NA())</f>
        <v/>
      </c>
      <c r="L41">
        <f>IF(ISNA($K$41),NA(),MAX($J$4:$J$123))</f>
        <v/>
      </c>
      <c r="O41" t="n">
        <v>11100</v>
      </c>
      <c r="P41" t="n">
        <v>11250</v>
      </c>
      <c r="Q41" t="n">
        <v>50</v>
      </c>
      <c r="T41">
        <f>IF(38&lt;=$S$13,$S$14+(38-1)*$S$16,"")</f>
        <v/>
      </c>
      <c r="U41">
        <f>IF(38&gt;$S$13,"",SUMIFS($Q$4:$Q$203,$P$4:$P$203,"&gt;="&amp;$T$41,$P$4:$P$203,IF(38=$S$13,"&lt;=","&lt;")&amp;($T$41+$S$16)))</f>
        <v/>
      </c>
      <c r="V41">
        <f>IF(AND(MOD(27,$S$17)=0,MOD((INT(27/$S$17)+1)-1,$S$13/5)=0),TEXT(INDEX($T$4:$T$53,(INT(27/$S$17)+1)),"#,##0"),"")</f>
        <v/>
      </c>
      <c r="W41">
        <f>IF(MOD(27,$S$17)=$S$17-1,0,INDEX($U$4:$U$53,(INT(27/$S$17)+1)))</f>
        <v/>
      </c>
      <c r="X41">
        <f>IFERROR(IF(AND($Z$22&gt;=$S$14,$Z$22&lt;=$S$15),10+0.5+100*($Z$22-$S$14)/($S$15-$S$14),NA()),NA())</f>
        <v/>
      </c>
      <c r="Y41">
        <f>IF(ISNA($X$41),NA(),MAX($W$4:$W$123))</f>
        <v/>
      </c>
      <c r="AB41" t="n">
        <v>5550</v>
      </c>
      <c r="AC41" t="n">
        <v>5625</v>
      </c>
      <c r="AD41" t="n">
        <v>57</v>
      </c>
      <c r="AG41">
        <f>IF(38&lt;=$AF$13,$AF$14+(38-1)*$AF$16,"")</f>
        <v/>
      </c>
      <c r="AH41">
        <f>IF(38&gt;$AF$13,"",SUMIFS($AD$4:$AD$203,$AC$4:$AC$203,"&gt;="&amp;$AG$41,$AC$4:$AC$203,IF(38=$AF$13,"&lt;=","&lt;")&amp;($AG$41+$AF$16)))</f>
        <v/>
      </c>
      <c r="AI41">
        <f>IF(AND(MOD(27,$AF$17)=0,MOD((INT(27/$AF$17)+1)-1,$AF$13/5)=0),TEXT(INDEX($AG$4:$AG$53,(INT(27/$AF$17)+1)),"#,##0"),"")</f>
        <v/>
      </c>
      <c r="AJ41">
        <f>IF(MOD(27,$AF$17)=$AF$17-1,0,INDEX($AH$4:$AH$53,(INT(27/$AF$17)+1)))</f>
        <v/>
      </c>
      <c r="AK41">
        <f>IFERROR(IF(AND($AM$22&gt;=$AF$14,$AM$22&lt;=$AF$15),10+0.5+100*($AM$22-$AF$14)/($AF$15-$AF$14),NA()),NA())</f>
        <v/>
      </c>
      <c r="AL41">
        <f>IF(ISNA($AK$41),NA(),MAX($AJ$4:$AJ$123))</f>
        <v/>
      </c>
    </row>
    <row r="42">
      <c r="B42" t="n">
        <v>607</v>
      </c>
      <c r="C42" t="n">
        <v>607.75</v>
      </c>
      <c r="D42" t="n">
        <v>34</v>
      </c>
      <c r="G42">
        <f>IF(39&lt;=$F$13,$F$14+(39-1)*$F$16,"")</f>
        <v/>
      </c>
      <c r="H42">
        <f>IF(39&gt;$F$13,"",SUMIFS($D$4:$D$203,$C$4:$C$203,"&gt;="&amp;$G$42,$C$4:$C$203,IF(39=$F$13,"&lt;=","&lt;")&amp;($G$42+$F$16)))</f>
        <v/>
      </c>
      <c r="I42">
        <f>IF(AND(MOD(28,$F$17)=0,MOD((INT(28/$F$17)+1)-1,$F$13/5)=0),TEXT(INDEX($G$4:$G$53,(INT(28/$F$17)+1)),"#,##0"),"")</f>
        <v/>
      </c>
      <c r="J42">
        <f>IF(MOD(28,$F$17)=$F$17-1,0,INDEX($H$4:$H$53,(INT(28/$F$17)+1)))</f>
        <v/>
      </c>
      <c r="K42">
        <f>IFERROR(IF(AND($M$23&gt;=$F$14,$M$23&lt;=$F$15),10+0.5+100*($M$23-$F$14)/($F$15-$F$14),NA()),NA())</f>
        <v/>
      </c>
      <c r="L42">
        <f>IF(ISNA($K$42),NA(),0)</f>
        <v/>
      </c>
      <c r="O42" t="n">
        <v>11400</v>
      </c>
      <c r="P42" t="n">
        <v>11550</v>
      </c>
      <c r="Q42" t="n">
        <v>49</v>
      </c>
      <c r="T42">
        <f>IF(39&lt;=$S$13,$S$14+(39-1)*$S$16,"")</f>
        <v/>
      </c>
      <c r="U42">
        <f>IF(39&gt;$S$13,"",SUMIFS($Q$4:$Q$203,$P$4:$P$203,"&gt;="&amp;$T$42,$P$4:$P$203,IF(39=$S$13,"&lt;=","&lt;")&amp;($T$42+$S$16)))</f>
        <v/>
      </c>
      <c r="V42">
        <f>IF(AND(MOD(28,$S$17)=0,MOD((INT(28/$S$17)+1)-1,$S$13/5)=0),TEXT(INDEX($T$4:$T$53,(INT(28/$S$17)+1)),"#,##0"),"")</f>
        <v/>
      </c>
      <c r="W42">
        <f>IF(MOD(28,$S$17)=$S$17-1,0,INDEX($U$4:$U$53,(INT(28/$S$17)+1)))</f>
        <v/>
      </c>
      <c r="X42">
        <f>IFERROR(IF(AND($Z$23&gt;=$S$14,$Z$23&lt;=$S$15),10+0.5+100*($Z$23-$S$14)/($S$15-$S$14),NA()),NA())</f>
        <v/>
      </c>
      <c r="Y42">
        <f>IF(ISNA($X$42),NA(),0)</f>
        <v/>
      </c>
      <c r="AB42" t="n">
        <v>5700</v>
      </c>
      <c r="AC42" t="n">
        <v>5775</v>
      </c>
      <c r="AD42" t="n">
        <v>58</v>
      </c>
      <c r="AG42">
        <f>IF(39&lt;=$AF$13,$AF$14+(39-1)*$AF$16,"")</f>
        <v/>
      </c>
      <c r="AH42">
        <f>IF(39&gt;$AF$13,"",SUMIFS($AD$4:$AD$203,$AC$4:$AC$203,"&gt;="&amp;$AG$42,$AC$4:$AC$203,IF(39=$AF$13,"&lt;=","&lt;")&amp;($AG$42+$AF$16)))</f>
        <v/>
      </c>
      <c r="AI42">
        <f>IF(AND(MOD(28,$AF$17)=0,MOD((INT(28/$AF$17)+1)-1,$AF$13/5)=0),TEXT(INDEX($AG$4:$AG$53,(INT(28/$AF$17)+1)),"#,##0"),"")</f>
        <v/>
      </c>
      <c r="AJ42">
        <f>IF(MOD(28,$AF$17)=$AF$17-1,0,INDEX($AH$4:$AH$53,(INT(28/$AF$17)+1)))</f>
        <v/>
      </c>
      <c r="AK42">
        <f>IFERROR(IF(AND($AM$23&gt;=$AF$14,$AM$23&lt;=$AF$15),10+0.5+100*($AM$23-$AF$14)/($AF$15-$AF$14),NA()),NA())</f>
        <v/>
      </c>
      <c r="AL42">
        <f>IF(ISNA($AK$42),NA(),0)</f>
        <v/>
      </c>
    </row>
    <row r="43">
      <c r="B43" t="n">
        <v>608.5</v>
      </c>
      <c r="C43" t="n">
        <v>609.25</v>
      </c>
      <c r="D43" t="n">
        <v>18</v>
      </c>
      <c r="G43">
        <f>IF(40&lt;=$F$13,$F$14+(40-1)*$F$16,"")</f>
        <v/>
      </c>
      <c r="H43">
        <f>IF(40&gt;$F$13,"",SUMIFS($D$4:$D$203,$C$4:$C$203,"&gt;="&amp;$G$43,$C$4:$C$203,IF(40=$F$13,"&lt;=","&lt;")&amp;($G$43+$F$16)))</f>
        <v/>
      </c>
      <c r="I43">
        <f>IF(AND(MOD(29,$F$17)=0,MOD((INT(29/$F$17)+1)-1,$F$13/5)=0),TEXT(INDEX($G$4:$G$53,(INT(29/$F$17)+1)),"#,##0"),"")</f>
        <v/>
      </c>
      <c r="J43">
        <f>IF(MOD(29,$F$17)=$F$17-1,0,INDEX($H$4:$H$53,(INT(29/$F$17)+1)))</f>
        <v/>
      </c>
      <c r="K43">
        <f>IFERROR(IF(AND($M$23&gt;=$F$14,$M$23&lt;=$F$15),10+0.5+100*($M$23-$F$14)/($F$15-$F$14),NA()),NA())</f>
        <v/>
      </c>
      <c r="L43">
        <f>IF(ISNA($K$43),NA(),MAX($J$4:$J$123))</f>
        <v/>
      </c>
      <c r="O43" t="n">
        <v>11700</v>
      </c>
      <c r="P43" t="n">
        <v>11850</v>
      </c>
      <c r="Q43" t="n">
        <v>52</v>
      </c>
      <c r="T43">
        <f>IF(40&lt;=$S$13,$S$14+(40-1)*$S$16,"")</f>
        <v/>
      </c>
      <c r="U43">
        <f>IF(40&gt;$S$13,"",SUMIFS($Q$4:$Q$203,$P$4:$P$203,"&gt;="&amp;$T$43,$P$4:$P$203,IF(40=$S$13,"&lt;=","&lt;")&amp;($T$43+$S$16)))</f>
        <v/>
      </c>
      <c r="V43">
        <f>IF(AND(MOD(29,$S$17)=0,MOD((INT(29/$S$17)+1)-1,$S$13/5)=0),TEXT(INDEX($T$4:$T$53,(INT(29/$S$17)+1)),"#,##0"),"")</f>
        <v/>
      </c>
      <c r="W43">
        <f>IF(MOD(29,$S$17)=$S$17-1,0,INDEX($U$4:$U$53,(INT(29/$S$17)+1)))</f>
        <v/>
      </c>
      <c r="X43">
        <f>IFERROR(IF(AND($Z$23&gt;=$S$14,$Z$23&lt;=$S$15),10+0.5+100*($Z$23-$S$14)/($S$15-$S$14),NA()),NA())</f>
        <v/>
      </c>
      <c r="Y43">
        <f>IF(ISNA($X$43),NA(),MAX($W$4:$W$123))</f>
        <v/>
      </c>
      <c r="AB43" t="n">
        <v>5850</v>
      </c>
      <c r="AC43" t="n">
        <v>5925</v>
      </c>
      <c r="AD43" t="n">
        <v>59</v>
      </c>
      <c r="AG43">
        <f>IF(40&lt;=$AF$13,$AF$14+(40-1)*$AF$16,"")</f>
        <v/>
      </c>
      <c r="AH43">
        <f>IF(40&gt;$AF$13,"",SUMIFS($AD$4:$AD$203,$AC$4:$AC$203,"&gt;="&amp;$AG$43,$AC$4:$AC$203,IF(40=$AF$13,"&lt;=","&lt;")&amp;($AG$43+$AF$16)))</f>
        <v/>
      </c>
      <c r="AI43">
        <f>IF(AND(MOD(29,$AF$17)=0,MOD((INT(29/$AF$17)+1)-1,$AF$13/5)=0),TEXT(INDEX($AG$4:$AG$53,(INT(29/$AF$17)+1)),"#,##0"),"")</f>
        <v/>
      </c>
      <c r="AJ43">
        <f>IF(MOD(29,$AF$17)=$AF$17-1,0,INDEX($AH$4:$AH$53,(INT(29/$AF$17)+1)))</f>
        <v/>
      </c>
      <c r="AK43">
        <f>IFERROR(IF(AND($AM$23&gt;=$AF$14,$AM$23&lt;=$AF$15),10+0.5+100*($AM$23-$AF$14)/($AF$15-$AF$14),NA()),NA())</f>
        <v/>
      </c>
      <c r="AL43">
        <f>IF(ISNA($AK$43),NA(),MAX($AJ$4:$AJ$123))</f>
        <v/>
      </c>
    </row>
    <row r="44">
      <c r="B44" t="n">
        <v>610</v>
      </c>
      <c r="C44" t="n">
        <v>610.75</v>
      </c>
      <c r="D44" t="n">
        <v>35</v>
      </c>
      <c r="G44">
        <f>IF(41&lt;=$F$13,$F$14+(41-1)*$F$16,"")</f>
        <v/>
      </c>
      <c r="H44">
        <f>IF(41&gt;$F$13,"",SUMIFS($D$4:$D$203,$C$4:$C$203,"&gt;="&amp;$G$44,$C$4:$C$203,IF(41=$F$13,"&lt;=","&lt;")&amp;($G$44+$F$16)))</f>
        <v/>
      </c>
      <c r="I44">
        <f>IF(AND(MOD(30,$F$17)=0,MOD((INT(30/$F$17)+1)-1,$F$13/5)=0),TEXT(INDEX($G$4:$G$53,(INT(30/$F$17)+1)),"#,##0"),"")</f>
        <v/>
      </c>
      <c r="J44">
        <f>IF(MOD(30,$F$17)=$F$17-1,0,INDEX($H$4:$H$53,(INT(30/$F$17)+1)))</f>
        <v/>
      </c>
      <c r="K44">
        <f>IFERROR(IF(AND($M$24&gt;=$F$14,$M$24&lt;=$F$15),10+0.5+100*($M$24-$F$14)/($F$15-$F$14),NA()),NA())</f>
        <v/>
      </c>
      <c r="L44">
        <f>IF(ISNA($K$44),NA(),0)</f>
        <v/>
      </c>
      <c r="O44" t="n">
        <v>12000</v>
      </c>
      <c r="P44" t="n">
        <v>12150</v>
      </c>
      <c r="Q44" t="n">
        <v>34</v>
      </c>
      <c r="T44">
        <f>IF(41&lt;=$S$13,$S$14+(41-1)*$S$16,"")</f>
        <v/>
      </c>
      <c r="U44">
        <f>IF(41&gt;$S$13,"",SUMIFS($Q$4:$Q$203,$P$4:$P$203,"&gt;="&amp;$T$44,$P$4:$P$203,IF(41=$S$13,"&lt;=","&lt;")&amp;($T$44+$S$16)))</f>
        <v/>
      </c>
      <c r="V44">
        <f>IF(AND(MOD(30,$S$17)=0,MOD((INT(30/$S$17)+1)-1,$S$13/5)=0),TEXT(INDEX($T$4:$T$53,(INT(30/$S$17)+1)),"#,##0"),"")</f>
        <v/>
      </c>
      <c r="W44">
        <f>IF(MOD(30,$S$17)=$S$17-1,0,INDEX($U$4:$U$53,(INT(30/$S$17)+1)))</f>
        <v/>
      </c>
      <c r="X44">
        <f>IFERROR(IF(AND($Z$24&gt;=$S$14,$Z$24&lt;=$S$15),10+0.5+100*($Z$24-$S$14)/($S$15-$S$14),NA()),NA())</f>
        <v/>
      </c>
      <c r="Y44">
        <f>IF(ISNA($X$44),NA(),0)</f>
        <v/>
      </c>
      <c r="AB44" t="n">
        <v>6000</v>
      </c>
      <c r="AC44" t="n">
        <v>6075</v>
      </c>
      <c r="AD44" t="n">
        <v>56</v>
      </c>
      <c r="AG44">
        <f>IF(41&lt;=$AF$13,$AF$14+(41-1)*$AF$16,"")</f>
        <v/>
      </c>
      <c r="AH44">
        <f>IF(41&gt;$AF$13,"",SUMIFS($AD$4:$AD$203,$AC$4:$AC$203,"&gt;="&amp;$AG$44,$AC$4:$AC$203,IF(41=$AF$13,"&lt;=","&lt;")&amp;($AG$44+$AF$16)))</f>
        <v/>
      </c>
      <c r="AI44">
        <f>IF(AND(MOD(30,$AF$17)=0,MOD((INT(30/$AF$17)+1)-1,$AF$13/5)=0),TEXT(INDEX($AG$4:$AG$53,(INT(30/$AF$17)+1)),"#,##0"),"")</f>
        <v/>
      </c>
      <c r="AJ44">
        <f>IF(MOD(30,$AF$17)=$AF$17-1,0,INDEX($AH$4:$AH$53,(INT(30/$AF$17)+1)))</f>
        <v/>
      </c>
      <c r="AK44">
        <f>IFERROR(IF(AND($AM$24&gt;=$AF$14,$AM$24&lt;=$AF$15),10+0.5+100*($AM$24-$AF$14)/($AF$15-$AF$14),NA()),NA())</f>
        <v/>
      </c>
      <c r="AL44">
        <f>IF(ISNA($AK$44),NA(),0)</f>
        <v/>
      </c>
    </row>
    <row r="45">
      <c r="B45" t="n">
        <v>611.5</v>
      </c>
      <c r="C45" t="n">
        <v>612.25</v>
      </c>
      <c r="D45" t="n">
        <v>15</v>
      </c>
      <c r="G45">
        <f>IF(42&lt;=$F$13,$F$14+(42-1)*$F$16,"")</f>
        <v/>
      </c>
      <c r="H45">
        <f>IF(42&gt;$F$13,"",SUMIFS($D$4:$D$203,$C$4:$C$203,"&gt;="&amp;$G$45,$C$4:$C$203,IF(42=$F$13,"&lt;=","&lt;")&amp;($G$45+$F$16)))</f>
        <v/>
      </c>
      <c r="I45">
        <f>IF(AND(MOD(31,$F$17)=0,MOD((INT(31/$F$17)+1)-1,$F$13/5)=0),TEXT(INDEX($G$4:$G$53,(INT(31/$F$17)+1)),"#,##0"),"")</f>
        <v/>
      </c>
      <c r="J45">
        <f>IF(MOD(31,$F$17)=$F$17-1,0,INDEX($H$4:$H$53,(INT(31/$F$17)+1)))</f>
        <v/>
      </c>
      <c r="K45">
        <f>IFERROR(IF(AND($M$24&gt;=$F$14,$M$24&lt;=$F$15),10+0.5+100*($M$24-$F$14)/($F$15-$F$14),NA()),NA())</f>
        <v/>
      </c>
      <c r="L45">
        <f>IF(ISNA($K$45),NA(),MAX($J$4:$J$123))</f>
        <v/>
      </c>
      <c r="O45" t="n">
        <v>12300</v>
      </c>
      <c r="P45" t="n">
        <v>12450</v>
      </c>
      <c r="Q45" t="n">
        <v>43</v>
      </c>
      <c r="T45">
        <f>IF(42&lt;=$S$13,$S$14+(42-1)*$S$16,"")</f>
        <v/>
      </c>
      <c r="U45">
        <f>IF(42&gt;$S$13,"",SUMIFS($Q$4:$Q$203,$P$4:$P$203,"&gt;="&amp;$T$45,$P$4:$P$203,IF(42=$S$13,"&lt;=","&lt;")&amp;($T$45+$S$16)))</f>
        <v/>
      </c>
      <c r="V45">
        <f>IF(AND(MOD(31,$S$17)=0,MOD((INT(31/$S$17)+1)-1,$S$13/5)=0),TEXT(INDEX($T$4:$T$53,(INT(31/$S$17)+1)),"#,##0"),"")</f>
        <v/>
      </c>
      <c r="W45">
        <f>IF(MOD(31,$S$17)=$S$17-1,0,INDEX($U$4:$U$53,(INT(31/$S$17)+1)))</f>
        <v/>
      </c>
      <c r="X45">
        <f>IFERROR(IF(AND($Z$24&gt;=$S$14,$Z$24&lt;=$S$15),10+0.5+100*($Z$24-$S$14)/($S$15-$S$14),NA()),NA())</f>
        <v/>
      </c>
      <c r="Y45">
        <f>IF(ISNA($X$45),NA(),MAX($W$4:$W$123))</f>
        <v/>
      </c>
      <c r="AB45" t="n">
        <v>6150</v>
      </c>
      <c r="AC45" t="n">
        <v>6225</v>
      </c>
      <c r="AD45" t="n">
        <v>63</v>
      </c>
      <c r="AG45">
        <f>IF(42&lt;=$AF$13,$AF$14+(42-1)*$AF$16,"")</f>
        <v/>
      </c>
      <c r="AH45">
        <f>IF(42&gt;$AF$13,"",SUMIFS($AD$4:$AD$203,$AC$4:$AC$203,"&gt;="&amp;$AG$45,$AC$4:$AC$203,IF(42=$AF$13,"&lt;=","&lt;")&amp;($AG$45+$AF$16)))</f>
        <v/>
      </c>
      <c r="AI45">
        <f>IF(AND(MOD(31,$AF$17)=0,MOD((INT(31/$AF$17)+1)-1,$AF$13/5)=0),TEXT(INDEX($AG$4:$AG$53,(INT(31/$AF$17)+1)),"#,##0"),"")</f>
        <v/>
      </c>
      <c r="AJ45">
        <f>IF(MOD(31,$AF$17)=$AF$17-1,0,INDEX($AH$4:$AH$53,(INT(31/$AF$17)+1)))</f>
        <v/>
      </c>
      <c r="AK45">
        <f>IFERROR(IF(AND($AM$24&gt;=$AF$14,$AM$24&lt;=$AF$15),10+0.5+100*($AM$24-$AF$14)/($AF$15-$AF$14),NA()),NA())</f>
        <v/>
      </c>
      <c r="AL45">
        <f>IF(ISNA($AK$45),NA(),MAX($AJ$4:$AJ$123))</f>
        <v/>
      </c>
    </row>
    <row r="46">
      <c r="B46" t="n">
        <v>613</v>
      </c>
      <c r="C46" t="n">
        <v>613.75</v>
      </c>
      <c r="D46" t="n">
        <v>36</v>
      </c>
      <c r="G46">
        <f>IF(43&lt;=$F$13,$F$14+(43-1)*$F$16,"")</f>
        <v/>
      </c>
      <c r="H46">
        <f>IF(43&gt;$F$13,"",SUMIFS($D$4:$D$203,$C$4:$C$203,"&gt;="&amp;$G$46,$C$4:$C$203,IF(43=$F$13,"&lt;=","&lt;")&amp;($G$46+$F$16)))</f>
        <v/>
      </c>
      <c r="I46">
        <f>IF(AND(MOD(32,$F$17)=0,MOD((INT(32/$F$17)+1)-1,$F$13/5)=0),TEXT(INDEX($G$4:$G$53,(INT(32/$F$17)+1)),"#,##0"),"")</f>
        <v/>
      </c>
      <c r="J46">
        <f>IF(MOD(32,$F$17)=$F$17-1,0,INDEX($H$4:$H$53,(INT(32/$F$17)+1)))</f>
        <v/>
      </c>
      <c r="K46">
        <f>IFERROR(IF(AND($M$25&gt;=$F$14,$M$25&lt;=$F$15),10+0.5+100*($M$25-$F$14)/($F$15-$F$14),NA()),NA())</f>
        <v/>
      </c>
      <c r="L46">
        <f>IF(ISNA($K$46),NA(),0)</f>
        <v/>
      </c>
      <c r="O46" t="n">
        <v>12600</v>
      </c>
      <c r="P46" t="n">
        <v>12750</v>
      </c>
      <c r="Q46" t="n">
        <v>44</v>
      </c>
      <c r="T46">
        <f>IF(43&lt;=$S$13,$S$14+(43-1)*$S$16,"")</f>
        <v/>
      </c>
      <c r="U46">
        <f>IF(43&gt;$S$13,"",SUMIFS($Q$4:$Q$203,$P$4:$P$203,"&gt;="&amp;$T$46,$P$4:$P$203,IF(43=$S$13,"&lt;=","&lt;")&amp;($T$46+$S$16)))</f>
        <v/>
      </c>
      <c r="V46">
        <f>IF(AND(MOD(32,$S$17)=0,MOD((INT(32/$S$17)+1)-1,$S$13/5)=0),TEXT(INDEX($T$4:$T$53,(INT(32/$S$17)+1)),"#,##0"),"")</f>
        <v/>
      </c>
      <c r="W46">
        <f>IF(MOD(32,$S$17)=$S$17-1,0,INDEX($U$4:$U$53,(INT(32/$S$17)+1)))</f>
        <v/>
      </c>
      <c r="X46">
        <f>IFERROR(IF(AND($Z$25&gt;=$S$14,$Z$25&lt;=$S$15),10+0.5+100*($Z$25-$S$14)/($S$15-$S$14),NA()),NA())</f>
        <v/>
      </c>
      <c r="Y46">
        <f>IF(ISNA($X$46),NA(),0)</f>
        <v/>
      </c>
      <c r="AB46" t="n">
        <v>6300</v>
      </c>
      <c r="AC46" t="n">
        <v>6375</v>
      </c>
      <c r="AD46" t="n">
        <v>71</v>
      </c>
      <c r="AG46">
        <f>IF(43&lt;=$AF$13,$AF$14+(43-1)*$AF$16,"")</f>
        <v/>
      </c>
      <c r="AH46">
        <f>IF(43&gt;$AF$13,"",SUMIFS($AD$4:$AD$203,$AC$4:$AC$203,"&gt;="&amp;$AG$46,$AC$4:$AC$203,IF(43=$AF$13,"&lt;=","&lt;")&amp;($AG$46+$AF$16)))</f>
        <v/>
      </c>
      <c r="AI46">
        <f>IF(AND(MOD(32,$AF$17)=0,MOD((INT(32/$AF$17)+1)-1,$AF$13/5)=0),TEXT(INDEX($AG$4:$AG$53,(INT(32/$AF$17)+1)),"#,##0"),"")</f>
        <v/>
      </c>
      <c r="AJ46">
        <f>IF(MOD(32,$AF$17)=$AF$17-1,0,INDEX($AH$4:$AH$53,(INT(32/$AF$17)+1)))</f>
        <v/>
      </c>
      <c r="AK46">
        <f>IFERROR(IF(AND($AM$25&gt;=$AF$14,$AM$25&lt;=$AF$15),10+0.5+100*($AM$25-$AF$14)/($AF$15-$AF$14),NA()),NA())</f>
        <v/>
      </c>
      <c r="AL46">
        <f>IF(ISNA($AK$46),NA(),0)</f>
        <v/>
      </c>
    </row>
    <row r="47">
      <c r="B47" t="n">
        <v>614.5</v>
      </c>
      <c r="C47" t="n">
        <v>615.25</v>
      </c>
      <c r="D47" t="n">
        <v>22</v>
      </c>
      <c r="G47">
        <f>IF(44&lt;=$F$13,$F$14+(44-1)*$F$16,"")</f>
        <v/>
      </c>
      <c r="H47">
        <f>IF(44&gt;$F$13,"",SUMIFS($D$4:$D$203,$C$4:$C$203,"&gt;="&amp;$G$47,$C$4:$C$203,IF(44=$F$13,"&lt;=","&lt;")&amp;($G$47+$F$16)))</f>
        <v/>
      </c>
      <c r="I47">
        <f>IF(AND(MOD(33,$F$17)=0,MOD((INT(33/$F$17)+1)-1,$F$13/5)=0),TEXT(INDEX($G$4:$G$53,(INT(33/$F$17)+1)),"#,##0"),"")</f>
        <v/>
      </c>
      <c r="J47">
        <f>IF(MOD(33,$F$17)=$F$17-1,0,INDEX($H$4:$H$53,(INT(33/$F$17)+1)))</f>
        <v/>
      </c>
      <c r="K47">
        <f>IFERROR(IF(AND($M$25&gt;=$F$14,$M$25&lt;=$F$15),10+0.5+100*($M$25-$F$14)/($F$15-$F$14),NA()),NA())</f>
        <v/>
      </c>
      <c r="L47">
        <f>IF(ISNA($K$47),NA(),MAX($J$4:$J$123))</f>
        <v/>
      </c>
      <c r="O47" t="n">
        <v>12900</v>
      </c>
      <c r="P47" t="n">
        <v>13050</v>
      </c>
      <c r="Q47" t="n">
        <v>43</v>
      </c>
      <c r="T47">
        <f>IF(44&lt;=$S$13,$S$14+(44-1)*$S$16,"")</f>
        <v/>
      </c>
      <c r="U47">
        <f>IF(44&gt;$S$13,"",SUMIFS($Q$4:$Q$203,$P$4:$P$203,"&gt;="&amp;$T$47,$P$4:$P$203,IF(44=$S$13,"&lt;=","&lt;")&amp;($T$47+$S$16)))</f>
        <v/>
      </c>
      <c r="V47">
        <f>IF(AND(MOD(33,$S$17)=0,MOD((INT(33/$S$17)+1)-1,$S$13/5)=0),TEXT(INDEX($T$4:$T$53,(INT(33/$S$17)+1)),"#,##0"),"")</f>
        <v/>
      </c>
      <c r="W47">
        <f>IF(MOD(33,$S$17)=$S$17-1,0,INDEX($U$4:$U$53,(INT(33/$S$17)+1)))</f>
        <v/>
      </c>
      <c r="X47">
        <f>IFERROR(IF(AND($Z$25&gt;=$S$14,$Z$25&lt;=$S$15),10+0.5+100*($Z$25-$S$14)/($S$15-$S$14),NA()),NA())</f>
        <v/>
      </c>
      <c r="Y47">
        <f>IF(ISNA($X$47),NA(),MAX($W$4:$W$123))</f>
        <v/>
      </c>
      <c r="AB47" t="n">
        <v>6450</v>
      </c>
      <c r="AC47" t="n">
        <v>6525</v>
      </c>
      <c r="AD47" t="n">
        <v>76</v>
      </c>
      <c r="AG47">
        <f>IF(44&lt;=$AF$13,$AF$14+(44-1)*$AF$16,"")</f>
        <v/>
      </c>
      <c r="AH47">
        <f>IF(44&gt;$AF$13,"",SUMIFS($AD$4:$AD$203,$AC$4:$AC$203,"&gt;="&amp;$AG$47,$AC$4:$AC$203,IF(44=$AF$13,"&lt;=","&lt;")&amp;($AG$47+$AF$16)))</f>
        <v/>
      </c>
      <c r="AI47">
        <f>IF(AND(MOD(33,$AF$17)=0,MOD((INT(33/$AF$17)+1)-1,$AF$13/5)=0),TEXT(INDEX($AG$4:$AG$53,(INT(33/$AF$17)+1)),"#,##0"),"")</f>
        <v/>
      </c>
      <c r="AJ47">
        <f>IF(MOD(33,$AF$17)=$AF$17-1,0,INDEX($AH$4:$AH$53,(INT(33/$AF$17)+1)))</f>
        <v/>
      </c>
      <c r="AK47">
        <f>IFERROR(IF(AND($AM$25&gt;=$AF$14,$AM$25&lt;=$AF$15),10+0.5+100*($AM$25-$AF$14)/($AF$15-$AF$14),NA()),NA())</f>
        <v/>
      </c>
      <c r="AL47">
        <f>IF(ISNA($AK$47),NA(),MAX($AJ$4:$AJ$123))</f>
        <v/>
      </c>
    </row>
    <row r="48">
      <c r="B48" t="n">
        <v>616</v>
      </c>
      <c r="C48" t="n">
        <v>616.75</v>
      </c>
      <c r="D48" t="n">
        <v>32</v>
      </c>
      <c r="G48">
        <f>IF(45&lt;=$F$13,$F$14+(45-1)*$F$16,"")</f>
        <v/>
      </c>
      <c r="H48">
        <f>IF(45&gt;$F$13,"",SUMIFS($D$4:$D$203,$C$4:$C$203,"&gt;="&amp;$G$48,$C$4:$C$203,IF(45=$F$13,"&lt;=","&lt;")&amp;($G$48+$F$16)))</f>
        <v/>
      </c>
      <c r="I48">
        <f>IF(AND(MOD(34,$F$17)=0,MOD((INT(34/$F$17)+1)-1,$F$13/5)=0),TEXT(INDEX($G$4:$G$53,(INT(34/$F$17)+1)),"#,##0"),"")</f>
        <v/>
      </c>
      <c r="J48">
        <f>IF(MOD(34,$F$17)=$F$17-1,0,INDEX($H$4:$H$53,(INT(34/$F$17)+1)))</f>
        <v/>
      </c>
      <c r="K48">
        <f>IFERROR(IF(AND($M$26&gt;=$F$14,$M$26&lt;=$F$15),10+0.5+100*($M$26-$F$14)/($F$15-$F$14),NA()),NA())</f>
        <v/>
      </c>
      <c r="L48">
        <f>IF(ISNA($K$48),NA(),0)</f>
        <v/>
      </c>
      <c r="O48" t="n">
        <v>13200</v>
      </c>
      <c r="P48" t="n">
        <v>13350</v>
      </c>
      <c r="Q48" t="n">
        <v>56</v>
      </c>
      <c r="T48">
        <f>IF(45&lt;=$S$13,$S$14+(45-1)*$S$16,"")</f>
        <v/>
      </c>
      <c r="U48">
        <f>IF(45&gt;$S$13,"",SUMIFS($Q$4:$Q$203,$P$4:$P$203,"&gt;="&amp;$T$48,$P$4:$P$203,IF(45=$S$13,"&lt;=","&lt;")&amp;($T$48+$S$16)))</f>
        <v/>
      </c>
      <c r="V48">
        <f>IF(AND(MOD(34,$S$17)=0,MOD((INT(34/$S$17)+1)-1,$S$13/5)=0),TEXT(INDEX($T$4:$T$53,(INT(34/$S$17)+1)),"#,##0"),"")</f>
        <v/>
      </c>
      <c r="W48">
        <f>IF(MOD(34,$S$17)=$S$17-1,0,INDEX($U$4:$U$53,(INT(34/$S$17)+1)))</f>
        <v/>
      </c>
      <c r="X48">
        <f>IFERROR(IF(AND($Z$26&gt;=$S$14,$Z$26&lt;=$S$15),10+0.5+100*($Z$26-$S$14)/($S$15-$S$14),NA()),NA())</f>
        <v/>
      </c>
      <c r="Y48">
        <f>IF(ISNA($X$48),NA(),0)</f>
        <v/>
      </c>
      <c r="AB48" t="n">
        <v>6600</v>
      </c>
      <c r="AC48" t="n">
        <v>6675</v>
      </c>
      <c r="AD48" t="n">
        <v>73</v>
      </c>
      <c r="AG48">
        <f>IF(45&lt;=$AF$13,$AF$14+(45-1)*$AF$16,"")</f>
        <v/>
      </c>
      <c r="AH48">
        <f>IF(45&gt;$AF$13,"",SUMIFS($AD$4:$AD$203,$AC$4:$AC$203,"&gt;="&amp;$AG$48,$AC$4:$AC$203,IF(45=$AF$13,"&lt;=","&lt;")&amp;($AG$48+$AF$16)))</f>
        <v/>
      </c>
      <c r="AI48">
        <f>IF(AND(MOD(34,$AF$17)=0,MOD((INT(34/$AF$17)+1)-1,$AF$13/5)=0),TEXT(INDEX($AG$4:$AG$53,(INT(34/$AF$17)+1)),"#,##0"),"")</f>
        <v/>
      </c>
      <c r="AJ48">
        <f>IF(MOD(34,$AF$17)=$AF$17-1,0,INDEX($AH$4:$AH$53,(INT(34/$AF$17)+1)))</f>
        <v/>
      </c>
      <c r="AK48">
        <f>IFERROR(IF(AND($AM$26&gt;=$AF$14,$AM$26&lt;=$AF$15),10+0.5+100*($AM$26-$AF$14)/($AF$15-$AF$14),NA()),NA())</f>
        <v/>
      </c>
      <c r="AL48">
        <f>IF(ISNA($AK$48),NA(),0)</f>
        <v/>
      </c>
    </row>
    <row r="49">
      <c r="B49" t="n">
        <v>617.5</v>
      </c>
      <c r="C49" t="n">
        <v>618.25</v>
      </c>
      <c r="D49" t="n">
        <v>21</v>
      </c>
      <c r="G49">
        <f>IF(46&lt;=$F$13,$F$14+(46-1)*$F$16,"")</f>
        <v/>
      </c>
      <c r="H49">
        <f>IF(46&gt;$F$13,"",SUMIFS($D$4:$D$203,$C$4:$C$203,"&gt;="&amp;$G$49,$C$4:$C$203,IF(46=$F$13,"&lt;=","&lt;")&amp;($G$49+$F$16)))</f>
        <v/>
      </c>
      <c r="I49">
        <f>IF(AND(MOD(35,$F$17)=0,MOD((INT(35/$F$17)+1)-1,$F$13/5)=0),TEXT(INDEX($G$4:$G$53,(INT(35/$F$17)+1)),"#,##0"),"")</f>
        <v/>
      </c>
      <c r="J49">
        <f>IF(MOD(35,$F$17)=$F$17-1,0,INDEX($H$4:$H$53,(INT(35/$F$17)+1)))</f>
        <v/>
      </c>
      <c r="K49">
        <f>IFERROR(IF(AND($M$26&gt;=$F$14,$M$26&lt;=$F$15),10+0.5+100*($M$26-$F$14)/($F$15-$F$14),NA()),NA())</f>
        <v/>
      </c>
      <c r="L49">
        <f>IF(ISNA($K$49),NA(),MAX($J$4:$J$123))</f>
        <v/>
      </c>
      <c r="O49" t="n">
        <v>13500</v>
      </c>
      <c r="P49" t="n">
        <v>13650</v>
      </c>
      <c r="Q49" t="n">
        <v>45</v>
      </c>
      <c r="T49">
        <f>IF(46&lt;=$S$13,$S$14+(46-1)*$S$16,"")</f>
        <v/>
      </c>
      <c r="U49">
        <f>IF(46&gt;$S$13,"",SUMIFS($Q$4:$Q$203,$P$4:$P$203,"&gt;="&amp;$T$49,$P$4:$P$203,IF(46=$S$13,"&lt;=","&lt;")&amp;($T$49+$S$16)))</f>
        <v/>
      </c>
      <c r="V49">
        <f>IF(AND(MOD(35,$S$17)=0,MOD((INT(35/$S$17)+1)-1,$S$13/5)=0),TEXT(INDEX($T$4:$T$53,(INT(35/$S$17)+1)),"#,##0"),"")</f>
        <v/>
      </c>
      <c r="W49">
        <f>IF(MOD(35,$S$17)=$S$17-1,0,INDEX($U$4:$U$53,(INT(35/$S$17)+1)))</f>
        <v/>
      </c>
      <c r="X49">
        <f>IFERROR(IF(AND($Z$26&gt;=$S$14,$Z$26&lt;=$S$15),10+0.5+100*($Z$26-$S$14)/($S$15-$S$14),NA()),NA())</f>
        <v/>
      </c>
      <c r="Y49">
        <f>IF(ISNA($X$49),NA(),MAX($W$4:$W$123))</f>
        <v/>
      </c>
      <c r="AB49" t="n">
        <v>6750</v>
      </c>
      <c r="AC49" t="n">
        <v>6825</v>
      </c>
      <c r="AD49" t="n">
        <v>58</v>
      </c>
      <c r="AG49">
        <f>IF(46&lt;=$AF$13,$AF$14+(46-1)*$AF$16,"")</f>
        <v/>
      </c>
      <c r="AH49">
        <f>IF(46&gt;$AF$13,"",SUMIFS($AD$4:$AD$203,$AC$4:$AC$203,"&gt;="&amp;$AG$49,$AC$4:$AC$203,IF(46=$AF$13,"&lt;=","&lt;")&amp;($AG$49+$AF$16)))</f>
        <v/>
      </c>
      <c r="AI49">
        <f>IF(AND(MOD(35,$AF$17)=0,MOD((INT(35/$AF$17)+1)-1,$AF$13/5)=0),TEXT(INDEX($AG$4:$AG$53,(INT(35/$AF$17)+1)),"#,##0"),"")</f>
        <v/>
      </c>
      <c r="AJ49">
        <f>IF(MOD(35,$AF$17)=$AF$17-1,0,INDEX($AH$4:$AH$53,(INT(35/$AF$17)+1)))</f>
        <v/>
      </c>
      <c r="AK49">
        <f>IFERROR(IF(AND($AM$26&gt;=$AF$14,$AM$26&lt;=$AF$15),10+0.5+100*($AM$26-$AF$14)/($AF$15-$AF$14),NA()),NA())</f>
        <v/>
      </c>
      <c r="AL49">
        <f>IF(ISNA($AK$49),NA(),MAX($AJ$4:$AJ$123))</f>
        <v/>
      </c>
    </row>
    <row r="50">
      <c r="B50" t="n">
        <v>619</v>
      </c>
      <c r="C50" t="n">
        <v>619.75</v>
      </c>
      <c r="D50" t="n">
        <v>30</v>
      </c>
      <c r="G50">
        <f>IF(47&lt;=$F$13,$F$14+(47-1)*$F$16,"")</f>
        <v/>
      </c>
      <c r="H50">
        <f>IF(47&gt;$F$13,"",SUMIFS($D$4:$D$203,$C$4:$C$203,"&gt;="&amp;$G$50,$C$4:$C$203,IF(47=$F$13,"&lt;=","&lt;")&amp;($G$50+$F$16)))</f>
        <v/>
      </c>
      <c r="I50">
        <f>IF(AND(MOD(36,$F$17)=0,MOD((INT(36/$F$17)+1)-1,$F$13/5)=0),TEXT(INDEX($G$4:$G$53,(INT(36/$F$17)+1)),"#,##0"),"")</f>
        <v/>
      </c>
      <c r="J50">
        <f>IF(MOD(36,$F$17)=$F$17-1,0,INDEX($H$4:$H$53,(INT(36/$F$17)+1)))</f>
        <v/>
      </c>
      <c r="K50">
        <f>IFERROR(IF(AND($M$27&gt;=$F$14,$M$27&lt;=$F$15),10+0.5+100*($M$27-$F$14)/($F$15-$F$14),NA()),NA())</f>
        <v/>
      </c>
      <c r="L50">
        <f>IF(ISNA($K$50),NA(),0)</f>
        <v/>
      </c>
      <c r="O50" t="n">
        <v>13800</v>
      </c>
      <c r="P50" t="n">
        <v>13950</v>
      </c>
      <c r="Q50" t="n">
        <v>45</v>
      </c>
      <c r="T50">
        <f>IF(47&lt;=$S$13,$S$14+(47-1)*$S$16,"")</f>
        <v/>
      </c>
      <c r="U50">
        <f>IF(47&gt;$S$13,"",SUMIFS($Q$4:$Q$203,$P$4:$P$203,"&gt;="&amp;$T$50,$P$4:$P$203,IF(47=$S$13,"&lt;=","&lt;")&amp;($T$50+$S$16)))</f>
        <v/>
      </c>
      <c r="V50">
        <f>IF(AND(MOD(36,$S$17)=0,MOD((INT(36/$S$17)+1)-1,$S$13/5)=0),TEXT(INDEX($T$4:$T$53,(INT(36/$S$17)+1)),"#,##0"),"")</f>
        <v/>
      </c>
      <c r="W50">
        <f>IF(MOD(36,$S$17)=$S$17-1,0,INDEX($U$4:$U$53,(INT(36/$S$17)+1)))</f>
        <v/>
      </c>
      <c r="X50">
        <f>IFERROR(IF(AND($Z$27&gt;=$S$14,$Z$27&lt;=$S$15),10+0.5+100*($Z$27-$S$14)/($S$15-$S$14),NA()),NA())</f>
        <v/>
      </c>
      <c r="Y50">
        <f>IF(ISNA($X$50),NA(),0)</f>
        <v/>
      </c>
      <c r="AB50" t="n">
        <v>6900</v>
      </c>
      <c r="AC50" t="n">
        <v>6975</v>
      </c>
      <c r="AD50" t="n">
        <v>78</v>
      </c>
      <c r="AG50">
        <f>IF(47&lt;=$AF$13,$AF$14+(47-1)*$AF$16,"")</f>
        <v/>
      </c>
      <c r="AH50">
        <f>IF(47&gt;$AF$13,"",SUMIFS($AD$4:$AD$203,$AC$4:$AC$203,"&gt;="&amp;$AG$50,$AC$4:$AC$203,IF(47=$AF$13,"&lt;=","&lt;")&amp;($AG$50+$AF$16)))</f>
        <v/>
      </c>
      <c r="AI50">
        <f>IF(AND(MOD(36,$AF$17)=0,MOD((INT(36/$AF$17)+1)-1,$AF$13/5)=0),TEXT(INDEX($AG$4:$AG$53,(INT(36/$AF$17)+1)),"#,##0"),"")</f>
        <v/>
      </c>
      <c r="AJ50">
        <f>IF(MOD(36,$AF$17)=$AF$17-1,0,INDEX($AH$4:$AH$53,(INT(36/$AF$17)+1)))</f>
        <v/>
      </c>
      <c r="AK50">
        <f>IFERROR(IF(AND($AM$27&gt;=$AF$14,$AM$27&lt;=$AF$15),10+0.5+100*($AM$27-$AF$14)/($AF$15-$AF$14),NA()),NA())</f>
        <v/>
      </c>
      <c r="AL50">
        <f>IF(ISNA($AK$50),NA(),0)</f>
        <v/>
      </c>
    </row>
    <row r="51">
      <c r="B51" t="n">
        <v>620.5</v>
      </c>
      <c r="C51" t="n">
        <v>621.25</v>
      </c>
      <c r="D51" t="n">
        <v>30</v>
      </c>
      <c r="G51">
        <f>IF(48&lt;=$F$13,$F$14+(48-1)*$F$16,"")</f>
        <v/>
      </c>
      <c r="H51">
        <f>IF(48&gt;$F$13,"",SUMIFS($D$4:$D$203,$C$4:$C$203,"&gt;="&amp;$G$51,$C$4:$C$203,IF(48=$F$13,"&lt;=","&lt;")&amp;($G$51+$F$16)))</f>
        <v/>
      </c>
      <c r="I51">
        <f>IF(AND(MOD(37,$F$17)=0,MOD((INT(37/$F$17)+1)-1,$F$13/5)=0),TEXT(INDEX($G$4:$G$53,(INT(37/$F$17)+1)),"#,##0"),"")</f>
        <v/>
      </c>
      <c r="J51">
        <f>IF(MOD(37,$F$17)=$F$17-1,0,INDEX($H$4:$H$53,(INT(37/$F$17)+1)))</f>
        <v/>
      </c>
      <c r="K51">
        <f>IFERROR(IF(AND($M$27&gt;=$F$14,$M$27&lt;=$F$15),10+0.5+100*($M$27-$F$14)/($F$15-$F$14),NA()),NA())</f>
        <v/>
      </c>
      <c r="L51">
        <f>IF(ISNA($K$51),NA(),MAX($J$4:$J$123))</f>
        <v/>
      </c>
      <c r="O51" t="n">
        <v>14100</v>
      </c>
      <c r="P51" t="n">
        <v>14250</v>
      </c>
      <c r="Q51" t="n">
        <v>44</v>
      </c>
      <c r="T51">
        <f>IF(48&lt;=$S$13,$S$14+(48-1)*$S$16,"")</f>
        <v/>
      </c>
      <c r="U51">
        <f>IF(48&gt;$S$13,"",SUMIFS($Q$4:$Q$203,$P$4:$P$203,"&gt;="&amp;$T$51,$P$4:$P$203,IF(48=$S$13,"&lt;=","&lt;")&amp;($T$51+$S$16)))</f>
        <v/>
      </c>
      <c r="V51">
        <f>IF(AND(MOD(37,$S$17)=0,MOD((INT(37/$S$17)+1)-1,$S$13/5)=0),TEXT(INDEX($T$4:$T$53,(INT(37/$S$17)+1)),"#,##0"),"")</f>
        <v/>
      </c>
      <c r="W51">
        <f>IF(MOD(37,$S$17)=$S$17-1,0,INDEX($U$4:$U$53,(INT(37/$S$17)+1)))</f>
        <v/>
      </c>
      <c r="X51">
        <f>IFERROR(IF(AND($Z$27&gt;=$S$14,$Z$27&lt;=$S$15),10+0.5+100*($Z$27-$S$14)/($S$15-$S$14),NA()),NA())</f>
        <v/>
      </c>
      <c r="Y51">
        <f>IF(ISNA($X$51),NA(),MAX($W$4:$W$123))</f>
        <v/>
      </c>
      <c r="AB51" t="n">
        <v>7050</v>
      </c>
      <c r="AC51" t="n">
        <v>7125</v>
      </c>
      <c r="AD51" t="n">
        <v>81</v>
      </c>
      <c r="AG51">
        <f>IF(48&lt;=$AF$13,$AF$14+(48-1)*$AF$16,"")</f>
        <v/>
      </c>
      <c r="AH51">
        <f>IF(48&gt;$AF$13,"",SUMIFS($AD$4:$AD$203,$AC$4:$AC$203,"&gt;="&amp;$AG$51,$AC$4:$AC$203,IF(48=$AF$13,"&lt;=","&lt;")&amp;($AG$51+$AF$16)))</f>
        <v/>
      </c>
      <c r="AI51">
        <f>IF(AND(MOD(37,$AF$17)=0,MOD((INT(37/$AF$17)+1)-1,$AF$13/5)=0),TEXT(INDEX($AG$4:$AG$53,(INT(37/$AF$17)+1)),"#,##0"),"")</f>
        <v/>
      </c>
      <c r="AJ51">
        <f>IF(MOD(37,$AF$17)=$AF$17-1,0,INDEX($AH$4:$AH$53,(INT(37/$AF$17)+1)))</f>
        <v/>
      </c>
      <c r="AK51">
        <f>IFERROR(IF(AND($AM$27&gt;=$AF$14,$AM$27&lt;=$AF$15),10+0.5+100*($AM$27-$AF$14)/($AF$15-$AF$14),NA()),NA())</f>
        <v/>
      </c>
      <c r="AL51">
        <f>IF(ISNA($AK$51),NA(),MAX($AJ$4:$AJ$123))</f>
        <v/>
      </c>
    </row>
    <row r="52">
      <c r="B52" t="n">
        <v>622</v>
      </c>
      <c r="C52" t="n">
        <v>622.75</v>
      </c>
      <c r="D52" t="n">
        <v>43</v>
      </c>
      <c r="G52">
        <f>IF(49&lt;=$F$13,$F$14+(49-1)*$F$16,"")</f>
        <v/>
      </c>
      <c r="H52">
        <f>IF(49&gt;$F$13,"",SUMIFS($D$4:$D$203,$C$4:$C$203,"&gt;="&amp;$G$52,$C$4:$C$203,IF(49=$F$13,"&lt;=","&lt;")&amp;($G$52+$F$16)))</f>
        <v/>
      </c>
      <c r="I52">
        <f>IF(AND(MOD(38,$F$17)=0,MOD((INT(38/$F$17)+1)-1,$F$13/5)=0),TEXT(INDEX($G$4:$G$53,(INT(38/$F$17)+1)),"#,##0"),"")</f>
        <v/>
      </c>
      <c r="J52">
        <f>IF(MOD(38,$F$17)=$F$17-1,0,INDEX($H$4:$H$53,(INT(38/$F$17)+1)))</f>
        <v/>
      </c>
      <c r="O52" t="n">
        <v>14400</v>
      </c>
      <c r="P52" t="n">
        <v>14550</v>
      </c>
      <c r="Q52" t="n">
        <v>45</v>
      </c>
      <c r="T52">
        <f>IF(49&lt;=$S$13,$S$14+(49-1)*$S$16,"")</f>
        <v/>
      </c>
      <c r="U52">
        <f>IF(49&gt;$S$13,"",SUMIFS($Q$4:$Q$203,$P$4:$P$203,"&gt;="&amp;$T$52,$P$4:$P$203,IF(49=$S$13,"&lt;=","&lt;")&amp;($T$52+$S$16)))</f>
        <v/>
      </c>
      <c r="V52">
        <f>IF(AND(MOD(38,$S$17)=0,MOD((INT(38/$S$17)+1)-1,$S$13/5)=0),TEXT(INDEX($T$4:$T$53,(INT(38/$S$17)+1)),"#,##0"),"")</f>
        <v/>
      </c>
      <c r="W52">
        <f>IF(MOD(38,$S$17)=$S$17-1,0,INDEX($U$4:$U$53,(INT(38/$S$17)+1)))</f>
        <v/>
      </c>
      <c r="AB52" t="n">
        <v>7200</v>
      </c>
      <c r="AC52" t="n">
        <v>7275</v>
      </c>
      <c r="AD52" t="n">
        <v>70</v>
      </c>
      <c r="AG52">
        <f>IF(49&lt;=$AF$13,$AF$14+(49-1)*$AF$16,"")</f>
        <v/>
      </c>
      <c r="AH52">
        <f>IF(49&gt;$AF$13,"",SUMIFS($AD$4:$AD$203,$AC$4:$AC$203,"&gt;="&amp;$AG$52,$AC$4:$AC$203,IF(49=$AF$13,"&lt;=","&lt;")&amp;($AG$52+$AF$16)))</f>
        <v/>
      </c>
      <c r="AI52">
        <f>IF(AND(MOD(38,$AF$17)=0,MOD((INT(38/$AF$17)+1)-1,$AF$13/5)=0),TEXT(INDEX($AG$4:$AG$53,(INT(38/$AF$17)+1)),"#,##0"),"")</f>
        <v/>
      </c>
      <c r="AJ52">
        <f>IF(MOD(38,$AF$17)=$AF$17-1,0,INDEX($AH$4:$AH$53,(INT(38/$AF$17)+1)))</f>
        <v/>
      </c>
    </row>
    <row r="53">
      <c r="B53" t="n">
        <v>623.5</v>
      </c>
      <c r="C53" t="n">
        <v>624.25</v>
      </c>
      <c r="D53" t="n">
        <v>16</v>
      </c>
      <c r="G53">
        <f>IF(50&lt;=$F$13,$F$14+(50-1)*$F$16,"")</f>
        <v/>
      </c>
      <c r="H53">
        <f>IF(50&gt;$F$13,"",SUMIFS($D$4:$D$203,$C$4:$C$203,"&gt;="&amp;$G$53,$C$4:$C$203,IF(50=$F$13,"&lt;=","&lt;")&amp;($G$53+$F$16)))</f>
        <v/>
      </c>
      <c r="I53">
        <f>IF(AND(MOD(39,$F$17)=0,MOD((INT(39/$F$17)+1)-1,$F$13/5)=0),TEXT(INDEX($G$4:$G$53,(INT(39/$F$17)+1)),"#,##0"),"")</f>
        <v/>
      </c>
      <c r="J53">
        <f>IF(MOD(39,$F$17)=$F$17-1,0,INDEX($H$4:$H$53,(INT(39/$F$17)+1)))</f>
        <v/>
      </c>
      <c r="O53" t="n">
        <v>14700</v>
      </c>
      <c r="P53" t="n">
        <v>14850</v>
      </c>
      <c r="Q53" t="n">
        <v>35</v>
      </c>
      <c r="T53">
        <f>IF(50&lt;=$S$13,$S$14+(50-1)*$S$16,"")</f>
        <v/>
      </c>
      <c r="U53">
        <f>IF(50&gt;$S$13,"",SUMIFS($Q$4:$Q$203,$P$4:$P$203,"&gt;="&amp;$T$53,$P$4:$P$203,IF(50=$S$13,"&lt;=","&lt;")&amp;($T$53+$S$16)))</f>
        <v/>
      </c>
      <c r="V53">
        <f>IF(AND(MOD(39,$S$17)=0,MOD((INT(39/$S$17)+1)-1,$S$13/5)=0),TEXT(INDEX($T$4:$T$53,(INT(39/$S$17)+1)),"#,##0"),"")</f>
        <v/>
      </c>
      <c r="W53">
        <f>IF(MOD(39,$S$17)=$S$17-1,0,INDEX($U$4:$U$53,(INT(39/$S$17)+1)))</f>
        <v/>
      </c>
      <c r="AB53" t="n">
        <v>7350</v>
      </c>
      <c r="AC53" t="n">
        <v>7425</v>
      </c>
      <c r="AD53" t="n">
        <v>74</v>
      </c>
      <c r="AG53">
        <f>IF(50&lt;=$AF$13,$AF$14+(50-1)*$AF$16,"")</f>
        <v/>
      </c>
      <c r="AH53">
        <f>IF(50&gt;$AF$13,"",SUMIFS($AD$4:$AD$203,$AC$4:$AC$203,"&gt;="&amp;$AG$53,$AC$4:$AC$203,IF(50=$AF$13,"&lt;=","&lt;")&amp;($AG$53+$AF$16)))</f>
        <v/>
      </c>
      <c r="AI53">
        <f>IF(AND(MOD(39,$AF$17)=0,MOD((INT(39/$AF$17)+1)-1,$AF$13/5)=0),TEXT(INDEX($AG$4:$AG$53,(INT(39/$AF$17)+1)),"#,##0"),"")</f>
        <v/>
      </c>
      <c r="AJ53">
        <f>IF(MOD(39,$AF$17)=$AF$17-1,0,INDEX($AH$4:$AH$53,(INT(39/$AF$17)+1)))</f>
        <v/>
      </c>
    </row>
    <row r="54">
      <c r="B54" t="n">
        <v>625</v>
      </c>
      <c r="C54" t="n">
        <v>625.75</v>
      </c>
      <c r="D54" t="n">
        <v>46</v>
      </c>
      <c r="I54">
        <f>IF(AND(MOD(40,$F$17)=0,MOD((INT(40/$F$17)+1)-1,$F$13/5)=0),TEXT(INDEX($G$4:$G$53,(INT(40/$F$17)+1)),"#,##0"),"")</f>
        <v/>
      </c>
      <c r="J54">
        <f>IF(MOD(40,$F$17)=$F$17-1,0,INDEX($H$4:$H$53,(INT(40/$F$17)+1)))</f>
        <v/>
      </c>
      <c r="O54" t="n">
        <v>15000</v>
      </c>
      <c r="P54" t="n">
        <v>15150</v>
      </c>
      <c r="Q54" t="n">
        <v>42</v>
      </c>
      <c r="V54">
        <f>IF(AND(MOD(40,$S$17)=0,MOD((INT(40/$S$17)+1)-1,$S$13/5)=0),TEXT(INDEX($T$4:$T$53,(INT(40/$S$17)+1)),"#,##0"),"")</f>
        <v/>
      </c>
      <c r="W54">
        <f>IF(MOD(40,$S$17)=$S$17-1,0,INDEX($U$4:$U$53,(INT(40/$S$17)+1)))</f>
        <v/>
      </c>
      <c r="AB54" t="n">
        <v>7500</v>
      </c>
      <c r="AC54" t="n">
        <v>7575</v>
      </c>
      <c r="AD54" t="n">
        <v>70</v>
      </c>
      <c r="AI54">
        <f>IF(AND(MOD(40,$AF$17)=0,MOD((INT(40/$AF$17)+1)-1,$AF$13/5)=0),TEXT(INDEX($AG$4:$AG$53,(INT(40/$AF$17)+1)),"#,##0"),"")</f>
        <v/>
      </c>
      <c r="AJ54">
        <f>IF(MOD(40,$AF$17)=$AF$17-1,0,INDEX($AH$4:$AH$53,(INT(40/$AF$17)+1)))</f>
        <v/>
      </c>
    </row>
    <row r="55">
      <c r="B55" t="n">
        <v>626.5</v>
      </c>
      <c r="C55" t="n">
        <v>627.25</v>
      </c>
      <c r="D55" t="n">
        <v>24</v>
      </c>
      <c r="I55">
        <f>IF(AND(MOD(41,$F$17)=0,MOD((INT(41/$F$17)+1)-1,$F$13/5)=0),TEXT(INDEX($G$4:$G$53,(INT(41/$F$17)+1)),"#,##0"),"")</f>
        <v/>
      </c>
      <c r="J55">
        <f>IF(MOD(41,$F$17)=$F$17-1,0,INDEX($H$4:$H$53,(INT(41/$F$17)+1)))</f>
        <v/>
      </c>
      <c r="O55" t="n">
        <v>15300</v>
      </c>
      <c r="P55" t="n">
        <v>15450</v>
      </c>
      <c r="Q55" t="n">
        <v>39</v>
      </c>
      <c r="V55">
        <f>IF(AND(MOD(41,$S$17)=0,MOD((INT(41/$S$17)+1)-1,$S$13/5)=0),TEXT(INDEX($T$4:$T$53,(INT(41/$S$17)+1)),"#,##0"),"")</f>
        <v/>
      </c>
      <c r="W55">
        <f>IF(MOD(41,$S$17)=$S$17-1,0,INDEX($U$4:$U$53,(INT(41/$S$17)+1)))</f>
        <v/>
      </c>
      <c r="AB55" t="n">
        <v>7650</v>
      </c>
      <c r="AC55" t="n">
        <v>7725</v>
      </c>
      <c r="AD55" t="n">
        <v>60</v>
      </c>
      <c r="AI55">
        <f>IF(AND(MOD(41,$AF$17)=0,MOD((INT(41/$AF$17)+1)-1,$AF$13/5)=0),TEXT(INDEX($AG$4:$AG$53,(INT(41/$AF$17)+1)),"#,##0"),"")</f>
        <v/>
      </c>
      <c r="AJ55">
        <f>IF(MOD(41,$AF$17)=$AF$17-1,0,INDEX($AH$4:$AH$53,(INT(41/$AF$17)+1)))</f>
        <v/>
      </c>
    </row>
    <row r="56">
      <c r="B56" t="n">
        <v>628</v>
      </c>
      <c r="C56" t="n">
        <v>628.75</v>
      </c>
      <c r="D56" t="n">
        <v>56</v>
      </c>
      <c r="I56">
        <f>IF(AND(MOD(42,$F$17)=0,MOD((INT(42/$F$17)+1)-1,$F$13/5)=0),TEXT(INDEX($G$4:$G$53,(INT(42/$F$17)+1)),"#,##0"),"")</f>
        <v/>
      </c>
      <c r="J56">
        <f>IF(MOD(42,$F$17)=$F$17-1,0,INDEX($H$4:$H$53,(INT(42/$F$17)+1)))</f>
        <v/>
      </c>
      <c r="O56" t="n">
        <v>15600</v>
      </c>
      <c r="P56" t="n">
        <v>15750</v>
      </c>
      <c r="Q56" t="n">
        <v>42</v>
      </c>
      <c r="V56">
        <f>IF(AND(MOD(42,$S$17)=0,MOD((INT(42/$S$17)+1)-1,$S$13/5)=0),TEXT(INDEX($T$4:$T$53,(INT(42/$S$17)+1)),"#,##0"),"")</f>
        <v/>
      </c>
      <c r="W56">
        <f>IF(MOD(42,$S$17)=$S$17-1,0,INDEX($U$4:$U$53,(INT(42/$S$17)+1)))</f>
        <v/>
      </c>
      <c r="AB56" t="n">
        <v>7800</v>
      </c>
      <c r="AC56" t="n">
        <v>7875</v>
      </c>
      <c r="AD56" t="n">
        <v>69</v>
      </c>
      <c r="AI56">
        <f>IF(AND(MOD(42,$AF$17)=0,MOD((INT(42/$AF$17)+1)-1,$AF$13/5)=0),TEXT(INDEX($AG$4:$AG$53,(INT(42/$AF$17)+1)),"#,##0"),"")</f>
        <v/>
      </c>
      <c r="AJ56">
        <f>IF(MOD(42,$AF$17)=$AF$17-1,0,INDEX($AH$4:$AH$53,(INT(42/$AF$17)+1)))</f>
        <v/>
      </c>
    </row>
    <row r="57">
      <c r="B57" t="n">
        <v>629.5</v>
      </c>
      <c r="C57" t="n">
        <v>630.25</v>
      </c>
      <c r="D57" t="n">
        <v>28</v>
      </c>
      <c r="I57">
        <f>IF(AND(MOD(43,$F$17)=0,MOD((INT(43/$F$17)+1)-1,$F$13/5)=0),TEXT(INDEX($G$4:$G$53,(INT(43/$F$17)+1)),"#,##0"),"")</f>
        <v/>
      </c>
      <c r="J57">
        <f>IF(MOD(43,$F$17)=$F$17-1,0,INDEX($H$4:$H$53,(INT(43/$F$17)+1)))</f>
        <v/>
      </c>
      <c r="O57" t="n">
        <v>15900</v>
      </c>
      <c r="P57" t="n">
        <v>16050</v>
      </c>
      <c r="Q57" t="n">
        <v>44</v>
      </c>
      <c r="V57">
        <f>IF(AND(MOD(43,$S$17)=0,MOD((INT(43/$S$17)+1)-1,$S$13/5)=0),TEXT(INDEX($T$4:$T$53,(INT(43/$S$17)+1)),"#,##0"),"")</f>
        <v/>
      </c>
      <c r="W57">
        <f>IF(MOD(43,$S$17)=$S$17-1,0,INDEX($U$4:$U$53,(INT(43/$S$17)+1)))</f>
        <v/>
      </c>
      <c r="AB57" t="n">
        <v>7950</v>
      </c>
      <c r="AC57" t="n">
        <v>8025</v>
      </c>
      <c r="AD57" t="n">
        <v>61</v>
      </c>
      <c r="AI57">
        <f>IF(AND(MOD(43,$AF$17)=0,MOD((INT(43/$AF$17)+1)-1,$AF$13/5)=0),TEXT(INDEX($AG$4:$AG$53,(INT(43/$AF$17)+1)),"#,##0"),"")</f>
        <v/>
      </c>
      <c r="AJ57">
        <f>IF(MOD(43,$AF$17)=$AF$17-1,0,INDEX($AH$4:$AH$53,(INT(43/$AF$17)+1)))</f>
        <v/>
      </c>
    </row>
    <row r="58">
      <c r="B58" t="n">
        <v>631</v>
      </c>
      <c r="C58" t="n">
        <v>631.75</v>
      </c>
      <c r="D58" t="n">
        <v>58</v>
      </c>
      <c r="I58">
        <f>IF(AND(MOD(44,$F$17)=0,MOD((INT(44/$F$17)+1)-1,$F$13/5)=0),TEXT(INDEX($G$4:$G$53,(INT(44/$F$17)+1)),"#,##0"),"")</f>
        <v/>
      </c>
      <c r="J58">
        <f>IF(MOD(44,$F$17)=$F$17-1,0,INDEX($H$4:$H$53,(INT(44/$F$17)+1)))</f>
        <v/>
      </c>
      <c r="O58" t="n">
        <v>16200</v>
      </c>
      <c r="P58" t="n">
        <v>16350</v>
      </c>
      <c r="Q58" t="n">
        <v>44</v>
      </c>
      <c r="V58">
        <f>IF(AND(MOD(44,$S$17)=0,MOD((INT(44/$S$17)+1)-1,$S$13/5)=0),TEXT(INDEX($T$4:$T$53,(INT(44/$S$17)+1)),"#,##0"),"")</f>
        <v/>
      </c>
      <c r="W58">
        <f>IF(MOD(44,$S$17)=$S$17-1,0,INDEX($U$4:$U$53,(INT(44/$S$17)+1)))</f>
        <v/>
      </c>
      <c r="AB58" t="n">
        <v>8100</v>
      </c>
      <c r="AC58" t="n">
        <v>8175</v>
      </c>
      <c r="AD58" t="n">
        <v>64</v>
      </c>
      <c r="AI58">
        <f>IF(AND(MOD(44,$AF$17)=0,MOD((INT(44/$AF$17)+1)-1,$AF$13/5)=0),TEXT(INDEX($AG$4:$AG$53,(INT(44/$AF$17)+1)),"#,##0"),"")</f>
        <v/>
      </c>
      <c r="AJ58">
        <f>IF(MOD(44,$AF$17)=$AF$17-1,0,INDEX($AH$4:$AH$53,(INT(44/$AF$17)+1)))</f>
        <v/>
      </c>
    </row>
    <row r="59">
      <c r="B59" t="n">
        <v>632.5</v>
      </c>
      <c r="C59" t="n">
        <v>633.25</v>
      </c>
      <c r="D59" t="n">
        <v>27</v>
      </c>
      <c r="I59">
        <f>IF(AND(MOD(45,$F$17)=0,MOD((INT(45/$F$17)+1)-1,$F$13/5)=0),TEXT(INDEX($G$4:$G$53,(INT(45/$F$17)+1)),"#,##0"),"")</f>
        <v/>
      </c>
      <c r="J59">
        <f>IF(MOD(45,$F$17)=$F$17-1,0,INDEX($H$4:$H$53,(INT(45/$F$17)+1)))</f>
        <v/>
      </c>
      <c r="O59" t="n">
        <v>16500</v>
      </c>
      <c r="P59" t="n">
        <v>16650</v>
      </c>
      <c r="Q59" t="n">
        <v>50</v>
      </c>
      <c r="V59">
        <f>IF(AND(MOD(45,$S$17)=0,MOD((INT(45/$S$17)+1)-1,$S$13/5)=0),TEXT(INDEX($T$4:$T$53,(INT(45/$S$17)+1)),"#,##0"),"")</f>
        <v/>
      </c>
      <c r="W59">
        <f>IF(MOD(45,$S$17)=$S$17-1,0,INDEX($U$4:$U$53,(INT(45/$S$17)+1)))</f>
        <v/>
      </c>
      <c r="AB59" t="n">
        <v>8250</v>
      </c>
      <c r="AC59" t="n">
        <v>8325</v>
      </c>
      <c r="AD59" t="n">
        <v>76</v>
      </c>
      <c r="AI59">
        <f>IF(AND(MOD(45,$AF$17)=0,MOD((INT(45/$AF$17)+1)-1,$AF$13/5)=0),TEXT(INDEX($AG$4:$AG$53,(INT(45/$AF$17)+1)),"#,##0"),"")</f>
        <v/>
      </c>
      <c r="AJ59">
        <f>IF(MOD(45,$AF$17)=$AF$17-1,0,INDEX($AH$4:$AH$53,(INT(45/$AF$17)+1)))</f>
        <v/>
      </c>
    </row>
    <row r="60">
      <c r="B60" t="n">
        <v>634</v>
      </c>
      <c r="C60" t="n">
        <v>634.75</v>
      </c>
      <c r="D60" t="n">
        <v>52</v>
      </c>
      <c r="I60">
        <f>IF(AND(MOD(46,$F$17)=0,MOD((INT(46/$F$17)+1)-1,$F$13/5)=0),TEXT(INDEX($G$4:$G$53,(INT(46/$F$17)+1)),"#,##0"),"")</f>
        <v/>
      </c>
      <c r="J60">
        <f>IF(MOD(46,$F$17)=$F$17-1,0,INDEX($H$4:$H$53,(INT(46/$F$17)+1)))</f>
        <v/>
      </c>
      <c r="O60" t="n">
        <v>16800</v>
      </c>
      <c r="P60" t="n">
        <v>16950</v>
      </c>
      <c r="Q60" t="n">
        <v>47</v>
      </c>
      <c r="V60">
        <f>IF(AND(MOD(46,$S$17)=0,MOD((INT(46/$S$17)+1)-1,$S$13/5)=0),TEXT(INDEX($T$4:$T$53,(INT(46/$S$17)+1)),"#,##0"),"")</f>
        <v/>
      </c>
      <c r="W60">
        <f>IF(MOD(46,$S$17)=$S$17-1,0,INDEX($U$4:$U$53,(INT(46/$S$17)+1)))</f>
        <v/>
      </c>
      <c r="AB60" t="n">
        <v>8400</v>
      </c>
      <c r="AC60" t="n">
        <v>8475</v>
      </c>
      <c r="AD60" t="n">
        <v>68</v>
      </c>
      <c r="AI60">
        <f>IF(AND(MOD(46,$AF$17)=0,MOD((INT(46/$AF$17)+1)-1,$AF$13/5)=0),TEXT(INDEX($AG$4:$AG$53,(INT(46/$AF$17)+1)),"#,##0"),"")</f>
        <v/>
      </c>
      <c r="AJ60">
        <f>IF(MOD(46,$AF$17)=$AF$17-1,0,INDEX($AH$4:$AH$53,(INT(46/$AF$17)+1)))</f>
        <v/>
      </c>
    </row>
    <row r="61">
      <c r="B61" t="n">
        <v>635.5</v>
      </c>
      <c r="C61" t="n">
        <v>636.25</v>
      </c>
      <c r="D61" t="n">
        <v>29</v>
      </c>
      <c r="I61">
        <f>IF(AND(MOD(47,$F$17)=0,MOD((INT(47/$F$17)+1)-1,$F$13/5)=0),TEXT(INDEX($G$4:$G$53,(INT(47/$F$17)+1)),"#,##0"),"")</f>
        <v/>
      </c>
      <c r="J61">
        <f>IF(MOD(47,$F$17)=$F$17-1,0,INDEX($H$4:$H$53,(INT(47/$F$17)+1)))</f>
        <v/>
      </c>
      <c r="O61" t="n">
        <v>17100</v>
      </c>
      <c r="P61" t="n">
        <v>17250</v>
      </c>
      <c r="Q61" t="n">
        <v>47</v>
      </c>
      <c r="V61">
        <f>IF(AND(MOD(47,$S$17)=0,MOD((INT(47/$S$17)+1)-1,$S$13/5)=0),TEXT(INDEX($T$4:$T$53,(INT(47/$S$17)+1)),"#,##0"),"")</f>
        <v/>
      </c>
      <c r="W61">
        <f>IF(MOD(47,$S$17)=$S$17-1,0,INDEX($U$4:$U$53,(INT(47/$S$17)+1)))</f>
        <v/>
      </c>
      <c r="AB61" t="n">
        <v>8550</v>
      </c>
      <c r="AC61" t="n">
        <v>8625</v>
      </c>
      <c r="AD61" t="n">
        <v>81</v>
      </c>
      <c r="AI61">
        <f>IF(AND(MOD(47,$AF$17)=0,MOD((INT(47/$AF$17)+1)-1,$AF$13/5)=0),TEXT(INDEX($AG$4:$AG$53,(INT(47/$AF$17)+1)),"#,##0"),"")</f>
        <v/>
      </c>
      <c r="AJ61">
        <f>IF(MOD(47,$AF$17)=$AF$17-1,0,INDEX($AH$4:$AH$53,(INT(47/$AF$17)+1)))</f>
        <v/>
      </c>
    </row>
    <row r="62">
      <c r="B62" t="n">
        <v>637</v>
      </c>
      <c r="C62" t="n">
        <v>637.75</v>
      </c>
      <c r="D62" t="n">
        <v>65</v>
      </c>
      <c r="I62">
        <f>IF(AND(MOD(48,$F$17)=0,MOD((INT(48/$F$17)+1)-1,$F$13/5)=0),TEXT(INDEX($G$4:$G$53,(INT(48/$F$17)+1)),"#,##0"),"")</f>
        <v/>
      </c>
      <c r="J62">
        <f>IF(MOD(48,$F$17)=$F$17-1,0,INDEX($H$4:$H$53,(INT(48/$F$17)+1)))</f>
        <v/>
      </c>
      <c r="O62" t="n">
        <v>17400</v>
      </c>
      <c r="P62" t="n">
        <v>17550</v>
      </c>
      <c r="Q62" t="n">
        <v>37</v>
      </c>
      <c r="V62">
        <f>IF(AND(MOD(48,$S$17)=0,MOD((INT(48/$S$17)+1)-1,$S$13/5)=0),TEXT(INDEX($T$4:$T$53,(INT(48/$S$17)+1)),"#,##0"),"")</f>
        <v/>
      </c>
      <c r="W62">
        <f>IF(MOD(48,$S$17)=$S$17-1,0,INDEX($U$4:$U$53,(INT(48/$S$17)+1)))</f>
        <v/>
      </c>
      <c r="AB62" t="n">
        <v>8700</v>
      </c>
      <c r="AC62" t="n">
        <v>8775</v>
      </c>
      <c r="AD62" t="n">
        <v>74</v>
      </c>
      <c r="AI62">
        <f>IF(AND(MOD(48,$AF$17)=0,MOD((INT(48/$AF$17)+1)-1,$AF$13/5)=0),TEXT(INDEX($AG$4:$AG$53,(INT(48/$AF$17)+1)),"#,##0"),"")</f>
        <v/>
      </c>
      <c r="AJ62">
        <f>IF(MOD(48,$AF$17)=$AF$17-1,0,INDEX($AH$4:$AH$53,(INT(48/$AF$17)+1)))</f>
        <v/>
      </c>
    </row>
    <row r="63">
      <c r="B63" t="n">
        <v>638.5</v>
      </c>
      <c r="C63" t="n">
        <v>639.25</v>
      </c>
      <c r="D63" t="n">
        <v>20</v>
      </c>
      <c r="I63">
        <f>IF(AND(MOD(49,$F$17)=0,MOD((INT(49/$F$17)+1)-1,$F$13/5)=0),TEXT(INDEX($G$4:$G$53,(INT(49/$F$17)+1)),"#,##0"),"")</f>
        <v/>
      </c>
      <c r="J63">
        <f>IF(MOD(49,$F$17)=$F$17-1,0,INDEX($H$4:$H$53,(INT(49/$F$17)+1)))</f>
        <v/>
      </c>
      <c r="O63" t="n">
        <v>17700</v>
      </c>
      <c r="P63" t="n">
        <v>17850</v>
      </c>
      <c r="Q63" t="n">
        <v>42</v>
      </c>
      <c r="V63">
        <f>IF(AND(MOD(49,$S$17)=0,MOD((INT(49/$S$17)+1)-1,$S$13/5)=0),TEXT(INDEX($T$4:$T$53,(INT(49/$S$17)+1)),"#,##0"),"")</f>
        <v/>
      </c>
      <c r="W63">
        <f>IF(MOD(49,$S$17)=$S$17-1,0,INDEX($U$4:$U$53,(INT(49/$S$17)+1)))</f>
        <v/>
      </c>
      <c r="AB63" t="n">
        <v>8850</v>
      </c>
      <c r="AC63" t="n">
        <v>8925</v>
      </c>
      <c r="AD63" t="n">
        <v>88</v>
      </c>
      <c r="AI63">
        <f>IF(AND(MOD(49,$AF$17)=0,MOD((INT(49/$AF$17)+1)-1,$AF$13/5)=0),TEXT(INDEX($AG$4:$AG$53,(INT(49/$AF$17)+1)),"#,##0"),"")</f>
        <v/>
      </c>
      <c r="AJ63">
        <f>IF(MOD(49,$AF$17)=$AF$17-1,0,INDEX($AH$4:$AH$53,(INT(49/$AF$17)+1)))</f>
        <v/>
      </c>
    </row>
    <row r="64">
      <c r="B64" t="n">
        <v>640</v>
      </c>
      <c r="C64" t="n">
        <v>640.75</v>
      </c>
      <c r="D64" t="n">
        <v>67</v>
      </c>
      <c r="I64">
        <f>IF(AND(MOD(50,$F$17)=0,MOD((INT(50/$F$17)+1)-1,$F$13/5)=0),TEXT(INDEX($G$4:$G$53,(INT(50/$F$17)+1)),"#,##0"),"")</f>
        <v/>
      </c>
      <c r="J64">
        <f>IF(MOD(50,$F$17)=$F$17-1,0,INDEX($H$4:$H$53,(INT(50/$F$17)+1)))</f>
        <v/>
      </c>
      <c r="O64" t="n">
        <v>18000</v>
      </c>
      <c r="P64" t="n">
        <v>18150</v>
      </c>
      <c r="Q64" t="n">
        <v>45</v>
      </c>
      <c r="V64">
        <f>IF(AND(MOD(50,$S$17)=0,MOD((INT(50/$S$17)+1)-1,$S$13/5)=0),TEXT(INDEX($T$4:$T$53,(INT(50/$S$17)+1)),"#,##0"),"")</f>
        <v/>
      </c>
      <c r="W64">
        <f>IF(MOD(50,$S$17)=$S$17-1,0,INDEX($U$4:$U$53,(INT(50/$S$17)+1)))</f>
        <v/>
      </c>
      <c r="AB64" t="n">
        <v>9000</v>
      </c>
      <c r="AC64" t="n">
        <v>9075</v>
      </c>
      <c r="AD64" t="n">
        <v>80</v>
      </c>
      <c r="AI64">
        <f>IF(AND(MOD(50,$AF$17)=0,MOD((INT(50/$AF$17)+1)-1,$AF$13/5)=0),TEXT(INDEX($AG$4:$AG$53,(INT(50/$AF$17)+1)),"#,##0"),"")</f>
        <v/>
      </c>
      <c r="AJ64">
        <f>IF(MOD(50,$AF$17)=$AF$17-1,0,INDEX($AH$4:$AH$53,(INT(50/$AF$17)+1)))</f>
        <v/>
      </c>
    </row>
    <row r="65">
      <c r="B65" t="n">
        <v>641.5</v>
      </c>
      <c r="C65" t="n">
        <v>642.25</v>
      </c>
      <c r="D65" t="n">
        <v>34</v>
      </c>
      <c r="I65">
        <f>IF(AND(MOD(51,$F$17)=0,MOD((INT(51/$F$17)+1)-1,$F$13/5)=0),TEXT(INDEX($G$4:$G$53,(INT(51/$F$17)+1)),"#,##0"),"")</f>
        <v/>
      </c>
      <c r="J65">
        <f>IF(MOD(51,$F$17)=$F$17-1,0,INDEX($H$4:$H$53,(INT(51/$F$17)+1)))</f>
        <v/>
      </c>
      <c r="O65" t="n">
        <v>18300</v>
      </c>
      <c r="P65" t="n">
        <v>18450</v>
      </c>
      <c r="Q65" t="n">
        <v>47</v>
      </c>
      <c r="V65">
        <f>IF(AND(MOD(51,$S$17)=0,MOD((INT(51/$S$17)+1)-1,$S$13/5)=0),TEXT(INDEX($T$4:$T$53,(INT(51/$S$17)+1)),"#,##0"),"")</f>
        <v/>
      </c>
      <c r="W65">
        <f>IF(MOD(51,$S$17)=$S$17-1,0,INDEX($U$4:$U$53,(INT(51/$S$17)+1)))</f>
        <v/>
      </c>
      <c r="AB65" t="n">
        <v>9150</v>
      </c>
      <c r="AC65" t="n">
        <v>9225</v>
      </c>
      <c r="AD65" t="n">
        <v>77</v>
      </c>
      <c r="AI65">
        <f>IF(AND(MOD(51,$AF$17)=0,MOD((INT(51/$AF$17)+1)-1,$AF$13/5)=0),TEXT(INDEX($AG$4:$AG$53,(INT(51/$AF$17)+1)),"#,##0"),"")</f>
        <v/>
      </c>
      <c r="AJ65">
        <f>IF(MOD(51,$AF$17)=$AF$17-1,0,INDEX($AH$4:$AH$53,(INT(51/$AF$17)+1)))</f>
        <v/>
      </c>
    </row>
    <row r="66">
      <c r="B66" t="n">
        <v>643</v>
      </c>
      <c r="C66" t="n">
        <v>643.75</v>
      </c>
      <c r="D66" t="n">
        <v>78</v>
      </c>
      <c r="I66">
        <f>IF(AND(MOD(52,$F$17)=0,MOD((INT(52/$F$17)+1)-1,$F$13/5)=0),TEXT(INDEX($G$4:$G$53,(INT(52/$F$17)+1)),"#,##0"),"")</f>
        <v/>
      </c>
      <c r="J66">
        <f>IF(MOD(52,$F$17)=$F$17-1,0,INDEX($H$4:$H$53,(INT(52/$F$17)+1)))</f>
        <v/>
      </c>
      <c r="O66" t="n">
        <v>18600</v>
      </c>
      <c r="P66" t="n">
        <v>18750</v>
      </c>
      <c r="Q66" t="n">
        <v>58</v>
      </c>
      <c r="V66">
        <f>IF(AND(MOD(52,$S$17)=0,MOD((INT(52/$S$17)+1)-1,$S$13/5)=0),TEXT(INDEX($T$4:$T$53,(INT(52/$S$17)+1)),"#,##0"),"")</f>
        <v/>
      </c>
      <c r="W66">
        <f>IF(MOD(52,$S$17)=$S$17-1,0,INDEX($U$4:$U$53,(INT(52/$S$17)+1)))</f>
        <v/>
      </c>
      <c r="AB66" t="n">
        <v>9300</v>
      </c>
      <c r="AC66" t="n">
        <v>9375</v>
      </c>
      <c r="AD66" t="n">
        <v>85</v>
      </c>
      <c r="AI66">
        <f>IF(AND(MOD(52,$AF$17)=0,MOD((INT(52/$AF$17)+1)-1,$AF$13/5)=0),TEXT(INDEX($AG$4:$AG$53,(INT(52/$AF$17)+1)),"#,##0"),"")</f>
        <v/>
      </c>
      <c r="AJ66">
        <f>IF(MOD(52,$AF$17)=$AF$17-1,0,INDEX($AH$4:$AH$53,(INT(52/$AF$17)+1)))</f>
        <v/>
      </c>
    </row>
    <row r="67">
      <c r="B67" t="n">
        <v>644.5</v>
      </c>
      <c r="C67" t="n">
        <v>645.25</v>
      </c>
      <c r="D67" t="n">
        <v>34</v>
      </c>
      <c r="I67">
        <f>IF(AND(MOD(53,$F$17)=0,MOD((INT(53/$F$17)+1)-1,$F$13/5)=0),TEXT(INDEX($G$4:$G$53,(INT(53/$F$17)+1)),"#,##0"),"")</f>
        <v/>
      </c>
      <c r="J67">
        <f>IF(MOD(53,$F$17)=$F$17-1,0,INDEX($H$4:$H$53,(INT(53/$F$17)+1)))</f>
        <v/>
      </c>
      <c r="O67" t="n">
        <v>18900</v>
      </c>
      <c r="P67" t="n">
        <v>19050</v>
      </c>
      <c r="Q67" t="n">
        <v>40</v>
      </c>
      <c r="V67">
        <f>IF(AND(MOD(53,$S$17)=0,MOD((INT(53/$S$17)+1)-1,$S$13/5)=0),TEXT(INDEX($T$4:$T$53,(INT(53/$S$17)+1)),"#,##0"),"")</f>
        <v/>
      </c>
      <c r="W67">
        <f>IF(MOD(53,$S$17)=$S$17-1,0,INDEX($U$4:$U$53,(INT(53/$S$17)+1)))</f>
        <v/>
      </c>
      <c r="AB67" t="n">
        <v>9450</v>
      </c>
      <c r="AC67" t="n">
        <v>9525</v>
      </c>
      <c r="AD67" t="n">
        <v>66</v>
      </c>
      <c r="AI67">
        <f>IF(AND(MOD(53,$AF$17)=0,MOD((INT(53/$AF$17)+1)-1,$AF$13/5)=0),TEXT(INDEX($AG$4:$AG$53,(INT(53/$AF$17)+1)),"#,##0"),"")</f>
        <v/>
      </c>
      <c r="AJ67">
        <f>IF(MOD(53,$AF$17)=$AF$17-1,0,INDEX($AH$4:$AH$53,(INT(53/$AF$17)+1)))</f>
        <v/>
      </c>
    </row>
    <row r="68">
      <c r="B68" t="n">
        <v>646</v>
      </c>
      <c r="C68" t="n">
        <v>646.75</v>
      </c>
      <c r="D68" t="n">
        <v>67</v>
      </c>
      <c r="I68">
        <f>IF(AND(MOD(54,$F$17)=0,MOD((INT(54/$F$17)+1)-1,$F$13/5)=0),TEXT(INDEX($G$4:$G$53,(INT(54/$F$17)+1)),"#,##0"),"")</f>
        <v/>
      </c>
      <c r="J68">
        <f>IF(MOD(54,$F$17)=$F$17-1,0,INDEX($H$4:$H$53,(INT(54/$F$17)+1)))</f>
        <v/>
      </c>
      <c r="O68" t="n">
        <v>19200</v>
      </c>
      <c r="P68" t="n">
        <v>19350</v>
      </c>
      <c r="Q68" t="n">
        <v>52</v>
      </c>
      <c r="V68">
        <f>IF(AND(MOD(54,$S$17)=0,MOD((INT(54/$S$17)+1)-1,$S$13/5)=0),TEXT(INDEX($T$4:$T$53,(INT(54/$S$17)+1)),"#,##0"),"")</f>
        <v/>
      </c>
      <c r="W68">
        <f>IF(MOD(54,$S$17)=$S$17-1,0,INDEX($U$4:$U$53,(INT(54/$S$17)+1)))</f>
        <v/>
      </c>
      <c r="AB68" t="n">
        <v>9600</v>
      </c>
      <c r="AC68" t="n">
        <v>9675</v>
      </c>
      <c r="AD68" t="n">
        <v>72</v>
      </c>
      <c r="AI68">
        <f>IF(AND(MOD(54,$AF$17)=0,MOD((INT(54/$AF$17)+1)-1,$AF$13/5)=0),TEXT(INDEX($AG$4:$AG$53,(INT(54/$AF$17)+1)),"#,##0"),"")</f>
        <v/>
      </c>
      <c r="AJ68">
        <f>IF(MOD(54,$AF$17)=$AF$17-1,0,INDEX($AH$4:$AH$53,(INT(54/$AF$17)+1)))</f>
        <v/>
      </c>
    </row>
    <row r="69">
      <c r="B69" t="n">
        <v>647.5</v>
      </c>
      <c r="C69" t="n">
        <v>648.25</v>
      </c>
      <c r="D69" t="n">
        <v>20</v>
      </c>
      <c r="I69">
        <f>IF(AND(MOD(55,$F$17)=0,MOD((INT(55/$F$17)+1)-1,$F$13/5)=0),TEXT(INDEX($G$4:$G$53,(INT(55/$F$17)+1)),"#,##0"),"")</f>
        <v/>
      </c>
      <c r="J69">
        <f>IF(MOD(55,$F$17)=$F$17-1,0,INDEX($H$4:$H$53,(INT(55/$F$17)+1)))</f>
        <v/>
      </c>
      <c r="O69" t="n">
        <v>19500</v>
      </c>
      <c r="P69" t="n">
        <v>19650</v>
      </c>
      <c r="Q69" t="n">
        <v>53</v>
      </c>
      <c r="V69">
        <f>IF(AND(MOD(55,$S$17)=0,MOD((INT(55/$S$17)+1)-1,$S$13/5)=0),TEXT(INDEX($T$4:$T$53,(INT(55/$S$17)+1)),"#,##0"),"")</f>
        <v/>
      </c>
      <c r="W69">
        <f>IF(MOD(55,$S$17)=$S$17-1,0,INDEX($U$4:$U$53,(INT(55/$S$17)+1)))</f>
        <v/>
      </c>
      <c r="AB69" t="n">
        <v>9750</v>
      </c>
      <c r="AC69" t="n">
        <v>9825</v>
      </c>
      <c r="AD69" t="n">
        <v>81</v>
      </c>
      <c r="AI69">
        <f>IF(AND(MOD(55,$AF$17)=0,MOD((INT(55/$AF$17)+1)-1,$AF$13/5)=0),TEXT(INDEX($AG$4:$AG$53,(INT(55/$AF$17)+1)),"#,##0"),"")</f>
        <v/>
      </c>
      <c r="AJ69">
        <f>IF(MOD(55,$AF$17)=$AF$17-1,0,INDEX($AH$4:$AH$53,(INT(55/$AF$17)+1)))</f>
        <v/>
      </c>
    </row>
    <row r="70">
      <c r="B70" t="n">
        <v>649</v>
      </c>
      <c r="C70" t="n">
        <v>649.75</v>
      </c>
      <c r="D70" t="n">
        <v>76</v>
      </c>
      <c r="I70">
        <f>IF(AND(MOD(56,$F$17)=0,MOD((INT(56/$F$17)+1)-1,$F$13/5)=0),TEXT(INDEX($G$4:$G$53,(INT(56/$F$17)+1)),"#,##0"),"")</f>
        <v/>
      </c>
      <c r="J70">
        <f>IF(MOD(56,$F$17)=$F$17-1,0,INDEX($H$4:$H$53,(INT(56/$F$17)+1)))</f>
        <v/>
      </c>
      <c r="O70" t="n">
        <v>19800</v>
      </c>
      <c r="P70" t="n">
        <v>19950</v>
      </c>
      <c r="Q70" t="n">
        <v>33</v>
      </c>
      <c r="V70">
        <f>IF(AND(MOD(56,$S$17)=0,MOD((INT(56/$S$17)+1)-1,$S$13/5)=0),TEXT(INDEX($T$4:$T$53,(INT(56/$S$17)+1)),"#,##0"),"")</f>
        <v/>
      </c>
      <c r="W70">
        <f>IF(MOD(56,$S$17)=$S$17-1,0,INDEX($U$4:$U$53,(INT(56/$S$17)+1)))</f>
        <v/>
      </c>
      <c r="AB70" t="n">
        <v>9900</v>
      </c>
      <c r="AC70" t="n">
        <v>9975</v>
      </c>
      <c r="AD70" t="n">
        <v>66</v>
      </c>
      <c r="AI70">
        <f>IF(AND(MOD(56,$AF$17)=0,MOD((INT(56/$AF$17)+1)-1,$AF$13/5)=0),TEXT(INDEX($AG$4:$AG$53,(INT(56/$AF$17)+1)),"#,##0"),"")</f>
        <v/>
      </c>
      <c r="AJ70">
        <f>IF(MOD(56,$AF$17)=$AF$17-1,0,INDEX($AH$4:$AH$53,(INT(56/$AF$17)+1)))</f>
        <v/>
      </c>
    </row>
    <row r="71">
      <c r="B71" t="n">
        <v>650.5</v>
      </c>
      <c r="C71" t="n">
        <v>651.25</v>
      </c>
      <c r="D71" t="n">
        <v>30</v>
      </c>
      <c r="I71">
        <f>IF(AND(MOD(57,$F$17)=0,MOD((INT(57/$F$17)+1)-1,$F$13/5)=0),TEXT(INDEX($G$4:$G$53,(INT(57/$F$17)+1)),"#,##0"),"")</f>
        <v/>
      </c>
      <c r="J71">
        <f>IF(MOD(57,$F$17)=$F$17-1,0,INDEX($H$4:$H$53,(INT(57/$F$17)+1)))</f>
        <v/>
      </c>
      <c r="O71" t="n">
        <v>20100</v>
      </c>
      <c r="P71" t="n">
        <v>20250</v>
      </c>
      <c r="Q71" t="n">
        <v>39</v>
      </c>
      <c r="V71">
        <f>IF(AND(MOD(57,$S$17)=0,MOD((INT(57/$S$17)+1)-1,$S$13/5)=0),TEXT(INDEX($T$4:$T$53,(INT(57/$S$17)+1)),"#,##0"),"")</f>
        <v/>
      </c>
      <c r="W71">
        <f>IF(MOD(57,$S$17)=$S$17-1,0,INDEX($U$4:$U$53,(INT(57/$S$17)+1)))</f>
        <v/>
      </c>
      <c r="AB71" t="n">
        <v>10050</v>
      </c>
      <c r="AC71" t="n">
        <v>10125</v>
      </c>
      <c r="AD71" t="n">
        <v>73</v>
      </c>
      <c r="AI71">
        <f>IF(AND(MOD(57,$AF$17)=0,MOD((INT(57/$AF$17)+1)-1,$AF$13/5)=0),TEXT(INDEX($AG$4:$AG$53,(INT(57/$AF$17)+1)),"#,##0"),"")</f>
        <v/>
      </c>
      <c r="AJ71">
        <f>IF(MOD(57,$AF$17)=$AF$17-1,0,INDEX($AH$4:$AH$53,(INT(57/$AF$17)+1)))</f>
        <v/>
      </c>
    </row>
    <row r="72">
      <c r="B72" t="n">
        <v>652</v>
      </c>
      <c r="C72" t="n">
        <v>652.75</v>
      </c>
      <c r="D72" t="n">
        <v>74</v>
      </c>
      <c r="I72">
        <f>IF(AND(MOD(58,$F$17)=0,MOD((INT(58/$F$17)+1)-1,$F$13/5)=0),TEXT(INDEX($G$4:$G$53,(INT(58/$F$17)+1)),"#,##0"),"")</f>
        <v/>
      </c>
      <c r="J72">
        <f>IF(MOD(58,$F$17)=$F$17-1,0,INDEX($H$4:$H$53,(INT(58/$F$17)+1)))</f>
        <v/>
      </c>
      <c r="O72" t="n">
        <v>20400</v>
      </c>
      <c r="P72" t="n">
        <v>20550</v>
      </c>
      <c r="Q72" t="n">
        <v>39</v>
      </c>
      <c r="V72">
        <f>IF(AND(MOD(58,$S$17)=0,MOD((INT(58/$S$17)+1)-1,$S$13/5)=0),TEXT(INDEX($T$4:$T$53,(INT(58/$S$17)+1)),"#,##0"),"")</f>
        <v/>
      </c>
      <c r="W72">
        <f>IF(MOD(58,$S$17)=$S$17-1,0,INDEX($U$4:$U$53,(INT(58/$S$17)+1)))</f>
        <v/>
      </c>
      <c r="AB72" t="n">
        <v>10200</v>
      </c>
      <c r="AC72" t="n">
        <v>10275</v>
      </c>
      <c r="AD72" t="n">
        <v>78</v>
      </c>
      <c r="AI72">
        <f>IF(AND(MOD(58,$AF$17)=0,MOD((INT(58/$AF$17)+1)-1,$AF$13/5)=0),TEXT(INDEX($AG$4:$AG$53,(INT(58/$AF$17)+1)),"#,##0"),"")</f>
        <v/>
      </c>
      <c r="AJ72">
        <f>IF(MOD(58,$AF$17)=$AF$17-1,0,INDEX($AH$4:$AH$53,(INT(58/$AF$17)+1)))</f>
        <v/>
      </c>
    </row>
    <row r="73">
      <c r="B73" t="n">
        <v>653.5</v>
      </c>
      <c r="C73" t="n">
        <v>654.25</v>
      </c>
      <c r="D73" t="n">
        <v>50</v>
      </c>
      <c r="I73">
        <f>IF(AND(MOD(59,$F$17)=0,MOD((INT(59/$F$17)+1)-1,$F$13/5)=0),TEXT(INDEX($G$4:$G$53,(INT(59/$F$17)+1)),"#,##0"),"")</f>
        <v/>
      </c>
      <c r="J73">
        <f>IF(MOD(59,$F$17)=$F$17-1,0,INDEX($H$4:$H$53,(INT(59/$F$17)+1)))</f>
        <v/>
      </c>
      <c r="O73" t="n">
        <v>20700</v>
      </c>
      <c r="P73" t="n">
        <v>20850</v>
      </c>
      <c r="Q73" t="n">
        <v>41</v>
      </c>
      <c r="V73">
        <f>IF(AND(MOD(59,$S$17)=0,MOD((INT(59/$S$17)+1)-1,$S$13/5)=0),TEXT(INDEX($T$4:$T$53,(INT(59/$S$17)+1)),"#,##0"),"")</f>
        <v/>
      </c>
      <c r="W73">
        <f>IF(MOD(59,$S$17)=$S$17-1,0,INDEX($U$4:$U$53,(INT(59/$S$17)+1)))</f>
        <v/>
      </c>
      <c r="AB73" t="n">
        <v>10350</v>
      </c>
      <c r="AC73" t="n">
        <v>10425</v>
      </c>
      <c r="AD73" t="n">
        <v>76</v>
      </c>
      <c r="AI73">
        <f>IF(AND(MOD(59,$AF$17)=0,MOD((INT(59/$AF$17)+1)-1,$AF$13/5)=0),TEXT(INDEX($AG$4:$AG$53,(INT(59/$AF$17)+1)),"#,##0"),"")</f>
        <v/>
      </c>
      <c r="AJ73">
        <f>IF(MOD(59,$AF$17)=$AF$17-1,0,INDEX($AH$4:$AH$53,(INT(59/$AF$17)+1)))</f>
        <v/>
      </c>
    </row>
    <row r="74">
      <c r="B74" t="n">
        <v>655</v>
      </c>
      <c r="C74" t="n">
        <v>655.75</v>
      </c>
      <c r="D74" t="n">
        <v>83</v>
      </c>
      <c r="I74">
        <f>IF(AND(MOD(60,$F$17)=0,MOD((INT(60/$F$17)+1)-1,$F$13/5)=0),TEXT(INDEX($G$4:$G$53,(INT(60/$F$17)+1)),"#,##0"),"")</f>
        <v/>
      </c>
      <c r="J74">
        <f>IF(MOD(60,$F$17)=$F$17-1,0,INDEX($H$4:$H$53,(INT(60/$F$17)+1)))</f>
        <v/>
      </c>
      <c r="O74" t="n">
        <v>21000</v>
      </c>
      <c r="P74" t="n">
        <v>21150</v>
      </c>
      <c r="Q74" t="n">
        <v>29</v>
      </c>
      <c r="V74">
        <f>IF(AND(MOD(60,$S$17)=0,MOD((INT(60/$S$17)+1)-1,$S$13/5)=0),TEXT(INDEX($T$4:$T$53,(INT(60/$S$17)+1)),"#,##0"),"")</f>
        <v/>
      </c>
      <c r="W74">
        <f>IF(MOD(60,$S$17)=$S$17-1,0,INDEX($U$4:$U$53,(INT(60/$S$17)+1)))</f>
        <v/>
      </c>
      <c r="AB74" t="n">
        <v>10500</v>
      </c>
      <c r="AC74" t="n">
        <v>10575</v>
      </c>
      <c r="AD74" t="n">
        <v>81</v>
      </c>
      <c r="AI74">
        <f>IF(AND(MOD(60,$AF$17)=0,MOD((INT(60/$AF$17)+1)-1,$AF$13/5)=0),TEXT(INDEX($AG$4:$AG$53,(INT(60/$AF$17)+1)),"#,##0"),"")</f>
        <v/>
      </c>
      <c r="AJ74">
        <f>IF(MOD(60,$AF$17)=$AF$17-1,0,INDEX($AH$4:$AH$53,(INT(60/$AF$17)+1)))</f>
        <v/>
      </c>
    </row>
    <row r="75">
      <c r="B75" t="n">
        <v>656.5</v>
      </c>
      <c r="C75" t="n">
        <v>657.25</v>
      </c>
      <c r="D75" t="n">
        <v>49</v>
      </c>
      <c r="I75">
        <f>IF(AND(MOD(61,$F$17)=0,MOD((INT(61/$F$17)+1)-1,$F$13/5)=0),TEXT(INDEX($G$4:$G$53,(INT(61/$F$17)+1)),"#,##0"),"")</f>
        <v/>
      </c>
      <c r="J75">
        <f>IF(MOD(61,$F$17)=$F$17-1,0,INDEX($H$4:$H$53,(INT(61/$F$17)+1)))</f>
        <v/>
      </c>
      <c r="O75" t="n">
        <v>21300</v>
      </c>
      <c r="P75" t="n">
        <v>21450</v>
      </c>
      <c r="Q75" t="n">
        <v>39</v>
      </c>
      <c r="V75">
        <f>IF(AND(MOD(61,$S$17)=0,MOD((INT(61/$S$17)+1)-1,$S$13/5)=0),TEXT(INDEX($T$4:$T$53,(INT(61/$S$17)+1)),"#,##0"),"")</f>
        <v/>
      </c>
      <c r="W75">
        <f>IF(MOD(61,$S$17)=$S$17-1,0,INDEX($U$4:$U$53,(INT(61/$S$17)+1)))</f>
        <v/>
      </c>
      <c r="AB75" t="n">
        <v>10650</v>
      </c>
      <c r="AC75" t="n">
        <v>10725</v>
      </c>
      <c r="AD75" t="n">
        <v>94</v>
      </c>
      <c r="AI75">
        <f>IF(AND(MOD(61,$AF$17)=0,MOD((INT(61/$AF$17)+1)-1,$AF$13/5)=0),TEXT(INDEX($AG$4:$AG$53,(INT(61/$AF$17)+1)),"#,##0"),"")</f>
        <v/>
      </c>
      <c r="AJ75">
        <f>IF(MOD(61,$AF$17)=$AF$17-1,0,INDEX($AH$4:$AH$53,(INT(61/$AF$17)+1)))</f>
        <v/>
      </c>
    </row>
    <row r="76">
      <c r="B76" t="n">
        <v>658</v>
      </c>
      <c r="C76" t="n">
        <v>658.75</v>
      </c>
      <c r="D76" t="n">
        <v>84</v>
      </c>
      <c r="I76">
        <f>IF(AND(MOD(62,$F$17)=0,MOD((INT(62/$F$17)+1)-1,$F$13/5)=0),TEXT(INDEX($G$4:$G$53,(INT(62/$F$17)+1)),"#,##0"),"")</f>
        <v/>
      </c>
      <c r="J76">
        <f>IF(MOD(62,$F$17)=$F$17-1,0,INDEX($H$4:$H$53,(INT(62/$F$17)+1)))</f>
        <v/>
      </c>
      <c r="O76" t="n">
        <v>21600</v>
      </c>
      <c r="P76" t="n">
        <v>21750</v>
      </c>
      <c r="Q76" t="n">
        <v>51</v>
      </c>
      <c r="V76">
        <f>IF(AND(MOD(62,$S$17)=0,MOD((INT(62/$S$17)+1)-1,$S$13/5)=0),TEXT(INDEX($T$4:$T$53,(INT(62/$S$17)+1)),"#,##0"),"")</f>
        <v/>
      </c>
      <c r="W76">
        <f>IF(MOD(62,$S$17)=$S$17-1,0,INDEX($U$4:$U$53,(INT(62/$S$17)+1)))</f>
        <v/>
      </c>
      <c r="AB76" t="n">
        <v>10800</v>
      </c>
      <c r="AC76" t="n">
        <v>10875</v>
      </c>
      <c r="AD76" t="n">
        <v>82</v>
      </c>
      <c r="AI76">
        <f>IF(AND(MOD(62,$AF$17)=0,MOD((INT(62/$AF$17)+1)-1,$AF$13/5)=0),TEXT(INDEX($AG$4:$AG$53,(INT(62/$AF$17)+1)),"#,##0"),"")</f>
        <v/>
      </c>
      <c r="AJ76">
        <f>IF(MOD(62,$AF$17)=$AF$17-1,0,INDEX($AH$4:$AH$53,(INT(62/$AF$17)+1)))</f>
        <v/>
      </c>
    </row>
    <row r="77">
      <c r="B77" t="n">
        <v>659.5</v>
      </c>
      <c r="C77" t="n">
        <v>660.25</v>
      </c>
      <c r="D77" t="n">
        <v>43</v>
      </c>
      <c r="I77">
        <f>IF(AND(MOD(63,$F$17)=0,MOD((INT(63/$F$17)+1)-1,$F$13/5)=0),TEXT(INDEX($G$4:$G$53,(INT(63/$F$17)+1)),"#,##0"),"")</f>
        <v/>
      </c>
      <c r="J77">
        <f>IF(MOD(63,$F$17)=$F$17-1,0,INDEX($H$4:$H$53,(INT(63/$F$17)+1)))</f>
        <v/>
      </c>
      <c r="O77" t="n">
        <v>21900</v>
      </c>
      <c r="P77" t="n">
        <v>22050</v>
      </c>
      <c r="Q77" t="n">
        <v>42</v>
      </c>
      <c r="V77">
        <f>IF(AND(MOD(63,$S$17)=0,MOD((INT(63/$S$17)+1)-1,$S$13/5)=0),TEXT(INDEX($T$4:$T$53,(INT(63/$S$17)+1)),"#,##0"),"")</f>
        <v/>
      </c>
      <c r="W77">
        <f>IF(MOD(63,$S$17)=$S$17-1,0,INDEX($U$4:$U$53,(INT(63/$S$17)+1)))</f>
        <v/>
      </c>
      <c r="AB77" t="n">
        <v>10950</v>
      </c>
      <c r="AC77" t="n">
        <v>11025</v>
      </c>
      <c r="AD77" t="n">
        <v>68</v>
      </c>
      <c r="AI77">
        <f>IF(AND(MOD(63,$AF$17)=0,MOD((INT(63/$AF$17)+1)-1,$AF$13/5)=0),TEXT(INDEX($AG$4:$AG$53,(INT(63/$AF$17)+1)),"#,##0"),"")</f>
        <v/>
      </c>
      <c r="AJ77">
        <f>IF(MOD(63,$AF$17)=$AF$17-1,0,INDEX($AH$4:$AH$53,(INT(63/$AF$17)+1)))</f>
        <v/>
      </c>
    </row>
    <row r="78">
      <c r="B78" t="n">
        <v>661</v>
      </c>
      <c r="C78" t="n">
        <v>661.75</v>
      </c>
      <c r="D78" t="n">
        <v>75</v>
      </c>
      <c r="I78">
        <f>IF(AND(MOD(64,$F$17)=0,MOD((INT(64/$F$17)+1)-1,$F$13/5)=0),TEXT(INDEX($G$4:$G$53,(INT(64/$F$17)+1)),"#,##0"),"")</f>
        <v/>
      </c>
      <c r="J78">
        <f>IF(MOD(64,$F$17)=$F$17-1,0,INDEX($H$4:$H$53,(INT(64/$F$17)+1)))</f>
        <v/>
      </c>
      <c r="O78" t="n">
        <v>22200</v>
      </c>
      <c r="P78" t="n">
        <v>22350</v>
      </c>
      <c r="Q78" t="n">
        <v>42</v>
      </c>
      <c r="V78">
        <f>IF(AND(MOD(64,$S$17)=0,MOD((INT(64/$S$17)+1)-1,$S$13/5)=0),TEXT(INDEX($T$4:$T$53,(INT(64/$S$17)+1)),"#,##0"),"")</f>
        <v/>
      </c>
      <c r="W78">
        <f>IF(MOD(64,$S$17)=$S$17-1,0,INDEX($U$4:$U$53,(INT(64/$S$17)+1)))</f>
        <v/>
      </c>
      <c r="AB78" t="n">
        <v>11100</v>
      </c>
      <c r="AC78" t="n">
        <v>11175</v>
      </c>
      <c r="AD78" t="n">
        <v>74</v>
      </c>
      <c r="AI78">
        <f>IF(AND(MOD(64,$AF$17)=0,MOD((INT(64/$AF$17)+1)-1,$AF$13/5)=0),TEXT(INDEX($AG$4:$AG$53,(INT(64/$AF$17)+1)),"#,##0"),"")</f>
        <v/>
      </c>
      <c r="AJ78">
        <f>IF(MOD(64,$AF$17)=$AF$17-1,0,INDEX($AH$4:$AH$53,(INT(64/$AF$17)+1)))</f>
        <v/>
      </c>
    </row>
    <row r="79">
      <c r="B79" t="n">
        <v>662.5</v>
      </c>
      <c r="C79" t="n">
        <v>663.25</v>
      </c>
      <c r="D79" t="n">
        <v>40</v>
      </c>
      <c r="I79">
        <f>IF(AND(MOD(65,$F$17)=0,MOD((INT(65/$F$17)+1)-1,$F$13/5)=0),TEXT(INDEX($G$4:$G$53,(INT(65/$F$17)+1)),"#,##0"),"")</f>
        <v/>
      </c>
      <c r="J79">
        <f>IF(MOD(65,$F$17)=$F$17-1,0,INDEX($H$4:$H$53,(INT(65/$F$17)+1)))</f>
        <v/>
      </c>
      <c r="O79" t="n">
        <v>22500</v>
      </c>
      <c r="P79" t="n">
        <v>22650</v>
      </c>
      <c r="Q79" t="n">
        <v>55</v>
      </c>
      <c r="V79">
        <f>IF(AND(MOD(65,$S$17)=0,MOD((INT(65/$S$17)+1)-1,$S$13/5)=0),TEXT(INDEX($T$4:$T$53,(INT(65/$S$17)+1)),"#,##0"),"")</f>
        <v/>
      </c>
      <c r="W79">
        <f>IF(MOD(65,$S$17)=$S$17-1,0,INDEX($U$4:$U$53,(INT(65/$S$17)+1)))</f>
        <v/>
      </c>
      <c r="AB79" t="n">
        <v>11250</v>
      </c>
      <c r="AC79" t="n">
        <v>11325</v>
      </c>
      <c r="AD79" t="n">
        <v>79</v>
      </c>
      <c r="AI79">
        <f>IF(AND(MOD(65,$AF$17)=0,MOD((INT(65/$AF$17)+1)-1,$AF$13/5)=0),TEXT(INDEX($AG$4:$AG$53,(INT(65/$AF$17)+1)),"#,##0"),"")</f>
        <v/>
      </c>
      <c r="AJ79">
        <f>IF(MOD(65,$AF$17)=$AF$17-1,0,INDEX($AH$4:$AH$53,(INT(65/$AF$17)+1)))</f>
        <v/>
      </c>
    </row>
    <row r="80">
      <c r="B80" t="n">
        <v>664</v>
      </c>
      <c r="C80" t="n">
        <v>664.75</v>
      </c>
      <c r="D80" t="n">
        <v>86</v>
      </c>
      <c r="I80">
        <f>IF(AND(MOD(66,$F$17)=0,MOD((INT(66/$F$17)+1)-1,$F$13/5)=0),TEXT(INDEX($G$4:$G$53,(INT(66/$F$17)+1)),"#,##0"),"")</f>
        <v/>
      </c>
      <c r="J80">
        <f>IF(MOD(66,$F$17)=$F$17-1,0,INDEX($H$4:$H$53,(INT(66/$F$17)+1)))</f>
        <v/>
      </c>
      <c r="O80" t="n">
        <v>22800</v>
      </c>
      <c r="P80" t="n">
        <v>22950</v>
      </c>
      <c r="Q80" t="n">
        <v>45</v>
      </c>
      <c r="V80">
        <f>IF(AND(MOD(66,$S$17)=0,MOD((INT(66/$S$17)+1)-1,$S$13/5)=0),TEXT(INDEX($T$4:$T$53,(INT(66/$S$17)+1)),"#,##0"),"")</f>
        <v/>
      </c>
      <c r="W80">
        <f>IF(MOD(66,$S$17)=$S$17-1,0,INDEX($U$4:$U$53,(INT(66/$S$17)+1)))</f>
        <v/>
      </c>
      <c r="AB80" t="n">
        <v>11400</v>
      </c>
      <c r="AC80" t="n">
        <v>11475</v>
      </c>
      <c r="AD80" t="n">
        <v>76</v>
      </c>
      <c r="AI80">
        <f>IF(AND(MOD(66,$AF$17)=0,MOD((INT(66/$AF$17)+1)-1,$AF$13/5)=0),TEXT(INDEX($AG$4:$AG$53,(INT(66/$AF$17)+1)),"#,##0"),"")</f>
        <v/>
      </c>
      <c r="AJ80">
        <f>IF(MOD(66,$AF$17)=$AF$17-1,0,INDEX($AH$4:$AH$53,(INT(66/$AF$17)+1)))</f>
        <v/>
      </c>
    </row>
    <row r="81">
      <c r="B81" t="n">
        <v>665.5</v>
      </c>
      <c r="C81" t="n">
        <v>666.25</v>
      </c>
      <c r="D81" t="n">
        <v>54</v>
      </c>
      <c r="I81">
        <f>IF(AND(MOD(67,$F$17)=0,MOD((INT(67/$F$17)+1)-1,$F$13/5)=0),TEXT(INDEX($G$4:$G$53,(INT(67/$F$17)+1)),"#,##0"),"")</f>
        <v/>
      </c>
      <c r="J81">
        <f>IF(MOD(67,$F$17)=$F$17-1,0,INDEX($H$4:$H$53,(INT(67/$F$17)+1)))</f>
        <v/>
      </c>
      <c r="O81" t="n">
        <v>23100</v>
      </c>
      <c r="P81" t="n">
        <v>23250</v>
      </c>
      <c r="Q81" t="n">
        <v>41</v>
      </c>
      <c r="V81">
        <f>IF(AND(MOD(67,$S$17)=0,MOD((INT(67/$S$17)+1)-1,$S$13/5)=0),TEXT(INDEX($T$4:$T$53,(INT(67/$S$17)+1)),"#,##0"),"")</f>
        <v/>
      </c>
      <c r="W81">
        <f>IF(MOD(67,$S$17)=$S$17-1,0,INDEX($U$4:$U$53,(INT(67/$S$17)+1)))</f>
        <v/>
      </c>
      <c r="AB81" t="n">
        <v>11550</v>
      </c>
      <c r="AC81" t="n">
        <v>11625</v>
      </c>
      <c r="AD81" t="n">
        <v>72</v>
      </c>
      <c r="AI81">
        <f>IF(AND(MOD(67,$AF$17)=0,MOD((INT(67/$AF$17)+1)-1,$AF$13/5)=0),TEXT(INDEX($AG$4:$AG$53,(INT(67/$AF$17)+1)),"#,##0"),"")</f>
        <v/>
      </c>
      <c r="AJ81">
        <f>IF(MOD(67,$AF$17)=$AF$17-1,0,INDEX($AH$4:$AH$53,(INT(67/$AF$17)+1)))</f>
        <v/>
      </c>
    </row>
    <row r="82">
      <c r="B82" t="n">
        <v>667</v>
      </c>
      <c r="C82" t="n">
        <v>667.75</v>
      </c>
      <c r="D82" t="n">
        <v>98</v>
      </c>
      <c r="I82">
        <f>IF(AND(MOD(68,$F$17)=0,MOD((INT(68/$F$17)+1)-1,$F$13/5)=0),TEXT(INDEX($G$4:$G$53,(INT(68/$F$17)+1)),"#,##0"),"")</f>
        <v/>
      </c>
      <c r="J82">
        <f>IF(MOD(68,$F$17)=$F$17-1,0,INDEX($H$4:$H$53,(INT(68/$F$17)+1)))</f>
        <v/>
      </c>
      <c r="O82" t="n">
        <v>23400</v>
      </c>
      <c r="P82" t="n">
        <v>23550</v>
      </c>
      <c r="Q82" t="n">
        <v>42</v>
      </c>
      <c r="V82">
        <f>IF(AND(MOD(68,$S$17)=0,MOD((INT(68/$S$17)+1)-1,$S$13/5)=0),TEXT(INDEX($T$4:$T$53,(INT(68/$S$17)+1)),"#,##0"),"")</f>
        <v/>
      </c>
      <c r="W82">
        <f>IF(MOD(68,$S$17)=$S$17-1,0,INDEX($U$4:$U$53,(INT(68/$S$17)+1)))</f>
        <v/>
      </c>
      <c r="AB82" t="n">
        <v>11700</v>
      </c>
      <c r="AC82" t="n">
        <v>11775</v>
      </c>
      <c r="AD82" t="n">
        <v>72</v>
      </c>
      <c r="AI82">
        <f>IF(AND(MOD(68,$AF$17)=0,MOD((INT(68/$AF$17)+1)-1,$AF$13/5)=0),TEXT(INDEX($AG$4:$AG$53,(INT(68/$AF$17)+1)),"#,##0"),"")</f>
        <v/>
      </c>
      <c r="AJ82">
        <f>IF(MOD(68,$AF$17)=$AF$17-1,0,INDEX($AH$4:$AH$53,(INT(68/$AF$17)+1)))</f>
        <v/>
      </c>
    </row>
    <row r="83">
      <c r="B83" t="n">
        <v>668.5</v>
      </c>
      <c r="C83" t="n">
        <v>669.25</v>
      </c>
      <c r="D83" t="n">
        <v>53</v>
      </c>
      <c r="I83">
        <f>IF(AND(MOD(69,$F$17)=0,MOD((INT(69/$F$17)+1)-1,$F$13/5)=0),TEXT(INDEX($G$4:$G$53,(INT(69/$F$17)+1)),"#,##0"),"")</f>
        <v/>
      </c>
      <c r="J83">
        <f>IF(MOD(69,$F$17)=$F$17-1,0,INDEX($H$4:$H$53,(INT(69/$F$17)+1)))</f>
        <v/>
      </c>
      <c r="O83" t="n">
        <v>23700</v>
      </c>
      <c r="P83" t="n">
        <v>23850</v>
      </c>
      <c r="Q83" t="n">
        <v>48</v>
      </c>
      <c r="V83">
        <f>IF(AND(MOD(69,$S$17)=0,MOD((INT(69/$S$17)+1)-1,$S$13/5)=0),TEXT(INDEX($T$4:$T$53,(INT(69/$S$17)+1)),"#,##0"),"")</f>
        <v/>
      </c>
      <c r="W83">
        <f>IF(MOD(69,$S$17)=$S$17-1,0,INDEX($U$4:$U$53,(INT(69/$S$17)+1)))</f>
        <v/>
      </c>
      <c r="AB83" t="n">
        <v>11850</v>
      </c>
      <c r="AC83" t="n">
        <v>11925</v>
      </c>
      <c r="AD83" t="n">
        <v>78</v>
      </c>
      <c r="AI83">
        <f>IF(AND(MOD(69,$AF$17)=0,MOD((INT(69/$AF$17)+1)-1,$AF$13/5)=0),TEXT(INDEX($AG$4:$AG$53,(INT(69/$AF$17)+1)),"#,##0"),"")</f>
        <v/>
      </c>
      <c r="AJ83">
        <f>IF(MOD(69,$AF$17)=$AF$17-1,0,INDEX($AH$4:$AH$53,(INT(69/$AF$17)+1)))</f>
        <v/>
      </c>
    </row>
    <row r="84">
      <c r="B84" t="n">
        <v>670</v>
      </c>
      <c r="C84" t="n">
        <v>670.75</v>
      </c>
      <c r="D84" t="n">
        <v>108</v>
      </c>
      <c r="I84">
        <f>IF(AND(MOD(70,$F$17)=0,MOD((INT(70/$F$17)+1)-1,$F$13/5)=0),TEXT(INDEX($G$4:$G$53,(INT(70/$F$17)+1)),"#,##0"),"")</f>
        <v/>
      </c>
      <c r="J84">
        <f>IF(MOD(70,$F$17)=$F$17-1,0,INDEX($H$4:$H$53,(INT(70/$F$17)+1)))</f>
        <v/>
      </c>
      <c r="O84" t="n">
        <v>24000</v>
      </c>
      <c r="P84" t="n">
        <v>24150</v>
      </c>
      <c r="Q84" t="n">
        <v>44</v>
      </c>
      <c r="V84">
        <f>IF(AND(MOD(70,$S$17)=0,MOD((INT(70/$S$17)+1)-1,$S$13/5)=0),TEXT(INDEX($T$4:$T$53,(INT(70/$S$17)+1)),"#,##0"),"")</f>
        <v/>
      </c>
      <c r="W84">
        <f>IF(MOD(70,$S$17)=$S$17-1,0,INDEX($U$4:$U$53,(INT(70/$S$17)+1)))</f>
        <v/>
      </c>
      <c r="AB84" t="n">
        <v>12000</v>
      </c>
      <c r="AC84" t="n">
        <v>12075</v>
      </c>
      <c r="AD84" t="n">
        <v>76</v>
      </c>
      <c r="AI84">
        <f>IF(AND(MOD(70,$AF$17)=0,MOD((INT(70/$AF$17)+1)-1,$AF$13/5)=0),TEXT(INDEX($AG$4:$AG$53,(INT(70/$AF$17)+1)),"#,##0"),"")</f>
        <v/>
      </c>
      <c r="AJ84">
        <f>IF(MOD(70,$AF$17)=$AF$17-1,0,INDEX($AH$4:$AH$53,(INT(70/$AF$17)+1)))</f>
        <v/>
      </c>
    </row>
    <row r="85">
      <c r="B85" t="n">
        <v>671.5</v>
      </c>
      <c r="C85" t="n">
        <v>672.25</v>
      </c>
      <c r="D85" t="n">
        <v>57</v>
      </c>
      <c r="I85">
        <f>IF(AND(MOD(71,$F$17)=0,MOD((INT(71/$F$17)+1)-1,$F$13/5)=0),TEXT(INDEX($G$4:$G$53,(INT(71/$F$17)+1)),"#,##0"),"")</f>
        <v/>
      </c>
      <c r="J85">
        <f>IF(MOD(71,$F$17)=$F$17-1,0,INDEX($H$4:$H$53,(INT(71/$F$17)+1)))</f>
        <v/>
      </c>
      <c r="O85" t="n">
        <v>24300</v>
      </c>
      <c r="P85" t="n">
        <v>24450</v>
      </c>
      <c r="Q85" t="n">
        <v>49</v>
      </c>
      <c r="V85">
        <f>IF(AND(MOD(71,$S$17)=0,MOD((INT(71/$S$17)+1)-1,$S$13/5)=0),TEXT(INDEX($T$4:$T$53,(INT(71/$S$17)+1)),"#,##0"),"")</f>
        <v/>
      </c>
      <c r="W85">
        <f>IF(MOD(71,$S$17)=$S$17-1,0,INDEX($U$4:$U$53,(INT(71/$S$17)+1)))</f>
        <v/>
      </c>
      <c r="AB85" t="n">
        <v>12150</v>
      </c>
      <c r="AC85" t="n">
        <v>12225</v>
      </c>
      <c r="AD85" t="n">
        <v>72</v>
      </c>
      <c r="AI85">
        <f>IF(AND(MOD(71,$AF$17)=0,MOD((INT(71/$AF$17)+1)-1,$AF$13/5)=0),TEXT(INDEX($AG$4:$AG$53,(INT(71/$AF$17)+1)),"#,##0"),"")</f>
        <v/>
      </c>
      <c r="AJ85">
        <f>IF(MOD(71,$AF$17)=$AF$17-1,0,INDEX($AH$4:$AH$53,(INT(71/$AF$17)+1)))</f>
        <v/>
      </c>
    </row>
    <row r="86">
      <c r="B86" t="n">
        <v>673</v>
      </c>
      <c r="C86" t="n">
        <v>673.75</v>
      </c>
      <c r="D86" t="n">
        <v>103</v>
      </c>
      <c r="I86">
        <f>IF(AND(MOD(72,$F$17)=0,MOD((INT(72/$F$17)+1)-1,$F$13/5)=0),TEXT(INDEX($G$4:$G$53,(INT(72/$F$17)+1)),"#,##0"),"")</f>
        <v/>
      </c>
      <c r="J86">
        <f>IF(MOD(72,$F$17)=$F$17-1,0,INDEX($H$4:$H$53,(INT(72/$F$17)+1)))</f>
        <v/>
      </c>
      <c r="O86" t="n">
        <v>24600</v>
      </c>
      <c r="P86" t="n">
        <v>24750</v>
      </c>
      <c r="Q86" t="n">
        <v>40</v>
      </c>
      <c r="V86">
        <f>IF(AND(MOD(72,$S$17)=0,MOD((INT(72/$S$17)+1)-1,$S$13/5)=0),TEXT(INDEX($T$4:$T$53,(INT(72/$S$17)+1)),"#,##0"),"")</f>
        <v/>
      </c>
      <c r="W86">
        <f>IF(MOD(72,$S$17)=$S$17-1,0,INDEX($U$4:$U$53,(INT(72/$S$17)+1)))</f>
        <v/>
      </c>
      <c r="AB86" t="n">
        <v>12300</v>
      </c>
      <c r="AC86" t="n">
        <v>12375</v>
      </c>
      <c r="AD86" t="n">
        <v>68</v>
      </c>
      <c r="AI86">
        <f>IF(AND(MOD(72,$AF$17)=0,MOD((INT(72/$AF$17)+1)-1,$AF$13/5)=0),TEXT(INDEX($AG$4:$AG$53,(INT(72/$AF$17)+1)),"#,##0"),"")</f>
        <v/>
      </c>
      <c r="AJ86">
        <f>IF(MOD(72,$AF$17)=$AF$17-1,0,INDEX($AH$4:$AH$53,(INT(72/$AF$17)+1)))</f>
        <v/>
      </c>
    </row>
    <row r="87">
      <c r="B87" t="n">
        <v>674.5</v>
      </c>
      <c r="C87" t="n">
        <v>675.25</v>
      </c>
      <c r="D87" t="n">
        <v>53</v>
      </c>
      <c r="I87">
        <f>IF(AND(MOD(73,$F$17)=0,MOD((INT(73/$F$17)+1)-1,$F$13/5)=0),TEXT(INDEX($G$4:$G$53,(INT(73/$F$17)+1)),"#,##0"),"")</f>
        <v/>
      </c>
      <c r="J87">
        <f>IF(MOD(73,$F$17)=$F$17-1,0,INDEX($H$4:$H$53,(INT(73/$F$17)+1)))</f>
        <v/>
      </c>
      <c r="O87" t="n">
        <v>24900</v>
      </c>
      <c r="P87" t="n">
        <v>25050</v>
      </c>
      <c r="Q87" t="n">
        <v>39</v>
      </c>
      <c r="V87">
        <f>IF(AND(MOD(73,$S$17)=0,MOD((INT(73/$S$17)+1)-1,$S$13/5)=0),TEXT(INDEX($T$4:$T$53,(INT(73/$S$17)+1)),"#,##0"),"")</f>
        <v/>
      </c>
      <c r="W87">
        <f>IF(MOD(73,$S$17)=$S$17-1,0,INDEX($U$4:$U$53,(INT(73/$S$17)+1)))</f>
        <v/>
      </c>
      <c r="AB87" t="n">
        <v>12450</v>
      </c>
      <c r="AC87" t="n">
        <v>12525</v>
      </c>
      <c r="AD87" t="n">
        <v>76</v>
      </c>
      <c r="AI87">
        <f>IF(AND(MOD(73,$AF$17)=0,MOD((INT(73/$AF$17)+1)-1,$AF$13/5)=0),TEXT(INDEX($AG$4:$AG$53,(INT(73/$AF$17)+1)),"#,##0"),"")</f>
        <v/>
      </c>
      <c r="AJ87">
        <f>IF(MOD(73,$AF$17)=$AF$17-1,0,INDEX($AH$4:$AH$53,(INT(73/$AF$17)+1)))</f>
        <v/>
      </c>
    </row>
    <row r="88">
      <c r="B88" t="n">
        <v>676</v>
      </c>
      <c r="C88" t="n">
        <v>676.75</v>
      </c>
      <c r="D88" t="n">
        <v>92</v>
      </c>
      <c r="I88">
        <f>IF(AND(MOD(74,$F$17)=0,MOD((INT(74/$F$17)+1)-1,$F$13/5)=0),TEXT(INDEX($G$4:$G$53,(INT(74/$F$17)+1)),"#,##0"),"")</f>
        <v/>
      </c>
      <c r="J88">
        <f>IF(MOD(74,$F$17)=$F$17-1,0,INDEX($H$4:$H$53,(INT(74/$F$17)+1)))</f>
        <v/>
      </c>
      <c r="O88" t="n">
        <v>25200</v>
      </c>
      <c r="P88" t="n">
        <v>25350</v>
      </c>
      <c r="Q88" t="n">
        <v>47</v>
      </c>
      <c r="V88">
        <f>IF(AND(MOD(74,$S$17)=0,MOD((INT(74/$S$17)+1)-1,$S$13/5)=0),TEXT(INDEX($T$4:$T$53,(INT(74/$S$17)+1)),"#,##0"),"")</f>
        <v/>
      </c>
      <c r="W88">
        <f>IF(MOD(74,$S$17)=$S$17-1,0,INDEX($U$4:$U$53,(INT(74/$S$17)+1)))</f>
        <v/>
      </c>
      <c r="AB88" t="n">
        <v>12600</v>
      </c>
      <c r="AC88" t="n">
        <v>12675</v>
      </c>
      <c r="AD88" t="n">
        <v>83</v>
      </c>
      <c r="AI88">
        <f>IF(AND(MOD(74,$AF$17)=0,MOD((INT(74/$AF$17)+1)-1,$AF$13/5)=0),TEXT(INDEX($AG$4:$AG$53,(INT(74/$AF$17)+1)),"#,##0"),"")</f>
        <v/>
      </c>
      <c r="AJ88">
        <f>IF(MOD(74,$AF$17)=$AF$17-1,0,INDEX($AH$4:$AH$53,(INT(74/$AF$17)+1)))</f>
        <v/>
      </c>
    </row>
    <row r="89">
      <c r="B89" t="n">
        <v>677.5</v>
      </c>
      <c r="C89" t="n">
        <v>678.25</v>
      </c>
      <c r="D89" t="n">
        <v>57</v>
      </c>
      <c r="I89">
        <f>IF(AND(MOD(75,$F$17)=0,MOD((INT(75/$F$17)+1)-1,$F$13/5)=0),TEXT(INDEX($G$4:$G$53,(INT(75/$F$17)+1)),"#,##0"),"")</f>
        <v/>
      </c>
      <c r="J89">
        <f>IF(MOD(75,$F$17)=$F$17-1,0,INDEX($H$4:$H$53,(INT(75/$F$17)+1)))</f>
        <v/>
      </c>
      <c r="O89" t="n">
        <v>25500</v>
      </c>
      <c r="P89" t="n">
        <v>25650</v>
      </c>
      <c r="Q89" t="n">
        <v>46</v>
      </c>
      <c r="V89">
        <f>IF(AND(MOD(75,$S$17)=0,MOD((INT(75/$S$17)+1)-1,$S$13/5)=0),TEXT(INDEX($T$4:$T$53,(INT(75/$S$17)+1)),"#,##0"),"")</f>
        <v/>
      </c>
      <c r="W89">
        <f>IF(MOD(75,$S$17)=$S$17-1,0,INDEX($U$4:$U$53,(INT(75/$S$17)+1)))</f>
        <v/>
      </c>
      <c r="AB89" t="n">
        <v>12750</v>
      </c>
      <c r="AC89" t="n">
        <v>12825</v>
      </c>
      <c r="AD89" t="n">
        <v>56</v>
      </c>
      <c r="AI89">
        <f>IF(AND(MOD(75,$AF$17)=0,MOD((INT(75/$AF$17)+1)-1,$AF$13/5)=0),TEXT(INDEX($AG$4:$AG$53,(INT(75/$AF$17)+1)),"#,##0"),"")</f>
        <v/>
      </c>
      <c r="AJ89">
        <f>IF(MOD(75,$AF$17)=$AF$17-1,0,INDEX($AH$4:$AH$53,(INT(75/$AF$17)+1)))</f>
        <v/>
      </c>
    </row>
    <row r="90">
      <c r="B90" t="n">
        <v>679</v>
      </c>
      <c r="C90" t="n">
        <v>679.75</v>
      </c>
      <c r="D90" t="n">
        <v>103</v>
      </c>
      <c r="I90">
        <f>IF(AND(MOD(76,$F$17)=0,MOD((INT(76/$F$17)+1)-1,$F$13/5)=0),TEXT(INDEX($G$4:$G$53,(INT(76/$F$17)+1)),"#,##0"),"")</f>
        <v/>
      </c>
      <c r="J90">
        <f>IF(MOD(76,$F$17)=$F$17-1,0,INDEX($H$4:$H$53,(INT(76/$F$17)+1)))</f>
        <v/>
      </c>
      <c r="O90" t="n">
        <v>25800</v>
      </c>
      <c r="P90" t="n">
        <v>25950</v>
      </c>
      <c r="Q90" t="n">
        <v>41</v>
      </c>
      <c r="V90">
        <f>IF(AND(MOD(76,$S$17)=0,MOD((INT(76/$S$17)+1)-1,$S$13/5)=0),TEXT(INDEX($T$4:$T$53,(INT(76/$S$17)+1)),"#,##0"),"")</f>
        <v/>
      </c>
      <c r="W90">
        <f>IF(MOD(76,$S$17)=$S$17-1,0,INDEX($U$4:$U$53,(INT(76/$S$17)+1)))</f>
        <v/>
      </c>
      <c r="AB90" t="n">
        <v>12900</v>
      </c>
      <c r="AC90" t="n">
        <v>12975</v>
      </c>
      <c r="AD90" t="n">
        <v>66</v>
      </c>
      <c r="AI90">
        <f>IF(AND(MOD(76,$AF$17)=0,MOD((INT(76/$AF$17)+1)-1,$AF$13/5)=0),TEXT(INDEX($AG$4:$AG$53,(INT(76/$AF$17)+1)),"#,##0"),"")</f>
        <v/>
      </c>
      <c r="AJ90">
        <f>IF(MOD(76,$AF$17)=$AF$17-1,0,INDEX($AH$4:$AH$53,(INT(76/$AF$17)+1)))</f>
        <v/>
      </c>
    </row>
    <row r="91">
      <c r="B91" t="n">
        <v>680.5</v>
      </c>
      <c r="C91" t="n">
        <v>681.25</v>
      </c>
      <c r="D91" t="n">
        <v>34</v>
      </c>
      <c r="I91">
        <f>IF(AND(MOD(77,$F$17)=0,MOD((INT(77/$F$17)+1)-1,$F$13/5)=0),TEXT(INDEX($G$4:$G$53,(INT(77/$F$17)+1)),"#,##0"),"")</f>
        <v/>
      </c>
      <c r="J91">
        <f>IF(MOD(77,$F$17)=$F$17-1,0,INDEX($H$4:$H$53,(INT(77/$F$17)+1)))</f>
        <v/>
      </c>
      <c r="O91" t="n">
        <v>26100</v>
      </c>
      <c r="P91" t="n">
        <v>26250</v>
      </c>
      <c r="Q91" t="n">
        <v>48</v>
      </c>
      <c r="V91">
        <f>IF(AND(MOD(77,$S$17)=0,MOD((INT(77/$S$17)+1)-1,$S$13/5)=0),TEXT(INDEX($T$4:$T$53,(INT(77/$S$17)+1)),"#,##0"),"")</f>
        <v/>
      </c>
      <c r="W91">
        <f>IF(MOD(77,$S$17)=$S$17-1,0,INDEX($U$4:$U$53,(INT(77/$S$17)+1)))</f>
        <v/>
      </c>
      <c r="AB91" t="n">
        <v>13050</v>
      </c>
      <c r="AC91" t="n">
        <v>13125</v>
      </c>
      <c r="AD91" t="n">
        <v>69</v>
      </c>
      <c r="AI91">
        <f>IF(AND(MOD(77,$AF$17)=0,MOD((INT(77/$AF$17)+1)-1,$AF$13/5)=0),TEXT(INDEX($AG$4:$AG$53,(INT(77/$AF$17)+1)),"#,##0"),"")</f>
        <v/>
      </c>
      <c r="AJ91">
        <f>IF(MOD(77,$AF$17)=$AF$17-1,0,INDEX($AH$4:$AH$53,(INT(77/$AF$17)+1)))</f>
        <v/>
      </c>
    </row>
    <row r="92">
      <c r="B92" t="n">
        <v>682</v>
      </c>
      <c r="C92" t="n">
        <v>682.75</v>
      </c>
      <c r="D92" t="n">
        <v>109</v>
      </c>
      <c r="I92">
        <f>IF(AND(MOD(78,$F$17)=0,MOD((INT(78/$F$17)+1)-1,$F$13/5)=0),TEXT(INDEX($G$4:$G$53,(INT(78/$F$17)+1)),"#,##0"),"")</f>
        <v/>
      </c>
      <c r="J92">
        <f>IF(MOD(78,$F$17)=$F$17-1,0,INDEX($H$4:$H$53,(INT(78/$F$17)+1)))</f>
        <v/>
      </c>
      <c r="O92" t="n">
        <v>26400</v>
      </c>
      <c r="P92" t="n">
        <v>26550</v>
      </c>
      <c r="Q92" t="n">
        <v>41</v>
      </c>
      <c r="V92">
        <f>IF(AND(MOD(78,$S$17)=0,MOD((INT(78/$S$17)+1)-1,$S$13/5)=0),TEXT(INDEX($T$4:$T$53,(INT(78/$S$17)+1)),"#,##0"),"")</f>
        <v/>
      </c>
      <c r="W92">
        <f>IF(MOD(78,$S$17)=$S$17-1,0,INDEX($U$4:$U$53,(INT(78/$S$17)+1)))</f>
        <v/>
      </c>
      <c r="AB92" t="n">
        <v>13200</v>
      </c>
      <c r="AC92" t="n">
        <v>13275</v>
      </c>
      <c r="AD92" t="n">
        <v>59</v>
      </c>
      <c r="AI92">
        <f>IF(AND(MOD(78,$AF$17)=0,MOD((INT(78/$AF$17)+1)-1,$AF$13/5)=0),TEXT(INDEX($AG$4:$AG$53,(INT(78/$AF$17)+1)),"#,##0"),"")</f>
        <v/>
      </c>
      <c r="AJ92">
        <f>IF(MOD(78,$AF$17)=$AF$17-1,0,INDEX($AH$4:$AH$53,(INT(78/$AF$17)+1)))</f>
        <v/>
      </c>
    </row>
    <row r="93">
      <c r="B93" t="n">
        <v>683.5</v>
      </c>
      <c r="C93" t="n">
        <v>684.25</v>
      </c>
      <c r="D93" t="n">
        <v>52</v>
      </c>
      <c r="I93">
        <f>IF(AND(MOD(79,$F$17)=0,MOD((INT(79/$F$17)+1)-1,$F$13/5)=0),TEXT(INDEX($G$4:$G$53,(INT(79/$F$17)+1)),"#,##0"),"")</f>
        <v/>
      </c>
      <c r="J93">
        <f>IF(MOD(79,$F$17)=$F$17-1,0,INDEX($H$4:$H$53,(INT(79/$F$17)+1)))</f>
        <v/>
      </c>
      <c r="O93" t="n">
        <v>26700</v>
      </c>
      <c r="P93" t="n">
        <v>26850</v>
      </c>
      <c r="Q93" t="n">
        <v>43</v>
      </c>
      <c r="V93">
        <f>IF(AND(MOD(79,$S$17)=0,MOD((INT(79/$S$17)+1)-1,$S$13/5)=0),TEXT(INDEX($T$4:$T$53,(INT(79/$S$17)+1)),"#,##0"),"")</f>
        <v/>
      </c>
      <c r="W93">
        <f>IF(MOD(79,$S$17)=$S$17-1,0,INDEX($U$4:$U$53,(INT(79/$S$17)+1)))</f>
        <v/>
      </c>
      <c r="AB93" t="n">
        <v>13350</v>
      </c>
      <c r="AC93" t="n">
        <v>13425</v>
      </c>
      <c r="AD93" t="n">
        <v>77</v>
      </c>
      <c r="AI93">
        <f>IF(AND(MOD(79,$AF$17)=0,MOD((INT(79/$AF$17)+1)-1,$AF$13/5)=0),TEXT(INDEX($AG$4:$AG$53,(INT(79/$AF$17)+1)),"#,##0"),"")</f>
        <v/>
      </c>
      <c r="AJ93">
        <f>IF(MOD(79,$AF$17)=$AF$17-1,0,INDEX($AH$4:$AH$53,(INT(79/$AF$17)+1)))</f>
        <v/>
      </c>
    </row>
    <row r="94">
      <c r="B94" t="n">
        <v>685</v>
      </c>
      <c r="C94" t="n">
        <v>685.75</v>
      </c>
      <c r="D94" t="n">
        <v>116</v>
      </c>
      <c r="I94">
        <f>IF(AND(MOD(80,$F$17)=0,MOD((INT(80/$F$17)+1)-1,$F$13/5)=0),TEXT(INDEX($G$4:$G$53,(INT(80/$F$17)+1)),"#,##0"),"")</f>
        <v/>
      </c>
      <c r="J94">
        <f>IF(MOD(80,$F$17)=$F$17-1,0,INDEX($H$4:$H$53,(INT(80/$F$17)+1)))</f>
        <v/>
      </c>
      <c r="O94" t="n">
        <v>27000</v>
      </c>
      <c r="P94" t="n">
        <v>27150</v>
      </c>
      <c r="Q94" t="n">
        <v>39</v>
      </c>
      <c r="V94">
        <f>IF(AND(MOD(80,$S$17)=0,MOD((INT(80/$S$17)+1)-1,$S$13/5)=0),TEXT(INDEX($T$4:$T$53,(INT(80/$S$17)+1)),"#,##0"),"")</f>
        <v/>
      </c>
      <c r="W94">
        <f>IF(MOD(80,$S$17)=$S$17-1,0,INDEX($U$4:$U$53,(INT(80/$S$17)+1)))</f>
        <v/>
      </c>
      <c r="AB94" t="n">
        <v>13500</v>
      </c>
      <c r="AC94" t="n">
        <v>13575</v>
      </c>
      <c r="AD94" t="n">
        <v>80</v>
      </c>
      <c r="AI94">
        <f>IF(AND(MOD(80,$AF$17)=0,MOD((INT(80/$AF$17)+1)-1,$AF$13/5)=0),TEXT(INDEX($AG$4:$AG$53,(INT(80/$AF$17)+1)),"#,##0"),"")</f>
        <v/>
      </c>
      <c r="AJ94">
        <f>IF(MOD(80,$AF$17)=$AF$17-1,0,INDEX($AH$4:$AH$53,(INT(80/$AF$17)+1)))</f>
        <v/>
      </c>
    </row>
    <row r="95">
      <c r="B95" t="n">
        <v>686.5</v>
      </c>
      <c r="C95" t="n">
        <v>687.25</v>
      </c>
      <c r="D95" t="n">
        <v>53</v>
      </c>
      <c r="I95">
        <f>IF(AND(MOD(81,$F$17)=0,MOD((INT(81/$F$17)+1)-1,$F$13/5)=0),TEXT(INDEX($G$4:$G$53,(INT(81/$F$17)+1)),"#,##0"),"")</f>
        <v/>
      </c>
      <c r="J95">
        <f>IF(MOD(81,$F$17)=$F$17-1,0,INDEX($H$4:$H$53,(INT(81/$F$17)+1)))</f>
        <v/>
      </c>
      <c r="O95" t="n">
        <v>27300</v>
      </c>
      <c r="P95" t="n">
        <v>27450</v>
      </c>
      <c r="Q95" t="n">
        <v>45</v>
      </c>
      <c r="V95">
        <f>IF(AND(MOD(81,$S$17)=0,MOD((INT(81/$S$17)+1)-1,$S$13/5)=0),TEXT(INDEX($T$4:$T$53,(INT(81/$S$17)+1)),"#,##0"),"")</f>
        <v/>
      </c>
      <c r="W95">
        <f>IF(MOD(81,$S$17)=$S$17-1,0,INDEX($U$4:$U$53,(INT(81/$S$17)+1)))</f>
        <v/>
      </c>
      <c r="AB95" t="n">
        <v>13650</v>
      </c>
      <c r="AC95" t="n">
        <v>13725</v>
      </c>
      <c r="AD95" t="n">
        <v>63</v>
      </c>
      <c r="AI95">
        <f>IF(AND(MOD(81,$AF$17)=0,MOD((INT(81/$AF$17)+1)-1,$AF$13/5)=0),TEXT(INDEX($AG$4:$AG$53,(INT(81/$AF$17)+1)),"#,##0"),"")</f>
        <v/>
      </c>
      <c r="AJ95">
        <f>IF(MOD(81,$AF$17)=$AF$17-1,0,INDEX($AH$4:$AH$53,(INT(81/$AF$17)+1)))</f>
        <v/>
      </c>
    </row>
    <row r="96">
      <c r="B96" t="n">
        <v>688</v>
      </c>
      <c r="C96" t="n">
        <v>688.75</v>
      </c>
      <c r="D96" t="n">
        <v>129</v>
      </c>
      <c r="I96">
        <f>IF(AND(MOD(82,$F$17)=0,MOD((INT(82/$F$17)+1)-1,$F$13/5)=0),TEXT(INDEX($G$4:$G$53,(INT(82/$F$17)+1)),"#,##0"),"")</f>
        <v/>
      </c>
      <c r="J96">
        <f>IF(MOD(82,$F$17)=$F$17-1,0,INDEX($H$4:$H$53,(INT(82/$F$17)+1)))</f>
        <v/>
      </c>
      <c r="O96" t="n">
        <v>27600</v>
      </c>
      <c r="P96" t="n">
        <v>27750</v>
      </c>
      <c r="Q96" t="n">
        <v>39</v>
      </c>
      <c r="V96">
        <f>IF(AND(MOD(82,$S$17)=0,MOD((INT(82/$S$17)+1)-1,$S$13/5)=0),TEXT(INDEX($T$4:$T$53,(INT(82/$S$17)+1)),"#,##0"),"")</f>
        <v/>
      </c>
      <c r="W96">
        <f>IF(MOD(82,$S$17)=$S$17-1,0,INDEX($U$4:$U$53,(INT(82/$S$17)+1)))</f>
        <v/>
      </c>
      <c r="AB96" t="n">
        <v>13800</v>
      </c>
      <c r="AC96" t="n">
        <v>13875</v>
      </c>
      <c r="AD96" t="n">
        <v>81</v>
      </c>
      <c r="AI96">
        <f>IF(AND(MOD(82,$AF$17)=0,MOD((INT(82/$AF$17)+1)-1,$AF$13/5)=0),TEXT(INDEX($AG$4:$AG$53,(INT(82/$AF$17)+1)),"#,##0"),"")</f>
        <v/>
      </c>
      <c r="AJ96">
        <f>IF(MOD(82,$AF$17)=$AF$17-1,0,INDEX($AH$4:$AH$53,(INT(82/$AF$17)+1)))</f>
        <v/>
      </c>
    </row>
    <row r="97">
      <c r="B97" t="n">
        <v>689.5</v>
      </c>
      <c r="C97" t="n">
        <v>690.25</v>
      </c>
      <c r="D97" t="n">
        <v>60</v>
      </c>
      <c r="I97">
        <f>IF(AND(MOD(83,$F$17)=0,MOD((INT(83/$F$17)+1)-1,$F$13/5)=0),TEXT(INDEX($G$4:$G$53,(INT(83/$F$17)+1)),"#,##0"),"")</f>
        <v/>
      </c>
      <c r="J97">
        <f>IF(MOD(83,$F$17)=$F$17-1,0,INDEX($H$4:$H$53,(INT(83/$F$17)+1)))</f>
        <v/>
      </c>
      <c r="O97" t="n">
        <v>27900</v>
      </c>
      <c r="P97" t="n">
        <v>28050</v>
      </c>
      <c r="Q97" t="n">
        <v>38</v>
      </c>
      <c r="V97">
        <f>IF(AND(MOD(83,$S$17)=0,MOD((INT(83/$S$17)+1)-1,$S$13/5)=0),TEXT(INDEX($T$4:$T$53,(INT(83/$S$17)+1)),"#,##0"),"")</f>
        <v/>
      </c>
      <c r="W97">
        <f>IF(MOD(83,$S$17)=$S$17-1,0,INDEX($U$4:$U$53,(INT(83/$S$17)+1)))</f>
        <v/>
      </c>
      <c r="AB97" t="n">
        <v>13950</v>
      </c>
      <c r="AC97" t="n">
        <v>14025</v>
      </c>
      <c r="AD97" t="n">
        <v>58</v>
      </c>
      <c r="AI97">
        <f>IF(AND(MOD(83,$AF$17)=0,MOD((INT(83/$AF$17)+1)-1,$AF$13/5)=0),TEXT(INDEX($AG$4:$AG$53,(INT(83/$AF$17)+1)),"#,##0"),"")</f>
        <v/>
      </c>
      <c r="AJ97">
        <f>IF(MOD(83,$AF$17)=$AF$17-1,0,INDEX($AH$4:$AH$53,(INT(83/$AF$17)+1)))</f>
        <v/>
      </c>
    </row>
    <row r="98">
      <c r="B98" t="n">
        <v>691</v>
      </c>
      <c r="C98" t="n">
        <v>691.75</v>
      </c>
      <c r="D98" t="n">
        <v>134</v>
      </c>
      <c r="I98">
        <f>IF(AND(MOD(84,$F$17)=0,MOD((INT(84/$F$17)+1)-1,$F$13/5)=0),TEXT(INDEX($G$4:$G$53,(INT(84/$F$17)+1)),"#,##0"),"")</f>
        <v/>
      </c>
      <c r="J98">
        <f>IF(MOD(84,$F$17)=$F$17-1,0,INDEX($H$4:$H$53,(INT(84/$F$17)+1)))</f>
        <v/>
      </c>
      <c r="O98" t="n">
        <v>28200</v>
      </c>
      <c r="P98" t="n">
        <v>28350</v>
      </c>
      <c r="Q98" t="n">
        <v>44</v>
      </c>
      <c r="V98">
        <f>IF(AND(MOD(84,$S$17)=0,MOD((INT(84/$S$17)+1)-1,$S$13/5)=0),TEXT(INDEX($T$4:$T$53,(INT(84/$S$17)+1)),"#,##0"),"")</f>
        <v/>
      </c>
      <c r="W98">
        <f>IF(MOD(84,$S$17)=$S$17-1,0,INDEX($U$4:$U$53,(INT(84/$S$17)+1)))</f>
        <v/>
      </c>
      <c r="AB98" t="n">
        <v>14100</v>
      </c>
      <c r="AC98" t="n">
        <v>14175</v>
      </c>
      <c r="AD98" t="n">
        <v>58</v>
      </c>
      <c r="AI98">
        <f>IF(AND(MOD(84,$AF$17)=0,MOD((INT(84/$AF$17)+1)-1,$AF$13/5)=0),TEXT(INDEX($AG$4:$AG$53,(INT(84/$AF$17)+1)),"#,##0"),"")</f>
        <v/>
      </c>
      <c r="AJ98">
        <f>IF(MOD(84,$AF$17)=$AF$17-1,0,INDEX($AH$4:$AH$53,(INT(84/$AF$17)+1)))</f>
        <v/>
      </c>
    </row>
    <row r="99">
      <c r="B99" t="n">
        <v>692.5</v>
      </c>
      <c r="C99" t="n">
        <v>693.25</v>
      </c>
      <c r="D99" t="n">
        <v>58</v>
      </c>
      <c r="I99">
        <f>IF(AND(MOD(85,$F$17)=0,MOD((INT(85/$F$17)+1)-1,$F$13/5)=0),TEXT(INDEX($G$4:$G$53,(INT(85/$F$17)+1)),"#,##0"),"")</f>
        <v/>
      </c>
      <c r="J99">
        <f>IF(MOD(85,$F$17)=$F$17-1,0,INDEX($H$4:$H$53,(INT(85/$F$17)+1)))</f>
        <v/>
      </c>
      <c r="O99" t="n">
        <v>28500</v>
      </c>
      <c r="P99" t="n">
        <v>28650</v>
      </c>
      <c r="Q99" t="n">
        <v>41</v>
      </c>
      <c r="V99">
        <f>IF(AND(MOD(85,$S$17)=0,MOD((INT(85/$S$17)+1)-1,$S$13/5)=0),TEXT(INDEX($T$4:$T$53,(INT(85/$S$17)+1)),"#,##0"),"")</f>
        <v/>
      </c>
      <c r="W99">
        <f>IF(MOD(85,$S$17)=$S$17-1,0,INDEX($U$4:$U$53,(INT(85/$S$17)+1)))</f>
        <v/>
      </c>
      <c r="AB99" t="n">
        <v>14250</v>
      </c>
      <c r="AC99" t="n">
        <v>14325</v>
      </c>
      <c r="AD99" t="n">
        <v>41</v>
      </c>
      <c r="AI99">
        <f>IF(AND(MOD(85,$AF$17)=0,MOD((INT(85/$AF$17)+1)-1,$AF$13/5)=0),TEXT(INDEX($AG$4:$AG$53,(INT(85/$AF$17)+1)),"#,##0"),"")</f>
        <v/>
      </c>
      <c r="AJ99">
        <f>IF(MOD(85,$AF$17)=$AF$17-1,0,INDEX($AH$4:$AH$53,(INT(85/$AF$17)+1)))</f>
        <v/>
      </c>
    </row>
    <row r="100">
      <c r="B100" t="n">
        <v>694</v>
      </c>
      <c r="C100" t="n">
        <v>694.75</v>
      </c>
      <c r="D100" t="n">
        <v>110</v>
      </c>
      <c r="I100">
        <f>IF(AND(MOD(86,$F$17)=0,MOD((INT(86/$F$17)+1)-1,$F$13/5)=0),TEXT(INDEX($G$4:$G$53,(INT(86/$F$17)+1)),"#,##0"),"")</f>
        <v/>
      </c>
      <c r="J100">
        <f>IF(MOD(86,$F$17)=$F$17-1,0,INDEX($H$4:$H$53,(INT(86/$F$17)+1)))</f>
        <v/>
      </c>
      <c r="O100" t="n">
        <v>28800</v>
      </c>
      <c r="P100" t="n">
        <v>28950</v>
      </c>
      <c r="Q100" t="n">
        <v>40</v>
      </c>
      <c r="V100">
        <f>IF(AND(MOD(86,$S$17)=0,MOD((INT(86/$S$17)+1)-1,$S$13/5)=0),TEXT(INDEX($T$4:$T$53,(INT(86/$S$17)+1)),"#,##0"),"")</f>
        <v/>
      </c>
      <c r="W100">
        <f>IF(MOD(86,$S$17)=$S$17-1,0,INDEX($U$4:$U$53,(INT(86/$S$17)+1)))</f>
        <v/>
      </c>
      <c r="AB100" t="n">
        <v>14400</v>
      </c>
      <c r="AC100" t="n">
        <v>14475</v>
      </c>
      <c r="AD100" t="n">
        <v>67</v>
      </c>
      <c r="AI100">
        <f>IF(AND(MOD(86,$AF$17)=0,MOD((INT(86/$AF$17)+1)-1,$AF$13/5)=0),TEXT(INDEX($AG$4:$AG$53,(INT(86/$AF$17)+1)),"#,##0"),"")</f>
        <v/>
      </c>
      <c r="AJ100">
        <f>IF(MOD(86,$AF$17)=$AF$17-1,0,INDEX($AH$4:$AH$53,(INT(86/$AF$17)+1)))</f>
        <v/>
      </c>
    </row>
    <row r="101">
      <c r="B101" t="n">
        <v>695.5</v>
      </c>
      <c r="C101" t="n">
        <v>696.25</v>
      </c>
      <c r="D101" t="n">
        <v>52</v>
      </c>
      <c r="I101">
        <f>IF(AND(MOD(87,$F$17)=0,MOD((INT(87/$F$17)+1)-1,$F$13/5)=0),TEXT(INDEX($G$4:$G$53,(INT(87/$F$17)+1)),"#,##0"),"")</f>
        <v/>
      </c>
      <c r="J101">
        <f>IF(MOD(87,$F$17)=$F$17-1,0,INDEX($H$4:$H$53,(INT(87/$F$17)+1)))</f>
        <v/>
      </c>
      <c r="O101" t="n">
        <v>29100</v>
      </c>
      <c r="P101" t="n">
        <v>29250</v>
      </c>
      <c r="Q101" t="n">
        <v>47</v>
      </c>
      <c r="V101">
        <f>IF(AND(MOD(87,$S$17)=0,MOD((INT(87/$S$17)+1)-1,$S$13/5)=0),TEXT(INDEX($T$4:$T$53,(INT(87/$S$17)+1)),"#,##0"),"")</f>
        <v/>
      </c>
      <c r="W101">
        <f>IF(MOD(87,$S$17)=$S$17-1,0,INDEX($U$4:$U$53,(INT(87/$S$17)+1)))</f>
        <v/>
      </c>
      <c r="AB101" t="n">
        <v>14550</v>
      </c>
      <c r="AC101" t="n">
        <v>14625</v>
      </c>
      <c r="AD101" t="n">
        <v>58</v>
      </c>
      <c r="AI101">
        <f>IF(AND(MOD(87,$AF$17)=0,MOD((INT(87/$AF$17)+1)-1,$AF$13/5)=0),TEXT(INDEX($AG$4:$AG$53,(INT(87/$AF$17)+1)),"#,##0"),"")</f>
        <v/>
      </c>
      <c r="AJ101">
        <f>IF(MOD(87,$AF$17)=$AF$17-1,0,INDEX($AH$4:$AH$53,(INT(87/$AF$17)+1)))</f>
        <v/>
      </c>
    </row>
    <row r="102">
      <c r="B102" t="n">
        <v>697</v>
      </c>
      <c r="C102" t="n">
        <v>697.75</v>
      </c>
      <c r="D102" t="n">
        <v>115</v>
      </c>
      <c r="I102">
        <f>IF(AND(MOD(88,$F$17)=0,MOD((INT(88/$F$17)+1)-1,$F$13/5)=0),TEXT(INDEX($G$4:$G$53,(INT(88/$F$17)+1)),"#,##0"),"")</f>
        <v/>
      </c>
      <c r="J102">
        <f>IF(MOD(88,$F$17)=$F$17-1,0,INDEX($H$4:$H$53,(INT(88/$F$17)+1)))</f>
        <v/>
      </c>
      <c r="O102" t="n">
        <v>29400</v>
      </c>
      <c r="P102" t="n">
        <v>29550</v>
      </c>
      <c r="Q102" t="n">
        <v>35</v>
      </c>
      <c r="V102">
        <f>IF(AND(MOD(88,$S$17)=0,MOD((INT(88/$S$17)+1)-1,$S$13/5)=0),TEXT(INDEX($T$4:$T$53,(INT(88/$S$17)+1)),"#,##0"),"")</f>
        <v/>
      </c>
      <c r="W102">
        <f>IF(MOD(88,$S$17)=$S$17-1,0,INDEX($U$4:$U$53,(INT(88/$S$17)+1)))</f>
        <v/>
      </c>
      <c r="AB102" t="n">
        <v>14700</v>
      </c>
      <c r="AC102" t="n">
        <v>14775</v>
      </c>
      <c r="AD102" t="n">
        <v>56</v>
      </c>
      <c r="AI102">
        <f>IF(AND(MOD(88,$AF$17)=0,MOD((INT(88/$AF$17)+1)-1,$AF$13/5)=0),TEXT(INDEX($AG$4:$AG$53,(INT(88/$AF$17)+1)),"#,##0"),"")</f>
        <v/>
      </c>
      <c r="AJ102">
        <f>IF(MOD(88,$AF$17)=$AF$17-1,0,INDEX($AH$4:$AH$53,(INT(88/$AF$17)+1)))</f>
        <v/>
      </c>
    </row>
    <row r="103">
      <c r="B103" t="n">
        <v>698.5</v>
      </c>
      <c r="C103" t="n">
        <v>699.25</v>
      </c>
      <c r="D103" t="n">
        <v>56</v>
      </c>
      <c r="I103">
        <f>IF(AND(MOD(89,$F$17)=0,MOD((INT(89/$F$17)+1)-1,$F$13/5)=0),TEXT(INDEX($G$4:$G$53,(INT(89/$F$17)+1)),"#,##0"),"")</f>
        <v/>
      </c>
      <c r="J103">
        <f>IF(MOD(89,$F$17)=$F$17-1,0,INDEX($H$4:$H$53,(INT(89/$F$17)+1)))</f>
        <v/>
      </c>
      <c r="O103" t="n">
        <v>29700</v>
      </c>
      <c r="P103" t="n">
        <v>29850</v>
      </c>
      <c r="Q103" t="n">
        <v>43</v>
      </c>
      <c r="V103">
        <f>IF(AND(MOD(89,$S$17)=0,MOD((INT(89/$S$17)+1)-1,$S$13/5)=0),TEXT(INDEX($T$4:$T$53,(INT(89/$S$17)+1)),"#,##0"),"")</f>
        <v/>
      </c>
      <c r="W103">
        <f>IF(MOD(89,$S$17)=$S$17-1,0,INDEX($U$4:$U$53,(INT(89/$S$17)+1)))</f>
        <v/>
      </c>
      <c r="AB103" t="n">
        <v>14850</v>
      </c>
      <c r="AC103" t="n">
        <v>14925</v>
      </c>
      <c r="AD103" t="n">
        <v>58</v>
      </c>
      <c r="AI103">
        <f>IF(AND(MOD(89,$AF$17)=0,MOD((INT(89/$AF$17)+1)-1,$AF$13/5)=0),TEXT(INDEX($AG$4:$AG$53,(INT(89/$AF$17)+1)),"#,##0"),"")</f>
        <v/>
      </c>
      <c r="AJ103">
        <f>IF(MOD(89,$AF$17)=$AF$17-1,0,INDEX($AH$4:$AH$53,(INT(89/$AF$17)+1)))</f>
        <v/>
      </c>
    </row>
    <row r="104">
      <c r="B104" t="n">
        <v>700</v>
      </c>
      <c r="C104" t="n">
        <v>700.75</v>
      </c>
      <c r="D104" t="n">
        <v>117</v>
      </c>
      <c r="I104">
        <f>IF(AND(MOD(90,$F$17)=0,MOD((INT(90/$F$17)+1)-1,$F$13/5)=0),TEXT(INDEX($G$4:$G$53,(INT(90/$F$17)+1)),"#,##0"),"")</f>
        <v/>
      </c>
      <c r="J104">
        <f>IF(MOD(90,$F$17)=$F$17-1,0,INDEX($H$4:$H$53,(INT(90/$F$17)+1)))</f>
        <v/>
      </c>
      <c r="O104" t="n">
        <v>30000</v>
      </c>
      <c r="P104" t="n">
        <v>30150</v>
      </c>
      <c r="Q104" t="n">
        <v>38</v>
      </c>
      <c r="V104">
        <f>IF(AND(MOD(90,$S$17)=0,MOD((INT(90/$S$17)+1)-1,$S$13/5)=0),TEXT(INDEX($T$4:$T$53,(INT(90/$S$17)+1)),"#,##0"),"")</f>
        <v/>
      </c>
      <c r="W104">
        <f>IF(MOD(90,$S$17)=$S$17-1,0,INDEX($U$4:$U$53,(INT(90/$S$17)+1)))</f>
        <v/>
      </c>
      <c r="AB104" t="n">
        <v>15000</v>
      </c>
      <c r="AC104" t="n">
        <v>15075</v>
      </c>
      <c r="AD104" t="n">
        <v>59</v>
      </c>
      <c r="AI104">
        <f>IF(AND(MOD(90,$AF$17)=0,MOD((INT(90/$AF$17)+1)-1,$AF$13/5)=0),TEXT(INDEX($AG$4:$AG$53,(INT(90/$AF$17)+1)),"#,##0"),"")</f>
        <v/>
      </c>
      <c r="AJ104">
        <f>IF(MOD(90,$AF$17)=$AF$17-1,0,INDEX($AH$4:$AH$53,(INT(90/$AF$17)+1)))</f>
        <v/>
      </c>
    </row>
    <row r="105">
      <c r="B105" t="n">
        <v>701.5</v>
      </c>
      <c r="C105" t="n">
        <v>702.25</v>
      </c>
      <c r="D105" t="n">
        <v>55</v>
      </c>
      <c r="I105">
        <f>IF(AND(MOD(91,$F$17)=0,MOD((INT(91/$F$17)+1)-1,$F$13/5)=0),TEXT(INDEX($G$4:$G$53,(INT(91/$F$17)+1)),"#,##0"),"")</f>
        <v/>
      </c>
      <c r="J105">
        <f>IF(MOD(91,$F$17)=$F$17-1,0,INDEX($H$4:$H$53,(INT(91/$F$17)+1)))</f>
        <v/>
      </c>
      <c r="O105" t="n">
        <v>30300</v>
      </c>
      <c r="P105" t="n">
        <v>30450</v>
      </c>
      <c r="Q105" t="n">
        <v>42</v>
      </c>
      <c r="V105">
        <f>IF(AND(MOD(91,$S$17)=0,MOD((INT(91/$S$17)+1)-1,$S$13/5)=0),TEXT(INDEX($T$4:$T$53,(INT(91/$S$17)+1)),"#,##0"),"")</f>
        <v/>
      </c>
      <c r="W105">
        <f>IF(MOD(91,$S$17)=$S$17-1,0,INDEX($U$4:$U$53,(INT(91/$S$17)+1)))</f>
        <v/>
      </c>
      <c r="AB105" t="n">
        <v>15150</v>
      </c>
      <c r="AC105" t="n">
        <v>15225</v>
      </c>
      <c r="AD105" t="n">
        <v>62</v>
      </c>
      <c r="AI105">
        <f>IF(AND(MOD(91,$AF$17)=0,MOD((INT(91/$AF$17)+1)-1,$AF$13/5)=0),TEXT(INDEX($AG$4:$AG$53,(INT(91/$AF$17)+1)),"#,##0"),"")</f>
        <v/>
      </c>
      <c r="AJ105">
        <f>IF(MOD(91,$AF$17)=$AF$17-1,0,INDEX($AH$4:$AH$53,(INT(91/$AF$17)+1)))</f>
        <v/>
      </c>
    </row>
    <row r="106">
      <c r="B106" t="n">
        <v>703</v>
      </c>
      <c r="C106" t="n">
        <v>703.75</v>
      </c>
      <c r="D106" t="n">
        <v>120</v>
      </c>
      <c r="I106">
        <f>IF(AND(MOD(92,$F$17)=0,MOD((INT(92/$F$17)+1)-1,$F$13/5)=0),TEXT(INDEX($G$4:$G$53,(INT(92/$F$17)+1)),"#,##0"),"")</f>
        <v/>
      </c>
      <c r="J106">
        <f>IF(MOD(92,$F$17)=$F$17-1,0,INDEX($H$4:$H$53,(INT(92/$F$17)+1)))</f>
        <v/>
      </c>
      <c r="O106" t="n">
        <v>30600</v>
      </c>
      <c r="P106" t="n">
        <v>30750</v>
      </c>
      <c r="Q106" t="n">
        <v>46</v>
      </c>
      <c r="V106">
        <f>IF(AND(MOD(92,$S$17)=0,MOD((INT(92/$S$17)+1)-1,$S$13/5)=0),TEXT(INDEX($T$4:$T$53,(INT(92/$S$17)+1)),"#,##0"),"")</f>
        <v/>
      </c>
      <c r="W106">
        <f>IF(MOD(92,$S$17)=$S$17-1,0,INDEX($U$4:$U$53,(INT(92/$S$17)+1)))</f>
        <v/>
      </c>
      <c r="AB106" t="n">
        <v>15300</v>
      </c>
      <c r="AC106" t="n">
        <v>15375</v>
      </c>
      <c r="AD106" t="n">
        <v>62</v>
      </c>
      <c r="AI106">
        <f>IF(AND(MOD(92,$AF$17)=0,MOD((INT(92/$AF$17)+1)-1,$AF$13/5)=0),TEXT(INDEX($AG$4:$AG$53,(INT(92/$AF$17)+1)),"#,##0"),"")</f>
        <v/>
      </c>
      <c r="AJ106">
        <f>IF(MOD(92,$AF$17)=$AF$17-1,0,INDEX($AH$4:$AH$53,(INT(92/$AF$17)+1)))</f>
        <v/>
      </c>
    </row>
    <row r="107">
      <c r="B107" t="n">
        <v>704.5</v>
      </c>
      <c r="C107" t="n">
        <v>705.25</v>
      </c>
      <c r="D107" t="n">
        <v>49</v>
      </c>
      <c r="I107">
        <f>IF(AND(MOD(93,$F$17)=0,MOD((INT(93/$F$17)+1)-1,$F$13/5)=0),TEXT(INDEX($G$4:$G$53,(INT(93/$F$17)+1)),"#,##0"),"")</f>
        <v/>
      </c>
      <c r="J107">
        <f>IF(MOD(93,$F$17)=$F$17-1,0,INDEX($H$4:$H$53,(INT(93/$F$17)+1)))</f>
        <v/>
      </c>
      <c r="O107" t="n">
        <v>30900</v>
      </c>
      <c r="P107" t="n">
        <v>31050</v>
      </c>
      <c r="Q107" t="n">
        <v>37</v>
      </c>
      <c r="V107">
        <f>IF(AND(MOD(93,$S$17)=0,MOD((INT(93/$S$17)+1)-1,$S$13/5)=0),TEXT(INDEX($T$4:$T$53,(INT(93/$S$17)+1)),"#,##0"),"")</f>
        <v/>
      </c>
      <c r="W107">
        <f>IF(MOD(93,$S$17)=$S$17-1,0,INDEX($U$4:$U$53,(INT(93/$S$17)+1)))</f>
        <v/>
      </c>
      <c r="AB107" t="n">
        <v>15450</v>
      </c>
      <c r="AC107" t="n">
        <v>15525</v>
      </c>
      <c r="AD107" t="n">
        <v>61</v>
      </c>
      <c r="AI107">
        <f>IF(AND(MOD(93,$AF$17)=0,MOD((INT(93/$AF$17)+1)-1,$AF$13/5)=0),TEXT(INDEX($AG$4:$AG$53,(INT(93/$AF$17)+1)),"#,##0"),"")</f>
        <v/>
      </c>
      <c r="AJ107">
        <f>IF(MOD(93,$AF$17)=$AF$17-1,0,INDEX($AH$4:$AH$53,(INT(93/$AF$17)+1)))</f>
        <v/>
      </c>
    </row>
    <row r="108">
      <c r="B108" t="n">
        <v>706</v>
      </c>
      <c r="C108" t="n">
        <v>706.75</v>
      </c>
      <c r="D108" t="n">
        <v>128</v>
      </c>
      <c r="I108">
        <f>IF(AND(MOD(94,$F$17)=0,MOD((INT(94/$F$17)+1)-1,$F$13/5)=0),TEXT(INDEX($G$4:$G$53,(INT(94/$F$17)+1)),"#,##0"),"")</f>
        <v/>
      </c>
      <c r="J108">
        <f>IF(MOD(94,$F$17)=$F$17-1,0,INDEX($H$4:$H$53,(INT(94/$F$17)+1)))</f>
        <v/>
      </c>
      <c r="O108" t="n">
        <v>31200</v>
      </c>
      <c r="P108" t="n">
        <v>31350</v>
      </c>
      <c r="Q108" t="n">
        <v>38</v>
      </c>
      <c r="V108">
        <f>IF(AND(MOD(94,$S$17)=0,MOD((INT(94/$S$17)+1)-1,$S$13/5)=0),TEXT(INDEX($T$4:$T$53,(INT(94/$S$17)+1)),"#,##0"),"")</f>
        <v/>
      </c>
      <c r="W108">
        <f>IF(MOD(94,$S$17)=$S$17-1,0,INDEX($U$4:$U$53,(INT(94/$S$17)+1)))</f>
        <v/>
      </c>
      <c r="AB108" t="n">
        <v>15600</v>
      </c>
      <c r="AC108" t="n">
        <v>15675</v>
      </c>
      <c r="AD108" t="n">
        <v>57</v>
      </c>
      <c r="AI108">
        <f>IF(AND(MOD(94,$AF$17)=0,MOD((INT(94/$AF$17)+1)-1,$AF$13/5)=0),TEXT(INDEX($AG$4:$AG$53,(INT(94/$AF$17)+1)),"#,##0"),"")</f>
        <v/>
      </c>
      <c r="AJ108">
        <f>IF(MOD(94,$AF$17)=$AF$17-1,0,INDEX($AH$4:$AH$53,(INT(94/$AF$17)+1)))</f>
        <v/>
      </c>
    </row>
    <row r="109">
      <c r="B109" t="n">
        <v>707.5</v>
      </c>
      <c r="C109" t="n">
        <v>708.25</v>
      </c>
      <c r="D109" t="n">
        <v>76</v>
      </c>
      <c r="I109">
        <f>IF(AND(MOD(95,$F$17)=0,MOD((INT(95/$F$17)+1)-1,$F$13/5)=0),TEXT(INDEX($G$4:$G$53,(INT(95/$F$17)+1)),"#,##0"),"")</f>
        <v/>
      </c>
      <c r="J109">
        <f>IF(MOD(95,$F$17)=$F$17-1,0,INDEX($H$4:$H$53,(INT(95/$F$17)+1)))</f>
        <v/>
      </c>
      <c r="O109" t="n">
        <v>31500</v>
      </c>
      <c r="P109" t="n">
        <v>31650</v>
      </c>
      <c r="Q109" t="n">
        <v>49</v>
      </c>
      <c r="V109">
        <f>IF(AND(MOD(95,$S$17)=0,MOD((INT(95/$S$17)+1)-1,$S$13/5)=0),TEXT(INDEX($T$4:$T$53,(INT(95/$S$17)+1)),"#,##0"),"")</f>
        <v/>
      </c>
      <c r="W109">
        <f>IF(MOD(95,$S$17)=$S$17-1,0,INDEX($U$4:$U$53,(INT(95/$S$17)+1)))</f>
        <v/>
      </c>
      <c r="AB109" t="n">
        <v>15750</v>
      </c>
      <c r="AC109" t="n">
        <v>15825</v>
      </c>
      <c r="AD109" t="n">
        <v>58</v>
      </c>
      <c r="AI109">
        <f>IF(AND(MOD(95,$AF$17)=0,MOD((INT(95/$AF$17)+1)-1,$AF$13/5)=0),TEXT(INDEX($AG$4:$AG$53,(INT(95/$AF$17)+1)),"#,##0"),"")</f>
        <v/>
      </c>
      <c r="AJ109">
        <f>IF(MOD(95,$AF$17)=$AF$17-1,0,INDEX($AH$4:$AH$53,(INT(95/$AF$17)+1)))</f>
        <v/>
      </c>
    </row>
    <row r="110">
      <c r="B110" t="n">
        <v>709</v>
      </c>
      <c r="C110" t="n">
        <v>709.75</v>
      </c>
      <c r="D110" t="n">
        <v>120</v>
      </c>
      <c r="I110">
        <f>IF(AND(MOD(96,$F$17)=0,MOD((INT(96/$F$17)+1)-1,$F$13/5)=0),TEXT(INDEX($G$4:$G$53,(INT(96/$F$17)+1)),"#,##0"),"")</f>
        <v/>
      </c>
      <c r="J110">
        <f>IF(MOD(96,$F$17)=$F$17-1,0,INDEX($H$4:$H$53,(INT(96/$F$17)+1)))</f>
        <v/>
      </c>
      <c r="O110" t="n">
        <v>31800</v>
      </c>
      <c r="P110" t="n">
        <v>31950</v>
      </c>
      <c r="Q110" t="n">
        <v>43</v>
      </c>
      <c r="V110">
        <f>IF(AND(MOD(96,$S$17)=0,MOD((INT(96/$S$17)+1)-1,$S$13/5)=0),TEXT(INDEX($T$4:$T$53,(INT(96/$S$17)+1)),"#,##0"),"")</f>
        <v/>
      </c>
      <c r="W110">
        <f>IF(MOD(96,$S$17)=$S$17-1,0,INDEX($U$4:$U$53,(INT(96/$S$17)+1)))</f>
        <v/>
      </c>
      <c r="AB110" t="n">
        <v>15900</v>
      </c>
      <c r="AC110" t="n">
        <v>15975</v>
      </c>
      <c r="AD110" t="n">
        <v>51</v>
      </c>
      <c r="AI110">
        <f>IF(AND(MOD(96,$AF$17)=0,MOD((INT(96/$AF$17)+1)-1,$AF$13/5)=0),TEXT(INDEX($AG$4:$AG$53,(INT(96/$AF$17)+1)),"#,##0"),"")</f>
        <v/>
      </c>
      <c r="AJ110">
        <f>IF(MOD(96,$AF$17)=$AF$17-1,0,INDEX($AH$4:$AH$53,(INT(96/$AF$17)+1)))</f>
        <v/>
      </c>
    </row>
    <row r="111">
      <c r="B111" t="n">
        <v>710.5</v>
      </c>
      <c r="C111" t="n">
        <v>711.25</v>
      </c>
      <c r="D111" t="n">
        <v>70</v>
      </c>
      <c r="I111">
        <f>IF(AND(MOD(97,$F$17)=0,MOD((INT(97/$F$17)+1)-1,$F$13/5)=0),TEXT(INDEX($G$4:$G$53,(INT(97/$F$17)+1)),"#,##0"),"")</f>
        <v/>
      </c>
      <c r="J111">
        <f>IF(MOD(97,$F$17)=$F$17-1,0,INDEX($H$4:$H$53,(INT(97/$F$17)+1)))</f>
        <v/>
      </c>
      <c r="O111" t="n">
        <v>32100</v>
      </c>
      <c r="P111" t="n">
        <v>32250</v>
      </c>
      <c r="Q111" t="n">
        <v>48</v>
      </c>
      <c r="V111">
        <f>IF(AND(MOD(97,$S$17)=0,MOD((INT(97/$S$17)+1)-1,$S$13/5)=0),TEXT(INDEX($T$4:$T$53,(INT(97/$S$17)+1)),"#,##0"),"")</f>
        <v/>
      </c>
      <c r="W111">
        <f>IF(MOD(97,$S$17)=$S$17-1,0,INDEX($U$4:$U$53,(INT(97/$S$17)+1)))</f>
        <v/>
      </c>
      <c r="AB111" t="n">
        <v>16050</v>
      </c>
      <c r="AC111" t="n">
        <v>16125</v>
      </c>
      <c r="AD111" t="n">
        <v>51</v>
      </c>
      <c r="AI111">
        <f>IF(AND(MOD(97,$AF$17)=0,MOD((INT(97/$AF$17)+1)-1,$AF$13/5)=0),TEXT(INDEX($AG$4:$AG$53,(INT(97/$AF$17)+1)),"#,##0"),"")</f>
        <v/>
      </c>
      <c r="AJ111">
        <f>IF(MOD(97,$AF$17)=$AF$17-1,0,INDEX($AH$4:$AH$53,(INT(97/$AF$17)+1)))</f>
        <v/>
      </c>
    </row>
    <row r="112">
      <c r="B112" t="n">
        <v>712</v>
      </c>
      <c r="C112" t="n">
        <v>712.75</v>
      </c>
      <c r="D112" t="n">
        <v>108</v>
      </c>
      <c r="I112">
        <f>IF(AND(MOD(98,$F$17)=0,MOD((INT(98/$F$17)+1)-1,$F$13/5)=0),TEXT(INDEX($G$4:$G$53,(INT(98/$F$17)+1)),"#,##0"),"")</f>
        <v/>
      </c>
      <c r="J112">
        <f>IF(MOD(98,$F$17)=$F$17-1,0,INDEX($H$4:$H$53,(INT(98/$F$17)+1)))</f>
        <v/>
      </c>
      <c r="O112" t="n">
        <v>32400</v>
      </c>
      <c r="P112" t="n">
        <v>32550</v>
      </c>
      <c r="Q112" t="n">
        <v>36</v>
      </c>
      <c r="V112">
        <f>IF(AND(MOD(98,$S$17)=0,MOD((INT(98/$S$17)+1)-1,$S$13/5)=0),TEXT(INDEX($T$4:$T$53,(INT(98/$S$17)+1)),"#,##0"),"")</f>
        <v/>
      </c>
      <c r="W112">
        <f>IF(MOD(98,$S$17)=$S$17-1,0,INDEX($U$4:$U$53,(INT(98/$S$17)+1)))</f>
        <v/>
      </c>
      <c r="AB112" t="n">
        <v>16200</v>
      </c>
      <c r="AC112" t="n">
        <v>16275</v>
      </c>
      <c r="AD112" t="n">
        <v>48</v>
      </c>
      <c r="AI112">
        <f>IF(AND(MOD(98,$AF$17)=0,MOD((INT(98/$AF$17)+1)-1,$AF$13/5)=0),TEXT(INDEX($AG$4:$AG$53,(INT(98/$AF$17)+1)),"#,##0"),"")</f>
        <v/>
      </c>
      <c r="AJ112">
        <f>IF(MOD(98,$AF$17)=$AF$17-1,0,INDEX($AH$4:$AH$53,(INT(98/$AF$17)+1)))</f>
        <v/>
      </c>
    </row>
    <row r="113">
      <c r="B113" t="n">
        <v>713.5</v>
      </c>
      <c r="C113" t="n">
        <v>714.25</v>
      </c>
      <c r="D113" t="n">
        <v>46</v>
      </c>
      <c r="I113">
        <f>IF(AND(MOD(99,$F$17)=0,MOD((INT(99/$F$17)+1)-1,$F$13/5)=0),TEXT(INDEX($G$4:$G$53,(INT(99/$F$17)+1)),"#,##0"),"")</f>
        <v/>
      </c>
      <c r="J113">
        <f>IF(MOD(99,$F$17)=$F$17-1,0,INDEX($H$4:$H$53,(INT(99/$F$17)+1)))</f>
        <v/>
      </c>
      <c r="O113" t="n">
        <v>32700</v>
      </c>
      <c r="P113" t="n">
        <v>32850</v>
      </c>
      <c r="Q113" t="n">
        <v>41</v>
      </c>
      <c r="V113">
        <f>IF(AND(MOD(99,$S$17)=0,MOD((INT(99/$S$17)+1)-1,$S$13/5)=0),TEXT(INDEX($T$4:$T$53,(INT(99/$S$17)+1)),"#,##0"),"")</f>
        <v/>
      </c>
      <c r="W113">
        <f>IF(MOD(99,$S$17)=$S$17-1,0,INDEX($U$4:$U$53,(INT(99/$S$17)+1)))</f>
        <v/>
      </c>
      <c r="AB113" t="n">
        <v>16350</v>
      </c>
      <c r="AC113" t="n">
        <v>16425</v>
      </c>
      <c r="AD113" t="n">
        <v>52</v>
      </c>
      <c r="AI113">
        <f>IF(AND(MOD(99,$AF$17)=0,MOD((INT(99/$AF$17)+1)-1,$AF$13/5)=0),TEXT(INDEX($AG$4:$AG$53,(INT(99/$AF$17)+1)),"#,##0"),"")</f>
        <v/>
      </c>
      <c r="AJ113">
        <f>IF(MOD(99,$AF$17)=$AF$17-1,0,INDEX($AH$4:$AH$53,(INT(99/$AF$17)+1)))</f>
        <v/>
      </c>
    </row>
    <row r="114">
      <c r="B114" t="n">
        <v>715</v>
      </c>
      <c r="C114" t="n">
        <v>715.75</v>
      </c>
      <c r="D114" t="n">
        <v>107</v>
      </c>
      <c r="I114">
        <f>""</f>
        <v/>
      </c>
      <c r="J114">
        <f>IF(0&lt;=$F$17-2,$F$19,0)</f>
        <v/>
      </c>
      <c r="O114" t="n">
        <v>33000</v>
      </c>
      <c r="P114" t="n">
        <v>33150</v>
      </c>
      <c r="Q114" t="n">
        <v>41</v>
      </c>
      <c r="V114">
        <f>""</f>
        <v/>
      </c>
      <c r="W114">
        <f>IF(0&lt;=$S$17-2,$S$19,0)</f>
        <v/>
      </c>
      <c r="AB114" t="n">
        <v>16500</v>
      </c>
      <c r="AC114" t="n">
        <v>16575</v>
      </c>
      <c r="AD114" t="n">
        <v>48</v>
      </c>
      <c r="AI114">
        <f>""</f>
        <v/>
      </c>
      <c r="AJ114">
        <f>IF(0&lt;=$AF$17-2,$AF$19,0)</f>
        <v/>
      </c>
    </row>
    <row r="115">
      <c r="B115" t="n">
        <v>716.5</v>
      </c>
      <c r="C115" t="n">
        <v>717.25</v>
      </c>
      <c r="D115" t="n">
        <v>62</v>
      </c>
      <c r="I115">
        <f>""</f>
        <v/>
      </c>
      <c r="J115">
        <f>IF(1&lt;=$F$17-2,$F$19,0)</f>
        <v/>
      </c>
      <c r="O115" t="n">
        <v>33300</v>
      </c>
      <c r="P115" t="n">
        <v>33450</v>
      </c>
      <c r="Q115" t="n">
        <v>41</v>
      </c>
      <c r="V115">
        <f>""</f>
        <v/>
      </c>
      <c r="W115">
        <f>IF(1&lt;=$S$17-2,$S$19,0)</f>
        <v/>
      </c>
      <c r="AB115" t="n">
        <v>16650</v>
      </c>
      <c r="AC115" t="n">
        <v>16725</v>
      </c>
      <c r="AD115" t="n">
        <v>48</v>
      </c>
      <c r="AI115">
        <f>""</f>
        <v/>
      </c>
      <c r="AJ115">
        <f>IF(1&lt;=$AF$17-2,$AF$19,0)</f>
        <v/>
      </c>
    </row>
    <row r="116">
      <c r="B116" t="n">
        <v>718</v>
      </c>
      <c r="C116" t="n">
        <v>718.75</v>
      </c>
      <c r="D116" t="n">
        <v>97</v>
      </c>
      <c r="I116">
        <f>""</f>
        <v/>
      </c>
      <c r="J116">
        <f>IF(2&lt;=$F$17-2,$F$19,0)</f>
        <v/>
      </c>
      <c r="O116" t="n">
        <v>33600</v>
      </c>
      <c r="P116" t="n">
        <v>33750</v>
      </c>
      <c r="Q116" t="n">
        <v>34</v>
      </c>
      <c r="V116">
        <f>""</f>
        <v/>
      </c>
      <c r="W116">
        <f>IF(2&lt;=$S$17-2,$S$19,0)</f>
        <v/>
      </c>
      <c r="AB116" t="n">
        <v>16800</v>
      </c>
      <c r="AC116" t="n">
        <v>16875</v>
      </c>
      <c r="AD116" t="n">
        <v>49</v>
      </c>
      <c r="AI116">
        <f>""</f>
        <v/>
      </c>
      <c r="AJ116">
        <f>IF(2&lt;=$AF$17-2,$AF$19,0)</f>
        <v/>
      </c>
    </row>
    <row r="117">
      <c r="B117" t="n">
        <v>719.5</v>
      </c>
      <c r="C117" t="n">
        <v>720.25</v>
      </c>
      <c r="D117" t="n">
        <v>51</v>
      </c>
      <c r="I117">
        <f>""</f>
        <v/>
      </c>
      <c r="J117">
        <f>IF(3&lt;=$F$17-2,$F$19,0)</f>
        <v/>
      </c>
      <c r="O117" t="n">
        <v>33900</v>
      </c>
      <c r="P117" t="n">
        <v>34050</v>
      </c>
      <c r="Q117" t="n">
        <v>44</v>
      </c>
      <c r="V117">
        <f>""</f>
        <v/>
      </c>
      <c r="W117">
        <f>IF(3&lt;=$S$17-2,$S$19,0)</f>
        <v/>
      </c>
      <c r="AB117" t="n">
        <v>16950</v>
      </c>
      <c r="AC117" t="n">
        <v>17025</v>
      </c>
      <c r="AD117" t="n">
        <v>50</v>
      </c>
      <c r="AI117">
        <f>""</f>
        <v/>
      </c>
      <c r="AJ117">
        <f>IF(3&lt;=$AF$17-2,$AF$19,0)</f>
        <v/>
      </c>
    </row>
    <row r="118">
      <c r="B118" t="n">
        <v>721</v>
      </c>
      <c r="C118" t="n">
        <v>721.75</v>
      </c>
      <c r="D118" t="n">
        <v>113</v>
      </c>
      <c r="I118">
        <f>""</f>
        <v/>
      </c>
      <c r="J118">
        <f>IF(4&lt;=$F$17-2,$F$19,0)</f>
        <v/>
      </c>
      <c r="O118" t="n">
        <v>34200</v>
      </c>
      <c r="P118" t="n">
        <v>34350</v>
      </c>
      <c r="Q118" t="n">
        <v>58</v>
      </c>
      <c r="V118">
        <f>""</f>
        <v/>
      </c>
      <c r="W118">
        <f>IF(4&lt;=$S$17-2,$S$19,0)</f>
        <v/>
      </c>
      <c r="AB118" t="n">
        <v>17100</v>
      </c>
      <c r="AC118" t="n">
        <v>17175</v>
      </c>
      <c r="AD118" t="n">
        <v>36</v>
      </c>
      <c r="AI118">
        <f>""</f>
        <v/>
      </c>
      <c r="AJ118">
        <f>IF(4&lt;=$AF$17-2,$AF$19,0)</f>
        <v/>
      </c>
    </row>
    <row r="119">
      <c r="B119" t="n">
        <v>722.5</v>
      </c>
      <c r="C119" t="n">
        <v>723.25</v>
      </c>
      <c r="D119" t="n">
        <v>58</v>
      </c>
      <c r="I119">
        <f>""</f>
        <v/>
      </c>
      <c r="J119">
        <f>IF(5&lt;=$F$17-2,$F$19,0)</f>
        <v/>
      </c>
      <c r="O119" t="n">
        <v>34500</v>
      </c>
      <c r="P119" t="n">
        <v>34650</v>
      </c>
      <c r="Q119" t="n">
        <v>37</v>
      </c>
      <c r="V119">
        <f>""</f>
        <v/>
      </c>
      <c r="W119">
        <f>IF(5&lt;=$S$17-2,$S$19,0)</f>
        <v/>
      </c>
      <c r="AB119" t="n">
        <v>17250</v>
      </c>
      <c r="AC119" t="n">
        <v>17325</v>
      </c>
      <c r="AD119" t="n">
        <v>44</v>
      </c>
      <c r="AI119">
        <f>""</f>
        <v/>
      </c>
      <c r="AJ119">
        <f>IF(5&lt;=$AF$17-2,$AF$19,0)</f>
        <v/>
      </c>
    </row>
    <row r="120">
      <c r="B120" t="n">
        <v>724</v>
      </c>
      <c r="C120" t="n">
        <v>724.75</v>
      </c>
      <c r="D120" t="n">
        <v>94</v>
      </c>
      <c r="I120">
        <f>""</f>
        <v/>
      </c>
      <c r="J120">
        <f>IF(6&lt;=$F$17-2,$F$19,0)</f>
        <v/>
      </c>
      <c r="O120" t="n">
        <v>34800</v>
      </c>
      <c r="P120" t="n">
        <v>34950</v>
      </c>
      <c r="Q120" t="n">
        <v>42</v>
      </c>
      <c r="V120">
        <f>""</f>
        <v/>
      </c>
      <c r="W120">
        <f>IF(6&lt;=$S$17-2,$S$19,0)</f>
        <v/>
      </c>
      <c r="AB120" t="n">
        <v>17400</v>
      </c>
      <c r="AC120" t="n">
        <v>17475</v>
      </c>
      <c r="AD120" t="n">
        <v>43</v>
      </c>
      <c r="AI120">
        <f>""</f>
        <v/>
      </c>
      <c r="AJ120">
        <f>IF(6&lt;=$AF$17-2,$AF$19,0)</f>
        <v/>
      </c>
    </row>
    <row r="121">
      <c r="B121" t="n">
        <v>725.5</v>
      </c>
      <c r="C121" t="n">
        <v>726.25</v>
      </c>
      <c r="D121" t="n">
        <v>50</v>
      </c>
      <c r="I121">
        <f>""</f>
        <v/>
      </c>
      <c r="J121">
        <f>IF(7&lt;=$F$17-2,$F$19,0)</f>
        <v/>
      </c>
      <c r="O121" t="n">
        <v>35100</v>
      </c>
      <c r="P121" t="n">
        <v>35250</v>
      </c>
      <c r="Q121" t="n">
        <v>40</v>
      </c>
      <c r="V121">
        <f>""</f>
        <v/>
      </c>
      <c r="W121">
        <f>IF(7&lt;=$S$17-2,$S$19,0)</f>
        <v/>
      </c>
      <c r="AB121" t="n">
        <v>17550</v>
      </c>
      <c r="AC121" t="n">
        <v>17625</v>
      </c>
      <c r="AD121" t="n">
        <v>34</v>
      </c>
      <c r="AI121">
        <f>""</f>
        <v/>
      </c>
      <c r="AJ121">
        <f>IF(7&lt;=$AF$17-2,$AF$19,0)</f>
        <v/>
      </c>
    </row>
    <row r="122">
      <c r="B122" t="n">
        <v>727</v>
      </c>
      <c r="C122" t="n">
        <v>727.75</v>
      </c>
      <c r="D122" t="n">
        <v>108</v>
      </c>
      <c r="I122">
        <f>""</f>
        <v/>
      </c>
      <c r="J122">
        <f>IF(8&lt;=$F$17-2,$F$19,0)</f>
        <v/>
      </c>
      <c r="O122" t="n">
        <v>35400</v>
      </c>
      <c r="P122" t="n">
        <v>35550</v>
      </c>
      <c r="Q122" t="n">
        <v>33</v>
      </c>
      <c r="V122">
        <f>""</f>
        <v/>
      </c>
      <c r="W122">
        <f>IF(8&lt;=$S$17-2,$S$19,0)</f>
        <v/>
      </c>
      <c r="AB122" t="n">
        <v>17700</v>
      </c>
      <c r="AC122" t="n">
        <v>17775</v>
      </c>
      <c r="AD122" t="n">
        <v>34</v>
      </c>
      <c r="AI122">
        <f>""</f>
        <v/>
      </c>
      <c r="AJ122">
        <f>IF(8&lt;=$AF$17-2,$AF$19,0)</f>
        <v/>
      </c>
    </row>
    <row r="123">
      <c r="B123" t="n">
        <v>728.5</v>
      </c>
      <c r="C123" t="n">
        <v>729.25</v>
      </c>
      <c r="D123" t="n">
        <v>45</v>
      </c>
      <c r="I123">
        <f>""</f>
        <v/>
      </c>
      <c r="J123">
        <f>IF(9&lt;=$F$17-2,$F$19,0)</f>
        <v/>
      </c>
      <c r="O123" t="n">
        <v>35700</v>
      </c>
      <c r="P123" t="n">
        <v>35850</v>
      </c>
      <c r="Q123" t="n">
        <v>51</v>
      </c>
      <c r="V123">
        <f>""</f>
        <v/>
      </c>
      <c r="W123">
        <f>IF(9&lt;=$S$17-2,$S$19,0)</f>
        <v/>
      </c>
      <c r="AB123" t="n">
        <v>17850</v>
      </c>
      <c r="AC123" t="n">
        <v>17925</v>
      </c>
      <c r="AD123" t="n">
        <v>44</v>
      </c>
      <c r="AI123">
        <f>""</f>
        <v/>
      </c>
      <c r="AJ123">
        <f>IF(9&lt;=$AF$17-2,$AF$19,0)</f>
        <v/>
      </c>
    </row>
    <row r="124">
      <c r="B124" t="n">
        <v>730</v>
      </c>
      <c r="C124" t="n">
        <v>730.75</v>
      </c>
      <c r="D124" t="n">
        <v>84</v>
      </c>
      <c r="O124" t="n">
        <v>36000</v>
      </c>
      <c r="P124" t="n">
        <v>36150</v>
      </c>
      <c r="Q124" t="n">
        <v>39</v>
      </c>
      <c r="AB124" t="n">
        <v>18000</v>
      </c>
      <c r="AC124" t="n">
        <v>18075</v>
      </c>
      <c r="AD124" t="n">
        <v>37</v>
      </c>
    </row>
    <row r="125">
      <c r="B125" t="n">
        <v>731.5</v>
      </c>
      <c r="C125" t="n">
        <v>732.25</v>
      </c>
      <c r="D125" t="n">
        <v>33</v>
      </c>
      <c r="O125" t="n">
        <v>36300</v>
      </c>
      <c r="P125" t="n">
        <v>36450</v>
      </c>
      <c r="Q125" t="n">
        <v>43</v>
      </c>
      <c r="AB125" t="n">
        <v>18150</v>
      </c>
      <c r="AC125" t="n">
        <v>18225</v>
      </c>
      <c r="AD125" t="n">
        <v>35</v>
      </c>
    </row>
    <row r="126">
      <c r="B126" t="n">
        <v>733</v>
      </c>
      <c r="C126" t="n">
        <v>733.75</v>
      </c>
      <c r="D126" t="n">
        <v>96</v>
      </c>
      <c r="O126" t="n">
        <v>36600</v>
      </c>
      <c r="P126" t="n">
        <v>36750</v>
      </c>
      <c r="Q126" t="n">
        <v>37</v>
      </c>
      <c r="AB126" t="n">
        <v>18300</v>
      </c>
      <c r="AC126" t="n">
        <v>18375</v>
      </c>
      <c r="AD126" t="n">
        <v>39</v>
      </c>
    </row>
    <row r="127">
      <c r="B127" t="n">
        <v>734.5</v>
      </c>
      <c r="C127" t="n">
        <v>735.25</v>
      </c>
      <c r="D127" t="n">
        <v>52</v>
      </c>
      <c r="O127" t="n">
        <v>36900</v>
      </c>
      <c r="P127" t="n">
        <v>37050</v>
      </c>
      <c r="Q127" t="n">
        <v>34</v>
      </c>
      <c r="AB127" t="n">
        <v>18450</v>
      </c>
      <c r="AC127" t="n">
        <v>18525</v>
      </c>
      <c r="AD127" t="n">
        <v>37</v>
      </c>
    </row>
    <row r="128">
      <c r="B128" t="n">
        <v>736</v>
      </c>
      <c r="C128" t="n">
        <v>736.75</v>
      </c>
      <c r="D128" t="n">
        <v>76</v>
      </c>
      <c r="O128" t="n">
        <v>37200</v>
      </c>
      <c r="P128" t="n">
        <v>37350</v>
      </c>
      <c r="Q128" t="n">
        <v>47</v>
      </c>
      <c r="AB128" t="n">
        <v>18600</v>
      </c>
      <c r="AC128" t="n">
        <v>18675</v>
      </c>
      <c r="AD128" t="n">
        <v>38</v>
      </c>
    </row>
    <row r="129">
      <c r="B129" t="n">
        <v>737.5</v>
      </c>
      <c r="C129" t="n">
        <v>738.25</v>
      </c>
      <c r="D129" t="n">
        <v>41</v>
      </c>
      <c r="O129" t="n">
        <v>37500</v>
      </c>
      <c r="P129" t="n">
        <v>37650</v>
      </c>
      <c r="Q129" t="n">
        <v>29</v>
      </c>
      <c r="AB129" t="n">
        <v>18750</v>
      </c>
      <c r="AC129" t="n">
        <v>18825</v>
      </c>
      <c r="AD129" t="n">
        <v>44</v>
      </c>
    </row>
    <row r="130">
      <c r="B130" t="n">
        <v>739</v>
      </c>
      <c r="C130" t="n">
        <v>739.75</v>
      </c>
      <c r="D130" t="n">
        <v>98</v>
      </c>
      <c r="O130" t="n">
        <v>37800</v>
      </c>
      <c r="P130" t="n">
        <v>37950</v>
      </c>
      <c r="Q130" t="n">
        <v>42</v>
      </c>
      <c r="AB130" t="n">
        <v>18900</v>
      </c>
      <c r="AC130" t="n">
        <v>18975</v>
      </c>
      <c r="AD130" t="n">
        <v>34</v>
      </c>
    </row>
    <row r="131">
      <c r="B131" t="n">
        <v>740.5</v>
      </c>
      <c r="C131" t="n">
        <v>741.25</v>
      </c>
      <c r="D131" t="n">
        <v>36</v>
      </c>
      <c r="O131" t="n">
        <v>38100</v>
      </c>
      <c r="P131" t="n">
        <v>38250</v>
      </c>
      <c r="Q131" t="n">
        <v>42</v>
      </c>
      <c r="AB131" t="n">
        <v>19050</v>
      </c>
      <c r="AC131" t="n">
        <v>19125</v>
      </c>
      <c r="AD131" t="n">
        <v>33</v>
      </c>
    </row>
    <row r="132">
      <c r="B132" t="n">
        <v>742</v>
      </c>
      <c r="C132" t="n">
        <v>742.75</v>
      </c>
      <c r="D132" t="n">
        <v>80</v>
      </c>
      <c r="O132" t="n">
        <v>38400</v>
      </c>
      <c r="P132" t="n">
        <v>38550</v>
      </c>
      <c r="Q132" t="n">
        <v>38</v>
      </c>
      <c r="AB132" t="n">
        <v>19200</v>
      </c>
      <c r="AC132" t="n">
        <v>19275</v>
      </c>
      <c r="AD132" t="n">
        <v>36</v>
      </c>
    </row>
    <row r="133">
      <c r="B133" t="n">
        <v>743.5</v>
      </c>
      <c r="C133" t="n">
        <v>744.25</v>
      </c>
      <c r="D133" t="n">
        <v>35</v>
      </c>
      <c r="O133" t="n">
        <v>38700</v>
      </c>
      <c r="P133" t="n">
        <v>38850</v>
      </c>
      <c r="Q133" t="n">
        <v>51</v>
      </c>
      <c r="AB133" t="n">
        <v>19350</v>
      </c>
      <c r="AC133" t="n">
        <v>19425</v>
      </c>
      <c r="AD133" t="n">
        <v>31</v>
      </c>
    </row>
    <row r="134">
      <c r="B134" t="n">
        <v>745</v>
      </c>
      <c r="C134" t="n">
        <v>745.75</v>
      </c>
      <c r="D134" t="n">
        <v>76</v>
      </c>
      <c r="O134" t="n">
        <v>39000</v>
      </c>
      <c r="P134" t="n">
        <v>39150</v>
      </c>
      <c r="Q134" t="n">
        <v>39</v>
      </c>
      <c r="AB134" t="n">
        <v>19500</v>
      </c>
      <c r="AC134" t="n">
        <v>19575</v>
      </c>
      <c r="AD134" t="n">
        <v>26</v>
      </c>
    </row>
    <row r="135">
      <c r="B135" t="n">
        <v>746.5</v>
      </c>
      <c r="C135" t="n">
        <v>747.25</v>
      </c>
      <c r="D135" t="n">
        <v>29</v>
      </c>
      <c r="O135" t="n">
        <v>39300</v>
      </c>
      <c r="P135" t="n">
        <v>39450</v>
      </c>
      <c r="Q135" t="n">
        <v>47</v>
      </c>
      <c r="AB135" t="n">
        <v>19650</v>
      </c>
      <c r="AC135" t="n">
        <v>19725</v>
      </c>
      <c r="AD135" t="n">
        <v>35</v>
      </c>
    </row>
    <row r="136">
      <c r="B136" t="n">
        <v>748</v>
      </c>
      <c r="C136" t="n">
        <v>748.75</v>
      </c>
      <c r="D136" t="n">
        <v>60</v>
      </c>
      <c r="O136" t="n">
        <v>39600</v>
      </c>
      <c r="P136" t="n">
        <v>39750</v>
      </c>
      <c r="Q136" t="n">
        <v>38</v>
      </c>
      <c r="AB136" t="n">
        <v>19800</v>
      </c>
      <c r="AC136" t="n">
        <v>19875</v>
      </c>
      <c r="AD136" t="n">
        <v>22</v>
      </c>
    </row>
    <row r="137">
      <c r="B137" t="n">
        <v>749.5</v>
      </c>
      <c r="C137" t="n">
        <v>750.25</v>
      </c>
      <c r="D137" t="n">
        <v>38</v>
      </c>
      <c r="O137" t="n">
        <v>39900</v>
      </c>
      <c r="P137" t="n">
        <v>40050</v>
      </c>
      <c r="Q137" t="n">
        <v>37</v>
      </c>
      <c r="AB137" t="n">
        <v>19950</v>
      </c>
      <c r="AC137" t="n">
        <v>20025</v>
      </c>
      <c r="AD137" t="n">
        <v>33</v>
      </c>
    </row>
    <row r="138">
      <c r="B138" t="n">
        <v>751</v>
      </c>
      <c r="C138" t="n">
        <v>751.75</v>
      </c>
      <c r="D138" t="n">
        <v>76</v>
      </c>
      <c r="O138" t="n">
        <v>40200</v>
      </c>
      <c r="P138" t="n">
        <v>40350</v>
      </c>
      <c r="Q138" t="n">
        <v>51</v>
      </c>
      <c r="AB138" t="n">
        <v>20100</v>
      </c>
      <c r="AC138" t="n">
        <v>20175</v>
      </c>
      <c r="AD138" t="n">
        <v>34</v>
      </c>
    </row>
    <row r="139">
      <c r="B139" t="n">
        <v>752.5</v>
      </c>
      <c r="C139" t="n">
        <v>753.25</v>
      </c>
      <c r="D139" t="n">
        <v>44</v>
      </c>
      <c r="O139" t="n">
        <v>40500</v>
      </c>
      <c r="P139" t="n">
        <v>40650</v>
      </c>
      <c r="Q139" t="n">
        <v>26</v>
      </c>
      <c r="AB139" t="n">
        <v>20250</v>
      </c>
      <c r="AC139" t="n">
        <v>20325</v>
      </c>
      <c r="AD139" t="n">
        <v>29</v>
      </c>
    </row>
    <row r="140">
      <c r="B140" t="n">
        <v>754</v>
      </c>
      <c r="C140" t="n">
        <v>754.75</v>
      </c>
      <c r="D140" t="n">
        <v>64</v>
      </c>
      <c r="O140" t="n">
        <v>40800</v>
      </c>
      <c r="P140" t="n">
        <v>40950</v>
      </c>
      <c r="Q140" t="n">
        <v>40</v>
      </c>
      <c r="AB140" t="n">
        <v>20400</v>
      </c>
      <c r="AC140" t="n">
        <v>20475</v>
      </c>
      <c r="AD140" t="n">
        <v>27</v>
      </c>
    </row>
    <row r="141">
      <c r="B141" t="n">
        <v>755.5</v>
      </c>
      <c r="C141" t="n">
        <v>756.25</v>
      </c>
      <c r="D141" t="n">
        <v>41</v>
      </c>
      <c r="O141" t="n">
        <v>41100</v>
      </c>
      <c r="P141" t="n">
        <v>41250</v>
      </c>
      <c r="Q141" t="n">
        <v>47</v>
      </c>
      <c r="AB141" t="n">
        <v>20550</v>
      </c>
      <c r="AC141" t="n">
        <v>20625</v>
      </c>
      <c r="AD141" t="n">
        <v>28</v>
      </c>
    </row>
    <row r="142">
      <c r="B142" t="n">
        <v>757</v>
      </c>
      <c r="C142" t="n">
        <v>757.75</v>
      </c>
      <c r="D142" t="n">
        <v>64</v>
      </c>
      <c r="O142" t="n">
        <v>41400</v>
      </c>
      <c r="P142" t="n">
        <v>41550</v>
      </c>
      <c r="Q142" t="n">
        <v>51</v>
      </c>
      <c r="AB142" t="n">
        <v>20700</v>
      </c>
      <c r="AC142" t="n">
        <v>20775</v>
      </c>
      <c r="AD142" t="n">
        <v>29</v>
      </c>
    </row>
    <row r="143">
      <c r="B143" t="n">
        <v>758.5</v>
      </c>
      <c r="C143" t="n">
        <v>759.25</v>
      </c>
      <c r="D143" t="n">
        <v>21</v>
      </c>
      <c r="O143" t="n">
        <v>41700</v>
      </c>
      <c r="P143" t="n">
        <v>41850</v>
      </c>
      <c r="Q143" t="n">
        <v>37</v>
      </c>
      <c r="AB143" t="n">
        <v>20850</v>
      </c>
      <c r="AC143" t="n">
        <v>20925</v>
      </c>
      <c r="AD143" t="n">
        <v>21</v>
      </c>
    </row>
    <row r="144">
      <c r="B144" t="n">
        <v>760</v>
      </c>
      <c r="C144" t="n">
        <v>760.75</v>
      </c>
      <c r="D144" t="n">
        <v>55</v>
      </c>
      <c r="O144" t="n">
        <v>42000</v>
      </c>
      <c r="P144" t="n">
        <v>42150</v>
      </c>
      <c r="Q144" t="n">
        <v>54</v>
      </c>
      <c r="AB144" t="n">
        <v>21000</v>
      </c>
      <c r="AC144" t="n">
        <v>21075</v>
      </c>
      <c r="AD144" t="n">
        <v>28</v>
      </c>
    </row>
    <row r="145">
      <c r="B145" t="n">
        <v>761.5</v>
      </c>
      <c r="C145" t="n">
        <v>762.25</v>
      </c>
      <c r="D145" t="n">
        <v>30</v>
      </c>
      <c r="O145" t="n">
        <v>42300</v>
      </c>
      <c r="P145" t="n">
        <v>42450</v>
      </c>
      <c r="Q145" t="n">
        <v>51</v>
      </c>
      <c r="AB145" t="n">
        <v>21150</v>
      </c>
      <c r="AC145" t="n">
        <v>21225</v>
      </c>
      <c r="AD145" t="n">
        <v>21</v>
      </c>
    </row>
    <row r="146">
      <c r="B146" t="n">
        <v>763</v>
      </c>
      <c r="C146" t="n">
        <v>763.75</v>
      </c>
      <c r="D146" t="n">
        <v>59</v>
      </c>
      <c r="O146" t="n">
        <v>42600</v>
      </c>
      <c r="P146" t="n">
        <v>42750</v>
      </c>
      <c r="Q146" t="n">
        <v>35</v>
      </c>
      <c r="AB146" t="n">
        <v>21300</v>
      </c>
      <c r="AC146" t="n">
        <v>21375</v>
      </c>
      <c r="AD146" t="n">
        <v>28</v>
      </c>
    </row>
    <row r="147">
      <c r="B147" t="n">
        <v>764.5</v>
      </c>
      <c r="C147" t="n">
        <v>765.25</v>
      </c>
      <c r="D147" t="n">
        <v>20</v>
      </c>
      <c r="O147" t="n">
        <v>42900</v>
      </c>
      <c r="P147" t="n">
        <v>43050</v>
      </c>
      <c r="Q147" t="n">
        <v>53</v>
      </c>
      <c r="AB147" t="n">
        <v>21450</v>
      </c>
      <c r="AC147" t="n">
        <v>21525</v>
      </c>
      <c r="AD147" t="n">
        <v>17</v>
      </c>
    </row>
    <row r="148">
      <c r="B148" t="n">
        <v>766</v>
      </c>
      <c r="C148" t="n">
        <v>766.75</v>
      </c>
      <c r="D148" t="n">
        <v>54</v>
      </c>
      <c r="O148" t="n">
        <v>43200</v>
      </c>
      <c r="P148" t="n">
        <v>43350</v>
      </c>
      <c r="Q148" t="n">
        <v>35</v>
      </c>
      <c r="AB148" t="n">
        <v>21600</v>
      </c>
      <c r="AC148" t="n">
        <v>21675</v>
      </c>
      <c r="AD148" t="n">
        <v>19</v>
      </c>
    </row>
    <row r="149">
      <c r="B149" t="n">
        <v>767.5</v>
      </c>
      <c r="C149" t="n">
        <v>768.25</v>
      </c>
      <c r="D149" t="n">
        <v>27</v>
      </c>
      <c r="O149" t="n">
        <v>43500</v>
      </c>
      <c r="P149" t="n">
        <v>43650</v>
      </c>
      <c r="Q149" t="n">
        <v>46</v>
      </c>
      <c r="AB149" t="n">
        <v>21750</v>
      </c>
      <c r="AC149" t="n">
        <v>21825</v>
      </c>
      <c r="AD149" t="n">
        <v>17</v>
      </c>
    </row>
    <row r="150">
      <c r="B150" t="n">
        <v>769</v>
      </c>
      <c r="C150" t="n">
        <v>769.75</v>
      </c>
      <c r="D150" t="n">
        <v>43</v>
      </c>
      <c r="O150" t="n">
        <v>43800</v>
      </c>
      <c r="P150" t="n">
        <v>43950</v>
      </c>
      <c r="Q150" t="n">
        <v>40</v>
      </c>
      <c r="AB150" t="n">
        <v>21900</v>
      </c>
      <c r="AC150" t="n">
        <v>21975</v>
      </c>
      <c r="AD150" t="n">
        <v>19</v>
      </c>
    </row>
    <row r="151">
      <c r="B151" t="n">
        <v>770.5</v>
      </c>
      <c r="C151" t="n">
        <v>771.25</v>
      </c>
      <c r="D151" t="n">
        <v>23</v>
      </c>
      <c r="O151" t="n">
        <v>44100</v>
      </c>
      <c r="P151" t="n">
        <v>44250</v>
      </c>
      <c r="Q151" t="n">
        <v>50</v>
      </c>
      <c r="AB151" t="n">
        <v>22050</v>
      </c>
      <c r="AC151" t="n">
        <v>22125</v>
      </c>
      <c r="AD151" t="n">
        <v>14</v>
      </c>
    </row>
    <row r="152">
      <c r="B152" t="n">
        <v>772</v>
      </c>
      <c r="C152" t="n">
        <v>772.75</v>
      </c>
      <c r="D152" t="n">
        <v>53</v>
      </c>
      <c r="O152" t="n">
        <v>44400</v>
      </c>
      <c r="P152" t="n">
        <v>44550</v>
      </c>
      <c r="Q152" t="n">
        <v>44</v>
      </c>
      <c r="AB152" t="n">
        <v>22200</v>
      </c>
      <c r="AC152" t="n">
        <v>22275</v>
      </c>
      <c r="AD152" t="n">
        <v>24</v>
      </c>
    </row>
    <row r="153">
      <c r="B153" t="n">
        <v>773.5</v>
      </c>
      <c r="C153" t="n">
        <v>774.25</v>
      </c>
      <c r="D153" t="n">
        <v>23</v>
      </c>
      <c r="O153" t="n">
        <v>44700</v>
      </c>
      <c r="P153" t="n">
        <v>44850</v>
      </c>
      <c r="Q153" t="n">
        <v>41</v>
      </c>
      <c r="AB153" t="n">
        <v>22350</v>
      </c>
      <c r="AC153" t="n">
        <v>22425</v>
      </c>
      <c r="AD153" t="n">
        <v>20</v>
      </c>
    </row>
    <row r="154">
      <c r="B154" t="n">
        <v>775</v>
      </c>
      <c r="C154" t="n">
        <v>775.75</v>
      </c>
      <c r="D154" t="n">
        <v>43</v>
      </c>
      <c r="O154" t="n">
        <v>45000</v>
      </c>
      <c r="P154" t="n">
        <v>45150</v>
      </c>
      <c r="Q154" t="n">
        <v>43</v>
      </c>
      <c r="AB154" t="n">
        <v>22500</v>
      </c>
      <c r="AC154" t="n">
        <v>22575</v>
      </c>
      <c r="AD154" t="n">
        <v>26</v>
      </c>
    </row>
    <row r="155">
      <c r="B155" t="n">
        <v>776.5</v>
      </c>
      <c r="C155" t="n">
        <v>777.25</v>
      </c>
      <c r="D155" t="n">
        <v>27</v>
      </c>
      <c r="O155" t="n">
        <v>45300</v>
      </c>
      <c r="P155" t="n">
        <v>45450</v>
      </c>
      <c r="Q155" t="n">
        <v>52</v>
      </c>
      <c r="AB155" t="n">
        <v>22650</v>
      </c>
      <c r="AC155" t="n">
        <v>22725</v>
      </c>
      <c r="AD155" t="n">
        <v>19</v>
      </c>
    </row>
    <row r="156">
      <c r="B156" t="n">
        <v>778</v>
      </c>
      <c r="C156" t="n">
        <v>778.75</v>
      </c>
      <c r="D156" t="n">
        <v>49</v>
      </c>
      <c r="O156" t="n">
        <v>45600</v>
      </c>
      <c r="P156" t="n">
        <v>45750</v>
      </c>
      <c r="Q156" t="n">
        <v>37</v>
      </c>
      <c r="AB156" t="n">
        <v>22800</v>
      </c>
      <c r="AC156" t="n">
        <v>22875</v>
      </c>
      <c r="AD156" t="n">
        <v>15</v>
      </c>
    </row>
    <row r="157">
      <c r="B157" t="n">
        <v>779.5</v>
      </c>
      <c r="C157" t="n">
        <v>780.25</v>
      </c>
      <c r="D157" t="n">
        <v>15</v>
      </c>
      <c r="O157" t="n">
        <v>45900</v>
      </c>
      <c r="P157" t="n">
        <v>46050</v>
      </c>
      <c r="Q157" t="n">
        <v>53</v>
      </c>
      <c r="AB157" t="n">
        <v>22950</v>
      </c>
      <c r="AC157" t="n">
        <v>23025</v>
      </c>
      <c r="AD157" t="n">
        <v>16</v>
      </c>
    </row>
    <row r="158">
      <c r="B158" t="n">
        <v>781</v>
      </c>
      <c r="C158" t="n">
        <v>781.75</v>
      </c>
      <c r="D158" t="n">
        <v>42</v>
      </c>
      <c r="O158" t="n">
        <v>46200</v>
      </c>
      <c r="P158" t="n">
        <v>46350</v>
      </c>
      <c r="Q158" t="n">
        <v>36</v>
      </c>
      <c r="AB158" t="n">
        <v>23100</v>
      </c>
      <c r="AC158" t="n">
        <v>23175</v>
      </c>
      <c r="AD158" t="n">
        <v>12</v>
      </c>
    </row>
    <row r="159">
      <c r="B159" t="n">
        <v>782.5</v>
      </c>
      <c r="C159" t="n">
        <v>783.25</v>
      </c>
      <c r="D159" t="n">
        <v>20</v>
      </c>
      <c r="O159" t="n">
        <v>46500</v>
      </c>
      <c r="P159" t="n">
        <v>46650</v>
      </c>
      <c r="Q159" t="n">
        <v>49</v>
      </c>
      <c r="AB159" t="n">
        <v>23250</v>
      </c>
      <c r="AC159" t="n">
        <v>23325</v>
      </c>
      <c r="AD159" t="n">
        <v>14</v>
      </c>
    </row>
    <row r="160">
      <c r="B160" t="n">
        <v>784</v>
      </c>
      <c r="C160" t="n">
        <v>784.75</v>
      </c>
      <c r="D160" t="n">
        <v>31</v>
      </c>
      <c r="O160" t="n">
        <v>46800</v>
      </c>
      <c r="P160" t="n">
        <v>46950</v>
      </c>
      <c r="Q160" t="n">
        <v>47</v>
      </c>
      <c r="AB160" t="n">
        <v>23400</v>
      </c>
      <c r="AC160" t="n">
        <v>23475</v>
      </c>
      <c r="AD160" t="n">
        <v>22</v>
      </c>
    </row>
    <row r="161">
      <c r="B161" t="n">
        <v>785.5</v>
      </c>
      <c r="C161" t="n">
        <v>786.25</v>
      </c>
      <c r="D161" t="n">
        <v>17</v>
      </c>
      <c r="O161" t="n">
        <v>47100</v>
      </c>
      <c r="P161" t="n">
        <v>47250</v>
      </c>
      <c r="Q161" t="n">
        <v>46</v>
      </c>
      <c r="AB161" t="n">
        <v>23550</v>
      </c>
      <c r="AC161" t="n">
        <v>23625</v>
      </c>
      <c r="AD161" t="n">
        <v>12</v>
      </c>
    </row>
    <row r="162">
      <c r="B162" t="n">
        <v>787</v>
      </c>
      <c r="C162" t="n">
        <v>787.75</v>
      </c>
      <c r="D162" t="n">
        <v>34</v>
      </c>
      <c r="O162" t="n">
        <v>47400</v>
      </c>
      <c r="P162" t="n">
        <v>47550</v>
      </c>
      <c r="Q162" t="n">
        <v>39</v>
      </c>
      <c r="AB162" t="n">
        <v>23700</v>
      </c>
      <c r="AC162" t="n">
        <v>23775</v>
      </c>
      <c r="AD162" t="n">
        <v>17</v>
      </c>
    </row>
    <row r="163">
      <c r="B163" t="n">
        <v>788.5</v>
      </c>
      <c r="C163" t="n">
        <v>789.25</v>
      </c>
      <c r="D163" t="n">
        <v>18</v>
      </c>
      <c r="O163" t="n">
        <v>47700</v>
      </c>
      <c r="P163" t="n">
        <v>47850</v>
      </c>
      <c r="Q163" t="n">
        <v>36</v>
      </c>
      <c r="AB163" t="n">
        <v>23850</v>
      </c>
      <c r="AC163" t="n">
        <v>23925</v>
      </c>
      <c r="AD163" t="n">
        <v>10</v>
      </c>
    </row>
    <row r="164">
      <c r="B164" t="n">
        <v>790</v>
      </c>
      <c r="C164" t="n">
        <v>790.75</v>
      </c>
      <c r="D164" t="n">
        <v>28</v>
      </c>
      <c r="O164" t="n">
        <v>48000</v>
      </c>
      <c r="P164" t="n">
        <v>48150</v>
      </c>
      <c r="Q164" t="n">
        <v>33</v>
      </c>
      <c r="AB164" t="n">
        <v>24000</v>
      </c>
      <c r="AC164" t="n">
        <v>24075</v>
      </c>
      <c r="AD164" t="n">
        <v>10</v>
      </c>
    </row>
    <row r="165">
      <c r="B165" t="n">
        <v>791.5</v>
      </c>
      <c r="C165" t="n">
        <v>792.25</v>
      </c>
      <c r="D165" t="n">
        <v>13</v>
      </c>
      <c r="O165" t="n">
        <v>48300</v>
      </c>
      <c r="P165" t="n">
        <v>48450</v>
      </c>
      <c r="Q165" t="n">
        <v>44</v>
      </c>
      <c r="AB165" t="n">
        <v>24150</v>
      </c>
      <c r="AC165" t="n">
        <v>24225</v>
      </c>
      <c r="AD165" t="n">
        <v>11</v>
      </c>
    </row>
    <row r="166">
      <c r="B166" t="n">
        <v>793</v>
      </c>
      <c r="C166" t="n">
        <v>793.75</v>
      </c>
      <c r="D166" t="n">
        <v>31</v>
      </c>
      <c r="O166" t="n">
        <v>48600</v>
      </c>
      <c r="P166" t="n">
        <v>48750</v>
      </c>
      <c r="Q166" t="n">
        <v>42</v>
      </c>
      <c r="AB166" t="n">
        <v>24300</v>
      </c>
      <c r="AC166" t="n">
        <v>24375</v>
      </c>
      <c r="AD166" t="n">
        <v>15</v>
      </c>
    </row>
    <row r="167">
      <c r="B167" t="n">
        <v>794.5</v>
      </c>
      <c r="C167" t="n">
        <v>795.25</v>
      </c>
      <c r="D167" t="n">
        <v>12</v>
      </c>
      <c r="O167" t="n">
        <v>48900</v>
      </c>
      <c r="P167" t="n">
        <v>49050</v>
      </c>
      <c r="Q167" t="n">
        <v>44</v>
      </c>
      <c r="AB167" t="n">
        <v>24450</v>
      </c>
      <c r="AC167" t="n">
        <v>24525</v>
      </c>
      <c r="AD167" t="n">
        <v>13</v>
      </c>
    </row>
    <row r="168">
      <c r="B168" t="n">
        <v>796</v>
      </c>
      <c r="C168" t="n">
        <v>796.75</v>
      </c>
      <c r="D168" t="n">
        <v>25</v>
      </c>
      <c r="O168" t="n">
        <v>49200</v>
      </c>
      <c r="P168" t="n">
        <v>49350</v>
      </c>
      <c r="Q168" t="n">
        <v>44</v>
      </c>
      <c r="AB168" t="n">
        <v>24600</v>
      </c>
      <c r="AC168" t="n">
        <v>24675</v>
      </c>
      <c r="AD168" t="n">
        <v>15</v>
      </c>
    </row>
    <row r="169">
      <c r="B169" t="n">
        <v>797.5</v>
      </c>
      <c r="C169" t="n">
        <v>798.25</v>
      </c>
      <c r="D169" t="n">
        <v>11</v>
      </c>
      <c r="O169" t="n">
        <v>49500</v>
      </c>
      <c r="P169" t="n">
        <v>49650</v>
      </c>
      <c r="Q169" t="n">
        <v>42</v>
      </c>
      <c r="AB169" t="n">
        <v>24750</v>
      </c>
      <c r="AC169" t="n">
        <v>24825</v>
      </c>
      <c r="AD169" t="n">
        <v>11</v>
      </c>
    </row>
    <row r="170">
      <c r="B170" t="n">
        <v>799</v>
      </c>
      <c r="C170" t="n">
        <v>799.75</v>
      </c>
      <c r="D170" t="n">
        <v>19</v>
      </c>
      <c r="O170" t="n">
        <v>49800</v>
      </c>
      <c r="P170" t="n">
        <v>49950</v>
      </c>
      <c r="Q170" t="n">
        <v>34</v>
      </c>
      <c r="AB170" t="n">
        <v>24900</v>
      </c>
      <c r="AC170" t="n">
        <v>24975</v>
      </c>
      <c r="AD170" t="n">
        <v>19</v>
      </c>
    </row>
    <row r="171">
      <c r="B171" t="n">
        <v>800.5</v>
      </c>
      <c r="C171" t="n">
        <v>801.25</v>
      </c>
      <c r="D171" t="n">
        <v>13</v>
      </c>
      <c r="O171" t="n">
        <v>50100</v>
      </c>
      <c r="P171" t="n">
        <v>50250</v>
      </c>
      <c r="Q171" t="n">
        <v>40</v>
      </c>
      <c r="AB171" t="n">
        <v>25050</v>
      </c>
      <c r="AC171" t="n">
        <v>25125</v>
      </c>
      <c r="AD171" t="n">
        <v>6</v>
      </c>
    </row>
    <row r="172">
      <c r="B172" t="n">
        <v>802</v>
      </c>
      <c r="C172" t="n">
        <v>802.75</v>
      </c>
      <c r="D172" t="n">
        <v>22</v>
      </c>
      <c r="O172" t="n">
        <v>50400</v>
      </c>
      <c r="P172" t="n">
        <v>50550</v>
      </c>
      <c r="Q172" t="n">
        <v>42</v>
      </c>
      <c r="AB172" t="n">
        <v>25200</v>
      </c>
      <c r="AC172" t="n">
        <v>25275</v>
      </c>
      <c r="AD172" t="n">
        <v>11</v>
      </c>
    </row>
    <row r="173">
      <c r="B173" t="n">
        <v>803.5</v>
      </c>
      <c r="C173" t="n">
        <v>804.25</v>
      </c>
      <c r="D173" t="n">
        <v>13</v>
      </c>
      <c r="O173" t="n">
        <v>50700</v>
      </c>
      <c r="P173" t="n">
        <v>50850</v>
      </c>
      <c r="Q173" t="n">
        <v>47</v>
      </c>
      <c r="AB173" t="n">
        <v>25350</v>
      </c>
      <c r="AC173" t="n">
        <v>25425</v>
      </c>
      <c r="AD173" t="n">
        <v>6</v>
      </c>
    </row>
    <row r="174">
      <c r="B174" t="n">
        <v>805</v>
      </c>
      <c r="C174" t="n">
        <v>805.75</v>
      </c>
      <c r="D174" t="n">
        <v>11</v>
      </c>
      <c r="O174" t="n">
        <v>51000</v>
      </c>
      <c r="P174" t="n">
        <v>51150</v>
      </c>
      <c r="Q174" t="n">
        <v>42</v>
      </c>
      <c r="AB174" t="n">
        <v>25500</v>
      </c>
      <c r="AC174" t="n">
        <v>25575</v>
      </c>
      <c r="AD174" t="n">
        <v>10</v>
      </c>
    </row>
    <row r="175">
      <c r="B175" t="n">
        <v>806.5</v>
      </c>
      <c r="C175" t="n">
        <v>807.25</v>
      </c>
      <c r="D175" t="n">
        <v>7</v>
      </c>
      <c r="O175" t="n">
        <v>51300</v>
      </c>
      <c r="P175" t="n">
        <v>51450</v>
      </c>
      <c r="Q175" t="n">
        <v>46</v>
      </c>
      <c r="AB175" t="n">
        <v>25650</v>
      </c>
      <c r="AC175" t="n">
        <v>25725</v>
      </c>
      <c r="AD175" t="n">
        <v>9</v>
      </c>
    </row>
    <row r="176">
      <c r="B176" t="n">
        <v>808</v>
      </c>
      <c r="C176" t="n">
        <v>808.75</v>
      </c>
      <c r="D176" t="n">
        <v>16</v>
      </c>
      <c r="O176" t="n">
        <v>51600</v>
      </c>
      <c r="P176" t="n">
        <v>51750</v>
      </c>
      <c r="Q176" t="n">
        <v>36</v>
      </c>
      <c r="AB176" t="n">
        <v>25800</v>
      </c>
      <c r="AC176" t="n">
        <v>25875</v>
      </c>
      <c r="AD176" t="n">
        <v>10</v>
      </c>
    </row>
    <row r="177">
      <c r="B177" t="n">
        <v>809.5</v>
      </c>
      <c r="C177" t="n">
        <v>810.25</v>
      </c>
      <c r="D177" t="n">
        <v>17</v>
      </c>
      <c r="O177" t="n">
        <v>51900</v>
      </c>
      <c r="P177" t="n">
        <v>52050</v>
      </c>
      <c r="Q177" t="n">
        <v>31</v>
      </c>
      <c r="AB177" t="n">
        <v>25950</v>
      </c>
      <c r="AC177" t="n">
        <v>26025</v>
      </c>
      <c r="AD177" t="n">
        <v>16</v>
      </c>
    </row>
    <row r="178">
      <c r="B178" t="n">
        <v>811</v>
      </c>
      <c r="C178" t="n">
        <v>811.75</v>
      </c>
      <c r="D178" t="n">
        <v>10</v>
      </c>
      <c r="O178" t="n">
        <v>52200</v>
      </c>
      <c r="P178" t="n">
        <v>52350</v>
      </c>
      <c r="Q178" t="n">
        <v>51</v>
      </c>
      <c r="AB178" t="n">
        <v>26100</v>
      </c>
      <c r="AC178" t="n">
        <v>26175</v>
      </c>
      <c r="AD178" t="n">
        <v>5</v>
      </c>
    </row>
    <row r="179">
      <c r="B179" t="n">
        <v>812.5</v>
      </c>
      <c r="C179" t="n">
        <v>813.25</v>
      </c>
      <c r="D179" t="n">
        <v>6</v>
      </c>
      <c r="O179" t="n">
        <v>52500</v>
      </c>
      <c r="P179" t="n">
        <v>52650</v>
      </c>
      <c r="Q179" t="n">
        <v>48</v>
      </c>
      <c r="AB179" t="n">
        <v>26250</v>
      </c>
      <c r="AC179" t="n">
        <v>26325</v>
      </c>
      <c r="AD179" t="n">
        <v>5</v>
      </c>
    </row>
    <row r="180">
      <c r="B180" t="n">
        <v>814</v>
      </c>
      <c r="C180" t="n">
        <v>814.75</v>
      </c>
      <c r="D180" t="n">
        <v>13</v>
      </c>
      <c r="O180" t="n">
        <v>52800</v>
      </c>
      <c r="P180" t="n">
        <v>52950</v>
      </c>
      <c r="Q180" t="n">
        <v>56</v>
      </c>
      <c r="AB180" t="n">
        <v>26400</v>
      </c>
      <c r="AC180" t="n">
        <v>26475</v>
      </c>
      <c r="AD180" t="n">
        <v>9</v>
      </c>
    </row>
    <row r="181">
      <c r="B181" t="n">
        <v>815.5</v>
      </c>
      <c r="C181" t="n">
        <v>816.25</v>
      </c>
      <c r="D181" t="n">
        <v>6</v>
      </c>
      <c r="O181" t="n">
        <v>53100</v>
      </c>
      <c r="P181" t="n">
        <v>53250</v>
      </c>
      <c r="Q181" t="n">
        <v>60</v>
      </c>
      <c r="AB181" t="n">
        <v>26550</v>
      </c>
      <c r="AC181" t="n">
        <v>26625</v>
      </c>
      <c r="AD181" t="n">
        <v>8</v>
      </c>
    </row>
    <row r="182">
      <c r="B182" t="n">
        <v>817</v>
      </c>
      <c r="C182" t="n">
        <v>817.75</v>
      </c>
      <c r="D182" t="n">
        <v>12</v>
      </c>
      <c r="O182" t="n">
        <v>53400</v>
      </c>
      <c r="P182" t="n">
        <v>53550</v>
      </c>
      <c r="Q182" t="n">
        <v>48</v>
      </c>
      <c r="AB182" t="n">
        <v>26700</v>
      </c>
      <c r="AC182" t="n">
        <v>26775</v>
      </c>
      <c r="AD182" t="n">
        <v>17</v>
      </c>
    </row>
    <row r="183">
      <c r="B183" t="n">
        <v>818.5</v>
      </c>
      <c r="C183" t="n">
        <v>819.25</v>
      </c>
      <c r="D183" t="n">
        <v>7</v>
      </c>
      <c r="O183" t="n">
        <v>53700</v>
      </c>
      <c r="P183" t="n">
        <v>53850</v>
      </c>
      <c r="Q183" t="n">
        <v>42</v>
      </c>
      <c r="AB183" t="n">
        <v>26850</v>
      </c>
      <c r="AC183" t="n">
        <v>26925</v>
      </c>
      <c r="AD183" t="n">
        <v>5</v>
      </c>
    </row>
    <row r="184">
      <c r="B184" t="n">
        <v>820</v>
      </c>
      <c r="C184" t="n">
        <v>820.75</v>
      </c>
      <c r="D184" t="n">
        <v>7</v>
      </c>
      <c r="O184" t="n">
        <v>54000</v>
      </c>
      <c r="P184" t="n">
        <v>54150</v>
      </c>
      <c r="Q184" t="n">
        <v>51</v>
      </c>
      <c r="AB184" t="n">
        <v>27000</v>
      </c>
      <c r="AC184" t="n">
        <v>27075</v>
      </c>
      <c r="AD184" t="n">
        <v>4</v>
      </c>
    </row>
    <row r="185">
      <c r="B185" t="n">
        <v>821.5</v>
      </c>
      <c r="C185" t="n">
        <v>822.25</v>
      </c>
      <c r="D185" t="n">
        <v>5</v>
      </c>
      <c r="O185" t="n">
        <v>54300</v>
      </c>
      <c r="P185" t="n">
        <v>54450</v>
      </c>
      <c r="Q185" t="n">
        <v>47</v>
      </c>
      <c r="AB185" t="n">
        <v>27150</v>
      </c>
      <c r="AC185" t="n">
        <v>27225</v>
      </c>
      <c r="AD185" t="n">
        <v>7</v>
      </c>
    </row>
    <row r="186">
      <c r="B186" t="n">
        <v>823</v>
      </c>
      <c r="C186" t="n">
        <v>823.75</v>
      </c>
      <c r="D186" t="n">
        <v>7</v>
      </c>
      <c r="O186" t="n">
        <v>54600</v>
      </c>
      <c r="P186" t="n">
        <v>54750</v>
      </c>
      <c r="Q186" t="n">
        <v>44</v>
      </c>
      <c r="AB186" t="n">
        <v>27300</v>
      </c>
      <c r="AC186" t="n">
        <v>27375</v>
      </c>
      <c r="AD186" t="n">
        <v>4</v>
      </c>
    </row>
    <row r="187">
      <c r="B187" t="n">
        <v>824.5</v>
      </c>
      <c r="C187" t="n">
        <v>825.25</v>
      </c>
      <c r="D187" t="n">
        <v>3</v>
      </c>
      <c r="O187" t="n">
        <v>54900</v>
      </c>
      <c r="P187" t="n">
        <v>55050</v>
      </c>
      <c r="Q187" t="n">
        <v>43</v>
      </c>
      <c r="AB187" t="n">
        <v>27450</v>
      </c>
      <c r="AC187" t="n">
        <v>27525</v>
      </c>
      <c r="AD187" t="n">
        <v>3</v>
      </c>
    </row>
    <row r="188">
      <c r="B188" t="n">
        <v>826</v>
      </c>
      <c r="C188" t="n">
        <v>826.75</v>
      </c>
      <c r="D188" t="n">
        <v>13</v>
      </c>
      <c r="O188" t="n">
        <v>55200</v>
      </c>
      <c r="P188" t="n">
        <v>55350</v>
      </c>
      <c r="Q188" t="n">
        <v>48</v>
      </c>
      <c r="AB188" t="n">
        <v>27600</v>
      </c>
      <c r="AC188" t="n">
        <v>27675</v>
      </c>
      <c r="AD188" t="n">
        <v>7</v>
      </c>
    </row>
    <row r="189">
      <c r="B189" t="n">
        <v>827.5</v>
      </c>
      <c r="C189" t="n">
        <v>828.25</v>
      </c>
      <c r="D189" t="n">
        <v>1</v>
      </c>
      <c r="O189" t="n">
        <v>55500</v>
      </c>
      <c r="P189" t="n">
        <v>55650</v>
      </c>
      <c r="Q189" t="n">
        <v>36</v>
      </c>
      <c r="AB189" t="n">
        <v>27750</v>
      </c>
      <c r="AC189" t="n">
        <v>27825</v>
      </c>
      <c r="AD189" t="n">
        <v>3</v>
      </c>
    </row>
    <row r="190">
      <c r="B190" t="n">
        <v>829</v>
      </c>
      <c r="C190" t="n">
        <v>829.75</v>
      </c>
      <c r="D190" t="n">
        <v>6</v>
      </c>
      <c r="O190" t="n">
        <v>55800</v>
      </c>
      <c r="P190" t="n">
        <v>55950</v>
      </c>
      <c r="Q190" t="n">
        <v>38</v>
      </c>
      <c r="AB190" t="n">
        <v>27900</v>
      </c>
      <c r="AC190" t="n">
        <v>27975</v>
      </c>
      <c r="AD190" t="n">
        <v>4</v>
      </c>
    </row>
    <row r="191">
      <c r="B191" t="n">
        <v>830.5</v>
      </c>
      <c r="C191" t="n">
        <v>831.25</v>
      </c>
      <c r="D191" t="n">
        <v>2</v>
      </c>
      <c r="O191" t="n">
        <v>56100</v>
      </c>
      <c r="P191" t="n">
        <v>56250</v>
      </c>
      <c r="Q191" t="n">
        <v>39</v>
      </c>
      <c r="AB191" t="n">
        <v>28050</v>
      </c>
      <c r="AC191" t="n">
        <v>28125</v>
      </c>
      <c r="AD191" t="n">
        <v>5</v>
      </c>
    </row>
    <row r="192">
      <c r="B192" t="n">
        <v>832</v>
      </c>
      <c r="C192" t="n">
        <v>832.75</v>
      </c>
      <c r="D192" t="n">
        <v>6</v>
      </c>
      <c r="O192" t="n">
        <v>56400</v>
      </c>
      <c r="P192" t="n">
        <v>56550</v>
      </c>
      <c r="Q192" t="n">
        <v>42</v>
      </c>
      <c r="AB192" t="n">
        <v>28200</v>
      </c>
      <c r="AC192" t="n">
        <v>28275</v>
      </c>
      <c r="AD192" t="n">
        <v>5</v>
      </c>
    </row>
    <row r="193">
      <c r="B193" t="n">
        <v>833.5</v>
      </c>
      <c r="C193" t="n">
        <v>834.25</v>
      </c>
      <c r="D193" t="n">
        <v>1</v>
      </c>
      <c r="O193" t="n">
        <v>56700</v>
      </c>
      <c r="P193" t="n">
        <v>56850</v>
      </c>
      <c r="Q193" t="n">
        <v>41</v>
      </c>
      <c r="AB193" t="n">
        <v>28350</v>
      </c>
      <c r="AC193" t="n">
        <v>28425</v>
      </c>
      <c r="AD193" t="n">
        <v>4</v>
      </c>
    </row>
    <row r="194">
      <c r="B194" t="n">
        <v>835</v>
      </c>
      <c r="C194" t="n">
        <v>835.75</v>
      </c>
      <c r="D194" t="n">
        <v>6</v>
      </c>
      <c r="O194" t="n">
        <v>57000</v>
      </c>
      <c r="P194" t="n">
        <v>57150</v>
      </c>
      <c r="Q194" t="n">
        <v>54</v>
      </c>
      <c r="AB194" t="n">
        <v>28500</v>
      </c>
      <c r="AC194" t="n">
        <v>28575</v>
      </c>
      <c r="AD194" t="n">
        <v>6</v>
      </c>
    </row>
    <row r="195">
      <c r="B195" t="n">
        <v>836.5</v>
      </c>
      <c r="C195" t="n">
        <v>837.25</v>
      </c>
      <c r="D195" t="n">
        <v>5</v>
      </c>
      <c r="O195" t="n">
        <v>57300</v>
      </c>
      <c r="P195" t="n">
        <v>57450</v>
      </c>
      <c r="Q195" t="n">
        <v>50</v>
      </c>
      <c r="AB195" t="n">
        <v>28650</v>
      </c>
      <c r="AC195" t="n">
        <v>28725</v>
      </c>
      <c r="AD195" t="n">
        <v>5</v>
      </c>
    </row>
    <row r="196">
      <c r="B196" t="n">
        <v>838</v>
      </c>
      <c r="C196" t="n">
        <v>838.75</v>
      </c>
      <c r="D196" t="n">
        <v>7</v>
      </c>
      <c r="O196" t="n">
        <v>57600</v>
      </c>
      <c r="P196" t="n">
        <v>57750</v>
      </c>
      <c r="Q196" t="n">
        <v>27</v>
      </c>
      <c r="AB196" t="n">
        <v>28800</v>
      </c>
      <c r="AC196" t="n">
        <v>28875</v>
      </c>
      <c r="AD196" t="n">
        <v>4</v>
      </c>
    </row>
    <row r="197">
      <c r="B197" t="n">
        <v>839.5</v>
      </c>
      <c r="C197" t="n">
        <v>840.25</v>
      </c>
      <c r="D197" t="n">
        <v>7</v>
      </c>
      <c r="O197" t="n">
        <v>57900</v>
      </c>
      <c r="P197" t="n">
        <v>58050</v>
      </c>
      <c r="Q197" t="n">
        <v>50</v>
      </c>
      <c r="AB197" t="n">
        <v>28950</v>
      </c>
      <c r="AC197" t="n">
        <v>29025</v>
      </c>
      <c r="AD197" t="n">
        <v>1</v>
      </c>
    </row>
    <row r="198">
      <c r="B198" t="n">
        <v>841</v>
      </c>
      <c r="C198" t="n">
        <v>841.75</v>
      </c>
      <c r="D198" t="n">
        <v>5</v>
      </c>
      <c r="O198" t="n">
        <v>58200</v>
      </c>
      <c r="P198" t="n">
        <v>58350</v>
      </c>
      <c r="Q198" t="n">
        <v>57</v>
      </c>
      <c r="AB198" t="n">
        <v>29100</v>
      </c>
      <c r="AC198" t="n">
        <v>29175</v>
      </c>
      <c r="AD198" t="n">
        <v>3</v>
      </c>
    </row>
    <row r="199">
      <c r="B199" t="n">
        <v>842.5</v>
      </c>
      <c r="C199" t="n">
        <v>843.25</v>
      </c>
      <c r="D199" t="n">
        <v>1</v>
      </c>
      <c r="O199" t="n">
        <v>58500</v>
      </c>
      <c r="P199" t="n">
        <v>58650</v>
      </c>
      <c r="Q199" t="n">
        <v>34</v>
      </c>
      <c r="AB199" t="n">
        <v>29250</v>
      </c>
      <c r="AC199" t="n">
        <v>29325</v>
      </c>
      <c r="AD199" t="n">
        <v>3</v>
      </c>
    </row>
    <row r="200">
      <c r="B200" t="n">
        <v>844</v>
      </c>
      <c r="C200" t="n">
        <v>844.75</v>
      </c>
      <c r="D200" t="n">
        <v>5</v>
      </c>
      <c r="O200" t="n">
        <v>58800</v>
      </c>
      <c r="P200" t="n">
        <v>58950</v>
      </c>
      <c r="Q200" t="n">
        <v>54</v>
      </c>
      <c r="AB200" t="n">
        <v>29400</v>
      </c>
      <c r="AC200" t="n">
        <v>29475</v>
      </c>
      <c r="AD200" t="n">
        <v>1</v>
      </c>
    </row>
    <row r="201">
      <c r="B201" t="n">
        <v>845.5</v>
      </c>
      <c r="C201" t="n">
        <v>846.25</v>
      </c>
      <c r="D201" t="n">
        <v>2</v>
      </c>
      <c r="O201" t="n">
        <v>59100</v>
      </c>
      <c r="P201" t="n">
        <v>59250</v>
      </c>
      <c r="Q201" t="n">
        <v>53</v>
      </c>
      <c r="AB201" t="n">
        <v>29550</v>
      </c>
      <c r="AC201" t="n">
        <v>29625</v>
      </c>
      <c r="AD201" t="n">
        <v>4</v>
      </c>
    </row>
    <row r="202">
      <c r="B202" t="n">
        <v>847</v>
      </c>
      <c r="C202" t="n">
        <v>847.75</v>
      </c>
      <c r="D202" t="n">
        <v>2</v>
      </c>
      <c r="O202" t="n">
        <v>59400</v>
      </c>
      <c r="P202" t="n">
        <v>59550</v>
      </c>
      <c r="Q202" t="n">
        <v>37</v>
      </c>
      <c r="AB202" t="n">
        <v>29700</v>
      </c>
      <c r="AC202" t="n">
        <v>29775</v>
      </c>
      <c r="AD202" t="n">
        <v>5</v>
      </c>
    </row>
    <row r="203">
      <c r="B203" t="n">
        <v>848.5</v>
      </c>
      <c r="C203" t="n">
        <v>849.25</v>
      </c>
      <c r="D203" t="n">
        <v>5</v>
      </c>
      <c r="O203" t="n">
        <v>59700</v>
      </c>
      <c r="P203" t="n">
        <v>59850</v>
      </c>
      <c r="Q203" t="n">
        <v>37</v>
      </c>
      <c r="AB203" t="n">
        <v>29850</v>
      </c>
      <c r="AC203" t="n">
        <v>29925</v>
      </c>
      <c r="AD20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2026-09-29T21:05:39Z</dcterms:created>
  <dcterms:modified xsi:type="dcterms:W3CDTF">2026-09-29T21:05:52Z</dcterms:modified>
</cp:coreProperties>
</file>