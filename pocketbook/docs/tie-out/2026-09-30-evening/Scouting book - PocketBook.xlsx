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Scouting" sheetId="5" state="visible" r:id="rId5"/>
    <sheet name="New variables" sheetId="6" state="visible" r:id="rId6"/>
    <sheet name="Record" sheetId="7" state="visible" r:id="rId7"/>
    <sheet name="_options" sheetId="8" state="hidden" r:id="rId8"/>
    <sheet name="_meanings" sheetId="9" state="hidden" r:id="rId9"/>
    <sheet name="_look" sheetId="10" state="hidden" r:id="rId10"/>
    <sheet name="_about" sheetId="11" state="hidden" r:id="rId11"/>
    <sheet name="_live" sheetId="12" state="hidden" r:id="rId12"/>
    <sheet name="_pockets" sheetId="13" state="hidden" r:id="rId13"/>
    <sheet name="_used" sheetId="14" state="hidden" r:id="rId14"/>
    <sheet name="_found" sheetId="15" state="hidden" r:id="rId15"/>
    <sheet name="_log" sheetId="16" state="hidden" r:id="rId16"/>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_xlnm.Print_Area" localSheetId="1">'Control'!$B$1:$P$44</definedName>
    <definedName name="_xlnm.Print_Area" localSheetId="3">'Look'!$A$1:$Q$252</definedName>
    <definedName name="_xlnm.Print_Area" localSheetId="4">'Scouting'!$B$1:$J$110</definedName>
    <definedName name="_xlnm.Print_Area" localSheetId="5">'New variables'!$B$1:$N$186</definedName>
    <definedName name="_xlnm.Print_Area" localSheetId="6">'Record'!$B$1:$G$107</definedName>
  </definedNames>
  <calcPr calcId="124519" fullCalcOnLoad="1"/>
</workbook>
</file>

<file path=xl/styles.xml><?xml version="1.0" encoding="utf-8"?>
<styleSheet xmlns="http://schemas.openxmlformats.org/spreadsheetml/2006/main">
  <numFmts count="11">
    <numFmt numFmtId="164" formatCode="&quot;$&quot;#,##0"/>
    <numFmt numFmtId="165" formatCode="yyyy-mm-dd"/>
    <numFmt numFmtId="166" formatCode="0.0%"/>
    <numFmt numFmtId="167" formatCode="#,##0.0"/>
    <numFmt numFmtId="168" formatCode="0.0000"/>
    <numFmt numFmtId="169" formatCode="0.####"/>
    <numFmt numFmtId="170" formatCode="0.00&quot;×&quot;"/>
    <numFmt numFmtId="171" formatCode="[&lt;0.0001]&quot;under 0.01%&quot;;[&lt;0.01]0.00%;0.0%"/>
    <numFmt numFmtId="172" formatCode="&quot;$&quot;#,##0;-&quot;$&quot;#,##0"/>
    <numFmt numFmtId="173" formatCode="$#,##0"/>
    <numFmt numFmtId="174" formatCode="0.00&quot;x&quot;"/>
  </numFmts>
  <fonts count="33">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Calibri"/>
      <b val="1"/>
      <color rgb="001E7A47"/>
      <sz val="10"/>
    </font>
    <font>
      <name val="Calibri"/>
      <color rgb="0016130F"/>
      <sz val="9"/>
    </font>
    <font>
      <name val="Consolas"/>
      <color rgb="0016130F"/>
      <sz val="9"/>
    </font>
    <font>
      <name val="Arial"/>
      <b val="1"/>
      <sz val="14"/>
    </font>
    <font>
      <b val="1"/>
    </font>
    <font>
      <name val="Calibri"/>
      <b val="1"/>
      <color rgb="0057534B"/>
      <sz val="8"/>
    </font>
    <font>
      <name val="Calibri"/>
      <color rgb="0057534B"/>
      <sz val="8"/>
    </font>
    <font>
      <name val="Calibri"/>
      <b val="1"/>
      <color rgb="00960019"/>
      <sz val="9"/>
    </font>
    <font>
      <name val="Calibri"/>
      <b val="1"/>
      <color rgb="0057534B"/>
      <sz val="9"/>
    </font>
    <font>
      <name val="Calibri"/>
      <b val="1"/>
      <color rgb="0016130F"/>
      <sz val="9"/>
    </font>
    <font>
      <name val="Calibri"/>
      <b val="1"/>
      <color rgb="0016130F"/>
      <sz val="11"/>
    </font>
    <font>
      <name val="Calibri"/>
      <color rgb="00CC0000"/>
      <sz val="10"/>
      <u val="single"/>
    </font>
    <font>
      <name val="Arial"/>
      <color rgb="00E4DFD5"/>
      <sz val="10"/>
    </font>
  </fonts>
  <fills count="11">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EAF6EE"/>
        <bgColor rgb="00EAF6EE"/>
      </patternFill>
    </fill>
    <fill>
      <patternFill patternType="solid">
        <fgColor rgb="00E4DFD5"/>
      </patternFill>
    </fill>
    <fill>
      <patternFill patternType="solid">
        <fgColor rgb="0016130F"/>
        <bgColor rgb="0016130F"/>
      </patternFill>
    </fill>
  </fills>
  <borders count="21">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left/>
      <right/>
      <top style="thick">
        <color rgb="000A0908"/>
      </top>
      <bottom/>
      <diagonal/>
    </border>
    <border>
      <left/>
      <right/>
      <top style="thick">
        <color rgb="00CC0000"/>
      </top>
      <bottom/>
      <diagonal/>
    </border>
    <border>
      <top style="medium">
        <color rgb="000A0908"/>
      </top>
      <bottom style="thin">
        <color rgb="00EFEBE4"/>
      </bottom>
    </border>
    <border>
      <bottom style="medium">
        <color rgb="000A0908"/>
      </bottom>
    </border>
    <border>
      <bottom style="thick">
        <color rgb="00B9B4AC"/>
      </bottom>
    </border>
    <border>
      <bottom style="thin">
        <color rgb="00E4DFD5"/>
      </bottom>
    </border>
    <border>
      <bottom style="medium">
        <color rgb="0016130F"/>
      </bottom>
    </border>
    <border>
      <left/>
      <right/>
      <top/>
      <bottom style="thin">
        <color rgb="00E4DFD5"/>
      </bottom>
      <diagonal/>
    </border>
  </borders>
  <cellStyleXfs count="1">
    <xf numFmtId="0" fontId="0" fillId="0" borderId="0"/>
  </cellStyleXfs>
  <cellXfs count="179">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2" fontId="5" fillId="0" borderId="0" applyAlignment="1" pivotButton="0" quotePrefix="0" xfId="0">
      <alignment horizontal="center"/>
    </xf>
    <xf numFmtId="2" fontId="4" fillId="3" borderId="2" applyAlignment="1" pivotButton="0" quotePrefix="0" xfId="0">
      <alignment horizontal="center"/>
    </xf>
    <xf numFmtId="167" fontId="5" fillId="0" borderId="0" applyAlignment="1" pivotButton="0" quotePrefix="0" xfId="0">
      <alignment horizontal="center"/>
    </xf>
    <xf numFmtId="167" fontId="4" fillId="3" borderId="2" applyAlignment="1" pivotButton="0" quotePrefix="0" xfId="0">
      <alignment horizontal="center"/>
    </xf>
    <xf numFmtId="0" fontId="11" fillId="0" borderId="0" applyAlignment="1" pivotButton="0" quotePrefix="0" xfId="0">
      <alignment vertical="top" wrapText="1"/>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8" fillId="0" borderId="0" applyAlignment="1" pivotButton="0" quotePrefix="0" xfId="0">
      <alignment vertical="center"/>
    </xf>
    <xf numFmtId="0" fontId="12" fillId="3" borderId="8" applyAlignment="1" pivotButton="0" quotePrefix="0" xfId="0">
      <alignment vertical="top" indent="1"/>
    </xf>
    <xf numFmtId="0" fontId="0" fillId="0" borderId="14" pivotButton="0" quotePrefix="0" xfId="0"/>
    <xf numFmtId="0" fontId="14" fillId="2" borderId="0" applyAlignment="1" pivotButton="0" quotePrefix="0" xfId="0">
      <alignment horizontal="center" vertical="center" wrapText="1"/>
    </xf>
    <xf numFmtId="0" fontId="5" fillId="0" borderId="0" applyAlignment="1" pivotButton="0" quotePrefix="0" xfId="0">
      <alignment horizontal="left" vertical="center"/>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70" fontId="5" fillId="0" borderId="0" applyAlignment="1" pivotButton="0" quotePrefix="0" xfId="0">
      <alignment horizontal="center" vertical="center"/>
    </xf>
    <xf numFmtId="171" fontId="5" fillId="0" borderId="0" applyAlignment="1" pivotButton="0" quotePrefix="0" xfId="0">
      <alignment horizontal="center" vertical="center"/>
    </xf>
    <xf numFmtId="0" fontId="5" fillId="0" borderId="0" applyAlignment="1" pivotButton="0" quotePrefix="0" xfId="0">
      <alignment horizontal="center" vertical="center"/>
    </xf>
    <xf numFmtId="9" fontId="5" fillId="0" borderId="0" applyAlignment="1" pivotButton="0" quotePrefix="0" xfId="0">
      <alignment horizontal="center" vertical="center"/>
    </xf>
    <xf numFmtId="0" fontId="31" fillId="0" borderId="0" pivotButton="0" quotePrefix="0" xfId="0"/>
    <xf numFmtId="0" fontId="11" fillId="0" borderId="6" applyAlignment="1" pivotButton="0" quotePrefix="0" xfId="0">
      <alignment horizontal="center" vertical="center"/>
    </xf>
    <xf numFmtId="0" fontId="12" fillId="3" borderId="11" applyAlignment="1" pivotButton="0" quotePrefix="0" xfId="0">
      <alignment vertical="top" indent="1"/>
    </xf>
    <xf numFmtId="0" fontId="0" fillId="0" borderId="13" pivotButton="0" quotePrefix="0" xfId="0"/>
    <xf numFmtId="168" fontId="17" fillId="3" borderId="7" applyAlignment="1" pivotButton="0" quotePrefix="0" xfId="0">
      <alignment horizontal="left" vertical="center" indent="1"/>
    </xf>
    <xf numFmtId="0" fontId="12" fillId="0" borderId="0" applyAlignment="1" pivotButton="0" quotePrefix="0" xfId="0">
      <alignment horizontal="left" vertical="center"/>
    </xf>
    <xf numFmtId="0" fontId="14" fillId="2" borderId="0" applyAlignment="1" pivotButton="0" quotePrefix="0" xfId="0">
      <alignment horizontal="left" vertical="center" wrapText="1"/>
    </xf>
    <xf numFmtId="0" fontId="4" fillId="0" borderId="6" applyAlignment="1" pivotButton="0" quotePrefix="0" xfId="0">
      <alignment horizontal="left" vertical="center"/>
    </xf>
    <xf numFmtId="0" fontId="5" fillId="0" borderId="6" applyAlignment="1" pivotButton="0" quotePrefix="0" xfId="0">
      <alignment horizontal="center" vertical="center"/>
    </xf>
    <xf numFmtId="168" fontId="5" fillId="0" borderId="6" applyAlignment="1" pivotButton="0" quotePrefix="0" xfId="0">
      <alignment horizontal="center" vertical="center"/>
    </xf>
    <xf numFmtId="0" fontId="5" fillId="0" borderId="6" applyAlignment="1" pivotButton="0" quotePrefix="0" xfId="0">
      <alignment horizontal="left" vertical="center"/>
    </xf>
    <xf numFmtId="0" fontId="20" fillId="8" borderId="6" applyAlignment="1" pivotButton="0" quotePrefix="0" xfId="0">
      <alignment horizontal="center" vertical="center"/>
    </xf>
    <xf numFmtId="0" fontId="11" fillId="0" borderId="6" applyAlignment="1" pivotButton="0" quotePrefix="0" xfId="0">
      <alignment horizontal="center" vertical="center"/>
    </xf>
    <xf numFmtId="168" fontId="11" fillId="0" borderId="6" applyAlignment="1" pivotButton="0" quotePrefix="0" xfId="0">
      <alignment horizontal="center" vertical="center"/>
    </xf>
    <xf numFmtId="0" fontId="11" fillId="0" borderId="6" applyAlignment="1" pivotButton="0" quotePrefix="0" xfId="0">
      <alignment horizontal="left" vertical="center"/>
    </xf>
    <xf numFmtId="0" fontId="5" fillId="0" borderId="0" applyAlignment="1" pivotButton="0" quotePrefix="0" xfId="0">
      <alignment horizontal="left" vertical="center"/>
    </xf>
    <xf numFmtId="168" fontId="5" fillId="0" borderId="0" applyAlignment="1" pivotButton="0" quotePrefix="0" xfId="0">
      <alignment horizontal="center" vertical="center"/>
    </xf>
    <xf numFmtId="0" fontId="5" fillId="0" borderId="0" applyAlignment="1" pivotButton="0" quotePrefix="0" xfId="0">
      <alignment horizontal="left" vertical="top" wrapText="1"/>
    </xf>
    <xf numFmtId="0" fontId="22" fillId="0" borderId="0" applyAlignment="1" pivotButton="0" quotePrefix="0" xfId="0">
      <alignment horizontal="left" vertical="center"/>
    </xf>
    <xf numFmtId="169" fontId="5" fillId="0" borderId="0" applyAlignment="1" pivotButton="0" quotePrefix="0" xfId="0">
      <alignment horizontal="left" vertical="center"/>
    </xf>
    <xf numFmtId="166" fontId="5" fillId="0" borderId="0" applyAlignment="1" pivotButton="0" quotePrefix="0" xfId="0">
      <alignment horizontal="center" vertical="center"/>
    </xf>
    <xf numFmtId="0" fontId="25" fillId="0" borderId="0" applyAlignment="1" pivotButton="0" quotePrefix="0" xfId="0">
      <alignment horizontal="left" vertical="center"/>
    </xf>
    <xf numFmtId="0" fontId="26" fillId="0" borderId="0" applyAlignment="1" pivotButton="0" quotePrefix="0" xfId="0">
      <alignment horizontal="left" vertical="center"/>
    </xf>
    <xf numFmtId="0" fontId="12" fillId="0" borderId="0" applyAlignment="1" pivotButton="0" quotePrefix="0" xfId="0">
      <alignment horizontal="left" vertical="center"/>
    </xf>
    <xf numFmtId="0" fontId="27" fillId="0" borderId="0" applyAlignment="1" pivotButton="0" quotePrefix="0" xfId="0">
      <alignment horizontal="left" vertical="center"/>
    </xf>
    <xf numFmtId="0" fontId="4" fillId="0" borderId="0" applyAlignment="1" pivotButton="0" quotePrefix="0" xfId="0">
      <alignment horizontal="left" vertical="top"/>
    </xf>
    <xf numFmtId="0" fontId="0" fillId="0" borderId="0" applyAlignment="1" pivotButton="0" quotePrefix="0" xfId="0">
      <alignment vertical="center" wrapText="1"/>
    </xf>
    <xf numFmtId="3" fontId="5" fillId="0" borderId="6" applyAlignment="1" pivotButton="0" quotePrefix="0" xfId="0">
      <alignment horizontal="center" vertical="center"/>
    </xf>
    <xf numFmtId="10" fontId="5" fillId="0" borderId="6" applyAlignment="1" pivotButton="0" quotePrefix="0" xfId="0">
      <alignment horizontal="center" vertical="center"/>
    </xf>
    <xf numFmtId="170" fontId="4" fillId="0" borderId="6" applyAlignment="1" pivotButton="0" quotePrefix="0" xfId="0">
      <alignment horizontal="center" vertical="center"/>
    </xf>
    <xf numFmtId="171" fontId="5" fillId="0" borderId="6" applyAlignment="1" pivotButton="0" quotePrefix="0" xfId="0">
      <alignment horizontal="center" vertical="center"/>
    </xf>
    <xf numFmtId="171" fontId="4" fillId="0" borderId="6" applyAlignment="1" pivotButton="0" quotePrefix="0" xfId="0">
      <alignment horizontal="center" vertical="center"/>
    </xf>
    <xf numFmtId="0" fontId="4" fillId="0" borderId="15" applyAlignment="1" pivotButton="0" quotePrefix="0" xfId="0">
      <alignment horizontal="left" vertical="center"/>
    </xf>
    <xf numFmtId="0" fontId="11" fillId="0" borderId="15" applyAlignment="1" pivotButton="0" quotePrefix="0" xfId="0">
      <alignment horizontal="center" vertical="center"/>
    </xf>
    <xf numFmtId="0" fontId="0" fillId="0" borderId="15" pivotButton="0" quotePrefix="0" xfId="0"/>
    <xf numFmtId="3" fontId="5" fillId="0" borderId="15" applyAlignment="1" pivotButton="0" quotePrefix="0" xfId="0">
      <alignment horizontal="center" vertical="center"/>
    </xf>
    <xf numFmtId="10" fontId="5" fillId="0" borderId="15" applyAlignment="1" pivotButton="0" quotePrefix="0" xfId="0">
      <alignment horizontal="center" vertical="center"/>
    </xf>
    <xf numFmtId="170" fontId="4" fillId="0" borderId="15" applyAlignment="1" pivotButton="0" quotePrefix="0" xfId="0">
      <alignment horizontal="center" vertical="center"/>
    </xf>
    <xf numFmtId="0" fontId="5" fillId="0" borderId="15" applyAlignment="1" pivotButton="0" quotePrefix="0" xfId="0">
      <alignment horizontal="center" vertical="center"/>
    </xf>
    <xf numFmtId="171" fontId="5" fillId="0" borderId="15" applyAlignment="1" pivotButton="0" quotePrefix="0" xfId="0">
      <alignment horizontal="center" vertical="center"/>
    </xf>
    <xf numFmtId="171" fontId="4" fillId="0" borderId="15" applyAlignment="1" pivotButton="0" quotePrefix="0" xfId="0">
      <alignment horizontal="center" vertical="center"/>
    </xf>
    <xf numFmtId="0" fontId="4" fillId="0" borderId="15" applyAlignment="1" pivotButton="0" quotePrefix="0" xfId="0">
      <alignment horizontal="center" vertical="center"/>
    </xf>
    <xf numFmtId="0" fontId="5" fillId="0" borderId="15" applyAlignment="1" pivotButton="0" quotePrefix="0" xfId="0">
      <alignment horizontal="left" vertical="center"/>
    </xf>
    <xf numFmtId="0" fontId="0" fillId="0" borderId="0" applyAlignment="1" pivotButton="0" quotePrefix="0" xfId="0">
      <alignment/>
    </xf>
    <xf numFmtId="0" fontId="28" fillId="0" borderId="5" applyAlignment="1" pivotButton="0" quotePrefix="0" xfId="0">
      <alignment horizontal="center" vertical="center"/>
    </xf>
    <xf numFmtId="0" fontId="0" fillId="0" borderId="5" pivotButton="0" quotePrefix="0" xfId="0"/>
    <xf numFmtId="0" fontId="29" fillId="0" borderId="16" applyAlignment="1" pivotButton="0" quotePrefix="0" xfId="0">
      <alignment horizontal="center" vertical="center"/>
    </xf>
    <xf numFmtId="0" fontId="0" fillId="0" borderId="16" pivotButton="0" quotePrefix="0" xfId="0"/>
    <xf numFmtId="170" fontId="11" fillId="0" borderId="6" applyAlignment="1" pivotButton="0" quotePrefix="0" xfId="0">
      <alignment horizontal="center" vertical="center"/>
    </xf>
    <xf numFmtId="171" fontId="11" fillId="0" borderId="6" applyAlignment="1" pivotButton="0" quotePrefix="0" xfId="0">
      <alignment horizontal="center" vertical="center"/>
    </xf>
    <xf numFmtId="172" fontId="5" fillId="0" borderId="6" applyAlignment="1" pivotButton="0" quotePrefix="0" xfId="0">
      <alignment horizontal="center" vertical="center"/>
    </xf>
    <xf numFmtId="170" fontId="11" fillId="0" borderId="15" applyAlignment="1" pivotButton="0" quotePrefix="0" xfId="0">
      <alignment horizontal="center" vertical="center"/>
    </xf>
    <xf numFmtId="171" fontId="11" fillId="0" borderId="15" applyAlignment="1" pivotButton="0" quotePrefix="0" xfId="0">
      <alignment horizontal="center" vertical="center"/>
    </xf>
    <xf numFmtId="172" fontId="5" fillId="0" borderId="15" applyAlignment="1" pivotButton="0" quotePrefix="0" xfId="0">
      <alignment horizontal="center" vertical="center"/>
    </xf>
    <xf numFmtId="0" fontId="30" fillId="0" borderId="0" applyAlignment="1" pivotButton="0" quotePrefix="0" xfId="0">
      <alignment horizontal="left" vertical="center"/>
    </xf>
    <xf numFmtId="2" fontId="5" fillId="0" borderId="6" applyAlignment="1" pivotButton="0" quotePrefix="0" xfId="0">
      <alignment horizontal="center" vertical="center"/>
    </xf>
    <xf numFmtId="1" fontId="5" fillId="0" borderId="6" applyAlignment="1" pivotButton="0" quotePrefix="0" xfId="0">
      <alignment horizontal="center" vertical="center"/>
    </xf>
    <xf numFmtId="170" fontId="5" fillId="0" borderId="6" applyAlignment="1" pivotButton="0" quotePrefix="0" xfId="0">
      <alignment horizontal="center" vertical="center"/>
    </xf>
    <xf numFmtId="166" fontId="5" fillId="0" borderId="6" applyAlignment="1" pivotButton="0" quotePrefix="0" xfId="0">
      <alignment horizontal="center" vertical="center"/>
    </xf>
    <xf numFmtId="173" fontId="5" fillId="0" borderId="6" applyAlignment="1" pivotButton="0" quotePrefix="0" xfId="0">
      <alignment horizontal="center" vertical="center"/>
    </xf>
    <xf numFmtId="174" fontId="5" fillId="0" borderId="6" applyAlignment="1" pivotButton="0" quotePrefix="0" xfId="0">
      <alignment horizontal="center" vertical="center"/>
    </xf>
    <xf numFmtId="0" fontId="4" fillId="0" borderId="0" applyAlignment="1" pivotButton="0" quotePrefix="0" xfId="0">
      <alignment horizontal="left" vertical="center"/>
    </xf>
    <xf numFmtId="3" fontId="4" fillId="0" borderId="0" applyAlignment="1" pivotButton="0" quotePrefix="0" xfId="0">
      <alignment horizontal="center" vertical="center"/>
    </xf>
    <xf numFmtId="166" fontId="4" fillId="0" borderId="0" applyAlignment="1" pivotButton="0" quotePrefix="0" xfId="0">
      <alignment horizontal="center" vertical="center"/>
    </xf>
    <xf numFmtId="173" fontId="4" fillId="0" borderId="0" applyAlignment="1" pivotButton="0" quotePrefix="0" xfId="0">
      <alignment horizontal="center" vertical="center"/>
    </xf>
    <xf numFmtId="10" fontId="4" fillId="0" borderId="0" applyAlignment="1" pivotButton="0" quotePrefix="0" xfId="0">
      <alignment horizontal="center" vertical="center"/>
    </xf>
    <xf numFmtId="174" fontId="4" fillId="0" borderId="0" applyAlignment="1" pivotButton="0" quotePrefix="0" xfId="0">
      <alignment horizontal="center" vertical="center"/>
    </xf>
    <xf numFmtId="0" fontId="1" fillId="6" borderId="17" applyAlignment="1" pivotButton="0" quotePrefix="0" xfId="0">
      <alignment vertical="center"/>
    </xf>
    <xf numFmtId="0" fontId="32" fillId="6" borderId="17" applyAlignment="1" pivotButton="0" quotePrefix="0" xfId="0">
      <alignment vertical="center"/>
    </xf>
    <xf numFmtId="0" fontId="0" fillId="6" borderId="17" pivotButton="0" quotePrefix="0" xfId="0"/>
    <xf numFmtId="0" fontId="6" fillId="10" borderId="0" applyAlignment="1" pivotButton="0" quotePrefix="0" xfId="0">
      <alignment vertical="center" indent="1"/>
    </xf>
    <xf numFmtId="0" fontId="0" fillId="10" borderId="0" pivotButton="0" quotePrefix="0" xfId="0"/>
    <xf numFmtId="0" fontId="3" fillId="3" borderId="18" applyAlignment="1" pivotButton="0" quotePrefix="0" xfId="0">
      <alignment horizontal="left" vertical="center" indent="1"/>
    </xf>
    <xf numFmtId="0" fontId="3" fillId="3" borderId="18" applyAlignment="1" pivotButton="0" quotePrefix="0" xfId="0">
      <alignment horizontal="center" vertical="center" indent="1"/>
    </xf>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18" fillId="0" borderId="6" applyAlignment="1" pivotButton="0" quotePrefix="0" xfId="0">
      <alignment horizontal="left" vertical="center" wrapText="1" indent="1"/>
    </xf>
    <xf numFmtId="0" fontId="11" fillId="0" borderId="19" applyAlignment="1" pivotButton="0" quotePrefix="0" xfId="0">
      <alignment horizontal="left" vertical="center" wrapText="1" indent="1"/>
    </xf>
    <xf numFmtId="0" fontId="5" fillId="0" borderId="19" applyAlignment="1" pivotButton="0" quotePrefix="0" xfId="0">
      <alignment horizontal="left" vertical="center" wrapText="1" indent="1"/>
    </xf>
    <xf numFmtId="0" fontId="0" fillId="0" borderId="19" pivotButton="0" quotePrefix="0" xfId="0"/>
    <xf numFmtId="0" fontId="0" fillId="0" borderId="20" pivotButton="0" quotePrefix="0" xfId="0"/>
    <xf numFmtId="0" fontId="18" fillId="0" borderId="19" applyAlignment="1" pivotButton="0" quotePrefix="0" xfId="0">
      <alignment horizontal="left" vertical="center" wrapText="1" indent="1"/>
    </xf>
    <xf numFmtId="0" fontId="23" fillId="0" borderId="0" pivotButton="0" quotePrefix="0" xfId="0"/>
    <xf numFmtId="0" fontId="0" fillId="0" borderId="0" applyAlignment="1" pivotButton="0" quotePrefix="0" xfId="0">
      <alignment vertical="top" wrapText="1"/>
    </xf>
    <xf numFmtId="0" fontId="24" fillId="0" borderId="0" pivotButton="0" quotePrefix="0" xfId="0"/>
    <xf numFmtId="0" fontId="24" fillId="0" borderId="0" applyAlignment="1" pivotButton="0" quotePrefix="0" xfId="0">
      <alignment vertical="top" wrapText="1"/>
    </xf>
    <xf numFmtId="0" fontId="24" fillId="9" borderId="0" applyAlignment="1" pivotButton="0" quotePrefix="0" xfId="0">
      <alignment vertical="top" wrapText="1"/>
    </xf>
  </cellXfs>
  <cellStyles count="1">
    <cellStyle name="Normal" xfId="0" builtinId="0" hidden="0"/>
  </cellStyles>
  <dxfs count="9">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b val="1"/>
        <color rgb="001E7A47"/>
      </font>
      <fill>
        <patternFill patternType="solid">
          <fgColor rgb="00EAF6EE"/>
          <bgColor rgb="00EAF6EE"/>
        </patternFill>
      </fill>
    </dxf>
    <dxf>
      <font>
        <b val="1"/>
        <color rgb="0057534B"/>
      </font>
    </dxf>
    <dxf>
      <font>
        <b val="1"/>
      </font>
      <fill>
        <patternFill patternType="solid">
          <fgColor rgb="00E4DFD5"/>
          <bgColor rgb="00E4DFD5"/>
        </patternFill>
      </fill>
    </dxf>
    <dxf>
      <fill>
        <patternFill patternType="solid">
          <fgColor rgb="00EAF6EE"/>
          <bgColor rgb="00EAF6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'_look'!$AV$4:$AV$123</f>
            </numRef>
          </cat>
          <val>
            <numRef>
              <f>'_look'!$AW$4:$AW$123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'_look'!$AX$52:$AX$53</f>
            </numRef>
          </xVal>
          <yVal>
            <numRef>
              <f>'_look'!$AY$52:$AY$53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'_look'!$AX$54:$AX$55</f>
            </numRef>
          </xVal>
          <yVal>
            <numRef>
              <f>'_look'!$AY$54:$AY$55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'_look'!$AX$56:$AX$57</f>
            </numRef>
          </xVal>
          <yVal>
            <numRef>
              <f>'_look'!$AY$56:$AY$57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'_look'!$AX$58:$AX$59</f>
            </numRef>
          </xVal>
          <yVal>
            <numRef>
              <f>'_look'!$AY$58:$AY$59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'_look'!$AX$60:$AX$61</f>
            </numRef>
          </xVal>
          <yVal>
            <numRef>
              <f>'_look'!$AY$60:$AY$61</f>
            </numRef>
          </yVal>
          <smooth val="0"/>
        </ser>
        <ser>
          <idx val="6"/>
          <order val="6"/>
          <spPr>
            <a:ln w="19050">
              <a:solidFill>
                <a:srgbClr val="CC0000"/>
              </a:solidFill>
              <a:prstDash val="dash"/>
            </a:ln>
          </spPr>
          <marker>
            <symbol val="none"/>
            <spPr>
              <a:ln>
                <a:prstDash val="solid"/>
              </a:ln>
            </spPr>
          </marker>
          <xVal>
            <numRef>
              <f>'_look'!$AX$4:$AX$5</f>
            </numRef>
          </xVal>
          <yVal>
            <numRef>
              <f>'_look'!$AY$4:$AY$5</f>
            </numRef>
          </yVal>
          <smooth val="0"/>
        </ser>
        <ser>
          <idx val="7"/>
          <order val="7"/>
          <spPr>
            <a:ln w="19050">
              <a:solidFill>
                <a:srgbClr val="CC0000"/>
              </a:solidFill>
              <a:prstDash val="dash"/>
            </a:ln>
          </spPr>
          <marker>
            <symbol val="none"/>
            <spPr>
              <a:ln>
                <a:prstDash val="solid"/>
              </a:ln>
            </spPr>
          </marker>
          <xVal>
            <numRef>
              <f>'_look'!$AX$6:$AX$7</f>
            </numRef>
          </xVal>
          <yVal>
            <numRef>
              <f>'_look'!$AY$6:$AY$7</f>
            </numRef>
          </yVal>
          <smooth val="0"/>
        </ser>
        <ser>
          <idx val="8"/>
          <order val="8"/>
          <spPr>
            <a:ln w="19050">
              <a:solidFill>
                <a:srgbClr val="CC0000"/>
              </a:solidFill>
              <a:prstDash val="dash"/>
            </a:ln>
          </spPr>
          <marker>
            <symbol val="none"/>
            <spPr>
              <a:ln>
                <a:prstDash val="solid"/>
              </a:ln>
            </spPr>
          </marker>
          <xVal>
            <numRef>
              <f>'_look'!$AX$8:$AX$9</f>
            </numRef>
          </xVal>
          <yVal>
            <numRef>
              <f>'_look'!$AY$8:$AY$9</f>
            </numRef>
          </yVal>
          <smooth val="0"/>
        </ser>
        <ser>
          <idx val="9"/>
          <order val="9"/>
          <spPr>
            <a:ln w="19050">
              <a:solidFill>
                <a:srgbClr val="CC0000"/>
              </a:solidFill>
              <a:prstDash val="dash"/>
            </a:ln>
          </spPr>
          <marker>
            <symbol val="none"/>
            <spPr>
              <a:ln>
                <a:prstDash val="solid"/>
              </a:ln>
            </spPr>
          </marker>
          <xVal>
            <numRef>
              <f>'_look'!$AX$10:$AX$11</f>
            </numRef>
          </xVal>
          <yVal>
            <numRef>
              <f>'_look'!$AY$10:$AY$11</f>
            </numRef>
          </yVal>
          <smooth val="0"/>
        </ser>
        <ser>
          <idx val="10"/>
          <order val="10"/>
          <spPr>
            <a:ln w="19050">
              <a:solidFill>
                <a:srgbClr val="CC0000"/>
              </a:solidFill>
              <a:prstDash val="dash"/>
            </a:ln>
          </spPr>
          <marker>
            <symbol val="none"/>
            <spPr>
              <a:ln>
                <a:prstDash val="solid"/>
              </a:ln>
            </spPr>
          </marker>
          <xVal>
            <numRef>
              <f>'_look'!$AX$12:$AX$13</f>
            </numRef>
          </xVal>
          <yVal>
            <numRef>
              <f>'_look'!$AY$12:$AY$13</f>
            </numRef>
          </yVal>
          <smooth val="0"/>
        </ser>
        <ser>
          <idx val="11"/>
          <order val="11"/>
          <spPr>
            <a:ln w="19050">
              <a:solidFill>
                <a:srgbClr val="CC0000"/>
              </a:solidFill>
              <a:prstDash val="dash"/>
            </a:ln>
          </spPr>
          <marker>
            <symbol val="none"/>
            <spPr>
              <a:ln>
                <a:prstDash val="solid"/>
              </a:ln>
            </spPr>
          </marker>
          <xVal>
            <numRef>
              <f>'_look'!$AX$14:$AX$15</f>
            </numRef>
          </xVal>
          <yVal>
            <numRef>
              <f>'_look'!$AY$14:$AY$15</f>
            </numRef>
          </yVal>
          <smooth val="0"/>
        </ser>
        <ser>
          <idx val="12"/>
          <order val="12"/>
          <spPr>
            <a:ln w="19050">
              <a:solidFill>
                <a:srgbClr val="CC0000"/>
              </a:solidFill>
              <a:prstDash val="dash"/>
            </a:ln>
          </spPr>
          <marker>
            <symbol val="none"/>
            <spPr>
              <a:ln>
                <a:prstDash val="solid"/>
              </a:ln>
            </spPr>
          </marker>
          <xVal>
            <numRef>
              <f>'_look'!$AX$16:$AX$17</f>
            </numRef>
          </xVal>
          <yVal>
            <numRef>
              <f>'_look'!$AY$16:$AY$17</f>
            </numRef>
          </yVal>
          <smooth val="0"/>
        </ser>
        <ser>
          <idx val="13"/>
          <order val="13"/>
          <spPr>
            <a:ln w="19050">
              <a:solidFill>
                <a:srgbClr val="CC0000"/>
              </a:solidFill>
              <a:prstDash val="dash"/>
            </a:ln>
          </spPr>
          <marker>
            <symbol val="none"/>
            <spPr>
              <a:ln>
                <a:prstDash val="solid"/>
              </a:ln>
            </spPr>
          </marker>
          <xVal>
            <numRef>
              <f>'_look'!$AX$18:$AX$19</f>
            </numRef>
          </xVal>
          <yVal>
            <numRef>
              <f>'_look'!$AY$18:$AY$19</f>
            </numRef>
          </yVal>
          <smooth val="0"/>
        </ser>
        <ser>
          <idx val="14"/>
          <order val="14"/>
          <spPr>
            <a:ln w="19050">
              <a:solidFill>
                <a:srgbClr val="CC0000"/>
              </a:solidFill>
              <a:prstDash val="dash"/>
            </a:ln>
          </spPr>
          <marker>
            <symbol val="none"/>
            <spPr>
              <a:ln>
                <a:prstDash val="solid"/>
              </a:ln>
            </spPr>
          </marker>
          <xVal>
            <numRef>
              <f>'_look'!$AX$20:$AX$21</f>
            </numRef>
          </xVal>
          <yVal>
            <numRef>
              <f>'_look'!$AY$20:$AY$21</f>
            </numRef>
          </yVal>
          <smooth val="0"/>
        </ser>
        <ser>
          <idx val="15"/>
          <order val="15"/>
          <spPr>
            <a:ln w="19050">
              <a:solidFill>
                <a:srgbClr val="CC0000"/>
              </a:solidFill>
              <a:prstDash val="dash"/>
            </a:ln>
          </spPr>
          <marker>
            <symbol val="none"/>
            <spPr>
              <a:ln>
                <a:prstDash val="solid"/>
              </a:ln>
            </spPr>
          </marker>
          <xVal>
            <numRef>
              <f>'_look'!$AX$22:$AX$23</f>
            </numRef>
          </xVal>
          <yVal>
            <numRef>
              <f>'_look'!$AY$22:$AY$23</f>
            </numRef>
          </yVal>
          <smooth val="0"/>
        </ser>
        <ser>
          <idx val="16"/>
          <order val="16"/>
          <spPr>
            <a:ln w="19050">
              <a:solidFill>
                <a:srgbClr val="CC0000"/>
              </a:solidFill>
              <a:prstDash val="dash"/>
            </a:ln>
          </spPr>
          <marker>
            <symbol val="none"/>
            <spPr>
              <a:ln>
                <a:prstDash val="solid"/>
              </a:ln>
            </spPr>
          </marker>
          <xVal>
            <numRef>
              <f>'_look'!$AX$24:$AX$25</f>
            </numRef>
          </xVal>
          <yVal>
            <numRef>
              <f>'_look'!$AY$24:$AY$25</f>
            </numRef>
          </yVal>
          <smooth val="0"/>
        </ser>
        <ser>
          <idx val="17"/>
          <order val="17"/>
          <spPr>
            <a:ln w="19050">
              <a:solidFill>
                <a:srgbClr val="CC0000"/>
              </a:solidFill>
              <a:prstDash val="dash"/>
            </a:ln>
          </spPr>
          <marker>
            <symbol val="none"/>
            <spPr>
              <a:ln>
                <a:prstDash val="solid"/>
              </a:ln>
            </spPr>
          </marker>
          <xVal>
            <numRef>
              <f>'_look'!$AX$26:$AX$27</f>
            </numRef>
          </xVal>
          <yVal>
            <numRef>
              <f>'_look'!$AY$26:$AY$27</f>
            </numRef>
          </yVal>
          <smooth val="0"/>
        </ser>
        <ser>
          <idx val="18"/>
          <order val="18"/>
          <spPr>
            <a:ln w="19050">
              <a:solidFill>
                <a:srgbClr val="CC0000"/>
              </a:solidFill>
              <a:prstDash val="dash"/>
            </a:ln>
          </spPr>
          <marker>
            <symbol val="none"/>
            <spPr>
              <a:ln>
                <a:prstDash val="solid"/>
              </a:ln>
            </spPr>
          </marker>
          <xVal>
            <numRef>
              <f>'_look'!$AX$28:$AX$29</f>
            </numRef>
          </xVal>
          <yVal>
            <numRef>
              <f>'_look'!$AY$28:$AY$29</f>
            </numRef>
          </yVal>
          <smooth val="0"/>
        </ser>
        <ser>
          <idx val="19"/>
          <order val="19"/>
          <spPr>
            <a:ln w="19050">
              <a:solidFill>
                <a:srgbClr val="CC0000"/>
              </a:solidFill>
              <a:prstDash val="dash"/>
            </a:ln>
          </spPr>
          <marker>
            <symbol val="none"/>
            <spPr>
              <a:ln>
                <a:prstDash val="solid"/>
              </a:ln>
            </spPr>
          </marker>
          <xVal>
            <numRef>
              <f>'_look'!$AX$30:$AX$31</f>
            </numRef>
          </xVal>
          <yVal>
            <numRef>
              <f>'_look'!$AY$30:$AY$31</f>
            </numRef>
          </yVal>
          <smooth val="0"/>
        </ser>
        <ser>
          <idx val="20"/>
          <order val="20"/>
          <spPr>
            <a:ln w="19050">
              <a:solidFill>
                <a:srgbClr val="CC0000"/>
              </a:solidFill>
              <a:prstDash val="dash"/>
            </a:ln>
          </spPr>
          <marker>
            <symbol val="none"/>
            <spPr>
              <a:ln>
                <a:prstDash val="solid"/>
              </a:ln>
            </spPr>
          </marker>
          <xVal>
            <numRef>
              <f>'_look'!$AX$32:$AX$33</f>
            </numRef>
          </xVal>
          <yVal>
            <numRef>
              <f>'_look'!$AY$32:$AY$33</f>
            </numRef>
          </yVal>
          <smooth val="0"/>
        </ser>
        <ser>
          <idx val="21"/>
          <order val="21"/>
          <spPr>
            <a:ln w="19050">
              <a:solidFill>
                <a:srgbClr val="CC0000"/>
              </a:solidFill>
              <a:prstDash val="dash"/>
            </a:ln>
          </spPr>
          <marker>
            <symbol val="none"/>
            <spPr>
              <a:ln>
                <a:prstDash val="solid"/>
              </a:ln>
            </spPr>
          </marker>
          <xVal>
            <numRef>
              <f>'_look'!$AX$34:$AX$35</f>
            </numRef>
          </xVal>
          <yVal>
            <numRef>
              <f>'_look'!$AY$34:$AY$35</f>
            </numRef>
          </yVal>
          <smooth val="0"/>
        </ser>
        <ser>
          <idx val="22"/>
          <order val="22"/>
          <spPr>
            <a:ln w="19050">
              <a:solidFill>
                <a:srgbClr val="CC0000"/>
              </a:solidFill>
              <a:prstDash val="dash"/>
            </a:ln>
          </spPr>
          <marker>
            <symbol val="none"/>
            <spPr>
              <a:ln>
                <a:prstDash val="solid"/>
              </a:ln>
            </spPr>
          </marker>
          <xVal>
            <numRef>
              <f>'_look'!$AX$36:$AX$37</f>
            </numRef>
          </xVal>
          <yVal>
            <numRef>
              <f>'_look'!$AY$36:$AY$37</f>
            </numRef>
          </yVal>
          <smooth val="0"/>
        </ser>
        <ser>
          <idx val="23"/>
          <order val="23"/>
          <spPr>
            <a:ln w="19050">
              <a:solidFill>
                <a:srgbClr val="CC0000"/>
              </a:solidFill>
              <a:prstDash val="dash"/>
            </a:ln>
          </spPr>
          <marker>
            <symbol val="none"/>
            <spPr>
              <a:ln>
                <a:prstDash val="solid"/>
              </a:ln>
            </spPr>
          </marker>
          <xVal>
            <numRef>
              <f>'_look'!$AX$38:$AX$39</f>
            </numRef>
          </xVal>
          <yVal>
            <numRef>
              <f>'_look'!$AY$38:$AY$39</f>
            </numRef>
          </yVal>
          <smooth val="0"/>
        </ser>
        <ser>
          <idx val="24"/>
          <order val="24"/>
          <spPr>
            <a:ln w="19050">
              <a:solidFill>
                <a:srgbClr val="CC0000"/>
              </a:solidFill>
              <a:prstDash val="dash"/>
            </a:ln>
          </spPr>
          <marker>
            <symbol val="none"/>
            <spPr>
              <a:ln>
                <a:prstDash val="solid"/>
              </a:ln>
            </spPr>
          </marker>
          <xVal>
            <numRef>
              <f>'_look'!$AX$40:$AX$41</f>
            </numRef>
          </xVal>
          <yVal>
            <numRef>
              <f>'_look'!$AY$40:$AY$41</f>
            </numRef>
          </yVal>
          <smooth val="0"/>
        </ser>
        <ser>
          <idx val="25"/>
          <order val="25"/>
          <spPr>
            <a:ln w="19050">
              <a:solidFill>
                <a:srgbClr val="CC0000"/>
              </a:solidFill>
              <a:prstDash val="dash"/>
            </a:ln>
          </spPr>
          <marker>
            <symbol val="none"/>
            <spPr>
              <a:ln>
                <a:prstDash val="solid"/>
              </a:ln>
            </spPr>
          </marker>
          <xVal>
            <numRef>
              <f>'_look'!$AX$42:$AX$43</f>
            </numRef>
          </xVal>
          <yVal>
            <numRef>
              <f>'_look'!$AY$42:$AY$43</f>
            </numRef>
          </yVal>
          <smooth val="0"/>
        </ser>
        <ser>
          <idx val="26"/>
          <order val="26"/>
          <spPr>
            <a:ln w="19050">
              <a:solidFill>
                <a:srgbClr val="CC0000"/>
              </a:solidFill>
              <a:prstDash val="dash"/>
            </a:ln>
          </spPr>
          <marker>
            <symbol val="none"/>
            <spPr>
              <a:ln>
                <a:prstDash val="solid"/>
              </a:ln>
            </spPr>
          </marker>
          <xVal>
            <numRef>
              <f>'_look'!$AX$44:$AX$45</f>
            </numRef>
          </xVal>
          <yVal>
            <numRef>
              <f>'_look'!$AY$44:$AY$45</f>
            </numRef>
          </yVal>
          <smooth val="0"/>
        </ser>
        <ser>
          <idx val="27"/>
          <order val="27"/>
          <spPr>
            <a:ln w="19050">
              <a:solidFill>
                <a:srgbClr val="CC0000"/>
              </a:solidFill>
              <a:prstDash val="dash"/>
            </a:ln>
          </spPr>
          <marker>
            <symbol val="none"/>
            <spPr>
              <a:ln>
                <a:prstDash val="solid"/>
              </a:ln>
            </spPr>
          </marker>
          <xVal>
            <numRef>
              <f>'_look'!$AX$46:$AX$47</f>
            </numRef>
          </xVal>
          <yVal>
            <numRef>
              <f>'_look'!$AY$46:$AY$47</f>
            </numRef>
          </yVal>
          <smooth val="0"/>
        </ser>
        <ser>
          <idx val="28"/>
          <order val="28"/>
          <spPr>
            <a:ln w="19050">
              <a:solidFill>
                <a:srgbClr val="CC0000"/>
              </a:solidFill>
              <a:prstDash val="dash"/>
            </a:ln>
          </spPr>
          <marker>
            <symbol val="none"/>
            <spPr>
              <a:ln>
                <a:prstDash val="solid"/>
              </a:ln>
            </spPr>
          </marker>
          <xVal>
            <numRef>
              <f>'_look'!$AX$48:$AX$49</f>
            </numRef>
          </xVal>
          <yVal>
            <numRef>
              <f>'_look'!$AY$48:$AY$49</f>
            </numRef>
          </yVal>
          <smooth val="0"/>
        </ser>
        <ser>
          <idx val="29"/>
          <order val="29"/>
          <spPr>
            <a:ln w="19050">
              <a:solidFill>
                <a:srgbClr val="CC0000"/>
              </a:solidFill>
              <a:prstDash val="dash"/>
            </a:ln>
          </spPr>
          <marker>
            <symbol val="none"/>
            <spPr>
              <a:ln>
                <a:prstDash val="solid"/>
              </a:ln>
            </spPr>
          </marker>
          <xVal>
            <numRef>
              <f>'_look'!$AX$50:$AX$51</f>
            </numRef>
          </xVal>
          <yVal>
            <numRef>
              <f>'_look'!$AY$50:$AY$51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'_look'!$BI$4:$BI$123</f>
            </numRef>
          </cat>
          <val>
            <numRef>
              <f>'_look'!$BJ$4:$BJ$123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'_look'!$BK$52:$BK$53</f>
            </numRef>
          </xVal>
          <yVal>
            <numRef>
              <f>'_look'!$BL$52:$BL$53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'_look'!$BK$54:$BK$55</f>
            </numRef>
          </xVal>
          <yVal>
            <numRef>
              <f>'_look'!$BL$54:$BL$55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'_look'!$BK$56:$BK$57</f>
            </numRef>
          </xVal>
          <yVal>
            <numRef>
              <f>'_look'!$BL$56:$BL$57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'_look'!$BK$58:$BK$59</f>
            </numRef>
          </xVal>
          <yVal>
            <numRef>
              <f>'_look'!$BL$58:$BL$59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'_look'!$BK$60:$BK$61</f>
            </numRef>
          </xVal>
          <yVal>
            <numRef>
              <f>'_look'!$BL$60:$BL$61</f>
            </numRef>
          </yVal>
          <smooth val="0"/>
        </ser>
        <ser>
          <idx val="6"/>
          <order val="6"/>
          <spPr>
            <a:ln w="19050">
              <a:solidFill>
                <a:srgbClr val="CC0000"/>
              </a:solidFill>
              <a:prstDash val="dash"/>
            </a:ln>
          </spPr>
          <marker>
            <symbol val="none"/>
            <spPr>
              <a:ln>
                <a:prstDash val="solid"/>
              </a:ln>
            </spPr>
          </marker>
          <xVal>
            <numRef>
              <f>'_look'!$BK$4:$BK$5</f>
            </numRef>
          </xVal>
          <yVal>
            <numRef>
              <f>'_look'!$BL$4:$BL$5</f>
            </numRef>
          </yVal>
          <smooth val="0"/>
        </ser>
        <ser>
          <idx val="7"/>
          <order val="7"/>
          <spPr>
            <a:ln w="19050">
              <a:solidFill>
                <a:srgbClr val="CC0000"/>
              </a:solidFill>
              <a:prstDash val="dash"/>
            </a:ln>
          </spPr>
          <marker>
            <symbol val="none"/>
            <spPr>
              <a:ln>
                <a:prstDash val="solid"/>
              </a:ln>
            </spPr>
          </marker>
          <xVal>
            <numRef>
              <f>'_look'!$BK$6:$BK$7</f>
            </numRef>
          </xVal>
          <yVal>
            <numRef>
              <f>'_look'!$BL$6:$BL$7</f>
            </numRef>
          </yVal>
          <smooth val="0"/>
        </ser>
        <ser>
          <idx val="8"/>
          <order val="8"/>
          <spPr>
            <a:ln w="19050">
              <a:solidFill>
                <a:srgbClr val="CC0000"/>
              </a:solidFill>
              <a:prstDash val="dash"/>
            </a:ln>
          </spPr>
          <marker>
            <symbol val="none"/>
            <spPr>
              <a:ln>
                <a:prstDash val="solid"/>
              </a:ln>
            </spPr>
          </marker>
          <xVal>
            <numRef>
              <f>'_look'!$BK$8:$BK$9</f>
            </numRef>
          </xVal>
          <yVal>
            <numRef>
              <f>'_look'!$BL$8:$BL$9</f>
            </numRef>
          </yVal>
          <smooth val="0"/>
        </ser>
        <ser>
          <idx val="9"/>
          <order val="9"/>
          <spPr>
            <a:ln w="19050">
              <a:solidFill>
                <a:srgbClr val="CC0000"/>
              </a:solidFill>
              <a:prstDash val="dash"/>
            </a:ln>
          </spPr>
          <marker>
            <symbol val="none"/>
            <spPr>
              <a:ln>
                <a:prstDash val="solid"/>
              </a:ln>
            </spPr>
          </marker>
          <xVal>
            <numRef>
              <f>'_look'!$BK$10:$BK$11</f>
            </numRef>
          </xVal>
          <yVal>
            <numRef>
              <f>'_look'!$BL$10:$BL$11</f>
            </numRef>
          </yVal>
          <smooth val="0"/>
        </ser>
        <ser>
          <idx val="10"/>
          <order val="10"/>
          <spPr>
            <a:ln w="19050">
              <a:solidFill>
                <a:srgbClr val="CC0000"/>
              </a:solidFill>
              <a:prstDash val="dash"/>
            </a:ln>
          </spPr>
          <marker>
            <symbol val="none"/>
            <spPr>
              <a:ln>
                <a:prstDash val="solid"/>
              </a:ln>
            </spPr>
          </marker>
          <xVal>
            <numRef>
              <f>'_look'!$BK$12:$BK$13</f>
            </numRef>
          </xVal>
          <yVal>
            <numRef>
              <f>'_look'!$BL$12:$BL$13</f>
            </numRef>
          </yVal>
          <smooth val="0"/>
        </ser>
        <ser>
          <idx val="11"/>
          <order val="11"/>
          <spPr>
            <a:ln w="19050">
              <a:solidFill>
                <a:srgbClr val="CC0000"/>
              </a:solidFill>
              <a:prstDash val="dash"/>
            </a:ln>
          </spPr>
          <marker>
            <symbol val="none"/>
            <spPr>
              <a:ln>
                <a:prstDash val="solid"/>
              </a:ln>
            </spPr>
          </marker>
          <xVal>
            <numRef>
              <f>'_look'!$BK$14:$BK$15</f>
            </numRef>
          </xVal>
          <yVal>
            <numRef>
              <f>'_look'!$BL$14:$BL$15</f>
            </numRef>
          </yVal>
          <smooth val="0"/>
        </ser>
        <ser>
          <idx val="12"/>
          <order val="12"/>
          <spPr>
            <a:ln w="19050">
              <a:solidFill>
                <a:srgbClr val="CC0000"/>
              </a:solidFill>
              <a:prstDash val="dash"/>
            </a:ln>
          </spPr>
          <marker>
            <symbol val="none"/>
            <spPr>
              <a:ln>
                <a:prstDash val="solid"/>
              </a:ln>
            </spPr>
          </marker>
          <xVal>
            <numRef>
              <f>'_look'!$BK$16:$BK$17</f>
            </numRef>
          </xVal>
          <yVal>
            <numRef>
              <f>'_look'!$BL$16:$BL$17</f>
            </numRef>
          </yVal>
          <smooth val="0"/>
        </ser>
        <ser>
          <idx val="13"/>
          <order val="13"/>
          <spPr>
            <a:ln w="19050">
              <a:solidFill>
                <a:srgbClr val="CC0000"/>
              </a:solidFill>
              <a:prstDash val="dash"/>
            </a:ln>
          </spPr>
          <marker>
            <symbol val="none"/>
            <spPr>
              <a:ln>
                <a:prstDash val="solid"/>
              </a:ln>
            </spPr>
          </marker>
          <xVal>
            <numRef>
              <f>'_look'!$BK$18:$BK$19</f>
            </numRef>
          </xVal>
          <yVal>
            <numRef>
              <f>'_look'!$BL$18:$BL$19</f>
            </numRef>
          </yVal>
          <smooth val="0"/>
        </ser>
        <ser>
          <idx val="14"/>
          <order val="14"/>
          <spPr>
            <a:ln w="19050">
              <a:solidFill>
                <a:srgbClr val="CC0000"/>
              </a:solidFill>
              <a:prstDash val="dash"/>
            </a:ln>
          </spPr>
          <marker>
            <symbol val="none"/>
            <spPr>
              <a:ln>
                <a:prstDash val="solid"/>
              </a:ln>
            </spPr>
          </marker>
          <xVal>
            <numRef>
              <f>'_look'!$BK$20:$BK$21</f>
            </numRef>
          </xVal>
          <yVal>
            <numRef>
              <f>'_look'!$BL$20:$BL$21</f>
            </numRef>
          </yVal>
          <smooth val="0"/>
        </ser>
        <ser>
          <idx val="15"/>
          <order val="15"/>
          <spPr>
            <a:ln w="19050">
              <a:solidFill>
                <a:srgbClr val="CC0000"/>
              </a:solidFill>
              <a:prstDash val="dash"/>
            </a:ln>
          </spPr>
          <marker>
            <symbol val="none"/>
            <spPr>
              <a:ln>
                <a:prstDash val="solid"/>
              </a:ln>
            </spPr>
          </marker>
          <xVal>
            <numRef>
              <f>'_look'!$BK$22:$BK$23</f>
            </numRef>
          </xVal>
          <yVal>
            <numRef>
              <f>'_look'!$BL$22:$BL$23</f>
            </numRef>
          </yVal>
          <smooth val="0"/>
        </ser>
        <ser>
          <idx val="16"/>
          <order val="16"/>
          <spPr>
            <a:ln w="19050">
              <a:solidFill>
                <a:srgbClr val="CC0000"/>
              </a:solidFill>
              <a:prstDash val="dash"/>
            </a:ln>
          </spPr>
          <marker>
            <symbol val="none"/>
            <spPr>
              <a:ln>
                <a:prstDash val="solid"/>
              </a:ln>
            </spPr>
          </marker>
          <xVal>
            <numRef>
              <f>'_look'!$BK$24:$BK$25</f>
            </numRef>
          </xVal>
          <yVal>
            <numRef>
              <f>'_look'!$BL$24:$BL$25</f>
            </numRef>
          </yVal>
          <smooth val="0"/>
        </ser>
        <ser>
          <idx val="17"/>
          <order val="17"/>
          <spPr>
            <a:ln w="19050">
              <a:solidFill>
                <a:srgbClr val="CC0000"/>
              </a:solidFill>
              <a:prstDash val="dash"/>
            </a:ln>
          </spPr>
          <marker>
            <symbol val="none"/>
            <spPr>
              <a:ln>
                <a:prstDash val="solid"/>
              </a:ln>
            </spPr>
          </marker>
          <xVal>
            <numRef>
              <f>'_look'!$BK$26:$BK$27</f>
            </numRef>
          </xVal>
          <yVal>
            <numRef>
              <f>'_look'!$BL$26:$BL$27</f>
            </numRef>
          </yVal>
          <smooth val="0"/>
        </ser>
        <ser>
          <idx val="18"/>
          <order val="18"/>
          <spPr>
            <a:ln w="19050">
              <a:solidFill>
                <a:srgbClr val="CC0000"/>
              </a:solidFill>
              <a:prstDash val="dash"/>
            </a:ln>
          </spPr>
          <marker>
            <symbol val="none"/>
            <spPr>
              <a:ln>
                <a:prstDash val="solid"/>
              </a:ln>
            </spPr>
          </marker>
          <xVal>
            <numRef>
              <f>'_look'!$BK$28:$BK$29</f>
            </numRef>
          </xVal>
          <yVal>
            <numRef>
              <f>'_look'!$BL$28:$BL$29</f>
            </numRef>
          </yVal>
          <smooth val="0"/>
        </ser>
        <ser>
          <idx val="19"/>
          <order val="19"/>
          <spPr>
            <a:ln w="19050">
              <a:solidFill>
                <a:srgbClr val="CC0000"/>
              </a:solidFill>
              <a:prstDash val="dash"/>
            </a:ln>
          </spPr>
          <marker>
            <symbol val="none"/>
            <spPr>
              <a:ln>
                <a:prstDash val="solid"/>
              </a:ln>
            </spPr>
          </marker>
          <xVal>
            <numRef>
              <f>'_look'!$BK$30:$BK$31</f>
            </numRef>
          </xVal>
          <yVal>
            <numRef>
              <f>'_look'!$BL$30:$BL$31</f>
            </numRef>
          </yVal>
          <smooth val="0"/>
        </ser>
        <ser>
          <idx val="20"/>
          <order val="20"/>
          <spPr>
            <a:ln w="19050">
              <a:solidFill>
                <a:srgbClr val="CC0000"/>
              </a:solidFill>
              <a:prstDash val="dash"/>
            </a:ln>
          </spPr>
          <marker>
            <symbol val="none"/>
            <spPr>
              <a:ln>
                <a:prstDash val="solid"/>
              </a:ln>
            </spPr>
          </marker>
          <xVal>
            <numRef>
              <f>'_look'!$BK$32:$BK$33</f>
            </numRef>
          </xVal>
          <yVal>
            <numRef>
              <f>'_look'!$BL$32:$BL$33</f>
            </numRef>
          </yVal>
          <smooth val="0"/>
        </ser>
        <ser>
          <idx val="21"/>
          <order val="21"/>
          <spPr>
            <a:ln w="19050">
              <a:solidFill>
                <a:srgbClr val="CC0000"/>
              </a:solidFill>
              <a:prstDash val="dash"/>
            </a:ln>
          </spPr>
          <marker>
            <symbol val="none"/>
            <spPr>
              <a:ln>
                <a:prstDash val="solid"/>
              </a:ln>
            </spPr>
          </marker>
          <xVal>
            <numRef>
              <f>'_look'!$BK$34:$BK$35</f>
            </numRef>
          </xVal>
          <yVal>
            <numRef>
              <f>'_look'!$BL$34:$BL$35</f>
            </numRef>
          </yVal>
          <smooth val="0"/>
        </ser>
        <ser>
          <idx val="22"/>
          <order val="22"/>
          <spPr>
            <a:ln w="19050">
              <a:solidFill>
                <a:srgbClr val="CC0000"/>
              </a:solidFill>
              <a:prstDash val="dash"/>
            </a:ln>
          </spPr>
          <marker>
            <symbol val="none"/>
            <spPr>
              <a:ln>
                <a:prstDash val="solid"/>
              </a:ln>
            </spPr>
          </marker>
          <xVal>
            <numRef>
              <f>'_look'!$BK$36:$BK$37</f>
            </numRef>
          </xVal>
          <yVal>
            <numRef>
              <f>'_look'!$BL$36:$BL$37</f>
            </numRef>
          </yVal>
          <smooth val="0"/>
        </ser>
        <ser>
          <idx val="23"/>
          <order val="23"/>
          <spPr>
            <a:ln w="19050">
              <a:solidFill>
                <a:srgbClr val="CC0000"/>
              </a:solidFill>
              <a:prstDash val="dash"/>
            </a:ln>
          </spPr>
          <marker>
            <symbol val="none"/>
            <spPr>
              <a:ln>
                <a:prstDash val="solid"/>
              </a:ln>
            </spPr>
          </marker>
          <xVal>
            <numRef>
              <f>'_look'!$BK$38:$BK$39</f>
            </numRef>
          </xVal>
          <yVal>
            <numRef>
              <f>'_look'!$BL$38:$BL$39</f>
            </numRef>
          </yVal>
          <smooth val="0"/>
        </ser>
        <ser>
          <idx val="24"/>
          <order val="24"/>
          <spPr>
            <a:ln w="19050">
              <a:solidFill>
                <a:srgbClr val="CC0000"/>
              </a:solidFill>
              <a:prstDash val="dash"/>
            </a:ln>
          </spPr>
          <marker>
            <symbol val="none"/>
            <spPr>
              <a:ln>
                <a:prstDash val="solid"/>
              </a:ln>
            </spPr>
          </marker>
          <xVal>
            <numRef>
              <f>'_look'!$BK$40:$BK$41</f>
            </numRef>
          </xVal>
          <yVal>
            <numRef>
              <f>'_look'!$BL$40:$BL$41</f>
            </numRef>
          </yVal>
          <smooth val="0"/>
        </ser>
        <ser>
          <idx val="25"/>
          <order val="25"/>
          <spPr>
            <a:ln w="19050">
              <a:solidFill>
                <a:srgbClr val="CC0000"/>
              </a:solidFill>
              <a:prstDash val="dash"/>
            </a:ln>
          </spPr>
          <marker>
            <symbol val="none"/>
            <spPr>
              <a:ln>
                <a:prstDash val="solid"/>
              </a:ln>
            </spPr>
          </marker>
          <xVal>
            <numRef>
              <f>'_look'!$BK$42:$BK$43</f>
            </numRef>
          </xVal>
          <yVal>
            <numRef>
              <f>'_look'!$BL$42:$BL$43</f>
            </numRef>
          </yVal>
          <smooth val="0"/>
        </ser>
        <ser>
          <idx val="26"/>
          <order val="26"/>
          <spPr>
            <a:ln w="19050">
              <a:solidFill>
                <a:srgbClr val="CC0000"/>
              </a:solidFill>
              <a:prstDash val="dash"/>
            </a:ln>
          </spPr>
          <marker>
            <symbol val="none"/>
            <spPr>
              <a:ln>
                <a:prstDash val="solid"/>
              </a:ln>
            </spPr>
          </marker>
          <xVal>
            <numRef>
              <f>'_look'!$BK$44:$BK$45</f>
            </numRef>
          </xVal>
          <yVal>
            <numRef>
              <f>'_look'!$BL$44:$BL$45</f>
            </numRef>
          </yVal>
          <smooth val="0"/>
        </ser>
        <ser>
          <idx val="27"/>
          <order val="27"/>
          <spPr>
            <a:ln w="19050">
              <a:solidFill>
                <a:srgbClr val="CC0000"/>
              </a:solidFill>
              <a:prstDash val="dash"/>
            </a:ln>
          </spPr>
          <marker>
            <symbol val="none"/>
            <spPr>
              <a:ln>
                <a:prstDash val="solid"/>
              </a:ln>
            </spPr>
          </marker>
          <xVal>
            <numRef>
              <f>'_look'!$BK$46:$BK$47</f>
            </numRef>
          </xVal>
          <yVal>
            <numRef>
              <f>'_look'!$BL$46:$BL$47</f>
            </numRef>
          </yVal>
          <smooth val="0"/>
        </ser>
        <ser>
          <idx val="28"/>
          <order val="28"/>
          <spPr>
            <a:ln w="19050">
              <a:solidFill>
                <a:srgbClr val="CC0000"/>
              </a:solidFill>
              <a:prstDash val="dash"/>
            </a:ln>
          </spPr>
          <marker>
            <symbol val="none"/>
            <spPr>
              <a:ln>
                <a:prstDash val="solid"/>
              </a:ln>
            </spPr>
          </marker>
          <xVal>
            <numRef>
              <f>'_look'!$BK$48:$BK$49</f>
            </numRef>
          </xVal>
          <yVal>
            <numRef>
              <f>'_look'!$BL$48:$BL$49</f>
            </numRef>
          </yVal>
          <smooth val="0"/>
        </ser>
        <ser>
          <idx val="29"/>
          <order val="29"/>
          <spPr>
            <a:ln w="19050">
              <a:solidFill>
                <a:srgbClr val="CC0000"/>
              </a:solidFill>
              <a:prstDash val="dash"/>
            </a:ln>
          </spPr>
          <marker>
            <symbol val="none"/>
            <spPr>
              <a:ln>
                <a:prstDash val="solid"/>
              </a:ln>
            </spPr>
          </marker>
          <xVal>
            <numRef>
              <f>'_look'!$BK$50:$BK$51</f>
            </numRef>
          </xVal>
          <yVal>
            <numRef>
              <f>'_look'!$BL$50:$BL$51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6.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'_look'!$BV$4:$BV$123</f>
            </numRef>
          </cat>
          <val>
            <numRef>
              <f>'_look'!$BW$4:$BW$123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'_look'!$BX$52:$BX$53</f>
            </numRef>
          </xVal>
          <yVal>
            <numRef>
              <f>'_look'!$BY$52:$BY$53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'_look'!$BX$54:$BX$55</f>
            </numRef>
          </xVal>
          <yVal>
            <numRef>
              <f>'_look'!$BY$54:$BY$55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'_look'!$BX$56:$BX$57</f>
            </numRef>
          </xVal>
          <yVal>
            <numRef>
              <f>'_look'!$BY$56:$BY$57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'_look'!$BX$58:$BX$59</f>
            </numRef>
          </xVal>
          <yVal>
            <numRef>
              <f>'_look'!$BY$58:$BY$59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'_look'!$BX$60:$BX$61</f>
            </numRef>
          </xVal>
          <yVal>
            <numRef>
              <f>'_look'!$BY$60:$BY$61</f>
            </numRef>
          </yVal>
          <smooth val="0"/>
        </ser>
        <ser>
          <idx val="6"/>
          <order val="6"/>
          <spPr>
            <a:ln w="19050">
              <a:solidFill>
                <a:srgbClr val="CC0000"/>
              </a:solidFill>
              <a:prstDash val="dash"/>
            </a:ln>
          </spPr>
          <marker>
            <symbol val="none"/>
            <spPr>
              <a:ln>
                <a:prstDash val="solid"/>
              </a:ln>
            </spPr>
          </marker>
          <xVal>
            <numRef>
              <f>'_look'!$BX$4:$BX$5</f>
            </numRef>
          </xVal>
          <yVal>
            <numRef>
              <f>'_look'!$BY$4:$BY$5</f>
            </numRef>
          </yVal>
          <smooth val="0"/>
        </ser>
        <ser>
          <idx val="7"/>
          <order val="7"/>
          <spPr>
            <a:ln w="19050">
              <a:solidFill>
                <a:srgbClr val="CC0000"/>
              </a:solidFill>
              <a:prstDash val="dash"/>
            </a:ln>
          </spPr>
          <marker>
            <symbol val="none"/>
            <spPr>
              <a:ln>
                <a:prstDash val="solid"/>
              </a:ln>
            </spPr>
          </marker>
          <xVal>
            <numRef>
              <f>'_look'!$BX$6:$BX$7</f>
            </numRef>
          </xVal>
          <yVal>
            <numRef>
              <f>'_look'!$BY$6:$BY$7</f>
            </numRef>
          </yVal>
          <smooth val="0"/>
        </ser>
        <ser>
          <idx val="8"/>
          <order val="8"/>
          <spPr>
            <a:ln w="19050">
              <a:solidFill>
                <a:srgbClr val="CC0000"/>
              </a:solidFill>
              <a:prstDash val="dash"/>
            </a:ln>
          </spPr>
          <marker>
            <symbol val="none"/>
            <spPr>
              <a:ln>
                <a:prstDash val="solid"/>
              </a:ln>
            </spPr>
          </marker>
          <xVal>
            <numRef>
              <f>'_look'!$BX$8:$BX$9</f>
            </numRef>
          </xVal>
          <yVal>
            <numRef>
              <f>'_look'!$BY$8:$BY$9</f>
            </numRef>
          </yVal>
          <smooth val="0"/>
        </ser>
        <ser>
          <idx val="9"/>
          <order val="9"/>
          <spPr>
            <a:ln w="19050">
              <a:solidFill>
                <a:srgbClr val="CC0000"/>
              </a:solidFill>
              <a:prstDash val="dash"/>
            </a:ln>
          </spPr>
          <marker>
            <symbol val="none"/>
            <spPr>
              <a:ln>
                <a:prstDash val="solid"/>
              </a:ln>
            </spPr>
          </marker>
          <xVal>
            <numRef>
              <f>'_look'!$BX$10:$BX$11</f>
            </numRef>
          </xVal>
          <yVal>
            <numRef>
              <f>'_look'!$BY$10:$BY$11</f>
            </numRef>
          </yVal>
          <smooth val="0"/>
        </ser>
        <ser>
          <idx val="10"/>
          <order val="10"/>
          <spPr>
            <a:ln w="19050">
              <a:solidFill>
                <a:srgbClr val="CC0000"/>
              </a:solidFill>
              <a:prstDash val="dash"/>
            </a:ln>
          </spPr>
          <marker>
            <symbol val="none"/>
            <spPr>
              <a:ln>
                <a:prstDash val="solid"/>
              </a:ln>
            </spPr>
          </marker>
          <xVal>
            <numRef>
              <f>'_look'!$BX$12:$BX$13</f>
            </numRef>
          </xVal>
          <yVal>
            <numRef>
              <f>'_look'!$BY$12:$BY$13</f>
            </numRef>
          </yVal>
          <smooth val="0"/>
        </ser>
        <ser>
          <idx val="11"/>
          <order val="11"/>
          <spPr>
            <a:ln w="19050">
              <a:solidFill>
                <a:srgbClr val="CC0000"/>
              </a:solidFill>
              <a:prstDash val="dash"/>
            </a:ln>
          </spPr>
          <marker>
            <symbol val="none"/>
            <spPr>
              <a:ln>
                <a:prstDash val="solid"/>
              </a:ln>
            </spPr>
          </marker>
          <xVal>
            <numRef>
              <f>'_look'!$BX$14:$BX$15</f>
            </numRef>
          </xVal>
          <yVal>
            <numRef>
              <f>'_look'!$BY$14:$BY$15</f>
            </numRef>
          </yVal>
          <smooth val="0"/>
        </ser>
        <ser>
          <idx val="12"/>
          <order val="12"/>
          <spPr>
            <a:ln w="19050">
              <a:solidFill>
                <a:srgbClr val="CC0000"/>
              </a:solidFill>
              <a:prstDash val="dash"/>
            </a:ln>
          </spPr>
          <marker>
            <symbol val="none"/>
            <spPr>
              <a:ln>
                <a:prstDash val="solid"/>
              </a:ln>
            </spPr>
          </marker>
          <xVal>
            <numRef>
              <f>'_look'!$BX$16:$BX$17</f>
            </numRef>
          </xVal>
          <yVal>
            <numRef>
              <f>'_look'!$BY$16:$BY$17</f>
            </numRef>
          </yVal>
          <smooth val="0"/>
        </ser>
        <ser>
          <idx val="13"/>
          <order val="13"/>
          <spPr>
            <a:ln w="19050">
              <a:solidFill>
                <a:srgbClr val="CC0000"/>
              </a:solidFill>
              <a:prstDash val="dash"/>
            </a:ln>
          </spPr>
          <marker>
            <symbol val="none"/>
            <spPr>
              <a:ln>
                <a:prstDash val="solid"/>
              </a:ln>
            </spPr>
          </marker>
          <xVal>
            <numRef>
              <f>'_look'!$BX$18:$BX$19</f>
            </numRef>
          </xVal>
          <yVal>
            <numRef>
              <f>'_look'!$BY$18:$BY$19</f>
            </numRef>
          </yVal>
          <smooth val="0"/>
        </ser>
        <ser>
          <idx val="14"/>
          <order val="14"/>
          <spPr>
            <a:ln w="19050">
              <a:solidFill>
                <a:srgbClr val="CC0000"/>
              </a:solidFill>
              <a:prstDash val="dash"/>
            </a:ln>
          </spPr>
          <marker>
            <symbol val="none"/>
            <spPr>
              <a:ln>
                <a:prstDash val="solid"/>
              </a:ln>
            </spPr>
          </marker>
          <xVal>
            <numRef>
              <f>'_look'!$BX$20:$BX$21</f>
            </numRef>
          </xVal>
          <yVal>
            <numRef>
              <f>'_look'!$BY$20:$BY$21</f>
            </numRef>
          </yVal>
          <smooth val="0"/>
        </ser>
        <ser>
          <idx val="15"/>
          <order val="15"/>
          <spPr>
            <a:ln w="19050">
              <a:solidFill>
                <a:srgbClr val="CC0000"/>
              </a:solidFill>
              <a:prstDash val="dash"/>
            </a:ln>
          </spPr>
          <marker>
            <symbol val="none"/>
            <spPr>
              <a:ln>
                <a:prstDash val="solid"/>
              </a:ln>
            </spPr>
          </marker>
          <xVal>
            <numRef>
              <f>'_look'!$BX$22:$BX$23</f>
            </numRef>
          </xVal>
          <yVal>
            <numRef>
              <f>'_look'!$BY$22:$BY$23</f>
            </numRef>
          </yVal>
          <smooth val="0"/>
        </ser>
        <ser>
          <idx val="16"/>
          <order val="16"/>
          <spPr>
            <a:ln w="19050">
              <a:solidFill>
                <a:srgbClr val="CC0000"/>
              </a:solidFill>
              <a:prstDash val="dash"/>
            </a:ln>
          </spPr>
          <marker>
            <symbol val="none"/>
            <spPr>
              <a:ln>
                <a:prstDash val="solid"/>
              </a:ln>
            </spPr>
          </marker>
          <xVal>
            <numRef>
              <f>'_look'!$BX$24:$BX$25</f>
            </numRef>
          </xVal>
          <yVal>
            <numRef>
              <f>'_look'!$BY$24:$BY$25</f>
            </numRef>
          </yVal>
          <smooth val="0"/>
        </ser>
        <ser>
          <idx val="17"/>
          <order val="17"/>
          <spPr>
            <a:ln w="19050">
              <a:solidFill>
                <a:srgbClr val="CC0000"/>
              </a:solidFill>
              <a:prstDash val="dash"/>
            </a:ln>
          </spPr>
          <marker>
            <symbol val="none"/>
            <spPr>
              <a:ln>
                <a:prstDash val="solid"/>
              </a:ln>
            </spPr>
          </marker>
          <xVal>
            <numRef>
              <f>'_look'!$BX$26:$BX$27</f>
            </numRef>
          </xVal>
          <yVal>
            <numRef>
              <f>'_look'!$BY$26:$BY$27</f>
            </numRef>
          </yVal>
          <smooth val="0"/>
        </ser>
        <ser>
          <idx val="18"/>
          <order val="18"/>
          <spPr>
            <a:ln w="19050">
              <a:solidFill>
                <a:srgbClr val="CC0000"/>
              </a:solidFill>
              <a:prstDash val="dash"/>
            </a:ln>
          </spPr>
          <marker>
            <symbol val="none"/>
            <spPr>
              <a:ln>
                <a:prstDash val="solid"/>
              </a:ln>
            </spPr>
          </marker>
          <xVal>
            <numRef>
              <f>'_look'!$BX$28:$BX$29</f>
            </numRef>
          </xVal>
          <yVal>
            <numRef>
              <f>'_look'!$BY$28:$BY$29</f>
            </numRef>
          </yVal>
          <smooth val="0"/>
        </ser>
        <ser>
          <idx val="19"/>
          <order val="19"/>
          <spPr>
            <a:ln w="19050">
              <a:solidFill>
                <a:srgbClr val="CC0000"/>
              </a:solidFill>
              <a:prstDash val="dash"/>
            </a:ln>
          </spPr>
          <marker>
            <symbol val="none"/>
            <spPr>
              <a:ln>
                <a:prstDash val="solid"/>
              </a:ln>
            </spPr>
          </marker>
          <xVal>
            <numRef>
              <f>'_look'!$BX$30:$BX$31</f>
            </numRef>
          </xVal>
          <yVal>
            <numRef>
              <f>'_look'!$BY$30:$BY$31</f>
            </numRef>
          </yVal>
          <smooth val="0"/>
        </ser>
        <ser>
          <idx val="20"/>
          <order val="20"/>
          <spPr>
            <a:ln w="19050">
              <a:solidFill>
                <a:srgbClr val="CC0000"/>
              </a:solidFill>
              <a:prstDash val="dash"/>
            </a:ln>
          </spPr>
          <marker>
            <symbol val="none"/>
            <spPr>
              <a:ln>
                <a:prstDash val="solid"/>
              </a:ln>
            </spPr>
          </marker>
          <xVal>
            <numRef>
              <f>'_look'!$BX$32:$BX$33</f>
            </numRef>
          </xVal>
          <yVal>
            <numRef>
              <f>'_look'!$BY$32:$BY$33</f>
            </numRef>
          </yVal>
          <smooth val="0"/>
        </ser>
        <ser>
          <idx val="21"/>
          <order val="21"/>
          <spPr>
            <a:ln w="19050">
              <a:solidFill>
                <a:srgbClr val="CC0000"/>
              </a:solidFill>
              <a:prstDash val="dash"/>
            </a:ln>
          </spPr>
          <marker>
            <symbol val="none"/>
            <spPr>
              <a:ln>
                <a:prstDash val="solid"/>
              </a:ln>
            </spPr>
          </marker>
          <xVal>
            <numRef>
              <f>'_look'!$BX$34:$BX$35</f>
            </numRef>
          </xVal>
          <yVal>
            <numRef>
              <f>'_look'!$BY$34:$BY$35</f>
            </numRef>
          </yVal>
          <smooth val="0"/>
        </ser>
        <ser>
          <idx val="22"/>
          <order val="22"/>
          <spPr>
            <a:ln w="19050">
              <a:solidFill>
                <a:srgbClr val="CC0000"/>
              </a:solidFill>
              <a:prstDash val="dash"/>
            </a:ln>
          </spPr>
          <marker>
            <symbol val="none"/>
            <spPr>
              <a:ln>
                <a:prstDash val="solid"/>
              </a:ln>
            </spPr>
          </marker>
          <xVal>
            <numRef>
              <f>'_look'!$BX$36:$BX$37</f>
            </numRef>
          </xVal>
          <yVal>
            <numRef>
              <f>'_look'!$BY$36:$BY$37</f>
            </numRef>
          </yVal>
          <smooth val="0"/>
        </ser>
        <ser>
          <idx val="23"/>
          <order val="23"/>
          <spPr>
            <a:ln w="19050">
              <a:solidFill>
                <a:srgbClr val="CC0000"/>
              </a:solidFill>
              <a:prstDash val="dash"/>
            </a:ln>
          </spPr>
          <marker>
            <symbol val="none"/>
            <spPr>
              <a:ln>
                <a:prstDash val="solid"/>
              </a:ln>
            </spPr>
          </marker>
          <xVal>
            <numRef>
              <f>'_look'!$BX$38:$BX$39</f>
            </numRef>
          </xVal>
          <yVal>
            <numRef>
              <f>'_look'!$BY$38:$BY$39</f>
            </numRef>
          </yVal>
          <smooth val="0"/>
        </ser>
        <ser>
          <idx val="24"/>
          <order val="24"/>
          <spPr>
            <a:ln w="19050">
              <a:solidFill>
                <a:srgbClr val="CC0000"/>
              </a:solidFill>
              <a:prstDash val="dash"/>
            </a:ln>
          </spPr>
          <marker>
            <symbol val="none"/>
            <spPr>
              <a:ln>
                <a:prstDash val="solid"/>
              </a:ln>
            </spPr>
          </marker>
          <xVal>
            <numRef>
              <f>'_look'!$BX$40:$BX$41</f>
            </numRef>
          </xVal>
          <yVal>
            <numRef>
              <f>'_look'!$BY$40:$BY$41</f>
            </numRef>
          </yVal>
          <smooth val="0"/>
        </ser>
        <ser>
          <idx val="25"/>
          <order val="25"/>
          <spPr>
            <a:ln w="19050">
              <a:solidFill>
                <a:srgbClr val="CC0000"/>
              </a:solidFill>
              <a:prstDash val="dash"/>
            </a:ln>
          </spPr>
          <marker>
            <symbol val="none"/>
            <spPr>
              <a:ln>
                <a:prstDash val="solid"/>
              </a:ln>
            </spPr>
          </marker>
          <xVal>
            <numRef>
              <f>'_look'!$BX$42:$BX$43</f>
            </numRef>
          </xVal>
          <yVal>
            <numRef>
              <f>'_look'!$BY$42:$BY$43</f>
            </numRef>
          </yVal>
          <smooth val="0"/>
        </ser>
        <ser>
          <idx val="26"/>
          <order val="26"/>
          <spPr>
            <a:ln w="19050">
              <a:solidFill>
                <a:srgbClr val="CC0000"/>
              </a:solidFill>
              <a:prstDash val="dash"/>
            </a:ln>
          </spPr>
          <marker>
            <symbol val="none"/>
            <spPr>
              <a:ln>
                <a:prstDash val="solid"/>
              </a:ln>
            </spPr>
          </marker>
          <xVal>
            <numRef>
              <f>'_look'!$BX$44:$BX$45</f>
            </numRef>
          </xVal>
          <yVal>
            <numRef>
              <f>'_look'!$BY$44:$BY$45</f>
            </numRef>
          </yVal>
          <smooth val="0"/>
        </ser>
        <ser>
          <idx val="27"/>
          <order val="27"/>
          <spPr>
            <a:ln w="19050">
              <a:solidFill>
                <a:srgbClr val="CC0000"/>
              </a:solidFill>
              <a:prstDash val="dash"/>
            </a:ln>
          </spPr>
          <marker>
            <symbol val="none"/>
            <spPr>
              <a:ln>
                <a:prstDash val="solid"/>
              </a:ln>
            </spPr>
          </marker>
          <xVal>
            <numRef>
              <f>'_look'!$BX$46:$BX$47</f>
            </numRef>
          </xVal>
          <yVal>
            <numRef>
              <f>'_look'!$BY$46:$BY$47</f>
            </numRef>
          </yVal>
          <smooth val="0"/>
        </ser>
        <ser>
          <idx val="28"/>
          <order val="28"/>
          <spPr>
            <a:ln w="19050">
              <a:solidFill>
                <a:srgbClr val="CC0000"/>
              </a:solidFill>
              <a:prstDash val="dash"/>
            </a:ln>
          </spPr>
          <marker>
            <symbol val="none"/>
            <spPr>
              <a:ln>
                <a:prstDash val="solid"/>
              </a:ln>
            </spPr>
          </marker>
          <xVal>
            <numRef>
              <f>'_look'!$BX$48:$BX$49</f>
            </numRef>
          </xVal>
          <yVal>
            <numRef>
              <f>'_look'!$BY$48:$BY$49</f>
            </numRef>
          </yVal>
          <smooth val="0"/>
        </ser>
        <ser>
          <idx val="29"/>
          <order val="29"/>
          <spPr>
            <a:ln w="19050">
              <a:solidFill>
                <a:srgbClr val="CC0000"/>
              </a:solidFill>
              <a:prstDash val="dash"/>
            </a:ln>
          </spPr>
          <marker>
            <symbol val="none"/>
            <spPr>
              <a:ln>
                <a:prstDash val="solid"/>
              </a:ln>
            </spPr>
          </marker>
          <xVal>
            <numRef>
              <f>'_look'!$BX$50:$BX$51</f>
            </numRef>
          </xVal>
          <yVal>
            <numRef>
              <f>'_look'!$BY$50:$BY$51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7.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'_look'!$CI$4:$CI$123</f>
            </numRef>
          </cat>
          <val>
            <numRef>
              <f>'_look'!$CJ$4:$CJ$123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'_look'!$CK$52:$CK$53</f>
            </numRef>
          </xVal>
          <yVal>
            <numRef>
              <f>'_look'!$CL$52:$CL$53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'_look'!$CK$54:$CK$55</f>
            </numRef>
          </xVal>
          <yVal>
            <numRef>
              <f>'_look'!$CL$54:$CL$55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'_look'!$CK$56:$CK$57</f>
            </numRef>
          </xVal>
          <yVal>
            <numRef>
              <f>'_look'!$CL$56:$CL$57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'_look'!$CK$58:$CK$59</f>
            </numRef>
          </xVal>
          <yVal>
            <numRef>
              <f>'_look'!$CL$58:$CL$59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'_look'!$CK$60:$CK$61</f>
            </numRef>
          </xVal>
          <yVal>
            <numRef>
              <f>'_look'!$CL$60:$CL$61</f>
            </numRef>
          </yVal>
          <smooth val="0"/>
        </ser>
        <ser>
          <idx val="6"/>
          <order val="6"/>
          <spPr>
            <a:ln w="19050">
              <a:solidFill>
                <a:srgbClr val="CC0000"/>
              </a:solidFill>
              <a:prstDash val="dash"/>
            </a:ln>
          </spPr>
          <marker>
            <symbol val="none"/>
            <spPr>
              <a:ln>
                <a:prstDash val="solid"/>
              </a:ln>
            </spPr>
          </marker>
          <xVal>
            <numRef>
              <f>'_look'!$CK$4:$CK$5</f>
            </numRef>
          </xVal>
          <yVal>
            <numRef>
              <f>'_look'!$CL$4:$CL$5</f>
            </numRef>
          </yVal>
          <smooth val="0"/>
        </ser>
        <ser>
          <idx val="7"/>
          <order val="7"/>
          <spPr>
            <a:ln w="19050">
              <a:solidFill>
                <a:srgbClr val="CC0000"/>
              </a:solidFill>
              <a:prstDash val="dash"/>
            </a:ln>
          </spPr>
          <marker>
            <symbol val="none"/>
            <spPr>
              <a:ln>
                <a:prstDash val="solid"/>
              </a:ln>
            </spPr>
          </marker>
          <xVal>
            <numRef>
              <f>'_look'!$CK$6:$CK$7</f>
            </numRef>
          </xVal>
          <yVal>
            <numRef>
              <f>'_look'!$CL$6:$CL$7</f>
            </numRef>
          </yVal>
          <smooth val="0"/>
        </ser>
        <ser>
          <idx val="8"/>
          <order val="8"/>
          <spPr>
            <a:ln w="19050">
              <a:solidFill>
                <a:srgbClr val="CC0000"/>
              </a:solidFill>
              <a:prstDash val="dash"/>
            </a:ln>
          </spPr>
          <marker>
            <symbol val="none"/>
            <spPr>
              <a:ln>
                <a:prstDash val="solid"/>
              </a:ln>
            </spPr>
          </marker>
          <xVal>
            <numRef>
              <f>'_look'!$CK$8:$CK$9</f>
            </numRef>
          </xVal>
          <yVal>
            <numRef>
              <f>'_look'!$CL$8:$CL$9</f>
            </numRef>
          </yVal>
          <smooth val="0"/>
        </ser>
        <ser>
          <idx val="9"/>
          <order val="9"/>
          <spPr>
            <a:ln w="19050">
              <a:solidFill>
                <a:srgbClr val="CC0000"/>
              </a:solidFill>
              <a:prstDash val="dash"/>
            </a:ln>
          </spPr>
          <marker>
            <symbol val="none"/>
            <spPr>
              <a:ln>
                <a:prstDash val="solid"/>
              </a:ln>
            </spPr>
          </marker>
          <xVal>
            <numRef>
              <f>'_look'!$CK$10:$CK$11</f>
            </numRef>
          </xVal>
          <yVal>
            <numRef>
              <f>'_look'!$CL$10:$CL$11</f>
            </numRef>
          </yVal>
          <smooth val="0"/>
        </ser>
        <ser>
          <idx val="10"/>
          <order val="10"/>
          <spPr>
            <a:ln w="19050">
              <a:solidFill>
                <a:srgbClr val="CC0000"/>
              </a:solidFill>
              <a:prstDash val="dash"/>
            </a:ln>
          </spPr>
          <marker>
            <symbol val="none"/>
            <spPr>
              <a:ln>
                <a:prstDash val="solid"/>
              </a:ln>
            </spPr>
          </marker>
          <xVal>
            <numRef>
              <f>'_look'!$CK$12:$CK$13</f>
            </numRef>
          </xVal>
          <yVal>
            <numRef>
              <f>'_look'!$CL$12:$CL$13</f>
            </numRef>
          </yVal>
          <smooth val="0"/>
        </ser>
        <ser>
          <idx val="11"/>
          <order val="11"/>
          <spPr>
            <a:ln w="19050">
              <a:solidFill>
                <a:srgbClr val="CC0000"/>
              </a:solidFill>
              <a:prstDash val="dash"/>
            </a:ln>
          </spPr>
          <marker>
            <symbol val="none"/>
            <spPr>
              <a:ln>
                <a:prstDash val="solid"/>
              </a:ln>
            </spPr>
          </marker>
          <xVal>
            <numRef>
              <f>'_look'!$CK$14:$CK$15</f>
            </numRef>
          </xVal>
          <yVal>
            <numRef>
              <f>'_look'!$CL$14:$CL$15</f>
            </numRef>
          </yVal>
          <smooth val="0"/>
        </ser>
        <ser>
          <idx val="12"/>
          <order val="12"/>
          <spPr>
            <a:ln w="19050">
              <a:solidFill>
                <a:srgbClr val="CC0000"/>
              </a:solidFill>
              <a:prstDash val="dash"/>
            </a:ln>
          </spPr>
          <marker>
            <symbol val="none"/>
            <spPr>
              <a:ln>
                <a:prstDash val="solid"/>
              </a:ln>
            </spPr>
          </marker>
          <xVal>
            <numRef>
              <f>'_look'!$CK$16:$CK$17</f>
            </numRef>
          </xVal>
          <yVal>
            <numRef>
              <f>'_look'!$CL$16:$CL$17</f>
            </numRef>
          </yVal>
          <smooth val="0"/>
        </ser>
        <ser>
          <idx val="13"/>
          <order val="13"/>
          <spPr>
            <a:ln w="19050">
              <a:solidFill>
                <a:srgbClr val="CC0000"/>
              </a:solidFill>
              <a:prstDash val="dash"/>
            </a:ln>
          </spPr>
          <marker>
            <symbol val="none"/>
            <spPr>
              <a:ln>
                <a:prstDash val="solid"/>
              </a:ln>
            </spPr>
          </marker>
          <xVal>
            <numRef>
              <f>'_look'!$CK$18:$CK$19</f>
            </numRef>
          </xVal>
          <yVal>
            <numRef>
              <f>'_look'!$CL$18:$CL$19</f>
            </numRef>
          </yVal>
          <smooth val="0"/>
        </ser>
        <ser>
          <idx val="14"/>
          <order val="14"/>
          <spPr>
            <a:ln w="19050">
              <a:solidFill>
                <a:srgbClr val="CC0000"/>
              </a:solidFill>
              <a:prstDash val="dash"/>
            </a:ln>
          </spPr>
          <marker>
            <symbol val="none"/>
            <spPr>
              <a:ln>
                <a:prstDash val="solid"/>
              </a:ln>
            </spPr>
          </marker>
          <xVal>
            <numRef>
              <f>'_look'!$CK$20:$CK$21</f>
            </numRef>
          </xVal>
          <yVal>
            <numRef>
              <f>'_look'!$CL$20:$CL$21</f>
            </numRef>
          </yVal>
          <smooth val="0"/>
        </ser>
        <ser>
          <idx val="15"/>
          <order val="15"/>
          <spPr>
            <a:ln w="19050">
              <a:solidFill>
                <a:srgbClr val="CC0000"/>
              </a:solidFill>
              <a:prstDash val="dash"/>
            </a:ln>
          </spPr>
          <marker>
            <symbol val="none"/>
            <spPr>
              <a:ln>
                <a:prstDash val="solid"/>
              </a:ln>
            </spPr>
          </marker>
          <xVal>
            <numRef>
              <f>'_look'!$CK$22:$CK$23</f>
            </numRef>
          </xVal>
          <yVal>
            <numRef>
              <f>'_look'!$CL$22:$CL$23</f>
            </numRef>
          </yVal>
          <smooth val="0"/>
        </ser>
        <ser>
          <idx val="16"/>
          <order val="16"/>
          <spPr>
            <a:ln w="19050">
              <a:solidFill>
                <a:srgbClr val="CC0000"/>
              </a:solidFill>
              <a:prstDash val="dash"/>
            </a:ln>
          </spPr>
          <marker>
            <symbol val="none"/>
            <spPr>
              <a:ln>
                <a:prstDash val="solid"/>
              </a:ln>
            </spPr>
          </marker>
          <xVal>
            <numRef>
              <f>'_look'!$CK$24:$CK$25</f>
            </numRef>
          </xVal>
          <yVal>
            <numRef>
              <f>'_look'!$CL$24:$CL$25</f>
            </numRef>
          </yVal>
          <smooth val="0"/>
        </ser>
        <ser>
          <idx val="17"/>
          <order val="17"/>
          <spPr>
            <a:ln w="19050">
              <a:solidFill>
                <a:srgbClr val="CC0000"/>
              </a:solidFill>
              <a:prstDash val="dash"/>
            </a:ln>
          </spPr>
          <marker>
            <symbol val="none"/>
            <spPr>
              <a:ln>
                <a:prstDash val="solid"/>
              </a:ln>
            </spPr>
          </marker>
          <xVal>
            <numRef>
              <f>'_look'!$CK$26:$CK$27</f>
            </numRef>
          </xVal>
          <yVal>
            <numRef>
              <f>'_look'!$CL$26:$CL$27</f>
            </numRef>
          </yVal>
          <smooth val="0"/>
        </ser>
        <ser>
          <idx val="18"/>
          <order val="18"/>
          <spPr>
            <a:ln w="19050">
              <a:solidFill>
                <a:srgbClr val="CC0000"/>
              </a:solidFill>
              <a:prstDash val="dash"/>
            </a:ln>
          </spPr>
          <marker>
            <symbol val="none"/>
            <spPr>
              <a:ln>
                <a:prstDash val="solid"/>
              </a:ln>
            </spPr>
          </marker>
          <xVal>
            <numRef>
              <f>'_look'!$CK$28:$CK$29</f>
            </numRef>
          </xVal>
          <yVal>
            <numRef>
              <f>'_look'!$CL$28:$CL$29</f>
            </numRef>
          </yVal>
          <smooth val="0"/>
        </ser>
        <ser>
          <idx val="19"/>
          <order val="19"/>
          <spPr>
            <a:ln w="19050">
              <a:solidFill>
                <a:srgbClr val="CC0000"/>
              </a:solidFill>
              <a:prstDash val="dash"/>
            </a:ln>
          </spPr>
          <marker>
            <symbol val="none"/>
            <spPr>
              <a:ln>
                <a:prstDash val="solid"/>
              </a:ln>
            </spPr>
          </marker>
          <xVal>
            <numRef>
              <f>'_look'!$CK$30:$CK$31</f>
            </numRef>
          </xVal>
          <yVal>
            <numRef>
              <f>'_look'!$CL$30:$CL$31</f>
            </numRef>
          </yVal>
          <smooth val="0"/>
        </ser>
        <ser>
          <idx val="20"/>
          <order val="20"/>
          <spPr>
            <a:ln w="19050">
              <a:solidFill>
                <a:srgbClr val="CC0000"/>
              </a:solidFill>
              <a:prstDash val="dash"/>
            </a:ln>
          </spPr>
          <marker>
            <symbol val="none"/>
            <spPr>
              <a:ln>
                <a:prstDash val="solid"/>
              </a:ln>
            </spPr>
          </marker>
          <xVal>
            <numRef>
              <f>'_look'!$CK$32:$CK$33</f>
            </numRef>
          </xVal>
          <yVal>
            <numRef>
              <f>'_look'!$CL$32:$CL$33</f>
            </numRef>
          </yVal>
          <smooth val="0"/>
        </ser>
        <ser>
          <idx val="21"/>
          <order val="21"/>
          <spPr>
            <a:ln w="19050">
              <a:solidFill>
                <a:srgbClr val="CC0000"/>
              </a:solidFill>
              <a:prstDash val="dash"/>
            </a:ln>
          </spPr>
          <marker>
            <symbol val="none"/>
            <spPr>
              <a:ln>
                <a:prstDash val="solid"/>
              </a:ln>
            </spPr>
          </marker>
          <xVal>
            <numRef>
              <f>'_look'!$CK$34:$CK$35</f>
            </numRef>
          </xVal>
          <yVal>
            <numRef>
              <f>'_look'!$CL$34:$CL$35</f>
            </numRef>
          </yVal>
          <smooth val="0"/>
        </ser>
        <ser>
          <idx val="22"/>
          <order val="22"/>
          <spPr>
            <a:ln w="19050">
              <a:solidFill>
                <a:srgbClr val="CC0000"/>
              </a:solidFill>
              <a:prstDash val="dash"/>
            </a:ln>
          </spPr>
          <marker>
            <symbol val="none"/>
            <spPr>
              <a:ln>
                <a:prstDash val="solid"/>
              </a:ln>
            </spPr>
          </marker>
          <xVal>
            <numRef>
              <f>'_look'!$CK$36:$CK$37</f>
            </numRef>
          </xVal>
          <yVal>
            <numRef>
              <f>'_look'!$CL$36:$CL$37</f>
            </numRef>
          </yVal>
          <smooth val="0"/>
        </ser>
        <ser>
          <idx val="23"/>
          <order val="23"/>
          <spPr>
            <a:ln w="19050">
              <a:solidFill>
                <a:srgbClr val="CC0000"/>
              </a:solidFill>
              <a:prstDash val="dash"/>
            </a:ln>
          </spPr>
          <marker>
            <symbol val="none"/>
            <spPr>
              <a:ln>
                <a:prstDash val="solid"/>
              </a:ln>
            </spPr>
          </marker>
          <xVal>
            <numRef>
              <f>'_look'!$CK$38:$CK$39</f>
            </numRef>
          </xVal>
          <yVal>
            <numRef>
              <f>'_look'!$CL$38:$CL$39</f>
            </numRef>
          </yVal>
          <smooth val="0"/>
        </ser>
        <ser>
          <idx val="24"/>
          <order val="24"/>
          <spPr>
            <a:ln w="19050">
              <a:solidFill>
                <a:srgbClr val="CC0000"/>
              </a:solidFill>
              <a:prstDash val="dash"/>
            </a:ln>
          </spPr>
          <marker>
            <symbol val="none"/>
            <spPr>
              <a:ln>
                <a:prstDash val="solid"/>
              </a:ln>
            </spPr>
          </marker>
          <xVal>
            <numRef>
              <f>'_look'!$CK$40:$CK$41</f>
            </numRef>
          </xVal>
          <yVal>
            <numRef>
              <f>'_look'!$CL$40:$CL$41</f>
            </numRef>
          </yVal>
          <smooth val="0"/>
        </ser>
        <ser>
          <idx val="25"/>
          <order val="25"/>
          <spPr>
            <a:ln w="19050">
              <a:solidFill>
                <a:srgbClr val="CC0000"/>
              </a:solidFill>
              <a:prstDash val="dash"/>
            </a:ln>
          </spPr>
          <marker>
            <symbol val="none"/>
            <spPr>
              <a:ln>
                <a:prstDash val="solid"/>
              </a:ln>
            </spPr>
          </marker>
          <xVal>
            <numRef>
              <f>'_look'!$CK$42:$CK$43</f>
            </numRef>
          </xVal>
          <yVal>
            <numRef>
              <f>'_look'!$CL$42:$CL$43</f>
            </numRef>
          </yVal>
          <smooth val="0"/>
        </ser>
        <ser>
          <idx val="26"/>
          <order val="26"/>
          <spPr>
            <a:ln w="19050">
              <a:solidFill>
                <a:srgbClr val="CC0000"/>
              </a:solidFill>
              <a:prstDash val="dash"/>
            </a:ln>
          </spPr>
          <marker>
            <symbol val="none"/>
            <spPr>
              <a:ln>
                <a:prstDash val="solid"/>
              </a:ln>
            </spPr>
          </marker>
          <xVal>
            <numRef>
              <f>'_look'!$CK$44:$CK$45</f>
            </numRef>
          </xVal>
          <yVal>
            <numRef>
              <f>'_look'!$CL$44:$CL$45</f>
            </numRef>
          </yVal>
          <smooth val="0"/>
        </ser>
        <ser>
          <idx val="27"/>
          <order val="27"/>
          <spPr>
            <a:ln w="19050">
              <a:solidFill>
                <a:srgbClr val="CC0000"/>
              </a:solidFill>
              <a:prstDash val="dash"/>
            </a:ln>
          </spPr>
          <marker>
            <symbol val="none"/>
            <spPr>
              <a:ln>
                <a:prstDash val="solid"/>
              </a:ln>
            </spPr>
          </marker>
          <xVal>
            <numRef>
              <f>'_look'!$CK$46:$CK$47</f>
            </numRef>
          </xVal>
          <yVal>
            <numRef>
              <f>'_look'!$CL$46:$CL$47</f>
            </numRef>
          </yVal>
          <smooth val="0"/>
        </ser>
        <ser>
          <idx val="28"/>
          <order val="28"/>
          <spPr>
            <a:ln w="19050">
              <a:solidFill>
                <a:srgbClr val="CC0000"/>
              </a:solidFill>
              <a:prstDash val="dash"/>
            </a:ln>
          </spPr>
          <marker>
            <symbol val="none"/>
            <spPr>
              <a:ln>
                <a:prstDash val="solid"/>
              </a:ln>
            </spPr>
          </marker>
          <xVal>
            <numRef>
              <f>'_look'!$CK$48:$CK$49</f>
            </numRef>
          </xVal>
          <yVal>
            <numRef>
              <f>'_look'!$CL$48:$CL$49</f>
            </numRef>
          </yVal>
          <smooth val="0"/>
        </ser>
        <ser>
          <idx val="29"/>
          <order val="29"/>
          <spPr>
            <a:ln w="19050">
              <a:solidFill>
                <a:srgbClr val="CC0000"/>
              </a:solidFill>
              <a:prstDash val="dash"/>
            </a:ln>
          </spPr>
          <marker>
            <symbol val="none"/>
            <spPr>
              <a:ln>
                <a:prstDash val="solid"/>
              </a:ln>
            </spPr>
          </marker>
          <xVal>
            <numRef>
              <f>'_look'!$CK$50:$CK$51</f>
            </numRef>
          </xVal>
          <yVal>
            <numRef>
              <f>'_look'!$CL$50:$CL$51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8.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'_look'!$CV$4:$CV$123</f>
            </numRef>
          </cat>
          <val>
            <numRef>
              <f>'_look'!$CW$4:$CW$123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'_look'!$CX$52:$CX$53</f>
            </numRef>
          </xVal>
          <yVal>
            <numRef>
              <f>'_look'!$CY$52:$CY$53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'_look'!$CX$54:$CX$55</f>
            </numRef>
          </xVal>
          <yVal>
            <numRef>
              <f>'_look'!$CY$54:$CY$55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'_look'!$CX$56:$CX$57</f>
            </numRef>
          </xVal>
          <yVal>
            <numRef>
              <f>'_look'!$CY$56:$CY$57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'_look'!$CX$58:$CX$59</f>
            </numRef>
          </xVal>
          <yVal>
            <numRef>
              <f>'_look'!$CY$58:$CY$59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'_look'!$CX$60:$CX$61</f>
            </numRef>
          </xVal>
          <yVal>
            <numRef>
              <f>'_look'!$CY$60:$CY$61</f>
            </numRef>
          </yVal>
          <smooth val="0"/>
        </ser>
        <ser>
          <idx val="6"/>
          <order val="6"/>
          <spPr>
            <a:ln w="19050">
              <a:solidFill>
                <a:srgbClr val="CC0000"/>
              </a:solidFill>
              <a:prstDash val="dash"/>
            </a:ln>
          </spPr>
          <marker>
            <symbol val="none"/>
            <spPr>
              <a:ln>
                <a:prstDash val="solid"/>
              </a:ln>
            </spPr>
          </marker>
          <xVal>
            <numRef>
              <f>'_look'!$CX$4:$CX$5</f>
            </numRef>
          </xVal>
          <yVal>
            <numRef>
              <f>'_look'!$CY$4:$CY$5</f>
            </numRef>
          </yVal>
          <smooth val="0"/>
        </ser>
        <ser>
          <idx val="7"/>
          <order val="7"/>
          <spPr>
            <a:ln w="19050">
              <a:solidFill>
                <a:srgbClr val="CC0000"/>
              </a:solidFill>
              <a:prstDash val="dash"/>
            </a:ln>
          </spPr>
          <marker>
            <symbol val="none"/>
            <spPr>
              <a:ln>
                <a:prstDash val="solid"/>
              </a:ln>
            </spPr>
          </marker>
          <xVal>
            <numRef>
              <f>'_look'!$CX$6:$CX$7</f>
            </numRef>
          </xVal>
          <yVal>
            <numRef>
              <f>'_look'!$CY$6:$CY$7</f>
            </numRef>
          </yVal>
          <smooth val="0"/>
        </ser>
        <ser>
          <idx val="8"/>
          <order val="8"/>
          <spPr>
            <a:ln w="19050">
              <a:solidFill>
                <a:srgbClr val="CC0000"/>
              </a:solidFill>
              <a:prstDash val="dash"/>
            </a:ln>
          </spPr>
          <marker>
            <symbol val="none"/>
            <spPr>
              <a:ln>
                <a:prstDash val="solid"/>
              </a:ln>
            </spPr>
          </marker>
          <xVal>
            <numRef>
              <f>'_look'!$CX$8:$CX$9</f>
            </numRef>
          </xVal>
          <yVal>
            <numRef>
              <f>'_look'!$CY$8:$CY$9</f>
            </numRef>
          </yVal>
          <smooth val="0"/>
        </ser>
        <ser>
          <idx val="9"/>
          <order val="9"/>
          <spPr>
            <a:ln w="19050">
              <a:solidFill>
                <a:srgbClr val="CC0000"/>
              </a:solidFill>
              <a:prstDash val="dash"/>
            </a:ln>
          </spPr>
          <marker>
            <symbol val="none"/>
            <spPr>
              <a:ln>
                <a:prstDash val="solid"/>
              </a:ln>
            </spPr>
          </marker>
          <xVal>
            <numRef>
              <f>'_look'!$CX$10:$CX$11</f>
            </numRef>
          </xVal>
          <yVal>
            <numRef>
              <f>'_look'!$CY$10:$CY$11</f>
            </numRef>
          </yVal>
          <smooth val="0"/>
        </ser>
        <ser>
          <idx val="10"/>
          <order val="10"/>
          <spPr>
            <a:ln w="19050">
              <a:solidFill>
                <a:srgbClr val="CC0000"/>
              </a:solidFill>
              <a:prstDash val="dash"/>
            </a:ln>
          </spPr>
          <marker>
            <symbol val="none"/>
            <spPr>
              <a:ln>
                <a:prstDash val="solid"/>
              </a:ln>
            </spPr>
          </marker>
          <xVal>
            <numRef>
              <f>'_look'!$CX$12:$CX$13</f>
            </numRef>
          </xVal>
          <yVal>
            <numRef>
              <f>'_look'!$CY$12:$CY$13</f>
            </numRef>
          </yVal>
          <smooth val="0"/>
        </ser>
        <ser>
          <idx val="11"/>
          <order val="11"/>
          <spPr>
            <a:ln w="19050">
              <a:solidFill>
                <a:srgbClr val="CC0000"/>
              </a:solidFill>
              <a:prstDash val="dash"/>
            </a:ln>
          </spPr>
          <marker>
            <symbol val="none"/>
            <spPr>
              <a:ln>
                <a:prstDash val="solid"/>
              </a:ln>
            </spPr>
          </marker>
          <xVal>
            <numRef>
              <f>'_look'!$CX$14:$CX$15</f>
            </numRef>
          </xVal>
          <yVal>
            <numRef>
              <f>'_look'!$CY$14:$CY$15</f>
            </numRef>
          </yVal>
          <smooth val="0"/>
        </ser>
        <ser>
          <idx val="12"/>
          <order val="12"/>
          <spPr>
            <a:ln w="19050">
              <a:solidFill>
                <a:srgbClr val="CC0000"/>
              </a:solidFill>
              <a:prstDash val="dash"/>
            </a:ln>
          </spPr>
          <marker>
            <symbol val="none"/>
            <spPr>
              <a:ln>
                <a:prstDash val="solid"/>
              </a:ln>
            </spPr>
          </marker>
          <xVal>
            <numRef>
              <f>'_look'!$CX$16:$CX$17</f>
            </numRef>
          </xVal>
          <yVal>
            <numRef>
              <f>'_look'!$CY$16:$CY$17</f>
            </numRef>
          </yVal>
          <smooth val="0"/>
        </ser>
        <ser>
          <idx val="13"/>
          <order val="13"/>
          <spPr>
            <a:ln w="19050">
              <a:solidFill>
                <a:srgbClr val="CC0000"/>
              </a:solidFill>
              <a:prstDash val="dash"/>
            </a:ln>
          </spPr>
          <marker>
            <symbol val="none"/>
            <spPr>
              <a:ln>
                <a:prstDash val="solid"/>
              </a:ln>
            </spPr>
          </marker>
          <xVal>
            <numRef>
              <f>'_look'!$CX$18:$CX$19</f>
            </numRef>
          </xVal>
          <yVal>
            <numRef>
              <f>'_look'!$CY$18:$CY$19</f>
            </numRef>
          </yVal>
          <smooth val="0"/>
        </ser>
        <ser>
          <idx val="14"/>
          <order val="14"/>
          <spPr>
            <a:ln w="19050">
              <a:solidFill>
                <a:srgbClr val="CC0000"/>
              </a:solidFill>
              <a:prstDash val="dash"/>
            </a:ln>
          </spPr>
          <marker>
            <symbol val="none"/>
            <spPr>
              <a:ln>
                <a:prstDash val="solid"/>
              </a:ln>
            </spPr>
          </marker>
          <xVal>
            <numRef>
              <f>'_look'!$CX$20:$CX$21</f>
            </numRef>
          </xVal>
          <yVal>
            <numRef>
              <f>'_look'!$CY$20:$CY$21</f>
            </numRef>
          </yVal>
          <smooth val="0"/>
        </ser>
        <ser>
          <idx val="15"/>
          <order val="15"/>
          <spPr>
            <a:ln w="19050">
              <a:solidFill>
                <a:srgbClr val="CC0000"/>
              </a:solidFill>
              <a:prstDash val="dash"/>
            </a:ln>
          </spPr>
          <marker>
            <symbol val="none"/>
            <spPr>
              <a:ln>
                <a:prstDash val="solid"/>
              </a:ln>
            </spPr>
          </marker>
          <xVal>
            <numRef>
              <f>'_look'!$CX$22:$CX$23</f>
            </numRef>
          </xVal>
          <yVal>
            <numRef>
              <f>'_look'!$CY$22:$CY$23</f>
            </numRef>
          </yVal>
          <smooth val="0"/>
        </ser>
        <ser>
          <idx val="16"/>
          <order val="16"/>
          <spPr>
            <a:ln w="19050">
              <a:solidFill>
                <a:srgbClr val="CC0000"/>
              </a:solidFill>
              <a:prstDash val="dash"/>
            </a:ln>
          </spPr>
          <marker>
            <symbol val="none"/>
            <spPr>
              <a:ln>
                <a:prstDash val="solid"/>
              </a:ln>
            </spPr>
          </marker>
          <xVal>
            <numRef>
              <f>'_look'!$CX$24:$CX$25</f>
            </numRef>
          </xVal>
          <yVal>
            <numRef>
              <f>'_look'!$CY$24:$CY$25</f>
            </numRef>
          </yVal>
          <smooth val="0"/>
        </ser>
        <ser>
          <idx val="17"/>
          <order val="17"/>
          <spPr>
            <a:ln w="19050">
              <a:solidFill>
                <a:srgbClr val="CC0000"/>
              </a:solidFill>
              <a:prstDash val="dash"/>
            </a:ln>
          </spPr>
          <marker>
            <symbol val="none"/>
            <spPr>
              <a:ln>
                <a:prstDash val="solid"/>
              </a:ln>
            </spPr>
          </marker>
          <xVal>
            <numRef>
              <f>'_look'!$CX$26:$CX$27</f>
            </numRef>
          </xVal>
          <yVal>
            <numRef>
              <f>'_look'!$CY$26:$CY$27</f>
            </numRef>
          </yVal>
          <smooth val="0"/>
        </ser>
        <ser>
          <idx val="18"/>
          <order val="18"/>
          <spPr>
            <a:ln w="19050">
              <a:solidFill>
                <a:srgbClr val="CC0000"/>
              </a:solidFill>
              <a:prstDash val="dash"/>
            </a:ln>
          </spPr>
          <marker>
            <symbol val="none"/>
            <spPr>
              <a:ln>
                <a:prstDash val="solid"/>
              </a:ln>
            </spPr>
          </marker>
          <xVal>
            <numRef>
              <f>'_look'!$CX$28:$CX$29</f>
            </numRef>
          </xVal>
          <yVal>
            <numRef>
              <f>'_look'!$CY$28:$CY$29</f>
            </numRef>
          </yVal>
          <smooth val="0"/>
        </ser>
        <ser>
          <idx val="19"/>
          <order val="19"/>
          <spPr>
            <a:ln w="19050">
              <a:solidFill>
                <a:srgbClr val="CC0000"/>
              </a:solidFill>
              <a:prstDash val="dash"/>
            </a:ln>
          </spPr>
          <marker>
            <symbol val="none"/>
            <spPr>
              <a:ln>
                <a:prstDash val="solid"/>
              </a:ln>
            </spPr>
          </marker>
          <xVal>
            <numRef>
              <f>'_look'!$CX$30:$CX$31</f>
            </numRef>
          </xVal>
          <yVal>
            <numRef>
              <f>'_look'!$CY$30:$CY$31</f>
            </numRef>
          </yVal>
          <smooth val="0"/>
        </ser>
        <ser>
          <idx val="20"/>
          <order val="20"/>
          <spPr>
            <a:ln w="19050">
              <a:solidFill>
                <a:srgbClr val="CC0000"/>
              </a:solidFill>
              <a:prstDash val="dash"/>
            </a:ln>
          </spPr>
          <marker>
            <symbol val="none"/>
            <spPr>
              <a:ln>
                <a:prstDash val="solid"/>
              </a:ln>
            </spPr>
          </marker>
          <xVal>
            <numRef>
              <f>'_look'!$CX$32:$CX$33</f>
            </numRef>
          </xVal>
          <yVal>
            <numRef>
              <f>'_look'!$CY$32:$CY$33</f>
            </numRef>
          </yVal>
          <smooth val="0"/>
        </ser>
        <ser>
          <idx val="21"/>
          <order val="21"/>
          <spPr>
            <a:ln w="19050">
              <a:solidFill>
                <a:srgbClr val="CC0000"/>
              </a:solidFill>
              <a:prstDash val="dash"/>
            </a:ln>
          </spPr>
          <marker>
            <symbol val="none"/>
            <spPr>
              <a:ln>
                <a:prstDash val="solid"/>
              </a:ln>
            </spPr>
          </marker>
          <xVal>
            <numRef>
              <f>'_look'!$CX$34:$CX$35</f>
            </numRef>
          </xVal>
          <yVal>
            <numRef>
              <f>'_look'!$CY$34:$CY$35</f>
            </numRef>
          </yVal>
          <smooth val="0"/>
        </ser>
        <ser>
          <idx val="22"/>
          <order val="22"/>
          <spPr>
            <a:ln w="19050">
              <a:solidFill>
                <a:srgbClr val="CC0000"/>
              </a:solidFill>
              <a:prstDash val="dash"/>
            </a:ln>
          </spPr>
          <marker>
            <symbol val="none"/>
            <spPr>
              <a:ln>
                <a:prstDash val="solid"/>
              </a:ln>
            </spPr>
          </marker>
          <xVal>
            <numRef>
              <f>'_look'!$CX$36:$CX$37</f>
            </numRef>
          </xVal>
          <yVal>
            <numRef>
              <f>'_look'!$CY$36:$CY$37</f>
            </numRef>
          </yVal>
          <smooth val="0"/>
        </ser>
        <ser>
          <idx val="23"/>
          <order val="23"/>
          <spPr>
            <a:ln w="19050">
              <a:solidFill>
                <a:srgbClr val="CC0000"/>
              </a:solidFill>
              <a:prstDash val="dash"/>
            </a:ln>
          </spPr>
          <marker>
            <symbol val="none"/>
            <spPr>
              <a:ln>
                <a:prstDash val="solid"/>
              </a:ln>
            </spPr>
          </marker>
          <xVal>
            <numRef>
              <f>'_look'!$CX$38:$CX$39</f>
            </numRef>
          </xVal>
          <yVal>
            <numRef>
              <f>'_look'!$CY$38:$CY$39</f>
            </numRef>
          </yVal>
          <smooth val="0"/>
        </ser>
        <ser>
          <idx val="24"/>
          <order val="24"/>
          <spPr>
            <a:ln w="19050">
              <a:solidFill>
                <a:srgbClr val="CC0000"/>
              </a:solidFill>
              <a:prstDash val="dash"/>
            </a:ln>
          </spPr>
          <marker>
            <symbol val="none"/>
            <spPr>
              <a:ln>
                <a:prstDash val="solid"/>
              </a:ln>
            </spPr>
          </marker>
          <xVal>
            <numRef>
              <f>'_look'!$CX$40:$CX$41</f>
            </numRef>
          </xVal>
          <yVal>
            <numRef>
              <f>'_look'!$CY$40:$CY$41</f>
            </numRef>
          </yVal>
          <smooth val="0"/>
        </ser>
        <ser>
          <idx val="25"/>
          <order val="25"/>
          <spPr>
            <a:ln w="19050">
              <a:solidFill>
                <a:srgbClr val="CC0000"/>
              </a:solidFill>
              <a:prstDash val="dash"/>
            </a:ln>
          </spPr>
          <marker>
            <symbol val="none"/>
            <spPr>
              <a:ln>
                <a:prstDash val="solid"/>
              </a:ln>
            </spPr>
          </marker>
          <xVal>
            <numRef>
              <f>'_look'!$CX$42:$CX$43</f>
            </numRef>
          </xVal>
          <yVal>
            <numRef>
              <f>'_look'!$CY$42:$CY$43</f>
            </numRef>
          </yVal>
          <smooth val="0"/>
        </ser>
        <ser>
          <idx val="26"/>
          <order val="26"/>
          <spPr>
            <a:ln w="19050">
              <a:solidFill>
                <a:srgbClr val="CC0000"/>
              </a:solidFill>
              <a:prstDash val="dash"/>
            </a:ln>
          </spPr>
          <marker>
            <symbol val="none"/>
            <spPr>
              <a:ln>
                <a:prstDash val="solid"/>
              </a:ln>
            </spPr>
          </marker>
          <xVal>
            <numRef>
              <f>'_look'!$CX$44:$CX$45</f>
            </numRef>
          </xVal>
          <yVal>
            <numRef>
              <f>'_look'!$CY$44:$CY$45</f>
            </numRef>
          </yVal>
          <smooth val="0"/>
        </ser>
        <ser>
          <idx val="27"/>
          <order val="27"/>
          <spPr>
            <a:ln w="19050">
              <a:solidFill>
                <a:srgbClr val="CC0000"/>
              </a:solidFill>
              <a:prstDash val="dash"/>
            </a:ln>
          </spPr>
          <marker>
            <symbol val="none"/>
            <spPr>
              <a:ln>
                <a:prstDash val="solid"/>
              </a:ln>
            </spPr>
          </marker>
          <xVal>
            <numRef>
              <f>'_look'!$CX$46:$CX$47</f>
            </numRef>
          </xVal>
          <yVal>
            <numRef>
              <f>'_look'!$CY$46:$CY$47</f>
            </numRef>
          </yVal>
          <smooth val="0"/>
        </ser>
        <ser>
          <idx val="28"/>
          <order val="28"/>
          <spPr>
            <a:ln w="19050">
              <a:solidFill>
                <a:srgbClr val="CC0000"/>
              </a:solidFill>
              <a:prstDash val="dash"/>
            </a:ln>
          </spPr>
          <marker>
            <symbol val="none"/>
            <spPr>
              <a:ln>
                <a:prstDash val="solid"/>
              </a:ln>
            </spPr>
          </marker>
          <xVal>
            <numRef>
              <f>'_look'!$CX$48:$CX$49</f>
            </numRef>
          </xVal>
          <yVal>
            <numRef>
              <f>'_look'!$CY$48:$CY$49</f>
            </numRef>
          </yVal>
          <smooth val="0"/>
        </ser>
        <ser>
          <idx val="29"/>
          <order val="29"/>
          <spPr>
            <a:ln w="19050">
              <a:solidFill>
                <a:srgbClr val="CC0000"/>
              </a:solidFill>
              <a:prstDash val="dash"/>
            </a:ln>
          </spPr>
          <marker>
            <symbol val="none"/>
            <spPr>
              <a:ln>
                <a:prstDash val="solid"/>
              </a:ln>
            </spPr>
          </marker>
          <xVal>
            <numRef>
              <f>'_look'!$CX$50:$CX$51</f>
            </numRef>
          </xVal>
          <yVal>
            <numRef>
              <f>'_look'!$CY$50:$CY$51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9.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'_look'!$DI$4:$DI$123</f>
            </numRef>
          </cat>
          <val>
            <numRef>
              <f>'_look'!$DJ$4:$DJ$123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'_look'!$DK$52:$DK$53</f>
            </numRef>
          </xVal>
          <yVal>
            <numRef>
              <f>'_look'!$DL$52:$DL$53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'_look'!$DK$54:$DK$55</f>
            </numRef>
          </xVal>
          <yVal>
            <numRef>
              <f>'_look'!$DL$54:$DL$55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'_look'!$DK$56:$DK$57</f>
            </numRef>
          </xVal>
          <yVal>
            <numRef>
              <f>'_look'!$DL$56:$DL$57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'_look'!$DK$58:$DK$59</f>
            </numRef>
          </xVal>
          <yVal>
            <numRef>
              <f>'_look'!$DL$58:$DL$59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'_look'!$DK$60:$DK$61</f>
            </numRef>
          </xVal>
          <yVal>
            <numRef>
              <f>'_look'!$DL$60:$DL$61</f>
            </numRef>
          </yVal>
          <smooth val="0"/>
        </ser>
        <ser>
          <idx val="6"/>
          <order val="6"/>
          <spPr>
            <a:ln w="19050">
              <a:solidFill>
                <a:srgbClr val="CC0000"/>
              </a:solidFill>
              <a:prstDash val="dash"/>
            </a:ln>
          </spPr>
          <marker>
            <symbol val="none"/>
            <spPr>
              <a:ln>
                <a:prstDash val="solid"/>
              </a:ln>
            </spPr>
          </marker>
          <xVal>
            <numRef>
              <f>'_look'!$DK$4:$DK$5</f>
            </numRef>
          </xVal>
          <yVal>
            <numRef>
              <f>'_look'!$DL$4:$DL$5</f>
            </numRef>
          </yVal>
          <smooth val="0"/>
        </ser>
        <ser>
          <idx val="7"/>
          <order val="7"/>
          <spPr>
            <a:ln w="19050">
              <a:solidFill>
                <a:srgbClr val="CC0000"/>
              </a:solidFill>
              <a:prstDash val="dash"/>
            </a:ln>
          </spPr>
          <marker>
            <symbol val="none"/>
            <spPr>
              <a:ln>
                <a:prstDash val="solid"/>
              </a:ln>
            </spPr>
          </marker>
          <xVal>
            <numRef>
              <f>'_look'!$DK$6:$DK$7</f>
            </numRef>
          </xVal>
          <yVal>
            <numRef>
              <f>'_look'!$DL$6:$DL$7</f>
            </numRef>
          </yVal>
          <smooth val="0"/>
        </ser>
        <ser>
          <idx val="8"/>
          <order val="8"/>
          <spPr>
            <a:ln w="19050">
              <a:solidFill>
                <a:srgbClr val="CC0000"/>
              </a:solidFill>
              <a:prstDash val="dash"/>
            </a:ln>
          </spPr>
          <marker>
            <symbol val="none"/>
            <spPr>
              <a:ln>
                <a:prstDash val="solid"/>
              </a:ln>
            </spPr>
          </marker>
          <xVal>
            <numRef>
              <f>'_look'!$DK$8:$DK$9</f>
            </numRef>
          </xVal>
          <yVal>
            <numRef>
              <f>'_look'!$DL$8:$DL$9</f>
            </numRef>
          </yVal>
          <smooth val="0"/>
        </ser>
        <ser>
          <idx val="9"/>
          <order val="9"/>
          <spPr>
            <a:ln w="19050">
              <a:solidFill>
                <a:srgbClr val="CC0000"/>
              </a:solidFill>
              <a:prstDash val="dash"/>
            </a:ln>
          </spPr>
          <marker>
            <symbol val="none"/>
            <spPr>
              <a:ln>
                <a:prstDash val="solid"/>
              </a:ln>
            </spPr>
          </marker>
          <xVal>
            <numRef>
              <f>'_look'!$DK$10:$DK$11</f>
            </numRef>
          </xVal>
          <yVal>
            <numRef>
              <f>'_look'!$DL$10:$DL$11</f>
            </numRef>
          </yVal>
          <smooth val="0"/>
        </ser>
        <ser>
          <idx val="10"/>
          <order val="10"/>
          <spPr>
            <a:ln w="19050">
              <a:solidFill>
                <a:srgbClr val="CC0000"/>
              </a:solidFill>
              <a:prstDash val="dash"/>
            </a:ln>
          </spPr>
          <marker>
            <symbol val="none"/>
            <spPr>
              <a:ln>
                <a:prstDash val="solid"/>
              </a:ln>
            </spPr>
          </marker>
          <xVal>
            <numRef>
              <f>'_look'!$DK$12:$DK$13</f>
            </numRef>
          </xVal>
          <yVal>
            <numRef>
              <f>'_look'!$DL$12:$DL$13</f>
            </numRef>
          </yVal>
          <smooth val="0"/>
        </ser>
        <ser>
          <idx val="11"/>
          <order val="11"/>
          <spPr>
            <a:ln w="19050">
              <a:solidFill>
                <a:srgbClr val="CC0000"/>
              </a:solidFill>
              <a:prstDash val="dash"/>
            </a:ln>
          </spPr>
          <marker>
            <symbol val="none"/>
            <spPr>
              <a:ln>
                <a:prstDash val="solid"/>
              </a:ln>
            </spPr>
          </marker>
          <xVal>
            <numRef>
              <f>'_look'!$DK$14:$DK$15</f>
            </numRef>
          </xVal>
          <yVal>
            <numRef>
              <f>'_look'!$DL$14:$DL$15</f>
            </numRef>
          </yVal>
          <smooth val="0"/>
        </ser>
        <ser>
          <idx val="12"/>
          <order val="12"/>
          <spPr>
            <a:ln w="19050">
              <a:solidFill>
                <a:srgbClr val="CC0000"/>
              </a:solidFill>
              <a:prstDash val="dash"/>
            </a:ln>
          </spPr>
          <marker>
            <symbol val="none"/>
            <spPr>
              <a:ln>
                <a:prstDash val="solid"/>
              </a:ln>
            </spPr>
          </marker>
          <xVal>
            <numRef>
              <f>'_look'!$DK$16:$DK$17</f>
            </numRef>
          </xVal>
          <yVal>
            <numRef>
              <f>'_look'!$DL$16:$DL$17</f>
            </numRef>
          </yVal>
          <smooth val="0"/>
        </ser>
        <ser>
          <idx val="13"/>
          <order val="13"/>
          <spPr>
            <a:ln w="19050">
              <a:solidFill>
                <a:srgbClr val="CC0000"/>
              </a:solidFill>
              <a:prstDash val="dash"/>
            </a:ln>
          </spPr>
          <marker>
            <symbol val="none"/>
            <spPr>
              <a:ln>
                <a:prstDash val="solid"/>
              </a:ln>
            </spPr>
          </marker>
          <xVal>
            <numRef>
              <f>'_look'!$DK$18:$DK$19</f>
            </numRef>
          </xVal>
          <yVal>
            <numRef>
              <f>'_look'!$DL$18:$DL$19</f>
            </numRef>
          </yVal>
          <smooth val="0"/>
        </ser>
        <ser>
          <idx val="14"/>
          <order val="14"/>
          <spPr>
            <a:ln w="19050">
              <a:solidFill>
                <a:srgbClr val="CC0000"/>
              </a:solidFill>
              <a:prstDash val="dash"/>
            </a:ln>
          </spPr>
          <marker>
            <symbol val="none"/>
            <spPr>
              <a:ln>
                <a:prstDash val="solid"/>
              </a:ln>
            </spPr>
          </marker>
          <xVal>
            <numRef>
              <f>'_look'!$DK$20:$DK$21</f>
            </numRef>
          </xVal>
          <yVal>
            <numRef>
              <f>'_look'!$DL$20:$DL$21</f>
            </numRef>
          </yVal>
          <smooth val="0"/>
        </ser>
        <ser>
          <idx val="15"/>
          <order val="15"/>
          <spPr>
            <a:ln w="19050">
              <a:solidFill>
                <a:srgbClr val="CC0000"/>
              </a:solidFill>
              <a:prstDash val="dash"/>
            </a:ln>
          </spPr>
          <marker>
            <symbol val="none"/>
            <spPr>
              <a:ln>
                <a:prstDash val="solid"/>
              </a:ln>
            </spPr>
          </marker>
          <xVal>
            <numRef>
              <f>'_look'!$DK$22:$DK$23</f>
            </numRef>
          </xVal>
          <yVal>
            <numRef>
              <f>'_look'!$DL$22:$DL$23</f>
            </numRef>
          </yVal>
          <smooth val="0"/>
        </ser>
        <ser>
          <idx val="16"/>
          <order val="16"/>
          <spPr>
            <a:ln w="19050">
              <a:solidFill>
                <a:srgbClr val="CC0000"/>
              </a:solidFill>
              <a:prstDash val="dash"/>
            </a:ln>
          </spPr>
          <marker>
            <symbol val="none"/>
            <spPr>
              <a:ln>
                <a:prstDash val="solid"/>
              </a:ln>
            </spPr>
          </marker>
          <xVal>
            <numRef>
              <f>'_look'!$DK$24:$DK$25</f>
            </numRef>
          </xVal>
          <yVal>
            <numRef>
              <f>'_look'!$DL$24:$DL$25</f>
            </numRef>
          </yVal>
          <smooth val="0"/>
        </ser>
        <ser>
          <idx val="17"/>
          <order val="17"/>
          <spPr>
            <a:ln w="19050">
              <a:solidFill>
                <a:srgbClr val="CC0000"/>
              </a:solidFill>
              <a:prstDash val="dash"/>
            </a:ln>
          </spPr>
          <marker>
            <symbol val="none"/>
            <spPr>
              <a:ln>
                <a:prstDash val="solid"/>
              </a:ln>
            </spPr>
          </marker>
          <xVal>
            <numRef>
              <f>'_look'!$DK$26:$DK$27</f>
            </numRef>
          </xVal>
          <yVal>
            <numRef>
              <f>'_look'!$DL$26:$DL$27</f>
            </numRef>
          </yVal>
          <smooth val="0"/>
        </ser>
        <ser>
          <idx val="18"/>
          <order val="18"/>
          <spPr>
            <a:ln w="19050">
              <a:solidFill>
                <a:srgbClr val="CC0000"/>
              </a:solidFill>
              <a:prstDash val="dash"/>
            </a:ln>
          </spPr>
          <marker>
            <symbol val="none"/>
            <spPr>
              <a:ln>
                <a:prstDash val="solid"/>
              </a:ln>
            </spPr>
          </marker>
          <xVal>
            <numRef>
              <f>'_look'!$DK$28:$DK$29</f>
            </numRef>
          </xVal>
          <yVal>
            <numRef>
              <f>'_look'!$DL$28:$DL$29</f>
            </numRef>
          </yVal>
          <smooth val="0"/>
        </ser>
        <ser>
          <idx val="19"/>
          <order val="19"/>
          <spPr>
            <a:ln w="19050">
              <a:solidFill>
                <a:srgbClr val="CC0000"/>
              </a:solidFill>
              <a:prstDash val="dash"/>
            </a:ln>
          </spPr>
          <marker>
            <symbol val="none"/>
            <spPr>
              <a:ln>
                <a:prstDash val="solid"/>
              </a:ln>
            </spPr>
          </marker>
          <xVal>
            <numRef>
              <f>'_look'!$DK$30:$DK$31</f>
            </numRef>
          </xVal>
          <yVal>
            <numRef>
              <f>'_look'!$DL$30:$DL$31</f>
            </numRef>
          </yVal>
          <smooth val="0"/>
        </ser>
        <ser>
          <idx val="20"/>
          <order val="20"/>
          <spPr>
            <a:ln w="19050">
              <a:solidFill>
                <a:srgbClr val="CC0000"/>
              </a:solidFill>
              <a:prstDash val="dash"/>
            </a:ln>
          </spPr>
          <marker>
            <symbol val="none"/>
            <spPr>
              <a:ln>
                <a:prstDash val="solid"/>
              </a:ln>
            </spPr>
          </marker>
          <xVal>
            <numRef>
              <f>'_look'!$DK$32:$DK$33</f>
            </numRef>
          </xVal>
          <yVal>
            <numRef>
              <f>'_look'!$DL$32:$DL$33</f>
            </numRef>
          </yVal>
          <smooth val="0"/>
        </ser>
        <ser>
          <idx val="21"/>
          <order val="21"/>
          <spPr>
            <a:ln w="19050">
              <a:solidFill>
                <a:srgbClr val="CC0000"/>
              </a:solidFill>
              <a:prstDash val="dash"/>
            </a:ln>
          </spPr>
          <marker>
            <symbol val="none"/>
            <spPr>
              <a:ln>
                <a:prstDash val="solid"/>
              </a:ln>
            </spPr>
          </marker>
          <xVal>
            <numRef>
              <f>'_look'!$DK$34:$DK$35</f>
            </numRef>
          </xVal>
          <yVal>
            <numRef>
              <f>'_look'!$DL$34:$DL$35</f>
            </numRef>
          </yVal>
          <smooth val="0"/>
        </ser>
        <ser>
          <idx val="22"/>
          <order val="22"/>
          <spPr>
            <a:ln w="19050">
              <a:solidFill>
                <a:srgbClr val="CC0000"/>
              </a:solidFill>
              <a:prstDash val="dash"/>
            </a:ln>
          </spPr>
          <marker>
            <symbol val="none"/>
            <spPr>
              <a:ln>
                <a:prstDash val="solid"/>
              </a:ln>
            </spPr>
          </marker>
          <xVal>
            <numRef>
              <f>'_look'!$DK$36:$DK$37</f>
            </numRef>
          </xVal>
          <yVal>
            <numRef>
              <f>'_look'!$DL$36:$DL$37</f>
            </numRef>
          </yVal>
          <smooth val="0"/>
        </ser>
        <ser>
          <idx val="23"/>
          <order val="23"/>
          <spPr>
            <a:ln w="19050">
              <a:solidFill>
                <a:srgbClr val="CC0000"/>
              </a:solidFill>
              <a:prstDash val="dash"/>
            </a:ln>
          </spPr>
          <marker>
            <symbol val="none"/>
            <spPr>
              <a:ln>
                <a:prstDash val="solid"/>
              </a:ln>
            </spPr>
          </marker>
          <xVal>
            <numRef>
              <f>'_look'!$DK$38:$DK$39</f>
            </numRef>
          </xVal>
          <yVal>
            <numRef>
              <f>'_look'!$DL$38:$DL$39</f>
            </numRef>
          </yVal>
          <smooth val="0"/>
        </ser>
        <ser>
          <idx val="24"/>
          <order val="24"/>
          <spPr>
            <a:ln w="19050">
              <a:solidFill>
                <a:srgbClr val="CC0000"/>
              </a:solidFill>
              <a:prstDash val="dash"/>
            </a:ln>
          </spPr>
          <marker>
            <symbol val="none"/>
            <spPr>
              <a:ln>
                <a:prstDash val="solid"/>
              </a:ln>
            </spPr>
          </marker>
          <xVal>
            <numRef>
              <f>'_look'!$DK$40:$DK$41</f>
            </numRef>
          </xVal>
          <yVal>
            <numRef>
              <f>'_look'!$DL$40:$DL$41</f>
            </numRef>
          </yVal>
          <smooth val="0"/>
        </ser>
        <ser>
          <idx val="25"/>
          <order val="25"/>
          <spPr>
            <a:ln w="19050">
              <a:solidFill>
                <a:srgbClr val="CC0000"/>
              </a:solidFill>
              <a:prstDash val="dash"/>
            </a:ln>
          </spPr>
          <marker>
            <symbol val="none"/>
            <spPr>
              <a:ln>
                <a:prstDash val="solid"/>
              </a:ln>
            </spPr>
          </marker>
          <xVal>
            <numRef>
              <f>'_look'!$DK$42:$DK$43</f>
            </numRef>
          </xVal>
          <yVal>
            <numRef>
              <f>'_look'!$DL$42:$DL$43</f>
            </numRef>
          </yVal>
          <smooth val="0"/>
        </ser>
        <ser>
          <idx val="26"/>
          <order val="26"/>
          <spPr>
            <a:ln w="19050">
              <a:solidFill>
                <a:srgbClr val="CC0000"/>
              </a:solidFill>
              <a:prstDash val="dash"/>
            </a:ln>
          </spPr>
          <marker>
            <symbol val="none"/>
            <spPr>
              <a:ln>
                <a:prstDash val="solid"/>
              </a:ln>
            </spPr>
          </marker>
          <xVal>
            <numRef>
              <f>'_look'!$DK$44:$DK$45</f>
            </numRef>
          </xVal>
          <yVal>
            <numRef>
              <f>'_look'!$DL$44:$DL$45</f>
            </numRef>
          </yVal>
          <smooth val="0"/>
        </ser>
        <ser>
          <idx val="27"/>
          <order val="27"/>
          <spPr>
            <a:ln w="19050">
              <a:solidFill>
                <a:srgbClr val="CC0000"/>
              </a:solidFill>
              <a:prstDash val="dash"/>
            </a:ln>
          </spPr>
          <marker>
            <symbol val="none"/>
            <spPr>
              <a:ln>
                <a:prstDash val="solid"/>
              </a:ln>
            </spPr>
          </marker>
          <xVal>
            <numRef>
              <f>'_look'!$DK$46:$DK$47</f>
            </numRef>
          </xVal>
          <yVal>
            <numRef>
              <f>'_look'!$DL$46:$DL$47</f>
            </numRef>
          </yVal>
          <smooth val="0"/>
        </ser>
        <ser>
          <idx val="28"/>
          <order val="28"/>
          <spPr>
            <a:ln w="19050">
              <a:solidFill>
                <a:srgbClr val="CC0000"/>
              </a:solidFill>
              <a:prstDash val="dash"/>
            </a:ln>
          </spPr>
          <marker>
            <symbol val="none"/>
            <spPr>
              <a:ln>
                <a:prstDash val="solid"/>
              </a:ln>
            </spPr>
          </marker>
          <xVal>
            <numRef>
              <f>'_look'!$DK$48:$DK$49</f>
            </numRef>
          </xVal>
          <yVal>
            <numRef>
              <f>'_look'!$DL$48:$DL$49</f>
            </numRef>
          </yVal>
          <smooth val="0"/>
        </ser>
        <ser>
          <idx val="29"/>
          <order val="29"/>
          <spPr>
            <a:ln w="19050">
              <a:solidFill>
                <a:srgbClr val="CC0000"/>
              </a:solidFill>
              <a:prstDash val="dash"/>
            </a:ln>
          </spPr>
          <marker>
            <symbol val="none"/>
            <spPr>
              <a:ln>
                <a:prstDash val="solid"/>
              </a:ln>
            </spPr>
          </marker>
          <xVal>
            <numRef>
              <f>'_look'!$DK$50:$DK$51</f>
            </numRef>
          </xVal>
          <yVal>
            <numRef>
              <f>'_look'!$DL$50:$DL$51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0.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'_look'!$DV$4:$DV$123</f>
            </numRef>
          </cat>
          <val>
            <numRef>
              <f>'_look'!$DW$4:$DW$123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'_look'!$DX$52:$DX$53</f>
            </numRef>
          </xVal>
          <yVal>
            <numRef>
              <f>'_look'!$DY$52:$DY$53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'_look'!$DX$54:$DX$55</f>
            </numRef>
          </xVal>
          <yVal>
            <numRef>
              <f>'_look'!$DY$54:$DY$55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'_look'!$DX$56:$DX$57</f>
            </numRef>
          </xVal>
          <yVal>
            <numRef>
              <f>'_look'!$DY$56:$DY$57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'_look'!$DX$58:$DX$59</f>
            </numRef>
          </xVal>
          <yVal>
            <numRef>
              <f>'_look'!$DY$58:$DY$59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'_look'!$DX$60:$DX$61</f>
            </numRef>
          </xVal>
          <yVal>
            <numRef>
              <f>'_look'!$DY$60:$DY$61</f>
            </numRef>
          </yVal>
          <smooth val="0"/>
        </ser>
        <ser>
          <idx val="6"/>
          <order val="6"/>
          <spPr>
            <a:ln w="19050">
              <a:solidFill>
                <a:srgbClr val="CC0000"/>
              </a:solidFill>
              <a:prstDash val="dash"/>
            </a:ln>
          </spPr>
          <marker>
            <symbol val="none"/>
            <spPr>
              <a:ln>
                <a:prstDash val="solid"/>
              </a:ln>
            </spPr>
          </marker>
          <xVal>
            <numRef>
              <f>'_look'!$DX$4:$DX$5</f>
            </numRef>
          </xVal>
          <yVal>
            <numRef>
              <f>'_look'!$DY$4:$DY$5</f>
            </numRef>
          </yVal>
          <smooth val="0"/>
        </ser>
        <ser>
          <idx val="7"/>
          <order val="7"/>
          <spPr>
            <a:ln w="19050">
              <a:solidFill>
                <a:srgbClr val="CC0000"/>
              </a:solidFill>
              <a:prstDash val="dash"/>
            </a:ln>
          </spPr>
          <marker>
            <symbol val="none"/>
            <spPr>
              <a:ln>
                <a:prstDash val="solid"/>
              </a:ln>
            </spPr>
          </marker>
          <xVal>
            <numRef>
              <f>'_look'!$DX$6:$DX$7</f>
            </numRef>
          </xVal>
          <yVal>
            <numRef>
              <f>'_look'!$DY$6:$DY$7</f>
            </numRef>
          </yVal>
          <smooth val="0"/>
        </ser>
        <ser>
          <idx val="8"/>
          <order val="8"/>
          <spPr>
            <a:ln w="19050">
              <a:solidFill>
                <a:srgbClr val="CC0000"/>
              </a:solidFill>
              <a:prstDash val="dash"/>
            </a:ln>
          </spPr>
          <marker>
            <symbol val="none"/>
            <spPr>
              <a:ln>
                <a:prstDash val="solid"/>
              </a:ln>
            </spPr>
          </marker>
          <xVal>
            <numRef>
              <f>'_look'!$DX$8:$DX$9</f>
            </numRef>
          </xVal>
          <yVal>
            <numRef>
              <f>'_look'!$DY$8:$DY$9</f>
            </numRef>
          </yVal>
          <smooth val="0"/>
        </ser>
        <ser>
          <idx val="9"/>
          <order val="9"/>
          <spPr>
            <a:ln w="19050">
              <a:solidFill>
                <a:srgbClr val="CC0000"/>
              </a:solidFill>
              <a:prstDash val="dash"/>
            </a:ln>
          </spPr>
          <marker>
            <symbol val="none"/>
            <spPr>
              <a:ln>
                <a:prstDash val="solid"/>
              </a:ln>
            </spPr>
          </marker>
          <xVal>
            <numRef>
              <f>'_look'!$DX$10:$DX$11</f>
            </numRef>
          </xVal>
          <yVal>
            <numRef>
              <f>'_look'!$DY$10:$DY$11</f>
            </numRef>
          </yVal>
          <smooth val="0"/>
        </ser>
        <ser>
          <idx val="10"/>
          <order val="10"/>
          <spPr>
            <a:ln w="19050">
              <a:solidFill>
                <a:srgbClr val="CC0000"/>
              </a:solidFill>
              <a:prstDash val="dash"/>
            </a:ln>
          </spPr>
          <marker>
            <symbol val="none"/>
            <spPr>
              <a:ln>
                <a:prstDash val="solid"/>
              </a:ln>
            </spPr>
          </marker>
          <xVal>
            <numRef>
              <f>'_look'!$DX$12:$DX$13</f>
            </numRef>
          </xVal>
          <yVal>
            <numRef>
              <f>'_look'!$DY$12:$DY$13</f>
            </numRef>
          </yVal>
          <smooth val="0"/>
        </ser>
        <ser>
          <idx val="11"/>
          <order val="11"/>
          <spPr>
            <a:ln w="19050">
              <a:solidFill>
                <a:srgbClr val="CC0000"/>
              </a:solidFill>
              <a:prstDash val="dash"/>
            </a:ln>
          </spPr>
          <marker>
            <symbol val="none"/>
            <spPr>
              <a:ln>
                <a:prstDash val="solid"/>
              </a:ln>
            </spPr>
          </marker>
          <xVal>
            <numRef>
              <f>'_look'!$DX$14:$DX$15</f>
            </numRef>
          </xVal>
          <yVal>
            <numRef>
              <f>'_look'!$DY$14:$DY$15</f>
            </numRef>
          </yVal>
          <smooth val="0"/>
        </ser>
        <ser>
          <idx val="12"/>
          <order val="12"/>
          <spPr>
            <a:ln w="19050">
              <a:solidFill>
                <a:srgbClr val="CC0000"/>
              </a:solidFill>
              <a:prstDash val="dash"/>
            </a:ln>
          </spPr>
          <marker>
            <symbol val="none"/>
            <spPr>
              <a:ln>
                <a:prstDash val="solid"/>
              </a:ln>
            </spPr>
          </marker>
          <xVal>
            <numRef>
              <f>'_look'!$DX$16:$DX$17</f>
            </numRef>
          </xVal>
          <yVal>
            <numRef>
              <f>'_look'!$DY$16:$DY$17</f>
            </numRef>
          </yVal>
          <smooth val="0"/>
        </ser>
        <ser>
          <idx val="13"/>
          <order val="13"/>
          <spPr>
            <a:ln w="19050">
              <a:solidFill>
                <a:srgbClr val="CC0000"/>
              </a:solidFill>
              <a:prstDash val="dash"/>
            </a:ln>
          </spPr>
          <marker>
            <symbol val="none"/>
            <spPr>
              <a:ln>
                <a:prstDash val="solid"/>
              </a:ln>
            </spPr>
          </marker>
          <xVal>
            <numRef>
              <f>'_look'!$DX$18:$DX$19</f>
            </numRef>
          </xVal>
          <yVal>
            <numRef>
              <f>'_look'!$DY$18:$DY$19</f>
            </numRef>
          </yVal>
          <smooth val="0"/>
        </ser>
        <ser>
          <idx val="14"/>
          <order val="14"/>
          <spPr>
            <a:ln w="19050">
              <a:solidFill>
                <a:srgbClr val="CC0000"/>
              </a:solidFill>
              <a:prstDash val="dash"/>
            </a:ln>
          </spPr>
          <marker>
            <symbol val="none"/>
            <spPr>
              <a:ln>
                <a:prstDash val="solid"/>
              </a:ln>
            </spPr>
          </marker>
          <xVal>
            <numRef>
              <f>'_look'!$DX$20:$DX$21</f>
            </numRef>
          </xVal>
          <yVal>
            <numRef>
              <f>'_look'!$DY$20:$DY$21</f>
            </numRef>
          </yVal>
          <smooth val="0"/>
        </ser>
        <ser>
          <idx val="15"/>
          <order val="15"/>
          <spPr>
            <a:ln w="19050">
              <a:solidFill>
                <a:srgbClr val="CC0000"/>
              </a:solidFill>
              <a:prstDash val="dash"/>
            </a:ln>
          </spPr>
          <marker>
            <symbol val="none"/>
            <spPr>
              <a:ln>
                <a:prstDash val="solid"/>
              </a:ln>
            </spPr>
          </marker>
          <xVal>
            <numRef>
              <f>'_look'!$DX$22:$DX$23</f>
            </numRef>
          </xVal>
          <yVal>
            <numRef>
              <f>'_look'!$DY$22:$DY$23</f>
            </numRef>
          </yVal>
          <smooth val="0"/>
        </ser>
        <ser>
          <idx val="16"/>
          <order val="16"/>
          <spPr>
            <a:ln w="19050">
              <a:solidFill>
                <a:srgbClr val="CC0000"/>
              </a:solidFill>
              <a:prstDash val="dash"/>
            </a:ln>
          </spPr>
          <marker>
            <symbol val="none"/>
            <spPr>
              <a:ln>
                <a:prstDash val="solid"/>
              </a:ln>
            </spPr>
          </marker>
          <xVal>
            <numRef>
              <f>'_look'!$DX$24:$DX$25</f>
            </numRef>
          </xVal>
          <yVal>
            <numRef>
              <f>'_look'!$DY$24:$DY$25</f>
            </numRef>
          </yVal>
          <smooth val="0"/>
        </ser>
        <ser>
          <idx val="17"/>
          <order val="17"/>
          <spPr>
            <a:ln w="19050">
              <a:solidFill>
                <a:srgbClr val="CC0000"/>
              </a:solidFill>
              <a:prstDash val="dash"/>
            </a:ln>
          </spPr>
          <marker>
            <symbol val="none"/>
            <spPr>
              <a:ln>
                <a:prstDash val="solid"/>
              </a:ln>
            </spPr>
          </marker>
          <xVal>
            <numRef>
              <f>'_look'!$DX$26:$DX$27</f>
            </numRef>
          </xVal>
          <yVal>
            <numRef>
              <f>'_look'!$DY$26:$DY$27</f>
            </numRef>
          </yVal>
          <smooth val="0"/>
        </ser>
        <ser>
          <idx val="18"/>
          <order val="18"/>
          <spPr>
            <a:ln w="19050">
              <a:solidFill>
                <a:srgbClr val="CC0000"/>
              </a:solidFill>
              <a:prstDash val="dash"/>
            </a:ln>
          </spPr>
          <marker>
            <symbol val="none"/>
            <spPr>
              <a:ln>
                <a:prstDash val="solid"/>
              </a:ln>
            </spPr>
          </marker>
          <xVal>
            <numRef>
              <f>'_look'!$DX$28:$DX$29</f>
            </numRef>
          </xVal>
          <yVal>
            <numRef>
              <f>'_look'!$DY$28:$DY$29</f>
            </numRef>
          </yVal>
          <smooth val="0"/>
        </ser>
        <ser>
          <idx val="19"/>
          <order val="19"/>
          <spPr>
            <a:ln w="19050">
              <a:solidFill>
                <a:srgbClr val="CC0000"/>
              </a:solidFill>
              <a:prstDash val="dash"/>
            </a:ln>
          </spPr>
          <marker>
            <symbol val="none"/>
            <spPr>
              <a:ln>
                <a:prstDash val="solid"/>
              </a:ln>
            </spPr>
          </marker>
          <xVal>
            <numRef>
              <f>'_look'!$DX$30:$DX$31</f>
            </numRef>
          </xVal>
          <yVal>
            <numRef>
              <f>'_look'!$DY$30:$DY$31</f>
            </numRef>
          </yVal>
          <smooth val="0"/>
        </ser>
        <ser>
          <idx val="20"/>
          <order val="20"/>
          <spPr>
            <a:ln w="19050">
              <a:solidFill>
                <a:srgbClr val="CC0000"/>
              </a:solidFill>
              <a:prstDash val="dash"/>
            </a:ln>
          </spPr>
          <marker>
            <symbol val="none"/>
            <spPr>
              <a:ln>
                <a:prstDash val="solid"/>
              </a:ln>
            </spPr>
          </marker>
          <xVal>
            <numRef>
              <f>'_look'!$DX$32:$DX$33</f>
            </numRef>
          </xVal>
          <yVal>
            <numRef>
              <f>'_look'!$DY$32:$DY$33</f>
            </numRef>
          </yVal>
          <smooth val="0"/>
        </ser>
        <ser>
          <idx val="21"/>
          <order val="21"/>
          <spPr>
            <a:ln w="19050">
              <a:solidFill>
                <a:srgbClr val="CC0000"/>
              </a:solidFill>
              <a:prstDash val="dash"/>
            </a:ln>
          </spPr>
          <marker>
            <symbol val="none"/>
            <spPr>
              <a:ln>
                <a:prstDash val="solid"/>
              </a:ln>
            </spPr>
          </marker>
          <xVal>
            <numRef>
              <f>'_look'!$DX$34:$DX$35</f>
            </numRef>
          </xVal>
          <yVal>
            <numRef>
              <f>'_look'!$DY$34:$DY$35</f>
            </numRef>
          </yVal>
          <smooth val="0"/>
        </ser>
        <ser>
          <idx val="22"/>
          <order val="22"/>
          <spPr>
            <a:ln w="19050">
              <a:solidFill>
                <a:srgbClr val="CC0000"/>
              </a:solidFill>
              <a:prstDash val="dash"/>
            </a:ln>
          </spPr>
          <marker>
            <symbol val="none"/>
            <spPr>
              <a:ln>
                <a:prstDash val="solid"/>
              </a:ln>
            </spPr>
          </marker>
          <xVal>
            <numRef>
              <f>'_look'!$DX$36:$DX$37</f>
            </numRef>
          </xVal>
          <yVal>
            <numRef>
              <f>'_look'!$DY$36:$DY$37</f>
            </numRef>
          </yVal>
          <smooth val="0"/>
        </ser>
        <ser>
          <idx val="23"/>
          <order val="23"/>
          <spPr>
            <a:ln w="19050">
              <a:solidFill>
                <a:srgbClr val="CC0000"/>
              </a:solidFill>
              <a:prstDash val="dash"/>
            </a:ln>
          </spPr>
          <marker>
            <symbol val="none"/>
            <spPr>
              <a:ln>
                <a:prstDash val="solid"/>
              </a:ln>
            </spPr>
          </marker>
          <xVal>
            <numRef>
              <f>'_look'!$DX$38:$DX$39</f>
            </numRef>
          </xVal>
          <yVal>
            <numRef>
              <f>'_look'!$DY$38:$DY$39</f>
            </numRef>
          </yVal>
          <smooth val="0"/>
        </ser>
        <ser>
          <idx val="24"/>
          <order val="24"/>
          <spPr>
            <a:ln w="19050">
              <a:solidFill>
                <a:srgbClr val="CC0000"/>
              </a:solidFill>
              <a:prstDash val="dash"/>
            </a:ln>
          </spPr>
          <marker>
            <symbol val="none"/>
            <spPr>
              <a:ln>
                <a:prstDash val="solid"/>
              </a:ln>
            </spPr>
          </marker>
          <xVal>
            <numRef>
              <f>'_look'!$DX$40:$DX$41</f>
            </numRef>
          </xVal>
          <yVal>
            <numRef>
              <f>'_look'!$DY$40:$DY$41</f>
            </numRef>
          </yVal>
          <smooth val="0"/>
        </ser>
        <ser>
          <idx val="25"/>
          <order val="25"/>
          <spPr>
            <a:ln w="19050">
              <a:solidFill>
                <a:srgbClr val="CC0000"/>
              </a:solidFill>
              <a:prstDash val="dash"/>
            </a:ln>
          </spPr>
          <marker>
            <symbol val="none"/>
            <spPr>
              <a:ln>
                <a:prstDash val="solid"/>
              </a:ln>
            </spPr>
          </marker>
          <xVal>
            <numRef>
              <f>'_look'!$DX$42:$DX$43</f>
            </numRef>
          </xVal>
          <yVal>
            <numRef>
              <f>'_look'!$DY$42:$DY$43</f>
            </numRef>
          </yVal>
          <smooth val="0"/>
        </ser>
        <ser>
          <idx val="26"/>
          <order val="26"/>
          <spPr>
            <a:ln w="19050">
              <a:solidFill>
                <a:srgbClr val="CC0000"/>
              </a:solidFill>
              <a:prstDash val="dash"/>
            </a:ln>
          </spPr>
          <marker>
            <symbol val="none"/>
            <spPr>
              <a:ln>
                <a:prstDash val="solid"/>
              </a:ln>
            </spPr>
          </marker>
          <xVal>
            <numRef>
              <f>'_look'!$DX$44:$DX$45</f>
            </numRef>
          </xVal>
          <yVal>
            <numRef>
              <f>'_look'!$DY$44:$DY$45</f>
            </numRef>
          </yVal>
          <smooth val="0"/>
        </ser>
        <ser>
          <idx val="27"/>
          <order val="27"/>
          <spPr>
            <a:ln w="19050">
              <a:solidFill>
                <a:srgbClr val="CC0000"/>
              </a:solidFill>
              <a:prstDash val="dash"/>
            </a:ln>
          </spPr>
          <marker>
            <symbol val="none"/>
            <spPr>
              <a:ln>
                <a:prstDash val="solid"/>
              </a:ln>
            </spPr>
          </marker>
          <xVal>
            <numRef>
              <f>'_look'!$DX$46:$DX$47</f>
            </numRef>
          </xVal>
          <yVal>
            <numRef>
              <f>'_look'!$DY$46:$DY$47</f>
            </numRef>
          </yVal>
          <smooth val="0"/>
        </ser>
        <ser>
          <idx val="28"/>
          <order val="28"/>
          <spPr>
            <a:ln w="19050">
              <a:solidFill>
                <a:srgbClr val="CC0000"/>
              </a:solidFill>
              <a:prstDash val="dash"/>
            </a:ln>
          </spPr>
          <marker>
            <symbol val="none"/>
            <spPr>
              <a:ln>
                <a:prstDash val="solid"/>
              </a:ln>
            </spPr>
          </marker>
          <xVal>
            <numRef>
              <f>'_look'!$DX$48:$DX$49</f>
            </numRef>
          </xVal>
          <yVal>
            <numRef>
              <f>'_look'!$DY$48:$DY$49</f>
            </numRef>
          </yVal>
          <smooth val="0"/>
        </ser>
        <ser>
          <idx val="29"/>
          <order val="29"/>
          <spPr>
            <a:ln w="19050">
              <a:solidFill>
                <a:srgbClr val="CC0000"/>
              </a:solidFill>
              <a:prstDash val="dash"/>
            </a:ln>
          </spPr>
          <marker>
            <symbol val="none"/>
            <spPr>
              <a:ln>
                <a:prstDash val="solid"/>
              </a:ln>
            </spPr>
          </marker>
          <xVal>
            <numRef>
              <f>'_look'!$DX$50:$DX$51</f>
            </numRef>
          </xVal>
          <yVal>
            <numRef>
              <f>'_look'!$DY$50:$DY$51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'_look'!$EI$4:$EI$123</f>
            </numRef>
          </cat>
          <val>
            <numRef>
              <f>'_look'!$EJ$4:$EJ$123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'_look'!$EK$52:$EK$53</f>
            </numRef>
          </xVal>
          <yVal>
            <numRef>
              <f>'_look'!$EL$52:$EL$53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'_look'!$EK$54:$EK$55</f>
            </numRef>
          </xVal>
          <yVal>
            <numRef>
              <f>'_look'!$EL$54:$EL$55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'_look'!$EK$56:$EK$57</f>
            </numRef>
          </xVal>
          <yVal>
            <numRef>
              <f>'_look'!$EL$56:$EL$57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'_look'!$EK$58:$EK$59</f>
            </numRef>
          </xVal>
          <yVal>
            <numRef>
              <f>'_look'!$EL$58:$EL$59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'_look'!$EK$60:$EK$61</f>
            </numRef>
          </xVal>
          <yVal>
            <numRef>
              <f>'_look'!$EL$60:$EL$61</f>
            </numRef>
          </yVal>
          <smooth val="0"/>
        </ser>
        <ser>
          <idx val="6"/>
          <order val="6"/>
          <spPr>
            <a:ln w="19050">
              <a:solidFill>
                <a:srgbClr val="CC0000"/>
              </a:solidFill>
              <a:prstDash val="dash"/>
            </a:ln>
          </spPr>
          <marker>
            <symbol val="none"/>
            <spPr>
              <a:ln>
                <a:prstDash val="solid"/>
              </a:ln>
            </spPr>
          </marker>
          <xVal>
            <numRef>
              <f>'_look'!$EK$4:$EK$5</f>
            </numRef>
          </xVal>
          <yVal>
            <numRef>
              <f>'_look'!$EL$4:$EL$5</f>
            </numRef>
          </yVal>
          <smooth val="0"/>
        </ser>
        <ser>
          <idx val="7"/>
          <order val="7"/>
          <spPr>
            <a:ln w="19050">
              <a:solidFill>
                <a:srgbClr val="CC0000"/>
              </a:solidFill>
              <a:prstDash val="dash"/>
            </a:ln>
          </spPr>
          <marker>
            <symbol val="none"/>
            <spPr>
              <a:ln>
                <a:prstDash val="solid"/>
              </a:ln>
            </spPr>
          </marker>
          <xVal>
            <numRef>
              <f>'_look'!$EK$6:$EK$7</f>
            </numRef>
          </xVal>
          <yVal>
            <numRef>
              <f>'_look'!$EL$6:$EL$7</f>
            </numRef>
          </yVal>
          <smooth val="0"/>
        </ser>
        <ser>
          <idx val="8"/>
          <order val="8"/>
          <spPr>
            <a:ln w="19050">
              <a:solidFill>
                <a:srgbClr val="CC0000"/>
              </a:solidFill>
              <a:prstDash val="dash"/>
            </a:ln>
          </spPr>
          <marker>
            <symbol val="none"/>
            <spPr>
              <a:ln>
                <a:prstDash val="solid"/>
              </a:ln>
            </spPr>
          </marker>
          <xVal>
            <numRef>
              <f>'_look'!$EK$8:$EK$9</f>
            </numRef>
          </xVal>
          <yVal>
            <numRef>
              <f>'_look'!$EL$8:$EL$9</f>
            </numRef>
          </yVal>
          <smooth val="0"/>
        </ser>
        <ser>
          <idx val="9"/>
          <order val="9"/>
          <spPr>
            <a:ln w="19050">
              <a:solidFill>
                <a:srgbClr val="CC0000"/>
              </a:solidFill>
              <a:prstDash val="dash"/>
            </a:ln>
          </spPr>
          <marker>
            <symbol val="none"/>
            <spPr>
              <a:ln>
                <a:prstDash val="solid"/>
              </a:ln>
            </spPr>
          </marker>
          <xVal>
            <numRef>
              <f>'_look'!$EK$10:$EK$11</f>
            </numRef>
          </xVal>
          <yVal>
            <numRef>
              <f>'_look'!$EL$10:$EL$11</f>
            </numRef>
          </yVal>
          <smooth val="0"/>
        </ser>
        <ser>
          <idx val="10"/>
          <order val="10"/>
          <spPr>
            <a:ln w="19050">
              <a:solidFill>
                <a:srgbClr val="CC0000"/>
              </a:solidFill>
              <a:prstDash val="dash"/>
            </a:ln>
          </spPr>
          <marker>
            <symbol val="none"/>
            <spPr>
              <a:ln>
                <a:prstDash val="solid"/>
              </a:ln>
            </spPr>
          </marker>
          <xVal>
            <numRef>
              <f>'_look'!$EK$12:$EK$13</f>
            </numRef>
          </xVal>
          <yVal>
            <numRef>
              <f>'_look'!$EL$12:$EL$13</f>
            </numRef>
          </yVal>
          <smooth val="0"/>
        </ser>
        <ser>
          <idx val="11"/>
          <order val="11"/>
          <spPr>
            <a:ln w="19050">
              <a:solidFill>
                <a:srgbClr val="CC0000"/>
              </a:solidFill>
              <a:prstDash val="dash"/>
            </a:ln>
          </spPr>
          <marker>
            <symbol val="none"/>
            <spPr>
              <a:ln>
                <a:prstDash val="solid"/>
              </a:ln>
            </spPr>
          </marker>
          <xVal>
            <numRef>
              <f>'_look'!$EK$14:$EK$15</f>
            </numRef>
          </xVal>
          <yVal>
            <numRef>
              <f>'_look'!$EL$14:$EL$15</f>
            </numRef>
          </yVal>
          <smooth val="0"/>
        </ser>
        <ser>
          <idx val="12"/>
          <order val="12"/>
          <spPr>
            <a:ln w="19050">
              <a:solidFill>
                <a:srgbClr val="CC0000"/>
              </a:solidFill>
              <a:prstDash val="dash"/>
            </a:ln>
          </spPr>
          <marker>
            <symbol val="none"/>
            <spPr>
              <a:ln>
                <a:prstDash val="solid"/>
              </a:ln>
            </spPr>
          </marker>
          <xVal>
            <numRef>
              <f>'_look'!$EK$16:$EK$17</f>
            </numRef>
          </xVal>
          <yVal>
            <numRef>
              <f>'_look'!$EL$16:$EL$17</f>
            </numRef>
          </yVal>
          <smooth val="0"/>
        </ser>
        <ser>
          <idx val="13"/>
          <order val="13"/>
          <spPr>
            <a:ln w="19050">
              <a:solidFill>
                <a:srgbClr val="CC0000"/>
              </a:solidFill>
              <a:prstDash val="dash"/>
            </a:ln>
          </spPr>
          <marker>
            <symbol val="none"/>
            <spPr>
              <a:ln>
                <a:prstDash val="solid"/>
              </a:ln>
            </spPr>
          </marker>
          <xVal>
            <numRef>
              <f>'_look'!$EK$18:$EK$19</f>
            </numRef>
          </xVal>
          <yVal>
            <numRef>
              <f>'_look'!$EL$18:$EL$19</f>
            </numRef>
          </yVal>
          <smooth val="0"/>
        </ser>
        <ser>
          <idx val="14"/>
          <order val="14"/>
          <spPr>
            <a:ln w="19050">
              <a:solidFill>
                <a:srgbClr val="CC0000"/>
              </a:solidFill>
              <a:prstDash val="dash"/>
            </a:ln>
          </spPr>
          <marker>
            <symbol val="none"/>
            <spPr>
              <a:ln>
                <a:prstDash val="solid"/>
              </a:ln>
            </spPr>
          </marker>
          <xVal>
            <numRef>
              <f>'_look'!$EK$20:$EK$21</f>
            </numRef>
          </xVal>
          <yVal>
            <numRef>
              <f>'_look'!$EL$20:$EL$21</f>
            </numRef>
          </yVal>
          <smooth val="0"/>
        </ser>
        <ser>
          <idx val="15"/>
          <order val="15"/>
          <spPr>
            <a:ln w="19050">
              <a:solidFill>
                <a:srgbClr val="CC0000"/>
              </a:solidFill>
              <a:prstDash val="dash"/>
            </a:ln>
          </spPr>
          <marker>
            <symbol val="none"/>
            <spPr>
              <a:ln>
                <a:prstDash val="solid"/>
              </a:ln>
            </spPr>
          </marker>
          <xVal>
            <numRef>
              <f>'_look'!$EK$22:$EK$23</f>
            </numRef>
          </xVal>
          <yVal>
            <numRef>
              <f>'_look'!$EL$22:$EL$23</f>
            </numRef>
          </yVal>
          <smooth val="0"/>
        </ser>
        <ser>
          <idx val="16"/>
          <order val="16"/>
          <spPr>
            <a:ln w="19050">
              <a:solidFill>
                <a:srgbClr val="CC0000"/>
              </a:solidFill>
              <a:prstDash val="dash"/>
            </a:ln>
          </spPr>
          <marker>
            <symbol val="none"/>
            <spPr>
              <a:ln>
                <a:prstDash val="solid"/>
              </a:ln>
            </spPr>
          </marker>
          <xVal>
            <numRef>
              <f>'_look'!$EK$24:$EK$25</f>
            </numRef>
          </xVal>
          <yVal>
            <numRef>
              <f>'_look'!$EL$24:$EL$25</f>
            </numRef>
          </yVal>
          <smooth val="0"/>
        </ser>
        <ser>
          <idx val="17"/>
          <order val="17"/>
          <spPr>
            <a:ln w="19050">
              <a:solidFill>
                <a:srgbClr val="CC0000"/>
              </a:solidFill>
              <a:prstDash val="dash"/>
            </a:ln>
          </spPr>
          <marker>
            <symbol val="none"/>
            <spPr>
              <a:ln>
                <a:prstDash val="solid"/>
              </a:ln>
            </spPr>
          </marker>
          <xVal>
            <numRef>
              <f>'_look'!$EK$26:$EK$27</f>
            </numRef>
          </xVal>
          <yVal>
            <numRef>
              <f>'_look'!$EL$26:$EL$27</f>
            </numRef>
          </yVal>
          <smooth val="0"/>
        </ser>
        <ser>
          <idx val="18"/>
          <order val="18"/>
          <spPr>
            <a:ln w="19050">
              <a:solidFill>
                <a:srgbClr val="CC0000"/>
              </a:solidFill>
              <a:prstDash val="dash"/>
            </a:ln>
          </spPr>
          <marker>
            <symbol val="none"/>
            <spPr>
              <a:ln>
                <a:prstDash val="solid"/>
              </a:ln>
            </spPr>
          </marker>
          <xVal>
            <numRef>
              <f>'_look'!$EK$28:$EK$29</f>
            </numRef>
          </xVal>
          <yVal>
            <numRef>
              <f>'_look'!$EL$28:$EL$29</f>
            </numRef>
          </yVal>
          <smooth val="0"/>
        </ser>
        <ser>
          <idx val="19"/>
          <order val="19"/>
          <spPr>
            <a:ln w="19050">
              <a:solidFill>
                <a:srgbClr val="CC0000"/>
              </a:solidFill>
              <a:prstDash val="dash"/>
            </a:ln>
          </spPr>
          <marker>
            <symbol val="none"/>
            <spPr>
              <a:ln>
                <a:prstDash val="solid"/>
              </a:ln>
            </spPr>
          </marker>
          <xVal>
            <numRef>
              <f>'_look'!$EK$30:$EK$31</f>
            </numRef>
          </xVal>
          <yVal>
            <numRef>
              <f>'_look'!$EL$30:$EL$31</f>
            </numRef>
          </yVal>
          <smooth val="0"/>
        </ser>
        <ser>
          <idx val="20"/>
          <order val="20"/>
          <spPr>
            <a:ln w="19050">
              <a:solidFill>
                <a:srgbClr val="CC0000"/>
              </a:solidFill>
              <a:prstDash val="dash"/>
            </a:ln>
          </spPr>
          <marker>
            <symbol val="none"/>
            <spPr>
              <a:ln>
                <a:prstDash val="solid"/>
              </a:ln>
            </spPr>
          </marker>
          <xVal>
            <numRef>
              <f>'_look'!$EK$32:$EK$33</f>
            </numRef>
          </xVal>
          <yVal>
            <numRef>
              <f>'_look'!$EL$32:$EL$33</f>
            </numRef>
          </yVal>
          <smooth val="0"/>
        </ser>
        <ser>
          <idx val="21"/>
          <order val="21"/>
          <spPr>
            <a:ln w="19050">
              <a:solidFill>
                <a:srgbClr val="CC0000"/>
              </a:solidFill>
              <a:prstDash val="dash"/>
            </a:ln>
          </spPr>
          <marker>
            <symbol val="none"/>
            <spPr>
              <a:ln>
                <a:prstDash val="solid"/>
              </a:ln>
            </spPr>
          </marker>
          <xVal>
            <numRef>
              <f>'_look'!$EK$34:$EK$35</f>
            </numRef>
          </xVal>
          <yVal>
            <numRef>
              <f>'_look'!$EL$34:$EL$35</f>
            </numRef>
          </yVal>
          <smooth val="0"/>
        </ser>
        <ser>
          <idx val="22"/>
          <order val="22"/>
          <spPr>
            <a:ln w="19050">
              <a:solidFill>
                <a:srgbClr val="CC0000"/>
              </a:solidFill>
              <a:prstDash val="dash"/>
            </a:ln>
          </spPr>
          <marker>
            <symbol val="none"/>
            <spPr>
              <a:ln>
                <a:prstDash val="solid"/>
              </a:ln>
            </spPr>
          </marker>
          <xVal>
            <numRef>
              <f>'_look'!$EK$36:$EK$37</f>
            </numRef>
          </xVal>
          <yVal>
            <numRef>
              <f>'_look'!$EL$36:$EL$37</f>
            </numRef>
          </yVal>
          <smooth val="0"/>
        </ser>
        <ser>
          <idx val="23"/>
          <order val="23"/>
          <spPr>
            <a:ln w="19050">
              <a:solidFill>
                <a:srgbClr val="CC0000"/>
              </a:solidFill>
              <a:prstDash val="dash"/>
            </a:ln>
          </spPr>
          <marker>
            <symbol val="none"/>
            <spPr>
              <a:ln>
                <a:prstDash val="solid"/>
              </a:ln>
            </spPr>
          </marker>
          <xVal>
            <numRef>
              <f>'_look'!$EK$38:$EK$39</f>
            </numRef>
          </xVal>
          <yVal>
            <numRef>
              <f>'_look'!$EL$38:$EL$39</f>
            </numRef>
          </yVal>
          <smooth val="0"/>
        </ser>
        <ser>
          <idx val="24"/>
          <order val="24"/>
          <spPr>
            <a:ln w="19050">
              <a:solidFill>
                <a:srgbClr val="CC0000"/>
              </a:solidFill>
              <a:prstDash val="dash"/>
            </a:ln>
          </spPr>
          <marker>
            <symbol val="none"/>
            <spPr>
              <a:ln>
                <a:prstDash val="solid"/>
              </a:ln>
            </spPr>
          </marker>
          <xVal>
            <numRef>
              <f>'_look'!$EK$40:$EK$41</f>
            </numRef>
          </xVal>
          <yVal>
            <numRef>
              <f>'_look'!$EL$40:$EL$41</f>
            </numRef>
          </yVal>
          <smooth val="0"/>
        </ser>
        <ser>
          <idx val="25"/>
          <order val="25"/>
          <spPr>
            <a:ln w="19050">
              <a:solidFill>
                <a:srgbClr val="CC0000"/>
              </a:solidFill>
              <a:prstDash val="dash"/>
            </a:ln>
          </spPr>
          <marker>
            <symbol val="none"/>
            <spPr>
              <a:ln>
                <a:prstDash val="solid"/>
              </a:ln>
            </spPr>
          </marker>
          <xVal>
            <numRef>
              <f>'_look'!$EK$42:$EK$43</f>
            </numRef>
          </xVal>
          <yVal>
            <numRef>
              <f>'_look'!$EL$42:$EL$43</f>
            </numRef>
          </yVal>
          <smooth val="0"/>
        </ser>
        <ser>
          <idx val="26"/>
          <order val="26"/>
          <spPr>
            <a:ln w="19050">
              <a:solidFill>
                <a:srgbClr val="CC0000"/>
              </a:solidFill>
              <a:prstDash val="dash"/>
            </a:ln>
          </spPr>
          <marker>
            <symbol val="none"/>
            <spPr>
              <a:ln>
                <a:prstDash val="solid"/>
              </a:ln>
            </spPr>
          </marker>
          <xVal>
            <numRef>
              <f>'_look'!$EK$44:$EK$45</f>
            </numRef>
          </xVal>
          <yVal>
            <numRef>
              <f>'_look'!$EL$44:$EL$45</f>
            </numRef>
          </yVal>
          <smooth val="0"/>
        </ser>
        <ser>
          <idx val="27"/>
          <order val="27"/>
          <spPr>
            <a:ln w="19050">
              <a:solidFill>
                <a:srgbClr val="CC0000"/>
              </a:solidFill>
              <a:prstDash val="dash"/>
            </a:ln>
          </spPr>
          <marker>
            <symbol val="none"/>
            <spPr>
              <a:ln>
                <a:prstDash val="solid"/>
              </a:ln>
            </spPr>
          </marker>
          <xVal>
            <numRef>
              <f>'_look'!$EK$46:$EK$47</f>
            </numRef>
          </xVal>
          <yVal>
            <numRef>
              <f>'_look'!$EL$46:$EL$47</f>
            </numRef>
          </yVal>
          <smooth val="0"/>
        </ser>
        <ser>
          <idx val="28"/>
          <order val="28"/>
          <spPr>
            <a:ln w="19050">
              <a:solidFill>
                <a:srgbClr val="CC0000"/>
              </a:solidFill>
              <a:prstDash val="dash"/>
            </a:ln>
          </spPr>
          <marker>
            <symbol val="none"/>
            <spPr>
              <a:ln>
                <a:prstDash val="solid"/>
              </a:ln>
            </spPr>
          </marker>
          <xVal>
            <numRef>
              <f>'_look'!$EK$48:$EK$49</f>
            </numRef>
          </xVal>
          <yVal>
            <numRef>
              <f>'_look'!$EL$48:$EL$49</f>
            </numRef>
          </yVal>
          <smooth val="0"/>
        </ser>
        <ser>
          <idx val="29"/>
          <order val="29"/>
          <spPr>
            <a:ln w="19050">
              <a:solidFill>
                <a:srgbClr val="CC0000"/>
              </a:solidFill>
              <a:prstDash val="dash"/>
            </a:ln>
          </spPr>
          <marker>
            <symbol val="none"/>
            <spPr>
              <a:ln>
                <a:prstDash val="solid"/>
              </a:ln>
            </spPr>
          </marker>
          <xVal>
            <numRef>
              <f>'_look'!$EK$50:$EK$51</f>
            </numRef>
          </xVal>
          <yVal>
            <numRef>
              <f>'_look'!$EL$50:$EL$51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'_look'!$EV$4:$EV$123</f>
            </numRef>
          </cat>
          <val>
            <numRef>
              <f>'_look'!$EW$4:$EW$123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'_look'!$EX$52:$EX$53</f>
            </numRef>
          </xVal>
          <yVal>
            <numRef>
              <f>'_look'!$EY$52:$EY$53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'_look'!$EX$54:$EX$55</f>
            </numRef>
          </xVal>
          <yVal>
            <numRef>
              <f>'_look'!$EY$54:$EY$55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'_look'!$EX$56:$EX$57</f>
            </numRef>
          </xVal>
          <yVal>
            <numRef>
              <f>'_look'!$EY$56:$EY$57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'_look'!$EX$58:$EX$59</f>
            </numRef>
          </xVal>
          <yVal>
            <numRef>
              <f>'_look'!$EY$58:$EY$59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r>
                    <a:t>None</a:t>
                  </a: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'_look'!$EX$60:$EX$61</f>
            </numRef>
          </xVal>
          <yVal>
            <numRef>
              <f>'_look'!$EY$60:$EY$61</f>
            </numRef>
          </yVal>
          <smooth val="0"/>
        </ser>
        <ser>
          <idx val="6"/>
          <order val="6"/>
          <spPr>
            <a:ln w="19050">
              <a:solidFill>
                <a:srgbClr val="CC0000"/>
              </a:solidFill>
              <a:prstDash val="dash"/>
            </a:ln>
          </spPr>
          <marker>
            <symbol val="none"/>
            <spPr>
              <a:ln>
                <a:prstDash val="solid"/>
              </a:ln>
            </spPr>
          </marker>
          <xVal>
            <numRef>
              <f>'_look'!$EX$4:$EX$5</f>
            </numRef>
          </xVal>
          <yVal>
            <numRef>
              <f>'_look'!$EY$4:$EY$5</f>
            </numRef>
          </yVal>
          <smooth val="0"/>
        </ser>
        <ser>
          <idx val="7"/>
          <order val="7"/>
          <spPr>
            <a:ln w="19050">
              <a:solidFill>
                <a:srgbClr val="CC0000"/>
              </a:solidFill>
              <a:prstDash val="dash"/>
            </a:ln>
          </spPr>
          <marker>
            <symbol val="none"/>
            <spPr>
              <a:ln>
                <a:prstDash val="solid"/>
              </a:ln>
            </spPr>
          </marker>
          <xVal>
            <numRef>
              <f>'_look'!$EX$6:$EX$7</f>
            </numRef>
          </xVal>
          <yVal>
            <numRef>
              <f>'_look'!$EY$6:$EY$7</f>
            </numRef>
          </yVal>
          <smooth val="0"/>
        </ser>
        <ser>
          <idx val="8"/>
          <order val="8"/>
          <spPr>
            <a:ln w="19050">
              <a:solidFill>
                <a:srgbClr val="CC0000"/>
              </a:solidFill>
              <a:prstDash val="dash"/>
            </a:ln>
          </spPr>
          <marker>
            <symbol val="none"/>
            <spPr>
              <a:ln>
                <a:prstDash val="solid"/>
              </a:ln>
            </spPr>
          </marker>
          <xVal>
            <numRef>
              <f>'_look'!$EX$8:$EX$9</f>
            </numRef>
          </xVal>
          <yVal>
            <numRef>
              <f>'_look'!$EY$8:$EY$9</f>
            </numRef>
          </yVal>
          <smooth val="0"/>
        </ser>
        <ser>
          <idx val="9"/>
          <order val="9"/>
          <spPr>
            <a:ln w="19050">
              <a:solidFill>
                <a:srgbClr val="CC0000"/>
              </a:solidFill>
              <a:prstDash val="dash"/>
            </a:ln>
          </spPr>
          <marker>
            <symbol val="none"/>
            <spPr>
              <a:ln>
                <a:prstDash val="solid"/>
              </a:ln>
            </spPr>
          </marker>
          <xVal>
            <numRef>
              <f>'_look'!$EX$10:$EX$11</f>
            </numRef>
          </xVal>
          <yVal>
            <numRef>
              <f>'_look'!$EY$10:$EY$11</f>
            </numRef>
          </yVal>
          <smooth val="0"/>
        </ser>
        <ser>
          <idx val="10"/>
          <order val="10"/>
          <spPr>
            <a:ln w="19050">
              <a:solidFill>
                <a:srgbClr val="CC0000"/>
              </a:solidFill>
              <a:prstDash val="dash"/>
            </a:ln>
          </spPr>
          <marker>
            <symbol val="none"/>
            <spPr>
              <a:ln>
                <a:prstDash val="solid"/>
              </a:ln>
            </spPr>
          </marker>
          <xVal>
            <numRef>
              <f>'_look'!$EX$12:$EX$13</f>
            </numRef>
          </xVal>
          <yVal>
            <numRef>
              <f>'_look'!$EY$12:$EY$13</f>
            </numRef>
          </yVal>
          <smooth val="0"/>
        </ser>
        <ser>
          <idx val="11"/>
          <order val="11"/>
          <spPr>
            <a:ln w="19050">
              <a:solidFill>
                <a:srgbClr val="CC0000"/>
              </a:solidFill>
              <a:prstDash val="dash"/>
            </a:ln>
          </spPr>
          <marker>
            <symbol val="none"/>
            <spPr>
              <a:ln>
                <a:prstDash val="solid"/>
              </a:ln>
            </spPr>
          </marker>
          <xVal>
            <numRef>
              <f>'_look'!$EX$14:$EX$15</f>
            </numRef>
          </xVal>
          <yVal>
            <numRef>
              <f>'_look'!$EY$14:$EY$15</f>
            </numRef>
          </yVal>
          <smooth val="0"/>
        </ser>
        <ser>
          <idx val="12"/>
          <order val="12"/>
          <spPr>
            <a:ln w="19050">
              <a:solidFill>
                <a:srgbClr val="CC0000"/>
              </a:solidFill>
              <a:prstDash val="dash"/>
            </a:ln>
          </spPr>
          <marker>
            <symbol val="none"/>
            <spPr>
              <a:ln>
                <a:prstDash val="solid"/>
              </a:ln>
            </spPr>
          </marker>
          <xVal>
            <numRef>
              <f>'_look'!$EX$16:$EX$17</f>
            </numRef>
          </xVal>
          <yVal>
            <numRef>
              <f>'_look'!$EY$16:$EY$17</f>
            </numRef>
          </yVal>
          <smooth val="0"/>
        </ser>
        <ser>
          <idx val="13"/>
          <order val="13"/>
          <spPr>
            <a:ln w="19050">
              <a:solidFill>
                <a:srgbClr val="CC0000"/>
              </a:solidFill>
              <a:prstDash val="dash"/>
            </a:ln>
          </spPr>
          <marker>
            <symbol val="none"/>
            <spPr>
              <a:ln>
                <a:prstDash val="solid"/>
              </a:ln>
            </spPr>
          </marker>
          <xVal>
            <numRef>
              <f>'_look'!$EX$18:$EX$19</f>
            </numRef>
          </xVal>
          <yVal>
            <numRef>
              <f>'_look'!$EY$18:$EY$19</f>
            </numRef>
          </yVal>
          <smooth val="0"/>
        </ser>
        <ser>
          <idx val="14"/>
          <order val="14"/>
          <spPr>
            <a:ln w="19050">
              <a:solidFill>
                <a:srgbClr val="CC0000"/>
              </a:solidFill>
              <a:prstDash val="dash"/>
            </a:ln>
          </spPr>
          <marker>
            <symbol val="none"/>
            <spPr>
              <a:ln>
                <a:prstDash val="solid"/>
              </a:ln>
            </spPr>
          </marker>
          <xVal>
            <numRef>
              <f>'_look'!$EX$20:$EX$21</f>
            </numRef>
          </xVal>
          <yVal>
            <numRef>
              <f>'_look'!$EY$20:$EY$21</f>
            </numRef>
          </yVal>
          <smooth val="0"/>
        </ser>
        <ser>
          <idx val="15"/>
          <order val="15"/>
          <spPr>
            <a:ln w="19050">
              <a:solidFill>
                <a:srgbClr val="CC0000"/>
              </a:solidFill>
              <a:prstDash val="dash"/>
            </a:ln>
          </spPr>
          <marker>
            <symbol val="none"/>
            <spPr>
              <a:ln>
                <a:prstDash val="solid"/>
              </a:ln>
            </spPr>
          </marker>
          <xVal>
            <numRef>
              <f>'_look'!$EX$22:$EX$23</f>
            </numRef>
          </xVal>
          <yVal>
            <numRef>
              <f>'_look'!$EY$22:$EY$23</f>
            </numRef>
          </yVal>
          <smooth val="0"/>
        </ser>
        <ser>
          <idx val="16"/>
          <order val="16"/>
          <spPr>
            <a:ln w="19050">
              <a:solidFill>
                <a:srgbClr val="CC0000"/>
              </a:solidFill>
              <a:prstDash val="dash"/>
            </a:ln>
          </spPr>
          <marker>
            <symbol val="none"/>
            <spPr>
              <a:ln>
                <a:prstDash val="solid"/>
              </a:ln>
            </spPr>
          </marker>
          <xVal>
            <numRef>
              <f>'_look'!$EX$24:$EX$25</f>
            </numRef>
          </xVal>
          <yVal>
            <numRef>
              <f>'_look'!$EY$24:$EY$25</f>
            </numRef>
          </yVal>
          <smooth val="0"/>
        </ser>
        <ser>
          <idx val="17"/>
          <order val="17"/>
          <spPr>
            <a:ln w="19050">
              <a:solidFill>
                <a:srgbClr val="CC0000"/>
              </a:solidFill>
              <a:prstDash val="dash"/>
            </a:ln>
          </spPr>
          <marker>
            <symbol val="none"/>
            <spPr>
              <a:ln>
                <a:prstDash val="solid"/>
              </a:ln>
            </spPr>
          </marker>
          <xVal>
            <numRef>
              <f>'_look'!$EX$26:$EX$27</f>
            </numRef>
          </xVal>
          <yVal>
            <numRef>
              <f>'_look'!$EY$26:$EY$27</f>
            </numRef>
          </yVal>
          <smooth val="0"/>
        </ser>
        <ser>
          <idx val="18"/>
          <order val="18"/>
          <spPr>
            <a:ln w="19050">
              <a:solidFill>
                <a:srgbClr val="CC0000"/>
              </a:solidFill>
              <a:prstDash val="dash"/>
            </a:ln>
          </spPr>
          <marker>
            <symbol val="none"/>
            <spPr>
              <a:ln>
                <a:prstDash val="solid"/>
              </a:ln>
            </spPr>
          </marker>
          <xVal>
            <numRef>
              <f>'_look'!$EX$28:$EX$29</f>
            </numRef>
          </xVal>
          <yVal>
            <numRef>
              <f>'_look'!$EY$28:$EY$29</f>
            </numRef>
          </yVal>
          <smooth val="0"/>
        </ser>
        <ser>
          <idx val="19"/>
          <order val="19"/>
          <spPr>
            <a:ln w="19050">
              <a:solidFill>
                <a:srgbClr val="CC0000"/>
              </a:solidFill>
              <a:prstDash val="dash"/>
            </a:ln>
          </spPr>
          <marker>
            <symbol val="none"/>
            <spPr>
              <a:ln>
                <a:prstDash val="solid"/>
              </a:ln>
            </spPr>
          </marker>
          <xVal>
            <numRef>
              <f>'_look'!$EX$30:$EX$31</f>
            </numRef>
          </xVal>
          <yVal>
            <numRef>
              <f>'_look'!$EY$30:$EY$31</f>
            </numRef>
          </yVal>
          <smooth val="0"/>
        </ser>
        <ser>
          <idx val="20"/>
          <order val="20"/>
          <spPr>
            <a:ln w="19050">
              <a:solidFill>
                <a:srgbClr val="CC0000"/>
              </a:solidFill>
              <a:prstDash val="dash"/>
            </a:ln>
          </spPr>
          <marker>
            <symbol val="none"/>
            <spPr>
              <a:ln>
                <a:prstDash val="solid"/>
              </a:ln>
            </spPr>
          </marker>
          <xVal>
            <numRef>
              <f>'_look'!$EX$32:$EX$33</f>
            </numRef>
          </xVal>
          <yVal>
            <numRef>
              <f>'_look'!$EY$32:$EY$33</f>
            </numRef>
          </yVal>
          <smooth val="0"/>
        </ser>
        <ser>
          <idx val="21"/>
          <order val="21"/>
          <spPr>
            <a:ln w="19050">
              <a:solidFill>
                <a:srgbClr val="CC0000"/>
              </a:solidFill>
              <a:prstDash val="dash"/>
            </a:ln>
          </spPr>
          <marker>
            <symbol val="none"/>
            <spPr>
              <a:ln>
                <a:prstDash val="solid"/>
              </a:ln>
            </spPr>
          </marker>
          <xVal>
            <numRef>
              <f>'_look'!$EX$34:$EX$35</f>
            </numRef>
          </xVal>
          <yVal>
            <numRef>
              <f>'_look'!$EY$34:$EY$35</f>
            </numRef>
          </yVal>
          <smooth val="0"/>
        </ser>
        <ser>
          <idx val="22"/>
          <order val="22"/>
          <spPr>
            <a:ln w="19050">
              <a:solidFill>
                <a:srgbClr val="CC0000"/>
              </a:solidFill>
              <a:prstDash val="dash"/>
            </a:ln>
          </spPr>
          <marker>
            <symbol val="none"/>
            <spPr>
              <a:ln>
                <a:prstDash val="solid"/>
              </a:ln>
            </spPr>
          </marker>
          <xVal>
            <numRef>
              <f>'_look'!$EX$36:$EX$37</f>
            </numRef>
          </xVal>
          <yVal>
            <numRef>
              <f>'_look'!$EY$36:$EY$37</f>
            </numRef>
          </yVal>
          <smooth val="0"/>
        </ser>
        <ser>
          <idx val="23"/>
          <order val="23"/>
          <spPr>
            <a:ln w="19050">
              <a:solidFill>
                <a:srgbClr val="CC0000"/>
              </a:solidFill>
              <a:prstDash val="dash"/>
            </a:ln>
          </spPr>
          <marker>
            <symbol val="none"/>
            <spPr>
              <a:ln>
                <a:prstDash val="solid"/>
              </a:ln>
            </spPr>
          </marker>
          <xVal>
            <numRef>
              <f>'_look'!$EX$38:$EX$39</f>
            </numRef>
          </xVal>
          <yVal>
            <numRef>
              <f>'_look'!$EY$38:$EY$39</f>
            </numRef>
          </yVal>
          <smooth val="0"/>
        </ser>
        <ser>
          <idx val="24"/>
          <order val="24"/>
          <spPr>
            <a:ln w="19050">
              <a:solidFill>
                <a:srgbClr val="CC0000"/>
              </a:solidFill>
              <a:prstDash val="dash"/>
            </a:ln>
          </spPr>
          <marker>
            <symbol val="none"/>
            <spPr>
              <a:ln>
                <a:prstDash val="solid"/>
              </a:ln>
            </spPr>
          </marker>
          <xVal>
            <numRef>
              <f>'_look'!$EX$40:$EX$41</f>
            </numRef>
          </xVal>
          <yVal>
            <numRef>
              <f>'_look'!$EY$40:$EY$41</f>
            </numRef>
          </yVal>
          <smooth val="0"/>
        </ser>
        <ser>
          <idx val="25"/>
          <order val="25"/>
          <spPr>
            <a:ln w="19050">
              <a:solidFill>
                <a:srgbClr val="CC0000"/>
              </a:solidFill>
              <a:prstDash val="dash"/>
            </a:ln>
          </spPr>
          <marker>
            <symbol val="none"/>
            <spPr>
              <a:ln>
                <a:prstDash val="solid"/>
              </a:ln>
            </spPr>
          </marker>
          <xVal>
            <numRef>
              <f>'_look'!$EX$42:$EX$43</f>
            </numRef>
          </xVal>
          <yVal>
            <numRef>
              <f>'_look'!$EY$42:$EY$43</f>
            </numRef>
          </yVal>
          <smooth val="0"/>
        </ser>
        <ser>
          <idx val="26"/>
          <order val="26"/>
          <spPr>
            <a:ln w="19050">
              <a:solidFill>
                <a:srgbClr val="CC0000"/>
              </a:solidFill>
              <a:prstDash val="dash"/>
            </a:ln>
          </spPr>
          <marker>
            <symbol val="none"/>
            <spPr>
              <a:ln>
                <a:prstDash val="solid"/>
              </a:ln>
            </spPr>
          </marker>
          <xVal>
            <numRef>
              <f>'_look'!$EX$44:$EX$45</f>
            </numRef>
          </xVal>
          <yVal>
            <numRef>
              <f>'_look'!$EY$44:$EY$45</f>
            </numRef>
          </yVal>
          <smooth val="0"/>
        </ser>
        <ser>
          <idx val="27"/>
          <order val="27"/>
          <spPr>
            <a:ln w="19050">
              <a:solidFill>
                <a:srgbClr val="CC0000"/>
              </a:solidFill>
              <a:prstDash val="dash"/>
            </a:ln>
          </spPr>
          <marker>
            <symbol val="none"/>
            <spPr>
              <a:ln>
                <a:prstDash val="solid"/>
              </a:ln>
            </spPr>
          </marker>
          <xVal>
            <numRef>
              <f>'_look'!$EX$46:$EX$47</f>
            </numRef>
          </xVal>
          <yVal>
            <numRef>
              <f>'_look'!$EY$46:$EY$47</f>
            </numRef>
          </yVal>
          <smooth val="0"/>
        </ser>
        <ser>
          <idx val="28"/>
          <order val="28"/>
          <spPr>
            <a:ln w="19050">
              <a:solidFill>
                <a:srgbClr val="CC0000"/>
              </a:solidFill>
              <a:prstDash val="dash"/>
            </a:ln>
          </spPr>
          <marker>
            <symbol val="none"/>
            <spPr>
              <a:ln>
                <a:prstDash val="solid"/>
              </a:ln>
            </spPr>
          </marker>
          <xVal>
            <numRef>
              <f>'_look'!$EX$48:$EX$49</f>
            </numRef>
          </xVal>
          <yVal>
            <numRef>
              <f>'_look'!$EY$48:$EY$49</f>
            </numRef>
          </yVal>
          <smooth val="0"/>
        </ser>
        <ser>
          <idx val="29"/>
          <order val="29"/>
          <spPr>
            <a:ln w="19050">
              <a:solidFill>
                <a:srgbClr val="CC0000"/>
              </a:solidFill>
              <a:prstDash val="dash"/>
            </a:ln>
          </spPr>
          <marker>
            <symbol val="none"/>
            <spPr>
              <a:ln>
                <a:prstDash val="solid"/>
              </a:ln>
            </spPr>
          </marker>
          <xVal>
            <numRef>
              <f>'_look'!$EX$50:$EX$51</f>
            </numRef>
          </xVal>
          <yVal>
            <numRef>
              <f>'_look'!$EY$50:$EY$51</f>
            </numRef>
          </yVal>
          <smooth val="0"/>
        </ser>
        <axId val="500"/>
        <axId val="600"/>
      </scatterChart>
      <catAx>
        <axId val="10"/>
        <scaling>
          <orientation val="minMax"/>
        </scaling>
        <delete val="0"/>
        <axPos val="l"/>
        <majorTickMark val="none"/>
        <minorTickMark val="none"/>
        <txPr>
          <a:bodyPr rot="0" vert="horz"/>
          <a:p>
            <a:pPr>
              <a:defRPr sz="900">
                <a:solidFill>
                  <a:srgbClr val="16130F"/>
                </a:solidFill>
              </a:defRPr>
            </a:pPr>
            <a:r>
              <a:t>None</a:t>
            </a: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3.xml><?xml version="1.0" encoding="utf-8"?>
<chartSpace xmlns:a="http://schemas.openxmlformats.org/drawingml/2006/main" xmlns="http://schemas.openxmlformats.org/drawingml/2006/chart">
  <style val="13"/>
  <chart>
    <title>
      <tx>
        <rich>
          <a:bodyPr/>
          <a:p>
            <a:pPr>
              <a:defRPr/>
            </a:pPr>
            <a:r>
              <a:t>UTIL: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'Scouting'!$B$60:$B$82</f>
            </numRef>
          </xVal>
          <yVal>
            <numRef>
              <f>'Scouting'!$D$60:$D$82</f>
            </numRef>
          </yVal>
        </ser>
        <axId val="10"/>
        <axId val="20"/>
      </scatterChart>
      <valAx>
        <axId val="10"/>
        <scaling>
          <orientation val="minMax"/>
        </scaling>
        <axPos val="l"/>
        <majorGridlines/>
        <title>
          <tx>
            <rich>
              <a:bodyPr/>
              <a:p>
                <a:pPr>
                  <a:defRPr/>
                </a:pPr>
                <a:r>
                  <a:t>UTIL</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4.xml><?xml version="1.0" encoding="utf-8"?>
<chartSpace xmlns:a="http://schemas.openxmlformats.org/drawingml/2006/main" xmlns="http://schemas.openxmlformats.org/drawingml/2006/chart">
  <style val="13"/>
  <chart>
    <title>
      <tx>
        <rich>
          <a:bodyPr/>
          <a:p>
            <a:pPr>
              <a:defRPr/>
            </a:pPr>
            <a:r>
              <a:t>income_to_sales: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'Scouting'!$B$86:$B$108</f>
            </numRef>
          </xVal>
          <yVal>
            <numRef>
              <f>'Scouting'!$D$86:$D$108</f>
            </numRef>
          </yVal>
        </ser>
        <axId val="10"/>
        <axId val="20"/>
      </scatterChart>
      <valAx>
        <axId val="10"/>
        <scaling>
          <orientation val="minMax"/>
        </scaling>
        <axPos val="l"/>
        <majorGridlines/>
        <title>
          <tx>
            <rich>
              <a:bodyPr/>
              <a:p>
                <a:pPr>
                  <a:defRPr/>
                </a:pPr>
                <a:r>
                  <a:t>income_to_sales</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UTIL: the gap against 0.0 - 0.8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variables'!$C$45</f>
            </numRef>
          </cat>
          <val>
            <numRef>
              <f>'New variables'!$D$45</f>
            </numRef>
          </val>
        </ser>
        <ser>
          <idx val="1"/>
          <order val="1"/>
          <tx>
            <v>Confirmed</v>
          </tx>
          <spPr>
            <a:solidFill>
              <a:srgbClr val="0A0908"/>
            </a:solidFill>
            <a:ln>
              <a:solidFill>
                <a:srgbClr val="0A0908"/>
              </a:solidFill>
              <a:prstDash val="solid"/>
            </a:ln>
          </spPr>
          <cat>
            <numRef>
              <f>'New variables'!$C$45</f>
            </numRef>
          </cat>
          <val>
            <numRef>
              <f>'New variables'!$F$45</f>
            </numRef>
          </val>
        </ser>
        <ser>
          <idx val="2"/>
          <order val="2"/>
          <tx>
            <v>Confirmed, FICO and CHANNEL held fixed</v>
          </tx>
          <spPr>
            <a:solidFill>
              <a:srgbClr val="CC0000"/>
            </a:solidFill>
            <a:ln>
              <a:solidFill>
                <a:srgbClr val="CC0000"/>
              </a:solidFill>
              <a:prstDash val="solid"/>
            </a:ln>
          </spPr>
          <cat>
            <numRef>
              <f>'New variables'!$C$45</f>
            </numRef>
          </cat>
          <val>
            <numRef>
              <f>'New variables'!$I$45</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variables'!$C$45</f>
            </numRef>
          </cat>
          <val>
            <numRef>
              <f>'New variables'!$X$45</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harts/chart16.xml><?xml version="1.0" encoding="utf-8"?>
<chartSpace xmlns:a="http://schemas.openxmlformats.org/drawingml/2006/main" xmlns="http://schemas.openxmlformats.org/drawingml/2006/chart">
  <chart>
    <title>
      <tx>
        <rich>
          <a:bodyPr/>
          <a:p>
            <a:pPr>
              <a:defRPr/>
            </a:pPr>
            <a:r>
              <a:t>income_to_sales: the gap against 0.10 - 1.99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variables'!$C$46:$C$47</f>
            </numRef>
          </cat>
          <val>
            <numRef>
              <f>'New variables'!$D$46:$D$47</f>
            </numRef>
          </val>
        </ser>
        <ser>
          <idx val="1"/>
          <order val="1"/>
          <tx>
            <v>Confirmed</v>
          </tx>
          <spPr>
            <a:solidFill>
              <a:srgbClr val="0A0908"/>
            </a:solidFill>
            <a:ln>
              <a:solidFill>
                <a:srgbClr val="0A0908"/>
              </a:solidFill>
              <a:prstDash val="solid"/>
            </a:ln>
          </spPr>
          <cat>
            <numRef>
              <f>'New variables'!$C$46:$C$47</f>
            </numRef>
          </cat>
          <val>
            <numRef>
              <f>'New variables'!$F$46:$F$47</f>
            </numRef>
          </val>
        </ser>
        <ser>
          <idx val="2"/>
          <order val="2"/>
          <tx>
            <v>Confirmed, FICO and CHANNEL held fixed</v>
          </tx>
          <spPr>
            <a:solidFill>
              <a:srgbClr val="CC0000"/>
            </a:solidFill>
            <a:ln>
              <a:solidFill>
                <a:srgbClr val="CC0000"/>
              </a:solidFill>
              <a:prstDash val="solid"/>
            </a:ln>
          </spPr>
          <cat>
            <numRef>
              <f>'New variables'!$C$46:$C$47</f>
            </numRef>
          </cat>
          <val>
            <numRef>
              <f>'New variables'!$I$46:$I$47</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variables'!$C$46:$C$47</f>
            </numRef>
          </cat>
          <val>
            <numRef>
              <f>'New variables'!$X$46:$X$47</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s>
</file>

<file path=xl/drawings/_rels/drawing2.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s>
</file>

<file path=xl/drawings/_rels/drawing3.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90</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110</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oneCellAnchor>
    <from>
      <col>7</col>
      <colOff>0</colOff>
      <row>130</row>
      <rowOff>0</rowOff>
    </from>
    <ext cx="6120000" cy="2880000"/>
    <graphicFrame>
      <nvGraphicFramePr>
        <cNvPr id="7" name="Chart 7"/>
        <cNvGraphicFramePr/>
      </nvGraphicFramePr>
      <xfrm/>
      <a:graphic>
        <a:graphicData uri="http://schemas.openxmlformats.org/drawingml/2006/chart">
          <c:chart r:id="rId7"/>
        </a:graphicData>
      </a:graphic>
    </graphicFrame>
    <clientData/>
  </oneCellAnchor>
  <oneCellAnchor>
    <from>
      <col>7</col>
      <colOff>0</colOff>
      <row>150</row>
      <rowOff>0</rowOff>
    </from>
    <ext cx="6120000" cy="2880000"/>
    <graphicFrame>
      <nvGraphicFramePr>
        <cNvPr id="8" name="Chart 8"/>
        <cNvGraphicFramePr/>
      </nvGraphicFramePr>
      <xfrm/>
      <a:graphic>
        <a:graphicData uri="http://schemas.openxmlformats.org/drawingml/2006/chart">
          <c:chart r:id="rId8"/>
        </a:graphicData>
      </a:graphic>
    </graphicFrame>
    <clientData/>
  </oneCellAnchor>
  <oneCellAnchor>
    <from>
      <col>7</col>
      <colOff>0</colOff>
      <row>170</row>
      <rowOff>0</rowOff>
    </from>
    <ext cx="6120000" cy="2880000"/>
    <graphicFrame>
      <nvGraphicFramePr>
        <cNvPr id="9" name="Chart 9"/>
        <cNvGraphicFramePr/>
      </nvGraphicFramePr>
      <xfrm/>
      <a:graphic>
        <a:graphicData uri="http://schemas.openxmlformats.org/drawingml/2006/chart">
          <c:chart r:id="rId9"/>
        </a:graphicData>
      </a:graphic>
    </graphicFrame>
    <clientData/>
  </oneCellAnchor>
  <oneCellAnchor>
    <from>
      <col>7</col>
      <colOff>0</colOff>
      <row>190</row>
      <rowOff>0</rowOff>
    </from>
    <ext cx="6120000" cy="2880000"/>
    <graphicFrame>
      <nvGraphicFramePr>
        <cNvPr id="10" name="Chart 10"/>
        <cNvGraphicFramePr/>
      </nvGraphicFramePr>
      <xfrm/>
      <a:graphic>
        <a:graphicData uri="http://schemas.openxmlformats.org/drawingml/2006/chart">
          <c:chart r:id="rId10"/>
        </a:graphicData>
      </a:graphic>
    </graphicFrame>
    <clientData/>
  </oneCellAnchor>
  <oneCellAnchor>
    <from>
      <col>7</col>
      <colOff>0</colOff>
      <row>210</row>
      <rowOff>0</rowOff>
    </from>
    <ext cx="6120000" cy="2880000"/>
    <graphicFrame>
      <nvGraphicFramePr>
        <cNvPr id="11" name="Chart 11"/>
        <cNvGraphicFramePr/>
      </nvGraphicFramePr>
      <xfrm/>
      <a:graphic>
        <a:graphicData uri="http://schemas.openxmlformats.org/drawingml/2006/chart">
          <c:chart r:id="rId11"/>
        </a:graphicData>
      </a:graphic>
    </graphicFrame>
    <clientData/>
  </oneCellAnchor>
  <oneCellAnchor>
    <from>
      <col>7</col>
      <colOff>0</colOff>
      <row>230</row>
      <rowOff>0</rowOff>
    </from>
    <ext cx="6120000" cy="2880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59</row>
      <rowOff>0</rowOff>
    </from>
    <ext cx="5760000" cy="25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85</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48</row>
      <rowOff>0</rowOff>
    </from>
    <ext cx="93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64</row>
      <rowOff>0</rowOff>
    </from>
    <ext cx="93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 variables'!A1" TargetMode="External" Id="rId1" /><Relationship Type="http://schemas.openxmlformats.org/officeDocument/2006/relationships/hyperlink" Target="#'Control'!A1" TargetMode="External" Id="rId2" /><Relationship Type="http://schemas.openxmlformats.org/officeDocument/2006/relationships/hyperlink" Target="#'Scouting'!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New variables'!A1" TargetMode="External" Id="rId6" /><Relationship Type="http://schemas.openxmlformats.org/officeDocument/2006/relationships/hyperlink" Target="#'Look'!A1" TargetMode="External" Id="rId7"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CC0000"/>
    <outlinePr summaryBelow="0" summaryRight="1"/>
    <pageSetUpPr fitToPage="1"/>
  </sheetPr>
  <dimension ref="B1:I32"/>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s>
  <sheetData>
    <row r="1" ht="30" customHeight="1">
      <c r="B1" s="1" t="inlineStr">
        <is>
          <t>PocketBook</t>
        </is>
      </c>
      <c r="C1" s="2" t="inlineStr">
        <is>
          <t>Scouting book.csv · 12,000 loans · 19 columns · last Run 2026-09-30 04:36</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31" customHeight="1">
      <c r="B5" s="6" t="inlineStr">
        <is>
          <t>What the last Run found</t>
        </is>
      </c>
      <c r="C5" s="7" t="inlineStr">
        <is>
          <t>Each group of the tested column on the holdout, against the reference group. Significant? follows the confidence on Control; the rest is as of the last Run.</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COUNTIFS(Columns!$S$13:$S$32,"?*",Columns!$H$13:$H$32,"")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80" t="inlineStr">
        <is>
          <t>Groups worse than their reference, on the holdout</t>
        </is>
      </c>
      <c r="C16" s="81" t="n"/>
      <c r="D16" s="80" t="inlineStr">
        <is>
          <t>Candidates with a group worse</t>
        </is>
      </c>
      <c r="E16" s="81" t="n"/>
      <c r="F16" s="80" t="inlineStr">
        <is>
          <t>Loans tested</t>
        </is>
      </c>
      <c r="G16" s="81" t="n"/>
      <c r="H16" s="80" t="inlineStr">
        <is>
          <t>Follows the pre-spec</t>
        </is>
      </c>
      <c r="I16" s="81" t="n"/>
    </row>
    <row r="17" ht="22" customHeight="1">
      <c r="B17" s="11">
        <f>IFERROR(COUNTIFS('_found'!$A:$A,"group",'_found'!$F:$F,"&gt;1",'_found'!$G:$G,"&lt;"&amp;significance_bar)&amp;" of 3","")</f>
        <v/>
      </c>
      <c r="D17" s="11">
        <f>IFERROR(((COUNTIFS('_found'!$A:$A,"group",'_found'!$J:$J,"UTIL",'_found'!$F:$F,"&gt;1",'_found'!$G:$G,"&lt;"&amp;significance_bar)&gt;0)+(COUNTIFS('_found'!$A:$A,"group",'_found'!$J:$J,"income_to_sales",'_found'!$F:$F,"&gt;1",'_found'!$G:$G,"&lt;"&amp;significance_bar)&gt;0))&amp;" of 2","")</f>
        <v/>
      </c>
      <c r="F17" s="11" t="inlineStr">
        <is>
          <t>8,394 found · 3,605 held back</t>
        </is>
      </c>
      <c r="H17" s="11" t="inlineStr">
        <is>
          <t>Written now: by this Run's scouting</t>
        </is>
      </c>
    </row>
    <row r="19" ht="40" customHeight="1">
      <c r="B19" s="55" t="inlineStr">
        <is>
          <t>Candidate: group</t>
        </is>
      </c>
      <c r="C19" s="55" t="inlineStr">
        <is>
          <t>Loans</t>
        </is>
      </c>
      <c r="D19" s="56" t="inlineStr">
        <is>
          <t>Bad rate</t>
        </is>
      </c>
      <c r="E19" s="82" t="inlineStr">
        <is>
          <t>× its reference's odds, FICO and CHANNEL held fixed</t>
        </is>
      </c>
      <c r="F19" s="56" t="inlineStr">
        <is>
          <t>p-value</t>
        </is>
      </c>
      <c r="G19" s="56" t="inlineStr">
        <is>
          <t>Significant?</t>
        </is>
      </c>
      <c r="H19" s="56" t="inlineStr">
        <is>
          <t>Share of bad loans</t>
        </is>
      </c>
      <c r="I19" s="56" t="n"/>
    </row>
    <row r="20" ht="18" customHeight="1">
      <c r="B20" s="83">
        <f>'_found'!$J$9&amp;": "&amp;'_found'!$B$9&amp;" (reference)"</f>
        <v/>
      </c>
      <c r="C20" s="84">
        <f>'_found'!$C$9</f>
        <v/>
      </c>
      <c r="D20" s="85">
        <f>IF('_found'!$E$9="","",'_found'!$E$9)</f>
        <v/>
      </c>
      <c r="E20" s="86">
        <f>IF('_found'!$F$9="","none",'_found'!$F$9)</f>
        <v/>
      </c>
      <c r="F20" s="87">
        <f>IF('_found'!$G$9="","",'_found'!$G$9)</f>
        <v/>
      </c>
      <c r="G20" s="88" t="n"/>
      <c r="H20" s="89">
        <f>'_found'!$H$9</f>
        <v/>
      </c>
    </row>
    <row r="21" ht="18" customHeight="1">
      <c r="B21" s="83">
        <f>'_found'!$J$10&amp;": "&amp;'_found'!$B$10</f>
        <v/>
      </c>
      <c r="C21" s="84">
        <f>'_found'!$C$10</f>
        <v/>
      </c>
      <c r="D21" s="85">
        <f>IF('_found'!$E$10="","",'_found'!$E$10)</f>
        <v/>
      </c>
      <c r="E21" s="86">
        <f>IF('_found'!$F$10="","none",'_found'!$F$10)</f>
        <v/>
      </c>
      <c r="F21" s="87">
        <f>IF('_found'!$G$10="","",'_found'!$G$10)</f>
        <v/>
      </c>
      <c r="G21" s="88">
        <f>IF(AND(ISNUMBER('_found'!$G$10),'_found'!$G$10&lt;significance_bar),IF('_found'!$F$10&gt;1,"Yes, worse","Yes, better"),"No")</f>
        <v/>
      </c>
      <c r="H21" s="89">
        <f>'_found'!$H$10</f>
        <v/>
      </c>
    </row>
    <row r="22" ht="18" customHeight="1">
      <c r="B22" s="83">
        <f>'_found'!$J$11&amp;": "&amp;'_found'!$B$11</f>
        <v/>
      </c>
      <c r="C22" s="84">
        <f>'_found'!$C$11</f>
        <v/>
      </c>
      <c r="D22" s="85">
        <f>IF('_found'!$E$11="","",'_found'!$E$11)</f>
        <v/>
      </c>
      <c r="E22" s="86">
        <f>IF('_found'!$F$11="","none",'_found'!$F$11)</f>
        <v/>
      </c>
      <c r="F22" s="87">
        <f>IF('_found'!$G$11="","",'_found'!$G$11)</f>
        <v/>
      </c>
      <c r="G22" s="88">
        <f>IF(AND(ISNUMBER('_found'!$G$11),'_found'!$G$11&lt;significance_bar),IF('_found'!$F$11&gt;1,"Yes, worse","Yes, better"),"No")</f>
        <v/>
      </c>
      <c r="H22" s="89">
        <f>'_found'!$H$11</f>
        <v/>
      </c>
    </row>
    <row r="23" ht="18" customHeight="1">
      <c r="B23" s="83">
        <f>'_found'!$J$12&amp;": "&amp;'_found'!$B$12&amp;" (reference)"</f>
        <v/>
      </c>
      <c r="C23" s="84">
        <f>'_found'!$C$12</f>
        <v/>
      </c>
      <c r="D23" s="85">
        <f>IF('_found'!$E$12="","",'_found'!$E$12)</f>
        <v/>
      </c>
      <c r="E23" s="86">
        <f>IF('_found'!$F$12="","none",'_found'!$F$12)</f>
        <v/>
      </c>
      <c r="F23" s="87">
        <f>IF('_found'!$G$12="","",'_found'!$G$12)</f>
        <v/>
      </c>
      <c r="G23" s="88" t="n"/>
      <c r="H23" s="89">
        <f>'_found'!$H$12</f>
        <v/>
      </c>
    </row>
    <row r="24" ht="18" customHeight="1">
      <c r="B24" s="83">
        <f>'_found'!$J$13&amp;": "&amp;'_found'!$B$13</f>
        <v/>
      </c>
      <c r="C24" s="84">
        <f>'_found'!$C$13</f>
        <v/>
      </c>
      <c r="D24" s="85">
        <f>IF('_found'!$E$13="","",'_found'!$E$13)</f>
        <v/>
      </c>
      <c r="E24" s="86">
        <f>IF('_found'!$F$13="","none",'_found'!$F$13)</f>
        <v/>
      </c>
      <c r="F24" s="87">
        <f>IF('_found'!$G$13="","",'_found'!$G$13)</f>
        <v/>
      </c>
      <c r="G24" s="88">
        <f>IF(AND(ISNUMBER('_found'!$G$13),'_found'!$G$13&lt;significance_bar),IF('_found'!$F$13&gt;1,"Yes, worse","Yes, better"),"No")</f>
        <v/>
      </c>
      <c r="H24" s="89">
        <f>'_found'!$H$13</f>
        <v/>
      </c>
    </row>
    <row r="25">
      <c r="B25" s="90" t="inlineStr">
        <is>
          <t>Found beside confirmed, with and without the columns held fixed, and how it's worked out: the New variables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Scouting: the candidates ranked, on development loans</t>
        </is>
      </c>
      <c r="G30" s="21" t="inlineStr">
        <is>
          <t>Record: what ran, the tie-outs, every Run</t>
        </is>
      </c>
    </row>
    <row r="31">
      <c r="B31" s="21" t="inlineStr">
        <is>
          <t>Columns: meanings, odd values, memory</t>
        </is>
      </c>
      <c r="D31" s="21" t="inlineStr">
        <is>
          <t>New variables: the shortlist, confirmed</t>
        </is>
      </c>
    </row>
    <row r="32">
      <c r="B32" s="21" t="inlineStr">
        <is>
          <t>Look: each number column's shape</t>
        </is>
      </c>
    </row>
  </sheetData>
  <mergeCells count="18">
    <mergeCell ref="B13:I13"/>
    <mergeCell ref="D16:E16"/>
    <mergeCell ref="B16:C16"/>
    <mergeCell ref="D10:E10"/>
    <mergeCell ref="F9:G9"/>
    <mergeCell ref="F10:G10"/>
    <mergeCell ref="F16:G16"/>
    <mergeCell ref="H16:I16"/>
    <mergeCell ref="D17:E17"/>
    <mergeCell ref="B10:C10"/>
    <mergeCell ref="C4:I4"/>
    <mergeCell ref="C6:I6"/>
    <mergeCell ref="B17:C17"/>
    <mergeCell ref="B9:C9"/>
    <mergeCell ref="D9:E9"/>
    <mergeCell ref="F17:G17"/>
    <mergeCell ref="C5:I5"/>
    <mergeCell ref="H17:I17"/>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conditionalFormatting sqref="G20:G24">
    <cfRule type="expression" priority="8" dxfId="3">
      <formula>G20="Yes, worse"</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hidden="1" width="12" customWidth="1" min="13" max="13"/>
    <col hidden="1" width="14" customWidth="1" min="14" max="14"/>
    <col hidden="1" width="10" customWidth="1" min="15" max="15"/>
    <col hidden="1"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Worse at has a value worked out from this extract, from the groups being confirmed,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Material? on New variables compares each group's excess with the level you pick, live. The panel of levels counts pockets, so it is hidden on this run, which builds none.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1.25 times</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91" t="inlineStr">
        <is>
          <t>1.25 times</t>
        </is>
      </c>
      <c r="G15" s="35" t="inlineStr">
        <is>
          <t>worse_at</t>
        </is>
      </c>
      <c r="H15" s="34" t="n"/>
      <c r="I15" s="36" t="inlineStr">
        <is>
          <t>suggested: 1.43x, from this extract at the last Run</t>
        </is>
      </c>
      <c r="J15">
        <f>IF(AND(TRUE,$C15="",OR($D15="",$D15="n/a")),1,0)</f>
        <v/>
      </c>
      <c r="K15" t="n">
        <v>1.43</v>
      </c>
      <c r="M15" s="31">
        <f>IFERROR("0.5%"&amp;IF(AND(materiality_kind="share",ABS(materiality_share-0.005)&lt;1E-9)," ◂",""),"0.5%")</f>
        <v/>
      </c>
      <c r="N15" s="77">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idden="1" ht="18" customHeight="1">
      <c r="B16" s="31" t="inlineStr">
        <is>
          <t>How much better than its comparison a pocket must be</t>
        </is>
      </c>
      <c r="C16" s="32" t="inlineStr">
        <is>
          <t>0.8 times</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91" t="n"/>
      <c r="G16" s="35" t="inlineStr">
        <is>
          <t>better_at</t>
        </is>
      </c>
      <c r="H16" s="34" t="n"/>
      <c r="I16" s="34" t="n"/>
      <c r="J16">
        <f>IF(AND($C$33="Where the book bleeds",$C16="",OR($D16="",$D16="n/a")),1,0)</f>
        <v/>
      </c>
      <c r="M16" s="31">
        <f>IFERROR("1%"&amp;IF(AND(materiality_kind="share",ABS(materiality_share-0.01)&lt;1E-9)," ◂",""),"1%")</f>
        <v/>
      </c>
      <c r="N16" s="77">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idden="1"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91" t="n"/>
      <c r="G17" s="35" t="inlineStr">
        <is>
          <t>revenue_line</t>
        </is>
      </c>
      <c r="H17" s="34" t="n"/>
      <c r="I17" s="34" t="n"/>
      <c r="J17">
        <f>IF(AND($C$33="Where the book bleeds",$C17="",OR($D17="",$D17="n/a")),1,0)</f>
        <v/>
      </c>
      <c r="M17" s="31">
        <f>IFERROR("2%"&amp;IF(AND(materiality_kind="share",ABS(materiality_share-0.02)&lt;1E-9)," ◂",""),"2%")</f>
        <v/>
      </c>
      <c r="N17" s="77">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t>
        </is>
      </c>
      <c r="D18" s="22" t="n"/>
      <c r="E18" s="33">
        <f>IF(NOT(TRUE),"",IF(AND($D$18&lt;&gt;"",$D$18&lt;&gt;"n/a"),$D$18,IF($C$18="","",IF(ISNA(IFERROR(MATCH($G$18&amp;"|"&amp;$C$18,_options!$A:$A,0),MATCH($G$18&amp;"|"&amp;IFERROR(VALUE($C$18),$C$18),_options!$H:$H,0))),"not an option",""))))</f>
        <v/>
      </c>
      <c r="F18" s="91" t="inlineStr">
        <is>
          <t>95% sure</t>
        </is>
      </c>
      <c r="G18" s="35" t="inlineStr">
        <is>
          <t>confidence</t>
        </is>
      </c>
      <c r="H18" s="34" t="n"/>
      <c r="I18" s="34" t="n"/>
      <c r="J18">
        <f>IF(AND(TRUE,$C18="",OR($D18="",$D18="n/a")),1,0)</f>
        <v/>
      </c>
      <c r="M18" s="31">
        <f>IFERROR("5%"&amp;IF(AND(materiality_kind="share",ABS(materiality_share-0.05)&lt;1E-9)," ◂",""),"5%")</f>
        <v/>
      </c>
      <c r="N18" s="77">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91" t="inlineStr">
        <is>
          <t>1% of the book's total losses</t>
        </is>
      </c>
      <c r="G19" s="35" t="inlineStr">
        <is>
          <t>materiality</t>
        </is>
      </c>
      <c r="H19" s="34" t="n"/>
      <c r="I19" s="34" t="n"/>
      <c r="J19">
        <f>IF(AND(TRUE,$C19="",OR($D19="",$D19="n/a")),1,0)</f>
        <v/>
      </c>
      <c r="M19" s="31">
        <f>IFERROR("10%"&amp;IF(AND(materiality_kind="share",ABS(materiality_share-0.1)&lt;1E-9)," ◂",""),"10%")</f>
        <v/>
      </c>
      <c r="N19" s="77">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idden="1"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91" t="n"/>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idden="1" ht="18" customHeight="1">
      <c r="B24" s="31" t="inlineStr">
        <is>
          <t>Fewest loans in a pocket for the usual test (smaller ones get the exact test)</t>
        </is>
      </c>
      <c r="C24" s="44" t="inlineStr">
        <is>
          <t>30</t>
        </is>
      </c>
      <c r="D24" s="23" t="n"/>
      <c r="E24" s="33" t="n"/>
      <c r="F24" s="91" t="n"/>
      <c r="G24" s="35" t="inlineStr">
        <is>
          <t>min_loans</t>
        </is>
      </c>
      <c r="H24" s="34">
        <f>IF(OR(NOT($C$33="Where the book bleeds"),AND($C$33="Where the book bleeds",$C24="",OR($D24="",$D24="n/a"))),"",IFERROR(IF(IF(AND($D$24&lt;&gt;"",$D$24&lt;&gt;"n/a"),$D$24,$C$24)&amp;""=INDEX(_used!$B:$B,MATCH($G$24,_used!$A:$A,0))&amp;"","Same as last Run","↻ Waiting for a Run"),""))</f>
        <v/>
      </c>
      <c r="I24" s="34" t="n"/>
      <c r="J24">
        <f>IF(AND($C$33="Where the book bleeds",$C24="",OR($D24="",$D24="n/a")),1,0)</f>
        <v/>
      </c>
      <c r="K24">
        <f>IF($H24="↻ Waiting for a Run",$B24&amp;": "&amp;INDEX(_used!$C:$C,MATCH($G$24,_used!$A:$A,0))&amp;" → "&amp;IF(AND($D$24&lt;&gt;"",$D$24&lt;&gt;"n/a"),$D$24,$C$24)&amp;" (Control C24); ","")</f>
        <v/>
      </c>
    </row>
    <row r="25" hidden="1" ht="18" customHeight="1">
      <c r="B25" s="31" t="inlineStr">
        <is>
          <t>Fewest loans with a loss before a loss rate is tested</t>
        </is>
      </c>
      <c r="C25" s="44" t="inlineStr">
        <is>
          <t>10</t>
        </is>
      </c>
      <c r="D25" s="23" t="n"/>
      <c r="E25" s="33" t="n"/>
      <c r="F25" s="91" t="n"/>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91"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91"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idden="1" ht="18" customHeight="1">
      <c r="B28" s="31" t="inlineStr">
        <is>
          <t>How often a real gap should be caught</t>
        </is>
      </c>
      <c r="C28" s="44" t="inlineStr">
        <is>
          <t>80% of the time (recommended)</t>
        </is>
      </c>
      <c r="D28" s="23" t="n"/>
      <c r="E28" s="33" t="n"/>
      <c r="F28" s="91" t="n"/>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91"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t="18" customHeight="1">
      <c r="B30" s="31" t="inlineStr">
        <is>
          <t>Loans made before this date find the candidates; the rest are held back</t>
        </is>
      </c>
      <c r="C30" s="44" t="inlineStr">
        <is>
          <t>The month start nearest 70% of the loans (suggested)</t>
        </is>
      </c>
      <c r="D30" s="78" t="n"/>
      <c r="E30" s="33" t="n"/>
      <c r="F30" s="91" t="inlineStr">
        <is>
          <t>2024-11-01 (worked out from this book)</t>
        </is>
      </c>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(8,395 loans before, 3,605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Finding and testing a new variable</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t="18" customHeight="1">
      <c r="B34" s="49" t="inlineStr">
        <is>
          <t>Scout first, or test from a pre-spec already written?</t>
        </is>
      </c>
      <c r="C34" s="50" t="inlineStr">
        <is>
          <t>Scout first</t>
        </is>
      </c>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n"/>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n"/>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t="18" customHeight="1">
      <c r="B39" s="49" t="inlineStr">
        <is>
          <t>Tested against</t>
        </is>
      </c>
      <c r="C39" s="50" t="inlineStr">
        <is>
          <t>BAD_FLAG</t>
        </is>
      </c>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t="18" customHeight="1">
      <c r="B40" s="49" t="inlineStr">
        <is>
          <t>Inputs tested</t>
        </is>
      </c>
      <c r="C40" s="50" t="inlineStr">
        <is>
          <t>UTIL, TENURE, F1, F2, F3, F4, REGION</t>
        </is>
      </c>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t="18" customHeight="1">
      <c r="B41" s="49" t="inlineStr">
        <is>
          <t>Held fixed</t>
        </is>
      </c>
      <c r="C41" s="50" t="inlineStr">
        <is>
          <t>FICO, CHANNEL</t>
        </is>
      </c>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4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79"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8.333333333333333e-05</v>
      </c>
      <c r="G14" s="31" t="inlineStr">
        <is>
          <t>-9999 on 240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8.333333333333333e-05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name contains 'bad'; 0 and 1 (7.9% are 1)</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11,999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919 loans</t>
        </is>
      </c>
      <c r="H19" s="23" t="n"/>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11,826 values</t>
        </is>
      </c>
      <c r="F21" s="39" t="n">
        <v>0</v>
      </c>
      <c r="G21" s="31" t="n"/>
      <c r="H21" s="38" t="n"/>
      <c r="I21" s="60" t="n"/>
      <c r="J21" s="38" t="inlineStr">
        <is>
          <t>Yes · 1 Run</t>
        </is>
      </c>
      <c r="K21" s="23" t="inlineStr">
        <is>
          <t>No</t>
        </is>
      </c>
      <c r="L21" s="58" t="inlineStr">
        <is>
          <t>suggested as Amount or number from its shape alone (numbers with 11,826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SALES</t>
        </is>
      </c>
      <c r="C23" s="58" t="inlineStr">
        <is>
          <t>84264, 296409, 94519</t>
        </is>
      </c>
      <c r="D23" s="23" t="inlineStr">
        <is>
          <t>Amount or number</t>
        </is>
      </c>
      <c r="E23" s="58" t="inlineStr">
        <is>
          <t>numbers with 11,786 values</t>
        </is>
      </c>
      <c r="F23" s="39" t="n">
        <v>0.001</v>
      </c>
      <c r="G23" s="31" t="n"/>
      <c r="H23" s="38" t="n"/>
      <c r="I23" s="60" t="n"/>
      <c r="J23" s="38" t="inlineStr">
        <is>
          <t>Yes · 1 Run</t>
        </is>
      </c>
      <c r="K23" s="23" t="inlineStr">
        <is>
          <t>No</t>
        </is>
      </c>
      <c r="L23" s="58" t="inlineStr">
        <is>
          <t>suggested as Amount or number from its shape alone (numbers with 11,786 values). If it's something more specific, say so and it will be remembered.</t>
        </is>
      </c>
      <c r="M23" s="38" t="n"/>
      <c r="N23" s="38" t="n"/>
      <c r="O23" s="38" t="n"/>
      <c r="P23" s="31" t="n"/>
      <c r="Q23" t="inlineStr">
        <is>
          <t>amount</t>
        </is>
      </c>
    </row>
    <row r="24" ht="18" customHeight="1">
      <c r="B24" s="57" t="inlineStr">
        <is>
          <t>INCOME</t>
        </is>
      </c>
      <c r="C24" s="58" t="inlineStr">
        <is>
          <t>161848, 79129, 109898</t>
        </is>
      </c>
      <c r="D24" s="23" t="inlineStr">
        <is>
          <t>Amount or number</t>
        </is>
      </c>
      <c r="E24" s="58" t="inlineStr">
        <is>
          <t>numbers with 11,797 values</t>
        </is>
      </c>
      <c r="F24" s="39" t="n">
        <v>0</v>
      </c>
      <c r="G24" s="31" t="n"/>
      <c r="H24" s="38" t="n"/>
      <c r="I24" s="60" t="n"/>
      <c r="J24" s="38" t="inlineStr">
        <is>
          <t>Yes · 1 Run</t>
        </is>
      </c>
      <c r="K24" s="23" t="inlineStr">
        <is>
          <t>No</t>
        </is>
      </c>
      <c r="L24" s="58" t="inlineStr">
        <is>
          <t>suggested as Amount or number from its shape alone (numbers with 11,797 values). If it's something more specific, say so and it will be remembered.</t>
        </is>
      </c>
      <c r="M24" s="38" t="n"/>
      <c r="N24" s="38" t="n"/>
      <c r="O24" s="38" t="n"/>
      <c r="P24" s="31" t="n"/>
      <c r="Q24" t="inlineStr">
        <is>
          <t>amount</t>
        </is>
      </c>
    </row>
    <row r="25" ht="18" customHeight="1">
      <c r="B25" s="57" t="inlineStr">
        <is>
          <t>UTIL</t>
        </is>
      </c>
      <c r="C25" s="58" t="inlineStr">
        <is>
          <t>0.1748, 0.3661, 0.0656</t>
        </is>
      </c>
      <c r="D25" s="23" t="inlineStr">
        <is>
          <t>Amount or number</t>
        </is>
      </c>
      <c r="E25" s="58" t="inlineStr">
        <is>
          <t>numbers with 7,529 values</t>
        </is>
      </c>
      <c r="F25" s="39" t="n">
        <v>0</v>
      </c>
      <c r="G25" s="31" t="n"/>
      <c r="H25" s="38" t="n"/>
      <c r="I25" s="60" t="n"/>
      <c r="J25" s="38" t="inlineStr">
        <is>
          <t>Yes · 1 Run</t>
        </is>
      </c>
      <c r="K25" s="23" t="inlineStr">
        <is>
          <t>No</t>
        </is>
      </c>
      <c r="L25" s="58" t="inlineStr">
        <is>
          <t>suggested as Amount or number from its shape alone (numbers with 7,529 values). If it's something more specific, say so and it will be remembered.</t>
        </is>
      </c>
      <c r="M25" s="38" t="n"/>
      <c r="N25" s="38" t="n"/>
      <c r="O25" s="38" t="n"/>
      <c r="P25" s="31" t="n"/>
      <c r="Q25" t="inlineStr">
        <is>
          <t>amount</t>
        </is>
      </c>
    </row>
    <row r="26" ht="18" customHeight="1">
      <c r="B26" s="57" t="inlineStr">
        <is>
          <t>TENURE</t>
        </is>
      </c>
      <c r="C26" s="58" t="inlineStr">
        <is>
          <t>2.3, 5.0, 0.1</t>
        </is>
      </c>
      <c r="D26" s="23" t="inlineStr">
        <is>
          <t>Amount or number</t>
        </is>
      </c>
      <c r="E26" s="58" t="inlineStr">
        <is>
          <t>numbers with 358 values</t>
        </is>
      </c>
      <c r="F26" s="39" t="n">
        <v>0</v>
      </c>
      <c r="G26" s="31" t="n"/>
      <c r="H26" s="38" t="n"/>
      <c r="I26" s="60" t="n"/>
      <c r="J26" s="38" t="inlineStr">
        <is>
          <t>Yes · 1 Run</t>
        </is>
      </c>
      <c r="K26" s="23" t="inlineStr">
        <is>
          <t>No</t>
        </is>
      </c>
      <c r="L26" s="58" t="inlineStr">
        <is>
          <t>suggested as Amount or number from its shape alone (numbers with 358 values). If it's something more specific, say so and it will be remembered.</t>
        </is>
      </c>
      <c r="M26" s="38" t="n"/>
      <c r="N26" s="38" t="n"/>
      <c r="O26" s="38" t="n"/>
      <c r="P26" s="31" t="n"/>
      <c r="Q26" t="inlineStr">
        <is>
          <t>amount</t>
        </is>
      </c>
    </row>
    <row r="27" ht="18" customHeight="1">
      <c r="B27" s="57" t="inlineStr">
        <is>
          <t>F1</t>
        </is>
      </c>
      <c r="C27" s="58" t="inlineStr">
        <is>
          <t>47.42, 56.7, 36.36</t>
        </is>
      </c>
      <c r="D27" s="23" t="inlineStr">
        <is>
          <t>Amount or number</t>
        </is>
      </c>
      <c r="E27" s="58" t="inlineStr">
        <is>
          <t>numbers with 5,153 values</t>
        </is>
      </c>
      <c r="F27" s="39" t="n">
        <v>0</v>
      </c>
      <c r="G27" s="31" t="inlineStr">
        <is>
          <t>Negative on 8 loans</t>
        </is>
      </c>
      <c r="H27" s="23" t="n"/>
      <c r="I27" s="60" t="n"/>
      <c r="J27" s="38" t="inlineStr">
        <is>
          <t>Yes · 1 Run</t>
        </is>
      </c>
      <c r="K27" s="23" t="inlineStr">
        <is>
          <t>No</t>
        </is>
      </c>
      <c r="L27" s="58" t="inlineStr">
        <is>
          <t>suggested as Amount or number from its shape alone (numbers with 5,153 values). If it's something more specific, say so and it will be remembered.</t>
        </is>
      </c>
      <c r="M27" s="38" t="n"/>
      <c r="N27" s="38" t="n"/>
      <c r="O27" s="38" t="n"/>
      <c r="P27" s="31" t="n"/>
      <c r="Q27" t="inlineStr">
        <is>
          <t>amount</t>
        </is>
      </c>
      <c r="S27" t="inlineStr">
        <is>
          <t>F1|negatives|</t>
        </is>
      </c>
    </row>
    <row r="28" ht="18" customHeight="1">
      <c r="B28" s="57" t="inlineStr">
        <is>
          <t>F2</t>
        </is>
      </c>
      <c r="C28" s="58" t="inlineStr">
        <is>
          <t>42.63, 52.93, 27.12</t>
        </is>
      </c>
      <c r="D28" s="23" t="inlineStr">
        <is>
          <t>Amount or number</t>
        </is>
      </c>
      <c r="E28" s="58" t="inlineStr">
        <is>
          <t>numbers with 4,924 values</t>
        </is>
      </c>
      <c r="F28" s="39" t="n">
        <v>0</v>
      </c>
      <c r="G28" s="31" t="inlineStr">
        <is>
          <t>Negative on 10 loans</t>
        </is>
      </c>
      <c r="H28" s="23" t="n"/>
      <c r="I28" s="60" t="n"/>
      <c r="J28" s="38" t="inlineStr">
        <is>
          <t>Yes · 1 Run</t>
        </is>
      </c>
      <c r="K28" s="23" t="inlineStr">
        <is>
          <t>No</t>
        </is>
      </c>
      <c r="L28" s="58" t="inlineStr">
        <is>
          <t>suggested as Amount or number from its shape alone (numbers with 4,924 values). If it's something more specific, say so and it will be remembered.</t>
        </is>
      </c>
      <c r="M28" s="38" t="n"/>
      <c r="N28" s="38" t="n"/>
      <c r="O28" s="38" t="n"/>
      <c r="P28" s="31" t="n"/>
      <c r="Q28" t="inlineStr">
        <is>
          <t>amount</t>
        </is>
      </c>
      <c r="S28" t="inlineStr">
        <is>
          <t>F2|negatives|</t>
        </is>
      </c>
    </row>
    <row r="29" ht="18" customHeight="1">
      <c r="B29" s="57" t="inlineStr">
        <is>
          <t>F3</t>
        </is>
      </c>
      <c r="C29" s="58" t="inlineStr">
        <is>
          <t>9.644, 9.893, 8.869</t>
        </is>
      </c>
      <c r="D29" s="23" t="inlineStr">
        <is>
          <t>Amount or number</t>
        </is>
      </c>
      <c r="E29" s="58" t="inlineStr">
        <is>
          <t>numbers with 3,914 values</t>
        </is>
      </c>
      <c r="F29" s="39" t="n">
        <v>0</v>
      </c>
      <c r="G29" s="31" t="n"/>
      <c r="H29" s="38" t="n"/>
      <c r="I29" s="60" t="n"/>
      <c r="J29" s="38" t="inlineStr">
        <is>
          <t>Yes · 1 Run</t>
        </is>
      </c>
      <c r="K29" s="23" t="inlineStr">
        <is>
          <t>No</t>
        </is>
      </c>
      <c r="L29" s="58" t="inlineStr">
        <is>
          <t>suggested as Amount or number from its shape alone (numbers with 3,914 values). If it's something more specific, say so and it will be remembered.</t>
        </is>
      </c>
      <c r="M29" s="38" t="n"/>
      <c r="N29" s="38" t="n"/>
      <c r="O29" s="38" t="n"/>
      <c r="P29" s="31" t="n"/>
      <c r="Q29" t="inlineStr">
        <is>
          <t>amount</t>
        </is>
      </c>
    </row>
    <row r="30" ht="18" customHeight="1">
      <c r="B30" s="57" t="inlineStr">
        <is>
          <t>F4</t>
        </is>
      </c>
      <c r="C30" s="58" t="inlineStr">
        <is>
          <t>15.6, 42.7, 46.4</t>
        </is>
      </c>
      <c r="D30" s="23" t="inlineStr">
        <is>
          <t>Amount or number</t>
        </is>
      </c>
      <c r="E30" s="58" t="inlineStr">
        <is>
          <t>numbers with 1,001 values</t>
        </is>
      </c>
      <c r="F30" s="39" t="n">
        <v>0</v>
      </c>
      <c r="G30" s="31" t="n"/>
      <c r="H30" s="38" t="n"/>
      <c r="I30" s="60" t="n"/>
      <c r="J30" s="38" t="inlineStr">
        <is>
          <t>Yes · 1 Run</t>
        </is>
      </c>
      <c r="K30" s="23" t="inlineStr">
        <is>
          <t>No</t>
        </is>
      </c>
      <c r="L30" s="58" t="inlineStr">
        <is>
          <t>suggested as Amount or number from its shape alone (numbers with 1,001 values). If it's something more specific, say so and it will be remembered.</t>
        </is>
      </c>
      <c r="M30" s="38" t="n"/>
      <c r="N30" s="38" t="n"/>
      <c r="O30" s="38" t="n"/>
      <c r="P30" s="31" t="n"/>
      <c r="Q30" t="inlineStr">
        <is>
          <t>amount</t>
        </is>
      </c>
    </row>
    <row r="31" ht="18" customHeight="1">
      <c r="B31" s="57" t="inlineStr">
        <is>
          <t>REGION</t>
        </is>
      </c>
      <c r="C31" s="58" t="inlineStr">
        <is>
          <t>North, West, South</t>
        </is>
      </c>
      <c r="D31" s="23" t="inlineStr">
        <is>
          <t>Category</t>
        </is>
      </c>
      <c r="E31" s="58" t="inlineStr">
        <is>
          <t>5 different values</t>
        </is>
      </c>
      <c r="F31" s="39" t="n">
        <v>0</v>
      </c>
      <c r="G31" s="31" t="n"/>
      <c r="H31" s="38" t="n"/>
      <c r="I31" s="59" t="n"/>
      <c r="J31" s="38" t="inlineStr">
        <is>
          <t>Yes · 1 Run</t>
        </is>
      </c>
      <c r="K31" s="23" t="inlineStr">
        <is>
          <t>No</t>
        </is>
      </c>
      <c r="L31" s="58" t="inlineStr">
        <is>
          <t>suggested as Category from its shape alone (5 different values). If it's something more specific, say so and it will be remembered.</t>
        </is>
      </c>
      <c r="M31" s="38" t="n"/>
      <c r="N31" s="38" t="n"/>
      <c r="O31" s="38" t="n"/>
      <c r="P31" s="31" t="n"/>
      <c r="Q31" t="inlineStr">
        <is>
          <t>category</t>
        </is>
      </c>
    </row>
    <row r="32" ht="18" customHeight="1">
      <c r="B32" s="57" t="inlineStr">
        <is>
          <t>income_to_sales</t>
        </is>
      </c>
      <c r="C32" s="58" t="inlineStr">
        <is>
          <t>1.921, 0.267, 1.163</t>
        </is>
      </c>
      <c r="D32" s="23" t="inlineStr">
        <is>
          <t>Amount or number</t>
        </is>
      </c>
      <c r="E32" s="58" t="inlineStr">
        <is>
          <t>made under Add a column: INCOME ÷ SALES</t>
        </is>
      </c>
      <c r="F32" s="39" t="n">
        <v>0.002</v>
      </c>
      <c r="G32" s="31" t="n"/>
      <c r="H32" s="38" t="n"/>
      <c r="I32" s="60" t="n"/>
      <c r="J32" s="38" t="inlineStr">
        <is>
          <t>Yes · 1 Run</t>
        </is>
      </c>
      <c r="K32" s="23" t="inlineStr">
        <is>
          <t>No</t>
        </is>
      </c>
      <c r="L32" s="58" t="inlineStr">
        <is>
          <t>New since the last check.</t>
        </is>
      </c>
      <c r="M32" s="38" t="n"/>
      <c r="N32" s="38" t="n"/>
      <c r="O32" s="38" t="n"/>
      <c r="P32" s="31" t="n"/>
      <c r="Q32" t="inlineStr">
        <is>
          <t>amount</t>
        </is>
      </c>
      <c r="R32" t="inlineStr">
        <is>
          <t>INCOME ÷ SALES</t>
        </is>
      </c>
    </row>
    <row r="33">
      <c r="S33" t="inlineStr">
        <is>
          <t>table|end</t>
        </is>
      </c>
    </row>
    <row r="34"/>
    <row r="35" ht="20" customHeight="1">
      <c r="B35" s="25" t="inlineStr">
        <is>
          <t>Add a column: one divided by another</t>
        </is>
      </c>
      <c r="C35" s="26" t="n"/>
      <c r="D35" s="26" t="n"/>
      <c r="E35" s="26" t="n"/>
      <c r="F35" s="26" t="n"/>
      <c r="S35" t="inlineStr">
        <is>
          <t>derived|head</t>
        </is>
      </c>
    </row>
    <row r="36">
      <c r="B36" s="41" t="inlineStr">
        <is>
          <t>Shows here and on Look, and in Choose tests, once you press Set up again. Blank where the bottom is zero or blank.</t>
        </is>
      </c>
      <c r="S36" t="inlineStr">
        <is>
          <t>derived|note</t>
        </is>
      </c>
    </row>
    <row r="37">
      <c r="B37" s="29" t="inlineStr">
        <is>
          <t>New column name ↻</t>
        </is>
      </c>
      <c r="C37" s="29" t="inlineStr">
        <is>
          <t>Top (divided)</t>
        </is>
      </c>
      <c r="D37" s="29" t="inlineStr">
        <is>
          <t>Bottom (divided by)</t>
        </is>
      </c>
      <c r="E37" s="29" t="inlineStr">
        <is>
          <t>What it makes</t>
        </is>
      </c>
      <c r="S37" t="inlineStr">
        <is>
          <t>derived|cols</t>
        </is>
      </c>
    </row>
    <row r="38" ht="18" customHeight="1">
      <c r="B38" s="61" t="inlineStr">
        <is>
          <t>income_to_sales</t>
        </is>
      </c>
      <c r="C38" s="61" t="inlineStr">
        <is>
          <t>INCOME</t>
        </is>
      </c>
      <c r="D38" s="61" t="inlineStr">
        <is>
          <t>SALES</t>
        </is>
      </c>
      <c r="E38" s="62">
        <f>IF(COUNTA(B38:D38)=0,"",IF(COUNTA(B38:D38)&lt;3,"Needs a name, a top and a bottom.",B38&amp;" = "&amp;C38&amp;" ÷ "&amp;D38&amp;" on each loan."))</f>
        <v/>
      </c>
      <c r="F38" s="63" t="n"/>
      <c r="S38" t="inlineStr">
        <is>
          <t>derived|1</t>
        </is>
      </c>
    </row>
    <row r="39" ht="18" customHeight="1">
      <c r="B39" s="61" t="n"/>
      <c r="C39" s="61" t="n"/>
      <c r="D39" s="61" t="n"/>
      <c r="E39" s="62">
        <f>IF(COUNTA(B39:D39)=0,"",IF(COUNTA(B39:D39)&lt;3,"Needs a name, a top and a bottom.",B39&amp;" = "&amp;C39&amp;" ÷ "&amp;D39&amp;" on each loan."))</f>
        <v/>
      </c>
      <c r="F39" s="63" t="n"/>
      <c r="S39" t="inlineStr">
        <is>
          <t>derived|2</t>
        </is>
      </c>
    </row>
    <row r="40" ht="18" customHeight="1">
      <c r="B40" s="61" t="n"/>
      <c r="C40" s="61" t="n"/>
      <c r="D40" s="61" t="n"/>
      <c r="E40" s="62">
        <f>IF(COUNTA(B40:D40)=0,"",IF(COUNTA(B40:D40)&lt;3,"Needs a name, a top and a bottom.",B40&amp;" = "&amp;C40&amp;" ÷ "&amp;D40&amp;" on each loan."))</f>
        <v/>
      </c>
      <c r="F40" s="63" t="n"/>
      <c r="S4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32">
    <cfRule type="expression" priority="2" dxfId="2">
      <formula>AND($S13&lt;&gt;"",$H13="")</formula>
    </cfRule>
  </conditionalFormatting>
  <conditionalFormatting sqref="L13:L32">
    <cfRule type="expression" priority="3" dxfId="2">
      <formula>L13&lt;&gt;""</formula>
    </cfRule>
  </conditionalFormatting>
  <conditionalFormatting sqref="B38:D38">
    <cfRule type="expression" priority="4" dxfId="2">
      <formula>AND(B38="",COUNTA($B38:$D38)&gt;0)</formula>
    </cfRule>
  </conditionalFormatting>
  <conditionalFormatting sqref="B39:D39">
    <cfRule type="expression" priority="5" dxfId="2">
      <formula>AND(B39="",COUNTA($B39:$D39)&gt;0)</formula>
    </cfRule>
  </conditionalFormatting>
  <conditionalFormatting sqref="B40:D40">
    <cfRule type="expression" priority="6" dxfId="2">
      <formula>AND(B40="",COUNTA($B40:$D40)&gt;0)</formula>
    </cfRule>
  </conditionalFormatting>
  <dataValidations count="7">
    <dataValidation sqref="C3" showDropDown="0" showInputMessage="0" showErrorMessage="1" allowBlank="1" type="list">
      <formula1>"Yes,No"</formula1>
    </dataValidation>
    <dataValidation sqref="D13 D14 D15 D16 D17 D18 D19 D20 D21 D22 D23 D24 D25 D26 D27 D28 D29 D30 D31 D32" showDropDown="0" showInputMessage="0" showErrorMessage="1" allowBlank="0" error="Pick one of the meanings in the list." type="list">
      <formula1>='_meanings'!$A$1:$A$19</formula1>
    </dataValidation>
    <dataValidation sqref="N13 N14 N15 N16 N17 N18 N19 N20 N21 N22 N23 N24 N25 N26 N27 N28 N29 N30 N31 N32" showDropDown="0" showInputMessage="0" showErrorMessage="1" allowBlank="1" type="list">
      <formula1>"median,average"</formula1>
    </dataValidation>
    <dataValidation sqref="O13 O14 O15 O16 O17 O18 O19 O20 O21 O22 O23 O24 O25 O26 O27 O28 O29 O30 O31 O32" showDropDown="0" showInputMessage="0" showErrorMessage="1" allowBlank="1" error="Pick per year, per month or one-time, or leave it blank." type="list">
      <formula1>"per year,per month,one-time"</formula1>
    </dataValidation>
    <dataValidation sqref="H14 H19 H27 H28" showDropDown="0" showInputMessage="0" showErrorMessage="1" allowBlank="1" error="Pick Real or Missing, or leave it blank to use the values as recorded." type="list">
      <formula1>"Real,Missing"</formula1>
    </dataValidation>
    <dataValidation sqref="K13 K14 K15 K16 K17 K18 K19 K20 K21 K22 K23 K24 K25 K26 K27 K28 K29 K30 K31 K32" showDropDown="0" showInputMessage="0" showErrorMessage="1" allowBlank="1" type="list">
      <formula1>"No,Yes"</formula1>
    </dataValidation>
    <dataValidation sqref="C38 C39 C40 D38 D39 D40" showDropDown="0" showInputMessage="0" showErrorMessage="1" allowBlank="1" errorTitle="Pick a column" error="Pick one of the extract's number columns from the list." type="list">
      <formula1>='_options'!$J$2:$J$16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251"/>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12000</v>
      </c>
    </row>
    <row r="12">
      <c r="B12" s="21" t="inlineStr">
        <is>
          <t>Blank</t>
        </is>
      </c>
      <c r="C12" s="66" t="n">
        <v>1</v>
      </c>
      <c r="D12" s="67" t="n">
        <v>8.333333333333333e-05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699.7312696657879</v>
      </c>
    </row>
    <row r="18">
      <c r="B18" s="21" t="inlineStr">
        <is>
          <t>Largest</t>
        </is>
      </c>
      <c r="C18" s="66" t="n">
        <v>921</v>
      </c>
    </row>
    <row r="19">
      <c r="B19" s="21" t="inlineStr">
        <is>
          <t>Answered missing, left out</t>
        </is>
      </c>
      <c r="C19" s="66" t="n">
        <v>240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771</v>
      </c>
    </row>
    <row r="30" ht="18" customHeight="1">
      <c r="B30" s="64" t="inlineStr">
        <is>
          <t>ORIG_BAL</t>
        </is>
      </c>
      <c r="C30" s="65" t="n"/>
      <c r="D30" s="65" t="n"/>
      <c r="H30" s="41">
        <f>IF('_look'!$S$20="","ORIG_BAL · no edges on Columns yet","ORIG_BAL · edges now "&amp;'_look'!$S$20)</f>
        <v/>
      </c>
    </row>
    <row r="31">
      <c r="B31" s="21" t="inlineStr">
        <is>
          <t>Loans</t>
        </is>
      </c>
      <c r="C31" s="66" t="n">
        <v>12000</v>
      </c>
    </row>
    <row r="32">
      <c r="B32" s="21" t="inlineStr">
        <is>
          <t>Blank</t>
        </is>
      </c>
      <c r="C32" s="66" t="n">
        <v>1</v>
      </c>
      <c r="D32" s="67" t="n">
        <v>8.333333333333333e-05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32134.41</v>
      </c>
    </row>
    <row r="37">
      <c r="B37" s="21" t="inlineStr">
        <is>
          <t>Mean</t>
        </is>
      </c>
      <c r="C37" s="66" t="n">
        <v>32375.78567797317</v>
      </c>
    </row>
    <row r="38">
      <c r="B38" s="21" t="inlineStr">
        <is>
          <t>Largest</t>
        </is>
      </c>
      <c r="C38" s="66" t="n">
        <v>59998.91</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10280.21</v>
      </c>
    </row>
    <row r="45">
      <c r="B45" s="21" t="inlineStr">
        <is>
          <t>25th percentile (P25)</t>
        </is>
      </c>
      <c r="C45" s="66" t="n">
        <v>18492.645</v>
      </c>
    </row>
    <row r="46">
      <c r="B46" s="21" t="inlineStr">
        <is>
          <t>50th percentile (P50), the median</t>
        </is>
      </c>
      <c r="C46" s="66" t="n">
        <v>32134.41</v>
      </c>
    </row>
    <row r="47">
      <c r="B47" s="21" t="inlineStr">
        <is>
          <t>75th percentile (P75)</t>
        </is>
      </c>
      <c r="C47" s="66" t="n">
        <v>46390.825</v>
      </c>
    </row>
    <row r="48">
      <c r="B48" s="21" t="inlineStr">
        <is>
          <t>90th percentile (P90)</t>
        </is>
      </c>
      <c r="C48" s="66" t="n">
        <v>54473.9</v>
      </c>
    </row>
    <row r="50" ht="18" customHeight="1">
      <c r="B50" s="64" t="inlineStr">
        <is>
          <t>REV_DEBT</t>
        </is>
      </c>
      <c r="C50" s="65" t="n"/>
      <c r="D50" s="65" t="n"/>
      <c r="H50" s="41">
        <f>IF('_look'!$AF$20="","REV_DEBT · no edges on Columns yet","REV_DEBT · edges now "&amp;'_look'!$AF$20)</f>
        <v/>
      </c>
    </row>
    <row r="51">
      <c r="B51" s="21" t="inlineStr">
        <is>
          <t>Loans</t>
        </is>
      </c>
      <c r="C51" s="66" t="n">
        <v>12000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11419.78</v>
      </c>
    </row>
    <row r="57">
      <c r="B57" s="21" t="inlineStr">
        <is>
          <t>Mean</t>
        </is>
      </c>
      <c r="C57" s="66" t="n">
        <v>12069.90657583333</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4350.677</v>
      </c>
    </row>
    <row r="65">
      <c r="B65" s="21" t="inlineStr">
        <is>
          <t>25th percentile (P25)</t>
        </is>
      </c>
      <c r="C65" s="66" t="n">
        <v>7447.23</v>
      </c>
    </row>
    <row r="66">
      <c r="B66" s="21" t="inlineStr">
        <is>
          <t>50th percentile (P50), the median</t>
        </is>
      </c>
      <c r="C66" s="66" t="n">
        <v>11419.78</v>
      </c>
    </row>
    <row r="67">
      <c r="B67" s="21" t="inlineStr">
        <is>
          <t>75th percentile (P75)</t>
        </is>
      </c>
      <c r="C67" s="66" t="n">
        <v>15884.17</v>
      </c>
    </row>
    <row r="68">
      <c r="B68" s="21" t="inlineStr">
        <is>
          <t>90th percentile (P90)</t>
        </is>
      </c>
      <c r="C68" s="66" t="n">
        <v>20625.653</v>
      </c>
    </row>
    <row r="70" ht="18" customHeight="1">
      <c r="B70" s="64" t="inlineStr">
        <is>
          <t>SALES</t>
        </is>
      </c>
      <c r="C70" s="65" t="n"/>
      <c r="D70" s="65" t="n"/>
      <c r="H70" s="41">
        <f>IF('_look'!$AS$20="","SALES · no edges on Columns yet","SALES · edges now "&amp;'_look'!$AS$20)</f>
        <v/>
      </c>
    </row>
    <row r="71">
      <c r="B71" s="21" t="inlineStr">
        <is>
          <t>Loans</t>
        </is>
      </c>
      <c r="C71" s="66" t="n">
        <v>12000</v>
      </c>
    </row>
    <row r="72">
      <c r="B72" s="21" t="inlineStr">
        <is>
          <t>Blank</t>
        </is>
      </c>
      <c r="C72" s="66" t="n">
        <v>12</v>
      </c>
      <c r="D72" s="67" t="n">
        <v>0.001</v>
      </c>
    </row>
    <row r="73">
      <c r="B73" s="21" t="inlineStr">
        <is>
          <t>Not a number</t>
        </is>
      </c>
      <c r="C73" s="66" t="n">
        <v>0</v>
      </c>
      <c r="D73" s="67" t="n">
        <v>0</v>
      </c>
    </row>
    <row r="74">
      <c r="B74" s="21" t="inlineStr">
        <is>
          <t>Likely a code</t>
        </is>
      </c>
      <c r="C74" s="66" t="inlineStr">
        <is>
          <t>none found</t>
        </is>
      </c>
    </row>
    <row r="75">
      <c r="B75" s="21" t="inlineStr">
        <is>
          <t>Smallest</t>
        </is>
      </c>
      <c r="C75" s="66" t="n">
        <v>0</v>
      </c>
    </row>
    <row r="76">
      <c r="B76" s="21" t="inlineStr">
        <is>
          <t>Median</t>
        </is>
      </c>
      <c r="C76" s="66" t="n">
        <v>250287</v>
      </c>
    </row>
    <row r="77">
      <c r="B77" s="21" t="inlineStr">
        <is>
          <t>Mean</t>
        </is>
      </c>
      <c r="C77" s="66" t="n">
        <v>282306.7344010677</v>
      </c>
    </row>
    <row r="78">
      <c r="B78" s="21" t="inlineStr">
        <is>
          <t>Largest</t>
        </is>
      </c>
      <c r="C78" s="66" t="n">
        <v>2222343</v>
      </c>
    </row>
    <row r="80">
      <c r="B80" s="21" t="inlineStr">
        <is>
          <t>Bars</t>
        </is>
      </c>
      <c r="C80" s="68" t="n">
        <v>20</v>
      </c>
    </row>
    <row r="81">
      <c r="B81" s="21" t="inlineStr">
        <is>
          <t>From</t>
        </is>
      </c>
      <c r="C81" s="69" t="n">
        <v>0</v>
      </c>
    </row>
    <row r="82">
      <c r="B82" s="21" t="inlineStr">
        <is>
          <t>To</t>
        </is>
      </c>
      <c r="C82" s="69" t="n">
        <v>800000</v>
      </c>
    </row>
    <row r="84">
      <c r="B84" s="21" t="inlineStr">
        <is>
          <t>10th percentile (P10)</t>
        </is>
      </c>
      <c r="C84" s="66" t="n">
        <v>132027.3</v>
      </c>
    </row>
    <row r="85">
      <c r="B85" s="21" t="inlineStr">
        <is>
          <t>25th percentile (P25)</t>
        </is>
      </c>
      <c r="C85" s="66" t="n">
        <v>179052.25</v>
      </c>
    </row>
    <row r="86">
      <c r="B86" s="21" t="inlineStr">
        <is>
          <t>50th percentile (P50), the median</t>
        </is>
      </c>
      <c r="C86" s="66" t="n">
        <v>250287</v>
      </c>
    </row>
    <row r="87">
      <c r="B87" s="21" t="inlineStr">
        <is>
          <t>75th percentile (P75)</t>
        </is>
      </c>
      <c r="C87" s="66" t="n">
        <v>347989</v>
      </c>
    </row>
    <row r="88">
      <c r="B88" s="21" t="inlineStr">
        <is>
          <t>90th percentile (P90)</t>
        </is>
      </c>
      <c r="C88" s="66" t="n">
        <v>471015.5</v>
      </c>
    </row>
    <row r="90" ht="18" customHeight="1">
      <c r="B90" s="64" t="inlineStr">
        <is>
          <t>INCOME</t>
        </is>
      </c>
      <c r="C90" s="65" t="n"/>
      <c r="D90" s="65" t="n"/>
      <c r="H90" s="41">
        <f>IF('_look'!$BF$20="","INCOME · no edges on Columns yet","INCOME · edges now "&amp;'_look'!$BF$20)</f>
        <v/>
      </c>
    </row>
    <row r="91">
      <c r="B91" s="21" t="inlineStr">
        <is>
          <t>Loans</t>
        </is>
      </c>
      <c r="C91" s="66" t="n">
        <v>12000</v>
      </c>
    </row>
    <row r="92">
      <c r="B92" s="21" t="inlineStr">
        <is>
          <t>Blank</t>
        </is>
      </c>
      <c r="C92" s="66" t="n">
        <v>0</v>
      </c>
      <c r="D92" s="67" t="n">
        <v>0</v>
      </c>
    </row>
    <row r="93">
      <c r="B93" s="21" t="inlineStr">
        <is>
          <t>Not a number</t>
        </is>
      </c>
      <c r="C93" s="66" t="n">
        <v>0</v>
      </c>
      <c r="D93" s="67" t="n">
        <v>0</v>
      </c>
    </row>
    <row r="94">
      <c r="B94" s="21" t="inlineStr">
        <is>
          <t>Likely a code</t>
        </is>
      </c>
      <c r="C94" s="66" t="inlineStr">
        <is>
          <t>none found</t>
        </is>
      </c>
    </row>
    <row r="95">
      <c r="B95" s="21" t="inlineStr">
        <is>
          <t>Smallest</t>
        </is>
      </c>
      <c r="C95" s="66" t="n">
        <v>3830</v>
      </c>
    </row>
    <row r="96">
      <c r="B96" s="21" t="inlineStr">
        <is>
          <t>Median</t>
        </is>
      </c>
      <c r="C96" s="66" t="n">
        <v>126028</v>
      </c>
    </row>
    <row r="97">
      <c r="B97" s="21" t="inlineStr">
        <is>
          <t>Mean</t>
        </is>
      </c>
      <c r="C97" s="66" t="n">
        <v>197973.4745</v>
      </c>
    </row>
    <row r="98">
      <c r="B98" s="21" t="inlineStr">
        <is>
          <t>Largest</t>
        </is>
      </c>
      <c r="C98" s="66" t="n">
        <v>4683491</v>
      </c>
    </row>
    <row r="100">
      <c r="B100" s="21" t="inlineStr">
        <is>
          <t>Bars</t>
        </is>
      </c>
      <c r="C100" s="68" t="n">
        <v>20</v>
      </c>
    </row>
    <row r="101">
      <c r="B101" s="21" t="inlineStr">
        <is>
          <t>From</t>
        </is>
      </c>
      <c r="C101" s="69" t="n">
        <v>0</v>
      </c>
    </row>
    <row r="102">
      <c r="B102" s="21" t="inlineStr">
        <is>
          <t>To</t>
        </is>
      </c>
      <c r="C102" s="69" t="n">
        <v>1400000</v>
      </c>
    </row>
    <row r="104">
      <c r="B104" s="21" t="inlineStr">
        <is>
          <t>10th percentile (P10)</t>
        </is>
      </c>
      <c r="C104" s="66" t="n">
        <v>38394.5</v>
      </c>
    </row>
    <row r="105">
      <c r="B105" s="21" t="inlineStr">
        <is>
          <t>25th percentile (P25)</t>
        </is>
      </c>
      <c r="C105" s="66" t="n">
        <v>66585.75</v>
      </c>
    </row>
    <row r="106">
      <c r="B106" s="21" t="inlineStr">
        <is>
          <t>50th percentile (P50), the median</t>
        </is>
      </c>
      <c r="C106" s="66" t="n">
        <v>126028</v>
      </c>
    </row>
    <row r="107">
      <c r="B107" s="21" t="inlineStr">
        <is>
          <t>75th percentile (P75)</t>
        </is>
      </c>
      <c r="C107" s="66" t="n">
        <v>235048.25</v>
      </c>
    </row>
    <row r="108">
      <c r="B108" s="21" t="inlineStr">
        <is>
          <t>90th percentile (P90)</t>
        </is>
      </c>
      <c r="C108" s="66" t="n">
        <v>429233.6</v>
      </c>
    </row>
    <row r="110" ht="18" customHeight="1">
      <c r="B110" s="64" t="inlineStr">
        <is>
          <t>UTIL</t>
        </is>
      </c>
      <c r="C110" s="65" t="n"/>
      <c r="D110" s="65" t="n"/>
      <c r="H110" s="41">
        <f>IF('_look'!$BS$20="","UTIL · no edges on Columns yet","UTIL · edges now "&amp;'_look'!$BS$20)</f>
        <v/>
      </c>
    </row>
    <row r="111">
      <c r="B111" s="21" t="inlineStr">
        <is>
          <t>Loans</t>
        </is>
      </c>
      <c r="C111" s="66" t="n">
        <v>12000</v>
      </c>
    </row>
    <row r="112">
      <c r="B112" s="21" t="inlineStr">
        <is>
          <t>Blank</t>
        </is>
      </c>
      <c r="C112" s="66" t="n">
        <v>0</v>
      </c>
      <c r="D112" s="67" t="n">
        <v>0</v>
      </c>
    </row>
    <row r="113">
      <c r="B113" s="21" t="inlineStr">
        <is>
          <t>Not a number</t>
        </is>
      </c>
      <c r="C113" s="66" t="n">
        <v>0</v>
      </c>
      <c r="D113" s="67" t="n">
        <v>0</v>
      </c>
    </row>
    <row r="114">
      <c r="B114" s="21" t="inlineStr">
        <is>
          <t>Likely a code</t>
        </is>
      </c>
      <c r="C114" s="66" t="inlineStr">
        <is>
          <t>none found</t>
        </is>
      </c>
    </row>
    <row r="115">
      <c r="B115" s="21" t="inlineStr">
        <is>
          <t>Smallest</t>
        </is>
      </c>
      <c r="C115" s="71" t="n">
        <v>0</v>
      </c>
    </row>
    <row r="116">
      <c r="B116" s="21" t="inlineStr">
        <is>
          <t>Median</t>
        </is>
      </c>
      <c r="C116" s="71" t="n">
        <v>0.6073</v>
      </c>
    </row>
    <row r="117">
      <c r="B117" s="21" t="inlineStr">
        <is>
          <t>Mean</t>
        </is>
      </c>
      <c r="C117" s="71" t="n">
        <v>0.6067722750000001</v>
      </c>
    </row>
    <row r="118">
      <c r="B118" s="21" t="inlineStr">
        <is>
          <t>Largest</t>
        </is>
      </c>
      <c r="C118" s="71" t="n">
        <v>1.1999</v>
      </c>
    </row>
    <row r="120">
      <c r="B120" s="21" t="inlineStr">
        <is>
          <t>Bars</t>
        </is>
      </c>
      <c r="C120" s="68" t="n">
        <v>20</v>
      </c>
    </row>
    <row r="121">
      <c r="B121" s="21" t="inlineStr">
        <is>
          <t>From</t>
        </is>
      </c>
      <c r="C121" s="72" t="n">
        <v>0</v>
      </c>
    </row>
    <row r="122">
      <c r="B122" s="21" t="inlineStr">
        <is>
          <t>To</t>
        </is>
      </c>
      <c r="C122" s="72" t="n">
        <v>1.2</v>
      </c>
    </row>
    <row r="124">
      <c r="B124" s="21" t="inlineStr">
        <is>
          <t>10th percentile (P10)</t>
        </is>
      </c>
      <c r="C124" s="71" t="n">
        <v>0.11629</v>
      </c>
    </row>
    <row r="125">
      <c r="B125" s="21" t="inlineStr">
        <is>
          <t>25th percentile (P25)</t>
        </is>
      </c>
      <c r="C125" s="71" t="n">
        <v>0.30565</v>
      </c>
    </row>
    <row r="126">
      <c r="B126" s="21" t="inlineStr">
        <is>
          <t>50th percentile (P50), the median</t>
        </is>
      </c>
      <c r="C126" s="71" t="n">
        <v>0.6073000000000001</v>
      </c>
    </row>
    <row r="127">
      <c r="B127" s="21" t="inlineStr">
        <is>
          <t>75th percentile (P75)</t>
        </is>
      </c>
      <c r="C127" s="71" t="n">
        <v>0.9155249999999999</v>
      </c>
    </row>
    <row r="128">
      <c r="B128" s="21" t="inlineStr">
        <is>
          <t>90th percentile (P90)</t>
        </is>
      </c>
      <c r="C128" s="71" t="n">
        <v>1.08751</v>
      </c>
    </row>
    <row r="130" ht="18" customHeight="1">
      <c r="B130" s="64" t="inlineStr">
        <is>
          <t>TENURE</t>
        </is>
      </c>
      <c r="C130" s="65" t="n"/>
      <c r="D130" s="65" t="n"/>
      <c r="H130" s="41">
        <f>IF('_look'!$CF$20="","TENURE · no edges on Columns yet","TENURE · edges now "&amp;'_look'!$CF$20)</f>
        <v/>
      </c>
    </row>
    <row r="131">
      <c r="B131" s="21" t="inlineStr">
        <is>
          <t>Loans</t>
        </is>
      </c>
      <c r="C131" s="66" t="n">
        <v>12000</v>
      </c>
    </row>
    <row r="132">
      <c r="B132" s="21" t="inlineStr">
        <is>
          <t>Blank</t>
        </is>
      </c>
      <c r="C132" s="66" t="n">
        <v>0</v>
      </c>
      <c r="D132" s="67" t="n">
        <v>0</v>
      </c>
    </row>
    <row r="133">
      <c r="B133" s="21" t="inlineStr">
        <is>
          <t>Not a number</t>
        </is>
      </c>
      <c r="C133" s="66" t="n">
        <v>0</v>
      </c>
      <c r="D133" s="67" t="n">
        <v>0</v>
      </c>
    </row>
    <row r="134">
      <c r="B134" s="21" t="inlineStr">
        <is>
          <t>Likely a code</t>
        </is>
      </c>
      <c r="C134" s="66" t="inlineStr">
        <is>
          <t>none found</t>
        </is>
      </c>
    </row>
    <row r="135">
      <c r="B135" s="21" t="inlineStr">
        <is>
          <t>Smallest</t>
        </is>
      </c>
      <c r="C135" s="73" t="n">
        <v>0</v>
      </c>
    </row>
    <row r="136">
      <c r="B136" s="21" t="inlineStr">
        <is>
          <t>Median</t>
        </is>
      </c>
      <c r="C136" s="73" t="n">
        <v>4.2</v>
      </c>
    </row>
    <row r="137">
      <c r="B137" s="21" t="inlineStr">
        <is>
          <t>Mean</t>
        </is>
      </c>
      <c r="C137" s="73" t="n">
        <v>6.045733333333334</v>
      </c>
    </row>
    <row r="138">
      <c r="B138" s="21" t="inlineStr">
        <is>
          <t>Largest</t>
        </is>
      </c>
      <c r="C138" s="73" t="n">
        <v>72</v>
      </c>
    </row>
    <row r="140">
      <c r="B140" s="21" t="inlineStr">
        <is>
          <t>Bars</t>
        </is>
      </c>
      <c r="C140" s="68" t="n">
        <v>20</v>
      </c>
    </row>
    <row r="141">
      <c r="B141" s="21" t="inlineStr">
        <is>
          <t>From</t>
        </is>
      </c>
      <c r="C141" s="74" t="n">
        <v>0</v>
      </c>
    </row>
    <row r="142">
      <c r="B142" s="21" t="inlineStr">
        <is>
          <t>To</t>
        </is>
      </c>
      <c r="C142" s="74" t="n">
        <v>30</v>
      </c>
    </row>
    <row r="144">
      <c r="B144" s="21" t="inlineStr">
        <is>
          <t>10th percentile (P10)</t>
        </is>
      </c>
      <c r="C144" s="73" t="n">
        <v>0.6</v>
      </c>
    </row>
    <row r="145">
      <c r="B145" s="21" t="inlineStr">
        <is>
          <t>25th percentile (P25)</t>
        </is>
      </c>
      <c r="C145" s="73" t="n">
        <v>1.7</v>
      </c>
    </row>
    <row r="146">
      <c r="B146" s="21" t="inlineStr">
        <is>
          <t>50th percentile (P50), the median</t>
        </is>
      </c>
      <c r="C146" s="73" t="n">
        <v>4.2</v>
      </c>
    </row>
    <row r="147">
      <c r="B147" s="21" t="inlineStr">
        <is>
          <t>75th percentile (P75)</t>
        </is>
      </c>
      <c r="C147" s="73" t="n">
        <v>8.4</v>
      </c>
    </row>
    <row r="148">
      <c r="B148" s="21" t="inlineStr">
        <is>
          <t>90th percentile (P90)</t>
        </is>
      </c>
      <c r="C148" s="73" t="n">
        <v>13.8</v>
      </c>
    </row>
    <row r="150" ht="18" customHeight="1">
      <c r="B150" s="64" t="inlineStr">
        <is>
          <t>F1</t>
        </is>
      </c>
      <c r="C150" s="65" t="n"/>
      <c r="D150" s="65" t="n"/>
      <c r="H150" s="41">
        <f>IF('_look'!$CS$20="","F1 · no edges on Columns yet","F1 · edges now "&amp;'_look'!$CS$20)</f>
        <v/>
      </c>
    </row>
    <row r="151">
      <c r="B151" s="21" t="inlineStr">
        <is>
          <t>Loans</t>
        </is>
      </c>
      <c r="C151" s="66" t="n">
        <v>12000</v>
      </c>
    </row>
    <row r="152">
      <c r="B152" s="21" t="inlineStr">
        <is>
          <t>Blank</t>
        </is>
      </c>
      <c r="C152" s="66" t="n">
        <v>0</v>
      </c>
      <c r="D152" s="67" t="n">
        <v>0</v>
      </c>
    </row>
    <row r="153">
      <c r="B153" s="21" t="inlineStr">
        <is>
          <t>Not a number</t>
        </is>
      </c>
      <c r="C153" s="66" t="n">
        <v>0</v>
      </c>
      <c r="D153" s="67" t="n">
        <v>0</v>
      </c>
    </row>
    <row r="154">
      <c r="B154" s="21" t="inlineStr">
        <is>
          <t>Likely a code</t>
        </is>
      </c>
      <c r="C154" s="66" t="inlineStr">
        <is>
          <t>none found</t>
        </is>
      </c>
    </row>
    <row r="155">
      <c r="B155" s="21" t="inlineStr">
        <is>
          <t>Smallest</t>
        </is>
      </c>
      <c r="C155" s="66" t="n">
        <v>-9.44</v>
      </c>
    </row>
    <row r="156">
      <c r="B156" s="21" t="inlineStr">
        <is>
          <t>Median</t>
        </is>
      </c>
      <c r="C156" s="66" t="n">
        <v>50.25</v>
      </c>
    </row>
    <row r="157">
      <c r="B157" s="21" t="inlineStr">
        <is>
          <t>Mean</t>
        </is>
      </c>
      <c r="C157" s="66" t="n">
        <v>50.07284333333333</v>
      </c>
    </row>
    <row r="158">
      <c r="B158" s="21" t="inlineStr">
        <is>
          <t>Largest</t>
        </is>
      </c>
      <c r="C158" s="66" t="n">
        <v>103.86</v>
      </c>
    </row>
    <row r="160">
      <c r="B160" s="21" t="inlineStr">
        <is>
          <t>Bars</t>
        </is>
      </c>
      <c r="C160" s="68" t="n">
        <v>20</v>
      </c>
    </row>
    <row r="161">
      <c r="B161" s="21" t="inlineStr">
        <is>
          <t>From</t>
        </is>
      </c>
      <c r="C161" s="69" t="n">
        <v>10</v>
      </c>
    </row>
    <row r="162">
      <c r="B162" s="21" t="inlineStr">
        <is>
          <t>To</t>
        </is>
      </c>
      <c r="C162" s="69" t="n">
        <v>90</v>
      </c>
    </row>
    <row r="163">
      <c r="B163" s="70">
        <f>IF(Columns!$H$27="Missing","Answered on Columns: its negative values mean missing.",IF(Columns!$H$27="Real","Answered on Columns: its negative values are real.","Not answered on Columns yet (row 27): its negative values are used as recorded."))</f>
        <v/>
      </c>
    </row>
    <row r="164">
      <c r="B164" s="21" t="inlineStr">
        <is>
          <t>10th percentile (P10)</t>
        </is>
      </c>
      <c r="C164" s="66" t="n">
        <v>30.82</v>
      </c>
    </row>
    <row r="165">
      <c r="B165" s="21" t="inlineStr">
        <is>
          <t>25th percentile (P25)</t>
        </is>
      </c>
      <c r="C165" s="66" t="n">
        <v>40.02</v>
      </c>
    </row>
    <row r="166">
      <c r="B166" s="21" t="inlineStr">
        <is>
          <t>50th percentile (P50), the median</t>
        </is>
      </c>
      <c r="C166" s="66" t="n">
        <v>50.25</v>
      </c>
    </row>
    <row r="167">
      <c r="B167" s="21" t="inlineStr">
        <is>
          <t>75th percentile (P75)</t>
        </is>
      </c>
      <c r="C167" s="66" t="n">
        <v>60.12</v>
      </c>
    </row>
    <row r="168">
      <c r="B168" s="21" t="inlineStr">
        <is>
          <t>90th percentile (P90)</t>
        </is>
      </c>
      <c r="C168" s="66" t="n">
        <v>69.31100000000001</v>
      </c>
    </row>
    <row r="170" ht="18" customHeight="1">
      <c r="B170" s="64" t="inlineStr">
        <is>
          <t>F2</t>
        </is>
      </c>
      <c r="C170" s="65" t="n"/>
      <c r="D170" s="65" t="n"/>
      <c r="H170" s="41">
        <f>IF('_look'!$DF$20="","F2 · no edges on Columns yet","F2 · edges now "&amp;'_look'!$DF$20)</f>
        <v/>
      </c>
    </row>
    <row r="171">
      <c r="B171" s="21" t="inlineStr">
        <is>
          <t>Loans</t>
        </is>
      </c>
      <c r="C171" s="66" t="n">
        <v>12000</v>
      </c>
    </row>
    <row r="172">
      <c r="B172" s="21" t="inlineStr">
        <is>
          <t>Blank</t>
        </is>
      </c>
      <c r="C172" s="66" t="n">
        <v>0</v>
      </c>
      <c r="D172" s="67" t="n">
        <v>0</v>
      </c>
    </row>
    <row r="173">
      <c r="B173" s="21" t="inlineStr">
        <is>
          <t>Not a number</t>
        </is>
      </c>
      <c r="C173" s="66" t="n">
        <v>0</v>
      </c>
      <c r="D173" s="67" t="n">
        <v>0</v>
      </c>
    </row>
    <row r="174">
      <c r="B174" s="21" t="inlineStr">
        <is>
          <t>Likely a code</t>
        </is>
      </c>
      <c r="C174" s="66" t="inlineStr">
        <is>
          <t>none found</t>
        </is>
      </c>
    </row>
    <row r="175">
      <c r="B175" s="21" t="inlineStr">
        <is>
          <t>Smallest</t>
        </is>
      </c>
      <c r="C175" s="73" t="n">
        <v>-11.27</v>
      </c>
    </row>
    <row r="176">
      <c r="B176" s="21" t="inlineStr">
        <is>
          <t>Median</t>
        </is>
      </c>
      <c r="C176" s="73" t="n">
        <v>45.09</v>
      </c>
    </row>
    <row r="177">
      <c r="B177" s="21" t="inlineStr">
        <is>
          <t>Mean</t>
        </is>
      </c>
      <c r="C177" s="73" t="n">
        <v>45.04671166666667</v>
      </c>
    </row>
    <row r="178">
      <c r="B178" s="21" t="inlineStr">
        <is>
          <t>Largest</t>
        </is>
      </c>
      <c r="C178" s="73" t="n">
        <v>96.62</v>
      </c>
    </row>
    <row r="180">
      <c r="B180" s="21" t="inlineStr">
        <is>
          <t>Bars</t>
        </is>
      </c>
      <c r="C180" s="68" t="n">
        <v>20</v>
      </c>
    </row>
    <row r="181">
      <c r="B181" s="21" t="inlineStr">
        <is>
          <t>From</t>
        </is>
      </c>
      <c r="C181" s="74" t="n">
        <v>10</v>
      </c>
    </row>
    <row r="182">
      <c r="B182" s="21" t="inlineStr">
        <is>
          <t>To</t>
        </is>
      </c>
      <c r="C182" s="74" t="n">
        <v>80</v>
      </c>
    </row>
    <row r="183">
      <c r="B183" s="70">
        <f>IF(Columns!$H$28="Missing","Answered on Columns: its negative values mean missing.",IF(Columns!$H$28="Real","Answered on Columns: its negative values are real.","Not answered on Columns yet (row 28): its negative values are used as recorded."))</f>
        <v/>
      </c>
    </row>
    <row r="184">
      <c r="B184" s="21" t="inlineStr">
        <is>
          <t>10th percentile (P10)</t>
        </is>
      </c>
      <c r="C184" s="73" t="n">
        <v>27.369</v>
      </c>
    </row>
    <row r="185">
      <c r="B185" s="21" t="inlineStr">
        <is>
          <t>25th percentile (P25)</t>
        </is>
      </c>
      <c r="C185" s="73" t="n">
        <v>35.83</v>
      </c>
    </row>
    <row r="186">
      <c r="B186" s="21" t="inlineStr">
        <is>
          <t>50th percentile (P50), the median</t>
        </is>
      </c>
      <c r="C186" s="73" t="n">
        <v>45.09</v>
      </c>
    </row>
    <row r="187">
      <c r="B187" s="21" t="inlineStr">
        <is>
          <t>75th percentile (P75)</t>
        </is>
      </c>
      <c r="C187" s="73" t="n">
        <v>54.36</v>
      </c>
    </row>
    <row r="188">
      <c r="B188" s="21" t="inlineStr">
        <is>
          <t>90th percentile (P90)</t>
        </is>
      </c>
      <c r="C188" s="73" t="n">
        <v>62.541</v>
      </c>
    </row>
    <row r="190" ht="18" customHeight="1">
      <c r="B190" s="64" t="inlineStr">
        <is>
          <t>F3</t>
        </is>
      </c>
      <c r="C190" s="65" t="n"/>
      <c r="D190" s="65" t="n"/>
      <c r="H190" s="41">
        <f>IF('_look'!$DS$20="","F3 · no edges on Columns yet","F3 · edges now "&amp;'_look'!$DS$20)</f>
        <v/>
      </c>
    </row>
    <row r="191">
      <c r="B191" s="21" t="inlineStr">
        <is>
          <t>Loans</t>
        </is>
      </c>
      <c r="C191" s="66" t="n">
        <v>12000</v>
      </c>
    </row>
    <row r="192">
      <c r="B192" s="21" t="inlineStr">
        <is>
          <t>Blank</t>
        </is>
      </c>
      <c r="C192" s="66" t="n">
        <v>0</v>
      </c>
      <c r="D192" s="67" t="n">
        <v>0</v>
      </c>
    </row>
    <row r="193">
      <c r="B193" s="21" t="inlineStr">
        <is>
          <t>Not a number</t>
        </is>
      </c>
      <c r="C193" s="66" t="n">
        <v>0</v>
      </c>
      <c r="D193" s="67" t="n">
        <v>0</v>
      </c>
    </row>
    <row r="194">
      <c r="B194" s="21" t="inlineStr">
        <is>
          <t>Likely a code</t>
        </is>
      </c>
      <c r="C194" s="66" t="inlineStr">
        <is>
          <t>none found</t>
        </is>
      </c>
    </row>
    <row r="195">
      <c r="B195" s="21" t="inlineStr">
        <is>
          <t>Smallest</t>
        </is>
      </c>
      <c r="C195" s="73" t="n">
        <v>6.177</v>
      </c>
    </row>
    <row r="196">
      <c r="B196" s="21" t="inlineStr">
        <is>
          <t>Median</t>
        </is>
      </c>
      <c r="C196" s="73" t="n">
        <v>10.011</v>
      </c>
    </row>
    <row r="197">
      <c r="B197" s="21" t="inlineStr">
        <is>
          <t>Mean</t>
        </is>
      </c>
      <c r="C197" s="73" t="n">
        <v>10.02064758333333</v>
      </c>
    </row>
    <row r="198">
      <c r="B198" s="21" t="inlineStr">
        <is>
          <t>Largest</t>
        </is>
      </c>
      <c r="C198" s="73" t="n">
        <v>13.673</v>
      </c>
    </row>
    <row r="200">
      <c r="B200" s="21" t="inlineStr">
        <is>
          <t>Bars</t>
        </is>
      </c>
      <c r="C200" s="68" t="n">
        <v>20</v>
      </c>
    </row>
    <row r="201">
      <c r="B201" s="21" t="inlineStr">
        <is>
          <t>From</t>
        </is>
      </c>
      <c r="C201" s="74" t="n">
        <v>7.5</v>
      </c>
    </row>
    <row r="202">
      <c r="B202" s="21" t="inlineStr">
        <is>
          <t>To</t>
        </is>
      </c>
      <c r="C202" s="74" t="n">
        <v>12.5</v>
      </c>
    </row>
    <row r="204">
      <c r="B204" s="21" t="inlineStr">
        <is>
          <t>10th percentile (P10)</t>
        </is>
      </c>
      <c r="C204" s="73" t="n">
        <v>8.746</v>
      </c>
    </row>
    <row r="205">
      <c r="B205" s="21" t="inlineStr">
        <is>
          <t>25th percentile (P25)</t>
        </is>
      </c>
      <c r="C205" s="73" t="n">
        <v>9.343999999999999</v>
      </c>
    </row>
    <row r="206">
      <c r="B206" s="21" t="inlineStr">
        <is>
          <t>50th percentile (P50), the median</t>
        </is>
      </c>
      <c r="C206" s="73" t="n">
        <v>10.011</v>
      </c>
    </row>
    <row r="207">
      <c r="B207" s="21" t="inlineStr">
        <is>
          <t>75th percentile (P75)</t>
        </is>
      </c>
      <c r="C207" s="73" t="n">
        <v>10.7075</v>
      </c>
    </row>
    <row r="208">
      <c r="B208" s="21" t="inlineStr">
        <is>
          <t>90th percentile (P90)</t>
        </is>
      </c>
      <c r="C208" s="73" t="n">
        <v>11.298</v>
      </c>
    </row>
    <row r="210" ht="18" customHeight="1">
      <c r="B210" s="64" t="inlineStr">
        <is>
          <t>F4</t>
        </is>
      </c>
      <c r="C210" s="65" t="n"/>
      <c r="D210" s="65" t="n"/>
      <c r="H210" s="41">
        <f>IF('_look'!$EF$20="","F4 · no edges on Columns yet","F4 · edges now "&amp;'_look'!$EF$20)</f>
        <v/>
      </c>
    </row>
    <row r="211">
      <c r="B211" s="21" t="inlineStr">
        <is>
          <t>Loans</t>
        </is>
      </c>
      <c r="C211" s="66" t="n">
        <v>12000</v>
      </c>
    </row>
    <row r="212">
      <c r="B212" s="21" t="inlineStr">
        <is>
          <t>Blank</t>
        </is>
      </c>
      <c r="C212" s="66" t="n">
        <v>0</v>
      </c>
      <c r="D212" s="67" t="n">
        <v>0</v>
      </c>
    </row>
    <row r="213">
      <c r="B213" s="21" t="inlineStr">
        <is>
          <t>Not a number</t>
        </is>
      </c>
      <c r="C213" s="66" t="n">
        <v>0</v>
      </c>
      <c r="D213" s="67" t="n">
        <v>0</v>
      </c>
    </row>
    <row r="214">
      <c r="B214" s="21" t="inlineStr">
        <is>
          <t>Likely a code</t>
        </is>
      </c>
      <c r="C214" s="66" t="inlineStr">
        <is>
          <t>none found</t>
        </is>
      </c>
    </row>
    <row r="215">
      <c r="B215" s="21" t="inlineStr">
        <is>
          <t>Smallest</t>
        </is>
      </c>
      <c r="C215" s="66" t="n">
        <v>0</v>
      </c>
    </row>
    <row r="216">
      <c r="B216" s="21" t="inlineStr">
        <is>
          <t>Median</t>
        </is>
      </c>
      <c r="C216" s="66" t="n">
        <v>50.1</v>
      </c>
    </row>
    <row r="217">
      <c r="B217" s="21" t="inlineStr">
        <is>
          <t>Mean</t>
        </is>
      </c>
      <c r="C217" s="66" t="n">
        <v>50.07715</v>
      </c>
    </row>
    <row r="218">
      <c r="B218" s="21" t="inlineStr">
        <is>
          <t>Largest</t>
        </is>
      </c>
      <c r="C218" s="66" t="n">
        <v>100</v>
      </c>
    </row>
    <row r="220">
      <c r="B220" s="21" t="inlineStr">
        <is>
          <t>Bars</t>
        </is>
      </c>
      <c r="C220" s="68" t="n">
        <v>20</v>
      </c>
    </row>
    <row r="221">
      <c r="B221" s="21" t="inlineStr">
        <is>
          <t>From</t>
        </is>
      </c>
      <c r="C221" s="69" t="n">
        <v>0</v>
      </c>
    </row>
    <row r="222">
      <c r="B222" s="21" t="inlineStr">
        <is>
          <t>To</t>
        </is>
      </c>
      <c r="C222" s="69" t="n">
        <v>100</v>
      </c>
    </row>
    <row r="224">
      <c r="B224" s="21" t="inlineStr">
        <is>
          <t>10th percentile (P10)</t>
        </is>
      </c>
      <c r="C224" s="66" t="n">
        <v>9.9</v>
      </c>
    </row>
    <row r="225">
      <c r="B225" s="21" t="inlineStr">
        <is>
          <t>25th percentile (P25)</t>
        </is>
      </c>
      <c r="C225" s="66" t="n">
        <v>25.1</v>
      </c>
    </row>
    <row r="226">
      <c r="B226" s="21" t="inlineStr">
        <is>
          <t>50th percentile (P50), the median</t>
        </is>
      </c>
      <c r="C226" s="66" t="n">
        <v>50.1</v>
      </c>
    </row>
    <row r="227">
      <c r="B227" s="21" t="inlineStr">
        <is>
          <t>75th percentile (P75)</t>
        </is>
      </c>
      <c r="C227" s="66" t="n">
        <v>75.2</v>
      </c>
    </row>
    <row r="228">
      <c r="B228" s="21" t="inlineStr">
        <is>
          <t>90th percentile (P90)</t>
        </is>
      </c>
      <c r="C228" s="66" t="n">
        <v>90.2</v>
      </c>
    </row>
    <row r="230" ht="18" customHeight="1">
      <c r="B230" s="64" t="inlineStr">
        <is>
          <t>income_to_sales</t>
        </is>
      </c>
      <c r="C230" s="65" t="n"/>
      <c r="D230" s="65" t="n"/>
      <c r="H230" s="41">
        <f>IF('_look'!$ES$20="","income_to_sales · no edges on Columns yet","income_to_sales · edges now "&amp;'_look'!$ES$20)</f>
        <v/>
      </c>
    </row>
    <row r="231">
      <c r="B231" s="21" t="inlineStr">
        <is>
          <t>Loans</t>
        </is>
      </c>
      <c r="C231" s="66" t="n">
        <v>12000</v>
      </c>
    </row>
    <row r="232">
      <c r="B232" s="21" t="inlineStr">
        <is>
          <t>Blank</t>
        </is>
      </c>
      <c r="C232" s="66" t="n">
        <v>24</v>
      </c>
      <c r="D232" s="67" t="n">
        <v>0.002</v>
      </c>
    </row>
    <row r="233">
      <c r="B233" s="21" t="inlineStr">
        <is>
          <t>Not a number</t>
        </is>
      </c>
      <c r="C233" s="66" t="n">
        <v>0</v>
      </c>
      <c r="D233" s="67" t="n">
        <v>0</v>
      </c>
    </row>
    <row r="234">
      <c r="B234" s="21" t="inlineStr">
        <is>
          <t>Likely a code</t>
        </is>
      </c>
      <c r="C234" s="66" t="inlineStr">
        <is>
          <t>none found</t>
        </is>
      </c>
    </row>
    <row r="235">
      <c r="B235" s="21" t="inlineStr">
        <is>
          <t>Smallest</t>
        </is>
      </c>
      <c r="C235" s="71" t="n">
        <v>0.02370149398042625</v>
      </c>
    </row>
    <row r="236">
      <c r="B236" s="21" t="inlineStr">
        <is>
          <t>Median</t>
        </is>
      </c>
      <c r="C236" s="71" t="n">
        <v>0.5058381197964074</v>
      </c>
    </row>
    <row r="237">
      <c r="B237" s="21" t="inlineStr">
        <is>
          <t>Mean</t>
        </is>
      </c>
      <c r="C237" s="71" t="n">
        <v>0.7036686892630274</v>
      </c>
    </row>
    <row r="238">
      <c r="B238" s="21" t="inlineStr">
        <is>
          <t>Largest</t>
        </is>
      </c>
      <c r="C238" s="71" t="n">
        <v>8.291943696990142</v>
      </c>
    </row>
    <row r="240">
      <c r="B240" s="21" t="inlineStr">
        <is>
          <t>Bars</t>
        </is>
      </c>
      <c r="C240" s="68" t="n">
        <v>20</v>
      </c>
    </row>
    <row r="241">
      <c r="B241" s="21" t="inlineStr">
        <is>
          <t>From</t>
        </is>
      </c>
      <c r="C241" s="72" t="n">
        <v>0</v>
      </c>
    </row>
    <row r="242">
      <c r="B242" s="21" t="inlineStr">
        <is>
          <t>To</t>
        </is>
      </c>
      <c r="C242" s="72" t="n">
        <v>3.5</v>
      </c>
    </row>
    <row r="244">
      <c r="B244" s="21" t="inlineStr">
        <is>
          <t>10th percentile (P10)</t>
        </is>
      </c>
      <c r="C244" s="71" t="n">
        <v>0.1778163673604774</v>
      </c>
    </row>
    <row r="245">
      <c r="B245" s="21" t="inlineStr">
        <is>
          <t>25th percentile (P25)</t>
        </is>
      </c>
      <c r="C245" s="71" t="n">
        <v>0.2916585256395905</v>
      </c>
    </row>
    <row r="246">
      <c r="B246" s="21" t="inlineStr">
        <is>
          <t>50th percentile (P50), the median</t>
        </is>
      </c>
      <c r="C246" s="71" t="n">
        <v>0.5058381197964074</v>
      </c>
    </row>
    <row r="247">
      <c r="B247" s="21" t="inlineStr">
        <is>
          <t>75th percentile (P75)</t>
        </is>
      </c>
      <c r="C247" s="71" t="n">
        <v>0.8637362753173674</v>
      </c>
    </row>
    <row r="248">
      <c r="B248" s="21" t="inlineStr">
        <is>
          <t>90th percentile (P90)</t>
        </is>
      </c>
      <c r="C248" s="71" t="n">
        <v>1.44352590330129</v>
      </c>
    </row>
    <row r="250" ht="18" customHeight="1">
      <c r="B250" s="64" t="inlineStr">
        <is>
          <t>Scatters</t>
        </is>
      </c>
      <c r="C250" s="65" t="n"/>
      <c r="D250" s="65" t="n"/>
    </row>
    <row r="251" ht="17" customHeight="1">
      <c r="B251" s="75" t="inlineStr">
        <is>
          <t>None: nothing splits the pockets. Pick a column to split by in the launcher's Choose tests; a scatter of it against each band column shows here.</t>
        </is>
      </c>
    </row>
  </sheetData>
  <mergeCells count="6">
    <mergeCell ref="C7:Q7"/>
    <mergeCell ref="C6:Q6"/>
    <mergeCell ref="C5:Q5"/>
    <mergeCell ref="C8:Q8"/>
    <mergeCell ref="C4:Q4"/>
    <mergeCell ref="B251:Q251"/>
  </mergeCells>
  <dataValidations count="1">
    <dataValidation sqref="C20 C40 C60 C80 C100 C120 C140 C160 C180 C200 C220 C24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5" manualBreakCount="5">
    <brk id="48" min="0" max="16383" man="1"/>
    <brk id="88" min="0" max="16383" man="1"/>
    <brk id="128" min="0" max="16383" man="1"/>
    <brk id="168" min="0" max="16383" man="1"/>
    <brk id="20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J108"/>
  <sheetViews>
    <sheetView showGridLines="0" tabSelected="0" workbookViewId="0">
      <pane ySplit="23" topLeftCell="A24" activePane="bottomLeft" state="frozen"/>
      <selection pane="bottomLeft" activeCell="A1" sqref="A1"/>
    </sheetView>
  </sheetViews>
  <sheetFormatPr baseColWidth="8" defaultRowHeight="15"/>
  <cols>
    <col width="2" customWidth="1" min="1" max="1"/>
    <col width="22" customWidth="1" min="2" max="2"/>
    <col width="6" customWidth="1" min="3" max="3"/>
    <col width="13" customWidth="1" min="4" max="4"/>
    <col width="17" customWidth="1" min="5" max="5"/>
    <col width="34" customWidth="1" min="6" max="6"/>
    <col width="16" customWidth="1" min="7" max="7"/>
    <col width="24" customWidth="1" min="8" max="8"/>
    <col width="11" customWidth="1" min="9" max="9"/>
    <col width="24" customWidth="1" min="10" max="10"/>
  </cols>
  <sheetData>
    <row r="1" ht="30" customHeight="1">
      <c r="B1" s="1" t="inlineStr">
        <is>
          <t>Scouting</t>
        </is>
      </c>
      <c r="C1" s="2" t="inlineStr">
        <is>
          <t>Which of the 8 candidates does the book lean on, and where does each one bend? On the development loans only.</t>
        </is>
      </c>
      <c r="D1" s="3" t="n"/>
      <c r="E1" s="3" t="n"/>
      <c r="F1" s="3" t="n"/>
      <c r="G1" s="3" t="n"/>
      <c r="H1" s="3" t="n"/>
      <c r="I1" s="3" t="n"/>
      <c r="J1" s="3" t="n"/>
    </row>
    <row r="3" outlineLevel="1">
      <c r="B3" s="4" t="inlineStr">
        <is>
          <t>How this tab works</t>
        </is>
      </c>
      <c r="C3" s="5" t="n"/>
      <c r="D3" s="5" t="n"/>
      <c r="E3" s="5" t="n"/>
      <c r="F3" s="5" t="n"/>
      <c r="G3" s="5" t="n"/>
      <c r="H3" s="5" t="n"/>
      <c r="I3" s="5" t="n"/>
      <c r="J3" s="5" t="n"/>
    </row>
    <row r="4" outlineLevel="1" ht="31" customHeight="1">
      <c r="B4" s="6" t="inlineStr">
        <is>
          <t>What it is</t>
        </is>
      </c>
      <c r="C4" s="7" t="inlineStr">
        <is>
          <t>Scouting: which of the 8 candidates the book leans on, and where each one bends. It nominates; it never confirms (statistics.md B7). The confirmation is the New variables tab, on loans scouting never read.</t>
        </is>
      </c>
    </row>
    <row r="5" outlineLevel="1" ht="45" customHeight="1">
      <c r="B5" s="6" t="inlineStr">
        <is>
          <t>Found on</t>
        </is>
      </c>
      <c r="C5" s="7" t="inlineStr">
        <is>
          <t>8,394 development loans made 2021-06-30 to 2024-10-31, 673 of them bad: every loan made before the cutoff on Control, 2024-11-01. The 3,605 loans made on or after it are held back. Only their dates were read to rank the candidates and cut their bins; their outcomes and every other value were read only once the pre-spec was written, to check the tree on them (the New variables tab). Left out: 1 with no readable outcome.</t>
        </is>
      </c>
    </row>
    <row r="6" outlineLevel="1" ht="31" customHeight="1">
      <c r="B6" s="6" t="inlineStr">
        <is>
          <t>Candidates</t>
        </is>
      </c>
      <c r="C6" s="7" t="inlineStr">
        <is>
          <t>The columns ticked Test it in the launcher, and every new column made on Columns (one column divided by another), each fed in as a column in its own right. A category is given one number per value, in the order of its values.</t>
        </is>
      </c>
    </row>
    <row r="7" outlineLevel="1" ht="31" customHeight="1">
      <c r="B7" s="6" t="inlineStr">
        <is>
          <t>The forest</t>
        </is>
      </c>
      <c r="C7" s="7" t="inlineStr">
        <is>
          <t>A random forest: 200 trees, each leaf at least 40 loans, seed 7, grown by scikit-learn 1.9.1. Each tree splits the loans wherever a cut best separates bad from good, and the forest averages their votes. It writes no formula and assumes no shape. The same extract gives the same forest; another version of scikit-learn may not.</t>
        </is>
      </c>
    </row>
    <row r="8" outlineLevel="1" ht="45" customHeight="1">
      <c r="B8" s="6" t="inlineStr">
        <is>
          <t>Importance</t>
        </is>
      </c>
      <c r="C8" s="7" t="inlineStr">
        <is>
          <t>How far the forest's AUC drops when the column is shuffled, on loans it did not train on. AUC is the chance a random bad loan scores above a random good one; 0.5 is a coin flip. The development loans are cut into 3 runs by date; each run is scored by a forest grown on the other two, with 5 shuffles of each column, and the drops are averaged. The forest's own AUC is 0.628. It is a ranking: no direction, no size and no range, and it leans towards columns with many distinct values.</t>
        </is>
      </c>
    </row>
    <row r="9" outlineLevel="1" ht="31" customHeight="1">
      <c r="B9" s="6" t="inlineStr">
        <is>
          <t>With and without</t>
        </is>
      </c>
      <c r="C9" s="7" t="inlineStr">
        <is>
          <t>Importance is from a forest given the candidates alone. The next column is from a forest given FICO and CHANNEL as well (AUC 0.692): a candidate that drops there was mostly telling you FICO and CHANNEL. Their own importance is under the table.</t>
        </is>
      </c>
    </row>
    <row r="10" outlineLevel="1" ht="31" customHeight="1">
      <c r="B10" s="6" t="inlineStr">
        <is>
          <t>Noise floor</t>
        </is>
      </c>
      <c r="C10" s="7" t="inlineStr">
        <is>
          <t>0.0085: the largest importance any candidate reached in the same forests grown on the development loans with their outcomes shuffled among them, so that no column could matter (24 tries). It is what a column scores by chance.</t>
        </is>
      </c>
    </row>
    <row r="11" outlineLevel="1" ht="31" customHeight="1">
      <c r="B11" s="6" t="inlineStr">
        <is>
          <t>Proposed?</t>
        </is>
      </c>
      <c r="C11" s="7" t="inlineStr">
        <is>
          <t>Yes for a number column whose importance is above the noise floor, with the held-fixed columns in the forest or without them, and whose shape bends somewhere to cut. A category is ranked and not proposed: the pre-spec cuts a number at its bins.</t>
        </is>
      </c>
    </row>
    <row r="12" outlineLevel="1" ht="59" customHeight="1">
      <c r="B12" s="6" t="inlineStr">
        <is>
          <t>Suggested bins</t>
        </is>
      </c>
      <c r="C12" s="7" t="inlineStr">
        <is>
          <t>From the shape: the forest's bad rate with the column set to one value for every loan (partial dependence, on 1,000 development loans drawn by seed), over the column's own percentiles, from a forest grown on every development loan with FICO and CHANNEL in it. A cut goes where the curve steps by at least 25% of its average, largest step first, each group holding at least 2% of the loans, at most 6 groups. Inside each step the edge sits where the forest itself split the column most, rounded to two figures. The shapes are under the table.</t>
        </is>
      </c>
    </row>
    <row r="13" outlineLevel="1" ht="17" customHeight="1">
      <c r="B13" s="6" t="inlineStr">
        <is>
          <t>Reference</t>
        </is>
      </c>
      <c r="C13" s="7" t="inlineStr">
        <is>
          <t>The group holding the development loans' median value: the ordinary case, which every other group is compared with.</t>
        </is>
      </c>
    </row>
    <row r="14" outlineLevel="1" ht="31" customHeight="1">
      <c r="B14" s="6" t="inlineStr">
        <is>
          <t>Correlated with</t>
        </is>
      </c>
      <c r="C14" s="7" t="inlineStr">
        <is>
          <t>Candidates, and held-fixed number columns, whose values rise and fall together with this one: a rank correlation (Spearman's) of 0.7 or more either way, on the development loans with both. Importance splits between such columns, and the shape of one can borrow the other's.</t>
        </is>
      </c>
    </row>
    <row r="15" outlineLevel="1" ht="31" customHeight="1">
      <c r="B15" s="6" t="inlineStr">
        <is>
          <t>The pre-spec</t>
        </is>
      </c>
      <c r="C15" s="7" t="inlineStr">
        <is>
          <t>PocketBook writes the pre-spec from the proposed candidates beside the workbook, when there is none, and the confirmation reads it. One that is there already is confirmed as it stands: an edit is yours to make, and Record logs it. The file is under the table.</t>
        </is>
      </c>
    </row>
    <row r="16" outlineLevel="1" ht="17" customHeight="1">
      <c r="B16" s="6" t="inlineStr">
        <is>
          <t>As of</t>
        </is>
      </c>
      <c r="C16" s="7" t="inlineStr">
        <is>
          <t>The last Run, 2026-09-30 04:36. Nothing here follows Control until the next Run.</t>
        </is>
      </c>
    </row>
    <row r="18" ht="15" customHeight="1">
      <c r="B18" s="92" t="inlineStr">
        <is>
          <t>Outcome</t>
        </is>
      </c>
      <c r="C18" s="93" t="n"/>
      <c r="D18" s="80" t="inlineStr">
        <is>
          <t>Candidates · proposed</t>
        </is>
      </c>
      <c r="E18" s="81" t="n"/>
      <c r="F18" s="92" t="inlineStr">
        <is>
          <t>Held fixed</t>
        </is>
      </c>
      <c r="G18" s="92" t="inlineStr">
        <is>
          <t>Noise floor</t>
        </is>
      </c>
      <c r="H18" s="92" t="inlineStr">
        <is>
          <t>Development loans</t>
        </is>
      </c>
      <c r="I18" s="93" t="n"/>
      <c r="J18" s="93" t="n"/>
    </row>
    <row r="19" ht="22" customHeight="1">
      <c r="B19" s="11" t="inlineStr">
        <is>
          <t>BAD_FLAG</t>
        </is>
      </c>
      <c r="D19" s="11" t="inlineStr">
        <is>
          <t>8 · 2 proposed</t>
        </is>
      </c>
      <c r="F19" s="11" t="inlineStr">
        <is>
          <t>FICO · CHANNEL</t>
        </is>
      </c>
      <c r="G19" s="94" t="n">
        <v>0.00847645775989077</v>
      </c>
      <c r="H19" s="11" t="inlineStr">
        <is>
          <t>8,394 · 673 bad</t>
        </is>
      </c>
    </row>
    <row r="21">
      <c r="B21" s="95" t="inlineStr">
        <is>
          <t>Worked out at the last Run, 2026-09-30 04:36, on the development loans. Ranked by the larger of the two importances.</t>
        </is>
      </c>
    </row>
    <row r="23" ht="30" customHeight="1">
      <c r="B23" s="96" t="inlineStr">
        <is>
          <t>Candidate</t>
        </is>
      </c>
      <c r="C23" s="82" t="inlineStr">
        <is>
          <t>Rank</t>
        </is>
      </c>
      <c r="D23" s="82" t="inlineStr">
        <is>
          <t>Importance</t>
        </is>
      </c>
      <c r="E23" s="82" t="inlineStr">
        <is>
          <t>FICO and CHANNEL held fixed</t>
        </is>
      </c>
      <c r="F23" s="96" t="inlineStr">
        <is>
          <t>Suggested bins</t>
        </is>
      </c>
      <c r="G23" s="82" t="inlineStr">
        <is>
          <t>Reference</t>
        </is>
      </c>
      <c r="H23" s="96" t="inlineStr">
        <is>
          <t>Correlated with</t>
        </is>
      </c>
      <c r="I23" s="82" t="inlineStr">
        <is>
          <t>Proposed?</t>
        </is>
      </c>
      <c r="J23" s="96" t="inlineStr">
        <is>
          <t>Why</t>
        </is>
      </c>
    </row>
    <row r="24" ht="18" customHeight="1">
      <c r="B24" s="97" t="inlineStr">
        <is>
          <t>UTIL</t>
        </is>
      </c>
      <c r="C24" s="98" t="n">
        <v>1</v>
      </c>
      <c r="D24" s="99" t="n">
        <v>0.07730099999999999</v>
      </c>
      <c r="E24" s="99" t="n">
        <v>0.04644</v>
      </c>
      <c r="F24" s="100" t="inlineStr">
        <is>
          <t>0.0 - 0.8; 0.9 - 1.2</t>
        </is>
      </c>
      <c r="G24" s="98" t="inlineStr">
        <is>
          <t>0.0 - 0.8</t>
        </is>
      </c>
      <c r="H24" s="100" t="inlineStr"/>
      <c r="I24" s="101" t="inlineStr">
        <is>
          <t>Yes</t>
        </is>
      </c>
      <c r="J24" s="100" t="inlineStr">
        <is>
          <t>clears the noise floor</t>
        </is>
      </c>
    </row>
    <row r="25" ht="18" customHeight="1">
      <c r="B25" s="97" t="inlineStr">
        <is>
          <t>income_to_sales</t>
        </is>
      </c>
      <c r="C25" s="98" t="n">
        <v>2</v>
      </c>
      <c r="D25" s="99" t="n">
        <v>0.036077</v>
      </c>
      <c r="E25" s="99" t="n">
        <v>0.031561</v>
      </c>
      <c r="F25" s="100" t="inlineStr">
        <is>
          <t>0.02 - 0.09; 0.10 - 1.99; 2.00 - 8.30</t>
        </is>
      </c>
      <c r="G25" s="98" t="inlineStr">
        <is>
          <t>0.10 - 1.99</t>
        </is>
      </c>
      <c r="H25" s="100" t="inlineStr"/>
      <c r="I25" s="101" t="inlineStr">
        <is>
          <t>Yes</t>
        </is>
      </c>
      <c r="J25" s="100" t="inlineStr">
        <is>
          <t>clears the noise floor</t>
        </is>
      </c>
    </row>
    <row r="26" ht="18" customHeight="1">
      <c r="B26" s="100" t="inlineStr">
        <is>
          <t>F4</t>
        </is>
      </c>
      <c r="C26" s="102" t="n">
        <v>3</v>
      </c>
      <c r="D26" s="103" t="n">
        <v>0.005662</v>
      </c>
      <c r="E26" s="103" t="n">
        <v>0.004672</v>
      </c>
      <c r="F26" s="104" t="inlineStr"/>
      <c r="G26" s="102" t="inlineStr"/>
      <c r="H26" s="104" t="inlineStr"/>
      <c r="I26" s="102" t="inlineStr">
        <is>
          <t>No</t>
        </is>
      </c>
      <c r="J26" s="104" t="inlineStr">
        <is>
          <t>below the noise floor</t>
        </is>
      </c>
    </row>
    <row r="27" ht="18" customHeight="1">
      <c r="B27" s="100" t="inlineStr">
        <is>
          <t>F2</t>
        </is>
      </c>
      <c r="C27" s="102" t="n">
        <v>4</v>
      </c>
      <c r="D27" s="103" t="n">
        <v>0.003198</v>
      </c>
      <c r="E27" s="103" t="n">
        <v>-0.002621</v>
      </c>
      <c r="F27" s="104" t="inlineStr"/>
      <c r="G27" s="102" t="inlineStr"/>
      <c r="H27" s="104" t="inlineStr">
        <is>
          <t>F1 (+0.97)</t>
        </is>
      </c>
      <c r="I27" s="102" t="inlineStr">
        <is>
          <t>No</t>
        </is>
      </c>
      <c r="J27" s="104" t="inlineStr">
        <is>
          <t>below the noise floor</t>
        </is>
      </c>
    </row>
    <row r="28" ht="18" customHeight="1">
      <c r="B28" s="100" t="inlineStr">
        <is>
          <t>F1</t>
        </is>
      </c>
      <c r="C28" s="102" t="n">
        <v>5</v>
      </c>
      <c r="D28" s="103" t="n">
        <v>0.002109</v>
      </c>
      <c r="E28" s="103" t="n">
        <v>0.00105</v>
      </c>
      <c r="F28" s="104" t="inlineStr"/>
      <c r="G28" s="102" t="inlineStr"/>
      <c r="H28" s="104" t="inlineStr">
        <is>
          <t>F2 (+0.97)</t>
        </is>
      </c>
      <c r="I28" s="102" t="inlineStr">
        <is>
          <t>No</t>
        </is>
      </c>
      <c r="J28" s="104" t="inlineStr">
        <is>
          <t>below the noise floor</t>
        </is>
      </c>
    </row>
    <row r="29" ht="18" customHeight="1">
      <c r="B29" s="100" t="inlineStr">
        <is>
          <t>TENURE</t>
        </is>
      </c>
      <c r="C29" s="102" t="n">
        <v>6</v>
      </c>
      <c r="D29" s="103" t="n">
        <v>0.000605</v>
      </c>
      <c r="E29" s="103" t="n">
        <v>0.002076</v>
      </c>
      <c r="F29" s="104" t="inlineStr"/>
      <c r="G29" s="102" t="inlineStr"/>
      <c r="H29" s="104" t="inlineStr"/>
      <c r="I29" s="102" t="inlineStr">
        <is>
          <t>No</t>
        </is>
      </c>
      <c r="J29" s="104" t="inlineStr">
        <is>
          <t>below the noise floor</t>
        </is>
      </c>
    </row>
    <row r="30" ht="18" customHeight="1">
      <c r="B30" s="100" t="inlineStr">
        <is>
          <t>F3</t>
        </is>
      </c>
      <c r="C30" s="102" t="n">
        <v>7</v>
      </c>
      <c r="D30" s="103" t="n">
        <v>-0.001772</v>
      </c>
      <c r="E30" s="103" t="n">
        <v>0.000193</v>
      </c>
      <c r="F30" s="104" t="inlineStr"/>
      <c r="G30" s="102" t="inlineStr"/>
      <c r="H30" s="104" t="inlineStr"/>
      <c r="I30" s="102" t="inlineStr">
        <is>
          <t>No</t>
        </is>
      </c>
      <c r="J30" s="104" t="inlineStr">
        <is>
          <t>below the noise floor</t>
        </is>
      </c>
    </row>
    <row r="31" ht="18" customHeight="1">
      <c r="B31" s="100" t="inlineStr">
        <is>
          <t>REGION</t>
        </is>
      </c>
      <c r="C31" s="102" t="n">
        <v>8</v>
      </c>
      <c r="D31" s="103" t="n">
        <v>-0.001832</v>
      </c>
      <c r="E31" s="103" t="n">
        <v>-0.000929</v>
      </c>
      <c r="F31" s="104" t="inlineStr">
        <is>
          <t>Each value</t>
        </is>
      </c>
      <c r="G31" s="102" t="inlineStr"/>
      <c r="H31" s="104" t="inlineStr"/>
      <c r="I31" s="102" t="inlineStr">
        <is>
          <t>No</t>
        </is>
      </c>
      <c r="J31" s="104" t="inlineStr">
        <is>
          <t>a category</t>
        </is>
      </c>
    </row>
    <row r="33" ht="20" customHeight="1">
      <c r="B33" s="25" t="inlineStr">
        <is>
          <t>Held fixed, for comparison: their own importance with the candidates</t>
        </is>
      </c>
      <c r="C33" s="26" t="n"/>
      <c r="D33" s="26" t="n"/>
      <c r="E33" s="26" t="n"/>
      <c r="F33" s="26" t="n"/>
      <c r="G33" s="26" t="n"/>
      <c r="H33" s="26" t="n"/>
      <c r="I33" s="26" t="n"/>
      <c r="J33" s="26" t="n"/>
    </row>
    <row r="34">
      <c r="B34" s="29" t="inlineStr">
        <is>
          <t>Column</t>
        </is>
      </c>
      <c r="C34" s="29" t="inlineStr"/>
      <c r="D34" s="30" t="inlineStr">
        <is>
          <t>Importance</t>
        </is>
      </c>
    </row>
    <row r="35">
      <c r="B35" s="105" t="inlineStr">
        <is>
          <t>FICO</t>
        </is>
      </c>
      <c r="D35" s="106" t="n">
        <v>0.080336</v>
      </c>
    </row>
    <row r="36">
      <c r="B36" s="105" t="inlineStr">
        <is>
          <t>CHANNEL</t>
        </is>
      </c>
      <c r="D36" s="106" t="n">
        <v>0.005494</v>
      </c>
    </row>
    <row r="38" ht="20" customHeight="1">
      <c r="B38" s="25" t="inlineStr">
        <is>
          <t>The pre-spec</t>
        </is>
      </c>
      <c r="C38" s="26" t="n"/>
      <c r="D38" s="26" t="n"/>
      <c r="E38" s="26" t="n"/>
      <c r="F38" s="26" t="n"/>
      <c r="G38" s="26" t="n"/>
      <c r="H38" s="26" t="n"/>
      <c r="I38" s="26" t="n"/>
      <c r="J38" s="26" t="n"/>
    </row>
    <row r="39" ht="34" customHeight="1">
      <c r="B39" s="107" t="inlineStr">
        <is>
          <t>Written by this Run: Scouting book - pre-spec.yaml, beside the workbook, fingerprint 374284797598, before any held-back loan was tested. Edit it if you like; Record logs every change.</t>
        </is>
      </c>
    </row>
    <row r="41">
      <c r="B41" s="108" t="inlineStr">
        <is>
          <t># Written by PocketBook's scouting on 2026-09-30, from 8,394 development loans made 2021-06-30 to 2024-10-31.</t>
        </is>
      </c>
    </row>
    <row r="42">
      <c r="B42" s="108" t="inlineStr">
        <is>
          <t># The 3,605 loans held back (made 2024-11-01 to 2026-03-30) were not read. Edit it if you like: Record logs every change.</t>
        </is>
      </c>
    </row>
    <row r="43">
      <c r="B43" s="108" t="inlineStr">
        <is>
          <t>prespec: 1</t>
        </is>
      </c>
    </row>
    <row r="44">
      <c r="B44" s="108" t="inlineStr">
        <is>
          <t>written: 2026-09-30</t>
        </is>
      </c>
    </row>
    <row r="45">
      <c r="B45" s="108" t="inlineStr">
        <is>
          <t>outcome: BAD_FLAG</t>
        </is>
      </c>
    </row>
    <row r="46">
      <c r="B46" s="108" t="inlineStr">
        <is>
          <t>inputs:</t>
        </is>
      </c>
    </row>
    <row r="47">
      <c r="B47" s="108" t="inlineStr">
        <is>
          <t xml:space="preserve">  - column: UTIL</t>
        </is>
      </c>
    </row>
    <row r="48">
      <c r="B48" s="108" t="inlineStr">
        <is>
          <t xml:space="preserve">    bins: [0.9]</t>
        </is>
      </c>
    </row>
    <row r="49">
      <c r="B49" s="108" t="inlineStr">
        <is>
          <t xml:space="preserve">    reference: 0                  # 0.0 - 0.8, the group holding the median</t>
        </is>
      </c>
    </row>
    <row r="50">
      <c r="B50" s="108" t="inlineStr">
        <is>
          <t xml:space="preserve">  - column: income_to_sales</t>
        </is>
      </c>
    </row>
    <row r="51">
      <c r="B51" s="108" t="inlineStr">
        <is>
          <t xml:space="preserve">    bins: [0.1, 2]</t>
        </is>
      </c>
    </row>
    <row r="52">
      <c r="B52" s="108" t="inlineStr">
        <is>
          <t xml:space="preserve">    reference: 1                  # 0.10 - 1.99, the group holding the median</t>
        </is>
      </c>
    </row>
    <row r="53">
      <c r="B53" s="108" t="inlineStr">
        <is>
          <t>strata: [FICO, CHANNEL]</t>
        </is>
      </c>
    </row>
    <row r="54">
      <c r="B54" s="108" t="inlineStr">
        <is>
          <t>confidence: 0.95</t>
        </is>
      </c>
    </row>
    <row r="55">
      <c r="B55" s="108" t="inlineStr">
        <is>
          <t>holdout: {from: 2024-11-01, to: 2026-03-30}</t>
        </is>
      </c>
    </row>
    <row r="56">
      <c r="B56" s="108" t="inlineStr">
        <is>
          <t>development: {from: 2021-06-30, to: 2024-10-31}</t>
        </is>
      </c>
    </row>
    <row r="58" ht="20" customHeight="1">
      <c r="B58" s="25" t="inlineStr">
        <is>
          <t>UTIL: the forest's bad rate as UTIL moves (cut at 0.9)</t>
        </is>
      </c>
      <c r="C58" s="26" t="n"/>
      <c r="D58" s="26" t="n"/>
      <c r="E58" s="26" t="n"/>
      <c r="F58" s="26" t="n"/>
      <c r="G58" s="26" t="n"/>
      <c r="H58" s="26" t="n"/>
      <c r="I58" s="26" t="n"/>
      <c r="J58" s="26" t="n"/>
    </row>
    <row r="59">
      <c r="B59" s="29" t="inlineStr">
        <is>
          <t>UTIL</t>
        </is>
      </c>
      <c r="C59" s="29" t="inlineStr"/>
      <c r="D59" s="30" t="inlineStr">
        <is>
          <t>Bad rate</t>
        </is>
      </c>
    </row>
    <row r="60">
      <c r="B60" s="109" t="n">
        <v>0.011879</v>
      </c>
      <c r="D60" s="110" t="n">
        <v>0.06385442958070205</v>
      </c>
    </row>
    <row r="61">
      <c r="B61" s="109" t="n">
        <v>0.021086</v>
      </c>
      <c r="D61" s="110" t="n">
        <v>0.06434999671546691</v>
      </c>
    </row>
    <row r="62">
      <c r="B62" s="109" t="n">
        <v>0.0321</v>
      </c>
      <c r="D62" s="110" t="n">
        <v>0.06492336736764069</v>
      </c>
    </row>
    <row r="63">
      <c r="B63" s="109" t="n">
        <v>0.0545</v>
      </c>
      <c r="D63" s="110" t="n">
        <v>0.06432562875013567</v>
      </c>
    </row>
    <row r="64">
      <c r="B64" s="109" t="n">
        <v>0.08329500000000001</v>
      </c>
      <c r="D64" s="110" t="n">
        <v>0.06312739018518311</v>
      </c>
    </row>
    <row r="65">
      <c r="B65" s="109" t="n">
        <v>0.11423</v>
      </c>
      <c r="D65" s="110" t="n">
        <v>0.06231223113199115</v>
      </c>
    </row>
    <row r="66">
      <c r="B66" s="109" t="n">
        <v>0.1802</v>
      </c>
      <c r="D66" s="110" t="n">
        <v>0.06447384400072613</v>
      </c>
    </row>
    <row r="67">
      <c r="B67" s="109" t="n">
        <v>0.24132</v>
      </c>
      <c r="D67" s="110" t="n">
        <v>0.06711428403067976</v>
      </c>
    </row>
    <row r="68">
      <c r="B68" s="109" t="n">
        <v>0.3023</v>
      </c>
      <c r="D68" s="110" t="n">
        <v>0.06628875833079861</v>
      </c>
    </row>
    <row r="69">
      <c r="B69" s="109" t="n">
        <v>0.36677</v>
      </c>
      <c r="D69" s="110" t="n">
        <v>0.06578727768105103</v>
      </c>
    </row>
    <row r="70">
      <c r="B70" s="109" t="n">
        <v>0.48352</v>
      </c>
      <c r="D70" s="110" t="n">
        <v>0.06420510659154678</v>
      </c>
    </row>
    <row r="71">
      <c r="B71" s="109" t="n">
        <v>0.6068</v>
      </c>
      <c r="D71" s="110" t="n">
        <v>0.06539613583215428</v>
      </c>
    </row>
    <row r="72">
      <c r="B72" s="109" t="n">
        <v>0.73388</v>
      </c>
      <c r="D72" s="110" t="n">
        <v>0.07295890092221465</v>
      </c>
    </row>
    <row r="73">
      <c r="B73" s="109" t="n">
        <v>0.8560099999999999</v>
      </c>
      <c r="D73" s="110" t="n">
        <v>0.07745259890993833</v>
      </c>
    </row>
    <row r="74">
      <c r="B74" s="109" t="n">
        <v>0.9141</v>
      </c>
      <c r="D74" s="110" t="n">
        <v>0.1228356947652653</v>
      </c>
    </row>
    <row r="75">
      <c r="B75" s="109" t="n">
        <v>0.97324</v>
      </c>
      <c r="D75" s="110" t="n">
        <v>0.1287367861099166</v>
      </c>
    </row>
    <row r="76">
      <c r="B76" s="109" t="n">
        <v>1.032905</v>
      </c>
      <c r="D76" s="110" t="n">
        <v>0.1296367306505666</v>
      </c>
    </row>
    <row r="77">
      <c r="B77" s="109" t="n">
        <v>1.08861</v>
      </c>
      <c r="D77" s="110" t="n">
        <v>0.1160336504058363</v>
      </c>
    </row>
    <row r="78">
      <c r="B78" s="109" t="n">
        <v>1.1170525</v>
      </c>
      <c r="D78" s="110" t="n">
        <v>0.112017817497744</v>
      </c>
    </row>
    <row r="79">
      <c r="B79" s="109" t="n">
        <v>1.145205</v>
      </c>
      <c r="D79" s="110" t="n">
        <v>0.115167103736014</v>
      </c>
    </row>
    <row r="80">
      <c r="B80" s="109" t="n">
        <v>1.167842</v>
      </c>
      <c r="D80" s="110" t="n">
        <v>0.115563470129728</v>
      </c>
    </row>
    <row r="81">
      <c r="B81" s="109" t="n">
        <v>1.176614</v>
      </c>
      <c r="D81" s="110" t="n">
        <v>0.1156906740474631</v>
      </c>
    </row>
    <row r="82">
      <c r="B82" s="109" t="n">
        <v>1.188114</v>
      </c>
      <c r="D82" s="110" t="n">
        <v>0.1185751018911674</v>
      </c>
    </row>
    <row r="84" ht="20" customHeight="1">
      <c r="B84" s="25" t="inlineStr">
        <is>
          <t>income_to_sales: the forest's bad rate as income_to_sales moves (cut at 0.1, 2)</t>
        </is>
      </c>
      <c r="C84" s="26" t="n"/>
      <c r="D84" s="26" t="n"/>
      <c r="E84" s="26" t="n"/>
      <c r="F84" s="26" t="n"/>
      <c r="G84" s="26" t="n"/>
      <c r="H84" s="26" t="n"/>
      <c r="I84" s="26" t="n"/>
      <c r="J84" s="26" t="n"/>
    </row>
    <row r="85">
      <c r="B85" s="29" t="inlineStr">
        <is>
          <t>income_to_sales</t>
        </is>
      </c>
      <c r="C85" s="29" t="inlineStr"/>
      <c r="D85" s="30" t="inlineStr">
        <is>
          <t>Bad rate</t>
        </is>
      </c>
    </row>
    <row r="86">
      <c r="B86" s="109" t="n">
        <v>0.07387377547437558</v>
      </c>
      <c r="D86" s="110" t="n">
        <v>0.09819820242763187</v>
      </c>
    </row>
    <row r="87">
      <c r="B87" s="109" t="n">
        <v>0.0929083230964296</v>
      </c>
      <c r="D87" s="110" t="n">
        <v>0.09606543515189428</v>
      </c>
    </row>
    <row r="88">
      <c r="B88" s="109" t="n">
        <v>0.1090883074046358</v>
      </c>
      <c r="D88" s="110" t="n">
        <v>0.08449355895693823</v>
      </c>
    </row>
    <row r="89">
      <c r="B89" s="109" t="n">
        <v>0.1304790603399947</v>
      </c>
      <c r="D89" s="110" t="n">
        <v>0.07767075565496245</v>
      </c>
    </row>
    <row r="90">
      <c r="B90" s="109" t="n">
        <v>0.154950054829457</v>
      </c>
      <c r="D90" s="110" t="n">
        <v>0.07531921143752697</v>
      </c>
    </row>
    <row r="91">
      <c r="B91" s="109" t="n">
        <v>0.1768287906785026</v>
      </c>
      <c r="D91" s="110" t="n">
        <v>0.07499508311261303</v>
      </c>
    </row>
    <row r="92">
      <c r="B92" s="109" t="n">
        <v>0.217907806027803</v>
      </c>
      <c r="D92" s="110" t="n">
        <v>0.07027545865650513</v>
      </c>
    </row>
    <row r="93">
      <c r="B93" s="109" t="n">
        <v>0.2569546528374116</v>
      </c>
      <c r="D93" s="110" t="n">
        <v>0.07023173901886841</v>
      </c>
    </row>
    <row r="94">
      <c r="B94" s="109" t="n">
        <v>0.2961052994978395</v>
      </c>
      <c r="D94" s="110" t="n">
        <v>0.06999874519969673</v>
      </c>
    </row>
    <row r="95">
      <c r="B95" s="109" t="n">
        <v>0.3338032954391723</v>
      </c>
      <c r="D95" s="110" t="n">
        <v>0.06957519817111299</v>
      </c>
    </row>
    <row r="96">
      <c r="B96" s="109" t="n">
        <v>0.4177554749393281</v>
      </c>
      <c r="D96" s="110" t="n">
        <v>0.07160998687650051</v>
      </c>
    </row>
    <row r="97">
      <c r="B97" s="109" t="n">
        <v>0.5114601195331879</v>
      </c>
      <c r="D97" s="110" t="n">
        <v>0.07368935238301454</v>
      </c>
    </row>
    <row r="98">
      <c r="B98" s="109" t="n">
        <v>0.623533984592021</v>
      </c>
      <c r="D98" s="110" t="n">
        <v>0.07402819633049813</v>
      </c>
    </row>
    <row r="99">
      <c r="B99" s="109" t="n">
        <v>0.7681721124118048</v>
      </c>
      <c r="D99" s="110" t="n">
        <v>0.07580021196217943</v>
      </c>
    </row>
    <row r="100">
      <c r="B100" s="109" t="n">
        <v>0.8681653642837427</v>
      </c>
      <c r="D100" s="110" t="n">
        <v>0.07454292133358598</v>
      </c>
    </row>
    <row r="101">
      <c r="B101" s="109" t="n">
        <v>1.003181002727776</v>
      </c>
      <c r="D101" s="110" t="n">
        <v>0.07475103940791833</v>
      </c>
    </row>
    <row r="102">
      <c r="B102" s="109" t="n">
        <v>1.174055578800143</v>
      </c>
      <c r="D102" s="110" t="n">
        <v>0.07860074276307169</v>
      </c>
    </row>
    <row r="103">
      <c r="B103" s="109" t="n">
        <v>1.46471326163621</v>
      </c>
      <c r="D103" s="110" t="n">
        <v>0.08238876710644524</v>
      </c>
    </row>
    <row r="104">
      <c r="B104" s="109" t="n">
        <v>1.66912695727174</v>
      </c>
      <c r="D104" s="110" t="n">
        <v>0.08403498118326365</v>
      </c>
    </row>
    <row r="105">
      <c r="B105" s="109" t="n">
        <v>2.010443457320055</v>
      </c>
      <c r="D105" s="110" t="n">
        <v>0.136757003639694</v>
      </c>
    </row>
    <row r="106">
      <c r="B106" s="109" t="n">
        <v>2.445060527920314</v>
      </c>
      <c r="D106" s="110" t="n">
        <v>0.1785209099415711</v>
      </c>
    </row>
    <row r="107">
      <c r="B107" s="109" t="n">
        <v>2.796677065450206</v>
      </c>
      <c r="D107" s="110" t="n">
        <v>0.1727615822960607</v>
      </c>
    </row>
    <row r="108">
      <c r="B108" s="109" t="n">
        <v>3.436375111026246</v>
      </c>
      <c r="D108" s="110" t="n">
        <v>0.1710979524600195</v>
      </c>
    </row>
  </sheetData>
  <mergeCells count="36">
    <mergeCell ref="B42:J42"/>
    <mergeCell ref="C15:J15"/>
    <mergeCell ref="D19:E19"/>
    <mergeCell ref="C6:J6"/>
    <mergeCell ref="C14:J14"/>
    <mergeCell ref="C5:J5"/>
    <mergeCell ref="B53:J53"/>
    <mergeCell ref="B18:C18"/>
    <mergeCell ref="B44:J44"/>
    <mergeCell ref="C4:J4"/>
    <mergeCell ref="H19:J19"/>
    <mergeCell ref="C10:J10"/>
    <mergeCell ref="C16:J16"/>
    <mergeCell ref="B49:J49"/>
    <mergeCell ref="B55:J55"/>
    <mergeCell ref="C9:J9"/>
    <mergeCell ref="C12:J12"/>
    <mergeCell ref="B51:J51"/>
    <mergeCell ref="H18:J18"/>
    <mergeCell ref="B45:J45"/>
    <mergeCell ref="B19:C19"/>
    <mergeCell ref="C11:J11"/>
    <mergeCell ref="B50:J50"/>
    <mergeCell ref="B41:J41"/>
    <mergeCell ref="D18:E18"/>
    <mergeCell ref="B47:J47"/>
    <mergeCell ref="C8:J8"/>
    <mergeCell ref="B54:J54"/>
    <mergeCell ref="C7:J7"/>
    <mergeCell ref="B46:J46"/>
    <mergeCell ref="B56:J56"/>
    <mergeCell ref="C13:J13"/>
    <mergeCell ref="B43:J43"/>
    <mergeCell ref="B39:J39"/>
    <mergeCell ref="B52:J52"/>
    <mergeCell ref="B48:J48"/>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0A0908"/>
    <outlinePr summaryBelow="0" summaryRight="1"/>
    <pageSetUpPr fitToPage="1"/>
  </sheetPr>
  <dimension ref="B1:Z184"/>
  <sheetViews>
    <sheetView showGridLines="0" tabSelected="0" workbookViewId="0">
      <pane ySplit="32" topLeftCell="A33" activePane="bottomLeft" state="frozen"/>
      <selection pane="bottomLeft" activeCell="A1" sqref="A1"/>
    </sheetView>
  </sheetViews>
  <sheetFormatPr baseColWidth="8" defaultRowHeight="15"/>
  <cols>
    <col width="2" customWidth="1" min="1" max="1"/>
    <col width="20" customWidth="1" min="2" max="2"/>
    <col width="30" customWidth="1" min="3" max="3"/>
    <col width="10" customWidth="1" min="4" max="4"/>
    <col width="11" customWidth="1" min="5" max="5"/>
    <col width="12" customWidth="1" min="6" max="6"/>
    <col width="12" customWidth="1" min="7" max="7"/>
    <col width="16" customWidth="1" min="8" max="8"/>
    <col width="12" customWidth="1" min="9" max="9"/>
    <col width="12" customWidth="1" min="10" max="10"/>
    <col width="16" customWidth="1" min="11" max="11"/>
    <col width="14" customWidth="1" min="12" max="12"/>
    <col width="12" customWidth="1" min="13" max="13"/>
    <col width="42" customWidth="1" min="14" max="14"/>
    <col hidden="1" width="13" customWidth="1" min="24" max="24"/>
    <col hidden="1" width="13" customWidth="1" min="26" max="26"/>
  </cols>
  <sheetData>
    <row r="1" ht="30" customHeight="1">
      <c r="B1" s="1" t="inlineStr">
        <is>
          <t>New variables</t>
        </is>
      </c>
      <c r="C1" s="2" t="inlineStr">
        <is>
          <t>Does each of the 2 candidates still tell good loans from bad on loans it was never found on, and once FICO and CHANNEL are held fixed?</t>
        </is>
      </c>
      <c r="D1" s="3" t="n"/>
      <c r="E1" s="3" t="n"/>
      <c r="F1" s="3" t="n"/>
      <c r="G1" s="3" t="n"/>
      <c r="H1" s="3" t="n"/>
      <c r="I1" s="3" t="n"/>
      <c r="J1" s="3" t="n"/>
      <c r="K1" s="3" t="n"/>
      <c r="L1" s="3" t="n"/>
      <c r="M1" s="3" t="n"/>
      <c r="N1" s="3" t="n"/>
    </row>
    <row r="3" outlineLevel="1">
      <c r="B3" s="4" t="inlineStr">
        <is>
          <t>How this tab works</t>
        </is>
      </c>
      <c r="C3" s="5" t="n"/>
      <c r="D3" s="5" t="n"/>
      <c r="E3" s="5" t="n"/>
      <c r="F3" s="5" t="n"/>
      <c r="G3" s="5" t="n"/>
      <c r="H3" s="5" t="n"/>
      <c r="I3" s="5" t="n"/>
      <c r="J3" s="5" t="n"/>
      <c r="K3" s="5" t="n"/>
      <c r="L3" s="5" t="n"/>
      <c r="M3" s="5" t="n"/>
      <c r="N3" s="5" t="n"/>
    </row>
    <row r="4" outlineLevel="1" ht="45" customHeight="1">
      <c r="B4" s="6" t="inlineStr">
        <is>
          <t>The tree, unseen</t>
        </is>
      </c>
      <c r="C4" s="7" t="inlineStr">
        <is>
          <t>The random forest from the Scouting tab, grown on every loan made before the cutoff (2024-11-01), scores the loans made on or after it, which it never saw. AUC is the chance a random bad loan scores above a random good one: 0.5 is a coin flip, 1 is perfect. Built is the forest's AUC on the development loans, each scored by a forest grown on the others (the Scouting tab); unseen is on the held-back loans. Unseen well under built means the tree learnt those years, not the book. Said twice: from the candidates alone, and with FICO and CHANNEL in the forest too.</t>
        </is>
      </c>
    </row>
    <row r="5" outlineLevel="1" ht="59" customHeight="1">
      <c r="B5" s="6" t="inlineStr">
        <is>
          <t>All together</t>
        </is>
      </c>
      <c r="C5" s="7" t="inlineStr">
        <is>
          <t>One logistic regression on the held-back loans with every candidate's groups in it at once, each against its own reference, and one constant for each pocket FICO and CHANNEL make, so the pockets are held fixed as they are below. Each odds ratio is then net of every other candidate. Adds is a likelihood ratio test of taking the candidate out, all its groups at once: its test statistic, on as many degrees of freedom as it has groups less one, and its p-value, after the allowance for testing the shortlist at once. Adds? is Yes when that p-value is under the bar. Moves with names candidates whose values rise and fall together (a rank correlation of 0.7 or more, on the development loans): what one adds, the other may already say. The loans are the held-back ones with a value of every candidate, in pockets where some went bad and some didn't.</t>
        </is>
      </c>
    </row>
    <row r="6" outlineLevel="1" ht="17" customHeight="1">
      <c r="B6" s="6" t="inlineStr">
        <is>
          <t>The candidates</t>
        </is>
      </c>
      <c r="C6" s="7" t="inlineStr">
        <is>
          <t>2 inputs on the shortlist scouting wrote, each in its own groups, the pre-spec's: UTIL in 2 groups (0.0 - 0.8, 0.9 - 1.2); income_to_sales in 3 groups (0.02 - 0.09, 0.10 - 1.99, 2.00 - 8.30).</t>
        </is>
      </c>
    </row>
    <row r="7" outlineLevel="1" ht="17" customHeight="1">
      <c r="B7" s="6" t="inlineStr">
        <is>
          <t>Compared with</t>
        </is>
      </c>
      <c r="C7" s="7" t="inlineStr">
        <is>
          <t>Each candidate's own reference group, the pre-spec's: UTIL against 0.0 - 0.8; income_to_sales against 0.10 - 1.99. Every other group of a candidate is compared with its reference.</t>
        </is>
      </c>
    </row>
    <row r="8" outlineLevel="1" ht="45" customHeight="1">
      <c r="B8" s="6" t="inlineStr">
        <is>
          <t>Found, then confirmed</t>
        </is>
      </c>
      <c r="C8" s="7" t="inlineStr">
        <is>
          <t>Loans made 2021-06-30 to 2024-10-31: UTIL 8,394 loans, 673 bad; income_to_sales 8,379 loans, 672 bad; found on: where the groups were chosen. Loans made 2024-11-01 to 2026-03-30: UTIL 3,605 loans, 280 bad; income_to_sales 3,596 loans, 278 bad; held back: the test that counts. Left out of UTIL's test: 1 with no readable outcome. Left out of income_to_sales's test: 24 with no readable value of the column tested; 1 with no readable outcome. Record counts every loan. The comparison is made once on each; only the held-back result counts.</t>
        </is>
      </c>
    </row>
    <row r="9" outlineLevel="1" ht="45" customHeight="1">
      <c r="B9" s="6" t="inlineStr">
        <is>
          <t>Gap</t>
        </is>
      </c>
      <c r="C9" s="7" t="inlineStr">
        <is>
          <t>The odds ratio against its reference group. Odds are bad loans divided by good ones, and an odds ratio is a group's odds divided by its reference group's: 2.00× means twice the odds of going bad. While few loans go bad it is close to how many times as often they do. Worked out by conditional logistic regression, which compares the groups inside each pocket and takes each pocket's own count of bad loans as given, instead of estimating a rate for every pocket, which biases the answer when pockets are thin.</t>
        </is>
      </c>
    </row>
    <row r="10" outlineLevel="1" ht="31" customHeight="1">
      <c r="B10" s="6" t="inlineStr">
        <is>
          <t>p-value</t>
        </is>
      </c>
      <c r="C10" s="7">
        <f>"The chance of a gap at least this big if the group were no different from its reference group, after the allowance for testing many at once (below). Below "&amp;TEXT(significance_bar,"0%")&amp;" is significant, at "&amp;TEXT(confidence,"0%")&amp;" sure. Two-sided: a gap either way counts."</f>
        <v/>
      </c>
    </row>
    <row r="11" outlineLevel="1" ht="31" customHeight="1">
      <c r="B11" s="6" t="inlineStr">
        <is>
          <t>Many at once</t>
        </is>
      </c>
      <c r="C11" s="7" t="inlineStr">
        <is>
          <t>Benjamini-Hochberg, as Control's "Allowing for testing many pockets at once" says: across the 2 candidates' 3 groups, each against its reference, on each set of loans. The New variables table shows the p-value after it, and Holds up? and Still holds? read that one; the tests in full keep each raw p-value.</t>
        </is>
      </c>
    </row>
    <row r="12" outlineLevel="1" ht="17" customHeight="1">
      <c r="B12" s="6" t="inlineStr">
        <is>
          <t>Holds up?</t>
        </is>
      </c>
      <c r="C12" s="7" t="inlineStr">
        <is>
          <t>Yes when the held-back loans show the gap on the same side of 1 as the found loans did, and significant. Only the held-back result counts: the found one is where the idea came from.</t>
        </is>
      </c>
    </row>
    <row r="13" outlineLevel="1" ht="45" customHeight="1">
      <c r="B13" s="6" t="inlineStr">
        <is>
          <t>FICO and CHANNEL held fixed</t>
        </is>
      </c>
      <c r="C13" s="7" t="inlineStr">
        <is>
          <t>The held-back comparison made again with every loan compared only with loans in its own pocket, cut by FICO and CHANNEL at the band edges on Record. A difference in the FICO and CHANNEL mix then can't pass for a difference in the candidate. Still holds? says whether the gap stays; if it goes, the candidate was mostly telling you FICO and CHANNEL. Every pocket counts, however small: fewest loans and fewest losses decide only whether one pocket can be read on its own, and a pocket where no loan, or every loan, went bad says nothing and adds nothing.</t>
        </is>
      </c>
    </row>
    <row r="14" outlineLevel="1" ht="31" customHeight="1">
      <c r="B14" s="6" t="inlineStr">
        <is>
          <t>Material?</t>
        </is>
      </c>
      <c r="C14" s="7" t="inlineStr">
        <is>
          <t>Excess is a group's charge-offs on the held-back loans above its share of them (its share of the held-back loans), times the whole book's charge-offs over the held-back loans', so it sits on the same scale as Control's materiality line. Material? is Yes when it reaches the line.</t>
        </is>
      </c>
    </row>
    <row r="15" outlineLevel="1" ht="17" customHeight="1">
      <c r="B15" s="6" t="inlineStr">
        <is>
          <t>In words</t>
        </is>
      </c>
      <c r="C15" s="7" t="inlineStr">
        <is>
          <t>The two verdicts read together: holds up, and not just FICO and CHANNEL; holds up, but it was mostly FICO and CHANNEL; holds up only with them held fixed; or didn't hold up on held-back loans.</t>
        </is>
      </c>
    </row>
    <row r="16" outlineLevel="1" ht="73" customHeight="1">
      <c r="B16" s="6" t="inlineStr">
        <is>
          <t>The tests in full</t>
        </is>
      </c>
      <c r="C16" s="7" t="inlineStr">
        <is>
          <t>Under the chart, one block per candidate. Does each candidate matter at all: the general test (the Mantel-Haenszel test for its groups: a standard way to add pockets up without mixing their loans), read against a chi-square on one fewer degree of freedom than its groups; the trend test, which gives the groups the scores 1 to their number and asks whether the bad rate climbs or falls steadily with them, on 1 degree of freedom; and the regression's block test (a likelihood ratio test, on one fewer degree of freedom than its groups), whether the groups together add anything. A difference with no trend is a U or a hump, which a straight-line test would call nothing. Then each group's odds ratio with its range and its raw p-value, before any allowance, and how much of the held-back loans' losses sit in each group (on the holdout only, and on the book as a whole, not pocket by pocket: the lift, the group's bad rate over the holdout's, is the finding, never the share of all losses).</t>
        </is>
      </c>
    </row>
    <row r="17" outlineLevel="1" ht="31" customHeight="1">
      <c r="B17" s="6" t="inlineStr">
        <is>
          <t>The range</t>
        </is>
      </c>
      <c r="C17" s="7">
        <f>"Where the true odds ratio sits, "&amp;TEXT(confidence,"0%")&amp;" sure: the log odds ratio plus and minus the multiple of its standard error that the confidence level sets. It is each group's own, before the allowance. As a check, each odds ratio held fixed was worked out a second way, pair by pair with Mantel-Hae"&amp;"nszel: the largest gap between the two is 3.3%."</f>
        <v/>
      </c>
    </row>
    <row r="18" outlineLevel="1" ht="31" customHeight="1">
      <c r="B18" s="6" t="inlineStr">
        <is>
          <t>Written by scouting</t>
        </is>
      </c>
      <c r="C18" s="7" t="inlineStr">
        <is>
          <t>This Run found the candidates on its development loans (the Scouting tab), wrote the pre-spec Scouting book - pre-spec.yaml from them, and then confirmed it on the loans held back. Found is those development loans, where the groups were chosen. Record names the file.</t>
        </is>
      </c>
    </row>
    <row r="19" outlineLevel="1" ht="73" customHeight="1">
      <c r="B19" s="6" t="inlineStr">
        <is>
          <t>Choices made here that no ruling settles yet</t>
        </is>
      </c>
      <c r="C19" s="7" t="inlineStr">
        <is>
          <t>The trend test scores each candidate's groups 1, 2, 3 and on, evenly spaced, rather than by where their numbers sit. Conditional logistic regression is used in every pocket, whatever its size: the unconditional fit the scope allows for pockets over a few thousand loans isn't used, as the conditional one is exact and quick at any size. A loan with no readable value in a column the pockets are cut by sits in a pocket of its own, as on the grids. A group with no bad loan, or only bad loans, in the pockets that say something has no odds ratio; the others are fitted as if its loans weren't there, which is where the regression heads anyway. Excess is scaled to the whole book by its losses over the held-back loans' losses. The allowance treats each set of loans as one family, every candidate's groups together, as a grid's pockets are one family per rate. All together gives each pocket its own constant rather than conditioning the pockets out, and refuses when they average under 5 bad loans each (statistics.md B10).</t>
        </is>
      </c>
    </row>
    <row r="20" outlineLevel="1" ht="17" customHeight="1">
      <c r="B20" s="6" t="inlineStr">
        <is>
          <t>As of</t>
        </is>
      </c>
      <c r="C20" s="7" t="inlineStr">
        <is>
          <t>The numbers are the last Run's, 2026-09-30 04:36. Holds up?, Still holds?, Material?, In words, every range and the chart's worse line follow Control.</t>
        </is>
      </c>
    </row>
    <row r="22" ht="15" customHeight="1">
      <c r="B22" s="111" t="inlineStr">
        <is>
          <t>WHAT WAS TESTED</t>
        </is>
      </c>
      <c r="C22" s="92" t="inlineStr">
        <is>
          <t>Outcome</t>
        </is>
      </c>
      <c r="F22" s="92" t="inlineStr">
        <is>
          <t>Candidates · live</t>
        </is>
      </c>
      <c r="G22" s="93" t="n"/>
      <c r="H22" s="93" t="n"/>
      <c r="I22" s="92" t="inlineStr">
        <is>
          <t>Held fixed</t>
        </is>
      </c>
      <c r="J22" s="93" t="n"/>
      <c r="K22" s="93" t="n"/>
      <c r="L22" s="80" t="inlineStr">
        <is>
          <t>Material at · live</t>
        </is>
      </c>
      <c r="M22" s="81" t="n"/>
      <c r="N22" s="92" t="inlineStr">
        <is>
          <t>Loans</t>
        </is>
      </c>
    </row>
    <row r="23" ht="22" customHeight="1">
      <c r="B23" s="112" t="inlineStr">
        <is>
          <t>from the shortlist scouting wrote</t>
        </is>
      </c>
      <c r="C23" s="11" t="inlineStr">
        <is>
          <t>BAD_FLAG</t>
        </is>
      </c>
      <c r="F23" s="11">
        <f>IFERROR("2 · "&amp;((COUNTIFS($B$45:$B$47,"UTIL",$H$45:$H$47,"Yes")&gt;0)+(COUNTIFS($B$45:$B$47,"income_to_sales",$H$45:$H$47,"Yes")&gt;0))&amp;" hold up","2")</f>
        <v/>
      </c>
      <c r="I23" s="11" t="inlineStr">
        <is>
          <t>FICO · CHANNEL</t>
        </is>
      </c>
      <c r="L23" s="11">
        <f>IFERROR(IF(materiality_kind="none","No floor",IF(INDEX(line_values,MATCH("gco_rate",line_keys,0))="","No line",IF(FALSE,TEXT(INDEX(line_values,MATCH("gco_rate",line_keys,0)),"#,##0.0")&amp;" bad loans","$"&amp;TEXT(INDEX(line_values,MATCH("gco_rate",line_keys,0)),"#,##0")))),"")</f>
        <v/>
      </c>
      <c r="N23" s="11" t="inlineStr">
        <is>
          <t>up to 8,394 found · 3,605 held back</t>
        </is>
      </c>
    </row>
    <row r="25">
      <c r="B25" s="113" t="inlineStr">
        <is>
          <t>The numbers are from the last Run, 2026-09-30 04:36. The verdicts, the materiality line and the chart's worse line follow Control.</t>
        </is>
      </c>
    </row>
    <row r="26">
      <c r="B26" s="114">
        <f>IFERROR(IF(COUNTIF(Status,"↻ Waiting for a Run")=0,"","↻ "&amp;COUNTIF(Status,"↻ Waiting for a Run")&amp;IF(COUNTIF(Status,"↻ Waiting for a Run")=1," Control change waits for a Run."," Control changes wait for a Run.")),"")</f>
        <v/>
      </c>
    </row>
    <row r="28" ht="20" customHeight="1">
      <c r="B28" s="25" t="inlineStr">
        <is>
          <t>The tree on loans it never saw</t>
        </is>
      </c>
      <c r="C28" s="26" t="n"/>
      <c r="D28" s="26" t="n"/>
      <c r="E28" s="26" t="n"/>
      <c r="F28" s="26" t="n"/>
      <c r="G28" s="26" t="n"/>
      <c r="H28" s="26" t="n"/>
      <c r="I28" s="26" t="n"/>
      <c r="J28" s="26" t="n"/>
      <c r="K28" s="26" t="n"/>
      <c r="L28" s="26" t="n"/>
      <c r="M28" s="26" t="n"/>
      <c r="N28" s="26" t="n"/>
    </row>
    <row r="29" ht="19" customHeight="1">
      <c r="B29" s="115" t="inlineStr">
        <is>
          <t>What it found</t>
        </is>
      </c>
      <c r="C29" s="107" t="inlineStr">
        <is>
          <t>Built on loans made 2021-06-30 to 2024-10-31: AUC 0.63. On loans made 2024-11-01 to 2026-03-30, unseen: 0.60. With FICO and CHANNEL in the forest too: 0.69 built, 0.68 unseen.</t>
        </is>
      </c>
    </row>
    <row r="31" ht="20" customHeight="1">
      <c r="B31" s="25" t="inlineStr">
        <is>
          <t>All 2 candidates together, on the held-back loans</t>
        </is>
      </c>
      <c r="C31" s="26" t="n"/>
      <c r="D31" s="26" t="n"/>
      <c r="E31" s="26" t="n"/>
      <c r="F31" s="26" t="n"/>
      <c r="G31" s="26" t="n"/>
      <c r="H31" s="26" t="n"/>
      <c r="I31" s="26" t="n"/>
      <c r="J31" s="26" t="n"/>
      <c r="K31" s="26" t="n"/>
      <c r="L31" s="26" t="n"/>
      <c r="M31" s="26" t="n"/>
      <c r="N31" s="26" t="n"/>
    </row>
    <row r="32" ht="30" customHeight="1">
      <c r="B32" s="96" t="inlineStr">
        <is>
          <t>Candidate</t>
        </is>
      </c>
      <c r="C32" s="96" t="inlineStr">
        <is>
          <t>Compared</t>
        </is>
      </c>
      <c r="D32" s="116" t="n"/>
      <c r="E32" s="116" t="n"/>
      <c r="F32" s="82" t="inlineStr">
        <is>
          <t>Loans</t>
        </is>
      </c>
      <c r="G32" s="82" t="inlineStr">
        <is>
          <t>Bad rate</t>
        </is>
      </c>
      <c r="H32" s="82" t="inlineStr">
        <is>
          <t>Odds ratio, together</t>
        </is>
      </c>
      <c r="I32" s="82">
        <f>"Range ("&amp;TEXT(confidence,"0%")&amp;" sure)"</f>
        <v/>
      </c>
      <c r="J32" s="82" t="inlineStr">
        <is>
          <t>p-value</t>
        </is>
      </c>
      <c r="K32" s="82" t="inlineStr">
        <is>
          <t>Adds: statistic</t>
        </is>
      </c>
      <c r="L32" s="82" t="inlineStr">
        <is>
          <t>Adds: p, allowed</t>
        </is>
      </c>
      <c r="M32" s="82" t="inlineStr">
        <is>
          <t>Adds?</t>
        </is>
      </c>
      <c r="N32" s="82" t="inlineStr">
        <is>
          <t>Moves with</t>
        </is>
      </c>
    </row>
    <row r="33" ht="18" customHeight="1">
      <c r="B33" s="36" t="inlineStr">
        <is>
          <t>UTIL</t>
        </is>
      </c>
      <c r="C33" s="91" t="inlineStr">
        <is>
          <t>0.9 - 1.2 vs 0.0 - 0.8</t>
        </is>
      </c>
      <c r="D33" s="63" t="n"/>
      <c r="E33" s="63" t="n"/>
      <c r="F33" s="117" t="n">
        <v>950</v>
      </c>
      <c r="G33" s="118" t="n">
        <v>0.1294736842105263</v>
      </c>
      <c r="H33" s="119" t="n">
        <v>2.3503930232</v>
      </c>
      <c r="I33" s="38">
        <f>TEXT(EXP(0.8545825580989187-NORMSINV(1-(1-confidence)/2)*0.1304815733270686),"0.00")&amp;"x to "&amp;TEXT(EXP(0.8545825580989187+NORMSINV(1-(1-confidence)/2)*0.1304815733270686),"0.00")&amp;"x"</f>
        <v/>
      </c>
      <c r="J33" s="120" t="n">
        <v>5.774931924238597e-11</v>
      </c>
      <c r="K33" s="38" t="inlineStr">
        <is>
          <t>41.12 on 1</t>
        </is>
      </c>
      <c r="L33" s="121" t="n">
        <v>2.856442695901144e-10</v>
      </c>
      <c r="M33" s="33">
        <f>IF(NOT(ISNUMBER($L33)),"",IF(AND(ISNUMBER($L33),$L33&lt;significance_bar),"Yes","No"))</f>
        <v/>
      </c>
      <c r="N33" s="31" t="inlineStr"/>
    </row>
    <row r="34" ht="18" customHeight="1">
      <c r="B34" s="122" t="inlineStr">
        <is>
          <t>income_to_sales</t>
        </is>
      </c>
      <c r="C34" s="123" t="inlineStr">
        <is>
          <t>0.02 - 0.09 vs 0.10 - 1.99</t>
        </is>
      </c>
      <c r="D34" s="124" t="n"/>
      <c r="E34" s="124" t="n"/>
      <c r="F34" s="125" t="n">
        <v>79</v>
      </c>
      <c r="G34" s="126" t="n">
        <v>0.1265822784810127</v>
      </c>
      <c r="H34" s="127" t="n">
        <v>2.0019997873</v>
      </c>
      <c r="I34" s="128">
        <f>TEXT(EXP(0.6941465746534167-NORMSINV(1-(1-confidence)/2)*0.3604044238537812),"0.00")&amp;"x to "&amp;TEXT(EXP(0.6941465746534167+NORMSINV(1-(1-confidence)/2)*0.3604044238537812),"0.00")&amp;"x"</f>
        <v/>
      </c>
      <c r="J34" s="129" t="n">
        <v>0.05410172202124216</v>
      </c>
      <c r="K34" s="128" t="inlineStr">
        <is>
          <t>17.36 on 2</t>
        </is>
      </c>
      <c r="L34" s="130" t="n">
        <v>0.0001701512951698552</v>
      </c>
      <c r="M34" s="131">
        <f>IF(NOT(ISNUMBER($L34)),"",IF(AND(ISNUMBER($L34),$L34&lt;significance_bar),"Yes","No"))</f>
        <v/>
      </c>
      <c r="N34" s="132" t="inlineStr"/>
    </row>
    <row r="35" ht="18" customHeight="1">
      <c r="B35" s="31" t="n"/>
      <c r="C35" s="91" t="inlineStr">
        <is>
          <t>2.00 - 8.30 vs 0.10 - 1.99</t>
        </is>
      </c>
      <c r="D35" s="63" t="n"/>
      <c r="E35" s="63" t="n"/>
      <c r="F35" s="117" t="n">
        <v>156</v>
      </c>
      <c r="G35" s="118" t="n">
        <v>0.1730769230769231</v>
      </c>
      <c r="H35" s="119" t="n">
        <v>2.6191744411</v>
      </c>
      <c r="I35" s="38">
        <f>TEXT(EXP(0.9628591693192158-NORMSINV(1-(1-confidence)/2)*0.23259688567310022),"0.00")&amp;"x to "&amp;TEXT(EXP(0.9628591693192158+NORMSINV(1-(1-confidence)/2)*0.23259688567310022),"0.00")&amp;"x"</f>
        <v/>
      </c>
      <c r="J35" s="120" t="n">
        <v>3.479047386297589e-05</v>
      </c>
      <c r="K35" s="63" t="n"/>
      <c r="L35" s="63" t="n"/>
      <c r="M35" s="63" t="n"/>
      <c r="N35" s="63" t="n"/>
    </row>
    <row r="37" ht="19" customHeight="1">
      <c r="B37" s="115" t="inlineStr">
        <is>
          <t>What it found</t>
        </is>
      </c>
      <c r="C37" s="107">
        <f>IF($Z$37="","No candidate adds anything significant once the others are in. ","Adds something the others don't: "&amp;MID($Z$37,3,2000)&amp;". ")&amp;IF($Z$38="","","Adds nothing significant once the others are in: "&amp;MID($Z$38,3,2000)&amp;".")</f>
        <v/>
      </c>
      <c r="Z37" s="133">
        <f>IF(AND(ISNUMBER($L33),$L33&lt;significance_bar),"; UTIL","")&amp;IF(AND(ISNUMBER($L34),$L34&lt;significance_bar),"; income_to_sales","")</f>
        <v/>
      </c>
    </row>
    <row r="38">
      <c r="Z38" s="133">
        <f>IF(AND(ISNUMBER($L33),NOT(AND(ISNUMBER($L33),$L33&lt;significance_bar))),"; UTIL","")&amp;IF(AND(ISNUMBER($L34),NOT(AND(ISNUMBER($L34),$L34&lt;significance_bar))),"; income_to_sales","")</f>
        <v/>
      </c>
    </row>
    <row r="39" ht="19" customHeight="1">
      <c r="C39" s="107" t="inlineStr">
        <is>
          <t>Held-back loans left out of the candidates together: 9 with no readable value of income_to_sales.</t>
        </is>
      </c>
    </row>
    <row r="41" ht="20" customHeight="1">
      <c r="B41" s="25" t="inlineStr">
        <is>
          <t>Each candidate on its own</t>
        </is>
      </c>
      <c r="C41" s="26" t="n"/>
      <c r="D41" s="26" t="n"/>
      <c r="E41" s="26" t="n"/>
      <c r="F41" s="26" t="n"/>
      <c r="G41" s="26" t="n"/>
      <c r="H41" s="26" t="n"/>
      <c r="I41" s="26" t="n"/>
      <c r="J41" s="26" t="n"/>
      <c r="K41" s="26" t="n"/>
      <c r="L41" s="26" t="n"/>
      <c r="M41" s="26" t="n"/>
      <c r="N41" s="26" t="n"/>
    </row>
    <row r="43">
      <c r="D43" s="134" t="inlineStr">
        <is>
          <t>Found</t>
        </is>
      </c>
      <c r="E43" s="135" t="n"/>
      <c r="F43" s="136" t="inlineStr">
        <is>
          <t>Confirmed on the held-back loans</t>
        </is>
      </c>
      <c r="H43" s="137" t="n"/>
      <c r="I43" s="136" t="inlineStr">
        <is>
          <t>Confirmed, FICO and CHANNEL held fixed</t>
        </is>
      </c>
      <c r="K43" s="137" t="n"/>
    </row>
    <row r="44" ht="18" customHeight="1">
      <c r="B44" s="55" t="inlineStr">
        <is>
          <t>Candidate</t>
        </is>
      </c>
      <c r="C44" s="55" t="inlineStr">
        <is>
          <t>Compared</t>
        </is>
      </c>
      <c r="D44" s="56" t="inlineStr">
        <is>
          <t>Gap</t>
        </is>
      </c>
      <c r="E44" s="56" t="inlineStr">
        <is>
          <t>p, allowed</t>
        </is>
      </c>
      <c r="F44" s="56" t="inlineStr">
        <is>
          <t>Gap</t>
        </is>
      </c>
      <c r="G44" s="56" t="inlineStr">
        <is>
          <t>p, allowed</t>
        </is>
      </c>
      <c r="H44" s="56" t="inlineStr">
        <is>
          <t>Holds up?</t>
        </is>
      </c>
      <c r="I44" s="56" t="inlineStr">
        <is>
          <t>Gap</t>
        </is>
      </c>
      <c r="J44" s="56" t="inlineStr">
        <is>
          <t>p, allowed</t>
        </is>
      </c>
      <c r="K44" s="56" t="inlineStr">
        <is>
          <t>Still holds?</t>
        </is>
      </c>
      <c r="L44" s="56" t="inlineStr">
        <is>
          <t>Excess $</t>
        </is>
      </c>
      <c r="M44" s="56" t="inlineStr">
        <is>
          <t>Material?</t>
        </is>
      </c>
      <c r="N44" s="55" t="inlineStr">
        <is>
          <t>In words</t>
        </is>
      </c>
    </row>
    <row r="45" ht="18" customHeight="1">
      <c r="B45" s="36" t="inlineStr">
        <is>
          <t>UTIL</t>
        </is>
      </c>
      <c r="C45" s="91" t="inlineStr">
        <is>
          <t>0.9 - 1.2 vs 0.0 - 0.8</t>
        </is>
      </c>
      <c r="D45" s="138" t="n">
        <v>2.283898716855891</v>
      </c>
      <c r="E45" s="139" t="n">
        <v>2.567625872682238e-23</v>
      </c>
      <c r="F45" s="119" t="n">
        <v>2.365769812842307</v>
      </c>
      <c r="G45" s="120" t="n">
        <v>3.464311413510372e-11</v>
      </c>
      <c r="H45" s="33">
        <f>IF(NOT(ISNUMBER($F45)),"",IF(AND(AND(ISNUMBER($G45),$G45&lt;significance_bar),IF(ISNUMBER($D45),($D45&gt;1)=($F45&gt;1),$F45&gt;1)),"Yes","No"))</f>
        <v/>
      </c>
      <c r="I45" s="119" t="n">
        <v>2.321672478130649</v>
      </c>
      <c r="J45" s="120" t="n">
        <v>2.036852618139177e-10</v>
      </c>
      <c r="K45" s="33">
        <f>IF(NOT(ISNUMBER($I45)),"",IF(AND(AND(ISNUMBER($J45),$J45&lt;significance_bar),IF(ISNUMBER($D45),($D45&gt;1)=($I45&gt;1),$I45&gt;1)),"Yes","No"))</f>
        <v/>
      </c>
      <c r="L45" s="140" t="n">
        <v>3158801.581638</v>
      </c>
      <c r="M45" s="38">
        <f>IFERROR(IF(NOT(ISNUMBER($L45)),"",IF(IF(materiality_kind="none",0,INDEX(line_values,MATCH("gco_rate",line_keys,0)))="","",IF(AND($L45&gt;0,$L45&gt;=IF(materiality_kind="none",0,INDEX(line_values,MATCH("gco_rate",line_keys,0)))),"Yes","No"))),"")</f>
        <v/>
      </c>
      <c r="N45" s="31">
        <f>IF($H45="","",IF($H45="Yes",IF($K45="Yes","Holds up, and not just FICO and CHANNEL","Holds up, but it was mostly FICO and CHANNEL"),IF($K45="Yes","Holds up only with FICO and CHANNEL held fixed","Didn't hold up on held-back loans")))</f>
        <v/>
      </c>
      <c r="X45">
        <f>worse_at</f>
        <v/>
      </c>
    </row>
    <row r="46" ht="18" customHeight="1">
      <c r="B46" s="122" t="inlineStr">
        <is>
          <t>income_to_sales</t>
        </is>
      </c>
      <c r="C46" s="123" t="inlineStr">
        <is>
          <t>0.02 - 0.09 vs 0.10 - 1.99</t>
        </is>
      </c>
      <c r="D46" s="141" t="n">
        <v>2.407634354731659</v>
      </c>
      <c r="E46" s="142" t="n">
        <v>8.549473341341125e-06</v>
      </c>
      <c r="F46" s="127" t="n">
        <v>1.875836199900238</v>
      </c>
      <c r="G46" s="129" t="n">
        <v>0.06811958110825919</v>
      </c>
      <c r="H46" s="131">
        <f>IF(NOT(ISNUMBER($F46)),"",IF(AND(AND(ISNUMBER($G46),$G46&lt;significance_bar),IF(ISNUMBER($D46),($D46&gt;1)=($F46&gt;1),$F46&gt;1)),"Yes","No"))</f>
        <v/>
      </c>
      <c r="I46" s="127" t="n">
        <v>1.961432144638131</v>
      </c>
      <c r="J46" s="129" t="n">
        <v>0.0572805054849119</v>
      </c>
      <c r="K46" s="131">
        <f>IF(NOT(ISNUMBER($I46)),"",IF(AND(AND(ISNUMBER($J46),$J46&lt;significance_bar),IF(ISNUMBER($D46),($D46&gt;1)=($I46&gt;1),$I46&gt;1)),"Yes","No"))</f>
        <v/>
      </c>
      <c r="L46" s="143" t="n">
        <v>206433.48244</v>
      </c>
      <c r="M46" s="128">
        <f>IFERROR(IF(NOT(ISNUMBER($L46)),"",IF(IF(materiality_kind="none",0,INDEX(line_values,MATCH("gco_rate",line_keys,0)))="","",IF(AND($L46&gt;0,$L46&gt;=IF(materiality_kind="none",0,INDEX(line_values,MATCH("gco_rate",line_keys,0)))),"Yes","No"))),"")</f>
        <v/>
      </c>
      <c r="N46" s="132">
        <f>IF($H46="","",IF($H46="Yes",IF($K46="Yes","Holds up, and not just FICO and CHANNEL","Holds up, but it was mostly FICO and CHANNEL"),IF($K46="Yes","Holds up only with FICO and CHANNEL held fixed","Didn't hold up on held-back loans")))</f>
        <v/>
      </c>
      <c r="X46">
        <f>worse_at</f>
        <v/>
      </c>
    </row>
    <row r="47" ht="18" customHeight="1">
      <c r="B47" s="58" t="inlineStr">
        <is>
          <t>income_to_sales</t>
        </is>
      </c>
      <c r="C47" s="91" t="inlineStr">
        <is>
          <t>2.00 - 8.30 vs 0.10 - 1.99</t>
        </is>
      </c>
      <c r="D47" s="138" t="n">
        <v>3.380067970483958</v>
      </c>
      <c r="E47" s="139" t="n">
        <v>3.038640092272217e-21</v>
      </c>
      <c r="F47" s="119" t="n">
        <v>2.70856205345693</v>
      </c>
      <c r="G47" s="120" t="n">
        <v>1.06469858688265e-05</v>
      </c>
      <c r="H47" s="33">
        <f>IF(NOT(ISNUMBER($F47)),"",IF(AND(AND(ISNUMBER($G47),$G47&lt;significance_bar),IF(ISNUMBER($D47),($D47&gt;1)=($F47&gt;1),$F47&gt;1)),"Yes","No"))</f>
        <v/>
      </c>
      <c r="I47" s="119" t="n">
        <v>2.638629342681331</v>
      </c>
      <c r="J47" s="120" t="n">
        <v>3.049541358746315e-05</v>
      </c>
      <c r="K47" s="33">
        <f>IF(NOT(ISNUMBER($I47)),"",IF(AND(AND(ISNUMBER($J47),$J47&lt;significance_bar),IF(ISNUMBER($D47),($D47&gt;1)=($I47&gt;1),$I47&gt;1)),"Yes","No"))</f>
        <v/>
      </c>
      <c r="L47" s="140" t="n">
        <v>693606.2705559999</v>
      </c>
      <c r="M47" s="38">
        <f>IFERROR(IF(NOT(ISNUMBER($L47)),"",IF(IF(materiality_kind="none",0,INDEX(line_values,MATCH("gco_rate",line_keys,0)))="","",IF(AND($L47&gt;0,$L47&gt;=IF(materiality_kind="none",0,INDEX(line_values,MATCH("gco_rate",line_keys,0)))),"Yes","No"))),"")</f>
        <v/>
      </c>
      <c r="N47" s="31">
        <f>IF($H47="","",IF($H47="Yes",IF($K47="Yes","Holds up, and not just FICO and CHANNEL","Holds up, but it was mostly FICO and CHANNEL"),IF($K47="Yes","Holds up only with FICO and CHANNEL held fixed","Didn't hold up on held-back loans")))</f>
        <v/>
      </c>
      <c r="X47">
        <f>worse_at</f>
        <v/>
      </c>
    </row>
    <row r="81" ht="20" customHeight="1">
      <c r="B81" s="25" t="inlineStr">
        <is>
          <t>The tests in full: UTIL</t>
        </is>
      </c>
      <c r="C81" s="26" t="n"/>
      <c r="D81" s="26" t="n"/>
      <c r="E81" s="26" t="n"/>
      <c r="F81" s="26" t="n"/>
      <c r="G81" s="26" t="n"/>
      <c r="H81" s="26" t="n"/>
      <c r="I81" s="26" t="n"/>
      <c r="J81" s="26" t="n"/>
      <c r="K81" s="26" t="n"/>
      <c r="L81" s="26" t="n"/>
      <c r="M81" s="26" t="n"/>
      <c r="N81" s="26" t="n"/>
    </row>
    <row r="83">
      <c r="B83" s="144" t="inlineStr">
        <is>
          <t>Does UTIL matter?</t>
        </is>
      </c>
    </row>
    <row r="84" ht="30" customHeight="1">
      <c r="B84" s="96" t="inlineStr">
        <is>
          <t>Test</t>
        </is>
      </c>
      <c r="C84" s="116" t="n"/>
      <c r="D84" s="82" t="n"/>
      <c r="E84" s="82" t="n"/>
      <c r="F84" s="82" t="inlineStr">
        <is>
          <t>Statistic</t>
        </is>
      </c>
      <c r="G84" s="82" t="inlineStr">
        <is>
          <t>Degrees of freedom</t>
        </is>
      </c>
      <c r="H84" s="82" t="inlineStr">
        <is>
          <t>p-value</t>
        </is>
      </c>
      <c r="I84" s="82" t="inlineStr">
        <is>
          <t>Reading</t>
        </is>
      </c>
      <c r="J84" s="82" t="n"/>
      <c r="K84" s="116" t="n"/>
      <c r="L84" s="116" t="n"/>
      <c r="M84" s="116" t="n"/>
      <c r="N84" s="116" t="n"/>
    </row>
    <row r="85">
      <c r="B85" s="29" t="inlineStr">
        <is>
          <t>Found, nothing held fixed: loans made 2021-06-30 to 2024-10-31</t>
        </is>
      </c>
    </row>
    <row r="86" ht="18" customHeight="1">
      <c r="B86" s="31" t="inlineStr">
        <is>
          <t>Any difference across the groups (general)</t>
        </is>
      </c>
      <c r="C86" s="63" t="n"/>
      <c r="D86" s="63" t="n"/>
      <c r="E86" s="63" t="n"/>
      <c r="F86" s="145" t="n">
        <v>105.678351</v>
      </c>
      <c r="G86" s="146" t="n">
        <v>1</v>
      </c>
      <c r="H86" s="120" t="n">
        <v>8.672974121022756e-25</v>
      </c>
      <c r="I86" s="38">
        <f>IF(H86="","",IF(AND(ISNUMBER(H86),H86&lt;significance_bar),"significant","not significant"))</f>
        <v/>
      </c>
      <c r="J86" s="63" t="n"/>
    </row>
    <row r="87" ht="18" customHeight="1">
      <c r="B87" s="31" t="inlineStr">
        <is>
          <t>A steady climb or fall (trend)</t>
        </is>
      </c>
      <c r="C87" s="63" t="n"/>
      <c r="D87" s="63" t="n"/>
      <c r="E87" s="63" t="n"/>
      <c r="F87" s="145" t="n">
        <v>105.678351</v>
      </c>
      <c r="G87" s="146" t="n">
        <v>1</v>
      </c>
      <c r="H87" s="120" t="n">
        <v>8.67297412102326e-25</v>
      </c>
      <c r="I87" s="38">
        <f>IF(H87="","",IF(AND(ISNUMBER(H87),H87&lt;significance_bar),"significant","not significant"))</f>
        <v/>
      </c>
      <c r="J87" s="63" t="n"/>
    </row>
    <row r="88" ht="18" customHeight="1">
      <c r="B88" s="31" t="inlineStr">
        <is>
          <t>Any difference, from the regression (block test)</t>
        </is>
      </c>
      <c r="C88" s="63" t="n"/>
      <c r="D88" s="63" t="n"/>
      <c r="E88" s="63" t="n"/>
      <c r="F88" s="145" t="n">
        <v>96.39805</v>
      </c>
      <c r="G88" s="146" t="n">
        <v>1</v>
      </c>
      <c r="H88" s="120" t="n">
        <v>9.395966692632281e-23</v>
      </c>
      <c r="I88" s="38">
        <f>IF(H88="","",IF(AND(ISNUMBER(H88),H88&lt;significance_bar),"significant","not significant"))</f>
        <v/>
      </c>
      <c r="J88" s="63" t="n"/>
    </row>
    <row r="89" ht="19" customHeight="1">
      <c r="B89" s="115" t="inlineStr">
        <is>
          <t>What it found</t>
        </is>
      </c>
      <c r="C89" s="107">
        <f>IF(AND(AND(ISNUMBER(H86),H86&lt;significance_bar),AND(ISNUMBER(H87),H87&lt;significance_bar)),"On development, with nothing held fixed, the bad rate differs across the groups, and rises steadily as UTIL rises.",IF(AND(ISNUMBER(H86),H86&lt;significance_bar),"On development, with nothing held fixed, the bad rate differs across the groups, but not in one direction: higher in some groups, lower in others.",IF(AND(ISNUMBER(H87),H87&lt;significance_bar),"On development, with nothing held fixed, the groups taken all at once do not differ significantly, but the bad rate rises steadily as UTIL rises (the trend test).","On development, with nothing held fixed, no difference across the groups shows at "&amp;TEXT(confidence,"0%")&amp;" sure. That is not proof there is none.")))</f>
        <v/>
      </c>
    </row>
    <row r="91">
      <c r="B91" s="29" t="inlineStr">
        <is>
          <t>Found, FICO and CHANNEL held fixed: loans made 2021-06-30 to 2024-10-31</t>
        </is>
      </c>
    </row>
    <row r="92" ht="18" customHeight="1">
      <c r="B92" s="31" t="inlineStr">
        <is>
          <t>Any difference across the groups (general)</t>
        </is>
      </c>
      <c r="C92" s="63" t="n"/>
      <c r="D92" s="63" t="n"/>
      <c r="E92" s="63" t="n"/>
      <c r="F92" s="145" t="n">
        <v>93.81148399999999</v>
      </c>
      <c r="G92" s="146" t="n">
        <v>1</v>
      </c>
      <c r="H92" s="120" t="n">
        <v>3.470523102521964e-22</v>
      </c>
      <c r="I92" s="38">
        <f>IF(H92="","",IF(AND(ISNUMBER(H92),H92&lt;significance_bar),"significant","not significant"))</f>
        <v/>
      </c>
      <c r="J92" s="63" t="n"/>
    </row>
    <row r="93" ht="18" customHeight="1">
      <c r="B93" s="31" t="inlineStr">
        <is>
          <t>A steady climb or fall (trend)</t>
        </is>
      </c>
      <c r="C93" s="63" t="n"/>
      <c r="D93" s="63" t="n"/>
      <c r="E93" s="63" t="n"/>
      <c r="F93" s="145" t="n">
        <v>93.81148399999999</v>
      </c>
      <c r="G93" s="146" t="n">
        <v>1</v>
      </c>
      <c r="H93" s="120" t="n">
        <v>3.470523102521914e-22</v>
      </c>
      <c r="I93" s="38">
        <f>IF(H93="","",IF(AND(ISNUMBER(H93),H93&lt;significance_bar),"significant","not significant"))</f>
        <v/>
      </c>
      <c r="J93" s="63" t="n"/>
    </row>
    <row r="94" ht="18" customHeight="1">
      <c r="B94" s="31" t="inlineStr">
        <is>
          <t>Any difference, from the regression (block test)</t>
        </is>
      </c>
      <c r="C94" s="63" t="n"/>
      <c r="D94" s="63" t="n"/>
      <c r="E94" s="63" t="n"/>
      <c r="F94" s="145" t="n">
        <v>86.562083</v>
      </c>
      <c r="G94" s="146" t="n">
        <v>1</v>
      </c>
      <c r="H94" s="120" t="n">
        <v>1.354187357847908e-20</v>
      </c>
      <c r="I94" s="38">
        <f>IF(H94="","",IF(AND(ISNUMBER(H94),H94&lt;significance_bar),"significant","not significant"))</f>
        <v/>
      </c>
      <c r="J94" s="63" t="n"/>
    </row>
    <row r="95" ht="19" customHeight="1">
      <c r="B95" s="115" t="inlineStr">
        <is>
          <t>What it found</t>
        </is>
      </c>
      <c r="C95" s="107">
        <f>IF(AND(AND(ISNUMBER(H92),H92&lt;significance_bar),AND(ISNUMBER(H93),H93&lt;significance_bar)),"On development, the bad rate differs across the groups, and rises steadily as UTIL rises.",IF(AND(ISNUMBER(H92),H92&lt;significance_bar),"On development, the bad rate differs across the groups, but not in one direction: higher in some groups, lower in others.",IF(AND(ISNUMBER(H93),H93&lt;significance_bar),"On development, the groups taken all at once do not differ significantly, but the bad rate rises steadily as UTIL rises (the trend test).","On development, no difference across the groups shows at "&amp;TEXT(confidence,"0%")&amp;" sure. That is not proof there is none.")))</f>
        <v/>
      </c>
    </row>
    <row r="97">
      <c r="B97" s="29" t="inlineStr">
        <is>
          <t>Confirmed on the held-back loans, nothing held fixed: loans made 2024-11-01 to 2026-03-30</t>
        </is>
      </c>
    </row>
    <row r="98" ht="18" customHeight="1">
      <c r="B98" s="31" t="inlineStr">
        <is>
          <t>Any difference across the groups (general)</t>
        </is>
      </c>
      <c r="C98" s="63" t="n"/>
      <c r="D98" s="63" t="n"/>
      <c r="E98" s="63" t="n"/>
      <c r="F98" s="145" t="n">
        <v>48.308955</v>
      </c>
      <c r="G98" s="146" t="n">
        <v>1</v>
      </c>
      <c r="H98" s="120" t="n">
        <v>3.640857688019448e-12</v>
      </c>
      <c r="I98" s="38">
        <f>IF(H98="","",IF(AND(ISNUMBER(H98),H98&lt;significance_bar),"significant","not significant"))</f>
        <v/>
      </c>
      <c r="J98" s="63" t="n"/>
    </row>
    <row r="99" ht="18" customHeight="1">
      <c r="B99" s="31" t="inlineStr">
        <is>
          <t>A steady climb or fall (trend)</t>
        </is>
      </c>
      <c r="C99" s="63" t="n"/>
      <c r="D99" s="63" t="n"/>
      <c r="E99" s="63" t="n"/>
      <c r="F99" s="145" t="n">
        <v>48.308955</v>
      </c>
      <c r="G99" s="146" t="n">
        <v>1</v>
      </c>
      <c r="H99" s="120" t="n">
        <v>3.640857688019448e-12</v>
      </c>
      <c r="I99" s="38">
        <f>IF(H99="","",IF(AND(ISNUMBER(H99),H99&lt;significance_bar),"significant","not significant"))</f>
        <v/>
      </c>
      <c r="J99" s="63" t="n"/>
    </row>
    <row r="100" ht="18" customHeight="1">
      <c r="B100" s="31" t="inlineStr">
        <is>
          <t>Any difference, from the regression (block test)</t>
        </is>
      </c>
      <c r="C100" s="63" t="n"/>
      <c r="D100" s="63" t="n"/>
      <c r="E100" s="63" t="n"/>
      <c r="F100" s="145" t="n">
        <v>43.877469</v>
      </c>
      <c r="G100" s="146" t="n">
        <v>1</v>
      </c>
      <c r="H100" s="120" t="n">
        <v>3.495900632579864e-11</v>
      </c>
      <c r="I100" s="38">
        <f>IF(H100="","",IF(AND(ISNUMBER(H100),H100&lt;significance_bar),"significant","not significant"))</f>
        <v/>
      </c>
      <c r="J100" s="63" t="n"/>
    </row>
    <row r="101" ht="19" customHeight="1">
      <c r="B101" s="115" t="inlineStr">
        <is>
          <t>What it found</t>
        </is>
      </c>
      <c r="C101" s="107">
        <f>IF(AND(AND(ISNUMBER(H98),H98&lt;significance_bar),AND(ISNUMBER(H99),H99&lt;significance_bar)),"On the holdout, with nothing held fixed, the bad rate differs across the groups, and rises steadily as UTIL rises.",IF(AND(ISNUMBER(H98),H98&lt;significance_bar),"On the holdout, with nothing held fixed, the bad rate differs across the groups, but not in one direction: higher in some groups, lower in others.",IF(AND(ISNUMBER(H99),H99&lt;significance_bar),"On the holdout, with nothing held fixed, the groups taken all at once do not differ significantly, but the bad rate rises steadily as UTIL rises (the trend test).","On the holdout, with nothing held fixed, no difference across the groups shows at "&amp;TEXT(confidence,"0%")&amp;" sure. That is not proof there is none.")))</f>
        <v/>
      </c>
    </row>
    <row r="103">
      <c r="B103" s="29" t="inlineStr">
        <is>
          <t>Confirmed on the held-back loans, FICO and CHANNEL held fixed: loans made 2024-11-01 to 2026-03-30</t>
        </is>
      </c>
    </row>
    <row r="104" ht="18" customHeight="1">
      <c r="B104" s="31" t="inlineStr">
        <is>
          <t>Any difference across the groups (general)</t>
        </is>
      </c>
      <c r="C104" s="63" t="n"/>
      <c r="D104" s="63" t="n"/>
      <c r="E104" s="63" t="n"/>
      <c r="F104" s="145" t="n">
        <v>44.444214</v>
      </c>
      <c r="G104" s="146" t="n">
        <v>1</v>
      </c>
      <c r="H104" s="120" t="n">
        <v>2.617093504438335e-11</v>
      </c>
      <c r="I104" s="38">
        <f>IF(H104="","",IF(AND(ISNUMBER(H104),H104&lt;significance_bar),"significant","not significant"))</f>
        <v/>
      </c>
      <c r="J104" s="63" t="n"/>
    </row>
    <row r="105" ht="18" customHeight="1">
      <c r="B105" s="31" t="inlineStr">
        <is>
          <t>A steady climb or fall (trend)</t>
        </is>
      </c>
      <c r="C105" s="63" t="n"/>
      <c r="D105" s="63" t="n"/>
      <c r="E105" s="63" t="n"/>
      <c r="F105" s="145" t="n">
        <v>44.444214</v>
      </c>
      <c r="G105" s="146" t="n">
        <v>1</v>
      </c>
      <c r="H105" s="120" t="n">
        <v>2.617093504438344e-11</v>
      </c>
      <c r="I105" s="38">
        <f>IF(H105="","",IF(AND(ISNUMBER(H105),H105&lt;significance_bar),"significant","not significant"))</f>
        <v/>
      </c>
      <c r="J105" s="63" t="n"/>
    </row>
    <row r="106" ht="18" customHeight="1">
      <c r="B106" s="31" t="inlineStr">
        <is>
          <t>Any difference, from the regression (block test)</t>
        </is>
      </c>
      <c r="C106" s="63" t="n"/>
      <c r="D106" s="63" t="n"/>
      <c r="E106" s="63" t="n"/>
      <c r="F106" s="145" t="n">
        <v>40.761071</v>
      </c>
      <c r="G106" s="146" t="n">
        <v>1</v>
      </c>
      <c r="H106" s="120" t="n">
        <v>1.720260447156246e-10</v>
      </c>
      <c r="I106" s="38">
        <f>IF(H106="","",IF(AND(ISNUMBER(H106),H106&lt;significance_bar),"significant","not significant"))</f>
        <v/>
      </c>
      <c r="J106" s="63" t="n"/>
    </row>
    <row r="107" ht="19" customHeight="1">
      <c r="B107" s="115" t="inlineStr">
        <is>
          <t>What it found</t>
        </is>
      </c>
      <c r="C107" s="107">
        <f>IF(AND(AND(ISNUMBER(H104),H104&lt;significance_bar),AND(ISNUMBER(H105),H105&lt;significance_bar)),"On the holdout, the bad rate differs across the groups, and rises steadily as UTIL rises.",IF(AND(ISNUMBER(H104),H104&lt;significance_bar),"On the holdout, the bad rate differs across the groups, but not in one direction: higher in some groups, lower in others.",IF(AND(ISNUMBER(H105),H105&lt;significance_bar),"On the holdout, the groups taken all at once do not differ significantly, but the bad rate rises steadily as UTIL rises (the trend test).","On the holdout, no difference across the groups shows at "&amp;TEXT(confidence,"0%")&amp;" sure. That is not proof there is none.")))</f>
        <v/>
      </c>
    </row>
    <row r="109">
      <c r="B109" s="144" t="inlineStr">
        <is>
          <t>How much more often does each group go bad than 0.0 - 0.8?</t>
        </is>
      </c>
    </row>
    <row r="110" ht="30" customHeight="1">
      <c r="B110" s="96" t="inlineStr">
        <is>
          <t>Group of UTIL</t>
        </is>
      </c>
      <c r="C110" s="116" t="n"/>
      <c r="D110" s="82" t="n"/>
      <c r="E110" s="82" t="n"/>
      <c r="F110" s="82" t="inlineStr">
        <is>
          <t>Loans</t>
        </is>
      </c>
      <c r="G110" s="82" t="inlineStr">
        <is>
          <t>Bad loans</t>
        </is>
      </c>
      <c r="H110" s="82" t="inlineStr">
        <is>
          <t>Bad rate</t>
        </is>
      </c>
      <c r="I110" s="82" t="inlineStr">
        <is>
          <t>Odds ratio</t>
        </is>
      </c>
      <c r="J110" s="82" t="inlineStr">
        <is>
          <t>p-value</t>
        </is>
      </c>
      <c r="K110" s="82">
        <f>"Range ("&amp;TEXT(confidence,"0%")&amp;" sure)"</f>
        <v/>
      </c>
      <c r="L110" s="82" t="inlineStr">
        <is>
          <t>Odds ratio, FICO and CHANNEL held fixed</t>
        </is>
      </c>
      <c r="M110" s="82" t="inlineStr">
        <is>
          <t>p-value</t>
        </is>
      </c>
      <c r="N110" s="82">
        <f>"Range ("&amp;TEXT(confidence,"0%")&amp;" sure)"</f>
        <v/>
      </c>
    </row>
    <row r="111">
      <c r="B111" s="29" t="inlineStr">
        <is>
          <t>Found: loans made 2021-06-30 to 2024-10-31</t>
        </is>
      </c>
      <c r="C111" s="5" t="n"/>
      <c r="D111" s="5" t="n"/>
      <c r="E111" s="5" t="n"/>
      <c r="F111" s="5" t="n"/>
      <c r="G111" s="5" t="n"/>
      <c r="H111" s="5" t="n"/>
      <c r="I111" s="5" t="n"/>
      <c r="J111" s="5" t="n"/>
      <c r="K111" s="5" t="n"/>
      <c r="L111" s="5" t="n"/>
      <c r="M111" s="5" t="n"/>
      <c r="N111" s="5" t="n"/>
    </row>
    <row r="112" ht="18" customHeight="1">
      <c r="B112" s="31" t="inlineStr">
        <is>
          <t>0.0 - 0.8 (reference)</t>
        </is>
      </c>
      <c r="C112" s="63" t="n"/>
      <c r="D112" s="63" t="n"/>
      <c r="E112" s="63" t="n"/>
      <c r="F112" s="117" t="n">
        <v>6172</v>
      </c>
      <c r="G112" s="117" t="n">
        <v>382</v>
      </c>
      <c r="H112" s="118" t="n">
        <v>0.06189241736876215</v>
      </c>
      <c r="I112" s="38" t="inlineStr">
        <is>
          <t>1.00</t>
        </is>
      </c>
      <c r="J112" s="63" t="n"/>
      <c r="K112" s="63" t="n"/>
      <c r="L112" s="38" t="inlineStr">
        <is>
          <t>1.00</t>
        </is>
      </c>
      <c r="M112" s="63" t="n"/>
      <c r="N112" s="63" t="n"/>
    </row>
    <row r="113" ht="18" customHeight="1">
      <c r="B113" s="31" t="inlineStr">
        <is>
          <t>0.9 - 1.2</t>
        </is>
      </c>
      <c r="C113" s="63" t="n"/>
      <c r="D113" s="63" t="n"/>
      <c r="E113" s="63" t="n"/>
      <c r="F113" s="117" t="n">
        <v>2222</v>
      </c>
      <c r="G113" s="117" t="n">
        <v>291</v>
      </c>
      <c r="H113" s="118" t="n">
        <v>0.130963096309631</v>
      </c>
      <c r="I113" s="147" t="n">
        <v>2.2838987169</v>
      </c>
      <c r="J113" s="120" t="n">
        <v>8.558752908940795e-24</v>
      </c>
      <c r="K113" s="38">
        <f>TEXT(EXP(0.8258839461764884-NORMSINV(1-(1-confidence)/2)*0.08212051049485869),"0.00")&amp;"x to "&amp;TEXT(EXP(0.8258839461764884+NORMSINV(1-(1-confidence)/2)*0.08212051049485869),"0.00")&amp;"x"</f>
        <v/>
      </c>
      <c r="L113" s="147" t="n">
        <v>2.2137597559</v>
      </c>
      <c r="M113" s="120" t="n">
        <v>1.999217958279429e-21</v>
      </c>
      <c r="N113" s="38">
        <f>TEXT(EXP(0.7946923170483604-NORMSINV(1-(1-confidence)/2)*0.0836072409330936),"0.00")&amp;"x to "&amp;TEXT(EXP(0.7946923170483604+NORMSINV(1-(1-confidence)/2)*0.0836072409330936),"0.00")&amp;"x"</f>
        <v/>
      </c>
    </row>
    <row r="114" ht="19" customHeight="1">
      <c r="B114" s="115" t="inlineStr">
        <is>
          <t>What it found</t>
        </is>
      </c>
      <c r="C114" s="107">
        <f>IF($Z$114="","On development, with nothing held fixed, no group differs from 0.0 - 0.8 at "&amp;TEXT(confidence,"0%")&amp;" sure.","On development, with nothing held fixed, "&amp;MID($Z$114,3,2000)&amp;".")</f>
        <v/>
      </c>
      <c r="Z114" s="133">
        <f>IF(AND(ISNUMBER(J113),J113&lt;significance_bar),IF(I113&gt;=1,"; 0.9 - 1.2 goes bad "&amp;TEXT(I113,"0.00")&amp;" times as often as 0.0 - 0.8","; 0.9 - 1.2 goes bad less often than 0.0 - 0.8, "&amp;TEXT(I113,"0.00")&amp;" times as often")&amp;" ("&amp;TEXT(EXP(0.8258839461764884-NORMSINV(1-(1-confidence)/2)*0.08212051049485869),"0.00")&amp;"x to "&amp;TEXT(EXP(0.8258839461764884+NORMSINV(1-(1-confidence)/2)*0.08212051049485869),"0.00")&amp;"x)","")</f>
        <v/>
      </c>
    </row>
    <row r="115" ht="19" customHeight="1">
      <c r="B115" s="115" t="inlineStr">
        <is>
          <t>What it found</t>
        </is>
      </c>
      <c r="C115" s="107">
        <f>IF($Z$115="","On development, no group differs from 0.0 - 0.8 at "&amp;TEXT(confidence,"0%")&amp;" sure, with the pockets held fixed.","On development, "&amp;MID($Z$115,3,2000)&amp;", with the pockets held fixed.")</f>
        <v/>
      </c>
      <c r="Z115" s="133">
        <f>IF(AND(ISNUMBER(M113),M113&lt;significance_bar),IF(L113&gt;=1,"; 0.9 - 1.2 goes bad "&amp;TEXT(L113,"0.00")&amp;" times as often as 0.0 - 0.8","; 0.9 - 1.2 goes bad less often than 0.0 - 0.8, "&amp;TEXT(L113,"0.00")&amp;" times as often")&amp;" ("&amp;TEXT(EXP(0.7946923170483604-NORMSINV(1-(1-confidence)/2)*0.0836072409330936),"0.00")&amp;"x to "&amp;TEXT(EXP(0.7946923170483604+NORMSINV(1-(1-confidence)/2)*0.0836072409330936),"0.00")&amp;"x)","")</f>
        <v/>
      </c>
    </row>
    <row r="117" ht="30" customHeight="1">
      <c r="B117" s="96" t="inlineStr">
        <is>
          <t>Group of UTIL</t>
        </is>
      </c>
      <c r="C117" s="116" t="n"/>
      <c r="D117" s="82" t="n"/>
      <c r="E117" s="82" t="n"/>
      <c r="F117" s="82" t="inlineStr">
        <is>
          <t>Loans</t>
        </is>
      </c>
      <c r="G117" s="82" t="inlineStr">
        <is>
          <t>Bad loans</t>
        </is>
      </c>
      <c r="H117" s="82" t="inlineStr">
        <is>
          <t>Bad rate</t>
        </is>
      </c>
      <c r="I117" s="82" t="inlineStr">
        <is>
          <t>Odds ratio</t>
        </is>
      </c>
      <c r="J117" s="82" t="inlineStr">
        <is>
          <t>p-value</t>
        </is>
      </c>
      <c r="K117" s="82">
        <f>"Range ("&amp;TEXT(confidence,"0%")&amp;" sure)"</f>
        <v/>
      </c>
      <c r="L117" s="82" t="inlineStr">
        <is>
          <t>Odds ratio, FICO and CHANNEL held fixed</t>
        </is>
      </c>
      <c r="M117" s="82" t="inlineStr">
        <is>
          <t>p-value</t>
        </is>
      </c>
      <c r="N117" s="82">
        <f>"Range ("&amp;TEXT(confidence,"0%")&amp;" sure)"</f>
        <v/>
      </c>
    </row>
    <row r="118">
      <c r="B118" s="29" t="inlineStr">
        <is>
          <t>Confirmed on the held-back loans: loans made 2024-11-01 to 2026-03-30</t>
        </is>
      </c>
      <c r="C118" s="5" t="n"/>
      <c r="D118" s="5" t="n"/>
      <c r="E118" s="5" t="n"/>
      <c r="F118" s="5" t="n"/>
      <c r="G118" s="5" t="n"/>
      <c r="H118" s="5" t="n"/>
      <c r="I118" s="5" t="n"/>
      <c r="J118" s="5" t="n"/>
      <c r="K118" s="5" t="n"/>
      <c r="L118" s="5" t="n"/>
      <c r="M118" s="5" t="n"/>
      <c r="N118" s="5" t="n"/>
    </row>
    <row r="119" ht="18" customHeight="1">
      <c r="B119" s="31" t="inlineStr">
        <is>
          <t>0.0 - 0.8 (reference)</t>
        </is>
      </c>
      <c r="C119" s="63" t="n"/>
      <c r="D119" s="63" t="n"/>
      <c r="E119" s="63" t="n"/>
      <c r="F119" s="117" t="n">
        <v>2655</v>
      </c>
      <c r="G119" s="117" t="n">
        <v>157</v>
      </c>
      <c r="H119" s="118" t="n">
        <v>0.05913370998116761</v>
      </c>
      <c r="I119" s="38" t="inlineStr">
        <is>
          <t>1.00</t>
        </is>
      </c>
      <c r="J119" s="63" t="n"/>
      <c r="K119" s="63" t="n"/>
      <c r="L119" s="38" t="inlineStr">
        <is>
          <t>1.00</t>
        </is>
      </c>
      <c r="M119" s="63" t="n"/>
      <c r="N119" s="63" t="n"/>
    </row>
    <row r="120" ht="18" customHeight="1">
      <c r="B120" s="31" t="inlineStr">
        <is>
          <t>0.9 - 1.2</t>
        </is>
      </c>
      <c r="C120" s="63" t="n"/>
      <c r="D120" s="63" t="n"/>
      <c r="E120" s="63" t="n"/>
      <c r="F120" s="117" t="n">
        <v>950</v>
      </c>
      <c r="G120" s="117" t="n">
        <v>123</v>
      </c>
      <c r="H120" s="118" t="n">
        <v>0.1294736842105263</v>
      </c>
      <c r="I120" s="147" t="n">
        <v>2.3657698128</v>
      </c>
      <c r="J120" s="120" t="n">
        <v>1.154770471170124e-11</v>
      </c>
      <c r="K120" s="38">
        <f>TEXT(EXP(0.8611034712384326-NORMSINV(1-(1-confidence)/2)*0.12689860556110097),"0.00")&amp;"x to "&amp;TEXT(EXP(0.8611034712384326+NORMSINV(1-(1-confidence)/2)*0.12689860556110097),"0.00")&amp;"x"</f>
        <v/>
      </c>
      <c r="L120" s="147" t="n">
        <v>2.3216724781</v>
      </c>
      <c r="M120" s="120" t="n">
        <v>6.78950872713059e-11</v>
      </c>
      <c r="N120" s="38">
        <f>TEXT(EXP(0.842287821703663-NORMSINV(1-(1-confidence)/2)*0.12908161116541814),"0.00")&amp;"x to "&amp;TEXT(EXP(0.842287821703663+NORMSINV(1-(1-confidence)/2)*0.12908161116541814),"0.00")&amp;"x"</f>
        <v/>
      </c>
    </row>
    <row r="121" ht="19" customHeight="1">
      <c r="B121" s="115" t="inlineStr">
        <is>
          <t>What it found</t>
        </is>
      </c>
      <c r="C121" s="107">
        <f>IF($Z$121="","On the holdout, with nothing held fixed, no group differs from 0.0 - 0.8 at "&amp;TEXT(confidence,"0%")&amp;" sure.","On the holdout, with nothing held fixed, "&amp;MID($Z$121,3,2000)&amp;".")</f>
        <v/>
      </c>
      <c r="Z121" s="133">
        <f>IF(AND(ISNUMBER(J120),J120&lt;significance_bar),IF(I120&gt;=1,"; 0.9 - 1.2 goes bad "&amp;TEXT(I120,"0.00")&amp;" times as often as 0.0 - 0.8","; 0.9 - 1.2 goes bad less often than 0.0 - 0.8, "&amp;TEXT(I120,"0.00")&amp;" times as often")&amp;" ("&amp;TEXT(EXP(0.8611034712384326-NORMSINV(1-(1-confidence)/2)*0.12689860556110097),"0.00")&amp;"x to "&amp;TEXT(EXP(0.8611034712384326+NORMSINV(1-(1-confidence)/2)*0.12689860556110097),"0.00")&amp;"x)","")</f>
        <v/>
      </c>
    </row>
    <row r="122" ht="19" customHeight="1">
      <c r="B122" s="115" t="inlineStr">
        <is>
          <t>What it found</t>
        </is>
      </c>
      <c r="C122" s="107">
        <f>IF($Z$122="","On the holdout, no group differs from 0.0 - 0.8 at "&amp;TEXT(confidence,"0%")&amp;" sure, with the pockets held fixed.","On the holdout, "&amp;MID($Z$122,3,2000)&amp;", with the pockets held fixed.")</f>
        <v/>
      </c>
      <c r="Z122" s="133">
        <f>IF(AND(ISNUMBER(M120),M120&lt;significance_bar),IF(L120&gt;=1,"; 0.9 - 1.2 goes bad "&amp;TEXT(L120,"0.00")&amp;" times as often as 0.0 - 0.8","; 0.9 - 1.2 goes bad less often than 0.0 - 0.8, "&amp;TEXT(L120,"0.00")&amp;" times as often")&amp;" ("&amp;TEXT(EXP(0.842287821703663-NORMSINV(1-(1-confidence)/2)*0.12908161116541814),"0.00")&amp;"x to "&amp;TEXT(EXP(0.842287821703663+NORMSINV(1-(1-confidence)/2)*0.12908161116541814),"0.00")&amp;"x)","")</f>
        <v/>
      </c>
    </row>
    <row r="124">
      <c r="B124" s="144" t="inlineStr">
        <is>
          <t>How much of the held-back loans' losses sit in each group?</t>
        </is>
      </c>
    </row>
    <row r="125" ht="30" customHeight="1">
      <c r="B125" s="96" t="inlineStr">
        <is>
          <t>Group of UTIL</t>
        </is>
      </c>
      <c r="C125" s="116" t="n"/>
      <c r="D125" s="82" t="n"/>
      <c r="E125" s="82" t="n"/>
      <c r="F125" s="82" t="inlineStr">
        <is>
          <t>Loans</t>
        </is>
      </c>
      <c r="G125" s="82" t="inlineStr">
        <is>
          <t>Share of loans</t>
        </is>
      </c>
      <c r="H125" s="82" t="inlineStr">
        <is>
          <t>Bad loans</t>
        </is>
      </c>
      <c r="I125" s="82" t="inlineStr">
        <is>
          <t>Share of bad loans</t>
        </is>
      </c>
      <c r="J125" s="82" t="inlineStr">
        <is>
          <t>GCO</t>
        </is>
      </c>
      <c r="K125" s="82" t="inlineStr">
        <is>
          <t>Share of GCO</t>
        </is>
      </c>
      <c r="L125" s="82" t="inlineStr">
        <is>
          <t>Bad rate</t>
        </is>
      </c>
      <c r="M125" s="82" t="inlineStr">
        <is>
          <t>Times the holdout's bad rate</t>
        </is>
      </c>
      <c r="N125" s="116" t="n"/>
    </row>
    <row r="126" ht="18" customHeight="1">
      <c r="B126" s="31" t="inlineStr">
        <is>
          <t>0.0 - 0.8 (reference)</t>
        </is>
      </c>
      <c r="C126" s="63" t="n"/>
      <c r="D126" s="63" t="n"/>
      <c r="E126" s="63" t="n"/>
      <c r="F126" s="117" t="n">
        <v>2655</v>
      </c>
      <c r="G126" s="148" t="n">
        <v>0.7364771151178918</v>
      </c>
      <c r="H126" s="117" t="n">
        <v>157</v>
      </c>
      <c r="I126" s="148" t="n">
        <v>0.5607142857142857</v>
      </c>
      <c r="J126" s="149" t="n">
        <v>2708259.42</v>
      </c>
      <c r="K126" s="148" t="n">
        <v>0.5485272173924235</v>
      </c>
      <c r="L126" s="118" t="n">
        <v>0.05913370998116761</v>
      </c>
      <c r="M126" s="150" t="n">
        <v>0.761346516007533</v>
      </c>
      <c r="N126" s="63" t="n"/>
    </row>
    <row r="127" ht="18" customHeight="1">
      <c r="B127" s="31" t="inlineStr">
        <is>
          <t>0.9 - 1.2</t>
        </is>
      </c>
      <c r="C127" s="63" t="n"/>
      <c r="D127" s="63" t="n"/>
      <c r="E127" s="63" t="n"/>
      <c r="F127" s="117" t="n">
        <v>950</v>
      </c>
      <c r="G127" s="148" t="n">
        <v>0.2635228848821082</v>
      </c>
      <c r="H127" s="117" t="n">
        <v>123</v>
      </c>
      <c r="I127" s="148" t="n">
        <v>0.4392857142857143</v>
      </c>
      <c r="J127" s="149" t="n">
        <v>2229069.73</v>
      </c>
      <c r="K127" s="148" t="n">
        <v>0.4514727826075764</v>
      </c>
      <c r="L127" s="118" t="n">
        <v>0.1294736842105263</v>
      </c>
      <c r="M127" s="150" t="n">
        <v>1.666973684210526</v>
      </c>
      <c r="N127" s="63" t="n"/>
    </row>
    <row r="128">
      <c r="B128" s="151" t="inlineStr">
        <is>
          <t>All held-back loans in the test</t>
        </is>
      </c>
      <c r="F128" s="152" t="n">
        <v>3605</v>
      </c>
      <c r="G128" s="153" t="n">
        <v>1</v>
      </c>
      <c r="H128" s="152" t="n">
        <v>280</v>
      </c>
      <c r="I128" s="153" t="n">
        <v>1</v>
      </c>
      <c r="J128" s="154" t="n">
        <v>4937329.15</v>
      </c>
      <c r="K128" s="153" t="n">
        <v>1</v>
      </c>
      <c r="L128" s="155" t="n">
        <v>0.07766990291262135</v>
      </c>
      <c r="M128" s="156" t="n">
        <v>1</v>
      </c>
    </row>
    <row r="130" ht="19" customHeight="1">
      <c r="B130" s="115" t="inlineStr">
        <is>
          <t>What it found</t>
        </is>
      </c>
      <c r="C130" s="107">
        <f>IF($Z$130="","On the holdout, no group goes bad significantly more often than 0.0 - 0.8, so none is singled out; every group is in the table.","On the holdout, "&amp;MID($Z$130,3,2000)&amp;".")</f>
        <v/>
      </c>
      <c r="Z130" s="133">
        <f>IF(AND(AND(ISNUMBER(6.78950872713059e-11),6.78950872713059e-11&lt;significance_bar),2.321672478130649&gt;1),"; 0.9 - 1.2 holds "&amp;TEXT(G127,"0.0%")&amp;" of the loans, "&amp;TEXT(I127,"0.0%")&amp;" of the bad loans and "&amp;TEXT(K127,"0.0%")&amp;" of the GCO, at "&amp;TEXT(M127,"0.00")&amp;" times the holdout's bad rate","")</f>
        <v/>
      </c>
    </row>
    <row r="132" ht="20" customHeight="1">
      <c r="B132" s="25" t="inlineStr">
        <is>
          <t>The tests in full: income_to_sales</t>
        </is>
      </c>
      <c r="C132" s="26" t="n"/>
      <c r="D132" s="26" t="n"/>
      <c r="E132" s="26" t="n"/>
      <c r="F132" s="26" t="n"/>
      <c r="G132" s="26" t="n"/>
      <c r="H132" s="26" t="n"/>
      <c r="I132" s="26" t="n"/>
      <c r="J132" s="26" t="n"/>
      <c r="K132" s="26" t="n"/>
      <c r="L132" s="26" t="n"/>
      <c r="M132" s="26" t="n"/>
      <c r="N132" s="26" t="n"/>
    </row>
    <row r="134">
      <c r="B134" s="144" t="inlineStr">
        <is>
          <t>Does income_to_sales matter?</t>
        </is>
      </c>
    </row>
    <row r="135" ht="30" customHeight="1">
      <c r="B135" s="96" t="inlineStr">
        <is>
          <t>Test</t>
        </is>
      </c>
      <c r="C135" s="116" t="n"/>
      <c r="D135" s="82" t="n"/>
      <c r="E135" s="82" t="n"/>
      <c r="F135" s="82" t="inlineStr">
        <is>
          <t>Statistic</t>
        </is>
      </c>
      <c r="G135" s="82" t="inlineStr">
        <is>
          <t>Degrees of freedom</t>
        </is>
      </c>
      <c r="H135" s="82" t="inlineStr">
        <is>
          <t>p-value</t>
        </is>
      </c>
      <c r="I135" s="82" t="inlineStr">
        <is>
          <t>Reading</t>
        </is>
      </c>
      <c r="J135" s="82" t="n"/>
      <c r="K135" s="116" t="n"/>
      <c r="L135" s="116" t="n"/>
      <c r="M135" s="116" t="n"/>
      <c r="N135" s="116" t="n"/>
    </row>
    <row r="136">
      <c r="B136" s="29" t="inlineStr">
        <is>
          <t>Found, nothing held fixed: loans made 2021-06-30 to 2024-10-31</t>
        </is>
      </c>
    </row>
    <row r="137" ht="18" customHeight="1">
      <c r="B137" s="31" t="inlineStr">
        <is>
          <t>Any difference across the groups (general)</t>
        </is>
      </c>
      <c r="C137" s="63" t="n"/>
      <c r="D137" s="63" t="n"/>
      <c r="E137" s="63" t="n"/>
      <c r="F137" s="145" t="n">
        <v>115.014545</v>
      </c>
      <c r="G137" s="146" t="n">
        <v>2</v>
      </c>
      <c r="H137" s="120" t="n">
        <v>1.059031437529529e-25</v>
      </c>
      <c r="I137" s="38">
        <f>IF(H137="","",IF(AND(ISNUMBER(H137),H137&lt;significance_bar),"significant","not significant"))</f>
        <v/>
      </c>
      <c r="J137" s="63" t="n"/>
    </row>
    <row r="138" ht="18" customHeight="1">
      <c r="B138" s="31" t="inlineStr">
        <is>
          <t>A steady climb or fall (trend)</t>
        </is>
      </c>
      <c r="C138" s="63" t="n"/>
      <c r="D138" s="63" t="n"/>
      <c r="E138" s="63" t="n"/>
      <c r="F138" s="145" t="n">
        <v>30.832958</v>
      </c>
      <c r="G138" s="146" t="n">
        <v>1</v>
      </c>
      <c r="H138" s="120" t="n">
        <v>2.812209082693322e-08</v>
      </c>
      <c r="I138" s="38">
        <f>IF(H138="","",IF(AND(ISNUMBER(H138),H138&lt;significance_bar),"significant","not significant"))</f>
        <v/>
      </c>
      <c r="J138" s="63" t="n"/>
    </row>
    <row r="139" ht="18" customHeight="1">
      <c r="B139" s="31" t="inlineStr">
        <is>
          <t>Any difference, from the regression (block test)</t>
        </is>
      </c>
      <c r="C139" s="63" t="n"/>
      <c r="D139" s="63" t="n"/>
      <c r="E139" s="63" t="n"/>
      <c r="F139" s="145" t="n">
        <v>86.964906</v>
      </c>
      <c r="G139" s="146" t="n">
        <v>2</v>
      </c>
      <c r="H139" s="120" t="n">
        <v>1.305601230519433e-19</v>
      </c>
      <c r="I139" s="38">
        <f>IF(H139="","",IF(AND(ISNUMBER(H139),H139&lt;significance_bar),"significant","not significant"))</f>
        <v/>
      </c>
      <c r="J139" s="63" t="n"/>
    </row>
    <row r="140" ht="19" customHeight="1">
      <c r="B140" s="115" t="inlineStr">
        <is>
          <t>What it found</t>
        </is>
      </c>
      <c r="C140" s="107">
        <f>IF(AND(AND(ISNUMBER(H137),H137&lt;significance_bar),AND(ISNUMBER(H138),H138&lt;significance_bar)),"On development, with nothing held fixed, the bad rate differs across the groups, and rises steadily as income_to_sales rises.",IF(AND(ISNUMBER(H137),H137&lt;significance_bar),"On development, with nothing held fixed, the bad rate differs across the groups, but not in one direction: higher in some groups, lower in others.",IF(AND(ISNUMBER(H138),H138&lt;significance_bar),"On development, with nothing held fixed, the groups taken all at once do not differ significantly, but the bad rate rises steadily as income_to_sales rises (the trend test).","On development, with nothing held fixed, no difference across the groups shows at "&amp;TEXT(confidence,"0%")&amp;" sure. That is not proof there is none.")))</f>
        <v/>
      </c>
    </row>
    <row r="142">
      <c r="B142" s="29" t="inlineStr">
        <is>
          <t>Found, FICO and CHANNEL held fixed: loans made 2021-06-30 to 2024-10-31</t>
        </is>
      </c>
    </row>
    <row r="143" ht="18" customHeight="1">
      <c r="B143" s="31" t="inlineStr">
        <is>
          <t>Any difference across the groups (general)</t>
        </is>
      </c>
      <c r="C143" s="63" t="n"/>
      <c r="D143" s="63" t="n"/>
      <c r="E143" s="63" t="n"/>
      <c r="F143" s="145" t="n">
        <v>112.04727</v>
      </c>
      <c r="G143" s="146" t="n">
        <v>2</v>
      </c>
      <c r="H143" s="120" t="n">
        <v>4.669220752966143e-25</v>
      </c>
      <c r="I143" s="38">
        <f>IF(H143="","",IF(AND(ISNUMBER(H143),H143&lt;significance_bar),"significant","not significant"))</f>
        <v/>
      </c>
      <c r="J143" s="63" t="n"/>
    </row>
    <row r="144" ht="18" customHeight="1">
      <c r="B144" s="31" t="inlineStr">
        <is>
          <t>A steady climb or fall (trend)</t>
        </is>
      </c>
      <c r="C144" s="63" t="n"/>
      <c r="D144" s="63" t="n"/>
      <c r="E144" s="63" t="n"/>
      <c r="F144" s="145" t="n">
        <v>30.288644</v>
      </c>
      <c r="G144" s="146" t="n">
        <v>1</v>
      </c>
      <c r="H144" s="120" t="n">
        <v>3.722991540413671e-08</v>
      </c>
      <c r="I144" s="38">
        <f>IF(H144="","",IF(AND(ISNUMBER(H144),H144&lt;significance_bar),"significant","not significant"))</f>
        <v/>
      </c>
      <c r="J144" s="63" t="n"/>
    </row>
    <row r="145" ht="18" customHeight="1">
      <c r="B145" s="31" t="inlineStr">
        <is>
          <t>Any difference, from the regression (block test)</t>
        </is>
      </c>
      <c r="C145" s="63" t="n"/>
      <c r="D145" s="63" t="n"/>
      <c r="E145" s="63" t="n"/>
      <c r="F145" s="145" t="n">
        <v>86.20034099999999</v>
      </c>
      <c r="G145" s="146" t="n">
        <v>2</v>
      </c>
      <c r="H145" s="120" t="n">
        <v>1.913523061637327e-19</v>
      </c>
      <c r="I145" s="38">
        <f>IF(H145="","",IF(AND(ISNUMBER(H145),H145&lt;significance_bar),"significant","not significant"))</f>
        <v/>
      </c>
      <c r="J145" s="63" t="n"/>
    </row>
    <row r="146" ht="19" customHeight="1">
      <c r="B146" s="115" t="inlineStr">
        <is>
          <t>What it found</t>
        </is>
      </c>
      <c r="C146" s="107">
        <f>IF(AND(AND(ISNUMBER(H143),H143&lt;significance_bar),AND(ISNUMBER(H144),H144&lt;significance_bar)),"On development, the bad rate differs across the groups, and rises steadily as income_to_sales rises.",IF(AND(ISNUMBER(H143),H143&lt;significance_bar),"On development, the bad rate differs across the groups, but not in one direction: higher in some groups, lower in others.",IF(AND(ISNUMBER(H144),H144&lt;significance_bar),"On development, the groups taken all at once do not differ significantly, but the bad rate rises steadily as income_to_sales rises (the trend test).","On development, no difference across the groups shows at "&amp;TEXT(confidence,"0%")&amp;" sure. That is not proof there is none.")))</f>
        <v/>
      </c>
    </row>
    <row r="148">
      <c r="B148" s="29" t="inlineStr">
        <is>
          <t>Confirmed on the held-back loans, nothing held fixed: loans made 2024-11-01 to 2026-03-30</t>
        </is>
      </c>
    </row>
    <row r="149" ht="18" customHeight="1">
      <c r="B149" s="31" t="inlineStr">
        <is>
          <t>Any difference across the groups (general)</t>
        </is>
      </c>
      <c r="C149" s="63" t="n"/>
      <c r="D149" s="63" t="n"/>
      <c r="E149" s="63" t="n"/>
      <c r="F149" s="145" t="n">
        <v>24.219717</v>
      </c>
      <c r="G149" s="146" t="n">
        <v>2</v>
      </c>
      <c r="H149" s="120" t="n">
        <v>5.504974725628692e-06</v>
      </c>
      <c r="I149" s="38">
        <f>IF(H149="","",IF(AND(ISNUMBER(H149),H149&lt;significance_bar),"significant","not significant"))</f>
        <v/>
      </c>
      <c r="J149" s="63" t="n"/>
    </row>
    <row r="150" ht="18" customHeight="1">
      <c r="B150" s="31" t="inlineStr">
        <is>
          <t>A steady climb or fall (trend)</t>
        </is>
      </c>
      <c r="C150" s="63" t="n"/>
      <c r="D150" s="63" t="n"/>
      <c r="E150" s="63" t="n"/>
      <c r="F150" s="145" t="n">
        <v>7.329893</v>
      </c>
      <c r="G150" s="146" t="n">
        <v>1</v>
      </c>
      <c r="H150" s="120" t="n">
        <v>0.006781709532188933</v>
      </c>
      <c r="I150" s="38">
        <f>IF(H150="","",IF(AND(ISNUMBER(H150),H150&lt;significance_bar),"significant","not significant"))</f>
        <v/>
      </c>
      <c r="J150" s="63" t="n"/>
    </row>
    <row r="151" ht="18" customHeight="1">
      <c r="B151" s="31" t="inlineStr">
        <is>
          <t>Any difference, from the regression (block test)</t>
        </is>
      </c>
      <c r="C151" s="63" t="n"/>
      <c r="D151" s="63" t="n"/>
      <c r="E151" s="63" t="n"/>
      <c r="F151" s="145" t="n">
        <v>19.042833</v>
      </c>
      <c r="G151" s="146" t="n">
        <v>2</v>
      </c>
      <c r="H151" s="120" t="n">
        <v>7.326579281566514e-05</v>
      </c>
      <c r="I151" s="38">
        <f>IF(H151="","",IF(AND(ISNUMBER(H151),H151&lt;significance_bar),"significant","not significant"))</f>
        <v/>
      </c>
      <c r="J151" s="63" t="n"/>
    </row>
    <row r="152" ht="19" customHeight="1">
      <c r="B152" s="115" t="inlineStr">
        <is>
          <t>What it found</t>
        </is>
      </c>
      <c r="C152" s="107">
        <f>IF(AND(AND(ISNUMBER(H149),H149&lt;significance_bar),AND(ISNUMBER(H150),H150&lt;significance_bar)),"On the holdout, with nothing held fixed, the bad rate differs across the groups, and rises steadily as income_to_sales rises.",IF(AND(ISNUMBER(H149),H149&lt;significance_bar),"On the holdout, with nothing held fixed, the bad rate differs across the groups, but not in one direction: higher in some groups, lower in others.",IF(AND(ISNUMBER(H150),H150&lt;significance_bar),"On the holdout, with nothing held fixed, the groups taken all at once do not differ significantly, but the bad rate rises steadily as income_to_sales rises (the trend test).","On the holdout, with nothing held fixed, no difference across the groups shows at "&amp;TEXT(confidence,"0%")&amp;" sure. That is not proof there is none.")))</f>
        <v/>
      </c>
    </row>
    <row r="154">
      <c r="B154" s="29" t="inlineStr">
        <is>
          <t>Confirmed on the held-back loans, FICO and CHANNEL held fixed: loans made 2024-11-01 to 2026-03-30</t>
        </is>
      </c>
    </row>
    <row r="155" ht="18" customHeight="1">
      <c r="B155" s="31" t="inlineStr">
        <is>
          <t>Any difference across the groups (general)</t>
        </is>
      </c>
      <c r="C155" s="63" t="n"/>
      <c r="D155" s="63" t="n"/>
      <c r="E155" s="63" t="n"/>
      <c r="F155" s="145" t="n">
        <v>22.228068</v>
      </c>
      <c r="G155" s="146" t="n">
        <v>2</v>
      </c>
      <c r="H155" s="120" t="n">
        <v>1.490171702095338e-05</v>
      </c>
      <c r="I155" s="38">
        <f>IF(H155="","",IF(AND(ISNUMBER(H155),H155&lt;significance_bar),"significant","not significant"))</f>
        <v/>
      </c>
      <c r="J155" s="63" t="n"/>
    </row>
    <row r="156" ht="18" customHeight="1">
      <c r="B156" s="31" t="inlineStr">
        <is>
          <t>A steady climb or fall (trend)</t>
        </is>
      </c>
      <c r="C156" s="63" t="n"/>
      <c r="D156" s="63" t="n"/>
      <c r="E156" s="63" t="n"/>
      <c r="F156" s="145" t="n">
        <v>6.3095</v>
      </c>
      <c r="G156" s="146" t="n">
        <v>1</v>
      </c>
      <c r="H156" s="120" t="n">
        <v>0.01200927334373571</v>
      </c>
      <c r="I156" s="38">
        <f>IF(H156="","",IF(AND(ISNUMBER(H156),H156&lt;significance_bar),"significant","not significant"))</f>
        <v/>
      </c>
      <c r="J156" s="63" t="n"/>
    </row>
    <row r="157" ht="18" customHeight="1">
      <c r="B157" s="31" t="inlineStr">
        <is>
          <t>Any difference, from the regression (block test)</t>
        </is>
      </c>
      <c r="C157" s="63" t="n"/>
      <c r="D157" s="63" t="n"/>
      <c r="E157" s="63" t="n"/>
      <c r="F157" s="145" t="n">
        <v>17.948403</v>
      </c>
      <c r="G157" s="146" t="n">
        <v>2</v>
      </c>
      <c r="H157" s="120" t="n">
        <v>0.0001266350236057714</v>
      </c>
      <c r="I157" s="38">
        <f>IF(H157="","",IF(AND(ISNUMBER(H157),H157&lt;significance_bar),"significant","not significant"))</f>
        <v/>
      </c>
      <c r="J157" s="63" t="n"/>
    </row>
    <row r="158" ht="19" customHeight="1">
      <c r="B158" s="115" t="inlineStr">
        <is>
          <t>What it found</t>
        </is>
      </c>
      <c r="C158" s="107">
        <f>IF(AND(AND(ISNUMBER(H155),H155&lt;significance_bar),AND(ISNUMBER(H156),H156&lt;significance_bar)),"On the holdout, the bad rate differs across the groups, and rises steadily as income_to_sales rises.",IF(AND(ISNUMBER(H155),H155&lt;significance_bar),"On the holdout, the bad rate differs across the groups, but not in one direction: higher in some groups, lower in others.",IF(AND(ISNUMBER(H156),H156&lt;significance_bar),"On the holdout, the groups taken all at once do not differ significantly, but the bad rate rises steadily as income_to_sales rises (the trend test).","On the holdout, no difference across the groups shows at "&amp;TEXT(confidence,"0%")&amp;" sure. That is not proof there is none.")))</f>
        <v/>
      </c>
    </row>
    <row r="160">
      <c r="B160" s="144" t="inlineStr">
        <is>
          <t>How much more often does each group go bad than 0.10 - 1.99?</t>
        </is>
      </c>
    </row>
    <row r="161" ht="30" customHeight="1">
      <c r="B161" s="96" t="inlineStr">
        <is>
          <t>Group of income_to_sales</t>
        </is>
      </c>
      <c r="C161" s="116" t="n"/>
      <c r="D161" s="82" t="n"/>
      <c r="E161" s="82" t="n"/>
      <c r="F161" s="82" t="inlineStr">
        <is>
          <t>Loans</t>
        </is>
      </c>
      <c r="G161" s="82" t="inlineStr">
        <is>
          <t>Bad loans</t>
        </is>
      </c>
      <c r="H161" s="82" t="inlineStr">
        <is>
          <t>Bad rate</t>
        </is>
      </c>
      <c r="I161" s="82" t="inlineStr">
        <is>
          <t>Odds ratio</t>
        </is>
      </c>
      <c r="J161" s="82" t="inlineStr">
        <is>
          <t>p-value</t>
        </is>
      </c>
      <c r="K161" s="82">
        <f>"Range ("&amp;TEXT(confidence,"0%")&amp;" sure)"</f>
        <v/>
      </c>
      <c r="L161" s="82" t="inlineStr">
        <is>
          <t>Odds ratio, FICO and CHANNEL held fixed</t>
        </is>
      </c>
      <c r="M161" s="82" t="inlineStr">
        <is>
          <t>p-value</t>
        </is>
      </c>
      <c r="N161" s="82">
        <f>"Range ("&amp;TEXT(confidence,"0%")&amp;" sure)"</f>
        <v/>
      </c>
    </row>
    <row r="162">
      <c r="B162" s="29" t="inlineStr">
        <is>
          <t>Found: loans made 2021-06-30 to 2024-10-31</t>
        </is>
      </c>
      <c r="C162" s="5" t="n"/>
      <c r="D162" s="5" t="n"/>
      <c r="E162" s="5" t="n"/>
      <c r="F162" s="5" t="n"/>
      <c r="G162" s="5" t="n"/>
      <c r="H162" s="5" t="n"/>
      <c r="I162" s="5" t="n"/>
      <c r="J162" s="5" t="n"/>
      <c r="K162" s="5" t="n"/>
      <c r="L162" s="5" t="n"/>
      <c r="M162" s="5" t="n"/>
      <c r="N162" s="5" t="n"/>
    </row>
    <row r="163" ht="18" customHeight="1">
      <c r="B163" s="31" t="inlineStr">
        <is>
          <t>0.02 - 0.09</t>
        </is>
      </c>
      <c r="C163" s="63" t="n"/>
      <c r="D163" s="63" t="n"/>
      <c r="E163" s="63" t="n"/>
      <c r="F163" s="117" t="n">
        <v>205</v>
      </c>
      <c r="G163" s="117" t="n">
        <v>32</v>
      </c>
      <c r="H163" s="118" t="n">
        <v>0.1560975609756098</v>
      </c>
      <c r="I163" s="147" t="n">
        <v>2.4076343547</v>
      </c>
      <c r="J163" s="120" t="n">
        <v>8.549473341341125e-06</v>
      </c>
      <c r="K163" s="38">
        <f>TEXT(EXP(0.8786446698751275-NORMSINV(1-(1-confidence)/2)*0.1974064858963219),"0.00")&amp;"x to "&amp;TEXT(EXP(0.8786446698751275+NORMSINV(1-(1-confidence)/2)*0.1974064858963219),"0.00")&amp;"x"</f>
        <v/>
      </c>
      <c r="L163" s="147" t="n">
        <v>2.4250762726</v>
      </c>
      <c r="M163" s="120" t="n">
        <v>1.210179552207389e-05</v>
      </c>
      <c r="N163" s="38">
        <f>TEXT(EXP(0.8858629765333728-NORMSINV(1-(1-confidence)/2)*0.20244845269940814),"0.00")&amp;"x to "&amp;TEXT(EXP(0.8858629765333728+NORMSINV(1-(1-confidence)/2)*0.20244845269940814),"0.00")&amp;"x"</f>
        <v/>
      </c>
    </row>
    <row r="164" ht="18" customHeight="1">
      <c r="B164" s="31" t="inlineStr">
        <is>
          <t>0.10 - 1.99 (reference)</t>
        </is>
      </c>
      <c r="C164" s="63" t="n"/>
      <c r="D164" s="63" t="n"/>
      <c r="E164" s="63" t="n"/>
      <c r="F164" s="117" t="n">
        <v>7752</v>
      </c>
      <c r="G164" s="117" t="n">
        <v>553</v>
      </c>
      <c r="H164" s="118" t="n">
        <v>0.07133642930856553</v>
      </c>
      <c r="I164" s="38" t="inlineStr">
        <is>
          <t>1.00</t>
        </is>
      </c>
      <c r="J164" s="63" t="n"/>
      <c r="K164" s="63" t="n"/>
      <c r="L164" s="38" t="inlineStr">
        <is>
          <t>1.00</t>
        </is>
      </c>
      <c r="M164" s="63" t="n"/>
      <c r="N164" s="63" t="n"/>
    </row>
    <row r="165" ht="18" customHeight="1">
      <c r="B165" s="31" t="inlineStr">
        <is>
          <t>2.00 - 8.30</t>
        </is>
      </c>
      <c r="C165" s="63" t="n"/>
      <c r="D165" s="63" t="n"/>
      <c r="E165" s="63" t="n"/>
      <c r="F165" s="117" t="n">
        <v>422</v>
      </c>
      <c r="G165" s="117" t="n">
        <v>87</v>
      </c>
      <c r="H165" s="118" t="n">
        <v>0.2061611374407583</v>
      </c>
      <c r="I165" s="147" t="n">
        <v>3.3800679705</v>
      </c>
      <c r="J165" s="120" t="n">
        <v>2.025760061514811e-21</v>
      </c>
      <c r="K165" s="38">
        <f>TEXT(EXP(1.2178958189033702-NORMSINV(1-(1-confidence)/2)*0.12814974468705181),"0.00")&amp;"x to "&amp;TEXT(EXP(1.2178958189033702+NORMSINV(1-(1-confidence)/2)*0.12814974468705181),"0.00")&amp;"x"</f>
        <v/>
      </c>
      <c r="L165" s="147" t="n">
        <v>3.4502392209</v>
      </c>
      <c r="M165" s="120" t="n">
        <v>5.443119746617228e-21</v>
      </c>
      <c r="N165" s="38">
        <f>TEXT(EXP(1.238443568027885-NORMSINV(1-(1-confidence)/2)*0.13174574731462407),"0.00")&amp;"x to "&amp;TEXT(EXP(1.238443568027885+NORMSINV(1-(1-confidence)/2)*0.13174574731462407),"0.00")&amp;"x"</f>
        <v/>
      </c>
    </row>
    <row r="166" ht="34" customHeight="1">
      <c r="B166" s="115" t="inlineStr">
        <is>
          <t>What it found</t>
        </is>
      </c>
      <c r="C166" s="107">
        <f>IF($Z$166="","On development, with nothing held fixed, no group differs from 0.10 - 1.99 at "&amp;TEXT(confidence,"0%")&amp;" sure.","On development, with nothing held fixed, "&amp;MID($Z$166,3,2000)&amp;".")</f>
        <v/>
      </c>
      <c r="Z166" s="133">
        <f>IF(AND(ISNUMBER(J163),J163&lt;significance_bar),IF(I163&gt;=1,"; 0.02 - 0.09 goes bad "&amp;TEXT(I163,"0.00")&amp;" times as often as 0.10 - 1.99","; 0.02 - 0.09 goes bad less often than 0.10 - 1.99, "&amp;TEXT(I163,"0.00")&amp;" times as often")&amp;" ("&amp;TEXT(EXP(0.8786446698751275-NORMSINV(1-(1-confidence)/2)*0.1974064858963219),"0.00")&amp;"x to "&amp;TEXT(EXP(0.8786446698751275+NORMSINV(1-(1-confidence)/2)*0.1974064858963219),"0.00")&amp;"x)","")&amp;IF(AND(ISNUMBER(J165),J165&lt;significance_bar),IF(I165&gt;=1,"; 2.00 - 8.30 goes bad "&amp;TEXT(I165,"0.00")&amp;" times as often as 0.10 - 1.99","; 2.00 - 8.30 goes bad less often than 0.10 - 1.99, "&amp;TEXT(I165,"0.00")&amp;" times as often")&amp;" ("&amp;TEXT(EXP(1.2178958189033702-NORMSINV(1-(1-confidence)/2)*0.12814974468705181),"0.00")&amp;"x to "&amp;TEXT(EXP(1.2178958189033702+NORMSINV(1-(1-confidence)/2)*0.12814974468705181),"0.00")&amp;"x)","")</f>
        <v/>
      </c>
    </row>
    <row r="167" ht="34" customHeight="1">
      <c r="B167" s="115" t="inlineStr">
        <is>
          <t>What it found</t>
        </is>
      </c>
      <c r="C167" s="107">
        <f>IF($Z$167="","On development, no group differs from 0.10 - 1.99 at "&amp;TEXT(confidence,"0%")&amp;" sure, with the pockets held fixed.","On development, "&amp;MID($Z$167,3,2000)&amp;", with the pockets held fixed.")</f>
        <v/>
      </c>
      <c r="Z167" s="133">
        <f>IF(AND(ISNUMBER(M163),M163&lt;significance_bar),IF(L163&gt;=1,"; 0.02 - 0.09 goes bad "&amp;TEXT(L163,"0.00")&amp;" times as often as 0.10 - 1.99","; 0.02 - 0.09 goes bad less often than 0.10 - 1.99, "&amp;TEXT(L163,"0.00")&amp;" times as often")&amp;" ("&amp;TEXT(EXP(0.8858629765333728-NORMSINV(1-(1-confidence)/2)*0.20244845269940814),"0.00")&amp;"x to "&amp;TEXT(EXP(0.8858629765333728+NORMSINV(1-(1-confidence)/2)*0.20244845269940814),"0.00")&amp;"x)","")&amp;IF(AND(ISNUMBER(M165),M165&lt;significance_bar),IF(L165&gt;=1,"; 2.00 - 8.30 goes bad "&amp;TEXT(L165,"0.00")&amp;" times as often as 0.10 - 1.99","; 2.00 - 8.30 goes bad less often than 0.10 - 1.99, "&amp;TEXT(L165,"0.00")&amp;" times as often")&amp;" ("&amp;TEXT(EXP(1.238443568027885-NORMSINV(1-(1-confidence)/2)*0.13174574731462407),"0.00")&amp;"x to "&amp;TEXT(EXP(1.238443568027885+NORMSINV(1-(1-confidence)/2)*0.13174574731462407),"0.00")&amp;"x)","")</f>
        <v/>
      </c>
    </row>
    <row r="169" ht="30" customHeight="1">
      <c r="B169" s="96" t="inlineStr">
        <is>
          <t>Group of income_to_sales</t>
        </is>
      </c>
      <c r="C169" s="116" t="n"/>
      <c r="D169" s="82" t="n"/>
      <c r="E169" s="82" t="n"/>
      <c r="F169" s="82" t="inlineStr">
        <is>
          <t>Loans</t>
        </is>
      </c>
      <c r="G169" s="82" t="inlineStr">
        <is>
          <t>Bad loans</t>
        </is>
      </c>
      <c r="H169" s="82" t="inlineStr">
        <is>
          <t>Bad rate</t>
        </is>
      </c>
      <c r="I169" s="82" t="inlineStr">
        <is>
          <t>Odds ratio</t>
        </is>
      </c>
      <c r="J169" s="82" t="inlineStr">
        <is>
          <t>p-value</t>
        </is>
      </c>
      <c r="K169" s="82">
        <f>"Range ("&amp;TEXT(confidence,"0%")&amp;" sure)"</f>
        <v/>
      </c>
      <c r="L169" s="82" t="inlineStr">
        <is>
          <t>Odds ratio, FICO and CHANNEL held fixed</t>
        </is>
      </c>
      <c r="M169" s="82" t="inlineStr">
        <is>
          <t>p-value</t>
        </is>
      </c>
      <c r="N169" s="82">
        <f>"Range ("&amp;TEXT(confidence,"0%")&amp;" sure)"</f>
        <v/>
      </c>
    </row>
    <row r="170">
      <c r="B170" s="29" t="inlineStr">
        <is>
          <t>Confirmed on the held-back loans: loans made 2024-11-01 to 2026-03-30</t>
        </is>
      </c>
      <c r="C170" s="5" t="n"/>
      <c r="D170" s="5" t="n"/>
      <c r="E170" s="5" t="n"/>
      <c r="F170" s="5" t="n"/>
      <c r="G170" s="5" t="n"/>
      <c r="H170" s="5" t="n"/>
      <c r="I170" s="5" t="n"/>
      <c r="J170" s="5" t="n"/>
      <c r="K170" s="5" t="n"/>
      <c r="L170" s="5" t="n"/>
      <c r="M170" s="5" t="n"/>
      <c r="N170" s="5" t="n"/>
    </row>
    <row r="171" ht="18" customHeight="1">
      <c r="B171" s="31" t="inlineStr">
        <is>
          <t>0.02 - 0.09</t>
        </is>
      </c>
      <c r="C171" s="63" t="n"/>
      <c r="D171" s="63" t="n"/>
      <c r="E171" s="63" t="n"/>
      <c r="F171" s="117" t="n">
        <v>79</v>
      </c>
      <c r="G171" s="117" t="n">
        <v>10</v>
      </c>
      <c r="H171" s="118" t="n">
        <v>0.1265822784810127</v>
      </c>
      <c r="I171" s="147" t="n">
        <v>1.8758361999</v>
      </c>
      <c r="J171" s="120" t="n">
        <v>0.06811958110825919</v>
      </c>
      <c r="K171" s="38">
        <f>TEXT(EXP(0.6290545332859748-NORMSINV(1-(1-confidence)/2)*0.344835750049946),"0.00")&amp;"x to "&amp;TEXT(EXP(0.6290545332859748+NORMSINV(1-(1-confidence)/2)*0.344835750049946),"0.00")&amp;"x"</f>
        <v/>
      </c>
      <c r="L171" s="147" t="n">
        <v>1.9614321446</v>
      </c>
      <c r="M171" s="120" t="n">
        <v>0.0572805054849119</v>
      </c>
      <c r="N171" s="38">
        <f>TEXT(EXP(0.6736748924612111-NORMSINV(1-(1-confidence)/2)*0.354348605917922),"0.00")&amp;"x to "&amp;TEXT(EXP(0.6736748924612111+NORMSINV(1-(1-confidence)/2)*0.354348605917922),"0.00")&amp;"x"</f>
        <v/>
      </c>
    </row>
    <row r="172" ht="18" customHeight="1">
      <c r="B172" s="31" t="inlineStr">
        <is>
          <t>0.10 - 1.99 (reference)</t>
        </is>
      </c>
      <c r="C172" s="63" t="n"/>
      <c r="D172" s="63" t="n"/>
      <c r="E172" s="63" t="n"/>
      <c r="F172" s="117" t="n">
        <v>3361</v>
      </c>
      <c r="G172" s="117" t="n">
        <v>241</v>
      </c>
      <c r="H172" s="118" t="n">
        <v>0.07170484974709908</v>
      </c>
      <c r="I172" s="38" t="inlineStr">
        <is>
          <t>1.00</t>
        </is>
      </c>
      <c r="J172" s="63" t="n"/>
      <c r="K172" s="63" t="n"/>
      <c r="L172" s="38" t="inlineStr">
        <is>
          <t>1.00</t>
        </is>
      </c>
      <c r="M172" s="63" t="n"/>
      <c r="N172" s="63" t="n"/>
    </row>
    <row r="173" ht="18" customHeight="1">
      <c r="B173" s="31" t="inlineStr">
        <is>
          <t>2.00 - 8.30</t>
        </is>
      </c>
      <c r="C173" s="63" t="n"/>
      <c r="D173" s="63" t="n"/>
      <c r="E173" s="63" t="n"/>
      <c r="F173" s="117" t="n">
        <v>156</v>
      </c>
      <c r="G173" s="117" t="n">
        <v>27</v>
      </c>
      <c r="H173" s="118" t="n">
        <v>0.1730769230769231</v>
      </c>
      <c r="I173" s="147" t="n">
        <v>2.7085620535</v>
      </c>
      <c r="J173" s="120" t="n">
        <v>7.097990579217668e-06</v>
      </c>
      <c r="K173" s="38">
        <f>TEXT(EXP(0.9964178864891224-NORMSINV(1-(1-confidence)/2)*0.22188333943319502),"0.00")&amp;"x to "&amp;TEXT(EXP(0.9964178864891224+NORMSINV(1-(1-confidence)/2)*0.22188333943319502),"0.00")&amp;"x"</f>
        <v/>
      </c>
      <c r="L173" s="147" t="n">
        <v>2.6386293427</v>
      </c>
      <c r="M173" s="120" t="n">
        <v>2.033027572497543e-05</v>
      </c>
      <c r="N173" s="38">
        <f>TEXT(EXP(0.9702595939549865-NORMSINV(1-(1-confidence)/2)*0.22769460122977292),"0.00")&amp;"x to "&amp;TEXT(EXP(0.9702595939549865+NORMSINV(1-(1-confidence)/2)*0.22769460122977292),"0.00")&amp;"x"</f>
        <v/>
      </c>
    </row>
    <row r="174" ht="34" customHeight="1">
      <c r="B174" s="115" t="inlineStr">
        <is>
          <t>What it found</t>
        </is>
      </c>
      <c r="C174" s="107">
        <f>IF($Z$174="","On the holdout, with nothing held fixed, no group differs from 0.10 - 1.99 at "&amp;TEXT(confidence,"0%")&amp;" sure.","On the holdout, with nothing held fixed, "&amp;MID($Z$174,3,2000)&amp;".")</f>
        <v/>
      </c>
      <c r="Z174" s="133">
        <f>IF(AND(ISNUMBER(J171),J171&lt;significance_bar),IF(I171&gt;=1,"; 0.02 - 0.09 goes bad "&amp;TEXT(I171,"0.00")&amp;" times as often as 0.10 - 1.99","; 0.02 - 0.09 goes bad less often than 0.10 - 1.99, "&amp;TEXT(I171,"0.00")&amp;" times as often")&amp;" ("&amp;TEXT(EXP(0.6290545332859748-NORMSINV(1-(1-confidence)/2)*0.344835750049946),"0.00")&amp;"x to "&amp;TEXT(EXP(0.6290545332859748+NORMSINV(1-(1-confidence)/2)*0.344835750049946),"0.00")&amp;"x)","")&amp;IF(AND(ISNUMBER(J173),J173&lt;significance_bar),IF(I173&gt;=1,"; 2.00 - 8.30 goes bad "&amp;TEXT(I173,"0.00")&amp;" times as often as 0.10 - 1.99","; 2.00 - 8.30 goes bad less often than 0.10 - 1.99, "&amp;TEXT(I173,"0.00")&amp;" times as often")&amp;" ("&amp;TEXT(EXP(0.9964178864891224-NORMSINV(1-(1-confidence)/2)*0.22188333943319502),"0.00")&amp;"x to "&amp;TEXT(EXP(0.9964178864891224+NORMSINV(1-(1-confidence)/2)*0.22188333943319502),"0.00")&amp;"x)","")</f>
        <v/>
      </c>
    </row>
    <row r="175" ht="34" customHeight="1">
      <c r="B175" s="115" t="inlineStr">
        <is>
          <t>What it found</t>
        </is>
      </c>
      <c r="C175" s="107">
        <f>IF($Z$175="","On the holdout, no group differs from 0.10 - 1.99 at "&amp;TEXT(confidence,"0%")&amp;" sure, with the pockets held fixed.","On the holdout, "&amp;MID($Z$175,3,2000)&amp;", with the pockets held fixed.")</f>
        <v/>
      </c>
      <c r="Z175" s="133">
        <f>IF(AND(ISNUMBER(M171),M171&lt;significance_bar),IF(L171&gt;=1,"; 0.02 - 0.09 goes bad "&amp;TEXT(L171,"0.00")&amp;" times as often as 0.10 - 1.99","; 0.02 - 0.09 goes bad less often than 0.10 - 1.99, "&amp;TEXT(L171,"0.00")&amp;" times as often")&amp;" ("&amp;TEXT(EXP(0.6736748924612111-NORMSINV(1-(1-confidence)/2)*0.354348605917922),"0.00")&amp;"x to "&amp;TEXT(EXP(0.6736748924612111+NORMSINV(1-(1-confidence)/2)*0.354348605917922),"0.00")&amp;"x)","")&amp;IF(AND(ISNUMBER(M173),M173&lt;significance_bar),IF(L173&gt;=1,"; 2.00 - 8.30 goes bad "&amp;TEXT(L173,"0.00")&amp;" times as often as 0.10 - 1.99","; 2.00 - 8.30 goes bad less often than 0.10 - 1.99, "&amp;TEXT(L173,"0.00")&amp;" times as often")&amp;" ("&amp;TEXT(EXP(0.9702595939549865-NORMSINV(1-(1-confidence)/2)*0.22769460122977292),"0.00")&amp;"x to "&amp;TEXT(EXP(0.9702595939549865+NORMSINV(1-(1-confidence)/2)*0.22769460122977292),"0.00")&amp;"x)","")</f>
        <v/>
      </c>
    </row>
    <row r="177">
      <c r="B177" s="144" t="inlineStr">
        <is>
          <t>How much of the held-back loans' losses sit in each group?</t>
        </is>
      </c>
    </row>
    <row r="178" ht="30" customHeight="1">
      <c r="B178" s="96" t="inlineStr">
        <is>
          <t>Group of income_to_sales</t>
        </is>
      </c>
      <c r="C178" s="116" t="n"/>
      <c r="D178" s="82" t="n"/>
      <c r="E178" s="82" t="n"/>
      <c r="F178" s="82" t="inlineStr">
        <is>
          <t>Loans</t>
        </is>
      </c>
      <c r="G178" s="82" t="inlineStr">
        <is>
          <t>Share of loans</t>
        </is>
      </c>
      <c r="H178" s="82" t="inlineStr">
        <is>
          <t>Bad loans</t>
        </is>
      </c>
      <c r="I178" s="82" t="inlineStr">
        <is>
          <t>Share of bad loans</t>
        </is>
      </c>
      <c r="J178" s="82" t="inlineStr">
        <is>
          <t>GCO</t>
        </is>
      </c>
      <c r="K178" s="82" t="inlineStr">
        <is>
          <t>Share of GCO</t>
        </is>
      </c>
      <c r="L178" s="82" t="inlineStr">
        <is>
          <t>Bad rate</t>
        </is>
      </c>
      <c r="M178" s="82" t="inlineStr">
        <is>
          <t>Times the holdout's bad rate</t>
        </is>
      </c>
      <c r="N178" s="116" t="n"/>
    </row>
    <row r="179" ht="18" customHeight="1">
      <c r="B179" s="31" t="inlineStr">
        <is>
          <t>0.02 - 0.09</t>
        </is>
      </c>
      <c r="C179" s="63" t="n"/>
      <c r="D179" s="63" t="n"/>
      <c r="E179" s="63" t="n"/>
      <c r="F179" s="117" t="n">
        <v>79</v>
      </c>
      <c r="G179" s="148" t="n">
        <v>0.02196885428253615</v>
      </c>
      <c r="H179" s="117" t="n">
        <v>10</v>
      </c>
      <c r="I179" s="148" t="n">
        <v>0.03597122302158273</v>
      </c>
      <c r="J179" s="149" t="n">
        <v>167664</v>
      </c>
      <c r="K179" s="148" t="n">
        <v>0.03425172514638765</v>
      </c>
      <c r="L179" s="118" t="n">
        <v>0.1265822784810127</v>
      </c>
      <c r="M179" s="150" t="n">
        <v>1.637373645387487</v>
      </c>
      <c r="N179" s="63" t="n"/>
    </row>
    <row r="180" ht="18" customHeight="1">
      <c r="B180" s="31" t="inlineStr">
        <is>
          <t>0.10 - 1.99 (reference)</t>
        </is>
      </c>
      <c r="C180" s="63" t="n"/>
      <c r="D180" s="63" t="n"/>
      <c r="E180" s="63" t="n"/>
      <c r="F180" s="117" t="n">
        <v>3361</v>
      </c>
      <c r="G180" s="148" t="n">
        <v>0.9346496106785317</v>
      </c>
      <c r="H180" s="117" t="n">
        <v>241</v>
      </c>
      <c r="I180" s="148" t="n">
        <v>0.8669064748201439</v>
      </c>
      <c r="J180" s="149" t="n">
        <v>4313015.78</v>
      </c>
      <c r="K180" s="148" t="n">
        <v>0.8810969024274307</v>
      </c>
      <c r="L180" s="118" t="n">
        <v>0.07170484974709908</v>
      </c>
      <c r="M180" s="150" t="n">
        <v>0.9275202866567204</v>
      </c>
      <c r="N180" s="63" t="n"/>
    </row>
    <row r="181" ht="18" customHeight="1">
      <c r="B181" s="31" t="inlineStr">
        <is>
          <t>2.00 - 8.30</t>
        </is>
      </c>
      <c r="C181" s="63" t="n"/>
      <c r="D181" s="63" t="n"/>
      <c r="E181" s="63" t="n"/>
      <c r="F181" s="117" t="n">
        <v>156</v>
      </c>
      <c r="G181" s="148" t="n">
        <v>0.04338153503893215</v>
      </c>
      <c r="H181" s="117" t="n">
        <v>27</v>
      </c>
      <c r="I181" s="148" t="n">
        <v>0.09712230215827339</v>
      </c>
      <c r="J181" s="149" t="n">
        <v>414372.93</v>
      </c>
      <c r="K181" s="148" t="n">
        <v>0.0846513724261817</v>
      </c>
      <c r="L181" s="118" t="n">
        <v>0.1730769230769231</v>
      </c>
      <c r="M181" s="150" t="n">
        <v>2.238793580520199</v>
      </c>
      <c r="N181" s="63" t="n"/>
    </row>
    <row r="182">
      <c r="B182" s="151" t="inlineStr">
        <is>
          <t>All held-back loans in the test</t>
        </is>
      </c>
      <c r="F182" s="152" t="n">
        <v>3596</v>
      </c>
      <c r="G182" s="153" t="n">
        <v>1</v>
      </c>
      <c r="H182" s="152" t="n">
        <v>278</v>
      </c>
      <c r="I182" s="153" t="n">
        <v>1</v>
      </c>
      <c r="J182" s="154" t="n">
        <v>4895052.71</v>
      </c>
      <c r="K182" s="153" t="n">
        <v>1</v>
      </c>
      <c r="L182" s="155" t="n">
        <v>0.07730812013348165</v>
      </c>
      <c r="M182" s="156" t="n">
        <v>1</v>
      </c>
    </row>
    <row r="184" ht="34" customHeight="1">
      <c r="B184" s="115" t="inlineStr">
        <is>
          <t>What it found</t>
        </is>
      </c>
      <c r="C184" s="107">
        <f>IF($Z$184="","On the holdout, no group goes bad significantly more often than 0.10 - 1.99, so none is singled out; every group is in the table.","On the holdout, "&amp;MID($Z$184,3,2000)&amp;".")</f>
        <v/>
      </c>
      <c r="Z184" s="133">
        <f>IF(AND(AND(ISNUMBER(0.0572805054849119),0.0572805054849119&lt;significance_bar),1.9614321446381309&gt;1),"; 0.02 - 0.09 holds "&amp;TEXT(G179,"0.0%")&amp;" of the loans, "&amp;TEXT(I179,"0.0%")&amp;" of the bad loans and "&amp;TEXT(K179,"0.0%")&amp;" of the GCO, at "&amp;TEXT(M179,"0.00")&amp;" times the holdout's bad rate","")&amp;IF(AND(AND(ISNUMBER(2.0330275724975434e-05),2.0330275724975434e-05&lt;significance_bar),2.6386293426813308&gt;1),"; 2.00 - 8.30 holds "&amp;TEXT(G181,"0.0%")&amp;" of the loans, "&amp;TEXT(I181,"0.0%")&amp;" of the bad loans and "&amp;TEXT(K181,"0.0%")&amp;" of the GCO, at "&amp;TEXT(M181,"0.00")&amp;" times the holdout's bad rate","")</f>
        <v/>
      </c>
    </row>
  </sheetData>
  <mergeCells count="132">
    <mergeCell ref="B100:C100"/>
    <mergeCell ref="B165:C165"/>
    <mergeCell ref="I104:J104"/>
    <mergeCell ref="B155:C155"/>
    <mergeCell ref="B93:C93"/>
    <mergeCell ref="B149:C149"/>
    <mergeCell ref="I145:J145"/>
    <mergeCell ref="I106:J106"/>
    <mergeCell ref="C95:N95"/>
    <mergeCell ref="B86:C86"/>
    <mergeCell ref="F22:H22"/>
    <mergeCell ref="B151:C151"/>
    <mergeCell ref="C7:N7"/>
    <mergeCell ref="B182:C182"/>
    <mergeCell ref="C174:N174"/>
    <mergeCell ref="B112:C112"/>
    <mergeCell ref="I155:J155"/>
    <mergeCell ref="B178:C178"/>
    <mergeCell ref="C140:N140"/>
    <mergeCell ref="C18:N18"/>
    <mergeCell ref="B127:C127"/>
    <mergeCell ref="C34:E34"/>
    <mergeCell ref="I157:J157"/>
    <mergeCell ref="B136:N136"/>
    <mergeCell ref="B104:C104"/>
    <mergeCell ref="B164:C164"/>
    <mergeCell ref="I94:J94"/>
    <mergeCell ref="B106:C106"/>
    <mergeCell ref="I149:J149"/>
    <mergeCell ref="C20:N20"/>
    <mergeCell ref="B138:C138"/>
    <mergeCell ref="I22:K22"/>
    <mergeCell ref="C152:N152"/>
    <mergeCell ref="I86:J86"/>
    <mergeCell ref="B156:C156"/>
    <mergeCell ref="I151:J151"/>
    <mergeCell ref="C167:N167"/>
    <mergeCell ref="C114:N114"/>
    <mergeCell ref="B180:C180"/>
    <mergeCell ref="C12:N12"/>
    <mergeCell ref="I144:J144"/>
    <mergeCell ref="B154:N154"/>
    <mergeCell ref="B117:C117"/>
    <mergeCell ref="I23:K23"/>
    <mergeCell ref="C39:N39"/>
    <mergeCell ref="B179:C179"/>
    <mergeCell ref="B91:N91"/>
    <mergeCell ref="B157:C157"/>
    <mergeCell ref="C32:E32"/>
    <mergeCell ref="B119:C119"/>
    <mergeCell ref="I98:J98"/>
    <mergeCell ref="B84:C84"/>
    <mergeCell ref="L22:M22"/>
    <mergeCell ref="I88:J88"/>
    <mergeCell ref="C101:N101"/>
    <mergeCell ref="C33:E33"/>
    <mergeCell ref="C89:N89"/>
    <mergeCell ref="I138:J138"/>
    <mergeCell ref="B169:C169"/>
    <mergeCell ref="I99:J99"/>
    <mergeCell ref="C35:E35"/>
    <mergeCell ref="B103:N103"/>
    <mergeCell ref="B144:C144"/>
    <mergeCell ref="C10:N10"/>
    <mergeCell ref="C16:N16"/>
    <mergeCell ref="B125:C125"/>
    <mergeCell ref="C9:N9"/>
    <mergeCell ref="B142:N142"/>
    <mergeCell ref="B105:C105"/>
    <mergeCell ref="F23:H23"/>
    <mergeCell ref="C115:N115"/>
    <mergeCell ref="C130:N130"/>
    <mergeCell ref="C11:N11"/>
    <mergeCell ref="B120:C120"/>
    <mergeCell ref="B98:C98"/>
    <mergeCell ref="B97:N97"/>
    <mergeCell ref="I150:J150"/>
    <mergeCell ref="F43:H43"/>
    <mergeCell ref="B88:C88"/>
    <mergeCell ref="C122:N122"/>
    <mergeCell ref="C158:N158"/>
    <mergeCell ref="I143:J143"/>
    <mergeCell ref="B171:C171"/>
    <mergeCell ref="I87:J87"/>
    <mergeCell ref="C37:N37"/>
    <mergeCell ref="B172:C172"/>
    <mergeCell ref="B99:C99"/>
    <mergeCell ref="C13:N13"/>
    <mergeCell ref="B143:C143"/>
    <mergeCell ref="B92:C92"/>
    <mergeCell ref="C6:N6"/>
    <mergeCell ref="C15:N15"/>
    <mergeCell ref="B148:N148"/>
    <mergeCell ref="C107:N107"/>
    <mergeCell ref="B94:C94"/>
    <mergeCell ref="I137:J137"/>
    <mergeCell ref="B173:C173"/>
    <mergeCell ref="C184:N184"/>
    <mergeCell ref="B126:C126"/>
    <mergeCell ref="B135:C135"/>
    <mergeCell ref="I105:J105"/>
    <mergeCell ref="C121:N121"/>
    <mergeCell ref="I139:J139"/>
    <mergeCell ref="C146:N146"/>
    <mergeCell ref="B150:C150"/>
    <mergeCell ref="I43:K43"/>
    <mergeCell ref="B85:N85"/>
    <mergeCell ref="B161:C161"/>
    <mergeCell ref="I100:J100"/>
    <mergeCell ref="I156:J156"/>
    <mergeCell ref="B145:C145"/>
    <mergeCell ref="C8:N8"/>
    <mergeCell ref="L23:M23"/>
    <mergeCell ref="B181:C181"/>
    <mergeCell ref="C17:N17"/>
    <mergeCell ref="I93:J93"/>
    <mergeCell ref="B87:C87"/>
    <mergeCell ref="I92:J92"/>
    <mergeCell ref="D43:E43"/>
    <mergeCell ref="C19:N19"/>
    <mergeCell ref="B128:C128"/>
    <mergeCell ref="B137:C137"/>
    <mergeCell ref="C166:N166"/>
    <mergeCell ref="B139:C139"/>
    <mergeCell ref="C175:N175"/>
    <mergeCell ref="C5:N5"/>
    <mergeCell ref="C14:N14"/>
    <mergeCell ref="B163:C163"/>
    <mergeCell ref="B110:C110"/>
    <mergeCell ref="C29:N29"/>
    <mergeCell ref="C4:N4"/>
    <mergeCell ref="B113:C113"/>
  </mergeCells>
  <conditionalFormatting sqref="M33:M35">
    <cfRule type="expression" priority="1" dxfId="5">
      <formula>M33="Yes"</formula>
    </cfRule>
    <cfRule type="expression" priority="2" dxfId="6">
      <formula>M33="No"</formula>
    </cfRule>
  </conditionalFormatting>
  <conditionalFormatting sqref="H45:H47">
    <cfRule type="expression" priority="3" dxfId="5">
      <formula>H45="Yes"</formula>
    </cfRule>
    <cfRule type="expression" priority="4" dxfId="6">
      <formula>H45="No"</formula>
    </cfRule>
  </conditionalFormatting>
  <conditionalFormatting sqref="K45:K47">
    <cfRule type="expression" priority="5" dxfId="5">
      <formula>K45="Yes"</formula>
    </cfRule>
    <cfRule type="expression" priority="6" dxfId="6">
      <formula>K45="No"</formula>
    </cfRule>
  </conditionalFormatting>
  <conditionalFormatting sqref="M45:M47">
    <cfRule type="expression" priority="7" dxfId="7">
      <formula>M45="Yes"</formula>
    </cfRule>
  </conditionalFormatting>
  <conditionalFormatting sqref="I112:K113">
    <cfRule type="expression" priority="8" dxfId="2">
      <formula>AND(ISNUMBER($I112),ISNUMBER($J112),$J112&lt;significance_bar,$I112&gt;1)</formula>
    </cfRule>
    <cfRule type="expression" priority="9" dxfId="8">
      <formula>AND(ISNUMBER($I112),ISNUMBER($J112),$J112&lt;significance_bar,$I112&lt;1)</formula>
    </cfRule>
  </conditionalFormatting>
  <conditionalFormatting sqref="L112:N113">
    <cfRule type="expression" priority="10" dxfId="2">
      <formula>AND(ISNUMBER($L112),ISNUMBER($M112),$M112&lt;significance_bar,$L112&gt;1)</formula>
    </cfRule>
    <cfRule type="expression" priority="11" dxfId="8">
      <formula>AND(ISNUMBER($L112),ISNUMBER($M112),$M112&lt;significance_bar,$L112&lt;1)</formula>
    </cfRule>
  </conditionalFormatting>
  <conditionalFormatting sqref="I119:K120">
    <cfRule type="expression" priority="12" dxfId="2">
      <formula>AND(ISNUMBER($I119),ISNUMBER($J119),$J119&lt;significance_bar,$I119&gt;1)</formula>
    </cfRule>
    <cfRule type="expression" priority="13" dxfId="8">
      <formula>AND(ISNUMBER($I119),ISNUMBER($J119),$J119&lt;significance_bar,$I119&lt;1)</formula>
    </cfRule>
  </conditionalFormatting>
  <conditionalFormatting sqref="L119:N120">
    <cfRule type="expression" priority="14" dxfId="2">
      <formula>AND(ISNUMBER($L119),ISNUMBER($M119),$M119&lt;significance_bar,$L119&gt;1)</formula>
    </cfRule>
    <cfRule type="expression" priority="15" dxfId="8">
      <formula>AND(ISNUMBER($L119),ISNUMBER($M119),$M119&lt;significance_bar,$L119&lt;1)</formula>
    </cfRule>
  </conditionalFormatting>
  <conditionalFormatting sqref="I163:K165">
    <cfRule type="expression" priority="16" dxfId="2">
      <formula>AND(ISNUMBER($I163),ISNUMBER($J163),$J163&lt;significance_bar,$I163&gt;1)</formula>
    </cfRule>
    <cfRule type="expression" priority="17" dxfId="8">
      <formula>AND(ISNUMBER($I163),ISNUMBER($J163),$J163&lt;significance_bar,$I163&lt;1)</formula>
    </cfRule>
  </conditionalFormatting>
  <conditionalFormatting sqref="L163:N165">
    <cfRule type="expression" priority="18" dxfId="2">
      <formula>AND(ISNUMBER($L163),ISNUMBER($M163),$M163&lt;significance_bar,$L163&gt;1)</formula>
    </cfRule>
    <cfRule type="expression" priority="19" dxfId="8">
      <formula>AND(ISNUMBER($L163),ISNUMBER($M163),$M163&lt;significance_bar,$L163&lt;1)</formula>
    </cfRule>
  </conditionalFormatting>
  <conditionalFormatting sqref="I171:K173">
    <cfRule type="expression" priority="20" dxfId="2">
      <formula>AND(ISNUMBER($I171),ISNUMBER($J171),$J171&lt;significance_bar,$I171&gt;1)</formula>
    </cfRule>
    <cfRule type="expression" priority="21" dxfId="8">
      <formula>AND(ISNUMBER($I171),ISNUMBER($J171),$J171&lt;significance_bar,$I171&lt;1)</formula>
    </cfRule>
  </conditionalFormatting>
  <conditionalFormatting sqref="L171:N173">
    <cfRule type="expression" priority="22" dxfId="2">
      <formula>AND(ISNUMBER($L171),ISNUMBER($M171),$M171&lt;significance_bar,$L171&gt;1)</formula>
    </cfRule>
    <cfRule type="expression" priority="23" dxfId="8">
      <formula>AND(ISNUMBER($L171),ISNUMBER($M171),$M171&lt;significance_bar,$L171&lt;1)</formula>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B9B4AC"/>
    <outlinePr summaryBelow="0" summaryRight="1"/>
    <pageSetUpPr fitToPage="1"/>
  </sheetPr>
  <dimension ref="B1:N10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157" t="inlineStr">
        <is>
          <t>Record</t>
        </is>
      </c>
      <c r="C1" s="158" t="inlineStr">
        <is>
          <t>What ran, whether it adds up, what was left out, and every Run. For the reviewer.</t>
        </is>
      </c>
      <c r="D1" s="159" t="n"/>
      <c r="E1" s="159" t="n"/>
      <c r="F1" s="159" t="n"/>
      <c r="G1" s="159"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160" t="inlineStr">
        <is>
          <t>This Run</t>
        </is>
      </c>
      <c r="C8" s="161" t="n"/>
      <c r="E8" s="160" t="inlineStr">
        <is>
          <t>Settings</t>
        </is>
      </c>
      <c r="F8" s="161" t="n"/>
      <c r="G8" s="161" t="n"/>
      <c r="K8" t="inlineStr">
        <is>
          <t>pair|this|settings</t>
        </is>
      </c>
    </row>
    <row r="9" ht="18" customHeight="1">
      <c r="B9" s="162" t="inlineStr">
        <is>
          <t>Item</t>
        </is>
      </c>
      <c r="C9" s="162" t="inlineStr">
        <is>
          <t>Detail</t>
        </is>
      </c>
      <c r="E9" s="162" t="inlineStr">
        <is>
          <t>Setting</t>
        </is>
      </c>
      <c r="F9" s="163" t="inlineStr">
        <is>
          <t>In use now</t>
        </is>
      </c>
      <c r="G9" s="163" t="inlineStr">
        <is>
          <t>Last Run used</t>
        </is>
      </c>
    </row>
    <row r="10" ht="32" customHeight="1">
      <c r="B10" s="164" t="inlineStr">
        <is>
          <t>Extract</t>
        </is>
      </c>
      <c r="C10" s="165" t="inlineStr">
        <is>
          <t>Scouting book.csv</t>
        </is>
      </c>
      <c r="E10" s="164" t="inlineStr">
        <is>
          <t>Loans made before this date find the candidates; the rest are held back</t>
        </is>
      </c>
      <c r="F10" s="166">
        <f>IF(AND(Control!$D$30&lt;&gt;"",Control!$D$30&lt;&gt;"n/a"),Control!$D$30,IFERROR(INDEX(_options!$G:$G,MATCH(Control!$G$30&amp;"|"&amp;Control!$C$30,_options!$A:$A,0)),Control!$C$30&amp;""))</f>
        <v/>
      </c>
      <c r="G10" s="167" t="inlineStr">
        <is>
          <t>2024-11-01 (worked out from this book)</t>
        </is>
      </c>
      <c r="K10" t="inlineStr">
        <is>
          <t>row|this|settings</t>
        </is>
      </c>
      <c r="L10">
        <f>IF(Control!$H$30="↻ Waiting for a Run",1,0)</f>
        <v/>
      </c>
    </row>
    <row r="11" ht="32" customHeight="1">
      <c r="B11" s="164" t="inlineStr">
        <is>
          <t>Loans run</t>
        </is>
      </c>
      <c r="C11" s="165" t="inlineStr">
        <is>
          <t>12,000</t>
        </is>
      </c>
      <c r="E11" s="164" t="inlineStr">
        <is>
          <t>How many bands a number column is cut into</t>
        </is>
      </c>
      <c r="F11" s="166">
        <f>IF(AND(Control!$D$26&lt;&gt;"",Control!$D$26&lt;&gt;"n/a"),Control!$D$26,IFERROR(INDEX(_options!$G:$G,MATCH(Control!$G$26&amp;"|"&amp;Control!$C$26,_options!$A:$A,0)),Control!$C$26&amp;""))</f>
        <v/>
      </c>
      <c r="G11" s="167" t="inlineStr">
        <is>
          <t>5 bands</t>
        </is>
      </c>
      <c r="K11" t="inlineStr">
        <is>
          <t>row|this|settings</t>
        </is>
      </c>
      <c r="L11">
        <f>IF(Control!$H$26="↻ Waiting for a Run",1,0)</f>
        <v/>
      </c>
    </row>
    <row r="12" ht="18" customHeight="1">
      <c r="B12" s="164" t="inlineStr">
        <is>
          <t>What was run</t>
        </is>
      </c>
      <c r="C12" s="165" t="inlineStr">
        <is>
          <t>Finding and testing a new variable: scout first</t>
        </is>
      </c>
      <c r="E12" s="164" t="inlineStr">
        <is>
          <t>Where the band edges fall</t>
        </is>
      </c>
      <c r="F12" s="166">
        <f>IF(AND(Control!$D$27&lt;&gt;"",Control!$D$27&lt;&gt;"n/a"),Control!$D$27,IFERROR(INDEX(_options!$G:$G,MATCH(Control!$G$27&amp;"|"&amp;Control!$C$27,_options!$A:$A,0)),Control!$C$27&amp;""))</f>
        <v/>
      </c>
      <c r="G12" s="167" t="inlineStr">
        <is>
          <t>Each band holds about the same number of loans</t>
        </is>
      </c>
      <c r="K12" t="inlineStr">
        <is>
          <t>row|this|settings</t>
        </is>
      </c>
      <c r="L12">
        <f>IF(Control!$H$27="↻ Waiting for a Run",1,0)</f>
        <v/>
      </c>
    </row>
    <row r="13" ht="18" customHeight="1">
      <c r="B13" s="164" t="inlineStr">
        <is>
          <t>Record of this run</t>
        </is>
      </c>
      <c r="C13" s="165" t="inlineStr">
        <is>
          <t>Scouting book - PocketBook - what ran.yaml, beside this workbook: every setting the run used, kept for the file.</t>
        </is>
      </c>
      <c r="E13" s="164" t="inlineStr">
        <is>
          <t>Smallest excess loss worth reporting</t>
        </is>
      </c>
      <c r="F13" s="166">
        <f>'_live'!$E$10</f>
        <v/>
      </c>
      <c r="G13" s="167" t="inlineStr">
        <is>
          <t>1.0% of the book's GCO, $168,066</t>
        </is>
      </c>
      <c r="K13" t="inlineStr">
        <is>
          <t>row|this|settings</t>
        </is>
      </c>
      <c r="L13">
        <f>IF('_live'!$E$10&lt;&gt;'_live'!$F$10,1,0)</f>
        <v/>
      </c>
    </row>
    <row r="14" ht="32" customHeight="1">
      <c r="B14" s="164" t="n"/>
      <c r="C14" s="165" t="inlineStr">
        <is>
          <t>It is replaced by the next Run.</t>
        </is>
      </c>
      <c r="E14" s="164" t="inlineStr">
        <is>
          <t>How much worse than its comparison a pocket must be</t>
        </is>
      </c>
      <c r="F14" s="166">
        <f>'_live'!$E$5</f>
        <v/>
      </c>
      <c r="G14" s="167" t="inlineStr">
        <is>
          <t>worse at 1.25x</t>
        </is>
      </c>
      <c r="K14" t="inlineStr">
        <is>
          <t>row|this|settings</t>
        </is>
      </c>
      <c r="L14">
        <f>IF('_live'!$E$5&lt;&gt;'_live'!$F$5,1,0)</f>
        <v/>
      </c>
      <c r="M14" t="inlineStr">
        <is>
          <t>sp</t>
        </is>
      </c>
    </row>
    <row r="15" ht="32" customHeight="1">
      <c r="B15" s="164" t="inlineStr">
        <is>
          <t>Origination dates</t>
        </is>
      </c>
      <c r="C15" s="165" t="inlineStr">
        <is>
          <t>2021-06-30 to 2026-03-30 (12,000 loans; 0 without a readable date)</t>
        </is>
      </c>
      <c r="E15" s="164" t="inlineStr">
        <is>
          <t>How sure a difference must be before it counts</t>
        </is>
      </c>
      <c r="F15" s="166">
        <f>'_live'!$E$7</f>
        <v/>
      </c>
      <c r="G15" s="167" t="inlineStr">
        <is>
          <t>95% sure</t>
        </is>
      </c>
      <c r="K15" t="inlineStr">
        <is>
          <t>row|this|settings</t>
        </is>
      </c>
      <c r="L15">
        <f>IF('_live'!$E$7&lt;&gt;'_live'!$F$7,1,0)</f>
        <v/>
      </c>
    </row>
    <row r="16" ht="32" customHeight="1">
      <c r="B16" s="164" t="inlineStr">
        <is>
          <t>New column: income_to_sales</t>
        </is>
      </c>
      <c r="C16" s="165" t="inlineStr">
        <is>
          <t>INCOME ÷ SALES on each loan. Made on 11,976; blank on 24 (12 where SALES is zero; 12 where SALES blank).</t>
        </is>
      </c>
      <c r="E16" s="164" t="inlineStr">
        <is>
          <t>Allowing for testing many pockets at once</t>
        </is>
      </c>
      <c r="F16" s="166">
        <f>IF(AND(Control!$D$29&lt;&gt;"",Control!$D$29&lt;&gt;"n/a"),Control!$D$29,IFERROR(INDEX(_options!$G:$G,MATCH(Control!$G$29&amp;"|"&amp;Control!$C$29,_options!$A:$A,0)),Control!$C$29&amp;""))</f>
        <v/>
      </c>
      <c r="G16" s="167" t="inlineStr">
        <is>
          <t>Hold down the share of false finds (Benjamini-Hochberg)</t>
        </is>
      </c>
      <c r="K16" t="inlineStr">
        <is>
          <t>row|this|settings</t>
        </is>
      </c>
      <c r="L16">
        <f>IF(Control!$H$29="↻ Waiting for a Run",1,0)</f>
        <v/>
      </c>
    </row>
    <row r="17" ht="18" customHeight="1">
      <c r="B17" s="164" t="inlineStr">
        <is>
          <t>Band edges used: FICO</t>
        </is>
      </c>
      <c r="C17" s="165" t="inlineStr">
        <is>
          <t>654; 686; 713; 746  (5 bands)</t>
        </is>
      </c>
      <c r="K17" t="inlineStr">
        <is>
          <t>row|this|settings</t>
        </is>
      </c>
    </row>
    <row r="18" ht="18" customHeight="1">
      <c r="B18" s="164" t="inlineStr">
        <is>
          <t>Scouting</t>
        </is>
      </c>
      <c r="C18" s="165" t="inlineStr">
        <is>
          <t>8 candidates on 8,394 development loans made 2021-06-30 to 2024-10-31; 2 proposed: UTIL, income_to_sales. See</t>
        </is>
      </c>
      <c r="K18" t="inlineStr">
        <is>
          <t>row|this|settings</t>
        </is>
      </c>
    </row>
    <row r="19" ht="18" customHeight="1">
      <c r="B19" s="164" t="n"/>
      <c r="C19" s="165" t="inlineStr">
        <is>
          <t>the Scouting tab.</t>
        </is>
      </c>
      <c r="K19" t="inlineStr">
        <is>
          <t>row|this|settings</t>
        </is>
      </c>
      <c r="M19" t="inlineStr">
        <is>
          <t>sp</t>
        </is>
      </c>
    </row>
    <row r="20" ht="18" customHeight="1">
      <c r="B20" s="164" t="inlineStr">
        <is>
          <t>Scouting held back</t>
        </is>
      </c>
      <c r="C20" s="165" t="inlineStr">
        <is>
          <t>3,605 loans made 2024-11-01 to 2026-03-30: none of their outcomes or values was read by scouting.</t>
        </is>
      </c>
      <c r="K20" t="inlineStr">
        <is>
          <t>row|this|settings</t>
        </is>
      </c>
    </row>
    <row r="21" ht="18" customHeight="1">
      <c r="B21" s="164" t="inlineStr">
        <is>
          <t>Scouting's pre-spec</t>
        </is>
      </c>
      <c r="C21" s="165" t="inlineStr">
        <is>
          <t>Written by this Run: Scouting book - pre-spec.yaml, beside the workbook, fingerprint 374284797598, before any</t>
        </is>
      </c>
      <c r="K21" t="inlineStr">
        <is>
          <t>row|this|settings</t>
        </is>
      </c>
    </row>
    <row r="22" ht="18" customHeight="1">
      <c r="B22" s="164" t="n"/>
      <c r="C22" s="165" t="inlineStr">
        <is>
          <t>held-back loan was tested. Edit it if you like; Record logs every change.</t>
        </is>
      </c>
      <c r="K22" t="inlineStr">
        <is>
          <t>row|this|settings</t>
        </is>
      </c>
      <c r="M22" t="inlineStr">
        <is>
          <t>sp</t>
        </is>
      </c>
    </row>
    <row r="23" ht="18" customHeight="1">
      <c r="B23" s="164" t="inlineStr">
        <is>
          <t>Scouting out of time</t>
        </is>
      </c>
      <c r="C23" s="165" t="inlineStr">
        <is>
          <t>Built on loans made 2021-06-30 to 2024-10-31: AUC 0.63. On loans made 2024-11-01 to 2026-03-30, unseen: 0.60.</t>
        </is>
      </c>
      <c r="K23" t="inlineStr">
        <is>
          <t>row|this|settings</t>
        </is>
      </c>
    </row>
    <row r="24" ht="18" customHeight="1">
      <c r="B24" s="164" t="n"/>
      <c r="C24" s="165" t="inlineStr">
        <is>
          <t>With FICO and CHANNEL in the forest too: 0.69 built, 0.68 unseen.</t>
        </is>
      </c>
      <c r="K24" t="inlineStr">
        <is>
          <t>row|this|settings</t>
        </is>
      </c>
      <c r="M24" t="inlineStr">
        <is>
          <t>sp</t>
        </is>
      </c>
    </row>
    <row r="25" ht="18" customHeight="1">
      <c r="B25" s="164" t="inlineStr">
        <is>
          <t>Pre-spec</t>
        </is>
      </c>
      <c r="C25" s="165" t="inlineStr">
        <is>
          <t>/tmp/credit3/Scout files/Scouting book - pre-spec.yaml</t>
        </is>
      </c>
      <c r="K25" t="inlineStr">
        <is>
          <t>row|this|settings</t>
        </is>
      </c>
    </row>
    <row r="26" ht="18" customHeight="1">
      <c r="B26" s="164" t="inlineStr">
        <is>
          <t>Pre-spec commit</t>
        </is>
      </c>
      <c r="C26" s="165" t="inlineStr">
        <is>
          <t>not in a git repository, so not committed: a pre-spec only counts once it is committed</t>
        </is>
      </c>
      <c r="K26" t="inlineStr">
        <is>
          <t>row|this|settings</t>
        </is>
      </c>
    </row>
    <row r="27" ht="18" customHeight="1">
      <c r="B27" s="164" t="inlineStr">
        <is>
          <t>Pre-spec fingerprint</t>
        </is>
      </c>
      <c r="C27" s="165" t="inlineStr">
        <is>
          <t>374284797598: the first 12 characters of the file's SHA-256, so any change to it shows</t>
        </is>
      </c>
      <c r="K27" t="inlineStr">
        <is>
          <t>row|this|settings</t>
        </is>
      </c>
    </row>
    <row r="28" ht="18" customHeight="1">
      <c r="B28" s="164" t="inlineStr">
        <is>
          <t>What the pre-spec says</t>
        </is>
      </c>
      <c r="C28" s="165" t="inlineStr">
        <is>
          <t>written: 2026-09-30</t>
        </is>
      </c>
      <c r="K28" t="inlineStr">
        <is>
          <t>row|this|settings</t>
        </is>
      </c>
    </row>
    <row r="29" ht="18" customHeight="1">
      <c r="B29" s="164" t="n"/>
      <c r="C29" s="165" t="inlineStr">
        <is>
          <t>outcome: BAD_FLAG</t>
        </is>
      </c>
      <c r="K29" t="inlineStr">
        <is>
          <t>row|this|settings</t>
        </is>
      </c>
      <c r="M29" t="inlineStr">
        <is>
          <t>nl</t>
        </is>
      </c>
    </row>
    <row r="30" ht="18" customHeight="1">
      <c r="B30" s="164" t="n"/>
      <c r="C30" s="165" t="inlineStr">
        <is>
          <t>inputs: 2</t>
        </is>
      </c>
      <c r="K30" t="inlineStr">
        <is>
          <t>row|this|settings</t>
        </is>
      </c>
      <c r="M30" t="inlineStr">
        <is>
          <t>nl</t>
        </is>
      </c>
    </row>
    <row r="31" ht="18" customHeight="1">
      <c r="B31" s="164" t="n"/>
      <c r="C31" s="165" t="inlineStr">
        <is>
          <t>1. column: UTIL</t>
        </is>
      </c>
      <c r="K31" t="inlineStr">
        <is>
          <t>row|this|settings</t>
        </is>
      </c>
      <c r="M31" t="inlineStr">
        <is>
          <t>nl</t>
        </is>
      </c>
    </row>
    <row r="32" ht="18" customHeight="1">
      <c r="B32" s="164" t="n"/>
      <c r="C32" s="165" t="inlineStr">
        <is>
          <t>1. bins: 0.9 (groups: 0.0 - 0.8; 0.9 - 1.2)</t>
        </is>
      </c>
      <c r="K32" t="inlineStr">
        <is>
          <t>row|this|settings</t>
        </is>
      </c>
      <c r="M32" t="inlineStr">
        <is>
          <t>nl</t>
        </is>
      </c>
    </row>
    <row r="33" ht="18" customHeight="1">
      <c r="B33" s="164" t="n"/>
      <c r="C33" s="165" t="inlineStr">
        <is>
          <t>1. reference: 0.0 - 0.8</t>
        </is>
      </c>
      <c r="K33" t="inlineStr">
        <is>
          <t>row|this|settings</t>
        </is>
      </c>
      <c r="M33" t="inlineStr">
        <is>
          <t>nl</t>
        </is>
      </c>
    </row>
    <row r="34" ht="18" customHeight="1">
      <c r="B34" s="164" t="n"/>
      <c r="C34" s="165" t="inlineStr">
        <is>
          <t>2. column: income_to_sales</t>
        </is>
      </c>
      <c r="K34" t="inlineStr">
        <is>
          <t>row|this|settings</t>
        </is>
      </c>
      <c r="M34" t="inlineStr">
        <is>
          <t>nl</t>
        </is>
      </c>
    </row>
    <row r="35" ht="18" customHeight="1">
      <c r="B35" s="164" t="n"/>
      <c r="C35" s="165" t="inlineStr">
        <is>
          <t>2. bins: 0.1, 2 (groups: 0.02 - 0.09; 0.10 - 1.99; 2.00 - 8.30)</t>
        </is>
      </c>
      <c r="K35" t="inlineStr">
        <is>
          <t>row|this|settings</t>
        </is>
      </c>
      <c r="M35" t="inlineStr">
        <is>
          <t>nl</t>
        </is>
      </c>
    </row>
    <row r="36" ht="18" customHeight="1">
      <c r="B36" s="164" t="n"/>
      <c r="C36" s="165" t="inlineStr">
        <is>
          <t>2. reference: 0.10 - 1.99</t>
        </is>
      </c>
      <c r="K36" t="inlineStr">
        <is>
          <t>row|this|settings</t>
        </is>
      </c>
      <c r="M36" t="inlineStr">
        <is>
          <t>nl</t>
        </is>
      </c>
    </row>
    <row r="37" ht="18" customHeight="1">
      <c r="B37" s="164" t="n"/>
      <c r="C37" s="165" t="inlineStr">
        <is>
          <t>strata: FICO, CHANNEL</t>
        </is>
      </c>
      <c r="K37" t="inlineStr">
        <is>
          <t>row|this|settings</t>
        </is>
      </c>
      <c r="M37" t="inlineStr">
        <is>
          <t>nl</t>
        </is>
      </c>
    </row>
    <row r="38" ht="18" customHeight="1">
      <c r="B38" s="164" t="n"/>
      <c r="C38" s="165" t="inlineStr">
        <is>
          <t>confidence: 0.95</t>
        </is>
      </c>
      <c r="K38" t="inlineStr">
        <is>
          <t>row|this|settings</t>
        </is>
      </c>
      <c r="M38" t="inlineStr">
        <is>
          <t>nl</t>
        </is>
      </c>
    </row>
    <row r="39" ht="18" customHeight="1">
      <c r="B39" s="164" t="n"/>
      <c r="C39" s="165" t="inlineStr">
        <is>
          <t>holdout: 2024-11-01 to 2026-03-30</t>
        </is>
      </c>
      <c r="K39" t="inlineStr">
        <is>
          <t>row|this|settings</t>
        </is>
      </c>
      <c r="M39" t="inlineStr">
        <is>
          <t>nl</t>
        </is>
      </c>
    </row>
    <row r="40" ht="18" customHeight="1">
      <c r="B40" s="164" t="n"/>
      <c r="C40" s="165" t="inlineStr">
        <is>
          <t>development: 2021-06-30 to 2024-10-31</t>
        </is>
      </c>
      <c r="K40" t="inlineStr">
        <is>
          <t>row|this|settings</t>
        </is>
      </c>
      <c r="M40" t="inlineStr">
        <is>
          <t>nl</t>
        </is>
      </c>
    </row>
    <row r="41" ht="18" customHeight="1">
      <c r="B41" s="164" t="inlineStr">
        <is>
          <t>Warning</t>
        </is>
      </c>
      <c r="C41" s="168" t="inlineStr">
        <is>
          <t>This run doesn't count as the pre-specified one until the pre-spec is committed, unchanged.</t>
        </is>
      </c>
      <c r="K41" t="inlineStr">
        <is>
          <t>row|this|settings</t>
        </is>
      </c>
    </row>
    <row r="42" ht="18" customHeight="1">
      <c r="B42" s="164" t="inlineStr">
        <is>
          <t>Differs from the pre-spec</t>
        </is>
      </c>
      <c r="C42" s="165" t="inlineStr">
        <is>
          <t>nowhere: this run used what it says</t>
        </is>
      </c>
      <c r="K42" t="inlineStr">
        <is>
          <t>row|this|settings</t>
        </is>
      </c>
    </row>
    <row r="43" ht="18" customHeight="1">
      <c r="B43" s="164" t="inlineStr">
        <is>
          <t>Holdout</t>
        </is>
      </c>
      <c r="C43" s="165" t="inlineStr">
        <is>
          <t>3,605 of this extract's loans were made in the holdout (2024-11-01 to 2026-03-30), the first on 2024-11-01 and</t>
        </is>
      </c>
      <c r="K43" t="inlineStr">
        <is>
          <t>row|this|settings</t>
        </is>
      </c>
    </row>
    <row r="44" ht="18" customHeight="1">
      <c r="B44" s="164" t="n"/>
      <c r="C44" s="165" t="inlineStr">
        <is>
          <t>the last on 2026-03-30. This run touched the holdout.</t>
        </is>
      </c>
      <c r="K44" t="inlineStr">
        <is>
          <t>row|this|settings</t>
        </is>
      </c>
      <c r="M44" t="inlineStr">
        <is>
          <t>sp</t>
        </is>
      </c>
    </row>
    <row r="45" ht="18" customHeight="1">
      <c r="B45" s="164" t="inlineStr">
        <is>
          <t>Confirmatory test</t>
        </is>
      </c>
      <c r="C45" s="165" t="inlineStr">
        <is>
          <t>UTIL: Development 2021-06-30 to 2024-10-31: 8,394 loans, 673 bad; holdout 2024-11-01 to 2026-03-30: 3,605 loans,</t>
        </is>
      </c>
      <c r="K45" t="inlineStr">
        <is>
          <t>row|this|settings</t>
        </is>
      </c>
    </row>
    <row r="46" ht="18" customHeight="1">
      <c r="B46" s="164" t="n"/>
      <c r="C46" s="165" t="inlineStr">
        <is>
          <t>280 bad. See the New variables tab. Left out of this test only (the loan counts on Record include them): 1 with</t>
        </is>
      </c>
      <c r="K46" t="inlineStr">
        <is>
          <t>row|this|settings</t>
        </is>
      </c>
      <c r="M46" t="inlineStr">
        <is>
          <t>sp</t>
        </is>
      </c>
    </row>
    <row r="47" ht="18" customHeight="1">
      <c r="B47" s="164" t="n"/>
      <c r="C47" s="165" t="inlineStr">
        <is>
          <t>no readable outcome.</t>
        </is>
      </c>
      <c r="K47" t="inlineStr">
        <is>
          <t>row|this|settings</t>
        </is>
      </c>
      <c r="M47" t="inlineStr">
        <is>
          <t>sp</t>
        </is>
      </c>
    </row>
    <row r="48" ht="18" customHeight="1">
      <c r="B48" s="164" t="inlineStr">
        <is>
          <t>Confirmatory test</t>
        </is>
      </c>
      <c r="C48" s="165" t="inlineStr">
        <is>
          <t>income_to_sales: Development 2021-06-30 to 2024-10-31: 8,379 loans, 672 bad; holdout 2024-11-01 to 2026-03-30:</t>
        </is>
      </c>
      <c r="K48" t="inlineStr">
        <is>
          <t>row|this|settings</t>
        </is>
      </c>
    </row>
    <row r="49" ht="18" customHeight="1">
      <c r="B49" s="164" t="n"/>
      <c r="C49" s="165" t="inlineStr">
        <is>
          <t>3,596 loans, 278 bad. See the New variables tab. Left out of this test only (the loan counts on Record include</t>
        </is>
      </c>
      <c r="K49" t="inlineStr">
        <is>
          <t>row|this|settings</t>
        </is>
      </c>
      <c r="M49" t="inlineStr">
        <is>
          <t>sp</t>
        </is>
      </c>
    </row>
    <row r="50" ht="18" customHeight="1">
      <c r="B50" s="164" t="n"/>
      <c r="C50" s="165" t="inlineStr">
        <is>
          <t>them): 24 with no readable value of the column tested; 1 with no readable outcome.</t>
        </is>
      </c>
      <c r="K50" t="inlineStr">
        <is>
          <t>row|this|settings</t>
        </is>
      </c>
      <c r="M50" t="inlineStr">
        <is>
          <t>sp</t>
        </is>
      </c>
    </row>
    <row r="51" ht="18" customHeight="1">
      <c r="B51" s="164" t="inlineStr">
        <is>
          <t>Runs that touched the holdout</t>
        </is>
      </c>
      <c r="C51" s="165" t="inlineStr">
        <is>
          <t>1 on Record's Every Run, this one included</t>
        </is>
      </c>
      <c r="K51" t="inlineStr">
        <is>
          <t>row|this|settings</t>
        </is>
      </c>
    </row>
    <row r="52" ht="18" customHeight="1">
      <c r="B52" s="169" t="inlineStr">
        <is>
          <t>This pre-spec's held-back runs</t>
        </is>
      </c>
      <c r="C52" s="170" t="inlineStr">
        <is>
          <t>In order: this run (374284797598).</t>
        </is>
      </c>
      <c r="E52" s="171" t="n"/>
      <c r="F52" s="171" t="n"/>
      <c r="G52" s="171" t="n"/>
      <c r="K52" t="inlineStr">
        <is>
          <t>row|this|settings</t>
        </is>
      </c>
    </row>
    <row r="54" ht="24" customHeight="1">
      <c r="B54" s="160" t="inlineStr">
        <is>
          <t>Does it add up</t>
        </is>
      </c>
      <c r="C54" s="161" t="n"/>
      <c r="E54" s="160" t="inlineStr">
        <is>
          <t>Tests used</t>
        </is>
      </c>
      <c r="F54" s="161" t="n"/>
      <c r="G54" s="161" t="n"/>
      <c r="K54" t="inlineStr">
        <is>
          <t>pair|adds|tests</t>
        </is>
      </c>
    </row>
    <row r="55" ht="18" customHeight="1">
      <c r="B55" s="162" t="inlineStr">
        <is>
          <t>Check</t>
        </is>
      </c>
      <c r="C55" s="162" t="inlineStr">
        <is>
          <t>Result</t>
        </is>
      </c>
      <c r="E55" s="162" t="inlineStr">
        <is>
          <t>Where</t>
        </is>
      </c>
      <c r="F55" s="162" t="inlineStr">
        <is>
          <t>Test</t>
        </is>
      </c>
      <c r="G55" s="172" t="n"/>
    </row>
    <row r="56" ht="32" customHeight="1">
      <c r="B56" s="164" t="inlineStr">
        <is>
          <t>Bleed tabs</t>
        </is>
      </c>
      <c r="C56" s="165" t="inlineStr">
        <is>
          <t>None: testing a new variable runs only the confirmatory test. Any left by an earlier Run were taken off.</t>
        </is>
      </c>
      <c r="E56" s="164" t="inlineStr">
        <is>
          <t>Borderline now: Bad dollars</t>
        </is>
      </c>
      <c r="F56" s="165">
        <f>COUNTIFS('_pockets'!$A$4:$A$1048576,"grids",'_pockets'!$E$4:$E$1048576,"outcome_booked",'_pockets'!$AM$4:$AM$1048576,"?*")&amp;" of 0 pockets on the grids have a borderline verdict ("&amp;COUNTIFS('_pockets'!$A$4:$A$1048576,"grids",'_pockets'!$E$4:$E$1048576,"outcome_booked",'_pockets'!$AN$4:$AN$1048576,"?*")&amp;" on Worse?)."</f>
        <v/>
      </c>
      <c r="G56" s="63" t="n"/>
      <c r="K56" t="inlineStr">
        <is>
          <t>row|adds|tests</t>
        </is>
      </c>
    </row>
    <row r="57" ht="18" customHeight="1">
      <c r="E57" s="164" t="inlineStr">
        <is>
          <t>Borderline now: Charge-offs</t>
        </is>
      </c>
      <c r="F57" s="165">
        <f>COUNTIFS('_pockets'!$A$4:$A$1048576,"grids",'_pockets'!$E$4:$E$1048576,"gco_rate",'_pockets'!$AM$4:$AM$1048576,"?*")&amp;" of 0 pockets on the grids have a borderline verdict ("&amp;COUNTIFS('_pockets'!$A$4:$A$1048576,"grids",'_pockets'!$E$4:$E$1048576,"gco_rate",'_pockets'!$AN$4:$AN$1048576,"?*")&amp;" on Worse?)."</f>
        <v/>
      </c>
      <c r="G57" s="63" t="n"/>
      <c r="K57" t="inlineStr">
        <is>
          <t>row|adds|tests</t>
        </is>
      </c>
    </row>
    <row r="58" ht="18" customHeight="1">
      <c r="E58" s="164" t="inlineStr">
        <is>
          <t>Borderline now: Kept after losses</t>
        </is>
      </c>
      <c r="F58" s="165">
        <f>COUNTIFS('_pockets'!$A$4:$A$1048576,"grids",'_pockets'!$E$4:$E$1048576,"ranr_rate",'_pockets'!$AM$4:$AM$1048576,"?*")&amp;" of 0 pockets on the grids have a borderline verdict ("&amp;COUNTIFS('_pockets'!$A$4:$A$1048576,"grids",'_pockets'!$E$4:$E$1048576,"ranr_rate",'_pockets'!$AN$4:$AN$1048576,"?*")&amp;" on Worse?)."</f>
        <v/>
      </c>
      <c r="G58" s="63" t="n"/>
      <c r="K58" t="inlineStr">
        <is>
          <t>row|adds|tests</t>
        </is>
      </c>
    </row>
    <row r="59" ht="32" customHeight="1">
      <c r="E59" s="164" t="inlineStr">
        <is>
          <t>Borderline now: Earned before losses</t>
        </is>
      </c>
      <c r="F59" s="165">
        <f>COUNTIFS('_pockets'!$A$4:$A$1048576,"grids",'_pockets'!$E$4:$E$1048576,"contribution_rate",'_pockets'!$AM$4:$AM$1048576,"?*")&amp;" of 0 pockets on the grids have a borderline verdict ("&amp;COUNTIFS('_pockets'!$A$4:$A$1048576,"grids",'_pockets'!$E$4:$E$1048576,"contribution_rate",'_pockets'!$AN$4:$AN$1048576,"?*")&amp;" on Worse?)."</f>
        <v/>
      </c>
      <c r="G59" s="63" t="n"/>
      <c r="K59" t="inlineStr">
        <is>
          <t>row|adds|tests</t>
        </is>
      </c>
    </row>
    <row r="60" ht="32" customHeight="1">
      <c r="E60" s="164" t="inlineStr">
        <is>
          <t>p-value</t>
        </is>
      </c>
      <c r="F60" s="165">
        <f>"The chance of a gap at least this big if there were no real difference, after the allowance for many tests. Below "&amp;TEXT(significance_bar,"0%")&amp;" is significant, at "&amp;TEXT(confidence,"0%")&amp;" sure. Two-sided: a gap either way counts."</f>
        <v/>
      </c>
      <c r="G60" s="63" t="n"/>
      <c r="K60" t="inlineStr">
        <is>
          <t>row|adds|tests</t>
        </is>
      </c>
    </row>
    <row r="61" ht="88" customHeight="1">
      <c r="E61" s="164" t="inlineStr">
        <is>
          <t>Borderline</t>
        </is>
      </c>
      <c r="F61" s="165">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61" s="63" t="n"/>
      <c r="K61" t="inlineStr">
        <is>
          <t>row|adds|tests</t>
        </is>
      </c>
    </row>
    <row r="62" ht="32" customHeight="1">
      <c r="E62" s="164" t="inlineStr">
        <is>
          <t>Standard error</t>
        </is>
      </c>
      <c r="F62" s="165">
        <f>"How far a rate worked out from this many loans typically lands from its true value. A gap of "&amp;TEXT(NORMSINV(1-(1-confidence)/2),"0.00")&amp;" standard errors is the "&amp;TEXT(confidence,"0%")&amp;" line."</f>
        <v/>
      </c>
      <c r="G62" s="63" t="n"/>
      <c r="K62" t="inlineStr">
        <is>
          <t>row|adds|tests</t>
        </is>
      </c>
    </row>
    <row r="63" ht="18" customHeight="1">
      <c r="E63" s="164" t="inlineStr">
        <is>
          <t>Contribution before losses</t>
        </is>
      </c>
      <c r="F63" s="165" t="inlineStr">
        <is>
          <t>RANR + GCO, per booked dollar. This assumes RANR has gross charge-offs taken out. If RANR nets</t>
        </is>
      </c>
      <c r="G63" s="63" t="n"/>
      <c r="K63" t="inlineStr">
        <is>
          <t>row|adds|tests</t>
        </is>
      </c>
    </row>
    <row r="64" ht="18" customHeight="1">
      <c r="E64" s="164" t="n"/>
      <c r="F64" s="165" t="inlineStr">
        <is>
          <t>recoveries instead, contribution is overstated by the recoveries.</t>
        </is>
      </c>
      <c r="G64" s="63" t="n"/>
      <c r="K64" t="inlineStr">
        <is>
          <t>row|adds|tests</t>
        </is>
      </c>
      <c r="N64" t="inlineStr">
        <is>
          <t>sp</t>
        </is>
      </c>
    </row>
    <row r="65" ht="18" customHeight="1">
      <c r="E65" s="164" t="inlineStr">
        <is>
          <t>Profit counts as more or less</t>
        </is>
      </c>
      <c r="F65" s="165">
        <f>'_live'!$E$13&amp;IF(profit_kind="test",": only a gap that is significant at "&amp;TEXT(confidence,"0%"),"")&amp;" (none was chosen, so each pocket's own test)"</f>
        <v/>
      </c>
      <c r="G65" s="63" t="n"/>
      <c r="K65" t="inlineStr">
        <is>
          <t>row|adds|tests</t>
        </is>
      </c>
    </row>
    <row r="66" ht="18" customHeight="1">
      <c r="E66" s="164" t="inlineStr">
        <is>
          <t>How profit reads</t>
        </is>
      </c>
      <c r="F66" s="165" t="inlineStr">
        <is>
          <t>As the gap: how many points of booked dollars a pocket is short of or ahead of its band, and the dollars</t>
        </is>
      </c>
      <c r="G66" s="63" t="n"/>
      <c r="K66" t="inlineStr">
        <is>
          <t>row|adds|tests</t>
        </is>
      </c>
    </row>
    <row r="67" ht="18" customHeight="1">
      <c r="E67" s="164" t="n"/>
      <c r="F67" s="165" t="inlineStr">
        <is>
          <t>that comes to. A gap its own test doesn't call significant gives the gap and says not significant. The</t>
        </is>
      </c>
      <c r="G67" s="63" t="n"/>
      <c r="K67" t="inlineStr">
        <is>
          <t>row|adds|tests</t>
        </is>
      </c>
      <c r="N67" t="inlineStr">
        <is>
          <t>sp</t>
        </is>
      </c>
    </row>
    <row r="68" ht="18" customHeight="1">
      <c r="E68" s="164" t="n"/>
      <c r="F68" s="165" t="inlineStr">
        <is>
          <t>examples are as of the last Run.</t>
        </is>
      </c>
      <c r="G68" s="63" t="n"/>
      <c r="K68" t="inlineStr">
        <is>
          <t>row|adds|tests</t>
        </is>
      </c>
      <c r="N68" t="inlineStr">
        <is>
          <t>sp</t>
        </is>
      </c>
    </row>
    <row r="69" ht="18" customHeight="1">
      <c r="E69" s="164" t="inlineStr">
        <is>
          <t>Tests: scouting</t>
        </is>
      </c>
      <c r="F69" s="165" t="inlineStr">
        <is>
          <t>A random forest (scikit-learn 1.9.1, 200 trees, leaves of at least 40, seed 7) ranking by permutation</t>
        </is>
      </c>
      <c r="G69" s="63" t="n"/>
      <c r="K69" t="inlineStr">
        <is>
          <t>row|adds|tests</t>
        </is>
      </c>
    </row>
    <row r="70" ht="18" customHeight="1">
      <c r="E70" s="164" t="n"/>
      <c r="F70" s="165" t="inlineStr">
        <is>
          <t>importance, cross-fitted in 3 runs by date, against a noise floor from shuffled outcomes; bins from</t>
        </is>
      </c>
      <c r="G70" s="63" t="n"/>
      <c r="K70" t="inlineStr">
        <is>
          <t>row|adds|tests</t>
        </is>
      </c>
      <c r="N70" t="inlineStr">
        <is>
          <t>sp</t>
        </is>
      </c>
    </row>
    <row r="71" ht="18" customHeight="1">
      <c r="E71" s="164" t="n"/>
      <c r="F71" s="165" t="inlineStr">
        <is>
          <t>partial dependence and the forest's own splits; once the pre-spec was written, the forests' AUC on the</t>
        </is>
      </c>
      <c r="G71" s="63" t="n"/>
      <c r="K71" t="inlineStr">
        <is>
          <t>row|adds|tests</t>
        </is>
      </c>
      <c r="N71" t="inlineStr">
        <is>
          <t>sp</t>
        </is>
      </c>
    </row>
    <row r="72" ht="18" customHeight="1">
      <c r="E72" s="164" t="n"/>
      <c r="F72" s="165" t="inlineStr">
        <is>
          <t>held-back loans (statistics.md B11).</t>
        </is>
      </c>
      <c r="G72" s="63" t="n"/>
      <c r="K72" t="inlineStr">
        <is>
          <t>row|adds|tests</t>
        </is>
      </c>
      <c r="N72" t="inlineStr">
        <is>
          <t>sp</t>
        </is>
      </c>
    </row>
    <row r="73" ht="18" customHeight="1">
      <c r="E73" s="164" t="inlineStr">
        <is>
          <t>Tests on New variables</t>
        </is>
      </c>
      <c r="F73" s="165" t="inlineStr">
        <is>
          <t>Each group against the reference: conditional logistic regression, its odds ratio, range and p-value,</t>
        </is>
      </c>
      <c r="G73" s="63" t="n"/>
      <c r="K73" t="inlineStr">
        <is>
          <t>row|adds|tests</t>
        </is>
      </c>
    </row>
    <row r="74" ht="18" customHeight="1">
      <c r="E74" s="164" t="n"/>
      <c r="F74" s="165" t="inlineStr">
        <is>
          <t>and its block test (a likelihood ratio test on one fewer degree of freedom than the groups); whether the</t>
        </is>
      </c>
      <c r="G74" s="63" t="n"/>
      <c r="K74" t="inlineStr">
        <is>
          <t>row|adds|tests</t>
        </is>
      </c>
      <c r="N74" t="inlineStr">
        <is>
          <t>sp</t>
        </is>
      </c>
    </row>
    <row r="75" ht="18" customHeight="1">
      <c r="E75" s="164" t="n"/>
      <c r="F75" s="165" t="inlineStr">
        <is>
          <t>column matters at all: the Mantel-Haenszel test for the groups and its trend test. Each on the loans the</t>
        </is>
      </c>
      <c r="G75" s="63" t="n"/>
      <c r="K75" t="inlineStr">
        <is>
          <t>row|adds|tests</t>
        </is>
      </c>
      <c r="N75" t="inlineStr">
        <is>
          <t>sp</t>
        </is>
      </c>
    </row>
    <row r="76" ht="18" customHeight="1">
      <c r="E76" s="164" t="n"/>
      <c r="F76" s="165" t="inlineStr">
        <is>
          <t>groups were found on and on the held-back loans, with and without the columns held fixed.</t>
        </is>
      </c>
      <c r="G76" s="63" t="n"/>
      <c r="K76" t="inlineStr">
        <is>
          <t>row|adds|tests</t>
        </is>
      </c>
      <c r="N76" t="inlineStr">
        <is>
          <t>sp</t>
        </is>
      </c>
    </row>
    <row r="77" ht="18" customHeight="1">
      <c r="E77" s="164" t="inlineStr">
        <is>
          <t>Tests: the allowance for many at once</t>
        </is>
      </c>
      <c r="F77" s="165" t="inlineStr">
        <is>
          <t>Benjamini-Hochberg, as Control's "Allowing for testing many pockets at once" says: across the 2</t>
        </is>
      </c>
      <c r="G77" s="63" t="n"/>
      <c r="K77" t="inlineStr">
        <is>
          <t>row|adds|tests</t>
        </is>
      </c>
    </row>
    <row r="78" ht="18" customHeight="1">
      <c r="E78" s="164" t="n"/>
      <c r="F78" s="165" t="inlineStr">
        <is>
          <t>candidates' 3 groups, each against its reference, on each set of loans. The New variables table shows</t>
        </is>
      </c>
      <c r="G78" s="63" t="n"/>
      <c r="K78" t="inlineStr">
        <is>
          <t>row|adds|tests</t>
        </is>
      </c>
      <c r="N78" t="inlineStr">
        <is>
          <t>sp</t>
        </is>
      </c>
    </row>
    <row r="79" ht="18" customHeight="1">
      <c r="E79" s="164" t="n"/>
      <c r="F79" s="165" t="inlineStr">
        <is>
          <t>the p-value after it, and Holds up? and Still holds? read that one; the tests in full keep each raw</t>
        </is>
      </c>
      <c r="G79" s="63" t="n"/>
      <c r="K79" t="inlineStr">
        <is>
          <t>row|adds|tests</t>
        </is>
      </c>
      <c r="N79" t="inlineStr">
        <is>
          <t>sp</t>
        </is>
      </c>
    </row>
    <row r="80" ht="18" customHeight="1">
      <c r="E80" s="164" t="n"/>
      <c r="F80" s="165" t="inlineStr">
        <is>
          <t>p-value.</t>
        </is>
      </c>
      <c r="G80" s="63" t="n"/>
      <c r="K80" t="inlineStr">
        <is>
          <t>row|adds|tests</t>
        </is>
      </c>
      <c r="N80" t="inlineStr">
        <is>
          <t>sp</t>
        </is>
      </c>
    </row>
    <row r="81" ht="18" customHeight="1">
      <c r="E81" s="164" t="inlineStr">
        <is>
          <t>Tests: all together</t>
        </is>
      </c>
      <c r="F81" s="165" t="inlineStr">
        <is>
          <t>One logistic regression on the held-back loans with every candidate's groups at once and one constant</t>
        </is>
      </c>
      <c r="G81" s="63" t="n"/>
      <c r="K81" t="inlineStr">
        <is>
          <t>row|adds|tests</t>
        </is>
      </c>
    </row>
    <row r="82" ht="18" customHeight="1">
      <c r="E82" s="164" t="n"/>
      <c r="F82" s="165" t="inlineStr">
        <is>
          <t>per pocket (the pockets as control dummies); per candidate, a likelihood ratio test of taking it out,</t>
        </is>
      </c>
      <c r="G82" s="63" t="n"/>
      <c r="K82" t="inlineStr">
        <is>
          <t>row|adds|tests</t>
        </is>
      </c>
      <c r="N82" t="inlineStr">
        <is>
          <t>sp</t>
        </is>
      </c>
    </row>
    <row r="83" ht="18" customHeight="1">
      <c r="B83" s="171" t="n"/>
      <c r="C83" s="171" t="n"/>
      <c r="E83" s="169" t="n"/>
      <c r="F83" s="170" t="inlineStr">
        <is>
          <t>with the allowance above across the shortlist (statistics.md B10).</t>
        </is>
      </c>
      <c r="G83" s="171" t="n"/>
      <c r="K83" t="inlineStr">
        <is>
          <t>row|adds|tests</t>
        </is>
      </c>
      <c r="N83" t="inlineStr">
        <is>
          <t>sp</t>
        </is>
      </c>
    </row>
    <row r="85" ht="24" customHeight="1">
      <c r="B85" s="160" t="inlineStr">
        <is>
          <t>Left out</t>
        </is>
      </c>
      <c r="C85" s="161" t="n"/>
      <c r="E85" s="160" t="inlineStr">
        <is>
          <t>Every Run, newest first</t>
        </is>
      </c>
      <c r="F85" s="161" t="n"/>
      <c r="G85" s="161" t="n"/>
      <c r="K85" t="inlineStr">
        <is>
          <t>pair|left|runs</t>
        </is>
      </c>
    </row>
    <row r="86" ht="18" customHeight="1">
      <c r="B86" s="162" t="inlineStr">
        <is>
          <t>Where</t>
        </is>
      </c>
      <c r="C86" s="162" t="inlineStr">
        <is>
          <t>What and how many</t>
        </is>
      </c>
      <c r="E86" s="162" t="inlineStr">
        <is>
          <t>When</t>
        </is>
      </c>
      <c r="F86" s="162" t="inlineStr">
        <is>
          <t>What happened</t>
        </is>
      </c>
      <c r="G86" s="172" t="n"/>
    </row>
    <row r="87" ht="18" customHeight="1">
      <c r="B87" s="164" t="inlineStr">
        <is>
          <t>Left out of Bad loans</t>
        </is>
      </c>
      <c r="C87" s="165" t="inlineStr">
        <is>
          <t>1 x BAD_FLAG flag not 0 or 1</t>
        </is>
      </c>
      <c r="E87" s="164" t="inlineStr">
        <is>
          <t>2026-09-30 04:36</t>
        </is>
      </c>
      <c r="F87" s="165" t="inlineStr">
        <is>
          <t>Ran on 12,000 loans from Scouting book.csv. What was run: Finding and testing a new variable: scout</t>
        </is>
      </c>
      <c r="G87" s="63" t="n"/>
      <c r="K87" t="inlineStr">
        <is>
          <t>row|left|runs</t>
        </is>
      </c>
    </row>
    <row r="88" ht="18" customHeight="1">
      <c r="B88" s="164" t="inlineStr">
        <is>
          <t>Left out of Bad dollars</t>
        </is>
      </c>
      <c r="C88" s="165" t="inlineStr">
        <is>
          <t>1 x ORIG_BAL blank; 1 x BAD_FLAG flag not 0 or 1</t>
        </is>
      </c>
      <c r="E88" s="164" t="n"/>
      <c r="F88" s="165" t="inlineStr">
        <is>
          <t>first.</t>
        </is>
      </c>
      <c r="G88" s="63" t="n"/>
      <c r="K88" t="inlineStr">
        <is>
          <t>row|left|runs</t>
        </is>
      </c>
      <c r="N88" t="inlineStr">
        <is>
          <t>sp</t>
        </is>
      </c>
    </row>
    <row r="89" ht="18" customHeight="1">
      <c r="B89" s="164" t="inlineStr">
        <is>
          <t>Left out of Charge-offs</t>
        </is>
      </c>
      <c r="C89" s="165" t="inlineStr">
        <is>
          <t>1 x GCO_AMT not a number; 1 x ORIG_BAL blank</t>
        </is>
      </c>
      <c r="E89" s="164" t="n"/>
      <c r="F89" s="165" t="inlineStr">
        <is>
          <t>Scouting on 8,394 development loans made 2021-06-30 to 2024-10-31 (the 3,605 held back not read): 2 of 8</t>
        </is>
      </c>
      <c r="G89" s="63" t="n"/>
      <c r="K89" t="inlineStr">
        <is>
          <t>row|left|runs</t>
        </is>
      </c>
    </row>
    <row r="90" ht="18" customHeight="1">
      <c r="B90" s="164" t="inlineStr">
        <is>
          <t>Left out of Kept after losses</t>
        </is>
      </c>
      <c r="C90" s="165" t="inlineStr">
        <is>
          <t>1 x ORIG_BAL blank</t>
        </is>
      </c>
      <c r="E90" s="164" t="n"/>
      <c r="F90" s="165" t="inlineStr">
        <is>
          <t>candidates proposed (UTIL, income_to_sales). Wrote the pre-spec Scouting book - pre-spec.yaml on</t>
        </is>
      </c>
      <c r="G90" s="63" t="n"/>
      <c r="K90" t="inlineStr">
        <is>
          <t>row|left|runs</t>
        </is>
      </c>
      <c r="N90" t="inlineStr">
        <is>
          <t>sp</t>
        </is>
      </c>
    </row>
    <row r="91" ht="18" customHeight="1">
      <c r="B91" s="164" t="inlineStr">
        <is>
          <t>Left out of Earned before losses</t>
        </is>
      </c>
      <c r="C91" s="165" t="inlineStr">
        <is>
          <t>1 x GCO_AMT not a number; 1 x ORIG_BAL blank</t>
        </is>
      </c>
      <c r="E91" s="164" t="n"/>
      <c r="F91" s="165" t="inlineStr">
        <is>
          <t>2026-09-30: fingerprint 374284797598.</t>
        </is>
      </c>
      <c r="G91" s="63" t="n"/>
      <c r="K91" t="inlineStr">
        <is>
          <t>row|left|runs</t>
        </is>
      </c>
      <c r="N91" t="inlineStr">
        <is>
          <t>sp</t>
        </is>
      </c>
    </row>
    <row r="92" ht="18" customHeight="1">
      <c r="B92" s="164" t="inlineStr">
        <is>
          <t>Warning</t>
        </is>
      </c>
      <c r="C92" s="168" t="inlineStr">
        <is>
          <t>open data question: "RANR_AMT": negative values in a column that is mostly positive (919 rows). Used as recorded</t>
        </is>
      </c>
      <c r="E92" s="164" t="n"/>
      <c r="F92" s="165" t="inlineStr">
        <is>
          <t>Follows pre-spec Scouting book - pre-spec.yaml (not committed).</t>
        </is>
      </c>
      <c r="G92" s="63" t="n"/>
      <c r="K92" t="inlineStr">
        <is>
          <t>row|left|runs</t>
        </is>
      </c>
    </row>
    <row r="93" ht="18" customHeight="1">
      <c r="B93" s="164" t="n"/>
      <c r="C93" s="168" t="inlineStr">
        <is>
          <t>until answered Real or Missing under Treat as on Columns</t>
        </is>
      </c>
      <c r="E93" s="164" t="n"/>
      <c r="F93" s="165" t="inlineStr">
        <is>
          <t>Touched the holdout: 3,605 loans made 2024-11-01 to 2026-03-30.</t>
        </is>
      </c>
      <c r="G93" s="63" t="n"/>
      <c r="K93" t="inlineStr">
        <is>
          <t>row|left|runs</t>
        </is>
      </c>
      <c r="M93" t="inlineStr">
        <is>
          <t>sp</t>
        </is>
      </c>
    </row>
    <row r="94" ht="18" customHeight="1">
      <c r="B94" s="164" t="inlineStr">
        <is>
          <t>Warning</t>
        </is>
      </c>
      <c r="C94" s="168" t="inlineStr">
        <is>
          <t>open data question: "F1": negative values in a column that is mostly positive (8 rows). Used as recorded until</t>
        </is>
      </c>
      <c r="E94" s="164" t="n"/>
      <c r="F94" s="165" t="inlineStr">
        <is>
          <t>Pre-spec Scouting book - pre-spec.yaml written: fingerprint 374284797598, dated 2026-09-30 in the file;</t>
        </is>
      </c>
      <c r="G94" s="63" t="n"/>
      <c r="K94" t="inlineStr">
        <is>
          <t>row|left|runs</t>
        </is>
      </c>
    </row>
    <row r="95" ht="18" customHeight="1">
      <c r="B95" s="164" t="n"/>
      <c r="C95" s="168" t="inlineStr">
        <is>
          <t>answered Real or Missing under Treat as on Columns</t>
        </is>
      </c>
      <c r="E95" s="164" t="n"/>
      <c r="F95" s="165" t="inlineStr">
        <is>
          <t>first read by this run.</t>
        </is>
      </c>
      <c r="G95" s="63" t="n"/>
      <c r="K95" t="inlineStr">
        <is>
          <t>row|left|runs</t>
        </is>
      </c>
      <c r="M95" t="inlineStr">
        <is>
          <t>sp</t>
        </is>
      </c>
      <c r="N95" t="inlineStr">
        <is>
          <t>sp</t>
        </is>
      </c>
    </row>
    <row r="96" ht="18" customHeight="1">
      <c r="B96" s="164" t="inlineStr">
        <is>
          <t>Warning</t>
        </is>
      </c>
      <c r="C96" s="168" t="inlineStr">
        <is>
          <t>open data question: "F2": negative values in a column that is mostly positive (10 rows). Used as recorded until</t>
        </is>
      </c>
      <c r="E96" s="164" t="n"/>
      <c r="F96" s="165" t="inlineStr">
        <is>
          <t>Touched the holdout: the tree's out-of-time check scored 3,605 loans made 2024-11-01 to 2026-03-30,</t>
        </is>
      </c>
      <c r="G96" s="63" t="n"/>
      <c r="K96" t="inlineStr">
        <is>
          <t>row|left|runs</t>
        </is>
      </c>
    </row>
    <row r="97" ht="18" customHeight="1">
      <c r="B97" s="164" t="n"/>
      <c r="C97" s="168" t="inlineStr">
        <is>
          <t>answered Real or Missing under Treat as on Columns</t>
        </is>
      </c>
      <c r="E97" s="164" t="n"/>
      <c r="F97" s="165" t="inlineStr">
        <is>
          <t>after the pre-spec was written. Built on loans made 2021-06-30 to 2024-10-31: AUC 0.63. On loans made</t>
        </is>
      </c>
      <c r="G97" s="63" t="n"/>
      <c r="K97" t="inlineStr">
        <is>
          <t>row|left|runs</t>
        </is>
      </c>
      <c r="M97" t="inlineStr">
        <is>
          <t>sp</t>
        </is>
      </c>
      <c r="N97" t="inlineStr">
        <is>
          <t>sp</t>
        </is>
      </c>
    </row>
    <row r="98" ht="18" customHeight="1">
      <c r="E98" s="164" t="n"/>
      <c r="F98" s="165" t="inlineStr">
        <is>
          <t>2024-11-01 to 2026-03-30, unseen: 0.60. With FICO and CHANNEL in the forest too: 0.69 built, 0.68</t>
        </is>
      </c>
      <c r="G98" s="63" t="n"/>
      <c r="K98" t="inlineStr">
        <is>
          <t>row|left|runs</t>
        </is>
      </c>
      <c r="N98" t="inlineStr">
        <is>
          <t>sp</t>
        </is>
      </c>
    </row>
    <row r="99" ht="18" customHeight="1">
      <c r="E99" s="164" t="n"/>
      <c r="F99" s="165" t="inlineStr">
        <is>
          <t>unseen.</t>
        </is>
      </c>
      <c r="G99" s="63" t="n"/>
      <c r="K99" t="inlineStr">
        <is>
          <t>row|left|runs</t>
        </is>
      </c>
      <c r="N99" t="inlineStr">
        <is>
          <t>sp</t>
        </is>
      </c>
    </row>
    <row r="100" ht="18" customHeight="1">
      <c r="E100" s="164" t="n"/>
      <c r="F100" s="168" t="inlineStr">
        <is>
          <t>Warning: open data question: "RANR_AMT": negative values in a column that is mostly positive (919 rows).</t>
        </is>
      </c>
      <c r="G100" s="63" t="n"/>
      <c r="K100" t="inlineStr">
        <is>
          <t>row|left|runs</t>
        </is>
      </c>
    </row>
    <row r="101" ht="18" customHeight="1">
      <c r="E101" s="164" t="n"/>
      <c r="F101" s="168" t="inlineStr">
        <is>
          <t>Used as recorded until answered Real or Missing under Treat as on Columns</t>
        </is>
      </c>
      <c r="G101" s="63" t="n"/>
      <c r="K101" t="inlineStr">
        <is>
          <t>row|left|runs</t>
        </is>
      </c>
      <c r="N101" t="inlineStr">
        <is>
          <t>sp</t>
        </is>
      </c>
    </row>
    <row r="102" ht="18" customHeight="1">
      <c r="E102" s="164" t="n"/>
      <c r="F102" s="168" t="inlineStr">
        <is>
          <t>Warning: open data question: "F1": negative values in a column that is mostly positive (8 rows). Used as</t>
        </is>
      </c>
      <c r="G102" s="63" t="n"/>
      <c r="K102" t="inlineStr">
        <is>
          <t>row|left|runs</t>
        </is>
      </c>
    </row>
    <row r="103" ht="18" customHeight="1">
      <c r="E103" s="164" t="n"/>
      <c r="F103" s="168" t="inlineStr">
        <is>
          <t>recorded until answered Real or Missing under Treat as on Columns</t>
        </is>
      </c>
      <c r="G103" s="63" t="n"/>
      <c r="K103" t="inlineStr">
        <is>
          <t>row|left|runs</t>
        </is>
      </c>
      <c r="N103" t="inlineStr">
        <is>
          <t>sp</t>
        </is>
      </c>
    </row>
    <row r="104" ht="18" customHeight="1">
      <c r="E104" s="164" t="n"/>
      <c r="F104" s="168" t="inlineStr">
        <is>
          <t>Warning: open data question: "F2": negative values in a column that is mostly positive (10 rows). Used</t>
        </is>
      </c>
      <c r="G104" s="63" t="n"/>
      <c r="K104" t="inlineStr">
        <is>
          <t>row|left|runs</t>
        </is>
      </c>
    </row>
    <row r="105" ht="18" customHeight="1">
      <c r="B105" s="171" t="n"/>
      <c r="C105" s="171" t="n"/>
      <c r="E105" s="169" t="n"/>
      <c r="F105" s="173" t="inlineStr">
        <is>
          <t>as recorded until answered Real or Missing under Treat as on Columns</t>
        </is>
      </c>
      <c r="G105" s="171" t="n"/>
      <c r="K105" t="inlineStr">
        <is>
          <t>row|left|runs</t>
        </is>
      </c>
      <c r="N105" t="inlineStr">
        <is>
          <t>sp</t>
        </is>
      </c>
    </row>
  </sheetData>
  <mergeCells count="52">
    <mergeCell ref="F73:G73"/>
    <mergeCell ref="F69:G69"/>
    <mergeCell ref="F87:G87"/>
    <mergeCell ref="F78:G78"/>
    <mergeCell ref="C6:G6"/>
    <mergeCell ref="F68:G68"/>
    <mergeCell ref="F63:G63"/>
    <mergeCell ref="F65:G65"/>
    <mergeCell ref="F103:G103"/>
    <mergeCell ref="C5:G5"/>
    <mergeCell ref="F99:G99"/>
    <mergeCell ref="F89:G89"/>
    <mergeCell ref="F74:G74"/>
    <mergeCell ref="F83:G83"/>
    <mergeCell ref="F59:G59"/>
    <mergeCell ref="C4:G4"/>
    <mergeCell ref="F55:G55"/>
    <mergeCell ref="F95:G95"/>
    <mergeCell ref="F86:G86"/>
    <mergeCell ref="F104:G104"/>
    <mergeCell ref="F80:G80"/>
    <mergeCell ref="F76:G76"/>
    <mergeCell ref="F94:G94"/>
    <mergeCell ref="F101:G101"/>
    <mergeCell ref="F70:G70"/>
    <mergeCell ref="F79:G79"/>
    <mergeCell ref="F66:G66"/>
    <mergeCell ref="F88:G88"/>
    <mergeCell ref="F97:G97"/>
    <mergeCell ref="F75:G75"/>
    <mergeCell ref="F91:G91"/>
    <mergeCell ref="F62:G62"/>
    <mergeCell ref="F100:G100"/>
    <mergeCell ref="F72:G72"/>
    <mergeCell ref="F90:G90"/>
    <mergeCell ref="F81:G81"/>
    <mergeCell ref="F93:G93"/>
    <mergeCell ref="F58:G58"/>
    <mergeCell ref="F56:G56"/>
    <mergeCell ref="F71:G71"/>
    <mergeCell ref="F96:G96"/>
    <mergeCell ref="F67:G67"/>
    <mergeCell ref="F102:G102"/>
    <mergeCell ref="F61:G61"/>
    <mergeCell ref="F105:G105"/>
    <mergeCell ref="F77:G77"/>
    <mergeCell ref="F92:G92"/>
    <mergeCell ref="F82:G82"/>
    <mergeCell ref="F60:G60"/>
    <mergeCell ref="F98:G98"/>
    <mergeCell ref="F57:G57"/>
    <mergeCell ref="F64:G64"/>
  </mergeCells>
  <conditionalFormatting sqref="F10:G52">
    <cfRule type="expression" priority="1" dxfId="3">
      <formula>$L10=1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c r="J9" t="inlineStr">
        <is>
          <t>SALES</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c r="J10" t="inlineStr">
        <is>
          <t>INCOME</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c r="J11" t="inlineStr">
        <is>
          <t>UTIL</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c r="J12" t="inlineStr">
        <is>
          <t>TENURE</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c r="J13" t="inlineStr">
        <is>
          <t>F1</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c r="J14" t="inlineStr">
        <is>
          <t>F2</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c r="J15" t="inlineStr">
        <is>
          <t>F3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c r="J16" t="inlineStr">
        <is>
          <t>F4</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A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c r="E1" t="inlineStr">
        <is>
          <t>SALES</t>
        </is>
      </c>
      <c r="F1" t="inlineStr">
        <is>
          <t>INCOME</t>
        </is>
      </c>
      <c r="G1" t="inlineStr">
        <is>
          <t>UTIL</t>
        </is>
      </c>
      <c r="H1" t="inlineStr">
        <is>
          <t>TENURE</t>
        </is>
      </c>
      <c r="I1" t="inlineStr">
        <is>
          <t>F1</t>
        </is>
      </c>
      <c r="J1" t="inlineStr">
        <is>
          <t>F2</t>
        </is>
      </c>
      <c r="K1" t="inlineStr">
        <is>
          <t>F3</t>
        </is>
      </c>
      <c r="L1" t="inlineStr">
        <is>
          <t>F4</t>
        </is>
      </c>
      <c r="M1" t="inlineStr">
        <is>
          <t>income_to_sales</t>
        </is>
      </c>
    </row>
    <row r="2">
      <c r="A2" t="n">
        <v>250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c r="AO2" t="inlineStr">
        <is>
          <t>slice from</t>
        </is>
      </c>
      <c r="AP2" t="inlineStr">
        <is>
          <t>middle</t>
        </is>
      </c>
      <c r="AQ2" t="inlineStr">
        <is>
          <t>loans</t>
        </is>
      </c>
      <c r="AT2" t="inlineStr">
        <is>
          <t>bar from</t>
        </is>
      </c>
      <c r="AU2" t="inlineStr">
        <is>
          <t>bar loans</t>
        </is>
      </c>
      <c r="AV2" t="inlineStr">
        <is>
          <t>chart label</t>
        </is>
      </c>
      <c r="AW2" t="inlineStr">
        <is>
          <t>chart loans</t>
        </is>
      </c>
      <c r="AX2" t="inlineStr">
        <is>
          <t>edge x</t>
        </is>
      </c>
      <c r="AY2" t="inlineStr">
        <is>
          <t>edge y</t>
        </is>
      </c>
      <c r="AZ2" t="inlineStr">
        <is>
          <t>edge</t>
        </is>
      </c>
      <c r="BA2" t="inlineStr">
        <is>
          <t>bar label</t>
        </is>
      </c>
      <c r="BB2" t="inlineStr">
        <is>
          <t>slice from</t>
        </is>
      </c>
      <c r="BC2" t="inlineStr">
        <is>
          <t>middle</t>
        </is>
      </c>
      <c r="BD2" t="inlineStr">
        <is>
          <t>loans</t>
        </is>
      </c>
      <c r="BG2" t="inlineStr">
        <is>
          <t>bar from</t>
        </is>
      </c>
      <c r="BH2" t="inlineStr">
        <is>
          <t>bar loans</t>
        </is>
      </c>
      <c r="BI2" t="inlineStr">
        <is>
          <t>chart label</t>
        </is>
      </c>
      <c r="BJ2" t="inlineStr">
        <is>
          <t>chart loans</t>
        </is>
      </c>
      <c r="BK2" t="inlineStr">
        <is>
          <t>edge x</t>
        </is>
      </c>
      <c r="BL2" t="inlineStr">
        <is>
          <t>edge y</t>
        </is>
      </c>
      <c r="BM2" t="inlineStr">
        <is>
          <t>edge</t>
        </is>
      </c>
      <c r="BN2" t="inlineStr">
        <is>
          <t>bar label</t>
        </is>
      </c>
      <c r="BO2" t="inlineStr">
        <is>
          <t>slice from</t>
        </is>
      </c>
      <c r="BP2" t="inlineStr">
        <is>
          <t>middle</t>
        </is>
      </c>
      <c r="BQ2" t="inlineStr">
        <is>
          <t>loans</t>
        </is>
      </c>
      <c r="BT2" t="inlineStr">
        <is>
          <t>bar from</t>
        </is>
      </c>
      <c r="BU2" t="inlineStr">
        <is>
          <t>bar loans</t>
        </is>
      </c>
      <c r="BV2" t="inlineStr">
        <is>
          <t>chart label</t>
        </is>
      </c>
      <c r="BW2" t="inlineStr">
        <is>
          <t>chart loans</t>
        </is>
      </c>
      <c r="BX2" t="inlineStr">
        <is>
          <t>edge x</t>
        </is>
      </c>
      <c r="BY2" t="inlineStr">
        <is>
          <t>edge y</t>
        </is>
      </c>
      <c r="BZ2" t="inlineStr">
        <is>
          <t>edge</t>
        </is>
      </c>
      <c r="CA2" t="inlineStr">
        <is>
          <t>bar label</t>
        </is>
      </c>
      <c r="CB2" t="inlineStr">
        <is>
          <t>slice from</t>
        </is>
      </c>
      <c r="CC2" t="inlineStr">
        <is>
          <t>middle</t>
        </is>
      </c>
      <c r="CD2" t="inlineStr">
        <is>
          <t>loans</t>
        </is>
      </c>
      <c r="CG2" t="inlineStr">
        <is>
          <t>bar from</t>
        </is>
      </c>
      <c r="CH2" t="inlineStr">
        <is>
          <t>bar loans</t>
        </is>
      </c>
      <c r="CI2" t="inlineStr">
        <is>
          <t>chart label</t>
        </is>
      </c>
      <c r="CJ2" t="inlineStr">
        <is>
          <t>chart loans</t>
        </is>
      </c>
      <c r="CK2" t="inlineStr">
        <is>
          <t>edge x</t>
        </is>
      </c>
      <c r="CL2" t="inlineStr">
        <is>
          <t>edge y</t>
        </is>
      </c>
      <c r="CM2" t="inlineStr">
        <is>
          <t>edge</t>
        </is>
      </c>
      <c r="CN2" t="inlineStr">
        <is>
          <t>bar label</t>
        </is>
      </c>
      <c r="CO2" t="inlineStr">
        <is>
          <t>slice from</t>
        </is>
      </c>
      <c r="CP2" t="inlineStr">
        <is>
          <t>middle</t>
        </is>
      </c>
      <c r="CQ2" t="inlineStr">
        <is>
          <t>loans</t>
        </is>
      </c>
      <c r="CT2" t="inlineStr">
        <is>
          <t>bar from</t>
        </is>
      </c>
      <c r="CU2" t="inlineStr">
        <is>
          <t>bar loans</t>
        </is>
      </c>
      <c r="CV2" t="inlineStr">
        <is>
          <t>chart label</t>
        </is>
      </c>
      <c r="CW2" t="inlineStr">
        <is>
          <t>chart loans</t>
        </is>
      </c>
      <c r="CX2" t="inlineStr">
        <is>
          <t>edge x</t>
        </is>
      </c>
      <c r="CY2" t="inlineStr">
        <is>
          <t>edge y</t>
        </is>
      </c>
      <c r="CZ2" t="inlineStr">
        <is>
          <t>edge</t>
        </is>
      </c>
      <c r="DA2" t="inlineStr">
        <is>
          <t>bar label</t>
        </is>
      </c>
      <c r="DB2" t="inlineStr">
        <is>
          <t>slice from</t>
        </is>
      </c>
      <c r="DC2" t="inlineStr">
        <is>
          <t>middle</t>
        </is>
      </c>
      <c r="DD2" t="inlineStr">
        <is>
          <t>loans</t>
        </is>
      </c>
      <c r="DG2" t="inlineStr">
        <is>
          <t>bar from</t>
        </is>
      </c>
      <c r="DH2" t="inlineStr">
        <is>
          <t>bar loans</t>
        </is>
      </c>
      <c r="DI2" t="inlineStr">
        <is>
          <t>chart label</t>
        </is>
      </c>
      <c r="DJ2" t="inlineStr">
        <is>
          <t>chart loans</t>
        </is>
      </c>
      <c r="DK2" t="inlineStr">
        <is>
          <t>edge x</t>
        </is>
      </c>
      <c r="DL2" t="inlineStr">
        <is>
          <t>edge y</t>
        </is>
      </c>
      <c r="DM2" t="inlineStr">
        <is>
          <t>edge</t>
        </is>
      </c>
      <c r="DN2" t="inlineStr">
        <is>
          <t>bar label</t>
        </is>
      </c>
      <c r="DO2" t="inlineStr">
        <is>
          <t>slice from</t>
        </is>
      </c>
      <c r="DP2" t="inlineStr">
        <is>
          <t>middle</t>
        </is>
      </c>
      <c r="DQ2" t="inlineStr">
        <is>
          <t>loans</t>
        </is>
      </c>
      <c r="DT2" t="inlineStr">
        <is>
          <t>bar from</t>
        </is>
      </c>
      <c r="DU2" t="inlineStr">
        <is>
          <t>bar loans</t>
        </is>
      </c>
      <c r="DV2" t="inlineStr">
        <is>
          <t>chart label</t>
        </is>
      </c>
      <c r="DW2" t="inlineStr">
        <is>
          <t>chart loans</t>
        </is>
      </c>
      <c r="DX2" t="inlineStr">
        <is>
          <t>edge x</t>
        </is>
      </c>
      <c r="DY2" t="inlineStr">
        <is>
          <t>edge y</t>
        </is>
      </c>
      <c r="DZ2" t="inlineStr">
        <is>
          <t>edge</t>
        </is>
      </c>
      <c r="EA2" t="inlineStr">
        <is>
          <t>bar label</t>
        </is>
      </c>
      <c r="EB2" t="inlineStr">
        <is>
          <t>slice from</t>
        </is>
      </c>
      <c r="EC2" t="inlineStr">
        <is>
          <t>middle</t>
        </is>
      </c>
      <c r="ED2" t="inlineStr">
        <is>
          <t>loans</t>
        </is>
      </c>
      <c r="EG2" t="inlineStr">
        <is>
          <t>bar from</t>
        </is>
      </c>
      <c r="EH2" t="inlineStr">
        <is>
          <t>bar loans</t>
        </is>
      </c>
      <c r="EI2" t="inlineStr">
        <is>
          <t>chart label</t>
        </is>
      </c>
      <c r="EJ2" t="inlineStr">
        <is>
          <t>chart loans</t>
        </is>
      </c>
      <c r="EK2" t="inlineStr">
        <is>
          <t>edge x</t>
        </is>
      </c>
      <c r="EL2" t="inlineStr">
        <is>
          <t>edge y</t>
        </is>
      </c>
      <c r="EM2" t="inlineStr">
        <is>
          <t>edge</t>
        </is>
      </c>
      <c r="EN2" t="inlineStr">
        <is>
          <t>bar label</t>
        </is>
      </c>
      <c r="EO2" t="inlineStr">
        <is>
          <t>slice from</t>
        </is>
      </c>
      <c r="EP2" t="inlineStr">
        <is>
          <t>middle</t>
        </is>
      </c>
      <c r="EQ2" t="inlineStr">
        <is>
          <t>loans</t>
        </is>
      </c>
      <c r="ET2" t="inlineStr">
        <is>
          <t>bar from</t>
        </is>
      </c>
      <c r="EU2" t="inlineStr">
        <is>
          <t>bar loans</t>
        </is>
      </c>
      <c r="EV2" t="inlineStr">
        <is>
          <t>chart label</t>
        </is>
      </c>
      <c r="EW2" t="inlineStr">
        <is>
          <t>chart loans</t>
        </is>
      </c>
      <c r="EX2" t="inlineStr">
        <is>
          <t>edge x</t>
        </is>
      </c>
      <c r="EY2" t="inlineStr">
        <is>
          <t>edge y</t>
        </is>
      </c>
      <c r="EZ2" t="inlineStr">
        <is>
          <t>edge</t>
        </is>
      </c>
      <c r="FA2" t="inlineStr">
        <is>
          <t>bar label</t>
        </is>
      </c>
    </row>
    <row r="3">
      <c r="A3" t="inlineStr">
        <is>
          <t>|</t>
        </is>
      </c>
      <c r="B3" t="inlineStr">
        <is>
          <t>FICO</t>
        </is>
      </c>
      <c r="O3" t="inlineStr">
        <is>
          <t>ORIG_BAL</t>
        </is>
      </c>
      <c r="AB3" t="inlineStr">
        <is>
          <t>REV_DEBT</t>
        </is>
      </c>
      <c r="AO3" t="inlineStr">
        <is>
          <t>SALES</t>
        </is>
      </c>
      <c r="BB3" t="inlineStr">
        <is>
          <t>INCOME</t>
        </is>
      </c>
      <c r="BO3" t="inlineStr">
        <is>
          <t>UTIL</t>
        </is>
      </c>
      <c r="CB3" t="inlineStr">
        <is>
          <t>TENURE</t>
        </is>
      </c>
      <c r="CO3" t="inlineStr">
        <is>
          <t>F1</t>
        </is>
      </c>
      <c r="DB3" t="inlineStr">
        <is>
          <t>F2</t>
        </is>
      </c>
      <c r="DO3" t="inlineStr">
        <is>
          <t>F3</t>
        </is>
      </c>
      <c r="EB3" t="inlineStr">
        <is>
          <t>F4</t>
        </is>
      </c>
      <c r="EO3" t="inlineStr">
        <is>
          <t>income_to_sales</t>
        </is>
      </c>
    </row>
    <row r="4">
      <c r="A4" t="inlineStr">
        <is>
          <t>FICO:None:None:[-9999.0]</t>
        </is>
      </c>
      <c r="B4" t="n">
        <v>550</v>
      </c>
      <c r="C4" t="n">
        <v>550.75</v>
      </c>
      <c r="D4" t="n">
        <v>5</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161</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c r="AO4" t="n">
        <v>0</v>
      </c>
      <c r="AP4" t="n">
        <v>2000</v>
      </c>
      <c r="AQ4" t="n">
        <v>12</v>
      </c>
      <c r="AR4" t="inlineStr">
        <is>
          <t>column</t>
        </is>
      </c>
      <c r="AS4" t="inlineStr">
        <is>
          <t>SALES</t>
        </is>
      </c>
      <c r="AT4">
        <f>IF(1&lt;=$AS$13,$AS$14+(1-1)*$AS$16,"")</f>
        <v/>
      </c>
      <c r="AU4">
        <f>IF(1&gt;$AS$13,"",SUMIFS($AQ$4:$AQ$203,$AP$4:$AP$203,"&gt;="&amp;$AT$4,$AP$4:$AP$203,IF(1=$AS$13,"&lt;=","&lt;")&amp;($AT$4+$AS$16)))</f>
        <v/>
      </c>
      <c r="AV4">
        <f>""</f>
        <v/>
      </c>
      <c r="AW4">
        <f>IF(AND(1&gt;=11-$AS$17,1&lt;=9),$AS$18,0)</f>
        <v/>
      </c>
      <c r="AX4">
        <f>IFERROR(IF(AND($AZ$4&gt;=$AS$14,$AZ$4&lt;=$AS$15),10+0.5+100*($AZ$4-$AS$14)/($AS$15-$AS$14),NA()),NA())</f>
        <v/>
      </c>
      <c r="AY4">
        <f>IF(ISNA($AX$4),NA(),0)</f>
        <v/>
      </c>
      <c r="AZ4">
        <f>IFERROR(IF(LEFT(LOWER(TRIM($AS$20)),5)="every",IF(((INT($AS$11/VALUE(TRIM(MID(TRIM($AS$20),6,99))))*VALUE(TRIM(MID(TRIM($AS$20),6,99)))+VALUE(TRIM(MID(TRIM($AS$20),6,99))))+0*VALUE(TRIM(MID(TRIM($AS$20),6,99))))&lt;=$AS$12,((INT($AS$11/VALUE(TRIM(MID(TRIM($AS$20),6,99))))*VALUE(TRIM(MID(TRIM($AS$20),6,99)))+VALUE(TRIM(MID(TRIM($AS$20),6,99))))+0*VALUE(TRIM(MID(TRIM($AS$20),6,99)))),NA()),VALUE(TRIM(MID(SUBSTITUTE(SUBSTITUTE(SUBSTITUTE(TRIM($AS$20),",",";")," ",""),";",REPT(" ",99)),1,99)))),NA())</f>
        <v/>
      </c>
      <c r="BA4">
        <f>IF($AT$4="","",IFERROR(IF(ABS($AT$4)&gt;=1000000,ROUND($AT$4/1000000,MAX(0,1-INT(LOG10($AS$27/1000000))))&amp;"M",IF(ABS($AT$4)&gt;=1000,ROUND($AT$4/1000,MAX(0,1-INT(LOG10($AS$27/1000))))&amp;"k",TEXT($AT$4,"#,##0"))),TEXT($AT$4,"#,##0")))</f>
        <v/>
      </c>
      <c r="BB4" t="n">
        <v>0</v>
      </c>
      <c r="BC4" t="n">
        <v>3500</v>
      </c>
      <c r="BD4" t="n">
        <v>15</v>
      </c>
      <c r="BE4" t="inlineStr">
        <is>
          <t>column</t>
        </is>
      </c>
      <c r="BF4" t="inlineStr">
        <is>
          <t>INCOME</t>
        </is>
      </c>
      <c r="BG4">
        <f>IF(1&lt;=$BF$13,$BF$14+(1-1)*$BF$16,"")</f>
        <v/>
      </c>
      <c r="BH4">
        <f>IF(1&gt;$BF$13,"",SUMIFS($BD$4:$BD$203,$BC$4:$BC$203,"&gt;="&amp;$BG$4,$BC$4:$BC$203,IF(1=$BF$13,"&lt;=","&lt;")&amp;($BG$4+$BF$16)))</f>
        <v/>
      </c>
      <c r="BI4">
        <f>""</f>
        <v/>
      </c>
      <c r="BJ4">
        <f>IF(AND(1&gt;=11-$BF$17,1&lt;=9),$BF$18,0)</f>
        <v/>
      </c>
      <c r="BK4">
        <f>IFERROR(IF(AND($BM$4&gt;=$BF$14,$BM$4&lt;=$BF$15),10+0.5+100*($BM$4-$BF$14)/($BF$15-$BF$14),NA()),NA())</f>
        <v/>
      </c>
      <c r="BL4">
        <f>IF(ISNA($BK$4),NA(),0)</f>
        <v/>
      </c>
      <c r="BM4">
        <f>IFERROR(IF(LEFT(LOWER(TRIM($BF$20)),5)="every",IF(((INT($BF$11/VALUE(TRIM(MID(TRIM($BF$20),6,99))))*VALUE(TRIM(MID(TRIM($BF$20),6,99)))+VALUE(TRIM(MID(TRIM($BF$20),6,99))))+0*VALUE(TRIM(MID(TRIM($BF$20),6,99))))&lt;=$BF$12,((INT($BF$11/VALUE(TRIM(MID(TRIM($BF$20),6,99))))*VALUE(TRIM(MID(TRIM($BF$20),6,99)))+VALUE(TRIM(MID(TRIM($BF$20),6,99))))+0*VALUE(TRIM(MID(TRIM($BF$20),6,99)))),NA()),VALUE(TRIM(MID(SUBSTITUTE(SUBSTITUTE(SUBSTITUTE(TRIM($BF$20),",",";")," ",""),";",REPT(" ",99)),1,99)))),NA())</f>
        <v/>
      </c>
      <c r="BN4">
        <f>IF($BG$4="","",IFERROR(IF(ABS($BG$4)&gt;=1000000,ROUND($BG$4/1000000,MAX(0,1-INT(LOG10($BF$27/1000000))))&amp;"M",IF(ABS($BG$4)&gt;=1000,ROUND($BG$4/1000,MAX(0,1-INT(LOG10($BF$27/1000))))&amp;"k",TEXT($BG$4,"#,##0"))),TEXT($BG$4,"#,##0")))</f>
        <v/>
      </c>
      <c r="BO4" t="n">
        <v>0</v>
      </c>
      <c r="BP4" t="n">
        <v>0.003</v>
      </c>
      <c r="BQ4" t="n">
        <v>72</v>
      </c>
      <c r="BR4" t="inlineStr">
        <is>
          <t>column</t>
        </is>
      </c>
      <c r="BS4" t="inlineStr">
        <is>
          <t>UTIL</t>
        </is>
      </c>
      <c r="BT4">
        <f>IF(1&lt;=$BS$13,$BS$14+(1-1)*$BS$16,"")</f>
        <v/>
      </c>
      <c r="BU4">
        <f>IF(1&gt;$BS$13,"",SUMIFS($BQ$4:$BQ$203,$BP$4:$BP$203,"&gt;="&amp;$BT$4,$BP$4:$BP$203,IF(1=$BS$13,"&lt;=","&lt;")&amp;($BT$4+$BS$16)))</f>
        <v/>
      </c>
      <c r="BV4">
        <f>""</f>
        <v/>
      </c>
      <c r="BW4">
        <f>IF(AND(1&gt;=11-$BS$17,1&lt;=9),$BS$18,0)</f>
        <v/>
      </c>
      <c r="BX4">
        <f>IFERROR(IF(AND($BZ$4&gt;=$BS$14,$BZ$4&lt;=$BS$15),10+0.5+100*($BZ$4-$BS$14)/($BS$15-$BS$14),NA()),NA())</f>
        <v/>
      </c>
      <c r="BY4">
        <f>IF(ISNA($BX$4),NA(),0)</f>
        <v/>
      </c>
      <c r="BZ4">
        <f>IFERROR(IF(LEFT(LOWER(TRIM($BS$20)),5)="every",IF(((INT($BS$11/VALUE(TRIM(MID(TRIM($BS$20),6,99))))*VALUE(TRIM(MID(TRIM($BS$20),6,99)))+VALUE(TRIM(MID(TRIM($BS$20),6,99))))+0*VALUE(TRIM(MID(TRIM($BS$20),6,99))))&lt;=$BS$12,((INT($BS$11/VALUE(TRIM(MID(TRIM($BS$20),6,99))))*VALUE(TRIM(MID(TRIM($BS$20),6,99)))+VALUE(TRIM(MID(TRIM($BS$20),6,99))))+0*VALUE(TRIM(MID(TRIM($BS$20),6,99)))),NA()),VALUE(TRIM(MID(SUBSTITUTE(SUBSTITUTE(SUBSTITUTE(TRIM($BS$20),",",";")," ",""),";",REPT(" ",99)),1,99)))),NA())</f>
        <v/>
      </c>
      <c r="CA4">
        <f>IF($BT$4="","",IFERROR(IF(ABS($BT$4)&gt;=1000000,ROUND($BT$4/1000000,MAX(0,1-INT(LOG10($BS$27/1000000))))&amp;"M",IF(ABS($BT$4)&gt;=1000,ROUND($BT$4/1000,MAX(0,1-INT(LOG10($BS$27/1000))))&amp;"k",TEXT($BT$4,"0.00"))),TEXT($BT$4,"0.00")))</f>
        <v/>
      </c>
      <c r="CB4" t="n">
        <v>0</v>
      </c>
      <c r="CC4" t="n">
        <v>0.075</v>
      </c>
      <c r="CD4" t="n">
        <v>290</v>
      </c>
      <c r="CE4" t="inlineStr">
        <is>
          <t>column</t>
        </is>
      </c>
      <c r="CF4" t="inlineStr">
        <is>
          <t>TENURE</t>
        </is>
      </c>
      <c r="CG4">
        <f>IF(1&lt;=$CF$13,$CF$14+(1-1)*$CF$16,"")</f>
        <v/>
      </c>
      <c r="CH4">
        <f>IF(1&gt;$CF$13,"",SUMIFS($CD$4:$CD$203,$CC$4:$CC$203,"&gt;="&amp;$CG$4,$CC$4:$CC$203,IF(1=$CF$13,"&lt;=","&lt;")&amp;($CG$4+$CF$16)))</f>
        <v/>
      </c>
      <c r="CI4">
        <f>""</f>
        <v/>
      </c>
      <c r="CJ4">
        <f>IF(AND(1&gt;=11-$CF$17,1&lt;=9),$CF$18,0)</f>
        <v/>
      </c>
      <c r="CK4">
        <f>IFERROR(IF(AND($CM$4&gt;=$CF$14,$CM$4&lt;=$CF$15),10+0.5+100*($CM$4-$CF$14)/($CF$15-$CF$14),NA()),NA())</f>
        <v/>
      </c>
      <c r="CL4">
        <f>IF(ISNA($CK$4),NA(),0)</f>
        <v/>
      </c>
      <c r="CM4">
        <f>IFERROR(IF(LEFT(LOWER(TRIM($CF$20)),5)="every",IF(((INT($CF$11/VALUE(TRIM(MID(TRIM($CF$20),6,99))))*VALUE(TRIM(MID(TRIM($CF$20),6,99)))+VALUE(TRIM(MID(TRIM($CF$20),6,99))))+0*VALUE(TRIM(MID(TRIM($CF$20),6,99))))&lt;=$CF$12,((INT($CF$11/VALUE(TRIM(MID(TRIM($CF$20),6,99))))*VALUE(TRIM(MID(TRIM($CF$20),6,99)))+VALUE(TRIM(MID(TRIM($CF$20),6,99))))+0*VALUE(TRIM(MID(TRIM($CF$20),6,99)))),NA()),VALUE(TRIM(MID(SUBSTITUTE(SUBSTITUTE(SUBSTITUTE(TRIM($CF$20),",",";")," ",""),";",REPT(" ",99)),1,99)))),NA())</f>
        <v/>
      </c>
      <c r="CN4">
        <f>IF($CG$4="","",IFERROR(IF(ABS($CG$4)&gt;=1000000,ROUND($CG$4/1000000,MAX(0,1-INT(LOG10($CF$27/1000000))))&amp;"M",IF(ABS($CG$4)&gt;=1000,ROUND($CG$4/1000,MAX(0,1-INT(LOG10($CF$27/1000))))&amp;"k",TEXT($CG$4,"#,##0.0"))),TEXT($CG$4,"#,##0.0")))</f>
        <v/>
      </c>
      <c r="CO4" t="n">
        <v>10</v>
      </c>
      <c r="CP4" t="n">
        <v>10.2</v>
      </c>
      <c r="CQ4" t="n">
        <v>5</v>
      </c>
      <c r="CR4" t="inlineStr">
        <is>
          <t>column</t>
        </is>
      </c>
      <c r="CS4" t="inlineStr">
        <is>
          <t>F1</t>
        </is>
      </c>
      <c r="CT4">
        <f>IF(1&lt;=$CS$13,$CS$14+(1-1)*$CS$16,"")</f>
        <v/>
      </c>
      <c r="CU4">
        <f>IF(1&gt;$CS$13,"",SUMIFS($CQ$4:$CQ$203,$CP$4:$CP$203,"&gt;="&amp;$CT$4,$CP$4:$CP$203,IF(1=$CS$13,"&lt;=","&lt;")&amp;($CT$4+$CS$16)))</f>
        <v/>
      </c>
      <c r="CV4">
        <f>""</f>
        <v/>
      </c>
      <c r="CW4">
        <f>IF(AND(1&gt;=11-$CS$17,1&lt;=9),$CS$18,0)</f>
        <v/>
      </c>
      <c r="CX4">
        <f>IFERROR(IF(AND($CZ$4&gt;=$CS$14,$CZ$4&lt;=$CS$15),10+0.5+100*($CZ$4-$CS$14)/($CS$15-$CS$14),NA()),NA())</f>
        <v/>
      </c>
      <c r="CY4">
        <f>IF(ISNA($CX$4),NA(),0)</f>
        <v/>
      </c>
      <c r="CZ4">
        <f>IFERROR(IF(LEFT(LOWER(TRIM($CS$20)),5)="every",IF(((INT($CS$11/VALUE(TRIM(MID(TRIM($CS$20),6,99))))*VALUE(TRIM(MID(TRIM($CS$20),6,99)))+VALUE(TRIM(MID(TRIM($CS$20),6,99))))+0*VALUE(TRIM(MID(TRIM($CS$20),6,99))))&lt;=$CS$12,((INT($CS$11/VALUE(TRIM(MID(TRIM($CS$20),6,99))))*VALUE(TRIM(MID(TRIM($CS$20),6,99)))+VALUE(TRIM(MID(TRIM($CS$20),6,99))))+0*VALUE(TRIM(MID(TRIM($CS$20),6,99)))),NA()),VALUE(TRIM(MID(SUBSTITUTE(SUBSTITUTE(SUBSTITUTE(TRIM($CS$20),",",";")," ",""),";",REPT(" ",99)),1,99)))),NA())</f>
        <v/>
      </c>
      <c r="DA4">
        <f>IF($CT$4="","",IFERROR(IF(ABS($CT$4)&gt;=1000000,ROUND($CT$4/1000000,MAX(0,1-INT(LOG10($CS$27/1000000))))&amp;"M",IF(ABS($CT$4)&gt;=1000,ROUND($CT$4/1000,MAX(0,1-INT(LOG10($CS$27/1000))))&amp;"k",TEXT($CT$4,"#,##0"))),TEXT($CT$4,"#,##0")))</f>
        <v/>
      </c>
      <c r="DB4" t="n">
        <v>10</v>
      </c>
      <c r="DC4" t="n">
        <v>10.175</v>
      </c>
      <c r="DD4" t="n">
        <v>6</v>
      </c>
      <c r="DE4" t="inlineStr">
        <is>
          <t>column</t>
        </is>
      </c>
      <c r="DF4" t="inlineStr">
        <is>
          <t>F2</t>
        </is>
      </c>
      <c r="DG4">
        <f>IF(1&lt;=$DF$13,$DF$14+(1-1)*$DF$16,"")</f>
        <v/>
      </c>
      <c r="DH4">
        <f>IF(1&gt;$DF$13,"",SUMIFS($DD$4:$DD$203,$DC$4:$DC$203,"&gt;="&amp;$DG$4,$DC$4:$DC$203,IF(1=$DF$13,"&lt;=","&lt;")&amp;($DG$4+$DF$16)))</f>
        <v/>
      </c>
      <c r="DI4">
        <f>""</f>
        <v/>
      </c>
      <c r="DJ4">
        <f>IF(AND(1&gt;=11-$DF$17,1&lt;=9),$DF$18,0)</f>
        <v/>
      </c>
      <c r="DK4">
        <f>IFERROR(IF(AND($DM$4&gt;=$DF$14,$DM$4&lt;=$DF$15),10+0.5+100*($DM$4-$DF$14)/($DF$15-$DF$14),NA()),NA())</f>
        <v/>
      </c>
      <c r="DL4">
        <f>IF(ISNA($DK$4),NA(),0)</f>
        <v/>
      </c>
      <c r="DM4">
        <f>IFERROR(IF(LEFT(LOWER(TRIM($DF$20)),5)="every",IF(((INT($DF$11/VALUE(TRIM(MID(TRIM($DF$20),6,99))))*VALUE(TRIM(MID(TRIM($DF$20),6,99)))+VALUE(TRIM(MID(TRIM($DF$20),6,99))))+0*VALUE(TRIM(MID(TRIM($DF$20),6,99))))&lt;=$DF$12,((INT($DF$11/VALUE(TRIM(MID(TRIM($DF$20),6,99))))*VALUE(TRIM(MID(TRIM($DF$20),6,99)))+VALUE(TRIM(MID(TRIM($DF$20),6,99))))+0*VALUE(TRIM(MID(TRIM($DF$20),6,99)))),NA()),VALUE(TRIM(MID(SUBSTITUTE(SUBSTITUTE(SUBSTITUTE(TRIM($DF$20),",",";")," ",""),";",REPT(" ",99)),1,99)))),NA())</f>
        <v/>
      </c>
      <c r="DN4">
        <f>IF($DG$4="","",IFERROR(IF(ABS($DG$4)&gt;=1000000,ROUND($DG$4/1000000,MAX(0,1-INT(LOG10($DF$27/1000000))))&amp;"M",IF(ABS($DG$4)&gt;=1000,ROUND($DG$4/1000,MAX(0,1-INT(LOG10($DF$27/1000))))&amp;"k",TEXT($DG$4,"#,##0.0"))),TEXT($DG$4,"#,##0.0")))</f>
        <v/>
      </c>
      <c r="DO4" t="n">
        <v>7.5</v>
      </c>
      <c r="DP4" t="n">
        <v>7.5125</v>
      </c>
      <c r="DQ4" t="n">
        <v>4</v>
      </c>
      <c r="DR4" t="inlineStr">
        <is>
          <t>column</t>
        </is>
      </c>
      <c r="DS4" t="inlineStr">
        <is>
          <t>F3</t>
        </is>
      </c>
      <c r="DT4">
        <f>IF(1&lt;=$DS$13,$DS$14+(1-1)*$DS$16,"")</f>
        <v/>
      </c>
      <c r="DU4">
        <f>IF(1&gt;$DS$13,"",SUMIFS($DQ$4:$DQ$203,$DP$4:$DP$203,"&gt;="&amp;$DT$4,$DP$4:$DP$203,IF(1=$DS$13,"&lt;=","&lt;")&amp;($DT$4+$DS$16)))</f>
        <v/>
      </c>
      <c r="DV4">
        <f>""</f>
        <v/>
      </c>
      <c r="DW4">
        <f>IF(AND(1&gt;=11-$DS$17,1&lt;=9),$DS$18,0)</f>
        <v/>
      </c>
      <c r="DX4">
        <f>IFERROR(IF(AND($DZ$4&gt;=$DS$14,$DZ$4&lt;=$DS$15),10+0.5+100*($DZ$4-$DS$14)/($DS$15-$DS$14),NA()),NA())</f>
        <v/>
      </c>
      <c r="DY4">
        <f>IF(ISNA($DX$4),NA(),0)</f>
        <v/>
      </c>
      <c r="DZ4">
        <f>IFERROR(IF(LEFT(LOWER(TRIM($DS$20)),5)="every",IF(((INT($DS$11/VALUE(TRIM(MID(TRIM($DS$20),6,99))))*VALUE(TRIM(MID(TRIM($DS$20),6,99)))+VALUE(TRIM(MID(TRIM($DS$20),6,99))))+0*VALUE(TRIM(MID(TRIM($DS$20),6,99))))&lt;=$DS$12,((INT($DS$11/VALUE(TRIM(MID(TRIM($DS$20),6,99))))*VALUE(TRIM(MID(TRIM($DS$20),6,99)))+VALUE(TRIM(MID(TRIM($DS$20),6,99))))+0*VALUE(TRIM(MID(TRIM($DS$20),6,99)))),NA()),VALUE(TRIM(MID(SUBSTITUTE(SUBSTITUTE(SUBSTITUTE(TRIM($DS$20),",",";")," ",""),";",REPT(" ",99)),1,99)))),NA())</f>
        <v/>
      </c>
      <c r="EA4">
        <f>IF($DT$4="","",IFERROR(IF(ABS($DT$4)&gt;=1000000,ROUND($DT$4/1000000,MAX(0,1-INT(LOG10($DS$27/1000000))))&amp;"M",IF(ABS($DT$4)&gt;=1000,ROUND($DT$4/1000,MAX(0,1-INT(LOG10($DS$27/1000))))&amp;"k",TEXT($DT$4,"#,##0.0"))),TEXT($DT$4,"#,##0.0")))</f>
        <v/>
      </c>
      <c r="EB4" t="n">
        <v>0</v>
      </c>
      <c r="EC4" t="n">
        <v>0.25</v>
      </c>
      <c r="ED4" t="n">
        <v>45</v>
      </c>
      <c r="EE4" t="inlineStr">
        <is>
          <t>column</t>
        </is>
      </c>
      <c r="EF4" t="inlineStr">
        <is>
          <t>F4</t>
        </is>
      </c>
      <c r="EG4">
        <f>IF(1&lt;=$EF$13,$EF$14+(1-1)*$EF$16,"")</f>
        <v/>
      </c>
      <c r="EH4">
        <f>IF(1&gt;$EF$13,"",SUMIFS($ED$4:$ED$203,$EC$4:$EC$203,"&gt;="&amp;$EG$4,$EC$4:$EC$203,IF(1=$EF$13,"&lt;=","&lt;")&amp;($EG$4+$EF$16)))</f>
        <v/>
      </c>
      <c r="EI4">
        <f>""</f>
        <v/>
      </c>
      <c r="EJ4">
        <f>IF(AND(1&gt;=11-$EF$17,1&lt;=9),$EF$18,0)</f>
        <v/>
      </c>
      <c r="EK4">
        <f>IFERROR(IF(AND($EM$4&gt;=$EF$14,$EM$4&lt;=$EF$15),10+0.5+100*($EM$4-$EF$14)/($EF$15-$EF$14),NA()),NA())</f>
        <v/>
      </c>
      <c r="EL4">
        <f>IF(ISNA($EK$4),NA(),0)</f>
        <v/>
      </c>
      <c r="EM4">
        <f>IFERROR(IF(LEFT(LOWER(TRIM($EF$20)),5)="every",IF(((INT($EF$11/VALUE(TRIM(MID(TRIM($EF$20),6,99))))*VALUE(TRIM(MID(TRIM($EF$20),6,99)))+VALUE(TRIM(MID(TRIM($EF$20),6,99))))+0*VALUE(TRIM(MID(TRIM($EF$20),6,99))))&lt;=$EF$12,((INT($EF$11/VALUE(TRIM(MID(TRIM($EF$20),6,99))))*VALUE(TRIM(MID(TRIM($EF$20),6,99)))+VALUE(TRIM(MID(TRIM($EF$20),6,99))))+0*VALUE(TRIM(MID(TRIM($EF$20),6,99)))),NA()),VALUE(TRIM(MID(SUBSTITUTE(SUBSTITUTE(SUBSTITUTE(TRIM($EF$20),",",";")," ",""),";",REPT(" ",99)),1,99)))),NA())</f>
        <v/>
      </c>
      <c r="EN4">
        <f>IF($EG$4="","",IFERROR(IF(ABS($EG$4)&gt;=1000000,ROUND($EG$4/1000000,MAX(0,1-INT(LOG10($EF$27/1000000))))&amp;"M",IF(ABS($EG$4)&gt;=1000,ROUND($EG$4/1000,MAX(0,1-INT(LOG10($EF$27/1000))))&amp;"k",TEXT($EG$4,"#,##0"))),TEXT($EG$4,"#,##0")))</f>
        <v/>
      </c>
      <c r="EO4" t="n">
        <v>0</v>
      </c>
      <c r="EP4" t="n">
        <v>0.008750000000000001</v>
      </c>
      <c r="EQ4" t="n">
        <v>0</v>
      </c>
      <c r="ER4" t="inlineStr">
        <is>
          <t>column</t>
        </is>
      </c>
      <c r="ES4" t="inlineStr">
        <is>
          <t>income_to_sales</t>
        </is>
      </c>
      <c r="ET4">
        <f>IF(1&lt;=$ES$13,$ES$14+(1-1)*$ES$16,"")</f>
        <v/>
      </c>
      <c r="EU4">
        <f>IF(1&gt;$ES$13,"",SUMIFS($EQ$4:$EQ$203,$EP$4:$EP$203,"&gt;="&amp;$ET$4,$EP$4:$EP$203,IF(1=$ES$13,"&lt;=","&lt;")&amp;($ET$4+$ES$16)))</f>
        <v/>
      </c>
      <c r="EV4">
        <f>""</f>
        <v/>
      </c>
      <c r="EW4">
        <f>IF(AND(1&gt;=11-$ES$17,1&lt;=9),$ES$18,0)</f>
        <v/>
      </c>
      <c r="EX4">
        <f>IFERROR(IF(AND($EZ$4&gt;=$ES$14,$EZ$4&lt;=$ES$15),10+0.5+100*($EZ$4-$ES$14)/($ES$15-$ES$14),NA()),NA())</f>
        <v/>
      </c>
      <c r="EY4">
        <f>IF(ISNA($EX$4),NA(),0)</f>
        <v/>
      </c>
      <c r="EZ4">
        <f>IFERROR(IF(LEFT(LOWER(TRIM($ES$20)),5)="every",IF(((INT($ES$11/VALUE(TRIM(MID(TRIM($ES$20),6,99))))*VALUE(TRIM(MID(TRIM($ES$20),6,99)))+VALUE(TRIM(MID(TRIM($ES$20),6,99))))+0*VALUE(TRIM(MID(TRIM($ES$20),6,99))))&lt;=$ES$12,((INT($ES$11/VALUE(TRIM(MID(TRIM($ES$20),6,99))))*VALUE(TRIM(MID(TRIM($ES$20),6,99)))+VALUE(TRIM(MID(TRIM($ES$20),6,99))))+0*VALUE(TRIM(MID(TRIM($ES$20),6,99)))),NA()),VALUE(TRIM(MID(SUBSTITUTE(SUBSTITUTE(SUBSTITUTE(TRIM($ES$20),",",";")," ",""),";",REPT(" ",99)),1,99)))),NA())</f>
        <v/>
      </c>
      <c r="FA4">
        <f>IF($ET$4="","",IFERROR(IF(ABS($ET$4)&gt;=1000000,ROUND($ET$4/1000000,MAX(0,1-INT(LOG10($ES$27/1000000))))&amp;"M",IF(ABS($ET$4)&gt;=1000,ROUND($ET$4/1000,MAX(0,1-INT(LOG10($ES$27/1000))))&amp;"k",TEXT($ET$4,"0.00"))),TEXT($ET$4,"0.00")))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17</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c r="AO5" t="n">
        <v>4000</v>
      </c>
      <c r="AP5" t="n">
        <v>6000</v>
      </c>
      <c r="AQ5" t="n">
        <v>0</v>
      </c>
      <c r="AR5" t="inlineStr">
        <is>
          <t>slices from</t>
        </is>
      </c>
      <c r="AS5" t="n">
        <v>0</v>
      </c>
      <c r="AT5">
        <f>IF(2&lt;=$AS$13,$AS$14+(2-1)*$AS$16,"")</f>
        <v/>
      </c>
      <c r="AU5">
        <f>IF(2&gt;$AS$13,"",SUMIFS($AQ$4:$AQ$203,$AP$4:$AP$203,"&gt;="&amp;$AT$5,$AP$4:$AP$203,IF(2=$AS$13,"&lt;=","&lt;")&amp;($AT$5+$AS$16)))</f>
        <v/>
      </c>
      <c r="AV5">
        <f>""</f>
        <v/>
      </c>
      <c r="AW5">
        <f>IF(AND(2&gt;=11-$AS$17,2&lt;=9),$AS$18,0)</f>
        <v/>
      </c>
      <c r="AX5">
        <f>IFERROR(IF(AND($AZ$4&gt;=$AS$14,$AZ$4&lt;=$AS$15),10+0.5+100*($AZ$4-$AS$14)/($AS$15-$AS$14),NA()),NA())</f>
        <v/>
      </c>
      <c r="AY5">
        <f>IF(ISNA($AX$5),NA(),MAX($AW$4:$AW$123))</f>
        <v/>
      </c>
      <c r="AZ5">
        <f>IFERROR(IF(LEFT(LOWER(TRIM($AS$20)),5)="every",IF(((INT($AS$11/VALUE(TRIM(MID(TRIM($AS$20),6,99))))*VALUE(TRIM(MID(TRIM($AS$20),6,99)))+VALUE(TRIM(MID(TRIM($AS$20),6,99))))+1*VALUE(TRIM(MID(TRIM($AS$20),6,99))))&lt;=$AS$12,((INT($AS$11/VALUE(TRIM(MID(TRIM($AS$20),6,99))))*VALUE(TRIM(MID(TRIM($AS$20),6,99)))+VALUE(TRIM(MID(TRIM($AS$20),6,99))))+1*VALUE(TRIM(MID(TRIM($AS$20),6,99)))),NA()),VALUE(TRIM(MID(SUBSTITUTE(SUBSTITUTE(SUBSTITUTE(TRIM($AS$20),",",";")," ",""),";",REPT(" ",99)),100,99)))),NA())</f>
        <v/>
      </c>
      <c r="BA5">
        <f>IF($AT$5="","",IFERROR(IF(ABS($AT$5)&gt;=1000000,ROUND($AT$5/1000000,MAX(0,1-INT(LOG10($AS$27/1000000))))&amp;"M",IF(ABS($AT$5)&gt;=1000,ROUND($AT$5/1000,MAX(0,1-INT(LOG10($AS$27/1000))))&amp;"k",TEXT($AT$5,"#,##0"))),TEXT($AT$5,"#,##0")))</f>
        <v/>
      </c>
      <c r="BB5" t="n">
        <v>7000</v>
      </c>
      <c r="BC5" t="n">
        <v>10500</v>
      </c>
      <c r="BD5" t="n">
        <v>95</v>
      </c>
      <c r="BE5" t="inlineStr">
        <is>
          <t>slices from</t>
        </is>
      </c>
      <c r="BF5" t="n">
        <v>0</v>
      </c>
      <c r="BG5">
        <f>IF(2&lt;=$BF$13,$BF$14+(2-1)*$BF$16,"")</f>
        <v/>
      </c>
      <c r="BH5">
        <f>IF(2&gt;$BF$13,"",SUMIFS($BD$4:$BD$203,$BC$4:$BC$203,"&gt;="&amp;$BG$5,$BC$4:$BC$203,IF(2=$BF$13,"&lt;=","&lt;")&amp;($BG$5+$BF$16)))</f>
        <v/>
      </c>
      <c r="BI5">
        <f>""</f>
        <v/>
      </c>
      <c r="BJ5">
        <f>IF(AND(2&gt;=11-$BF$17,2&lt;=9),$BF$18,0)</f>
        <v/>
      </c>
      <c r="BK5">
        <f>IFERROR(IF(AND($BM$4&gt;=$BF$14,$BM$4&lt;=$BF$15),10+0.5+100*($BM$4-$BF$14)/($BF$15-$BF$14),NA()),NA())</f>
        <v/>
      </c>
      <c r="BL5">
        <f>IF(ISNA($BK$5),NA(),MAX($BJ$4:$BJ$123))</f>
        <v/>
      </c>
      <c r="BM5">
        <f>IFERROR(IF(LEFT(LOWER(TRIM($BF$20)),5)="every",IF(((INT($BF$11/VALUE(TRIM(MID(TRIM($BF$20),6,99))))*VALUE(TRIM(MID(TRIM($BF$20),6,99)))+VALUE(TRIM(MID(TRIM($BF$20),6,99))))+1*VALUE(TRIM(MID(TRIM($BF$20),6,99))))&lt;=$BF$12,((INT($BF$11/VALUE(TRIM(MID(TRIM($BF$20),6,99))))*VALUE(TRIM(MID(TRIM($BF$20),6,99)))+VALUE(TRIM(MID(TRIM($BF$20),6,99))))+1*VALUE(TRIM(MID(TRIM($BF$20),6,99)))),NA()),VALUE(TRIM(MID(SUBSTITUTE(SUBSTITUTE(SUBSTITUTE(TRIM($BF$20),",",";")," ",""),";",REPT(" ",99)),100,99)))),NA())</f>
        <v/>
      </c>
      <c r="BN5">
        <f>IF($BG$5="","",IFERROR(IF(ABS($BG$5)&gt;=1000000,ROUND($BG$5/1000000,MAX(0,1-INT(LOG10($BF$27/1000000))))&amp;"M",IF(ABS($BG$5)&gt;=1000,ROUND($BG$5/1000,MAX(0,1-INT(LOG10($BF$27/1000))))&amp;"k",TEXT($BG$5,"#,##0"))),TEXT($BG$5,"#,##0")))</f>
        <v/>
      </c>
      <c r="BO5" t="n">
        <v>0.006</v>
      </c>
      <c r="BP5" t="n">
        <v>0.009000000000000001</v>
      </c>
      <c r="BQ5" t="n">
        <v>56</v>
      </c>
      <c r="BR5" t="inlineStr">
        <is>
          <t>slices from</t>
        </is>
      </c>
      <c r="BS5" t="n">
        <v>0</v>
      </c>
      <c r="BT5">
        <f>IF(2&lt;=$BS$13,$BS$14+(2-1)*$BS$16,"")</f>
        <v/>
      </c>
      <c r="BU5">
        <f>IF(2&gt;$BS$13,"",SUMIFS($BQ$4:$BQ$203,$BP$4:$BP$203,"&gt;="&amp;$BT$5,$BP$4:$BP$203,IF(2=$BS$13,"&lt;=","&lt;")&amp;($BT$5+$BS$16)))</f>
        <v/>
      </c>
      <c r="BV5">
        <f>""</f>
        <v/>
      </c>
      <c r="BW5">
        <f>IF(AND(2&gt;=11-$BS$17,2&lt;=9),$BS$18,0)</f>
        <v/>
      </c>
      <c r="BX5">
        <f>IFERROR(IF(AND($BZ$4&gt;=$BS$14,$BZ$4&lt;=$BS$15),10+0.5+100*($BZ$4-$BS$14)/($BS$15-$BS$14),NA()),NA())</f>
        <v/>
      </c>
      <c r="BY5">
        <f>IF(ISNA($BX$5),NA(),MAX($BW$4:$BW$123))</f>
        <v/>
      </c>
      <c r="BZ5">
        <f>IFERROR(IF(LEFT(LOWER(TRIM($BS$20)),5)="every",IF(((INT($BS$11/VALUE(TRIM(MID(TRIM($BS$20),6,99))))*VALUE(TRIM(MID(TRIM($BS$20),6,99)))+VALUE(TRIM(MID(TRIM($BS$20),6,99))))+1*VALUE(TRIM(MID(TRIM($BS$20),6,99))))&lt;=$BS$12,((INT($BS$11/VALUE(TRIM(MID(TRIM($BS$20),6,99))))*VALUE(TRIM(MID(TRIM($BS$20),6,99)))+VALUE(TRIM(MID(TRIM($BS$20),6,99))))+1*VALUE(TRIM(MID(TRIM($BS$20),6,99)))),NA()),VALUE(TRIM(MID(SUBSTITUTE(SUBSTITUTE(SUBSTITUTE(TRIM($BS$20),",",";")," ",""),";",REPT(" ",99)),100,99)))),NA())</f>
        <v/>
      </c>
      <c r="CA5">
        <f>IF($BT$5="","",IFERROR(IF(ABS($BT$5)&gt;=1000000,ROUND($BT$5/1000000,MAX(0,1-INT(LOG10($BS$27/1000000))))&amp;"M",IF(ABS($BT$5)&gt;=1000,ROUND($BT$5/1000,MAX(0,1-INT(LOG10($BS$27/1000))))&amp;"k",TEXT($BT$5,"0.00"))),TEXT($BT$5,"0.00")))</f>
        <v/>
      </c>
      <c r="CB5" t="n">
        <v>0.15</v>
      </c>
      <c r="CC5" t="n">
        <v>0.225</v>
      </c>
      <c r="CD5" t="n">
        <v>210</v>
      </c>
      <c r="CE5" t="inlineStr">
        <is>
          <t>slices from</t>
        </is>
      </c>
      <c r="CF5" t="n">
        <v>0</v>
      </c>
      <c r="CG5">
        <f>IF(2&lt;=$CF$13,$CF$14+(2-1)*$CF$16,"")</f>
        <v/>
      </c>
      <c r="CH5">
        <f>IF(2&gt;$CF$13,"",SUMIFS($CD$4:$CD$203,$CC$4:$CC$203,"&gt;="&amp;$CG$5,$CC$4:$CC$203,IF(2=$CF$13,"&lt;=","&lt;")&amp;($CG$5+$CF$16)))</f>
        <v/>
      </c>
      <c r="CI5">
        <f>""</f>
        <v/>
      </c>
      <c r="CJ5">
        <f>IF(AND(2&gt;=11-$CF$17,2&lt;=9),$CF$18,0)</f>
        <v/>
      </c>
      <c r="CK5">
        <f>IFERROR(IF(AND($CM$4&gt;=$CF$14,$CM$4&lt;=$CF$15),10+0.5+100*($CM$4-$CF$14)/($CF$15-$CF$14),NA()),NA())</f>
        <v/>
      </c>
      <c r="CL5">
        <f>IF(ISNA($CK$5),NA(),MAX($CJ$4:$CJ$123))</f>
        <v/>
      </c>
      <c r="CM5">
        <f>IFERROR(IF(LEFT(LOWER(TRIM($CF$20)),5)="every",IF(((INT($CF$11/VALUE(TRIM(MID(TRIM($CF$20),6,99))))*VALUE(TRIM(MID(TRIM($CF$20),6,99)))+VALUE(TRIM(MID(TRIM($CF$20),6,99))))+1*VALUE(TRIM(MID(TRIM($CF$20),6,99))))&lt;=$CF$12,((INT($CF$11/VALUE(TRIM(MID(TRIM($CF$20),6,99))))*VALUE(TRIM(MID(TRIM($CF$20),6,99)))+VALUE(TRIM(MID(TRIM($CF$20),6,99))))+1*VALUE(TRIM(MID(TRIM($CF$20),6,99)))),NA()),VALUE(TRIM(MID(SUBSTITUTE(SUBSTITUTE(SUBSTITUTE(TRIM($CF$20),",",";")," ",""),";",REPT(" ",99)),100,99)))),NA())</f>
        <v/>
      </c>
      <c r="CN5">
        <f>IF($CG$5="","",IFERROR(IF(ABS($CG$5)&gt;=1000000,ROUND($CG$5/1000000,MAX(0,1-INT(LOG10($CF$27/1000000))))&amp;"M",IF(ABS($CG$5)&gt;=1000,ROUND($CG$5/1000,MAX(0,1-INT(LOG10($CF$27/1000))))&amp;"k",TEXT($CG$5,"#,##0.0"))),TEXT($CG$5,"#,##0.0")))</f>
        <v/>
      </c>
      <c r="CO5" t="n">
        <v>10.4</v>
      </c>
      <c r="CP5" t="n">
        <v>10.6</v>
      </c>
      <c r="CQ5" t="n">
        <v>1</v>
      </c>
      <c r="CR5" t="inlineStr">
        <is>
          <t>slices from</t>
        </is>
      </c>
      <c r="CS5" t="n">
        <v>10</v>
      </c>
      <c r="CT5">
        <f>IF(2&lt;=$CS$13,$CS$14+(2-1)*$CS$16,"")</f>
        <v/>
      </c>
      <c r="CU5">
        <f>IF(2&gt;$CS$13,"",SUMIFS($CQ$4:$CQ$203,$CP$4:$CP$203,"&gt;="&amp;$CT$5,$CP$4:$CP$203,IF(2=$CS$13,"&lt;=","&lt;")&amp;($CT$5+$CS$16)))</f>
        <v/>
      </c>
      <c r="CV5">
        <f>""</f>
        <v/>
      </c>
      <c r="CW5">
        <f>IF(AND(2&gt;=11-$CS$17,2&lt;=9),$CS$18,0)</f>
        <v/>
      </c>
      <c r="CX5">
        <f>IFERROR(IF(AND($CZ$4&gt;=$CS$14,$CZ$4&lt;=$CS$15),10+0.5+100*($CZ$4-$CS$14)/($CS$15-$CS$14),NA()),NA())</f>
        <v/>
      </c>
      <c r="CY5">
        <f>IF(ISNA($CX$5),NA(),MAX($CW$4:$CW$123))</f>
        <v/>
      </c>
      <c r="CZ5">
        <f>IFERROR(IF(LEFT(LOWER(TRIM($CS$20)),5)="every",IF(((INT($CS$11/VALUE(TRIM(MID(TRIM($CS$20),6,99))))*VALUE(TRIM(MID(TRIM($CS$20),6,99)))+VALUE(TRIM(MID(TRIM($CS$20),6,99))))+1*VALUE(TRIM(MID(TRIM($CS$20),6,99))))&lt;=$CS$12,((INT($CS$11/VALUE(TRIM(MID(TRIM($CS$20),6,99))))*VALUE(TRIM(MID(TRIM($CS$20),6,99)))+VALUE(TRIM(MID(TRIM($CS$20),6,99))))+1*VALUE(TRIM(MID(TRIM($CS$20),6,99)))),NA()),VALUE(TRIM(MID(SUBSTITUTE(SUBSTITUTE(SUBSTITUTE(TRIM($CS$20),",",";")," ",""),";",REPT(" ",99)),100,99)))),NA())</f>
        <v/>
      </c>
      <c r="DA5">
        <f>IF($CT$5="","",IFERROR(IF(ABS($CT$5)&gt;=1000000,ROUND($CT$5/1000000,MAX(0,1-INT(LOG10($CS$27/1000000))))&amp;"M",IF(ABS($CT$5)&gt;=1000,ROUND($CT$5/1000,MAX(0,1-INT(LOG10($CS$27/1000))))&amp;"k",TEXT($CT$5,"#,##0"))),TEXT($CT$5,"#,##0")))</f>
        <v/>
      </c>
      <c r="DB5" t="n">
        <v>10.35</v>
      </c>
      <c r="DC5" t="n">
        <v>10.525</v>
      </c>
      <c r="DD5" t="n">
        <v>5</v>
      </c>
      <c r="DE5" t="inlineStr">
        <is>
          <t>slices from</t>
        </is>
      </c>
      <c r="DF5" t="n">
        <v>10</v>
      </c>
      <c r="DG5">
        <f>IF(2&lt;=$DF$13,$DF$14+(2-1)*$DF$16,"")</f>
        <v/>
      </c>
      <c r="DH5">
        <f>IF(2&gt;$DF$13,"",SUMIFS($DD$4:$DD$203,$DC$4:$DC$203,"&gt;="&amp;$DG$5,$DC$4:$DC$203,IF(2=$DF$13,"&lt;=","&lt;")&amp;($DG$5+$DF$16)))</f>
        <v/>
      </c>
      <c r="DI5">
        <f>""</f>
        <v/>
      </c>
      <c r="DJ5">
        <f>IF(AND(2&gt;=11-$DF$17,2&lt;=9),$DF$18,0)</f>
        <v/>
      </c>
      <c r="DK5">
        <f>IFERROR(IF(AND($DM$4&gt;=$DF$14,$DM$4&lt;=$DF$15),10+0.5+100*($DM$4-$DF$14)/($DF$15-$DF$14),NA()),NA())</f>
        <v/>
      </c>
      <c r="DL5">
        <f>IF(ISNA($DK$5),NA(),MAX($DJ$4:$DJ$123))</f>
        <v/>
      </c>
      <c r="DM5">
        <f>IFERROR(IF(LEFT(LOWER(TRIM($DF$20)),5)="every",IF(((INT($DF$11/VALUE(TRIM(MID(TRIM($DF$20),6,99))))*VALUE(TRIM(MID(TRIM($DF$20),6,99)))+VALUE(TRIM(MID(TRIM($DF$20),6,99))))+1*VALUE(TRIM(MID(TRIM($DF$20),6,99))))&lt;=$DF$12,((INT($DF$11/VALUE(TRIM(MID(TRIM($DF$20),6,99))))*VALUE(TRIM(MID(TRIM($DF$20),6,99)))+VALUE(TRIM(MID(TRIM($DF$20),6,99))))+1*VALUE(TRIM(MID(TRIM($DF$20),6,99)))),NA()),VALUE(TRIM(MID(SUBSTITUTE(SUBSTITUTE(SUBSTITUTE(TRIM($DF$20),",",";")," ",""),";",REPT(" ",99)),100,99)))),NA())</f>
        <v/>
      </c>
      <c r="DN5">
        <f>IF($DG$5="","",IFERROR(IF(ABS($DG$5)&gt;=1000000,ROUND($DG$5/1000000,MAX(0,1-INT(LOG10($DF$27/1000000))))&amp;"M",IF(ABS($DG$5)&gt;=1000,ROUND($DG$5/1000,MAX(0,1-INT(LOG10($DF$27/1000))))&amp;"k",TEXT($DG$5,"#,##0.0"))),TEXT($DG$5,"#,##0.0")))</f>
        <v/>
      </c>
      <c r="DO5" t="n">
        <v>7.525</v>
      </c>
      <c r="DP5" t="n">
        <v>7.5375</v>
      </c>
      <c r="DQ5" t="n">
        <v>4</v>
      </c>
      <c r="DR5" t="inlineStr">
        <is>
          <t>slices from</t>
        </is>
      </c>
      <c r="DS5" t="n">
        <v>7.5</v>
      </c>
      <c r="DT5">
        <f>IF(2&lt;=$DS$13,$DS$14+(2-1)*$DS$16,"")</f>
        <v/>
      </c>
      <c r="DU5">
        <f>IF(2&gt;$DS$13,"",SUMIFS($DQ$4:$DQ$203,$DP$4:$DP$203,"&gt;="&amp;$DT$5,$DP$4:$DP$203,IF(2=$DS$13,"&lt;=","&lt;")&amp;($DT$5+$DS$16)))</f>
        <v/>
      </c>
      <c r="DV5">
        <f>""</f>
        <v/>
      </c>
      <c r="DW5">
        <f>IF(AND(2&gt;=11-$DS$17,2&lt;=9),$DS$18,0)</f>
        <v/>
      </c>
      <c r="DX5">
        <f>IFERROR(IF(AND($DZ$4&gt;=$DS$14,$DZ$4&lt;=$DS$15),10+0.5+100*($DZ$4-$DS$14)/($DS$15-$DS$14),NA()),NA())</f>
        <v/>
      </c>
      <c r="DY5">
        <f>IF(ISNA($DX$5),NA(),MAX($DW$4:$DW$123))</f>
        <v/>
      </c>
      <c r="DZ5">
        <f>IFERROR(IF(LEFT(LOWER(TRIM($DS$20)),5)="every",IF(((INT($DS$11/VALUE(TRIM(MID(TRIM($DS$20),6,99))))*VALUE(TRIM(MID(TRIM($DS$20),6,99)))+VALUE(TRIM(MID(TRIM($DS$20),6,99))))+1*VALUE(TRIM(MID(TRIM($DS$20),6,99))))&lt;=$DS$12,((INT($DS$11/VALUE(TRIM(MID(TRIM($DS$20),6,99))))*VALUE(TRIM(MID(TRIM($DS$20),6,99)))+VALUE(TRIM(MID(TRIM($DS$20),6,99))))+1*VALUE(TRIM(MID(TRIM($DS$20),6,99)))),NA()),VALUE(TRIM(MID(SUBSTITUTE(SUBSTITUTE(SUBSTITUTE(TRIM($DS$20),",",";")," ",""),";",REPT(" ",99)),100,99)))),NA())</f>
        <v/>
      </c>
      <c r="EA5">
        <f>IF($DT$5="","",IFERROR(IF(ABS($DT$5)&gt;=1000000,ROUND($DT$5/1000000,MAX(0,1-INT(LOG10($DS$27/1000000))))&amp;"M",IF(ABS($DT$5)&gt;=1000,ROUND($DT$5/1000,MAX(0,1-INT(LOG10($DS$27/1000))))&amp;"k",TEXT($DT$5,"#,##0.0"))),TEXT($DT$5,"#,##0.0")))</f>
        <v/>
      </c>
      <c r="EB5" t="n">
        <v>0.5</v>
      </c>
      <c r="EC5" t="n">
        <v>0.75</v>
      </c>
      <c r="ED5" t="n">
        <v>61</v>
      </c>
      <c r="EE5" t="inlineStr">
        <is>
          <t>slices from</t>
        </is>
      </c>
      <c r="EF5" t="n">
        <v>0</v>
      </c>
      <c r="EG5">
        <f>IF(2&lt;=$EF$13,$EF$14+(2-1)*$EF$16,"")</f>
        <v/>
      </c>
      <c r="EH5">
        <f>IF(2&gt;$EF$13,"",SUMIFS($ED$4:$ED$203,$EC$4:$EC$203,"&gt;="&amp;$EG$5,$EC$4:$EC$203,IF(2=$EF$13,"&lt;=","&lt;")&amp;($EG$5+$EF$16)))</f>
        <v/>
      </c>
      <c r="EI5">
        <f>""</f>
        <v/>
      </c>
      <c r="EJ5">
        <f>IF(AND(2&gt;=11-$EF$17,2&lt;=9),$EF$18,0)</f>
        <v/>
      </c>
      <c r="EK5">
        <f>IFERROR(IF(AND($EM$4&gt;=$EF$14,$EM$4&lt;=$EF$15),10+0.5+100*($EM$4-$EF$14)/($EF$15-$EF$14),NA()),NA())</f>
        <v/>
      </c>
      <c r="EL5">
        <f>IF(ISNA($EK$5),NA(),MAX($EJ$4:$EJ$123))</f>
        <v/>
      </c>
      <c r="EM5">
        <f>IFERROR(IF(LEFT(LOWER(TRIM($EF$20)),5)="every",IF(((INT($EF$11/VALUE(TRIM(MID(TRIM($EF$20),6,99))))*VALUE(TRIM(MID(TRIM($EF$20),6,99)))+VALUE(TRIM(MID(TRIM($EF$20),6,99))))+1*VALUE(TRIM(MID(TRIM($EF$20),6,99))))&lt;=$EF$12,((INT($EF$11/VALUE(TRIM(MID(TRIM($EF$20),6,99))))*VALUE(TRIM(MID(TRIM($EF$20),6,99)))+VALUE(TRIM(MID(TRIM($EF$20),6,99))))+1*VALUE(TRIM(MID(TRIM($EF$20),6,99)))),NA()),VALUE(TRIM(MID(SUBSTITUTE(SUBSTITUTE(SUBSTITUTE(TRIM($EF$20),",",";")," ",""),";",REPT(" ",99)),100,99)))),NA())</f>
        <v/>
      </c>
      <c r="EN5">
        <f>IF($EG$5="","",IFERROR(IF(ABS($EG$5)&gt;=1000000,ROUND($EG$5/1000000,MAX(0,1-INT(LOG10($EF$27/1000000))))&amp;"M",IF(ABS($EG$5)&gt;=1000,ROUND($EG$5/1000,MAX(0,1-INT(LOG10($EF$27/1000))))&amp;"k",TEXT($EG$5,"#,##0"))),TEXT($EG$5,"#,##0")))</f>
        <v/>
      </c>
      <c r="EO5" t="n">
        <v>0.0175</v>
      </c>
      <c r="EP5" t="n">
        <v>0.02625</v>
      </c>
      <c r="EQ5" t="n">
        <v>5</v>
      </c>
      <c r="ER5" t="inlineStr">
        <is>
          <t>slices from</t>
        </is>
      </c>
      <c r="ES5" t="n">
        <v>0</v>
      </c>
      <c r="ET5">
        <f>IF(2&lt;=$ES$13,$ES$14+(2-1)*$ES$16,"")</f>
        <v/>
      </c>
      <c r="EU5">
        <f>IF(2&gt;$ES$13,"",SUMIFS($EQ$4:$EQ$203,$EP$4:$EP$203,"&gt;="&amp;$ET$5,$EP$4:$EP$203,IF(2=$ES$13,"&lt;=","&lt;")&amp;($ET$5+$ES$16)))</f>
        <v/>
      </c>
      <c r="EV5">
        <f>""</f>
        <v/>
      </c>
      <c r="EW5">
        <f>IF(AND(2&gt;=11-$ES$17,2&lt;=9),$ES$18,0)</f>
        <v/>
      </c>
      <c r="EX5">
        <f>IFERROR(IF(AND($EZ$4&gt;=$ES$14,$EZ$4&lt;=$ES$15),10+0.5+100*($EZ$4-$ES$14)/($ES$15-$ES$14),NA()),NA())</f>
        <v/>
      </c>
      <c r="EY5">
        <f>IF(ISNA($EX$5),NA(),MAX($EW$4:$EW$123))</f>
        <v/>
      </c>
      <c r="EZ5">
        <f>IFERROR(IF(LEFT(LOWER(TRIM($ES$20)),5)="every",IF(((INT($ES$11/VALUE(TRIM(MID(TRIM($ES$20),6,99))))*VALUE(TRIM(MID(TRIM($ES$20),6,99)))+VALUE(TRIM(MID(TRIM($ES$20),6,99))))+1*VALUE(TRIM(MID(TRIM($ES$20),6,99))))&lt;=$ES$12,((INT($ES$11/VALUE(TRIM(MID(TRIM($ES$20),6,99))))*VALUE(TRIM(MID(TRIM($ES$20),6,99)))+VALUE(TRIM(MID(TRIM($ES$20),6,99))))+1*VALUE(TRIM(MID(TRIM($ES$20),6,99)))),NA()),VALUE(TRIM(MID(SUBSTITUTE(SUBSTITUTE(SUBSTITUTE(TRIM($ES$20),",",";")," ",""),";",REPT(" ",99)),100,99)))),NA())</f>
        <v/>
      </c>
      <c r="FA5">
        <f>IF($ET$5="","",IFERROR(IF(ABS($ET$5)&gt;=1000000,ROUND($ET$5/1000000,MAX(0,1-INT(LOG10($ES$27/1000000))))&amp;"M",IF(ABS($ET$5)&gt;=1000,ROUND($ET$5/1000,MAX(0,1-INT(LOG10($ES$27/1000))))&amp;"k",TEXT($ET$5,"0.00"))),TEXT($ET$5,"0.00")))</f>
        <v/>
      </c>
    </row>
    <row r="6">
      <c r="B6" t="n">
        <v>553</v>
      </c>
      <c r="C6" t="n">
        <v>553.75</v>
      </c>
      <c r="D6" t="n">
        <v>7</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12</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c r="AO6" t="n">
        <v>8000</v>
      </c>
      <c r="AP6" t="n">
        <v>10000</v>
      </c>
      <c r="AQ6" t="n">
        <v>0</v>
      </c>
      <c r="AR6" t="inlineStr">
        <is>
          <t>slices to</t>
        </is>
      </c>
      <c r="AS6" t="n">
        <v>800000</v>
      </c>
      <c r="AT6">
        <f>IF(3&lt;=$AS$13,$AS$14+(3-1)*$AS$16,"")</f>
        <v/>
      </c>
      <c r="AU6">
        <f>IF(3&gt;$AS$13,"",SUMIFS($AQ$4:$AQ$203,$AP$4:$AP$203,"&gt;="&amp;$AT$6,$AP$4:$AP$203,IF(3=$AS$13,"&lt;=","&lt;")&amp;($AT$6+$AS$16)))</f>
        <v/>
      </c>
      <c r="AV6">
        <f>""</f>
        <v/>
      </c>
      <c r="AW6">
        <f>IF(AND(3&gt;=11-$AS$17,3&lt;=9),$AS$18,0)</f>
        <v/>
      </c>
      <c r="AX6">
        <f>IFERROR(IF(AND($AZ$5&gt;=$AS$14,$AZ$5&lt;=$AS$15),10+0.5+100*($AZ$5-$AS$14)/($AS$15-$AS$14),NA()),NA())</f>
        <v/>
      </c>
      <c r="AY6">
        <f>IF(ISNA($AX$6),NA(),0)</f>
        <v/>
      </c>
      <c r="AZ6">
        <f>IFERROR(IF(LEFT(LOWER(TRIM($AS$20)),5)="every",IF(((INT($AS$11/VALUE(TRIM(MID(TRIM($AS$20),6,99))))*VALUE(TRIM(MID(TRIM($AS$20),6,99)))+VALUE(TRIM(MID(TRIM($AS$20),6,99))))+2*VALUE(TRIM(MID(TRIM($AS$20),6,99))))&lt;=$AS$12,((INT($AS$11/VALUE(TRIM(MID(TRIM($AS$20),6,99))))*VALUE(TRIM(MID(TRIM($AS$20),6,99)))+VALUE(TRIM(MID(TRIM($AS$20),6,99))))+2*VALUE(TRIM(MID(TRIM($AS$20),6,99)))),NA()),VALUE(TRIM(MID(SUBSTITUTE(SUBSTITUTE(SUBSTITUTE(TRIM($AS$20),",",";")," ",""),";",REPT(" ",99)),199,99)))),NA())</f>
        <v/>
      </c>
      <c r="BA6">
        <f>IF($AT$6="","",IFERROR(IF(ABS($AT$6)&gt;=1000000,ROUND($AT$6/1000000,MAX(0,1-INT(LOG10($AS$27/1000000))))&amp;"M",IF(ABS($AT$6)&gt;=1000,ROUND($AT$6/1000,MAX(0,1-INT(LOG10($AS$27/1000))))&amp;"k",TEXT($AT$6,"#,##0"))),TEXT($AT$6,"#,##0")))</f>
        <v/>
      </c>
      <c r="BB6" t="n">
        <v>14000</v>
      </c>
      <c r="BC6" t="n">
        <v>17500</v>
      </c>
      <c r="BD6" t="n">
        <v>221</v>
      </c>
      <c r="BE6" t="inlineStr">
        <is>
          <t>slices to</t>
        </is>
      </c>
      <c r="BF6" t="n">
        <v>1400000</v>
      </c>
      <c r="BG6">
        <f>IF(3&lt;=$BF$13,$BF$14+(3-1)*$BF$16,"")</f>
        <v/>
      </c>
      <c r="BH6">
        <f>IF(3&gt;$BF$13,"",SUMIFS($BD$4:$BD$203,$BC$4:$BC$203,"&gt;="&amp;$BG$6,$BC$4:$BC$203,IF(3=$BF$13,"&lt;=","&lt;")&amp;($BG$6+$BF$16)))</f>
        <v/>
      </c>
      <c r="BI6">
        <f>""</f>
        <v/>
      </c>
      <c r="BJ6">
        <f>IF(AND(3&gt;=11-$BF$17,3&lt;=9),$BF$18,0)</f>
        <v/>
      </c>
      <c r="BK6">
        <f>IFERROR(IF(AND($BM$5&gt;=$BF$14,$BM$5&lt;=$BF$15),10+0.5+100*($BM$5-$BF$14)/($BF$15-$BF$14),NA()),NA())</f>
        <v/>
      </c>
      <c r="BL6">
        <f>IF(ISNA($BK$6),NA(),0)</f>
        <v/>
      </c>
      <c r="BM6">
        <f>IFERROR(IF(LEFT(LOWER(TRIM($BF$20)),5)="every",IF(((INT($BF$11/VALUE(TRIM(MID(TRIM($BF$20),6,99))))*VALUE(TRIM(MID(TRIM($BF$20),6,99)))+VALUE(TRIM(MID(TRIM($BF$20),6,99))))+2*VALUE(TRIM(MID(TRIM($BF$20),6,99))))&lt;=$BF$12,((INT($BF$11/VALUE(TRIM(MID(TRIM($BF$20),6,99))))*VALUE(TRIM(MID(TRIM($BF$20),6,99)))+VALUE(TRIM(MID(TRIM($BF$20),6,99))))+2*VALUE(TRIM(MID(TRIM($BF$20),6,99)))),NA()),VALUE(TRIM(MID(SUBSTITUTE(SUBSTITUTE(SUBSTITUTE(TRIM($BF$20),",",";")," ",""),";",REPT(" ",99)),199,99)))),NA())</f>
        <v/>
      </c>
      <c r="BN6">
        <f>IF($BG$6="","",IFERROR(IF(ABS($BG$6)&gt;=1000000,ROUND($BG$6/1000000,MAX(0,1-INT(LOG10($BF$27/1000000))))&amp;"M",IF(ABS($BG$6)&gt;=1000,ROUND($BG$6/1000,MAX(0,1-INT(LOG10($BF$27/1000))))&amp;"k",TEXT($BG$6,"#,##0"))),TEXT($BG$6,"#,##0")))</f>
        <v/>
      </c>
      <c r="BO6" t="n">
        <v>0.012</v>
      </c>
      <c r="BP6" t="n">
        <v>0.015</v>
      </c>
      <c r="BQ6" t="n">
        <v>74</v>
      </c>
      <c r="BR6" t="inlineStr">
        <is>
          <t>slices to</t>
        </is>
      </c>
      <c r="BS6" t="n">
        <v>1.2</v>
      </c>
      <c r="BT6">
        <f>IF(3&lt;=$BS$13,$BS$14+(3-1)*$BS$16,"")</f>
        <v/>
      </c>
      <c r="BU6">
        <f>IF(3&gt;$BS$13,"",SUMIFS($BQ$4:$BQ$203,$BP$4:$BP$203,"&gt;="&amp;$BT$6,$BP$4:$BP$203,IF(3=$BS$13,"&lt;=","&lt;")&amp;($BT$6+$BS$16)))</f>
        <v/>
      </c>
      <c r="BV6">
        <f>""</f>
        <v/>
      </c>
      <c r="BW6">
        <f>IF(AND(3&gt;=11-$BS$17,3&lt;=9),$BS$18,0)</f>
        <v/>
      </c>
      <c r="BX6">
        <f>IFERROR(IF(AND($BZ$5&gt;=$BS$14,$BZ$5&lt;=$BS$15),10+0.5+100*($BZ$5-$BS$14)/($BS$15-$BS$14),NA()),NA())</f>
        <v/>
      </c>
      <c r="BY6">
        <f>IF(ISNA($BX$6),NA(),0)</f>
        <v/>
      </c>
      <c r="BZ6">
        <f>IFERROR(IF(LEFT(LOWER(TRIM($BS$20)),5)="every",IF(((INT($BS$11/VALUE(TRIM(MID(TRIM($BS$20),6,99))))*VALUE(TRIM(MID(TRIM($BS$20),6,99)))+VALUE(TRIM(MID(TRIM($BS$20),6,99))))+2*VALUE(TRIM(MID(TRIM($BS$20),6,99))))&lt;=$BS$12,((INT($BS$11/VALUE(TRIM(MID(TRIM($BS$20),6,99))))*VALUE(TRIM(MID(TRIM($BS$20),6,99)))+VALUE(TRIM(MID(TRIM($BS$20),6,99))))+2*VALUE(TRIM(MID(TRIM($BS$20),6,99)))),NA()),VALUE(TRIM(MID(SUBSTITUTE(SUBSTITUTE(SUBSTITUTE(TRIM($BS$20),",",";")," ",""),";",REPT(" ",99)),199,99)))),NA())</f>
        <v/>
      </c>
      <c r="CA6">
        <f>IF($BT$6="","",IFERROR(IF(ABS($BT$6)&gt;=1000000,ROUND($BT$6/1000000,MAX(0,1-INT(LOG10($BS$27/1000000))))&amp;"M",IF(ABS($BT$6)&gt;=1000,ROUND($BT$6/1000,MAX(0,1-INT(LOG10($BS$27/1000))))&amp;"k",TEXT($BT$6,"0.00"))),TEXT($BT$6,"0.00")))</f>
        <v/>
      </c>
      <c r="CB6" t="n">
        <v>0.3</v>
      </c>
      <c r="CC6" t="n">
        <v>0.375</v>
      </c>
      <c r="CD6" t="n">
        <v>358</v>
      </c>
      <c r="CE6" t="inlineStr">
        <is>
          <t>slices to</t>
        </is>
      </c>
      <c r="CF6" t="n">
        <v>30</v>
      </c>
      <c r="CG6">
        <f>IF(3&lt;=$CF$13,$CF$14+(3-1)*$CF$16,"")</f>
        <v/>
      </c>
      <c r="CH6">
        <f>IF(3&gt;$CF$13,"",SUMIFS($CD$4:$CD$203,$CC$4:$CC$203,"&gt;="&amp;$CG$6,$CC$4:$CC$203,IF(3=$CF$13,"&lt;=","&lt;")&amp;($CG$6+$CF$16)))</f>
        <v/>
      </c>
      <c r="CI6">
        <f>""</f>
        <v/>
      </c>
      <c r="CJ6">
        <f>IF(AND(3&gt;=11-$CF$17,3&lt;=9),$CF$18,0)</f>
        <v/>
      </c>
      <c r="CK6">
        <f>IFERROR(IF(AND($CM$5&gt;=$CF$14,$CM$5&lt;=$CF$15),10+0.5+100*($CM$5-$CF$14)/($CF$15-$CF$14),NA()),NA())</f>
        <v/>
      </c>
      <c r="CL6">
        <f>IF(ISNA($CK$6),NA(),0)</f>
        <v/>
      </c>
      <c r="CM6">
        <f>IFERROR(IF(LEFT(LOWER(TRIM($CF$20)),5)="every",IF(((INT($CF$11/VALUE(TRIM(MID(TRIM($CF$20),6,99))))*VALUE(TRIM(MID(TRIM($CF$20),6,99)))+VALUE(TRIM(MID(TRIM($CF$20),6,99))))+2*VALUE(TRIM(MID(TRIM($CF$20),6,99))))&lt;=$CF$12,((INT($CF$11/VALUE(TRIM(MID(TRIM($CF$20),6,99))))*VALUE(TRIM(MID(TRIM($CF$20),6,99)))+VALUE(TRIM(MID(TRIM($CF$20),6,99))))+2*VALUE(TRIM(MID(TRIM($CF$20),6,99)))),NA()),VALUE(TRIM(MID(SUBSTITUTE(SUBSTITUTE(SUBSTITUTE(TRIM($CF$20),",",";")," ",""),";",REPT(" ",99)),199,99)))),NA())</f>
        <v/>
      </c>
      <c r="CN6">
        <f>IF($CG$6="","",IFERROR(IF(ABS($CG$6)&gt;=1000000,ROUND($CG$6/1000000,MAX(0,1-INT(LOG10($CF$27/1000000))))&amp;"M",IF(ABS($CG$6)&gt;=1000,ROUND($CG$6/1000,MAX(0,1-INT(LOG10($CF$27/1000))))&amp;"k",TEXT($CG$6,"#,##0.0"))),TEXT($CG$6,"#,##0.0")))</f>
        <v/>
      </c>
      <c r="CO6" t="n">
        <v>10.8</v>
      </c>
      <c r="CP6" t="n">
        <v>11</v>
      </c>
      <c r="CQ6" t="n">
        <v>6</v>
      </c>
      <c r="CR6" t="inlineStr">
        <is>
          <t>slices to</t>
        </is>
      </c>
      <c r="CS6" t="n">
        <v>90</v>
      </c>
      <c r="CT6">
        <f>IF(3&lt;=$CS$13,$CS$14+(3-1)*$CS$16,"")</f>
        <v/>
      </c>
      <c r="CU6">
        <f>IF(3&gt;$CS$13,"",SUMIFS($CQ$4:$CQ$203,$CP$4:$CP$203,"&gt;="&amp;$CT$6,$CP$4:$CP$203,IF(3=$CS$13,"&lt;=","&lt;")&amp;($CT$6+$CS$16)))</f>
        <v/>
      </c>
      <c r="CV6">
        <f>""</f>
        <v/>
      </c>
      <c r="CW6">
        <f>IF(AND(3&gt;=11-$CS$17,3&lt;=9),$CS$18,0)</f>
        <v/>
      </c>
      <c r="CX6">
        <f>IFERROR(IF(AND($CZ$5&gt;=$CS$14,$CZ$5&lt;=$CS$15),10+0.5+100*($CZ$5-$CS$14)/($CS$15-$CS$14),NA()),NA())</f>
        <v/>
      </c>
      <c r="CY6">
        <f>IF(ISNA($CX$6),NA(),0)</f>
        <v/>
      </c>
      <c r="CZ6">
        <f>IFERROR(IF(LEFT(LOWER(TRIM($CS$20)),5)="every",IF(((INT($CS$11/VALUE(TRIM(MID(TRIM($CS$20),6,99))))*VALUE(TRIM(MID(TRIM($CS$20),6,99)))+VALUE(TRIM(MID(TRIM($CS$20),6,99))))+2*VALUE(TRIM(MID(TRIM($CS$20),6,99))))&lt;=$CS$12,((INT($CS$11/VALUE(TRIM(MID(TRIM($CS$20),6,99))))*VALUE(TRIM(MID(TRIM($CS$20),6,99)))+VALUE(TRIM(MID(TRIM($CS$20),6,99))))+2*VALUE(TRIM(MID(TRIM($CS$20),6,99)))),NA()),VALUE(TRIM(MID(SUBSTITUTE(SUBSTITUTE(SUBSTITUTE(TRIM($CS$20),",",";")," ",""),";",REPT(" ",99)),199,99)))),NA())</f>
        <v/>
      </c>
      <c r="DA6">
        <f>IF($CT$6="","",IFERROR(IF(ABS($CT$6)&gt;=1000000,ROUND($CT$6/1000000,MAX(0,1-INT(LOG10($CS$27/1000000))))&amp;"M",IF(ABS($CT$6)&gt;=1000,ROUND($CT$6/1000,MAX(0,1-INT(LOG10($CS$27/1000))))&amp;"k",TEXT($CT$6,"#,##0"))),TEXT($CT$6,"#,##0")))</f>
        <v/>
      </c>
      <c r="DB6" t="n">
        <v>10.7</v>
      </c>
      <c r="DC6" t="n">
        <v>10.875</v>
      </c>
      <c r="DD6" t="n">
        <v>7</v>
      </c>
      <c r="DE6" t="inlineStr">
        <is>
          <t>slices to</t>
        </is>
      </c>
      <c r="DF6" t="n">
        <v>80</v>
      </c>
      <c r="DG6">
        <f>IF(3&lt;=$DF$13,$DF$14+(3-1)*$DF$16,"")</f>
        <v/>
      </c>
      <c r="DH6">
        <f>IF(3&gt;$DF$13,"",SUMIFS($DD$4:$DD$203,$DC$4:$DC$203,"&gt;="&amp;$DG$6,$DC$4:$DC$203,IF(3=$DF$13,"&lt;=","&lt;")&amp;($DG$6+$DF$16)))</f>
        <v/>
      </c>
      <c r="DI6">
        <f>""</f>
        <v/>
      </c>
      <c r="DJ6">
        <f>IF(AND(3&gt;=11-$DF$17,3&lt;=9),$DF$18,0)</f>
        <v/>
      </c>
      <c r="DK6">
        <f>IFERROR(IF(AND($DM$5&gt;=$DF$14,$DM$5&lt;=$DF$15),10+0.5+100*($DM$5-$DF$14)/($DF$15-$DF$14),NA()),NA())</f>
        <v/>
      </c>
      <c r="DL6">
        <f>IF(ISNA($DK$6),NA(),0)</f>
        <v/>
      </c>
      <c r="DM6">
        <f>IFERROR(IF(LEFT(LOWER(TRIM($DF$20)),5)="every",IF(((INT($DF$11/VALUE(TRIM(MID(TRIM($DF$20),6,99))))*VALUE(TRIM(MID(TRIM($DF$20),6,99)))+VALUE(TRIM(MID(TRIM($DF$20),6,99))))+2*VALUE(TRIM(MID(TRIM($DF$20),6,99))))&lt;=$DF$12,((INT($DF$11/VALUE(TRIM(MID(TRIM($DF$20),6,99))))*VALUE(TRIM(MID(TRIM($DF$20),6,99)))+VALUE(TRIM(MID(TRIM($DF$20),6,99))))+2*VALUE(TRIM(MID(TRIM($DF$20),6,99)))),NA()),VALUE(TRIM(MID(SUBSTITUTE(SUBSTITUTE(SUBSTITUTE(TRIM($DF$20),",",";")," ",""),";",REPT(" ",99)),199,99)))),NA())</f>
        <v/>
      </c>
      <c r="DN6">
        <f>IF($DG$6="","",IFERROR(IF(ABS($DG$6)&gt;=1000000,ROUND($DG$6/1000000,MAX(0,1-INT(LOG10($DF$27/1000000))))&amp;"M",IF(ABS($DG$6)&gt;=1000,ROUND($DG$6/1000,MAX(0,1-INT(LOG10($DF$27/1000))))&amp;"k",TEXT($DG$6,"#,##0.0"))),TEXT($DG$6,"#,##0.0")))</f>
        <v/>
      </c>
      <c r="DO6" t="n">
        <v>7.55</v>
      </c>
      <c r="DP6" t="n">
        <v>7.5625</v>
      </c>
      <c r="DQ6" t="n">
        <v>7</v>
      </c>
      <c r="DR6" t="inlineStr">
        <is>
          <t>slices to</t>
        </is>
      </c>
      <c r="DS6" t="n">
        <v>12.5</v>
      </c>
      <c r="DT6">
        <f>IF(3&lt;=$DS$13,$DS$14+(3-1)*$DS$16,"")</f>
        <v/>
      </c>
      <c r="DU6">
        <f>IF(3&gt;$DS$13,"",SUMIFS($DQ$4:$DQ$203,$DP$4:$DP$203,"&gt;="&amp;$DT$6,$DP$4:$DP$203,IF(3=$DS$13,"&lt;=","&lt;")&amp;($DT$6+$DS$16)))</f>
        <v/>
      </c>
      <c r="DV6">
        <f>""</f>
        <v/>
      </c>
      <c r="DW6">
        <f>IF(AND(3&gt;=11-$DS$17,3&lt;=9),$DS$18,0)</f>
        <v/>
      </c>
      <c r="DX6">
        <f>IFERROR(IF(AND($DZ$5&gt;=$DS$14,$DZ$5&lt;=$DS$15),10+0.5+100*($DZ$5-$DS$14)/($DS$15-$DS$14),NA()),NA())</f>
        <v/>
      </c>
      <c r="DY6">
        <f>IF(ISNA($DX$6),NA(),0)</f>
        <v/>
      </c>
      <c r="DZ6">
        <f>IFERROR(IF(LEFT(LOWER(TRIM($DS$20)),5)="every",IF(((INT($DS$11/VALUE(TRIM(MID(TRIM($DS$20),6,99))))*VALUE(TRIM(MID(TRIM($DS$20),6,99)))+VALUE(TRIM(MID(TRIM($DS$20),6,99))))+2*VALUE(TRIM(MID(TRIM($DS$20),6,99))))&lt;=$DS$12,((INT($DS$11/VALUE(TRIM(MID(TRIM($DS$20),6,99))))*VALUE(TRIM(MID(TRIM($DS$20),6,99)))+VALUE(TRIM(MID(TRIM($DS$20),6,99))))+2*VALUE(TRIM(MID(TRIM($DS$20),6,99)))),NA()),VALUE(TRIM(MID(SUBSTITUTE(SUBSTITUTE(SUBSTITUTE(TRIM($DS$20),",",";")," ",""),";",REPT(" ",99)),199,99)))),NA())</f>
        <v/>
      </c>
      <c r="EA6">
        <f>IF($DT$6="","",IFERROR(IF(ABS($DT$6)&gt;=1000000,ROUND($DT$6/1000000,MAX(0,1-INT(LOG10($DS$27/1000000))))&amp;"M",IF(ABS($DT$6)&gt;=1000,ROUND($DT$6/1000,MAX(0,1-INT(LOG10($DS$27/1000))))&amp;"k",TEXT($DT$6,"#,##0.0"))),TEXT($DT$6,"#,##0.0")))</f>
        <v/>
      </c>
      <c r="EB6" t="n">
        <v>1</v>
      </c>
      <c r="EC6" t="n">
        <v>1.25</v>
      </c>
      <c r="ED6" t="n">
        <v>70</v>
      </c>
      <c r="EE6" t="inlineStr">
        <is>
          <t>slices to</t>
        </is>
      </c>
      <c r="EF6" t="n">
        <v>100</v>
      </c>
      <c r="EG6">
        <f>IF(3&lt;=$EF$13,$EF$14+(3-1)*$EF$16,"")</f>
        <v/>
      </c>
      <c r="EH6">
        <f>IF(3&gt;$EF$13,"",SUMIFS($ED$4:$ED$203,$EC$4:$EC$203,"&gt;="&amp;$EG$6,$EC$4:$EC$203,IF(3=$EF$13,"&lt;=","&lt;")&amp;($EG$6+$EF$16)))</f>
        <v/>
      </c>
      <c r="EI6">
        <f>""</f>
        <v/>
      </c>
      <c r="EJ6">
        <f>IF(AND(3&gt;=11-$EF$17,3&lt;=9),$EF$18,0)</f>
        <v/>
      </c>
      <c r="EK6">
        <f>IFERROR(IF(AND($EM$5&gt;=$EF$14,$EM$5&lt;=$EF$15),10+0.5+100*($EM$5-$EF$14)/($EF$15-$EF$14),NA()),NA())</f>
        <v/>
      </c>
      <c r="EL6">
        <f>IF(ISNA($EK$6),NA(),0)</f>
        <v/>
      </c>
      <c r="EM6">
        <f>IFERROR(IF(LEFT(LOWER(TRIM($EF$20)),5)="every",IF(((INT($EF$11/VALUE(TRIM(MID(TRIM($EF$20),6,99))))*VALUE(TRIM(MID(TRIM($EF$20),6,99)))+VALUE(TRIM(MID(TRIM($EF$20),6,99))))+2*VALUE(TRIM(MID(TRIM($EF$20),6,99))))&lt;=$EF$12,((INT($EF$11/VALUE(TRIM(MID(TRIM($EF$20),6,99))))*VALUE(TRIM(MID(TRIM($EF$20),6,99)))+VALUE(TRIM(MID(TRIM($EF$20),6,99))))+2*VALUE(TRIM(MID(TRIM($EF$20),6,99)))),NA()),VALUE(TRIM(MID(SUBSTITUTE(SUBSTITUTE(SUBSTITUTE(TRIM($EF$20),",",";")," ",""),";",REPT(" ",99)),199,99)))),NA())</f>
        <v/>
      </c>
      <c r="EN6">
        <f>IF($EG$6="","",IFERROR(IF(ABS($EG$6)&gt;=1000000,ROUND($EG$6/1000000,MAX(0,1-INT(LOG10($EF$27/1000000))))&amp;"M",IF(ABS($EG$6)&gt;=1000,ROUND($EG$6/1000,MAX(0,1-INT(LOG10($EF$27/1000))))&amp;"k",TEXT($EG$6,"#,##0"))),TEXT($EG$6,"#,##0")))</f>
        <v/>
      </c>
      <c r="EO6" t="n">
        <v>0.035</v>
      </c>
      <c r="EP6" t="n">
        <v>0.04375</v>
      </c>
      <c r="EQ6" t="n">
        <v>25</v>
      </c>
      <c r="ER6" t="inlineStr">
        <is>
          <t>slices to</t>
        </is>
      </c>
      <c r="ES6" t="n">
        <v>3.5</v>
      </c>
      <c r="ET6">
        <f>IF(3&lt;=$ES$13,$ES$14+(3-1)*$ES$16,"")</f>
        <v/>
      </c>
      <c r="EU6">
        <f>IF(3&gt;$ES$13,"",SUMIFS($EQ$4:$EQ$203,$EP$4:$EP$203,"&gt;="&amp;$ET$6,$EP$4:$EP$203,IF(3=$ES$13,"&lt;=","&lt;")&amp;($ET$6+$ES$16)))</f>
        <v/>
      </c>
      <c r="EV6">
        <f>""</f>
        <v/>
      </c>
      <c r="EW6">
        <f>IF(AND(3&gt;=11-$ES$17,3&lt;=9),$ES$18,0)</f>
        <v/>
      </c>
      <c r="EX6">
        <f>IFERROR(IF(AND($EZ$5&gt;=$ES$14,$EZ$5&lt;=$ES$15),10+0.5+100*($EZ$5-$ES$14)/($ES$15-$ES$14),NA()),NA())</f>
        <v/>
      </c>
      <c r="EY6">
        <f>IF(ISNA($EX$6),NA(),0)</f>
        <v/>
      </c>
      <c r="EZ6">
        <f>IFERROR(IF(LEFT(LOWER(TRIM($ES$20)),5)="every",IF(((INT($ES$11/VALUE(TRIM(MID(TRIM($ES$20),6,99))))*VALUE(TRIM(MID(TRIM($ES$20),6,99)))+VALUE(TRIM(MID(TRIM($ES$20),6,99))))+2*VALUE(TRIM(MID(TRIM($ES$20),6,99))))&lt;=$ES$12,((INT($ES$11/VALUE(TRIM(MID(TRIM($ES$20),6,99))))*VALUE(TRIM(MID(TRIM($ES$20),6,99)))+VALUE(TRIM(MID(TRIM($ES$20),6,99))))+2*VALUE(TRIM(MID(TRIM($ES$20),6,99)))),NA()),VALUE(TRIM(MID(SUBSTITUTE(SUBSTITUTE(SUBSTITUTE(TRIM($ES$20),",",";")," ",""),";",REPT(" ",99)),199,99)))),NA())</f>
        <v/>
      </c>
      <c r="FA6">
        <f>IF($ET$6="","",IFERROR(IF(ABS($ET$6)&gt;=1000000,ROUND($ET$6/1000000,MAX(0,1-INT(LOG10($ES$27/1000000))))&amp;"M",IF(ABS($ET$6)&gt;=1000,ROUND($ET$6/1000,MAX(0,1-INT(LOG10($ES$27/1000))))&amp;"k",TEXT($ET$6,"0.00"))),TEXT($ET$6,"0.00")))</f>
        <v/>
      </c>
    </row>
    <row r="7">
      <c r="B7" t="n">
        <v>554.5</v>
      </c>
      <c r="C7" t="n">
        <v>555.25</v>
      </c>
      <c r="D7" t="n">
        <v>1</v>
      </c>
      <c r="E7" t="inlineStr">
        <is>
          <t>loans below the slices</t>
        </is>
      </c>
      <c r="F7" t="n">
        <v>26</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25</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c r="AO7" t="n">
        <v>12000</v>
      </c>
      <c r="AP7" t="n">
        <v>14000</v>
      </c>
      <c r="AQ7" t="n">
        <v>0</v>
      </c>
      <c r="AR7" t="inlineStr">
        <is>
          <t>loans below the slices</t>
        </is>
      </c>
      <c r="AS7" t="n">
        <v>0</v>
      </c>
      <c r="AT7">
        <f>IF(4&lt;=$AS$13,$AS$14+(4-1)*$AS$16,"")</f>
        <v/>
      </c>
      <c r="AU7">
        <f>IF(4&gt;$AS$13,"",SUMIFS($AQ$4:$AQ$203,$AP$4:$AP$203,"&gt;="&amp;$AT$7,$AP$4:$AP$203,IF(4=$AS$13,"&lt;=","&lt;")&amp;($AT$7+$AS$16)))</f>
        <v/>
      </c>
      <c r="AV7">
        <f>""</f>
        <v/>
      </c>
      <c r="AW7">
        <f>IF(AND(4&gt;=11-$AS$17,4&lt;=9),$AS$18,0)</f>
        <v/>
      </c>
      <c r="AX7">
        <f>IFERROR(IF(AND($AZ$5&gt;=$AS$14,$AZ$5&lt;=$AS$15),10+0.5+100*($AZ$5-$AS$14)/($AS$15-$AS$14),NA()),NA())</f>
        <v/>
      </c>
      <c r="AY7">
        <f>IF(ISNA($AX$7),NA(),MAX($AW$4:$AW$123))</f>
        <v/>
      </c>
      <c r="AZ7">
        <f>IFERROR(IF(LEFT(LOWER(TRIM($AS$20)),5)="every",IF(((INT($AS$11/VALUE(TRIM(MID(TRIM($AS$20),6,99))))*VALUE(TRIM(MID(TRIM($AS$20),6,99)))+VALUE(TRIM(MID(TRIM($AS$20),6,99))))+3*VALUE(TRIM(MID(TRIM($AS$20),6,99))))&lt;=$AS$12,((INT($AS$11/VALUE(TRIM(MID(TRIM($AS$20),6,99))))*VALUE(TRIM(MID(TRIM($AS$20),6,99)))+VALUE(TRIM(MID(TRIM($AS$20),6,99))))+3*VALUE(TRIM(MID(TRIM($AS$20),6,99)))),NA()),VALUE(TRIM(MID(SUBSTITUTE(SUBSTITUTE(SUBSTITUTE(TRIM($AS$20),",",";")," ",""),";",REPT(" ",99)),298,99)))),NA())</f>
        <v/>
      </c>
      <c r="BA7">
        <f>IF($AT$7="","",IFERROR(IF(ABS($AT$7)&gt;=1000000,ROUND($AT$7/1000000,MAX(0,1-INT(LOG10($AS$27/1000000))))&amp;"M",IF(ABS($AT$7)&gt;=1000,ROUND($AT$7/1000,MAX(0,1-INT(LOG10($AS$27/1000))))&amp;"k",TEXT($AT$7,"#,##0"))),TEXT($AT$7,"#,##0")))</f>
        <v/>
      </c>
      <c r="BB7" t="n">
        <v>21000</v>
      </c>
      <c r="BC7" t="n">
        <v>24500</v>
      </c>
      <c r="BD7" t="n">
        <v>323</v>
      </c>
      <c r="BE7" t="inlineStr">
        <is>
          <t>loans below the slices</t>
        </is>
      </c>
      <c r="BF7" t="n">
        <v>0</v>
      </c>
      <c r="BG7">
        <f>IF(4&lt;=$BF$13,$BF$14+(4-1)*$BF$16,"")</f>
        <v/>
      </c>
      <c r="BH7">
        <f>IF(4&gt;$BF$13,"",SUMIFS($BD$4:$BD$203,$BC$4:$BC$203,"&gt;="&amp;$BG$7,$BC$4:$BC$203,IF(4=$BF$13,"&lt;=","&lt;")&amp;($BG$7+$BF$16)))</f>
        <v/>
      </c>
      <c r="BI7">
        <f>""</f>
        <v/>
      </c>
      <c r="BJ7">
        <f>IF(AND(4&gt;=11-$BF$17,4&lt;=9),$BF$18,0)</f>
        <v/>
      </c>
      <c r="BK7">
        <f>IFERROR(IF(AND($BM$5&gt;=$BF$14,$BM$5&lt;=$BF$15),10+0.5+100*($BM$5-$BF$14)/($BF$15-$BF$14),NA()),NA())</f>
        <v/>
      </c>
      <c r="BL7">
        <f>IF(ISNA($BK$7),NA(),MAX($BJ$4:$BJ$123))</f>
        <v/>
      </c>
      <c r="BM7">
        <f>IFERROR(IF(LEFT(LOWER(TRIM($BF$20)),5)="every",IF(((INT($BF$11/VALUE(TRIM(MID(TRIM($BF$20),6,99))))*VALUE(TRIM(MID(TRIM($BF$20),6,99)))+VALUE(TRIM(MID(TRIM($BF$20),6,99))))+3*VALUE(TRIM(MID(TRIM($BF$20),6,99))))&lt;=$BF$12,((INT($BF$11/VALUE(TRIM(MID(TRIM($BF$20),6,99))))*VALUE(TRIM(MID(TRIM($BF$20),6,99)))+VALUE(TRIM(MID(TRIM($BF$20),6,99))))+3*VALUE(TRIM(MID(TRIM($BF$20),6,99)))),NA()),VALUE(TRIM(MID(SUBSTITUTE(SUBSTITUTE(SUBSTITUTE(TRIM($BF$20),",",";")," ",""),";",REPT(" ",99)),298,99)))),NA())</f>
        <v/>
      </c>
      <c r="BN7">
        <f>IF($BG$7="","",IFERROR(IF(ABS($BG$7)&gt;=1000000,ROUND($BG$7/1000000,MAX(0,1-INT(LOG10($BF$27/1000000))))&amp;"M",IF(ABS($BG$7)&gt;=1000,ROUND($BG$7/1000,MAX(0,1-INT(LOG10($BF$27/1000))))&amp;"k",TEXT($BG$7,"#,##0"))),TEXT($BG$7,"#,##0")))</f>
        <v/>
      </c>
      <c r="BO7" t="n">
        <v>0.018</v>
      </c>
      <c r="BP7" t="n">
        <v>0.021</v>
      </c>
      <c r="BQ7" t="n">
        <v>73</v>
      </c>
      <c r="BR7" t="inlineStr">
        <is>
          <t>loans below the slices</t>
        </is>
      </c>
      <c r="BS7" t="n">
        <v>0</v>
      </c>
      <c r="BT7">
        <f>IF(4&lt;=$BS$13,$BS$14+(4-1)*$BS$16,"")</f>
        <v/>
      </c>
      <c r="BU7">
        <f>IF(4&gt;$BS$13,"",SUMIFS($BQ$4:$BQ$203,$BP$4:$BP$203,"&gt;="&amp;$BT$7,$BP$4:$BP$203,IF(4=$BS$13,"&lt;=","&lt;")&amp;($BT$7+$BS$16)))</f>
        <v/>
      </c>
      <c r="BV7">
        <f>""</f>
        <v/>
      </c>
      <c r="BW7">
        <f>IF(AND(4&gt;=11-$BS$17,4&lt;=9),$BS$18,0)</f>
        <v/>
      </c>
      <c r="BX7">
        <f>IFERROR(IF(AND($BZ$5&gt;=$BS$14,$BZ$5&lt;=$BS$15),10+0.5+100*($BZ$5-$BS$14)/($BS$15-$BS$14),NA()),NA())</f>
        <v/>
      </c>
      <c r="BY7">
        <f>IF(ISNA($BX$7),NA(),MAX($BW$4:$BW$123))</f>
        <v/>
      </c>
      <c r="BZ7">
        <f>IFERROR(IF(LEFT(LOWER(TRIM($BS$20)),5)="every",IF(((INT($BS$11/VALUE(TRIM(MID(TRIM($BS$20),6,99))))*VALUE(TRIM(MID(TRIM($BS$20),6,99)))+VALUE(TRIM(MID(TRIM($BS$20),6,99))))+3*VALUE(TRIM(MID(TRIM($BS$20),6,99))))&lt;=$BS$12,((INT($BS$11/VALUE(TRIM(MID(TRIM($BS$20),6,99))))*VALUE(TRIM(MID(TRIM($BS$20),6,99)))+VALUE(TRIM(MID(TRIM($BS$20),6,99))))+3*VALUE(TRIM(MID(TRIM($BS$20),6,99)))),NA()),VALUE(TRIM(MID(SUBSTITUTE(SUBSTITUTE(SUBSTITUTE(TRIM($BS$20),",",";")," ",""),";",REPT(" ",99)),298,99)))),NA())</f>
        <v/>
      </c>
      <c r="CA7">
        <f>IF($BT$7="","",IFERROR(IF(ABS($BT$7)&gt;=1000000,ROUND($BT$7/1000000,MAX(0,1-INT(LOG10($BS$27/1000000))))&amp;"M",IF(ABS($BT$7)&gt;=1000,ROUND($BT$7/1000,MAX(0,1-INT(LOG10($BS$27/1000))))&amp;"k",TEXT($BT$7,"0.00"))),TEXT($BT$7,"0.00")))</f>
        <v/>
      </c>
      <c r="CB7" t="n">
        <v>0.45</v>
      </c>
      <c r="CC7" t="n">
        <v>0.525</v>
      </c>
      <c r="CD7" t="n">
        <v>174</v>
      </c>
      <c r="CE7" t="inlineStr">
        <is>
          <t>loans below the slices</t>
        </is>
      </c>
      <c r="CF7" t="n">
        <v>0</v>
      </c>
      <c r="CG7">
        <f>IF(4&lt;=$CF$13,$CF$14+(4-1)*$CF$16,"")</f>
        <v/>
      </c>
      <c r="CH7">
        <f>IF(4&gt;$CF$13,"",SUMIFS($CD$4:$CD$203,$CC$4:$CC$203,"&gt;="&amp;$CG$7,$CC$4:$CC$203,IF(4=$CF$13,"&lt;=","&lt;")&amp;($CG$7+$CF$16)))</f>
        <v/>
      </c>
      <c r="CI7">
        <f>""</f>
        <v/>
      </c>
      <c r="CJ7">
        <f>IF(AND(4&gt;=11-$CF$17,4&lt;=9),$CF$18,0)</f>
        <v/>
      </c>
      <c r="CK7">
        <f>IFERROR(IF(AND($CM$5&gt;=$CF$14,$CM$5&lt;=$CF$15),10+0.5+100*($CM$5-$CF$14)/($CF$15-$CF$14),NA()),NA())</f>
        <v/>
      </c>
      <c r="CL7">
        <f>IF(ISNA($CK$7),NA(),MAX($CJ$4:$CJ$123))</f>
        <v/>
      </c>
      <c r="CM7">
        <f>IFERROR(IF(LEFT(LOWER(TRIM($CF$20)),5)="every",IF(((INT($CF$11/VALUE(TRIM(MID(TRIM($CF$20),6,99))))*VALUE(TRIM(MID(TRIM($CF$20),6,99)))+VALUE(TRIM(MID(TRIM($CF$20),6,99))))+3*VALUE(TRIM(MID(TRIM($CF$20),6,99))))&lt;=$CF$12,((INT($CF$11/VALUE(TRIM(MID(TRIM($CF$20),6,99))))*VALUE(TRIM(MID(TRIM($CF$20),6,99)))+VALUE(TRIM(MID(TRIM($CF$20),6,99))))+3*VALUE(TRIM(MID(TRIM($CF$20),6,99)))),NA()),VALUE(TRIM(MID(SUBSTITUTE(SUBSTITUTE(SUBSTITUTE(TRIM($CF$20),",",";")," ",""),";",REPT(" ",99)),298,99)))),NA())</f>
        <v/>
      </c>
      <c r="CN7">
        <f>IF($CG$7="","",IFERROR(IF(ABS($CG$7)&gt;=1000000,ROUND($CG$7/1000000,MAX(0,1-INT(LOG10($CF$27/1000000))))&amp;"M",IF(ABS($CG$7)&gt;=1000,ROUND($CG$7/1000,MAX(0,1-INT(LOG10($CF$27/1000))))&amp;"k",TEXT($CG$7,"#,##0.0"))),TEXT($CG$7,"#,##0.0")))</f>
        <v/>
      </c>
      <c r="CO7" t="n">
        <v>11.2</v>
      </c>
      <c r="CP7" t="n">
        <v>11.4</v>
      </c>
      <c r="CQ7" t="n">
        <v>9</v>
      </c>
      <c r="CR7" t="inlineStr">
        <is>
          <t>loans below the slices</t>
        </is>
      </c>
      <c r="CS7" t="n">
        <v>45</v>
      </c>
      <c r="CT7">
        <f>IF(4&lt;=$CS$13,$CS$14+(4-1)*$CS$16,"")</f>
        <v/>
      </c>
      <c r="CU7">
        <f>IF(4&gt;$CS$13,"",SUMIFS($CQ$4:$CQ$203,$CP$4:$CP$203,"&gt;="&amp;$CT$7,$CP$4:$CP$203,IF(4=$CS$13,"&lt;=","&lt;")&amp;($CT$7+$CS$16)))</f>
        <v/>
      </c>
      <c r="CV7">
        <f>""</f>
        <v/>
      </c>
      <c r="CW7">
        <f>IF(AND(4&gt;=11-$CS$17,4&lt;=9),$CS$18,0)</f>
        <v/>
      </c>
      <c r="CX7">
        <f>IFERROR(IF(AND($CZ$5&gt;=$CS$14,$CZ$5&lt;=$CS$15),10+0.5+100*($CZ$5-$CS$14)/($CS$15-$CS$14),NA()),NA())</f>
        <v/>
      </c>
      <c r="CY7">
        <f>IF(ISNA($CX$7),NA(),MAX($CW$4:$CW$123))</f>
        <v/>
      </c>
      <c r="CZ7">
        <f>IFERROR(IF(LEFT(LOWER(TRIM($CS$20)),5)="every",IF(((INT($CS$11/VALUE(TRIM(MID(TRIM($CS$20),6,99))))*VALUE(TRIM(MID(TRIM($CS$20),6,99)))+VALUE(TRIM(MID(TRIM($CS$20),6,99))))+3*VALUE(TRIM(MID(TRIM($CS$20),6,99))))&lt;=$CS$12,((INT($CS$11/VALUE(TRIM(MID(TRIM($CS$20),6,99))))*VALUE(TRIM(MID(TRIM($CS$20),6,99)))+VALUE(TRIM(MID(TRIM($CS$20),6,99))))+3*VALUE(TRIM(MID(TRIM($CS$20),6,99)))),NA()),VALUE(TRIM(MID(SUBSTITUTE(SUBSTITUTE(SUBSTITUTE(TRIM($CS$20),",",";")," ",""),";",REPT(" ",99)),298,99)))),NA())</f>
        <v/>
      </c>
      <c r="DA7">
        <f>IF($CT$7="","",IFERROR(IF(ABS($CT$7)&gt;=1000000,ROUND($CT$7/1000000,MAX(0,1-INT(LOG10($CS$27/1000000))))&amp;"M",IF(ABS($CT$7)&gt;=1000,ROUND($CT$7/1000,MAX(0,1-INT(LOG10($CS$27/1000))))&amp;"k",TEXT($CT$7,"#,##0"))),TEXT($CT$7,"#,##0")))</f>
        <v/>
      </c>
      <c r="DB7" t="n">
        <v>11.05</v>
      </c>
      <c r="DC7" t="n">
        <v>11.225</v>
      </c>
      <c r="DD7" t="n">
        <v>7</v>
      </c>
      <c r="DE7" t="inlineStr">
        <is>
          <t>loans below the slices</t>
        </is>
      </c>
      <c r="DF7" t="n">
        <v>69</v>
      </c>
      <c r="DG7">
        <f>IF(4&lt;=$DF$13,$DF$14+(4-1)*$DF$16,"")</f>
        <v/>
      </c>
      <c r="DH7">
        <f>IF(4&gt;$DF$13,"",SUMIFS($DD$4:$DD$203,$DC$4:$DC$203,"&gt;="&amp;$DG$7,$DC$4:$DC$203,IF(4=$DF$13,"&lt;=","&lt;")&amp;($DG$7+$DF$16)))</f>
        <v/>
      </c>
      <c r="DI7">
        <f>""</f>
        <v/>
      </c>
      <c r="DJ7">
        <f>IF(AND(4&gt;=11-$DF$17,4&lt;=9),$DF$18,0)</f>
        <v/>
      </c>
      <c r="DK7">
        <f>IFERROR(IF(AND($DM$5&gt;=$DF$14,$DM$5&lt;=$DF$15),10+0.5+100*($DM$5-$DF$14)/($DF$15-$DF$14),NA()),NA())</f>
        <v/>
      </c>
      <c r="DL7">
        <f>IF(ISNA($DK$7),NA(),MAX($DJ$4:$DJ$123))</f>
        <v/>
      </c>
      <c r="DM7">
        <f>IFERROR(IF(LEFT(LOWER(TRIM($DF$20)),5)="every",IF(((INT($DF$11/VALUE(TRIM(MID(TRIM($DF$20),6,99))))*VALUE(TRIM(MID(TRIM($DF$20),6,99)))+VALUE(TRIM(MID(TRIM($DF$20),6,99))))+3*VALUE(TRIM(MID(TRIM($DF$20),6,99))))&lt;=$DF$12,((INT($DF$11/VALUE(TRIM(MID(TRIM($DF$20),6,99))))*VALUE(TRIM(MID(TRIM($DF$20),6,99)))+VALUE(TRIM(MID(TRIM($DF$20),6,99))))+3*VALUE(TRIM(MID(TRIM($DF$20),6,99)))),NA()),VALUE(TRIM(MID(SUBSTITUTE(SUBSTITUTE(SUBSTITUTE(TRIM($DF$20),",",";")," ",""),";",REPT(" ",99)),298,99)))),NA())</f>
        <v/>
      </c>
      <c r="DN7">
        <f>IF($DG$7="","",IFERROR(IF(ABS($DG$7)&gt;=1000000,ROUND($DG$7/1000000,MAX(0,1-INT(LOG10($DF$27/1000000))))&amp;"M",IF(ABS($DG$7)&gt;=1000,ROUND($DG$7/1000,MAX(0,1-INT(LOG10($DF$27/1000))))&amp;"k",TEXT($DG$7,"#,##0.0"))),TEXT($DG$7,"#,##0.0")))</f>
        <v/>
      </c>
      <c r="DO7" t="n">
        <v>7.575</v>
      </c>
      <c r="DP7" t="n">
        <v>7.5875</v>
      </c>
      <c r="DQ7" t="n">
        <v>5</v>
      </c>
      <c r="DR7" t="inlineStr">
        <is>
          <t>loans below the slices</t>
        </is>
      </c>
      <c r="DS7" t="n">
        <v>73</v>
      </c>
      <c r="DT7">
        <f>IF(4&lt;=$DS$13,$DS$14+(4-1)*$DS$16,"")</f>
        <v/>
      </c>
      <c r="DU7">
        <f>IF(4&gt;$DS$13,"",SUMIFS($DQ$4:$DQ$203,$DP$4:$DP$203,"&gt;="&amp;$DT$7,$DP$4:$DP$203,IF(4=$DS$13,"&lt;=","&lt;")&amp;($DT$7+$DS$16)))</f>
        <v/>
      </c>
      <c r="DV7">
        <f>""</f>
        <v/>
      </c>
      <c r="DW7">
        <f>IF(AND(4&gt;=11-$DS$17,4&lt;=9),$DS$18,0)</f>
        <v/>
      </c>
      <c r="DX7">
        <f>IFERROR(IF(AND($DZ$5&gt;=$DS$14,$DZ$5&lt;=$DS$15),10+0.5+100*($DZ$5-$DS$14)/($DS$15-$DS$14),NA()),NA())</f>
        <v/>
      </c>
      <c r="DY7">
        <f>IF(ISNA($DX$7),NA(),MAX($DW$4:$DW$123))</f>
        <v/>
      </c>
      <c r="DZ7">
        <f>IFERROR(IF(LEFT(LOWER(TRIM($DS$20)),5)="every",IF(((INT($DS$11/VALUE(TRIM(MID(TRIM($DS$20),6,99))))*VALUE(TRIM(MID(TRIM($DS$20),6,99)))+VALUE(TRIM(MID(TRIM($DS$20),6,99))))+3*VALUE(TRIM(MID(TRIM($DS$20),6,99))))&lt;=$DS$12,((INT($DS$11/VALUE(TRIM(MID(TRIM($DS$20),6,99))))*VALUE(TRIM(MID(TRIM($DS$20),6,99)))+VALUE(TRIM(MID(TRIM($DS$20),6,99))))+3*VALUE(TRIM(MID(TRIM($DS$20),6,99)))),NA()),VALUE(TRIM(MID(SUBSTITUTE(SUBSTITUTE(SUBSTITUTE(TRIM($DS$20),",",";")," ",""),";",REPT(" ",99)),298,99)))),NA())</f>
        <v/>
      </c>
      <c r="EA7">
        <f>IF($DT$7="","",IFERROR(IF(ABS($DT$7)&gt;=1000000,ROUND($DT$7/1000000,MAX(0,1-INT(LOG10($DS$27/1000000))))&amp;"M",IF(ABS($DT$7)&gt;=1000,ROUND($DT$7/1000,MAX(0,1-INT(LOG10($DS$27/1000))))&amp;"k",TEXT($DT$7,"#,##0.0"))),TEXT($DT$7,"#,##0.0")))</f>
        <v/>
      </c>
      <c r="EB7" t="n">
        <v>1.5</v>
      </c>
      <c r="EC7" t="n">
        <v>1.75</v>
      </c>
      <c r="ED7" t="n">
        <v>64</v>
      </c>
      <c r="EE7" t="inlineStr">
        <is>
          <t>loans below the slices</t>
        </is>
      </c>
      <c r="EF7" t="n">
        <v>0</v>
      </c>
      <c r="EG7">
        <f>IF(4&lt;=$EF$13,$EF$14+(4-1)*$EF$16,"")</f>
        <v/>
      </c>
      <c r="EH7">
        <f>IF(4&gt;$EF$13,"",SUMIFS($ED$4:$ED$203,$EC$4:$EC$203,"&gt;="&amp;$EG$7,$EC$4:$EC$203,IF(4=$EF$13,"&lt;=","&lt;")&amp;($EG$7+$EF$16)))</f>
        <v/>
      </c>
      <c r="EI7">
        <f>""</f>
        <v/>
      </c>
      <c r="EJ7">
        <f>IF(AND(4&gt;=11-$EF$17,4&lt;=9),$EF$18,0)</f>
        <v/>
      </c>
      <c r="EK7">
        <f>IFERROR(IF(AND($EM$5&gt;=$EF$14,$EM$5&lt;=$EF$15),10+0.5+100*($EM$5-$EF$14)/($EF$15-$EF$14),NA()),NA())</f>
        <v/>
      </c>
      <c r="EL7">
        <f>IF(ISNA($EK$7),NA(),MAX($EJ$4:$EJ$123))</f>
        <v/>
      </c>
      <c r="EM7">
        <f>IFERROR(IF(LEFT(LOWER(TRIM($EF$20)),5)="every",IF(((INT($EF$11/VALUE(TRIM(MID(TRIM($EF$20),6,99))))*VALUE(TRIM(MID(TRIM($EF$20),6,99)))+VALUE(TRIM(MID(TRIM($EF$20),6,99))))+3*VALUE(TRIM(MID(TRIM($EF$20),6,99))))&lt;=$EF$12,((INT($EF$11/VALUE(TRIM(MID(TRIM($EF$20),6,99))))*VALUE(TRIM(MID(TRIM($EF$20),6,99)))+VALUE(TRIM(MID(TRIM($EF$20),6,99))))+3*VALUE(TRIM(MID(TRIM($EF$20),6,99)))),NA()),VALUE(TRIM(MID(SUBSTITUTE(SUBSTITUTE(SUBSTITUTE(TRIM($EF$20),",",";")," ",""),";",REPT(" ",99)),298,99)))),NA())</f>
        <v/>
      </c>
      <c r="EN7">
        <f>IF($EG$7="","",IFERROR(IF(ABS($EG$7)&gt;=1000000,ROUND($EG$7/1000000,MAX(0,1-INT(LOG10($EF$27/1000000))))&amp;"M",IF(ABS($EG$7)&gt;=1000,ROUND($EG$7/1000,MAX(0,1-INT(LOG10($EF$27/1000))))&amp;"k",TEXT($EG$7,"#,##0"))),TEXT($EG$7,"#,##0")))</f>
        <v/>
      </c>
      <c r="EO7" t="n">
        <v>0.0525</v>
      </c>
      <c r="EP7" t="n">
        <v>0.06125000000000001</v>
      </c>
      <c r="EQ7" t="n">
        <v>51</v>
      </c>
      <c r="ER7" t="inlineStr">
        <is>
          <t>loans below the slices</t>
        </is>
      </c>
      <c r="ES7" t="n">
        <v>0</v>
      </c>
      <c r="ET7">
        <f>IF(4&lt;=$ES$13,$ES$14+(4-1)*$ES$16,"")</f>
        <v/>
      </c>
      <c r="EU7">
        <f>IF(4&gt;$ES$13,"",SUMIFS($EQ$4:$EQ$203,$EP$4:$EP$203,"&gt;="&amp;$ET$7,$EP$4:$EP$203,IF(4=$ES$13,"&lt;=","&lt;")&amp;($ET$7+$ES$16)))</f>
        <v/>
      </c>
      <c r="EV7">
        <f>""</f>
        <v/>
      </c>
      <c r="EW7">
        <f>IF(AND(4&gt;=11-$ES$17,4&lt;=9),$ES$18,0)</f>
        <v/>
      </c>
      <c r="EX7">
        <f>IFERROR(IF(AND($EZ$5&gt;=$ES$14,$EZ$5&lt;=$ES$15),10+0.5+100*($EZ$5-$ES$14)/($ES$15-$ES$14),NA()),NA())</f>
        <v/>
      </c>
      <c r="EY7">
        <f>IF(ISNA($EX$7),NA(),MAX($EW$4:$EW$123))</f>
        <v/>
      </c>
      <c r="EZ7">
        <f>IFERROR(IF(LEFT(LOWER(TRIM($ES$20)),5)="every",IF(((INT($ES$11/VALUE(TRIM(MID(TRIM($ES$20),6,99))))*VALUE(TRIM(MID(TRIM($ES$20),6,99)))+VALUE(TRIM(MID(TRIM($ES$20),6,99))))+3*VALUE(TRIM(MID(TRIM($ES$20),6,99))))&lt;=$ES$12,((INT($ES$11/VALUE(TRIM(MID(TRIM($ES$20),6,99))))*VALUE(TRIM(MID(TRIM($ES$20),6,99)))+VALUE(TRIM(MID(TRIM($ES$20),6,99))))+3*VALUE(TRIM(MID(TRIM($ES$20),6,99)))),NA()),VALUE(TRIM(MID(SUBSTITUTE(SUBSTITUTE(SUBSTITUTE(TRIM($ES$20),",",";")," ",""),";",REPT(" ",99)),298,99)))),NA())</f>
        <v/>
      </c>
      <c r="FA7">
        <f>IF($ET$7="","",IFERROR(IF(ABS($ET$7)&gt;=1000000,ROUND($ET$7/1000000,MAX(0,1-INT(LOG10($ES$27/1000000))))&amp;"M",IF(ABS($ET$7)&gt;=1000,ROUND($ET$7/1000,MAX(0,1-INT(LOG10($ES$27/1000))))&amp;"k",TEXT($ET$7,"0.00"))),TEXT($ET$7,"0.00")))</f>
        <v/>
      </c>
    </row>
    <row r="8">
      <c r="B8" t="n">
        <v>556</v>
      </c>
      <c r="C8" t="n">
        <v>556.75</v>
      </c>
      <c r="D8" t="n">
        <v>5</v>
      </c>
      <c r="E8" t="inlineStr">
        <is>
          <t>loans above the slices</t>
        </is>
      </c>
      <c r="F8" t="n">
        <v>44</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22</v>
      </c>
      <c r="AE8" t="inlineStr">
        <is>
          <t>loans above the slices</t>
        </is>
      </c>
      <c r="AF8" t="n">
        <v>105</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c r="AO8" t="n">
        <v>16000</v>
      </c>
      <c r="AP8" t="n">
        <v>18000</v>
      </c>
      <c r="AQ8" t="n">
        <v>0</v>
      </c>
      <c r="AR8" t="inlineStr">
        <is>
          <t>loans above the slices</t>
        </is>
      </c>
      <c r="AS8" t="n">
        <v>113</v>
      </c>
      <c r="AT8">
        <f>IF(5&lt;=$AS$13,$AS$14+(5-1)*$AS$16,"")</f>
        <v/>
      </c>
      <c r="AU8">
        <f>IF(5&gt;$AS$13,"",SUMIFS($AQ$4:$AQ$203,$AP$4:$AP$203,"&gt;="&amp;$AT$8,$AP$4:$AP$203,IF(5=$AS$13,"&lt;=","&lt;")&amp;($AT$8+$AS$16)))</f>
        <v/>
      </c>
      <c r="AV8">
        <f>""</f>
        <v/>
      </c>
      <c r="AW8">
        <f>IF(AND(5&gt;=11-$AS$17,5&lt;=9),$AS$18,0)</f>
        <v/>
      </c>
      <c r="AX8">
        <f>IFERROR(IF(AND($AZ$6&gt;=$AS$14,$AZ$6&lt;=$AS$15),10+0.5+100*($AZ$6-$AS$14)/($AS$15-$AS$14),NA()),NA())</f>
        <v/>
      </c>
      <c r="AY8">
        <f>IF(ISNA($AX$8),NA(),0)</f>
        <v/>
      </c>
      <c r="AZ8">
        <f>IFERROR(IF(LEFT(LOWER(TRIM($AS$20)),5)="every",IF(((INT($AS$11/VALUE(TRIM(MID(TRIM($AS$20),6,99))))*VALUE(TRIM(MID(TRIM($AS$20),6,99)))+VALUE(TRIM(MID(TRIM($AS$20),6,99))))+4*VALUE(TRIM(MID(TRIM($AS$20),6,99))))&lt;=$AS$12,((INT($AS$11/VALUE(TRIM(MID(TRIM($AS$20),6,99))))*VALUE(TRIM(MID(TRIM($AS$20),6,99)))+VALUE(TRIM(MID(TRIM($AS$20),6,99))))+4*VALUE(TRIM(MID(TRIM($AS$20),6,99)))),NA()),VALUE(TRIM(MID(SUBSTITUTE(SUBSTITUTE(SUBSTITUTE(TRIM($AS$20),",",";")," ",""),";",REPT(" ",99)),397,99)))),NA())</f>
        <v/>
      </c>
      <c r="BA8">
        <f>IF($AT$8="","",IFERROR(IF(ABS($AT$8)&gt;=1000000,ROUND($AT$8/1000000,MAX(0,1-INT(LOG10($AS$27/1000000))))&amp;"M",IF(ABS($AT$8)&gt;=1000,ROUND($AT$8/1000,MAX(0,1-INT(LOG10($AS$27/1000))))&amp;"k",TEXT($AT$8,"#,##0"))),TEXT($AT$8,"#,##0")))</f>
        <v/>
      </c>
      <c r="BB8" t="n">
        <v>28000</v>
      </c>
      <c r="BC8" t="n">
        <v>31500</v>
      </c>
      <c r="BD8" t="n">
        <v>358</v>
      </c>
      <c r="BE8" t="inlineStr">
        <is>
          <t>loans above the slices</t>
        </is>
      </c>
      <c r="BF8" t="n">
        <v>67</v>
      </c>
      <c r="BG8">
        <f>IF(5&lt;=$BF$13,$BF$14+(5-1)*$BF$16,"")</f>
        <v/>
      </c>
      <c r="BH8">
        <f>IF(5&gt;$BF$13,"",SUMIFS($BD$4:$BD$203,$BC$4:$BC$203,"&gt;="&amp;$BG$8,$BC$4:$BC$203,IF(5=$BF$13,"&lt;=","&lt;")&amp;($BG$8+$BF$16)))</f>
        <v/>
      </c>
      <c r="BI8">
        <f>""</f>
        <v/>
      </c>
      <c r="BJ8">
        <f>IF(AND(5&gt;=11-$BF$17,5&lt;=9),$BF$18,0)</f>
        <v/>
      </c>
      <c r="BK8">
        <f>IFERROR(IF(AND($BM$6&gt;=$BF$14,$BM$6&lt;=$BF$15),10+0.5+100*($BM$6-$BF$14)/($BF$15-$BF$14),NA()),NA())</f>
        <v/>
      </c>
      <c r="BL8">
        <f>IF(ISNA($BK$8),NA(),0)</f>
        <v/>
      </c>
      <c r="BM8">
        <f>IFERROR(IF(LEFT(LOWER(TRIM($BF$20)),5)="every",IF(((INT($BF$11/VALUE(TRIM(MID(TRIM($BF$20),6,99))))*VALUE(TRIM(MID(TRIM($BF$20),6,99)))+VALUE(TRIM(MID(TRIM($BF$20),6,99))))+4*VALUE(TRIM(MID(TRIM($BF$20),6,99))))&lt;=$BF$12,((INT($BF$11/VALUE(TRIM(MID(TRIM($BF$20),6,99))))*VALUE(TRIM(MID(TRIM($BF$20),6,99)))+VALUE(TRIM(MID(TRIM($BF$20),6,99))))+4*VALUE(TRIM(MID(TRIM($BF$20),6,99)))),NA()),VALUE(TRIM(MID(SUBSTITUTE(SUBSTITUTE(SUBSTITUTE(TRIM($BF$20),",",";")," ",""),";",REPT(" ",99)),397,99)))),NA())</f>
        <v/>
      </c>
      <c r="BN8">
        <f>IF($BG$8="","",IFERROR(IF(ABS($BG$8)&gt;=1000000,ROUND($BG$8/1000000,MAX(0,1-INT(LOG10($BF$27/1000000))))&amp;"M",IF(ABS($BG$8)&gt;=1000,ROUND($BG$8/1000,MAX(0,1-INT(LOG10($BF$27/1000))))&amp;"k",TEXT($BG$8,"#,##0"))),TEXT($BG$8,"#,##0")))</f>
        <v/>
      </c>
      <c r="BO8" t="n">
        <v>0.024</v>
      </c>
      <c r="BP8" t="n">
        <v>0.027</v>
      </c>
      <c r="BQ8" t="n">
        <v>57</v>
      </c>
      <c r="BR8" t="inlineStr">
        <is>
          <t>loans above the slices</t>
        </is>
      </c>
      <c r="BS8" t="n">
        <v>0</v>
      </c>
      <c r="BT8">
        <f>IF(5&lt;=$BS$13,$BS$14+(5-1)*$BS$16,"")</f>
        <v/>
      </c>
      <c r="BU8">
        <f>IF(5&gt;$BS$13,"",SUMIFS($BQ$4:$BQ$203,$BP$4:$BP$203,"&gt;="&amp;$BT$8,$BP$4:$BP$203,IF(5=$BS$13,"&lt;=","&lt;")&amp;($BT$8+$BS$16)))</f>
        <v/>
      </c>
      <c r="BV8">
        <f>""</f>
        <v/>
      </c>
      <c r="BW8">
        <f>IF(AND(5&gt;=11-$BS$17,5&lt;=9),$BS$18,0)</f>
        <v/>
      </c>
      <c r="BX8">
        <f>IFERROR(IF(AND($BZ$6&gt;=$BS$14,$BZ$6&lt;=$BS$15),10+0.5+100*($BZ$6-$BS$14)/($BS$15-$BS$14),NA()),NA())</f>
        <v/>
      </c>
      <c r="BY8">
        <f>IF(ISNA($BX$8),NA(),0)</f>
        <v/>
      </c>
      <c r="BZ8">
        <f>IFERROR(IF(LEFT(LOWER(TRIM($BS$20)),5)="every",IF(((INT($BS$11/VALUE(TRIM(MID(TRIM($BS$20),6,99))))*VALUE(TRIM(MID(TRIM($BS$20),6,99)))+VALUE(TRIM(MID(TRIM($BS$20),6,99))))+4*VALUE(TRIM(MID(TRIM($BS$20),6,99))))&lt;=$BS$12,((INT($BS$11/VALUE(TRIM(MID(TRIM($BS$20),6,99))))*VALUE(TRIM(MID(TRIM($BS$20),6,99)))+VALUE(TRIM(MID(TRIM($BS$20),6,99))))+4*VALUE(TRIM(MID(TRIM($BS$20),6,99)))),NA()),VALUE(TRIM(MID(SUBSTITUTE(SUBSTITUTE(SUBSTITUTE(TRIM($BS$20),",",";")," ",""),";",REPT(" ",99)),397,99)))),NA())</f>
        <v/>
      </c>
      <c r="CA8">
        <f>IF($BT$8="","",IFERROR(IF(ABS($BT$8)&gt;=1000000,ROUND($BT$8/1000000,MAX(0,1-INT(LOG10($BS$27/1000000))))&amp;"M",IF(ABS($BT$8)&gt;=1000,ROUND($BT$8/1000,MAX(0,1-INT(LOG10($BS$27/1000))))&amp;"k",TEXT($BT$8,"0.00"))),TEXT($BT$8,"0.00")))</f>
        <v/>
      </c>
      <c r="CB8" t="n">
        <v>0.6</v>
      </c>
      <c r="CC8" t="n">
        <v>0.6749999999999999</v>
      </c>
      <c r="CD8" t="n">
        <v>357</v>
      </c>
      <c r="CE8" t="inlineStr">
        <is>
          <t>loans above the slices</t>
        </is>
      </c>
      <c r="CF8" t="n">
        <v>82</v>
      </c>
      <c r="CG8">
        <f>IF(5&lt;=$CF$13,$CF$14+(5-1)*$CF$16,"")</f>
        <v/>
      </c>
      <c r="CH8">
        <f>IF(5&gt;$CF$13,"",SUMIFS($CD$4:$CD$203,$CC$4:$CC$203,"&gt;="&amp;$CG$8,$CC$4:$CC$203,IF(5=$CF$13,"&lt;=","&lt;")&amp;($CG$8+$CF$16)))</f>
        <v/>
      </c>
      <c r="CI8">
        <f>""</f>
        <v/>
      </c>
      <c r="CJ8">
        <f>IF(AND(5&gt;=11-$CF$17,5&lt;=9),$CF$18,0)</f>
        <v/>
      </c>
      <c r="CK8">
        <f>IFERROR(IF(AND($CM$6&gt;=$CF$14,$CM$6&lt;=$CF$15),10+0.5+100*($CM$6-$CF$14)/($CF$15-$CF$14),NA()),NA())</f>
        <v/>
      </c>
      <c r="CL8">
        <f>IF(ISNA($CK$8),NA(),0)</f>
        <v/>
      </c>
      <c r="CM8">
        <f>IFERROR(IF(LEFT(LOWER(TRIM($CF$20)),5)="every",IF(((INT($CF$11/VALUE(TRIM(MID(TRIM($CF$20),6,99))))*VALUE(TRIM(MID(TRIM($CF$20),6,99)))+VALUE(TRIM(MID(TRIM($CF$20),6,99))))+4*VALUE(TRIM(MID(TRIM($CF$20),6,99))))&lt;=$CF$12,((INT($CF$11/VALUE(TRIM(MID(TRIM($CF$20),6,99))))*VALUE(TRIM(MID(TRIM($CF$20),6,99)))+VALUE(TRIM(MID(TRIM($CF$20),6,99))))+4*VALUE(TRIM(MID(TRIM($CF$20),6,99)))),NA()),VALUE(TRIM(MID(SUBSTITUTE(SUBSTITUTE(SUBSTITUTE(TRIM($CF$20),",",";")," ",""),";",REPT(" ",99)),397,99)))),NA())</f>
        <v/>
      </c>
      <c r="CN8">
        <f>IF($CG$8="","",IFERROR(IF(ABS($CG$8)&gt;=1000000,ROUND($CG$8/1000000,MAX(0,1-INT(LOG10($CF$27/1000000))))&amp;"M",IF(ABS($CG$8)&gt;=1000,ROUND($CG$8/1000,MAX(0,1-INT(LOG10($CF$27/1000))))&amp;"k",TEXT($CG$8,"#,##0.0"))),TEXT($CG$8,"#,##0.0")))</f>
        <v/>
      </c>
      <c r="CO8" t="n">
        <v>11.6</v>
      </c>
      <c r="CP8" t="n">
        <v>11.8</v>
      </c>
      <c r="CQ8" t="n">
        <v>10</v>
      </c>
      <c r="CR8" t="inlineStr">
        <is>
          <t>loans above the slices</t>
        </is>
      </c>
      <c r="CS8" t="n">
        <v>45</v>
      </c>
      <c r="CT8">
        <f>IF(5&lt;=$CS$13,$CS$14+(5-1)*$CS$16,"")</f>
        <v/>
      </c>
      <c r="CU8">
        <f>IF(5&gt;$CS$13,"",SUMIFS($CQ$4:$CQ$203,$CP$4:$CP$203,"&gt;="&amp;$CT$8,$CP$4:$CP$203,IF(5=$CS$13,"&lt;=","&lt;")&amp;($CT$8+$CS$16)))</f>
        <v/>
      </c>
      <c r="CV8">
        <f>""</f>
        <v/>
      </c>
      <c r="CW8">
        <f>IF(AND(5&gt;=11-$CS$17,5&lt;=9),$CS$18,0)</f>
        <v/>
      </c>
      <c r="CX8">
        <f>IFERROR(IF(AND($CZ$6&gt;=$CS$14,$CZ$6&lt;=$CS$15),10+0.5+100*($CZ$6-$CS$14)/($CS$15-$CS$14),NA()),NA())</f>
        <v/>
      </c>
      <c r="CY8">
        <f>IF(ISNA($CX$8),NA(),0)</f>
        <v/>
      </c>
      <c r="CZ8">
        <f>IFERROR(IF(LEFT(LOWER(TRIM($CS$20)),5)="every",IF(((INT($CS$11/VALUE(TRIM(MID(TRIM($CS$20),6,99))))*VALUE(TRIM(MID(TRIM($CS$20),6,99)))+VALUE(TRIM(MID(TRIM($CS$20),6,99))))+4*VALUE(TRIM(MID(TRIM($CS$20),6,99))))&lt;=$CS$12,((INT($CS$11/VALUE(TRIM(MID(TRIM($CS$20),6,99))))*VALUE(TRIM(MID(TRIM($CS$20),6,99)))+VALUE(TRIM(MID(TRIM($CS$20),6,99))))+4*VALUE(TRIM(MID(TRIM($CS$20),6,99)))),NA()),VALUE(TRIM(MID(SUBSTITUTE(SUBSTITUTE(SUBSTITUTE(TRIM($CS$20),",",";")," ",""),";",REPT(" ",99)),397,99)))),NA())</f>
        <v/>
      </c>
      <c r="DA8">
        <f>IF($CT$8="","",IFERROR(IF(ABS($CT$8)&gt;=1000000,ROUND($CT$8/1000000,MAX(0,1-INT(LOG10($CS$27/1000000))))&amp;"M",IF(ABS($CT$8)&gt;=1000,ROUND($CT$8/1000,MAX(0,1-INT(LOG10($CS$27/1000))))&amp;"k",TEXT($CT$8,"#,##0"))),TEXT($CT$8,"#,##0")))</f>
        <v/>
      </c>
      <c r="DB8" t="n">
        <v>11.4</v>
      </c>
      <c r="DC8" t="n">
        <v>11.575</v>
      </c>
      <c r="DD8" t="n">
        <v>7</v>
      </c>
      <c r="DE8" t="inlineStr">
        <is>
          <t>loans above the slices</t>
        </is>
      </c>
      <c r="DF8" t="n">
        <v>63</v>
      </c>
      <c r="DG8">
        <f>IF(5&lt;=$DF$13,$DF$14+(5-1)*$DF$16,"")</f>
        <v/>
      </c>
      <c r="DH8">
        <f>IF(5&gt;$DF$13,"",SUMIFS($DD$4:$DD$203,$DC$4:$DC$203,"&gt;="&amp;$DG$8,$DC$4:$DC$203,IF(5=$DF$13,"&lt;=","&lt;")&amp;($DG$8+$DF$16)))</f>
        <v/>
      </c>
      <c r="DI8">
        <f>""</f>
        <v/>
      </c>
      <c r="DJ8">
        <f>IF(AND(5&gt;=11-$DF$17,5&lt;=9),$DF$18,0)</f>
        <v/>
      </c>
      <c r="DK8">
        <f>IFERROR(IF(AND($DM$6&gt;=$DF$14,$DM$6&lt;=$DF$15),10+0.5+100*($DM$6-$DF$14)/($DF$15-$DF$14),NA()),NA())</f>
        <v/>
      </c>
      <c r="DL8">
        <f>IF(ISNA($DK$8),NA(),0)</f>
        <v/>
      </c>
      <c r="DM8">
        <f>IFERROR(IF(LEFT(LOWER(TRIM($DF$20)),5)="every",IF(((INT($DF$11/VALUE(TRIM(MID(TRIM($DF$20),6,99))))*VALUE(TRIM(MID(TRIM($DF$20),6,99)))+VALUE(TRIM(MID(TRIM($DF$20),6,99))))+4*VALUE(TRIM(MID(TRIM($DF$20),6,99))))&lt;=$DF$12,((INT($DF$11/VALUE(TRIM(MID(TRIM($DF$20),6,99))))*VALUE(TRIM(MID(TRIM($DF$20),6,99)))+VALUE(TRIM(MID(TRIM($DF$20),6,99))))+4*VALUE(TRIM(MID(TRIM($DF$20),6,99)))),NA()),VALUE(TRIM(MID(SUBSTITUTE(SUBSTITUTE(SUBSTITUTE(TRIM($DF$20),",",";")," ",""),";",REPT(" ",99)),397,99)))),NA())</f>
        <v/>
      </c>
      <c r="DN8">
        <f>IF($DG$8="","",IFERROR(IF(ABS($DG$8)&gt;=1000000,ROUND($DG$8/1000000,MAX(0,1-INT(LOG10($DF$27/1000000))))&amp;"M",IF(ABS($DG$8)&gt;=1000,ROUND($DG$8/1000,MAX(0,1-INT(LOG10($DF$27/1000))))&amp;"k",TEXT($DG$8,"#,##0.0"))),TEXT($DG$8,"#,##0.0")))</f>
        <v/>
      </c>
      <c r="DO8" t="n">
        <v>7.6</v>
      </c>
      <c r="DP8" t="n">
        <v>7.6125</v>
      </c>
      <c r="DQ8" t="n">
        <v>2</v>
      </c>
      <c r="DR8" t="inlineStr">
        <is>
          <t>loans above the slices</t>
        </is>
      </c>
      <c r="DS8" t="n">
        <v>77</v>
      </c>
      <c r="DT8">
        <f>IF(5&lt;=$DS$13,$DS$14+(5-1)*$DS$16,"")</f>
        <v/>
      </c>
      <c r="DU8">
        <f>IF(5&gt;$DS$13,"",SUMIFS($DQ$4:$DQ$203,$DP$4:$DP$203,"&gt;="&amp;$DT$8,$DP$4:$DP$203,IF(5=$DS$13,"&lt;=","&lt;")&amp;($DT$8+$DS$16)))</f>
        <v/>
      </c>
      <c r="DV8">
        <f>""</f>
        <v/>
      </c>
      <c r="DW8">
        <f>IF(AND(5&gt;=11-$DS$17,5&lt;=9),$DS$18,0)</f>
        <v/>
      </c>
      <c r="DX8">
        <f>IFERROR(IF(AND($DZ$6&gt;=$DS$14,$DZ$6&lt;=$DS$15),10+0.5+100*($DZ$6-$DS$14)/($DS$15-$DS$14),NA()),NA())</f>
        <v/>
      </c>
      <c r="DY8">
        <f>IF(ISNA($DX$8),NA(),0)</f>
        <v/>
      </c>
      <c r="DZ8">
        <f>IFERROR(IF(LEFT(LOWER(TRIM($DS$20)),5)="every",IF(((INT($DS$11/VALUE(TRIM(MID(TRIM($DS$20),6,99))))*VALUE(TRIM(MID(TRIM($DS$20),6,99)))+VALUE(TRIM(MID(TRIM($DS$20),6,99))))+4*VALUE(TRIM(MID(TRIM($DS$20),6,99))))&lt;=$DS$12,((INT($DS$11/VALUE(TRIM(MID(TRIM($DS$20),6,99))))*VALUE(TRIM(MID(TRIM($DS$20),6,99)))+VALUE(TRIM(MID(TRIM($DS$20),6,99))))+4*VALUE(TRIM(MID(TRIM($DS$20),6,99)))),NA()),VALUE(TRIM(MID(SUBSTITUTE(SUBSTITUTE(SUBSTITUTE(TRIM($DS$20),",",";")," ",""),";",REPT(" ",99)),397,99)))),NA())</f>
        <v/>
      </c>
      <c r="EA8">
        <f>IF($DT$8="","",IFERROR(IF(ABS($DT$8)&gt;=1000000,ROUND($DT$8/1000000,MAX(0,1-INT(LOG10($DS$27/1000000))))&amp;"M",IF(ABS($DT$8)&gt;=1000,ROUND($DT$8/1000,MAX(0,1-INT(LOG10($DS$27/1000))))&amp;"k",TEXT($DT$8,"#,##0.0"))),TEXT($DT$8,"#,##0.0")))</f>
        <v/>
      </c>
      <c r="EB8" t="n">
        <v>2</v>
      </c>
      <c r="EC8" t="n">
        <v>2.25</v>
      </c>
      <c r="ED8" t="n">
        <v>71</v>
      </c>
      <c r="EE8" t="inlineStr">
        <is>
          <t>loans above the slices</t>
        </is>
      </c>
      <c r="EF8" t="n">
        <v>0</v>
      </c>
      <c r="EG8">
        <f>IF(5&lt;=$EF$13,$EF$14+(5-1)*$EF$16,"")</f>
        <v/>
      </c>
      <c r="EH8">
        <f>IF(5&gt;$EF$13,"",SUMIFS($ED$4:$ED$203,$EC$4:$EC$203,"&gt;="&amp;$EG$8,$EC$4:$EC$203,IF(5=$EF$13,"&lt;=","&lt;")&amp;($EG$8+$EF$16)))</f>
        <v/>
      </c>
      <c r="EI8">
        <f>""</f>
        <v/>
      </c>
      <c r="EJ8">
        <f>IF(AND(5&gt;=11-$EF$17,5&lt;=9),$EF$18,0)</f>
        <v/>
      </c>
      <c r="EK8">
        <f>IFERROR(IF(AND($EM$6&gt;=$EF$14,$EM$6&lt;=$EF$15),10+0.5+100*($EM$6-$EF$14)/($EF$15-$EF$14),NA()),NA())</f>
        <v/>
      </c>
      <c r="EL8">
        <f>IF(ISNA($EK$8),NA(),0)</f>
        <v/>
      </c>
      <c r="EM8">
        <f>IFERROR(IF(LEFT(LOWER(TRIM($EF$20)),5)="every",IF(((INT($EF$11/VALUE(TRIM(MID(TRIM($EF$20),6,99))))*VALUE(TRIM(MID(TRIM($EF$20),6,99)))+VALUE(TRIM(MID(TRIM($EF$20),6,99))))+4*VALUE(TRIM(MID(TRIM($EF$20),6,99))))&lt;=$EF$12,((INT($EF$11/VALUE(TRIM(MID(TRIM($EF$20),6,99))))*VALUE(TRIM(MID(TRIM($EF$20),6,99)))+VALUE(TRIM(MID(TRIM($EF$20),6,99))))+4*VALUE(TRIM(MID(TRIM($EF$20),6,99)))),NA()),VALUE(TRIM(MID(SUBSTITUTE(SUBSTITUTE(SUBSTITUTE(TRIM($EF$20),",",";")," ",""),";",REPT(" ",99)),397,99)))),NA())</f>
        <v/>
      </c>
      <c r="EN8">
        <f>IF($EG$8="","",IFERROR(IF(ABS($EG$8)&gt;=1000000,ROUND($EG$8/1000000,MAX(0,1-INT(LOG10($EF$27/1000000))))&amp;"M",IF(ABS($EG$8)&gt;=1000,ROUND($EG$8/1000,MAX(0,1-INT(LOG10($EF$27/1000))))&amp;"k",TEXT($EG$8,"#,##0"))),TEXT($EG$8,"#,##0")))</f>
        <v/>
      </c>
      <c r="EO8" t="n">
        <v>0.07000000000000001</v>
      </c>
      <c r="EP8" t="n">
        <v>0.07875000000000001</v>
      </c>
      <c r="EQ8" t="n">
        <v>102</v>
      </c>
      <c r="ER8" t="inlineStr">
        <is>
          <t>loans above the slices</t>
        </is>
      </c>
      <c r="ES8" t="n">
        <v>108</v>
      </c>
      <c r="ET8">
        <f>IF(5&lt;=$ES$13,$ES$14+(5-1)*$ES$16,"")</f>
        <v/>
      </c>
      <c r="EU8">
        <f>IF(5&gt;$ES$13,"",SUMIFS($EQ$4:$EQ$203,$EP$4:$EP$203,"&gt;="&amp;$ET$8,$EP$4:$EP$203,IF(5=$ES$13,"&lt;=","&lt;")&amp;($ET$8+$ES$16)))</f>
        <v/>
      </c>
      <c r="EV8">
        <f>""</f>
        <v/>
      </c>
      <c r="EW8">
        <f>IF(AND(5&gt;=11-$ES$17,5&lt;=9),$ES$18,0)</f>
        <v/>
      </c>
      <c r="EX8">
        <f>IFERROR(IF(AND($EZ$6&gt;=$ES$14,$EZ$6&lt;=$ES$15),10+0.5+100*($EZ$6-$ES$14)/($ES$15-$ES$14),NA()),NA())</f>
        <v/>
      </c>
      <c r="EY8">
        <f>IF(ISNA($EX$8),NA(),0)</f>
        <v/>
      </c>
      <c r="EZ8">
        <f>IFERROR(IF(LEFT(LOWER(TRIM($ES$20)),5)="every",IF(((INT($ES$11/VALUE(TRIM(MID(TRIM($ES$20),6,99))))*VALUE(TRIM(MID(TRIM($ES$20),6,99)))+VALUE(TRIM(MID(TRIM($ES$20),6,99))))+4*VALUE(TRIM(MID(TRIM($ES$20),6,99))))&lt;=$ES$12,((INT($ES$11/VALUE(TRIM(MID(TRIM($ES$20),6,99))))*VALUE(TRIM(MID(TRIM($ES$20),6,99)))+VALUE(TRIM(MID(TRIM($ES$20),6,99))))+4*VALUE(TRIM(MID(TRIM($ES$20),6,99)))),NA()),VALUE(TRIM(MID(SUBSTITUTE(SUBSTITUTE(SUBSTITUTE(TRIM($ES$20),",",";")," ",""),";",REPT(" ",99)),397,99)))),NA())</f>
        <v/>
      </c>
      <c r="FA8">
        <f>IF($ET$8="","",IFERROR(IF(ABS($ET$8)&gt;=1000000,ROUND($ET$8/1000000,MAX(0,1-INT(LOG10($ES$27/1000000))))&amp;"M",IF(ABS($ET$8)&gt;=1000,ROUND($ET$8/1000,MAX(0,1-INT(LOG10($ES$27/1000))))&amp;"k",TEXT($ET$8,"0.00"))),TEXT($ET$8,"0.00")))</f>
        <v/>
      </c>
    </row>
    <row r="9">
      <c r="B9" t="n">
        <v>557.5</v>
      </c>
      <c r="C9" t="n">
        <v>558.25</v>
      </c>
      <c r="D9" t="n">
        <v>5</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17</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c r="AO9" t="n">
        <v>20000</v>
      </c>
      <c r="AP9" t="n">
        <v>22000</v>
      </c>
      <c r="AQ9" t="n">
        <v>0</v>
      </c>
      <c r="AR9" t="inlineStr">
        <is>
          <t>likely code</t>
        </is>
      </c>
      <c r="AT9">
        <f>IF(6&lt;=$AS$13,$AS$14+(6-1)*$AS$16,"")</f>
        <v/>
      </c>
      <c r="AU9">
        <f>IF(6&gt;$AS$13,"",SUMIFS($AQ$4:$AQ$203,$AP$4:$AP$203,"&gt;="&amp;$AT$9,$AP$4:$AP$203,IF(6=$AS$13,"&lt;=","&lt;")&amp;($AT$9+$AS$16)))</f>
        <v/>
      </c>
      <c r="AV9">
        <f>""</f>
        <v/>
      </c>
      <c r="AW9">
        <f>IF(AND(6&gt;=11-$AS$17,6&lt;=9),$AS$18,0)</f>
        <v/>
      </c>
      <c r="AX9">
        <f>IFERROR(IF(AND($AZ$6&gt;=$AS$14,$AZ$6&lt;=$AS$15),10+0.5+100*($AZ$6-$AS$14)/($AS$15-$AS$14),NA()),NA())</f>
        <v/>
      </c>
      <c r="AY9">
        <f>IF(ISNA($AX$9),NA(),MAX($AW$4:$AW$123))</f>
        <v/>
      </c>
      <c r="AZ9">
        <f>IFERROR(IF(LEFT(LOWER(TRIM($AS$20)),5)="every",IF(((INT($AS$11/VALUE(TRIM(MID(TRIM($AS$20),6,99))))*VALUE(TRIM(MID(TRIM($AS$20),6,99)))+VALUE(TRIM(MID(TRIM($AS$20),6,99))))+5*VALUE(TRIM(MID(TRIM($AS$20),6,99))))&lt;=$AS$12,((INT($AS$11/VALUE(TRIM(MID(TRIM($AS$20),6,99))))*VALUE(TRIM(MID(TRIM($AS$20),6,99)))+VALUE(TRIM(MID(TRIM($AS$20),6,99))))+5*VALUE(TRIM(MID(TRIM($AS$20),6,99)))),NA()),VALUE(TRIM(MID(SUBSTITUTE(SUBSTITUTE(SUBSTITUTE(TRIM($AS$20),",",";")," ",""),";",REPT(" ",99)),496,99)))),NA())</f>
        <v/>
      </c>
      <c r="BA9">
        <f>IF($AT$9="","",IFERROR(IF(ABS($AT$9)&gt;=1000000,ROUND($AT$9/1000000,MAX(0,1-INT(LOG10($AS$27/1000000))))&amp;"M",IF(ABS($AT$9)&gt;=1000,ROUND($AT$9/1000,MAX(0,1-INT(LOG10($AS$27/1000))))&amp;"k",TEXT($AT$9,"#,##0"))),TEXT($AT$9,"#,##0")))</f>
        <v/>
      </c>
      <c r="BB9" t="n">
        <v>35000</v>
      </c>
      <c r="BC9" t="n">
        <v>38500</v>
      </c>
      <c r="BD9" t="n">
        <v>414</v>
      </c>
      <c r="BE9" t="inlineStr">
        <is>
          <t>likely code</t>
        </is>
      </c>
      <c r="BG9">
        <f>IF(6&lt;=$BF$13,$BF$14+(6-1)*$BF$16,"")</f>
        <v/>
      </c>
      <c r="BH9">
        <f>IF(6&gt;$BF$13,"",SUMIFS($BD$4:$BD$203,$BC$4:$BC$203,"&gt;="&amp;$BG$9,$BC$4:$BC$203,IF(6=$BF$13,"&lt;=","&lt;")&amp;($BG$9+$BF$16)))</f>
        <v/>
      </c>
      <c r="BI9">
        <f>""</f>
        <v/>
      </c>
      <c r="BJ9">
        <f>IF(AND(6&gt;=11-$BF$17,6&lt;=9),$BF$18,0)</f>
        <v/>
      </c>
      <c r="BK9">
        <f>IFERROR(IF(AND($BM$6&gt;=$BF$14,$BM$6&lt;=$BF$15),10+0.5+100*($BM$6-$BF$14)/($BF$15-$BF$14),NA()),NA())</f>
        <v/>
      </c>
      <c r="BL9">
        <f>IF(ISNA($BK$9),NA(),MAX($BJ$4:$BJ$123))</f>
        <v/>
      </c>
      <c r="BM9">
        <f>IFERROR(IF(LEFT(LOWER(TRIM($BF$20)),5)="every",IF(((INT($BF$11/VALUE(TRIM(MID(TRIM($BF$20),6,99))))*VALUE(TRIM(MID(TRIM($BF$20),6,99)))+VALUE(TRIM(MID(TRIM($BF$20),6,99))))+5*VALUE(TRIM(MID(TRIM($BF$20),6,99))))&lt;=$BF$12,((INT($BF$11/VALUE(TRIM(MID(TRIM($BF$20),6,99))))*VALUE(TRIM(MID(TRIM($BF$20),6,99)))+VALUE(TRIM(MID(TRIM($BF$20),6,99))))+5*VALUE(TRIM(MID(TRIM($BF$20),6,99)))),NA()),VALUE(TRIM(MID(SUBSTITUTE(SUBSTITUTE(SUBSTITUTE(TRIM($BF$20),",",";")," ",""),";",REPT(" ",99)),496,99)))),NA())</f>
        <v/>
      </c>
      <c r="BN9">
        <f>IF($BG$9="","",IFERROR(IF(ABS($BG$9)&gt;=1000000,ROUND($BG$9/1000000,MAX(0,1-INT(LOG10($BF$27/1000000))))&amp;"M",IF(ABS($BG$9)&gt;=1000,ROUND($BG$9/1000,MAX(0,1-INT(LOG10($BF$27/1000))))&amp;"k",TEXT($BG$9,"#,##0"))),TEXT($BG$9,"#,##0")))</f>
        <v/>
      </c>
      <c r="BO9" t="n">
        <v>0.03</v>
      </c>
      <c r="BP9" t="n">
        <v>0.033</v>
      </c>
      <c r="BQ9" t="n">
        <v>50</v>
      </c>
      <c r="BR9" t="inlineStr">
        <is>
          <t>likely code</t>
        </is>
      </c>
      <c r="BT9">
        <f>IF(6&lt;=$BS$13,$BS$14+(6-1)*$BS$16,"")</f>
        <v/>
      </c>
      <c r="BU9">
        <f>IF(6&gt;$BS$13,"",SUMIFS($BQ$4:$BQ$203,$BP$4:$BP$203,"&gt;="&amp;$BT$9,$BP$4:$BP$203,IF(6=$BS$13,"&lt;=","&lt;")&amp;($BT$9+$BS$16)))</f>
        <v/>
      </c>
      <c r="BV9">
        <f>""</f>
        <v/>
      </c>
      <c r="BW9">
        <f>IF(AND(6&gt;=11-$BS$17,6&lt;=9),$BS$18,0)</f>
        <v/>
      </c>
      <c r="BX9">
        <f>IFERROR(IF(AND($BZ$6&gt;=$BS$14,$BZ$6&lt;=$BS$15),10+0.5+100*($BZ$6-$BS$14)/($BS$15-$BS$14),NA()),NA())</f>
        <v/>
      </c>
      <c r="BY9">
        <f>IF(ISNA($BX$9),NA(),MAX($BW$4:$BW$123))</f>
        <v/>
      </c>
      <c r="BZ9">
        <f>IFERROR(IF(LEFT(LOWER(TRIM($BS$20)),5)="every",IF(((INT($BS$11/VALUE(TRIM(MID(TRIM($BS$20),6,99))))*VALUE(TRIM(MID(TRIM($BS$20),6,99)))+VALUE(TRIM(MID(TRIM($BS$20),6,99))))+5*VALUE(TRIM(MID(TRIM($BS$20),6,99))))&lt;=$BS$12,((INT($BS$11/VALUE(TRIM(MID(TRIM($BS$20),6,99))))*VALUE(TRIM(MID(TRIM($BS$20),6,99)))+VALUE(TRIM(MID(TRIM($BS$20),6,99))))+5*VALUE(TRIM(MID(TRIM($BS$20),6,99)))),NA()),VALUE(TRIM(MID(SUBSTITUTE(SUBSTITUTE(SUBSTITUTE(TRIM($BS$20),",",";")," ",""),";",REPT(" ",99)),496,99)))),NA())</f>
        <v/>
      </c>
      <c r="CA9">
        <f>IF($BT$9="","",IFERROR(IF(ABS($BT$9)&gt;=1000000,ROUND($BT$9/1000000,MAX(0,1-INT(LOG10($BS$27/1000000))))&amp;"M",IF(ABS($BT$9)&gt;=1000,ROUND($BT$9/1000,MAX(0,1-INT(LOG10($BS$27/1000))))&amp;"k",TEXT($BT$9,"0.00"))),TEXT($BT$9,"0.00")))</f>
        <v/>
      </c>
      <c r="CB9" t="n">
        <v>0.75</v>
      </c>
      <c r="CC9" t="n">
        <v>0.825</v>
      </c>
      <c r="CD9" t="n">
        <v>183</v>
      </c>
      <c r="CE9" t="inlineStr">
        <is>
          <t>likely code</t>
        </is>
      </c>
      <c r="CG9">
        <f>IF(6&lt;=$CF$13,$CF$14+(6-1)*$CF$16,"")</f>
        <v/>
      </c>
      <c r="CH9">
        <f>IF(6&gt;$CF$13,"",SUMIFS($CD$4:$CD$203,$CC$4:$CC$203,"&gt;="&amp;$CG$9,$CC$4:$CC$203,IF(6=$CF$13,"&lt;=","&lt;")&amp;($CG$9+$CF$16)))</f>
        <v/>
      </c>
      <c r="CI9">
        <f>""</f>
        <v/>
      </c>
      <c r="CJ9">
        <f>IF(AND(6&gt;=11-$CF$17,6&lt;=9),$CF$18,0)</f>
        <v/>
      </c>
      <c r="CK9">
        <f>IFERROR(IF(AND($CM$6&gt;=$CF$14,$CM$6&lt;=$CF$15),10+0.5+100*($CM$6-$CF$14)/($CF$15-$CF$14),NA()),NA())</f>
        <v/>
      </c>
      <c r="CL9">
        <f>IF(ISNA($CK$9),NA(),MAX($CJ$4:$CJ$123))</f>
        <v/>
      </c>
      <c r="CM9">
        <f>IFERROR(IF(LEFT(LOWER(TRIM($CF$20)),5)="every",IF(((INT($CF$11/VALUE(TRIM(MID(TRIM($CF$20),6,99))))*VALUE(TRIM(MID(TRIM($CF$20),6,99)))+VALUE(TRIM(MID(TRIM($CF$20),6,99))))+5*VALUE(TRIM(MID(TRIM($CF$20),6,99))))&lt;=$CF$12,((INT($CF$11/VALUE(TRIM(MID(TRIM($CF$20),6,99))))*VALUE(TRIM(MID(TRIM($CF$20),6,99)))+VALUE(TRIM(MID(TRIM($CF$20),6,99))))+5*VALUE(TRIM(MID(TRIM($CF$20),6,99)))),NA()),VALUE(TRIM(MID(SUBSTITUTE(SUBSTITUTE(SUBSTITUTE(TRIM($CF$20),",",";")," ",""),";",REPT(" ",99)),496,99)))),NA())</f>
        <v/>
      </c>
      <c r="CN9">
        <f>IF($CG$9="","",IFERROR(IF(ABS($CG$9)&gt;=1000000,ROUND($CG$9/1000000,MAX(0,1-INT(LOG10($CF$27/1000000))))&amp;"M",IF(ABS($CG$9)&gt;=1000,ROUND($CG$9/1000,MAX(0,1-INT(LOG10($CF$27/1000))))&amp;"k",TEXT($CG$9,"#,##0.0"))),TEXT($CG$9,"#,##0.0")))</f>
        <v/>
      </c>
      <c r="CO9" t="n">
        <v>12</v>
      </c>
      <c r="CP9" t="n">
        <v>12.2</v>
      </c>
      <c r="CQ9" t="n">
        <v>5</v>
      </c>
      <c r="CR9" t="inlineStr">
        <is>
          <t>likely code</t>
        </is>
      </c>
      <c r="CT9">
        <f>IF(6&lt;=$CS$13,$CS$14+(6-1)*$CS$16,"")</f>
        <v/>
      </c>
      <c r="CU9">
        <f>IF(6&gt;$CS$13,"",SUMIFS($CQ$4:$CQ$203,$CP$4:$CP$203,"&gt;="&amp;$CT$9,$CP$4:$CP$203,IF(6=$CS$13,"&lt;=","&lt;")&amp;($CT$9+$CS$16)))</f>
        <v/>
      </c>
      <c r="CV9">
        <f>""</f>
        <v/>
      </c>
      <c r="CW9">
        <f>IF(AND(6&gt;=11-$CS$17,6&lt;=9),$CS$18,0)</f>
        <v/>
      </c>
      <c r="CX9">
        <f>IFERROR(IF(AND($CZ$6&gt;=$CS$14,$CZ$6&lt;=$CS$15),10+0.5+100*($CZ$6-$CS$14)/($CS$15-$CS$14),NA()),NA())</f>
        <v/>
      </c>
      <c r="CY9">
        <f>IF(ISNA($CX$9),NA(),MAX($CW$4:$CW$123))</f>
        <v/>
      </c>
      <c r="CZ9">
        <f>IFERROR(IF(LEFT(LOWER(TRIM($CS$20)),5)="every",IF(((INT($CS$11/VALUE(TRIM(MID(TRIM($CS$20),6,99))))*VALUE(TRIM(MID(TRIM($CS$20),6,99)))+VALUE(TRIM(MID(TRIM($CS$20),6,99))))+5*VALUE(TRIM(MID(TRIM($CS$20),6,99))))&lt;=$CS$12,((INT($CS$11/VALUE(TRIM(MID(TRIM($CS$20),6,99))))*VALUE(TRIM(MID(TRIM($CS$20),6,99)))+VALUE(TRIM(MID(TRIM($CS$20),6,99))))+5*VALUE(TRIM(MID(TRIM($CS$20),6,99)))),NA()),VALUE(TRIM(MID(SUBSTITUTE(SUBSTITUTE(SUBSTITUTE(TRIM($CS$20),",",";")," ",""),";",REPT(" ",99)),496,99)))),NA())</f>
        <v/>
      </c>
      <c r="DA9">
        <f>IF($CT$9="","",IFERROR(IF(ABS($CT$9)&gt;=1000000,ROUND($CT$9/1000000,MAX(0,1-INT(LOG10($CS$27/1000000))))&amp;"M",IF(ABS($CT$9)&gt;=1000,ROUND($CT$9/1000,MAX(0,1-INT(LOG10($CS$27/1000))))&amp;"k",TEXT($CT$9,"#,##0"))),TEXT($CT$9,"#,##0")))</f>
        <v/>
      </c>
      <c r="DB9" t="n">
        <v>11.75</v>
      </c>
      <c r="DC9" t="n">
        <v>11.925</v>
      </c>
      <c r="DD9" t="n">
        <v>11</v>
      </c>
      <c r="DE9" t="inlineStr">
        <is>
          <t>likely code</t>
        </is>
      </c>
      <c r="DG9">
        <f>IF(6&lt;=$DF$13,$DF$14+(6-1)*$DF$16,"")</f>
        <v/>
      </c>
      <c r="DH9">
        <f>IF(6&gt;$DF$13,"",SUMIFS($DD$4:$DD$203,$DC$4:$DC$203,"&gt;="&amp;$DG$9,$DC$4:$DC$203,IF(6=$DF$13,"&lt;=","&lt;")&amp;($DG$9+$DF$16)))</f>
        <v/>
      </c>
      <c r="DI9">
        <f>""</f>
        <v/>
      </c>
      <c r="DJ9">
        <f>IF(AND(6&gt;=11-$DF$17,6&lt;=9),$DF$18,0)</f>
        <v/>
      </c>
      <c r="DK9">
        <f>IFERROR(IF(AND($DM$6&gt;=$DF$14,$DM$6&lt;=$DF$15),10+0.5+100*($DM$6-$DF$14)/($DF$15-$DF$14),NA()),NA())</f>
        <v/>
      </c>
      <c r="DL9">
        <f>IF(ISNA($DK$9),NA(),MAX($DJ$4:$DJ$123))</f>
        <v/>
      </c>
      <c r="DM9">
        <f>IFERROR(IF(LEFT(LOWER(TRIM($DF$20)),5)="every",IF(((INT($DF$11/VALUE(TRIM(MID(TRIM($DF$20),6,99))))*VALUE(TRIM(MID(TRIM($DF$20),6,99)))+VALUE(TRIM(MID(TRIM($DF$20),6,99))))+5*VALUE(TRIM(MID(TRIM($DF$20),6,99))))&lt;=$DF$12,((INT($DF$11/VALUE(TRIM(MID(TRIM($DF$20),6,99))))*VALUE(TRIM(MID(TRIM($DF$20),6,99)))+VALUE(TRIM(MID(TRIM($DF$20),6,99))))+5*VALUE(TRIM(MID(TRIM($DF$20),6,99)))),NA()),VALUE(TRIM(MID(SUBSTITUTE(SUBSTITUTE(SUBSTITUTE(TRIM($DF$20),",",";")," ",""),";",REPT(" ",99)),496,99)))),NA())</f>
        <v/>
      </c>
      <c r="DN9">
        <f>IF($DG$9="","",IFERROR(IF(ABS($DG$9)&gt;=1000000,ROUND($DG$9/1000000,MAX(0,1-INT(LOG10($DF$27/1000000))))&amp;"M",IF(ABS($DG$9)&gt;=1000,ROUND($DG$9/1000,MAX(0,1-INT(LOG10($DF$27/1000))))&amp;"k",TEXT($DG$9,"#,##0.0"))),TEXT($DG$9,"#,##0.0")))</f>
        <v/>
      </c>
      <c r="DO9" t="n">
        <v>7.625</v>
      </c>
      <c r="DP9" t="n">
        <v>7.6375</v>
      </c>
      <c r="DQ9" t="n">
        <v>8</v>
      </c>
      <c r="DR9" t="inlineStr">
        <is>
          <t>likely code</t>
        </is>
      </c>
      <c r="DT9">
        <f>IF(6&lt;=$DS$13,$DS$14+(6-1)*$DS$16,"")</f>
        <v/>
      </c>
      <c r="DU9">
        <f>IF(6&gt;$DS$13,"",SUMIFS($DQ$4:$DQ$203,$DP$4:$DP$203,"&gt;="&amp;$DT$9,$DP$4:$DP$203,IF(6=$DS$13,"&lt;=","&lt;")&amp;($DT$9+$DS$16)))</f>
        <v/>
      </c>
      <c r="DV9">
        <f>""</f>
        <v/>
      </c>
      <c r="DW9">
        <f>IF(AND(6&gt;=11-$DS$17,6&lt;=9),$DS$18,0)</f>
        <v/>
      </c>
      <c r="DX9">
        <f>IFERROR(IF(AND($DZ$6&gt;=$DS$14,$DZ$6&lt;=$DS$15),10+0.5+100*($DZ$6-$DS$14)/($DS$15-$DS$14),NA()),NA())</f>
        <v/>
      </c>
      <c r="DY9">
        <f>IF(ISNA($DX$9),NA(),MAX($DW$4:$DW$123))</f>
        <v/>
      </c>
      <c r="DZ9">
        <f>IFERROR(IF(LEFT(LOWER(TRIM($DS$20)),5)="every",IF(((INT($DS$11/VALUE(TRIM(MID(TRIM($DS$20),6,99))))*VALUE(TRIM(MID(TRIM($DS$20),6,99)))+VALUE(TRIM(MID(TRIM($DS$20),6,99))))+5*VALUE(TRIM(MID(TRIM($DS$20),6,99))))&lt;=$DS$12,((INT($DS$11/VALUE(TRIM(MID(TRIM($DS$20),6,99))))*VALUE(TRIM(MID(TRIM($DS$20),6,99)))+VALUE(TRIM(MID(TRIM($DS$20),6,99))))+5*VALUE(TRIM(MID(TRIM($DS$20),6,99)))),NA()),VALUE(TRIM(MID(SUBSTITUTE(SUBSTITUTE(SUBSTITUTE(TRIM($DS$20),",",";")," ",""),";",REPT(" ",99)),496,99)))),NA())</f>
        <v/>
      </c>
      <c r="EA9">
        <f>IF($DT$9="","",IFERROR(IF(ABS($DT$9)&gt;=1000000,ROUND($DT$9/1000000,MAX(0,1-INT(LOG10($DS$27/1000000))))&amp;"M",IF(ABS($DT$9)&gt;=1000,ROUND($DT$9/1000,MAX(0,1-INT(LOG10($DS$27/1000))))&amp;"k",TEXT($DT$9,"#,##0.0"))),TEXT($DT$9,"#,##0.0")))</f>
        <v/>
      </c>
      <c r="EB9" t="n">
        <v>2.5</v>
      </c>
      <c r="EC9" t="n">
        <v>2.75</v>
      </c>
      <c r="ED9" t="n">
        <v>55</v>
      </c>
      <c r="EE9" t="inlineStr">
        <is>
          <t>likely code</t>
        </is>
      </c>
      <c r="EG9">
        <f>IF(6&lt;=$EF$13,$EF$14+(6-1)*$EF$16,"")</f>
        <v/>
      </c>
      <c r="EH9">
        <f>IF(6&gt;$EF$13,"",SUMIFS($ED$4:$ED$203,$EC$4:$EC$203,"&gt;="&amp;$EG$9,$EC$4:$EC$203,IF(6=$EF$13,"&lt;=","&lt;")&amp;($EG$9+$EF$16)))</f>
        <v/>
      </c>
      <c r="EI9">
        <f>""</f>
        <v/>
      </c>
      <c r="EJ9">
        <f>IF(AND(6&gt;=11-$EF$17,6&lt;=9),$EF$18,0)</f>
        <v/>
      </c>
      <c r="EK9">
        <f>IFERROR(IF(AND($EM$6&gt;=$EF$14,$EM$6&lt;=$EF$15),10+0.5+100*($EM$6-$EF$14)/($EF$15-$EF$14),NA()),NA())</f>
        <v/>
      </c>
      <c r="EL9">
        <f>IF(ISNA($EK$9),NA(),MAX($EJ$4:$EJ$123))</f>
        <v/>
      </c>
      <c r="EM9">
        <f>IFERROR(IF(LEFT(LOWER(TRIM($EF$20)),5)="every",IF(((INT($EF$11/VALUE(TRIM(MID(TRIM($EF$20),6,99))))*VALUE(TRIM(MID(TRIM($EF$20),6,99)))+VALUE(TRIM(MID(TRIM($EF$20),6,99))))+5*VALUE(TRIM(MID(TRIM($EF$20),6,99))))&lt;=$EF$12,((INT($EF$11/VALUE(TRIM(MID(TRIM($EF$20),6,99))))*VALUE(TRIM(MID(TRIM($EF$20),6,99)))+VALUE(TRIM(MID(TRIM($EF$20),6,99))))+5*VALUE(TRIM(MID(TRIM($EF$20),6,99)))),NA()),VALUE(TRIM(MID(SUBSTITUTE(SUBSTITUTE(SUBSTITUTE(TRIM($EF$20),",",";")," ",""),";",REPT(" ",99)),496,99)))),NA())</f>
        <v/>
      </c>
      <c r="EN9">
        <f>IF($EG$9="","",IFERROR(IF(ABS($EG$9)&gt;=1000000,ROUND($EG$9/1000000,MAX(0,1-INT(LOG10($EF$27/1000000))))&amp;"M",IF(ABS($EG$9)&gt;=1000,ROUND($EG$9/1000,MAX(0,1-INT(LOG10($EF$27/1000))))&amp;"k",TEXT($EG$9,"#,##0"))),TEXT($EG$9,"#,##0")))</f>
        <v/>
      </c>
      <c r="EO9" t="n">
        <v>0.08750000000000001</v>
      </c>
      <c r="EP9" t="n">
        <v>0.09625</v>
      </c>
      <c r="EQ9" t="n">
        <v>152</v>
      </c>
      <c r="ER9" t="inlineStr">
        <is>
          <t>likely code</t>
        </is>
      </c>
      <c r="ET9">
        <f>IF(6&lt;=$ES$13,$ES$14+(6-1)*$ES$16,"")</f>
        <v/>
      </c>
      <c r="EU9">
        <f>IF(6&gt;$ES$13,"",SUMIFS($EQ$4:$EQ$203,$EP$4:$EP$203,"&gt;="&amp;$ET$9,$EP$4:$EP$203,IF(6=$ES$13,"&lt;=","&lt;")&amp;($ET$9+$ES$16)))</f>
        <v/>
      </c>
      <c r="EV9">
        <f>""</f>
        <v/>
      </c>
      <c r="EW9">
        <f>IF(AND(6&gt;=11-$ES$17,6&lt;=9),$ES$18,0)</f>
        <v/>
      </c>
      <c r="EX9">
        <f>IFERROR(IF(AND($EZ$6&gt;=$ES$14,$EZ$6&lt;=$ES$15),10+0.5+100*($EZ$6-$ES$14)/($ES$15-$ES$14),NA()),NA())</f>
        <v/>
      </c>
      <c r="EY9">
        <f>IF(ISNA($EX$9),NA(),MAX($EW$4:$EW$123))</f>
        <v/>
      </c>
      <c r="EZ9">
        <f>IFERROR(IF(LEFT(LOWER(TRIM($ES$20)),5)="every",IF(((INT($ES$11/VALUE(TRIM(MID(TRIM($ES$20),6,99))))*VALUE(TRIM(MID(TRIM($ES$20),6,99)))+VALUE(TRIM(MID(TRIM($ES$20),6,99))))+5*VALUE(TRIM(MID(TRIM($ES$20),6,99))))&lt;=$ES$12,((INT($ES$11/VALUE(TRIM(MID(TRIM($ES$20),6,99))))*VALUE(TRIM(MID(TRIM($ES$20),6,99)))+VALUE(TRIM(MID(TRIM($ES$20),6,99))))+5*VALUE(TRIM(MID(TRIM($ES$20),6,99)))),NA()),VALUE(TRIM(MID(SUBSTITUTE(SUBSTITUTE(SUBSTITUTE(TRIM($ES$20),",",";")," ",""),";",REPT(" ",99)),496,99)))),NA())</f>
        <v/>
      </c>
      <c r="FA9">
        <f>IF($ET$9="","",IFERROR(IF(ABS($ET$9)&gt;=1000000,ROUND($ET$9/1000000,MAX(0,1-INT(LOG10($ES$27/1000000))))&amp;"M",IF(ABS($ET$9)&gt;=1000,ROUND($ET$9/1000,MAX(0,1-INT(LOG10($ES$27/1000))))&amp;"k",TEXT($ET$9,"0.00"))),TEXT($ET$9,"0.00")))</f>
        <v/>
      </c>
    </row>
    <row r="10">
      <c r="B10" t="n">
        <v>559</v>
      </c>
      <c r="C10" t="n">
        <v>559.75</v>
      </c>
      <c r="D10" t="n">
        <v>7</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20</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c r="AO10" t="n">
        <v>24000</v>
      </c>
      <c r="AP10" t="n">
        <v>26000</v>
      </c>
      <c r="AQ10" t="n">
        <v>0</v>
      </c>
      <c r="AR10" t="inlineStr">
        <is>
          <t>loans at the code</t>
        </is>
      </c>
      <c r="AS10" t="n">
        <v>0</v>
      </c>
      <c r="AT10">
        <f>IF(7&lt;=$AS$13,$AS$14+(7-1)*$AS$16,"")</f>
        <v/>
      </c>
      <c r="AU10">
        <f>IF(7&gt;$AS$13,"",SUMIFS($AQ$4:$AQ$203,$AP$4:$AP$203,"&gt;="&amp;$AT$10,$AP$4:$AP$203,IF(7=$AS$13,"&lt;=","&lt;")&amp;($AT$10+$AS$16)))</f>
        <v/>
      </c>
      <c r="AV10">
        <f>""</f>
        <v/>
      </c>
      <c r="AW10">
        <f>IF(AND(7&gt;=11-$AS$17,7&lt;=9),$AS$18,0)</f>
        <v/>
      </c>
      <c r="AX10">
        <f>IFERROR(IF(AND($AZ$7&gt;=$AS$14,$AZ$7&lt;=$AS$15),10+0.5+100*($AZ$7-$AS$14)/($AS$15-$AS$14),NA()),NA())</f>
        <v/>
      </c>
      <c r="AY10">
        <f>IF(ISNA($AX$10),NA(),0)</f>
        <v/>
      </c>
      <c r="AZ10">
        <f>IFERROR(IF(LEFT(LOWER(TRIM($AS$20)),5)="every",IF(((INT($AS$11/VALUE(TRIM(MID(TRIM($AS$20),6,99))))*VALUE(TRIM(MID(TRIM($AS$20),6,99)))+VALUE(TRIM(MID(TRIM($AS$20),6,99))))+6*VALUE(TRIM(MID(TRIM($AS$20),6,99))))&lt;=$AS$12,((INT($AS$11/VALUE(TRIM(MID(TRIM($AS$20),6,99))))*VALUE(TRIM(MID(TRIM($AS$20),6,99)))+VALUE(TRIM(MID(TRIM($AS$20),6,99))))+6*VALUE(TRIM(MID(TRIM($AS$20),6,99)))),NA()),VALUE(TRIM(MID(SUBSTITUTE(SUBSTITUTE(SUBSTITUTE(TRIM($AS$20),",",";")," ",""),";",REPT(" ",99)),595,99)))),NA())</f>
        <v/>
      </c>
      <c r="BA10">
        <f>IF($AT$10="","",IFERROR(IF(ABS($AT$10)&gt;=1000000,ROUND($AT$10/1000000,MAX(0,1-INT(LOG10($AS$27/1000000))))&amp;"M",IF(ABS($AT$10)&gt;=1000,ROUND($AT$10/1000,MAX(0,1-INT(LOG10($AS$27/1000))))&amp;"k",TEXT($AT$10,"#,##0"))),TEXT($AT$10,"#,##0")))</f>
        <v/>
      </c>
      <c r="BB10" t="n">
        <v>42000</v>
      </c>
      <c r="BC10" t="n">
        <v>45500</v>
      </c>
      <c r="BD10" t="n">
        <v>440</v>
      </c>
      <c r="BE10" t="inlineStr">
        <is>
          <t>loans at the code</t>
        </is>
      </c>
      <c r="BF10" t="n">
        <v>0</v>
      </c>
      <c r="BG10">
        <f>IF(7&lt;=$BF$13,$BF$14+(7-1)*$BF$16,"")</f>
        <v/>
      </c>
      <c r="BH10">
        <f>IF(7&gt;$BF$13,"",SUMIFS($BD$4:$BD$203,$BC$4:$BC$203,"&gt;="&amp;$BG$10,$BC$4:$BC$203,IF(7=$BF$13,"&lt;=","&lt;")&amp;($BG$10+$BF$16)))</f>
        <v/>
      </c>
      <c r="BI10">
        <f>""</f>
        <v/>
      </c>
      <c r="BJ10">
        <f>IF(AND(7&gt;=11-$BF$17,7&lt;=9),$BF$18,0)</f>
        <v/>
      </c>
      <c r="BK10">
        <f>IFERROR(IF(AND($BM$7&gt;=$BF$14,$BM$7&lt;=$BF$15),10+0.5+100*($BM$7-$BF$14)/($BF$15-$BF$14),NA()),NA())</f>
        <v/>
      </c>
      <c r="BL10">
        <f>IF(ISNA($BK$10),NA(),0)</f>
        <v/>
      </c>
      <c r="BM10">
        <f>IFERROR(IF(LEFT(LOWER(TRIM($BF$20)),5)="every",IF(((INT($BF$11/VALUE(TRIM(MID(TRIM($BF$20),6,99))))*VALUE(TRIM(MID(TRIM($BF$20),6,99)))+VALUE(TRIM(MID(TRIM($BF$20),6,99))))+6*VALUE(TRIM(MID(TRIM($BF$20),6,99))))&lt;=$BF$12,((INT($BF$11/VALUE(TRIM(MID(TRIM($BF$20),6,99))))*VALUE(TRIM(MID(TRIM($BF$20),6,99)))+VALUE(TRIM(MID(TRIM($BF$20),6,99))))+6*VALUE(TRIM(MID(TRIM($BF$20),6,99)))),NA()),VALUE(TRIM(MID(SUBSTITUTE(SUBSTITUTE(SUBSTITUTE(TRIM($BF$20),",",";")," ",""),";",REPT(" ",99)),595,99)))),NA())</f>
        <v/>
      </c>
      <c r="BN10">
        <f>IF($BG$10="","",IFERROR(IF(ABS($BG$10)&gt;=1000000,ROUND($BG$10/1000000,MAX(0,1-INT(LOG10($BF$27/1000000))))&amp;"M",IF(ABS($BG$10)&gt;=1000,ROUND($BG$10/1000,MAX(0,1-INT(LOG10($BF$27/1000))))&amp;"k",TEXT($BG$10,"#,##0"))),TEXT($BG$10,"#,##0")))</f>
        <v/>
      </c>
      <c r="BO10" t="n">
        <v>0.036</v>
      </c>
      <c r="BP10" t="n">
        <v>0.039</v>
      </c>
      <c r="BQ10" t="n">
        <v>63</v>
      </c>
      <c r="BR10" t="inlineStr">
        <is>
          <t>loans at the code</t>
        </is>
      </c>
      <c r="BS10" t="n">
        <v>0</v>
      </c>
      <c r="BT10">
        <f>IF(7&lt;=$BS$13,$BS$14+(7-1)*$BS$16,"")</f>
        <v/>
      </c>
      <c r="BU10">
        <f>IF(7&gt;$BS$13,"",SUMIFS($BQ$4:$BQ$203,$BP$4:$BP$203,"&gt;="&amp;$BT$10,$BP$4:$BP$203,IF(7=$BS$13,"&lt;=","&lt;")&amp;($BT$10+$BS$16)))</f>
        <v/>
      </c>
      <c r="BV10">
        <f>""</f>
        <v/>
      </c>
      <c r="BW10">
        <f>IF(AND(7&gt;=11-$BS$17,7&lt;=9),$BS$18,0)</f>
        <v/>
      </c>
      <c r="BX10">
        <f>IFERROR(IF(AND($BZ$7&gt;=$BS$14,$BZ$7&lt;=$BS$15),10+0.5+100*($BZ$7-$BS$14)/($BS$15-$BS$14),NA()),NA())</f>
        <v/>
      </c>
      <c r="BY10">
        <f>IF(ISNA($BX$10),NA(),0)</f>
        <v/>
      </c>
      <c r="BZ10">
        <f>IFERROR(IF(LEFT(LOWER(TRIM($BS$20)),5)="every",IF(((INT($BS$11/VALUE(TRIM(MID(TRIM($BS$20),6,99))))*VALUE(TRIM(MID(TRIM($BS$20),6,99)))+VALUE(TRIM(MID(TRIM($BS$20),6,99))))+6*VALUE(TRIM(MID(TRIM($BS$20),6,99))))&lt;=$BS$12,((INT($BS$11/VALUE(TRIM(MID(TRIM($BS$20),6,99))))*VALUE(TRIM(MID(TRIM($BS$20),6,99)))+VALUE(TRIM(MID(TRIM($BS$20),6,99))))+6*VALUE(TRIM(MID(TRIM($BS$20),6,99)))),NA()),VALUE(TRIM(MID(SUBSTITUTE(SUBSTITUTE(SUBSTITUTE(TRIM($BS$20),",",";")," ",""),";",REPT(" ",99)),595,99)))),NA())</f>
        <v/>
      </c>
      <c r="CA10">
        <f>IF($BT$10="","",IFERROR(IF(ABS($BT$10)&gt;=1000000,ROUND($BT$10/1000000,MAX(0,1-INT(LOG10($BS$27/1000000))))&amp;"M",IF(ABS($BT$10)&gt;=1000,ROUND($BT$10/1000,MAX(0,1-INT(LOG10($BS$27/1000))))&amp;"k",TEXT($BT$10,"0.00"))),TEXT($BT$10,"0.00")))</f>
        <v/>
      </c>
      <c r="CB10" t="n">
        <v>0.8999999999999999</v>
      </c>
      <c r="CC10" t="n">
        <v>0.975</v>
      </c>
      <c r="CD10" t="n">
        <v>321</v>
      </c>
      <c r="CE10" t="inlineStr">
        <is>
          <t>loans at the code</t>
        </is>
      </c>
      <c r="CF10" t="n">
        <v>0</v>
      </c>
      <c r="CG10">
        <f>IF(7&lt;=$CF$13,$CF$14+(7-1)*$CF$16,"")</f>
        <v/>
      </c>
      <c r="CH10">
        <f>IF(7&gt;$CF$13,"",SUMIFS($CD$4:$CD$203,$CC$4:$CC$203,"&gt;="&amp;$CG$10,$CC$4:$CC$203,IF(7=$CF$13,"&lt;=","&lt;")&amp;($CG$10+$CF$16)))</f>
        <v/>
      </c>
      <c r="CI10">
        <f>""</f>
        <v/>
      </c>
      <c r="CJ10">
        <f>IF(AND(7&gt;=11-$CF$17,7&lt;=9),$CF$18,0)</f>
        <v/>
      </c>
      <c r="CK10">
        <f>IFERROR(IF(AND($CM$7&gt;=$CF$14,$CM$7&lt;=$CF$15),10+0.5+100*($CM$7-$CF$14)/($CF$15-$CF$14),NA()),NA())</f>
        <v/>
      </c>
      <c r="CL10">
        <f>IF(ISNA($CK$10),NA(),0)</f>
        <v/>
      </c>
      <c r="CM10">
        <f>IFERROR(IF(LEFT(LOWER(TRIM($CF$20)),5)="every",IF(((INT($CF$11/VALUE(TRIM(MID(TRIM($CF$20),6,99))))*VALUE(TRIM(MID(TRIM($CF$20),6,99)))+VALUE(TRIM(MID(TRIM($CF$20),6,99))))+6*VALUE(TRIM(MID(TRIM($CF$20),6,99))))&lt;=$CF$12,((INT($CF$11/VALUE(TRIM(MID(TRIM($CF$20),6,99))))*VALUE(TRIM(MID(TRIM($CF$20),6,99)))+VALUE(TRIM(MID(TRIM($CF$20),6,99))))+6*VALUE(TRIM(MID(TRIM($CF$20),6,99)))),NA()),VALUE(TRIM(MID(SUBSTITUTE(SUBSTITUTE(SUBSTITUTE(TRIM($CF$20),",",";")," ",""),";",REPT(" ",99)),595,99)))),NA())</f>
        <v/>
      </c>
      <c r="CN10">
        <f>IF($CG$10="","",IFERROR(IF(ABS($CG$10)&gt;=1000000,ROUND($CG$10/1000000,MAX(0,1-INT(LOG10($CF$27/1000000))))&amp;"M",IF(ABS($CG$10)&gt;=1000,ROUND($CG$10/1000,MAX(0,1-INT(LOG10($CF$27/1000))))&amp;"k",TEXT($CG$10,"#,##0.0"))),TEXT($CG$10,"#,##0.0")))</f>
        <v/>
      </c>
      <c r="CO10" t="n">
        <v>12.4</v>
      </c>
      <c r="CP10" t="n">
        <v>12.6</v>
      </c>
      <c r="CQ10" t="n">
        <v>2</v>
      </c>
      <c r="CR10" t="inlineStr">
        <is>
          <t>loans at the code</t>
        </is>
      </c>
      <c r="CS10" t="n">
        <v>0</v>
      </c>
      <c r="CT10">
        <f>IF(7&lt;=$CS$13,$CS$14+(7-1)*$CS$16,"")</f>
        <v/>
      </c>
      <c r="CU10">
        <f>IF(7&gt;$CS$13,"",SUMIFS($CQ$4:$CQ$203,$CP$4:$CP$203,"&gt;="&amp;$CT$10,$CP$4:$CP$203,IF(7=$CS$13,"&lt;=","&lt;")&amp;($CT$10+$CS$16)))</f>
        <v/>
      </c>
      <c r="CV10">
        <f>""</f>
        <v/>
      </c>
      <c r="CW10">
        <f>IF(AND(7&gt;=11-$CS$17,7&lt;=9),$CS$18,0)</f>
        <v/>
      </c>
      <c r="CX10">
        <f>IFERROR(IF(AND($CZ$7&gt;=$CS$14,$CZ$7&lt;=$CS$15),10+0.5+100*($CZ$7-$CS$14)/($CS$15-$CS$14),NA()),NA())</f>
        <v/>
      </c>
      <c r="CY10">
        <f>IF(ISNA($CX$10),NA(),0)</f>
        <v/>
      </c>
      <c r="CZ10">
        <f>IFERROR(IF(LEFT(LOWER(TRIM($CS$20)),5)="every",IF(((INT($CS$11/VALUE(TRIM(MID(TRIM($CS$20),6,99))))*VALUE(TRIM(MID(TRIM($CS$20),6,99)))+VALUE(TRIM(MID(TRIM($CS$20),6,99))))+6*VALUE(TRIM(MID(TRIM($CS$20),6,99))))&lt;=$CS$12,((INT($CS$11/VALUE(TRIM(MID(TRIM($CS$20),6,99))))*VALUE(TRIM(MID(TRIM($CS$20),6,99)))+VALUE(TRIM(MID(TRIM($CS$20),6,99))))+6*VALUE(TRIM(MID(TRIM($CS$20),6,99)))),NA()),VALUE(TRIM(MID(SUBSTITUTE(SUBSTITUTE(SUBSTITUTE(TRIM($CS$20),",",";")," ",""),";",REPT(" ",99)),595,99)))),NA())</f>
        <v/>
      </c>
      <c r="DA10">
        <f>IF($CT$10="","",IFERROR(IF(ABS($CT$10)&gt;=1000000,ROUND($CT$10/1000000,MAX(0,1-INT(LOG10($CS$27/1000000))))&amp;"M",IF(ABS($CT$10)&gt;=1000,ROUND($CT$10/1000,MAX(0,1-INT(LOG10($CS$27/1000))))&amp;"k",TEXT($CT$10,"#,##0"))),TEXT($CT$10,"#,##0")))</f>
        <v/>
      </c>
      <c r="DB10" t="n">
        <v>12.1</v>
      </c>
      <c r="DC10" t="n">
        <v>12.275</v>
      </c>
      <c r="DD10" t="n">
        <v>10</v>
      </c>
      <c r="DE10" t="inlineStr">
        <is>
          <t>loans at the code</t>
        </is>
      </c>
      <c r="DF10" t="n">
        <v>0</v>
      </c>
      <c r="DG10">
        <f>IF(7&lt;=$DF$13,$DF$14+(7-1)*$DF$16,"")</f>
        <v/>
      </c>
      <c r="DH10">
        <f>IF(7&gt;$DF$13,"",SUMIFS($DD$4:$DD$203,$DC$4:$DC$203,"&gt;="&amp;$DG$10,$DC$4:$DC$203,IF(7=$DF$13,"&lt;=","&lt;")&amp;($DG$10+$DF$16)))</f>
        <v/>
      </c>
      <c r="DI10">
        <f>""</f>
        <v/>
      </c>
      <c r="DJ10">
        <f>IF(AND(7&gt;=11-$DF$17,7&lt;=9),$DF$18,0)</f>
        <v/>
      </c>
      <c r="DK10">
        <f>IFERROR(IF(AND($DM$7&gt;=$DF$14,$DM$7&lt;=$DF$15),10+0.5+100*($DM$7-$DF$14)/($DF$15-$DF$14),NA()),NA())</f>
        <v/>
      </c>
      <c r="DL10">
        <f>IF(ISNA($DK$10),NA(),0)</f>
        <v/>
      </c>
      <c r="DM10">
        <f>IFERROR(IF(LEFT(LOWER(TRIM($DF$20)),5)="every",IF(((INT($DF$11/VALUE(TRIM(MID(TRIM($DF$20),6,99))))*VALUE(TRIM(MID(TRIM($DF$20),6,99)))+VALUE(TRIM(MID(TRIM($DF$20),6,99))))+6*VALUE(TRIM(MID(TRIM($DF$20),6,99))))&lt;=$DF$12,((INT($DF$11/VALUE(TRIM(MID(TRIM($DF$20),6,99))))*VALUE(TRIM(MID(TRIM($DF$20),6,99)))+VALUE(TRIM(MID(TRIM($DF$20),6,99))))+6*VALUE(TRIM(MID(TRIM($DF$20),6,99)))),NA()),VALUE(TRIM(MID(SUBSTITUTE(SUBSTITUTE(SUBSTITUTE(TRIM($DF$20),",",";")," ",""),";",REPT(" ",99)),595,99)))),NA())</f>
        <v/>
      </c>
      <c r="DN10">
        <f>IF($DG$10="","",IFERROR(IF(ABS($DG$10)&gt;=1000000,ROUND($DG$10/1000000,MAX(0,1-INT(LOG10($DF$27/1000000))))&amp;"M",IF(ABS($DG$10)&gt;=1000,ROUND($DG$10/1000,MAX(0,1-INT(LOG10($DF$27/1000))))&amp;"k",TEXT($DG$10,"#,##0.0"))),TEXT($DG$10,"#,##0.0")))</f>
        <v/>
      </c>
      <c r="DO10" t="n">
        <v>7.65</v>
      </c>
      <c r="DP10" t="n">
        <v>7.6625</v>
      </c>
      <c r="DQ10" t="n">
        <v>7</v>
      </c>
      <c r="DR10" t="inlineStr">
        <is>
          <t>loans at the code</t>
        </is>
      </c>
      <c r="DS10" t="n">
        <v>0</v>
      </c>
      <c r="DT10">
        <f>IF(7&lt;=$DS$13,$DS$14+(7-1)*$DS$16,"")</f>
        <v/>
      </c>
      <c r="DU10">
        <f>IF(7&gt;$DS$13,"",SUMIFS($DQ$4:$DQ$203,$DP$4:$DP$203,"&gt;="&amp;$DT$10,$DP$4:$DP$203,IF(7=$DS$13,"&lt;=","&lt;")&amp;($DT$10+$DS$16)))</f>
        <v/>
      </c>
      <c r="DV10">
        <f>""</f>
        <v/>
      </c>
      <c r="DW10">
        <f>IF(AND(7&gt;=11-$DS$17,7&lt;=9),$DS$18,0)</f>
        <v/>
      </c>
      <c r="DX10">
        <f>IFERROR(IF(AND($DZ$7&gt;=$DS$14,$DZ$7&lt;=$DS$15),10+0.5+100*($DZ$7-$DS$14)/($DS$15-$DS$14),NA()),NA())</f>
        <v/>
      </c>
      <c r="DY10">
        <f>IF(ISNA($DX$10),NA(),0)</f>
        <v/>
      </c>
      <c r="DZ10">
        <f>IFERROR(IF(LEFT(LOWER(TRIM($DS$20)),5)="every",IF(((INT($DS$11/VALUE(TRIM(MID(TRIM($DS$20),6,99))))*VALUE(TRIM(MID(TRIM($DS$20),6,99)))+VALUE(TRIM(MID(TRIM($DS$20),6,99))))+6*VALUE(TRIM(MID(TRIM($DS$20),6,99))))&lt;=$DS$12,((INT($DS$11/VALUE(TRIM(MID(TRIM($DS$20),6,99))))*VALUE(TRIM(MID(TRIM($DS$20),6,99)))+VALUE(TRIM(MID(TRIM($DS$20),6,99))))+6*VALUE(TRIM(MID(TRIM($DS$20),6,99)))),NA()),VALUE(TRIM(MID(SUBSTITUTE(SUBSTITUTE(SUBSTITUTE(TRIM($DS$20),",",";")," ",""),";",REPT(" ",99)),595,99)))),NA())</f>
        <v/>
      </c>
      <c r="EA10">
        <f>IF($DT$10="","",IFERROR(IF(ABS($DT$10)&gt;=1000000,ROUND($DT$10/1000000,MAX(0,1-INT(LOG10($DS$27/1000000))))&amp;"M",IF(ABS($DT$10)&gt;=1000,ROUND($DT$10/1000,MAX(0,1-INT(LOG10($DS$27/1000))))&amp;"k",TEXT($DT$10,"#,##0.0"))),TEXT($DT$10,"#,##0.0")))</f>
        <v/>
      </c>
      <c r="EB10" t="n">
        <v>3</v>
      </c>
      <c r="EC10" t="n">
        <v>3.25</v>
      </c>
      <c r="ED10" t="n">
        <v>59</v>
      </c>
      <c r="EE10" t="inlineStr">
        <is>
          <t>loans at the code</t>
        </is>
      </c>
      <c r="EF10" t="n">
        <v>0</v>
      </c>
      <c r="EG10">
        <f>IF(7&lt;=$EF$13,$EF$14+(7-1)*$EF$16,"")</f>
        <v/>
      </c>
      <c r="EH10">
        <f>IF(7&gt;$EF$13,"",SUMIFS($ED$4:$ED$203,$EC$4:$EC$203,"&gt;="&amp;$EG$10,$EC$4:$EC$203,IF(7=$EF$13,"&lt;=","&lt;")&amp;($EG$10+$EF$16)))</f>
        <v/>
      </c>
      <c r="EI10">
        <f>""</f>
        <v/>
      </c>
      <c r="EJ10">
        <f>IF(AND(7&gt;=11-$EF$17,7&lt;=9),$EF$18,0)</f>
        <v/>
      </c>
      <c r="EK10">
        <f>IFERROR(IF(AND($EM$7&gt;=$EF$14,$EM$7&lt;=$EF$15),10+0.5+100*($EM$7-$EF$14)/($EF$15-$EF$14),NA()),NA())</f>
        <v/>
      </c>
      <c r="EL10">
        <f>IF(ISNA($EK$10),NA(),0)</f>
        <v/>
      </c>
      <c r="EM10">
        <f>IFERROR(IF(LEFT(LOWER(TRIM($EF$20)),5)="every",IF(((INT($EF$11/VALUE(TRIM(MID(TRIM($EF$20),6,99))))*VALUE(TRIM(MID(TRIM($EF$20),6,99)))+VALUE(TRIM(MID(TRIM($EF$20),6,99))))+6*VALUE(TRIM(MID(TRIM($EF$20),6,99))))&lt;=$EF$12,((INT($EF$11/VALUE(TRIM(MID(TRIM($EF$20),6,99))))*VALUE(TRIM(MID(TRIM($EF$20),6,99)))+VALUE(TRIM(MID(TRIM($EF$20),6,99))))+6*VALUE(TRIM(MID(TRIM($EF$20),6,99)))),NA()),VALUE(TRIM(MID(SUBSTITUTE(SUBSTITUTE(SUBSTITUTE(TRIM($EF$20),",",";")," ",""),";",REPT(" ",99)),595,99)))),NA())</f>
        <v/>
      </c>
      <c r="EN10">
        <f>IF($EG$10="","",IFERROR(IF(ABS($EG$10)&gt;=1000000,ROUND($EG$10/1000000,MAX(0,1-INT(LOG10($EF$27/1000000))))&amp;"M",IF(ABS($EG$10)&gt;=1000,ROUND($EG$10/1000,MAX(0,1-INT(LOG10($EF$27/1000))))&amp;"k",TEXT($EG$10,"#,##0"))),TEXT($EG$10,"#,##0")))</f>
        <v/>
      </c>
      <c r="EO10" t="n">
        <v>0.105</v>
      </c>
      <c r="EP10" t="n">
        <v>0.11375</v>
      </c>
      <c r="EQ10" t="n">
        <v>173</v>
      </c>
      <c r="ER10" t="inlineStr">
        <is>
          <t>loans at the code</t>
        </is>
      </c>
      <c r="ES10" t="n">
        <v>0</v>
      </c>
      <c r="ET10">
        <f>IF(7&lt;=$ES$13,$ES$14+(7-1)*$ES$16,"")</f>
        <v/>
      </c>
      <c r="EU10">
        <f>IF(7&gt;$ES$13,"",SUMIFS($EQ$4:$EQ$203,$EP$4:$EP$203,"&gt;="&amp;$ET$10,$EP$4:$EP$203,IF(7=$ES$13,"&lt;=","&lt;")&amp;($ET$10+$ES$16)))</f>
        <v/>
      </c>
      <c r="EV10">
        <f>""</f>
        <v/>
      </c>
      <c r="EW10">
        <f>IF(AND(7&gt;=11-$ES$17,7&lt;=9),$ES$18,0)</f>
        <v/>
      </c>
      <c r="EX10">
        <f>IFERROR(IF(AND($EZ$7&gt;=$ES$14,$EZ$7&lt;=$ES$15),10+0.5+100*($EZ$7-$ES$14)/($ES$15-$ES$14),NA()),NA())</f>
        <v/>
      </c>
      <c r="EY10">
        <f>IF(ISNA($EX$10),NA(),0)</f>
        <v/>
      </c>
      <c r="EZ10">
        <f>IFERROR(IF(LEFT(LOWER(TRIM($ES$20)),5)="every",IF(((INT($ES$11/VALUE(TRIM(MID(TRIM($ES$20),6,99))))*VALUE(TRIM(MID(TRIM($ES$20),6,99)))+VALUE(TRIM(MID(TRIM($ES$20),6,99))))+6*VALUE(TRIM(MID(TRIM($ES$20),6,99))))&lt;=$ES$12,((INT($ES$11/VALUE(TRIM(MID(TRIM($ES$20),6,99))))*VALUE(TRIM(MID(TRIM($ES$20),6,99)))+VALUE(TRIM(MID(TRIM($ES$20),6,99))))+6*VALUE(TRIM(MID(TRIM($ES$20),6,99)))),NA()),VALUE(TRIM(MID(SUBSTITUTE(SUBSTITUTE(SUBSTITUTE(TRIM($ES$20),",",";")," ",""),";",REPT(" ",99)),595,99)))),NA())</f>
        <v/>
      </c>
      <c r="FA10">
        <f>IF($ET$10="","",IFERROR(IF(ABS($ET$10)&gt;=1000000,ROUND($ET$10/1000000,MAX(0,1-INT(LOG10($ES$27/1000000))))&amp;"M",IF(ABS($ET$10)&gt;=1000,ROUND($ET$10/1000,MAX(0,1-INT(LOG10($ES$27/1000))))&amp;"k",TEXT($ET$10,"0.00"))),TEXT($ET$10,"0.00")))</f>
        <v/>
      </c>
    </row>
    <row r="11">
      <c r="B11" t="n">
        <v>560.5</v>
      </c>
      <c r="C11" t="n">
        <v>561.25</v>
      </c>
      <c r="D11" t="n">
        <v>3</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22</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c r="AO11" t="n">
        <v>28000</v>
      </c>
      <c r="AP11" t="n">
        <v>30000</v>
      </c>
      <c r="AQ11" t="n">
        <v>0</v>
      </c>
      <c r="AR11" t="inlineStr">
        <is>
          <t>smallest</t>
        </is>
      </c>
      <c r="AS11" t="n">
        <v>0</v>
      </c>
      <c r="AT11">
        <f>IF(8&lt;=$AS$13,$AS$14+(8-1)*$AS$16,"")</f>
        <v/>
      </c>
      <c r="AU11">
        <f>IF(8&gt;$AS$13,"",SUMIFS($AQ$4:$AQ$203,$AP$4:$AP$203,"&gt;="&amp;$AT$11,$AP$4:$AP$203,IF(8=$AS$13,"&lt;=","&lt;")&amp;($AT$11+$AS$16)))</f>
        <v/>
      </c>
      <c r="AV11">
        <f>""</f>
        <v/>
      </c>
      <c r="AW11">
        <f>IF(AND(8&gt;=11-$AS$17,8&lt;=9),$AS$18,0)</f>
        <v/>
      </c>
      <c r="AX11">
        <f>IFERROR(IF(AND($AZ$7&gt;=$AS$14,$AZ$7&lt;=$AS$15),10+0.5+100*($AZ$7-$AS$14)/($AS$15-$AS$14),NA()),NA())</f>
        <v/>
      </c>
      <c r="AY11">
        <f>IF(ISNA($AX$11),NA(),MAX($AW$4:$AW$123))</f>
        <v/>
      </c>
      <c r="AZ11">
        <f>IFERROR(IF(LEFT(LOWER(TRIM($AS$20)),5)="every",IF(((INT($AS$11/VALUE(TRIM(MID(TRIM($AS$20),6,99))))*VALUE(TRIM(MID(TRIM($AS$20),6,99)))+VALUE(TRIM(MID(TRIM($AS$20),6,99))))+7*VALUE(TRIM(MID(TRIM($AS$20),6,99))))&lt;=$AS$12,((INT($AS$11/VALUE(TRIM(MID(TRIM($AS$20),6,99))))*VALUE(TRIM(MID(TRIM($AS$20),6,99)))+VALUE(TRIM(MID(TRIM($AS$20),6,99))))+7*VALUE(TRIM(MID(TRIM($AS$20),6,99)))),NA()),VALUE(TRIM(MID(SUBSTITUTE(SUBSTITUTE(SUBSTITUTE(TRIM($AS$20),",",";")," ",""),";",REPT(" ",99)),694,99)))),NA())</f>
        <v/>
      </c>
      <c r="BA11">
        <f>IF($AT$11="","",IFERROR(IF(ABS($AT$11)&gt;=1000000,ROUND($AT$11/1000000,MAX(0,1-INT(LOG10($AS$27/1000000))))&amp;"M",IF(ABS($AT$11)&gt;=1000,ROUND($AT$11/1000,MAX(0,1-INT(LOG10($AS$27/1000))))&amp;"k",TEXT($AT$11,"#,##0"))),TEXT($AT$11,"#,##0")))</f>
        <v/>
      </c>
      <c r="BB11" t="n">
        <v>49000</v>
      </c>
      <c r="BC11" t="n">
        <v>52500</v>
      </c>
      <c r="BD11" t="n">
        <v>468</v>
      </c>
      <c r="BE11" t="inlineStr">
        <is>
          <t>smallest</t>
        </is>
      </c>
      <c r="BF11" t="n">
        <v>3830</v>
      </c>
      <c r="BG11">
        <f>IF(8&lt;=$BF$13,$BF$14+(8-1)*$BF$16,"")</f>
        <v/>
      </c>
      <c r="BH11">
        <f>IF(8&gt;$BF$13,"",SUMIFS($BD$4:$BD$203,$BC$4:$BC$203,"&gt;="&amp;$BG$11,$BC$4:$BC$203,IF(8=$BF$13,"&lt;=","&lt;")&amp;($BG$11+$BF$16)))</f>
        <v/>
      </c>
      <c r="BI11">
        <f>""</f>
        <v/>
      </c>
      <c r="BJ11">
        <f>IF(AND(8&gt;=11-$BF$17,8&lt;=9),$BF$18,0)</f>
        <v/>
      </c>
      <c r="BK11">
        <f>IFERROR(IF(AND($BM$7&gt;=$BF$14,$BM$7&lt;=$BF$15),10+0.5+100*($BM$7-$BF$14)/($BF$15-$BF$14),NA()),NA())</f>
        <v/>
      </c>
      <c r="BL11">
        <f>IF(ISNA($BK$11),NA(),MAX($BJ$4:$BJ$123))</f>
        <v/>
      </c>
      <c r="BM11">
        <f>IFERROR(IF(LEFT(LOWER(TRIM($BF$20)),5)="every",IF(((INT($BF$11/VALUE(TRIM(MID(TRIM($BF$20),6,99))))*VALUE(TRIM(MID(TRIM($BF$20),6,99)))+VALUE(TRIM(MID(TRIM($BF$20),6,99))))+7*VALUE(TRIM(MID(TRIM($BF$20),6,99))))&lt;=$BF$12,((INT($BF$11/VALUE(TRIM(MID(TRIM($BF$20),6,99))))*VALUE(TRIM(MID(TRIM($BF$20),6,99)))+VALUE(TRIM(MID(TRIM($BF$20),6,99))))+7*VALUE(TRIM(MID(TRIM($BF$20),6,99)))),NA()),VALUE(TRIM(MID(SUBSTITUTE(SUBSTITUTE(SUBSTITUTE(TRIM($BF$20),",",";")," ",""),";",REPT(" ",99)),694,99)))),NA())</f>
        <v/>
      </c>
      <c r="BN11">
        <f>IF($BG$11="","",IFERROR(IF(ABS($BG$11)&gt;=1000000,ROUND($BG$11/1000000,MAX(0,1-INT(LOG10($BF$27/1000000))))&amp;"M",IF(ABS($BG$11)&gt;=1000,ROUND($BG$11/1000,MAX(0,1-INT(LOG10($BF$27/1000))))&amp;"k",TEXT($BG$11,"#,##0"))),TEXT($BG$11,"#,##0")))</f>
        <v/>
      </c>
      <c r="BO11" t="n">
        <v>0.042</v>
      </c>
      <c r="BP11" t="n">
        <v>0.045</v>
      </c>
      <c r="BQ11" t="n">
        <v>65</v>
      </c>
      <c r="BR11" t="inlineStr">
        <is>
          <t>smallest</t>
        </is>
      </c>
      <c r="BS11" t="n">
        <v>0</v>
      </c>
      <c r="BT11">
        <f>IF(8&lt;=$BS$13,$BS$14+(8-1)*$BS$16,"")</f>
        <v/>
      </c>
      <c r="BU11">
        <f>IF(8&gt;$BS$13,"",SUMIFS($BQ$4:$BQ$203,$BP$4:$BP$203,"&gt;="&amp;$BT$11,$BP$4:$BP$203,IF(8=$BS$13,"&lt;=","&lt;")&amp;($BT$11+$BS$16)))</f>
        <v/>
      </c>
      <c r="BV11">
        <f>""</f>
        <v/>
      </c>
      <c r="BW11">
        <f>IF(AND(8&gt;=11-$BS$17,8&lt;=9),$BS$18,0)</f>
        <v/>
      </c>
      <c r="BX11">
        <f>IFERROR(IF(AND($BZ$7&gt;=$BS$14,$BZ$7&lt;=$BS$15),10+0.5+100*($BZ$7-$BS$14)/($BS$15-$BS$14),NA()),NA())</f>
        <v/>
      </c>
      <c r="BY11">
        <f>IF(ISNA($BX$11),NA(),MAX($BW$4:$BW$123))</f>
        <v/>
      </c>
      <c r="BZ11">
        <f>IFERROR(IF(LEFT(LOWER(TRIM($BS$20)),5)="every",IF(((INT($BS$11/VALUE(TRIM(MID(TRIM($BS$20),6,99))))*VALUE(TRIM(MID(TRIM($BS$20),6,99)))+VALUE(TRIM(MID(TRIM($BS$20),6,99))))+7*VALUE(TRIM(MID(TRIM($BS$20),6,99))))&lt;=$BS$12,((INT($BS$11/VALUE(TRIM(MID(TRIM($BS$20),6,99))))*VALUE(TRIM(MID(TRIM($BS$20),6,99)))+VALUE(TRIM(MID(TRIM($BS$20),6,99))))+7*VALUE(TRIM(MID(TRIM($BS$20),6,99)))),NA()),VALUE(TRIM(MID(SUBSTITUTE(SUBSTITUTE(SUBSTITUTE(TRIM($BS$20),",",";")," ",""),";",REPT(" ",99)),694,99)))),NA())</f>
        <v/>
      </c>
      <c r="CA11">
        <f>IF($BT$11="","",IFERROR(IF(ABS($BT$11)&gt;=1000000,ROUND($BT$11/1000000,MAX(0,1-INT(LOG10($BS$27/1000000))))&amp;"M",IF(ABS($BT$11)&gt;=1000,ROUND($BT$11/1000,MAX(0,1-INT(LOG10($BS$27/1000))))&amp;"k",TEXT($BT$11,"0.00"))),TEXT($BT$11,"0.00")))</f>
        <v/>
      </c>
      <c r="CB11" t="n">
        <v>1.05</v>
      </c>
      <c r="CC11" t="n">
        <v>1.125</v>
      </c>
      <c r="CD11" t="n">
        <v>160</v>
      </c>
      <c r="CE11" t="inlineStr">
        <is>
          <t>smallest</t>
        </is>
      </c>
      <c r="CF11" t="n">
        <v>0</v>
      </c>
      <c r="CG11">
        <f>IF(8&lt;=$CF$13,$CF$14+(8-1)*$CF$16,"")</f>
        <v/>
      </c>
      <c r="CH11">
        <f>IF(8&gt;$CF$13,"",SUMIFS($CD$4:$CD$203,$CC$4:$CC$203,"&gt;="&amp;$CG$11,$CC$4:$CC$203,IF(8=$CF$13,"&lt;=","&lt;")&amp;($CG$11+$CF$16)))</f>
        <v/>
      </c>
      <c r="CI11">
        <f>""</f>
        <v/>
      </c>
      <c r="CJ11">
        <f>IF(AND(8&gt;=11-$CF$17,8&lt;=9),$CF$18,0)</f>
        <v/>
      </c>
      <c r="CK11">
        <f>IFERROR(IF(AND($CM$7&gt;=$CF$14,$CM$7&lt;=$CF$15),10+0.5+100*($CM$7-$CF$14)/($CF$15-$CF$14),NA()),NA())</f>
        <v/>
      </c>
      <c r="CL11">
        <f>IF(ISNA($CK$11),NA(),MAX($CJ$4:$CJ$123))</f>
        <v/>
      </c>
      <c r="CM11">
        <f>IFERROR(IF(LEFT(LOWER(TRIM($CF$20)),5)="every",IF(((INT($CF$11/VALUE(TRIM(MID(TRIM($CF$20),6,99))))*VALUE(TRIM(MID(TRIM($CF$20),6,99)))+VALUE(TRIM(MID(TRIM($CF$20),6,99))))+7*VALUE(TRIM(MID(TRIM($CF$20),6,99))))&lt;=$CF$12,((INT($CF$11/VALUE(TRIM(MID(TRIM($CF$20),6,99))))*VALUE(TRIM(MID(TRIM($CF$20),6,99)))+VALUE(TRIM(MID(TRIM($CF$20),6,99))))+7*VALUE(TRIM(MID(TRIM($CF$20),6,99)))),NA()),VALUE(TRIM(MID(SUBSTITUTE(SUBSTITUTE(SUBSTITUTE(TRIM($CF$20),",",";")," ",""),";",REPT(" ",99)),694,99)))),NA())</f>
        <v/>
      </c>
      <c r="CN11">
        <f>IF($CG$11="","",IFERROR(IF(ABS($CG$11)&gt;=1000000,ROUND($CG$11/1000000,MAX(0,1-INT(LOG10($CF$27/1000000))))&amp;"M",IF(ABS($CG$11)&gt;=1000,ROUND($CG$11/1000,MAX(0,1-INT(LOG10($CF$27/1000))))&amp;"k",TEXT($CG$11,"#,##0.0"))),TEXT($CG$11,"#,##0.0")))</f>
        <v/>
      </c>
      <c r="CO11" t="n">
        <v>12.8</v>
      </c>
      <c r="CP11" t="n">
        <v>13</v>
      </c>
      <c r="CQ11" t="n">
        <v>11</v>
      </c>
      <c r="CR11" t="inlineStr">
        <is>
          <t>smallest</t>
        </is>
      </c>
      <c r="CS11" t="n">
        <v>-9.44</v>
      </c>
      <c r="CT11">
        <f>IF(8&lt;=$CS$13,$CS$14+(8-1)*$CS$16,"")</f>
        <v/>
      </c>
      <c r="CU11">
        <f>IF(8&gt;$CS$13,"",SUMIFS($CQ$4:$CQ$203,$CP$4:$CP$203,"&gt;="&amp;$CT$11,$CP$4:$CP$203,IF(8=$CS$13,"&lt;=","&lt;")&amp;($CT$11+$CS$16)))</f>
        <v/>
      </c>
      <c r="CV11">
        <f>""</f>
        <v/>
      </c>
      <c r="CW11">
        <f>IF(AND(8&gt;=11-$CS$17,8&lt;=9),$CS$18,0)</f>
        <v/>
      </c>
      <c r="CX11">
        <f>IFERROR(IF(AND($CZ$7&gt;=$CS$14,$CZ$7&lt;=$CS$15),10+0.5+100*($CZ$7-$CS$14)/($CS$15-$CS$14),NA()),NA())</f>
        <v/>
      </c>
      <c r="CY11">
        <f>IF(ISNA($CX$11),NA(),MAX($CW$4:$CW$123))</f>
        <v/>
      </c>
      <c r="CZ11">
        <f>IFERROR(IF(LEFT(LOWER(TRIM($CS$20)),5)="every",IF(((INT($CS$11/VALUE(TRIM(MID(TRIM($CS$20),6,99))))*VALUE(TRIM(MID(TRIM($CS$20),6,99)))+VALUE(TRIM(MID(TRIM($CS$20),6,99))))+7*VALUE(TRIM(MID(TRIM($CS$20),6,99))))&lt;=$CS$12,((INT($CS$11/VALUE(TRIM(MID(TRIM($CS$20),6,99))))*VALUE(TRIM(MID(TRIM($CS$20),6,99)))+VALUE(TRIM(MID(TRIM($CS$20),6,99))))+7*VALUE(TRIM(MID(TRIM($CS$20),6,99)))),NA()),VALUE(TRIM(MID(SUBSTITUTE(SUBSTITUTE(SUBSTITUTE(TRIM($CS$20),",",";")," ",""),";",REPT(" ",99)),694,99)))),NA())</f>
        <v/>
      </c>
      <c r="DA11">
        <f>IF($CT$11="","",IFERROR(IF(ABS($CT$11)&gt;=1000000,ROUND($CT$11/1000000,MAX(0,1-INT(LOG10($CS$27/1000000))))&amp;"M",IF(ABS($CT$11)&gt;=1000,ROUND($CT$11/1000,MAX(0,1-INT(LOG10($CS$27/1000))))&amp;"k",TEXT($CT$11,"#,##0"))),TEXT($CT$11,"#,##0")))</f>
        <v/>
      </c>
      <c r="DB11" t="n">
        <v>12.45</v>
      </c>
      <c r="DC11" t="n">
        <v>12.625</v>
      </c>
      <c r="DD11" t="n">
        <v>8</v>
      </c>
      <c r="DE11" t="inlineStr">
        <is>
          <t>smallest</t>
        </is>
      </c>
      <c r="DF11" t="n">
        <v>-11.27</v>
      </c>
      <c r="DG11">
        <f>IF(8&lt;=$DF$13,$DF$14+(8-1)*$DF$16,"")</f>
        <v/>
      </c>
      <c r="DH11">
        <f>IF(8&gt;$DF$13,"",SUMIFS($DD$4:$DD$203,$DC$4:$DC$203,"&gt;="&amp;$DG$11,$DC$4:$DC$203,IF(8=$DF$13,"&lt;=","&lt;")&amp;($DG$11+$DF$16)))</f>
        <v/>
      </c>
      <c r="DI11">
        <f>""</f>
        <v/>
      </c>
      <c r="DJ11">
        <f>IF(AND(8&gt;=11-$DF$17,8&lt;=9),$DF$18,0)</f>
        <v/>
      </c>
      <c r="DK11">
        <f>IFERROR(IF(AND($DM$7&gt;=$DF$14,$DM$7&lt;=$DF$15),10+0.5+100*($DM$7-$DF$14)/($DF$15-$DF$14),NA()),NA())</f>
        <v/>
      </c>
      <c r="DL11">
        <f>IF(ISNA($DK$11),NA(),MAX($DJ$4:$DJ$123))</f>
        <v/>
      </c>
      <c r="DM11">
        <f>IFERROR(IF(LEFT(LOWER(TRIM($DF$20)),5)="every",IF(((INT($DF$11/VALUE(TRIM(MID(TRIM($DF$20),6,99))))*VALUE(TRIM(MID(TRIM($DF$20),6,99)))+VALUE(TRIM(MID(TRIM($DF$20),6,99))))+7*VALUE(TRIM(MID(TRIM($DF$20),6,99))))&lt;=$DF$12,((INT($DF$11/VALUE(TRIM(MID(TRIM($DF$20),6,99))))*VALUE(TRIM(MID(TRIM($DF$20),6,99)))+VALUE(TRIM(MID(TRIM($DF$20),6,99))))+7*VALUE(TRIM(MID(TRIM($DF$20),6,99)))),NA()),VALUE(TRIM(MID(SUBSTITUTE(SUBSTITUTE(SUBSTITUTE(TRIM($DF$20),",",";")," ",""),";",REPT(" ",99)),694,99)))),NA())</f>
        <v/>
      </c>
      <c r="DN11">
        <f>IF($DG$11="","",IFERROR(IF(ABS($DG$11)&gt;=1000000,ROUND($DG$11/1000000,MAX(0,1-INT(LOG10($DF$27/1000000))))&amp;"M",IF(ABS($DG$11)&gt;=1000,ROUND($DG$11/1000,MAX(0,1-INT(LOG10($DF$27/1000))))&amp;"k",TEXT($DG$11,"#,##0.0"))),TEXT($DG$11,"#,##0.0")))</f>
        <v/>
      </c>
      <c r="DO11" t="n">
        <v>7.675</v>
      </c>
      <c r="DP11" t="n">
        <v>7.6875</v>
      </c>
      <c r="DQ11" t="n">
        <v>3</v>
      </c>
      <c r="DR11" t="inlineStr">
        <is>
          <t>smallest</t>
        </is>
      </c>
      <c r="DS11" t="n">
        <v>6.177</v>
      </c>
      <c r="DT11">
        <f>IF(8&lt;=$DS$13,$DS$14+(8-1)*$DS$16,"")</f>
        <v/>
      </c>
      <c r="DU11">
        <f>IF(8&gt;$DS$13,"",SUMIFS($DQ$4:$DQ$203,$DP$4:$DP$203,"&gt;="&amp;$DT$11,$DP$4:$DP$203,IF(8=$DS$13,"&lt;=","&lt;")&amp;($DT$11+$DS$16)))</f>
        <v/>
      </c>
      <c r="DV11">
        <f>""</f>
        <v/>
      </c>
      <c r="DW11">
        <f>IF(AND(8&gt;=11-$DS$17,8&lt;=9),$DS$18,0)</f>
        <v/>
      </c>
      <c r="DX11">
        <f>IFERROR(IF(AND($DZ$7&gt;=$DS$14,$DZ$7&lt;=$DS$15),10+0.5+100*($DZ$7-$DS$14)/($DS$15-$DS$14),NA()),NA())</f>
        <v/>
      </c>
      <c r="DY11">
        <f>IF(ISNA($DX$11),NA(),MAX($DW$4:$DW$123))</f>
        <v/>
      </c>
      <c r="DZ11">
        <f>IFERROR(IF(LEFT(LOWER(TRIM($DS$20)),5)="every",IF(((INT($DS$11/VALUE(TRIM(MID(TRIM($DS$20),6,99))))*VALUE(TRIM(MID(TRIM($DS$20),6,99)))+VALUE(TRIM(MID(TRIM($DS$20),6,99))))+7*VALUE(TRIM(MID(TRIM($DS$20),6,99))))&lt;=$DS$12,((INT($DS$11/VALUE(TRIM(MID(TRIM($DS$20),6,99))))*VALUE(TRIM(MID(TRIM($DS$20),6,99)))+VALUE(TRIM(MID(TRIM($DS$20),6,99))))+7*VALUE(TRIM(MID(TRIM($DS$20),6,99)))),NA()),VALUE(TRIM(MID(SUBSTITUTE(SUBSTITUTE(SUBSTITUTE(TRIM($DS$20),",",";")," ",""),";",REPT(" ",99)),694,99)))),NA())</f>
        <v/>
      </c>
      <c r="EA11">
        <f>IF($DT$11="","",IFERROR(IF(ABS($DT$11)&gt;=1000000,ROUND($DT$11/1000000,MAX(0,1-INT(LOG10($DS$27/1000000))))&amp;"M",IF(ABS($DT$11)&gt;=1000,ROUND($DT$11/1000,MAX(0,1-INT(LOG10($DS$27/1000))))&amp;"k",TEXT($DT$11,"#,##0.0"))),TEXT($DT$11,"#,##0.0")))</f>
        <v/>
      </c>
      <c r="EB11" t="n">
        <v>3.5</v>
      </c>
      <c r="EC11" t="n">
        <v>3.75</v>
      </c>
      <c r="ED11" t="n">
        <v>67</v>
      </c>
      <c r="EE11" t="inlineStr">
        <is>
          <t>smallest</t>
        </is>
      </c>
      <c r="EF11" t="n">
        <v>0</v>
      </c>
      <c r="EG11">
        <f>IF(8&lt;=$EF$13,$EF$14+(8-1)*$EF$16,"")</f>
        <v/>
      </c>
      <c r="EH11">
        <f>IF(8&gt;$EF$13,"",SUMIFS($ED$4:$ED$203,$EC$4:$EC$203,"&gt;="&amp;$EG$11,$EC$4:$EC$203,IF(8=$EF$13,"&lt;=","&lt;")&amp;($EG$11+$EF$16)))</f>
        <v/>
      </c>
      <c r="EI11">
        <f>""</f>
        <v/>
      </c>
      <c r="EJ11">
        <f>IF(AND(8&gt;=11-$EF$17,8&lt;=9),$EF$18,0)</f>
        <v/>
      </c>
      <c r="EK11">
        <f>IFERROR(IF(AND($EM$7&gt;=$EF$14,$EM$7&lt;=$EF$15),10+0.5+100*($EM$7-$EF$14)/($EF$15-$EF$14),NA()),NA())</f>
        <v/>
      </c>
      <c r="EL11">
        <f>IF(ISNA($EK$11),NA(),MAX($EJ$4:$EJ$123))</f>
        <v/>
      </c>
      <c r="EM11">
        <f>IFERROR(IF(LEFT(LOWER(TRIM($EF$20)),5)="every",IF(((INT($EF$11/VALUE(TRIM(MID(TRIM($EF$20),6,99))))*VALUE(TRIM(MID(TRIM($EF$20),6,99)))+VALUE(TRIM(MID(TRIM($EF$20),6,99))))+7*VALUE(TRIM(MID(TRIM($EF$20),6,99))))&lt;=$EF$12,((INT($EF$11/VALUE(TRIM(MID(TRIM($EF$20),6,99))))*VALUE(TRIM(MID(TRIM($EF$20),6,99)))+VALUE(TRIM(MID(TRIM($EF$20),6,99))))+7*VALUE(TRIM(MID(TRIM($EF$20),6,99)))),NA()),VALUE(TRIM(MID(SUBSTITUTE(SUBSTITUTE(SUBSTITUTE(TRIM($EF$20),",",";")," ",""),";",REPT(" ",99)),694,99)))),NA())</f>
        <v/>
      </c>
      <c r="EN11">
        <f>IF($EG$11="","",IFERROR(IF(ABS($EG$11)&gt;=1000000,ROUND($EG$11/1000000,MAX(0,1-INT(LOG10($EF$27/1000000))))&amp;"M",IF(ABS($EG$11)&gt;=1000,ROUND($EG$11/1000,MAX(0,1-INT(LOG10($EF$27/1000))))&amp;"k",TEXT($EG$11,"#,##0"))),TEXT($EG$11,"#,##0")))</f>
        <v/>
      </c>
      <c r="EO11" t="n">
        <v>0.1225</v>
      </c>
      <c r="EP11" t="n">
        <v>0.13125</v>
      </c>
      <c r="EQ11" t="n">
        <v>192</v>
      </c>
      <c r="ER11" t="inlineStr">
        <is>
          <t>smallest</t>
        </is>
      </c>
      <c r="ES11" t="n">
        <v>0.02370149398042625</v>
      </c>
      <c r="ET11">
        <f>IF(8&lt;=$ES$13,$ES$14+(8-1)*$ES$16,"")</f>
        <v/>
      </c>
      <c r="EU11">
        <f>IF(8&gt;$ES$13,"",SUMIFS($EQ$4:$EQ$203,$EP$4:$EP$203,"&gt;="&amp;$ET$11,$EP$4:$EP$203,IF(8=$ES$13,"&lt;=","&lt;")&amp;($ET$11+$ES$16)))</f>
        <v/>
      </c>
      <c r="EV11">
        <f>""</f>
        <v/>
      </c>
      <c r="EW11">
        <f>IF(AND(8&gt;=11-$ES$17,8&lt;=9),$ES$18,0)</f>
        <v/>
      </c>
      <c r="EX11">
        <f>IFERROR(IF(AND($EZ$7&gt;=$ES$14,$EZ$7&lt;=$ES$15),10+0.5+100*($EZ$7-$ES$14)/($ES$15-$ES$14),NA()),NA())</f>
        <v/>
      </c>
      <c r="EY11">
        <f>IF(ISNA($EX$11),NA(),MAX($EW$4:$EW$123))</f>
        <v/>
      </c>
      <c r="EZ11">
        <f>IFERROR(IF(LEFT(LOWER(TRIM($ES$20)),5)="every",IF(((INT($ES$11/VALUE(TRIM(MID(TRIM($ES$20),6,99))))*VALUE(TRIM(MID(TRIM($ES$20),6,99)))+VALUE(TRIM(MID(TRIM($ES$20),6,99))))+7*VALUE(TRIM(MID(TRIM($ES$20),6,99))))&lt;=$ES$12,((INT($ES$11/VALUE(TRIM(MID(TRIM($ES$20),6,99))))*VALUE(TRIM(MID(TRIM($ES$20),6,99)))+VALUE(TRIM(MID(TRIM($ES$20),6,99))))+7*VALUE(TRIM(MID(TRIM($ES$20),6,99)))),NA()),VALUE(TRIM(MID(SUBSTITUTE(SUBSTITUTE(SUBSTITUTE(TRIM($ES$20),",",";")," ",""),";",REPT(" ",99)),694,99)))),NA())</f>
        <v/>
      </c>
      <c r="FA11">
        <f>IF($ET$11="","",IFERROR(IF(ABS($ET$11)&gt;=1000000,ROUND($ET$11/1000000,MAX(0,1-INT(LOG10($ES$27/1000000))))&amp;"M",IF(ABS($ET$11)&gt;=1000,ROUND($ET$11/1000,MAX(0,1-INT(LOG10($ES$27/1000))))&amp;"k",TEXT($ET$11,"0.00"))),TEXT($ET$11,"0.00")))</f>
        <v/>
      </c>
    </row>
    <row r="12">
      <c r="B12" t="n">
        <v>562</v>
      </c>
      <c r="C12" t="n">
        <v>562.75</v>
      </c>
      <c r="D12" t="n">
        <v>9</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59998.91</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24</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c r="AO12" t="n">
        <v>32000</v>
      </c>
      <c r="AP12" t="n">
        <v>34000</v>
      </c>
      <c r="AQ12" t="n">
        <v>0</v>
      </c>
      <c r="AR12" t="inlineStr">
        <is>
          <t>largest</t>
        </is>
      </c>
      <c r="AS12" t="n">
        <v>2222343</v>
      </c>
      <c r="AT12">
        <f>IF(9&lt;=$AS$13,$AS$14+(9-1)*$AS$16,"")</f>
        <v/>
      </c>
      <c r="AU12">
        <f>IF(9&gt;$AS$13,"",SUMIFS($AQ$4:$AQ$203,$AP$4:$AP$203,"&gt;="&amp;$AT$12,$AP$4:$AP$203,IF(9=$AS$13,"&lt;=","&lt;")&amp;($AT$12+$AS$16)))</f>
        <v/>
      </c>
      <c r="AV12">
        <f>""</f>
        <v/>
      </c>
      <c r="AW12">
        <f>IF(AND(9&gt;=11-$AS$17,9&lt;=9),$AS$18,0)</f>
        <v/>
      </c>
      <c r="AX12">
        <f>IFERROR(IF(AND($AZ$8&gt;=$AS$14,$AZ$8&lt;=$AS$15),10+0.5+100*($AZ$8-$AS$14)/($AS$15-$AS$14),NA()),NA())</f>
        <v/>
      </c>
      <c r="AY12">
        <f>IF(ISNA($AX$12),NA(),0)</f>
        <v/>
      </c>
      <c r="AZ12">
        <f>IFERROR(IF(LEFT(LOWER(TRIM($AS$20)),5)="every",IF(((INT($AS$11/VALUE(TRIM(MID(TRIM($AS$20),6,99))))*VALUE(TRIM(MID(TRIM($AS$20),6,99)))+VALUE(TRIM(MID(TRIM($AS$20),6,99))))+8*VALUE(TRIM(MID(TRIM($AS$20),6,99))))&lt;=$AS$12,((INT($AS$11/VALUE(TRIM(MID(TRIM($AS$20),6,99))))*VALUE(TRIM(MID(TRIM($AS$20),6,99)))+VALUE(TRIM(MID(TRIM($AS$20),6,99))))+8*VALUE(TRIM(MID(TRIM($AS$20),6,99)))),NA()),VALUE(TRIM(MID(SUBSTITUTE(SUBSTITUTE(SUBSTITUTE(TRIM($AS$20),",",";")," ",""),";",REPT(" ",99)),793,99)))),NA())</f>
        <v/>
      </c>
      <c r="BA12">
        <f>IF($AT$12="","",IFERROR(IF(ABS($AT$12)&gt;=1000000,ROUND($AT$12/1000000,MAX(0,1-INT(LOG10($AS$27/1000000))))&amp;"M",IF(ABS($AT$12)&gt;=1000,ROUND($AT$12/1000,MAX(0,1-INT(LOG10($AS$27/1000))))&amp;"k",TEXT($AT$12,"#,##0"))),TEXT($AT$12,"#,##0")))</f>
        <v/>
      </c>
      <c r="BB12" t="n">
        <v>56000</v>
      </c>
      <c r="BC12" t="n">
        <v>59500</v>
      </c>
      <c r="BD12" t="n">
        <v>446</v>
      </c>
      <c r="BE12" t="inlineStr">
        <is>
          <t>largest</t>
        </is>
      </c>
      <c r="BF12" t="n">
        <v>4683491</v>
      </c>
      <c r="BG12">
        <f>IF(9&lt;=$BF$13,$BF$14+(9-1)*$BF$16,"")</f>
        <v/>
      </c>
      <c r="BH12">
        <f>IF(9&gt;$BF$13,"",SUMIFS($BD$4:$BD$203,$BC$4:$BC$203,"&gt;="&amp;$BG$12,$BC$4:$BC$203,IF(9=$BF$13,"&lt;=","&lt;")&amp;($BG$12+$BF$16)))</f>
        <v/>
      </c>
      <c r="BI12">
        <f>""</f>
        <v/>
      </c>
      <c r="BJ12">
        <f>IF(AND(9&gt;=11-$BF$17,9&lt;=9),$BF$18,0)</f>
        <v/>
      </c>
      <c r="BK12">
        <f>IFERROR(IF(AND($BM$8&gt;=$BF$14,$BM$8&lt;=$BF$15),10+0.5+100*($BM$8-$BF$14)/($BF$15-$BF$14),NA()),NA())</f>
        <v/>
      </c>
      <c r="BL12">
        <f>IF(ISNA($BK$12),NA(),0)</f>
        <v/>
      </c>
      <c r="BM12">
        <f>IFERROR(IF(LEFT(LOWER(TRIM($BF$20)),5)="every",IF(((INT($BF$11/VALUE(TRIM(MID(TRIM($BF$20),6,99))))*VALUE(TRIM(MID(TRIM($BF$20),6,99)))+VALUE(TRIM(MID(TRIM($BF$20),6,99))))+8*VALUE(TRIM(MID(TRIM($BF$20),6,99))))&lt;=$BF$12,((INT($BF$11/VALUE(TRIM(MID(TRIM($BF$20),6,99))))*VALUE(TRIM(MID(TRIM($BF$20),6,99)))+VALUE(TRIM(MID(TRIM($BF$20),6,99))))+8*VALUE(TRIM(MID(TRIM($BF$20),6,99)))),NA()),VALUE(TRIM(MID(SUBSTITUTE(SUBSTITUTE(SUBSTITUTE(TRIM($BF$20),",",";")," ",""),";",REPT(" ",99)),793,99)))),NA())</f>
        <v/>
      </c>
      <c r="BN12">
        <f>IF($BG$12="","",IFERROR(IF(ABS($BG$12)&gt;=1000000,ROUND($BG$12/1000000,MAX(0,1-INT(LOG10($BF$27/1000000))))&amp;"M",IF(ABS($BG$12)&gt;=1000,ROUND($BG$12/1000,MAX(0,1-INT(LOG10($BF$27/1000))))&amp;"k",TEXT($BG$12,"#,##0"))),TEXT($BG$12,"#,##0")))</f>
        <v/>
      </c>
      <c r="BO12" t="n">
        <v>0.048</v>
      </c>
      <c r="BP12" t="n">
        <v>0.051</v>
      </c>
      <c r="BQ12" t="n">
        <v>61</v>
      </c>
      <c r="BR12" t="inlineStr">
        <is>
          <t>largest</t>
        </is>
      </c>
      <c r="BS12" t="n">
        <v>1.1999</v>
      </c>
      <c r="BT12">
        <f>IF(9&lt;=$BS$13,$BS$14+(9-1)*$BS$16,"")</f>
        <v/>
      </c>
      <c r="BU12">
        <f>IF(9&gt;$BS$13,"",SUMIFS($BQ$4:$BQ$203,$BP$4:$BP$203,"&gt;="&amp;$BT$12,$BP$4:$BP$203,IF(9=$BS$13,"&lt;=","&lt;")&amp;($BT$12+$BS$16)))</f>
        <v/>
      </c>
      <c r="BV12">
        <f>""</f>
        <v/>
      </c>
      <c r="BW12">
        <f>IF(AND(9&gt;=11-$BS$17,9&lt;=9),$BS$18,0)</f>
        <v/>
      </c>
      <c r="BX12">
        <f>IFERROR(IF(AND($BZ$8&gt;=$BS$14,$BZ$8&lt;=$BS$15),10+0.5+100*($BZ$8-$BS$14)/($BS$15-$BS$14),NA()),NA())</f>
        <v/>
      </c>
      <c r="BY12">
        <f>IF(ISNA($BX$12),NA(),0)</f>
        <v/>
      </c>
      <c r="BZ12">
        <f>IFERROR(IF(LEFT(LOWER(TRIM($BS$20)),5)="every",IF(((INT($BS$11/VALUE(TRIM(MID(TRIM($BS$20),6,99))))*VALUE(TRIM(MID(TRIM($BS$20),6,99)))+VALUE(TRIM(MID(TRIM($BS$20),6,99))))+8*VALUE(TRIM(MID(TRIM($BS$20),6,99))))&lt;=$BS$12,((INT($BS$11/VALUE(TRIM(MID(TRIM($BS$20),6,99))))*VALUE(TRIM(MID(TRIM($BS$20),6,99)))+VALUE(TRIM(MID(TRIM($BS$20),6,99))))+8*VALUE(TRIM(MID(TRIM($BS$20),6,99)))),NA()),VALUE(TRIM(MID(SUBSTITUTE(SUBSTITUTE(SUBSTITUTE(TRIM($BS$20),",",";")," ",""),";",REPT(" ",99)),793,99)))),NA())</f>
        <v/>
      </c>
      <c r="CA12">
        <f>IF($BT$12="","",IFERROR(IF(ABS($BT$12)&gt;=1000000,ROUND($BT$12/1000000,MAX(0,1-INT(LOG10($BS$27/1000000))))&amp;"M",IF(ABS($BT$12)&gt;=1000,ROUND($BT$12/1000,MAX(0,1-INT(LOG10($BS$27/1000))))&amp;"k",TEXT($BT$12,"0.00"))),TEXT($BT$12,"0.00")))</f>
        <v/>
      </c>
      <c r="CB12" t="n">
        <v>1.2</v>
      </c>
      <c r="CC12" t="n">
        <v>1.275</v>
      </c>
      <c r="CD12" t="n">
        <v>334</v>
      </c>
      <c r="CE12" t="inlineStr">
        <is>
          <t>largest</t>
        </is>
      </c>
      <c r="CF12" t="n">
        <v>72</v>
      </c>
      <c r="CG12">
        <f>IF(9&lt;=$CF$13,$CF$14+(9-1)*$CF$16,"")</f>
        <v/>
      </c>
      <c r="CH12">
        <f>IF(9&gt;$CF$13,"",SUMIFS($CD$4:$CD$203,$CC$4:$CC$203,"&gt;="&amp;$CG$12,$CC$4:$CC$203,IF(9=$CF$13,"&lt;=","&lt;")&amp;($CG$12+$CF$16)))</f>
        <v/>
      </c>
      <c r="CI12">
        <f>""</f>
        <v/>
      </c>
      <c r="CJ12">
        <f>IF(AND(9&gt;=11-$CF$17,9&lt;=9),$CF$18,0)</f>
        <v/>
      </c>
      <c r="CK12">
        <f>IFERROR(IF(AND($CM$8&gt;=$CF$14,$CM$8&lt;=$CF$15),10+0.5+100*($CM$8-$CF$14)/($CF$15-$CF$14),NA()),NA())</f>
        <v/>
      </c>
      <c r="CL12">
        <f>IF(ISNA($CK$12),NA(),0)</f>
        <v/>
      </c>
      <c r="CM12">
        <f>IFERROR(IF(LEFT(LOWER(TRIM($CF$20)),5)="every",IF(((INT($CF$11/VALUE(TRIM(MID(TRIM($CF$20),6,99))))*VALUE(TRIM(MID(TRIM($CF$20),6,99)))+VALUE(TRIM(MID(TRIM($CF$20),6,99))))+8*VALUE(TRIM(MID(TRIM($CF$20),6,99))))&lt;=$CF$12,((INT($CF$11/VALUE(TRIM(MID(TRIM($CF$20),6,99))))*VALUE(TRIM(MID(TRIM($CF$20),6,99)))+VALUE(TRIM(MID(TRIM($CF$20),6,99))))+8*VALUE(TRIM(MID(TRIM($CF$20),6,99)))),NA()),VALUE(TRIM(MID(SUBSTITUTE(SUBSTITUTE(SUBSTITUTE(TRIM($CF$20),",",";")," ",""),";",REPT(" ",99)),793,99)))),NA())</f>
        <v/>
      </c>
      <c r="CN12">
        <f>IF($CG$12="","",IFERROR(IF(ABS($CG$12)&gt;=1000000,ROUND($CG$12/1000000,MAX(0,1-INT(LOG10($CF$27/1000000))))&amp;"M",IF(ABS($CG$12)&gt;=1000,ROUND($CG$12/1000,MAX(0,1-INT(LOG10($CF$27/1000))))&amp;"k",TEXT($CG$12,"#,##0.0"))),TEXT($CG$12,"#,##0.0")))</f>
        <v/>
      </c>
      <c r="CO12" t="n">
        <v>13.2</v>
      </c>
      <c r="CP12" t="n">
        <v>13.4</v>
      </c>
      <c r="CQ12" t="n">
        <v>4</v>
      </c>
      <c r="CR12" t="inlineStr">
        <is>
          <t>largest</t>
        </is>
      </c>
      <c r="CS12" t="n">
        <v>103.86</v>
      </c>
      <c r="CT12">
        <f>IF(9&lt;=$CS$13,$CS$14+(9-1)*$CS$16,"")</f>
        <v/>
      </c>
      <c r="CU12">
        <f>IF(9&gt;$CS$13,"",SUMIFS($CQ$4:$CQ$203,$CP$4:$CP$203,"&gt;="&amp;$CT$12,$CP$4:$CP$203,IF(9=$CS$13,"&lt;=","&lt;")&amp;($CT$12+$CS$16)))</f>
        <v/>
      </c>
      <c r="CV12">
        <f>""</f>
        <v/>
      </c>
      <c r="CW12">
        <f>IF(AND(9&gt;=11-$CS$17,9&lt;=9),$CS$18,0)</f>
        <v/>
      </c>
      <c r="CX12">
        <f>IFERROR(IF(AND($CZ$8&gt;=$CS$14,$CZ$8&lt;=$CS$15),10+0.5+100*($CZ$8-$CS$14)/($CS$15-$CS$14),NA()),NA())</f>
        <v/>
      </c>
      <c r="CY12">
        <f>IF(ISNA($CX$12),NA(),0)</f>
        <v/>
      </c>
      <c r="CZ12">
        <f>IFERROR(IF(LEFT(LOWER(TRIM($CS$20)),5)="every",IF(((INT($CS$11/VALUE(TRIM(MID(TRIM($CS$20),6,99))))*VALUE(TRIM(MID(TRIM($CS$20),6,99)))+VALUE(TRIM(MID(TRIM($CS$20),6,99))))+8*VALUE(TRIM(MID(TRIM($CS$20),6,99))))&lt;=$CS$12,((INT($CS$11/VALUE(TRIM(MID(TRIM($CS$20),6,99))))*VALUE(TRIM(MID(TRIM($CS$20),6,99)))+VALUE(TRIM(MID(TRIM($CS$20),6,99))))+8*VALUE(TRIM(MID(TRIM($CS$20),6,99)))),NA()),VALUE(TRIM(MID(SUBSTITUTE(SUBSTITUTE(SUBSTITUTE(TRIM($CS$20),",",";")," ",""),";",REPT(" ",99)),793,99)))),NA())</f>
        <v/>
      </c>
      <c r="DA12">
        <f>IF($CT$12="","",IFERROR(IF(ABS($CT$12)&gt;=1000000,ROUND($CT$12/1000000,MAX(0,1-INT(LOG10($CS$27/1000000))))&amp;"M",IF(ABS($CT$12)&gt;=1000,ROUND($CT$12/1000,MAX(0,1-INT(LOG10($CS$27/1000))))&amp;"k",TEXT($CT$12,"#,##0"))),TEXT($CT$12,"#,##0")))</f>
        <v/>
      </c>
      <c r="DB12" t="n">
        <v>12.8</v>
      </c>
      <c r="DC12" t="n">
        <v>12.975</v>
      </c>
      <c r="DD12" t="n">
        <v>12</v>
      </c>
      <c r="DE12" t="inlineStr">
        <is>
          <t>largest</t>
        </is>
      </c>
      <c r="DF12" t="n">
        <v>96.62</v>
      </c>
      <c r="DG12">
        <f>IF(9&lt;=$DF$13,$DF$14+(9-1)*$DF$16,"")</f>
        <v/>
      </c>
      <c r="DH12">
        <f>IF(9&gt;$DF$13,"",SUMIFS($DD$4:$DD$203,$DC$4:$DC$203,"&gt;="&amp;$DG$12,$DC$4:$DC$203,IF(9=$DF$13,"&lt;=","&lt;")&amp;($DG$12+$DF$16)))</f>
        <v/>
      </c>
      <c r="DI12">
        <f>""</f>
        <v/>
      </c>
      <c r="DJ12">
        <f>IF(AND(9&gt;=11-$DF$17,9&lt;=9),$DF$18,0)</f>
        <v/>
      </c>
      <c r="DK12">
        <f>IFERROR(IF(AND($DM$8&gt;=$DF$14,$DM$8&lt;=$DF$15),10+0.5+100*($DM$8-$DF$14)/($DF$15-$DF$14),NA()),NA())</f>
        <v/>
      </c>
      <c r="DL12">
        <f>IF(ISNA($DK$12),NA(),0)</f>
        <v/>
      </c>
      <c r="DM12">
        <f>IFERROR(IF(LEFT(LOWER(TRIM($DF$20)),5)="every",IF(((INT($DF$11/VALUE(TRIM(MID(TRIM($DF$20),6,99))))*VALUE(TRIM(MID(TRIM($DF$20),6,99)))+VALUE(TRIM(MID(TRIM($DF$20),6,99))))+8*VALUE(TRIM(MID(TRIM($DF$20),6,99))))&lt;=$DF$12,((INT($DF$11/VALUE(TRIM(MID(TRIM($DF$20),6,99))))*VALUE(TRIM(MID(TRIM($DF$20),6,99)))+VALUE(TRIM(MID(TRIM($DF$20),6,99))))+8*VALUE(TRIM(MID(TRIM($DF$20),6,99)))),NA()),VALUE(TRIM(MID(SUBSTITUTE(SUBSTITUTE(SUBSTITUTE(TRIM($DF$20),",",";")," ",""),";",REPT(" ",99)),793,99)))),NA())</f>
        <v/>
      </c>
      <c r="DN12">
        <f>IF($DG$12="","",IFERROR(IF(ABS($DG$12)&gt;=1000000,ROUND($DG$12/1000000,MAX(0,1-INT(LOG10($DF$27/1000000))))&amp;"M",IF(ABS($DG$12)&gt;=1000,ROUND($DG$12/1000,MAX(0,1-INT(LOG10($DF$27/1000))))&amp;"k",TEXT($DG$12,"#,##0.0"))),TEXT($DG$12,"#,##0.0")))</f>
        <v/>
      </c>
      <c r="DO12" t="n">
        <v>7.7</v>
      </c>
      <c r="DP12" t="n">
        <v>7.7125</v>
      </c>
      <c r="DQ12" t="n">
        <v>5</v>
      </c>
      <c r="DR12" t="inlineStr">
        <is>
          <t>largest</t>
        </is>
      </c>
      <c r="DS12" t="n">
        <v>13.673</v>
      </c>
      <c r="DT12">
        <f>IF(9&lt;=$DS$13,$DS$14+(9-1)*$DS$16,"")</f>
        <v/>
      </c>
      <c r="DU12">
        <f>IF(9&gt;$DS$13,"",SUMIFS($DQ$4:$DQ$203,$DP$4:$DP$203,"&gt;="&amp;$DT$12,$DP$4:$DP$203,IF(9=$DS$13,"&lt;=","&lt;")&amp;($DT$12+$DS$16)))</f>
        <v/>
      </c>
      <c r="DV12">
        <f>""</f>
        <v/>
      </c>
      <c r="DW12">
        <f>IF(AND(9&gt;=11-$DS$17,9&lt;=9),$DS$18,0)</f>
        <v/>
      </c>
      <c r="DX12">
        <f>IFERROR(IF(AND($DZ$8&gt;=$DS$14,$DZ$8&lt;=$DS$15),10+0.5+100*($DZ$8-$DS$14)/($DS$15-$DS$14),NA()),NA())</f>
        <v/>
      </c>
      <c r="DY12">
        <f>IF(ISNA($DX$12),NA(),0)</f>
        <v/>
      </c>
      <c r="DZ12">
        <f>IFERROR(IF(LEFT(LOWER(TRIM($DS$20)),5)="every",IF(((INT($DS$11/VALUE(TRIM(MID(TRIM($DS$20),6,99))))*VALUE(TRIM(MID(TRIM($DS$20),6,99)))+VALUE(TRIM(MID(TRIM($DS$20),6,99))))+8*VALUE(TRIM(MID(TRIM($DS$20),6,99))))&lt;=$DS$12,((INT($DS$11/VALUE(TRIM(MID(TRIM($DS$20),6,99))))*VALUE(TRIM(MID(TRIM($DS$20),6,99)))+VALUE(TRIM(MID(TRIM($DS$20),6,99))))+8*VALUE(TRIM(MID(TRIM($DS$20),6,99)))),NA()),VALUE(TRIM(MID(SUBSTITUTE(SUBSTITUTE(SUBSTITUTE(TRIM($DS$20),",",";")," ",""),";",REPT(" ",99)),793,99)))),NA())</f>
        <v/>
      </c>
      <c r="EA12">
        <f>IF($DT$12="","",IFERROR(IF(ABS($DT$12)&gt;=1000000,ROUND($DT$12/1000000,MAX(0,1-INT(LOG10($DS$27/1000000))))&amp;"M",IF(ABS($DT$12)&gt;=1000,ROUND($DT$12/1000,MAX(0,1-INT(LOG10($DS$27/1000))))&amp;"k",TEXT($DT$12,"#,##0.0"))),TEXT($DT$12,"#,##0.0")))</f>
        <v/>
      </c>
      <c r="EB12" t="n">
        <v>4</v>
      </c>
      <c r="EC12" t="n">
        <v>4.25</v>
      </c>
      <c r="ED12" t="n">
        <v>44</v>
      </c>
      <c r="EE12" t="inlineStr">
        <is>
          <t>largest</t>
        </is>
      </c>
      <c r="EF12" t="n">
        <v>100</v>
      </c>
      <c r="EG12">
        <f>IF(9&lt;=$EF$13,$EF$14+(9-1)*$EF$16,"")</f>
        <v/>
      </c>
      <c r="EH12">
        <f>IF(9&gt;$EF$13,"",SUMIFS($ED$4:$ED$203,$EC$4:$EC$203,"&gt;="&amp;$EG$12,$EC$4:$EC$203,IF(9=$EF$13,"&lt;=","&lt;")&amp;($EG$12+$EF$16)))</f>
        <v/>
      </c>
      <c r="EI12">
        <f>""</f>
        <v/>
      </c>
      <c r="EJ12">
        <f>IF(AND(9&gt;=11-$EF$17,9&lt;=9),$EF$18,0)</f>
        <v/>
      </c>
      <c r="EK12">
        <f>IFERROR(IF(AND($EM$8&gt;=$EF$14,$EM$8&lt;=$EF$15),10+0.5+100*($EM$8-$EF$14)/($EF$15-$EF$14),NA()),NA())</f>
        <v/>
      </c>
      <c r="EL12">
        <f>IF(ISNA($EK$12),NA(),0)</f>
        <v/>
      </c>
      <c r="EM12">
        <f>IFERROR(IF(LEFT(LOWER(TRIM($EF$20)),5)="every",IF(((INT($EF$11/VALUE(TRIM(MID(TRIM($EF$20),6,99))))*VALUE(TRIM(MID(TRIM($EF$20),6,99)))+VALUE(TRIM(MID(TRIM($EF$20),6,99))))+8*VALUE(TRIM(MID(TRIM($EF$20),6,99))))&lt;=$EF$12,((INT($EF$11/VALUE(TRIM(MID(TRIM($EF$20),6,99))))*VALUE(TRIM(MID(TRIM($EF$20),6,99)))+VALUE(TRIM(MID(TRIM($EF$20),6,99))))+8*VALUE(TRIM(MID(TRIM($EF$20),6,99)))),NA()),VALUE(TRIM(MID(SUBSTITUTE(SUBSTITUTE(SUBSTITUTE(TRIM($EF$20),",",";")," ",""),";",REPT(" ",99)),793,99)))),NA())</f>
        <v/>
      </c>
      <c r="EN12">
        <f>IF($EG$12="","",IFERROR(IF(ABS($EG$12)&gt;=1000000,ROUND($EG$12/1000000,MAX(0,1-INT(LOG10($EF$27/1000000))))&amp;"M",IF(ABS($EG$12)&gt;=1000,ROUND($EG$12/1000,MAX(0,1-INT(LOG10($EF$27/1000))))&amp;"k",TEXT($EG$12,"#,##0"))),TEXT($EG$12,"#,##0")))</f>
        <v/>
      </c>
      <c r="EO12" t="n">
        <v>0.14</v>
      </c>
      <c r="EP12" t="n">
        <v>0.14875</v>
      </c>
      <c r="EQ12" t="n">
        <v>213</v>
      </c>
      <c r="ER12" t="inlineStr">
        <is>
          <t>largest</t>
        </is>
      </c>
      <c r="ES12" t="n">
        <v>8.291943696990142</v>
      </c>
      <c r="ET12">
        <f>IF(9&lt;=$ES$13,$ES$14+(9-1)*$ES$16,"")</f>
        <v/>
      </c>
      <c r="EU12">
        <f>IF(9&gt;$ES$13,"",SUMIFS($EQ$4:$EQ$203,$EP$4:$EP$203,"&gt;="&amp;$ET$12,$EP$4:$EP$203,IF(9=$ES$13,"&lt;=","&lt;")&amp;($ET$12+$ES$16)))</f>
        <v/>
      </c>
      <c r="EV12">
        <f>""</f>
        <v/>
      </c>
      <c r="EW12">
        <f>IF(AND(9&gt;=11-$ES$17,9&lt;=9),$ES$18,0)</f>
        <v/>
      </c>
      <c r="EX12">
        <f>IFERROR(IF(AND($EZ$8&gt;=$ES$14,$EZ$8&lt;=$ES$15),10+0.5+100*($EZ$8-$ES$14)/($ES$15-$ES$14),NA()),NA())</f>
        <v/>
      </c>
      <c r="EY12">
        <f>IF(ISNA($EX$12),NA(),0)</f>
        <v/>
      </c>
      <c r="EZ12">
        <f>IFERROR(IF(LEFT(LOWER(TRIM($ES$20)),5)="every",IF(((INT($ES$11/VALUE(TRIM(MID(TRIM($ES$20),6,99))))*VALUE(TRIM(MID(TRIM($ES$20),6,99)))+VALUE(TRIM(MID(TRIM($ES$20),6,99))))+8*VALUE(TRIM(MID(TRIM($ES$20),6,99))))&lt;=$ES$12,((INT($ES$11/VALUE(TRIM(MID(TRIM($ES$20),6,99))))*VALUE(TRIM(MID(TRIM($ES$20),6,99)))+VALUE(TRIM(MID(TRIM($ES$20),6,99))))+8*VALUE(TRIM(MID(TRIM($ES$20),6,99)))),NA()),VALUE(TRIM(MID(SUBSTITUTE(SUBSTITUTE(SUBSTITUTE(TRIM($ES$20),",",";")," ",""),";",REPT(" ",99)),793,99)))),NA())</f>
        <v/>
      </c>
      <c r="FA12">
        <f>IF($ET$12="","",IFERROR(IF(ABS($ET$12)&gt;=1000000,ROUND($ET$12/1000000,MAX(0,1-INT(LOG10($ES$27/1000000))))&amp;"M",IF(ABS($ET$12)&gt;=1000,ROUND($ET$12/1000,MAX(0,1-INT(LOG10($ES$27/1000))))&amp;"k",TEXT($ET$12,"0.00"))),TEXT($ET$12,"0.00")))</f>
        <v/>
      </c>
    </row>
    <row r="13">
      <c r="B13" t="n">
        <v>563.5</v>
      </c>
      <c r="C13" t="n">
        <v>564.25</v>
      </c>
      <c r="D13" t="n">
        <v>4</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26</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c r="AO13" t="n">
        <v>36000</v>
      </c>
      <c r="AP13" t="n">
        <v>38000</v>
      </c>
      <c r="AQ13" t="n">
        <v>0</v>
      </c>
      <c r="AR13" t="inlineStr">
        <is>
          <t>bars</t>
        </is>
      </c>
      <c r="AS13">
        <f>Look!$C$80</f>
        <v/>
      </c>
      <c r="AT13">
        <f>IF(10&lt;=$AS$13,$AS$14+(10-1)*$AS$16,"")</f>
        <v/>
      </c>
      <c r="AU13">
        <f>IF(10&gt;$AS$13,"",SUMIFS($AQ$4:$AQ$203,$AP$4:$AP$203,"&gt;="&amp;$AT$13,$AP$4:$AP$203,IF(10=$AS$13,"&lt;=","&lt;")&amp;($AT$13+$AS$16)))</f>
        <v/>
      </c>
      <c r="AV13">
        <f>""</f>
        <v/>
      </c>
      <c r="AW13">
        <f>IF(AND(10&gt;=11-$AS$17,10&lt;=9),$AS$18,0)</f>
        <v/>
      </c>
      <c r="AX13">
        <f>IFERROR(IF(AND($AZ$8&gt;=$AS$14,$AZ$8&lt;=$AS$15),10+0.5+100*($AZ$8-$AS$14)/($AS$15-$AS$14),NA()),NA())</f>
        <v/>
      </c>
      <c r="AY13">
        <f>IF(ISNA($AX$13),NA(),MAX($AW$4:$AW$123))</f>
        <v/>
      </c>
      <c r="AZ13">
        <f>IFERROR(IF(LEFT(LOWER(TRIM($AS$20)),5)="every",IF(((INT($AS$11/VALUE(TRIM(MID(TRIM($AS$20),6,99))))*VALUE(TRIM(MID(TRIM($AS$20),6,99)))+VALUE(TRIM(MID(TRIM($AS$20),6,99))))+9*VALUE(TRIM(MID(TRIM($AS$20),6,99))))&lt;=$AS$12,((INT($AS$11/VALUE(TRIM(MID(TRIM($AS$20),6,99))))*VALUE(TRIM(MID(TRIM($AS$20),6,99)))+VALUE(TRIM(MID(TRIM($AS$20),6,99))))+9*VALUE(TRIM(MID(TRIM($AS$20),6,99)))),NA()),VALUE(TRIM(MID(SUBSTITUTE(SUBSTITUTE(SUBSTITUTE(TRIM($AS$20),",",";")," ",""),";",REPT(" ",99)),892,99)))),NA())</f>
        <v/>
      </c>
      <c r="BA13">
        <f>IF($AT$13="","",IFERROR(IF(ABS($AT$13)&gt;=1000000,ROUND($AT$13/1000000,MAX(0,1-INT(LOG10($AS$27/1000000))))&amp;"M",IF(ABS($AT$13)&gt;=1000,ROUND($AT$13/1000,MAX(0,1-INT(LOG10($AS$27/1000))))&amp;"k",TEXT($AT$13,"#,##0"))),TEXT($AT$13,"#,##0")))</f>
        <v/>
      </c>
      <c r="BB13" t="n">
        <v>63000</v>
      </c>
      <c r="BC13" t="n">
        <v>66500</v>
      </c>
      <c r="BD13" t="n">
        <v>432</v>
      </c>
      <c r="BE13" t="inlineStr">
        <is>
          <t>bars</t>
        </is>
      </c>
      <c r="BF13">
        <f>Look!$C$100</f>
        <v/>
      </c>
      <c r="BG13">
        <f>IF(10&lt;=$BF$13,$BF$14+(10-1)*$BF$16,"")</f>
        <v/>
      </c>
      <c r="BH13">
        <f>IF(10&gt;$BF$13,"",SUMIFS($BD$4:$BD$203,$BC$4:$BC$203,"&gt;="&amp;$BG$13,$BC$4:$BC$203,IF(10=$BF$13,"&lt;=","&lt;")&amp;($BG$13+$BF$16)))</f>
        <v/>
      </c>
      <c r="BI13">
        <f>""</f>
        <v/>
      </c>
      <c r="BJ13">
        <f>IF(AND(10&gt;=11-$BF$17,10&lt;=9),$BF$18,0)</f>
        <v/>
      </c>
      <c r="BK13">
        <f>IFERROR(IF(AND($BM$8&gt;=$BF$14,$BM$8&lt;=$BF$15),10+0.5+100*($BM$8-$BF$14)/($BF$15-$BF$14),NA()),NA())</f>
        <v/>
      </c>
      <c r="BL13">
        <f>IF(ISNA($BK$13),NA(),MAX($BJ$4:$BJ$123))</f>
        <v/>
      </c>
      <c r="BM13">
        <f>IFERROR(IF(LEFT(LOWER(TRIM($BF$20)),5)="every",IF(((INT($BF$11/VALUE(TRIM(MID(TRIM($BF$20),6,99))))*VALUE(TRIM(MID(TRIM($BF$20),6,99)))+VALUE(TRIM(MID(TRIM($BF$20),6,99))))+9*VALUE(TRIM(MID(TRIM($BF$20),6,99))))&lt;=$BF$12,((INT($BF$11/VALUE(TRIM(MID(TRIM($BF$20),6,99))))*VALUE(TRIM(MID(TRIM($BF$20),6,99)))+VALUE(TRIM(MID(TRIM($BF$20),6,99))))+9*VALUE(TRIM(MID(TRIM($BF$20),6,99)))),NA()),VALUE(TRIM(MID(SUBSTITUTE(SUBSTITUTE(SUBSTITUTE(TRIM($BF$20),",",";")," ",""),";",REPT(" ",99)),892,99)))),NA())</f>
        <v/>
      </c>
      <c r="BN13">
        <f>IF($BG$13="","",IFERROR(IF(ABS($BG$13)&gt;=1000000,ROUND($BG$13/1000000,MAX(0,1-INT(LOG10($BF$27/1000000))))&amp;"M",IF(ABS($BG$13)&gt;=1000,ROUND($BG$13/1000,MAX(0,1-INT(LOG10($BF$27/1000))))&amp;"k",TEXT($BG$13,"#,##0"))),TEXT($BG$13,"#,##0")))</f>
        <v/>
      </c>
      <c r="BO13" t="n">
        <v>0.054</v>
      </c>
      <c r="BP13" t="n">
        <v>0.057</v>
      </c>
      <c r="BQ13" t="n">
        <v>60</v>
      </c>
      <c r="BR13" t="inlineStr">
        <is>
          <t>bars</t>
        </is>
      </c>
      <c r="BS13">
        <f>Look!$C$120</f>
        <v/>
      </c>
      <c r="BT13">
        <f>IF(10&lt;=$BS$13,$BS$14+(10-1)*$BS$16,"")</f>
        <v/>
      </c>
      <c r="BU13">
        <f>IF(10&gt;$BS$13,"",SUMIFS($BQ$4:$BQ$203,$BP$4:$BP$203,"&gt;="&amp;$BT$13,$BP$4:$BP$203,IF(10=$BS$13,"&lt;=","&lt;")&amp;($BT$13+$BS$16)))</f>
        <v/>
      </c>
      <c r="BV13">
        <f>""</f>
        <v/>
      </c>
      <c r="BW13">
        <f>IF(AND(10&gt;=11-$BS$17,10&lt;=9),$BS$18,0)</f>
        <v/>
      </c>
      <c r="BX13">
        <f>IFERROR(IF(AND($BZ$8&gt;=$BS$14,$BZ$8&lt;=$BS$15),10+0.5+100*($BZ$8-$BS$14)/($BS$15-$BS$14),NA()),NA())</f>
        <v/>
      </c>
      <c r="BY13">
        <f>IF(ISNA($BX$13),NA(),MAX($BW$4:$BW$123))</f>
        <v/>
      </c>
      <c r="BZ13">
        <f>IFERROR(IF(LEFT(LOWER(TRIM($BS$20)),5)="every",IF(((INT($BS$11/VALUE(TRIM(MID(TRIM($BS$20),6,99))))*VALUE(TRIM(MID(TRIM($BS$20),6,99)))+VALUE(TRIM(MID(TRIM($BS$20),6,99))))+9*VALUE(TRIM(MID(TRIM($BS$20),6,99))))&lt;=$BS$12,((INT($BS$11/VALUE(TRIM(MID(TRIM($BS$20),6,99))))*VALUE(TRIM(MID(TRIM($BS$20),6,99)))+VALUE(TRIM(MID(TRIM($BS$20),6,99))))+9*VALUE(TRIM(MID(TRIM($BS$20),6,99)))),NA()),VALUE(TRIM(MID(SUBSTITUTE(SUBSTITUTE(SUBSTITUTE(TRIM($BS$20),",",";")," ",""),";",REPT(" ",99)),892,99)))),NA())</f>
        <v/>
      </c>
      <c r="CA13">
        <f>IF($BT$13="","",IFERROR(IF(ABS($BT$13)&gt;=1000000,ROUND($BT$13/1000000,MAX(0,1-INT(LOG10($BS$27/1000000))))&amp;"M",IF(ABS($BT$13)&gt;=1000,ROUND($BT$13/1000,MAX(0,1-INT(LOG10($BS$27/1000))))&amp;"k",TEXT($BT$13,"0.00"))),TEXT($BT$13,"0.00")))</f>
        <v/>
      </c>
      <c r="CB13" t="n">
        <v>1.35</v>
      </c>
      <c r="CC13" t="n">
        <v>1.425</v>
      </c>
      <c r="CD13" t="n">
        <v>166</v>
      </c>
      <c r="CE13" t="inlineStr">
        <is>
          <t>bars</t>
        </is>
      </c>
      <c r="CF13">
        <f>Look!$C$140</f>
        <v/>
      </c>
      <c r="CG13">
        <f>IF(10&lt;=$CF$13,$CF$14+(10-1)*$CF$16,"")</f>
        <v/>
      </c>
      <c r="CH13">
        <f>IF(10&gt;$CF$13,"",SUMIFS($CD$4:$CD$203,$CC$4:$CC$203,"&gt;="&amp;$CG$13,$CC$4:$CC$203,IF(10=$CF$13,"&lt;=","&lt;")&amp;($CG$13+$CF$16)))</f>
        <v/>
      </c>
      <c r="CI13">
        <f>""</f>
        <v/>
      </c>
      <c r="CJ13">
        <f>IF(AND(10&gt;=11-$CF$17,10&lt;=9),$CF$18,0)</f>
        <v/>
      </c>
      <c r="CK13">
        <f>IFERROR(IF(AND($CM$8&gt;=$CF$14,$CM$8&lt;=$CF$15),10+0.5+100*($CM$8-$CF$14)/($CF$15-$CF$14),NA()),NA())</f>
        <v/>
      </c>
      <c r="CL13">
        <f>IF(ISNA($CK$13),NA(),MAX($CJ$4:$CJ$123))</f>
        <v/>
      </c>
      <c r="CM13">
        <f>IFERROR(IF(LEFT(LOWER(TRIM($CF$20)),5)="every",IF(((INT($CF$11/VALUE(TRIM(MID(TRIM($CF$20),6,99))))*VALUE(TRIM(MID(TRIM($CF$20),6,99)))+VALUE(TRIM(MID(TRIM($CF$20),6,99))))+9*VALUE(TRIM(MID(TRIM($CF$20),6,99))))&lt;=$CF$12,((INT($CF$11/VALUE(TRIM(MID(TRIM($CF$20),6,99))))*VALUE(TRIM(MID(TRIM($CF$20),6,99)))+VALUE(TRIM(MID(TRIM($CF$20),6,99))))+9*VALUE(TRIM(MID(TRIM($CF$20),6,99)))),NA()),VALUE(TRIM(MID(SUBSTITUTE(SUBSTITUTE(SUBSTITUTE(TRIM($CF$20),",",";")," ",""),";",REPT(" ",99)),892,99)))),NA())</f>
        <v/>
      </c>
      <c r="CN13">
        <f>IF($CG$13="","",IFERROR(IF(ABS($CG$13)&gt;=1000000,ROUND($CG$13/1000000,MAX(0,1-INT(LOG10($CF$27/1000000))))&amp;"M",IF(ABS($CG$13)&gt;=1000,ROUND($CG$13/1000,MAX(0,1-INT(LOG10($CF$27/1000))))&amp;"k",TEXT($CG$13,"#,##0.0"))),TEXT($CG$13,"#,##0.0")))</f>
        <v/>
      </c>
      <c r="CO13" t="n">
        <v>13.6</v>
      </c>
      <c r="CP13" t="n">
        <v>13.8</v>
      </c>
      <c r="CQ13" t="n">
        <v>7</v>
      </c>
      <c r="CR13" t="inlineStr">
        <is>
          <t>bars</t>
        </is>
      </c>
      <c r="CS13">
        <f>Look!$C$160</f>
        <v/>
      </c>
      <c r="CT13">
        <f>IF(10&lt;=$CS$13,$CS$14+(10-1)*$CS$16,"")</f>
        <v/>
      </c>
      <c r="CU13">
        <f>IF(10&gt;$CS$13,"",SUMIFS($CQ$4:$CQ$203,$CP$4:$CP$203,"&gt;="&amp;$CT$13,$CP$4:$CP$203,IF(10=$CS$13,"&lt;=","&lt;")&amp;($CT$13+$CS$16)))</f>
        <v/>
      </c>
      <c r="CV13">
        <f>""</f>
        <v/>
      </c>
      <c r="CW13">
        <f>IF(AND(10&gt;=11-$CS$17,10&lt;=9),$CS$18,0)</f>
        <v/>
      </c>
      <c r="CX13">
        <f>IFERROR(IF(AND($CZ$8&gt;=$CS$14,$CZ$8&lt;=$CS$15),10+0.5+100*($CZ$8-$CS$14)/($CS$15-$CS$14),NA()),NA())</f>
        <v/>
      </c>
      <c r="CY13">
        <f>IF(ISNA($CX$13),NA(),MAX($CW$4:$CW$123))</f>
        <v/>
      </c>
      <c r="CZ13">
        <f>IFERROR(IF(LEFT(LOWER(TRIM($CS$20)),5)="every",IF(((INT($CS$11/VALUE(TRIM(MID(TRIM($CS$20),6,99))))*VALUE(TRIM(MID(TRIM($CS$20),6,99)))+VALUE(TRIM(MID(TRIM($CS$20),6,99))))+9*VALUE(TRIM(MID(TRIM($CS$20),6,99))))&lt;=$CS$12,((INT($CS$11/VALUE(TRIM(MID(TRIM($CS$20),6,99))))*VALUE(TRIM(MID(TRIM($CS$20),6,99)))+VALUE(TRIM(MID(TRIM($CS$20),6,99))))+9*VALUE(TRIM(MID(TRIM($CS$20),6,99)))),NA()),VALUE(TRIM(MID(SUBSTITUTE(SUBSTITUTE(SUBSTITUTE(TRIM($CS$20),",",";")," ",""),";",REPT(" ",99)),892,99)))),NA())</f>
        <v/>
      </c>
      <c r="DA13">
        <f>IF($CT$13="","",IFERROR(IF(ABS($CT$13)&gt;=1000000,ROUND($CT$13/1000000,MAX(0,1-INT(LOG10($CS$27/1000000))))&amp;"M",IF(ABS($CT$13)&gt;=1000,ROUND($CT$13/1000,MAX(0,1-INT(LOG10($CS$27/1000))))&amp;"k",TEXT($CT$13,"#,##0"))),TEXT($CT$13,"#,##0")))</f>
        <v/>
      </c>
      <c r="DB13" t="n">
        <v>13.15</v>
      </c>
      <c r="DC13" t="n">
        <v>13.325</v>
      </c>
      <c r="DD13" t="n">
        <v>6</v>
      </c>
      <c r="DE13" t="inlineStr">
        <is>
          <t>bars</t>
        </is>
      </c>
      <c r="DF13">
        <f>Look!$C$180</f>
        <v/>
      </c>
      <c r="DG13">
        <f>IF(10&lt;=$DF$13,$DF$14+(10-1)*$DF$16,"")</f>
        <v/>
      </c>
      <c r="DH13">
        <f>IF(10&gt;$DF$13,"",SUMIFS($DD$4:$DD$203,$DC$4:$DC$203,"&gt;="&amp;$DG$13,$DC$4:$DC$203,IF(10=$DF$13,"&lt;=","&lt;")&amp;($DG$13+$DF$16)))</f>
        <v/>
      </c>
      <c r="DI13">
        <f>""</f>
        <v/>
      </c>
      <c r="DJ13">
        <f>IF(AND(10&gt;=11-$DF$17,10&lt;=9),$DF$18,0)</f>
        <v/>
      </c>
      <c r="DK13">
        <f>IFERROR(IF(AND($DM$8&gt;=$DF$14,$DM$8&lt;=$DF$15),10+0.5+100*($DM$8-$DF$14)/($DF$15-$DF$14),NA()),NA())</f>
        <v/>
      </c>
      <c r="DL13">
        <f>IF(ISNA($DK$13),NA(),MAX($DJ$4:$DJ$123))</f>
        <v/>
      </c>
      <c r="DM13">
        <f>IFERROR(IF(LEFT(LOWER(TRIM($DF$20)),5)="every",IF(((INT($DF$11/VALUE(TRIM(MID(TRIM($DF$20),6,99))))*VALUE(TRIM(MID(TRIM($DF$20),6,99)))+VALUE(TRIM(MID(TRIM($DF$20),6,99))))+9*VALUE(TRIM(MID(TRIM($DF$20),6,99))))&lt;=$DF$12,((INT($DF$11/VALUE(TRIM(MID(TRIM($DF$20),6,99))))*VALUE(TRIM(MID(TRIM($DF$20),6,99)))+VALUE(TRIM(MID(TRIM($DF$20),6,99))))+9*VALUE(TRIM(MID(TRIM($DF$20),6,99)))),NA()),VALUE(TRIM(MID(SUBSTITUTE(SUBSTITUTE(SUBSTITUTE(TRIM($DF$20),",",";")," ",""),";",REPT(" ",99)),892,99)))),NA())</f>
        <v/>
      </c>
      <c r="DN13">
        <f>IF($DG$13="","",IFERROR(IF(ABS($DG$13)&gt;=1000000,ROUND($DG$13/1000000,MAX(0,1-INT(LOG10($DF$27/1000000))))&amp;"M",IF(ABS($DG$13)&gt;=1000,ROUND($DG$13/1000,MAX(0,1-INT(LOG10($DF$27/1000))))&amp;"k",TEXT($DG$13,"#,##0.0"))),TEXT($DG$13,"#,##0.0")))</f>
        <v/>
      </c>
      <c r="DO13" t="n">
        <v>7.725</v>
      </c>
      <c r="DP13" t="n">
        <v>7.7375</v>
      </c>
      <c r="DQ13" t="n">
        <v>11</v>
      </c>
      <c r="DR13" t="inlineStr">
        <is>
          <t>bars</t>
        </is>
      </c>
      <c r="DS13">
        <f>Look!$C$200</f>
        <v/>
      </c>
      <c r="DT13">
        <f>IF(10&lt;=$DS$13,$DS$14+(10-1)*$DS$16,"")</f>
        <v/>
      </c>
      <c r="DU13">
        <f>IF(10&gt;$DS$13,"",SUMIFS($DQ$4:$DQ$203,$DP$4:$DP$203,"&gt;="&amp;$DT$13,$DP$4:$DP$203,IF(10=$DS$13,"&lt;=","&lt;")&amp;($DT$13+$DS$16)))</f>
        <v/>
      </c>
      <c r="DV13">
        <f>""</f>
        <v/>
      </c>
      <c r="DW13">
        <f>IF(AND(10&gt;=11-$DS$17,10&lt;=9),$DS$18,0)</f>
        <v/>
      </c>
      <c r="DX13">
        <f>IFERROR(IF(AND($DZ$8&gt;=$DS$14,$DZ$8&lt;=$DS$15),10+0.5+100*($DZ$8-$DS$14)/($DS$15-$DS$14),NA()),NA())</f>
        <v/>
      </c>
      <c r="DY13">
        <f>IF(ISNA($DX$13),NA(),MAX($DW$4:$DW$123))</f>
        <v/>
      </c>
      <c r="DZ13">
        <f>IFERROR(IF(LEFT(LOWER(TRIM($DS$20)),5)="every",IF(((INT($DS$11/VALUE(TRIM(MID(TRIM($DS$20),6,99))))*VALUE(TRIM(MID(TRIM($DS$20),6,99)))+VALUE(TRIM(MID(TRIM($DS$20),6,99))))+9*VALUE(TRIM(MID(TRIM($DS$20),6,99))))&lt;=$DS$12,((INT($DS$11/VALUE(TRIM(MID(TRIM($DS$20),6,99))))*VALUE(TRIM(MID(TRIM($DS$20),6,99)))+VALUE(TRIM(MID(TRIM($DS$20),6,99))))+9*VALUE(TRIM(MID(TRIM($DS$20),6,99)))),NA()),VALUE(TRIM(MID(SUBSTITUTE(SUBSTITUTE(SUBSTITUTE(TRIM($DS$20),",",";")," ",""),";",REPT(" ",99)),892,99)))),NA())</f>
        <v/>
      </c>
      <c r="EA13">
        <f>IF($DT$13="","",IFERROR(IF(ABS($DT$13)&gt;=1000000,ROUND($DT$13/1000000,MAX(0,1-INT(LOG10($DS$27/1000000))))&amp;"M",IF(ABS($DT$13)&gt;=1000,ROUND($DT$13/1000,MAX(0,1-INT(LOG10($DS$27/1000))))&amp;"k",TEXT($DT$13,"#,##0.0"))),TEXT($DT$13,"#,##0.0")))</f>
        <v/>
      </c>
      <c r="EB13" t="n">
        <v>4.5</v>
      </c>
      <c r="EC13" t="n">
        <v>4.75</v>
      </c>
      <c r="ED13" t="n">
        <v>49</v>
      </c>
      <c r="EE13" t="inlineStr">
        <is>
          <t>bars</t>
        </is>
      </c>
      <c r="EF13">
        <f>Look!$C$220</f>
        <v/>
      </c>
      <c r="EG13">
        <f>IF(10&lt;=$EF$13,$EF$14+(10-1)*$EF$16,"")</f>
        <v/>
      </c>
      <c r="EH13">
        <f>IF(10&gt;$EF$13,"",SUMIFS($ED$4:$ED$203,$EC$4:$EC$203,"&gt;="&amp;$EG$13,$EC$4:$EC$203,IF(10=$EF$13,"&lt;=","&lt;")&amp;($EG$13+$EF$16)))</f>
        <v/>
      </c>
      <c r="EI13">
        <f>""</f>
        <v/>
      </c>
      <c r="EJ13">
        <f>IF(AND(10&gt;=11-$EF$17,10&lt;=9),$EF$18,0)</f>
        <v/>
      </c>
      <c r="EK13">
        <f>IFERROR(IF(AND($EM$8&gt;=$EF$14,$EM$8&lt;=$EF$15),10+0.5+100*($EM$8-$EF$14)/($EF$15-$EF$14),NA()),NA())</f>
        <v/>
      </c>
      <c r="EL13">
        <f>IF(ISNA($EK$13),NA(),MAX($EJ$4:$EJ$123))</f>
        <v/>
      </c>
      <c r="EM13">
        <f>IFERROR(IF(LEFT(LOWER(TRIM($EF$20)),5)="every",IF(((INT($EF$11/VALUE(TRIM(MID(TRIM($EF$20),6,99))))*VALUE(TRIM(MID(TRIM($EF$20),6,99)))+VALUE(TRIM(MID(TRIM($EF$20),6,99))))+9*VALUE(TRIM(MID(TRIM($EF$20),6,99))))&lt;=$EF$12,((INT($EF$11/VALUE(TRIM(MID(TRIM($EF$20),6,99))))*VALUE(TRIM(MID(TRIM($EF$20),6,99)))+VALUE(TRIM(MID(TRIM($EF$20),6,99))))+9*VALUE(TRIM(MID(TRIM($EF$20),6,99)))),NA()),VALUE(TRIM(MID(SUBSTITUTE(SUBSTITUTE(SUBSTITUTE(TRIM($EF$20),",",";")," ",""),";",REPT(" ",99)),892,99)))),NA())</f>
        <v/>
      </c>
      <c r="EN13">
        <f>IF($EG$13="","",IFERROR(IF(ABS($EG$13)&gt;=1000000,ROUND($EG$13/1000000,MAX(0,1-INT(LOG10($EF$27/1000000))))&amp;"M",IF(ABS($EG$13)&gt;=1000,ROUND($EG$13/1000,MAX(0,1-INT(LOG10($EF$27/1000))))&amp;"k",TEXT($EG$13,"#,##0"))),TEXT($EG$13,"#,##0")))</f>
        <v/>
      </c>
      <c r="EO13" t="n">
        <v>0.1575</v>
      </c>
      <c r="EP13" t="n">
        <v>0.16625</v>
      </c>
      <c r="EQ13" t="n">
        <v>249</v>
      </c>
      <c r="ER13" t="inlineStr">
        <is>
          <t>bars</t>
        </is>
      </c>
      <c r="ES13">
        <f>Look!$C$240</f>
        <v/>
      </c>
      <c r="ET13">
        <f>IF(10&lt;=$ES$13,$ES$14+(10-1)*$ES$16,"")</f>
        <v/>
      </c>
      <c r="EU13">
        <f>IF(10&gt;$ES$13,"",SUMIFS($EQ$4:$EQ$203,$EP$4:$EP$203,"&gt;="&amp;$ET$13,$EP$4:$EP$203,IF(10=$ES$13,"&lt;=","&lt;")&amp;($ET$13+$ES$16)))</f>
        <v/>
      </c>
      <c r="EV13">
        <f>""</f>
        <v/>
      </c>
      <c r="EW13">
        <f>IF(AND(10&gt;=11-$ES$17,10&lt;=9),$ES$18,0)</f>
        <v/>
      </c>
      <c r="EX13">
        <f>IFERROR(IF(AND($EZ$8&gt;=$ES$14,$EZ$8&lt;=$ES$15),10+0.5+100*($EZ$8-$ES$14)/($ES$15-$ES$14),NA()),NA())</f>
        <v/>
      </c>
      <c r="EY13">
        <f>IF(ISNA($EX$13),NA(),MAX($EW$4:$EW$123))</f>
        <v/>
      </c>
      <c r="EZ13">
        <f>IFERROR(IF(LEFT(LOWER(TRIM($ES$20)),5)="every",IF(((INT($ES$11/VALUE(TRIM(MID(TRIM($ES$20),6,99))))*VALUE(TRIM(MID(TRIM($ES$20),6,99)))+VALUE(TRIM(MID(TRIM($ES$20),6,99))))+9*VALUE(TRIM(MID(TRIM($ES$20),6,99))))&lt;=$ES$12,((INT($ES$11/VALUE(TRIM(MID(TRIM($ES$20),6,99))))*VALUE(TRIM(MID(TRIM($ES$20),6,99)))+VALUE(TRIM(MID(TRIM($ES$20),6,99))))+9*VALUE(TRIM(MID(TRIM($ES$20),6,99)))),NA()),VALUE(TRIM(MID(SUBSTITUTE(SUBSTITUTE(SUBSTITUTE(TRIM($ES$20),",",";")," ",""),";",REPT(" ",99)),892,99)))),NA())</f>
        <v/>
      </c>
      <c r="FA13">
        <f>IF($ET$13="","",IFERROR(IF(ABS($ET$13)&gt;=1000000,ROUND($ET$13/1000000,MAX(0,1-INT(LOG10($ES$27/1000000))))&amp;"M",IF(ABS($ET$13)&gt;=1000,ROUND($ET$13/1000,MAX(0,1-INT(LOG10($ES$27/1000))))&amp;"k",TEXT($ET$13,"0.00"))),TEXT($ET$13,"0.00")))</f>
        <v/>
      </c>
    </row>
    <row r="14">
      <c r="B14" t="n">
        <v>565</v>
      </c>
      <c r="C14" t="n">
        <v>565.75</v>
      </c>
      <c r="D14" t="n">
        <v>10</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34</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c r="AO14" t="n">
        <v>40000</v>
      </c>
      <c r="AP14" t="n">
        <v>42000</v>
      </c>
      <c r="AQ14" t="n">
        <v>0</v>
      </c>
      <c r="AR14" t="inlineStr">
        <is>
          <t>from</t>
        </is>
      </c>
      <c r="AS14">
        <f>Look!$C$81</f>
        <v/>
      </c>
      <c r="AT14">
        <f>IF(11&lt;=$AS$13,$AS$14+(11-1)*$AS$16,"")</f>
        <v/>
      </c>
      <c r="AU14">
        <f>IF(11&gt;$AS$13,"",SUMIFS($AQ$4:$AQ$203,$AP$4:$AP$203,"&gt;="&amp;$AT$14,$AP$4:$AP$203,IF(11=$AS$13,"&lt;=","&lt;")&amp;($AT$14+$AS$16)))</f>
        <v/>
      </c>
      <c r="AV14">
        <f>IF(AND(MOD(0,$AS$17)=0,MOD((INT(0/$AS$17)+1)-1,$AS$13/5)=0),INDEX($BA$4:$BA$53,(INT(0/$AS$17)+1)),"")</f>
        <v/>
      </c>
      <c r="AW14">
        <f>IF(MOD(0,$AS$17)=$AS$17-1,0,INDEX($AU$4:$AU$53,(INT(0/$AS$17)+1)))</f>
        <v/>
      </c>
      <c r="AX14">
        <f>IFERROR(IF(AND($AZ$9&gt;=$AS$14,$AZ$9&lt;=$AS$15),10+0.5+100*($AZ$9-$AS$14)/($AS$15-$AS$14),NA()),NA())</f>
        <v/>
      </c>
      <c r="AY14">
        <f>IF(ISNA($AX$14),NA(),0)</f>
        <v/>
      </c>
      <c r="AZ14">
        <f>IFERROR(IF(LEFT(LOWER(TRIM($AS$20)),5)="every",IF(((INT($AS$11/VALUE(TRIM(MID(TRIM($AS$20),6,99))))*VALUE(TRIM(MID(TRIM($AS$20),6,99)))+VALUE(TRIM(MID(TRIM($AS$20),6,99))))+10*VALUE(TRIM(MID(TRIM($AS$20),6,99))))&lt;=$AS$12,((INT($AS$11/VALUE(TRIM(MID(TRIM($AS$20),6,99))))*VALUE(TRIM(MID(TRIM($AS$20),6,99)))+VALUE(TRIM(MID(TRIM($AS$20),6,99))))+10*VALUE(TRIM(MID(TRIM($AS$20),6,99)))),NA()),VALUE(TRIM(MID(SUBSTITUTE(SUBSTITUTE(SUBSTITUTE(TRIM($AS$20),",",";")," ",""),";",REPT(" ",99)),991,99)))),NA())</f>
        <v/>
      </c>
      <c r="BA14">
        <f>IF($AT$14="","",IFERROR(IF(ABS($AT$14)&gt;=1000000,ROUND($AT$14/1000000,MAX(0,1-INT(LOG10($AS$27/1000000))))&amp;"M",IF(ABS($AT$14)&gt;=1000,ROUND($AT$14/1000,MAX(0,1-INT(LOG10($AS$27/1000))))&amp;"k",TEXT($AT$14,"#,##0"))),TEXT($AT$14,"#,##0")))</f>
        <v/>
      </c>
      <c r="BB14" t="n">
        <v>70000</v>
      </c>
      <c r="BC14" t="n">
        <v>73500</v>
      </c>
      <c r="BD14" t="n">
        <v>437</v>
      </c>
      <c r="BE14" t="inlineStr">
        <is>
          <t>from</t>
        </is>
      </c>
      <c r="BF14">
        <f>Look!$C$101</f>
        <v/>
      </c>
      <c r="BG14">
        <f>IF(11&lt;=$BF$13,$BF$14+(11-1)*$BF$16,"")</f>
        <v/>
      </c>
      <c r="BH14">
        <f>IF(11&gt;$BF$13,"",SUMIFS($BD$4:$BD$203,$BC$4:$BC$203,"&gt;="&amp;$BG$14,$BC$4:$BC$203,IF(11=$BF$13,"&lt;=","&lt;")&amp;($BG$14+$BF$16)))</f>
        <v/>
      </c>
      <c r="BI14">
        <f>IF(AND(MOD(0,$BF$17)=0,MOD((INT(0/$BF$17)+1)-1,$BF$13/5)=0),INDEX($BN$4:$BN$53,(INT(0/$BF$17)+1)),"")</f>
        <v/>
      </c>
      <c r="BJ14">
        <f>IF(MOD(0,$BF$17)=$BF$17-1,0,INDEX($BH$4:$BH$53,(INT(0/$BF$17)+1)))</f>
        <v/>
      </c>
      <c r="BK14">
        <f>IFERROR(IF(AND($BM$9&gt;=$BF$14,$BM$9&lt;=$BF$15),10+0.5+100*($BM$9-$BF$14)/($BF$15-$BF$14),NA()),NA())</f>
        <v/>
      </c>
      <c r="BL14">
        <f>IF(ISNA($BK$14),NA(),0)</f>
        <v/>
      </c>
      <c r="BM14">
        <f>IFERROR(IF(LEFT(LOWER(TRIM($BF$20)),5)="every",IF(((INT($BF$11/VALUE(TRIM(MID(TRIM($BF$20),6,99))))*VALUE(TRIM(MID(TRIM($BF$20),6,99)))+VALUE(TRIM(MID(TRIM($BF$20),6,99))))+10*VALUE(TRIM(MID(TRIM($BF$20),6,99))))&lt;=$BF$12,((INT($BF$11/VALUE(TRIM(MID(TRIM($BF$20),6,99))))*VALUE(TRIM(MID(TRIM($BF$20),6,99)))+VALUE(TRIM(MID(TRIM($BF$20),6,99))))+10*VALUE(TRIM(MID(TRIM($BF$20),6,99)))),NA()),VALUE(TRIM(MID(SUBSTITUTE(SUBSTITUTE(SUBSTITUTE(TRIM($BF$20),",",";")," ",""),";",REPT(" ",99)),991,99)))),NA())</f>
        <v/>
      </c>
      <c r="BN14">
        <f>IF($BG$14="","",IFERROR(IF(ABS($BG$14)&gt;=1000000,ROUND($BG$14/1000000,MAX(0,1-INT(LOG10($BF$27/1000000))))&amp;"M",IF(ABS($BG$14)&gt;=1000,ROUND($BG$14/1000,MAX(0,1-INT(LOG10($BF$27/1000))))&amp;"k",TEXT($BG$14,"#,##0"))),TEXT($BG$14,"#,##0")))</f>
        <v/>
      </c>
      <c r="BO14" t="n">
        <v>0.06</v>
      </c>
      <c r="BP14" t="n">
        <v>0.063</v>
      </c>
      <c r="BQ14" t="n">
        <v>60</v>
      </c>
      <c r="BR14" t="inlineStr">
        <is>
          <t>from</t>
        </is>
      </c>
      <c r="BS14">
        <f>Look!$C$121</f>
        <v/>
      </c>
      <c r="BT14">
        <f>IF(11&lt;=$BS$13,$BS$14+(11-1)*$BS$16,"")</f>
        <v/>
      </c>
      <c r="BU14">
        <f>IF(11&gt;$BS$13,"",SUMIFS($BQ$4:$BQ$203,$BP$4:$BP$203,"&gt;="&amp;$BT$14,$BP$4:$BP$203,IF(11=$BS$13,"&lt;=","&lt;")&amp;($BT$14+$BS$16)))</f>
        <v/>
      </c>
      <c r="BV14">
        <f>IF(AND(MOD(0,$BS$17)=0,MOD((INT(0/$BS$17)+1)-1,$BS$13/5)=0),INDEX($CA$4:$CA$53,(INT(0/$BS$17)+1)),"")</f>
        <v/>
      </c>
      <c r="BW14">
        <f>IF(MOD(0,$BS$17)=$BS$17-1,0,INDEX($BU$4:$BU$53,(INT(0/$BS$17)+1)))</f>
        <v/>
      </c>
      <c r="BX14">
        <f>IFERROR(IF(AND($BZ$9&gt;=$BS$14,$BZ$9&lt;=$BS$15),10+0.5+100*($BZ$9-$BS$14)/($BS$15-$BS$14),NA()),NA())</f>
        <v/>
      </c>
      <c r="BY14">
        <f>IF(ISNA($BX$14),NA(),0)</f>
        <v/>
      </c>
      <c r="BZ14">
        <f>IFERROR(IF(LEFT(LOWER(TRIM($BS$20)),5)="every",IF(((INT($BS$11/VALUE(TRIM(MID(TRIM($BS$20),6,99))))*VALUE(TRIM(MID(TRIM($BS$20),6,99)))+VALUE(TRIM(MID(TRIM($BS$20),6,99))))+10*VALUE(TRIM(MID(TRIM($BS$20),6,99))))&lt;=$BS$12,((INT($BS$11/VALUE(TRIM(MID(TRIM($BS$20),6,99))))*VALUE(TRIM(MID(TRIM($BS$20),6,99)))+VALUE(TRIM(MID(TRIM($BS$20),6,99))))+10*VALUE(TRIM(MID(TRIM($BS$20),6,99)))),NA()),VALUE(TRIM(MID(SUBSTITUTE(SUBSTITUTE(SUBSTITUTE(TRIM($BS$20),",",";")," ",""),";",REPT(" ",99)),991,99)))),NA())</f>
        <v/>
      </c>
      <c r="CA14">
        <f>IF($BT$14="","",IFERROR(IF(ABS($BT$14)&gt;=1000000,ROUND($BT$14/1000000,MAX(0,1-INT(LOG10($BS$27/1000000))))&amp;"M",IF(ABS($BT$14)&gt;=1000,ROUND($BT$14/1000,MAX(0,1-INT(LOG10($BS$27/1000))))&amp;"k",TEXT($BT$14,"0.00"))),TEXT($BT$14,"0.00")))</f>
        <v/>
      </c>
      <c r="CB14" t="n">
        <v>1.5</v>
      </c>
      <c r="CC14" t="n">
        <v>1.575</v>
      </c>
      <c r="CD14" t="n">
        <v>311</v>
      </c>
      <c r="CE14" t="inlineStr">
        <is>
          <t>from</t>
        </is>
      </c>
      <c r="CF14">
        <f>Look!$C$141</f>
        <v/>
      </c>
      <c r="CG14">
        <f>IF(11&lt;=$CF$13,$CF$14+(11-1)*$CF$16,"")</f>
        <v/>
      </c>
      <c r="CH14">
        <f>IF(11&gt;$CF$13,"",SUMIFS($CD$4:$CD$203,$CC$4:$CC$203,"&gt;="&amp;$CG$14,$CC$4:$CC$203,IF(11=$CF$13,"&lt;=","&lt;")&amp;($CG$14+$CF$16)))</f>
        <v/>
      </c>
      <c r="CI14">
        <f>IF(AND(MOD(0,$CF$17)=0,MOD((INT(0/$CF$17)+1)-1,$CF$13/5)=0),INDEX($CN$4:$CN$53,(INT(0/$CF$17)+1)),"")</f>
        <v/>
      </c>
      <c r="CJ14">
        <f>IF(MOD(0,$CF$17)=$CF$17-1,0,INDEX($CH$4:$CH$53,(INT(0/$CF$17)+1)))</f>
        <v/>
      </c>
      <c r="CK14">
        <f>IFERROR(IF(AND($CM$9&gt;=$CF$14,$CM$9&lt;=$CF$15),10+0.5+100*($CM$9-$CF$14)/($CF$15-$CF$14),NA()),NA())</f>
        <v/>
      </c>
      <c r="CL14">
        <f>IF(ISNA($CK$14),NA(),0)</f>
        <v/>
      </c>
      <c r="CM14">
        <f>IFERROR(IF(LEFT(LOWER(TRIM($CF$20)),5)="every",IF(((INT($CF$11/VALUE(TRIM(MID(TRIM($CF$20),6,99))))*VALUE(TRIM(MID(TRIM($CF$20),6,99)))+VALUE(TRIM(MID(TRIM($CF$20),6,99))))+10*VALUE(TRIM(MID(TRIM($CF$20),6,99))))&lt;=$CF$12,((INT($CF$11/VALUE(TRIM(MID(TRIM($CF$20),6,99))))*VALUE(TRIM(MID(TRIM($CF$20),6,99)))+VALUE(TRIM(MID(TRIM($CF$20),6,99))))+10*VALUE(TRIM(MID(TRIM($CF$20),6,99)))),NA()),VALUE(TRIM(MID(SUBSTITUTE(SUBSTITUTE(SUBSTITUTE(TRIM($CF$20),",",";")," ",""),";",REPT(" ",99)),991,99)))),NA())</f>
        <v/>
      </c>
      <c r="CN14">
        <f>IF($CG$14="","",IFERROR(IF(ABS($CG$14)&gt;=1000000,ROUND($CG$14/1000000,MAX(0,1-INT(LOG10($CF$27/1000000))))&amp;"M",IF(ABS($CG$14)&gt;=1000,ROUND($CG$14/1000,MAX(0,1-INT(LOG10($CF$27/1000))))&amp;"k",TEXT($CG$14,"#,##0.0"))),TEXT($CG$14,"#,##0.0")))</f>
        <v/>
      </c>
      <c r="CO14" t="n">
        <v>14</v>
      </c>
      <c r="CP14" t="n">
        <v>14.2</v>
      </c>
      <c r="CQ14" t="n">
        <v>6</v>
      </c>
      <c r="CR14" t="inlineStr">
        <is>
          <t>from</t>
        </is>
      </c>
      <c r="CS14">
        <f>Look!$C$161</f>
        <v/>
      </c>
      <c r="CT14">
        <f>IF(11&lt;=$CS$13,$CS$14+(11-1)*$CS$16,"")</f>
        <v/>
      </c>
      <c r="CU14">
        <f>IF(11&gt;$CS$13,"",SUMIFS($CQ$4:$CQ$203,$CP$4:$CP$203,"&gt;="&amp;$CT$14,$CP$4:$CP$203,IF(11=$CS$13,"&lt;=","&lt;")&amp;($CT$14+$CS$16)))</f>
        <v/>
      </c>
      <c r="CV14">
        <f>IF(AND(MOD(0,$CS$17)=0,MOD((INT(0/$CS$17)+1)-1,$CS$13/5)=0),INDEX($DA$4:$DA$53,(INT(0/$CS$17)+1)),"")</f>
        <v/>
      </c>
      <c r="CW14">
        <f>IF(MOD(0,$CS$17)=$CS$17-1,0,INDEX($CU$4:$CU$53,(INT(0/$CS$17)+1)))</f>
        <v/>
      </c>
      <c r="CX14">
        <f>IFERROR(IF(AND($CZ$9&gt;=$CS$14,$CZ$9&lt;=$CS$15),10+0.5+100*($CZ$9-$CS$14)/($CS$15-$CS$14),NA()),NA())</f>
        <v/>
      </c>
      <c r="CY14">
        <f>IF(ISNA($CX$14),NA(),0)</f>
        <v/>
      </c>
      <c r="CZ14">
        <f>IFERROR(IF(LEFT(LOWER(TRIM($CS$20)),5)="every",IF(((INT($CS$11/VALUE(TRIM(MID(TRIM($CS$20),6,99))))*VALUE(TRIM(MID(TRIM($CS$20),6,99)))+VALUE(TRIM(MID(TRIM($CS$20),6,99))))+10*VALUE(TRIM(MID(TRIM($CS$20),6,99))))&lt;=$CS$12,((INT($CS$11/VALUE(TRIM(MID(TRIM($CS$20),6,99))))*VALUE(TRIM(MID(TRIM($CS$20),6,99)))+VALUE(TRIM(MID(TRIM($CS$20),6,99))))+10*VALUE(TRIM(MID(TRIM($CS$20),6,99)))),NA()),VALUE(TRIM(MID(SUBSTITUTE(SUBSTITUTE(SUBSTITUTE(TRIM($CS$20),",",";")," ",""),";",REPT(" ",99)),991,99)))),NA())</f>
        <v/>
      </c>
      <c r="DA14">
        <f>IF($CT$14="","",IFERROR(IF(ABS($CT$14)&gt;=1000000,ROUND($CT$14/1000000,MAX(0,1-INT(LOG10($CS$27/1000000))))&amp;"M",IF(ABS($CT$14)&gt;=1000,ROUND($CT$14/1000,MAX(0,1-INT(LOG10($CS$27/1000))))&amp;"k",TEXT($CT$14,"#,##0"))),TEXT($CT$14,"#,##0")))</f>
        <v/>
      </c>
      <c r="DB14" t="n">
        <v>13.5</v>
      </c>
      <c r="DC14" t="n">
        <v>13.675</v>
      </c>
      <c r="DD14" t="n">
        <v>10</v>
      </c>
      <c r="DE14" t="inlineStr">
        <is>
          <t>from</t>
        </is>
      </c>
      <c r="DF14">
        <f>Look!$C$181</f>
        <v/>
      </c>
      <c r="DG14">
        <f>IF(11&lt;=$DF$13,$DF$14+(11-1)*$DF$16,"")</f>
        <v/>
      </c>
      <c r="DH14">
        <f>IF(11&gt;$DF$13,"",SUMIFS($DD$4:$DD$203,$DC$4:$DC$203,"&gt;="&amp;$DG$14,$DC$4:$DC$203,IF(11=$DF$13,"&lt;=","&lt;")&amp;($DG$14+$DF$16)))</f>
        <v/>
      </c>
      <c r="DI14">
        <f>IF(AND(MOD(0,$DF$17)=0,MOD((INT(0/$DF$17)+1)-1,$DF$13/5)=0),INDEX($DN$4:$DN$53,(INT(0/$DF$17)+1)),"")</f>
        <v/>
      </c>
      <c r="DJ14">
        <f>IF(MOD(0,$DF$17)=$DF$17-1,0,INDEX($DH$4:$DH$53,(INT(0/$DF$17)+1)))</f>
        <v/>
      </c>
      <c r="DK14">
        <f>IFERROR(IF(AND($DM$9&gt;=$DF$14,$DM$9&lt;=$DF$15),10+0.5+100*($DM$9-$DF$14)/($DF$15-$DF$14),NA()),NA())</f>
        <v/>
      </c>
      <c r="DL14">
        <f>IF(ISNA($DK$14),NA(),0)</f>
        <v/>
      </c>
      <c r="DM14">
        <f>IFERROR(IF(LEFT(LOWER(TRIM($DF$20)),5)="every",IF(((INT($DF$11/VALUE(TRIM(MID(TRIM($DF$20),6,99))))*VALUE(TRIM(MID(TRIM($DF$20),6,99)))+VALUE(TRIM(MID(TRIM($DF$20),6,99))))+10*VALUE(TRIM(MID(TRIM($DF$20),6,99))))&lt;=$DF$12,((INT($DF$11/VALUE(TRIM(MID(TRIM($DF$20),6,99))))*VALUE(TRIM(MID(TRIM($DF$20),6,99)))+VALUE(TRIM(MID(TRIM($DF$20),6,99))))+10*VALUE(TRIM(MID(TRIM($DF$20),6,99)))),NA()),VALUE(TRIM(MID(SUBSTITUTE(SUBSTITUTE(SUBSTITUTE(TRIM($DF$20),",",";")," ",""),";",REPT(" ",99)),991,99)))),NA())</f>
        <v/>
      </c>
      <c r="DN14">
        <f>IF($DG$14="","",IFERROR(IF(ABS($DG$14)&gt;=1000000,ROUND($DG$14/1000000,MAX(0,1-INT(LOG10($DF$27/1000000))))&amp;"M",IF(ABS($DG$14)&gt;=1000,ROUND($DG$14/1000,MAX(0,1-INT(LOG10($DF$27/1000))))&amp;"k",TEXT($DG$14,"#,##0.0"))),TEXT($DG$14,"#,##0.0")))</f>
        <v/>
      </c>
      <c r="DO14" t="n">
        <v>7.75</v>
      </c>
      <c r="DP14" t="n">
        <v>7.7625</v>
      </c>
      <c r="DQ14" t="n">
        <v>11</v>
      </c>
      <c r="DR14" t="inlineStr">
        <is>
          <t>from</t>
        </is>
      </c>
      <c r="DS14">
        <f>Look!$C$201</f>
        <v/>
      </c>
      <c r="DT14">
        <f>IF(11&lt;=$DS$13,$DS$14+(11-1)*$DS$16,"")</f>
        <v/>
      </c>
      <c r="DU14">
        <f>IF(11&gt;$DS$13,"",SUMIFS($DQ$4:$DQ$203,$DP$4:$DP$203,"&gt;="&amp;$DT$14,$DP$4:$DP$203,IF(11=$DS$13,"&lt;=","&lt;")&amp;($DT$14+$DS$16)))</f>
        <v/>
      </c>
      <c r="DV14">
        <f>IF(AND(MOD(0,$DS$17)=0,MOD((INT(0/$DS$17)+1)-1,$DS$13/5)=0),INDEX($EA$4:$EA$53,(INT(0/$DS$17)+1)),"")</f>
        <v/>
      </c>
      <c r="DW14">
        <f>IF(MOD(0,$DS$17)=$DS$17-1,0,INDEX($DU$4:$DU$53,(INT(0/$DS$17)+1)))</f>
        <v/>
      </c>
      <c r="DX14">
        <f>IFERROR(IF(AND($DZ$9&gt;=$DS$14,$DZ$9&lt;=$DS$15),10+0.5+100*($DZ$9-$DS$14)/($DS$15-$DS$14),NA()),NA())</f>
        <v/>
      </c>
      <c r="DY14">
        <f>IF(ISNA($DX$14),NA(),0)</f>
        <v/>
      </c>
      <c r="DZ14">
        <f>IFERROR(IF(LEFT(LOWER(TRIM($DS$20)),5)="every",IF(((INT($DS$11/VALUE(TRIM(MID(TRIM($DS$20),6,99))))*VALUE(TRIM(MID(TRIM($DS$20),6,99)))+VALUE(TRIM(MID(TRIM($DS$20),6,99))))+10*VALUE(TRIM(MID(TRIM($DS$20),6,99))))&lt;=$DS$12,((INT($DS$11/VALUE(TRIM(MID(TRIM($DS$20),6,99))))*VALUE(TRIM(MID(TRIM($DS$20),6,99)))+VALUE(TRIM(MID(TRIM($DS$20),6,99))))+10*VALUE(TRIM(MID(TRIM($DS$20),6,99)))),NA()),VALUE(TRIM(MID(SUBSTITUTE(SUBSTITUTE(SUBSTITUTE(TRIM($DS$20),",",";")," ",""),";",REPT(" ",99)),991,99)))),NA())</f>
        <v/>
      </c>
      <c r="EA14">
        <f>IF($DT$14="","",IFERROR(IF(ABS($DT$14)&gt;=1000000,ROUND($DT$14/1000000,MAX(0,1-INT(LOG10($DS$27/1000000))))&amp;"M",IF(ABS($DT$14)&gt;=1000,ROUND($DT$14/1000,MAX(0,1-INT(LOG10($DS$27/1000))))&amp;"k",TEXT($DT$14,"#,##0.0"))),TEXT($DT$14,"#,##0.0")))</f>
        <v/>
      </c>
      <c r="EB14" t="n">
        <v>5</v>
      </c>
      <c r="EC14" t="n">
        <v>5.25</v>
      </c>
      <c r="ED14" t="n">
        <v>66</v>
      </c>
      <c r="EE14" t="inlineStr">
        <is>
          <t>from</t>
        </is>
      </c>
      <c r="EF14">
        <f>Look!$C$221</f>
        <v/>
      </c>
      <c r="EG14">
        <f>IF(11&lt;=$EF$13,$EF$14+(11-1)*$EF$16,"")</f>
        <v/>
      </c>
      <c r="EH14">
        <f>IF(11&gt;$EF$13,"",SUMIFS($ED$4:$ED$203,$EC$4:$EC$203,"&gt;="&amp;$EG$14,$EC$4:$EC$203,IF(11=$EF$13,"&lt;=","&lt;")&amp;($EG$14+$EF$16)))</f>
        <v/>
      </c>
      <c r="EI14">
        <f>IF(AND(MOD(0,$EF$17)=0,MOD((INT(0/$EF$17)+1)-1,$EF$13/5)=0),INDEX($EN$4:$EN$53,(INT(0/$EF$17)+1)),"")</f>
        <v/>
      </c>
      <c r="EJ14">
        <f>IF(MOD(0,$EF$17)=$EF$17-1,0,INDEX($EH$4:$EH$53,(INT(0/$EF$17)+1)))</f>
        <v/>
      </c>
      <c r="EK14">
        <f>IFERROR(IF(AND($EM$9&gt;=$EF$14,$EM$9&lt;=$EF$15),10+0.5+100*($EM$9-$EF$14)/($EF$15-$EF$14),NA()),NA())</f>
        <v/>
      </c>
      <c r="EL14">
        <f>IF(ISNA($EK$14),NA(),0)</f>
        <v/>
      </c>
      <c r="EM14">
        <f>IFERROR(IF(LEFT(LOWER(TRIM($EF$20)),5)="every",IF(((INT($EF$11/VALUE(TRIM(MID(TRIM($EF$20),6,99))))*VALUE(TRIM(MID(TRIM($EF$20),6,99)))+VALUE(TRIM(MID(TRIM($EF$20),6,99))))+10*VALUE(TRIM(MID(TRIM($EF$20),6,99))))&lt;=$EF$12,((INT($EF$11/VALUE(TRIM(MID(TRIM($EF$20),6,99))))*VALUE(TRIM(MID(TRIM($EF$20),6,99)))+VALUE(TRIM(MID(TRIM($EF$20),6,99))))+10*VALUE(TRIM(MID(TRIM($EF$20),6,99)))),NA()),VALUE(TRIM(MID(SUBSTITUTE(SUBSTITUTE(SUBSTITUTE(TRIM($EF$20),",",";")," ",""),";",REPT(" ",99)),991,99)))),NA())</f>
        <v/>
      </c>
      <c r="EN14">
        <f>IF($EG$14="","",IFERROR(IF(ABS($EG$14)&gt;=1000000,ROUND($EG$14/1000000,MAX(0,1-INT(LOG10($EF$27/1000000))))&amp;"M",IF(ABS($EG$14)&gt;=1000,ROUND($EG$14/1000,MAX(0,1-INT(LOG10($EF$27/1000))))&amp;"k",TEXT($EG$14,"#,##0"))),TEXT($EG$14,"#,##0")))</f>
        <v/>
      </c>
      <c r="EO14" t="n">
        <v>0.175</v>
      </c>
      <c r="EP14" t="n">
        <v>0.18375</v>
      </c>
      <c r="EQ14" t="n">
        <v>245</v>
      </c>
      <c r="ER14" t="inlineStr">
        <is>
          <t>from</t>
        </is>
      </c>
      <c r="ES14">
        <f>Look!$C$241</f>
        <v/>
      </c>
      <c r="ET14">
        <f>IF(11&lt;=$ES$13,$ES$14+(11-1)*$ES$16,"")</f>
        <v/>
      </c>
      <c r="EU14">
        <f>IF(11&gt;$ES$13,"",SUMIFS($EQ$4:$EQ$203,$EP$4:$EP$203,"&gt;="&amp;$ET$14,$EP$4:$EP$203,IF(11=$ES$13,"&lt;=","&lt;")&amp;($ET$14+$ES$16)))</f>
        <v/>
      </c>
      <c r="EV14">
        <f>IF(AND(MOD(0,$ES$17)=0,MOD((INT(0/$ES$17)+1)-1,$ES$13/5)=0),INDEX($FA$4:$FA$53,(INT(0/$ES$17)+1)),"")</f>
        <v/>
      </c>
      <c r="EW14">
        <f>IF(MOD(0,$ES$17)=$ES$17-1,0,INDEX($EU$4:$EU$53,(INT(0/$ES$17)+1)))</f>
        <v/>
      </c>
      <c r="EX14">
        <f>IFERROR(IF(AND($EZ$9&gt;=$ES$14,$EZ$9&lt;=$ES$15),10+0.5+100*($EZ$9-$ES$14)/($ES$15-$ES$14),NA()),NA())</f>
        <v/>
      </c>
      <c r="EY14">
        <f>IF(ISNA($EX$14),NA(),0)</f>
        <v/>
      </c>
      <c r="EZ14">
        <f>IFERROR(IF(LEFT(LOWER(TRIM($ES$20)),5)="every",IF(((INT($ES$11/VALUE(TRIM(MID(TRIM($ES$20),6,99))))*VALUE(TRIM(MID(TRIM($ES$20),6,99)))+VALUE(TRIM(MID(TRIM($ES$20),6,99))))+10*VALUE(TRIM(MID(TRIM($ES$20),6,99))))&lt;=$ES$12,((INT($ES$11/VALUE(TRIM(MID(TRIM($ES$20),6,99))))*VALUE(TRIM(MID(TRIM($ES$20),6,99)))+VALUE(TRIM(MID(TRIM($ES$20),6,99))))+10*VALUE(TRIM(MID(TRIM($ES$20),6,99)))),NA()),VALUE(TRIM(MID(SUBSTITUTE(SUBSTITUTE(SUBSTITUTE(TRIM($ES$20),",",";")," ",""),";",REPT(" ",99)),991,99)))),NA())</f>
        <v/>
      </c>
      <c r="FA14">
        <f>IF($ET$14="","",IFERROR(IF(ABS($ET$14)&gt;=1000000,ROUND($ET$14/1000000,MAX(0,1-INT(LOG10($ES$27/1000000))))&amp;"M",IF(ABS($ET$14)&gt;=1000,ROUND($ET$14/1000,MAX(0,1-INT(LOG10($ES$27/1000))))&amp;"k",TEXT($ET$14,"0.00"))),TEXT($ET$14,"0.00")))</f>
        <v/>
      </c>
    </row>
    <row r="15">
      <c r="B15" t="n">
        <v>566.5</v>
      </c>
      <c r="C15" t="n">
        <v>567.25</v>
      </c>
      <c r="D15" t="n">
        <v>5</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28</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c r="AO15" t="n">
        <v>44000</v>
      </c>
      <c r="AP15" t="n">
        <v>46000</v>
      </c>
      <c r="AQ15" t="n">
        <v>3</v>
      </c>
      <c r="AR15" t="inlineStr">
        <is>
          <t>to</t>
        </is>
      </c>
      <c r="AS15">
        <f>Look!$C$82</f>
        <v/>
      </c>
      <c r="AT15">
        <f>IF(12&lt;=$AS$13,$AS$14+(12-1)*$AS$16,"")</f>
        <v/>
      </c>
      <c r="AU15">
        <f>IF(12&gt;$AS$13,"",SUMIFS($AQ$4:$AQ$203,$AP$4:$AP$203,"&gt;="&amp;$AT$15,$AP$4:$AP$203,IF(12=$AS$13,"&lt;=","&lt;")&amp;($AT$15+$AS$16)))</f>
        <v/>
      </c>
      <c r="AV15">
        <f>IF(AND(MOD(1,$AS$17)=0,MOD((INT(1/$AS$17)+1)-1,$AS$13/5)=0),INDEX($BA$4:$BA$53,(INT(1/$AS$17)+1)),"")</f>
        <v/>
      </c>
      <c r="AW15">
        <f>IF(MOD(1,$AS$17)=$AS$17-1,0,INDEX($AU$4:$AU$53,(INT(1/$AS$17)+1)))</f>
        <v/>
      </c>
      <c r="AX15">
        <f>IFERROR(IF(AND($AZ$9&gt;=$AS$14,$AZ$9&lt;=$AS$15),10+0.5+100*($AZ$9-$AS$14)/($AS$15-$AS$14),NA()),NA())</f>
        <v/>
      </c>
      <c r="AY15">
        <f>IF(ISNA($AX$15),NA(),MAX($AW$4:$AW$123))</f>
        <v/>
      </c>
      <c r="AZ15">
        <f>IFERROR(IF(LEFT(LOWER(TRIM($AS$20)),5)="every",IF(((INT($AS$11/VALUE(TRIM(MID(TRIM($AS$20),6,99))))*VALUE(TRIM(MID(TRIM($AS$20),6,99)))+VALUE(TRIM(MID(TRIM($AS$20),6,99))))+11*VALUE(TRIM(MID(TRIM($AS$20),6,99))))&lt;=$AS$12,((INT($AS$11/VALUE(TRIM(MID(TRIM($AS$20),6,99))))*VALUE(TRIM(MID(TRIM($AS$20),6,99)))+VALUE(TRIM(MID(TRIM($AS$20),6,99))))+11*VALUE(TRIM(MID(TRIM($AS$20),6,99)))),NA()),VALUE(TRIM(MID(SUBSTITUTE(SUBSTITUTE(SUBSTITUTE(TRIM($AS$20),",",";")," ",""),";",REPT(" ",99)),1090,99)))),NA())</f>
        <v/>
      </c>
      <c r="BA15">
        <f>IF($AT$15="","",IFERROR(IF(ABS($AT$15)&gt;=1000000,ROUND($AT$15/1000000,MAX(0,1-INT(LOG10($AS$27/1000000))))&amp;"M",IF(ABS($AT$15)&gt;=1000,ROUND($AT$15/1000,MAX(0,1-INT(LOG10($AS$27/1000))))&amp;"k",TEXT($AT$15,"#,##0"))),TEXT($AT$15,"#,##0")))</f>
        <v/>
      </c>
      <c r="BB15" t="n">
        <v>77000</v>
      </c>
      <c r="BC15" t="n">
        <v>80500</v>
      </c>
      <c r="BD15" t="n">
        <v>376</v>
      </c>
      <c r="BE15" t="inlineStr">
        <is>
          <t>to</t>
        </is>
      </c>
      <c r="BF15">
        <f>Look!$C$102</f>
        <v/>
      </c>
      <c r="BG15">
        <f>IF(12&lt;=$BF$13,$BF$14+(12-1)*$BF$16,"")</f>
        <v/>
      </c>
      <c r="BH15">
        <f>IF(12&gt;$BF$13,"",SUMIFS($BD$4:$BD$203,$BC$4:$BC$203,"&gt;="&amp;$BG$15,$BC$4:$BC$203,IF(12=$BF$13,"&lt;=","&lt;")&amp;($BG$15+$BF$16)))</f>
        <v/>
      </c>
      <c r="BI15">
        <f>IF(AND(MOD(1,$BF$17)=0,MOD((INT(1/$BF$17)+1)-1,$BF$13/5)=0),INDEX($BN$4:$BN$53,(INT(1/$BF$17)+1)),"")</f>
        <v/>
      </c>
      <c r="BJ15">
        <f>IF(MOD(1,$BF$17)=$BF$17-1,0,INDEX($BH$4:$BH$53,(INT(1/$BF$17)+1)))</f>
        <v/>
      </c>
      <c r="BK15">
        <f>IFERROR(IF(AND($BM$9&gt;=$BF$14,$BM$9&lt;=$BF$15),10+0.5+100*($BM$9-$BF$14)/($BF$15-$BF$14),NA()),NA())</f>
        <v/>
      </c>
      <c r="BL15">
        <f>IF(ISNA($BK$15),NA(),MAX($BJ$4:$BJ$123))</f>
        <v/>
      </c>
      <c r="BM15">
        <f>IFERROR(IF(LEFT(LOWER(TRIM($BF$20)),5)="every",IF(((INT($BF$11/VALUE(TRIM(MID(TRIM($BF$20),6,99))))*VALUE(TRIM(MID(TRIM($BF$20),6,99)))+VALUE(TRIM(MID(TRIM($BF$20),6,99))))+11*VALUE(TRIM(MID(TRIM($BF$20),6,99))))&lt;=$BF$12,((INT($BF$11/VALUE(TRIM(MID(TRIM($BF$20),6,99))))*VALUE(TRIM(MID(TRIM($BF$20),6,99)))+VALUE(TRIM(MID(TRIM($BF$20),6,99))))+11*VALUE(TRIM(MID(TRIM($BF$20),6,99)))),NA()),VALUE(TRIM(MID(SUBSTITUTE(SUBSTITUTE(SUBSTITUTE(TRIM($BF$20),",",";")," ",""),";",REPT(" ",99)),1090,99)))),NA())</f>
        <v/>
      </c>
      <c r="BN15">
        <f>IF($BG$15="","",IFERROR(IF(ABS($BG$15)&gt;=1000000,ROUND($BG$15/1000000,MAX(0,1-INT(LOG10($BF$27/1000000))))&amp;"M",IF(ABS($BG$15)&gt;=1000,ROUND($BG$15/1000,MAX(0,1-INT(LOG10($BF$27/1000))))&amp;"k",TEXT($BG$15,"#,##0"))),TEXT($BG$15,"#,##0")))</f>
        <v/>
      </c>
      <c r="BO15" t="n">
        <v>0.066</v>
      </c>
      <c r="BP15" t="n">
        <v>0.06900000000000001</v>
      </c>
      <c r="BQ15" t="n">
        <v>59</v>
      </c>
      <c r="BR15" t="inlineStr">
        <is>
          <t>to</t>
        </is>
      </c>
      <c r="BS15">
        <f>Look!$C$122</f>
        <v/>
      </c>
      <c r="BT15">
        <f>IF(12&lt;=$BS$13,$BS$14+(12-1)*$BS$16,"")</f>
        <v/>
      </c>
      <c r="BU15">
        <f>IF(12&gt;$BS$13,"",SUMIFS($BQ$4:$BQ$203,$BP$4:$BP$203,"&gt;="&amp;$BT$15,$BP$4:$BP$203,IF(12=$BS$13,"&lt;=","&lt;")&amp;($BT$15+$BS$16)))</f>
        <v/>
      </c>
      <c r="BV15">
        <f>IF(AND(MOD(1,$BS$17)=0,MOD((INT(1/$BS$17)+1)-1,$BS$13/5)=0),INDEX($CA$4:$CA$53,(INT(1/$BS$17)+1)),"")</f>
        <v/>
      </c>
      <c r="BW15">
        <f>IF(MOD(1,$BS$17)=$BS$17-1,0,INDEX($BU$4:$BU$53,(INT(1/$BS$17)+1)))</f>
        <v/>
      </c>
      <c r="BX15">
        <f>IFERROR(IF(AND($BZ$9&gt;=$BS$14,$BZ$9&lt;=$BS$15),10+0.5+100*($BZ$9-$BS$14)/($BS$15-$BS$14),NA()),NA())</f>
        <v/>
      </c>
      <c r="BY15">
        <f>IF(ISNA($BX$15),NA(),MAX($BW$4:$BW$123))</f>
        <v/>
      </c>
      <c r="BZ15">
        <f>IFERROR(IF(LEFT(LOWER(TRIM($BS$20)),5)="every",IF(((INT($BS$11/VALUE(TRIM(MID(TRIM($BS$20),6,99))))*VALUE(TRIM(MID(TRIM($BS$20),6,99)))+VALUE(TRIM(MID(TRIM($BS$20),6,99))))+11*VALUE(TRIM(MID(TRIM($BS$20),6,99))))&lt;=$BS$12,((INT($BS$11/VALUE(TRIM(MID(TRIM($BS$20),6,99))))*VALUE(TRIM(MID(TRIM($BS$20),6,99)))+VALUE(TRIM(MID(TRIM($BS$20),6,99))))+11*VALUE(TRIM(MID(TRIM($BS$20),6,99)))),NA()),VALUE(TRIM(MID(SUBSTITUTE(SUBSTITUTE(SUBSTITUTE(TRIM($BS$20),",",";")," ",""),";",REPT(" ",99)),1090,99)))),NA())</f>
        <v/>
      </c>
      <c r="CA15">
        <f>IF($BT$15="","",IFERROR(IF(ABS($BT$15)&gt;=1000000,ROUND($BT$15/1000000,MAX(0,1-INT(LOG10($BS$27/1000000))))&amp;"M",IF(ABS($BT$15)&gt;=1000,ROUND($BT$15/1000,MAX(0,1-INT(LOG10($BS$27/1000))))&amp;"k",TEXT($BT$15,"0.00"))),TEXT($BT$15,"0.00")))</f>
        <v/>
      </c>
      <c r="CB15" t="n">
        <v>1.65</v>
      </c>
      <c r="CC15" t="n">
        <v>1.725</v>
      </c>
      <c r="CD15" t="n">
        <v>146</v>
      </c>
      <c r="CE15" t="inlineStr">
        <is>
          <t>to</t>
        </is>
      </c>
      <c r="CF15">
        <f>Look!$C$142</f>
        <v/>
      </c>
      <c r="CG15">
        <f>IF(12&lt;=$CF$13,$CF$14+(12-1)*$CF$16,"")</f>
        <v/>
      </c>
      <c r="CH15">
        <f>IF(12&gt;$CF$13,"",SUMIFS($CD$4:$CD$203,$CC$4:$CC$203,"&gt;="&amp;$CG$15,$CC$4:$CC$203,IF(12=$CF$13,"&lt;=","&lt;")&amp;($CG$15+$CF$16)))</f>
        <v/>
      </c>
      <c r="CI15">
        <f>IF(AND(MOD(1,$CF$17)=0,MOD((INT(1/$CF$17)+1)-1,$CF$13/5)=0),INDEX($CN$4:$CN$53,(INT(1/$CF$17)+1)),"")</f>
        <v/>
      </c>
      <c r="CJ15">
        <f>IF(MOD(1,$CF$17)=$CF$17-1,0,INDEX($CH$4:$CH$53,(INT(1/$CF$17)+1)))</f>
        <v/>
      </c>
      <c r="CK15">
        <f>IFERROR(IF(AND($CM$9&gt;=$CF$14,$CM$9&lt;=$CF$15),10+0.5+100*($CM$9-$CF$14)/($CF$15-$CF$14),NA()),NA())</f>
        <v/>
      </c>
      <c r="CL15">
        <f>IF(ISNA($CK$15),NA(),MAX($CJ$4:$CJ$123))</f>
        <v/>
      </c>
      <c r="CM15">
        <f>IFERROR(IF(LEFT(LOWER(TRIM($CF$20)),5)="every",IF(((INT($CF$11/VALUE(TRIM(MID(TRIM($CF$20),6,99))))*VALUE(TRIM(MID(TRIM($CF$20),6,99)))+VALUE(TRIM(MID(TRIM($CF$20),6,99))))+11*VALUE(TRIM(MID(TRIM($CF$20),6,99))))&lt;=$CF$12,((INT($CF$11/VALUE(TRIM(MID(TRIM($CF$20),6,99))))*VALUE(TRIM(MID(TRIM($CF$20),6,99)))+VALUE(TRIM(MID(TRIM($CF$20),6,99))))+11*VALUE(TRIM(MID(TRIM($CF$20),6,99)))),NA()),VALUE(TRIM(MID(SUBSTITUTE(SUBSTITUTE(SUBSTITUTE(TRIM($CF$20),",",";")," ",""),";",REPT(" ",99)),1090,99)))),NA())</f>
        <v/>
      </c>
      <c r="CN15">
        <f>IF($CG$15="","",IFERROR(IF(ABS($CG$15)&gt;=1000000,ROUND($CG$15/1000000,MAX(0,1-INT(LOG10($CF$27/1000000))))&amp;"M",IF(ABS($CG$15)&gt;=1000,ROUND($CG$15/1000,MAX(0,1-INT(LOG10($CF$27/1000))))&amp;"k",TEXT($CG$15,"#,##0.0"))),TEXT($CG$15,"#,##0.0")))</f>
        <v/>
      </c>
      <c r="CO15" t="n">
        <v>14.4</v>
      </c>
      <c r="CP15" t="n">
        <v>14.6</v>
      </c>
      <c r="CQ15" t="n">
        <v>4</v>
      </c>
      <c r="CR15" t="inlineStr">
        <is>
          <t>to</t>
        </is>
      </c>
      <c r="CS15">
        <f>Look!$C$162</f>
        <v/>
      </c>
      <c r="CT15">
        <f>IF(12&lt;=$CS$13,$CS$14+(12-1)*$CS$16,"")</f>
        <v/>
      </c>
      <c r="CU15">
        <f>IF(12&gt;$CS$13,"",SUMIFS($CQ$4:$CQ$203,$CP$4:$CP$203,"&gt;="&amp;$CT$15,$CP$4:$CP$203,IF(12=$CS$13,"&lt;=","&lt;")&amp;($CT$15+$CS$16)))</f>
        <v/>
      </c>
      <c r="CV15">
        <f>IF(AND(MOD(1,$CS$17)=0,MOD((INT(1/$CS$17)+1)-1,$CS$13/5)=0),INDEX($DA$4:$DA$53,(INT(1/$CS$17)+1)),"")</f>
        <v/>
      </c>
      <c r="CW15">
        <f>IF(MOD(1,$CS$17)=$CS$17-1,0,INDEX($CU$4:$CU$53,(INT(1/$CS$17)+1)))</f>
        <v/>
      </c>
      <c r="CX15">
        <f>IFERROR(IF(AND($CZ$9&gt;=$CS$14,$CZ$9&lt;=$CS$15),10+0.5+100*($CZ$9-$CS$14)/($CS$15-$CS$14),NA()),NA())</f>
        <v/>
      </c>
      <c r="CY15">
        <f>IF(ISNA($CX$15),NA(),MAX($CW$4:$CW$123))</f>
        <v/>
      </c>
      <c r="CZ15">
        <f>IFERROR(IF(LEFT(LOWER(TRIM($CS$20)),5)="every",IF(((INT($CS$11/VALUE(TRIM(MID(TRIM($CS$20),6,99))))*VALUE(TRIM(MID(TRIM($CS$20),6,99)))+VALUE(TRIM(MID(TRIM($CS$20),6,99))))+11*VALUE(TRIM(MID(TRIM($CS$20),6,99))))&lt;=$CS$12,((INT($CS$11/VALUE(TRIM(MID(TRIM($CS$20),6,99))))*VALUE(TRIM(MID(TRIM($CS$20),6,99)))+VALUE(TRIM(MID(TRIM($CS$20),6,99))))+11*VALUE(TRIM(MID(TRIM($CS$20),6,99)))),NA()),VALUE(TRIM(MID(SUBSTITUTE(SUBSTITUTE(SUBSTITUTE(TRIM($CS$20),",",";")," ",""),";",REPT(" ",99)),1090,99)))),NA())</f>
        <v/>
      </c>
      <c r="DA15">
        <f>IF($CT$15="","",IFERROR(IF(ABS($CT$15)&gt;=1000000,ROUND($CT$15/1000000,MAX(0,1-INT(LOG10($CS$27/1000000))))&amp;"M",IF(ABS($CT$15)&gt;=1000,ROUND($CT$15/1000,MAX(0,1-INT(LOG10($CS$27/1000))))&amp;"k",TEXT($CT$15,"#,##0"))),TEXT($CT$15,"#,##0")))</f>
        <v/>
      </c>
      <c r="DB15" t="n">
        <v>13.85</v>
      </c>
      <c r="DC15" t="n">
        <v>14.025</v>
      </c>
      <c r="DD15" t="n">
        <v>8</v>
      </c>
      <c r="DE15" t="inlineStr">
        <is>
          <t>to</t>
        </is>
      </c>
      <c r="DF15">
        <f>Look!$C$182</f>
        <v/>
      </c>
      <c r="DG15">
        <f>IF(12&lt;=$DF$13,$DF$14+(12-1)*$DF$16,"")</f>
        <v/>
      </c>
      <c r="DH15">
        <f>IF(12&gt;$DF$13,"",SUMIFS($DD$4:$DD$203,$DC$4:$DC$203,"&gt;="&amp;$DG$15,$DC$4:$DC$203,IF(12=$DF$13,"&lt;=","&lt;")&amp;($DG$15+$DF$16)))</f>
        <v/>
      </c>
      <c r="DI15">
        <f>IF(AND(MOD(1,$DF$17)=0,MOD((INT(1/$DF$17)+1)-1,$DF$13/5)=0),INDEX($DN$4:$DN$53,(INT(1/$DF$17)+1)),"")</f>
        <v/>
      </c>
      <c r="DJ15">
        <f>IF(MOD(1,$DF$17)=$DF$17-1,0,INDEX($DH$4:$DH$53,(INT(1/$DF$17)+1)))</f>
        <v/>
      </c>
      <c r="DK15">
        <f>IFERROR(IF(AND($DM$9&gt;=$DF$14,$DM$9&lt;=$DF$15),10+0.5+100*($DM$9-$DF$14)/($DF$15-$DF$14),NA()),NA())</f>
        <v/>
      </c>
      <c r="DL15">
        <f>IF(ISNA($DK$15),NA(),MAX($DJ$4:$DJ$123))</f>
        <v/>
      </c>
      <c r="DM15">
        <f>IFERROR(IF(LEFT(LOWER(TRIM($DF$20)),5)="every",IF(((INT($DF$11/VALUE(TRIM(MID(TRIM($DF$20),6,99))))*VALUE(TRIM(MID(TRIM($DF$20),6,99)))+VALUE(TRIM(MID(TRIM($DF$20),6,99))))+11*VALUE(TRIM(MID(TRIM($DF$20),6,99))))&lt;=$DF$12,((INT($DF$11/VALUE(TRIM(MID(TRIM($DF$20),6,99))))*VALUE(TRIM(MID(TRIM($DF$20),6,99)))+VALUE(TRIM(MID(TRIM($DF$20),6,99))))+11*VALUE(TRIM(MID(TRIM($DF$20),6,99)))),NA()),VALUE(TRIM(MID(SUBSTITUTE(SUBSTITUTE(SUBSTITUTE(TRIM($DF$20),",",";")," ",""),";",REPT(" ",99)),1090,99)))),NA())</f>
        <v/>
      </c>
      <c r="DN15">
        <f>IF($DG$15="","",IFERROR(IF(ABS($DG$15)&gt;=1000000,ROUND($DG$15/1000000,MAX(0,1-INT(LOG10($DF$27/1000000))))&amp;"M",IF(ABS($DG$15)&gt;=1000,ROUND($DG$15/1000,MAX(0,1-INT(LOG10($DF$27/1000))))&amp;"k",TEXT($DG$15,"#,##0.0"))),TEXT($DG$15,"#,##0.0")))</f>
        <v/>
      </c>
      <c r="DO15" t="n">
        <v>7.775</v>
      </c>
      <c r="DP15" t="n">
        <v>7.7875</v>
      </c>
      <c r="DQ15" t="n">
        <v>12</v>
      </c>
      <c r="DR15" t="inlineStr">
        <is>
          <t>to</t>
        </is>
      </c>
      <c r="DS15">
        <f>Look!$C$202</f>
        <v/>
      </c>
      <c r="DT15">
        <f>IF(12&lt;=$DS$13,$DS$14+(12-1)*$DS$16,"")</f>
        <v/>
      </c>
      <c r="DU15">
        <f>IF(12&gt;$DS$13,"",SUMIFS($DQ$4:$DQ$203,$DP$4:$DP$203,"&gt;="&amp;$DT$15,$DP$4:$DP$203,IF(12=$DS$13,"&lt;=","&lt;")&amp;($DT$15+$DS$16)))</f>
        <v/>
      </c>
      <c r="DV15">
        <f>IF(AND(MOD(1,$DS$17)=0,MOD((INT(1/$DS$17)+1)-1,$DS$13/5)=0),INDEX($EA$4:$EA$53,(INT(1/$DS$17)+1)),"")</f>
        <v/>
      </c>
      <c r="DW15">
        <f>IF(MOD(1,$DS$17)=$DS$17-1,0,INDEX($DU$4:$DU$53,(INT(1/$DS$17)+1)))</f>
        <v/>
      </c>
      <c r="DX15">
        <f>IFERROR(IF(AND($DZ$9&gt;=$DS$14,$DZ$9&lt;=$DS$15),10+0.5+100*($DZ$9-$DS$14)/($DS$15-$DS$14),NA()),NA())</f>
        <v/>
      </c>
      <c r="DY15">
        <f>IF(ISNA($DX$15),NA(),MAX($DW$4:$DW$123))</f>
        <v/>
      </c>
      <c r="DZ15">
        <f>IFERROR(IF(LEFT(LOWER(TRIM($DS$20)),5)="every",IF(((INT($DS$11/VALUE(TRIM(MID(TRIM($DS$20),6,99))))*VALUE(TRIM(MID(TRIM($DS$20),6,99)))+VALUE(TRIM(MID(TRIM($DS$20),6,99))))+11*VALUE(TRIM(MID(TRIM($DS$20),6,99))))&lt;=$DS$12,((INT($DS$11/VALUE(TRIM(MID(TRIM($DS$20),6,99))))*VALUE(TRIM(MID(TRIM($DS$20),6,99)))+VALUE(TRIM(MID(TRIM($DS$20),6,99))))+11*VALUE(TRIM(MID(TRIM($DS$20),6,99)))),NA()),VALUE(TRIM(MID(SUBSTITUTE(SUBSTITUTE(SUBSTITUTE(TRIM($DS$20),",",";")," ",""),";",REPT(" ",99)),1090,99)))),NA())</f>
        <v/>
      </c>
      <c r="EA15">
        <f>IF($DT$15="","",IFERROR(IF(ABS($DT$15)&gt;=1000000,ROUND($DT$15/1000000,MAX(0,1-INT(LOG10($DS$27/1000000))))&amp;"M",IF(ABS($DT$15)&gt;=1000,ROUND($DT$15/1000,MAX(0,1-INT(LOG10($DS$27/1000))))&amp;"k",TEXT($DT$15,"#,##0.0"))),TEXT($DT$15,"#,##0.0")))</f>
        <v/>
      </c>
      <c r="EB15" t="n">
        <v>5.5</v>
      </c>
      <c r="EC15" t="n">
        <v>5.75</v>
      </c>
      <c r="ED15" t="n">
        <v>58</v>
      </c>
      <c r="EE15" t="inlineStr">
        <is>
          <t>to</t>
        </is>
      </c>
      <c r="EF15">
        <f>Look!$C$222</f>
        <v/>
      </c>
      <c r="EG15">
        <f>IF(12&lt;=$EF$13,$EF$14+(12-1)*$EF$16,"")</f>
        <v/>
      </c>
      <c r="EH15">
        <f>IF(12&gt;$EF$13,"",SUMIFS($ED$4:$ED$203,$EC$4:$EC$203,"&gt;="&amp;$EG$15,$EC$4:$EC$203,IF(12=$EF$13,"&lt;=","&lt;")&amp;($EG$15+$EF$16)))</f>
        <v/>
      </c>
      <c r="EI15">
        <f>IF(AND(MOD(1,$EF$17)=0,MOD((INT(1/$EF$17)+1)-1,$EF$13/5)=0),INDEX($EN$4:$EN$53,(INT(1/$EF$17)+1)),"")</f>
        <v/>
      </c>
      <c r="EJ15">
        <f>IF(MOD(1,$EF$17)=$EF$17-1,0,INDEX($EH$4:$EH$53,(INT(1/$EF$17)+1)))</f>
        <v/>
      </c>
      <c r="EK15">
        <f>IFERROR(IF(AND($EM$9&gt;=$EF$14,$EM$9&lt;=$EF$15),10+0.5+100*($EM$9-$EF$14)/($EF$15-$EF$14),NA()),NA())</f>
        <v/>
      </c>
      <c r="EL15">
        <f>IF(ISNA($EK$15),NA(),MAX($EJ$4:$EJ$123))</f>
        <v/>
      </c>
      <c r="EM15">
        <f>IFERROR(IF(LEFT(LOWER(TRIM($EF$20)),5)="every",IF(((INT($EF$11/VALUE(TRIM(MID(TRIM($EF$20),6,99))))*VALUE(TRIM(MID(TRIM($EF$20),6,99)))+VALUE(TRIM(MID(TRIM($EF$20),6,99))))+11*VALUE(TRIM(MID(TRIM($EF$20),6,99))))&lt;=$EF$12,((INT($EF$11/VALUE(TRIM(MID(TRIM($EF$20),6,99))))*VALUE(TRIM(MID(TRIM($EF$20),6,99)))+VALUE(TRIM(MID(TRIM($EF$20),6,99))))+11*VALUE(TRIM(MID(TRIM($EF$20),6,99)))),NA()),VALUE(TRIM(MID(SUBSTITUTE(SUBSTITUTE(SUBSTITUTE(TRIM($EF$20),",",";")," ",""),";",REPT(" ",99)),1090,99)))),NA())</f>
        <v/>
      </c>
      <c r="EN15">
        <f>IF($EG$15="","",IFERROR(IF(ABS($EG$15)&gt;=1000000,ROUND($EG$15/1000000,MAX(0,1-INT(LOG10($EF$27/1000000))))&amp;"M",IF(ABS($EG$15)&gt;=1000,ROUND($EG$15/1000,MAX(0,1-INT(LOG10($EF$27/1000))))&amp;"k",TEXT($EG$15,"#,##0"))),TEXT($EG$15,"#,##0")))</f>
        <v/>
      </c>
      <c r="EO15" t="n">
        <v>0.1925</v>
      </c>
      <c r="EP15" t="n">
        <v>0.20125</v>
      </c>
      <c r="EQ15" t="n">
        <v>263</v>
      </c>
      <c r="ER15" t="inlineStr">
        <is>
          <t>to</t>
        </is>
      </c>
      <c r="ES15">
        <f>Look!$C$242</f>
        <v/>
      </c>
      <c r="ET15">
        <f>IF(12&lt;=$ES$13,$ES$14+(12-1)*$ES$16,"")</f>
        <v/>
      </c>
      <c r="EU15">
        <f>IF(12&gt;$ES$13,"",SUMIFS($EQ$4:$EQ$203,$EP$4:$EP$203,"&gt;="&amp;$ET$15,$EP$4:$EP$203,IF(12=$ES$13,"&lt;=","&lt;")&amp;($ET$15+$ES$16)))</f>
        <v/>
      </c>
      <c r="EV15">
        <f>IF(AND(MOD(1,$ES$17)=0,MOD((INT(1/$ES$17)+1)-1,$ES$13/5)=0),INDEX($FA$4:$FA$53,(INT(1/$ES$17)+1)),"")</f>
        <v/>
      </c>
      <c r="EW15">
        <f>IF(MOD(1,$ES$17)=$ES$17-1,0,INDEX($EU$4:$EU$53,(INT(1/$ES$17)+1)))</f>
        <v/>
      </c>
      <c r="EX15">
        <f>IFERROR(IF(AND($EZ$9&gt;=$ES$14,$EZ$9&lt;=$ES$15),10+0.5+100*($EZ$9-$ES$14)/($ES$15-$ES$14),NA()),NA())</f>
        <v/>
      </c>
      <c r="EY15">
        <f>IF(ISNA($EX$15),NA(),MAX($EW$4:$EW$123))</f>
        <v/>
      </c>
      <c r="EZ15">
        <f>IFERROR(IF(LEFT(LOWER(TRIM($ES$20)),5)="every",IF(((INT($ES$11/VALUE(TRIM(MID(TRIM($ES$20),6,99))))*VALUE(TRIM(MID(TRIM($ES$20),6,99)))+VALUE(TRIM(MID(TRIM($ES$20),6,99))))+11*VALUE(TRIM(MID(TRIM($ES$20),6,99))))&lt;=$ES$12,((INT($ES$11/VALUE(TRIM(MID(TRIM($ES$20),6,99))))*VALUE(TRIM(MID(TRIM($ES$20),6,99)))+VALUE(TRIM(MID(TRIM($ES$20),6,99))))+11*VALUE(TRIM(MID(TRIM($ES$20),6,99)))),NA()),VALUE(TRIM(MID(SUBSTITUTE(SUBSTITUTE(SUBSTITUTE(TRIM($ES$20),",",";")," ",""),";",REPT(" ",99)),1090,99)))),NA())</f>
        <v/>
      </c>
      <c r="FA15">
        <f>IF($ET$15="","",IFERROR(IF(ABS($ET$15)&gt;=1000000,ROUND($ET$15/1000000,MAX(0,1-INT(LOG10($ES$27/1000000))))&amp;"M",IF(ABS($ET$15)&gt;=1000,ROUND($ET$15/1000,MAX(0,1-INT(LOG10($ES$27/1000))))&amp;"k",TEXT($ET$15,"0.00"))),TEXT($ET$15,"0.00")))</f>
        <v/>
      </c>
    </row>
    <row r="16">
      <c r="B16" t="n">
        <v>568</v>
      </c>
      <c r="C16" t="n">
        <v>568.75</v>
      </c>
      <c r="D16" t="n">
        <v>10</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29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c r="AO16" t="n">
        <v>48000</v>
      </c>
      <c r="AP16" t="n">
        <v>50000</v>
      </c>
      <c r="AQ16" t="n">
        <v>7</v>
      </c>
      <c r="AR16" t="inlineStr">
        <is>
          <t>bar width</t>
        </is>
      </c>
      <c r="AS16">
        <f>($AS$15-$AS$14)/$AS$13</f>
        <v/>
      </c>
      <c r="AT16">
        <f>IF(13&lt;=$AS$13,$AS$14+(13-1)*$AS$16,"")</f>
        <v/>
      </c>
      <c r="AU16">
        <f>IF(13&gt;$AS$13,"",SUMIFS($AQ$4:$AQ$203,$AP$4:$AP$203,"&gt;="&amp;$AT$16,$AP$4:$AP$203,IF(13=$AS$13,"&lt;=","&lt;")&amp;($AT$16+$AS$16)))</f>
        <v/>
      </c>
      <c r="AV16">
        <f>IF(AND(MOD(2,$AS$17)=0,MOD((INT(2/$AS$17)+1)-1,$AS$13/5)=0),INDEX($BA$4:$BA$53,(INT(2/$AS$17)+1)),"")</f>
        <v/>
      </c>
      <c r="AW16">
        <f>IF(MOD(2,$AS$17)=$AS$17-1,0,INDEX($AU$4:$AU$53,(INT(2/$AS$17)+1)))</f>
        <v/>
      </c>
      <c r="AX16">
        <f>IFERROR(IF(AND($AZ$10&gt;=$AS$14,$AZ$10&lt;=$AS$15),10+0.5+100*($AZ$10-$AS$14)/($AS$15-$AS$14),NA()),NA())</f>
        <v/>
      </c>
      <c r="AY16">
        <f>IF(ISNA($AX$16),NA(),0)</f>
        <v/>
      </c>
      <c r="AZ16">
        <f>IFERROR(IF(LEFT(LOWER(TRIM($AS$20)),5)="every",IF(((INT($AS$11/VALUE(TRIM(MID(TRIM($AS$20),6,99))))*VALUE(TRIM(MID(TRIM($AS$20),6,99)))+VALUE(TRIM(MID(TRIM($AS$20),6,99))))+12*VALUE(TRIM(MID(TRIM($AS$20),6,99))))&lt;=$AS$12,((INT($AS$11/VALUE(TRIM(MID(TRIM($AS$20),6,99))))*VALUE(TRIM(MID(TRIM($AS$20),6,99)))+VALUE(TRIM(MID(TRIM($AS$20),6,99))))+12*VALUE(TRIM(MID(TRIM($AS$20),6,99)))),NA()),VALUE(TRIM(MID(SUBSTITUTE(SUBSTITUTE(SUBSTITUTE(TRIM($AS$20),",",";")," ",""),";",REPT(" ",99)),1189,99)))),NA())</f>
        <v/>
      </c>
      <c r="BA16">
        <f>IF($AT$16="","",IFERROR(IF(ABS($AT$16)&gt;=1000000,ROUND($AT$16/1000000,MAX(0,1-INT(LOG10($AS$27/1000000))))&amp;"M",IF(ABS($AT$16)&gt;=1000,ROUND($AT$16/1000,MAX(0,1-INT(LOG10($AS$27/1000))))&amp;"k",TEXT($AT$16,"#,##0"))),TEXT($AT$16,"#,##0")))</f>
        <v/>
      </c>
      <c r="BB16" t="n">
        <v>84000</v>
      </c>
      <c r="BC16" t="n">
        <v>87500</v>
      </c>
      <c r="BD16" t="n">
        <v>381</v>
      </c>
      <c r="BE16" t="inlineStr">
        <is>
          <t>bar width</t>
        </is>
      </c>
      <c r="BF16">
        <f>($BF$15-$BF$14)/$BF$13</f>
        <v/>
      </c>
      <c r="BG16">
        <f>IF(13&lt;=$BF$13,$BF$14+(13-1)*$BF$16,"")</f>
        <v/>
      </c>
      <c r="BH16">
        <f>IF(13&gt;$BF$13,"",SUMIFS($BD$4:$BD$203,$BC$4:$BC$203,"&gt;="&amp;$BG$16,$BC$4:$BC$203,IF(13=$BF$13,"&lt;=","&lt;")&amp;($BG$16+$BF$16)))</f>
        <v/>
      </c>
      <c r="BI16">
        <f>IF(AND(MOD(2,$BF$17)=0,MOD((INT(2/$BF$17)+1)-1,$BF$13/5)=0),INDEX($BN$4:$BN$53,(INT(2/$BF$17)+1)),"")</f>
        <v/>
      </c>
      <c r="BJ16">
        <f>IF(MOD(2,$BF$17)=$BF$17-1,0,INDEX($BH$4:$BH$53,(INT(2/$BF$17)+1)))</f>
        <v/>
      </c>
      <c r="BK16">
        <f>IFERROR(IF(AND($BM$10&gt;=$BF$14,$BM$10&lt;=$BF$15),10+0.5+100*($BM$10-$BF$14)/($BF$15-$BF$14),NA()),NA())</f>
        <v/>
      </c>
      <c r="BL16">
        <f>IF(ISNA($BK$16),NA(),0)</f>
        <v/>
      </c>
      <c r="BM16">
        <f>IFERROR(IF(LEFT(LOWER(TRIM($BF$20)),5)="every",IF(((INT($BF$11/VALUE(TRIM(MID(TRIM($BF$20),6,99))))*VALUE(TRIM(MID(TRIM($BF$20),6,99)))+VALUE(TRIM(MID(TRIM($BF$20),6,99))))+12*VALUE(TRIM(MID(TRIM($BF$20),6,99))))&lt;=$BF$12,((INT($BF$11/VALUE(TRIM(MID(TRIM($BF$20),6,99))))*VALUE(TRIM(MID(TRIM($BF$20),6,99)))+VALUE(TRIM(MID(TRIM($BF$20),6,99))))+12*VALUE(TRIM(MID(TRIM($BF$20),6,99)))),NA()),VALUE(TRIM(MID(SUBSTITUTE(SUBSTITUTE(SUBSTITUTE(TRIM($BF$20),",",";")," ",""),";",REPT(" ",99)),1189,99)))),NA())</f>
        <v/>
      </c>
      <c r="BN16">
        <f>IF($BG$16="","",IFERROR(IF(ABS($BG$16)&gt;=1000000,ROUND($BG$16/1000000,MAX(0,1-INT(LOG10($BF$27/1000000))))&amp;"M",IF(ABS($BG$16)&gt;=1000,ROUND($BG$16/1000,MAX(0,1-INT(LOG10($BF$27/1000))))&amp;"k",TEXT($BG$16,"#,##0"))),TEXT($BG$16,"#,##0")))</f>
        <v/>
      </c>
      <c r="BO16" t="n">
        <v>0.07200000000000001</v>
      </c>
      <c r="BP16" t="n">
        <v>0.075</v>
      </c>
      <c r="BQ16" t="n">
        <v>61</v>
      </c>
      <c r="BR16" t="inlineStr">
        <is>
          <t>bar width</t>
        </is>
      </c>
      <c r="BS16">
        <f>($BS$15-$BS$14)/$BS$13</f>
        <v/>
      </c>
      <c r="BT16">
        <f>IF(13&lt;=$BS$13,$BS$14+(13-1)*$BS$16,"")</f>
        <v/>
      </c>
      <c r="BU16">
        <f>IF(13&gt;$BS$13,"",SUMIFS($BQ$4:$BQ$203,$BP$4:$BP$203,"&gt;="&amp;$BT$16,$BP$4:$BP$203,IF(13=$BS$13,"&lt;=","&lt;")&amp;($BT$16+$BS$16)))</f>
        <v/>
      </c>
      <c r="BV16">
        <f>IF(AND(MOD(2,$BS$17)=0,MOD((INT(2/$BS$17)+1)-1,$BS$13/5)=0),INDEX($CA$4:$CA$53,(INT(2/$BS$17)+1)),"")</f>
        <v/>
      </c>
      <c r="BW16">
        <f>IF(MOD(2,$BS$17)=$BS$17-1,0,INDEX($BU$4:$BU$53,(INT(2/$BS$17)+1)))</f>
        <v/>
      </c>
      <c r="BX16">
        <f>IFERROR(IF(AND($BZ$10&gt;=$BS$14,$BZ$10&lt;=$BS$15),10+0.5+100*($BZ$10-$BS$14)/($BS$15-$BS$14),NA()),NA())</f>
        <v/>
      </c>
      <c r="BY16">
        <f>IF(ISNA($BX$16),NA(),0)</f>
        <v/>
      </c>
      <c r="BZ16">
        <f>IFERROR(IF(LEFT(LOWER(TRIM($BS$20)),5)="every",IF(((INT($BS$11/VALUE(TRIM(MID(TRIM($BS$20),6,99))))*VALUE(TRIM(MID(TRIM($BS$20),6,99)))+VALUE(TRIM(MID(TRIM($BS$20),6,99))))+12*VALUE(TRIM(MID(TRIM($BS$20),6,99))))&lt;=$BS$12,((INT($BS$11/VALUE(TRIM(MID(TRIM($BS$20),6,99))))*VALUE(TRIM(MID(TRIM($BS$20),6,99)))+VALUE(TRIM(MID(TRIM($BS$20),6,99))))+12*VALUE(TRIM(MID(TRIM($BS$20),6,99)))),NA()),VALUE(TRIM(MID(SUBSTITUTE(SUBSTITUTE(SUBSTITUTE(TRIM($BS$20),",",";")," ",""),";",REPT(" ",99)),1189,99)))),NA())</f>
        <v/>
      </c>
      <c r="CA16">
        <f>IF($BT$16="","",IFERROR(IF(ABS($BT$16)&gt;=1000000,ROUND($BT$16/1000000,MAX(0,1-INT(LOG10($BS$27/1000000))))&amp;"M",IF(ABS($BT$16)&gt;=1000,ROUND($BT$16/1000,MAX(0,1-INT(LOG10($BS$27/1000))))&amp;"k",TEXT($BT$16,"0.00"))),TEXT($BT$16,"0.00")))</f>
        <v/>
      </c>
      <c r="CB16" t="n">
        <v>1.8</v>
      </c>
      <c r="CC16" t="n">
        <v>1.875</v>
      </c>
      <c r="CD16" t="n">
        <v>292</v>
      </c>
      <c r="CE16" t="inlineStr">
        <is>
          <t>bar width</t>
        </is>
      </c>
      <c r="CF16">
        <f>($CF$15-$CF$14)/$CF$13</f>
        <v/>
      </c>
      <c r="CG16">
        <f>IF(13&lt;=$CF$13,$CF$14+(13-1)*$CF$16,"")</f>
        <v/>
      </c>
      <c r="CH16">
        <f>IF(13&gt;$CF$13,"",SUMIFS($CD$4:$CD$203,$CC$4:$CC$203,"&gt;="&amp;$CG$16,$CC$4:$CC$203,IF(13=$CF$13,"&lt;=","&lt;")&amp;($CG$16+$CF$16)))</f>
        <v/>
      </c>
      <c r="CI16">
        <f>IF(AND(MOD(2,$CF$17)=0,MOD((INT(2/$CF$17)+1)-1,$CF$13/5)=0),INDEX($CN$4:$CN$53,(INT(2/$CF$17)+1)),"")</f>
        <v/>
      </c>
      <c r="CJ16">
        <f>IF(MOD(2,$CF$17)=$CF$17-1,0,INDEX($CH$4:$CH$53,(INT(2/$CF$17)+1)))</f>
        <v/>
      </c>
      <c r="CK16">
        <f>IFERROR(IF(AND($CM$10&gt;=$CF$14,$CM$10&lt;=$CF$15),10+0.5+100*($CM$10-$CF$14)/($CF$15-$CF$14),NA()),NA())</f>
        <v/>
      </c>
      <c r="CL16">
        <f>IF(ISNA($CK$16),NA(),0)</f>
        <v/>
      </c>
      <c r="CM16">
        <f>IFERROR(IF(LEFT(LOWER(TRIM($CF$20)),5)="every",IF(((INT($CF$11/VALUE(TRIM(MID(TRIM($CF$20),6,99))))*VALUE(TRIM(MID(TRIM($CF$20),6,99)))+VALUE(TRIM(MID(TRIM($CF$20),6,99))))+12*VALUE(TRIM(MID(TRIM($CF$20),6,99))))&lt;=$CF$12,((INT($CF$11/VALUE(TRIM(MID(TRIM($CF$20),6,99))))*VALUE(TRIM(MID(TRIM($CF$20),6,99)))+VALUE(TRIM(MID(TRIM($CF$20),6,99))))+12*VALUE(TRIM(MID(TRIM($CF$20),6,99)))),NA()),VALUE(TRIM(MID(SUBSTITUTE(SUBSTITUTE(SUBSTITUTE(TRIM($CF$20),",",";")," ",""),";",REPT(" ",99)),1189,99)))),NA())</f>
        <v/>
      </c>
      <c r="CN16">
        <f>IF($CG$16="","",IFERROR(IF(ABS($CG$16)&gt;=1000000,ROUND($CG$16/1000000,MAX(0,1-INT(LOG10($CF$27/1000000))))&amp;"M",IF(ABS($CG$16)&gt;=1000,ROUND($CG$16/1000,MAX(0,1-INT(LOG10($CF$27/1000))))&amp;"k",TEXT($CG$16,"#,##0.0"))),TEXT($CG$16,"#,##0.0")))</f>
        <v/>
      </c>
      <c r="CO16" t="n">
        <v>14.8</v>
      </c>
      <c r="CP16" t="n">
        <v>15</v>
      </c>
      <c r="CQ16" t="n">
        <v>10</v>
      </c>
      <c r="CR16" t="inlineStr">
        <is>
          <t>bar width</t>
        </is>
      </c>
      <c r="CS16">
        <f>($CS$15-$CS$14)/$CS$13</f>
        <v/>
      </c>
      <c r="CT16">
        <f>IF(13&lt;=$CS$13,$CS$14+(13-1)*$CS$16,"")</f>
        <v/>
      </c>
      <c r="CU16">
        <f>IF(13&gt;$CS$13,"",SUMIFS($CQ$4:$CQ$203,$CP$4:$CP$203,"&gt;="&amp;$CT$16,$CP$4:$CP$203,IF(13=$CS$13,"&lt;=","&lt;")&amp;($CT$16+$CS$16)))</f>
        <v/>
      </c>
      <c r="CV16">
        <f>IF(AND(MOD(2,$CS$17)=0,MOD((INT(2/$CS$17)+1)-1,$CS$13/5)=0),INDEX($DA$4:$DA$53,(INT(2/$CS$17)+1)),"")</f>
        <v/>
      </c>
      <c r="CW16">
        <f>IF(MOD(2,$CS$17)=$CS$17-1,0,INDEX($CU$4:$CU$53,(INT(2/$CS$17)+1)))</f>
        <v/>
      </c>
      <c r="CX16">
        <f>IFERROR(IF(AND($CZ$10&gt;=$CS$14,$CZ$10&lt;=$CS$15),10+0.5+100*($CZ$10-$CS$14)/($CS$15-$CS$14),NA()),NA())</f>
        <v/>
      </c>
      <c r="CY16">
        <f>IF(ISNA($CX$16),NA(),0)</f>
        <v/>
      </c>
      <c r="CZ16">
        <f>IFERROR(IF(LEFT(LOWER(TRIM($CS$20)),5)="every",IF(((INT($CS$11/VALUE(TRIM(MID(TRIM($CS$20),6,99))))*VALUE(TRIM(MID(TRIM($CS$20),6,99)))+VALUE(TRIM(MID(TRIM($CS$20),6,99))))+12*VALUE(TRIM(MID(TRIM($CS$20),6,99))))&lt;=$CS$12,((INT($CS$11/VALUE(TRIM(MID(TRIM($CS$20),6,99))))*VALUE(TRIM(MID(TRIM($CS$20),6,99)))+VALUE(TRIM(MID(TRIM($CS$20),6,99))))+12*VALUE(TRIM(MID(TRIM($CS$20),6,99)))),NA()),VALUE(TRIM(MID(SUBSTITUTE(SUBSTITUTE(SUBSTITUTE(TRIM($CS$20),",",";")," ",""),";",REPT(" ",99)),1189,99)))),NA())</f>
        <v/>
      </c>
      <c r="DA16">
        <f>IF($CT$16="","",IFERROR(IF(ABS($CT$16)&gt;=1000000,ROUND($CT$16/1000000,MAX(0,1-INT(LOG10($CS$27/1000000))))&amp;"M",IF(ABS($CT$16)&gt;=1000,ROUND($CT$16/1000,MAX(0,1-INT(LOG10($CS$27/1000))))&amp;"k",TEXT($CT$16,"#,##0"))),TEXT($CT$16,"#,##0")))</f>
        <v/>
      </c>
      <c r="DB16" t="n">
        <v>14.2</v>
      </c>
      <c r="DC16" t="n">
        <v>14.375</v>
      </c>
      <c r="DD16" t="n">
        <v>6</v>
      </c>
      <c r="DE16" t="inlineStr">
        <is>
          <t>bar width</t>
        </is>
      </c>
      <c r="DF16">
        <f>($DF$15-$DF$14)/$DF$13</f>
        <v/>
      </c>
      <c r="DG16">
        <f>IF(13&lt;=$DF$13,$DF$14+(13-1)*$DF$16,"")</f>
        <v/>
      </c>
      <c r="DH16">
        <f>IF(13&gt;$DF$13,"",SUMIFS($DD$4:$DD$203,$DC$4:$DC$203,"&gt;="&amp;$DG$16,$DC$4:$DC$203,IF(13=$DF$13,"&lt;=","&lt;")&amp;($DG$16+$DF$16)))</f>
        <v/>
      </c>
      <c r="DI16">
        <f>IF(AND(MOD(2,$DF$17)=0,MOD((INT(2/$DF$17)+1)-1,$DF$13/5)=0),INDEX($DN$4:$DN$53,(INT(2/$DF$17)+1)),"")</f>
        <v/>
      </c>
      <c r="DJ16">
        <f>IF(MOD(2,$DF$17)=$DF$17-1,0,INDEX($DH$4:$DH$53,(INT(2/$DF$17)+1)))</f>
        <v/>
      </c>
      <c r="DK16">
        <f>IFERROR(IF(AND($DM$10&gt;=$DF$14,$DM$10&lt;=$DF$15),10+0.5+100*($DM$10-$DF$14)/($DF$15-$DF$14),NA()),NA())</f>
        <v/>
      </c>
      <c r="DL16">
        <f>IF(ISNA($DK$16),NA(),0)</f>
        <v/>
      </c>
      <c r="DM16">
        <f>IFERROR(IF(LEFT(LOWER(TRIM($DF$20)),5)="every",IF(((INT($DF$11/VALUE(TRIM(MID(TRIM($DF$20),6,99))))*VALUE(TRIM(MID(TRIM($DF$20),6,99)))+VALUE(TRIM(MID(TRIM($DF$20),6,99))))+12*VALUE(TRIM(MID(TRIM($DF$20),6,99))))&lt;=$DF$12,((INT($DF$11/VALUE(TRIM(MID(TRIM($DF$20),6,99))))*VALUE(TRIM(MID(TRIM($DF$20),6,99)))+VALUE(TRIM(MID(TRIM($DF$20),6,99))))+12*VALUE(TRIM(MID(TRIM($DF$20),6,99)))),NA()),VALUE(TRIM(MID(SUBSTITUTE(SUBSTITUTE(SUBSTITUTE(TRIM($DF$20),",",";")," ",""),";",REPT(" ",99)),1189,99)))),NA())</f>
        <v/>
      </c>
      <c r="DN16">
        <f>IF($DG$16="","",IFERROR(IF(ABS($DG$16)&gt;=1000000,ROUND($DG$16/1000000,MAX(0,1-INT(LOG10($DF$27/1000000))))&amp;"M",IF(ABS($DG$16)&gt;=1000,ROUND($DG$16/1000,MAX(0,1-INT(LOG10($DF$27/1000))))&amp;"k",TEXT($DG$16,"#,##0.0"))),TEXT($DG$16,"#,##0.0")))</f>
        <v/>
      </c>
      <c r="DO16" t="n">
        <v>7.8</v>
      </c>
      <c r="DP16" t="n">
        <v>7.8125</v>
      </c>
      <c r="DQ16" t="n">
        <v>10</v>
      </c>
      <c r="DR16" t="inlineStr">
        <is>
          <t>bar width</t>
        </is>
      </c>
      <c r="DS16">
        <f>($DS$15-$DS$14)/$DS$13</f>
        <v/>
      </c>
      <c r="DT16">
        <f>IF(13&lt;=$DS$13,$DS$14+(13-1)*$DS$16,"")</f>
        <v/>
      </c>
      <c r="DU16">
        <f>IF(13&gt;$DS$13,"",SUMIFS($DQ$4:$DQ$203,$DP$4:$DP$203,"&gt;="&amp;$DT$16,$DP$4:$DP$203,IF(13=$DS$13,"&lt;=","&lt;")&amp;($DT$16+$DS$16)))</f>
        <v/>
      </c>
      <c r="DV16">
        <f>IF(AND(MOD(2,$DS$17)=0,MOD((INT(2/$DS$17)+1)-1,$DS$13/5)=0),INDEX($EA$4:$EA$53,(INT(2/$DS$17)+1)),"")</f>
        <v/>
      </c>
      <c r="DW16">
        <f>IF(MOD(2,$DS$17)=$DS$17-1,0,INDEX($DU$4:$DU$53,(INT(2/$DS$17)+1)))</f>
        <v/>
      </c>
      <c r="DX16">
        <f>IFERROR(IF(AND($DZ$10&gt;=$DS$14,$DZ$10&lt;=$DS$15),10+0.5+100*($DZ$10-$DS$14)/($DS$15-$DS$14),NA()),NA())</f>
        <v/>
      </c>
      <c r="DY16">
        <f>IF(ISNA($DX$16),NA(),0)</f>
        <v/>
      </c>
      <c r="DZ16">
        <f>IFERROR(IF(LEFT(LOWER(TRIM($DS$20)),5)="every",IF(((INT($DS$11/VALUE(TRIM(MID(TRIM($DS$20),6,99))))*VALUE(TRIM(MID(TRIM($DS$20),6,99)))+VALUE(TRIM(MID(TRIM($DS$20),6,99))))+12*VALUE(TRIM(MID(TRIM($DS$20),6,99))))&lt;=$DS$12,((INT($DS$11/VALUE(TRIM(MID(TRIM($DS$20),6,99))))*VALUE(TRIM(MID(TRIM($DS$20),6,99)))+VALUE(TRIM(MID(TRIM($DS$20),6,99))))+12*VALUE(TRIM(MID(TRIM($DS$20),6,99)))),NA()),VALUE(TRIM(MID(SUBSTITUTE(SUBSTITUTE(SUBSTITUTE(TRIM($DS$20),",",";")," ",""),";",REPT(" ",99)),1189,99)))),NA())</f>
        <v/>
      </c>
      <c r="EA16">
        <f>IF($DT$16="","",IFERROR(IF(ABS($DT$16)&gt;=1000000,ROUND($DT$16/1000000,MAX(0,1-INT(LOG10($DS$27/1000000))))&amp;"M",IF(ABS($DT$16)&gt;=1000,ROUND($DT$16/1000,MAX(0,1-INT(LOG10($DS$27/1000))))&amp;"k",TEXT($DT$16,"#,##0.0"))),TEXT($DT$16,"#,##0.0")))</f>
        <v/>
      </c>
      <c r="EB16" t="n">
        <v>6</v>
      </c>
      <c r="EC16" t="n">
        <v>6.25</v>
      </c>
      <c r="ED16" t="n">
        <v>70</v>
      </c>
      <c r="EE16" t="inlineStr">
        <is>
          <t>bar width</t>
        </is>
      </c>
      <c r="EF16">
        <f>($EF$15-$EF$14)/$EF$13</f>
        <v/>
      </c>
      <c r="EG16">
        <f>IF(13&lt;=$EF$13,$EF$14+(13-1)*$EF$16,"")</f>
        <v/>
      </c>
      <c r="EH16">
        <f>IF(13&gt;$EF$13,"",SUMIFS($ED$4:$ED$203,$EC$4:$EC$203,"&gt;="&amp;$EG$16,$EC$4:$EC$203,IF(13=$EF$13,"&lt;=","&lt;")&amp;($EG$16+$EF$16)))</f>
        <v/>
      </c>
      <c r="EI16">
        <f>IF(AND(MOD(2,$EF$17)=0,MOD((INT(2/$EF$17)+1)-1,$EF$13/5)=0),INDEX($EN$4:$EN$53,(INT(2/$EF$17)+1)),"")</f>
        <v/>
      </c>
      <c r="EJ16">
        <f>IF(MOD(2,$EF$17)=$EF$17-1,0,INDEX($EH$4:$EH$53,(INT(2/$EF$17)+1)))</f>
        <v/>
      </c>
      <c r="EK16">
        <f>IFERROR(IF(AND($EM$10&gt;=$EF$14,$EM$10&lt;=$EF$15),10+0.5+100*($EM$10-$EF$14)/($EF$15-$EF$14),NA()),NA())</f>
        <v/>
      </c>
      <c r="EL16">
        <f>IF(ISNA($EK$16),NA(),0)</f>
        <v/>
      </c>
      <c r="EM16">
        <f>IFERROR(IF(LEFT(LOWER(TRIM($EF$20)),5)="every",IF(((INT($EF$11/VALUE(TRIM(MID(TRIM($EF$20),6,99))))*VALUE(TRIM(MID(TRIM($EF$20),6,99)))+VALUE(TRIM(MID(TRIM($EF$20),6,99))))+12*VALUE(TRIM(MID(TRIM($EF$20),6,99))))&lt;=$EF$12,((INT($EF$11/VALUE(TRIM(MID(TRIM($EF$20),6,99))))*VALUE(TRIM(MID(TRIM($EF$20),6,99)))+VALUE(TRIM(MID(TRIM($EF$20),6,99))))+12*VALUE(TRIM(MID(TRIM($EF$20),6,99)))),NA()),VALUE(TRIM(MID(SUBSTITUTE(SUBSTITUTE(SUBSTITUTE(TRIM($EF$20),",",";")," ",""),";",REPT(" ",99)),1189,99)))),NA())</f>
        <v/>
      </c>
      <c r="EN16">
        <f>IF($EG$16="","",IFERROR(IF(ABS($EG$16)&gt;=1000000,ROUND($EG$16/1000000,MAX(0,1-INT(LOG10($EF$27/1000000))))&amp;"M",IF(ABS($EG$16)&gt;=1000,ROUND($EG$16/1000,MAX(0,1-INT(LOG10($EF$27/1000))))&amp;"k",TEXT($EG$16,"#,##0"))),TEXT($EG$16,"#,##0")))</f>
        <v/>
      </c>
      <c r="EO16" t="n">
        <v>0.21</v>
      </c>
      <c r="EP16" t="n">
        <v>0.21875</v>
      </c>
      <c r="EQ16" t="n">
        <v>293</v>
      </c>
      <c r="ER16" t="inlineStr">
        <is>
          <t>bar width</t>
        </is>
      </c>
      <c r="ES16">
        <f>($ES$15-$ES$14)/$ES$13</f>
        <v/>
      </c>
      <c r="ET16">
        <f>IF(13&lt;=$ES$13,$ES$14+(13-1)*$ES$16,"")</f>
        <v/>
      </c>
      <c r="EU16">
        <f>IF(13&gt;$ES$13,"",SUMIFS($EQ$4:$EQ$203,$EP$4:$EP$203,"&gt;="&amp;$ET$16,$EP$4:$EP$203,IF(13=$ES$13,"&lt;=","&lt;")&amp;($ET$16+$ES$16)))</f>
        <v/>
      </c>
      <c r="EV16">
        <f>IF(AND(MOD(2,$ES$17)=0,MOD((INT(2/$ES$17)+1)-1,$ES$13/5)=0),INDEX($FA$4:$FA$53,(INT(2/$ES$17)+1)),"")</f>
        <v/>
      </c>
      <c r="EW16">
        <f>IF(MOD(2,$ES$17)=$ES$17-1,0,INDEX($EU$4:$EU$53,(INT(2/$ES$17)+1)))</f>
        <v/>
      </c>
      <c r="EX16">
        <f>IFERROR(IF(AND($EZ$10&gt;=$ES$14,$EZ$10&lt;=$ES$15),10+0.5+100*($EZ$10-$ES$14)/($ES$15-$ES$14),NA()),NA())</f>
        <v/>
      </c>
      <c r="EY16">
        <f>IF(ISNA($EX$16),NA(),0)</f>
        <v/>
      </c>
      <c r="EZ16">
        <f>IFERROR(IF(LEFT(LOWER(TRIM($ES$20)),5)="every",IF(((INT($ES$11/VALUE(TRIM(MID(TRIM($ES$20),6,99))))*VALUE(TRIM(MID(TRIM($ES$20),6,99)))+VALUE(TRIM(MID(TRIM($ES$20),6,99))))+12*VALUE(TRIM(MID(TRIM($ES$20),6,99))))&lt;=$ES$12,((INT($ES$11/VALUE(TRIM(MID(TRIM($ES$20),6,99))))*VALUE(TRIM(MID(TRIM($ES$20),6,99)))+VALUE(TRIM(MID(TRIM($ES$20),6,99))))+12*VALUE(TRIM(MID(TRIM($ES$20),6,99)))),NA()),VALUE(TRIM(MID(SUBSTITUTE(SUBSTITUTE(SUBSTITUTE(TRIM($ES$20),",",";")," ",""),";",REPT(" ",99)),1189,99)))),NA())</f>
        <v/>
      </c>
      <c r="FA16">
        <f>IF($ET$16="","",IFERROR(IF(ABS($ET$16)&gt;=1000000,ROUND($ET$16/1000000,MAX(0,1-INT(LOG10($ES$27/1000000))))&amp;"M",IF(ABS($ET$16)&gt;=1000,ROUND($ET$16/1000,MAX(0,1-INT(LOG10($ES$27/1000))))&amp;"k",TEXT($ET$16,"0.00"))),TEXT($ET$16,"0.00")))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36</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c r="AO17" t="n">
        <v>52000</v>
      </c>
      <c r="AP17" t="n">
        <v>54000</v>
      </c>
      <c r="AQ17" t="n">
        <v>5</v>
      </c>
      <c r="AR17" t="inlineStr">
        <is>
          <t>chart slots per bar</t>
        </is>
      </c>
      <c r="AS17">
        <f>100/$AS$13</f>
        <v/>
      </c>
      <c r="AT17">
        <f>IF(14&lt;=$AS$13,$AS$14+(14-1)*$AS$16,"")</f>
        <v/>
      </c>
      <c r="AU17">
        <f>IF(14&gt;$AS$13,"",SUMIFS($AQ$4:$AQ$203,$AP$4:$AP$203,"&gt;="&amp;$AT$17,$AP$4:$AP$203,IF(14=$AS$13,"&lt;=","&lt;")&amp;($AT$17+$AS$16)))</f>
        <v/>
      </c>
      <c r="AV17">
        <f>IF(AND(MOD(3,$AS$17)=0,MOD((INT(3/$AS$17)+1)-1,$AS$13/5)=0),INDEX($BA$4:$BA$53,(INT(3/$AS$17)+1)),"")</f>
        <v/>
      </c>
      <c r="AW17">
        <f>IF(MOD(3,$AS$17)=$AS$17-1,0,INDEX($AU$4:$AU$53,(INT(3/$AS$17)+1)))</f>
        <v/>
      </c>
      <c r="AX17">
        <f>IFERROR(IF(AND($AZ$10&gt;=$AS$14,$AZ$10&lt;=$AS$15),10+0.5+100*($AZ$10-$AS$14)/($AS$15-$AS$14),NA()),NA())</f>
        <v/>
      </c>
      <c r="AY17">
        <f>IF(ISNA($AX$17),NA(),MAX($AW$4:$AW$123))</f>
        <v/>
      </c>
      <c r="AZ17">
        <f>IFERROR(IF(LEFT(LOWER(TRIM($AS$20)),5)="every",IF(((INT($AS$11/VALUE(TRIM(MID(TRIM($AS$20),6,99))))*VALUE(TRIM(MID(TRIM($AS$20),6,99)))+VALUE(TRIM(MID(TRIM($AS$20),6,99))))+13*VALUE(TRIM(MID(TRIM($AS$20),6,99))))&lt;=$AS$12,((INT($AS$11/VALUE(TRIM(MID(TRIM($AS$20),6,99))))*VALUE(TRIM(MID(TRIM($AS$20),6,99)))+VALUE(TRIM(MID(TRIM($AS$20),6,99))))+13*VALUE(TRIM(MID(TRIM($AS$20),6,99)))),NA()),VALUE(TRIM(MID(SUBSTITUTE(SUBSTITUTE(SUBSTITUTE(TRIM($AS$20),",",";")," ",""),";",REPT(" ",99)),1288,99)))),NA())</f>
        <v/>
      </c>
      <c r="BA17">
        <f>IF($AT$17="","",IFERROR(IF(ABS($AT$17)&gt;=1000000,ROUND($AT$17/1000000,MAX(0,1-INT(LOG10($AS$27/1000000))))&amp;"M",IF(ABS($AT$17)&gt;=1000,ROUND($AT$17/1000,MAX(0,1-INT(LOG10($AS$27/1000))))&amp;"k",TEXT($AT$17,"#,##0"))),TEXT($AT$17,"#,##0")))</f>
        <v/>
      </c>
      <c r="BB17" t="n">
        <v>91000</v>
      </c>
      <c r="BC17" t="n">
        <v>94500</v>
      </c>
      <c r="BD17" t="n">
        <v>365</v>
      </c>
      <c r="BE17" t="inlineStr">
        <is>
          <t>chart slots per bar</t>
        </is>
      </c>
      <c r="BF17">
        <f>100/$BF$13</f>
        <v/>
      </c>
      <c r="BG17">
        <f>IF(14&lt;=$BF$13,$BF$14+(14-1)*$BF$16,"")</f>
        <v/>
      </c>
      <c r="BH17">
        <f>IF(14&gt;$BF$13,"",SUMIFS($BD$4:$BD$203,$BC$4:$BC$203,"&gt;="&amp;$BG$17,$BC$4:$BC$203,IF(14=$BF$13,"&lt;=","&lt;")&amp;($BG$17+$BF$16)))</f>
        <v/>
      </c>
      <c r="BI17">
        <f>IF(AND(MOD(3,$BF$17)=0,MOD((INT(3/$BF$17)+1)-1,$BF$13/5)=0),INDEX($BN$4:$BN$53,(INT(3/$BF$17)+1)),"")</f>
        <v/>
      </c>
      <c r="BJ17">
        <f>IF(MOD(3,$BF$17)=$BF$17-1,0,INDEX($BH$4:$BH$53,(INT(3/$BF$17)+1)))</f>
        <v/>
      </c>
      <c r="BK17">
        <f>IFERROR(IF(AND($BM$10&gt;=$BF$14,$BM$10&lt;=$BF$15),10+0.5+100*($BM$10-$BF$14)/($BF$15-$BF$14),NA()),NA())</f>
        <v/>
      </c>
      <c r="BL17">
        <f>IF(ISNA($BK$17),NA(),MAX($BJ$4:$BJ$123))</f>
        <v/>
      </c>
      <c r="BM17">
        <f>IFERROR(IF(LEFT(LOWER(TRIM($BF$20)),5)="every",IF(((INT($BF$11/VALUE(TRIM(MID(TRIM($BF$20),6,99))))*VALUE(TRIM(MID(TRIM($BF$20),6,99)))+VALUE(TRIM(MID(TRIM($BF$20),6,99))))+13*VALUE(TRIM(MID(TRIM($BF$20),6,99))))&lt;=$BF$12,((INT($BF$11/VALUE(TRIM(MID(TRIM($BF$20),6,99))))*VALUE(TRIM(MID(TRIM($BF$20),6,99)))+VALUE(TRIM(MID(TRIM($BF$20),6,99))))+13*VALUE(TRIM(MID(TRIM($BF$20),6,99)))),NA()),VALUE(TRIM(MID(SUBSTITUTE(SUBSTITUTE(SUBSTITUTE(TRIM($BF$20),",",";")," ",""),";",REPT(" ",99)),1288,99)))),NA())</f>
        <v/>
      </c>
      <c r="BN17">
        <f>IF($BG$17="","",IFERROR(IF(ABS($BG$17)&gt;=1000000,ROUND($BG$17/1000000,MAX(0,1-INT(LOG10($BF$27/1000000))))&amp;"M",IF(ABS($BG$17)&gt;=1000,ROUND($BG$17/1000,MAX(0,1-INT(LOG10($BF$27/1000))))&amp;"k",TEXT($BG$17,"#,##0"))),TEXT($BG$17,"#,##0")))</f>
        <v/>
      </c>
      <c r="BO17" t="n">
        <v>0.078</v>
      </c>
      <c r="BP17" t="n">
        <v>0.081</v>
      </c>
      <c r="BQ17" t="n">
        <v>70</v>
      </c>
      <c r="BR17" t="inlineStr">
        <is>
          <t>chart slots per bar</t>
        </is>
      </c>
      <c r="BS17">
        <f>100/$BS$13</f>
        <v/>
      </c>
      <c r="BT17">
        <f>IF(14&lt;=$BS$13,$BS$14+(14-1)*$BS$16,"")</f>
        <v/>
      </c>
      <c r="BU17">
        <f>IF(14&gt;$BS$13,"",SUMIFS($BQ$4:$BQ$203,$BP$4:$BP$203,"&gt;="&amp;$BT$17,$BP$4:$BP$203,IF(14=$BS$13,"&lt;=","&lt;")&amp;($BT$17+$BS$16)))</f>
        <v/>
      </c>
      <c r="BV17">
        <f>IF(AND(MOD(3,$BS$17)=0,MOD((INT(3/$BS$17)+1)-1,$BS$13/5)=0),INDEX($CA$4:$CA$53,(INT(3/$BS$17)+1)),"")</f>
        <v/>
      </c>
      <c r="BW17">
        <f>IF(MOD(3,$BS$17)=$BS$17-1,0,INDEX($BU$4:$BU$53,(INT(3/$BS$17)+1)))</f>
        <v/>
      </c>
      <c r="BX17">
        <f>IFERROR(IF(AND($BZ$10&gt;=$BS$14,$BZ$10&lt;=$BS$15),10+0.5+100*($BZ$10-$BS$14)/($BS$15-$BS$14),NA()),NA())</f>
        <v/>
      </c>
      <c r="BY17">
        <f>IF(ISNA($BX$17),NA(),MAX($BW$4:$BW$123))</f>
        <v/>
      </c>
      <c r="BZ17">
        <f>IFERROR(IF(LEFT(LOWER(TRIM($BS$20)),5)="every",IF(((INT($BS$11/VALUE(TRIM(MID(TRIM($BS$20),6,99))))*VALUE(TRIM(MID(TRIM($BS$20),6,99)))+VALUE(TRIM(MID(TRIM($BS$20),6,99))))+13*VALUE(TRIM(MID(TRIM($BS$20),6,99))))&lt;=$BS$12,((INT($BS$11/VALUE(TRIM(MID(TRIM($BS$20),6,99))))*VALUE(TRIM(MID(TRIM($BS$20),6,99)))+VALUE(TRIM(MID(TRIM($BS$20),6,99))))+13*VALUE(TRIM(MID(TRIM($BS$20),6,99)))),NA()),VALUE(TRIM(MID(SUBSTITUTE(SUBSTITUTE(SUBSTITUTE(TRIM($BS$20),",",";")," ",""),";",REPT(" ",99)),1288,99)))),NA())</f>
        <v/>
      </c>
      <c r="CA17">
        <f>IF($BT$17="","",IFERROR(IF(ABS($BT$17)&gt;=1000000,ROUND($BT$17/1000000,MAX(0,1-INT(LOG10($BS$27/1000000))))&amp;"M",IF(ABS($BT$17)&gt;=1000,ROUND($BT$17/1000,MAX(0,1-INT(LOG10($BS$27/1000))))&amp;"k",TEXT($BT$17,"0.00"))),TEXT($BT$17,"0.00")))</f>
        <v/>
      </c>
      <c r="CB17" t="n">
        <v>1.95</v>
      </c>
      <c r="CC17" t="n">
        <v>2.025</v>
      </c>
      <c r="CD17" t="n">
        <v>147</v>
      </c>
      <c r="CE17" t="inlineStr">
        <is>
          <t>chart slots per bar</t>
        </is>
      </c>
      <c r="CF17">
        <f>100/$CF$13</f>
        <v/>
      </c>
      <c r="CG17">
        <f>IF(14&lt;=$CF$13,$CF$14+(14-1)*$CF$16,"")</f>
        <v/>
      </c>
      <c r="CH17">
        <f>IF(14&gt;$CF$13,"",SUMIFS($CD$4:$CD$203,$CC$4:$CC$203,"&gt;="&amp;$CG$17,$CC$4:$CC$203,IF(14=$CF$13,"&lt;=","&lt;")&amp;($CG$17+$CF$16)))</f>
        <v/>
      </c>
      <c r="CI17">
        <f>IF(AND(MOD(3,$CF$17)=0,MOD((INT(3/$CF$17)+1)-1,$CF$13/5)=0),INDEX($CN$4:$CN$53,(INT(3/$CF$17)+1)),"")</f>
        <v/>
      </c>
      <c r="CJ17">
        <f>IF(MOD(3,$CF$17)=$CF$17-1,0,INDEX($CH$4:$CH$53,(INT(3/$CF$17)+1)))</f>
        <v/>
      </c>
      <c r="CK17">
        <f>IFERROR(IF(AND($CM$10&gt;=$CF$14,$CM$10&lt;=$CF$15),10+0.5+100*($CM$10-$CF$14)/($CF$15-$CF$14),NA()),NA())</f>
        <v/>
      </c>
      <c r="CL17">
        <f>IF(ISNA($CK$17),NA(),MAX($CJ$4:$CJ$123))</f>
        <v/>
      </c>
      <c r="CM17">
        <f>IFERROR(IF(LEFT(LOWER(TRIM($CF$20)),5)="every",IF(((INT($CF$11/VALUE(TRIM(MID(TRIM($CF$20),6,99))))*VALUE(TRIM(MID(TRIM($CF$20),6,99)))+VALUE(TRIM(MID(TRIM($CF$20),6,99))))+13*VALUE(TRIM(MID(TRIM($CF$20),6,99))))&lt;=$CF$12,((INT($CF$11/VALUE(TRIM(MID(TRIM($CF$20),6,99))))*VALUE(TRIM(MID(TRIM($CF$20),6,99)))+VALUE(TRIM(MID(TRIM($CF$20),6,99))))+13*VALUE(TRIM(MID(TRIM($CF$20),6,99)))),NA()),VALUE(TRIM(MID(SUBSTITUTE(SUBSTITUTE(SUBSTITUTE(TRIM($CF$20),",",";")," ",""),";",REPT(" ",99)),1288,99)))),NA())</f>
        <v/>
      </c>
      <c r="CN17">
        <f>IF($CG$17="","",IFERROR(IF(ABS($CG$17)&gt;=1000000,ROUND($CG$17/1000000,MAX(0,1-INT(LOG10($CF$27/1000000))))&amp;"M",IF(ABS($CG$17)&gt;=1000,ROUND($CG$17/1000,MAX(0,1-INT(LOG10($CF$27/1000))))&amp;"k",TEXT($CG$17,"#,##0.0"))),TEXT($CG$17,"#,##0.0")))</f>
        <v/>
      </c>
      <c r="CO17" t="n">
        <v>15.2</v>
      </c>
      <c r="CP17" t="n">
        <v>15.4</v>
      </c>
      <c r="CQ17" t="n">
        <v>9</v>
      </c>
      <c r="CR17" t="inlineStr">
        <is>
          <t>chart slots per bar</t>
        </is>
      </c>
      <c r="CS17">
        <f>100/$CS$13</f>
        <v/>
      </c>
      <c r="CT17">
        <f>IF(14&lt;=$CS$13,$CS$14+(14-1)*$CS$16,"")</f>
        <v/>
      </c>
      <c r="CU17">
        <f>IF(14&gt;$CS$13,"",SUMIFS($CQ$4:$CQ$203,$CP$4:$CP$203,"&gt;="&amp;$CT$17,$CP$4:$CP$203,IF(14=$CS$13,"&lt;=","&lt;")&amp;($CT$17+$CS$16)))</f>
        <v/>
      </c>
      <c r="CV17">
        <f>IF(AND(MOD(3,$CS$17)=0,MOD((INT(3/$CS$17)+1)-1,$CS$13/5)=0),INDEX($DA$4:$DA$53,(INT(3/$CS$17)+1)),"")</f>
        <v/>
      </c>
      <c r="CW17">
        <f>IF(MOD(3,$CS$17)=$CS$17-1,0,INDEX($CU$4:$CU$53,(INT(3/$CS$17)+1)))</f>
        <v/>
      </c>
      <c r="CX17">
        <f>IFERROR(IF(AND($CZ$10&gt;=$CS$14,$CZ$10&lt;=$CS$15),10+0.5+100*($CZ$10-$CS$14)/($CS$15-$CS$14),NA()),NA())</f>
        <v/>
      </c>
      <c r="CY17">
        <f>IF(ISNA($CX$17),NA(),MAX($CW$4:$CW$123))</f>
        <v/>
      </c>
      <c r="CZ17">
        <f>IFERROR(IF(LEFT(LOWER(TRIM($CS$20)),5)="every",IF(((INT($CS$11/VALUE(TRIM(MID(TRIM($CS$20),6,99))))*VALUE(TRIM(MID(TRIM($CS$20),6,99)))+VALUE(TRIM(MID(TRIM($CS$20),6,99))))+13*VALUE(TRIM(MID(TRIM($CS$20),6,99))))&lt;=$CS$12,((INT($CS$11/VALUE(TRIM(MID(TRIM($CS$20),6,99))))*VALUE(TRIM(MID(TRIM($CS$20),6,99)))+VALUE(TRIM(MID(TRIM($CS$20),6,99))))+13*VALUE(TRIM(MID(TRIM($CS$20),6,99)))),NA()),VALUE(TRIM(MID(SUBSTITUTE(SUBSTITUTE(SUBSTITUTE(TRIM($CS$20),",",";")," ",""),";",REPT(" ",99)),1288,99)))),NA())</f>
        <v/>
      </c>
      <c r="DA17">
        <f>IF($CT$17="","",IFERROR(IF(ABS($CT$17)&gt;=1000000,ROUND($CT$17/1000000,MAX(0,1-INT(LOG10($CS$27/1000000))))&amp;"M",IF(ABS($CT$17)&gt;=1000,ROUND($CT$17/1000,MAX(0,1-INT(LOG10($CS$27/1000))))&amp;"k",TEXT($CT$17,"#,##0"))),TEXT($CT$17,"#,##0")))</f>
        <v/>
      </c>
      <c r="DB17" t="n">
        <v>14.55</v>
      </c>
      <c r="DC17" t="n">
        <v>14.725</v>
      </c>
      <c r="DD17" t="n">
        <v>11</v>
      </c>
      <c r="DE17" t="inlineStr">
        <is>
          <t>chart slots per bar</t>
        </is>
      </c>
      <c r="DF17">
        <f>100/$DF$13</f>
        <v/>
      </c>
      <c r="DG17">
        <f>IF(14&lt;=$DF$13,$DF$14+(14-1)*$DF$16,"")</f>
        <v/>
      </c>
      <c r="DH17">
        <f>IF(14&gt;$DF$13,"",SUMIFS($DD$4:$DD$203,$DC$4:$DC$203,"&gt;="&amp;$DG$17,$DC$4:$DC$203,IF(14=$DF$13,"&lt;=","&lt;")&amp;($DG$17+$DF$16)))</f>
        <v/>
      </c>
      <c r="DI17">
        <f>IF(AND(MOD(3,$DF$17)=0,MOD((INT(3/$DF$17)+1)-1,$DF$13/5)=0),INDEX($DN$4:$DN$53,(INT(3/$DF$17)+1)),"")</f>
        <v/>
      </c>
      <c r="DJ17">
        <f>IF(MOD(3,$DF$17)=$DF$17-1,0,INDEX($DH$4:$DH$53,(INT(3/$DF$17)+1)))</f>
        <v/>
      </c>
      <c r="DK17">
        <f>IFERROR(IF(AND($DM$10&gt;=$DF$14,$DM$10&lt;=$DF$15),10+0.5+100*($DM$10-$DF$14)/($DF$15-$DF$14),NA()),NA())</f>
        <v/>
      </c>
      <c r="DL17">
        <f>IF(ISNA($DK$17),NA(),MAX($DJ$4:$DJ$123))</f>
        <v/>
      </c>
      <c r="DM17">
        <f>IFERROR(IF(LEFT(LOWER(TRIM($DF$20)),5)="every",IF(((INT($DF$11/VALUE(TRIM(MID(TRIM($DF$20),6,99))))*VALUE(TRIM(MID(TRIM($DF$20),6,99)))+VALUE(TRIM(MID(TRIM($DF$20),6,99))))+13*VALUE(TRIM(MID(TRIM($DF$20),6,99))))&lt;=$DF$12,((INT($DF$11/VALUE(TRIM(MID(TRIM($DF$20),6,99))))*VALUE(TRIM(MID(TRIM($DF$20),6,99)))+VALUE(TRIM(MID(TRIM($DF$20),6,99))))+13*VALUE(TRIM(MID(TRIM($DF$20),6,99)))),NA()),VALUE(TRIM(MID(SUBSTITUTE(SUBSTITUTE(SUBSTITUTE(TRIM($DF$20),",",";")," ",""),";",REPT(" ",99)),1288,99)))),NA())</f>
        <v/>
      </c>
      <c r="DN17">
        <f>IF($DG$17="","",IFERROR(IF(ABS($DG$17)&gt;=1000000,ROUND($DG$17/1000000,MAX(0,1-INT(LOG10($DF$27/1000000))))&amp;"M",IF(ABS($DG$17)&gt;=1000,ROUND($DG$17/1000,MAX(0,1-INT(LOG10($DF$27/1000))))&amp;"k",TEXT($DG$17,"#,##0.0"))),TEXT($DG$17,"#,##0.0")))</f>
        <v/>
      </c>
      <c r="DO17" t="n">
        <v>7.825</v>
      </c>
      <c r="DP17" t="n">
        <v>7.8375</v>
      </c>
      <c r="DQ17" t="n">
        <v>13</v>
      </c>
      <c r="DR17" t="inlineStr">
        <is>
          <t>chart slots per bar</t>
        </is>
      </c>
      <c r="DS17">
        <f>100/$DS$13</f>
        <v/>
      </c>
      <c r="DT17">
        <f>IF(14&lt;=$DS$13,$DS$14+(14-1)*$DS$16,"")</f>
        <v/>
      </c>
      <c r="DU17">
        <f>IF(14&gt;$DS$13,"",SUMIFS($DQ$4:$DQ$203,$DP$4:$DP$203,"&gt;="&amp;$DT$17,$DP$4:$DP$203,IF(14=$DS$13,"&lt;=","&lt;")&amp;($DT$17+$DS$16)))</f>
        <v/>
      </c>
      <c r="DV17">
        <f>IF(AND(MOD(3,$DS$17)=0,MOD((INT(3/$DS$17)+1)-1,$DS$13/5)=0),INDEX($EA$4:$EA$53,(INT(3/$DS$17)+1)),"")</f>
        <v/>
      </c>
      <c r="DW17">
        <f>IF(MOD(3,$DS$17)=$DS$17-1,0,INDEX($DU$4:$DU$53,(INT(3/$DS$17)+1)))</f>
        <v/>
      </c>
      <c r="DX17">
        <f>IFERROR(IF(AND($DZ$10&gt;=$DS$14,$DZ$10&lt;=$DS$15),10+0.5+100*($DZ$10-$DS$14)/($DS$15-$DS$14),NA()),NA())</f>
        <v/>
      </c>
      <c r="DY17">
        <f>IF(ISNA($DX$17),NA(),MAX($DW$4:$DW$123))</f>
        <v/>
      </c>
      <c r="DZ17">
        <f>IFERROR(IF(LEFT(LOWER(TRIM($DS$20)),5)="every",IF(((INT($DS$11/VALUE(TRIM(MID(TRIM($DS$20),6,99))))*VALUE(TRIM(MID(TRIM($DS$20),6,99)))+VALUE(TRIM(MID(TRIM($DS$20),6,99))))+13*VALUE(TRIM(MID(TRIM($DS$20),6,99))))&lt;=$DS$12,((INT($DS$11/VALUE(TRIM(MID(TRIM($DS$20),6,99))))*VALUE(TRIM(MID(TRIM($DS$20),6,99)))+VALUE(TRIM(MID(TRIM($DS$20),6,99))))+13*VALUE(TRIM(MID(TRIM($DS$20),6,99)))),NA()),VALUE(TRIM(MID(SUBSTITUTE(SUBSTITUTE(SUBSTITUTE(TRIM($DS$20),",",";")," ",""),";",REPT(" ",99)),1288,99)))),NA())</f>
        <v/>
      </c>
      <c r="EA17">
        <f>IF($DT$17="","",IFERROR(IF(ABS($DT$17)&gt;=1000000,ROUND($DT$17/1000000,MAX(0,1-INT(LOG10($DS$27/1000000))))&amp;"M",IF(ABS($DT$17)&gt;=1000,ROUND($DT$17/1000,MAX(0,1-INT(LOG10($DS$27/1000))))&amp;"k",TEXT($DT$17,"#,##0.0"))),TEXT($DT$17,"#,##0.0")))</f>
        <v/>
      </c>
      <c r="EB17" t="n">
        <v>6.5</v>
      </c>
      <c r="EC17" t="n">
        <v>6.75</v>
      </c>
      <c r="ED17" t="n">
        <v>70</v>
      </c>
      <c r="EE17" t="inlineStr">
        <is>
          <t>chart slots per bar</t>
        </is>
      </c>
      <c r="EF17">
        <f>100/$EF$13</f>
        <v/>
      </c>
      <c r="EG17">
        <f>IF(14&lt;=$EF$13,$EF$14+(14-1)*$EF$16,"")</f>
        <v/>
      </c>
      <c r="EH17">
        <f>IF(14&gt;$EF$13,"",SUMIFS($ED$4:$ED$203,$EC$4:$EC$203,"&gt;="&amp;$EG$17,$EC$4:$EC$203,IF(14=$EF$13,"&lt;=","&lt;")&amp;($EG$17+$EF$16)))</f>
        <v/>
      </c>
      <c r="EI17">
        <f>IF(AND(MOD(3,$EF$17)=0,MOD((INT(3/$EF$17)+1)-1,$EF$13/5)=0),INDEX($EN$4:$EN$53,(INT(3/$EF$17)+1)),"")</f>
        <v/>
      </c>
      <c r="EJ17">
        <f>IF(MOD(3,$EF$17)=$EF$17-1,0,INDEX($EH$4:$EH$53,(INT(3/$EF$17)+1)))</f>
        <v/>
      </c>
      <c r="EK17">
        <f>IFERROR(IF(AND($EM$10&gt;=$EF$14,$EM$10&lt;=$EF$15),10+0.5+100*($EM$10-$EF$14)/($EF$15-$EF$14),NA()),NA())</f>
        <v/>
      </c>
      <c r="EL17">
        <f>IF(ISNA($EK$17),NA(),MAX($EJ$4:$EJ$123))</f>
        <v/>
      </c>
      <c r="EM17">
        <f>IFERROR(IF(LEFT(LOWER(TRIM($EF$20)),5)="every",IF(((INT($EF$11/VALUE(TRIM(MID(TRIM($EF$20),6,99))))*VALUE(TRIM(MID(TRIM($EF$20),6,99)))+VALUE(TRIM(MID(TRIM($EF$20),6,99))))+13*VALUE(TRIM(MID(TRIM($EF$20),6,99))))&lt;=$EF$12,((INT($EF$11/VALUE(TRIM(MID(TRIM($EF$20),6,99))))*VALUE(TRIM(MID(TRIM($EF$20),6,99)))+VALUE(TRIM(MID(TRIM($EF$20),6,99))))+13*VALUE(TRIM(MID(TRIM($EF$20),6,99)))),NA()),VALUE(TRIM(MID(SUBSTITUTE(SUBSTITUTE(SUBSTITUTE(TRIM($EF$20),",",";")," ",""),";",REPT(" ",99)),1288,99)))),NA())</f>
        <v/>
      </c>
      <c r="EN17">
        <f>IF($EG$17="","",IFERROR(IF(ABS($EG$17)&gt;=1000000,ROUND($EG$17/1000000,MAX(0,1-INT(LOG10($EF$27/1000000))))&amp;"M",IF(ABS($EG$17)&gt;=1000,ROUND($EG$17/1000,MAX(0,1-INT(LOG10($EF$27/1000))))&amp;"k",TEXT($EG$17,"#,##0"))),TEXT($EG$17,"#,##0")))</f>
        <v/>
      </c>
      <c r="EO17" t="n">
        <v>0.2275</v>
      </c>
      <c r="EP17" t="n">
        <v>0.23625</v>
      </c>
      <c r="EQ17" t="n">
        <v>285</v>
      </c>
      <c r="ER17" t="inlineStr">
        <is>
          <t>chart slots per bar</t>
        </is>
      </c>
      <c r="ES17">
        <f>100/$ES$13</f>
        <v/>
      </c>
      <c r="ET17">
        <f>IF(14&lt;=$ES$13,$ES$14+(14-1)*$ES$16,"")</f>
        <v/>
      </c>
      <c r="EU17">
        <f>IF(14&gt;$ES$13,"",SUMIFS($EQ$4:$EQ$203,$EP$4:$EP$203,"&gt;="&amp;$ET$17,$EP$4:$EP$203,IF(14=$ES$13,"&lt;=","&lt;")&amp;($ET$17+$ES$16)))</f>
        <v/>
      </c>
      <c r="EV17">
        <f>IF(AND(MOD(3,$ES$17)=0,MOD((INT(3/$ES$17)+1)-1,$ES$13/5)=0),INDEX($FA$4:$FA$53,(INT(3/$ES$17)+1)),"")</f>
        <v/>
      </c>
      <c r="EW17">
        <f>IF(MOD(3,$ES$17)=$ES$17-1,0,INDEX($EU$4:$EU$53,(INT(3/$ES$17)+1)))</f>
        <v/>
      </c>
      <c r="EX17">
        <f>IFERROR(IF(AND($EZ$10&gt;=$ES$14,$EZ$10&lt;=$ES$15),10+0.5+100*($EZ$10-$ES$14)/($ES$15-$ES$14),NA()),NA())</f>
        <v/>
      </c>
      <c r="EY17">
        <f>IF(ISNA($EX$17),NA(),MAX($EW$4:$EW$123))</f>
        <v/>
      </c>
      <c r="EZ17">
        <f>IFERROR(IF(LEFT(LOWER(TRIM($ES$20)),5)="every",IF(((INT($ES$11/VALUE(TRIM(MID(TRIM($ES$20),6,99))))*VALUE(TRIM(MID(TRIM($ES$20),6,99)))+VALUE(TRIM(MID(TRIM($ES$20),6,99))))+13*VALUE(TRIM(MID(TRIM($ES$20),6,99))))&lt;=$ES$12,((INT($ES$11/VALUE(TRIM(MID(TRIM($ES$20),6,99))))*VALUE(TRIM(MID(TRIM($ES$20),6,99)))+VALUE(TRIM(MID(TRIM($ES$20),6,99))))+13*VALUE(TRIM(MID(TRIM($ES$20),6,99)))),NA()),VALUE(TRIM(MID(SUBSTITUTE(SUBSTITUTE(SUBSTITUTE(TRIM($ES$20),",",";")," ",""),";",REPT(" ",99)),1288,99)))),NA())</f>
        <v/>
      </c>
      <c r="FA17">
        <f>IF($ET$17="","",IFERROR(IF(ABS($ET$17)&gt;=1000000,ROUND($ET$17/1000000,MAX(0,1-INT(LOG10($ES$27/1000000))))&amp;"M",IF(ABS($ET$17)&gt;=1000,ROUND($ET$17/1000,MAX(0,1-INT(LOG10($ES$27/1000))))&amp;"k",TEXT($ET$17,"0.00"))),TEXT($ET$17,"0.00")))</f>
        <v/>
      </c>
    </row>
    <row r="18">
      <c r="B18" t="n">
        <v>571</v>
      </c>
      <c r="C18" t="n">
        <v>571.75</v>
      </c>
      <c r="D18" t="n">
        <v>16</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34</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c r="AO18" t="n">
        <v>56000</v>
      </c>
      <c r="AP18" t="n">
        <v>58000</v>
      </c>
      <c r="AQ18" t="n">
        <v>9</v>
      </c>
      <c r="AR18" t="inlineStr">
        <is>
          <t>low end bar</t>
        </is>
      </c>
      <c r="AS18">
        <f>$AS$7+SUMIFS($AQ$4:$AQ$203,$AP$4:$AP$203,"&lt;"&amp;$AS$14)</f>
        <v/>
      </c>
      <c r="AT18">
        <f>IF(15&lt;=$AS$13,$AS$14+(15-1)*$AS$16,"")</f>
        <v/>
      </c>
      <c r="AU18">
        <f>IF(15&gt;$AS$13,"",SUMIFS($AQ$4:$AQ$203,$AP$4:$AP$203,"&gt;="&amp;$AT$18,$AP$4:$AP$203,IF(15=$AS$13,"&lt;=","&lt;")&amp;($AT$18+$AS$16)))</f>
        <v/>
      </c>
      <c r="AV18">
        <f>IF(AND(MOD(4,$AS$17)=0,MOD((INT(4/$AS$17)+1)-1,$AS$13/5)=0),INDEX($BA$4:$BA$53,(INT(4/$AS$17)+1)),"")</f>
        <v/>
      </c>
      <c r="AW18">
        <f>IF(MOD(4,$AS$17)=$AS$17-1,0,INDEX($AU$4:$AU$53,(INT(4/$AS$17)+1)))</f>
        <v/>
      </c>
      <c r="AX18">
        <f>IFERROR(IF(AND($AZ$11&gt;=$AS$14,$AZ$11&lt;=$AS$15),10+0.5+100*($AZ$11-$AS$14)/($AS$15-$AS$14),NA()),NA())</f>
        <v/>
      </c>
      <c r="AY18">
        <f>IF(ISNA($AX$18),NA(),0)</f>
        <v/>
      </c>
      <c r="AZ18">
        <f>IFERROR(IF(LEFT(LOWER(TRIM($AS$20)),5)="every",IF(((INT($AS$11/VALUE(TRIM(MID(TRIM($AS$20),6,99))))*VALUE(TRIM(MID(TRIM($AS$20),6,99)))+VALUE(TRIM(MID(TRIM($AS$20),6,99))))+14*VALUE(TRIM(MID(TRIM($AS$20),6,99))))&lt;=$AS$12,((INT($AS$11/VALUE(TRIM(MID(TRIM($AS$20),6,99))))*VALUE(TRIM(MID(TRIM($AS$20),6,99)))+VALUE(TRIM(MID(TRIM($AS$20),6,99))))+14*VALUE(TRIM(MID(TRIM($AS$20),6,99)))),NA()),VALUE(TRIM(MID(SUBSTITUTE(SUBSTITUTE(SUBSTITUTE(TRIM($AS$20),",",";")," ",""),";",REPT(" ",99)),1387,99)))),NA())</f>
        <v/>
      </c>
      <c r="BA18">
        <f>IF($AT$18="","",IFERROR(IF(ABS($AT$18)&gt;=1000000,ROUND($AT$18/1000000,MAX(0,1-INT(LOG10($AS$27/1000000))))&amp;"M",IF(ABS($AT$18)&gt;=1000,ROUND($AT$18/1000,MAX(0,1-INT(LOG10($AS$27/1000))))&amp;"k",TEXT($AT$18,"#,##0"))),TEXT($AT$18,"#,##0")))</f>
        <v/>
      </c>
      <c r="BB18" t="n">
        <v>98000</v>
      </c>
      <c r="BC18" t="n">
        <v>101500</v>
      </c>
      <c r="BD18" t="n">
        <v>339</v>
      </c>
      <c r="BE18" t="inlineStr">
        <is>
          <t>low end bar</t>
        </is>
      </c>
      <c r="BF18">
        <f>$BF$7+SUMIFS($BD$4:$BD$203,$BC$4:$BC$203,"&lt;"&amp;$BF$14)</f>
        <v/>
      </c>
      <c r="BG18">
        <f>IF(15&lt;=$BF$13,$BF$14+(15-1)*$BF$16,"")</f>
        <v/>
      </c>
      <c r="BH18">
        <f>IF(15&gt;$BF$13,"",SUMIFS($BD$4:$BD$203,$BC$4:$BC$203,"&gt;="&amp;$BG$18,$BC$4:$BC$203,IF(15=$BF$13,"&lt;=","&lt;")&amp;($BG$18+$BF$16)))</f>
        <v/>
      </c>
      <c r="BI18">
        <f>IF(AND(MOD(4,$BF$17)=0,MOD((INT(4/$BF$17)+1)-1,$BF$13/5)=0),INDEX($BN$4:$BN$53,(INT(4/$BF$17)+1)),"")</f>
        <v/>
      </c>
      <c r="BJ18">
        <f>IF(MOD(4,$BF$17)=$BF$17-1,0,INDEX($BH$4:$BH$53,(INT(4/$BF$17)+1)))</f>
        <v/>
      </c>
      <c r="BK18">
        <f>IFERROR(IF(AND($BM$11&gt;=$BF$14,$BM$11&lt;=$BF$15),10+0.5+100*($BM$11-$BF$14)/($BF$15-$BF$14),NA()),NA())</f>
        <v/>
      </c>
      <c r="BL18">
        <f>IF(ISNA($BK$18),NA(),0)</f>
        <v/>
      </c>
      <c r="BM18">
        <f>IFERROR(IF(LEFT(LOWER(TRIM($BF$20)),5)="every",IF(((INT($BF$11/VALUE(TRIM(MID(TRIM($BF$20),6,99))))*VALUE(TRIM(MID(TRIM($BF$20),6,99)))+VALUE(TRIM(MID(TRIM($BF$20),6,99))))+14*VALUE(TRIM(MID(TRIM($BF$20),6,99))))&lt;=$BF$12,((INT($BF$11/VALUE(TRIM(MID(TRIM($BF$20),6,99))))*VALUE(TRIM(MID(TRIM($BF$20),6,99)))+VALUE(TRIM(MID(TRIM($BF$20),6,99))))+14*VALUE(TRIM(MID(TRIM($BF$20),6,99)))),NA()),VALUE(TRIM(MID(SUBSTITUTE(SUBSTITUTE(SUBSTITUTE(TRIM($BF$20),",",";")," ",""),";",REPT(" ",99)),1387,99)))),NA())</f>
        <v/>
      </c>
      <c r="BN18">
        <f>IF($BG$18="","",IFERROR(IF(ABS($BG$18)&gt;=1000000,ROUND($BG$18/1000000,MAX(0,1-INT(LOG10($BF$27/1000000))))&amp;"M",IF(ABS($BG$18)&gt;=1000,ROUND($BG$18/1000,MAX(0,1-INT(LOG10($BF$27/1000))))&amp;"k",TEXT($BG$18,"#,##0"))),TEXT($BG$18,"#,##0")))</f>
        <v/>
      </c>
      <c r="BO18" t="n">
        <v>0.08400000000000001</v>
      </c>
      <c r="BP18" t="n">
        <v>0.08700000000000001</v>
      </c>
      <c r="BQ18" t="n">
        <v>64</v>
      </c>
      <c r="BR18" t="inlineStr">
        <is>
          <t>low end bar</t>
        </is>
      </c>
      <c r="BS18">
        <f>$BS$7+SUMIFS($BQ$4:$BQ$203,$BP$4:$BP$203,"&lt;"&amp;$BS$14)</f>
        <v/>
      </c>
      <c r="BT18">
        <f>IF(15&lt;=$BS$13,$BS$14+(15-1)*$BS$16,"")</f>
        <v/>
      </c>
      <c r="BU18">
        <f>IF(15&gt;$BS$13,"",SUMIFS($BQ$4:$BQ$203,$BP$4:$BP$203,"&gt;="&amp;$BT$18,$BP$4:$BP$203,IF(15=$BS$13,"&lt;=","&lt;")&amp;($BT$18+$BS$16)))</f>
        <v/>
      </c>
      <c r="BV18">
        <f>IF(AND(MOD(4,$BS$17)=0,MOD((INT(4/$BS$17)+1)-1,$BS$13/5)=0),INDEX($CA$4:$CA$53,(INT(4/$BS$17)+1)),"")</f>
        <v/>
      </c>
      <c r="BW18">
        <f>IF(MOD(4,$BS$17)=$BS$17-1,0,INDEX($BU$4:$BU$53,(INT(4/$BS$17)+1)))</f>
        <v/>
      </c>
      <c r="BX18">
        <f>IFERROR(IF(AND($BZ$11&gt;=$BS$14,$BZ$11&lt;=$BS$15),10+0.5+100*($BZ$11-$BS$14)/($BS$15-$BS$14),NA()),NA())</f>
        <v/>
      </c>
      <c r="BY18">
        <f>IF(ISNA($BX$18),NA(),0)</f>
        <v/>
      </c>
      <c r="BZ18">
        <f>IFERROR(IF(LEFT(LOWER(TRIM($BS$20)),5)="every",IF(((INT($BS$11/VALUE(TRIM(MID(TRIM($BS$20),6,99))))*VALUE(TRIM(MID(TRIM($BS$20),6,99)))+VALUE(TRIM(MID(TRIM($BS$20),6,99))))+14*VALUE(TRIM(MID(TRIM($BS$20),6,99))))&lt;=$BS$12,((INT($BS$11/VALUE(TRIM(MID(TRIM($BS$20),6,99))))*VALUE(TRIM(MID(TRIM($BS$20),6,99)))+VALUE(TRIM(MID(TRIM($BS$20),6,99))))+14*VALUE(TRIM(MID(TRIM($BS$20),6,99)))),NA()),VALUE(TRIM(MID(SUBSTITUTE(SUBSTITUTE(SUBSTITUTE(TRIM($BS$20),",",";")," ",""),";",REPT(" ",99)),1387,99)))),NA())</f>
        <v/>
      </c>
      <c r="CA18">
        <f>IF($BT$18="","",IFERROR(IF(ABS($BT$18)&gt;=1000000,ROUND($BT$18/1000000,MAX(0,1-INT(LOG10($BS$27/1000000))))&amp;"M",IF(ABS($BT$18)&gt;=1000,ROUND($BT$18/1000,MAX(0,1-INT(LOG10($BS$27/1000))))&amp;"k",TEXT($BT$18,"0.00"))),TEXT($BT$18,"0.00")))</f>
        <v/>
      </c>
      <c r="CB18" t="n">
        <v>2.1</v>
      </c>
      <c r="CC18" t="n">
        <v>2.175</v>
      </c>
      <c r="CD18" t="n">
        <v>253</v>
      </c>
      <c r="CE18" t="inlineStr">
        <is>
          <t>low end bar</t>
        </is>
      </c>
      <c r="CF18">
        <f>$CF$7+SUMIFS($CD$4:$CD$203,$CC$4:$CC$203,"&lt;"&amp;$CF$14)</f>
        <v/>
      </c>
      <c r="CG18">
        <f>IF(15&lt;=$CF$13,$CF$14+(15-1)*$CF$16,"")</f>
        <v/>
      </c>
      <c r="CH18">
        <f>IF(15&gt;$CF$13,"",SUMIFS($CD$4:$CD$203,$CC$4:$CC$203,"&gt;="&amp;$CG$18,$CC$4:$CC$203,IF(15=$CF$13,"&lt;=","&lt;")&amp;($CG$18+$CF$16)))</f>
        <v/>
      </c>
      <c r="CI18">
        <f>IF(AND(MOD(4,$CF$17)=0,MOD((INT(4/$CF$17)+1)-1,$CF$13/5)=0),INDEX($CN$4:$CN$53,(INT(4/$CF$17)+1)),"")</f>
        <v/>
      </c>
      <c r="CJ18">
        <f>IF(MOD(4,$CF$17)=$CF$17-1,0,INDEX($CH$4:$CH$53,(INT(4/$CF$17)+1)))</f>
        <v/>
      </c>
      <c r="CK18">
        <f>IFERROR(IF(AND($CM$11&gt;=$CF$14,$CM$11&lt;=$CF$15),10+0.5+100*($CM$11-$CF$14)/($CF$15-$CF$14),NA()),NA())</f>
        <v/>
      </c>
      <c r="CL18">
        <f>IF(ISNA($CK$18),NA(),0)</f>
        <v/>
      </c>
      <c r="CM18">
        <f>IFERROR(IF(LEFT(LOWER(TRIM($CF$20)),5)="every",IF(((INT($CF$11/VALUE(TRIM(MID(TRIM($CF$20),6,99))))*VALUE(TRIM(MID(TRIM($CF$20),6,99)))+VALUE(TRIM(MID(TRIM($CF$20),6,99))))+14*VALUE(TRIM(MID(TRIM($CF$20),6,99))))&lt;=$CF$12,((INT($CF$11/VALUE(TRIM(MID(TRIM($CF$20),6,99))))*VALUE(TRIM(MID(TRIM($CF$20),6,99)))+VALUE(TRIM(MID(TRIM($CF$20),6,99))))+14*VALUE(TRIM(MID(TRIM($CF$20),6,99)))),NA()),VALUE(TRIM(MID(SUBSTITUTE(SUBSTITUTE(SUBSTITUTE(TRIM($CF$20),",",";")," ",""),";",REPT(" ",99)),1387,99)))),NA())</f>
        <v/>
      </c>
      <c r="CN18">
        <f>IF($CG$18="","",IFERROR(IF(ABS($CG$18)&gt;=1000000,ROUND($CG$18/1000000,MAX(0,1-INT(LOG10($CF$27/1000000))))&amp;"M",IF(ABS($CG$18)&gt;=1000,ROUND($CG$18/1000,MAX(0,1-INT(LOG10($CF$27/1000))))&amp;"k",TEXT($CG$18,"#,##0.0"))),TEXT($CG$18,"#,##0.0")))</f>
        <v/>
      </c>
      <c r="CO18" t="n">
        <v>15.6</v>
      </c>
      <c r="CP18" t="n">
        <v>15.8</v>
      </c>
      <c r="CQ18" t="n">
        <v>12</v>
      </c>
      <c r="CR18" t="inlineStr">
        <is>
          <t>low end bar</t>
        </is>
      </c>
      <c r="CS18">
        <f>$CS$7+SUMIFS($CQ$4:$CQ$203,$CP$4:$CP$203,"&lt;"&amp;$CS$14)</f>
        <v/>
      </c>
      <c r="CT18">
        <f>IF(15&lt;=$CS$13,$CS$14+(15-1)*$CS$16,"")</f>
        <v/>
      </c>
      <c r="CU18">
        <f>IF(15&gt;$CS$13,"",SUMIFS($CQ$4:$CQ$203,$CP$4:$CP$203,"&gt;="&amp;$CT$18,$CP$4:$CP$203,IF(15=$CS$13,"&lt;=","&lt;")&amp;($CT$18+$CS$16)))</f>
        <v/>
      </c>
      <c r="CV18">
        <f>IF(AND(MOD(4,$CS$17)=0,MOD((INT(4/$CS$17)+1)-1,$CS$13/5)=0),INDEX($DA$4:$DA$53,(INT(4/$CS$17)+1)),"")</f>
        <v/>
      </c>
      <c r="CW18">
        <f>IF(MOD(4,$CS$17)=$CS$17-1,0,INDEX($CU$4:$CU$53,(INT(4/$CS$17)+1)))</f>
        <v/>
      </c>
      <c r="CX18">
        <f>IFERROR(IF(AND($CZ$11&gt;=$CS$14,$CZ$11&lt;=$CS$15),10+0.5+100*($CZ$11-$CS$14)/($CS$15-$CS$14),NA()),NA())</f>
        <v/>
      </c>
      <c r="CY18">
        <f>IF(ISNA($CX$18),NA(),0)</f>
        <v/>
      </c>
      <c r="CZ18">
        <f>IFERROR(IF(LEFT(LOWER(TRIM($CS$20)),5)="every",IF(((INT($CS$11/VALUE(TRIM(MID(TRIM($CS$20),6,99))))*VALUE(TRIM(MID(TRIM($CS$20),6,99)))+VALUE(TRIM(MID(TRIM($CS$20),6,99))))+14*VALUE(TRIM(MID(TRIM($CS$20),6,99))))&lt;=$CS$12,((INT($CS$11/VALUE(TRIM(MID(TRIM($CS$20),6,99))))*VALUE(TRIM(MID(TRIM($CS$20),6,99)))+VALUE(TRIM(MID(TRIM($CS$20),6,99))))+14*VALUE(TRIM(MID(TRIM($CS$20),6,99)))),NA()),VALUE(TRIM(MID(SUBSTITUTE(SUBSTITUTE(SUBSTITUTE(TRIM($CS$20),",",";")," ",""),";",REPT(" ",99)),1387,99)))),NA())</f>
        <v/>
      </c>
      <c r="DA18">
        <f>IF($CT$18="","",IFERROR(IF(ABS($CT$18)&gt;=1000000,ROUND($CT$18/1000000,MAX(0,1-INT(LOG10($CS$27/1000000))))&amp;"M",IF(ABS($CT$18)&gt;=1000,ROUND($CT$18/1000,MAX(0,1-INT(LOG10($CS$27/1000))))&amp;"k",TEXT($CT$18,"#,##0"))),TEXT($CT$18,"#,##0")))</f>
        <v/>
      </c>
      <c r="DB18" t="n">
        <v>14.9</v>
      </c>
      <c r="DC18" t="n">
        <v>15.075</v>
      </c>
      <c r="DD18" t="n">
        <v>14</v>
      </c>
      <c r="DE18" t="inlineStr">
        <is>
          <t>low end bar</t>
        </is>
      </c>
      <c r="DF18">
        <f>$DF$7+SUMIFS($DD$4:$DD$203,$DC$4:$DC$203,"&lt;"&amp;$DF$14)</f>
        <v/>
      </c>
      <c r="DG18">
        <f>IF(15&lt;=$DF$13,$DF$14+(15-1)*$DF$16,"")</f>
        <v/>
      </c>
      <c r="DH18">
        <f>IF(15&gt;$DF$13,"",SUMIFS($DD$4:$DD$203,$DC$4:$DC$203,"&gt;="&amp;$DG$18,$DC$4:$DC$203,IF(15=$DF$13,"&lt;=","&lt;")&amp;($DG$18+$DF$16)))</f>
        <v/>
      </c>
      <c r="DI18">
        <f>IF(AND(MOD(4,$DF$17)=0,MOD((INT(4/$DF$17)+1)-1,$DF$13/5)=0),INDEX($DN$4:$DN$53,(INT(4/$DF$17)+1)),"")</f>
        <v/>
      </c>
      <c r="DJ18">
        <f>IF(MOD(4,$DF$17)=$DF$17-1,0,INDEX($DH$4:$DH$53,(INT(4/$DF$17)+1)))</f>
        <v/>
      </c>
      <c r="DK18">
        <f>IFERROR(IF(AND($DM$11&gt;=$DF$14,$DM$11&lt;=$DF$15),10+0.5+100*($DM$11-$DF$14)/($DF$15-$DF$14),NA()),NA())</f>
        <v/>
      </c>
      <c r="DL18">
        <f>IF(ISNA($DK$18),NA(),0)</f>
        <v/>
      </c>
      <c r="DM18">
        <f>IFERROR(IF(LEFT(LOWER(TRIM($DF$20)),5)="every",IF(((INT($DF$11/VALUE(TRIM(MID(TRIM($DF$20),6,99))))*VALUE(TRIM(MID(TRIM($DF$20),6,99)))+VALUE(TRIM(MID(TRIM($DF$20),6,99))))+14*VALUE(TRIM(MID(TRIM($DF$20),6,99))))&lt;=$DF$12,((INT($DF$11/VALUE(TRIM(MID(TRIM($DF$20),6,99))))*VALUE(TRIM(MID(TRIM($DF$20),6,99)))+VALUE(TRIM(MID(TRIM($DF$20),6,99))))+14*VALUE(TRIM(MID(TRIM($DF$20),6,99)))),NA()),VALUE(TRIM(MID(SUBSTITUTE(SUBSTITUTE(SUBSTITUTE(TRIM($DF$20),",",";")," ",""),";",REPT(" ",99)),1387,99)))),NA())</f>
        <v/>
      </c>
      <c r="DN18">
        <f>IF($DG$18="","",IFERROR(IF(ABS($DG$18)&gt;=1000000,ROUND($DG$18/1000000,MAX(0,1-INT(LOG10($DF$27/1000000))))&amp;"M",IF(ABS($DG$18)&gt;=1000,ROUND($DG$18/1000,MAX(0,1-INT(LOG10($DF$27/1000))))&amp;"k",TEXT($DG$18,"#,##0.0"))),TEXT($DG$18,"#,##0.0")))</f>
        <v/>
      </c>
      <c r="DO18" t="n">
        <v>7.85</v>
      </c>
      <c r="DP18" t="n">
        <v>7.8625</v>
      </c>
      <c r="DQ18" t="n">
        <v>12</v>
      </c>
      <c r="DR18" t="inlineStr">
        <is>
          <t>low end bar</t>
        </is>
      </c>
      <c r="DS18">
        <f>$DS$7+SUMIFS($DQ$4:$DQ$203,$DP$4:$DP$203,"&lt;"&amp;$DS$14)</f>
        <v/>
      </c>
      <c r="DT18">
        <f>IF(15&lt;=$DS$13,$DS$14+(15-1)*$DS$16,"")</f>
        <v/>
      </c>
      <c r="DU18">
        <f>IF(15&gt;$DS$13,"",SUMIFS($DQ$4:$DQ$203,$DP$4:$DP$203,"&gt;="&amp;$DT$18,$DP$4:$DP$203,IF(15=$DS$13,"&lt;=","&lt;")&amp;($DT$18+$DS$16)))</f>
        <v/>
      </c>
      <c r="DV18">
        <f>IF(AND(MOD(4,$DS$17)=0,MOD((INT(4/$DS$17)+1)-1,$DS$13/5)=0),INDEX($EA$4:$EA$53,(INT(4/$DS$17)+1)),"")</f>
        <v/>
      </c>
      <c r="DW18">
        <f>IF(MOD(4,$DS$17)=$DS$17-1,0,INDEX($DU$4:$DU$53,(INT(4/$DS$17)+1)))</f>
        <v/>
      </c>
      <c r="DX18">
        <f>IFERROR(IF(AND($DZ$11&gt;=$DS$14,$DZ$11&lt;=$DS$15),10+0.5+100*($DZ$11-$DS$14)/($DS$15-$DS$14),NA()),NA())</f>
        <v/>
      </c>
      <c r="DY18">
        <f>IF(ISNA($DX$18),NA(),0)</f>
        <v/>
      </c>
      <c r="DZ18">
        <f>IFERROR(IF(LEFT(LOWER(TRIM($DS$20)),5)="every",IF(((INT($DS$11/VALUE(TRIM(MID(TRIM($DS$20),6,99))))*VALUE(TRIM(MID(TRIM($DS$20),6,99)))+VALUE(TRIM(MID(TRIM($DS$20),6,99))))+14*VALUE(TRIM(MID(TRIM($DS$20),6,99))))&lt;=$DS$12,((INT($DS$11/VALUE(TRIM(MID(TRIM($DS$20),6,99))))*VALUE(TRIM(MID(TRIM($DS$20),6,99)))+VALUE(TRIM(MID(TRIM($DS$20),6,99))))+14*VALUE(TRIM(MID(TRIM($DS$20),6,99)))),NA()),VALUE(TRIM(MID(SUBSTITUTE(SUBSTITUTE(SUBSTITUTE(TRIM($DS$20),",",";")," ",""),";",REPT(" ",99)),1387,99)))),NA())</f>
        <v/>
      </c>
      <c r="EA18">
        <f>IF($DT$18="","",IFERROR(IF(ABS($DT$18)&gt;=1000000,ROUND($DT$18/1000000,MAX(0,1-INT(LOG10($DS$27/1000000))))&amp;"M",IF(ABS($DT$18)&gt;=1000,ROUND($DT$18/1000,MAX(0,1-INT(LOG10($DS$27/1000))))&amp;"k",TEXT($DT$18,"#,##0.0"))),TEXT($DT$18,"#,##0.0")))</f>
        <v/>
      </c>
      <c r="EB18" t="n">
        <v>7</v>
      </c>
      <c r="EC18" t="n">
        <v>7.25</v>
      </c>
      <c r="ED18" t="n">
        <v>57</v>
      </c>
      <c r="EE18" t="inlineStr">
        <is>
          <t>low end bar</t>
        </is>
      </c>
      <c r="EF18">
        <f>$EF$7+SUMIFS($ED$4:$ED$203,$EC$4:$EC$203,"&lt;"&amp;$EF$14)</f>
        <v/>
      </c>
      <c r="EG18">
        <f>IF(15&lt;=$EF$13,$EF$14+(15-1)*$EF$16,"")</f>
        <v/>
      </c>
      <c r="EH18">
        <f>IF(15&gt;$EF$13,"",SUMIFS($ED$4:$ED$203,$EC$4:$EC$203,"&gt;="&amp;$EG$18,$EC$4:$EC$203,IF(15=$EF$13,"&lt;=","&lt;")&amp;($EG$18+$EF$16)))</f>
        <v/>
      </c>
      <c r="EI18">
        <f>IF(AND(MOD(4,$EF$17)=0,MOD((INT(4/$EF$17)+1)-1,$EF$13/5)=0),INDEX($EN$4:$EN$53,(INT(4/$EF$17)+1)),"")</f>
        <v/>
      </c>
      <c r="EJ18">
        <f>IF(MOD(4,$EF$17)=$EF$17-1,0,INDEX($EH$4:$EH$53,(INT(4/$EF$17)+1)))</f>
        <v/>
      </c>
      <c r="EK18">
        <f>IFERROR(IF(AND($EM$11&gt;=$EF$14,$EM$11&lt;=$EF$15),10+0.5+100*($EM$11-$EF$14)/($EF$15-$EF$14),NA()),NA())</f>
        <v/>
      </c>
      <c r="EL18">
        <f>IF(ISNA($EK$18),NA(),0)</f>
        <v/>
      </c>
      <c r="EM18">
        <f>IFERROR(IF(LEFT(LOWER(TRIM($EF$20)),5)="every",IF(((INT($EF$11/VALUE(TRIM(MID(TRIM($EF$20),6,99))))*VALUE(TRIM(MID(TRIM($EF$20),6,99)))+VALUE(TRIM(MID(TRIM($EF$20),6,99))))+14*VALUE(TRIM(MID(TRIM($EF$20),6,99))))&lt;=$EF$12,((INT($EF$11/VALUE(TRIM(MID(TRIM($EF$20),6,99))))*VALUE(TRIM(MID(TRIM($EF$20),6,99)))+VALUE(TRIM(MID(TRIM($EF$20),6,99))))+14*VALUE(TRIM(MID(TRIM($EF$20),6,99)))),NA()),VALUE(TRIM(MID(SUBSTITUTE(SUBSTITUTE(SUBSTITUTE(TRIM($EF$20),",",";")," ",""),";",REPT(" ",99)),1387,99)))),NA())</f>
        <v/>
      </c>
      <c r="EN18">
        <f>IF($EG$18="","",IFERROR(IF(ABS($EG$18)&gt;=1000000,ROUND($EG$18/1000000,MAX(0,1-INT(LOG10($EF$27/1000000))))&amp;"M",IF(ABS($EG$18)&gt;=1000,ROUND($EG$18/1000,MAX(0,1-INT(LOG10($EF$27/1000))))&amp;"k",TEXT($EG$18,"#,##0"))),TEXT($EG$18,"#,##0")))</f>
        <v/>
      </c>
      <c r="EO18" t="n">
        <v>0.245</v>
      </c>
      <c r="EP18" t="n">
        <v>0.25375</v>
      </c>
      <c r="EQ18" t="n">
        <v>290</v>
      </c>
      <c r="ER18" t="inlineStr">
        <is>
          <t>low end bar</t>
        </is>
      </c>
      <c r="ES18">
        <f>$ES$7+SUMIFS($EQ$4:$EQ$203,$EP$4:$EP$203,"&lt;"&amp;$ES$14)</f>
        <v/>
      </c>
      <c r="ET18">
        <f>IF(15&lt;=$ES$13,$ES$14+(15-1)*$ES$16,"")</f>
        <v/>
      </c>
      <c r="EU18">
        <f>IF(15&gt;$ES$13,"",SUMIFS($EQ$4:$EQ$203,$EP$4:$EP$203,"&gt;="&amp;$ET$18,$EP$4:$EP$203,IF(15=$ES$13,"&lt;=","&lt;")&amp;($ET$18+$ES$16)))</f>
        <v/>
      </c>
      <c r="EV18">
        <f>IF(AND(MOD(4,$ES$17)=0,MOD((INT(4/$ES$17)+1)-1,$ES$13/5)=0),INDEX($FA$4:$FA$53,(INT(4/$ES$17)+1)),"")</f>
        <v/>
      </c>
      <c r="EW18">
        <f>IF(MOD(4,$ES$17)=$ES$17-1,0,INDEX($EU$4:$EU$53,(INT(4/$ES$17)+1)))</f>
        <v/>
      </c>
      <c r="EX18">
        <f>IFERROR(IF(AND($EZ$11&gt;=$ES$14,$EZ$11&lt;=$ES$15),10+0.5+100*($EZ$11-$ES$14)/($ES$15-$ES$14),NA()),NA())</f>
        <v/>
      </c>
      <c r="EY18">
        <f>IF(ISNA($EX$18),NA(),0)</f>
        <v/>
      </c>
      <c r="EZ18">
        <f>IFERROR(IF(LEFT(LOWER(TRIM($ES$20)),5)="every",IF(((INT($ES$11/VALUE(TRIM(MID(TRIM($ES$20),6,99))))*VALUE(TRIM(MID(TRIM($ES$20),6,99)))+VALUE(TRIM(MID(TRIM($ES$20),6,99))))+14*VALUE(TRIM(MID(TRIM($ES$20),6,99))))&lt;=$ES$12,((INT($ES$11/VALUE(TRIM(MID(TRIM($ES$20),6,99))))*VALUE(TRIM(MID(TRIM($ES$20),6,99)))+VALUE(TRIM(MID(TRIM($ES$20),6,99))))+14*VALUE(TRIM(MID(TRIM($ES$20),6,99)))),NA()),VALUE(TRIM(MID(SUBSTITUTE(SUBSTITUTE(SUBSTITUTE(TRIM($ES$20),",",";")," ",""),";",REPT(" ",99)),1387,99)))),NA())</f>
        <v/>
      </c>
      <c r="FA18">
        <f>IF($ET$18="","",IFERROR(IF(ABS($ET$18)&gt;=1000000,ROUND($ET$18/1000000,MAX(0,1-INT(LOG10($ES$27/1000000))))&amp;"M",IF(ABS($ET$18)&gt;=1000,ROUND($ET$18/1000,MAX(0,1-INT(LOG10($ES$27/1000))))&amp;"k",TEXT($ET$18,"0.00"))),TEXT($ET$18,"0.00")))</f>
        <v/>
      </c>
    </row>
    <row r="19">
      <c r="B19" t="n">
        <v>572.5</v>
      </c>
      <c r="C19" t="n">
        <v>573.25</v>
      </c>
      <c r="D19" t="n">
        <v>5</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37</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c r="AO19" t="n">
        <v>60000</v>
      </c>
      <c r="AP19" t="n">
        <v>62000</v>
      </c>
      <c r="AQ19" t="n">
        <v>10</v>
      </c>
      <c r="AR19" t="inlineStr">
        <is>
          <t>high end bar</t>
        </is>
      </c>
      <c r="AS19">
        <f>$AS$8+SUMIFS($AQ$4:$AQ$203,$AP$4:$AP$203,"&gt;"&amp;$AS$15)</f>
        <v/>
      </c>
      <c r="AT19">
        <f>IF(16&lt;=$AS$13,$AS$14+(16-1)*$AS$16,"")</f>
        <v/>
      </c>
      <c r="AU19">
        <f>IF(16&gt;$AS$13,"",SUMIFS($AQ$4:$AQ$203,$AP$4:$AP$203,"&gt;="&amp;$AT$19,$AP$4:$AP$203,IF(16=$AS$13,"&lt;=","&lt;")&amp;($AT$19+$AS$16)))</f>
        <v/>
      </c>
      <c r="AV19">
        <f>IF(AND(MOD(5,$AS$17)=0,MOD((INT(5/$AS$17)+1)-1,$AS$13/5)=0),INDEX($BA$4:$BA$53,(INT(5/$AS$17)+1)),"")</f>
        <v/>
      </c>
      <c r="AW19">
        <f>IF(MOD(5,$AS$17)=$AS$17-1,0,INDEX($AU$4:$AU$53,(INT(5/$AS$17)+1)))</f>
        <v/>
      </c>
      <c r="AX19">
        <f>IFERROR(IF(AND($AZ$11&gt;=$AS$14,$AZ$11&lt;=$AS$15),10+0.5+100*($AZ$11-$AS$14)/($AS$15-$AS$14),NA()),NA())</f>
        <v/>
      </c>
      <c r="AY19">
        <f>IF(ISNA($AX$19),NA(),MAX($AW$4:$AW$123))</f>
        <v/>
      </c>
      <c r="AZ19">
        <f>IFERROR(IF(LEFT(LOWER(TRIM($AS$20)),5)="every",IF(((INT($AS$11/VALUE(TRIM(MID(TRIM($AS$20),6,99))))*VALUE(TRIM(MID(TRIM($AS$20),6,99)))+VALUE(TRIM(MID(TRIM($AS$20),6,99))))+15*VALUE(TRIM(MID(TRIM($AS$20),6,99))))&lt;=$AS$12,((INT($AS$11/VALUE(TRIM(MID(TRIM($AS$20),6,99))))*VALUE(TRIM(MID(TRIM($AS$20),6,99)))+VALUE(TRIM(MID(TRIM($AS$20),6,99))))+15*VALUE(TRIM(MID(TRIM($AS$20),6,99)))),NA()),VALUE(TRIM(MID(SUBSTITUTE(SUBSTITUTE(SUBSTITUTE(TRIM($AS$20),",",";")," ",""),";",REPT(" ",99)),1486,99)))),NA())</f>
        <v/>
      </c>
      <c r="BA19">
        <f>IF($AT$19="","",IFERROR(IF(ABS($AT$19)&gt;=1000000,ROUND($AT$19/1000000,MAX(0,1-INT(LOG10($AS$27/1000000))))&amp;"M",IF(ABS($AT$19)&gt;=1000,ROUND($AT$19/1000,MAX(0,1-INT(LOG10($AS$27/1000))))&amp;"k",TEXT($AT$19,"#,##0"))),TEXT($AT$19,"#,##0")))</f>
        <v/>
      </c>
      <c r="BB19" t="n">
        <v>105000</v>
      </c>
      <c r="BC19" t="n">
        <v>108500</v>
      </c>
      <c r="BD19" t="n">
        <v>312</v>
      </c>
      <c r="BE19" t="inlineStr">
        <is>
          <t>high end bar</t>
        </is>
      </c>
      <c r="BF19">
        <f>$BF$8+SUMIFS($BD$4:$BD$203,$BC$4:$BC$203,"&gt;"&amp;$BF$15)</f>
        <v/>
      </c>
      <c r="BG19">
        <f>IF(16&lt;=$BF$13,$BF$14+(16-1)*$BF$16,"")</f>
        <v/>
      </c>
      <c r="BH19">
        <f>IF(16&gt;$BF$13,"",SUMIFS($BD$4:$BD$203,$BC$4:$BC$203,"&gt;="&amp;$BG$19,$BC$4:$BC$203,IF(16=$BF$13,"&lt;=","&lt;")&amp;($BG$19+$BF$16)))</f>
        <v/>
      </c>
      <c r="BI19">
        <f>IF(AND(MOD(5,$BF$17)=0,MOD((INT(5/$BF$17)+1)-1,$BF$13/5)=0),INDEX($BN$4:$BN$53,(INT(5/$BF$17)+1)),"")</f>
        <v/>
      </c>
      <c r="BJ19">
        <f>IF(MOD(5,$BF$17)=$BF$17-1,0,INDEX($BH$4:$BH$53,(INT(5/$BF$17)+1)))</f>
        <v/>
      </c>
      <c r="BK19">
        <f>IFERROR(IF(AND($BM$11&gt;=$BF$14,$BM$11&lt;=$BF$15),10+0.5+100*($BM$11-$BF$14)/($BF$15-$BF$14),NA()),NA())</f>
        <v/>
      </c>
      <c r="BL19">
        <f>IF(ISNA($BK$19),NA(),MAX($BJ$4:$BJ$123))</f>
        <v/>
      </c>
      <c r="BM19">
        <f>IFERROR(IF(LEFT(LOWER(TRIM($BF$20)),5)="every",IF(((INT($BF$11/VALUE(TRIM(MID(TRIM($BF$20),6,99))))*VALUE(TRIM(MID(TRIM($BF$20),6,99)))+VALUE(TRIM(MID(TRIM($BF$20),6,99))))+15*VALUE(TRIM(MID(TRIM($BF$20),6,99))))&lt;=$BF$12,((INT($BF$11/VALUE(TRIM(MID(TRIM($BF$20),6,99))))*VALUE(TRIM(MID(TRIM($BF$20),6,99)))+VALUE(TRIM(MID(TRIM($BF$20),6,99))))+15*VALUE(TRIM(MID(TRIM($BF$20),6,99)))),NA()),VALUE(TRIM(MID(SUBSTITUTE(SUBSTITUTE(SUBSTITUTE(TRIM($BF$20),",",";")," ",""),";",REPT(" ",99)),1486,99)))),NA())</f>
        <v/>
      </c>
      <c r="BN19">
        <f>IF($BG$19="","",IFERROR(IF(ABS($BG$19)&gt;=1000000,ROUND($BG$19/1000000,MAX(0,1-INT(LOG10($BF$27/1000000))))&amp;"M",IF(ABS($BG$19)&gt;=1000,ROUND($BG$19/1000,MAX(0,1-INT(LOG10($BF$27/1000))))&amp;"k",TEXT($BG$19,"#,##0"))),TEXT($BG$19,"#,##0")))</f>
        <v/>
      </c>
      <c r="BO19" t="n">
        <v>0.09</v>
      </c>
      <c r="BP19" t="n">
        <v>0.093</v>
      </c>
      <c r="BQ19" t="n">
        <v>52</v>
      </c>
      <c r="BR19" t="inlineStr">
        <is>
          <t>high end bar</t>
        </is>
      </c>
      <c r="BS19">
        <f>$BS$8+SUMIFS($BQ$4:$BQ$203,$BP$4:$BP$203,"&gt;"&amp;$BS$15)</f>
        <v/>
      </c>
      <c r="BT19">
        <f>IF(16&lt;=$BS$13,$BS$14+(16-1)*$BS$16,"")</f>
        <v/>
      </c>
      <c r="BU19">
        <f>IF(16&gt;$BS$13,"",SUMIFS($BQ$4:$BQ$203,$BP$4:$BP$203,"&gt;="&amp;$BT$19,$BP$4:$BP$203,IF(16=$BS$13,"&lt;=","&lt;")&amp;($BT$19+$BS$16)))</f>
        <v/>
      </c>
      <c r="BV19">
        <f>IF(AND(MOD(5,$BS$17)=0,MOD((INT(5/$BS$17)+1)-1,$BS$13/5)=0),INDEX($CA$4:$CA$53,(INT(5/$BS$17)+1)),"")</f>
        <v/>
      </c>
      <c r="BW19">
        <f>IF(MOD(5,$BS$17)=$BS$17-1,0,INDEX($BU$4:$BU$53,(INT(5/$BS$17)+1)))</f>
        <v/>
      </c>
      <c r="BX19">
        <f>IFERROR(IF(AND($BZ$11&gt;=$BS$14,$BZ$11&lt;=$BS$15),10+0.5+100*($BZ$11-$BS$14)/($BS$15-$BS$14),NA()),NA())</f>
        <v/>
      </c>
      <c r="BY19">
        <f>IF(ISNA($BX$19),NA(),MAX($BW$4:$BW$123))</f>
        <v/>
      </c>
      <c r="BZ19">
        <f>IFERROR(IF(LEFT(LOWER(TRIM($BS$20)),5)="every",IF(((INT($BS$11/VALUE(TRIM(MID(TRIM($BS$20),6,99))))*VALUE(TRIM(MID(TRIM($BS$20),6,99)))+VALUE(TRIM(MID(TRIM($BS$20),6,99))))+15*VALUE(TRIM(MID(TRIM($BS$20),6,99))))&lt;=$BS$12,((INT($BS$11/VALUE(TRIM(MID(TRIM($BS$20),6,99))))*VALUE(TRIM(MID(TRIM($BS$20),6,99)))+VALUE(TRIM(MID(TRIM($BS$20),6,99))))+15*VALUE(TRIM(MID(TRIM($BS$20),6,99)))),NA()),VALUE(TRIM(MID(SUBSTITUTE(SUBSTITUTE(SUBSTITUTE(TRIM($BS$20),",",";")," ",""),";",REPT(" ",99)),1486,99)))),NA())</f>
        <v/>
      </c>
      <c r="CA19">
        <f>IF($BT$19="","",IFERROR(IF(ABS($BT$19)&gt;=1000000,ROUND($BT$19/1000000,MAX(0,1-INT(LOG10($BS$27/1000000))))&amp;"M",IF(ABS($BT$19)&gt;=1000,ROUND($BT$19/1000,MAX(0,1-INT(LOG10($BS$27/1000))))&amp;"k",TEXT($BT$19,"0.00"))),TEXT($BT$19,"0.00")))</f>
        <v/>
      </c>
      <c r="CB19" t="n">
        <v>2.25</v>
      </c>
      <c r="CC19" t="n">
        <v>2.325</v>
      </c>
      <c r="CD19" t="n">
        <v>127</v>
      </c>
      <c r="CE19" t="inlineStr">
        <is>
          <t>high end bar</t>
        </is>
      </c>
      <c r="CF19">
        <f>$CF$8+SUMIFS($CD$4:$CD$203,$CC$4:$CC$203,"&gt;"&amp;$CF$15)</f>
        <v/>
      </c>
      <c r="CG19">
        <f>IF(16&lt;=$CF$13,$CF$14+(16-1)*$CF$16,"")</f>
        <v/>
      </c>
      <c r="CH19">
        <f>IF(16&gt;$CF$13,"",SUMIFS($CD$4:$CD$203,$CC$4:$CC$203,"&gt;="&amp;$CG$19,$CC$4:$CC$203,IF(16=$CF$13,"&lt;=","&lt;")&amp;($CG$19+$CF$16)))</f>
        <v/>
      </c>
      <c r="CI19">
        <f>IF(AND(MOD(5,$CF$17)=0,MOD((INT(5/$CF$17)+1)-1,$CF$13/5)=0),INDEX($CN$4:$CN$53,(INT(5/$CF$17)+1)),"")</f>
        <v/>
      </c>
      <c r="CJ19">
        <f>IF(MOD(5,$CF$17)=$CF$17-1,0,INDEX($CH$4:$CH$53,(INT(5/$CF$17)+1)))</f>
        <v/>
      </c>
      <c r="CK19">
        <f>IFERROR(IF(AND($CM$11&gt;=$CF$14,$CM$11&lt;=$CF$15),10+0.5+100*($CM$11-$CF$14)/($CF$15-$CF$14),NA()),NA())</f>
        <v/>
      </c>
      <c r="CL19">
        <f>IF(ISNA($CK$19),NA(),MAX($CJ$4:$CJ$123))</f>
        <v/>
      </c>
      <c r="CM19">
        <f>IFERROR(IF(LEFT(LOWER(TRIM($CF$20)),5)="every",IF(((INT($CF$11/VALUE(TRIM(MID(TRIM($CF$20),6,99))))*VALUE(TRIM(MID(TRIM($CF$20),6,99)))+VALUE(TRIM(MID(TRIM($CF$20),6,99))))+15*VALUE(TRIM(MID(TRIM($CF$20),6,99))))&lt;=$CF$12,((INT($CF$11/VALUE(TRIM(MID(TRIM($CF$20),6,99))))*VALUE(TRIM(MID(TRIM($CF$20),6,99)))+VALUE(TRIM(MID(TRIM($CF$20),6,99))))+15*VALUE(TRIM(MID(TRIM($CF$20),6,99)))),NA()),VALUE(TRIM(MID(SUBSTITUTE(SUBSTITUTE(SUBSTITUTE(TRIM($CF$20),",",";")," ",""),";",REPT(" ",99)),1486,99)))),NA())</f>
        <v/>
      </c>
      <c r="CN19">
        <f>IF($CG$19="","",IFERROR(IF(ABS($CG$19)&gt;=1000000,ROUND($CG$19/1000000,MAX(0,1-INT(LOG10($CF$27/1000000))))&amp;"M",IF(ABS($CG$19)&gt;=1000,ROUND($CG$19/1000,MAX(0,1-INT(LOG10($CF$27/1000))))&amp;"k",TEXT($CG$19,"#,##0.0"))),TEXT($CG$19,"#,##0.0")))</f>
        <v/>
      </c>
      <c r="CO19" t="n">
        <v>16</v>
      </c>
      <c r="CP19" t="n">
        <v>16.2</v>
      </c>
      <c r="CQ19" t="n">
        <v>10</v>
      </c>
      <c r="CR19" t="inlineStr">
        <is>
          <t>high end bar</t>
        </is>
      </c>
      <c r="CS19">
        <f>$CS$8+SUMIFS($CQ$4:$CQ$203,$CP$4:$CP$203,"&gt;"&amp;$CS$15)</f>
        <v/>
      </c>
      <c r="CT19">
        <f>IF(16&lt;=$CS$13,$CS$14+(16-1)*$CS$16,"")</f>
        <v/>
      </c>
      <c r="CU19">
        <f>IF(16&gt;$CS$13,"",SUMIFS($CQ$4:$CQ$203,$CP$4:$CP$203,"&gt;="&amp;$CT$19,$CP$4:$CP$203,IF(16=$CS$13,"&lt;=","&lt;")&amp;($CT$19+$CS$16)))</f>
        <v/>
      </c>
      <c r="CV19">
        <f>IF(AND(MOD(5,$CS$17)=0,MOD((INT(5/$CS$17)+1)-1,$CS$13/5)=0),INDEX($DA$4:$DA$53,(INT(5/$CS$17)+1)),"")</f>
        <v/>
      </c>
      <c r="CW19">
        <f>IF(MOD(5,$CS$17)=$CS$17-1,0,INDEX($CU$4:$CU$53,(INT(5/$CS$17)+1)))</f>
        <v/>
      </c>
      <c r="CX19">
        <f>IFERROR(IF(AND($CZ$11&gt;=$CS$14,$CZ$11&lt;=$CS$15),10+0.5+100*($CZ$11-$CS$14)/($CS$15-$CS$14),NA()),NA())</f>
        <v/>
      </c>
      <c r="CY19">
        <f>IF(ISNA($CX$19),NA(),MAX($CW$4:$CW$123))</f>
        <v/>
      </c>
      <c r="CZ19">
        <f>IFERROR(IF(LEFT(LOWER(TRIM($CS$20)),5)="every",IF(((INT($CS$11/VALUE(TRIM(MID(TRIM($CS$20),6,99))))*VALUE(TRIM(MID(TRIM($CS$20),6,99)))+VALUE(TRIM(MID(TRIM($CS$20),6,99))))+15*VALUE(TRIM(MID(TRIM($CS$20),6,99))))&lt;=$CS$12,((INT($CS$11/VALUE(TRIM(MID(TRIM($CS$20),6,99))))*VALUE(TRIM(MID(TRIM($CS$20),6,99)))+VALUE(TRIM(MID(TRIM($CS$20),6,99))))+15*VALUE(TRIM(MID(TRIM($CS$20),6,99)))),NA()),VALUE(TRIM(MID(SUBSTITUTE(SUBSTITUTE(SUBSTITUTE(TRIM($CS$20),",",";")," ",""),";",REPT(" ",99)),1486,99)))),NA())</f>
        <v/>
      </c>
      <c r="DA19">
        <f>IF($CT$19="","",IFERROR(IF(ABS($CT$19)&gt;=1000000,ROUND($CT$19/1000000,MAX(0,1-INT(LOG10($CS$27/1000000))))&amp;"M",IF(ABS($CT$19)&gt;=1000,ROUND($CT$19/1000,MAX(0,1-INT(LOG10($CS$27/1000))))&amp;"k",TEXT($CT$19,"#,##0"))),TEXT($CT$19,"#,##0")))</f>
        <v/>
      </c>
      <c r="DB19" t="n">
        <v>15.25</v>
      </c>
      <c r="DC19" t="n">
        <v>15.425</v>
      </c>
      <c r="DD19" t="n">
        <v>12</v>
      </c>
      <c r="DE19" t="inlineStr">
        <is>
          <t>high end bar</t>
        </is>
      </c>
      <c r="DF19">
        <f>$DF$8+SUMIFS($DD$4:$DD$203,$DC$4:$DC$203,"&gt;"&amp;$DF$15)</f>
        <v/>
      </c>
      <c r="DG19">
        <f>IF(16&lt;=$DF$13,$DF$14+(16-1)*$DF$16,"")</f>
        <v/>
      </c>
      <c r="DH19">
        <f>IF(16&gt;$DF$13,"",SUMIFS($DD$4:$DD$203,$DC$4:$DC$203,"&gt;="&amp;$DG$19,$DC$4:$DC$203,IF(16=$DF$13,"&lt;=","&lt;")&amp;($DG$19+$DF$16)))</f>
        <v/>
      </c>
      <c r="DI19">
        <f>IF(AND(MOD(5,$DF$17)=0,MOD((INT(5/$DF$17)+1)-1,$DF$13/5)=0),INDEX($DN$4:$DN$53,(INT(5/$DF$17)+1)),"")</f>
        <v/>
      </c>
      <c r="DJ19">
        <f>IF(MOD(5,$DF$17)=$DF$17-1,0,INDEX($DH$4:$DH$53,(INT(5/$DF$17)+1)))</f>
        <v/>
      </c>
      <c r="DK19">
        <f>IFERROR(IF(AND($DM$11&gt;=$DF$14,$DM$11&lt;=$DF$15),10+0.5+100*($DM$11-$DF$14)/($DF$15-$DF$14),NA()),NA())</f>
        <v/>
      </c>
      <c r="DL19">
        <f>IF(ISNA($DK$19),NA(),MAX($DJ$4:$DJ$123))</f>
        <v/>
      </c>
      <c r="DM19">
        <f>IFERROR(IF(LEFT(LOWER(TRIM($DF$20)),5)="every",IF(((INT($DF$11/VALUE(TRIM(MID(TRIM($DF$20),6,99))))*VALUE(TRIM(MID(TRIM($DF$20),6,99)))+VALUE(TRIM(MID(TRIM($DF$20),6,99))))+15*VALUE(TRIM(MID(TRIM($DF$20),6,99))))&lt;=$DF$12,((INT($DF$11/VALUE(TRIM(MID(TRIM($DF$20),6,99))))*VALUE(TRIM(MID(TRIM($DF$20),6,99)))+VALUE(TRIM(MID(TRIM($DF$20),6,99))))+15*VALUE(TRIM(MID(TRIM($DF$20),6,99)))),NA()),VALUE(TRIM(MID(SUBSTITUTE(SUBSTITUTE(SUBSTITUTE(TRIM($DF$20),",",";")," ",""),";",REPT(" ",99)),1486,99)))),NA())</f>
        <v/>
      </c>
      <c r="DN19">
        <f>IF($DG$19="","",IFERROR(IF(ABS($DG$19)&gt;=1000000,ROUND($DG$19/1000000,MAX(0,1-INT(LOG10($DF$27/1000000))))&amp;"M",IF(ABS($DG$19)&gt;=1000,ROUND($DG$19/1000,MAX(0,1-INT(LOG10($DF$27/1000))))&amp;"k",TEXT($DG$19,"#,##0.0"))),TEXT($DG$19,"#,##0.0")))</f>
        <v/>
      </c>
      <c r="DO19" t="n">
        <v>7.875</v>
      </c>
      <c r="DP19" t="n">
        <v>7.8875</v>
      </c>
      <c r="DQ19" t="n">
        <v>6</v>
      </c>
      <c r="DR19" t="inlineStr">
        <is>
          <t>high end bar</t>
        </is>
      </c>
      <c r="DS19">
        <f>$DS$8+SUMIFS($DQ$4:$DQ$203,$DP$4:$DP$203,"&gt;"&amp;$DS$15)</f>
        <v/>
      </c>
      <c r="DT19">
        <f>IF(16&lt;=$DS$13,$DS$14+(16-1)*$DS$16,"")</f>
        <v/>
      </c>
      <c r="DU19">
        <f>IF(16&gt;$DS$13,"",SUMIFS($DQ$4:$DQ$203,$DP$4:$DP$203,"&gt;="&amp;$DT$19,$DP$4:$DP$203,IF(16=$DS$13,"&lt;=","&lt;")&amp;($DT$19+$DS$16)))</f>
        <v/>
      </c>
      <c r="DV19">
        <f>IF(AND(MOD(5,$DS$17)=0,MOD((INT(5/$DS$17)+1)-1,$DS$13/5)=0),INDEX($EA$4:$EA$53,(INT(5/$DS$17)+1)),"")</f>
        <v/>
      </c>
      <c r="DW19">
        <f>IF(MOD(5,$DS$17)=$DS$17-1,0,INDEX($DU$4:$DU$53,(INT(5/$DS$17)+1)))</f>
        <v/>
      </c>
      <c r="DX19">
        <f>IFERROR(IF(AND($DZ$11&gt;=$DS$14,$DZ$11&lt;=$DS$15),10+0.5+100*($DZ$11-$DS$14)/($DS$15-$DS$14),NA()),NA())</f>
        <v/>
      </c>
      <c r="DY19">
        <f>IF(ISNA($DX$19),NA(),MAX($DW$4:$DW$123))</f>
        <v/>
      </c>
      <c r="DZ19">
        <f>IFERROR(IF(LEFT(LOWER(TRIM($DS$20)),5)="every",IF(((INT($DS$11/VALUE(TRIM(MID(TRIM($DS$20),6,99))))*VALUE(TRIM(MID(TRIM($DS$20),6,99)))+VALUE(TRIM(MID(TRIM($DS$20),6,99))))+15*VALUE(TRIM(MID(TRIM($DS$20),6,99))))&lt;=$DS$12,((INT($DS$11/VALUE(TRIM(MID(TRIM($DS$20),6,99))))*VALUE(TRIM(MID(TRIM($DS$20),6,99)))+VALUE(TRIM(MID(TRIM($DS$20),6,99))))+15*VALUE(TRIM(MID(TRIM($DS$20),6,99)))),NA()),VALUE(TRIM(MID(SUBSTITUTE(SUBSTITUTE(SUBSTITUTE(TRIM($DS$20),",",";")," ",""),";",REPT(" ",99)),1486,99)))),NA())</f>
        <v/>
      </c>
      <c r="EA19">
        <f>IF($DT$19="","",IFERROR(IF(ABS($DT$19)&gt;=1000000,ROUND($DT$19/1000000,MAX(0,1-INT(LOG10($DS$27/1000000))))&amp;"M",IF(ABS($DT$19)&gt;=1000,ROUND($DT$19/1000,MAX(0,1-INT(LOG10($DS$27/1000))))&amp;"k",TEXT($DT$19,"#,##0.0"))),TEXT($DT$19,"#,##0.0")))</f>
        <v/>
      </c>
      <c r="EB19" t="n">
        <v>7.5</v>
      </c>
      <c r="EC19" t="n">
        <v>7.75</v>
      </c>
      <c r="ED19" t="n">
        <v>68</v>
      </c>
      <c r="EE19" t="inlineStr">
        <is>
          <t>high end bar</t>
        </is>
      </c>
      <c r="EF19">
        <f>$EF$8+SUMIFS($ED$4:$ED$203,$EC$4:$EC$203,"&gt;"&amp;$EF$15)</f>
        <v/>
      </c>
      <c r="EG19">
        <f>IF(16&lt;=$EF$13,$EF$14+(16-1)*$EF$16,"")</f>
        <v/>
      </c>
      <c r="EH19">
        <f>IF(16&gt;$EF$13,"",SUMIFS($ED$4:$ED$203,$EC$4:$EC$203,"&gt;="&amp;$EG$19,$EC$4:$EC$203,IF(16=$EF$13,"&lt;=","&lt;")&amp;($EG$19+$EF$16)))</f>
        <v/>
      </c>
      <c r="EI19">
        <f>IF(AND(MOD(5,$EF$17)=0,MOD((INT(5/$EF$17)+1)-1,$EF$13/5)=0),INDEX($EN$4:$EN$53,(INT(5/$EF$17)+1)),"")</f>
        <v/>
      </c>
      <c r="EJ19">
        <f>IF(MOD(5,$EF$17)=$EF$17-1,0,INDEX($EH$4:$EH$53,(INT(5/$EF$17)+1)))</f>
        <v/>
      </c>
      <c r="EK19">
        <f>IFERROR(IF(AND($EM$11&gt;=$EF$14,$EM$11&lt;=$EF$15),10+0.5+100*($EM$11-$EF$14)/($EF$15-$EF$14),NA()),NA())</f>
        <v/>
      </c>
      <c r="EL19">
        <f>IF(ISNA($EK$19),NA(),MAX($EJ$4:$EJ$123))</f>
        <v/>
      </c>
      <c r="EM19">
        <f>IFERROR(IF(LEFT(LOWER(TRIM($EF$20)),5)="every",IF(((INT($EF$11/VALUE(TRIM(MID(TRIM($EF$20),6,99))))*VALUE(TRIM(MID(TRIM($EF$20),6,99)))+VALUE(TRIM(MID(TRIM($EF$20),6,99))))+15*VALUE(TRIM(MID(TRIM($EF$20),6,99))))&lt;=$EF$12,((INT($EF$11/VALUE(TRIM(MID(TRIM($EF$20),6,99))))*VALUE(TRIM(MID(TRIM($EF$20),6,99)))+VALUE(TRIM(MID(TRIM($EF$20),6,99))))+15*VALUE(TRIM(MID(TRIM($EF$20),6,99)))),NA()),VALUE(TRIM(MID(SUBSTITUTE(SUBSTITUTE(SUBSTITUTE(TRIM($EF$20),",",";")," ",""),";",REPT(" ",99)),1486,99)))),NA())</f>
        <v/>
      </c>
      <c r="EN19">
        <f>IF($EG$19="","",IFERROR(IF(ABS($EG$19)&gt;=1000000,ROUND($EG$19/1000000,MAX(0,1-INT(LOG10($EF$27/1000000))))&amp;"M",IF(ABS($EG$19)&gt;=1000,ROUND($EG$19/1000,MAX(0,1-INT(LOG10($EF$27/1000))))&amp;"k",TEXT($EG$19,"#,##0"))),TEXT($EG$19,"#,##0")))</f>
        <v/>
      </c>
      <c r="EO19" t="n">
        <v>0.2625</v>
      </c>
      <c r="EP19" t="n">
        <v>0.27125</v>
      </c>
      <c r="EQ19" t="n">
        <v>259</v>
      </c>
      <c r="ER19" t="inlineStr">
        <is>
          <t>high end bar</t>
        </is>
      </c>
      <c r="ES19">
        <f>$ES$8+SUMIFS($EQ$4:$EQ$203,$EP$4:$EP$203,"&gt;"&amp;$ES$15)</f>
        <v/>
      </c>
      <c r="ET19">
        <f>IF(16&lt;=$ES$13,$ES$14+(16-1)*$ES$16,"")</f>
        <v/>
      </c>
      <c r="EU19">
        <f>IF(16&gt;$ES$13,"",SUMIFS($EQ$4:$EQ$203,$EP$4:$EP$203,"&gt;="&amp;$ET$19,$EP$4:$EP$203,IF(16=$ES$13,"&lt;=","&lt;")&amp;($ET$19+$ES$16)))</f>
        <v/>
      </c>
      <c r="EV19">
        <f>IF(AND(MOD(5,$ES$17)=0,MOD((INT(5/$ES$17)+1)-1,$ES$13/5)=0),INDEX($FA$4:$FA$53,(INT(5/$ES$17)+1)),"")</f>
        <v/>
      </c>
      <c r="EW19">
        <f>IF(MOD(5,$ES$17)=$ES$17-1,0,INDEX($EU$4:$EU$53,(INT(5/$ES$17)+1)))</f>
        <v/>
      </c>
      <c r="EX19">
        <f>IFERROR(IF(AND($EZ$11&gt;=$ES$14,$EZ$11&lt;=$ES$15),10+0.5+100*($EZ$11-$ES$14)/($ES$15-$ES$14),NA()),NA())</f>
        <v/>
      </c>
      <c r="EY19">
        <f>IF(ISNA($EX$19),NA(),MAX($EW$4:$EW$123))</f>
        <v/>
      </c>
      <c r="EZ19">
        <f>IFERROR(IF(LEFT(LOWER(TRIM($ES$20)),5)="every",IF(((INT($ES$11/VALUE(TRIM(MID(TRIM($ES$20),6,99))))*VALUE(TRIM(MID(TRIM($ES$20),6,99)))+VALUE(TRIM(MID(TRIM($ES$20),6,99))))+15*VALUE(TRIM(MID(TRIM($ES$20),6,99))))&lt;=$ES$12,((INT($ES$11/VALUE(TRIM(MID(TRIM($ES$20),6,99))))*VALUE(TRIM(MID(TRIM($ES$20),6,99)))+VALUE(TRIM(MID(TRIM($ES$20),6,99))))+15*VALUE(TRIM(MID(TRIM($ES$20),6,99)))),NA()),VALUE(TRIM(MID(SUBSTITUTE(SUBSTITUTE(SUBSTITUTE(TRIM($ES$20),",",";")," ",""),";",REPT(" ",99)),1486,99)))),NA())</f>
        <v/>
      </c>
      <c r="FA19">
        <f>IF($ET$19="","",IFERROR(IF(ABS($ET$19)&gt;=1000000,ROUND($ET$19/1000000,MAX(0,1-INT(LOG10($ES$27/1000000))))&amp;"M",IF(ABS($ET$19)&gt;=1000,ROUND($ET$19/1000,MAX(0,1-INT(LOG10($ES$27/1000))))&amp;"k",TEXT($ET$19,"0.00"))),TEXT($ET$19,"0.00")))</f>
        <v/>
      </c>
    </row>
    <row r="20">
      <c r="B20" t="n">
        <v>574</v>
      </c>
      <c r="C20" t="n">
        <v>574.75</v>
      </c>
      <c r="D20" t="n">
        <v>10</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18</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41</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c r="AO20" t="n">
        <v>64000</v>
      </c>
      <c r="AP20" t="n">
        <v>66000</v>
      </c>
      <c r="AQ20" t="n">
        <v>20</v>
      </c>
      <c r="AR20" t="inlineStr">
        <is>
          <t>band edges on Columns</t>
        </is>
      </c>
      <c r="AS20">
        <f>Columns!$I$23&amp;""</f>
        <v/>
      </c>
      <c r="AT20">
        <f>IF(17&lt;=$AS$13,$AS$14+(17-1)*$AS$16,"")</f>
        <v/>
      </c>
      <c r="AU20">
        <f>IF(17&gt;$AS$13,"",SUMIFS($AQ$4:$AQ$203,$AP$4:$AP$203,"&gt;="&amp;$AT$20,$AP$4:$AP$203,IF(17=$AS$13,"&lt;=","&lt;")&amp;($AT$20+$AS$16)))</f>
        <v/>
      </c>
      <c r="AV20">
        <f>IF(AND(MOD(6,$AS$17)=0,MOD((INT(6/$AS$17)+1)-1,$AS$13/5)=0),INDEX($BA$4:$BA$53,(INT(6/$AS$17)+1)),"")</f>
        <v/>
      </c>
      <c r="AW20">
        <f>IF(MOD(6,$AS$17)=$AS$17-1,0,INDEX($AU$4:$AU$53,(INT(6/$AS$17)+1)))</f>
        <v/>
      </c>
      <c r="AX20">
        <f>IFERROR(IF(AND($AZ$12&gt;=$AS$14,$AZ$12&lt;=$AS$15),10+0.5+100*($AZ$12-$AS$14)/($AS$15-$AS$14),NA()),NA())</f>
        <v/>
      </c>
      <c r="AY20">
        <f>IF(ISNA($AX$20),NA(),0)</f>
        <v/>
      </c>
      <c r="AZ20">
        <f>IFERROR(IF(LEFT(LOWER(TRIM($AS$20)),5)="every",IF(((INT($AS$11/VALUE(TRIM(MID(TRIM($AS$20),6,99))))*VALUE(TRIM(MID(TRIM($AS$20),6,99)))+VALUE(TRIM(MID(TRIM($AS$20),6,99))))+16*VALUE(TRIM(MID(TRIM($AS$20),6,99))))&lt;=$AS$12,((INT($AS$11/VALUE(TRIM(MID(TRIM($AS$20),6,99))))*VALUE(TRIM(MID(TRIM($AS$20),6,99)))+VALUE(TRIM(MID(TRIM($AS$20),6,99))))+16*VALUE(TRIM(MID(TRIM($AS$20),6,99)))),NA()),VALUE(TRIM(MID(SUBSTITUTE(SUBSTITUTE(SUBSTITUTE(TRIM($AS$20),",",";")," ",""),";",REPT(" ",99)),1585,99)))),NA())</f>
        <v/>
      </c>
      <c r="BA20">
        <f>IF($AT$20="","",IFERROR(IF(ABS($AT$20)&gt;=1000000,ROUND($AT$20/1000000,MAX(0,1-INT(LOG10($AS$27/1000000))))&amp;"M",IF(ABS($AT$20)&gt;=1000,ROUND($AT$20/1000,MAX(0,1-INT(LOG10($AS$27/1000))))&amp;"k",TEXT($AT$20,"#,##0"))),TEXT($AT$20,"#,##0")))</f>
        <v/>
      </c>
      <c r="BB20" t="n">
        <v>112000</v>
      </c>
      <c r="BC20" t="n">
        <v>115500</v>
      </c>
      <c r="BD20" t="n">
        <v>300</v>
      </c>
      <c r="BE20" t="inlineStr">
        <is>
          <t>band edges on Columns</t>
        </is>
      </c>
      <c r="BF20">
        <f>Columns!$I$24&amp;""</f>
        <v/>
      </c>
      <c r="BG20">
        <f>IF(17&lt;=$BF$13,$BF$14+(17-1)*$BF$16,"")</f>
        <v/>
      </c>
      <c r="BH20">
        <f>IF(17&gt;$BF$13,"",SUMIFS($BD$4:$BD$203,$BC$4:$BC$203,"&gt;="&amp;$BG$20,$BC$4:$BC$203,IF(17=$BF$13,"&lt;=","&lt;")&amp;($BG$20+$BF$16)))</f>
        <v/>
      </c>
      <c r="BI20">
        <f>IF(AND(MOD(6,$BF$17)=0,MOD((INT(6/$BF$17)+1)-1,$BF$13/5)=0),INDEX($BN$4:$BN$53,(INT(6/$BF$17)+1)),"")</f>
        <v/>
      </c>
      <c r="BJ20">
        <f>IF(MOD(6,$BF$17)=$BF$17-1,0,INDEX($BH$4:$BH$53,(INT(6/$BF$17)+1)))</f>
        <v/>
      </c>
      <c r="BK20">
        <f>IFERROR(IF(AND($BM$12&gt;=$BF$14,$BM$12&lt;=$BF$15),10+0.5+100*($BM$12-$BF$14)/($BF$15-$BF$14),NA()),NA())</f>
        <v/>
      </c>
      <c r="BL20">
        <f>IF(ISNA($BK$20),NA(),0)</f>
        <v/>
      </c>
      <c r="BM20">
        <f>IFERROR(IF(LEFT(LOWER(TRIM($BF$20)),5)="every",IF(((INT($BF$11/VALUE(TRIM(MID(TRIM($BF$20),6,99))))*VALUE(TRIM(MID(TRIM($BF$20),6,99)))+VALUE(TRIM(MID(TRIM($BF$20),6,99))))+16*VALUE(TRIM(MID(TRIM($BF$20),6,99))))&lt;=$BF$12,((INT($BF$11/VALUE(TRIM(MID(TRIM($BF$20),6,99))))*VALUE(TRIM(MID(TRIM($BF$20),6,99)))+VALUE(TRIM(MID(TRIM($BF$20),6,99))))+16*VALUE(TRIM(MID(TRIM($BF$20),6,99)))),NA()),VALUE(TRIM(MID(SUBSTITUTE(SUBSTITUTE(SUBSTITUTE(TRIM($BF$20),",",";")," ",""),";",REPT(" ",99)),1585,99)))),NA())</f>
        <v/>
      </c>
      <c r="BN20">
        <f>IF($BG$20="","",IFERROR(IF(ABS($BG$20)&gt;=1000000,ROUND($BG$20/1000000,MAX(0,1-INT(LOG10($BF$27/1000000))))&amp;"M",IF(ABS($BG$20)&gt;=1000,ROUND($BG$20/1000,MAX(0,1-INT(LOG10($BF$27/1000))))&amp;"k",TEXT($BG$20,"#,##0"))),TEXT($BG$20,"#,##0")))</f>
        <v/>
      </c>
      <c r="BO20" t="n">
        <v>0.096</v>
      </c>
      <c r="BP20" t="n">
        <v>0.099</v>
      </c>
      <c r="BQ20" t="n">
        <v>57</v>
      </c>
      <c r="BR20" t="inlineStr">
        <is>
          <t>band edges on Columns</t>
        </is>
      </c>
      <c r="BS20">
        <f>Columns!$I$25&amp;""</f>
        <v/>
      </c>
      <c r="BT20">
        <f>IF(17&lt;=$BS$13,$BS$14+(17-1)*$BS$16,"")</f>
        <v/>
      </c>
      <c r="BU20">
        <f>IF(17&gt;$BS$13,"",SUMIFS($BQ$4:$BQ$203,$BP$4:$BP$203,"&gt;="&amp;$BT$20,$BP$4:$BP$203,IF(17=$BS$13,"&lt;=","&lt;")&amp;($BT$20+$BS$16)))</f>
        <v/>
      </c>
      <c r="BV20">
        <f>IF(AND(MOD(6,$BS$17)=0,MOD((INT(6/$BS$17)+1)-1,$BS$13/5)=0),INDEX($CA$4:$CA$53,(INT(6/$BS$17)+1)),"")</f>
        <v/>
      </c>
      <c r="BW20">
        <f>IF(MOD(6,$BS$17)=$BS$17-1,0,INDEX($BU$4:$BU$53,(INT(6/$BS$17)+1)))</f>
        <v/>
      </c>
      <c r="BX20">
        <f>IFERROR(IF(AND($BZ$12&gt;=$BS$14,$BZ$12&lt;=$BS$15),10+0.5+100*($BZ$12-$BS$14)/($BS$15-$BS$14),NA()),NA())</f>
        <v/>
      </c>
      <c r="BY20">
        <f>IF(ISNA($BX$20),NA(),0)</f>
        <v/>
      </c>
      <c r="BZ20">
        <f>IFERROR(IF(LEFT(LOWER(TRIM($BS$20)),5)="every",IF(((INT($BS$11/VALUE(TRIM(MID(TRIM($BS$20),6,99))))*VALUE(TRIM(MID(TRIM($BS$20),6,99)))+VALUE(TRIM(MID(TRIM($BS$20),6,99))))+16*VALUE(TRIM(MID(TRIM($BS$20),6,99))))&lt;=$BS$12,((INT($BS$11/VALUE(TRIM(MID(TRIM($BS$20),6,99))))*VALUE(TRIM(MID(TRIM($BS$20),6,99)))+VALUE(TRIM(MID(TRIM($BS$20),6,99))))+16*VALUE(TRIM(MID(TRIM($BS$20),6,99)))),NA()),VALUE(TRIM(MID(SUBSTITUTE(SUBSTITUTE(SUBSTITUTE(TRIM($BS$20),",",";")," ",""),";",REPT(" ",99)),1585,99)))),NA())</f>
        <v/>
      </c>
      <c r="CA20">
        <f>IF($BT$20="","",IFERROR(IF(ABS($BT$20)&gt;=1000000,ROUND($BT$20/1000000,MAX(0,1-INT(LOG10($BS$27/1000000))))&amp;"M",IF(ABS($BT$20)&gt;=1000,ROUND($BT$20/1000,MAX(0,1-INT(LOG10($BS$27/1000))))&amp;"k",TEXT($BT$20,"0.00"))),TEXT($BT$20,"0.00")))</f>
        <v/>
      </c>
      <c r="CB20" t="n">
        <v>2.4</v>
      </c>
      <c r="CC20" t="n">
        <v>2.475</v>
      </c>
      <c r="CD20" t="n">
        <v>244</v>
      </c>
      <c r="CE20" t="inlineStr">
        <is>
          <t>band edges on Columns</t>
        </is>
      </c>
      <c r="CF20">
        <f>Columns!$I$26&amp;""</f>
        <v/>
      </c>
      <c r="CG20">
        <f>IF(17&lt;=$CF$13,$CF$14+(17-1)*$CF$16,"")</f>
        <v/>
      </c>
      <c r="CH20">
        <f>IF(17&gt;$CF$13,"",SUMIFS($CD$4:$CD$203,$CC$4:$CC$203,"&gt;="&amp;$CG$20,$CC$4:$CC$203,IF(17=$CF$13,"&lt;=","&lt;")&amp;($CG$20+$CF$16)))</f>
        <v/>
      </c>
      <c r="CI20">
        <f>IF(AND(MOD(6,$CF$17)=0,MOD((INT(6/$CF$17)+1)-1,$CF$13/5)=0),INDEX($CN$4:$CN$53,(INT(6/$CF$17)+1)),"")</f>
        <v/>
      </c>
      <c r="CJ20">
        <f>IF(MOD(6,$CF$17)=$CF$17-1,0,INDEX($CH$4:$CH$53,(INT(6/$CF$17)+1)))</f>
        <v/>
      </c>
      <c r="CK20">
        <f>IFERROR(IF(AND($CM$12&gt;=$CF$14,$CM$12&lt;=$CF$15),10+0.5+100*($CM$12-$CF$14)/($CF$15-$CF$14),NA()),NA())</f>
        <v/>
      </c>
      <c r="CL20">
        <f>IF(ISNA($CK$20),NA(),0)</f>
        <v/>
      </c>
      <c r="CM20">
        <f>IFERROR(IF(LEFT(LOWER(TRIM($CF$20)),5)="every",IF(((INT($CF$11/VALUE(TRIM(MID(TRIM($CF$20),6,99))))*VALUE(TRIM(MID(TRIM($CF$20),6,99)))+VALUE(TRIM(MID(TRIM($CF$20),6,99))))+16*VALUE(TRIM(MID(TRIM($CF$20),6,99))))&lt;=$CF$12,((INT($CF$11/VALUE(TRIM(MID(TRIM($CF$20),6,99))))*VALUE(TRIM(MID(TRIM($CF$20),6,99)))+VALUE(TRIM(MID(TRIM($CF$20),6,99))))+16*VALUE(TRIM(MID(TRIM($CF$20),6,99)))),NA()),VALUE(TRIM(MID(SUBSTITUTE(SUBSTITUTE(SUBSTITUTE(TRIM($CF$20),",",";")," ",""),";",REPT(" ",99)),1585,99)))),NA())</f>
        <v/>
      </c>
      <c r="CN20">
        <f>IF($CG$20="","",IFERROR(IF(ABS($CG$20)&gt;=1000000,ROUND($CG$20/1000000,MAX(0,1-INT(LOG10($CF$27/1000000))))&amp;"M",IF(ABS($CG$20)&gt;=1000,ROUND($CG$20/1000,MAX(0,1-INT(LOG10($CF$27/1000))))&amp;"k",TEXT($CG$20,"#,##0.0"))),TEXT($CG$20,"#,##0.0")))</f>
        <v/>
      </c>
      <c r="CO20" t="n">
        <v>16.4</v>
      </c>
      <c r="CP20" t="n">
        <v>16.6</v>
      </c>
      <c r="CQ20" t="n">
        <v>16</v>
      </c>
      <c r="CR20" t="inlineStr">
        <is>
          <t>band edges on Columns</t>
        </is>
      </c>
      <c r="CS20">
        <f>Columns!$I$27&amp;""</f>
        <v/>
      </c>
      <c r="CT20">
        <f>IF(17&lt;=$CS$13,$CS$14+(17-1)*$CS$16,"")</f>
        <v/>
      </c>
      <c r="CU20">
        <f>IF(17&gt;$CS$13,"",SUMIFS($CQ$4:$CQ$203,$CP$4:$CP$203,"&gt;="&amp;$CT$20,$CP$4:$CP$203,IF(17=$CS$13,"&lt;=","&lt;")&amp;($CT$20+$CS$16)))</f>
        <v/>
      </c>
      <c r="CV20">
        <f>IF(AND(MOD(6,$CS$17)=0,MOD((INT(6/$CS$17)+1)-1,$CS$13/5)=0),INDEX($DA$4:$DA$53,(INT(6/$CS$17)+1)),"")</f>
        <v/>
      </c>
      <c r="CW20">
        <f>IF(MOD(6,$CS$17)=$CS$17-1,0,INDEX($CU$4:$CU$53,(INT(6/$CS$17)+1)))</f>
        <v/>
      </c>
      <c r="CX20">
        <f>IFERROR(IF(AND($CZ$12&gt;=$CS$14,$CZ$12&lt;=$CS$15),10+0.5+100*($CZ$12-$CS$14)/($CS$15-$CS$14),NA()),NA())</f>
        <v/>
      </c>
      <c r="CY20">
        <f>IF(ISNA($CX$20),NA(),0)</f>
        <v/>
      </c>
      <c r="CZ20">
        <f>IFERROR(IF(LEFT(LOWER(TRIM($CS$20)),5)="every",IF(((INT($CS$11/VALUE(TRIM(MID(TRIM($CS$20),6,99))))*VALUE(TRIM(MID(TRIM($CS$20),6,99)))+VALUE(TRIM(MID(TRIM($CS$20),6,99))))+16*VALUE(TRIM(MID(TRIM($CS$20),6,99))))&lt;=$CS$12,((INT($CS$11/VALUE(TRIM(MID(TRIM($CS$20),6,99))))*VALUE(TRIM(MID(TRIM($CS$20),6,99)))+VALUE(TRIM(MID(TRIM($CS$20),6,99))))+16*VALUE(TRIM(MID(TRIM($CS$20),6,99)))),NA()),VALUE(TRIM(MID(SUBSTITUTE(SUBSTITUTE(SUBSTITUTE(TRIM($CS$20),",",";")," ",""),";",REPT(" ",99)),1585,99)))),NA())</f>
        <v/>
      </c>
      <c r="DA20">
        <f>IF($CT$20="","",IFERROR(IF(ABS($CT$20)&gt;=1000000,ROUND($CT$20/1000000,MAX(0,1-INT(LOG10($CS$27/1000000))))&amp;"M",IF(ABS($CT$20)&gt;=1000,ROUND($CT$20/1000,MAX(0,1-INT(LOG10($CS$27/1000))))&amp;"k",TEXT($CT$20,"#,##0"))),TEXT($CT$20,"#,##0")))</f>
        <v/>
      </c>
      <c r="DB20" t="n">
        <v>15.6</v>
      </c>
      <c r="DC20" t="n">
        <v>15.775</v>
      </c>
      <c r="DD20" t="n">
        <v>10</v>
      </c>
      <c r="DE20" t="inlineStr">
        <is>
          <t>band edges on Columns</t>
        </is>
      </c>
      <c r="DF20">
        <f>Columns!$I$28&amp;""</f>
        <v/>
      </c>
      <c r="DG20">
        <f>IF(17&lt;=$DF$13,$DF$14+(17-1)*$DF$16,"")</f>
        <v/>
      </c>
      <c r="DH20">
        <f>IF(17&gt;$DF$13,"",SUMIFS($DD$4:$DD$203,$DC$4:$DC$203,"&gt;="&amp;$DG$20,$DC$4:$DC$203,IF(17=$DF$13,"&lt;=","&lt;")&amp;($DG$20+$DF$16)))</f>
        <v/>
      </c>
      <c r="DI20">
        <f>IF(AND(MOD(6,$DF$17)=0,MOD((INT(6/$DF$17)+1)-1,$DF$13/5)=0),INDEX($DN$4:$DN$53,(INT(6/$DF$17)+1)),"")</f>
        <v/>
      </c>
      <c r="DJ20">
        <f>IF(MOD(6,$DF$17)=$DF$17-1,0,INDEX($DH$4:$DH$53,(INT(6/$DF$17)+1)))</f>
        <v/>
      </c>
      <c r="DK20">
        <f>IFERROR(IF(AND($DM$12&gt;=$DF$14,$DM$12&lt;=$DF$15),10+0.5+100*($DM$12-$DF$14)/($DF$15-$DF$14),NA()),NA())</f>
        <v/>
      </c>
      <c r="DL20">
        <f>IF(ISNA($DK$20),NA(),0)</f>
        <v/>
      </c>
      <c r="DM20">
        <f>IFERROR(IF(LEFT(LOWER(TRIM($DF$20)),5)="every",IF(((INT($DF$11/VALUE(TRIM(MID(TRIM($DF$20),6,99))))*VALUE(TRIM(MID(TRIM($DF$20),6,99)))+VALUE(TRIM(MID(TRIM($DF$20),6,99))))+16*VALUE(TRIM(MID(TRIM($DF$20),6,99))))&lt;=$DF$12,((INT($DF$11/VALUE(TRIM(MID(TRIM($DF$20),6,99))))*VALUE(TRIM(MID(TRIM($DF$20),6,99)))+VALUE(TRIM(MID(TRIM($DF$20),6,99))))+16*VALUE(TRIM(MID(TRIM($DF$20),6,99)))),NA()),VALUE(TRIM(MID(SUBSTITUTE(SUBSTITUTE(SUBSTITUTE(TRIM($DF$20),",",";")," ",""),";",REPT(" ",99)),1585,99)))),NA())</f>
        <v/>
      </c>
      <c r="DN20">
        <f>IF($DG$20="","",IFERROR(IF(ABS($DG$20)&gt;=1000000,ROUND($DG$20/1000000,MAX(0,1-INT(LOG10($DF$27/1000000))))&amp;"M",IF(ABS($DG$20)&gt;=1000,ROUND($DG$20/1000,MAX(0,1-INT(LOG10($DF$27/1000))))&amp;"k",TEXT($DG$20,"#,##0.0"))),TEXT($DG$20,"#,##0.0")))</f>
        <v/>
      </c>
      <c r="DO20" t="n">
        <v>7.9</v>
      </c>
      <c r="DP20" t="n">
        <v>7.9125</v>
      </c>
      <c r="DQ20" t="n">
        <v>16</v>
      </c>
      <c r="DR20" t="inlineStr">
        <is>
          <t>band edges on Columns</t>
        </is>
      </c>
      <c r="DS20">
        <f>Columns!$I$29&amp;""</f>
        <v/>
      </c>
      <c r="DT20">
        <f>IF(17&lt;=$DS$13,$DS$14+(17-1)*$DS$16,"")</f>
        <v/>
      </c>
      <c r="DU20">
        <f>IF(17&gt;$DS$13,"",SUMIFS($DQ$4:$DQ$203,$DP$4:$DP$203,"&gt;="&amp;$DT$20,$DP$4:$DP$203,IF(17=$DS$13,"&lt;=","&lt;")&amp;($DT$20+$DS$16)))</f>
        <v/>
      </c>
      <c r="DV20">
        <f>IF(AND(MOD(6,$DS$17)=0,MOD((INT(6/$DS$17)+1)-1,$DS$13/5)=0),INDEX($EA$4:$EA$53,(INT(6/$DS$17)+1)),"")</f>
        <v/>
      </c>
      <c r="DW20">
        <f>IF(MOD(6,$DS$17)=$DS$17-1,0,INDEX($DU$4:$DU$53,(INT(6/$DS$17)+1)))</f>
        <v/>
      </c>
      <c r="DX20">
        <f>IFERROR(IF(AND($DZ$12&gt;=$DS$14,$DZ$12&lt;=$DS$15),10+0.5+100*($DZ$12-$DS$14)/($DS$15-$DS$14),NA()),NA())</f>
        <v/>
      </c>
      <c r="DY20">
        <f>IF(ISNA($DX$20),NA(),0)</f>
        <v/>
      </c>
      <c r="DZ20">
        <f>IFERROR(IF(LEFT(LOWER(TRIM($DS$20)),5)="every",IF(((INT($DS$11/VALUE(TRIM(MID(TRIM($DS$20),6,99))))*VALUE(TRIM(MID(TRIM($DS$20),6,99)))+VALUE(TRIM(MID(TRIM($DS$20),6,99))))+16*VALUE(TRIM(MID(TRIM($DS$20),6,99))))&lt;=$DS$12,((INT($DS$11/VALUE(TRIM(MID(TRIM($DS$20),6,99))))*VALUE(TRIM(MID(TRIM($DS$20),6,99)))+VALUE(TRIM(MID(TRIM($DS$20),6,99))))+16*VALUE(TRIM(MID(TRIM($DS$20),6,99)))),NA()),VALUE(TRIM(MID(SUBSTITUTE(SUBSTITUTE(SUBSTITUTE(TRIM($DS$20),",",";")," ",""),";",REPT(" ",99)),1585,99)))),NA())</f>
        <v/>
      </c>
      <c r="EA20">
        <f>IF($DT$20="","",IFERROR(IF(ABS($DT$20)&gt;=1000000,ROUND($DT$20/1000000,MAX(0,1-INT(LOG10($DS$27/1000000))))&amp;"M",IF(ABS($DT$20)&gt;=1000,ROUND($DT$20/1000,MAX(0,1-INT(LOG10($DS$27/1000))))&amp;"k",TEXT($DT$20,"#,##0.0"))),TEXT($DT$20,"#,##0.0")))</f>
        <v/>
      </c>
      <c r="EB20" t="n">
        <v>8</v>
      </c>
      <c r="EC20" t="n">
        <v>8.25</v>
      </c>
      <c r="ED20" t="n">
        <v>69</v>
      </c>
      <c r="EE20" t="inlineStr">
        <is>
          <t>band edges on Columns</t>
        </is>
      </c>
      <c r="EF20">
        <f>Columns!$I$30&amp;""</f>
        <v/>
      </c>
      <c r="EG20">
        <f>IF(17&lt;=$EF$13,$EF$14+(17-1)*$EF$16,"")</f>
        <v/>
      </c>
      <c r="EH20">
        <f>IF(17&gt;$EF$13,"",SUMIFS($ED$4:$ED$203,$EC$4:$EC$203,"&gt;="&amp;$EG$20,$EC$4:$EC$203,IF(17=$EF$13,"&lt;=","&lt;")&amp;($EG$20+$EF$16)))</f>
        <v/>
      </c>
      <c r="EI20">
        <f>IF(AND(MOD(6,$EF$17)=0,MOD((INT(6/$EF$17)+1)-1,$EF$13/5)=0),INDEX($EN$4:$EN$53,(INT(6/$EF$17)+1)),"")</f>
        <v/>
      </c>
      <c r="EJ20">
        <f>IF(MOD(6,$EF$17)=$EF$17-1,0,INDEX($EH$4:$EH$53,(INT(6/$EF$17)+1)))</f>
        <v/>
      </c>
      <c r="EK20">
        <f>IFERROR(IF(AND($EM$12&gt;=$EF$14,$EM$12&lt;=$EF$15),10+0.5+100*($EM$12-$EF$14)/($EF$15-$EF$14),NA()),NA())</f>
        <v/>
      </c>
      <c r="EL20">
        <f>IF(ISNA($EK$20),NA(),0)</f>
        <v/>
      </c>
      <c r="EM20">
        <f>IFERROR(IF(LEFT(LOWER(TRIM($EF$20)),5)="every",IF(((INT($EF$11/VALUE(TRIM(MID(TRIM($EF$20),6,99))))*VALUE(TRIM(MID(TRIM($EF$20),6,99)))+VALUE(TRIM(MID(TRIM($EF$20),6,99))))+16*VALUE(TRIM(MID(TRIM($EF$20),6,99))))&lt;=$EF$12,((INT($EF$11/VALUE(TRIM(MID(TRIM($EF$20),6,99))))*VALUE(TRIM(MID(TRIM($EF$20),6,99)))+VALUE(TRIM(MID(TRIM($EF$20),6,99))))+16*VALUE(TRIM(MID(TRIM($EF$20),6,99)))),NA()),VALUE(TRIM(MID(SUBSTITUTE(SUBSTITUTE(SUBSTITUTE(TRIM($EF$20),",",";")," ",""),";",REPT(" ",99)),1585,99)))),NA())</f>
        <v/>
      </c>
      <c r="EN20">
        <f>IF($EG$20="","",IFERROR(IF(ABS($EG$20)&gt;=1000000,ROUND($EG$20/1000000,MAX(0,1-INT(LOG10($EF$27/1000000))))&amp;"M",IF(ABS($EG$20)&gt;=1000,ROUND($EG$20/1000,MAX(0,1-INT(LOG10($EF$27/1000))))&amp;"k",TEXT($EG$20,"#,##0"))),TEXT($EG$20,"#,##0")))</f>
        <v/>
      </c>
      <c r="EO20" t="n">
        <v>0.28</v>
      </c>
      <c r="EP20" t="n">
        <v>0.28875</v>
      </c>
      <c r="EQ20" t="n">
        <v>285</v>
      </c>
      <c r="ER20" t="inlineStr">
        <is>
          <t>band edges on Columns</t>
        </is>
      </c>
      <c r="ES20">
        <f>Columns!$I$32&amp;""</f>
        <v/>
      </c>
      <c r="ET20">
        <f>IF(17&lt;=$ES$13,$ES$14+(17-1)*$ES$16,"")</f>
        <v/>
      </c>
      <c r="EU20">
        <f>IF(17&gt;$ES$13,"",SUMIFS($EQ$4:$EQ$203,$EP$4:$EP$203,"&gt;="&amp;$ET$20,$EP$4:$EP$203,IF(17=$ES$13,"&lt;=","&lt;")&amp;($ET$20+$ES$16)))</f>
        <v/>
      </c>
      <c r="EV20">
        <f>IF(AND(MOD(6,$ES$17)=0,MOD((INT(6/$ES$17)+1)-1,$ES$13/5)=0),INDEX($FA$4:$FA$53,(INT(6/$ES$17)+1)),"")</f>
        <v/>
      </c>
      <c r="EW20">
        <f>IF(MOD(6,$ES$17)=$ES$17-1,0,INDEX($EU$4:$EU$53,(INT(6/$ES$17)+1)))</f>
        <v/>
      </c>
      <c r="EX20">
        <f>IFERROR(IF(AND($EZ$12&gt;=$ES$14,$EZ$12&lt;=$ES$15),10+0.5+100*($EZ$12-$ES$14)/($ES$15-$ES$14),NA()),NA())</f>
        <v/>
      </c>
      <c r="EY20">
        <f>IF(ISNA($EX$20),NA(),0)</f>
        <v/>
      </c>
      <c r="EZ20">
        <f>IFERROR(IF(LEFT(LOWER(TRIM($ES$20)),5)="every",IF(((INT($ES$11/VALUE(TRIM(MID(TRIM($ES$20),6,99))))*VALUE(TRIM(MID(TRIM($ES$20),6,99)))+VALUE(TRIM(MID(TRIM($ES$20),6,99))))+16*VALUE(TRIM(MID(TRIM($ES$20),6,99))))&lt;=$ES$12,((INT($ES$11/VALUE(TRIM(MID(TRIM($ES$20),6,99))))*VALUE(TRIM(MID(TRIM($ES$20),6,99)))+VALUE(TRIM(MID(TRIM($ES$20),6,99))))+16*VALUE(TRIM(MID(TRIM($ES$20),6,99)))),NA()),VALUE(TRIM(MID(SUBSTITUTE(SUBSTITUTE(SUBSTITUTE(TRIM($ES$20),",",";")," ",""),";",REPT(" ",99)),1585,99)))),NA())</f>
        <v/>
      </c>
      <c r="FA20">
        <f>IF($ET$20="","",IFERROR(IF(ABS($ET$20)&gt;=1000000,ROUND($ET$20/1000000,MAX(0,1-INT(LOG10($ES$27/1000000))))&amp;"M",IF(ABS($ET$20)&gt;=1000,ROUND($ET$20/1000,MAX(0,1-INT(LOG10($ES$27/1000))))&amp;"k",TEXT($ET$20,"0.00"))),TEXT($ET$20,"0.00")))</f>
        <v/>
      </c>
    </row>
    <row r="21">
      <c r="B21" t="n">
        <v>575.5</v>
      </c>
      <c r="C21" t="n">
        <v>576.25</v>
      </c>
      <c r="D21" t="n">
        <v>9</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71</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44</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c r="AO21" t="n">
        <v>68000</v>
      </c>
      <c r="AP21" t="n">
        <v>70000</v>
      </c>
      <c r="AQ21" t="n">
        <v>20</v>
      </c>
      <c r="AR21" t="inlineStr">
        <is>
          <t>format</t>
        </is>
      </c>
      <c r="AS21" t="inlineStr">
        <is>
          <t>#,##0</t>
        </is>
      </c>
      <c r="AT21">
        <f>IF(18&lt;=$AS$13,$AS$14+(18-1)*$AS$16,"")</f>
        <v/>
      </c>
      <c r="AU21">
        <f>IF(18&gt;$AS$13,"",SUMIFS($AQ$4:$AQ$203,$AP$4:$AP$203,"&gt;="&amp;$AT$21,$AP$4:$AP$203,IF(18=$AS$13,"&lt;=","&lt;")&amp;($AT$21+$AS$16)))</f>
        <v/>
      </c>
      <c r="AV21">
        <f>IF(AND(MOD(7,$AS$17)=0,MOD((INT(7/$AS$17)+1)-1,$AS$13/5)=0),INDEX($BA$4:$BA$53,(INT(7/$AS$17)+1)),"")</f>
        <v/>
      </c>
      <c r="AW21">
        <f>IF(MOD(7,$AS$17)=$AS$17-1,0,INDEX($AU$4:$AU$53,(INT(7/$AS$17)+1)))</f>
        <v/>
      </c>
      <c r="AX21">
        <f>IFERROR(IF(AND($AZ$12&gt;=$AS$14,$AZ$12&lt;=$AS$15),10+0.5+100*($AZ$12-$AS$14)/($AS$15-$AS$14),NA()),NA())</f>
        <v/>
      </c>
      <c r="AY21">
        <f>IF(ISNA($AX$21),NA(),MAX($AW$4:$AW$123))</f>
        <v/>
      </c>
      <c r="AZ21">
        <f>IFERROR(IF(LEFT(LOWER(TRIM($AS$20)),5)="every",IF(((INT($AS$11/VALUE(TRIM(MID(TRIM($AS$20),6,99))))*VALUE(TRIM(MID(TRIM($AS$20),6,99)))+VALUE(TRIM(MID(TRIM($AS$20),6,99))))+17*VALUE(TRIM(MID(TRIM($AS$20),6,99))))&lt;=$AS$12,((INT($AS$11/VALUE(TRIM(MID(TRIM($AS$20),6,99))))*VALUE(TRIM(MID(TRIM($AS$20),6,99)))+VALUE(TRIM(MID(TRIM($AS$20),6,99))))+17*VALUE(TRIM(MID(TRIM($AS$20),6,99)))),NA()),VALUE(TRIM(MID(SUBSTITUTE(SUBSTITUTE(SUBSTITUTE(TRIM($AS$20),",",";")," ",""),";",REPT(" ",99)),1684,99)))),NA())</f>
        <v/>
      </c>
      <c r="BA21">
        <f>IF($AT$21="","",IFERROR(IF(ABS($AT$21)&gt;=1000000,ROUND($AT$21/1000000,MAX(0,1-INT(LOG10($AS$27/1000000))))&amp;"M",IF(ABS($AT$21)&gt;=1000,ROUND($AT$21/1000,MAX(0,1-INT(LOG10($AS$27/1000))))&amp;"k",TEXT($AT$21,"#,##0"))),TEXT($AT$21,"#,##0")))</f>
        <v/>
      </c>
      <c r="BB21" t="n">
        <v>119000</v>
      </c>
      <c r="BC21" t="n">
        <v>122500</v>
      </c>
      <c r="BD21" t="n">
        <v>274</v>
      </c>
      <c r="BE21" t="inlineStr">
        <is>
          <t>format</t>
        </is>
      </c>
      <c r="BF21" t="inlineStr">
        <is>
          <t>#,##0</t>
        </is>
      </c>
      <c r="BG21">
        <f>IF(18&lt;=$BF$13,$BF$14+(18-1)*$BF$16,"")</f>
        <v/>
      </c>
      <c r="BH21">
        <f>IF(18&gt;$BF$13,"",SUMIFS($BD$4:$BD$203,$BC$4:$BC$203,"&gt;="&amp;$BG$21,$BC$4:$BC$203,IF(18=$BF$13,"&lt;=","&lt;")&amp;($BG$21+$BF$16)))</f>
        <v/>
      </c>
      <c r="BI21">
        <f>IF(AND(MOD(7,$BF$17)=0,MOD((INT(7/$BF$17)+1)-1,$BF$13/5)=0),INDEX($BN$4:$BN$53,(INT(7/$BF$17)+1)),"")</f>
        <v/>
      </c>
      <c r="BJ21">
        <f>IF(MOD(7,$BF$17)=$BF$17-1,0,INDEX($BH$4:$BH$53,(INT(7/$BF$17)+1)))</f>
        <v/>
      </c>
      <c r="BK21">
        <f>IFERROR(IF(AND($BM$12&gt;=$BF$14,$BM$12&lt;=$BF$15),10+0.5+100*($BM$12-$BF$14)/($BF$15-$BF$14),NA()),NA())</f>
        <v/>
      </c>
      <c r="BL21">
        <f>IF(ISNA($BK$21),NA(),MAX($BJ$4:$BJ$123))</f>
        <v/>
      </c>
      <c r="BM21">
        <f>IFERROR(IF(LEFT(LOWER(TRIM($BF$20)),5)="every",IF(((INT($BF$11/VALUE(TRIM(MID(TRIM($BF$20),6,99))))*VALUE(TRIM(MID(TRIM($BF$20),6,99)))+VALUE(TRIM(MID(TRIM($BF$20),6,99))))+17*VALUE(TRIM(MID(TRIM($BF$20),6,99))))&lt;=$BF$12,((INT($BF$11/VALUE(TRIM(MID(TRIM($BF$20),6,99))))*VALUE(TRIM(MID(TRIM($BF$20),6,99)))+VALUE(TRIM(MID(TRIM($BF$20),6,99))))+17*VALUE(TRIM(MID(TRIM($BF$20),6,99)))),NA()),VALUE(TRIM(MID(SUBSTITUTE(SUBSTITUTE(SUBSTITUTE(TRIM($BF$20),",",";")," ",""),";",REPT(" ",99)),1684,99)))),NA())</f>
        <v/>
      </c>
      <c r="BN21">
        <f>IF($BG$21="","",IFERROR(IF(ABS($BG$21)&gt;=1000000,ROUND($BG$21/1000000,MAX(0,1-INT(LOG10($BF$27/1000000))))&amp;"M",IF(ABS($BG$21)&gt;=1000,ROUND($BG$21/1000,MAX(0,1-INT(LOG10($BF$27/1000))))&amp;"k",TEXT($BG$21,"#,##0"))),TEXT($BG$21,"#,##0")))</f>
        <v/>
      </c>
      <c r="BO21" t="n">
        <v>0.102</v>
      </c>
      <c r="BP21" t="n">
        <v>0.105</v>
      </c>
      <c r="BQ21" t="n">
        <v>62</v>
      </c>
      <c r="BR21" t="inlineStr">
        <is>
          <t>format</t>
        </is>
      </c>
      <c r="BS21" t="inlineStr">
        <is>
          <t>0.00</t>
        </is>
      </c>
      <c r="BT21">
        <f>IF(18&lt;=$BS$13,$BS$14+(18-1)*$BS$16,"")</f>
        <v/>
      </c>
      <c r="BU21">
        <f>IF(18&gt;$BS$13,"",SUMIFS($BQ$4:$BQ$203,$BP$4:$BP$203,"&gt;="&amp;$BT$21,$BP$4:$BP$203,IF(18=$BS$13,"&lt;=","&lt;")&amp;($BT$21+$BS$16)))</f>
        <v/>
      </c>
      <c r="BV21">
        <f>IF(AND(MOD(7,$BS$17)=0,MOD((INT(7/$BS$17)+1)-1,$BS$13/5)=0),INDEX($CA$4:$CA$53,(INT(7/$BS$17)+1)),"")</f>
        <v/>
      </c>
      <c r="BW21">
        <f>IF(MOD(7,$BS$17)=$BS$17-1,0,INDEX($BU$4:$BU$53,(INT(7/$BS$17)+1)))</f>
        <v/>
      </c>
      <c r="BX21">
        <f>IFERROR(IF(AND($BZ$12&gt;=$BS$14,$BZ$12&lt;=$BS$15),10+0.5+100*($BZ$12-$BS$14)/($BS$15-$BS$14),NA()),NA())</f>
        <v/>
      </c>
      <c r="BY21">
        <f>IF(ISNA($BX$21),NA(),MAX($BW$4:$BW$123))</f>
        <v/>
      </c>
      <c r="BZ21">
        <f>IFERROR(IF(LEFT(LOWER(TRIM($BS$20)),5)="every",IF(((INT($BS$11/VALUE(TRIM(MID(TRIM($BS$20),6,99))))*VALUE(TRIM(MID(TRIM($BS$20),6,99)))+VALUE(TRIM(MID(TRIM($BS$20),6,99))))+17*VALUE(TRIM(MID(TRIM($BS$20),6,99))))&lt;=$BS$12,((INT($BS$11/VALUE(TRIM(MID(TRIM($BS$20),6,99))))*VALUE(TRIM(MID(TRIM($BS$20),6,99)))+VALUE(TRIM(MID(TRIM($BS$20),6,99))))+17*VALUE(TRIM(MID(TRIM($BS$20),6,99)))),NA()),VALUE(TRIM(MID(SUBSTITUTE(SUBSTITUTE(SUBSTITUTE(TRIM($BS$20),",",";")," ",""),";",REPT(" ",99)),1684,99)))),NA())</f>
        <v/>
      </c>
      <c r="CA21">
        <f>IF($BT$21="","",IFERROR(IF(ABS($BT$21)&gt;=1000000,ROUND($BT$21/1000000,MAX(0,1-INT(LOG10($BS$27/1000000))))&amp;"M",IF(ABS($BT$21)&gt;=1000,ROUND($BT$21/1000,MAX(0,1-INT(LOG10($BS$27/1000))))&amp;"k",TEXT($BT$21,"0.00"))),TEXT($BT$21,"0.00")))</f>
        <v/>
      </c>
      <c r="CB21" t="n">
        <v>2.55</v>
      </c>
      <c r="CC21" t="n">
        <v>2.625</v>
      </c>
      <c r="CD21" t="n">
        <v>120</v>
      </c>
      <c r="CE21" t="inlineStr">
        <is>
          <t>format</t>
        </is>
      </c>
      <c r="CF21" t="inlineStr">
        <is>
          <t>#,##0.0</t>
        </is>
      </c>
      <c r="CG21">
        <f>IF(18&lt;=$CF$13,$CF$14+(18-1)*$CF$16,"")</f>
        <v/>
      </c>
      <c r="CH21">
        <f>IF(18&gt;$CF$13,"",SUMIFS($CD$4:$CD$203,$CC$4:$CC$203,"&gt;="&amp;$CG$21,$CC$4:$CC$203,IF(18=$CF$13,"&lt;=","&lt;")&amp;($CG$21+$CF$16)))</f>
        <v/>
      </c>
      <c r="CI21">
        <f>IF(AND(MOD(7,$CF$17)=0,MOD((INT(7/$CF$17)+1)-1,$CF$13/5)=0),INDEX($CN$4:$CN$53,(INT(7/$CF$17)+1)),"")</f>
        <v/>
      </c>
      <c r="CJ21">
        <f>IF(MOD(7,$CF$17)=$CF$17-1,0,INDEX($CH$4:$CH$53,(INT(7/$CF$17)+1)))</f>
        <v/>
      </c>
      <c r="CK21">
        <f>IFERROR(IF(AND($CM$12&gt;=$CF$14,$CM$12&lt;=$CF$15),10+0.5+100*($CM$12-$CF$14)/($CF$15-$CF$14),NA()),NA())</f>
        <v/>
      </c>
      <c r="CL21">
        <f>IF(ISNA($CK$21),NA(),MAX($CJ$4:$CJ$123))</f>
        <v/>
      </c>
      <c r="CM21">
        <f>IFERROR(IF(LEFT(LOWER(TRIM($CF$20)),5)="every",IF(((INT($CF$11/VALUE(TRIM(MID(TRIM($CF$20),6,99))))*VALUE(TRIM(MID(TRIM($CF$20),6,99)))+VALUE(TRIM(MID(TRIM($CF$20),6,99))))+17*VALUE(TRIM(MID(TRIM($CF$20),6,99))))&lt;=$CF$12,((INT($CF$11/VALUE(TRIM(MID(TRIM($CF$20),6,99))))*VALUE(TRIM(MID(TRIM($CF$20),6,99)))+VALUE(TRIM(MID(TRIM($CF$20),6,99))))+17*VALUE(TRIM(MID(TRIM($CF$20),6,99)))),NA()),VALUE(TRIM(MID(SUBSTITUTE(SUBSTITUTE(SUBSTITUTE(TRIM($CF$20),",",";")," ",""),";",REPT(" ",99)),1684,99)))),NA())</f>
        <v/>
      </c>
      <c r="CN21">
        <f>IF($CG$21="","",IFERROR(IF(ABS($CG$21)&gt;=1000000,ROUND($CG$21/1000000,MAX(0,1-INT(LOG10($CF$27/1000000))))&amp;"M",IF(ABS($CG$21)&gt;=1000,ROUND($CG$21/1000,MAX(0,1-INT(LOG10($CF$27/1000))))&amp;"k",TEXT($CG$21,"#,##0.0"))),TEXT($CG$21,"#,##0.0")))</f>
        <v/>
      </c>
      <c r="CO21" t="n">
        <v>16.8</v>
      </c>
      <c r="CP21" t="n">
        <v>17</v>
      </c>
      <c r="CQ21" t="n">
        <v>7</v>
      </c>
      <c r="CR21" t="inlineStr">
        <is>
          <t>format</t>
        </is>
      </c>
      <c r="CS21" t="inlineStr">
        <is>
          <t>#,##0</t>
        </is>
      </c>
      <c r="CT21">
        <f>IF(18&lt;=$CS$13,$CS$14+(18-1)*$CS$16,"")</f>
        <v/>
      </c>
      <c r="CU21">
        <f>IF(18&gt;$CS$13,"",SUMIFS($CQ$4:$CQ$203,$CP$4:$CP$203,"&gt;="&amp;$CT$21,$CP$4:$CP$203,IF(18=$CS$13,"&lt;=","&lt;")&amp;($CT$21+$CS$16)))</f>
        <v/>
      </c>
      <c r="CV21">
        <f>IF(AND(MOD(7,$CS$17)=0,MOD((INT(7/$CS$17)+1)-1,$CS$13/5)=0),INDEX($DA$4:$DA$53,(INT(7/$CS$17)+1)),"")</f>
        <v/>
      </c>
      <c r="CW21">
        <f>IF(MOD(7,$CS$17)=$CS$17-1,0,INDEX($CU$4:$CU$53,(INT(7/$CS$17)+1)))</f>
        <v/>
      </c>
      <c r="CX21">
        <f>IFERROR(IF(AND($CZ$12&gt;=$CS$14,$CZ$12&lt;=$CS$15),10+0.5+100*($CZ$12-$CS$14)/($CS$15-$CS$14),NA()),NA())</f>
        <v/>
      </c>
      <c r="CY21">
        <f>IF(ISNA($CX$21),NA(),MAX($CW$4:$CW$123))</f>
        <v/>
      </c>
      <c r="CZ21">
        <f>IFERROR(IF(LEFT(LOWER(TRIM($CS$20)),5)="every",IF(((INT($CS$11/VALUE(TRIM(MID(TRIM($CS$20),6,99))))*VALUE(TRIM(MID(TRIM($CS$20),6,99)))+VALUE(TRIM(MID(TRIM($CS$20),6,99))))+17*VALUE(TRIM(MID(TRIM($CS$20),6,99))))&lt;=$CS$12,((INT($CS$11/VALUE(TRIM(MID(TRIM($CS$20),6,99))))*VALUE(TRIM(MID(TRIM($CS$20),6,99)))+VALUE(TRIM(MID(TRIM($CS$20),6,99))))+17*VALUE(TRIM(MID(TRIM($CS$20),6,99)))),NA()),VALUE(TRIM(MID(SUBSTITUTE(SUBSTITUTE(SUBSTITUTE(TRIM($CS$20),",",";")," ",""),";",REPT(" ",99)),1684,99)))),NA())</f>
        <v/>
      </c>
      <c r="DA21">
        <f>IF($CT$21="","",IFERROR(IF(ABS($CT$21)&gt;=1000000,ROUND($CT$21/1000000,MAX(0,1-INT(LOG10($CS$27/1000000))))&amp;"M",IF(ABS($CT$21)&gt;=1000,ROUND($CT$21/1000,MAX(0,1-INT(LOG10($CS$27/1000))))&amp;"k",TEXT($CT$21,"#,##0"))),TEXT($CT$21,"#,##0")))</f>
        <v/>
      </c>
      <c r="DB21" t="n">
        <v>15.95</v>
      </c>
      <c r="DC21" t="n">
        <v>16.125</v>
      </c>
      <c r="DD21" t="n">
        <v>10</v>
      </c>
      <c r="DE21" t="inlineStr">
        <is>
          <t>format</t>
        </is>
      </c>
      <c r="DF21" t="inlineStr">
        <is>
          <t>#,##0.0</t>
        </is>
      </c>
      <c r="DG21">
        <f>IF(18&lt;=$DF$13,$DF$14+(18-1)*$DF$16,"")</f>
        <v/>
      </c>
      <c r="DH21">
        <f>IF(18&gt;$DF$13,"",SUMIFS($DD$4:$DD$203,$DC$4:$DC$203,"&gt;="&amp;$DG$21,$DC$4:$DC$203,IF(18=$DF$13,"&lt;=","&lt;")&amp;($DG$21+$DF$16)))</f>
        <v/>
      </c>
      <c r="DI21">
        <f>IF(AND(MOD(7,$DF$17)=0,MOD((INT(7/$DF$17)+1)-1,$DF$13/5)=0),INDEX($DN$4:$DN$53,(INT(7/$DF$17)+1)),"")</f>
        <v/>
      </c>
      <c r="DJ21">
        <f>IF(MOD(7,$DF$17)=$DF$17-1,0,INDEX($DH$4:$DH$53,(INT(7/$DF$17)+1)))</f>
        <v/>
      </c>
      <c r="DK21">
        <f>IFERROR(IF(AND($DM$12&gt;=$DF$14,$DM$12&lt;=$DF$15),10+0.5+100*($DM$12-$DF$14)/($DF$15-$DF$14),NA()),NA())</f>
        <v/>
      </c>
      <c r="DL21">
        <f>IF(ISNA($DK$21),NA(),MAX($DJ$4:$DJ$123))</f>
        <v/>
      </c>
      <c r="DM21">
        <f>IFERROR(IF(LEFT(LOWER(TRIM($DF$20)),5)="every",IF(((INT($DF$11/VALUE(TRIM(MID(TRIM($DF$20),6,99))))*VALUE(TRIM(MID(TRIM($DF$20),6,99)))+VALUE(TRIM(MID(TRIM($DF$20),6,99))))+17*VALUE(TRIM(MID(TRIM($DF$20),6,99))))&lt;=$DF$12,((INT($DF$11/VALUE(TRIM(MID(TRIM($DF$20),6,99))))*VALUE(TRIM(MID(TRIM($DF$20),6,99)))+VALUE(TRIM(MID(TRIM($DF$20),6,99))))+17*VALUE(TRIM(MID(TRIM($DF$20),6,99)))),NA()),VALUE(TRIM(MID(SUBSTITUTE(SUBSTITUTE(SUBSTITUTE(TRIM($DF$20),",",";")," ",""),";",REPT(" ",99)),1684,99)))),NA())</f>
        <v/>
      </c>
      <c r="DN21">
        <f>IF($DG$21="","",IFERROR(IF(ABS($DG$21)&gt;=1000000,ROUND($DG$21/1000000,MAX(0,1-INT(LOG10($DF$27/1000000))))&amp;"M",IF(ABS($DG$21)&gt;=1000,ROUND($DG$21/1000,MAX(0,1-INT(LOG10($DF$27/1000))))&amp;"k",TEXT($DG$21,"#,##0.0"))),TEXT($DG$21,"#,##0.0")))</f>
        <v/>
      </c>
      <c r="DO21" t="n">
        <v>7.925</v>
      </c>
      <c r="DP21" t="n">
        <v>7.9375</v>
      </c>
      <c r="DQ21" t="n">
        <v>20</v>
      </c>
      <c r="DR21" t="inlineStr">
        <is>
          <t>format</t>
        </is>
      </c>
      <c r="DS21" t="inlineStr">
        <is>
          <t>#,##0.0</t>
        </is>
      </c>
      <c r="DT21">
        <f>IF(18&lt;=$DS$13,$DS$14+(18-1)*$DS$16,"")</f>
        <v/>
      </c>
      <c r="DU21">
        <f>IF(18&gt;$DS$13,"",SUMIFS($DQ$4:$DQ$203,$DP$4:$DP$203,"&gt;="&amp;$DT$21,$DP$4:$DP$203,IF(18=$DS$13,"&lt;=","&lt;")&amp;($DT$21+$DS$16)))</f>
        <v/>
      </c>
      <c r="DV21">
        <f>IF(AND(MOD(7,$DS$17)=0,MOD((INT(7/$DS$17)+1)-1,$DS$13/5)=0),INDEX($EA$4:$EA$53,(INT(7/$DS$17)+1)),"")</f>
        <v/>
      </c>
      <c r="DW21">
        <f>IF(MOD(7,$DS$17)=$DS$17-1,0,INDEX($DU$4:$DU$53,(INT(7/$DS$17)+1)))</f>
        <v/>
      </c>
      <c r="DX21">
        <f>IFERROR(IF(AND($DZ$12&gt;=$DS$14,$DZ$12&lt;=$DS$15),10+0.5+100*($DZ$12-$DS$14)/($DS$15-$DS$14),NA()),NA())</f>
        <v/>
      </c>
      <c r="DY21">
        <f>IF(ISNA($DX$21),NA(),MAX($DW$4:$DW$123))</f>
        <v/>
      </c>
      <c r="DZ21">
        <f>IFERROR(IF(LEFT(LOWER(TRIM($DS$20)),5)="every",IF(((INT($DS$11/VALUE(TRIM(MID(TRIM($DS$20),6,99))))*VALUE(TRIM(MID(TRIM($DS$20),6,99)))+VALUE(TRIM(MID(TRIM($DS$20),6,99))))+17*VALUE(TRIM(MID(TRIM($DS$20),6,99))))&lt;=$DS$12,((INT($DS$11/VALUE(TRIM(MID(TRIM($DS$20),6,99))))*VALUE(TRIM(MID(TRIM($DS$20),6,99)))+VALUE(TRIM(MID(TRIM($DS$20),6,99))))+17*VALUE(TRIM(MID(TRIM($DS$20),6,99)))),NA()),VALUE(TRIM(MID(SUBSTITUTE(SUBSTITUTE(SUBSTITUTE(TRIM($DS$20),",",";")," ",""),";",REPT(" ",99)),1684,99)))),NA())</f>
        <v/>
      </c>
      <c r="EA21">
        <f>IF($DT$21="","",IFERROR(IF(ABS($DT$21)&gt;=1000000,ROUND($DT$21/1000000,MAX(0,1-INT(LOG10($DS$27/1000000))))&amp;"M",IF(ABS($DT$21)&gt;=1000,ROUND($DT$21/1000,MAX(0,1-INT(LOG10($DS$27/1000))))&amp;"k",TEXT($DT$21,"#,##0.0"))),TEXT($DT$21,"#,##0.0")))</f>
        <v/>
      </c>
      <c r="EB21" t="n">
        <v>8.5</v>
      </c>
      <c r="EC21" t="n">
        <v>8.75</v>
      </c>
      <c r="ED21" t="n">
        <v>47</v>
      </c>
      <c r="EE21" t="inlineStr">
        <is>
          <t>format</t>
        </is>
      </c>
      <c r="EF21" t="inlineStr">
        <is>
          <t>#,##0</t>
        </is>
      </c>
      <c r="EG21">
        <f>IF(18&lt;=$EF$13,$EF$14+(18-1)*$EF$16,"")</f>
        <v/>
      </c>
      <c r="EH21">
        <f>IF(18&gt;$EF$13,"",SUMIFS($ED$4:$ED$203,$EC$4:$EC$203,"&gt;="&amp;$EG$21,$EC$4:$EC$203,IF(18=$EF$13,"&lt;=","&lt;")&amp;($EG$21+$EF$16)))</f>
        <v/>
      </c>
      <c r="EI21">
        <f>IF(AND(MOD(7,$EF$17)=0,MOD((INT(7/$EF$17)+1)-1,$EF$13/5)=0),INDEX($EN$4:$EN$53,(INT(7/$EF$17)+1)),"")</f>
        <v/>
      </c>
      <c r="EJ21">
        <f>IF(MOD(7,$EF$17)=$EF$17-1,0,INDEX($EH$4:$EH$53,(INT(7/$EF$17)+1)))</f>
        <v/>
      </c>
      <c r="EK21">
        <f>IFERROR(IF(AND($EM$12&gt;=$EF$14,$EM$12&lt;=$EF$15),10+0.5+100*($EM$12-$EF$14)/($EF$15-$EF$14),NA()),NA())</f>
        <v/>
      </c>
      <c r="EL21">
        <f>IF(ISNA($EK$21),NA(),MAX($EJ$4:$EJ$123))</f>
        <v/>
      </c>
      <c r="EM21">
        <f>IFERROR(IF(LEFT(LOWER(TRIM($EF$20)),5)="every",IF(((INT($EF$11/VALUE(TRIM(MID(TRIM($EF$20),6,99))))*VALUE(TRIM(MID(TRIM($EF$20),6,99)))+VALUE(TRIM(MID(TRIM($EF$20),6,99))))+17*VALUE(TRIM(MID(TRIM($EF$20),6,99))))&lt;=$EF$12,((INT($EF$11/VALUE(TRIM(MID(TRIM($EF$20),6,99))))*VALUE(TRIM(MID(TRIM($EF$20),6,99)))+VALUE(TRIM(MID(TRIM($EF$20),6,99))))+17*VALUE(TRIM(MID(TRIM($EF$20),6,99)))),NA()),VALUE(TRIM(MID(SUBSTITUTE(SUBSTITUTE(SUBSTITUTE(TRIM($EF$20),",",";")," ",""),";",REPT(" ",99)),1684,99)))),NA())</f>
        <v/>
      </c>
      <c r="EN21">
        <f>IF($EG$21="","",IFERROR(IF(ABS($EG$21)&gt;=1000000,ROUND($EG$21/1000000,MAX(0,1-INT(LOG10($EF$27/1000000))))&amp;"M",IF(ABS($EG$21)&gt;=1000,ROUND($EG$21/1000,MAX(0,1-INT(LOG10($EF$27/1000))))&amp;"k",TEXT($EG$21,"#,##0"))),TEXT($EG$21,"#,##0")))</f>
        <v/>
      </c>
      <c r="EO21" t="n">
        <v>0.2975</v>
      </c>
      <c r="EP21" t="n">
        <v>0.30625</v>
      </c>
      <c r="EQ21" t="n">
        <v>294</v>
      </c>
      <c r="ER21" t="inlineStr">
        <is>
          <t>format</t>
        </is>
      </c>
      <c r="ES21" t="inlineStr">
        <is>
          <t>0.00</t>
        </is>
      </c>
      <c r="ET21">
        <f>IF(18&lt;=$ES$13,$ES$14+(18-1)*$ES$16,"")</f>
        <v/>
      </c>
      <c r="EU21">
        <f>IF(18&gt;$ES$13,"",SUMIFS($EQ$4:$EQ$203,$EP$4:$EP$203,"&gt;="&amp;$ET$21,$EP$4:$EP$203,IF(18=$ES$13,"&lt;=","&lt;")&amp;($ET$21+$ES$16)))</f>
        <v/>
      </c>
      <c r="EV21">
        <f>IF(AND(MOD(7,$ES$17)=0,MOD((INT(7/$ES$17)+1)-1,$ES$13/5)=0),INDEX($FA$4:$FA$53,(INT(7/$ES$17)+1)),"")</f>
        <v/>
      </c>
      <c r="EW21">
        <f>IF(MOD(7,$ES$17)=$ES$17-1,0,INDEX($EU$4:$EU$53,(INT(7/$ES$17)+1)))</f>
        <v/>
      </c>
      <c r="EX21">
        <f>IFERROR(IF(AND($EZ$12&gt;=$ES$14,$EZ$12&lt;=$ES$15),10+0.5+100*($EZ$12-$ES$14)/($ES$15-$ES$14),NA()),NA())</f>
        <v/>
      </c>
      <c r="EY21">
        <f>IF(ISNA($EX$21),NA(),MAX($EW$4:$EW$123))</f>
        <v/>
      </c>
      <c r="EZ21">
        <f>IFERROR(IF(LEFT(LOWER(TRIM($ES$20)),5)="every",IF(((INT($ES$11/VALUE(TRIM(MID(TRIM($ES$20),6,99))))*VALUE(TRIM(MID(TRIM($ES$20),6,99)))+VALUE(TRIM(MID(TRIM($ES$20),6,99))))+17*VALUE(TRIM(MID(TRIM($ES$20),6,99))))&lt;=$ES$12,((INT($ES$11/VALUE(TRIM(MID(TRIM($ES$20),6,99))))*VALUE(TRIM(MID(TRIM($ES$20),6,99)))+VALUE(TRIM(MID(TRIM($ES$20),6,99))))+17*VALUE(TRIM(MID(TRIM($ES$20),6,99)))),NA()),VALUE(TRIM(MID(SUBSTITUTE(SUBSTITUTE(SUBSTITUTE(TRIM($ES$20),",",";")," ",""),";",REPT(" ",99)),1684,99)))),NA())</f>
        <v/>
      </c>
      <c r="FA21">
        <f>IF($ET$21="","",IFERROR(IF(ABS($ET$21)&gt;=1000000,ROUND($ET$21/1000000,MAX(0,1-INT(LOG10($ES$27/1000000))))&amp;"M",IF(ABS($ET$21)&gt;=1000,ROUND($ET$21/1000,MAX(0,1-INT(LOG10($ES$27/1000))))&amp;"k",TEXT($ET$21,"0.00"))),TEXT($ET$21,"0.00")))</f>
        <v/>
      </c>
    </row>
    <row r="22">
      <c r="B22" t="n">
        <v>577</v>
      </c>
      <c r="C22" t="n">
        <v>577.75</v>
      </c>
      <c r="D22" t="n">
        <v>16</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79</v>
      </c>
      <c r="R22" t="inlineStr">
        <is>
          <t>P10</t>
        </is>
      </c>
      <c r="S22" t="n">
        <v>10280.21</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31</v>
      </c>
      <c r="AE22" t="inlineStr">
        <is>
          <t>P10</t>
        </is>
      </c>
      <c r="AF22" t="n">
        <v>4350.677</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c r="AO22" t="n">
        <v>72000</v>
      </c>
      <c r="AP22" t="n">
        <v>74000</v>
      </c>
      <c r="AQ22" t="n">
        <v>18</v>
      </c>
      <c r="AR22" t="inlineStr">
        <is>
          <t>P10</t>
        </is>
      </c>
      <c r="AS22" t="n">
        <v>132027.3</v>
      </c>
      <c r="AT22">
        <f>IF(19&lt;=$AS$13,$AS$14+(19-1)*$AS$16,"")</f>
        <v/>
      </c>
      <c r="AU22">
        <f>IF(19&gt;$AS$13,"",SUMIFS($AQ$4:$AQ$203,$AP$4:$AP$203,"&gt;="&amp;$AT$22,$AP$4:$AP$203,IF(19=$AS$13,"&lt;=","&lt;")&amp;($AT$22+$AS$16)))</f>
        <v/>
      </c>
      <c r="AV22">
        <f>IF(AND(MOD(8,$AS$17)=0,MOD((INT(8/$AS$17)+1)-1,$AS$13/5)=0),INDEX($BA$4:$BA$53,(INT(8/$AS$17)+1)),"")</f>
        <v/>
      </c>
      <c r="AW22">
        <f>IF(MOD(8,$AS$17)=$AS$17-1,0,INDEX($AU$4:$AU$53,(INT(8/$AS$17)+1)))</f>
        <v/>
      </c>
      <c r="AX22">
        <f>IFERROR(IF(AND($AZ$13&gt;=$AS$14,$AZ$13&lt;=$AS$15),10+0.5+100*($AZ$13-$AS$14)/($AS$15-$AS$14),NA()),NA())</f>
        <v/>
      </c>
      <c r="AY22">
        <f>IF(ISNA($AX$22),NA(),0)</f>
        <v/>
      </c>
      <c r="AZ22">
        <f>IFERROR(IF(LEFT(LOWER(TRIM($AS$20)),5)="every",IF(((INT($AS$11/VALUE(TRIM(MID(TRIM($AS$20),6,99))))*VALUE(TRIM(MID(TRIM($AS$20),6,99)))+VALUE(TRIM(MID(TRIM($AS$20),6,99))))+18*VALUE(TRIM(MID(TRIM($AS$20),6,99))))&lt;=$AS$12,((INT($AS$11/VALUE(TRIM(MID(TRIM($AS$20),6,99))))*VALUE(TRIM(MID(TRIM($AS$20),6,99)))+VALUE(TRIM(MID(TRIM($AS$20),6,99))))+18*VALUE(TRIM(MID(TRIM($AS$20),6,99)))),NA()),VALUE(TRIM(MID(SUBSTITUTE(SUBSTITUTE(SUBSTITUTE(TRIM($AS$20),",",";")," ",""),";",REPT(" ",99)),1783,99)))),NA())</f>
        <v/>
      </c>
      <c r="BA22">
        <f>IF($AT$22="","",IFERROR(IF(ABS($AT$22)&gt;=1000000,ROUND($AT$22/1000000,MAX(0,1-INT(LOG10($AS$27/1000000))))&amp;"M",IF(ABS($AT$22)&gt;=1000,ROUND($AT$22/1000,MAX(0,1-INT(LOG10($AS$27/1000))))&amp;"k",TEXT($AT$22,"#,##0"))),TEXT($AT$22,"#,##0")))</f>
        <v/>
      </c>
      <c r="BB22" t="n">
        <v>126000</v>
      </c>
      <c r="BC22" t="n">
        <v>129500</v>
      </c>
      <c r="BD22" t="n">
        <v>276</v>
      </c>
      <c r="BE22" t="inlineStr">
        <is>
          <t>P10</t>
        </is>
      </c>
      <c r="BF22" t="n">
        <v>38394.5</v>
      </c>
      <c r="BG22">
        <f>IF(19&lt;=$BF$13,$BF$14+(19-1)*$BF$16,"")</f>
        <v/>
      </c>
      <c r="BH22">
        <f>IF(19&gt;$BF$13,"",SUMIFS($BD$4:$BD$203,$BC$4:$BC$203,"&gt;="&amp;$BG$22,$BC$4:$BC$203,IF(19=$BF$13,"&lt;=","&lt;")&amp;($BG$22+$BF$16)))</f>
        <v/>
      </c>
      <c r="BI22">
        <f>IF(AND(MOD(8,$BF$17)=0,MOD((INT(8/$BF$17)+1)-1,$BF$13/5)=0),INDEX($BN$4:$BN$53,(INT(8/$BF$17)+1)),"")</f>
        <v/>
      </c>
      <c r="BJ22">
        <f>IF(MOD(8,$BF$17)=$BF$17-1,0,INDEX($BH$4:$BH$53,(INT(8/$BF$17)+1)))</f>
        <v/>
      </c>
      <c r="BK22">
        <f>IFERROR(IF(AND($BM$13&gt;=$BF$14,$BM$13&lt;=$BF$15),10+0.5+100*($BM$13-$BF$14)/($BF$15-$BF$14),NA()),NA())</f>
        <v/>
      </c>
      <c r="BL22">
        <f>IF(ISNA($BK$22),NA(),0)</f>
        <v/>
      </c>
      <c r="BM22">
        <f>IFERROR(IF(LEFT(LOWER(TRIM($BF$20)),5)="every",IF(((INT($BF$11/VALUE(TRIM(MID(TRIM($BF$20),6,99))))*VALUE(TRIM(MID(TRIM($BF$20),6,99)))+VALUE(TRIM(MID(TRIM($BF$20),6,99))))+18*VALUE(TRIM(MID(TRIM($BF$20),6,99))))&lt;=$BF$12,((INT($BF$11/VALUE(TRIM(MID(TRIM($BF$20),6,99))))*VALUE(TRIM(MID(TRIM($BF$20),6,99)))+VALUE(TRIM(MID(TRIM($BF$20),6,99))))+18*VALUE(TRIM(MID(TRIM($BF$20),6,99)))),NA()),VALUE(TRIM(MID(SUBSTITUTE(SUBSTITUTE(SUBSTITUTE(TRIM($BF$20),",",";")," ",""),";",REPT(" ",99)),1783,99)))),NA())</f>
        <v/>
      </c>
      <c r="BN22">
        <f>IF($BG$22="","",IFERROR(IF(ABS($BG$22)&gt;=1000000,ROUND($BG$22/1000000,MAX(0,1-INT(LOG10($BF$27/1000000))))&amp;"M",IF(ABS($BG$22)&gt;=1000,ROUND($BG$22/1000,MAX(0,1-INT(LOG10($BF$27/1000))))&amp;"k",TEXT($BG$22,"#,##0"))),TEXT($BG$22,"#,##0")))</f>
        <v/>
      </c>
      <c r="BO22" t="n">
        <v>0.108</v>
      </c>
      <c r="BP22" t="n">
        <v>0.111</v>
      </c>
      <c r="BQ22" t="n">
        <v>60</v>
      </c>
      <c r="BR22" t="inlineStr">
        <is>
          <t>P10</t>
        </is>
      </c>
      <c r="BS22" t="n">
        <v>0.11629</v>
      </c>
      <c r="BT22">
        <f>IF(19&lt;=$BS$13,$BS$14+(19-1)*$BS$16,"")</f>
        <v/>
      </c>
      <c r="BU22">
        <f>IF(19&gt;$BS$13,"",SUMIFS($BQ$4:$BQ$203,$BP$4:$BP$203,"&gt;="&amp;$BT$22,$BP$4:$BP$203,IF(19=$BS$13,"&lt;=","&lt;")&amp;($BT$22+$BS$16)))</f>
        <v/>
      </c>
      <c r="BV22">
        <f>IF(AND(MOD(8,$BS$17)=0,MOD((INT(8/$BS$17)+1)-1,$BS$13/5)=0),INDEX($CA$4:$CA$53,(INT(8/$BS$17)+1)),"")</f>
        <v/>
      </c>
      <c r="BW22">
        <f>IF(MOD(8,$BS$17)=$BS$17-1,0,INDEX($BU$4:$BU$53,(INT(8/$BS$17)+1)))</f>
        <v/>
      </c>
      <c r="BX22">
        <f>IFERROR(IF(AND($BZ$13&gt;=$BS$14,$BZ$13&lt;=$BS$15),10+0.5+100*($BZ$13-$BS$14)/($BS$15-$BS$14),NA()),NA())</f>
        <v/>
      </c>
      <c r="BY22">
        <f>IF(ISNA($BX$22),NA(),0)</f>
        <v/>
      </c>
      <c r="BZ22">
        <f>IFERROR(IF(LEFT(LOWER(TRIM($BS$20)),5)="every",IF(((INT($BS$11/VALUE(TRIM(MID(TRIM($BS$20),6,99))))*VALUE(TRIM(MID(TRIM($BS$20),6,99)))+VALUE(TRIM(MID(TRIM($BS$20),6,99))))+18*VALUE(TRIM(MID(TRIM($BS$20),6,99))))&lt;=$BS$12,((INT($BS$11/VALUE(TRIM(MID(TRIM($BS$20),6,99))))*VALUE(TRIM(MID(TRIM($BS$20),6,99)))+VALUE(TRIM(MID(TRIM($BS$20),6,99))))+18*VALUE(TRIM(MID(TRIM($BS$20),6,99)))),NA()),VALUE(TRIM(MID(SUBSTITUTE(SUBSTITUTE(SUBSTITUTE(TRIM($BS$20),",",";")," ",""),";",REPT(" ",99)),1783,99)))),NA())</f>
        <v/>
      </c>
      <c r="CA22">
        <f>IF($BT$22="","",IFERROR(IF(ABS($BT$22)&gt;=1000000,ROUND($BT$22/1000000,MAX(0,1-INT(LOG10($BS$27/1000000))))&amp;"M",IF(ABS($BT$22)&gt;=1000,ROUND($BT$22/1000,MAX(0,1-INT(LOG10($BS$27/1000))))&amp;"k",TEXT($BT$22,"0.00"))),TEXT($BT$22,"0.00")))</f>
        <v/>
      </c>
      <c r="CB22" t="n">
        <v>2.7</v>
      </c>
      <c r="CC22" t="n">
        <v>2.775</v>
      </c>
      <c r="CD22" t="n">
        <v>241</v>
      </c>
      <c r="CE22" t="inlineStr">
        <is>
          <t>P10</t>
        </is>
      </c>
      <c r="CF22" t="n">
        <v>0.6</v>
      </c>
      <c r="CG22">
        <f>IF(19&lt;=$CF$13,$CF$14+(19-1)*$CF$16,"")</f>
        <v/>
      </c>
      <c r="CH22">
        <f>IF(19&gt;$CF$13,"",SUMIFS($CD$4:$CD$203,$CC$4:$CC$203,"&gt;="&amp;$CG$22,$CC$4:$CC$203,IF(19=$CF$13,"&lt;=","&lt;")&amp;($CG$22+$CF$16)))</f>
        <v/>
      </c>
      <c r="CI22">
        <f>IF(AND(MOD(8,$CF$17)=0,MOD((INT(8/$CF$17)+1)-1,$CF$13/5)=0),INDEX($CN$4:$CN$53,(INT(8/$CF$17)+1)),"")</f>
        <v/>
      </c>
      <c r="CJ22">
        <f>IF(MOD(8,$CF$17)=$CF$17-1,0,INDEX($CH$4:$CH$53,(INT(8/$CF$17)+1)))</f>
        <v/>
      </c>
      <c r="CK22">
        <f>IFERROR(IF(AND($CM$13&gt;=$CF$14,$CM$13&lt;=$CF$15),10+0.5+100*($CM$13-$CF$14)/($CF$15-$CF$14),NA()),NA())</f>
        <v/>
      </c>
      <c r="CL22">
        <f>IF(ISNA($CK$22),NA(),0)</f>
        <v/>
      </c>
      <c r="CM22">
        <f>IFERROR(IF(LEFT(LOWER(TRIM($CF$20)),5)="every",IF(((INT($CF$11/VALUE(TRIM(MID(TRIM($CF$20),6,99))))*VALUE(TRIM(MID(TRIM($CF$20),6,99)))+VALUE(TRIM(MID(TRIM($CF$20),6,99))))+18*VALUE(TRIM(MID(TRIM($CF$20),6,99))))&lt;=$CF$12,((INT($CF$11/VALUE(TRIM(MID(TRIM($CF$20),6,99))))*VALUE(TRIM(MID(TRIM($CF$20),6,99)))+VALUE(TRIM(MID(TRIM($CF$20),6,99))))+18*VALUE(TRIM(MID(TRIM($CF$20),6,99)))),NA()),VALUE(TRIM(MID(SUBSTITUTE(SUBSTITUTE(SUBSTITUTE(TRIM($CF$20),",",";")," ",""),";",REPT(" ",99)),1783,99)))),NA())</f>
        <v/>
      </c>
      <c r="CN22">
        <f>IF($CG$22="","",IFERROR(IF(ABS($CG$22)&gt;=1000000,ROUND($CG$22/1000000,MAX(0,1-INT(LOG10($CF$27/1000000))))&amp;"M",IF(ABS($CG$22)&gt;=1000,ROUND($CG$22/1000,MAX(0,1-INT(LOG10($CF$27/1000))))&amp;"k",TEXT($CG$22,"#,##0.0"))),TEXT($CG$22,"#,##0.0")))</f>
        <v/>
      </c>
      <c r="CO22" t="n">
        <v>17.2</v>
      </c>
      <c r="CP22" t="n">
        <v>17.4</v>
      </c>
      <c r="CQ22" t="n">
        <v>9</v>
      </c>
      <c r="CR22" t="inlineStr">
        <is>
          <t>P10</t>
        </is>
      </c>
      <c r="CS22" t="n">
        <v>30.82</v>
      </c>
      <c r="CT22">
        <f>IF(19&lt;=$CS$13,$CS$14+(19-1)*$CS$16,"")</f>
        <v/>
      </c>
      <c r="CU22">
        <f>IF(19&gt;$CS$13,"",SUMIFS($CQ$4:$CQ$203,$CP$4:$CP$203,"&gt;="&amp;$CT$22,$CP$4:$CP$203,IF(19=$CS$13,"&lt;=","&lt;")&amp;($CT$22+$CS$16)))</f>
        <v/>
      </c>
      <c r="CV22">
        <f>IF(AND(MOD(8,$CS$17)=0,MOD((INT(8/$CS$17)+1)-1,$CS$13/5)=0),INDEX($DA$4:$DA$53,(INT(8/$CS$17)+1)),"")</f>
        <v/>
      </c>
      <c r="CW22">
        <f>IF(MOD(8,$CS$17)=$CS$17-1,0,INDEX($CU$4:$CU$53,(INT(8/$CS$17)+1)))</f>
        <v/>
      </c>
      <c r="CX22">
        <f>IFERROR(IF(AND($CZ$13&gt;=$CS$14,$CZ$13&lt;=$CS$15),10+0.5+100*($CZ$13-$CS$14)/($CS$15-$CS$14),NA()),NA())</f>
        <v/>
      </c>
      <c r="CY22">
        <f>IF(ISNA($CX$22),NA(),0)</f>
        <v/>
      </c>
      <c r="CZ22">
        <f>IFERROR(IF(LEFT(LOWER(TRIM($CS$20)),5)="every",IF(((INT($CS$11/VALUE(TRIM(MID(TRIM($CS$20),6,99))))*VALUE(TRIM(MID(TRIM($CS$20),6,99)))+VALUE(TRIM(MID(TRIM($CS$20),6,99))))+18*VALUE(TRIM(MID(TRIM($CS$20),6,99))))&lt;=$CS$12,((INT($CS$11/VALUE(TRIM(MID(TRIM($CS$20),6,99))))*VALUE(TRIM(MID(TRIM($CS$20),6,99)))+VALUE(TRIM(MID(TRIM($CS$20),6,99))))+18*VALUE(TRIM(MID(TRIM($CS$20),6,99)))),NA()),VALUE(TRIM(MID(SUBSTITUTE(SUBSTITUTE(SUBSTITUTE(TRIM($CS$20),",",";")," ",""),";",REPT(" ",99)),1783,99)))),NA())</f>
        <v/>
      </c>
      <c r="DA22">
        <f>IF($CT$22="","",IFERROR(IF(ABS($CT$22)&gt;=1000000,ROUND($CT$22/1000000,MAX(0,1-INT(LOG10($CS$27/1000000))))&amp;"M",IF(ABS($CT$22)&gt;=1000,ROUND($CT$22/1000,MAX(0,1-INT(LOG10($CS$27/1000))))&amp;"k",TEXT($CT$22,"#,##0"))),TEXT($CT$22,"#,##0")))</f>
        <v/>
      </c>
      <c r="DB22" t="n">
        <v>16.3</v>
      </c>
      <c r="DC22" t="n">
        <v>16.475</v>
      </c>
      <c r="DD22" t="n">
        <v>18</v>
      </c>
      <c r="DE22" t="inlineStr">
        <is>
          <t>P10</t>
        </is>
      </c>
      <c r="DF22" t="n">
        <v>27.369</v>
      </c>
      <c r="DG22">
        <f>IF(19&lt;=$DF$13,$DF$14+(19-1)*$DF$16,"")</f>
        <v/>
      </c>
      <c r="DH22">
        <f>IF(19&gt;$DF$13,"",SUMIFS($DD$4:$DD$203,$DC$4:$DC$203,"&gt;="&amp;$DG$22,$DC$4:$DC$203,IF(19=$DF$13,"&lt;=","&lt;")&amp;($DG$22+$DF$16)))</f>
        <v/>
      </c>
      <c r="DI22">
        <f>IF(AND(MOD(8,$DF$17)=0,MOD((INT(8/$DF$17)+1)-1,$DF$13/5)=0),INDEX($DN$4:$DN$53,(INT(8/$DF$17)+1)),"")</f>
        <v/>
      </c>
      <c r="DJ22">
        <f>IF(MOD(8,$DF$17)=$DF$17-1,0,INDEX($DH$4:$DH$53,(INT(8/$DF$17)+1)))</f>
        <v/>
      </c>
      <c r="DK22">
        <f>IFERROR(IF(AND($DM$13&gt;=$DF$14,$DM$13&lt;=$DF$15),10+0.5+100*($DM$13-$DF$14)/($DF$15-$DF$14),NA()),NA())</f>
        <v/>
      </c>
      <c r="DL22">
        <f>IF(ISNA($DK$22),NA(),0)</f>
        <v/>
      </c>
      <c r="DM22">
        <f>IFERROR(IF(LEFT(LOWER(TRIM($DF$20)),5)="every",IF(((INT($DF$11/VALUE(TRIM(MID(TRIM($DF$20),6,99))))*VALUE(TRIM(MID(TRIM($DF$20),6,99)))+VALUE(TRIM(MID(TRIM($DF$20),6,99))))+18*VALUE(TRIM(MID(TRIM($DF$20),6,99))))&lt;=$DF$12,((INT($DF$11/VALUE(TRIM(MID(TRIM($DF$20),6,99))))*VALUE(TRIM(MID(TRIM($DF$20),6,99)))+VALUE(TRIM(MID(TRIM($DF$20),6,99))))+18*VALUE(TRIM(MID(TRIM($DF$20),6,99)))),NA()),VALUE(TRIM(MID(SUBSTITUTE(SUBSTITUTE(SUBSTITUTE(TRIM($DF$20),",",";")," ",""),";",REPT(" ",99)),1783,99)))),NA())</f>
        <v/>
      </c>
      <c r="DN22">
        <f>IF($DG$22="","",IFERROR(IF(ABS($DG$22)&gt;=1000000,ROUND($DG$22/1000000,MAX(0,1-INT(LOG10($DF$27/1000000))))&amp;"M",IF(ABS($DG$22)&gt;=1000,ROUND($DG$22/1000,MAX(0,1-INT(LOG10($DF$27/1000))))&amp;"k",TEXT($DG$22,"#,##0.0"))),TEXT($DG$22,"#,##0.0")))</f>
        <v/>
      </c>
      <c r="DO22" t="n">
        <v>7.95</v>
      </c>
      <c r="DP22" t="n">
        <v>7.9625</v>
      </c>
      <c r="DQ22" t="n">
        <v>12</v>
      </c>
      <c r="DR22" t="inlineStr">
        <is>
          <t>P10</t>
        </is>
      </c>
      <c r="DS22" t="n">
        <v>8.746</v>
      </c>
      <c r="DT22">
        <f>IF(19&lt;=$DS$13,$DS$14+(19-1)*$DS$16,"")</f>
        <v/>
      </c>
      <c r="DU22">
        <f>IF(19&gt;$DS$13,"",SUMIFS($DQ$4:$DQ$203,$DP$4:$DP$203,"&gt;="&amp;$DT$22,$DP$4:$DP$203,IF(19=$DS$13,"&lt;=","&lt;")&amp;($DT$22+$DS$16)))</f>
        <v/>
      </c>
      <c r="DV22">
        <f>IF(AND(MOD(8,$DS$17)=0,MOD((INT(8/$DS$17)+1)-1,$DS$13/5)=0),INDEX($EA$4:$EA$53,(INT(8/$DS$17)+1)),"")</f>
        <v/>
      </c>
      <c r="DW22">
        <f>IF(MOD(8,$DS$17)=$DS$17-1,0,INDEX($DU$4:$DU$53,(INT(8/$DS$17)+1)))</f>
        <v/>
      </c>
      <c r="DX22">
        <f>IFERROR(IF(AND($DZ$13&gt;=$DS$14,$DZ$13&lt;=$DS$15),10+0.5+100*($DZ$13-$DS$14)/($DS$15-$DS$14),NA()),NA())</f>
        <v/>
      </c>
      <c r="DY22">
        <f>IF(ISNA($DX$22),NA(),0)</f>
        <v/>
      </c>
      <c r="DZ22">
        <f>IFERROR(IF(LEFT(LOWER(TRIM($DS$20)),5)="every",IF(((INT($DS$11/VALUE(TRIM(MID(TRIM($DS$20),6,99))))*VALUE(TRIM(MID(TRIM($DS$20),6,99)))+VALUE(TRIM(MID(TRIM($DS$20),6,99))))+18*VALUE(TRIM(MID(TRIM($DS$20),6,99))))&lt;=$DS$12,((INT($DS$11/VALUE(TRIM(MID(TRIM($DS$20),6,99))))*VALUE(TRIM(MID(TRIM($DS$20),6,99)))+VALUE(TRIM(MID(TRIM($DS$20),6,99))))+18*VALUE(TRIM(MID(TRIM($DS$20),6,99)))),NA()),VALUE(TRIM(MID(SUBSTITUTE(SUBSTITUTE(SUBSTITUTE(TRIM($DS$20),",",";")," ",""),";",REPT(" ",99)),1783,99)))),NA())</f>
        <v/>
      </c>
      <c r="EA22">
        <f>IF($DT$22="","",IFERROR(IF(ABS($DT$22)&gt;=1000000,ROUND($DT$22/1000000,MAX(0,1-INT(LOG10($DS$27/1000000))))&amp;"M",IF(ABS($DT$22)&gt;=1000,ROUND($DT$22/1000,MAX(0,1-INT(LOG10($DS$27/1000))))&amp;"k",TEXT($DT$22,"#,##0.0"))),TEXT($DT$22,"#,##0.0")))</f>
        <v/>
      </c>
      <c r="EB22" t="n">
        <v>9</v>
      </c>
      <c r="EC22" t="n">
        <v>9.25</v>
      </c>
      <c r="ED22" t="n">
        <v>57</v>
      </c>
      <c r="EE22" t="inlineStr">
        <is>
          <t>P10</t>
        </is>
      </c>
      <c r="EF22" t="n">
        <v>9.9</v>
      </c>
      <c r="EG22">
        <f>IF(19&lt;=$EF$13,$EF$14+(19-1)*$EF$16,"")</f>
        <v/>
      </c>
      <c r="EH22">
        <f>IF(19&gt;$EF$13,"",SUMIFS($ED$4:$ED$203,$EC$4:$EC$203,"&gt;="&amp;$EG$22,$EC$4:$EC$203,IF(19=$EF$13,"&lt;=","&lt;")&amp;($EG$22+$EF$16)))</f>
        <v/>
      </c>
      <c r="EI22">
        <f>IF(AND(MOD(8,$EF$17)=0,MOD((INT(8/$EF$17)+1)-1,$EF$13/5)=0),INDEX($EN$4:$EN$53,(INT(8/$EF$17)+1)),"")</f>
        <v/>
      </c>
      <c r="EJ22">
        <f>IF(MOD(8,$EF$17)=$EF$17-1,0,INDEX($EH$4:$EH$53,(INT(8/$EF$17)+1)))</f>
        <v/>
      </c>
      <c r="EK22">
        <f>IFERROR(IF(AND($EM$13&gt;=$EF$14,$EM$13&lt;=$EF$15),10+0.5+100*($EM$13-$EF$14)/($EF$15-$EF$14),NA()),NA())</f>
        <v/>
      </c>
      <c r="EL22">
        <f>IF(ISNA($EK$22),NA(),0)</f>
        <v/>
      </c>
      <c r="EM22">
        <f>IFERROR(IF(LEFT(LOWER(TRIM($EF$20)),5)="every",IF(((INT($EF$11/VALUE(TRIM(MID(TRIM($EF$20),6,99))))*VALUE(TRIM(MID(TRIM($EF$20),6,99)))+VALUE(TRIM(MID(TRIM($EF$20),6,99))))+18*VALUE(TRIM(MID(TRIM($EF$20),6,99))))&lt;=$EF$12,((INT($EF$11/VALUE(TRIM(MID(TRIM($EF$20),6,99))))*VALUE(TRIM(MID(TRIM($EF$20),6,99)))+VALUE(TRIM(MID(TRIM($EF$20),6,99))))+18*VALUE(TRIM(MID(TRIM($EF$20),6,99)))),NA()),VALUE(TRIM(MID(SUBSTITUTE(SUBSTITUTE(SUBSTITUTE(TRIM($EF$20),",",";")," ",""),";",REPT(" ",99)),1783,99)))),NA())</f>
        <v/>
      </c>
      <c r="EN22">
        <f>IF($EG$22="","",IFERROR(IF(ABS($EG$22)&gt;=1000000,ROUND($EG$22/1000000,MAX(0,1-INT(LOG10($EF$27/1000000))))&amp;"M",IF(ABS($EG$22)&gt;=1000,ROUND($EG$22/1000,MAX(0,1-INT(LOG10($EF$27/1000))))&amp;"k",TEXT($EG$22,"#,##0"))),TEXT($EG$22,"#,##0")))</f>
        <v/>
      </c>
      <c r="EO22" t="n">
        <v>0.3150000000000001</v>
      </c>
      <c r="EP22" t="n">
        <v>0.32375</v>
      </c>
      <c r="EQ22" t="n">
        <v>239</v>
      </c>
      <c r="ER22" t="inlineStr">
        <is>
          <t>P10</t>
        </is>
      </c>
      <c r="ES22" t="n">
        <v>0.1778163673604774</v>
      </c>
      <c r="ET22">
        <f>IF(19&lt;=$ES$13,$ES$14+(19-1)*$ES$16,"")</f>
        <v/>
      </c>
      <c r="EU22">
        <f>IF(19&gt;$ES$13,"",SUMIFS($EQ$4:$EQ$203,$EP$4:$EP$203,"&gt;="&amp;$ET$22,$EP$4:$EP$203,IF(19=$ES$13,"&lt;=","&lt;")&amp;($ET$22+$ES$16)))</f>
        <v/>
      </c>
      <c r="EV22">
        <f>IF(AND(MOD(8,$ES$17)=0,MOD((INT(8/$ES$17)+1)-1,$ES$13/5)=0),INDEX($FA$4:$FA$53,(INT(8/$ES$17)+1)),"")</f>
        <v/>
      </c>
      <c r="EW22">
        <f>IF(MOD(8,$ES$17)=$ES$17-1,0,INDEX($EU$4:$EU$53,(INT(8/$ES$17)+1)))</f>
        <v/>
      </c>
      <c r="EX22">
        <f>IFERROR(IF(AND($EZ$13&gt;=$ES$14,$EZ$13&lt;=$ES$15),10+0.5+100*($EZ$13-$ES$14)/($ES$15-$ES$14),NA()),NA())</f>
        <v/>
      </c>
      <c r="EY22">
        <f>IF(ISNA($EX$22),NA(),0)</f>
        <v/>
      </c>
      <c r="EZ22">
        <f>IFERROR(IF(LEFT(LOWER(TRIM($ES$20)),5)="every",IF(((INT($ES$11/VALUE(TRIM(MID(TRIM($ES$20),6,99))))*VALUE(TRIM(MID(TRIM($ES$20),6,99)))+VALUE(TRIM(MID(TRIM($ES$20),6,99))))+18*VALUE(TRIM(MID(TRIM($ES$20),6,99))))&lt;=$ES$12,((INT($ES$11/VALUE(TRIM(MID(TRIM($ES$20),6,99))))*VALUE(TRIM(MID(TRIM($ES$20),6,99)))+VALUE(TRIM(MID(TRIM($ES$20),6,99))))+18*VALUE(TRIM(MID(TRIM($ES$20),6,99)))),NA()),VALUE(TRIM(MID(SUBSTITUTE(SUBSTITUTE(SUBSTITUTE(TRIM($ES$20),",",";")," ",""),";",REPT(" ",99)),1783,99)))),NA())</f>
        <v/>
      </c>
      <c r="FA22">
        <f>IF($ET$22="","",IFERROR(IF(ABS($ET$22)&gt;=1000000,ROUND($ET$22/1000000,MAX(0,1-INT(LOG10($ES$27/1000000))))&amp;"M",IF(ABS($ET$22)&gt;=1000,ROUND($ET$22/1000,MAX(0,1-INT(LOG10($ES$27/1000))))&amp;"k",TEXT($ET$22,"0.00"))),TEXT($ET$22,"0.00")))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64</v>
      </c>
      <c r="R23" t="inlineStr">
        <is>
          <t>P25</t>
        </is>
      </c>
      <c r="S23" t="n">
        <v>18492.645</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42</v>
      </c>
      <c r="AE23" t="inlineStr">
        <is>
          <t>P25</t>
        </is>
      </c>
      <c r="AF23" t="n">
        <v>7447.23</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c r="AO23" t="n">
        <v>76000</v>
      </c>
      <c r="AP23" t="n">
        <v>78000</v>
      </c>
      <c r="AQ23" t="n">
        <v>37</v>
      </c>
      <c r="AR23" t="inlineStr">
        <is>
          <t>P25</t>
        </is>
      </c>
      <c r="AS23" t="n">
        <v>179052.25</v>
      </c>
      <c r="AT23">
        <f>IF(20&lt;=$AS$13,$AS$14+(20-1)*$AS$16,"")</f>
        <v/>
      </c>
      <c r="AU23">
        <f>IF(20&gt;$AS$13,"",SUMIFS($AQ$4:$AQ$203,$AP$4:$AP$203,"&gt;="&amp;$AT$23,$AP$4:$AP$203,IF(20=$AS$13,"&lt;=","&lt;")&amp;($AT$23+$AS$16)))</f>
        <v/>
      </c>
      <c r="AV23">
        <f>IF(AND(MOD(9,$AS$17)=0,MOD((INT(9/$AS$17)+1)-1,$AS$13/5)=0),INDEX($BA$4:$BA$53,(INT(9/$AS$17)+1)),"")</f>
        <v/>
      </c>
      <c r="AW23">
        <f>IF(MOD(9,$AS$17)=$AS$17-1,0,INDEX($AU$4:$AU$53,(INT(9/$AS$17)+1)))</f>
        <v/>
      </c>
      <c r="AX23">
        <f>IFERROR(IF(AND($AZ$13&gt;=$AS$14,$AZ$13&lt;=$AS$15),10+0.5+100*($AZ$13-$AS$14)/($AS$15-$AS$14),NA()),NA())</f>
        <v/>
      </c>
      <c r="AY23">
        <f>IF(ISNA($AX$23),NA(),MAX($AW$4:$AW$123))</f>
        <v/>
      </c>
      <c r="AZ23">
        <f>IFERROR(IF(LEFT(LOWER(TRIM($AS$20)),5)="every",IF(((INT($AS$11/VALUE(TRIM(MID(TRIM($AS$20),6,99))))*VALUE(TRIM(MID(TRIM($AS$20),6,99)))+VALUE(TRIM(MID(TRIM($AS$20),6,99))))+19*VALUE(TRIM(MID(TRIM($AS$20),6,99))))&lt;=$AS$12,((INT($AS$11/VALUE(TRIM(MID(TRIM($AS$20),6,99))))*VALUE(TRIM(MID(TRIM($AS$20),6,99)))+VALUE(TRIM(MID(TRIM($AS$20),6,99))))+19*VALUE(TRIM(MID(TRIM($AS$20),6,99)))),NA()),VALUE(TRIM(MID(SUBSTITUTE(SUBSTITUTE(SUBSTITUTE(TRIM($AS$20),",",";")," ",""),";",REPT(" ",99)),1882,99)))),NA())</f>
        <v/>
      </c>
      <c r="BA23">
        <f>IF($AT$23="","",IFERROR(IF(ABS($AT$23)&gt;=1000000,ROUND($AT$23/1000000,MAX(0,1-INT(LOG10($AS$27/1000000))))&amp;"M",IF(ABS($AT$23)&gt;=1000,ROUND($AT$23/1000,MAX(0,1-INT(LOG10($AS$27/1000))))&amp;"k",TEXT($AT$23,"#,##0"))),TEXT($AT$23,"#,##0")))</f>
        <v/>
      </c>
      <c r="BB23" t="n">
        <v>133000</v>
      </c>
      <c r="BC23" t="n">
        <v>136500</v>
      </c>
      <c r="BD23" t="n">
        <v>257</v>
      </c>
      <c r="BE23" t="inlineStr">
        <is>
          <t>P25</t>
        </is>
      </c>
      <c r="BF23" t="n">
        <v>66585.75</v>
      </c>
      <c r="BG23">
        <f>IF(20&lt;=$BF$13,$BF$14+(20-1)*$BF$16,"")</f>
        <v/>
      </c>
      <c r="BH23">
        <f>IF(20&gt;$BF$13,"",SUMIFS($BD$4:$BD$203,$BC$4:$BC$203,"&gt;="&amp;$BG$23,$BC$4:$BC$203,IF(20=$BF$13,"&lt;=","&lt;")&amp;($BG$23+$BF$16)))</f>
        <v/>
      </c>
      <c r="BI23">
        <f>IF(AND(MOD(9,$BF$17)=0,MOD((INT(9/$BF$17)+1)-1,$BF$13/5)=0),INDEX($BN$4:$BN$53,(INT(9/$BF$17)+1)),"")</f>
        <v/>
      </c>
      <c r="BJ23">
        <f>IF(MOD(9,$BF$17)=$BF$17-1,0,INDEX($BH$4:$BH$53,(INT(9/$BF$17)+1)))</f>
        <v/>
      </c>
      <c r="BK23">
        <f>IFERROR(IF(AND($BM$13&gt;=$BF$14,$BM$13&lt;=$BF$15),10+0.5+100*($BM$13-$BF$14)/($BF$15-$BF$14),NA()),NA())</f>
        <v/>
      </c>
      <c r="BL23">
        <f>IF(ISNA($BK$23),NA(),MAX($BJ$4:$BJ$123))</f>
        <v/>
      </c>
      <c r="BM23">
        <f>IFERROR(IF(LEFT(LOWER(TRIM($BF$20)),5)="every",IF(((INT($BF$11/VALUE(TRIM(MID(TRIM($BF$20),6,99))))*VALUE(TRIM(MID(TRIM($BF$20),6,99)))+VALUE(TRIM(MID(TRIM($BF$20),6,99))))+19*VALUE(TRIM(MID(TRIM($BF$20),6,99))))&lt;=$BF$12,((INT($BF$11/VALUE(TRIM(MID(TRIM($BF$20),6,99))))*VALUE(TRIM(MID(TRIM($BF$20),6,99)))+VALUE(TRIM(MID(TRIM($BF$20),6,99))))+19*VALUE(TRIM(MID(TRIM($BF$20),6,99)))),NA()),VALUE(TRIM(MID(SUBSTITUTE(SUBSTITUTE(SUBSTITUTE(TRIM($BF$20),",",";")," ",""),";",REPT(" ",99)),1882,99)))),NA())</f>
        <v/>
      </c>
      <c r="BN23">
        <f>IF($BG$23="","",IFERROR(IF(ABS($BG$23)&gt;=1000000,ROUND($BG$23/1000000,MAX(0,1-INT(LOG10($BF$27/1000000))))&amp;"M",IF(ABS($BG$23)&gt;=1000,ROUND($BG$23/1000,MAX(0,1-INT(LOG10($BF$27/1000))))&amp;"k",TEXT($BG$23,"#,##0"))),TEXT($BG$23,"#,##0")))</f>
        <v/>
      </c>
      <c r="BO23" t="n">
        <v>0.114</v>
      </c>
      <c r="BP23" t="n">
        <v>0.117</v>
      </c>
      <c r="BQ23" t="n">
        <v>56</v>
      </c>
      <c r="BR23" t="inlineStr">
        <is>
          <t>P25</t>
        </is>
      </c>
      <c r="BS23" t="n">
        <v>0.30565</v>
      </c>
      <c r="BT23">
        <f>IF(20&lt;=$BS$13,$BS$14+(20-1)*$BS$16,"")</f>
        <v/>
      </c>
      <c r="BU23">
        <f>IF(20&gt;$BS$13,"",SUMIFS($BQ$4:$BQ$203,$BP$4:$BP$203,"&gt;="&amp;$BT$23,$BP$4:$BP$203,IF(20=$BS$13,"&lt;=","&lt;")&amp;($BT$23+$BS$16)))</f>
        <v/>
      </c>
      <c r="BV23">
        <f>IF(AND(MOD(9,$BS$17)=0,MOD((INT(9/$BS$17)+1)-1,$BS$13/5)=0),INDEX($CA$4:$CA$53,(INT(9/$BS$17)+1)),"")</f>
        <v/>
      </c>
      <c r="BW23">
        <f>IF(MOD(9,$BS$17)=$BS$17-1,0,INDEX($BU$4:$BU$53,(INT(9/$BS$17)+1)))</f>
        <v/>
      </c>
      <c r="BX23">
        <f>IFERROR(IF(AND($BZ$13&gt;=$BS$14,$BZ$13&lt;=$BS$15),10+0.5+100*($BZ$13-$BS$14)/($BS$15-$BS$14),NA()),NA())</f>
        <v/>
      </c>
      <c r="BY23">
        <f>IF(ISNA($BX$23),NA(),MAX($BW$4:$BW$123))</f>
        <v/>
      </c>
      <c r="BZ23">
        <f>IFERROR(IF(LEFT(LOWER(TRIM($BS$20)),5)="every",IF(((INT($BS$11/VALUE(TRIM(MID(TRIM($BS$20),6,99))))*VALUE(TRIM(MID(TRIM($BS$20),6,99)))+VALUE(TRIM(MID(TRIM($BS$20),6,99))))+19*VALUE(TRIM(MID(TRIM($BS$20),6,99))))&lt;=$BS$12,((INT($BS$11/VALUE(TRIM(MID(TRIM($BS$20),6,99))))*VALUE(TRIM(MID(TRIM($BS$20),6,99)))+VALUE(TRIM(MID(TRIM($BS$20),6,99))))+19*VALUE(TRIM(MID(TRIM($BS$20),6,99)))),NA()),VALUE(TRIM(MID(SUBSTITUTE(SUBSTITUTE(SUBSTITUTE(TRIM($BS$20),",",";")," ",""),";",REPT(" ",99)),1882,99)))),NA())</f>
        <v/>
      </c>
      <c r="CA23">
        <f>IF($BT$23="","",IFERROR(IF(ABS($BT$23)&gt;=1000000,ROUND($BT$23/1000000,MAX(0,1-INT(LOG10($BS$27/1000000))))&amp;"M",IF(ABS($BT$23)&gt;=1000,ROUND($BT$23/1000,MAX(0,1-INT(LOG10($BS$27/1000))))&amp;"k",TEXT($BT$23,"0.00"))),TEXT($BT$23,"0.00")))</f>
        <v/>
      </c>
      <c r="CB23" t="n">
        <v>2.85</v>
      </c>
      <c r="CC23" t="n">
        <v>2.925</v>
      </c>
      <c r="CD23" t="n">
        <v>138</v>
      </c>
      <c r="CE23" t="inlineStr">
        <is>
          <t>P25</t>
        </is>
      </c>
      <c r="CF23" t="n">
        <v>1.7</v>
      </c>
      <c r="CG23">
        <f>IF(20&lt;=$CF$13,$CF$14+(20-1)*$CF$16,"")</f>
        <v/>
      </c>
      <c r="CH23">
        <f>IF(20&gt;$CF$13,"",SUMIFS($CD$4:$CD$203,$CC$4:$CC$203,"&gt;="&amp;$CG$23,$CC$4:$CC$203,IF(20=$CF$13,"&lt;=","&lt;")&amp;($CG$23+$CF$16)))</f>
        <v/>
      </c>
      <c r="CI23">
        <f>IF(AND(MOD(9,$CF$17)=0,MOD((INT(9/$CF$17)+1)-1,$CF$13/5)=0),INDEX($CN$4:$CN$53,(INT(9/$CF$17)+1)),"")</f>
        <v/>
      </c>
      <c r="CJ23">
        <f>IF(MOD(9,$CF$17)=$CF$17-1,0,INDEX($CH$4:$CH$53,(INT(9/$CF$17)+1)))</f>
        <v/>
      </c>
      <c r="CK23">
        <f>IFERROR(IF(AND($CM$13&gt;=$CF$14,$CM$13&lt;=$CF$15),10+0.5+100*($CM$13-$CF$14)/($CF$15-$CF$14),NA()),NA())</f>
        <v/>
      </c>
      <c r="CL23">
        <f>IF(ISNA($CK$23),NA(),MAX($CJ$4:$CJ$123))</f>
        <v/>
      </c>
      <c r="CM23">
        <f>IFERROR(IF(LEFT(LOWER(TRIM($CF$20)),5)="every",IF(((INT($CF$11/VALUE(TRIM(MID(TRIM($CF$20),6,99))))*VALUE(TRIM(MID(TRIM($CF$20),6,99)))+VALUE(TRIM(MID(TRIM($CF$20),6,99))))+19*VALUE(TRIM(MID(TRIM($CF$20),6,99))))&lt;=$CF$12,((INT($CF$11/VALUE(TRIM(MID(TRIM($CF$20),6,99))))*VALUE(TRIM(MID(TRIM($CF$20),6,99)))+VALUE(TRIM(MID(TRIM($CF$20),6,99))))+19*VALUE(TRIM(MID(TRIM($CF$20),6,99)))),NA()),VALUE(TRIM(MID(SUBSTITUTE(SUBSTITUTE(SUBSTITUTE(TRIM($CF$20),",",";")," ",""),";",REPT(" ",99)),1882,99)))),NA())</f>
        <v/>
      </c>
      <c r="CN23">
        <f>IF($CG$23="","",IFERROR(IF(ABS($CG$23)&gt;=1000000,ROUND($CG$23/1000000,MAX(0,1-INT(LOG10($CF$27/1000000))))&amp;"M",IF(ABS($CG$23)&gt;=1000,ROUND($CG$23/1000,MAX(0,1-INT(LOG10($CF$27/1000))))&amp;"k",TEXT($CG$23,"#,##0.0"))),TEXT($CG$23,"#,##0.0")))</f>
        <v/>
      </c>
      <c r="CO23" t="n">
        <v>17.6</v>
      </c>
      <c r="CP23" t="n">
        <v>17.8</v>
      </c>
      <c r="CQ23" t="n">
        <v>9</v>
      </c>
      <c r="CR23" t="inlineStr">
        <is>
          <t>P25</t>
        </is>
      </c>
      <c r="CS23" t="n">
        <v>40.02</v>
      </c>
      <c r="CT23">
        <f>IF(20&lt;=$CS$13,$CS$14+(20-1)*$CS$16,"")</f>
        <v/>
      </c>
      <c r="CU23">
        <f>IF(20&gt;$CS$13,"",SUMIFS($CQ$4:$CQ$203,$CP$4:$CP$203,"&gt;="&amp;$CT$23,$CP$4:$CP$203,IF(20=$CS$13,"&lt;=","&lt;")&amp;($CT$23+$CS$16)))</f>
        <v/>
      </c>
      <c r="CV23">
        <f>IF(AND(MOD(9,$CS$17)=0,MOD((INT(9/$CS$17)+1)-1,$CS$13/5)=0),INDEX($DA$4:$DA$53,(INT(9/$CS$17)+1)),"")</f>
        <v/>
      </c>
      <c r="CW23">
        <f>IF(MOD(9,$CS$17)=$CS$17-1,0,INDEX($CU$4:$CU$53,(INT(9/$CS$17)+1)))</f>
        <v/>
      </c>
      <c r="CX23">
        <f>IFERROR(IF(AND($CZ$13&gt;=$CS$14,$CZ$13&lt;=$CS$15),10+0.5+100*($CZ$13-$CS$14)/($CS$15-$CS$14),NA()),NA())</f>
        <v/>
      </c>
      <c r="CY23">
        <f>IF(ISNA($CX$23),NA(),MAX($CW$4:$CW$123))</f>
        <v/>
      </c>
      <c r="CZ23">
        <f>IFERROR(IF(LEFT(LOWER(TRIM($CS$20)),5)="every",IF(((INT($CS$11/VALUE(TRIM(MID(TRIM($CS$20),6,99))))*VALUE(TRIM(MID(TRIM($CS$20),6,99)))+VALUE(TRIM(MID(TRIM($CS$20),6,99))))+19*VALUE(TRIM(MID(TRIM($CS$20),6,99))))&lt;=$CS$12,((INT($CS$11/VALUE(TRIM(MID(TRIM($CS$20),6,99))))*VALUE(TRIM(MID(TRIM($CS$20),6,99)))+VALUE(TRIM(MID(TRIM($CS$20),6,99))))+19*VALUE(TRIM(MID(TRIM($CS$20),6,99)))),NA()),VALUE(TRIM(MID(SUBSTITUTE(SUBSTITUTE(SUBSTITUTE(TRIM($CS$20),",",";")," ",""),";",REPT(" ",99)),1882,99)))),NA())</f>
        <v/>
      </c>
      <c r="DA23">
        <f>IF($CT$23="","",IFERROR(IF(ABS($CT$23)&gt;=1000000,ROUND($CT$23/1000000,MAX(0,1-INT(LOG10($CS$27/1000000))))&amp;"M",IF(ABS($CT$23)&gt;=1000,ROUND($CT$23/1000,MAX(0,1-INT(LOG10($CS$27/1000))))&amp;"k",TEXT($CT$23,"#,##0"))),TEXT($CT$23,"#,##0")))</f>
        <v/>
      </c>
      <c r="DB23" t="n">
        <v>16.65</v>
      </c>
      <c r="DC23" t="n">
        <v>16.825</v>
      </c>
      <c r="DD23" t="n">
        <v>14</v>
      </c>
      <c r="DE23" t="inlineStr">
        <is>
          <t>P25</t>
        </is>
      </c>
      <c r="DF23" t="n">
        <v>35.83</v>
      </c>
      <c r="DG23">
        <f>IF(20&lt;=$DF$13,$DF$14+(20-1)*$DF$16,"")</f>
        <v/>
      </c>
      <c r="DH23">
        <f>IF(20&gt;$DF$13,"",SUMIFS($DD$4:$DD$203,$DC$4:$DC$203,"&gt;="&amp;$DG$23,$DC$4:$DC$203,IF(20=$DF$13,"&lt;=","&lt;")&amp;($DG$23+$DF$16)))</f>
        <v/>
      </c>
      <c r="DI23">
        <f>IF(AND(MOD(9,$DF$17)=0,MOD((INT(9/$DF$17)+1)-1,$DF$13/5)=0),INDEX($DN$4:$DN$53,(INT(9/$DF$17)+1)),"")</f>
        <v/>
      </c>
      <c r="DJ23">
        <f>IF(MOD(9,$DF$17)=$DF$17-1,0,INDEX($DH$4:$DH$53,(INT(9/$DF$17)+1)))</f>
        <v/>
      </c>
      <c r="DK23">
        <f>IFERROR(IF(AND($DM$13&gt;=$DF$14,$DM$13&lt;=$DF$15),10+0.5+100*($DM$13-$DF$14)/($DF$15-$DF$14),NA()),NA())</f>
        <v/>
      </c>
      <c r="DL23">
        <f>IF(ISNA($DK$23),NA(),MAX($DJ$4:$DJ$123))</f>
        <v/>
      </c>
      <c r="DM23">
        <f>IFERROR(IF(LEFT(LOWER(TRIM($DF$20)),5)="every",IF(((INT($DF$11/VALUE(TRIM(MID(TRIM($DF$20),6,99))))*VALUE(TRIM(MID(TRIM($DF$20),6,99)))+VALUE(TRIM(MID(TRIM($DF$20),6,99))))+19*VALUE(TRIM(MID(TRIM($DF$20),6,99))))&lt;=$DF$12,((INT($DF$11/VALUE(TRIM(MID(TRIM($DF$20),6,99))))*VALUE(TRIM(MID(TRIM($DF$20),6,99)))+VALUE(TRIM(MID(TRIM($DF$20),6,99))))+19*VALUE(TRIM(MID(TRIM($DF$20),6,99)))),NA()),VALUE(TRIM(MID(SUBSTITUTE(SUBSTITUTE(SUBSTITUTE(TRIM($DF$20),",",";")," ",""),";",REPT(" ",99)),1882,99)))),NA())</f>
        <v/>
      </c>
      <c r="DN23">
        <f>IF($DG$23="","",IFERROR(IF(ABS($DG$23)&gt;=1000000,ROUND($DG$23/1000000,MAX(0,1-INT(LOG10($DF$27/1000000))))&amp;"M",IF(ABS($DG$23)&gt;=1000,ROUND($DG$23/1000,MAX(0,1-INT(LOG10($DF$27/1000))))&amp;"k",TEXT($DG$23,"#,##0.0"))),TEXT($DG$23,"#,##0.0")))</f>
        <v/>
      </c>
      <c r="DO23" t="n">
        <v>7.975</v>
      </c>
      <c r="DP23" t="n">
        <v>7.9875</v>
      </c>
      <c r="DQ23" t="n">
        <v>15</v>
      </c>
      <c r="DR23" t="inlineStr">
        <is>
          <t>P25</t>
        </is>
      </c>
      <c r="DS23" t="n">
        <v>9.343999999999999</v>
      </c>
      <c r="DT23">
        <f>IF(20&lt;=$DS$13,$DS$14+(20-1)*$DS$16,"")</f>
        <v/>
      </c>
      <c r="DU23">
        <f>IF(20&gt;$DS$13,"",SUMIFS($DQ$4:$DQ$203,$DP$4:$DP$203,"&gt;="&amp;$DT$23,$DP$4:$DP$203,IF(20=$DS$13,"&lt;=","&lt;")&amp;($DT$23+$DS$16)))</f>
        <v/>
      </c>
      <c r="DV23">
        <f>IF(AND(MOD(9,$DS$17)=0,MOD((INT(9/$DS$17)+1)-1,$DS$13/5)=0),INDEX($EA$4:$EA$53,(INT(9/$DS$17)+1)),"")</f>
        <v/>
      </c>
      <c r="DW23">
        <f>IF(MOD(9,$DS$17)=$DS$17-1,0,INDEX($DU$4:$DU$53,(INT(9/$DS$17)+1)))</f>
        <v/>
      </c>
      <c r="DX23">
        <f>IFERROR(IF(AND($DZ$13&gt;=$DS$14,$DZ$13&lt;=$DS$15),10+0.5+100*($DZ$13-$DS$14)/($DS$15-$DS$14),NA()),NA())</f>
        <v/>
      </c>
      <c r="DY23">
        <f>IF(ISNA($DX$23),NA(),MAX($DW$4:$DW$123))</f>
        <v/>
      </c>
      <c r="DZ23">
        <f>IFERROR(IF(LEFT(LOWER(TRIM($DS$20)),5)="every",IF(((INT($DS$11/VALUE(TRIM(MID(TRIM($DS$20),6,99))))*VALUE(TRIM(MID(TRIM($DS$20),6,99)))+VALUE(TRIM(MID(TRIM($DS$20),6,99))))+19*VALUE(TRIM(MID(TRIM($DS$20),6,99))))&lt;=$DS$12,((INT($DS$11/VALUE(TRIM(MID(TRIM($DS$20),6,99))))*VALUE(TRIM(MID(TRIM($DS$20),6,99)))+VALUE(TRIM(MID(TRIM($DS$20),6,99))))+19*VALUE(TRIM(MID(TRIM($DS$20),6,99)))),NA()),VALUE(TRIM(MID(SUBSTITUTE(SUBSTITUTE(SUBSTITUTE(TRIM($DS$20),",",";")," ",""),";",REPT(" ",99)),1882,99)))),NA())</f>
        <v/>
      </c>
      <c r="EA23">
        <f>IF($DT$23="","",IFERROR(IF(ABS($DT$23)&gt;=1000000,ROUND($DT$23/1000000,MAX(0,1-INT(LOG10($DS$27/1000000))))&amp;"M",IF(ABS($DT$23)&gt;=1000,ROUND($DT$23/1000,MAX(0,1-INT(LOG10($DS$27/1000))))&amp;"k",TEXT($DT$23,"#,##0.0"))),TEXT($DT$23,"#,##0.0")))</f>
        <v/>
      </c>
      <c r="EB23" t="n">
        <v>9.5</v>
      </c>
      <c r="EC23" t="n">
        <v>9.75</v>
      </c>
      <c r="ED23" t="n">
        <v>55</v>
      </c>
      <c r="EE23" t="inlineStr">
        <is>
          <t>P25</t>
        </is>
      </c>
      <c r="EF23" t="n">
        <v>25.1</v>
      </c>
      <c r="EG23">
        <f>IF(20&lt;=$EF$13,$EF$14+(20-1)*$EF$16,"")</f>
        <v/>
      </c>
      <c r="EH23">
        <f>IF(20&gt;$EF$13,"",SUMIFS($ED$4:$ED$203,$EC$4:$EC$203,"&gt;="&amp;$EG$23,$EC$4:$EC$203,IF(20=$EF$13,"&lt;=","&lt;")&amp;($EG$23+$EF$16)))</f>
        <v/>
      </c>
      <c r="EI23">
        <f>IF(AND(MOD(9,$EF$17)=0,MOD((INT(9/$EF$17)+1)-1,$EF$13/5)=0),INDEX($EN$4:$EN$53,(INT(9/$EF$17)+1)),"")</f>
        <v/>
      </c>
      <c r="EJ23">
        <f>IF(MOD(9,$EF$17)=$EF$17-1,0,INDEX($EH$4:$EH$53,(INT(9/$EF$17)+1)))</f>
        <v/>
      </c>
      <c r="EK23">
        <f>IFERROR(IF(AND($EM$13&gt;=$EF$14,$EM$13&lt;=$EF$15),10+0.5+100*($EM$13-$EF$14)/($EF$15-$EF$14),NA()),NA())</f>
        <v/>
      </c>
      <c r="EL23">
        <f>IF(ISNA($EK$23),NA(),MAX($EJ$4:$EJ$123))</f>
        <v/>
      </c>
      <c r="EM23">
        <f>IFERROR(IF(LEFT(LOWER(TRIM($EF$20)),5)="every",IF(((INT($EF$11/VALUE(TRIM(MID(TRIM($EF$20),6,99))))*VALUE(TRIM(MID(TRIM($EF$20),6,99)))+VALUE(TRIM(MID(TRIM($EF$20),6,99))))+19*VALUE(TRIM(MID(TRIM($EF$20),6,99))))&lt;=$EF$12,((INT($EF$11/VALUE(TRIM(MID(TRIM($EF$20),6,99))))*VALUE(TRIM(MID(TRIM($EF$20),6,99)))+VALUE(TRIM(MID(TRIM($EF$20),6,99))))+19*VALUE(TRIM(MID(TRIM($EF$20),6,99)))),NA()),VALUE(TRIM(MID(SUBSTITUTE(SUBSTITUTE(SUBSTITUTE(TRIM($EF$20),",",";")," ",""),";",REPT(" ",99)),1882,99)))),NA())</f>
        <v/>
      </c>
      <c r="EN23">
        <f>IF($EG$23="","",IFERROR(IF(ABS($EG$23)&gt;=1000000,ROUND($EG$23/1000000,MAX(0,1-INT(LOG10($EF$27/1000000))))&amp;"M",IF(ABS($EG$23)&gt;=1000,ROUND($EG$23/1000,MAX(0,1-INT(LOG10($EF$27/1000))))&amp;"k",TEXT($EG$23,"#,##0"))),TEXT($EG$23,"#,##0")))</f>
        <v/>
      </c>
      <c r="EO23" t="n">
        <v>0.3325</v>
      </c>
      <c r="EP23" t="n">
        <v>0.3412500000000001</v>
      </c>
      <c r="EQ23" t="n">
        <v>275</v>
      </c>
      <c r="ER23" t="inlineStr">
        <is>
          <t>P25</t>
        </is>
      </c>
      <c r="ES23" t="n">
        <v>0.2916585256395905</v>
      </c>
      <c r="ET23">
        <f>IF(20&lt;=$ES$13,$ES$14+(20-1)*$ES$16,"")</f>
        <v/>
      </c>
      <c r="EU23">
        <f>IF(20&gt;$ES$13,"",SUMIFS($EQ$4:$EQ$203,$EP$4:$EP$203,"&gt;="&amp;$ET$23,$EP$4:$EP$203,IF(20=$ES$13,"&lt;=","&lt;")&amp;($ET$23+$ES$16)))</f>
        <v/>
      </c>
      <c r="EV23">
        <f>IF(AND(MOD(9,$ES$17)=0,MOD((INT(9/$ES$17)+1)-1,$ES$13/5)=0),INDEX($FA$4:$FA$53,(INT(9/$ES$17)+1)),"")</f>
        <v/>
      </c>
      <c r="EW23">
        <f>IF(MOD(9,$ES$17)=$ES$17-1,0,INDEX($EU$4:$EU$53,(INT(9/$ES$17)+1)))</f>
        <v/>
      </c>
      <c r="EX23">
        <f>IFERROR(IF(AND($EZ$13&gt;=$ES$14,$EZ$13&lt;=$ES$15),10+0.5+100*($EZ$13-$ES$14)/($ES$15-$ES$14),NA()),NA())</f>
        <v/>
      </c>
      <c r="EY23">
        <f>IF(ISNA($EX$23),NA(),MAX($EW$4:$EW$123))</f>
        <v/>
      </c>
      <c r="EZ23">
        <f>IFERROR(IF(LEFT(LOWER(TRIM($ES$20)),5)="every",IF(((INT($ES$11/VALUE(TRIM(MID(TRIM($ES$20),6,99))))*VALUE(TRIM(MID(TRIM($ES$20),6,99)))+VALUE(TRIM(MID(TRIM($ES$20),6,99))))+19*VALUE(TRIM(MID(TRIM($ES$20),6,99))))&lt;=$ES$12,((INT($ES$11/VALUE(TRIM(MID(TRIM($ES$20),6,99))))*VALUE(TRIM(MID(TRIM($ES$20),6,99)))+VALUE(TRIM(MID(TRIM($ES$20),6,99))))+19*VALUE(TRIM(MID(TRIM($ES$20),6,99)))),NA()),VALUE(TRIM(MID(SUBSTITUTE(SUBSTITUTE(SUBSTITUTE(TRIM($ES$20),",",";")," ",""),";",REPT(" ",99)),1882,99)))),NA())</f>
        <v/>
      </c>
      <c r="FA23">
        <f>IF($ET$23="","",IFERROR(IF(ABS($ET$23)&gt;=1000000,ROUND($ET$23/1000000,MAX(0,1-INT(LOG10($ES$27/1000000))))&amp;"M",IF(ABS($ET$23)&gt;=1000,ROUND($ET$23/1000,MAX(0,1-INT(LOG10($ES$27/1000))))&amp;"k",TEXT($ET$23,"0.00"))),TEXT($ET$23,"0.00")))</f>
        <v/>
      </c>
    </row>
    <row r="24">
      <c r="B24" t="n">
        <v>580</v>
      </c>
      <c r="C24" t="n">
        <v>580.75</v>
      </c>
      <c r="D24" t="n">
        <v>18</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70</v>
      </c>
      <c r="R24" t="inlineStr">
        <is>
          <t>P50</t>
        </is>
      </c>
      <c r="S24" t="n">
        <v>32134.41</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38</v>
      </c>
      <c r="AE24" t="inlineStr">
        <is>
          <t>P50</t>
        </is>
      </c>
      <c r="AF24" t="n">
        <v>11419.78</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c r="AO24" t="n">
        <v>80000</v>
      </c>
      <c r="AP24" t="n">
        <v>82000</v>
      </c>
      <c r="AQ24" t="n">
        <v>38</v>
      </c>
      <c r="AR24" t="inlineStr">
        <is>
          <t>P50</t>
        </is>
      </c>
      <c r="AS24" t="n">
        <v>250287</v>
      </c>
      <c r="AT24">
        <f>IF(21&lt;=$AS$13,$AS$14+(21-1)*$AS$16,"")</f>
        <v/>
      </c>
      <c r="AU24">
        <f>IF(21&gt;$AS$13,"",SUMIFS($AQ$4:$AQ$203,$AP$4:$AP$203,"&gt;="&amp;$AT$24,$AP$4:$AP$203,IF(21=$AS$13,"&lt;=","&lt;")&amp;($AT$24+$AS$16)))</f>
        <v/>
      </c>
      <c r="AV24">
        <f>IF(AND(MOD(10,$AS$17)=0,MOD((INT(10/$AS$17)+1)-1,$AS$13/5)=0),INDEX($BA$4:$BA$53,(INT(10/$AS$17)+1)),"")</f>
        <v/>
      </c>
      <c r="AW24">
        <f>IF(MOD(10,$AS$17)=$AS$17-1,0,INDEX($AU$4:$AU$53,(INT(10/$AS$17)+1)))</f>
        <v/>
      </c>
      <c r="AX24">
        <f>IFERROR(IF(AND($AZ$14&gt;=$AS$14,$AZ$14&lt;=$AS$15),10+0.5+100*($AZ$14-$AS$14)/($AS$15-$AS$14),NA()),NA())</f>
        <v/>
      </c>
      <c r="AY24">
        <f>IF(ISNA($AX$24),NA(),0)</f>
        <v/>
      </c>
      <c r="AZ24">
        <f>IFERROR(IF(LEFT(LOWER(TRIM($AS$20)),5)="every",IF(((INT($AS$11/VALUE(TRIM(MID(TRIM($AS$20),6,99))))*VALUE(TRIM(MID(TRIM($AS$20),6,99)))+VALUE(TRIM(MID(TRIM($AS$20),6,99))))+20*VALUE(TRIM(MID(TRIM($AS$20),6,99))))&lt;=$AS$12,((INT($AS$11/VALUE(TRIM(MID(TRIM($AS$20),6,99))))*VALUE(TRIM(MID(TRIM($AS$20),6,99)))+VALUE(TRIM(MID(TRIM($AS$20),6,99))))+20*VALUE(TRIM(MID(TRIM($AS$20),6,99)))),NA()),VALUE(TRIM(MID(SUBSTITUTE(SUBSTITUTE(SUBSTITUTE(TRIM($AS$20),",",";")," ",""),";",REPT(" ",99)),1981,99)))),NA())</f>
        <v/>
      </c>
      <c r="BA24">
        <f>IF($AT$24="","",IFERROR(IF(ABS($AT$24)&gt;=1000000,ROUND($AT$24/1000000,MAX(0,1-INT(LOG10($AS$27/1000000))))&amp;"M",IF(ABS($AT$24)&gt;=1000,ROUND($AT$24/1000,MAX(0,1-INT(LOG10($AS$27/1000))))&amp;"k",TEXT($AT$24,"#,##0"))),TEXT($AT$24,"#,##0")))</f>
        <v/>
      </c>
      <c r="BB24" t="n">
        <v>140000</v>
      </c>
      <c r="BC24" t="n">
        <v>143500</v>
      </c>
      <c r="BD24" t="n">
        <v>242</v>
      </c>
      <c r="BE24" t="inlineStr">
        <is>
          <t>P50</t>
        </is>
      </c>
      <c r="BF24" t="n">
        <v>126028</v>
      </c>
      <c r="BG24">
        <f>IF(21&lt;=$BF$13,$BF$14+(21-1)*$BF$16,"")</f>
        <v/>
      </c>
      <c r="BH24">
        <f>IF(21&gt;$BF$13,"",SUMIFS($BD$4:$BD$203,$BC$4:$BC$203,"&gt;="&amp;$BG$24,$BC$4:$BC$203,IF(21=$BF$13,"&lt;=","&lt;")&amp;($BG$24+$BF$16)))</f>
        <v/>
      </c>
      <c r="BI24">
        <f>IF(AND(MOD(10,$BF$17)=0,MOD((INT(10/$BF$17)+1)-1,$BF$13/5)=0),INDEX($BN$4:$BN$53,(INT(10/$BF$17)+1)),"")</f>
        <v/>
      </c>
      <c r="BJ24">
        <f>IF(MOD(10,$BF$17)=$BF$17-1,0,INDEX($BH$4:$BH$53,(INT(10/$BF$17)+1)))</f>
        <v/>
      </c>
      <c r="BK24">
        <f>IFERROR(IF(AND($BM$14&gt;=$BF$14,$BM$14&lt;=$BF$15),10+0.5+100*($BM$14-$BF$14)/($BF$15-$BF$14),NA()),NA())</f>
        <v/>
      </c>
      <c r="BL24">
        <f>IF(ISNA($BK$24),NA(),0)</f>
        <v/>
      </c>
      <c r="BM24">
        <f>IFERROR(IF(LEFT(LOWER(TRIM($BF$20)),5)="every",IF(((INT($BF$11/VALUE(TRIM(MID(TRIM($BF$20),6,99))))*VALUE(TRIM(MID(TRIM($BF$20),6,99)))+VALUE(TRIM(MID(TRIM($BF$20),6,99))))+20*VALUE(TRIM(MID(TRIM($BF$20),6,99))))&lt;=$BF$12,((INT($BF$11/VALUE(TRIM(MID(TRIM($BF$20),6,99))))*VALUE(TRIM(MID(TRIM($BF$20),6,99)))+VALUE(TRIM(MID(TRIM($BF$20),6,99))))+20*VALUE(TRIM(MID(TRIM($BF$20),6,99)))),NA()),VALUE(TRIM(MID(SUBSTITUTE(SUBSTITUTE(SUBSTITUTE(TRIM($BF$20),",",";")," ",""),";",REPT(" ",99)),1981,99)))),NA())</f>
        <v/>
      </c>
      <c r="BN24">
        <f>IF($BG$24="","",IFERROR(IF(ABS($BG$24)&gt;=1000000,ROUND($BG$24/1000000,MAX(0,1-INT(LOG10($BF$27/1000000))))&amp;"M",IF(ABS($BG$24)&gt;=1000,ROUND($BG$24/1000,MAX(0,1-INT(LOG10($BF$27/1000))))&amp;"k",TEXT($BG$24,"#,##0"))),TEXT($BG$24,"#,##0")))</f>
        <v/>
      </c>
      <c r="BO24" t="n">
        <v>0.12</v>
      </c>
      <c r="BP24" t="n">
        <v>0.123</v>
      </c>
      <c r="BQ24" t="n">
        <v>45</v>
      </c>
      <c r="BR24" t="inlineStr">
        <is>
          <t>P50</t>
        </is>
      </c>
      <c r="BS24" t="n">
        <v>0.6073000000000001</v>
      </c>
      <c r="BT24">
        <f>IF(21&lt;=$BS$13,$BS$14+(21-1)*$BS$16,"")</f>
        <v/>
      </c>
      <c r="BU24">
        <f>IF(21&gt;$BS$13,"",SUMIFS($BQ$4:$BQ$203,$BP$4:$BP$203,"&gt;="&amp;$BT$24,$BP$4:$BP$203,IF(21=$BS$13,"&lt;=","&lt;")&amp;($BT$24+$BS$16)))</f>
        <v/>
      </c>
      <c r="BV24">
        <f>IF(AND(MOD(10,$BS$17)=0,MOD((INT(10/$BS$17)+1)-1,$BS$13/5)=0),INDEX($CA$4:$CA$53,(INT(10/$BS$17)+1)),"")</f>
        <v/>
      </c>
      <c r="BW24">
        <f>IF(MOD(10,$BS$17)=$BS$17-1,0,INDEX($BU$4:$BU$53,(INT(10/$BS$17)+1)))</f>
        <v/>
      </c>
      <c r="BX24">
        <f>IFERROR(IF(AND($BZ$14&gt;=$BS$14,$BZ$14&lt;=$BS$15),10+0.5+100*($BZ$14-$BS$14)/($BS$15-$BS$14),NA()),NA())</f>
        <v/>
      </c>
      <c r="BY24">
        <f>IF(ISNA($BX$24),NA(),0)</f>
        <v/>
      </c>
      <c r="BZ24">
        <f>IFERROR(IF(LEFT(LOWER(TRIM($BS$20)),5)="every",IF(((INT($BS$11/VALUE(TRIM(MID(TRIM($BS$20),6,99))))*VALUE(TRIM(MID(TRIM($BS$20),6,99)))+VALUE(TRIM(MID(TRIM($BS$20),6,99))))+20*VALUE(TRIM(MID(TRIM($BS$20),6,99))))&lt;=$BS$12,((INT($BS$11/VALUE(TRIM(MID(TRIM($BS$20),6,99))))*VALUE(TRIM(MID(TRIM($BS$20),6,99)))+VALUE(TRIM(MID(TRIM($BS$20),6,99))))+20*VALUE(TRIM(MID(TRIM($BS$20),6,99)))),NA()),VALUE(TRIM(MID(SUBSTITUTE(SUBSTITUTE(SUBSTITUTE(TRIM($BS$20),",",";")," ",""),";",REPT(" ",99)),1981,99)))),NA())</f>
        <v/>
      </c>
      <c r="CA24">
        <f>IF($BT$24="","",IFERROR(IF(ABS($BT$24)&gt;=1000000,ROUND($BT$24/1000000,MAX(0,1-INT(LOG10($BS$27/1000000))))&amp;"M",IF(ABS($BT$24)&gt;=1000,ROUND($BT$24/1000,MAX(0,1-INT(LOG10($BS$27/1000))))&amp;"k",TEXT($BT$24,"0.00"))),TEXT($BT$24,"0.00")))</f>
        <v/>
      </c>
      <c r="CB24" t="n">
        <v>3</v>
      </c>
      <c r="CC24" t="n">
        <v>3.075</v>
      </c>
      <c r="CD24" t="n">
        <v>237</v>
      </c>
      <c r="CE24" t="inlineStr">
        <is>
          <t>P50</t>
        </is>
      </c>
      <c r="CF24" t="n">
        <v>4.2</v>
      </c>
      <c r="CG24">
        <f>IF(21&lt;=$CF$13,$CF$14+(21-1)*$CF$16,"")</f>
        <v/>
      </c>
      <c r="CH24">
        <f>IF(21&gt;$CF$13,"",SUMIFS($CD$4:$CD$203,$CC$4:$CC$203,"&gt;="&amp;$CG$24,$CC$4:$CC$203,IF(21=$CF$13,"&lt;=","&lt;")&amp;($CG$24+$CF$16)))</f>
        <v/>
      </c>
      <c r="CI24">
        <f>IF(AND(MOD(10,$CF$17)=0,MOD((INT(10/$CF$17)+1)-1,$CF$13/5)=0),INDEX($CN$4:$CN$53,(INT(10/$CF$17)+1)),"")</f>
        <v/>
      </c>
      <c r="CJ24">
        <f>IF(MOD(10,$CF$17)=$CF$17-1,0,INDEX($CH$4:$CH$53,(INT(10/$CF$17)+1)))</f>
        <v/>
      </c>
      <c r="CK24">
        <f>IFERROR(IF(AND($CM$14&gt;=$CF$14,$CM$14&lt;=$CF$15),10+0.5+100*($CM$14-$CF$14)/($CF$15-$CF$14),NA()),NA())</f>
        <v/>
      </c>
      <c r="CL24">
        <f>IF(ISNA($CK$24),NA(),0)</f>
        <v/>
      </c>
      <c r="CM24">
        <f>IFERROR(IF(LEFT(LOWER(TRIM($CF$20)),5)="every",IF(((INT($CF$11/VALUE(TRIM(MID(TRIM($CF$20),6,99))))*VALUE(TRIM(MID(TRIM($CF$20),6,99)))+VALUE(TRIM(MID(TRIM($CF$20),6,99))))+20*VALUE(TRIM(MID(TRIM($CF$20),6,99))))&lt;=$CF$12,((INT($CF$11/VALUE(TRIM(MID(TRIM($CF$20),6,99))))*VALUE(TRIM(MID(TRIM($CF$20),6,99)))+VALUE(TRIM(MID(TRIM($CF$20),6,99))))+20*VALUE(TRIM(MID(TRIM($CF$20),6,99)))),NA()),VALUE(TRIM(MID(SUBSTITUTE(SUBSTITUTE(SUBSTITUTE(TRIM($CF$20),",",";")," ",""),";",REPT(" ",99)),1981,99)))),NA())</f>
        <v/>
      </c>
      <c r="CN24">
        <f>IF($CG$24="","",IFERROR(IF(ABS($CG$24)&gt;=1000000,ROUND($CG$24/1000000,MAX(0,1-INT(LOG10($CF$27/1000000))))&amp;"M",IF(ABS($CG$24)&gt;=1000,ROUND($CG$24/1000,MAX(0,1-INT(LOG10($CF$27/1000))))&amp;"k",TEXT($CG$24,"#,##0.0"))),TEXT($CG$24,"#,##0.0")))</f>
        <v/>
      </c>
      <c r="CO24" t="n">
        <v>18</v>
      </c>
      <c r="CP24" t="n">
        <v>18.2</v>
      </c>
      <c r="CQ24" t="n">
        <v>16</v>
      </c>
      <c r="CR24" t="inlineStr">
        <is>
          <t>P50</t>
        </is>
      </c>
      <c r="CS24" t="n">
        <v>50.25</v>
      </c>
      <c r="CT24">
        <f>IF(21&lt;=$CS$13,$CS$14+(21-1)*$CS$16,"")</f>
        <v/>
      </c>
      <c r="CU24">
        <f>IF(21&gt;$CS$13,"",SUMIFS($CQ$4:$CQ$203,$CP$4:$CP$203,"&gt;="&amp;$CT$24,$CP$4:$CP$203,IF(21=$CS$13,"&lt;=","&lt;")&amp;($CT$24+$CS$16)))</f>
        <v/>
      </c>
      <c r="CV24">
        <f>IF(AND(MOD(10,$CS$17)=0,MOD((INT(10/$CS$17)+1)-1,$CS$13/5)=0),INDEX($DA$4:$DA$53,(INT(10/$CS$17)+1)),"")</f>
        <v/>
      </c>
      <c r="CW24">
        <f>IF(MOD(10,$CS$17)=$CS$17-1,0,INDEX($CU$4:$CU$53,(INT(10/$CS$17)+1)))</f>
        <v/>
      </c>
      <c r="CX24">
        <f>IFERROR(IF(AND($CZ$14&gt;=$CS$14,$CZ$14&lt;=$CS$15),10+0.5+100*($CZ$14-$CS$14)/($CS$15-$CS$14),NA()),NA())</f>
        <v/>
      </c>
      <c r="CY24">
        <f>IF(ISNA($CX$24),NA(),0)</f>
        <v/>
      </c>
      <c r="CZ24">
        <f>IFERROR(IF(LEFT(LOWER(TRIM($CS$20)),5)="every",IF(((INT($CS$11/VALUE(TRIM(MID(TRIM($CS$20),6,99))))*VALUE(TRIM(MID(TRIM($CS$20),6,99)))+VALUE(TRIM(MID(TRIM($CS$20),6,99))))+20*VALUE(TRIM(MID(TRIM($CS$20),6,99))))&lt;=$CS$12,((INT($CS$11/VALUE(TRIM(MID(TRIM($CS$20),6,99))))*VALUE(TRIM(MID(TRIM($CS$20),6,99)))+VALUE(TRIM(MID(TRIM($CS$20),6,99))))+20*VALUE(TRIM(MID(TRIM($CS$20),6,99)))),NA()),VALUE(TRIM(MID(SUBSTITUTE(SUBSTITUTE(SUBSTITUTE(TRIM($CS$20),",",";")," ",""),";",REPT(" ",99)),1981,99)))),NA())</f>
        <v/>
      </c>
      <c r="DA24">
        <f>IF($CT$24="","",IFERROR(IF(ABS($CT$24)&gt;=1000000,ROUND($CT$24/1000000,MAX(0,1-INT(LOG10($CS$27/1000000))))&amp;"M",IF(ABS($CT$24)&gt;=1000,ROUND($CT$24/1000,MAX(0,1-INT(LOG10($CS$27/1000))))&amp;"k",TEXT($CT$24,"#,##0"))),TEXT($CT$24,"#,##0")))</f>
        <v/>
      </c>
      <c r="DB24" t="n">
        <v>17</v>
      </c>
      <c r="DC24" t="n">
        <v>17.175</v>
      </c>
      <c r="DD24" t="n">
        <v>12</v>
      </c>
      <c r="DE24" t="inlineStr">
        <is>
          <t>P50</t>
        </is>
      </c>
      <c r="DF24" t="n">
        <v>45.09</v>
      </c>
      <c r="DG24">
        <f>IF(21&lt;=$DF$13,$DF$14+(21-1)*$DF$16,"")</f>
        <v/>
      </c>
      <c r="DH24">
        <f>IF(21&gt;$DF$13,"",SUMIFS($DD$4:$DD$203,$DC$4:$DC$203,"&gt;="&amp;$DG$24,$DC$4:$DC$203,IF(21=$DF$13,"&lt;=","&lt;")&amp;($DG$24+$DF$16)))</f>
        <v/>
      </c>
      <c r="DI24">
        <f>IF(AND(MOD(10,$DF$17)=0,MOD((INT(10/$DF$17)+1)-1,$DF$13/5)=0),INDEX($DN$4:$DN$53,(INT(10/$DF$17)+1)),"")</f>
        <v/>
      </c>
      <c r="DJ24">
        <f>IF(MOD(10,$DF$17)=$DF$17-1,0,INDEX($DH$4:$DH$53,(INT(10/$DF$17)+1)))</f>
        <v/>
      </c>
      <c r="DK24">
        <f>IFERROR(IF(AND($DM$14&gt;=$DF$14,$DM$14&lt;=$DF$15),10+0.5+100*($DM$14-$DF$14)/($DF$15-$DF$14),NA()),NA())</f>
        <v/>
      </c>
      <c r="DL24">
        <f>IF(ISNA($DK$24),NA(),0)</f>
        <v/>
      </c>
      <c r="DM24">
        <f>IFERROR(IF(LEFT(LOWER(TRIM($DF$20)),5)="every",IF(((INT($DF$11/VALUE(TRIM(MID(TRIM($DF$20),6,99))))*VALUE(TRIM(MID(TRIM($DF$20),6,99)))+VALUE(TRIM(MID(TRIM($DF$20),6,99))))+20*VALUE(TRIM(MID(TRIM($DF$20),6,99))))&lt;=$DF$12,((INT($DF$11/VALUE(TRIM(MID(TRIM($DF$20),6,99))))*VALUE(TRIM(MID(TRIM($DF$20),6,99)))+VALUE(TRIM(MID(TRIM($DF$20),6,99))))+20*VALUE(TRIM(MID(TRIM($DF$20),6,99)))),NA()),VALUE(TRIM(MID(SUBSTITUTE(SUBSTITUTE(SUBSTITUTE(TRIM($DF$20),",",";")," ",""),";",REPT(" ",99)),1981,99)))),NA())</f>
        <v/>
      </c>
      <c r="DN24">
        <f>IF($DG$24="","",IFERROR(IF(ABS($DG$24)&gt;=1000000,ROUND($DG$24/1000000,MAX(0,1-INT(LOG10($DF$27/1000000))))&amp;"M",IF(ABS($DG$24)&gt;=1000,ROUND($DG$24/1000,MAX(0,1-INT(LOG10($DF$27/1000))))&amp;"k",TEXT($DG$24,"#,##0.0"))),TEXT($DG$24,"#,##0.0")))</f>
        <v/>
      </c>
      <c r="DO24" t="n">
        <v>8</v>
      </c>
      <c r="DP24" t="n">
        <v>8.012499999999999</v>
      </c>
      <c r="DQ24" t="n">
        <v>15</v>
      </c>
      <c r="DR24" t="inlineStr">
        <is>
          <t>P50</t>
        </is>
      </c>
      <c r="DS24" t="n">
        <v>10.011</v>
      </c>
      <c r="DT24">
        <f>IF(21&lt;=$DS$13,$DS$14+(21-1)*$DS$16,"")</f>
        <v/>
      </c>
      <c r="DU24">
        <f>IF(21&gt;$DS$13,"",SUMIFS($DQ$4:$DQ$203,$DP$4:$DP$203,"&gt;="&amp;$DT$24,$DP$4:$DP$203,IF(21=$DS$13,"&lt;=","&lt;")&amp;($DT$24+$DS$16)))</f>
        <v/>
      </c>
      <c r="DV24">
        <f>IF(AND(MOD(10,$DS$17)=0,MOD((INT(10/$DS$17)+1)-1,$DS$13/5)=0),INDEX($EA$4:$EA$53,(INT(10/$DS$17)+1)),"")</f>
        <v/>
      </c>
      <c r="DW24">
        <f>IF(MOD(10,$DS$17)=$DS$17-1,0,INDEX($DU$4:$DU$53,(INT(10/$DS$17)+1)))</f>
        <v/>
      </c>
      <c r="DX24">
        <f>IFERROR(IF(AND($DZ$14&gt;=$DS$14,$DZ$14&lt;=$DS$15),10+0.5+100*($DZ$14-$DS$14)/($DS$15-$DS$14),NA()),NA())</f>
        <v/>
      </c>
      <c r="DY24">
        <f>IF(ISNA($DX$24),NA(),0)</f>
        <v/>
      </c>
      <c r="DZ24">
        <f>IFERROR(IF(LEFT(LOWER(TRIM($DS$20)),5)="every",IF(((INT($DS$11/VALUE(TRIM(MID(TRIM($DS$20),6,99))))*VALUE(TRIM(MID(TRIM($DS$20),6,99)))+VALUE(TRIM(MID(TRIM($DS$20),6,99))))+20*VALUE(TRIM(MID(TRIM($DS$20),6,99))))&lt;=$DS$12,((INT($DS$11/VALUE(TRIM(MID(TRIM($DS$20),6,99))))*VALUE(TRIM(MID(TRIM($DS$20),6,99)))+VALUE(TRIM(MID(TRIM($DS$20),6,99))))+20*VALUE(TRIM(MID(TRIM($DS$20),6,99)))),NA()),VALUE(TRIM(MID(SUBSTITUTE(SUBSTITUTE(SUBSTITUTE(TRIM($DS$20),",",";")," ",""),";",REPT(" ",99)),1981,99)))),NA())</f>
        <v/>
      </c>
      <c r="EA24">
        <f>IF($DT$24="","",IFERROR(IF(ABS($DT$24)&gt;=1000000,ROUND($DT$24/1000000,MAX(0,1-INT(LOG10($DS$27/1000000))))&amp;"M",IF(ABS($DT$24)&gt;=1000,ROUND($DT$24/1000,MAX(0,1-INT(LOG10($DS$27/1000))))&amp;"k",TEXT($DT$24,"#,##0.0"))),TEXT($DT$24,"#,##0.0")))</f>
        <v/>
      </c>
      <c r="EB24" t="n">
        <v>10</v>
      </c>
      <c r="EC24" t="n">
        <v>10.25</v>
      </c>
      <c r="ED24" t="n">
        <v>54</v>
      </c>
      <c r="EE24" t="inlineStr">
        <is>
          <t>P50</t>
        </is>
      </c>
      <c r="EF24" t="n">
        <v>50.1</v>
      </c>
      <c r="EG24">
        <f>IF(21&lt;=$EF$13,$EF$14+(21-1)*$EF$16,"")</f>
        <v/>
      </c>
      <c r="EH24">
        <f>IF(21&gt;$EF$13,"",SUMIFS($ED$4:$ED$203,$EC$4:$EC$203,"&gt;="&amp;$EG$24,$EC$4:$EC$203,IF(21=$EF$13,"&lt;=","&lt;")&amp;($EG$24+$EF$16)))</f>
        <v/>
      </c>
      <c r="EI24">
        <f>IF(AND(MOD(10,$EF$17)=0,MOD((INT(10/$EF$17)+1)-1,$EF$13/5)=0),INDEX($EN$4:$EN$53,(INT(10/$EF$17)+1)),"")</f>
        <v/>
      </c>
      <c r="EJ24">
        <f>IF(MOD(10,$EF$17)=$EF$17-1,0,INDEX($EH$4:$EH$53,(INT(10/$EF$17)+1)))</f>
        <v/>
      </c>
      <c r="EK24">
        <f>IFERROR(IF(AND($EM$14&gt;=$EF$14,$EM$14&lt;=$EF$15),10+0.5+100*($EM$14-$EF$14)/($EF$15-$EF$14),NA()),NA())</f>
        <v/>
      </c>
      <c r="EL24">
        <f>IF(ISNA($EK$24),NA(),0)</f>
        <v/>
      </c>
      <c r="EM24">
        <f>IFERROR(IF(LEFT(LOWER(TRIM($EF$20)),5)="every",IF(((INT($EF$11/VALUE(TRIM(MID(TRIM($EF$20),6,99))))*VALUE(TRIM(MID(TRIM($EF$20),6,99)))+VALUE(TRIM(MID(TRIM($EF$20),6,99))))+20*VALUE(TRIM(MID(TRIM($EF$20),6,99))))&lt;=$EF$12,((INT($EF$11/VALUE(TRIM(MID(TRIM($EF$20),6,99))))*VALUE(TRIM(MID(TRIM($EF$20),6,99)))+VALUE(TRIM(MID(TRIM($EF$20),6,99))))+20*VALUE(TRIM(MID(TRIM($EF$20),6,99)))),NA()),VALUE(TRIM(MID(SUBSTITUTE(SUBSTITUTE(SUBSTITUTE(TRIM($EF$20),",",";")," ",""),";",REPT(" ",99)),1981,99)))),NA())</f>
        <v/>
      </c>
      <c r="EN24">
        <f>IF($EG$24="","",IFERROR(IF(ABS($EG$24)&gt;=1000000,ROUND($EG$24/1000000,MAX(0,1-INT(LOG10($EF$27/1000000))))&amp;"M",IF(ABS($EG$24)&gt;=1000,ROUND($EG$24/1000,MAX(0,1-INT(LOG10($EF$27/1000))))&amp;"k",TEXT($EG$24,"#,##0"))),TEXT($EG$24,"#,##0")))</f>
        <v/>
      </c>
      <c r="EO24" t="n">
        <v>0.35</v>
      </c>
      <c r="EP24" t="n">
        <v>0.35875</v>
      </c>
      <c r="EQ24" t="n">
        <v>253</v>
      </c>
      <c r="ER24" t="inlineStr">
        <is>
          <t>P50</t>
        </is>
      </c>
      <c r="ES24" t="n">
        <v>0.5058381197964074</v>
      </c>
      <c r="ET24">
        <f>IF(21&lt;=$ES$13,$ES$14+(21-1)*$ES$16,"")</f>
        <v/>
      </c>
      <c r="EU24">
        <f>IF(21&gt;$ES$13,"",SUMIFS($EQ$4:$EQ$203,$EP$4:$EP$203,"&gt;="&amp;$ET$24,$EP$4:$EP$203,IF(21=$ES$13,"&lt;=","&lt;")&amp;($ET$24+$ES$16)))</f>
        <v/>
      </c>
      <c r="EV24">
        <f>IF(AND(MOD(10,$ES$17)=0,MOD((INT(10/$ES$17)+1)-1,$ES$13/5)=0),INDEX($FA$4:$FA$53,(INT(10/$ES$17)+1)),"")</f>
        <v/>
      </c>
      <c r="EW24">
        <f>IF(MOD(10,$ES$17)=$ES$17-1,0,INDEX($EU$4:$EU$53,(INT(10/$ES$17)+1)))</f>
        <v/>
      </c>
      <c r="EX24">
        <f>IFERROR(IF(AND($EZ$14&gt;=$ES$14,$EZ$14&lt;=$ES$15),10+0.5+100*($EZ$14-$ES$14)/($ES$15-$ES$14),NA()),NA())</f>
        <v/>
      </c>
      <c r="EY24">
        <f>IF(ISNA($EX$24),NA(),0)</f>
        <v/>
      </c>
      <c r="EZ24">
        <f>IFERROR(IF(LEFT(LOWER(TRIM($ES$20)),5)="every",IF(((INT($ES$11/VALUE(TRIM(MID(TRIM($ES$20),6,99))))*VALUE(TRIM(MID(TRIM($ES$20),6,99)))+VALUE(TRIM(MID(TRIM($ES$20),6,99))))+20*VALUE(TRIM(MID(TRIM($ES$20),6,99))))&lt;=$ES$12,((INT($ES$11/VALUE(TRIM(MID(TRIM($ES$20),6,99))))*VALUE(TRIM(MID(TRIM($ES$20),6,99)))+VALUE(TRIM(MID(TRIM($ES$20),6,99))))+20*VALUE(TRIM(MID(TRIM($ES$20),6,99)))),NA()),VALUE(TRIM(MID(SUBSTITUTE(SUBSTITUTE(SUBSTITUTE(TRIM($ES$20),",",";")," ",""),";",REPT(" ",99)),1981,99)))),NA())</f>
        <v/>
      </c>
      <c r="FA24">
        <f>IF($ET$24="","",IFERROR(IF(ABS($ET$24)&gt;=1000000,ROUND($ET$24/1000000,MAX(0,1-INT(LOG10($ES$27/1000000))))&amp;"M",IF(ABS($ET$24)&gt;=1000,ROUND($ET$24/1000,MAX(0,1-INT(LOG10($ES$27/1000))))&amp;"k",TEXT($ET$24,"0.00"))),TEXT($ET$24,"0.00")))</f>
        <v/>
      </c>
    </row>
    <row r="25">
      <c r="B25" t="n">
        <v>581.5</v>
      </c>
      <c r="C25" t="n">
        <v>582.25</v>
      </c>
      <c r="D25" t="n">
        <v>7</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62</v>
      </c>
      <c r="R25" t="inlineStr">
        <is>
          <t>P75</t>
        </is>
      </c>
      <c r="S25" t="n">
        <v>46390.825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51</v>
      </c>
      <c r="AE25" t="inlineStr">
        <is>
          <t>P75</t>
        </is>
      </c>
      <c r="AF25" t="n">
        <v>15884.17</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c r="AO25" t="n">
        <v>84000</v>
      </c>
      <c r="AP25" t="n">
        <v>86000</v>
      </c>
      <c r="AQ25" t="n">
        <v>53</v>
      </c>
      <c r="AR25" t="inlineStr">
        <is>
          <t>P75</t>
        </is>
      </c>
      <c r="AS25" t="n">
        <v>347989</v>
      </c>
      <c r="AT25">
        <f>IF(22&lt;=$AS$13,$AS$14+(22-1)*$AS$16,"")</f>
        <v/>
      </c>
      <c r="AU25">
        <f>IF(22&gt;$AS$13,"",SUMIFS($AQ$4:$AQ$203,$AP$4:$AP$203,"&gt;="&amp;$AT$25,$AP$4:$AP$203,IF(22=$AS$13,"&lt;=","&lt;")&amp;($AT$25+$AS$16)))</f>
        <v/>
      </c>
      <c r="AV25">
        <f>IF(AND(MOD(11,$AS$17)=0,MOD((INT(11/$AS$17)+1)-1,$AS$13/5)=0),INDEX($BA$4:$BA$53,(INT(11/$AS$17)+1)),"")</f>
        <v/>
      </c>
      <c r="AW25">
        <f>IF(MOD(11,$AS$17)=$AS$17-1,0,INDEX($AU$4:$AU$53,(INT(11/$AS$17)+1)))</f>
        <v/>
      </c>
      <c r="AX25">
        <f>IFERROR(IF(AND($AZ$14&gt;=$AS$14,$AZ$14&lt;=$AS$15),10+0.5+100*($AZ$14-$AS$14)/($AS$15-$AS$14),NA()),NA())</f>
        <v/>
      </c>
      <c r="AY25">
        <f>IF(ISNA($AX$25),NA(),MAX($AW$4:$AW$123))</f>
        <v/>
      </c>
      <c r="AZ25">
        <f>IFERROR(IF(LEFT(LOWER(TRIM($AS$20)),5)="every",IF(((INT($AS$11/VALUE(TRIM(MID(TRIM($AS$20),6,99))))*VALUE(TRIM(MID(TRIM($AS$20),6,99)))+VALUE(TRIM(MID(TRIM($AS$20),6,99))))+21*VALUE(TRIM(MID(TRIM($AS$20),6,99))))&lt;=$AS$12,((INT($AS$11/VALUE(TRIM(MID(TRIM($AS$20),6,99))))*VALUE(TRIM(MID(TRIM($AS$20),6,99)))+VALUE(TRIM(MID(TRIM($AS$20),6,99))))+21*VALUE(TRIM(MID(TRIM($AS$20),6,99)))),NA()),VALUE(TRIM(MID(SUBSTITUTE(SUBSTITUTE(SUBSTITUTE(TRIM($AS$20),",",";")," ",""),";",REPT(" ",99)),2080,99)))),NA())</f>
        <v/>
      </c>
      <c r="BA25">
        <f>IF($AT$25="","",IFERROR(IF(ABS($AT$25)&gt;=1000000,ROUND($AT$25/1000000,MAX(0,1-INT(LOG10($AS$27/1000000))))&amp;"M",IF(ABS($AT$25)&gt;=1000,ROUND($AT$25/1000,MAX(0,1-INT(LOG10($AS$27/1000))))&amp;"k",TEXT($AT$25,"#,##0"))),TEXT($AT$25,"#,##0")))</f>
        <v/>
      </c>
      <c r="BB25" t="n">
        <v>147000</v>
      </c>
      <c r="BC25" t="n">
        <v>150500</v>
      </c>
      <c r="BD25" t="n">
        <v>251</v>
      </c>
      <c r="BE25" t="inlineStr">
        <is>
          <t>P75</t>
        </is>
      </c>
      <c r="BF25" t="n">
        <v>235048.25</v>
      </c>
      <c r="BG25">
        <f>IF(22&lt;=$BF$13,$BF$14+(22-1)*$BF$16,"")</f>
        <v/>
      </c>
      <c r="BH25">
        <f>IF(22&gt;$BF$13,"",SUMIFS($BD$4:$BD$203,$BC$4:$BC$203,"&gt;="&amp;$BG$25,$BC$4:$BC$203,IF(22=$BF$13,"&lt;=","&lt;")&amp;($BG$25+$BF$16)))</f>
        <v/>
      </c>
      <c r="BI25">
        <f>IF(AND(MOD(11,$BF$17)=0,MOD((INT(11/$BF$17)+1)-1,$BF$13/5)=0),INDEX($BN$4:$BN$53,(INT(11/$BF$17)+1)),"")</f>
        <v/>
      </c>
      <c r="BJ25">
        <f>IF(MOD(11,$BF$17)=$BF$17-1,0,INDEX($BH$4:$BH$53,(INT(11/$BF$17)+1)))</f>
        <v/>
      </c>
      <c r="BK25">
        <f>IFERROR(IF(AND($BM$14&gt;=$BF$14,$BM$14&lt;=$BF$15),10+0.5+100*($BM$14-$BF$14)/($BF$15-$BF$14),NA()),NA())</f>
        <v/>
      </c>
      <c r="BL25">
        <f>IF(ISNA($BK$25),NA(),MAX($BJ$4:$BJ$123))</f>
        <v/>
      </c>
      <c r="BM25">
        <f>IFERROR(IF(LEFT(LOWER(TRIM($BF$20)),5)="every",IF(((INT($BF$11/VALUE(TRIM(MID(TRIM($BF$20),6,99))))*VALUE(TRIM(MID(TRIM($BF$20),6,99)))+VALUE(TRIM(MID(TRIM($BF$20),6,99))))+21*VALUE(TRIM(MID(TRIM($BF$20),6,99))))&lt;=$BF$12,((INT($BF$11/VALUE(TRIM(MID(TRIM($BF$20),6,99))))*VALUE(TRIM(MID(TRIM($BF$20),6,99)))+VALUE(TRIM(MID(TRIM($BF$20),6,99))))+21*VALUE(TRIM(MID(TRIM($BF$20),6,99)))),NA()),VALUE(TRIM(MID(SUBSTITUTE(SUBSTITUTE(SUBSTITUTE(TRIM($BF$20),",",";")," ",""),";",REPT(" ",99)),2080,99)))),NA())</f>
        <v/>
      </c>
      <c r="BN25">
        <f>IF($BG$25="","",IFERROR(IF(ABS($BG$25)&gt;=1000000,ROUND($BG$25/1000000,MAX(0,1-INT(LOG10($BF$27/1000000))))&amp;"M",IF(ABS($BG$25)&gt;=1000,ROUND($BG$25/1000,MAX(0,1-INT(LOG10($BF$27/1000))))&amp;"k",TEXT($BG$25,"#,##0"))),TEXT($BG$25,"#,##0")))</f>
        <v/>
      </c>
      <c r="BO25" t="n">
        <v>0.126</v>
      </c>
      <c r="BP25" t="n">
        <v>0.129</v>
      </c>
      <c r="BQ25" t="n">
        <v>56</v>
      </c>
      <c r="BR25" t="inlineStr">
        <is>
          <t>P75</t>
        </is>
      </c>
      <c r="BS25" t="n">
        <v>0.9155249999999999</v>
      </c>
      <c r="BT25">
        <f>IF(22&lt;=$BS$13,$BS$14+(22-1)*$BS$16,"")</f>
        <v/>
      </c>
      <c r="BU25">
        <f>IF(22&gt;$BS$13,"",SUMIFS($BQ$4:$BQ$203,$BP$4:$BP$203,"&gt;="&amp;$BT$25,$BP$4:$BP$203,IF(22=$BS$13,"&lt;=","&lt;")&amp;($BT$25+$BS$16)))</f>
        <v/>
      </c>
      <c r="BV25">
        <f>IF(AND(MOD(11,$BS$17)=0,MOD((INT(11/$BS$17)+1)-1,$BS$13/5)=0),INDEX($CA$4:$CA$53,(INT(11/$BS$17)+1)),"")</f>
        <v/>
      </c>
      <c r="BW25">
        <f>IF(MOD(11,$BS$17)=$BS$17-1,0,INDEX($BU$4:$BU$53,(INT(11/$BS$17)+1)))</f>
        <v/>
      </c>
      <c r="BX25">
        <f>IFERROR(IF(AND($BZ$14&gt;=$BS$14,$BZ$14&lt;=$BS$15),10+0.5+100*($BZ$14-$BS$14)/($BS$15-$BS$14),NA()),NA())</f>
        <v/>
      </c>
      <c r="BY25">
        <f>IF(ISNA($BX$25),NA(),MAX($BW$4:$BW$123))</f>
        <v/>
      </c>
      <c r="BZ25">
        <f>IFERROR(IF(LEFT(LOWER(TRIM($BS$20)),5)="every",IF(((INT($BS$11/VALUE(TRIM(MID(TRIM($BS$20),6,99))))*VALUE(TRIM(MID(TRIM($BS$20),6,99)))+VALUE(TRIM(MID(TRIM($BS$20),6,99))))+21*VALUE(TRIM(MID(TRIM($BS$20),6,99))))&lt;=$BS$12,((INT($BS$11/VALUE(TRIM(MID(TRIM($BS$20),6,99))))*VALUE(TRIM(MID(TRIM($BS$20),6,99)))+VALUE(TRIM(MID(TRIM($BS$20),6,99))))+21*VALUE(TRIM(MID(TRIM($BS$20),6,99)))),NA()),VALUE(TRIM(MID(SUBSTITUTE(SUBSTITUTE(SUBSTITUTE(TRIM($BS$20),",",";")," ",""),";",REPT(" ",99)),2080,99)))),NA())</f>
        <v/>
      </c>
      <c r="CA25">
        <f>IF($BT$25="","",IFERROR(IF(ABS($BT$25)&gt;=1000000,ROUND($BT$25/1000000,MAX(0,1-INT(LOG10($BS$27/1000000))))&amp;"M",IF(ABS($BT$25)&gt;=1000,ROUND($BT$25/1000,MAX(0,1-INT(LOG10($BS$27/1000))))&amp;"k",TEXT($BT$25,"0.00"))),TEXT($BT$25,"0.00")))</f>
        <v/>
      </c>
      <c r="CB25" t="n">
        <v>3.15</v>
      </c>
      <c r="CC25" t="n">
        <v>3.225</v>
      </c>
      <c r="CD25" t="n">
        <v>124</v>
      </c>
      <c r="CE25" t="inlineStr">
        <is>
          <t>P75</t>
        </is>
      </c>
      <c r="CF25" t="n">
        <v>8.4</v>
      </c>
      <c r="CG25">
        <f>IF(22&lt;=$CF$13,$CF$14+(22-1)*$CF$16,"")</f>
        <v/>
      </c>
      <c r="CH25">
        <f>IF(22&gt;$CF$13,"",SUMIFS($CD$4:$CD$203,$CC$4:$CC$203,"&gt;="&amp;$CG$25,$CC$4:$CC$203,IF(22=$CF$13,"&lt;=","&lt;")&amp;($CG$25+$CF$16)))</f>
        <v/>
      </c>
      <c r="CI25">
        <f>IF(AND(MOD(11,$CF$17)=0,MOD((INT(11/$CF$17)+1)-1,$CF$13/5)=0),INDEX($CN$4:$CN$53,(INT(11/$CF$17)+1)),"")</f>
        <v/>
      </c>
      <c r="CJ25">
        <f>IF(MOD(11,$CF$17)=$CF$17-1,0,INDEX($CH$4:$CH$53,(INT(11/$CF$17)+1)))</f>
        <v/>
      </c>
      <c r="CK25">
        <f>IFERROR(IF(AND($CM$14&gt;=$CF$14,$CM$14&lt;=$CF$15),10+0.5+100*($CM$14-$CF$14)/($CF$15-$CF$14),NA()),NA())</f>
        <v/>
      </c>
      <c r="CL25">
        <f>IF(ISNA($CK$25),NA(),MAX($CJ$4:$CJ$123))</f>
        <v/>
      </c>
      <c r="CM25">
        <f>IFERROR(IF(LEFT(LOWER(TRIM($CF$20)),5)="every",IF(((INT($CF$11/VALUE(TRIM(MID(TRIM($CF$20),6,99))))*VALUE(TRIM(MID(TRIM($CF$20),6,99)))+VALUE(TRIM(MID(TRIM($CF$20),6,99))))+21*VALUE(TRIM(MID(TRIM($CF$20),6,99))))&lt;=$CF$12,((INT($CF$11/VALUE(TRIM(MID(TRIM($CF$20),6,99))))*VALUE(TRIM(MID(TRIM($CF$20),6,99)))+VALUE(TRIM(MID(TRIM($CF$20),6,99))))+21*VALUE(TRIM(MID(TRIM($CF$20),6,99)))),NA()),VALUE(TRIM(MID(SUBSTITUTE(SUBSTITUTE(SUBSTITUTE(TRIM($CF$20),",",";")," ",""),";",REPT(" ",99)),2080,99)))),NA())</f>
        <v/>
      </c>
      <c r="CN25">
        <f>IF($CG$25="","",IFERROR(IF(ABS($CG$25)&gt;=1000000,ROUND($CG$25/1000000,MAX(0,1-INT(LOG10($CF$27/1000000))))&amp;"M",IF(ABS($CG$25)&gt;=1000,ROUND($CG$25/1000,MAX(0,1-INT(LOG10($CF$27/1000))))&amp;"k",TEXT($CG$25,"#,##0.0"))),TEXT($CG$25,"#,##0.0")))</f>
        <v/>
      </c>
      <c r="CO25" t="n">
        <v>18.4</v>
      </c>
      <c r="CP25" t="n">
        <v>18.6</v>
      </c>
      <c r="CQ25" t="n">
        <v>18</v>
      </c>
      <c r="CR25" t="inlineStr">
        <is>
          <t>P75</t>
        </is>
      </c>
      <c r="CS25" t="n">
        <v>60.12</v>
      </c>
      <c r="CT25">
        <f>IF(22&lt;=$CS$13,$CS$14+(22-1)*$CS$16,"")</f>
        <v/>
      </c>
      <c r="CU25">
        <f>IF(22&gt;$CS$13,"",SUMIFS($CQ$4:$CQ$203,$CP$4:$CP$203,"&gt;="&amp;$CT$25,$CP$4:$CP$203,IF(22=$CS$13,"&lt;=","&lt;")&amp;($CT$25+$CS$16)))</f>
        <v/>
      </c>
      <c r="CV25">
        <f>IF(AND(MOD(11,$CS$17)=0,MOD((INT(11/$CS$17)+1)-1,$CS$13/5)=0),INDEX($DA$4:$DA$53,(INT(11/$CS$17)+1)),"")</f>
        <v/>
      </c>
      <c r="CW25">
        <f>IF(MOD(11,$CS$17)=$CS$17-1,0,INDEX($CU$4:$CU$53,(INT(11/$CS$17)+1)))</f>
        <v/>
      </c>
      <c r="CX25">
        <f>IFERROR(IF(AND($CZ$14&gt;=$CS$14,$CZ$14&lt;=$CS$15),10+0.5+100*($CZ$14-$CS$14)/($CS$15-$CS$14),NA()),NA())</f>
        <v/>
      </c>
      <c r="CY25">
        <f>IF(ISNA($CX$25),NA(),MAX($CW$4:$CW$123))</f>
        <v/>
      </c>
      <c r="CZ25">
        <f>IFERROR(IF(LEFT(LOWER(TRIM($CS$20)),5)="every",IF(((INT($CS$11/VALUE(TRIM(MID(TRIM($CS$20),6,99))))*VALUE(TRIM(MID(TRIM($CS$20),6,99)))+VALUE(TRIM(MID(TRIM($CS$20),6,99))))+21*VALUE(TRIM(MID(TRIM($CS$20),6,99))))&lt;=$CS$12,((INT($CS$11/VALUE(TRIM(MID(TRIM($CS$20),6,99))))*VALUE(TRIM(MID(TRIM($CS$20),6,99)))+VALUE(TRIM(MID(TRIM($CS$20),6,99))))+21*VALUE(TRIM(MID(TRIM($CS$20),6,99)))),NA()),VALUE(TRIM(MID(SUBSTITUTE(SUBSTITUTE(SUBSTITUTE(TRIM($CS$20),",",";")," ",""),";",REPT(" ",99)),2080,99)))),NA())</f>
        <v/>
      </c>
      <c r="DA25">
        <f>IF($CT$25="","",IFERROR(IF(ABS($CT$25)&gt;=1000000,ROUND($CT$25/1000000,MAX(0,1-INT(LOG10($CS$27/1000000))))&amp;"M",IF(ABS($CT$25)&gt;=1000,ROUND($CT$25/1000,MAX(0,1-INT(LOG10($CS$27/1000))))&amp;"k",TEXT($CT$25,"#,##0"))),TEXT($CT$25,"#,##0")))</f>
        <v/>
      </c>
      <c r="DB25" t="n">
        <v>17.35</v>
      </c>
      <c r="DC25" t="n">
        <v>17.525</v>
      </c>
      <c r="DD25" t="n">
        <v>21</v>
      </c>
      <c r="DE25" t="inlineStr">
        <is>
          <t>P75</t>
        </is>
      </c>
      <c r="DF25" t="n">
        <v>54.36</v>
      </c>
      <c r="DG25">
        <f>IF(22&lt;=$DF$13,$DF$14+(22-1)*$DF$16,"")</f>
        <v/>
      </c>
      <c r="DH25">
        <f>IF(22&gt;$DF$13,"",SUMIFS($DD$4:$DD$203,$DC$4:$DC$203,"&gt;="&amp;$DG$25,$DC$4:$DC$203,IF(22=$DF$13,"&lt;=","&lt;")&amp;($DG$25+$DF$16)))</f>
        <v/>
      </c>
      <c r="DI25">
        <f>IF(AND(MOD(11,$DF$17)=0,MOD((INT(11/$DF$17)+1)-1,$DF$13/5)=0),INDEX($DN$4:$DN$53,(INT(11/$DF$17)+1)),"")</f>
        <v/>
      </c>
      <c r="DJ25">
        <f>IF(MOD(11,$DF$17)=$DF$17-1,0,INDEX($DH$4:$DH$53,(INT(11/$DF$17)+1)))</f>
        <v/>
      </c>
      <c r="DK25">
        <f>IFERROR(IF(AND($DM$14&gt;=$DF$14,$DM$14&lt;=$DF$15),10+0.5+100*($DM$14-$DF$14)/($DF$15-$DF$14),NA()),NA())</f>
        <v/>
      </c>
      <c r="DL25">
        <f>IF(ISNA($DK$25),NA(),MAX($DJ$4:$DJ$123))</f>
        <v/>
      </c>
      <c r="DM25">
        <f>IFERROR(IF(LEFT(LOWER(TRIM($DF$20)),5)="every",IF(((INT($DF$11/VALUE(TRIM(MID(TRIM($DF$20),6,99))))*VALUE(TRIM(MID(TRIM($DF$20),6,99)))+VALUE(TRIM(MID(TRIM($DF$20),6,99))))+21*VALUE(TRIM(MID(TRIM($DF$20),6,99))))&lt;=$DF$12,((INT($DF$11/VALUE(TRIM(MID(TRIM($DF$20),6,99))))*VALUE(TRIM(MID(TRIM($DF$20),6,99)))+VALUE(TRIM(MID(TRIM($DF$20),6,99))))+21*VALUE(TRIM(MID(TRIM($DF$20),6,99)))),NA()),VALUE(TRIM(MID(SUBSTITUTE(SUBSTITUTE(SUBSTITUTE(TRIM($DF$20),",",";")," ",""),";",REPT(" ",99)),2080,99)))),NA())</f>
        <v/>
      </c>
      <c r="DN25">
        <f>IF($DG$25="","",IFERROR(IF(ABS($DG$25)&gt;=1000000,ROUND($DG$25/1000000,MAX(0,1-INT(LOG10($DF$27/1000000))))&amp;"M",IF(ABS($DG$25)&gt;=1000,ROUND($DG$25/1000,MAX(0,1-INT(LOG10($DF$27/1000))))&amp;"k",TEXT($DG$25,"#,##0.0"))),TEXT($DG$25,"#,##0.0")))</f>
        <v/>
      </c>
      <c r="DO25" t="n">
        <v>8.025</v>
      </c>
      <c r="DP25" t="n">
        <v>8.0375</v>
      </c>
      <c r="DQ25" t="n">
        <v>22</v>
      </c>
      <c r="DR25" t="inlineStr">
        <is>
          <t>P75</t>
        </is>
      </c>
      <c r="DS25" t="n">
        <v>10.7075</v>
      </c>
      <c r="DT25">
        <f>IF(22&lt;=$DS$13,$DS$14+(22-1)*$DS$16,"")</f>
        <v/>
      </c>
      <c r="DU25">
        <f>IF(22&gt;$DS$13,"",SUMIFS($DQ$4:$DQ$203,$DP$4:$DP$203,"&gt;="&amp;$DT$25,$DP$4:$DP$203,IF(22=$DS$13,"&lt;=","&lt;")&amp;($DT$25+$DS$16)))</f>
        <v/>
      </c>
      <c r="DV25">
        <f>IF(AND(MOD(11,$DS$17)=0,MOD((INT(11/$DS$17)+1)-1,$DS$13/5)=0),INDEX($EA$4:$EA$53,(INT(11/$DS$17)+1)),"")</f>
        <v/>
      </c>
      <c r="DW25">
        <f>IF(MOD(11,$DS$17)=$DS$17-1,0,INDEX($DU$4:$DU$53,(INT(11/$DS$17)+1)))</f>
        <v/>
      </c>
      <c r="DX25">
        <f>IFERROR(IF(AND($DZ$14&gt;=$DS$14,$DZ$14&lt;=$DS$15),10+0.5+100*($DZ$14-$DS$14)/($DS$15-$DS$14),NA()),NA())</f>
        <v/>
      </c>
      <c r="DY25">
        <f>IF(ISNA($DX$25),NA(),MAX($DW$4:$DW$123))</f>
        <v/>
      </c>
      <c r="DZ25">
        <f>IFERROR(IF(LEFT(LOWER(TRIM($DS$20)),5)="every",IF(((INT($DS$11/VALUE(TRIM(MID(TRIM($DS$20),6,99))))*VALUE(TRIM(MID(TRIM($DS$20),6,99)))+VALUE(TRIM(MID(TRIM($DS$20),6,99))))+21*VALUE(TRIM(MID(TRIM($DS$20),6,99))))&lt;=$DS$12,((INT($DS$11/VALUE(TRIM(MID(TRIM($DS$20),6,99))))*VALUE(TRIM(MID(TRIM($DS$20),6,99)))+VALUE(TRIM(MID(TRIM($DS$20),6,99))))+21*VALUE(TRIM(MID(TRIM($DS$20),6,99)))),NA()),VALUE(TRIM(MID(SUBSTITUTE(SUBSTITUTE(SUBSTITUTE(TRIM($DS$20),",",";")," ",""),";",REPT(" ",99)),2080,99)))),NA())</f>
        <v/>
      </c>
      <c r="EA25">
        <f>IF($DT$25="","",IFERROR(IF(ABS($DT$25)&gt;=1000000,ROUND($DT$25/1000000,MAX(0,1-INT(LOG10($DS$27/1000000))))&amp;"M",IF(ABS($DT$25)&gt;=1000,ROUND($DT$25/1000,MAX(0,1-INT(LOG10($DS$27/1000))))&amp;"k",TEXT($DT$25,"#,##0.0"))),TEXT($DT$25,"#,##0.0")))</f>
        <v/>
      </c>
      <c r="EB25" t="n">
        <v>10.5</v>
      </c>
      <c r="EC25" t="n">
        <v>10.75</v>
      </c>
      <c r="ED25" t="n">
        <v>60</v>
      </c>
      <c r="EE25" t="inlineStr">
        <is>
          <t>P75</t>
        </is>
      </c>
      <c r="EF25" t="n">
        <v>75.2</v>
      </c>
      <c r="EG25">
        <f>IF(22&lt;=$EF$13,$EF$14+(22-1)*$EF$16,"")</f>
        <v/>
      </c>
      <c r="EH25">
        <f>IF(22&gt;$EF$13,"",SUMIFS($ED$4:$ED$203,$EC$4:$EC$203,"&gt;="&amp;$EG$25,$EC$4:$EC$203,IF(22=$EF$13,"&lt;=","&lt;")&amp;($EG$25+$EF$16)))</f>
        <v/>
      </c>
      <c r="EI25">
        <f>IF(AND(MOD(11,$EF$17)=0,MOD((INT(11/$EF$17)+1)-1,$EF$13/5)=0),INDEX($EN$4:$EN$53,(INT(11/$EF$17)+1)),"")</f>
        <v/>
      </c>
      <c r="EJ25">
        <f>IF(MOD(11,$EF$17)=$EF$17-1,0,INDEX($EH$4:$EH$53,(INT(11/$EF$17)+1)))</f>
        <v/>
      </c>
      <c r="EK25">
        <f>IFERROR(IF(AND($EM$14&gt;=$EF$14,$EM$14&lt;=$EF$15),10+0.5+100*($EM$14-$EF$14)/($EF$15-$EF$14),NA()),NA())</f>
        <v/>
      </c>
      <c r="EL25">
        <f>IF(ISNA($EK$25),NA(),MAX($EJ$4:$EJ$123))</f>
        <v/>
      </c>
      <c r="EM25">
        <f>IFERROR(IF(LEFT(LOWER(TRIM($EF$20)),5)="every",IF(((INT($EF$11/VALUE(TRIM(MID(TRIM($EF$20),6,99))))*VALUE(TRIM(MID(TRIM($EF$20),6,99)))+VALUE(TRIM(MID(TRIM($EF$20),6,99))))+21*VALUE(TRIM(MID(TRIM($EF$20),6,99))))&lt;=$EF$12,((INT($EF$11/VALUE(TRIM(MID(TRIM($EF$20),6,99))))*VALUE(TRIM(MID(TRIM($EF$20),6,99)))+VALUE(TRIM(MID(TRIM($EF$20),6,99))))+21*VALUE(TRIM(MID(TRIM($EF$20),6,99)))),NA()),VALUE(TRIM(MID(SUBSTITUTE(SUBSTITUTE(SUBSTITUTE(TRIM($EF$20),",",";")," ",""),";",REPT(" ",99)),2080,99)))),NA())</f>
        <v/>
      </c>
      <c r="EN25">
        <f>IF($EG$25="","",IFERROR(IF(ABS($EG$25)&gt;=1000000,ROUND($EG$25/1000000,MAX(0,1-INT(LOG10($EF$27/1000000))))&amp;"M",IF(ABS($EG$25)&gt;=1000,ROUND($EG$25/1000,MAX(0,1-INT(LOG10($EF$27/1000))))&amp;"k",TEXT($EG$25,"#,##0"))),TEXT($EG$25,"#,##0")))</f>
        <v/>
      </c>
      <c r="EO25" t="n">
        <v>0.3675</v>
      </c>
      <c r="EP25" t="n">
        <v>0.37625</v>
      </c>
      <c r="EQ25" t="n">
        <v>258</v>
      </c>
      <c r="ER25" t="inlineStr">
        <is>
          <t>P75</t>
        </is>
      </c>
      <c r="ES25" t="n">
        <v>0.8637362753173674</v>
      </c>
      <c r="ET25">
        <f>IF(22&lt;=$ES$13,$ES$14+(22-1)*$ES$16,"")</f>
        <v/>
      </c>
      <c r="EU25">
        <f>IF(22&gt;$ES$13,"",SUMIFS($EQ$4:$EQ$203,$EP$4:$EP$203,"&gt;="&amp;$ET$25,$EP$4:$EP$203,IF(22=$ES$13,"&lt;=","&lt;")&amp;($ET$25+$ES$16)))</f>
        <v/>
      </c>
      <c r="EV25">
        <f>IF(AND(MOD(11,$ES$17)=0,MOD((INT(11/$ES$17)+1)-1,$ES$13/5)=0),INDEX($FA$4:$FA$53,(INT(11/$ES$17)+1)),"")</f>
        <v/>
      </c>
      <c r="EW25">
        <f>IF(MOD(11,$ES$17)=$ES$17-1,0,INDEX($EU$4:$EU$53,(INT(11/$ES$17)+1)))</f>
        <v/>
      </c>
      <c r="EX25">
        <f>IFERROR(IF(AND($EZ$14&gt;=$ES$14,$EZ$14&lt;=$ES$15),10+0.5+100*($EZ$14-$ES$14)/($ES$15-$ES$14),NA()),NA())</f>
        <v/>
      </c>
      <c r="EY25">
        <f>IF(ISNA($EX$25),NA(),MAX($EW$4:$EW$123))</f>
        <v/>
      </c>
      <c r="EZ25">
        <f>IFERROR(IF(LEFT(LOWER(TRIM($ES$20)),5)="every",IF(((INT($ES$11/VALUE(TRIM(MID(TRIM($ES$20),6,99))))*VALUE(TRIM(MID(TRIM($ES$20),6,99)))+VALUE(TRIM(MID(TRIM($ES$20),6,99))))+21*VALUE(TRIM(MID(TRIM($ES$20),6,99))))&lt;=$ES$12,((INT($ES$11/VALUE(TRIM(MID(TRIM($ES$20),6,99))))*VALUE(TRIM(MID(TRIM($ES$20),6,99)))+VALUE(TRIM(MID(TRIM($ES$20),6,99))))+21*VALUE(TRIM(MID(TRIM($ES$20),6,99)))),NA()),VALUE(TRIM(MID(SUBSTITUTE(SUBSTITUTE(SUBSTITUTE(TRIM($ES$20),",",";")," ",""),";",REPT(" ",99)),2080,99)))),NA())</f>
        <v/>
      </c>
      <c r="FA25">
        <f>IF($ET$25="","",IFERROR(IF(ABS($ET$25)&gt;=1000000,ROUND($ET$25/1000000,MAX(0,1-INT(LOG10($ES$27/1000000))))&amp;"M",IF(ABS($ET$25)&gt;=1000,ROUND($ET$25/1000,MAX(0,1-INT(LOG10($ES$27/1000))))&amp;"k",TEXT($ET$25,"0.00"))),TEXT($ET$25,"0.00")))</f>
        <v/>
      </c>
    </row>
    <row r="26">
      <c r="B26" t="n">
        <v>583</v>
      </c>
      <c r="C26" t="n">
        <v>583.75</v>
      </c>
      <c r="D26" t="n">
        <v>20</v>
      </c>
      <c r="E26" t="inlineStr">
        <is>
          <t>P90</t>
        </is>
      </c>
      <c r="F26" t="n">
        <v>771</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55</v>
      </c>
      <c r="R26" t="inlineStr">
        <is>
          <t>P90</t>
        </is>
      </c>
      <c r="S26" t="n">
        <v>54473.9</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44</v>
      </c>
      <c r="AE26" t="inlineStr">
        <is>
          <t>P90</t>
        </is>
      </c>
      <c r="AF26" t="n">
        <v>20625.653</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c r="AO26" t="n">
        <v>88000</v>
      </c>
      <c r="AP26" t="n">
        <v>90000</v>
      </c>
      <c r="AQ26" t="n">
        <v>53</v>
      </c>
      <c r="AR26" t="inlineStr">
        <is>
          <t>P90</t>
        </is>
      </c>
      <c r="AS26" t="n">
        <v>471015.5</v>
      </c>
      <c r="AT26">
        <f>IF(23&lt;=$AS$13,$AS$14+(23-1)*$AS$16,"")</f>
        <v/>
      </c>
      <c r="AU26">
        <f>IF(23&gt;$AS$13,"",SUMIFS($AQ$4:$AQ$203,$AP$4:$AP$203,"&gt;="&amp;$AT$26,$AP$4:$AP$203,IF(23=$AS$13,"&lt;=","&lt;")&amp;($AT$26+$AS$16)))</f>
        <v/>
      </c>
      <c r="AV26">
        <f>IF(AND(MOD(12,$AS$17)=0,MOD((INT(12/$AS$17)+1)-1,$AS$13/5)=0),INDEX($BA$4:$BA$53,(INT(12/$AS$17)+1)),"")</f>
        <v/>
      </c>
      <c r="AW26">
        <f>IF(MOD(12,$AS$17)=$AS$17-1,0,INDEX($AU$4:$AU$53,(INT(12/$AS$17)+1)))</f>
        <v/>
      </c>
      <c r="AX26">
        <f>IFERROR(IF(AND($AZ$15&gt;=$AS$14,$AZ$15&lt;=$AS$15),10+0.5+100*($AZ$15-$AS$14)/($AS$15-$AS$14),NA()),NA())</f>
        <v/>
      </c>
      <c r="AY26">
        <f>IF(ISNA($AX$26),NA(),0)</f>
        <v/>
      </c>
      <c r="AZ26">
        <f>IFERROR(IF(LEFT(LOWER(TRIM($AS$20)),5)="every",IF(((INT($AS$11/VALUE(TRIM(MID(TRIM($AS$20),6,99))))*VALUE(TRIM(MID(TRIM($AS$20),6,99)))+VALUE(TRIM(MID(TRIM($AS$20),6,99))))+22*VALUE(TRIM(MID(TRIM($AS$20),6,99))))&lt;=$AS$12,((INT($AS$11/VALUE(TRIM(MID(TRIM($AS$20),6,99))))*VALUE(TRIM(MID(TRIM($AS$20),6,99)))+VALUE(TRIM(MID(TRIM($AS$20),6,99))))+22*VALUE(TRIM(MID(TRIM($AS$20),6,99)))),NA()),VALUE(TRIM(MID(SUBSTITUTE(SUBSTITUTE(SUBSTITUTE(TRIM($AS$20),",",";")," ",""),";",REPT(" ",99)),2179,99)))),NA())</f>
        <v/>
      </c>
      <c r="BA26">
        <f>IF($AT$26="","",IFERROR(IF(ABS($AT$26)&gt;=1000000,ROUND($AT$26/1000000,MAX(0,1-INT(LOG10($AS$27/1000000))))&amp;"M",IF(ABS($AT$26)&gt;=1000,ROUND($AT$26/1000,MAX(0,1-INT(LOG10($AS$27/1000))))&amp;"k",TEXT($AT$26,"#,##0"))),TEXT($AT$26,"#,##0")))</f>
        <v/>
      </c>
      <c r="BB26" t="n">
        <v>154000</v>
      </c>
      <c r="BC26" t="n">
        <v>157500</v>
      </c>
      <c r="BD26" t="n">
        <v>250</v>
      </c>
      <c r="BE26" t="inlineStr">
        <is>
          <t>P90</t>
        </is>
      </c>
      <c r="BF26" t="n">
        <v>429233.6</v>
      </c>
      <c r="BG26">
        <f>IF(23&lt;=$BF$13,$BF$14+(23-1)*$BF$16,"")</f>
        <v/>
      </c>
      <c r="BH26">
        <f>IF(23&gt;$BF$13,"",SUMIFS($BD$4:$BD$203,$BC$4:$BC$203,"&gt;="&amp;$BG$26,$BC$4:$BC$203,IF(23=$BF$13,"&lt;=","&lt;")&amp;($BG$26+$BF$16)))</f>
        <v/>
      </c>
      <c r="BI26">
        <f>IF(AND(MOD(12,$BF$17)=0,MOD((INT(12/$BF$17)+1)-1,$BF$13/5)=0),INDEX($BN$4:$BN$53,(INT(12/$BF$17)+1)),"")</f>
        <v/>
      </c>
      <c r="BJ26">
        <f>IF(MOD(12,$BF$17)=$BF$17-1,0,INDEX($BH$4:$BH$53,(INT(12/$BF$17)+1)))</f>
        <v/>
      </c>
      <c r="BK26">
        <f>IFERROR(IF(AND($BM$15&gt;=$BF$14,$BM$15&lt;=$BF$15),10+0.5+100*($BM$15-$BF$14)/($BF$15-$BF$14),NA()),NA())</f>
        <v/>
      </c>
      <c r="BL26">
        <f>IF(ISNA($BK$26),NA(),0)</f>
        <v/>
      </c>
      <c r="BM26">
        <f>IFERROR(IF(LEFT(LOWER(TRIM($BF$20)),5)="every",IF(((INT($BF$11/VALUE(TRIM(MID(TRIM($BF$20),6,99))))*VALUE(TRIM(MID(TRIM($BF$20),6,99)))+VALUE(TRIM(MID(TRIM($BF$20),6,99))))+22*VALUE(TRIM(MID(TRIM($BF$20),6,99))))&lt;=$BF$12,((INT($BF$11/VALUE(TRIM(MID(TRIM($BF$20),6,99))))*VALUE(TRIM(MID(TRIM($BF$20),6,99)))+VALUE(TRIM(MID(TRIM($BF$20),6,99))))+22*VALUE(TRIM(MID(TRIM($BF$20),6,99)))),NA()),VALUE(TRIM(MID(SUBSTITUTE(SUBSTITUTE(SUBSTITUTE(TRIM($BF$20),",",";")," ",""),";",REPT(" ",99)),2179,99)))),NA())</f>
        <v/>
      </c>
      <c r="BN26">
        <f>IF($BG$26="","",IFERROR(IF(ABS($BG$26)&gt;=1000000,ROUND($BG$26/1000000,MAX(0,1-INT(LOG10($BF$27/1000000))))&amp;"M",IF(ABS($BG$26)&gt;=1000,ROUND($BG$26/1000,MAX(0,1-INT(LOG10($BF$27/1000))))&amp;"k",TEXT($BG$26,"#,##0"))),TEXT($BG$26,"#,##0")))</f>
        <v/>
      </c>
      <c r="BO26" t="n">
        <v>0.132</v>
      </c>
      <c r="BP26" t="n">
        <v>0.135</v>
      </c>
      <c r="BQ26" t="n">
        <v>65</v>
      </c>
      <c r="BR26" t="inlineStr">
        <is>
          <t>P90</t>
        </is>
      </c>
      <c r="BS26" t="n">
        <v>1.08751</v>
      </c>
      <c r="BT26">
        <f>IF(23&lt;=$BS$13,$BS$14+(23-1)*$BS$16,"")</f>
        <v/>
      </c>
      <c r="BU26">
        <f>IF(23&gt;$BS$13,"",SUMIFS($BQ$4:$BQ$203,$BP$4:$BP$203,"&gt;="&amp;$BT$26,$BP$4:$BP$203,IF(23=$BS$13,"&lt;=","&lt;")&amp;($BT$26+$BS$16)))</f>
        <v/>
      </c>
      <c r="BV26">
        <f>IF(AND(MOD(12,$BS$17)=0,MOD((INT(12/$BS$17)+1)-1,$BS$13/5)=0),INDEX($CA$4:$CA$53,(INT(12/$BS$17)+1)),"")</f>
        <v/>
      </c>
      <c r="BW26">
        <f>IF(MOD(12,$BS$17)=$BS$17-1,0,INDEX($BU$4:$BU$53,(INT(12/$BS$17)+1)))</f>
        <v/>
      </c>
      <c r="BX26">
        <f>IFERROR(IF(AND($BZ$15&gt;=$BS$14,$BZ$15&lt;=$BS$15),10+0.5+100*($BZ$15-$BS$14)/($BS$15-$BS$14),NA()),NA())</f>
        <v/>
      </c>
      <c r="BY26">
        <f>IF(ISNA($BX$26),NA(),0)</f>
        <v/>
      </c>
      <c r="BZ26">
        <f>IFERROR(IF(LEFT(LOWER(TRIM($BS$20)),5)="every",IF(((INT($BS$11/VALUE(TRIM(MID(TRIM($BS$20),6,99))))*VALUE(TRIM(MID(TRIM($BS$20),6,99)))+VALUE(TRIM(MID(TRIM($BS$20),6,99))))+22*VALUE(TRIM(MID(TRIM($BS$20),6,99))))&lt;=$BS$12,((INT($BS$11/VALUE(TRIM(MID(TRIM($BS$20),6,99))))*VALUE(TRIM(MID(TRIM($BS$20),6,99)))+VALUE(TRIM(MID(TRIM($BS$20),6,99))))+22*VALUE(TRIM(MID(TRIM($BS$20),6,99)))),NA()),VALUE(TRIM(MID(SUBSTITUTE(SUBSTITUTE(SUBSTITUTE(TRIM($BS$20),",",";")," ",""),";",REPT(" ",99)),2179,99)))),NA())</f>
        <v/>
      </c>
      <c r="CA26">
        <f>IF($BT$26="","",IFERROR(IF(ABS($BT$26)&gt;=1000000,ROUND($BT$26/1000000,MAX(0,1-INT(LOG10($BS$27/1000000))))&amp;"M",IF(ABS($BT$26)&gt;=1000,ROUND($BT$26/1000,MAX(0,1-INT(LOG10($BS$27/1000))))&amp;"k",TEXT($BT$26,"0.00"))),TEXT($BT$26,"0.00")))</f>
        <v/>
      </c>
      <c r="CB26" t="n">
        <v>3.3</v>
      </c>
      <c r="CC26" t="n">
        <v>3.375</v>
      </c>
      <c r="CD26" t="n">
        <v>207</v>
      </c>
      <c r="CE26" t="inlineStr">
        <is>
          <t>P90</t>
        </is>
      </c>
      <c r="CF26" t="n">
        <v>13.8</v>
      </c>
      <c r="CG26">
        <f>IF(23&lt;=$CF$13,$CF$14+(23-1)*$CF$16,"")</f>
        <v/>
      </c>
      <c r="CH26">
        <f>IF(23&gt;$CF$13,"",SUMIFS($CD$4:$CD$203,$CC$4:$CC$203,"&gt;="&amp;$CG$26,$CC$4:$CC$203,IF(23=$CF$13,"&lt;=","&lt;")&amp;($CG$26+$CF$16)))</f>
        <v/>
      </c>
      <c r="CI26">
        <f>IF(AND(MOD(12,$CF$17)=0,MOD((INT(12/$CF$17)+1)-1,$CF$13/5)=0),INDEX($CN$4:$CN$53,(INT(12/$CF$17)+1)),"")</f>
        <v/>
      </c>
      <c r="CJ26">
        <f>IF(MOD(12,$CF$17)=$CF$17-1,0,INDEX($CH$4:$CH$53,(INT(12/$CF$17)+1)))</f>
        <v/>
      </c>
      <c r="CK26">
        <f>IFERROR(IF(AND($CM$15&gt;=$CF$14,$CM$15&lt;=$CF$15),10+0.5+100*($CM$15-$CF$14)/($CF$15-$CF$14),NA()),NA())</f>
        <v/>
      </c>
      <c r="CL26">
        <f>IF(ISNA($CK$26),NA(),0)</f>
        <v/>
      </c>
      <c r="CM26">
        <f>IFERROR(IF(LEFT(LOWER(TRIM($CF$20)),5)="every",IF(((INT($CF$11/VALUE(TRIM(MID(TRIM($CF$20),6,99))))*VALUE(TRIM(MID(TRIM($CF$20),6,99)))+VALUE(TRIM(MID(TRIM($CF$20),6,99))))+22*VALUE(TRIM(MID(TRIM($CF$20),6,99))))&lt;=$CF$12,((INT($CF$11/VALUE(TRIM(MID(TRIM($CF$20),6,99))))*VALUE(TRIM(MID(TRIM($CF$20),6,99)))+VALUE(TRIM(MID(TRIM($CF$20),6,99))))+22*VALUE(TRIM(MID(TRIM($CF$20),6,99)))),NA()),VALUE(TRIM(MID(SUBSTITUTE(SUBSTITUTE(SUBSTITUTE(TRIM($CF$20),",",";")," ",""),";",REPT(" ",99)),2179,99)))),NA())</f>
        <v/>
      </c>
      <c r="CN26">
        <f>IF($CG$26="","",IFERROR(IF(ABS($CG$26)&gt;=1000000,ROUND($CG$26/1000000,MAX(0,1-INT(LOG10($CF$27/1000000))))&amp;"M",IF(ABS($CG$26)&gt;=1000,ROUND($CG$26/1000,MAX(0,1-INT(LOG10($CF$27/1000))))&amp;"k",TEXT($CG$26,"#,##0.0"))),TEXT($CG$26,"#,##0.0")))</f>
        <v/>
      </c>
      <c r="CO26" t="n">
        <v>18.8</v>
      </c>
      <c r="CP26" t="n">
        <v>19</v>
      </c>
      <c r="CQ26" t="n">
        <v>14</v>
      </c>
      <c r="CR26" t="inlineStr">
        <is>
          <t>P90</t>
        </is>
      </c>
      <c r="CS26" t="n">
        <v>69.31100000000001</v>
      </c>
      <c r="CT26">
        <f>IF(23&lt;=$CS$13,$CS$14+(23-1)*$CS$16,"")</f>
        <v/>
      </c>
      <c r="CU26">
        <f>IF(23&gt;$CS$13,"",SUMIFS($CQ$4:$CQ$203,$CP$4:$CP$203,"&gt;="&amp;$CT$26,$CP$4:$CP$203,IF(23=$CS$13,"&lt;=","&lt;")&amp;($CT$26+$CS$16)))</f>
        <v/>
      </c>
      <c r="CV26">
        <f>IF(AND(MOD(12,$CS$17)=0,MOD((INT(12/$CS$17)+1)-1,$CS$13/5)=0),INDEX($DA$4:$DA$53,(INT(12/$CS$17)+1)),"")</f>
        <v/>
      </c>
      <c r="CW26">
        <f>IF(MOD(12,$CS$17)=$CS$17-1,0,INDEX($CU$4:$CU$53,(INT(12/$CS$17)+1)))</f>
        <v/>
      </c>
      <c r="CX26">
        <f>IFERROR(IF(AND($CZ$15&gt;=$CS$14,$CZ$15&lt;=$CS$15),10+0.5+100*($CZ$15-$CS$14)/($CS$15-$CS$14),NA()),NA())</f>
        <v/>
      </c>
      <c r="CY26">
        <f>IF(ISNA($CX$26),NA(),0)</f>
        <v/>
      </c>
      <c r="CZ26">
        <f>IFERROR(IF(LEFT(LOWER(TRIM($CS$20)),5)="every",IF(((INT($CS$11/VALUE(TRIM(MID(TRIM($CS$20),6,99))))*VALUE(TRIM(MID(TRIM($CS$20),6,99)))+VALUE(TRIM(MID(TRIM($CS$20),6,99))))+22*VALUE(TRIM(MID(TRIM($CS$20),6,99))))&lt;=$CS$12,((INT($CS$11/VALUE(TRIM(MID(TRIM($CS$20),6,99))))*VALUE(TRIM(MID(TRIM($CS$20),6,99)))+VALUE(TRIM(MID(TRIM($CS$20),6,99))))+22*VALUE(TRIM(MID(TRIM($CS$20),6,99)))),NA()),VALUE(TRIM(MID(SUBSTITUTE(SUBSTITUTE(SUBSTITUTE(TRIM($CS$20),",",";")," ",""),";",REPT(" ",99)),2179,99)))),NA())</f>
        <v/>
      </c>
      <c r="DA26">
        <f>IF($CT$26="","",IFERROR(IF(ABS($CT$26)&gt;=1000000,ROUND($CT$26/1000000,MAX(0,1-INT(LOG10($CS$27/1000000))))&amp;"M",IF(ABS($CT$26)&gt;=1000,ROUND($CT$26/1000,MAX(0,1-INT(LOG10($CS$27/1000))))&amp;"k",TEXT($CT$26,"#,##0"))),TEXT($CT$26,"#,##0")))</f>
        <v/>
      </c>
      <c r="DB26" t="n">
        <v>17.7</v>
      </c>
      <c r="DC26" t="n">
        <v>17.875</v>
      </c>
      <c r="DD26" t="n">
        <v>14</v>
      </c>
      <c r="DE26" t="inlineStr">
        <is>
          <t>P90</t>
        </is>
      </c>
      <c r="DF26" t="n">
        <v>62.541</v>
      </c>
      <c r="DG26">
        <f>IF(23&lt;=$DF$13,$DF$14+(23-1)*$DF$16,"")</f>
        <v/>
      </c>
      <c r="DH26">
        <f>IF(23&gt;$DF$13,"",SUMIFS($DD$4:$DD$203,$DC$4:$DC$203,"&gt;="&amp;$DG$26,$DC$4:$DC$203,IF(23=$DF$13,"&lt;=","&lt;")&amp;($DG$26+$DF$16)))</f>
        <v/>
      </c>
      <c r="DI26">
        <f>IF(AND(MOD(12,$DF$17)=0,MOD((INT(12/$DF$17)+1)-1,$DF$13/5)=0),INDEX($DN$4:$DN$53,(INT(12/$DF$17)+1)),"")</f>
        <v/>
      </c>
      <c r="DJ26">
        <f>IF(MOD(12,$DF$17)=$DF$17-1,0,INDEX($DH$4:$DH$53,(INT(12/$DF$17)+1)))</f>
        <v/>
      </c>
      <c r="DK26">
        <f>IFERROR(IF(AND($DM$15&gt;=$DF$14,$DM$15&lt;=$DF$15),10+0.5+100*($DM$15-$DF$14)/($DF$15-$DF$14),NA()),NA())</f>
        <v/>
      </c>
      <c r="DL26">
        <f>IF(ISNA($DK$26),NA(),0)</f>
        <v/>
      </c>
      <c r="DM26">
        <f>IFERROR(IF(LEFT(LOWER(TRIM($DF$20)),5)="every",IF(((INT($DF$11/VALUE(TRIM(MID(TRIM($DF$20),6,99))))*VALUE(TRIM(MID(TRIM($DF$20),6,99)))+VALUE(TRIM(MID(TRIM($DF$20),6,99))))+22*VALUE(TRIM(MID(TRIM($DF$20),6,99))))&lt;=$DF$12,((INT($DF$11/VALUE(TRIM(MID(TRIM($DF$20),6,99))))*VALUE(TRIM(MID(TRIM($DF$20),6,99)))+VALUE(TRIM(MID(TRIM($DF$20),6,99))))+22*VALUE(TRIM(MID(TRIM($DF$20),6,99)))),NA()),VALUE(TRIM(MID(SUBSTITUTE(SUBSTITUTE(SUBSTITUTE(TRIM($DF$20),",",";")," ",""),";",REPT(" ",99)),2179,99)))),NA())</f>
        <v/>
      </c>
      <c r="DN26">
        <f>IF($DG$26="","",IFERROR(IF(ABS($DG$26)&gt;=1000000,ROUND($DG$26/1000000,MAX(0,1-INT(LOG10($DF$27/1000000))))&amp;"M",IF(ABS($DG$26)&gt;=1000,ROUND($DG$26/1000,MAX(0,1-INT(LOG10($DF$27/1000))))&amp;"k",TEXT($DG$26,"#,##0.0"))),TEXT($DG$26,"#,##0.0")))</f>
        <v/>
      </c>
      <c r="DO26" t="n">
        <v>8.050000000000001</v>
      </c>
      <c r="DP26" t="n">
        <v>8.0625</v>
      </c>
      <c r="DQ26" t="n">
        <v>18</v>
      </c>
      <c r="DR26" t="inlineStr">
        <is>
          <t>P90</t>
        </is>
      </c>
      <c r="DS26" t="n">
        <v>11.298</v>
      </c>
      <c r="DT26">
        <f>IF(23&lt;=$DS$13,$DS$14+(23-1)*$DS$16,"")</f>
        <v/>
      </c>
      <c r="DU26">
        <f>IF(23&gt;$DS$13,"",SUMIFS($DQ$4:$DQ$203,$DP$4:$DP$203,"&gt;="&amp;$DT$26,$DP$4:$DP$203,IF(23=$DS$13,"&lt;=","&lt;")&amp;($DT$26+$DS$16)))</f>
        <v/>
      </c>
      <c r="DV26">
        <f>IF(AND(MOD(12,$DS$17)=0,MOD((INT(12/$DS$17)+1)-1,$DS$13/5)=0),INDEX($EA$4:$EA$53,(INT(12/$DS$17)+1)),"")</f>
        <v/>
      </c>
      <c r="DW26">
        <f>IF(MOD(12,$DS$17)=$DS$17-1,0,INDEX($DU$4:$DU$53,(INT(12/$DS$17)+1)))</f>
        <v/>
      </c>
      <c r="DX26">
        <f>IFERROR(IF(AND($DZ$15&gt;=$DS$14,$DZ$15&lt;=$DS$15),10+0.5+100*($DZ$15-$DS$14)/($DS$15-$DS$14),NA()),NA())</f>
        <v/>
      </c>
      <c r="DY26">
        <f>IF(ISNA($DX$26),NA(),0)</f>
        <v/>
      </c>
      <c r="DZ26">
        <f>IFERROR(IF(LEFT(LOWER(TRIM($DS$20)),5)="every",IF(((INT($DS$11/VALUE(TRIM(MID(TRIM($DS$20),6,99))))*VALUE(TRIM(MID(TRIM($DS$20),6,99)))+VALUE(TRIM(MID(TRIM($DS$20),6,99))))+22*VALUE(TRIM(MID(TRIM($DS$20),6,99))))&lt;=$DS$12,((INT($DS$11/VALUE(TRIM(MID(TRIM($DS$20),6,99))))*VALUE(TRIM(MID(TRIM($DS$20),6,99)))+VALUE(TRIM(MID(TRIM($DS$20),6,99))))+22*VALUE(TRIM(MID(TRIM($DS$20),6,99)))),NA()),VALUE(TRIM(MID(SUBSTITUTE(SUBSTITUTE(SUBSTITUTE(TRIM($DS$20),",",";")," ",""),";",REPT(" ",99)),2179,99)))),NA())</f>
        <v/>
      </c>
      <c r="EA26">
        <f>IF($DT$26="","",IFERROR(IF(ABS($DT$26)&gt;=1000000,ROUND($DT$26/1000000,MAX(0,1-INT(LOG10($DS$27/1000000))))&amp;"M",IF(ABS($DT$26)&gt;=1000,ROUND($DT$26/1000,MAX(0,1-INT(LOG10($DS$27/1000))))&amp;"k",TEXT($DT$26,"#,##0.0"))),TEXT($DT$26,"#,##0.0")))</f>
        <v/>
      </c>
      <c r="EB26" t="n">
        <v>11</v>
      </c>
      <c r="EC26" t="n">
        <v>11.25</v>
      </c>
      <c r="ED26" t="n">
        <v>59</v>
      </c>
      <c r="EE26" t="inlineStr">
        <is>
          <t>P90</t>
        </is>
      </c>
      <c r="EF26" t="n">
        <v>90.2</v>
      </c>
      <c r="EG26">
        <f>IF(23&lt;=$EF$13,$EF$14+(23-1)*$EF$16,"")</f>
        <v/>
      </c>
      <c r="EH26">
        <f>IF(23&gt;$EF$13,"",SUMIFS($ED$4:$ED$203,$EC$4:$EC$203,"&gt;="&amp;$EG$26,$EC$4:$EC$203,IF(23=$EF$13,"&lt;=","&lt;")&amp;($EG$26+$EF$16)))</f>
        <v/>
      </c>
      <c r="EI26">
        <f>IF(AND(MOD(12,$EF$17)=0,MOD((INT(12/$EF$17)+1)-1,$EF$13/5)=0),INDEX($EN$4:$EN$53,(INT(12/$EF$17)+1)),"")</f>
        <v/>
      </c>
      <c r="EJ26">
        <f>IF(MOD(12,$EF$17)=$EF$17-1,0,INDEX($EH$4:$EH$53,(INT(12/$EF$17)+1)))</f>
        <v/>
      </c>
      <c r="EK26">
        <f>IFERROR(IF(AND($EM$15&gt;=$EF$14,$EM$15&lt;=$EF$15),10+0.5+100*($EM$15-$EF$14)/($EF$15-$EF$14),NA()),NA())</f>
        <v/>
      </c>
      <c r="EL26">
        <f>IF(ISNA($EK$26),NA(),0)</f>
        <v/>
      </c>
      <c r="EM26">
        <f>IFERROR(IF(LEFT(LOWER(TRIM($EF$20)),5)="every",IF(((INT($EF$11/VALUE(TRIM(MID(TRIM($EF$20),6,99))))*VALUE(TRIM(MID(TRIM($EF$20),6,99)))+VALUE(TRIM(MID(TRIM($EF$20),6,99))))+22*VALUE(TRIM(MID(TRIM($EF$20),6,99))))&lt;=$EF$12,((INT($EF$11/VALUE(TRIM(MID(TRIM($EF$20),6,99))))*VALUE(TRIM(MID(TRIM($EF$20),6,99)))+VALUE(TRIM(MID(TRIM($EF$20),6,99))))+22*VALUE(TRIM(MID(TRIM($EF$20),6,99)))),NA()),VALUE(TRIM(MID(SUBSTITUTE(SUBSTITUTE(SUBSTITUTE(TRIM($EF$20),",",";")," ",""),";",REPT(" ",99)),2179,99)))),NA())</f>
        <v/>
      </c>
      <c r="EN26">
        <f>IF($EG$26="","",IFERROR(IF(ABS($EG$26)&gt;=1000000,ROUND($EG$26/1000000,MAX(0,1-INT(LOG10($EF$27/1000000))))&amp;"M",IF(ABS($EG$26)&gt;=1000,ROUND($EG$26/1000,MAX(0,1-INT(LOG10($EF$27/1000))))&amp;"k",TEXT($EG$26,"#,##0"))),TEXT($EG$26,"#,##0")))</f>
        <v/>
      </c>
      <c r="EO26" t="n">
        <v>0.385</v>
      </c>
      <c r="EP26" t="n">
        <v>0.39375</v>
      </c>
      <c r="EQ26" t="n">
        <v>242</v>
      </c>
      <c r="ER26" t="inlineStr">
        <is>
          <t>P90</t>
        </is>
      </c>
      <c r="ES26" t="n">
        <v>1.44352590330129</v>
      </c>
      <c r="ET26">
        <f>IF(23&lt;=$ES$13,$ES$14+(23-1)*$ES$16,"")</f>
        <v/>
      </c>
      <c r="EU26">
        <f>IF(23&gt;$ES$13,"",SUMIFS($EQ$4:$EQ$203,$EP$4:$EP$203,"&gt;="&amp;$ET$26,$EP$4:$EP$203,IF(23=$ES$13,"&lt;=","&lt;")&amp;($ET$26+$ES$16)))</f>
        <v/>
      </c>
      <c r="EV26">
        <f>IF(AND(MOD(12,$ES$17)=0,MOD((INT(12/$ES$17)+1)-1,$ES$13/5)=0),INDEX($FA$4:$FA$53,(INT(12/$ES$17)+1)),"")</f>
        <v/>
      </c>
      <c r="EW26">
        <f>IF(MOD(12,$ES$17)=$ES$17-1,0,INDEX($EU$4:$EU$53,(INT(12/$ES$17)+1)))</f>
        <v/>
      </c>
      <c r="EX26">
        <f>IFERROR(IF(AND($EZ$15&gt;=$ES$14,$EZ$15&lt;=$ES$15),10+0.5+100*($EZ$15-$ES$14)/($ES$15-$ES$14),NA()),NA())</f>
        <v/>
      </c>
      <c r="EY26">
        <f>IF(ISNA($EX$26),NA(),0)</f>
        <v/>
      </c>
      <c r="EZ26">
        <f>IFERROR(IF(LEFT(LOWER(TRIM($ES$20)),5)="every",IF(((INT($ES$11/VALUE(TRIM(MID(TRIM($ES$20),6,99))))*VALUE(TRIM(MID(TRIM($ES$20),6,99)))+VALUE(TRIM(MID(TRIM($ES$20),6,99))))+22*VALUE(TRIM(MID(TRIM($ES$20),6,99))))&lt;=$ES$12,((INT($ES$11/VALUE(TRIM(MID(TRIM($ES$20),6,99))))*VALUE(TRIM(MID(TRIM($ES$20),6,99)))+VALUE(TRIM(MID(TRIM($ES$20),6,99))))+22*VALUE(TRIM(MID(TRIM($ES$20),6,99)))),NA()),VALUE(TRIM(MID(SUBSTITUTE(SUBSTITUTE(SUBSTITUTE(TRIM($ES$20),",",";")," ",""),";",REPT(" ",99)),2179,99)))),NA())</f>
        <v/>
      </c>
      <c r="FA26">
        <f>IF($ET$26="","",IFERROR(IF(ABS($ET$26)&gt;=1000000,ROUND($ET$26/1000000,MAX(0,1-INT(LOG10($ES$27/1000000))))&amp;"M",IF(ABS($ET$26)&gt;=1000,ROUND($ET$26/1000,MAX(0,1-INT(LOG10($ES$27/1000))))&amp;"k",TEXT($ET$26,"0.00"))),TEXT($ET$26,"0.00")))</f>
        <v/>
      </c>
    </row>
    <row r="27">
      <c r="B27" t="n">
        <v>584.5</v>
      </c>
      <c r="C27" t="n">
        <v>585.25</v>
      </c>
      <c r="D27" t="n">
        <v>9</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60</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59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c r="AO27" t="n">
        <v>92000</v>
      </c>
      <c r="AP27" t="n">
        <v>94000</v>
      </c>
      <c r="AQ27" t="n">
        <v>56</v>
      </c>
      <c r="AR27" t="inlineStr">
        <is>
          <t>step between labels</t>
        </is>
      </c>
      <c r="AS27">
        <f>($AS$15-$AS$14)/5</f>
        <v/>
      </c>
      <c r="AT27">
        <f>IF(24&lt;=$AS$13,$AS$14+(24-1)*$AS$16,"")</f>
        <v/>
      </c>
      <c r="AU27">
        <f>IF(24&gt;$AS$13,"",SUMIFS($AQ$4:$AQ$203,$AP$4:$AP$203,"&gt;="&amp;$AT$27,$AP$4:$AP$203,IF(24=$AS$13,"&lt;=","&lt;")&amp;($AT$27+$AS$16)))</f>
        <v/>
      </c>
      <c r="AV27">
        <f>IF(AND(MOD(13,$AS$17)=0,MOD((INT(13/$AS$17)+1)-1,$AS$13/5)=0),INDEX($BA$4:$BA$53,(INT(13/$AS$17)+1)),"")</f>
        <v/>
      </c>
      <c r="AW27">
        <f>IF(MOD(13,$AS$17)=$AS$17-1,0,INDEX($AU$4:$AU$53,(INT(13/$AS$17)+1)))</f>
        <v/>
      </c>
      <c r="AX27">
        <f>IFERROR(IF(AND($AZ$15&gt;=$AS$14,$AZ$15&lt;=$AS$15),10+0.5+100*($AZ$15-$AS$14)/($AS$15-$AS$14),NA()),NA())</f>
        <v/>
      </c>
      <c r="AY27">
        <f>IF(ISNA($AX$27),NA(),MAX($AW$4:$AW$123))</f>
        <v/>
      </c>
      <c r="AZ27">
        <f>IFERROR(IF(LEFT(LOWER(TRIM($AS$20)),5)="every",IF(((INT($AS$11/VALUE(TRIM(MID(TRIM($AS$20),6,99))))*VALUE(TRIM(MID(TRIM($AS$20),6,99)))+VALUE(TRIM(MID(TRIM($AS$20),6,99))))+23*VALUE(TRIM(MID(TRIM($AS$20),6,99))))&lt;=$AS$12,((INT($AS$11/VALUE(TRIM(MID(TRIM($AS$20),6,99))))*VALUE(TRIM(MID(TRIM($AS$20),6,99)))+VALUE(TRIM(MID(TRIM($AS$20),6,99))))+23*VALUE(TRIM(MID(TRIM($AS$20),6,99)))),NA()),VALUE(TRIM(MID(SUBSTITUTE(SUBSTITUTE(SUBSTITUTE(TRIM($AS$20),",",";")," ",""),";",REPT(" ",99)),2278,99)))),NA())</f>
        <v/>
      </c>
      <c r="BA27">
        <f>IF($AT$27="","",IFERROR(IF(ABS($AT$27)&gt;=1000000,ROUND($AT$27/1000000,MAX(0,1-INT(LOG10($AS$27/1000000))))&amp;"M",IF(ABS($AT$27)&gt;=1000,ROUND($AT$27/1000,MAX(0,1-INT(LOG10($AS$27/1000))))&amp;"k",TEXT($AT$27,"#,##0"))),TEXT($AT$27,"#,##0")))</f>
        <v/>
      </c>
      <c r="BB27" t="n">
        <v>161000</v>
      </c>
      <c r="BC27" t="n">
        <v>164500</v>
      </c>
      <c r="BD27" t="n">
        <v>196</v>
      </c>
      <c r="BE27" t="inlineStr">
        <is>
          <t>step between labels</t>
        </is>
      </c>
      <c r="BF27">
        <f>($BF$15-$BF$14)/5</f>
        <v/>
      </c>
      <c r="BG27">
        <f>IF(24&lt;=$BF$13,$BF$14+(24-1)*$BF$16,"")</f>
        <v/>
      </c>
      <c r="BH27">
        <f>IF(24&gt;$BF$13,"",SUMIFS($BD$4:$BD$203,$BC$4:$BC$203,"&gt;="&amp;$BG$27,$BC$4:$BC$203,IF(24=$BF$13,"&lt;=","&lt;")&amp;($BG$27+$BF$16)))</f>
        <v/>
      </c>
      <c r="BI27">
        <f>IF(AND(MOD(13,$BF$17)=0,MOD((INT(13/$BF$17)+1)-1,$BF$13/5)=0),INDEX($BN$4:$BN$53,(INT(13/$BF$17)+1)),"")</f>
        <v/>
      </c>
      <c r="BJ27">
        <f>IF(MOD(13,$BF$17)=$BF$17-1,0,INDEX($BH$4:$BH$53,(INT(13/$BF$17)+1)))</f>
        <v/>
      </c>
      <c r="BK27">
        <f>IFERROR(IF(AND($BM$15&gt;=$BF$14,$BM$15&lt;=$BF$15),10+0.5+100*($BM$15-$BF$14)/($BF$15-$BF$14),NA()),NA())</f>
        <v/>
      </c>
      <c r="BL27">
        <f>IF(ISNA($BK$27),NA(),MAX($BJ$4:$BJ$123))</f>
        <v/>
      </c>
      <c r="BM27">
        <f>IFERROR(IF(LEFT(LOWER(TRIM($BF$20)),5)="every",IF(((INT($BF$11/VALUE(TRIM(MID(TRIM($BF$20),6,99))))*VALUE(TRIM(MID(TRIM($BF$20),6,99)))+VALUE(TRIM(MID(TRIM($BF$20),6,99))))+23*VALUE(TRIM(MID(TRIM($BF$20),6,99))))&lt;=$BF$12,((INT($BF$11/VALUE(TRIM(MID(TRIM($BF$20),6,99))))*VALUE(TRIM(MID(TRIM($BF$20),6,99)))+VALUE(TRIM(MID(TRIM($BF$20),6,99))))+23*VALUE(TRIM(MID(TRIM($BF$20),6,99)))),NA()),VALUE(TRIM(MID(SUBSTITUTE(SUBSTITUTE(SUBSTITUTE(TRIM($BF$20),",",";")," ",""),";",REPT(" ",99)),2278,99)))),NA())</f>
        <v/>
      </c>
      <c r="BN27">
        <f>IF($BG$27="","",IFERROR(IF(ABS($BG$27)&gt;=1000000,ROUND($BG$27/1000000,MAX(0,1-INT(LOG10($BF$27/1000000))))&amp;"M",IF(ABS($BG$27)&gt;=1000,ROUND($BG$27/1000,MAX(0,1-INT(LOG10($BF$27/1000))))&amp;"k",TEXT($BG$27,"#,##0"))),TEXT($BG$27,"#,##0")))</f>
        <v/>
      </c>
      <c r="BO27" t="n">
        <v>0.138</v>
      </c>
      <c r="BP27" t="n">
        <v>0.141</v>
      </c>
      <c r="BQ27" t="n">
        <v>58</v>
      </c>
      <c r="BR27" t="inlineStr">
        <is>
          <t>step between labels</t>
        </is>
      </c>
      <c r="BS27">
        <f>($BS$15-$BS$14)/5</f>
        <v/>
      </c>
      <c r="BT27">
        <f>IF(24&lt;=$BS$13,$BS$14+(24-1)*$BS$16,"")</f>
        <v/>
      </c>
      <c r="BU27">
        <f>IF(24&gt;$BS$13,"",SUMIFS($BQ$4:$BQ$203,$BP$4:$BP$203,"&gt;="&amp;$BT$27,$BP$4:$BP$203,IF(24=$BS$13,"&lt;=","&lt;")&amp;($BT$27+$BS$16)))</f>
        <v/>
      </c>
      <c r="BV27">
        <f>IF(AND(MOD(13,$BS$17)=0,MOD((INT(13/$BS$17)+1)-1,$BS$13/5)=0),INDEX($CA$4:$CA$53,(INT(13/$BS$17)+1)),"")</f>
        <v/>
      </c>
      <c r="BW27">
        <f>IF(MOD(13,$BS$17)=$BS$17-1,0,INDEX($BU$4:$BU$53,(INT(13/$BS$17)+1)))</f>
        <v/>
      </c>
      <c r="BX27">
        <f>IFERROR(IF(AND($BZ$15&gt;=$BS$14,$BZ$15&lt;=$BS$15),10+0.5+100*($BZ$15-$BS$14)/($BS$15-$BS$14),NA()),NA())</f>
        <v/>
      </c>
      <c r="BY27">
        <f>IF(ISNA($BX$27),NA(),MAX($BW$4:$BW$123))</f>
        <v/>
      </c>
      <c r="BZ27">
        <f>IFERROR(IF(LEFT(LOWER(TRIM($BS$20)),5)="every",IF(((INT($BS$11/VALUE(TRIM(MID(TRIM($BS$20),6,99))))*VALUE(TRIM(MID(TRIM($BS$20),6,99)))+VALUE(TRIM(MID(TRIM($BS$20),6,99))))+23*VALUE(TRIM(MID(TRIM($BS$20),6,99))))&lt;=$BS$12,((INT($BS$11/VALUE(TRIM(MID(TRIM($BS$20),6,99))))*VALUE(TRIM(MID(TRIM($BS$20),6,99)))+VALUE(TRIM(MID(TRIM($BS$20),6,99))))+23*VALUE(TRIM(MID(TRIM($BS$20),6,99)))),NA()),VALUE(TRIM(MID(SUBSTITUTE(SUBSTITUTE(SUBSTITUTE(TRIM($BS$20),",",";")," ",""),";",REPT(" ",99)),2278,99)))),NA())</f>
        <v/>
      </c>
      <c r="CA27">
        <f>IF($BT$27="","",IFERROR(IF(ABS($BT$27)&gt;=1000000,ROUND($BT$27/1000000,MAX(0,1-INT(LOG10($BS$27/1000000))))&amp;"M",IF(ABS($BT$27)&gt;=1000,ROUND($BT$27/1000,MAX(0,1-INT(LOG10($BS$27/1000))))&amp;"k",TEXT($BT$27,"0.00"))),TEXT($BT$27,"0.00")))</f>
        <v/>
      </c>
      <c r="CB27" t="n">
        <v>3.45</v>
      </c>
      <c r="CC27" t="n">
        <v>3.525</v>
      </c>
      <c r="CD27" t="n">
        <v>116</v>
      </c>
      <c r="CE27" t="inlineStr">
        <is>
          <t>step between labels</t>
        </is>
      </c>
      <c r="CF27">
        <f>($CF$15-$CF$14)/5</f>
        <v/>
      </c>
      <c r="CG27">
        <f>IF(24&lt;=$CF$13,$CF$14+(24-1)*$CF$16,"")</f>
        <v/>
      </c>
      <c r="CH27">
        <f>IF(24&gt;$CF$13,"",SUMIFS($CD$4:$CD$203,$CC$4:$CC$203,"&gt;="&amp;$CG$27,$CC$4:$CC$203,IF(24=$CF$13,"&lt;=","&lt;")&amp;($CG$27+$CF$16)))</f>
        <v/>
      </c>
      <c r="CI27">
        <f>IF(AND(MOD(13,$CF$17)=0,MOD((INT(13/$CF$17)+1)-1,$CF$13/5)=0),INDEX($CN$4:$CN$53,(INT(13/$CF$17)+1)),"")</f>
        <v/>
      </c>
      <c r="CJ27">
        <f>IF(MOD(13,$CF$17)=$CF$17-1,0,INDEX($CH$4:$CH$53,(INT(13/$CF$17)+1)))</f>
        <v/>
      </c>
      <c r="CK27">
        <f>IFERROR(IF(AND($CM$15&gt;=$CF$14,$CM$15&lt;=$CF$15),10+0.5+100*($CM$15-$CF$14)/($CF$15-$CF$14),NA()),NA())</f>
        <v/>
      </c>
      <c r="CL27">
        <f>IF(ISNA($CK$27),NA(),MAX($CJ$4:$CJ$123))</f>
        <v/>
      </c>
      <c r="CM27">
        <f>IFERROR(IF(LEFT(LOWER(TRIM($CF$20)),5)="every",IF(((INT($CF$11/VALUE(TRIM(MID(TRIM($CF$20),6,99))))*VALUE(TRIM(MID(TRIM($CF$20),6,99)))+VALUE(TRIM(MID(TRIM($CF$20),6,99))))+23*VALUE(TRIM(MID(TRIM($CF$20),6,99))))&lt;=$CF$12,((INT($CF$11/VALUE(TRIM(MID(TRIM($CF$20),6,99))))*VALUE(TRIM(MID(TRIM($CF$20),6,99)))+VALUE(TRIM(MID(TRIM($CF$20),6,99))))+23*VALUE(TRIM(MID(TRIM($CF$20),6,99)))),NA()),VALUE(TRIM(MID(SUBSTITUTE(SUBSTITUTE(SUBSTITUTE(TRIM($CF$20),",",";")," ",""),";",REPT(" ",99)),2278,99)))),NA())</f>
        <v/>
      </c>
      <c r="CN27">
        <f>IF($CG$27="","",IFERROR(IF(ABS($CG$27)&gt;=1000000,ROUND($CG$27/1000000,MAX(0,1-INT(LOG10($CF$27/1000000))))&amp;"M",IF(ABS($CG$27)&gt;=1000,ROUND($CG$27/1000,MAX(0,1-INT(LOG10($CF$27/1000))))&amp;"k",TEXT($CG$27,"#,##0.0"))),TEXT($CG$27,"#,##0.0")))</f>
        <v/>
      </c>
      <c r="CO27" t="n">
        <v>19.2</v>
      </c>
      <c r="CP27" t="n">
        <v>19.4</v>
      </c>
      <c r="CQ27" t="n">
        <v>19</v>
      </c>
      <c r="CR27" t="inlineStr">
        <is>
          <t>step between labels</t>
        </is>
      </c>
      <c r="CS27">
        <f>($CS$15-$CS$14)/5</f>
        <v/>
      </c>
      <c r="CT27">
        <f>IF(24&lt;=$CS$13,$CS$14+(24-1)*$CS$16,"")</f>
        <v/>
      </c>
      <c r="CU27">
        <f>IF(24&gt;$CS$13,"",SUMIFS($CQ$4:$CQ$203,$CP$4:$CP$203,"&gt;="&amp;$CT$27,$CP$4:$CP$203,IF(24=$CS$13,"&lt;=","&lt;")&amp;($CT$27+$CS$16)))</f>
        <v/>
      </c>
      <c r="CV27">
        <f>IF(AND(MOD(13,$CS$17)=0,MOD((INT(13/$CS$17)+1)-1,$CS$13/5)=0),INDEX($DA$4:$DA$53,(INT(13/$CS$17)+1)),"")</f>
        <v/>
      </c>
      <c r="CW27">
        <f>IF(MOD(13,$CS$17)=$CS$17-1,0,INDEX($CU$4:$CU$53,(INT(13/$CS$17)+1)))</f>
        <v/>
      </c>
      <c r="CX27">
        <f>IFERROR(IF(AND($CZ$15&gt;=$CS$14,$CZ$15&lt;=$CS$15),10+0.5+100*($CZ$15-$CS$14)/($CS$15-$CS$14),NA()),NA())</f>
        <v/>
      </c>
      <c r="CY27">
        <f>IF(ISNA($CX$27),NA(),MAX($CW$4:$CW$123))</f>
        <v/>
      </c>
      <c r="CZ27">
        <f>IFERROR(IF(LEFT(LOWER(TRIM($CS$20)),5)="every",IF(((INT($CS$11/VALUE(TRIM(MID(TRIM($CS$20),6,99))))*VALUE(TRIM(MID(TRIM($CS$20),6,99)))+VALUE(TRIM(MID(TRIM($CS$20),6,99))))+23*VALUE(TRIM(MID(TRIM($CS$20),6,99))))&lt;=$CS$12,((INT($CS$11/VALUE(TRIM(MID(TRIM($CS$20),6,99))))*VALUE(TRIM(MID(TRIM($CS$20),6,99)))+VALUE(TRIM(MID(TRIM($CS$20),6,99))))+23*VALUE(TRIM(MID(TRIM($CS$20),6,99)))),NA()),VALUE(TRIM(MID(SUBSTITUTE(SUBSTITUTE(SUBSTITUTE(TRIM($CS$20),",",";")," ",""),";",REPT(" ",99)),2278,99)))),NA())</f>
        <v/>
      </c>
      <c r="DA27">
        <f>IF($CT$27="","",IFERROR(IF(ABS($CT$27)&gt;=1000000,ROUND($CT$27/1000000,MAX(0,1-INT(LOG10($CS$27/1000000))))&amp;"M",IF(ABS($CT$27)&gt;=1000,ROUND($CT$27/1000,MAX(0,1-INT(LOG10($CS$27/1000))))&amp;"k",TEXT($CT$27,"#,##0"))),TEXT($CT$27,"#,##0")))</f>
        <v/>
      </c>
      <c r="DB27" t="n">
        <v>18.05</v>
      </c>
      <c r="DC27" t="n">
        <v>18.225</v>
      </c>
      <c r="DD27" t="n">
        <v>21</v>
      </c>
      <c r="DE27" t="inlineStr">
        <is>
          <t>step between labels</t>
        </is>
      </c>
      <c r="DF27">
        <f>($DF$15-$DF$14)/5</f>
        <v/>
      </c>
      <c r="DG27">
        <f>IF(24&lt;=$DF$13,$DF$14+(24-1)*$DF$16,"")</f>
        <v/>
      </c>
      <c r="DH27">
        <f>IF(24&gt;$DF$13,"",SUMIFS($DD$4:$DD$203,$DC$4:$DC$203,"&gt;="&amp;$DG$27,$DC$4:$DC$203,IF(24=$DF$13,"&lt;=","&lt;")&amp;($DG$27+$DF$16)))</f>
        <v/>
      </c>
      <c r="DI27">
        <f>IF(AND(MOD(13,$DF$17)=0,MOD((INT(13/$DF$17)+1)-1,$DF$13/5)=0),INDEX($DN$4:$DN$53,(INT(13/$DF$17)+1)),"")</f>
        <v/>
      </c>
      <c r="DJ27">
        <f>IF(MOD(13,$DF$17)=$DF$17-1,0,INDEX($DH$4:$DH$53,(INT(13/$DF$17)+1)))</f>
        <v/>
      </c>
      <c r="DK27">
        <f>IFERROR(IF(AND($DM$15&gt;=$DF$14,$DM$15&lt;=$DF$15),10+0.5+100*($DM$15-$DF$14)/($DF$15-$DF$14),NA()),NA())</f>
        <v/>
      </c>
      <c r="DL27">
        <f>IF(ISNA($DK$27),NA(),MAX($DJ$4:$DJ$123))</f>
        <v/>
      </c>
      <c r="DM27">
        <f>IFERROR(IF(LEFT(LOWER(TRIM($DF$20)),5)="every",IF(((INT($DF$11/VALUE(TRIM(MID(TRIM($DF$20),6,99))))*VALUE(TRIM(MID(TRIM($DF$20),6,99)))+VALUE(TRIM(MID(TRIM($DF$20),6,99))))+23*VALUE(TRIM(MID(TRIM($DF$20),6,99))))&lt;=$DF$12,((INT($DF$11/VALUE(TRIM(MID(TRIM($DF$20),6,99))))*VALUE(TRIM(MID(TRIM($DF$20),6,99)))+VALUE(TRIM(MID(TRIM($DF$20),6,99))))+23*VALUE(TRIM(MID(TRIM($DF$20),6,99)))),NA()),VALUE(TRIM(MID(SUBSTITUTE(SUBSTITUTE(SUBSTITUTE(TRIM($DF$20),",",";")," ",""),";",REPT(" ",99)),2278,99)))),NA())</f>
        <v/>
      </c>
      <c r="DN27">
        <f>IF($DG$27="","",IFERROR(IF(ABS($DG$27)&gt;=1000000,ROUND($DG$27/1000000,MAX(0,1-INT(LOG10($DF$27/1000000))))&amp;"M",IF(ABS($DG$27)&gt;=1000,ROUND($DG$27/1000,MAX(0,1-INT(LOG10($DF$27/1000))))&amp;"k",TEXT($DG$27,"#,##0.0"))),TEXT($DG$27,"#,##0.0")))</f>
        <v/>
      </c>
      <c r="DO27" t="n">
        <v>8.074999999999999</v>
      </c>
      <c r="DP27" t="n">
        <v>8.0875</v>
      </c>
      <c r="DQ27" t="n">
        <v>16</v>
      </c>
      <c r="DR27" t="inlineStr">
        <is>
          <t>step between labels</t>
        </is>
      </c>
      <c r="DS27">
        <f>($DS$15-$DS$14)/5</f>
        <v/>
      </c>
      <c r="DT27">
        <f>IF(24&lt;=$DS$13,$DS$14+(24-1)*$DS$16,"")</f>
        <v/>
      </c>
      <c r="DU27">
        <f>IF(24&gt;$DS$13,"",SUMIFS($DQ$4:$DQ$203,$DP$4:$DP$203,"&gt;="&amp;$DT$27,$DP$4:$DP$203,IF(24=$DS$13,"&lt;=","&lt;")&amp;($DT$27+$DS$16)))</f>
        <v/>
      </c>
      <c r="DV27">
        <f>IF(AND(MOD(13,$DS$17)=0,MOD((INT(13/$DS$17)+1)-1,$DS$13/5)=0),INDEX($EA$4:$EA$53,(INT(13/$DS$17)+1)),"")</f>
        <v/>
      </c>
      <c r="DW27">
        <f>IF(MOD(13,$DS$17)=$DS$17-1,0,INDEX($DU$4:$DU$53,(INT(13/$DS$17)+1)))</f>
        <v/>
      </c>
      <c r="DX27">
        <f>IFERROR(IF(AND($DZ$15&gt;=$DS$14,$DZ$15&lt;=$DS$15),10+0.5+100*($DZ$15-$DS$14)/($DS$15-$DS$14),NA()),NA())</f>
        <v/>
      </c>
      <c r="DY27">
        <f>IF(ISNA($DX$27),NA(),MAX($DW$4:$DW$123))</f>
        <v/>
      </c>
      <c r="DZ27">
        <f>IFERROR(IF(LEFT(LOWER(TRIM($DS$20)),5)="every",IF(((INT($DS$11/VALUE(TRIM(MID(TRIM($DS$20),6,99))))*VALUE(TRIM(MID(TRIM($DS$20),6,99)))+VALUE(TRIM(MID(TRIM($DS$20),6,99))))+23*VALUE(TRIM(MID(TRIM($DS$20),6,99))))&lt;=$DS$12,((INT($DS$11/VALUE(TRIM(MID(TRIM($DS$20),6,99))))*VALUE(TRIM(MID(TRIM($DS$20),6,99)))+VALUE(TRIM(MID(TRIM($DS$20),6,99))))+23*VALUE(TRIM(MID(TRIM($DS$20),6,99)))),NA()),VALUE(TRIM(MID(SUBSTITUTE(SUBSTITUTE(SUBSTITUTE(TRIM($DS$20),",",";")," ",""),";",REPT(" ",99)),2278,99)))),NA())</f>
        <v/>
      </c>
      <c r="EA27">
        <f>IF($DT$27="","",IFERROR(IF(ABS($DT$27)&gt;=1000000,ROUND($DT$27/1000000,MAX(0,1-INT(LOG10($DS$27/1000000))))&amp;"M",IF(ABS($DT$27)&gt;=1000,ROUND($DT$27/1000,MAX(0,1-INT(LOG10($DS$27/1000))))&amp;"k",TEXT($DT$27,"#,##0.0"))),TEXT($DT$27,"#,##0.0")))</f>
        <v/>
      </c>
      <c r="EB27" t="n">
        <v>11.5</v>
      </c>
      <c r="EC27" t="n">
        <v>11.75</v>
      </c>
      <c r="ED27" t="n">
        <v>47</v>
      </c>
      <c r="EE27" t="inlineStr">
        <is>
          <t>step between labels</t>
        </is>
      </c>
      <c r="EF27">
        <f>($EF$15-$EF$14)/5</f>
        <v/>
      </c>
      <c r="EG27">
        <f>IF(24&lt;=$EF$13,$EF$14+(24-1)*$EF$16,"")</f>
        <v/>
      </c>
      <c r="EH27">
        <f>IF(24&gt;$EF$13,"",SUMIFS($ED$4:$ED$203,$EC$4:$EC$203,"&gt;="&amp;$EG$27,$EC$4:$EC$203,IF(24=$EF$13,"&lt;=","&lt;")&amp;($EG$27+$EF$16)))</f>
        <v/>
      </c>
      <c r="EI27">
        <f>IF(AND(MOD(13,$EF$17)=0,MOD((INT(13/$EF$17)+1)-1,$EF$13/5)=0),INDEX($EN$4:$EN$53,(INT(13/$EF$17)+1)),"")</f>
        <v/>
      </c>
      <c r="EJ27">
        <f>IF(MOD(13,$EF$17)=$EF$17-1,0,INDEX($EH$4:$EH$53,(INT(13/$EF$17)+1)))</f>
        <v/>
      </c>
      <c r="EK27">
        <f>IFERROR(IF(AND($EM$15&gt;=$EF$14,$EM$15&lt;=$EF$15),10+0.5+100*($EM$15-$EF$14)/($EF$15-$EF$14),NA()),NA())</f>
        <v/>
      </c>
      <c r="EL27">
        <f>IF(ISNA($EK$27),NA(),MAX($EJ$4:$EJ$123))</f>
        <v/>
      </c>
      <c r="EM27">
        <f>IFERROR(IF(LEFT(LOWER(TRIM($EF$20)),5)="every",IF(((INT($EF$11/VALUE(TRIM(MID(TRIM($EF$20),6,99))))*VALUE(TRIM(MID(TRIM($EF$20),6,99)))+VALUE(TRIM(MID(TRIM($EF$20),6,99))))+23*VALUE(TRIM(MID(TRIM($EF$20),6,99))))&lt;=$EF$12,((INT($EF$11/VALUE(TRIM(MID(TRIM($EF$20),6,99))))*VALUE(TRIM(MID(TRIM($EF$20),6,99)))+VALUE(TRIM(MID(TRIM($EF$20),6,99))))+23*VALUE(TRIM(MID(TRIM($EF$20),6,99)))),NA()),VALUE(TRIM(MID(SUBSTITUTE(SUBSTITUTE(SUBSTITUTE(TRIM($EF$20),",",";")," ",""),";",REPT(" ",99)),2278,99)))),NA())</f>
        <v/>
      </c>
      <c r="EN27">
        <f>IF($EG$27="","",IFERROR(IF(ABS($EG$27)&gt;=1000000,ROUND($EG$27/1000000,MAX(0,1-INT(LOG10($EF$27/1000000))))&amp;"M",IF(ABS($EG$27)&gt;=1000,ROUND($EG$27/1000,MAX(0,1-INT(LOG10($EF$27/1000))))&amp;"k",TEXT($EG$27,"#,##0"))),TEXT($EG$27,"#,##0")))</f>
        <v/>
      </c>
      <c r="EO27" t="n">
        <v>0.4025</v>
      </c>
      <c r="EP27" t="n">
        <v>0.4112500000000001</v>
      </c>
      <c r="EQ27" t="n">
        <v>234</v>
      </c>
      <c r="ER27" t="inlineStr">
        <is>
          <t>step between labels</t>
        </is>
      </c>
      <c r="ES27">
        <f>($ES$15-$ES$14)/5</f>
        <v/>
      </c>
      <c r="ET27">
        <f>IF(24&lt;=$ES$13,$ES$14+(24-1)*$ES$16,"")</f>
        <v/>
      </c>
      <c r="EU27">
        <f>IF(24&gt;$ES$13,"",SUMIFS($EQ$4:$EQ$203,$EP$4:$EP$203,"&gt;="&amp;$ET$27,$EP$4:$EP$203,IF(24=$ES$13,"&lt;=","&lt;")&amp;($ET$27+$ES$16)))</f>
        <v/>
      </c>
      <c r="EV27">
        <f>IF(AND(MOD(13,$ES$17)=0,MOD((INT(13/$ES$17)+1)-1,$ES$13/5)=0),INDEX($FA$4:$FA$53,(INT(13/$ES$17)+1)),"")</f>
        <v/>
      </c>
      <c r="EW27">
        <f>IF(MOD(13,$ES$17)=$ES$17-1,0,INDEX($EU$4:$EU$53,(INT(13/$ES$17)+1)))</f>
        <v/>
      </c>
      <c r="EX27">
        <f>IFERROR(IF(AND($EZ$15&gt;=$ES$14,$EZ$15&lt;=$ES$15),10+0.5+100*($EZ$15-$ES$14)/($ES$15-$ES$14),NA()),NA())</f>
        <v/>
      </c>
      <c r="EY27">
        <f>IF(ISNA($EX$27),NA(),MAX($EW$4:$EW$123))</f>
        <v/>
      </c>
      <c r="EZ27">
        <f>IFERROR(IF(LEFT(LOWER(TRIM($ES$20)),5)="every",IF(((INT($ES$11/VALUE(TRIM(MID(TRIM($ES$20),6,99))))*VALUE(TRIM(MID(TRIM($ES$20),6,99)))+VALUE(TRIM(MID(TRIM($ES$20),6,99))))+23*VALUE(TRIM(MID(TRIM($ES$20),6,99))))&lt;=$ES$12,((INT($ES$11/VALUE(TRIM(MID(TRIM($ES$20),6,99))))*VALUE(TRIM(MID(TRIM($ES$20),6,99)))+VALUE(TRIM(MID(TRIM($ES$20),6,99))))+23*VALUE(TRIM(MID(TRIM($ES$20),6,99)))),NA()),VALUE(TRIM(MID(SUBSTITUTE(SUBSTITUTE(SUBSTITUTE(TRIM($ES$20),",",";")," ",""),";",REPT(" ",99)),2278,99)))),NA())</f>
        <v/>
      </c>
      <c r="FA27">
        <f>IF($ET$27="","",IFERROR(IF(ABS($ET$27)&gt;=1000000,ROUND($ET$27/1000000,MAX(0,1-INT(LOG10($ES$27/1000000))))&amp;"M",IF(ABS($ET$27)&gt;=1000,ROUND($ET$27/1000,MAX(0,1-INT(LOG10($ES$27/1000))))&amp;"k",TEXT($ET$27,"0.00"))),TEXT($ET$27,"0.00")))</f>
        <v/>
      </c>
    </row>
    <row r="28">
      <c r="B28" t="n">
        <v>586</v>
      </c>
      <c r="C28" t="n">
        <v>586.75</v>
      </c>
      <c r="D28" t="n">
        <v>19</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68</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62</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c r="AO28" t="n">
        <v>96000</v>
      </c>
      <c r="AP28" t="n">
        <v>98000</v>
      </c>
      <c r="AQ28" t="n">
        <v>72</v>
      </c>
      <c r="AT28">
        <f>IF(25&lt;=$AS$13,$AS$14+(25-1)*$AS$16,"")</f>
        <v/>
      </c>
      <c r="AU28">
        <f>IF(25&gt;$AS$13,"",SUMIFS($AQ$4:$AQ$203,$AP$4:$AP$203,"&gt;="&amp;$AT$28,$AP$4:$AP$203,IF(25=$AS$13,"&lt;=","&lt;")&amp;($AT$28+$AS$16)))</f>
        <v/>
      </c>
      <c r="AV28">
        <f>IF(AND(MOD(14,$AS$17)=0,MOD((INT(14/$AS$17)+1)-1,$AS$13/5)=0),INDEX($BA$4:$BA$53,(INT(14/$AS$17)+1)),"")</f>
        <v/>
      </c>
      <c r="AW28">
        <f>IF(MOD(14,$AS$17)=$AS$17-1,0,INDEX($AU$4:$AU$53,(INT(14/$AS$17)+1)))</f>
        <v/>
      </c>
      <c r="AX28">
        <f>IFERROR(IF(AND($AZ$16&gt;=$AS$14,$AZ$16&lt;=$AS$15),10+0.5+100*($AZ$16-$AS$14)/($AS$15-$AS$14),NA()),NA())</f>
        <v/>
      </c>
      <c r="AY28">
        <f>IF(ISNA($AX$28),NA(),0)</f>
        <v/>
      </c>
      <c r="BA28">
        <f>IF($AT$28="","",IFERROR(IF(ABS($AT$28)&gt;=1000000,ROUND($AT$28/1000000,MAX(0,1-INT(LOG10($AS$27/1000000))))&amp;"M",IF(ABS($AT$28)&gt;=1000,ROUND($AT$28/1000,MAX(0,1-INT(LOG10($AS$27/1000))))&amp;"k",TEXT($AT$28,"#,##0"))),TEXT($AT$28,"#,##0")))</f>
        <v/>
      </c>
      <c r="BB28" t="n">
        <v>168000</v>
      </c>
      <c r="BC28" t="n">
        <v>171500</v>
      </c>
      <c r="BD28" t="n">
        <v>199</v>
      </c>
      <c r="BG28">
        <f>IF(25&lt;=$BF$13,$BF$14+(25-1)*$BF$16,"")</f>
        <v/>
      </c>
      <c r="BH28">
        <f>IF(25&gt;$BF$13,"",SUMIFS($BD$4:$BD$203,$BC$4:$BC$203,"&gt;="&amp;$BG$28,$BC$4:$BC$203,IF(25=$BF$13,"&lt;=","&lt;")&amp;($BG$28+$BF$16)))</f>
        <v/>
      </c>
      <c r="BI28">
        <f>IF(AND(MOD(14,$BF$17)=0,MOD((INT(14/$BF$17)+1)-1,$BF$13/5)=0),INDEX($BN$4:$BN$53,(INT(14/$BF$17)+1)),"")</f>
        <v/>
      </c>
      <c r="BJ28">
        <f>IF(MOD(14,$BF$17)=$BF$17-1,0,INDEX($BH$4:$BH$53,(INT(14/$BF$17)+1)))</f>
        <v/>
      </c>
      <c r="BK28">
        <f>IFERROR(IF(AND($BM$16&gt;=$BF$14,$BM$16&lt;=$BF$15),10+0.5+100*($BM$16-$BF$14)/($BF$15-$BF$14),NA()),NA())</f>
        <v/>
      </c>
      <c r="BL28">
        <f>IF(ISNA($BK$28),NA(),0)</f>
        <v/>
      </c>
      <c r="BN28">
        <f>IF($BG$28="","",IFERROR(IF(ABS($BG$28)&gt;=1000000,ROUND($BG$28/1000000,MAX(0,1-INT(LOG10($BF$27/1000000))))&amp;"M",IF(ABS($BG$28)&gt;=1000,ROUND($BG$28/1000,MAX(0,1-INT(LOG10($BF$27/1000))))&amp;"k",TEXT($BG$28,"#,##0"))),TEXT($BG$28,"#,##0")))</f>
        <v/>
      </c>
      <c r="BO28" t="n">
        <v>0.144</v>
      </c>
      <c r="BP28" t="n">
        <v>0.147</v>
      </c>
      <c r="BQ28" t="n">
        <v>43</v>
      </c>
      <c r="BT28">
        <f>IF(25&lt;=$BS$13,$BS$14+(25-1)*$BS$16,"")</f>
        <v/>
      </c>
      <c r="BU28">
        <f>IF(25&gt;$BS$13,"",SUMIFS($BQ$4:$BQ$203,$BP$4:$BP$203,"&gt;="&amp;$BT$28,$BP$4:$BP$203,IF(25=$BS$13,"&lt;=","&lt;")&amp;($BT$28+$BS$16)))</f>
        <v/>
      </c>
      <c r="BV28">
        <f>IF(AND(MOD(14,$BS$17)=0,MOD((INT(14/$BS$17)+1)-1,$BS$13/5)=0),INDEX($CA$4:$CA$53,(INT(14/$BS$17)+1)),"")</f>
        <v/>
      </c>
      <c r="BW28">
        <f>IF(MOD(14,$BS$17)=$BS$17-1,0,INDEX($BU$4:$BU$53,(INT(14/$BS$17)+1)))</f>
        <v/>
      </c>
      <c r="BX28">
        <f>IFERROR(IF(AND($BZ$16&gt;=$BS$14,$BZ$16&lt;=$BS$15),10+0.5+100*($BZ$16-$BS$14)/($BS$15-$BS$14),NA()),NA())</f>
        <v/>
      </c>
      <c r="BY28">
        <f>IF(ISNA($BX$28),NA(),0)</f>
        <v/>
      </c>
      <c r="CA28">
        <f>IF($BT$28="","",IFERROR(IF(ABS($BT$28)&gt;=1000000,ROUND($BT$28/1000000,MAX(0,1-INT(LOG10($BS$27/1000000))))&amp;"M",IF(ABS($BT$28)&gt;=1000,ROUND($BT$28/1000,MAX(0,1-INT(LOG10($BS$27/1000))))&amp;"k",TEXT($BT$28,"0.00"))),TEXT($BT$28,"0.00")))</f>
        <v/>
      </c>
      <c r="CB28" t="n">
        <v>3.6</v>
      </c>
      <c r="CC28" t="n">
        <v>3.675</v>
      </c>
      <c r="CD28" t="n">
        <v>206</v>
      </c>
      <c r="CG28">
        <f>IF(25&lt;=$CF$13,$CF$14+(25-1)*$CF$16,"")</f>
        <v/>
      </c>
      <c r="CH28">
        <f>IF(25&gt;$CF$13,"",SUMIFS($CD$4:$CD$203,$CC$4:$CC$203,"&gt;="&amp;$CG$28,$CC$4:$CC$203,IF(25=$CF$13,"&lt;=","&lt;")&amp;($CG$28+$CF$16)))</f>
        <v/>
      </c>
      <c r="CI28">
        <f>IF(AND(MOD(14,$CF$17)=0,MOD((INT(14/$CF$17)+1)-1,$CF$13/5)=0),INDEX($CN$4:$CN$53,(INT(14/$CF$17)+1)),"")</f>
        <v/>
      </c>
      <c r="CJ28">
        <f>IF(MOD(14,$CF$17)=$CF$17-1,0,INDEX($CH$4:$CH$53,(INT(14/$CF$17)+1)))</f>
        <v/>
      </c>
      <c r="CK28">
        <f>IFERROR(IF(AND($CM$16&gt;=$CF$14,$CM$16&lt;=$CF$15),10+0.5+100*($CM$16-$CF$14)/($CF$15-$CF$14),NA()),NA())</f>
        <v/>
      </c>
      <c r="CL28">
        <f>IF(ISNA($CK$28),NA(),0)</f>
        <v/>
      </c>
      <c r="CN28">
        <f>IF($CG$28="","",IFERROR(IF(ABS($CG$28)&gt;=1000000,ROUND($CG$28/1000000,MAX(0,1-INT(LOG10($CF$27/1000000))))&amp;"M",IF(ABS($CG$28)&gt;=1000,ROUND($CG$28/1000,MAX(0,1-INT(LOG10($CF$27/1000))))&amp;"k",TEXT($CG$28,"#,##0.0"))),TEXT($CG$28,"#,##0.0")))</f>
        <v/>
      </c>
      <c r="CO28" t="n">
        <v>19.6</v>
      </c>
      <c r="CP28" t="n">
        <v>19.8</v>
      </c>
      <c r="CQ28" t="n">
        <v>17</v>
      </c>
      <c r="CT28">
        <f>IF(25&lt;=$CS$13,$CS$14+(25-1)*$CS$16,"")</f>
        <v/>
      </c>
      <c r="CU28">
        <f>IF(25&gt;$CS$13,"",SUMIFS($CQ$4:$CQ$203,$CP$4:$CP$203,"&gt;="&amp;$CT$28,$CP$4:$CP$203,IF(25=$CS$13,"&lt;=","&lt;")&amp;($CT$28+$CS$16)))</f>
        <v/>
      </c>
      <c r="CV28">
        <f>IF(AND(MOD(14,$CS$17)=0,MOD((INT(14/$CS$17)+1)-1,$CS$13/5)=0),INDEX($DA$4:$DA$53,(INT(14/$CS$17)+1)),"")</f>
        <v/>
      </c>
      <c r="CW28">
        <f>IF(MOD(14,$CS$17)=$CS$17-1,0,INDEX($CU$4:$CU$53,(INT(14/$CS$17)+1)))</f>
        <v/>
      </c>
      <c r="CX28">
        <f>IFERROR(IF(AND($CZ$16&gt;=$CS$14,$CZ$16&lt;=$CS$15),10+0.5+100*($CZ$16-$CS$14)/($CS$15-$CS$14),NA()),NA())</f>
        <v/>
      </c>
      <c r="CY28">
        <f>IF(ISNA($CX$28),NA(),0)</f>
        <v/>
      </c>
      <c r="DA28">
        <f>IF($CT$28="","",IFERROR(IF(ABS($CT$28)&gt;=1000000,ROUND($CT$28/1000000,MAX(0,1-INT(LOG10($CS$27/1000000))))&amp;"M",IF(ABS($CT$28)&gt;=1000,ROUND($CT$28/1000,MAX(0,1-INT(LOG10($CS$27/1000))))&amp;"k",TEXT($CT$28,"#,##0"))),TEXT($CT$28,"#,##0")))</f>
        <v/>
      </c>
      <c r="DB28" t="n">
        <v>18.4</v>
      </c>
      <c r="DC28" t="n">
        <v>18.575</v>
      </c>
      <c r="DD28" t="n">
        <v>25</v>
      </c>
      <c r="DG28">
        <f>IF(25&lt;=$DF$13,$DF$14+(25-1)*$DF$16,"")</f>
        <v/>
      </c>
      <c r="DH28">
        <f>IF(25&gt;$DF$13,"",SUMIFS($DD$4:$DD$203,$DC$4:$DC$203,"&gt;="&amp;$DG$28,$DC$4:$DC$203,IF(25=$DF$13,"&lt;=","&lt;")&amp;($DG$28+$DF$16)))</f>
        <v/>
      </c>
      <c r="DI28">
        <f>IF(AND(MOD(14,$DF$17)=0,MOD((INT(14/$DF$17)+1)-1,$DF$13/5)=0),INDEX($DN$4:$DN$53,(INT(14/$DF$17)+1)),"")</f>
        <v/>
      </c>
      <c r="DJ28">
        <f>IF(MOD(14,$DF$17)=$DF$17-1,0,INDEX($DH$4:$DH$53,(INT(14/$DF$17)+1)))</f>
        <v/>
      </c>
      <c r="DK28">
        <f>IFERROR(IF(AND($DM$16&gt;=$DF$14,$DM$16&lt;=$DF$15),10+0.5+100*($DM$16-$DF$14)/($DF$15-$DF$14),NA()),NA())</f>
        <v/>
      </c>
      <c r="DL28">
        <f>IF(ISNA($DK$28),NA(),0)</f>
        <v/>
      </c>
      <c r="DN28">
        <f>IF($DG$28="","",IFERROR(IF(ABS($DG$28)&gt;=1000000,ROUND($DG$28/1000000,MAX(0,1-INT(LOG10($DF$27/1000000))))&amp;"M",IF(ABS($DG$28)&gt;=1000,ROUND($DG$28/1000,MAX(0,1-INT(LOG10($DF$27/1000))))&amp;"k",TEXT($DG$28,"#,##0.0"))),TEXT($DG$28,"#,##0.0")))</f>
        <v/>
      </c>
      <c r="DO28" t="n">
        <v>8.1</v>
      </c>
      <c r="DP28" t="n">
        <v>8.112500000000001</v>
      </c>
      <c r="DQ28" t="n">
        <v>22</v>
      </c>
      <c r="DT28">
        <f>IF(25&lt;=$DS$13,$DS$14+(25-1)*$DS$16,"")</f>
        <v/>
      </c>
      <c r="DU28">
        <f>IF(25&gt;$DS$13,"",SUMIFS($DQ$4:$DQ$203,$DP$4:$DP$203,"&gt;="&amp;$DT$28,$DP$4:$DP$203,IF(25=$DS$13,"&lt;=","&lt;")&amp;($DT$28+$DS$16)))</f>
        <v/>
      </c>
      <c r="DV28">
        <f>IF(AND(MOD(14,$DS$17)=0,MOD((INT(14/$DS$17)+1)-1,$DS$13/5)=0),INDEX($EA$4:$EA$53,(INT(14/$DS$17)+1)),"")</f>
        <v/>
      </c>
      <c r="DW28">
        <f>IF(MOD(14,$DS$17)=$DS$17-1,0,INDEX($DU$4:$DU$53,(INT(14/$DS$17)+1)))</f>
        <v/>
      </c>
      <c r="DX28">
        <f>IFERROR(IF(AND($DZ$16&gt;=$DS$14,$DZ$16&lt;=$DS$15),10+0.5+100*($DZ$16-$DS$14)/($DS$15-$DS$14),NA()),NA())</f>
        <v/>
      </c>
      <c r="DY28">
        <f>IF(ISNA($DX$28),NA(),0)</f>
        <v/>
      </c>
      <c r="EA28">
        <f>IF($DT$28="","",IFERROR(IF(ABS($DT$28)&gt;=1000000,ROUND($DT$28/1000000,MAX(0,1-INT(LOG10($DS$27/1000000))))&amp;"M",IF(ABS($DT$28)&gt;=1000,ROUND($DT$28/1000,MAX(0,1-INT(LOG10($DS$27/1000))))&amp;"k",TEXT($DT$28,"#,##0.0"))),TEXT($DT$28,"#,##0.0")))</f>
        <v/>
      </c>
      <c r="EB28" t="n">
        <v>12</v>
      </c>
      <c r="EC28" t="n">
        <v>12.25</v>
      </c>
      <c r="ED28" t="n">
        <v>70</v>
      </c>
      <c r="EG28">
        <f>IF(25&lt;=$EF$13,$EF$14+(25-1)*$EF$16,"")</f>
        <v/>
      </c>
      <c r="EH28">
        <f>IF(25&gt;$EF$13,"",SUMIFS($ED$4:$ED$203,$EC$4:$EC$203,"&gt;="&amp;$EG$28,$EC$4:$EC$203,IF(25=$EF$13,"&lt;=","&lt;")&amp;($EG$28+$EF$16)))</f>
        <v/>
      </c>
      <c r="EI28">
        <f>IF(AND(MOD(14,$EF$17)=0,MOD((INT(14/$EF$17)+1)-1,$EF$13/5)=0),INDEX($EN$4:$EN$53,(INT(14/$EF$17)+1)),"")</f>
        <v/>
      </c>
      <c r="EJ28">
        <f>IF(MOD(14,$EF$17)=$EF$17-1,0,INDEX($EH$4:$EH$53,(INT(14/$EF$17)+1)))</f>
        <v/>
      </c>
      <c r="EK28">
        <f>IFERROR(IF(AND($EM$16&gt;=$EF$14,$EM$16&lt;=$EF$15),10+0.5+100*($EM$16-$EF$14)/($EF$15-$EF$14),NA()),NA())</f>
        <v/>
      </c>
      <c r="EL28">
        <f>IF(ISNA($EK$28),NA(),0)</f>
        <v/>
      </c>
      <c r="EN28">
        <f>IF($EG$28="","",IFERROR(IF(ABS($EG$28)&gt;=1000000,ROUND($EG$28/1000000,MAX(0,1-INT(LOG10($EF$27/1000000))))&amp;"M",IF(ABS($EG$28)&gt;=1000,ROUND($EG$28/1000,MAX(0,1-INT(LOG10($EF$27/1000))))&amp;"k",TEXT($EG$28,"#,##0"))),TEXT($EG$28,"#,##0")))</f>
        <v/>
      </c>
      <c r="EO28" t="n">
        <v>0.42</v>
      </c>
      <c r="EP28" t="n">
        <v>0.42875</v>
      </c>
      <c r="EQ28" t="n">
        <v>239</v>
      </c>
      <c r="ET28">
        <f>IF(25&lt;=$ES$13,$ES$14+(25-1)*$ES$16,"")</f>
        <v/>
      </c>
      <c r="EU28">
        <f>IF(25&gt;$ES$13,"",SUMIFS($EQ$4:$EQ$203,$EP$4:$EP$203,"&gt;="&amp;$ET$28,$EP$4:$EP$203,IF(25=$ES$13,"&lt;=","&lt;")&amp;($ET$28+$ES$16)))</f>
        <v/>
      </c>
      <c r="EV28">
        <f>IF(AND(MOD(14,$ES$17)=0,MOD((INT(14/$ES$17)+1)-1,$ES$13/5)=0),INDEX($FA$4:$FA$53,(INT(14/$ES$17)+1)),"")</f>
        <v/>
      </c>
      <c r="EW28">
        <f>IF(MOD(14,$ES$17)=$ES$17-1,0,INDEX($EU$4:$EU$53,(INT(14/$ES$17)+1)))</f>
        <v/>
      </c>
      <c r="EX28">
        <f>IFERROR(IF(AND($EZ$16&gt;=$ES$14,$EZ$16&lt;=$ES$15),10+0.5+100*($EZ$16-$ES$14)/($ES$15-$ES$14),NA()),NA())</f>
        <v/>
      </c>
      <c r="EY28">
        <f>IF(ISNA($EX$28),NA(),0)</f>
        <v/>
      </c>
      <c r="FA28">
        <f>IF($ET$28="","",IFERROR(IF(ABS($ET$28)&gt;=1000000,ROUND($ET$28/1000000,MAX(0,1-INT(LOG10($ES$27/1000000))))&amp;"M",IF(ABS($ET$28)&gt;=1000,ROUND($ET$28/1000,MAX(0,1-INT(LOG10($ES$27/1000))))&amp;"k",TEXT($ET$28,"0.00"))),TEXT($ET$28,"0.00")))</f>
        <v/>
      </c>
    </row>
    <row r="29">
      <c r="B29" t="n">
        <v>587.5</v>
      </c>
      <c r="C29" t="n">
        <v>588.25</v>
      </c>
      <c r="D29" t="n">
        <v>11</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72</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64</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c r="AO29" t="n">
        <v>100000</v>
      </c>
      <c r="AP29" t="n">
        <v>102000</v>
      </c>
      <c r="AQ29" t="n">
        <v>79</v>
      </c>
      <c r="AT29">
        <f>IF(26&lt;=$AS$13,$AS$14+(26-1)*$AS$16,"")</f>
        <v/>
      </c>
      <c r="AU29">
        <f>IF(26&gt;$AS$13,"",SUMIFS($AQ$4:$AQ$203,$AP$4:$AP$203,"&gt;="&amp;$AT$29,$AP$4:$AP$203,IF(26=$AS$13,"&lt;=","&lt;")&amp;($AT$29+$AS$16)))</f>
        <v/>
      </c>
      <c r="AV29">
        <f>IF(AND(MOD(15,$AS$17)=0,MOD((INT(15/$AS$17)+1)-1,$AS$13/5)=0),INDEX($BA$4:$BA$53,(INT(15/$AS$17)+1)),"")</f>
        <v/>
      </c>
      <c r="AW29">
        <f>IF(MOD(15,$AS$17)=$AS$17-1,0,INDEX($AU$4:$AU$53,(INT(15/$AS$17)+1)))</f>
        <v/>
      </c>
      <c r="AX29">
        <f>IFERROR(IF(AND($AZ$16&gt;=$AS$14,$AZ$16&lt;=$AS$15),10+0.5+100*($AZ$16-$AS$14)/($AS$15-$AS$14),NA()),NA())</f>
        <v/>
      </c>
      <c r="AY29">
        <f>IF(ISNA($AX$29),NA(),MAX($AW$4:$AW$123))</f>
        <v/>
      </c>
      <c r="BA29">
        <f>IF($AT$29="","",IFERROR(IF(ABS($AT$29)&gt;=1000000,ROUND($AT$29/1000000,MAX(0,1-INT(LOG10($AS$27/1000000))))&amp;"M",IF(ABS($AT$29)&gt;=1000,ROUND($AT$29/1000,MAX(0,1-INT(LOG10($AS$27/1000))))&amp;"k",TEXT($AT$29,"#,##0"))),TEXT($AT$29,"#,##0")))</f>
        <v/>
      </c>
      <c r="BB29" t="n">
        <v>175000</v>
      </c>
      <c r="BC29" t="n">
        <v>178500</v>
      </c>
      <c r="BD29" t="n">
        <v>189</v>
      </c>
      <c r="BG29">
        <f>IF(26&lt;=$BF$13,$BF$14+(26-1)*$BF$16,"")</f>
        <v/>
      </c>
      <c r="BH29">
        <f>IF(26&gt;$BF$13,"",SUMIFS($BD$4:$BD$203,$BC$4:$BC$203,"&gt;="&amp;$BG$29,$BC$4:$BC$203,IF(26=$BF$13,"&lt;=","&lt;")&amp;($BG$29+$BF$16)))</f>
        <v/>
      </c>
      <c r="BI29">
        <f>IF(AND(MOD(15,$BF$17)=0,MOD((INT(15/$BF$17)+1)-1,$BF$13/5)=0),INDEX($BN$4:$BN$53,(INT(15/$BF$17)+1)),"")</f>
        <v/>
      </c>
      <c r="BJ29">
        <f>IF(MOD(15,$BF$17)=$BF$17-1,0,INDEX($BH$4:$BH$53,(INT(15/$BF$17)+1)))</f>
        <v/>
      </c>
      <c r="BK29">
        <f>IFERROR(IF(AND($BM$16&gt;=$BF$14,$BM$16&lt;=$BF$15),10+0.5+100*($BM$16-$BF$14)/($BF$15-$BF$14),NA()),NA())</f>
        <v/>
      </c>
      <c r="BL29">
        <f>IF(ISNA($BK$29),NA(),MAX($BJ$4:$BJ$123))</f>
        <v/>
      </c>
      <c r="BN29">
        <f>IF($BG$29="","",IFERROR(IF(ABS($BG$29)&gt;=1000000,ROUND($BG$29/1000000,MAX(0,1-INT(LOG10($BF$27/1000000))))&amp;"M",IF(ABS($BG$29)&gt;=1000,ROUND($BG$29/1000,MAX(0,1-INT(LOG10($BF$27/1000))))&amp;"k",TEXT($BG$29,"#,##0"))),TEXT($BG$29,"#,##0")))</f>
        <v/>
      </c>
      <c r="BO29" t="n">
        <v>0.15</v>
      </c>
      <c r="BP29" t="n">
        <v>0.153</v>
      </c>
      <c r="BQ29" t="n">
        <v>60</v>
      </c>
      <c r="BT29">
        <f>IF(26&lt;=$BS$13,$BS$14+(26-1)*$BS$16,"")</f>
        <v/>
      </c>
      <c r="BU29">
        <f>IF(26&gt;$BS$13,"",SUMIFS($BQ$4:$BQ$203,$BP$4:$BP$203,"&gt;="&amp;$BT$29,$BP$4:$BP$203,IF(26=$BS$13,"&lt;=","&lt;")&amp;($BT$29+$BS$16)))</f>
        <v/>
      </c>
      <c r="BV29">
        <f>IF(AND(MOD(15,$BS$17)=0,MOD((INT(15/$BS$17)+1)-1,$BS$13/5)=0),INDEX($CA$4:$CA$53,(INT(15/$BS$17)+1)),"")</f>
        <v/>
      </c>
      <c r="BW29">
        <f>IF(MOD(15,$BS$17)=$BS$17-1,0,INDEX($BU$4:$BU$53,(INT(15/$BS$17)+1)))</f>
        <v/>
      </c>
      <c r="BX29">
        <f>IFERROR(IF(AND($BZ$16&gt;=$BS$14,$BZ$16&lt;=$BS$15),10+0.5+100*($BZ$16-$BS$14)/($BS$15-$BS$14),NA()),NA())</f>
        <v/>
      </c>
      <c r="BY29">
        <f>IF(ISNA($BX$29),NA(),MAX($BW$4:$BW$123))</f>
        <v/>
      </c>
      <c r="CA29">
        <f>IF($BT$29="","",IFERROR(IF(ABS($BT$29)&gt;=1000000,ROUND($BT$29/1000000,MAX(0,1-INT(LOG10($BS$27/1000000))))&amp;"M",IF(ABS($BT$29)&gt;=1000,ROUND($BT$29/1000,MAX(0,1-INT(LOG10($BS$27/1000))))&amp;"k",TEXT($BT$29,"0.00"))),TEXT($BT$29,"0.00")))</f>
        <v/>
      </c>
      <c r="CB29" t="n">
        <v>3.75</v>
      </c>
      <c r="CC29" t="n">
        <v>3.825</v>
      </c>
      <c r="CD29" t="n">
        <v>123</v>
      </c>
      <c r="CG29">
        <f>IF(26&lt;=$CF$13,$CF$14+(26-1)*$CF$16,"")</f>
        <v/>
      </c>
      <c r="CH29">
        <f>IF(26&gt;$CF$13,"",SUMIFS($CD$4:$CD$203,$CC$4:$CC$203,"&gt;="&amp;$CG$29,$CC$4:$CC$203,IF(26=$CF$13,"&lt;=","&lt;")&amp;($CG$29+$CF$16)))</f>
        <v/>
      </c>
      <c r="CI29">
        <f>IF(AND(MOD(15,$CF$17)=0,MOD((INT(15/$CF$17)+1)-1,$CF$13/5)=0),INDEX($CN$4:$CN$53,(INT(15/$CF$17)+1)),"")</f>
        <v/>
      </c>
      <c r="CJ29">
        <f>IF(MOD(15,$CF$17)=$CF$17-1,0,INDEX($CH$4:$CH$53,(INT(15/$CF$17)+1)))</f>
        <v/>
      </c>
      <c r="CK29">
        <f>IFERROR(IF(AND($CM$16&gt;=$CF$14,$CM$16&lt;=$CF$15),10+0.5+100*($CM$16-$CF$14)/($CF$15-$CF$14),NA()),NA())</f>
        <v/>
      </c>
      <c r="CL29">
        <f>IF(ISNA($CK$29),NA(),MAX($CJ$4:$CJ$123))</f>
        <v/>
      </c>
      <c r="CN29">
        <f>IF($CG$29="","",IFERROR(IF(ABS($CG$29)&gt;=1000000,ROUND($CG$29/1000000,MAX(0,1-INT(LOG10($CF$27/1000000))))&amp;"M",IF(ABS($CG$29)&gt;=1000,ROUND($CG$29/1000,MAX(0,1-INT(LOG10($CF$27/1000))))&amp;"k",TEXT($CG$29,"#,##0.0"))),TEXT($CG$29,"#,##0.0")))</f>
        <v/>
      </c>
      <c r="CO29" t="n">
        <v>20</v>
      </c>
      <c r="CP29" t="n">
        <v>20.2</v>
      </c>
      <c r="CQ29" t="n">
        <v>19</v>
      </c>
      <c r="CT29">
        <f>IF(26&lt;=$CS$13,$CS$14+(26-1)*$CS$16,"")</f>
        <v/>
      </c>
      <c r="CU29">
        <f>IF(26&gt;$CS$13,"",SUMIFS($CQ$4:$CQ$203,$CP$4:$CP$203,"&gt;="&amp;$CT$29,$CP$4:$CP$203,IF(26=$CS$13,"&lt;=","&lt;")&amp;($CT$29+$CS$16)))</f>
        <v/>
      </c>
      <c r="CV29">
        <f>IF(AND(MOD(15,$CS$17)=0,MOD((INT(15/$CS$17)+1)-1,$CS$13/5)=0),INDEX($DA$4:$DA$53,(INT(15/$CS$17)+1)),"")</f>
        <v/>
      </c>
      <c r="CW29">
        <f>IF(MOD(15,$CS$17)=$CS$17-1,0,INDEX($CU$4:$CU$53,(INT(15/$CS$17)+1)))</f>
        <v/>
      </c>
      <c r="CX29">
        <f>IFERROR(IF(AND($CZ$16&gt;=$CS$14,$CZ$16&lt;=$CS$15),10+0.5+100*($CZ$16-$CS$14)/($CS$15-$CS$14),NA()),NA())</f>
        <v/>
      </c>
      <c r="CY29">
        <f>IF(ISNA($CX$29),NA(),MAX($CW$4:$CW$123))</f>
        <v/>
      </c>
      <c r="DA29">
        <f>IF($CT$29="","",IFERROR(IF(ABS($CT$29)&gt;=1000000,ROUND($CT$29/1000000,MAX(0,1-INT(LOG10($CS$27/1000000))))&amp;"M",IF(ABS($CT$29)&gt;=1000,ROUND($CT$29/1000,MAX(0,1-INT(LOG10($CS$27/1000))))&amp;"k",TEXT($CT$29,"#,##0"))),TEXT($CT$29,"#,##0")))</f>
        <v/>
      </c>
      <c r="DB29" t="n">
        <v>18.75</v>
      </c>
      <c r="DC29" t="n">
        <v>18.925</v>
      </c>
      <c r="DD29" t="n">
        <v>28</v>
      </c>
      <c r="DG29">
        <f>IF(26&lt;=$DF$13,$DF$14+(26-1)*$DF$16,"")</f>
        <v/>
      </c>
      <c r="DH29">
        <f>IF(26&gt;$DF$13,"",SUMIFS($DD$4:$DD$203,$DC$4:$DC$203,"&gt;="&amp;$DG$29,$DC$4:$DC$203,IF(26=$DF$13,"&lt;=","&lt;")&amp;($DG$29+$DF$16)))</f>
        <v/>
      </c>
      <c r="DI29">
        <f>IF(AND(MOD(15,$DF$17)=0,MOD((INT(15/$DF$17)+1)-1,$DF$13/5)=0),INDEX($DN$4:$DN$53,(INT(15/$DF$17)+1)),"")</f>
        <v/>
      </c>
      <c r="DJ29">
        <f>IF(MOD(15,$DF$17)=$DF$17-1,0,INDEX($DH$4:$DH$53,(INT(15/$DF$17)+1)))</f>
        <v/>
      </c>
      <c r="DK29">
        <f>IFERROR(IF(AND($DM$16&gt;=$DF$14,$DM$16&lt;=$DF$15),10+0.5+100*($DM$16-$DF$14)/($DF$15-$DF$14),NA()),NA())</f>
        <v/>
      </c>
      <c r="DL29">
        <f>IF(ISNA($DK$29),NA(),MAX($DJ$4:$DJ$123))</f>
        <v/>
      </c>
      <c r="DN29">
        <f>IF($DG$29="","",IFERROR(IF(ABS($DG$29)&gt;=1000000,ROUND($DG$29/1000000,MAX(0,1-INT(LOG10($DF$27/1000000))))&amp;"M",IF(ABS($DG$29)&gt;=1000,ROUND($DG$29/1000,MAX(0,1-INT(LOG10($DF$27/1000))))&amp;"k",TEXT($DG$29,"#,##0.0"))),TEXT($DG$29,"#,##0.0")))</f>
        <v/>
      </c>
      <c r="DO29" t="n">
        <v>8.125</v>
      </c>
      <c r="DP29" t="n">
        <v>8.137499999999999</v>
      </c>
      <c r="DQ29" t="n">
        <v>19</v>
      </c>
      <c r="DT29">
        <f>IF(26&lt;=$DS$13,$DS$14+(26-1)*$DS$16,"")</f>
        <v/>
      </c>
      <c r="DU29">
        <f>IF(26&gt;$DS$13,"",SUMIFS($DQ$4:$DQ$203,$DP$4:$DP$203,"&gt;="&amp;$DT$29,$DP$4:$DP$203,IF(26=$DS$13,"&lt;=","&lt;")&amp;($DT$29+$DS$16)))</f>
        <v/>
      </c>
      <c r="DV29">
        <f>IF(AND(MOD(15,$DS$17)=0,MOD((INT(15/$DS$17)+1)-1,$DS$13/5)=0),INDEX($EA$4:$EA$53,(INT(15/$DS$17)+1)),"")</f>
        <v/>
      </c>
      <c r="DW29">
        <f>IF(MOD(15,$DS$17)=$DS$17-1,0,INDEX($DU$4:$DU$53,(INT(15/$DS$17)+1)))</f>
        <v/>
      </c>
      <c r="DX29">
        <f>IFERROR(IF(AND($DZ$16&gt;=$DS$14,$DZ$16&lt;=$DS$15),10+0.5+100*($DZ$16-$DS$14)/($DS$15-$DS$14),NA()),NA())</f>
        <v/>
      </c>
      <c r="DY29">
        <f>IF(ISNA($DX$29),NA(),MAX($DW$4:$DW$123))</f>
        <v/>
      </c>
      <c r="EA29">
        <f>IF($DT$29="","",IFERROR(IF(ABS($DT$29)&gt;=1000000,ROUND($DT$29/1000000,MAX(0,1-INT(LOG10($DS$27/1000000))))&amp;"M",IF(ABS($DT$29)&gt;=1000,ROUND($DT$29/1000,MAX(0,1-INT(LOG10($DS$27/1000))))&amp;"k",TEXT($DT$29,"#,##0.0"))),TEXT($DT$29,"#,##0.0")))</f>
        <v/>
      </c>
      <c r="EB29" t="n">
        <v>12.5</v>
      </c>
      <c r="EC29" t="n">
        <v>12.75</v>
      </c>
      <c r="ED29" t="n">
        <v>65</v>
      </c>
      <c r="EG29">
        <f>IF(26&lt;=$EF$13,$EF$14+(26-1)*$EF$16,"")</f>
        <v/>
      </c>
      <c r="EH29">
        <f>IF(26&gt;$EF$13,"",SUMIFS($ED$4:$ED$203,$EC$4:$EC$203,"&gt;="&amp;$EG$29,$EC$4:$EC$203,IF(26=$EF$13,"&lt;=","&lt;")&amp;($EG$29+$EF$16)))</f>
        <v/>
      </c>
      <c r="EI29">
        <f>IF(AND(MOD(15,$EF$17)=0,MOD((INT(15/$EF$17)+1)-1,$EF$13/5)=0),INDEX($EN$4:$EN$53,(INT(15/$EF$17)+1)),"")</f>
        <v/>
      </c>
      <c r="EJ29">
        <f>IF(MOD(15,$EF$17)=$EF$17-1,0,INDEX($EH$4:$EH$53,(INT(15/$EF$17)+1)))</f>
        <v/>
      </c>
      <c r="EK29">
        <f>IFERROR(IF(AND($EM$16&gt;=$EF$14,$EM$16&lt;=$EF$15),10+0.5+100*($EM$16-$EF$14)/($EF$15-$EF$14),NA()),NA())</f>
        <v/>
      </c>
      <c r="EL29">
        <f>IF(ISNA($EK$29),NA(),MAX($EJ$4:$EJ$123))</f>
        <v/>
      </c>
      <c r="EN29">
        <f>IF($EG$29="","",IFERROR(IF(ABS($EG$29)&gt;=1000000,ROUND($EG$29/1000000,MAX(0,1-INT(LOG10($EF$27/1000000))))&amp;"M",IF(ABS($EG$29)&gt;=1000,ROUND($EG$29/1000,MAX(0,1-INT(LOG10($EF$27/1000))))&amp;"k",TEXT($EG$29,"#,##0"))),TEXT($EG$29,"#,##0")))</f>
        <v/>
      </c>
      <c r="EO29" t="n">
        <v>0.4375000000000001</v>
      </c>
      <c r="EP29" t="n">
        <v>0.44625</v>
      </c>
      <c r="EQ29" t="n">
        <v>252</v>
      </c>
      <c r="ET29">
        <f>IF(26&lt;=$ES$13,$ES$14+(26-1)*$ES$16,"")</f>
        <v/>
      </c>
      <c r="EU29">
        <f>IF(26&gt;$ES$13,"",SUMIFS($EQ$4:$EQ$203,$EP$4:$EP$203,"&gt;="&amp;$ET$29,$EP$4:$EP$203,IF(26=$ES$13,"&lt;=","&lt;")&amp;($ET$29+$ES$16)))</f>
        <v/>
      </c>
      <c r="EV29">
        <f>IF(AND(MOD(15,$ES$17)=0,MOD((INT(15/$ES$17)+1)-1,$ES$13/5)=0),INDEX($FA$4:$FA$53,(INT(15/$ES$17)+1)),"")</f>
        <v/>
      </c>
      <c r="EW29">
        <f>IF(MOD(15,$ES$17)=$ES$17-1,0,INDEX($EU$4:$EU$53,(INT(15/$ES$17)+1)))</f>
        <v/>
      </c>
      <c r="EX29">
        <f>IFERROR(IF(AND($EZ$16&gt;=$ES$14,$EZ$16&lt;=$ES$15),10+0.5+100*($EZ$16-$ES$14)/($ES$15-$ES$14),NA()),NA())</f>
        <v/>
      </c>
      <c r="EY29">
        <f>IF(ISNA($EX$29),NA(),MAX($EW$4:$EW$123))</f>
        <v/>
      </c>
      <c r="FA29">
        <f>IF($ET$29="","",IFERROR(IF(ABS($ET$29)&gt;=1000000,ROUND($ET$29/1000000,MAX(0,1-INT(LOG10($ES$27/1000000))))&amp;"M",IF(ABS($ET$29)&gt;=1000,ROUND($ET$29/1000,MAX(0,1-INT(LOG10($ES$27/1000))))&amp;"k",TEXT($ET$29,"0.00"))),TEXT($ET$29,"0.00")))</f>
        <v/>
      </c>
    </row>
    <row r="30">
      <c r="B30" t="n">
        <v>589</v>
      </c>
      <c r="C30" t="n">
        <v>589.75</v>
      </c>
      <c r="D30" t="n">
        <v>19</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73</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61</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c r="AO30" t="n">
        <v>104000</v>
      </c>
      <c r="AP30" t="n">
        <v>106000</v>
      </c>
      <c r="AQ30" t="n">
        <v>75</v>
      </c>
      <c r="AT30">
        <f>IF(27&lt;=$AS$13,$AS$14+(27-1)*$AS$16,"")</f>
        <v/>
      </c>
      <c r="AU30">
        <f>IF(27&gt;$AS$13,"",SUMIFS($AQ$4:$AQ$203,$AP$4:$AP$203,"&gt;="&amp;$AT$30,$AP$4:$AP$203,IF(27=$AS$13,"&lt;=","&lt;")&amp;($AT$30+$AS$16)))</f>
        <v/>
      </c>
      <c r="AV30">
        <f>IF(AND(MOD(16,$AS$17)=0,MOD((INT(16/$AS$17)+1)-1,$AS$13/5)=0),INDEX($BA$4:$BA$53,(INT(16/$AS$17)+1)),"")</f>
        <v/>
      </c>
      <c r="AW30">
        <f>IF(MOD(16,$AS$17)=$AS$17-1,0,INDEX($AU$4:$AU$53,(INT(16/$AS$17)+1)))</f>
        <v/>
      </c>
      <c r="AX30">
        <f>IFERROR(IF(AND($AZ$17&gt;=$AS$14,$AZ$17&lt;=$AS$15),10+0.5+100*($AZ$17-$AS$14)/($AS$15-$AS$14),NA()),NA())</f>
        <v/>
      </c>
      <c r="AY30">
        <f>IF(ISNA($AX$30),NA(),0)</f>
        <v/>
      </c>
      <c r="BA30">
        <f>IF($AT$30="","",IFERROR(IF(ABS($AT$30)&gt;=1000000,ROUND($AT$30/1000000,MAX(0,1-INT(LOG10($AS$27/1000000))))&amp;"M",IF(ABS($AT$30)&gt;=1000,ROUND($AT$30/1000,MAX(0,1-INT(LOG10($AS$27/1000))))&amp;"k",TEXT($AT$30,"#,##0"))),TEXT($AT$30,"#,##0")))</f>
        <v/>
      </c>
      <c r="BB30" t="n">
        <v>182000</v>
      </c>
      <c r="BC30" t="n">
        <v>185500</v>
      </c>
      <c r="BD30" t="n">
        <v>188</v>
      </c>
      <c r="BG30">
        <f>IF(27&lt;=$BF$13,$BF$14+(27-1)*$BF$16,"")</f>
        <v/>
      </c>
      <c r="BH30">
        <f>IF(27&gt;$BF$13,"",SUMIFS($BD$4:$BD$203,$BC$4:$BC$203,"&gt;="&amp;$BG$30,$BC$4:$BC$203,IF(27=$BF$13,"&lt;=","&lt;")&amp;($BG$30+$BF$16)))</f>
        <v/>
      </c>
      <c r="BI30">
        <f>IF(AND(MOD(16,$BF$17)=0,MOD((INT(16/$BF$17)+1)-1,$BF$13/5)=0),INDEX($BN$4:$BN$53,(INT(16/$BF$17)+1)),"")</f>
        <v/>
      </c>
      <c r="BJ30">
        <f>IF(MOD(16,$BF$17)=$BF$17-1,0,INDEX($BH$4:$BH$53,(INT(16/$BF$17)+1)))</f>
        <v/>
      </c>
      <c r="BK30">
        <f>IFERROR(IF(AND($BM$17&gt;=$BF$14,$BM$17&lt;=$BF$15),10+0.5+100*($BM$17-$BF$14)/($BF$15-$BF$14),NA()),NA())</f>
        <v/>
      </c>
      <c r="BL30">
        <f>IF(ISNA($BK$30),NA(),0)</f>
        <v/>
      </c>
      <c r="BN30">
        <f>IF($BG$30="","",IFERROR(IF(ABS($BG$30)&gt;=1000000,ROUND($BG$30/1000000,MAX(0,1-INT(LOG10($BF$27/1000000))))&amp;"M",IF(ABS($BG$30)&gt;=1000,ROUND($BG$30/1000,MAX(0,1-INT(LOG10($BF$27/1000))))&amp;"k",TEXT($BG$30,"#,##0"))),TEXT($BG$30,"#,##0")))</f>
        <v/>
      </c>
      <c r="BO30" t="n">
        <v>0.156</v>
      </c>
      <c r="BP30" t="n">
        <v>0.159</v>
      </c>
      <c r="BQ30" t="n">
        <v>62</v>
      </c>
      <c r="BT30">
        <f>IF(27&lt;=$BS$13,$BS$14+(27-1)*$BS$16,"")</f>
        <v/>
      </c>
      <c r="BU30">
        <f>IF(27&gt;$BS$13,"",SUMIFS($BQ$4:$BQ$203,$BP$4:$BP$203,"&gt;="&amp;$BT$30,$BP$4:$BP$203,IF(27=$BS$13,"&lt;=","&lt;")&amp;($BT$30+$BS$16)))</f>
        <v/>
      </c>
      <c r="BV30">
        <f>IF(AND(MOD(16,$BS$17)=0,MOD((INT(16/$BS$17)+1)-1,$BS$13/5)=0),INDEX($CA$4:$CA$53,(INT(16/$BS$17)+1)),"")</f>
        <v/>
      </c>
      <c r="BW30">
        <f>IF(MOD(16,$BS$17)=$BS$17-1,0,INDEX($BU$4:$BU$53,(INT(16/$BS$17)+1)))</f>
        <v/>
      </c>
      <c r="BX30">
        <f>IFERROR(IF(AND($BZ$17&gt;=$BS$14,$BZ$17&lt;=$BS$15),10+0.5+100*($BZ$17-$BS$14)/($BS$15-$BS$14),NA()),NA())</f>
        <v/>
      </c>
      <c r="BY30">
        <f>IF(ISNA($BX$30),NA(),0)</f>
        <v/>
      </c>
      <c r="CA30">
        <f>IF($BT$30="","",IFERROR(IF(ABS($BT$30)&gt;=1000000,ROUND($BT$30/1000000,MAX(0,1-INT(LOG10($BS$27/1000000))))&amp;"M",IF(ABS($BT$30)&gt;=1000,ROUND($BT$30/1000,MAX(0,1-INT(LOG10($BS$27/1000))))&amp;"k",TEXT($BT$30,"0.00"))),TEXT($BT$30,"0.00")))</f>
        <v/>
      </c>
      <c r="CB30" t="n">
        <v>3.9</v>
      </c>
      <c r="CC30" t="n">
        <v>3.975</v>
      </c>
      <c r="CD30" t="n">
        <v>248</v>
      </c>
      <c r="CG30">
        <f>IF(27&lt;=$CF$13,$CF$14+(27-1)*$CF$16,"")</f>
        <v/>
      </c>
      <c r="CH30">
        <f>IF(27&gt;$CF$13,"",SUMIFS($CD$4:$CD$203,$CC$4:$CC$203,"&gt;="&amp;$CG$30,$CC$4:$CC$203,IF(27=$CF$13,"&lt;=","&lt;")&amp;($CG$30+$CF$16)))</f>
        <v/>
      </c>
      <c r="CI30">
        <f>IF(AND(MOD(16,$CF$17)=0,MOD((INT(16/$CF$17)+1)-1,$CF$13/5)=0),INDEX($CN$4:$CN$53,(INT(16/$CF$17)+1)),"")</f>
        <v/>
      </c>
      <c r="CJ30">
        <f>IF(MOD(16,$CF$17)=$CF$17-1,0,INDEX($CH$4:$CH$53,(INT(16/$CF$17)+1)))</f>
        <v/>
      </c>
      <c r="CK30">
        <f>IFERROR(IF(AND($CM$17&gt;=$CF$14,$CM$17&lt;=$CF$15),10+0.5+100*($CM$17-$CF$14)/($CF$15-$CF$14),NA()),NA())</f>
        <v/>
      </c>
      <c r="CL30">
        <f>IF(ISNA($CK$30),NA(),0)</f>
        <v/>
      </c>
      <c r="CN30">
        <f>IF($CG$30="","",IFERROR(IF(ABS($CG$30)&gt;=1000000,ROUND($CG$30/1000000,MAX(0,1-INT(LOG10($CF$27/1000000))))&amp;"M",IF(ABS($CG$30)&gt;=1000,ROUND($CG$30/1000,MAX(0,1-INT(LOG10($CF$27/1000))))&amp;"k",TEXT($CG$30,"#,##0.0"))),TEXT($CG$30,"#,##0.0")))</f>
        <v/>
      </c>
      <c r="CO30" t="n">
        <v>20.4</v>
      </c>
      <c r="CP30" t="n">
        <v>20.6</v>
      </c>
      <c r="CQ30" t="n">
        <v>15</v>
      </c>
      <c r="CT30">
        <f>IF(27&lt;=$CS$13,$CS$14+(27-1)*$CS$16,"")</f>
        <v/>
      </c>
      <c r="CU30">
        <f>IF(27&gt;$CS$13,"",SUMIFS($CQ$4:$CQ$203,$CP$4:$CP$203,"&gt;="&amp;$CT$30,$CP$4:$CP$203,IF(27=$CS$13,"&lt;=","&lt;")&amp;($CT$30+$CS$16)))</f>
        <v/>
      </c>
      <c r="CV30">
        <f>IF(AND(MOD(16,$CS$17)=0,MOD((INT(16/$CS$17)+1)-1,$CS$13/5)=0),INDEX($DA$4:$DA$53,(INT(16/$CS$17)+1)),"")</f>
        <v/>
      </c>
      <c r="CW30">
        <f>IF(MOD(16,$CS$17)=$CS$17-1,0,INDEX($CU$4:$CU$53,(INT(16/$CS$17)+1)))</f>
        <v/>
      </c>
      <c r="CX30">
        <f>IFERROR(IF(AND($CZ$17&gt;=$CS$14,$CZ$17&lt;=$CS$15),10+0.5+100*($CZ$17-$CS$14)/($CS$15-$CS$14),NA()),NA())</f>
        <v/>
      </c>
      <c r="CY30">
        <f>IF(ISNA($CX$30),NA(),0)</f>
        <v/>
      </c>
      <c r="DA30">
        <f>IF($CT$30="","",IFERROR(IF(ABS($CT$30)&gt;=1000000,ROUND($CT$30/1000000,MAX(0,1-INT(LOG10($CS$27/1000000))))&amp;"M",IF(ABS($CT$30)&gt;=1000,ROUND($CT$30/1000,MAX(0,1-INT(LOG10($CS$27/1000))))&amp;"k",TEXT($CT$30,"#,##0"))),TEXT($CT$30,"#,##0")))</f>
        <v/>
      </c>
      <c r="DB30" t="n">
        <v>19.1</v>
      </c>
      <c r="DC30" t="n">
        <v>19.275</v>
      </c>
      <c r="DD30" t="n">
        <v>24</v>
      </c>
      <c r="DG30">
        <f>IF(27&lt;=$DF$13,$DF$14+(27-1)*$DF$16,"")</f>
        <v/>
      </c>
      <c r="DH30">
        <f>IF(27&gt;$DF$13,"",SUMIFS($DD$4:$DD$203,$DC$4:$DC$203,"&gt;="&amp;$DG$30,$DC$4:$DC$203,IF(27=$DF$13,"&lt;=","&lt;")&amp;($DG$30+$DF$16)))</f>
        <v/>
      </c>
      <c r="DI30">
        <f>IF(AND(MOD(16,$DF$17)=0,MOD((INT(16/$DF$17)+1)-1,$DF$13/5)=0),INDEX($DN$4:$DN$53,(INT(16/$DF$17)+1)),"")</f>
        <v/>
      </c>
      <c r="DJ30">
        <f>IF(MOD(16,$DF$17)=$DF$17-1,0,INDEX($DH$4:$DH$53,(INT(16/$DF$17)+1)))</f>
        <v/>
      </c>
      <c r="DK30">
        <f>IFERROR(IF(AND($DM$17&gt;=$DF$14,$DM$17&lt;=$DF$15),10+0.5+100*($DM$17-$DF$14)/($DF$15-$DF$14),NA()),NA())</f>
        <v/>
      </c>
      <c r="DL30">
        <f>IF(ISNA($DK$30),NA(),0)</f>
        <v/>
      </c>
      <c r="DN30">
        <f>IF($DG$30="","",IFERROR(IF(ABS($DG$30)&gt;=1000000,ROUND($DG$30/1000000,MAX(0,1-INT(LOG10($DF$27/1000000))))&amp;"M",IF(ABS($DG$30)&gt;=1000,ROUND($DG$30/1000,MAX(0,1-INT(LOG10($DF$27/1000))))&amp;"k",TEXT($DG$30,"#,##0.0"))),TEXT($DG$30,"#,##0.0")))</f>
        <v/>
      </c>
      <c r="DO30" t="n">
        <v>8.15</v>
      </c>
      <c r="DP30" t="n">
        <v>8.1625</v>
      </c>
      <c r="DQ30" t="n">
        <v>22</v>
      </c>
      <c r="DT30">
        <f>IF(27&lt;=$DS$13,$DS$14+(27-1)*$DS$16,"")</f>
        <v/>
      </c>
      <c r="DU30">
        <f>IF(27&gt;$DS$13,"",SUMIFS($DQ$4:$DQ$203,$DP$4:$DP$203,"&gt;="&amp;$DT$30,$DP$4:$DP$203,IF(27=$DS$13,"&lt;=","&lt;")&amp;($DT$30+$DS$16)))</f>
        <v/>
      </c>
      <c r="DV30">
        <f>IF(AND(MOD(16,$DS$17)=0,MOD((INT(16/$DS$17)+1)-1,$DS$13/5)=0),INDEX($EA$4:$EA$53,(INT(16/$DS$17)+1)),"")</f>
        <v/>
      </c>
      <c r="DW30">
        <f>IF(MOD(16,$DS$17)=$DS$17-1,0,INDEX($DU$4:$DU$53,(INT(16/$DS$17)+1)))</f>
        <v/>
      </c>
      <c r="DX30">
        <f>IFERROR(IF(AND($DZ$17&gt;=$DS$14,$DZ$17&lt;=$DS$15),10+0.5+100*($DZ$17-$DS$14)/($DS$15-$DS$14),NA()),NA())</f>
        <v/>
      </c>
      <c r="DY30">
        <f>IF(ISNA($DX$30),NA(),0)</f>
        <v/>
      </c>
      <c r="EA30">
        <f>IF($DT$30="","",IFERROR(IF(ABS($DT$30)&gt;=1000000,ROUND($DT$30/1000000,MAX(0,1-INT(LOG10($DS$27/1000000))))&amp;"M",IF(ABS($DT$30)&gt;=1000,ROUND($DT$30/1000,MAX(0,1-INT(LOG10($DS$27/1000))))&amp;"k",TEXT($DT$30,"#,##0.0"))),TEXT($DT$30,"#,##0.0")))</f>
        <v/>
      </c>
      <c r="EB30" t="n">
        <v>13</v>
      </c>
      <c r="EC30" t="n">
        <v>13.25</v>
      </c>
      <c r="ED30" t="n">
        <v>54</v>
      </c>
      <c r="EG30">
        <f>IF(27&lt;=$EF$13,$EF$14+(27-1)*$EF$16,"")</f>
        <v/>
      </c>
      <c r="EH30">
        <f>IF(27&gt;$EF$13,"",SUMIFS($ED$4:$ED$203,$EC$4:$EC$203,"&gt;="&amp;$EG$30,$EC$4:$EC$203,IF(27=$EF$13,"&lt;=","&lt;")&amp;($EG$30+$EF$16)))</f>
        <v/>
      </c>
      <c r="EI30">
        <f>IF(AND(MOD(16,$EF$17)=0,MOD((INT(16/$EF$17)+1)-1,$EF$13/5)=0),INDEX($EN$4:$EN$53,(INT(16/$EF$17)+1)),"")</f>
        <v/>
      </c>
      <c r="EJ30">
        <f>IF(MOD(16,$EF$17)=$EF$17-1,0,INDEX($EH$4:$EH$53,(INT(16/$EF$17)+1)))</f>
        <v/>
      </c>
      <c r="EK30">
        <f>IFERROR(IF(AND($EM$17&gt;=$EF$14,$EM$17&lt;=$EF$15),10+0.5+100*($EM$17-$EF$14)/($EF$15-$EF$14),NA()),NA())</f>
        <v/>
      </c>
      <c r="EL30">
        <f>IF(ISNA($EK$30),NA(),0)</f>
        <v/>
      </c>
      <c r="EN30">
        <f>IF($EG$30="","",IFERROR(IF(ABS($EG$30)&gt;=1000000,ROUND($EG$30/1000000,MAX(0,1-INT(LOG10($EF$27/1000000))))&amp;"M",IF(ABS($EG$30)&gt;=1000,ROUND($EG$30/1000,MAX(0,1-INT(LOG10($EF$27/1000))))&amp;"k",TEXT($EG$30,"#,##0"))),TEXT($EG$30,"#,##0")))</f>
        <v/>
      </c>
      <c r="EO30" t="n">
        <v>0.4550000000000001</v>
      </c>
      <c r="EP30" t="n">
        <v>0.4637500000000001</v>
      </c>
      <c r="EQ30" t="n">
        <v>195</v>
      </c>
      <c r="ET30">
        <f>IF(27&lt;=$ES$13,$ES$14+(27-1)*$ES$16,"")</f>
        <v/>
      </c>
      <c r="EU30">
        <f>IF(27&gt;$ES$13,"",SUMIFS($EQ$4:$EQ$203,$EP$4:$EP$203,"&gt;="&amp;$ET$30,$EP$4:$EP$203,IF(27=$ES$13,"&lt;=","&lt;")&amp;($ET$30+$ES$16)))</f>
        <v/>
      </c>
      <c r="EV30">
        <f>IF(AND(MOD(16,$ES$17)=0,MOD((INT(16/$ES$17)+1)-1,$ES$13/5)=0),INDEX($FA$4:$FA$53,(INT(16/$ES$17)+1)),"")</f>
        <v/>
      </c>
      <c r="EW30">
        <f>IF(MOD(16,$ES$17)=$ES$17-1,0,INDEX($EU$4:$EU$53,(INT(16/$ES$17)+1)))</f>
        <v/>
      </c>
      <c r="EX30">
        <f>IFERROR(IF(AND($EZ$17&gt;=$ES$14,$EZ$17&lt;=$ES$15),10+0.5+100*($EZ$17-$ES$14)/($ES$15-$ES$14),NA()),NA())</f>
        <v/>
      </c>
      <c r="EY30">
        <f>IF(ISNA($EX$30),NA(),0)</f>
        <v/>
      </c>
      <c r="FA30">
        <f>IF($ET$30="","",IFERROR(IF(ABS($ET$30)&gt;=1000000,ROUND($ET$30/1000000,MAX(0,1-INT(LOG10($ES$27/1000000))))&amp;"M",IF(ABS($ET$30)&gt;=1000,ROUND($ET$30/1000,MAX(0,1-INT(LOG10($ES$27/1000))))&amp;"k",TEXT($ET$30,"0.00"))),TEXT($ET$30,"0.00")))</f>
        <v/>
      </c>
    </row>
    <row r="31">
      <c r="B31" t="n">
        <v>590.5</v>
      </c>
      <c r="C31" t="n">
        <v>591.25</v>
      </c>
      <c r="D31" t="n">
        <v>16</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75</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57</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c r="AO31" t="n">
        <v>108000</v>
      </c>
      <c r="AP31" t="n">
        <v>110000</v>
      </c>
      <c r="AQ31" t="n">
        <v>83</v>
      </c>
      <c r="AT31">
        <f>IF(28&lt;=$AS$13,$AS$14+(28-1)*$AS$16,"")</f>
        <v/>
      </c>
      <c r="AU31">
        <f>IF(28&gt;$AS$13,"",SUMIFS($AQ$4:$AQ$203,$AP$4:$AP$203,"&gt;="&amp;$AT$31,$AP$4:$AP$203,IF(28=$AS$13,"&lt;=","&lt;")&amp;($AT$31+$AS$16)))</f>
        <v/>
      </c>
      <c r="AV31">
        <f>IF(AND(MOD(17,$AS$17)=0,MOD((INT(17/$AS$17)+1)-1,$AS$13/5)=0),INDEX($BA$4:$BA$53,(INT(17/$AS$17)+1)),"")</f>
        <v/>
      </c>
      <c r="AW31">
        <f>IF(MOD(17,$AS$17)=$AS$17-1,0,INDEX($AU$4:$AU$53,(INT(17/$AS$17)+1)))</f>
        <v/>
      </c>
      <c r="AX31">
        <f>IFERROR(IF(AND($AZ$17&gt;=$AS$14,$AZ$17&lt;=$AS$15),10+0.5+100*($AZ$17-$AS$14)/($AS$15-$AS$14),NA()),NA())</f>
        <v/>
      </c>
      <c r="AY31">
        <f>IF(ISNA($AX$31),NA(),MAX($AW$4:$AW$123))</f>
        <v/>
      </c>
      <c r="BA31">
        <f>IF($AT$31="","",IFERROR(IF(ABS($AT$31)&gt;=1000000,ROUND($AT$31/1000000,MAX(0,1-INT(LOG10($AS$27/1000000))))&amp;"M",IF(ABS($AT$31)&gt;=1000,ROUND($AT$31/1000,MAX(0,1-INT(LOG10($AS$27/1000))))&amp;"k",TEXT($AT$31,"#,##0"))),TEXT($AT$31,"#,##0")))</f>
        <v/>
      </c>
      <c r="BB31" t="n">
        <v>189000</v>
      </c>
      <c r="BC31" t="n">
        <v>192500</v>
      </c>
      <c r="BD31" t="n">
        <v>151</v>
      </c>
      <c r="BG31">
        <f>IF(28&lt;=$BF$13,$BF$14+(28-1)*$BF$16,"")</f>
        <v/>
      </c>
      <c r="BH31">
        <f>IF(28&gt;$BF$13,"",SUMIFS($BD$4:$BD$203,$BC$4:$BC$203,"&gt;="&amp;$BG$31,$BC$4:$BC$203,IF(28=$BF$13,"&lt;=","&lt;")&amp;($BG$31+$BF$16)))</f>
        <v/>
      </c>
      <c r="BI31">
        <f>IF(AND(MOD(17,$BF$17)=0,MOD((INT(17/$BF$17)+1)-1,$BF$13/5)=0),INDEX($BN$4:$BN$53,(INT(17/$BF$17)+1)),"")</f>
        <v/>
      </c>
      <c r="BJ31">
        <f>IF(MOD(17,$BF$17)=$BF$17-1,0,INDEX($BH$4:$BH$53,(INT(17/$BF$17)+1)))</f>
        <v/>
      </c>
      <c r="BK31">
        <f>IFERROR(IF(AND($BM$17&gt;=$BF$14,$BM$17&lt;=$BF$15),10+0.5+100*($BM$17-$BF$14)/($BF$15-$BF$14),NA()),NA())</f>
        <v/>
      </c>
      <c r="BL31">
        <f>IF(ISNA($BK$31),NA(),MAX($BJ$4:$BJ$123))</f>
        <v/>
      </c>
      <c r="BN31">
        <f>IF($BG$31="","",IFERROR(IF(ABS($BG$31)&gt;=1000000,ROUND($BG$31/1000000,MAX(0,1-INT(LOG10($BF$27/1000000))))&amp;"M",IF(ABS($BG$31)&gt;=1000,ROUND($BG$31/1000,MAX(0,1-INT(LOG10($BF$27/1000))))&amp;"k",TEXT($BG$31,"#,##0"))),TEXT($BG$31,"#,##0")))</f>
        <v/>
      </c>
      <c r="BO31" t="n">
        <v>0.162</v>
      </c>
      <c r="BP31" t="n">
        <v>0.165</v>
      </c>
      <c r="BQ31" t="n">
        <v>53</v>
      </c>
      <c r="BT31">
        <f>IF(28&lt;=$BS$13,$BS$14+(28-1)*$BS$16,"")</f>
        <v/>
      </c>
      <c r="BU31">
        <f>IF(28&gt;$BS$13,"",SUMIFS($BQ$4:$BQ$203,$BP$4:$BP$203,"&gt;="&amp;$BT$31,$BP$4:$BP$203,IF(28=$BS$13,"&lt;=","&lt;")&amp;($BT$31+$BS$16)))</f>
        <v/>
      </c>
      <c r="BV31">
        <f>IF(AND(MOD(17,$BS$17)=0,MOD((INT(17/$BS$17)+1)-1,$BS$13/5)=0),INDEX($CA$4:$CA$53,(INT(17/$BS$17)+1)),"")</f>
        <v/>
      </c>
      <c r="BW31">
        <f>IF(MOD(17,$BS$17)=$BS$17-1,0,INDEX($BU$4:$BU$53,(INT(17/$BS$17)+1)))</f>
        <v/>
      </c>
      <c r="BX31">
        <f>IFERROR(IF(AND($BZ$17&gt;=$BS$14,$BZ$17&lt;=$BS$15),10+0.5+100*($BZ$17-$BS$14)/($BS$15-$BS$14),NA()),NA())</f>
        <v/>
      </c>
      <c r="BY31">
        <f>IF(ISNA($BX$31),NA(),MAX($BW$4:$BW$123))</f>
        <v/>
      </c>
      <c r="CA31">
        <f>IF($BT$31="","",IFERROR(IF(ABS($BT$31)&gt;=1000000,ROUND($BT$31/1000000,MAX(0,1-INT(LOG10($BS$27/1000000))))&amp;"M",IF(ABS($BT$31)&gt;=1000,ROUND($BT$31/1000,MAX(0,1-INT(LOG10($BS$27/1000))))&amp;"k",TEXT($BT$31,"0.00"))),TEXT($BT$31,"0.00")))</f>
        <v/>
      </c>
      <c r="CB31" t="n">
        <v>4.05</v>
      </c>
      <c r="CC31" t="n">
        <v>4.125</v>
      </c>
      <c r="CD31" t="n">
        <v>94</v>
      </c>
      <c r="CG31">
        <f>IF(28&lt;=$CF$13,$CF$14+(28-1)*$CF$16,"")</f>
        <v/>
      </c>
      <c r="CH31">
        <f>IF(28&gt;$CF$13,"",SUMIFS($CD$4:$CD$203,$CC$4:$CC$203,"&gt;="&amp;$CG$31,$CC$4:$CC$203,IF(28=$CF$13,"&lt;=","&lt;")&amp;($CG$31+$CF$16)))</f>
        <v/>
      </c>
      <c r="CI31">
        <f>IF(AND(MOD(17,$CF$17)=0,MOD((INT(17/$CF$17)+1)-1,$CF$13/5)=0),INDEX($CN$4:$CN$53,(INT(17/$CF$17)+1)),"")</f>
        <v/>
      </c>
      <c r="CJ31">
        <f>IF(MOD(17,$CF$17)=$CF$17-1,0,INDEX($CH$4:$CH$53,(INT(17/$CF$17)+1)))</f>
        <v/>
      </c>
      <c r="CK31">
        <f>IFERROR(IF(AND($CM$17&gt;=$CF$14,$CM$17&lt;=$CF$15),10+0.5+100*($CM$17-$CF$14)/($CF$15-$CF$14),NA()),NA())</f>
        <v/>
      </c>
      <c r="CL31">
        <f>IF(ISNA($CK$31),NA(),MAX($CJ$4:$CJ$123))</f>
        <v/>
      </c>
      <c r="CN31">
        <f>IF($CG$31="","",IFERROR(IF(ABS($CG$31)&gt;=1000000,ROUND($CG$31/1000000,MAX(0,1-INT(LOG10($CF$27/1000000))))&amp;"M",IF(ABS($CG$31)&gt;=1000,ROUND($CG$31/1000,MAX(0,1-INT(LOG10($CF$27/1000))))&amp;"k",TEXT($CG$31,"#,##0.0"))),TEXT($CG$31,"#,##0.0")))</f>
        <v/>
      </c>
      <c r="CO31" t="n">
        <v>20.8</v>
      </c>
      <c r="CP31" t="n">
        <v>21</v>
      </c>
      <c r="CQ31" t="n">
        <v>20</v>
      </c>
      <c r="CT31">
        <f>IF(28&lt;=$CS$13,$CS$14+(28-1)*$CS$16,"")</f>
        <v/>
      </c>
      <c r="CU31">
        <f>IF(28&gt;$CS$13,"",SUMIFS($CQ$4:$CQ$203,$CP$4:$CP$203,"&gt;="&amp;$CT$31,$CP$4:$CP$203,IF(28=$CS$13,"&lt;=","&lt;")&amp;($CT$31+$CS$16)))</f>
        <v/>
      </c>
      <c r="CV31">
        <f>IF(AND(MOD(17,$CS$17)=0,MOD((INT(17/$CS$17)+1)-1,$CS$13/5)=0),INDEX($DA$4:$DA$53,(INT(17/$CS$17)+1)),"")</f>
        <v/>
      </c>
      <c r="CW31">
        <f>IF(MOD(17,$CS$17)=$CS$17-1,0,INDEX($CU$4:$CU$53,(INT(17/$CS$17)+1)))</f>
        <v/>
      </c>
      <c r="CX31">
        <f>IFERROR(IF(AND($CZ$17&gt;=$CS$14,$CZ$17&lt;=$CS$15),10+0.5+100*($CZ$17-$CS$14)/($CS$15-$CS$14),NA()),NA())</f>
        <v/>
      </c>
      <c r="CY31">
        <f>IF(ISNA($CX$31),NA(),MAX($CW$4:$CW$123))</f>
        <v/>
      </c>
      <c r="DA31">
        <f>IF($CT$31="","",IFERROR(IF(ABS($CT$31)&gt;=1000000,ROUND($CT$31/1000000,MAX(0,1-INT(LOG10($CS$27/1000000))))&amp;"M",IF(ABS($CT$31)&gt;=1000,ROUND($CT$31/1000,MAX(0,1-INT(LOG10($CS$27/1000))))&amp;"k",TEXT($CT$31,"#,##0"))),TEXT($CT$31,"#,##0")))</f>
        <v/>
      </c>
      <c r="DB31" t="n">
        <v>19.45</v>
      </c>
      <c r="DC31" t="n">
        <v>19.625</v>
      </c>
      <c r="DD31" t="n">
        <v>20</v>
      </c>
      <c r="DG31">
        <f>IF(28&lt;=$DF$13,$DF$14+(28-1)*$DF$16,"")</f>
        <v/>
      </c>
      <c r="DH31">
        <f>IF(28&gt;$DF$13,"",SUMIFS($DD$4:$DD$203,$DC$4:$DC$203,"&gt;="&amp;$DG$31,$DC$4:$DC$203,IF(28=$DF$13,"&lt;=","&lt;")&amp;($DG$31+$DF$16)))</f>
        <v/>
      </c>
      <c r="DI31">
        <f>IF(AND(MOD(17,$DF$17)=0,MOD((INT(17/$DF$17)+1)-1,$DF$13/5)=0),INDEX($DN$4:$DN$53,(INT(17/$DF$17)+1)),"")</f>
        <v/>
      </c>
      <c r="DJ31">
        <f>IF(MOD(17,$DF$17)=$DF$17-1,0,INDEX($DH$4:$DH$53,(INT(17/$DF$17)+1)))</f>
        <v/>
      </c>
      <c r="DK31">
        <f>IFERROR(IF(AND($DM$17&gt;=$DF$14,$DM$17&lt;=$DF$15),10+0.5+100*($DM$17-$DF$14)/($DF$15-$DF$14),NA()),NA())</f>
        <v/>
      </c>
      <c r="DL31">
        <f>IF(ISNA($DK$31),NA(),MAX($DJ$4:$DJ$123))</f>
        <v/>
      </c>
      <c r="DN31">
        <f>IF($DG$31="","",IFERROR(IF(ABS($DG$31)&gt;=1000000,ROUND($DG$31/1000000,MAX(0,1-INT(LOG10($DF$27/1000000))))&amp;"M",IF(ABS($DG$31)&gt;=1000,ROUND($DG$31/1000,MAX(0,1-INT(LOG10($DF$27/1000))))&amp;"k",TEXT($DG$31,"#,##0.0"))),TEXT($DG$31,"#,##0.0")))</f>
        <v/>
      </c>
      <c r="DO31" t="n">
        <v>8.175000000000001</v>
      </c>
      <c r="DP31" t="n">
        <v>8.1875</v>
      </c>
      <c r="DQ31" t="n">
        <v>22</v>
      </c>
      <c r="DT31">
        <f>IF(28&lt;=$DS$13,$DS$14+(28-1)*$DS$16,"")</f>
        <v/>
      </c>
      <c r="DU31">
        <f>IF(28&gt;$DS$13,"",SUMIFS($DQ$4:$DQ$203,$DP$4:$DP$203,"&gt;="&amp;$DT$31,$DP$4:$DP$203,IF(28=$DS$13,"&lt;=","&lt;")&amp;($DT$31+$DS$16)))</f>
        <v/>
      </c>
      <c r="DV31">
        <f>IF(AND(MOD(17,$DS$17)=0,MOD((INT(17/$DS$17)+1)-1,$DS$13/5)=0),INDEX($EA$4:$EA$53,(INT(17/$DS$17)+1)),"")</f>
        <v/>
      </c>
      <c r="DW31">
        <f>IF(MOD(17,$DS$17)=$DS$17-1,0,INDEX($DU$4:$DU$53,(INT(17/$DS$17)+1)))</f>
        <v/>
      </c>
      <c r="DX31">
        <f>IFERROR(IF(AND($DZ$17&gt;=$DS$14,$DZ$17&lt;=$DS$15),10+0.5+100*($DZ$17-$DS$14)/($DS$15-$DS$14),NA()),NA())</f>
        <v/>
      </c>
      <c r="DY31">
        <f>IF(ISNA($DX$31),NA(),MAX($DW$4:$DW$123))</f>
        <v/>
      </c>
      <c r="EA31">
        <f>IF($DT$31="","",IFERROR(IF(ABS($DT$31)&gt;=1000000,ROUND($DT$31/1000000,MAX(0,1-INT(LOG10($DS$27/1000000))))&amp;"M",IF(ABS($DT$31)&gt;=1000,ROUND($DT$31/1000,MAX(0,1-INT(LOG10($DS$27/1000))))&amp;"k",TEXT($DT$31,"#,##0.0"))),TEXT($DT$31,"#,##0.0")))</f>
        <v/>
      </c>
      <c r="EB31" t="n">
        <v>13.5</v>
      </c>
      <c r="EC31" t="n">
        <v>13.75</v>
      </c>
      <c r="ED31" t="n">
        <v>67</v>
      </c>
      <c r="EG31">
        <f>IF(28&lt;=$EF$13,$EF$14+(28-1)*$EF$16,"")</f>
        <v/>
      </c>
      <c r="EH31">
        <f>IF(28&gt;$EF$13,"",SUMIFS($ED$4:$ED$203,$EC$4:$EC$203,"&gt;="&amp;$EG$31,$EC$4:$EC$203,IF(28=$EF$13,"&lt;=","&lt;")&amp;($EG$31+$EF$16)))</f>
        <v/>
      </c>
      <c r="EI31">
        <f>IF(AND(MOD(17,$EF$17)=0,MOD((INT(17/$EF$17)+1)-1,$EF$13/5)=0),INDEX($EN$4:$EN$53,(INT(17/$EF$17)+1)),"")</f>
        <v/>
      </c>
      <c r="EJ31">
        <f>IF(MOD(17,$EF$17)=$EF$17-1,0,INDEX($EH$4:$EH$53,(INT(17/$EF$17)+1)))</f>
        <v/>
      </c>
      <c r="EK31">
        <f>IFERROR(IF(AND($EM$17&gt;=$EF$14,$EM$17&lt;=$EF$15),10+0.5+100*($EM$17-$EF$14)/($EF$15-$EF$14),NA()),NA())</f>
        <v/>
      </c>
      <c r="EL31">
        <f>IF(ISNA($EK$31),NA(),MAX($EJ$4:$EJ$123))</f>
        <v/>
      </c>
      <c r="EN31">
        <f>IF($EG$31="","",IFERROR(IF(ABS($EG$31)&gt;=1000000,ROUND($EG$31/1000000,MAX(0,1-INT(LOG10($EF$27/1000000))))&amp;"M",IF(ABS($EG$31)&gt;=1000,ROUND($EG$31/1000,MAX(0,1-INT(LOG10($EF$27/1000))))&amp;"k",TEXT($EG$31,"#,##0"))),TEXT($EG$31,"#,##0")))</f>
        <v/>
      </c>
      <c r="EO31" t="n">
        <v>0.4725</v>
      </c>
      <c r="EP31" t="n">
        <v>0.4812500000000001</v>
      </c>
      <c r="EQ31" t="n">
        <v>231</v>
      </c>
      <c r="ET31">
        <f>IF(28&lt;=$ES$13,$ES$14+(28-1)*$ES$16,"")</f>
        <v/>
      </c>
      <c r="EU31">
        <f>IF(28&gt;$ES$13,"",SUMIFS($EQ$4:$EQ$203,$EP$4:$EP$203,"&gt;="&amp;$ET$31,$EP$4:$EP$203,IF(28=$ES$13,"&lt;=","&lt;")&amp;($ET$31+$ES$16)))</f>
        <v/>
      </c>
      <c r="EV31">
        <f>IF(AND(MOD(17,$ES$17)=0,MOD((INT(17/$ES$17)+1)-1,$ES$13/5)=0),INDEX($FA$4:$FA$53,(INT(17/$ES$17)+1)),"")</f>
        <v/>
      </c>
      <c r="EW31">
        <f>IF(MOD(17,$ES$17)=$ES$17-1,0,INDEX($EU$4:$EU$53,(INT(17/$ES$17)+1)))</f>
        <v/>
      </c>
      <c r="EX31">
        <f>IFERROR(IF(AND($EZ$17&gt;=$ES$14,$EZ$17&lt;=$ES$15),10+0.5+100*($EZ$17-$ES$14)/($ES$15-$ES$14),NA()),NA())</f>
        <v/>
      </c>
      <c r="EY31">
        <f>IF(ISNA($EX$31),NA(),MAX($EW$4:$EW$123))</f>
        <v/>
      </c>
      <c r="FA31">
        <f>IF($ET$31="","",IFERROR(IF(ABS($ET$31)&gt;=1000000,ROUND($ET$31/1000000,MAX(0,1-INT(LOG10($ES$27/1000000))))&amp;"M",IF(ABS($ET$31)&gt;=1000,ROUND($ET$31/1000,MAX(0,1-INT(LOG10($ES$27/1000))))&amp;"k",TEXT($ET$31,"0.00"))),TEXT($ET$31,"0.00")))</f>
        <v/>
      </c>
    </row>
    <row r="32">
      <c r="B32" t="n">
        <v>592</v>
      </c>
      <c r="C32" t="n">
        <v>592.75</v>
      </c>
      <c r="D32" t="n">
        <v>21</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70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62</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c r="AO32" t="n">
        <v>112000</v>
      </c>
      <c r="AP32" t="n">
        <v>114000</v>
      </c>
      <c r="AQ32" t="n">
        <v>96</v>
      </c>
      <c r="AT32">
        <f>IF(29&lt;=$AS$13,$AS$14+(29-1)*$AS$16,"")</f>
        <v/>
      </c>
      <c r="AU32">
        <f>IF(29&gt;$AS$13,"",SUMIFS($AQ$4:$AQ$203,$AP$4:$AP$203,"&gt;="&amp;$AT$32,$AP$4:$AP$203,IF(29=$AS$13,"&lt;=","&lt;")&amp;($AT$32+$AS$16)))</f>
        <v/>
      </c>
      <c r="AV32">
        <f>IF(AND(MOD(18,$AS$17)=0,MOD((INT(18/$AS$17)+1)-1,$AS$13/5)=0),INDEX($BA$4:$BA$53,(INT(18/$AS$17)+1)),"")</f>
        <v/>
      </c>
      <c r="AW32">
        <f>IF(MOD(18,$AS$17)=$AS$17-1,0,INDEX($AU$4:$AU$53,(INT(18/$AS$17)+1)))</f>
        <v/>
      </c>
      <c r="AX32">
        <f>IFERROR(IF(AND($AZ$18&gt;=$AS$14,$AZ$18&lt;=$AS$15),10+0.5+100*($AZ$18-$AS$14)/($AS$15-$AS$14),NA()),NA())</f>
        <v/>
      </c>
      <c r="AY32">
        <f>IF(ISNA($AX$32),NA(),0)</f>
        <v/>
      </c>
      <c r="BA32">
        <f>IF($AT$32="","",IFERROR(IF(ABS($AT$32)&gt;=1000000,ROUND($AT$32/1000000,MAX(0,1-INT(LOG10($AS$27/1000000))))&amp;"M",IF(ABS($AT$32)&gt;=1000,ROUND($AT$32/1000,MAX(0,1-INT(LOG10($AS$27/1000))))&amp;"k",TEXT($AT$32,"#,##0"))),TEXT($AT$32,"#,##0")))</f>
        <v/>
      </c>
      <c r="BB32" t="n">
        <v>196000</v>
      </c>
      <c r="BC32" t="n">
        <v>199500</v>
      </c>
      <c r="BD32" t="n">
        <v>173</v>
      </c>
      <c r="BG32">
        <f>IF(29&lt;=$BF$13,$BF$14+(29-1)*$BF$16,"")</f>
        <v/>
      </c>
      <c r="BH32">
        <f>IF(29&gt;$BF$13,"",SUMIFS($BD$4:$BD$203,$BC$4:$BC$203,"&gt;="&amp;$BG$32,$BC$4:$BC$203,IF(29=$BF$13,"&lt;=","&lt;")&amp;($BG$32+$BF$16)))</f>
        <v/>
      </c>
      <c r="BI32">
        <f>IF(AND(MOD(18,$BF$17)=0,MOD((INT(18/$BF$17)+1)-1,$BF$13/5)=0),INDEX($BN$4:$BN$53,(INT(18/$BF$17)+1)),"")</f>
        <v/>
      </c>
      <c r="BJ32">
        <f>IF(MOD(18,$BF$17)=$BF$17-1,0,INDEX($BH$4:$BH$53,(INT(18/$BF$17)+1)))</f>
        <v/>
      </c>
      <c r="BK32">
        <f>IFERROR(IF(AND($BM$18&gt;=$BF$14,$BM$18&lt;=$BF$15),10+0.5+100*($BM$18-$BF$14)/($BF$15-$BF$14),NA()),NA())</f>
        <v/>
      </c>
      <c r="BL32">
        <f>IF(ISNA($BK$32),NA(),0)</f>
        <v/>
      </c>
      <c r="BN32">
        <f>IF($BG$32="","",IFERROR(IF(ABS($BG$32)&gt;=1000000,ROUND($BG$32/1000000,MAX(0,1-INT(LOG10($BF$27/1000000))))&amp;"M",IF(ABS($BG$32)&gt;=1000,ROUND($BG$32/1000,MAX(0,1-INT(LOG10($BF$27/1000))))&amp;"k",TEXT($BG$32,"#,##0"))),TEXT($BG$32,"#,##0")))</f>
        <v/>
      </c>
      <c r="BO32" t="n">
        <v>0.168</v>
      </c>
      <c r="BP32" t="n">
        <v>0.171</v>
      </c>
      <c r="BQ32" t="n">
        <v>53</v>
      </c>
      <c r="BT32">
        <f>IF(29&lt;=$BS$13,$BS$14+(29-1)*$BS$16,"")</f>
        <v/>
      </c>
      <c r="BU32">
        <f>IF(29&gt;$BS$13,"",SUMIFS($BQ$4:$BQ$203,$BP$4:$BP$203,"&gt;="&amp;$BT$32,$BP$4:$BP$203,IF(29=$BS$13,"&lt;=","&lt;")&amp;($BT$32+$BS$16)))</f>
        <v/>
      </c>
      <c r="BV32">
        <f>IF(AND(MOD(18,$BS$17)=0,MOD((INT(18/$BS$17)+1)-1,$BS$13/5)=0),INDEX($CA$4:$CA$53,(INT(18/$BS$17)+1)),"")</f>
        <v/>
      </c>
      <c r="BW32">
        <f>IF(MOD(18,$BS$17)=$BS$17-1,0,INDEX($BU$4:$BU$53,(INT(18/$BS$17)+1)))</f>
        <v/>
      </c>
      <c r="BX32">
        <f>IFERROR(IF(AND($BZ$18&gt;=$BS$14,$BZ$18&lt;=$BS$15),10+0.5+100*($BZ$18-$BS$14)/($BS$15-$BS$14),NA()),NA())</f>
        <v/>
      </c>
      <c r="BY32">
        <f>IF(ISNA($BX$32),NA(),0)</f>
        <v/>
      </c>
      <c r="CA32">
        <f>IF($BT$32="","",IFERROR(IF(ABS($BT$32)&gt;=1000000,ROUND($BT$32/1000000,MAX(0,1-INT(LOG10($BS$27/1000000))))&amp;"M",IF(ABS($BT$32)&gt;=1000,ROUND($BT$32/1000,MAX(0,1-INT(LOG10($BS$27/1000))))&amp;"k",TEXT($BT$32,"0.00"))),TEXT($BT$32,"0.00")))</f>
        <v/>
      </c>
      <c r="CB32" t="n">
        <v>4.2</v>
      </c>
      <c r="CC32" t="n">
        <v>4.274999999999999</v>
      </c>
      <c r="CD32" t="n">
        <v>226</v>
      </c>
      <c r="CG32">
        <f>IF(29&lt;=$CF$13,$CF$14+(29-1)*$CF$16,"")</f>
        <v/>
      </c>
      <c r="CH32">
        <f>IF(29&gt;$CF$13,"",SUMIFS($CD$4:$CD$203,$CC$4:$CC$203,"&gt;="&amp;$CG$32,$CC$4:$CC$203,IF(29=$CF$13,"&lt;=","&lt;")&amp;($CG$32+$CF$16)))</f>
        <v/>
      </c>
      <c r="CI32">
        <f>IF(AND(MOD(18,$CF$17)=0,MOD((INT(18/$CF$17)+1)-1,$CF$13/5)=0),INDEX($CN$4:$CN$53,(INT(18/$CF$17)+1)),"")</f>
        <v/>
      </c>
      <c r="CJ32">
        <f>IF(MOD(18,$CF$17)=$CF$17-1,0,INDEX($CH$4:$CH$53,(INT(18/$CF$17)+1)))</f>
        <v/>
      </c>
      <c r="CK32">
        <f>IFERROR(IF(AND($CM$18&gt;=$CF$14,$CM$18&lt;=$CF$15),10+0.5+100*($CM$18-$CF$14)/($CF$15-$CF$14),NA()),NA())</f>
        <v/>
      </c>
      <c r="CL32">
        <f>IF(ISNA($CK$32),NA(),0)</f>
        <v/>
      </c>
      <c r="CN32">
        <f>IF($CG$32="","",IFERROR(IF(ABS($CG$32)&gt;=1000000,ROUND($CG$32/1000000,MAX(0,1-INT(LOG10($CF$27/1000000))))&amp;"M",IF(ABS($CG$32)&gt;=1000,ROUND($CG$32/1000,MAX(0,1-INT(LOG10($CF$27/1000))))&amp;"k",TEXT($CG$32,"#,##0.0"))),TEXT($CG$32,"#,##0.0")))</f>
        <v/>
      </c>
      <c r="CO32" t="n">
        <v>21.2</v>
      </c>
      <c r="CP32" t="n">
        <v>21.4</v>
      </c>
      <c r="CQ32" t="n">
        <v>21</v>
      </c>
      <c r="CT32">
        <f>IF(29&lt;=$CS$13,$CS$14+(29-1)*$CS$16,"")</f>
        <v/>
      </c>
      <c r="CU32">
        <f>IF(29&gt;$CS$13,"",SUMIFS($CQ$4:$CQ$203,$CP$4:$CP$203,"&gt;="&amp;$CT$32,$CP$4:$CP$203,IF(29=$CS$13,"&lt;=","&lt;")&amp;($CT$32+$CS$16)))</f>
        <v/>
      </c>
      <c r="CV32">
        <f>IF(AND(MOD(18,$CS$17)=0,MOD((INT(18/$CS$17)+1)-1,$CS$13/5)=0),INDEX($DA$4:$DA$53,(INT(18/$CS$17)+1)),"")</f>
        <v/>
      </c>
      <c r="CW32">
        <f>IF(MOD(18,$CS$17)=$CS$17-1,0,INDEX($CU$4:$CU$53,(INT(18/$CS$17)+1)))</f>
        <v/>
      </c>
      <c r="CX32">
        <f>IFERROR(IF(AND($CZ$18&gt;=$CS$14,$CZ$18&lt;=$CS$15),10+0.5+100*($CZ$18-$CS$14)/($CS$15-$CS$14),NA()),NA())</f>
        <v/>
      </c>
      <c r="CY32">
        <f>IF(ISNA($CX$32),NA(),0)</f>
        <v/>
      </c>
      <c r="DA32">
        <f>IF($CT$32="","",IFERROR(IF(ABS($CT$32)&gt;=1000000,ROUND($CT$32/1000000,MAX(0,1-INT(LOG10($CS$27/1000000))))&amp;"M",IF(ABS($CT$32)&gt;=1000,ROUND($CT$32/1000,MAX(0,1-INT(LOG10($CS$27/1000))))&amp;"k",TEXT($CT$32,"#,##0"))),TEXT($CT$32,"#,##0")))</f>
        <v/>
      </c>
      <c r="DB32" t="n">
        <v>19.8</v>
      </c>
      <c r="DC32" t="n">
        <v>19.975</v>
      </c>
      <c r="DD32" t="n">
        <v>10</v>
      </c>
      <c r="DG32">
        <f>IF(29&lt;=$DF$13,$DF$14+(29-1)*$DF$16,"")</f>
        <v/>
      </c>
      <c r="DH32">
        <f>IF(29&gt;$DF$13,"",SUMIFS($DD$4:$DD$203,$DC$4:$DC$203,"&gt;="&amp;$DG$32,$DC$4:$DC$203,IF(29=$DF$13,"&lt;=","&lt;")&amp;($DG$32+$DF$16)))</f>
        <v/>
      </c>
      <c r="DI32">
        <f>IF(AND(MOD(18,$DF$17)=0,MOD((INT(18/$DF$17)+1)-1,$DF$13/5)=0),INDEX($DN$4:$DN$53,(INT(18/$DF$17)+1)),"")</f>
        <v/>
      </c>
      <c r="DJ32">
        <f>IF(MOD(18,$DF$17)=$DF$17-1,0,INDEX($DH$4:$DH$53,(INT(18/$DF$17)+1)))</f>
        <v/>
      </c>
      <c r="DK32">
        <f>IFERROR(IF(AND($DM$18&gt;=$DF$14,$DM$18&lt;=$DF$15),10+0.5+100*($DM$18-$DF$14)/($DF$15-$DF$14),NA()),NA())</f>
        <v/>
      </c>
      <c r="DL32">
        <f>IF(ISNA($DK$32),NA(),0)</f>
        <v/>
      </c>
      <c r="DN32">
        <f>IF($DG$32="","",IFERROR(IF(ABS($DG$32)&gt;=1000000,ROUND($DG$32/1000000,MAX(0,1-INT(LOG10($DF$27/1000000))))&amp;"M",IF(ABS($DG$32)&gt;=1000,ROUND($DG$32/1000,MAX(0,1-INT(LOG10($DF$27/1000))))&amp;"k",TEXT($DG$32,"#,##0.0"))),TEXT($DG$32,"#,##0.0")))</f>
        <v/>
      </c>
      <c r="DO32" t="n">
        <v>8.199999999999999</v>
      </c>
      <c r="DP32" t="n">
        <v>8.2125</v>
      </c>
      <c r="DQ32" t="n">
        <v>26</v>
      </c>
      <c r="DT32">
        <f>IF(29&lt;=$DS$13,$DS$14+(29-1)*$DS$16,"")</f>
        <v/>
      </c>
      <c r="DU32">
        <f>IF(29&gt;$DS$13,"",SUMIFS($DQ$4:$DQ$203,$DP$4:$DP$203,"&gt;="&amp;$DT$32,$DP$4:$DP$203,IF(29=$DS$13,"&lt;=","&lt;")&amp;($DT$32+$DS$16)))</f>
        <v/>
      </c>
      <c r="DV32">
        <f>IF(AND(MOD(18,$DS$17)=0,MOD((INT(18/$DS$17)+1)-1,$DS$13/5)=0),INDEX($EA$4:$EA$53,(INT(18/$DS$17)+1)),"")</f>
        <v/>
      </c>
      <c r="DW32">
        <f>IF(MOD(18,$DS$17)=$DS$17-1,0,INDEX($DU$4:$DU$53,(INT(18/$DS$17)+1)))</f>
        <v/>
      </c>
      <c r="DX32">
        <f>IFERROR(IF(AND($DZ$18&gt;=$DS$14,$DZ$18&lt;=$DS$15),10+0.5+100*($DZ$18-$DS$14)/($DS$15-$DS$14),NA()),NA())</f>
        <v/>
      </c>
      <c r="DY32">
        <f>IF(ISNA($DX$32),NA(),0)</f>
        <v/>
      </c>
      <c r="EA32">
        <f>IF($DT$32="","",IFERROR(IF(ABS($DT$32)&gt;=1000000,ROUND($DT$32/1000000,MAX(0,1-INT(LOG10($DS$27/1000000))))&amp;"M",IF(ABS($DT$32)&gt;=1000,ROUND($DT$32/1000,MAX(0,1-INT(LOG10($DS$27/1000))))&amp;"k",TEXT($DT$32,"#,##0.0"))),TEXT($DT$32,"#,##0.0")))</f>
        <v/>
      </c>
      <c r="EB32" t="n">
        <v>14</v>
      </c>
      <c r="EC32" t="n">
        <v>14.25</v>
      </c>
      <c r="ED32" t="n">
        <v>51</v>
      </c>
      <c r="EG32">
        <f>IF(29&lt;=$EF$13,$EF$14+(29-1)*$EF$16,"")</f>
        <v/>
      </c>
      <c r="EH32">
        <f>IF(29&gt;$EF$13,"",SUMIFS($ED$4:$ED$203,$EC$4:$EC$203,"&gt;="&amp;$EG$32,$EC$4:$EC$203,IF(29=$EF$13,"&lt;=","&lt;")&amp;($EG$32+$EF$16)))</f>
        <v/>
      </c>
      <c r="EI32">
        <f>IF(AND(MOD(18,$EF$17)=0,MOD((INT(18/$EF$17)+1)-1,$EF$13/5)=0),INDEX($EN$4:$EN$53,(INT(18/$EF$17)+1)),"")</f>
        <v/>
      </c>
      <c r="EJ32">
        <f>IF(MOD(18,$EF$17)=$EF$17-1,0,INDEX($EH$4:$EH$53,(INT(18/$EF$17)+1)))</f>
        <v/>
      </c>
      <c r="EK32">
        <f>IFERROR(IF(AND($EM$18&gt;=$EF$14,$EM$18&lt;=$EF$15),10+0.5+100*($EM$18-$EF$14)/($EF$15-$EF$14),NA()),NA())</f>
        <v/>
      </c>
      <c r="EL32">
        <f>IF(ISNA($EK$32),NA(),0)</f>
        <v/>
      </c>
      <c r="EN32">
        <f>IF($EG$32="","",IFERROR(IF(ABS($EG$32)&gt;=1000000,ROUND($EG$32/1000000,MAX(0,1-INT(LOG10($EF$27/1000000))))&amp;"M",IF(ABS($EG$32)&gt;=1000,ROUND($EG$32/1000,MAX(0,1-INT(LOG10($EF$27/1000))))&amp;"k",TEXT($EG$32,"#,##0"))),TEXT($EG$32,"#,##0")))</f>
        <v/>
      </c>
      <c r="EO32" t="n">
        <v>0.49</v>
      </c>
      <c r="EP32" t="n">
        <v>0.49875</v>
      </c>
      <c r="EQ32" t="n">
        <v>208</v>
      </c>
      <c r="ET32">
        <f>IF(29&lt;=$ES$13,$ES$14+(29-1)*$ES$16,"")</f>
        <v/>
      </c>
      <c r="EU32">
        <f>IF(29&gt;$ES$13,"",SUMIFS($EQ$4:$EQ$203,$EP$4:$EP$203,"&gt;="&amp;$ET$32,$EP$4:$EP$203,IF(29=$ES$13,"&lt;=","&lt;")&amp;($ET$32+$ES$16)))</f>
        <v/>
      </c>
      <c r="EV32">
        <f>IF(AND(MOD(18,$ES$17)=0,MOD((INT(18/$ES$17)+1)-1,$ES$13/5)=0),INDEX($FA$4:$FA$53,(INT(18/$ES$17)+1)),"")</f>
        <v/>
      </c>
      <c r="EW32">
        <f>IF(MOD(18,$ES$17)=$ES$17-1,0,INDEX($EU$4:$EU$53,(INT(18/$ES$17)+1)))</f>
        <v/>
      </c>
      <c r="EX32">
        <f>IFERROR(IF(AND($EZ$18&gt;=$ES$14,$EZ$18&lt;=$ES$15),10+0.5+100*($EZ$18-$ES$14)/($ES$15-$ES$14),NA()),NA())</f>
        <v/>
      </c>
      <c r="EY32">
        <f>IF(ISNA($EX$32),NA(),0)</f>
        <v/>
      </c>
      <c r="FA32">
        <f>IF($ET$32="","",IFERROR(IF(ABS($ET$32)&gt;=1000000,ROUND($ET$32/1000000,MAX(0,1-INT(LOG10($ES$27/1000000))))&amp;"M",IF(ABS($ET$32)&gt;=1000,ROUND($ET$32/1000,MAX(0,1-INT(LOG10($ES$27/1000))))&amp;"k",TEXT($ET$32,"0.00"))),TEXT($ET$32,"0.00")))</f>
        <v/>
      </c>
    </row>
    <row r="33">
      <c r="B33" t="n">
        <v>593.5</v>
      </c>
      <c r="C33" t="n">
        <v>594.25</v>
      </c>
      <c r="D33" t="n">
        <v>15</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63</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72</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c r="AO33" t="n">
        <v>116000</v>
      </c>
      <c r="AP33" t="n">
        <v>118000</v>
      </c>
      <c r="AQ33" t="n">
        <v>96</v>
      </c>
      <c r="AT33">
        <f>IF(30&lt;=$AS$13,$AS$14+(30-1)*$AS$16,"")</f>
        <v/>
      </c>
      <c r="AU33">
        <f>IF(30&gt;$AS$13,"",SUMIFS($AQ$4:$AQ$203,$AP$4:$AP$203,"&gt;="&amp;$AT$33,$AP$4:$AP$203,IF(30=$AS$13,"&lt;=","&lt;")&amp;($AT$33+$AS$16)))</f>
        <v/>
      </c>
      <c r="AV33">
        <f>IF(AND(MOD(19,$AS$17)=0,MOD((INT(19/$AS$17)+1)-1,$AS$13/5)=0),INDEX($BA$4:$BA$53,(INT(19/$AS$17)+1)),"")</f>
        <v/>
      </c>
      <c r="AW33">
        <f>IF(MOD(19,$AS$17)=$AS$17-1,0,INDEX($AU$4:$AU$53,(INT(19/$AS$17)+1)))</f>
        <v/>
      </c>
      <c r="AX33">
        <f>IFERROR(IF(AND($AZ$18&gt;=$AS$14,$AZ$18&lt;=$AS$15),10+0.5+100*($AZ$18-$AS$14)/($AS$15-$AS$14),NA()),NA())</f>
        <v/>
      </c>
      <c r="AY33">
        <f>IF(ISNA($AX$33),NA(),MAX($AW$4:$AW$123))</f>
        <v/>
      </c>
      <c r="BA33">
        <f>IF($AT$33="","",IFERROR(IF(ABS($AT$33)&gt;=1000000,ROUND($AT$33/1000000,MAX(0,1-INT(LOG10($AS$27/1000000))))&amp;"M",IF(ABS($AT$33)&gt;=1000,ROUND($AT$33/1000,MAX(0,1-INT(LOG10($AS$27/1000))))&amp;"k",TEXT($AT$33,"#,##0"))),TEXT($AT$33,"#,##0")))</f>
        <v/>
      </c>
      <c r="BB33" t="n">
        <v>203000</v>
      </c>
      <c r="BC33" t="n">
        <v>206500</v>
      </c>
      <c r="BD33" t="n">
        <v>161</v>
      </c>
      <c r="BG33">
        <f>IF(30&lt;=$BF$13,$BF$14+(30-1)*$BF$16,"")</f>
        <v/>
      </c>
      <c r="BH33">
        <f>IF(30&gt;$BF$13,"",SUMIFS($BD$4:$BD$203,$BC$4:$BC$203,"&gt;="&amp;$BG$33,$BC$4:$BC$203,IF(30=$BF$13,"&lt;=","&lt;")&amp;($BG$33+$BF$16)))</f>
        <v/>
      </c>
      <c r="BI33">
        <f>IF(AND(MOD(19,$BF$17)=0,MOD((INT(19/$BF$17)+1)-1,$BF$13/5)=0),INDEX($BN$4:$BN$53,(INT(19/$BF$17)+1)),"")</f>
        <v/>
      </c>
      <c r="BJ33">
        <f>IF(MOD(19,$BF$17)=$BF$17-1,0,INDEX($BH$4:$BH$53,(INT(19/$BF$17)+1)))</f>
        <v/>
      </c>
      <c r="BK33">
        <f>IFERROR(IF(AND($BM$18&gt;=$BF$14,$BM$18&lt;=$BF$15),10+0.5+100*($BM$18-$BF$14)/($BF$15-$BF$14),NA()),NA())</f>
        <v/>
      </c>
      <c r="BL33">
        <f>IF(ISNA($BK$33),NA(),MAX($BJ$4:$BJ$123))</f>
        <v/>
      </c>
      <c r="BN33">
        <f>IF($BG$33="","",IFERROR(IF(ABS($BG$33)&gt;=1000000,ROUND($BG$33/1000000,MAX(0,1-INT(LOG10($BF$27/1000000))))&amp;"M",IF(ABS($BG$33)&gt;=1000,ROUND($BG$33/1000,MAX(0,1-INT(LOG10($BF$27/1000))))&amp;"k",TEXT($BG$33,"#,##0"))),TEXT($BG$33,"#,##0")))</f>
        <v/>
      </c>
      <c r="BO33" t="n">
        <v>0.174</v>
      </c>
      <c r="BP33" t="n">
        <v>0.177</v>
      </c>
      <c r="BQ33" t="n">
        <v>61</v>
      </c>
      <c r="BT33">
        <f>IF(30&lt;=$BS$13,$BS$14+(30-1)*$BS$16,"")</f>
        <v/>
      </c>
      <c r="BU33">
        <f>IF(30&gt;$BS$13,"",SUMIFS($BQ$4:$BQ$203,$BP$4:$BP$203,"&gt;="&amp;$BT$33,$BP$4:$BP$203,IF(30=$BS$13,"&lt;=","&lt;")&amp;($BT$33+$BS$16)))</f>
        <v/>
      </c>
      <c r="BV33">
        <f>IF(AND(MOD(19,$BS$17)=0,MOD((INT(19/$BS$17)+1)-1,$BS$13/5)=0),INDEX($CA$4:$CA$53,(INT(19/$BS$17)+1)),"")</f>
        <v/>
      </c>
      <c r="BW33">
        <f>IF(MOD(19,$BS$17)=$BS$17-1,0,INDEX($BU$4:$BU$53,(INT(19/$BS$17)+1)))</f>
        <v/>
      </c>
      <c r="BX33">
        <f>IFERROR(IF(AND($BZ$18&gt;=$BS$14,$BZ$18&lt;=$BS$15),10+0.5+100*($BZ$18-$BS$14)/($BS$15-$BS$14),NA()),NA())</f>
        <v/>
      </c>
      <c r="BY33">
        <f>IF(ISNA($BX$33),NA(),MAX($BW$4:$BW$123))</f>
        <v/>
      </c>
      <c r="CA33">
        <f>IF($BT$33="","",IFERROR(IF(ABS($BT$33)&gt;=1000000,ROUND($BT$33/1000000,MAX(0,1-INT(LOG10($BS$27/1000000))))&amp;"M",IF(ABS($BT$33)&gt;=1000,ROUND($BT$33/1000,MAX(0,1-INT(LOG10($BS$27/1000))))&amp;"k",TEXT($BT$33,"0.00"))),TEXT($BT$33,"0.00")))</f>
        <v/>
      </c>
      <c r="CB33" t="n">
        <v>4.35</v>
      </c>
      <c r="CC33" t="n">
        <v>4.425</v>
      </c>
      <c r="CD33" t="n">
        <v>85</v>
      </c>
      <c r="CG33">
        <f>IF(30&lt;=$CF$13,$CF$14+(30-1)*$CF$16,"")</f>
        <v/>
      </c>
      <c r="CH33">
        <f>IF(30&gt;$CF$13,"",SUMIFS($CD$4:$CD$203,$CC$4:$CC$203,"&gt;="&amp;$CG$33,$CC$4:$CC$203,IF(30=$CF$13,"&lt;=","&lt;")&amp;($CG$33+$CF$16)))</f>
        <v/>
      </c>
      <c r="CI33">
        <f>IF(AND(MOD(19,$CF$17)=0,MOD((INT(19/$CF$17)+1)-1,$CF$13/5)=0),INDEX($CN$4:$CN$53,(INT(19/$CF$17)+1)),"")</f>
        <v/>
      </c>
      <c r="CJ33">
        <f>IF(MOD(19,$CF$17)=$CF$17-1,0,INDEX($CH$4:$CH$53,(INT(19/$CF$17)+1)))</f>
        <v/>
      </c>
      <c r="CK33">
        <f>IFERROR(IF(AND($CM$18&gt;=$CF$14,$CM$18&lt;=$CF$15),10+0.5+100*($CM$18-$CF$14)/($CF$15-$CF$14),NA()),NA())</f>
        <v/>
      </c>
      <c r="CL33">
        <f>IF(ISNA($CK$33),NA(),MAX($CJ$4:$CJ$123))</f>
        <v/>
      </c>
      <c r="CN33">
        <f>IF($CG$33="","",IFERROR(IF(ABS($CG$33)&gt;=1000000,ROUND($CG$33/1000000,MAX(0,1-INT(LOG10($CF$27/1000000))))&amp;"M",IF(ABS($CG$33)&gt;=1000,ROUND($CG$33/1000,MAX(0,1-INT(LOG10($CF$27/1000))))&amp;"k",TEXT($CG$33,"#,##0.0"))),TEXT($CG$33,"#,##0.0")))</f>
        <v/>
      </c>
      <c r="CO33" t="n">
        <v>21.6</v>
      </c>
      <c r="CP33" t="n">
        <v>21.8</v>
      </c>
      <c r="CQ33" t="n">
        <v>22</v>
      </c>
      <c r="CT33">
        <f>IF(30&lt;=$CS$13,$CS$14+(30-1)*$CS$16,"")</f>
        <v/>
      </c>
      <c r="CU33">
        <f>IF(30&gt;$CS$13,"",SUMIFS($CQ$4:$CQ$203,$CP$4:$CP$203,"&gt;="&amp;$CT$33,$CP$4:$CP$203,IF(30=$CS$13,"&lt;=","&lt;")&amp;($CT$33+$CS$16)))</f>
        <v/>
      </c>
      <c r="CV33">
        <f>IF(AND(MOD(19,$CS$17)=0,MOD((INT(19/$CS$17)+1)-1,$CS$13/5)=0),INDEX($DA$4:$DA$53,(INT(19/$CS$17)+1)),"")</f>
        <v/>
      </c>
      <c r="CW33">
        <f>IF(MOD(19,$CS$17)=$CS$17-1,0,INDEX($CU$4:$CU$53,(INT(19/$CS$17)+1)))</f>
        <v/>
      </c>
      <c r="CX33">
        <f>IFERROR(IF(AND($CZ$18&gt;=$CS$14,$CZ$18&lt;=$CS$15),10+0.5+100*($CZ$18-$CS$14)/($CS$15-$CS$14),NA()),NA())</f>
        <v/>
      </c>
      <c r="CY33">
        <f>IF(ISNA($CX$33),NA(),MAX($CW$4:$CW$123))</f>
        <v/>
      </c>
      <c r="DA33">
        <f>IF($CT$33="","",IFERROR(IF(ABS($CT$33)&gt;=1000000,ROUND($CT$33/1000000,MAX(0,1-INT(LOG10($CS$27/1000000))))&amp;"M",IF(ABS($CT$33)&gt;=1000,ROUND($CT$33/1000,MAX(0,1-INT(LOG10($CS$27/1000))))&amp;"k",TEXT($CT$33,"#,##0"))),TEXT($CT$33,"#,##0")))</f>
        <v/>
      </c>
      <c r="DB33" t="n">
        <v>20.15</v>
      </c>
      <c r="DC33" t="n">
        <v>20.325</v>
      </c>
      <c r="DD33" t="n">
        <v>20</v>
      </c>
      <c r="DG33">
        <f>IF(30&lt;=$DF$13,$DF$14+(30-1)*$DF$16,"")</f>
        <v/>
      </c>
      <c r="DH33">
        <f>IF(30&gt;$DF$13,"",SUMIFS($DD$4:$DD$203,$DC$4:$DC$203,"&gt;="&amp;$DG$33,$DC$4:$DC$203,IF(30=$DF$13,"&lt;=","&lt;")&amp;($DG$33+$DF$16)))</f>
        <v/>
      </c>
      <c r="DI33">
        <f>IF(AND(MOD(19,$DF$17)=0,MOD((INT(19/$DF$17)+1)-1,$DF$13/5)=0),INDEX($DN$4:$DN$53,(INT(19/$DF$17)+1)),"")</f>
        <v/>
      </c>
      <c r="DJ33">
        <f>IF(MOD(19,$DF$17)=$DF$17-1,0,INDEX($DH$4:$DH$53,(INT(19/$DF$17)+1)))</f>
        <v/>
      </c>
      <c r="DK33">
        <f>IFERROR(IF(AND($DM$18&gt;=$DF$14,$DM$18&lt;=$DF$15),10+0.5+100*($DM$18-$DF$14)/($DF$15-$DF$14),NA()),NA())</f>
        <v/>
      </c>
      <c r="DL33">
        <f>IF(ISNA($DK$33),NA(),MAX($DJ$4:$DJ$123))</f>
        <v/>
      </c>
      <c r="DN33">
        <f>IF($DG$33="","",IFERROR(IF(ABS($DG$33)&gt;=1000000,ROUND($DG$33/1000000,MAX(0,1-INT(LOG10($DF$27/1000000))))&amp;"M",IF(ABS($DG$33)&gt;=1000,ROUND($DG$33/1000,MAX(0,1-INT(LOG10($DF$27/1000))))&amp;"k",TEXT($DG$33,"#,##0.0"))),TEXT($DG$33,"#,##0.0")))</f>
        <v/>
      </c>
      <c r="DO33" t="n">
        <v>8.225</v>
      </c>
      <c r="DP33" t="n">
        <v>8.237500000000001</v>
      </c>
      <c r="DQ33" t="n">
        <v>19</v>
      </c>
      <c r="DT33">
        <f>IF(30&lt;=$DS$13,$DS$14+(30-1)*$DS$16,"")</f>
        <v/>
      </c>
      <c r="DU33">
        <f>IF(30&gt;$DS$13,"",SUMIFS($DQ$4:$DQ$203,$DP$4:$DP$203,"&gt;="&amp;$DT$33,$DP$4:$DP$203,IF(30=$DS$13,"&lt;=","&lt;")&amp;($DT$33+$DS$16)))</f>
        <v/>
      </c>
      <c r="DV33">
        <f>IF(AND(MOD(19,$DS$17)=0,MOD((INT(19/$DS$17)+1)-1,$DS$13/5)=0),INDEX($EA$4:$EA$53,(INT(19/$DS$17)+1)),"")</f>
        <v/>
      </c>
      <c r="DW33">
        <f>IF(MOD(19,$DS$17)=$DS$17-1,0,INDEX($DU$4:$DU$53,(INT(19/$DS$17)+1)))</f>
        <v/>
      </c>
      <c r="DX33">
        <f>IFERROR(IF(AND($DZ$18&gt;=$DS$14,$DZ$18&lt;=$DS$15),10+0.5+100*($DZ$18-$DS$14)/($DS$15-$DS$14),NA()),NA())</f>
        <v/>
      </c>
      <c r="DY33">
        <f>IF(ISNA($DX$33),NA(),MAX($DW$4:$DW$123))</f>
        <v/>
      </c>
      <c r="EA33">
        <f>IF($DT$33="","",IFERROR(IF(ABS($DT$33)&gt;=1000000,ROUND($DT$33/1000000,MAX(0,1-INT(LOG10($DS$27/1000000))))&amp;"M",IF(ABS($DT$33)&gt;=1000,ROUND($DT$33/1000,MAX(0,1-INT(LOG10($DS$27/1000))))&amp;"k",TEXT($DT$33,"#,##0.0"))),TEXT($DT$33,"#,##0.0")))</f>
        <v/>
      </c>
      <c r="EB33" t="n">
        <v>14.5</v>
      </c>
      <c r="EC33" t="n">
        <v>14.75</v>
      </c>
      <c r="ED33" t="n">
        <v>64</v>
      </c>
      <c r="EG33">
        <f>IF(30&lt;=$EF$13,$EF$14+(30-1)*$EF$16,"")</f>
        <v/>
      </c>
      <c r="EH33">
        <f>IF(30&gt;$EF$13,"",SUMIFS($ED$4:$ED$203,$EC$4:$EC$203,"&gt;="&amp;$EG$33,$EC$4:$EC$203,IF(30=$EF$13,"&lt;=","&lt;")&amp;($EG$33+$EF$16)))</f>
        <v/>
      </c>
      <c r="EI33">
        <f>IF(AND(MOD(19,$EF$17)=0,MOD((INT(19/$EF$17)+1)-1,$EF$13/5)=0),INDEX($EN$4:$EN$53,(INT(19/$EF$17)+1)),"")</f>
        <v/>
      </c>
      <c r="EJ33">
        <f>IF(MOD(19,$EF$17)=$EF$17-1,0,INDEX($EH$4:$EH$53,(INT(19/$EF$17)+1)))</f>
        <v/>
      </c>
      <c r="EK33">
        <f>IFERROR(IF(AND($EM$18&gt;=$EF$14,$EM$18&lt;=$EF$15),10+0.5+100*($EM$18-$EF$14)/($EF$15-$EF$14),NA()),NA())</f>
        <v/>
      </c>
      <c r="EL33">
        <f>IF(ISNA($EK$33),NA(),MAX($EJ$4:$EJ$123))</f>
        <v/>
      </c>
      <c r="EN33">
        <f>IF($EG$33="","",IFERROR(IF(ABS($EG$33)&gt;=1000000,ROUND($EG$33/1000000,MAX(0,1-INT(LOG10($EF$27/1000000))))&amp;"M",IF(ABS($EG$33)&gt;=1000,ROUND($EG$33/1000,MAX(0,1-INT(LOG10($EF$27/1000))))&amp;"k",TEXT($EG$33,"#,##0"))),TEXT($EG$33,"#,##0")))</f>
        <v/>
      </c>
      <c r="EO33" t="n">
        <v>0.5075000000000001</v>
      </c>
      <c r="EP33" t="n">
        <v>0.5162500000000001</v>
      </c>
      <c r="EQ33" t="n">
        <v>207</v>
      </c>
      <c r="ET33">
        <f>IF(30&lt;=$ES$13,$ES$14+(30-1)*$ES$16,"")</f>
        <v/>
      </c>
      <c r="EU33">
        <f>IF(30&gt;$ES$13,"",SUMIFS($EQ$4:$EQ$203,$EP$4:$EP$203,"&gt;="&amp;$ET$33,$EP$4:$EP$203,IF(30=$ES$13,"&lt;=","&lt;")&amp;($ET$33+$ES$16)))</f>
        <v/>
      </c>
      <c r="EV33">
        <f>IF(AND(MOD(19,$ES$17)=0,MOD((INT(19/$ES$17)+1)-1,$ES$13/5)=0),INDEX($FA$4:$FA$53,(INT(19/$ES$17)+1)),"")</f>
        <v/>
      </c>
      <c r="EW33">
        <f>IF(MOD(19,$ES$17)=$ES$17-1,0,INDEX($EU$4:$EU$53,(INT(19/$ES$17)+1)))</f>
        <v/>
      </c>
      <c r="EX33">
        <f>IFERROR(IF(AND($EZ$18&gt;=$ES$14,$EZ$18&lt;=$ES$15),10+0.5+100*($EZ$18-$ES$14)/($ES$15-$ES$14),NA()),NA())</f>
        <v/>
      </c>
      <c r="EY33">
        <f>IF(ISNA($EX$33),NA(),MAX($EW$4:$EW$123))</f>
        <v/>
      </c>
      <c r="FA33">
        <f>IF($ET$33="","",IFERROR(IF(ABS($ET$33)&gt;=1000000,ROUND($ET$33/1000000,MAX(0,1-INT(LOG10($ES$27/1000000))))&amp;"M",IF(ABS($ET$33)&gt;=1000,ROUND($ET$33/1000,MAX(0,1-INT(LOG10($ES$27/1000))))&amp;"k",TEXT($ET$33,"0.00"))),TEXT($ET$33,"0.00")))</f>
        <v/>
      </c>
    </row>
    <row r="34">
      <c r="B34" t="n">
        <v>595</v>
      </c>
      <c r="C34" t="n">
        <v>595.75</v>
      </c>
      <c r="D34" t="n">
        <v>27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62</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67</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c r="AO34" t="n">
        <v>120000</v>
      </c>
      <c r="AP34" t="n">
        <v>122000</v>
      </c>
      <c r="AQ34" t="n">
        <v>102</v>
      </c>
      <c r="AT34">
        <f>IF(31&lt;=$AS$13,$AS$14+(31-1)*$AS$16,"")</f>
        <v/>
      </c>
      <c r="AU34">
        <f>IF(31&gt;$AS$13,"",SUMIFS($AQ$4:$AQ$203,$AP$4:$AP$203,"&gt;="&amp;$AT$34,$AP$4:$AP$203,IF(31=$AS$13,"&lt;=","&lt;")&amp;($AT$34+$AS$16)))</f>
        <v/>
      </c>
      <c r="AV34">
        <f>IF(AND(MOD(20,$AS$17)=0,MOD((INT(20/$AS$17)+1)-1,$AS$13/5)=0),INDEX($BA$4:$BA$53,(INT(20/$AS$17)+1)),"")</f>
        <v/>
      </c>
      <c r="AW34">
        <f>IF(MOD(20,$AS$17)=$AS$17-1,0,INDEX($AU$4:$AU$53,(INT(20/$AS$17)+1)))</f>
        <v/>
      </c>
      <c r="AX34">
        <f>IFERROR(IF(AND($AZ$19&gt;=$AS$14,$AZ$19&lt;=$AS$15),10+0.5+100*($AZ$19-$AS$14)/($AS$15-$AS$14),NA()),NA())</f>
        <v/>
      </c>
      <c r="AY34">
        <f>IF(ISNA($AX$34),NA(),0)</f>
        <v/>
      </c>
      <c r="BA34">
        <f>IF($AT$34="","",IFERROR(IF(ABS($AT$34)&gt;=1000000,ROUND($AT$34/1000000,MAX(0,1-INT(LOG10($AS$27/1000000))))&amp;"M",IF(ABS($AT$34)&gt;=1000,ROUND($AT$34/1000,MAX(0,1-INT(LOG10($AS$27/1000))))&amp;"k",TEXT($AT$34,"#,##0"))),TEXT($AT$34,"#,##0")))</f>
        <v/>
      </c>
      <c r="BB34" t="n">
        <v>210000</v>
      </c>
      <c r="BC34" t="n">
        <v>213500</v>
      </c>
      <c r="BD34" t="n">
        <v>154</v>
      </c>
      <c r="BG34">
        <f>IF(31&lt;=$BF$13,$BF$14+(31-1)*$BF$16,"")</f>
        <v/>
      </c>
      <c r="BH34">
        <f>IF(31&gt;$BF$13,"",SUMIFS($BD$4:$BD$203,$BC$4:$BC$203,"&gt;="&amp;$BG$34,$BC$4:$BC$203,IF(31=$BF$13,"&lt;=","&lt;")&amp;($BG$34+$BF$16)))</f>
        <v/>
      </c>
      <c r="BI34">
        <f>IF(AND(MOD(20,$BF$17)=0,MOD((INT(20/$BF$17)+1)-1,$BF$13/5)=0),INDEX($BN$4:$BN$53,(INT(20/$BF$17)+1)),"")</f>
        <v/>
      </c>
      <c r="BJ34">
        <f>IF(MOD(20,$BF$17)=$BF$17-1,0,INDEX($BH$4:$BH$53,(INT(20/$BF$17)+1)))</f>
        <v/>
      </c>
      <c r="BK34">
        <f>IFERROR(IF(AND($BM$19&gt;=$BF$14,$BM$19&lt;=$BF$15),10+0.5+100*($BM$19-$BF$14)/($BF$15-$BF$14),NA()),NA())</f>
        <v/>
      </c>
      <c r="BL34">
        <f>IF(ISNA($BK$34),NA(),0)</f>
        <v/>
      </c>
      <c r="BN34">
        <f>IF($BG$34="","",IFERROR(IF(ABS($BG$34)&gt;=1000000,ROUND($BG$34/1000000,MAX(0,1-INT(LOG10($BF$27/1000000))))&amp;"M",IF(ABS($BG$34)&gt;=1000,ROUND($BG$34/1000,MAX(0,1-INT(LOG10($BF$27/1000))))&amp;"k",TEXT($BG$34,"#,##0"))),TEXT($BG$34,"#,##0")))</f>
        <v/>
      </c>
      <c r="BO34" t="n">
        <v>0.18</v>
      </c>
      <c r="BP34" t="n">
        <v>0.183</v>
      </c>
      <c r="BQ34" t="n">
        <v>55</v>
      </c>
      <c r="BT34">
        <f>IF(31&lt;=$BS$13,$BS$14+(31-1)*$BS$16,"")</f>
        <v/>
      </c>
      <c r="BU34">
        <f>IF(31&gt;$BS$13,"",SUMIFS($BQ$4:$BQ$203,$BP$4:$BP$203,"&gt;="&amp;$BT$34,$BP$4:$BP$203,IF(31=$BS$13,"&lt;=","&lt;")&amp;($BT$34+$BS$16)))</f>
        <v/>
      </c>
      <c r="BV34">
        <f>IF(AND(MOD(20,$BS$17)=0,MOD((INT(20/$BS$17)+1)-1,$BS$13/5)=0),INDEX($CA$4:$CA$53,(INT(20/$BS$17)+1)),"")</f>
        <v/>
      </c>
      <c r="BW34">
        <f>IF(MOD(20,$BS$17)=$BS$17-1,0,INDEX($BU$4:$BU$53,(INT(20/$BS$17)+1)))</f>
        <v/>
      </c>
      <c r="BX34">
        <f>IFERROR(IF(AND($BZ$19&gt;=$BS$14,$BZ$19&lt;=$BS$15),10+0.5+100*($BZ$19-$BS$14)/($BS$15-$BS$14),NA()),NA())</f>
        <v/>
      </c>
      <c r="BY34">
        <f>IF(ISNA($BX$34),NA(),0)</f>
        <v/>
      </c>
      <c r="CA34">
        <f>IF($BT$34="","",IFERROR(IF(ABS($BT$34)&gt;=1000000,ROUND($BT$34/1000000,MAX(0,1-INT(LOG10($BS$27/1000000))))&amp;"M",IF(ABS($BT$34)&gt;=1000,ROUND($BT$34/1000,MAX(0,1-INT(LOG10($BS$27/1000))))&amp;"k",TEXT($BT$34,"0.00"))),TEXT($BT$34,"0.00")))</f>
        <v/>
      </c>
      <c r="CB34" t="n">
        <v>4.5</v>
      </c>
      <c r="CC34" t="n">
        <v>4.575</v>
      </c>
      <c r="CD34" t="n">
        <v>193</v>
      </c>
      <c r="CG34">
        <f>IF(31&lt;=$CF$13,$CF$14+(31-1)*$CF$16,"")</f>
        <v/>
      </c>
      <c r="CH34">
        <f>IF(31&gt;$CF$13,"",SUMIFS($CD$4:$CD$203,$CC$4:$CC$203,"&gt;="&amp;$CG$34,$CC$4:$CC$203,IF(31=$CF$13,"&lt;=","&lt;")&amp;($CG$34+$CF$16)))</f>
        <v/>
      </c>
      <c r="CI34">
        <f>IF(AND(MOD(20,$CF$17)=0,MOD((INT(20/$CF$17)+1)-1,$CF$13/5)=0),INDEX($CN$4:$CN$53,(INT(20/$CF$17)+1)),"")</f>
        <v/>
      </c>
      <c r="CJ34">
        <f>IF(MOD(20,$CF$17)=$CF$17-1,0,INDEX($CH$4:$CH$53,(INT(20/$CF$17)+1)))</f>
        <v/>
      </c>
      <c r="CK34">
        <f>IFERROR(IF(AND($CM$19&gt;=$CF$14,$CM$19&lt;=$CF$15),10+0.5+100*($CM$19-$CF$14)/($CF$15-$CF$14),NA()),NA())</f>
        <v/>
      </c>
      <c r="CL34">
        <f>IF(ISNA($CK$34),NA(),0)</f>
        <v/>
      </c>
      <c r="CN34">
        <f>IF($CG$34="","",IFERROR(IF(ABS($CG$34)&gt;=1000000,ROUND($CG$34/1000000,MAX(0,1-INT(LOG10($CF$27/1000000))))&amp;"M",IF(ABS($CG$34)&gt;=1000,ROUND($CG$34/1000,MAX(0,1-INT(LOG10($CF$27/1000))))&amp;"k",TEXT($CG$34,"#,##0.0"))),TEXT($CG$34,"#,##0.0")))</f>
        <v/>
      </c>
      <c r="CO34" t="n">
        <v>22</v>
      </c>
      <c r="CP34" t="n">
        <v>22.2</v>
      </c>
      <c r="CQ34" t="n">
        <v>19</v>
      </c>
      <c r="CT34">
        <f>IF(31&lt;=$CS$13,$CS$14+(31-1)*$CS$16,"")</f>
        <v/>
      </c>
      <c r="CU34">
        <f>IF(31&gt;$CS$13,"",SUMIFS($CQ$4:$CQ$203,$CP$4:$CP$203,"&gt;="&amp;$CT$34,$CP$4:$CP$203,IF(31=$CS$13,"&lt;=","&lt;")&amp;($CT$34+$CS$16)))</f>
        <v/>
      </c>
      <c r="CV34">
        <f>IF(AND(MOD(20,$CS$17)=0,MOD((INT(20/$CS$17)+1)-1,$CS$13/5)=0),INDEX($DA$4:$DA$53,(INT(20/$CS$17)+1)),"")</f>
        <v/>
      </c>
      <c r="CW34">
        <f>IF(MOD(20,$CS$17)=$CS$17-1,0,INDEX($CU$4:$CU$53,(INT(20/$CS$17)+1)))</f>
        <v/>
      </c>
      <c r="CX34">
        <f>IFERROR(IF(AND($CZ$19&gt;=$CS$14,$CZ$19&lt;=$CS$15),10+0.5+100*($CZ$19-$CS$14)/($CS$15-$CS$14),NA()),NA())</f>
        <v/>
      </c>
      <c r="CY34">
        <f>IF(ISNA($CX$34),NA(),0)</f>
        <v/>
      </c>
      <c r="DA34">
        <f>IF($CT$34="","",IFERROR(IF(ABS($CT$34)&gt;=1000000,ROUND($CT$34/1000000,MAX(0,1-INT(LOG10($CS$27/1000000))))&amp;"M",IF(ABS($CT$34)&gt;=1000,ROUND($CT$34/1000,MAX(0,1-INT(LOG10($CS$27/1000))))&amp;"k",TEXT($CT$34,"#,##0"))),TEXT($CT$34,"#,##0")))</f>
        <v/>
      </c>
      <c r="DB34" t="n">
        <v>20.5</v>
      </c>
      <c r="DC34" t="n">
        <v>20.675</v>
      </c>
      <c r="DD34" t="n">
        <v>29</v>
      </c>
      <c r="DG34">
        <f>IF(31&lt;=$DF$13,$DF$14+(31-1)*$DF$16,"")</f>
        <v/>
      </c>
      <c r="DH34">
        <f>IF(31&gt;$DF$13,"",SUMIFS($DD$4:$DD$203,$DC$4:$DC$203,"&gt;="&amp;$DG$34,$DC$4:$DC$203,IF(31=$DF$13,"&lt;=","&lt;")&amp;($DG$34+$DF$16)))</f>
        <v/>
      </c>
      <c r="DI34">
        <f>IF(AND(MOD(20,$DF$17)=0,MOD((INT(20/$DF$17)+1)-1,$DF$13/5)=0),INDEX($DN$4:$DN$53,(INT(20/$DF$17)+1)),"")</f>
        <v/>
      </c>
      <c r="DJ34">
        <f>IF(MOD(20,$DF$17)=$DF$17-1,0,INDEX($DH$4:$DH$53,(INT(20/$DF$17)+1)))</f>
        <v/>
      </c>
      <c r="DK34">
        <f>IFERROR(IF(AND($DM$19&gt;=$DF$14,$DM$19&lt;=$DF$15),10+0.5+100*($DM$19-$DF$14)/($DF$15-$DF$14),NA()),NA())</f>
        <v/>
      </c>
      <c r="DL34">
        <f>IF(ISNA($DK$34),NA(),0)</f>
        <v/>
      </c>
      <c r="DN34">
        <f>IF($DG$34="","",IFERROR(IF(ABS($DG$34)&gt;=1000000,ROUND($DG$34/1000000,MAX(0,1-INT(LOG10($DF$27/1000000))))&amp;"M",IF(ABS($DG$34)&gt;=1000,ROUND($DG$34/1000,MAX(0,1-INT(LOG10($DF$27/1000))))&amp;"k",TEXT($DG$34,"#,##0.0"))),TEXT($DG$34,"#,##0.0")))</f>
        <v/>
      </c>
      <c r="DO34" t="n">
        <v>8.25</v>
      </c>
      <c r="DP34" t="n">
        <v>8.262499999999999</v>
      </c>
      <c r="DQ34" t="n">
        <v>30</v>
      </c>
      <c r="DT34">
        <f>IF(31&lt;=$DS$13,$DS$14+(31-1)*$DS$16,"")</f>
        <v/>
      </c>
      <c r="DU34">
        <f>IF(31&gt;$DS$13,"",SUMIFS($DQ$4:$DQ$203,$DP$4:$DP$203,"&gt;="&amp;$DT$34,$DP$4:$DP$203,IF(31=$DS$13,"&lt;=","&lt;")&amp;($DT$34+$DS$16)))</f>
        <v/>
      </c>
      <c r="DV34">
        <f>IF(AND(MOD(20,$DS$17)=0,MOD((INT(20/$DS$17)+1)-1,$DS$13/5)=0),INDEX($EA$4:$EA$53,(INT(20/$DS$17)+1)),"")</f>
        <v/>
      </c>
      <c r="DW34">
        <f>IF(MOD(20,$DS$17)=$DS$17-1,0,INDEX($DU$4:$DU$53,(INT(20/$DS$17)+1)))</f>
        <v/>
      </c>
      <c r="DX34">
        <f>IFERROR(IF(AND($DZ$19&gt;=$DS$14,$DZ$19&lt;=$DS$15),10+0.5+100*($DZ$19-$DS$14)/($DS$15-$DS$14),NA()),NA())</f>
        <v/>
      </c>
      <c r="DY34">
        <f>IF(ISNA($DX$34),NA(),0)</f>
        <v/>
      </c>
      <c r="EA34">
        <f>IF($DT$34="","",IFERROR(IF(ABS($DT$34)&gt;=1000000,ROUND($DT$34/1000000,MAX(0,1-INT(LOG10($DS$27/1000000))))&amp;"M",IF(ABS($DT$34)&gt;=1000,ROUND($DT$34/1000,MAX(0,1-INT(LOG10($DS$27/1000))))&amp;"k",TEXT($DT$34,"#,##0.0"))),TEXT($DT$34,"#,##0.0")))</f>
        <v/>
      </c>
      <c r="EB34" t="n">
        <v>15</v>
      </c>
      <c r="EC34" t="n">
        <v>15.25</v>
      </c>
      <c r="ED34" t="n">
        <v>62</v>
      </c>
      <c r="EG34">
        <f>IF(31&lt;=$EF$13,$EF$14+(31-1)*$EF$16,"")</f>
        <v/>
      </c>
      <c r="EH34">
        <f>IF(31&gt;$EF$13,"",SUMIFS($ED$4:$ED$203,$EC$4:$EC$203,"&gt;="&amp;$EG$34,$EC$4:$EC$203,IF(31=$EF$13,"&lt;=","&lt;")&amp;($EG$34+$EF$16)))</f>
        <v/>
      </c>
      <c r="EI34">
        <f>IF(AND(MOD(20,$EF$17)=0,MOD((INT(20/$EF$17)+1)-1,$EF$13/5)=0),INDEX($EN$4:$EN$53,(INT(20/$EF$17)+1)),"")</f>
        <v/>
      </c>
      <c r="EJ34">
        <f>IF(MOD(20,$EF$17)=$EF$17-1,0,INDEX($EH$4:$EH$53,(INT(20/$EF$17)+1)))</f>
        <v/>
      </c>
      <c r="EK34">
        <f>IFERROR(IF(AND($EM$19&gt;=$EF$14,$EM$19&lt;=$EF$15),10+0.5+100*($EM$19-$EF$14)/($EF$15-$EF$14),NA()),NA())</f>
        <v/>
      </c>
      <c r="EL34">
        <f>IF(ISNA($EK$34),NA(),0)</f>
        <v/>
      </c>
      <c r="EN34">
        <f>IF($EG$34="","",IFERROR(IF(ABS($EG$34)&gt;=1000000,ROUND($EG$34/1000000,MAX(0,1-INT(LOG10($EF$27/1000000))))&amp;"M",IF(ABS($EG$34)&gt;=1000,ROUND($EG$34/1000,MAX(0,1-INT(LOG10($EF$27/1000))))&amp;"k",TEXT($EG$34,"#,##0"))),TEXT($EG$34,"#,##0")))</f>
        <v/>
      </c>
      <c r="EO34" t="n">
        <v>0.525</v>
      </c>
      <c r="EP34" t="n">
        <v>0.5337500000000001</v>
      </c>
      <c r="EQ34" t="n">
        <v>195</v>
      </c>
      <c r="ET34">
        <f>IF(31&lt;=$ES$13,$ES$14+(31-1)*$ES$16,"")</f>
        <v/>
      </c>
      <c r="EU34">
        <f>IF(31&gt;$ES$13,"",SUMIFS($EQ$4:$EQ$203,$EP$4:$EP$203,"&gt;="&amp;$ET$34,$EP$4:$EP$203,IF(31=$ES$13,"&lt;=","&lt;")&amp;($ET$34+$ES$16)))</f>
        <v/>
      </c>
      <c r="EV34">
        <f>IF(AND(MOD(20,$ES$17)=0,MOD((INT(20/$ES$17)+1)-1,$ES$13/5)=0),INDEX($FA$4:$FA$53,(INT(20/$ES$17)+1)),"")</f>
        <v/>
      </c>
      <c r="EW34">
        <f>IF(MOD(20,$ES$17)=$ES$17-1,0,INDEX($EU$4:$EU$53,(INT(20/$ES$17)+1)))</f>
        <v/>
      </c>
      <c r="EX34">
        <f>IFERROR(IF(AND($EZ$19&gt;=$ES$14,$EZ$19&lt;=$ES$15),10+0.5+100*($EZ$19-$ES$14)/($ES$15-$ES$14),NA()),NA())</f>
        <v/>
      </c>
      <c r="EY34">
        <f>IF(ISNA($EX$34),NA(),0)</f>
        <v/>
      </c>
      <c r="FA34">
        <f>IF($ET$34="","",IFERROR(IF(ABS($ET$34)&gt;=1000000,ROUND($ET$34/1000000,MAX(0,1-INT(LOG10($ES$27/1000000))))&amp;"M",IF(ABS($ET$34)&gt;=1000,ROUND($ET$34/1000,MAX(0,1-INT(LOG10($ES$27/1000))))&amp;"k",TEXT($ET$34,"0.00"))),TEXT($ET$34,"0.00")))</f>
        <v/>
      </c>
    </row>
    <row r="35">
      <c r="B35" t="n">
        <v>596.5</v>
      </c>
      <c r="C35" t="n">
        <v>597.25</v>
      </c>
      <c r="D35" t="n">
        <v>13</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70</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83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c r="AO35" t="n">
        <v>124000</v>
      </c>
      <c r="AP35" t="n">
        <v>126000</v>
      </c>
      <c r="AQ35" t="n">
        <v>122</v>
      </c>
      <c r="AT35">
        <f>IF(32&lt;=$AS$13,$AS$14+(32-1)*$AS$16,"")</f>
        <v/>
      </c>
      <c r="AU35">
        <f>IF(32&gt;$AS$13,"",SUMIFS($AQ$4:$AQ$203,$AP$4:$AP$203,"&gt;="&amp;$AT$35,$AP$4:$AP$203,IF(32=$AS$13,"&lt;=","&lt;")&amp;($AT$35+$AS$16)))</f>
        <v/>
      </c>
      <c r="AV35">
        <f>IF(AND(MOD(21,$AS$17)=0,MOD((INT(21/$AS$17)+1)-1,$AS$13/5)=0),INDEX($BA$4:$BA$53,(INT(21/$AS$17)+1)),"")</f>
        <v/>
      </c>
      <c r="AW35">
        <f>IF(MOD(21,$AS$17)=$AS$17-1,0,INDEX($AU$4:$AU$53,(INT(21/$AS$17)+1)))</f>
        <v/>
      </c>
      <c r="AX35">
        <f>IFERROR(IF(AND($AZ$19&gt;=$AS$14,$AZ$19&lt;=$AS$15),10+0.5+100*($AZ$19-$AS$14)/($AS$15-$AS$14),NA()),NA())</f>
        <v/>
      </c>
      <c r="AY35">
        <f>IF(ISNA($AX$35),NA(),MAX($AW$4:$AW$123))</f>
        <v/>
      </c>
      <c r="BA35">
        <f>IF($AT$35="","",IFERROR(IF(ABS($AT$35)&gt;=1000000,ROUND($AT$35/1000000,MAX(0,1-INT(LOG10($AS$27/1000000))))&amp;"M",IF(ABS($AT$35)&gt;=1000,ROUND($AT$35/1000,MAX(0,1-INT(LOG10($AS$27/1000))))&amp;"k",TEXT($AT$35,"#,##0"))),TEXT($AT$35,"#,##0")))</f>
        <v/>
      </c>
      <c r="BB35" t="n">
        <v>217000</v>
      </c>
      <c r="BC35" t="n">
        <v>220500</v>
      </c>
      <c r="BD35" t="n">
        <v>134</v>
      </c>
      <c r="BG35">
        <f>IF(32&lt;=$BF$13,$BF$14+(32-1)*$BF$16,"")</f>
        <v/>
      </c>
      <c r="BH35">
        <f>IF(32&gt;$BF$13,"",SUMIFS($BD$4:$BD$203,$BC$4:$BC$203,"&gt;="&amp;$BG$35,$BC$4:$BC$203,IF(32=$BF$13,"&lt;=","&lt;")&amp;($BG$35+$BF$16)))</f>
        <v/>
      </c>
      <c r="BI35">
        <f>IF(AND(MOD(21,$BF$17)=0,MOD((INT(21/$BF$17)+1)-1,$BF$13/5)=0),INDEX($BN$4:$BN$53,(INT(21/$BF$17)+1)),"")</f>
        <v/>
      </c>
      <c r="BJ35">
        <f>IF(MOD(21,$BF$17)=$BF$17-1,0,INDEX($BH$4:$BH$53,(INT(21/$BF$17)+1)))</f>
        <v/>
      </c>
      <c r="BK35">
        <f>IFERROR(IF(AND($BM$19&gt;=$BF$14,$BM$19&lt;=$BF$15),10+0.5+100*($BM$19-$BF$14)/($BF$15-$BF$14),NA()),NA())</f>
        <v/>
      </c>
      <c r="BL35">
        <f>IF(ISNA($BK$35),NA(),MAX($BJ$4:$BJ$123))</f>
        <v/>
      </c>
      <c r="BN35">
        <f>IF($BG$35="","",IFERROR(IF(ABS($BG$35)&gt;=1000000,ROUND($BG$35/1000000,MAX(0,1-INT(LOG10($BF$27/1000000))))&amp;"M",IF(ABS($BG$35)&gt;=1000,ROUND($BG$35/1000,MAX(0,1-INT(LOG10($BF$27/1000))))&amp;"k",TEXT($BG$35,"#,##0"))),TEXT($BG$35,"#,##0")))</f>
        <v/>
      </c>
      <c r="BO35" t="n">
        <v>0.186</v>
      </c>
      <c r="BP35" t="n">
        <v>0.189</v>
      </c>
      <c r="BQ35" t="n">
        <v>54</v>
      </c>
      <c r="BT35">
        <f>IF(32&lt;=$BS$13,$BS$14+(32-1)*$BS$16,"")</f>
        <v/>
      </c>
      <c r="BU35">
        <f>IF(32&gt;$BS$13,"",SUMIFS($BQ$4:$BQ$203,$BP$4:$BP$203,"&gt;="&amp;$BT$35,$BP$4:$BP$203,IF(32=$BS$13,"&lt;=","&lt;")&amp;($BT$35+$BS$16)))</f>
        <v/>
      </c>
      <c r="BV35">
        <f>IF(AND(MOD(21,$BS$17)=0,MOD((INT(21/$BS$17)+1)-1,$BS$13/5)=0),INDEX($CA$4:$CA$53,(INT(21/$BS$17)+1)),"")</f>
        <v/>
      </c>
      <c r="BW35">
        <f>IF(MOD(21,$BS$17)=$BS$17-1,0,INDEX($BU$4:$BU$53,(INT(21/$BS$17)+1)))</f>
        <v/>
      </c>
      <c r="BX35">
        <f>IFERROR(IF(AND($BZ$19&gt;=$BS$14,$BZ$19&lt;=$BS$15),10+0.5+100*($BZ$19-$BS$14)/($BS$15-$BS$14),NA()),NA())</f>
        <v/>
      </c>
      <c r="BY35">
        <f>IF(ISNA($BX$35),NA(),MAX($BW$4:$BW$123))</f>
        <v/>
      </c>
      <c r="CA35">
        <f>IF($BT$35="","",IFERROR(IF(ABS($BT$35)&gt;=1000000,ROUND($BT$35/1000000,MAX(0,1-INT(LOG10($BS$27/1000000))))&amp;"M",IF(ABS($BT$35)&gt;=1000,ROUND($BT$35/1000,MAX(0,1-INT(LOG10($BS$27/1000))))&amp;"k",TEXT($BT$35,"0.00"))),TEXT($BT$35,"0.00")))</f>
        <v/>
      </c>
      <c r="CB35" t="n">
        <v>4.649999999999999</v>
      </c>
      <c r="CC35" t="n">
        <v>4.725</v>
      </c>
      <c r="CD35" t="n">
        <v>94</v>
      </c>
      <c r="CG35">
        <f>IF(32&lt;=$CF$13,$CF$14+(32-1)*$CF$16,"")</f>
        <v/>
      </c>
      <c r="CH35">
        <f>IF(32&gt;$CF$13,"",SUMIFS($CD$4:$CD$203,$CC$4:$CC$203,"&gt;="&amp;$CG$35,$CC$4:$CC$203,IF(32=$CF$13,"&lt;=","&lt;")&amp;($CG$35+$CF$16)))</f>
        <v/>
      </c>
      <c r="CI35">
        <f>IF(AND(MOD(21,$CF$17)=0,MOD((INT(21/$CF$17)+1)-1,$CF$13/5)=0),INDEX($CN$4:$CN$53,(INT(21/$CF$17)+1)),"")</f>
        <v/>
      </c>
      <c r="CJ35">
        <f>IF(MOD(21,$CF$17)=$CF$17-1,0,INDEX($CH$4:$CH$53,(INT(21/$CF$17)+1)))</f>
        <v/>
      </c>
      <c r="CK35">
        <f>IFERROR(IF(AND($CM$19&gt;=$CF$14,$CM$19&lt;=$CF$15),10+0.5+100*($CM$19-$CF$14)/($CF$15-$CF$14),NA()),NA())</f>
        <v/>
      </c>
      <c r="CL35">
        <f>IF(ISNA($CK$35),NA(),MAX($CJ$4:$CJ$123))</f>
        <v/>
      </c>
      <c r="CN35">
        <f>IF($CG$35="","",IFERROR(IF(ABS($CG$35)&gt;=1000000,ROUND($CG$35/1000000,MAX(0,1-INT(LOG10($CF$27/1000000))))&amp;"M",IF(ABS($CG$35)&gt;=1000,ROUND($CG$35/1000,MAX(0,1-INT(LOG10($CF$27/1000))))&amp;"k",TEXT($CG$35,"#,##0.0"))),TEXT($CG$35,"#,##0.0")))</f>
        <v/>
      </c>
      <c r="CO35" t="n">
        <v>22.4</v>
      </c>
      <c r="CP35" t="n">
        <v>22.6</v>
      </c>
      <c r="CQ35" t="n">
        <v>25</v>
      </c>
      <c r="CT35">
        <f>IF(32&lt;=$CS$13,$CS$14+(32-1)*$CS$16,"")</f>
        <v/>
      </c>
      <c r="CU35">
        <f>IF(32&gt;$CS$13,"",SUMIFS($CQ$4:$CQ$203,$CP$4:$CP$203,"&gt;="&amp;$CT$35,$CP$4:$CP$203,IF(32=$CS$13,"&lt;=","&lt;")&amp;($CT$35+$CS$16)))</f>
        <v/>
      </c>
      <c r="CV35">
        <f>IF(AND(MOD(21,$CS$17)=0,MOD((INT(21/$CS$17)+1)-1,$CS$13/5)=0),INDEX($DA$4:$DA$53,(INT(21/$CS$17)+1)),"")</f>
        <v/>
      </c>
      <c r="CW35">
        <f>IF(MOD(21,$CS$17)=$CS$17-1,0,INDEX($CU$4:$CU$53,(INT(21/$CS$17)+1)))</f>
        <v/>
      </c>
      <c r="CX35">
        <f>IFERROR(IF(AND($CZ$19&gt;=$CS$14,$CZ$19&lt;=$CS$15),10+0.5+100*($CZ$19-$CS$14)/($CS$15-$CS$14),NA()),NA())</f>
        <v/>
      </c>
      <c r="CY35">
        <f>IF(ISNA($CX$35),NA(),MAX($CW$4:$CW$123))</f>
        <v/>
      </c>
      <c r="DA35">
        <f>IF($CT$35="","",IFERROR(IF(ABS($CT$35)&gt;=1000000,ROUND($CT$35/1000000,MAX(0,1-INT(LOG10($CS$27/1000000))))&amp;"M",IF(ABS($CT$35)&gt;=1000,ROUND($CT$35/1000,MAX(0,1-INT(LOG10($CS$27/1000))))&amp;"k",TEXT($CT$35,"#,##0"))),TEXT($CT$35,"#,##0")))</f>
        <v/>
      </c>
      <c r="DB35" t="n">
        <v>20.85</v>
      </c>
      <c r="DC35" t="n">
        <v>21.025</v>
      </c>
      <c r="DD35" t="n">
        <v>26</v>
      </c>
      <c r="DG35">
        <f>IF(32&lt;=$DF$13,$DF$14+(32-1)*$DF$16,"")</f>
        <v/>
      </c>
      <c r="DH35">
        <f>IF(32&gt;$DF$13,"",SUMIFS($DD$4:$DD$203,$DC$4:$DC$203,"&gt;="&amp;$DG$35,$DC$4:$DC$203,IF(32=$DF$13,"&lt;=","&lt;")&amp;($DG$35+$DF$16)))</f>
        <v/>
      </c>
      <c r="DI35">
        <f>IF(AND(MOD(21,$DF$17)=0,MOD((INT(21/$DF$17)+1)-1,$DF$13/5)=0),INDEX($DN$4:$DN$53,(INT(21/$DF$17)+1)),"")</f>
        <v/>
      </c>
      <c r="DJ35">
        <f>IF(MOD(21,$DF$17)=$DF$17-1,0,INDEX($DH$4:$DH$53,(INT(21/$DF$17)+1)))</f>
        <v/>
      </c>
      <c r="DK35">
        <f>IFERROR(IF(AND($DM$19&gt;=$DF$14,$DM$19&lt;=$DF$15),10+0.5+100*($DM$19-$DF$14)/($DF$15-$DF$14),NA()),NA())</f>
        <v/>
      </c>
      <c r="DL35">
        <f>IF(ISNA($DK$35),NA(),MAX($DJ$4:$DJ$123))</f>
        <v/>
      </c>
      <c r="DN35">
        <f>IF($DG$35="","",IFERROR(IF(ABS($DG$35)&gt;=1000000,ROUND($DG$35/1000000,MAX(0,1-INT(LOG10($DF$27/1000000))))&amp;"M",IF(ABS($DG$35)&gt;=1000,ROUND($DG$35/1000,MAX(0,1-INT(LOG10($DF$27/1000))))&amp;"k",TEXT($DG$35,"#,##0.0"))),TEXT($DG$35,"#,##0.0")))</f>
        <v/>
      </c>
      <c r="DO35" t="n">
        <v>8.275</v>
      </c>
      <c r="DP35" t="n">
        <v>8.2875</v>
      </c>
      <c r="DQ35" t="n">
        <v>29</v>
      </c>
      <c r="DT35">
        <f>IF(32&lt;=$DS$13,$DS$14+(32-1)*$DS$16,"")</f>
        <v/>
      </c>
      <c r="DU35">
        <f>IF(32&gt;$DS$13,"",SUMIFS($DQ$4:$DQ$203,$DP$4:$DP$203,"&gt;="&amp;$DT$35,$DP$4:$DP$203,IF(32=$DS$13,"&lt;=","&lt;")&amp;($DT$35+$DS$16)))</f>
        <v/>
      </c>
      <c r="DV35">
        <f>IF(AND(MOD(21,$DS$17)=0,MOD((INT(21/$DS$17)+1)-1,$DS$13/5)=0),INDEX($EA$4:$EA$53,(INT(21/$DS$17)+1)),"")</f>
        <v/>
      </c>
      <c r="DW35">
        <f>IF(MOD(21,$DS$17)=$DS$17-1,0,INDEX($DU$4:$DU$53,(INT(21/$DS$17)+1)))</f>
        <v/>
      </c>
      <c r="DX35">
        <f>IFERROR(IF(AND($DZ$19&gt;=$DS$14,$DZ$19&lt;=$DS$15),10+0.5+100*($DZ$19-$DS$14)/($DS$15-$DS$14),NA()),NA())</f>
        <v/>
      </c>
      <c r="DY35">
        <f>IF(ISNA($DX$35),NA(),MAX($DW$4:$DW$123))</f>
        <v/>
      </c>
      <c r="EA35">
        <f>IF($DT$35="","",IFERROR(IF(ABS($DT$35)&gt;=1000000,ROUND($DT$35/1000000,MAX(0,1-INT(LOG10($DS$27/1000000))))&amp;"M",IF(ABS($DT$35)&gt;=1000,ROUND($DT$35/1000,MAX(0,1-INT(LOG10($DS$27/1000))))&amp;"k",TEXT($DT$35,"#,##0.0"))),TEXT($DT$35,"#,##0.0")))</f>
        <v/>
      </c>
      <c r="EB35" t="n">
        <v>15.5</v>
      </c>
      <c r="EC35" t="n">
        <v>15.75</v>
      </c>
      <c r="ED35" t="n">
        <v>62</v>
      </c>
      <c r="EG35">
        <f>IF(32&lt;=$EF$13,$EF$14+(32-1)*$EF$16,"")</f>
        <v/>
      </c>
      <c r="EH35">
        <f>IF(32&gt;$EF$13,"",SUMIFS($ED$4:$ED$203,$EC$4:$EC$203,"&gt;="&amp;$EG$35,$EC$4:$EC$203,IF(32=$EF$13,"&lt;=","&lt;")&amp;($EG$35+$EF$16)))</f>
        <v/>
      </c>
      <c r="EI35">
        <f>IF(AND(MOD(21,$EF$17)=0,MOD((INT(21/$EF$17)+1)-1,$EF$13/5)=0),INDEX($EN$4:$EN$53,(INT(21/$EF$17)+1)),"")</f>
        <v/>
      </c>
      <c r="EJ35">
        <f>IF(MOD(21,$EF$17)=$EF$17-1,0,INDEX($EH$4:$EH$53,(INT(21/$EF$17)+1)))</f>
        <v/>
      </c>
      <c r="EK35">
        <f>IFERROR(IF(AND($EM$19&gt;=$EF$14,$EM$19&lt;=$EF$15),10+0.5+100*($EM$19-$EF$14)/($EF$15-$EF$14),NA()),NA())</f>
        <v/>
      </c>
      <c r="EL35">
        <f>IF(ISNA($EK$35),NA(),MAX($EJ$4:$EJ$123))</f>
        <v/>
      </c>
      <c r="EN35">
        <f>IF($EG$35="","",IFERROR(IF(ABS($EG$35)&gt;=1000000,ROUND($EG$35/1000000,MAX(0,1-INT(LOG10($EF$27/1000000))))&amp;"M",IF(ABS($EG$35)&gt;=1000,ROUND($EG$35/1000,MAX(0,1-INT(LOG10($EF$27/1000))))&amp;"k",TEXT($EG$35,"#,##0"))),TEXT($EG$35,"#,##0")))</f>
        <v/>
      </c>
      <c r="EO35" t="n">
        <v>0.5425000000000001</v>
      </c>
      <c r="EP35" t="n">
        <v>0.55125</v>
      </c>
      <c r="EQ35" t="n">
        <v>204</v>
      </c>
      <c r="ET35">
        <f>IF(32&lt;=$ES$13,$ES$14+(32-1)*$ES$16,"")</f>
        <v/>
      </c>
      <c r="EU35">
        <f>IF(32&gt;$ES$13,"",SUMIFS($EQ$4:$EQ$203,$EP$4:$EP$203,"&gt;="&amp;$ET$35,$EP$4:$EP$203,IF(32=$ES$13,"&lt;=","&lt;")&amp;($ET$35+$ES$16)))</f>
        <v/>
      </c>
      <c r="EV35">
        <f>IF(AND(MOD(21,$ES$17)=0,MOD((INT(21/$ES$17)+1)-1,$ES$13/5)=0),INDEX($FA$4:$FA$53,(INT(21/$ES$17)+1)),"")</f>
        <v/>
      </c>
      <c r="EW35">
        <f>IF(MOD(21,$ES$17)=$ES$17-1,0,INDEX($EU$4:$EU$53,(INT(21/$ES$17)+1)))</f>
        <v/>
      </c>
      <c r="EX35">
        <f>IFERROR(IF(AND($EZ$19&gt;=$ES$14,$EZ$19&lt;=$ES$15),10+0.5+100*($EZ$19-$ES$14)/($ES$15-$ES$14),NA()),NA())</f>
        <v/>
      </c>
      <c r="EY35">
        <f>IF(ISNA($EX$35),NA(),MAX($EW$4:$EW$123))</f>
        <v/>
      </c>
      <c r="FA35">
        <f>IF($ET$35="","",IFERROR(IF(ABS($ET$35)&gt;=1000000,ROUND($ET$35/1000000,MAX(0,1-INT(LOG10($ES$27/1000000))))&amp;"M",IF(ABS($ET$35)&gt;=1000,ROUND($ET$35/1000,MAX(0,1-INT(LOG10($ES$27/1000))))&amp;"k",TEXT($ET$35,"0.00"))),TEXT($ET$35,"0.00")))</f>
        <v/>
      </c>
    </row>
    <row r="36">
      <c r="B36" t="n">
        <v>598</v>
      </c>
      <c r="C36" t="n">
        <v>598.75</v>
      </c>
      <c r="D36" t="n">
        <v>32</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71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66</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c r="AO36" t="n">
        <v>128000</v>
      </c>
      <c r="AP36" t="n">
        <v>130000</v>
      </c>
      <c r="AQ36" t="n">
        <v>132</v>
      </c>
      <c r="AT36">
        <f>IF(33&lt;=$AS$13,$AS$14+(33-1)*$AS$16,"")</f>
        <v/>
      </c>
      <c r="AU36">
        <f>IF(33&gt;$AS$13,"",SUMIFS($AQ$4:$AQ$203,$AP$4:$AP$203,"&gt;="&amp;$AT$36,$AP$4:$AP$203,IF(33=$AS$13,"&lt;=","&lt;")&amp;($AT$36+$AS$16)))</f>
        <v/>
      </c>
      <c r="AV36">
        <f>IF(AND(MOD(22,$AS$17)=0,MOD((INT(22/$AS$17)+1)-1,$AS$13/5)=0),INDEX($BA$4:$BA$53,(INT(22/$AS$17)+1)),"")</f>
        <v/>
      </c>
      <c r="AW36">
        <f>IF(MOD(22,$AS$17)=$AS$17-1,0,INDEX($AU$4:$AU$53,(INT(22/$AS$17)+1)))</f>
        <v/>
      </c>
      <c r="AX36">
        <f>IFERROR(IF(AND($AZ$20&gt;=$AS$14,$AZ$20&lt;=$AS$15),10+0.5+100*($AZ$20-$AS$14)/($AS$15-$AS$14),NA()),NA())</f>
        <v/>
      </c>
      <c r="AY36">
        <f>IF(ISNA($AX$36),NA(),0)</f>
        <v/>
      </c>
      <c r="BA36">
        <f>IF($AT$36="","",IFERROR(IF(ABS($AT$36)&gt;=1000000,ROUND($AT$36/1000000,MAX(0,1-INT(LOG10($AS$27/1000000))))&amp;"M",IF(ABS($AT$36)&gt;=1000,ROUND($AT$36/1000,MAX(0,1-INT(LOG10($AS$27/1000))))&amp;"k",TEXT($AT$36,"#,##0"))),TEXT($AT$36,"#,##0")))</f>
        <v/>
      </c>
      <c r="BB36" t="n">
        <v>224000</v>
      </c>
      <c r="BC36" t="n">
        <v>227500</v>
      </c>
      <c r="BD36" t="n">
        <v>119</v>
      </c>
      <c r="BG36">
        <f>IF(33&lt;=$BF$13,$BF$14+(33-1)*$BF$16,"")</f>
        <v/>
      </c>
      <c r="BH36">
        <f>IF(33&gt;$BF$13,"",SUMIFS($BD$4:$BD$203,$BC$4:$BC$203,"&gt;="&amp;$BG$36,$BC$4:$BC$203,IF(33=$BF$13,"&lt;=","&lt;")&amp;($BG$36+$BF$16)))</f>
        <v/>
      </c>
      <c r="BI36">
        <f>IF(AND(MOD(22,$BF$17)=0,MOD((INT(22/$BF$17)+1)-1,$BF$13/5)=0),INDEX($BN$4:$BN$53,(INT(22/$BF$17)+1)),"")</f>
        <v/>
      </c>
      <c r="BJ36">
        <f>IF(MOD(22,$BF$17)=$BF$17-1,0,INDEX($BH$4:$BH$53,(INT(22/$BF$17)+1)))</f>
        <v/>
      </c>
      <c r="BK36">
        <f>IFERROR(IF(AND($BM$20&gt;=$BF$14,$BM$20&lt;=$BF$15),10+0.5+100*($BM$20-$BF$14)/($BF$15-$BF$14),NA()),NA())</f>
        <v/>
      </c>
      <c r="BL36">
        <f>IF(ISNA($BK$36),NA(),0)</f>
        <v/>
      </c>
      <c r="BN36">
        <f>IF($BG$36="","",IFERROR(IF(ABS($BG$36)&gt;=1000000,ROUND($BG$36/1000000,MAX(0,1-INT(LOG10($BF$27/1000000))))&amp;"M",IF(ABS($BG$36)&gt;=1000,ROUND($BG$36/1000,MAX(0,1-INT(LOG10($BF$27/1000))))&amp;"k",TEXT($BG$36,"#,##0"))),TEXT($BG$36,"#,##0")))</f>
        <v/>
      </c>
      <c r="BO36" t="n">
        <v>0.192</v>
      </c>
      <c r="BP36" t="n">
        <v>0.195</v>
      </c>
      <c r="BQ36" t="n">
        <v>47</v>
      </c>
      <c r="BT36">
        <f>IF(33&lt;=$BS$13,$BS$14+(33-1)*$BS$16,"")</f>
        <v/>
      </c>
      <c r="BU36">
        <f>IF(33&gt;$BS$13,"",SUMIFS($BQ$4:$BQ$203,$BP$4:$BP$203,"&gt;="&amp;$BT$36,$BP$4:$BP$203,IF(33=$BS$13,"&lt;=","&lt;")&amp;($BT$36+$BS$16)))</f>
        <v/>
      </c>
      <c r="BV36">
        <f>IF(AND(MOD(22,$BS$17)=0,MOD((INT(22/$BS$17)+1)-1,$BS$13/5)=0),INDEX($CA$4:$CA$53,(INT(22/$BS$17)+1)),"")</f>
        <v/>
      </c>
      <c r="BW36">
        <f>IF(MOD(22,$BS$17)=$BS$17-1,0,INDEX($BU$4:$BU$53,(INT(22/$BS$17)+1)))</f>
        <v/>
      </c>
      <c r="BX36">
        <f>IFERROR(IF(AND($BZ$20&gt;=$BS$14,$BZ$20&lt;=$BS$15),10+0.5+100*($BZ$20-$BS$14)/($BS$15-$BS$14),NA()),NA())</f>
        <v/>
      </c>
      <c r="BY36">
        <f>IF(ISNA($BX$36),NA(),0)</f>
        <v/>
      </c>
      <c r="CA36">
        <f>IF($BT$36="","",IFERROR(IF(ABS($BT$36)&gt;=1000000,ROUND($BT$36/1000000,MAX(0,1-INT(LOG10($BS$27/1000000))))&amp;"M",IF(ABS($BT$36)&gt;=1000,ROUND($BT$36/1000,MAX(0,1-INT(LOG10($BS$27/1000))))&amp;"k",TEXT($BT$36,"0.00"))),TEXT($BT$36,"0.00")))</f>
        <v/>
      </c>
      <c r="CB36" t="n">
        <v>4.8</v>
      </c>
      <c r="CC36" t="n">
        <v>4.875</v>
      </c>
      <c r="CD36" t="n">
        <v>186</v>
      </c>
      <c r="CG36">
        <f>IF(33&lt;=$CF$13,$CF$14+(33-1)*$CF$16,"")</f>
        <v/>
      </c>
      <c r="CH36">
        <f>IF(33&gt;$CF$13,"",SUMIFS($CD$4:$CD$203,$CC$4:$CC$203,"&gt;="&amp;$CG$36,$CC$4:$CC$203,IF(33=$CF$13,"&lt;=","&lt;")&amp;($CG$36+$CF$16)))</f>
        <v/>
      </c>
      <c r="CI36">
        <f>IF(AND(MOD(22,$CF$17)=0,MOD((INT(22/$CF$17)+1)-1,$CF$13/5)=0),INDEX($CN$4:$CN$53,(INT(22/$CF$17)+1)),"")</f>
        <v/>
      </c>
      <c r="CJ36">
        <f>IF(MOD(22,$CF$17)=$CF$17-1,0,INDEX($CH$4:$CH$53,(INT(22/$CF$17)+1)))</f>
        <v/>
      </c>
      <c r="CK36">
        <f>IFERROR(IF(AND($CM$20&gt;=$CF$14,$CM$20&lt;=$CF$15),10+0.5+100*($CM$20-$CF$14)/($CF$15-$CF$14),NA()),NA())</f>
        <v/>
      </c>
      <c r="CL36">
        <f>IF(ISNA($CK$36),NA(),0)</f>
        <v/>
      </c>
      <c r="CN36">
        <f>IF($CG$36="","",IFERROR(IF(ABS($CG$36)&gt;=1000000,ROUND($CG$36/1000000,MAX(0,1-INT(LOG10($CF$27/1000000))))&amp;"M",IF(ABS($CG$36)&gt;=1000,ROUND($CG$36/1000,MAX(0,1-INT(LOG10($CF$27/1000))))&amp;"k",TEXT($CG$36,"#,##0.0"))),TEXT($CG$36,"#,##0.0")))</f>
        <v/>
      </c>
      <c r="CO36" t="n">
        <v>22.8</v>
      </c>
      <c r="CP36" t="n">
        <v>23</v>
      </c>
      <c r="CQ36" t="n">
        <v>26</v>
      </c>
      <c r="CT36">
        <f>IF(33&lt;=$CS$13,$CS$14+(33-1)*$CS$16,"")</f>
        <v/>
      </c>
      <c r="CU36">
        <f>IF(33&gt;$CS$13,"",SUMIFS($CQ$4:$CQ$203,$CP$4:$CP$203,"&gt;="&amp;$CT$36,$CP$4:$CP$203,IF(33=$CS$13,"&lt;=","&lt;")&amp;($CT$36+$CS$16)))</f>
        <v/>
      </c>
      <c r="CV36">
        <f>IF(AND(MOD(22,$CS$17)=0,MOD((INT(22/$CS$17)+1)-1,$CS$13/5)=0),INDEX($DA$4:$DA$53,(INT(22/$CS$17)+1)),"")</f>
        <v/>
      </c>
      <c r="CW36">
        <f>IF(MOD(22,$CS$17)=$CS$17-1,0,INDEX($CU$4:$CU$53,(INT(22/$CS$17)+1)))</f>
        <v/>
      </c>
      <c r="CX36">
        <f>IFERROR(IF(AND($CZ$20&gt;=$CS$14,$CZ$20&lt;=$CS$15),10+0.5+100*($CZ$20-$CS$14)/($CS$15-$CS$14),NA()),NA())</f>
        <v/>
      </c>
      <c r="CY36">
        <f>IF(ISNA($CX$36),NA(),0)</f>
        <v/>
      </c>
      <c r="DA36">
        <f>IF($CT$36="","",IFERROR(IF(ABS($CT$36)&gt;=1000000,ROUND($CT$36/1000000,MAX(0,1-INT(LOG10($CS$27/1000000))))&amp;"M",IF(ABS($CT$36)&gt;=1000,ROUND($CT$36/1000,MAX(0,1-INT(LOG10($CS$27/1000))))&amp;"k",TEXT($CT$36,"#,##0"))),TEXT($CT$36,"#,##0")))</f>
        <v/>
      </c>
      <c r="DB36" t="n">
        <v>21.2</v>
      </c>
      <c r="DC36" t="n">
        <v>21.375</v>
      </c>
      <c r="DD36" t="n">
        <v>26</v>
      </c>
      <c r="DG36">
        <f>IF(33&lt;=$DF$13,$DF$14+(33-1)*$DF$16,"")</f>
        <v/>
      </c>
      <c r="DH36">
        <f>IF(33&gt;$DF$13,"",SUMIFS($DD$4:$DD$203,$DC$4:$DC$203,"&gt;="&amp;$DG$36,$DC$4:$DC$203,IF(33=$DF$13,"&lt;=","&lt;")&amp;($DG$36+$DF$16)))</f>
        <v/>
      </c>
      <c r="DI36">
        <f>IF(AND(MOD(22,$DF$17)=0,MOD((INT(22/$DF$17)+1)-1,$DF$13/5)=0),INDEX($DN$4:$DN$53,(INT(22/$DF$17)+1)),"")</f>
        <v/>
      </c>
      <c r="DJ36">
        <f>IF(MOD(22,$DF$17)=$DF$17-1,0,INDEX($DH$4:$DH$53,(INT(22/$DF$17)+1)))</f>
        <v/>
      </c>
      <c r="DK36">
        <f>IFERROR(IF(AND($DM$20&gt;=$DF$14,$DM$20&lt;=$DF$15),10+0.5+100*($DM$20-$DF$14)/($DF$15-$DF$14),NA()),NA())</f>
        <v/>
      </c>
      <c r="DL36">
        <f>IF(ISNA($DK$36),NA(),0)</f>
        <v/>
      </c>
      <c r="DN36">
        <f>IF($DG$36="","",IFERROR(IF(ABS($DG$36)&gt;=1000000,ROUND($DG$36/1000000,MAX(0,1-INT(LOG10($DF$27/1000000))))&amp;"M",IF(ABS($DG$36)&gt;=1000,ROUND($DG$36/1000,MAX(0,1-INT(LOG10($DF$27/1000))))&amp;"k",TEXT($DG$36,"#,##0.0"))),TEXT($DG$36,"#,##0.0")))</f>
        <v/>
      </c>
      <c r="DO36" t="n">
        <v>8.300000000000001</v>
      </c>
      <c r="DP36" t="n">
        <v>8.3125</v>
      </c>
      <c r="DQ36" t="n">
        <v>18</v>
      </c>
      <c r="DT36">
        <f>IF(33&lt;=$DS$13,$DS$14+(33-1)*$DS$16,"")</f>
        <v/>
      </c>
      <c r="DU36">
        <f>IF(33&gt;$DS$13,"",SUMIFS($DQ$4:$DQ$203,$DP$4:$DP$203,"&gt;="&amp;$DT$36,$DP$4:$DP$203,IF(33=$DS$13,"&lt;=","&lt;")&amp;($DT$36+$DS$16)))</f>
        <v/>
      </c>
      <c r="DV36">
        <f>IF(AND(MOD(22,$DS$17)=0,MOD((INT(22/$DS$17)+1)-1,$DS$13/5)=0),INDEX($EA$4:$EA$53,(INT(22/$DS$17)+1)),"")</f>
        <v/>
      </c>
      <c r="DW36">
        <f>IF(MOD(22,$DS$17)=$DS$17-1,0,INDEX($DU$4:$DU$53,(INT(22/$DS$17)+1)))</f>
        <v/>
      </c>
      <c r="DX36">
        <f>IFERROR(IF(AND($DZ$20&gt;=$DS$14,$DZ$20&lt;=$DS$15),10+0.5+100*($DZ$20-$DS$14)/($DS$15-$DS$14),NA()),NA())</f>
        <v/>
      </c>
      <c r="DY36">
        <f>IF(ISNA($DX$36),NA(),0)</f>
        <v/>
      </c>
      <c r="EA36">
        <f>IF($DT$36="","",IFERROR(IF(ABS($DT$36)&gt;=1000000,ROUND($DT$36/1000000,MAX(0,1-INT(LOG10($DS$27/1000000))))&amp;"M",IF(ABS($DT$36)&gt;=1000,ROUND($DT$36/1000,MAX(0,1-INT(LOG10($DS$27/1000))))&amp;"k",TEXT($DT$36,"#,##0.0"))),TEXT($DT$36,"#,##0.0")))</f>
        <v/>
      </c>
      <c r="EB36" t="n">
        <v>16</v>
      </c>
      <c r="EC36" t="n">
        <v>16.25</v>
      </c>
      <c r="ED36" t="n">
        <v>56</v>
      </c>
      <c r="EG36">
        <f>IF(33&lt;=$EF$13,$EF$14+(33-1)*$EF$16,"")</f>
        <v/>
      </c>
      <c r="EH36">
        <f>IF(33&gt;$EF$13,"",SUMIFS($ED$4:$ED$203,$EC$4:$EC$203,"&gt;="&amp;$EG$36,$EC$4:$EC$203,IF(33=$EF$13,"&lt;=","&lt;")&amp;($EG$36+$EF$16)))</f>
        <v/>
      </c>
      <c r="EI36">
        <f>IF(AND(MOD(22,$EF$17)=0,MOD((INT(22/$EF$17)+1)-1,$EF$13/5)=0),INDEX($EN$4:$EN$53,(INT(22/$EF$17)+1)),"")</f>
        <v/>
      </c>
      <c r="EJ36">
        <f>IF(MOD(22,$EF$17)=$EF$17-1,0,INDEX($EH$4:$EH$53,(INT(22/$EF$17)+1)))</f>
        <v/>
      </c>
      <c r="EK36">
        <f>IFERROR(IF(AND($EM$20&gt;=$EF$14,$EM$20&lt;=$EF$15),10+0.5+100*($EM$20-$EF$14)/($EF$15-$EF$14),NA()),NA())</f>
        <v/>
      </c>
      <c r="EL36">
        <f>IF(ISNA($EK$36),NA(),0)</f>
        <v/>
      </c>
      <c r="EN36">
        <f>IF($EG$36="","",IFERROR(IF(ABS($EG$36)&gt;=1000000,ROUND($EG$36/1000000,MAX(0,1-INT(LOG10($EF$27/1000000))))&amp;"M",IF(ABS($EG$36)&gt;=1000,ROUND($EG$36/1000,MAX(0,1-INT(LOG10($EF$27/1000))))&amp;"k",TEXT($EG$36,"#,##0"))),TEXT($EG$36,"#,##0")))</f>
        <v/>
      </c>
      <c r="EO36" t="n">
        <v>0.5600000000000001</v>
      </c>
      <c r="EP36" t="n">
        <v>0.5687500000000001</v>
      </c>
      <c r="EQ36" t="n">
        <v>198</v>
      </c>
      <c r="ET36">
        <f>IF(33&lt;=$ES$13,$ES$14+(33-1)*$ES$16,"")</f>
        <v/>
      </c>
      <c r="EU36">
        <f>IF(33&gt;$ES$13,"",SUMIFS($EQ$4:$EQ$203,$EP$4:$EP$203,"&gt;="&amp;$ET$36,$EP$4:$EP$203,IF(33=$ES$13,"&lt;=","&lt;")&amp;($ET$36+$ES$16)))</f>
        <v/>
      </c>
      <c r="EV36">
        <f>IF(AND(MOD(22,$ES$17)=0,MOD((INT(22/$ES$17)+1)-1,$ES$13/5)=0),INDEX($FA$4:$FA$53,(INT(22/$ES$17)+1)),"")</f>
        <v/>
      </c>
      <c r="EW36">
        <f>IF(MOD(22,$ES$17)=$ES$17-1,0,INDEX($EU$4:$EU$53,(INT(22/$ES$17)+1)))</f>
        <v/>
      </c>
      <c r="EX36">
        <f>IFERROR(IF(AND($EZ$20&gt;=$ES$14,$EZ$20&lt;=$ES$15),10+0.5+100*($EZ$20-$ES$14)/($ES$15-$ES$14),NA()),NA())</f>
        <v/>
      </c>
      <c r="EY36">
        <f>IF(ISNA($EX$36),NA(),0)</f>
        <v/>
      </c>
      <c r="FA36">
        <f>IF($ET$36="","",IFERROR(IF(ABS($ET$36)&gt;=1000000,ROUND($ET$36/1000000,MAX(0,1-INT(LOG10($ES$27/1000000))))&amp;"M",IF(ABS($ET$36)&gt;=1000,ROUND($ET$36/1000,MAX(0,1-INT(LOG10($ES$27/1000))))&amp;"k",TEXT($ET$36,"0.00"))),TEXT($ET$36,"0.00")))</f>
        <v/>
      </c>
    </row>
    <row r="37">
      <c r="B37" t="n">
        <v>599.5</v>
      </c>
      <c r="C37" t="n">
        <v>600.25</v>
      </c>
      <c r="D37" t="n">
        <v>22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79</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79</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c r="AO37" t="n">
        <v>132000</v>
      </c>
      <c r="AP37" t="n">
        <v>134000</v>
      </c>
      <c r="AQ37" t="n">
        <v>138</v>
      </c>
      <c r="AT37">
        <f>IF(34&lt;=$AS$13,$AS$14+(34-1)*$AS$16,"")</f>
        <v/>
      </c>
      <c r="AU37">
        <f>IF(34&gt;$AS$13,"",SUMIFS($AQ$4:$AQ$203,$AP$4:$AP$203,"&gt;="&amp;$AT$37,$AP$4:$AP$203,IF(34=$AS$13,"&lt;=","&lt;")&amp;($AT$37+$AS$16)))</f>
        <v/>
      </c>
      <c r="AV37">
        <f>IF(AND(MOD(23,$AS$17)=0,MOD((INT(23/$AS$17)+1)-1,$AS$13/5)=0),INDEX($BA$4:$BA$53,(INT(23/$AS$17)+1)),"")</f>
        <v/>
      </c>
      <c r="AW37">
        <f>IF(MOD(23,$AS$17)=$AS$17-1,0,INDEX($AU$4:$AU$53,(INT(23/$AS$17)+1)))</f>
        <v/>
      </c>
      <c r="AX37">
        <f>IFERROR(IF(AND($AZ$20&gt;=$AS$14,$AZ$20&lt;=$AS$15),10+0.5+100*($AZ$20-$AS$14)/($AS$15-$AS$14),NA()),NA())</f>
        <v/>
      </c>
      <c r="AY37">
        <f>IF(ISNA($AX$37),NA(),MAX($AW$4:$AW$123))</f>
        <v/>
      </c>
      <c r="BA37">
        <f>IF($AT$37="","",IFERROR(IF(ABS($AT$37)&gt;=1000000,ROUND($AT$37/1000000,MAX(0,1-INT(LOG10($AS$27/1000000))))&amp;"M",IF(ABS($AT$37)&gt;=1000,ROUND($AT$37/1000,MAX(0,1-INT(LOG10($AS$27/1000))))&amp;"k",TEXT($AT$37,"#,##0"))),TEXT($AT$37,"#,##0")))</f>
        <v/>
      </c>
      <c r="BB37" t="n">
        <v>231000</v>
      </c>
      <c r="BC37" t="n">
        <v>234500</v>
      </c>
      <c r="BD37" t="n">
        <v>110</v>
      </c>
      <c r="BG37">
        <f>IF(34&lt;=$BF$13,$BF$14+(34-1)*$BF$16,"")</f>
        <v/>
      </c>
      <c r="BH37">
        <f>IF(34&gt;$BF$13,"",SUMIFS($BD$4:$BD$203,$BC$4:$BC$203,"&gt;="&amp;$BG$37,$BC$4:$BC$203,IF(34=$BF$13,"&lt;=","&lt;")&amp;($BG$37+$BF$16)))</f>
        <v/>
      </c>
      <c r="BI37">
        <f>IF(AND(MOD(23,$BF$17)=0,MOD((INT(23/$BF$17)+1)-1,$BF$13/5)=0),INDEX($BN$4:$BN$53,(INT(23/$BF$17)+1)),"")</f>
        <v/>
      </c>
      <c r="BJ37">
        <f>IF(MOD(23,$BF$17)=$BF$17-1,0,INDEX($BH$4:$BH$53,(INT(23/$BF$17)+1)))</f>
        <v/>
      </c>
      <c r="BK37">
        <f>IFERROR(IF(AND($BM$20&gt;=$BF$14,$BM$20&lt;=$BF$15),10+0.5+100*($BM$20-$BF$14)/($BF$15-$BF$14),NA()),NA())</f>
        <v/>
      </c>
      <c r="BL37">
        <f>IF(ISNA($BK$37),NA(),MAX($BJ$4:$BJ$123))</f>
        <v/>
      </c>
      <c r="BN37">
        <f>IF($BG$37="","",IFERROR(IF(ABS($BG$37)&gt;=1000000,ROUND($BG$37/1000000,MAX(0,1-INT(LOG10($BF$27/1000000))))&amp;"M",IF(ABS($BG$37)&gt;=1000,ROUND($BG$37/1000,MAX(0,1-INT(LOG10($BF$27/1000))))&amp;"k",TEXT($BG$37,"#,##0"))),TEXT($BG$37,"#,##0")))</f>
        <v/>
      </c>
      <c r="BO37" t="n">
        <v>0.198</v>
      </c>
      <c r="BP37" t="n">
        <v>0.201</v>
      </c>
      <c r="BQ37" t="n">
        <v>57</v>
      </c>
      <c r="BT37">
        <f>IF(34&lt;=$BS$13,$BS$14+(34-1)*$BS$16,"")</f>
        <v/>
      </c>
      <c r="BU37">
        <f>IF(34&gt;$BS$13,"",SUMIFS($BQ$4:$BQ$203,$BP$4:$BP$203,"&gt;="&amp;$BT$37,$BP$4:$BP$203,IF(34=$BS$13,"&lt;=","&lt;")&amp;($BT$37+$BS$16)))</f>
        <v/>
      </c>
      <c r="BV37">
        <f>IF(AND(MOD(23,$BS$17)=0,MOD((INT(23/$BS$17)+1)-1,$BS$13/5)=0),INDEX($CA$4:$CA$53,(INT(23/$BS$17)+1)),"")</f>
        <v/>
      </c>
      <c r="BW37">
        <f>IF(MOD(23,$BS$17)=$BS$17-1,0,INDEX($BU$4:$BU$53,(INT(23/$BS$17)+1)))</f>
        <v/>
      </c>
      <c r="BX37">
        <f>IFERROR(IF(AND($BZ$20&gt;=$BS$14,$BZ$20&lt;=$BS$15),10+0.5+100*($BZ$20-$BS$14)/($BS$15-$BS$14),NA()),NA())</f>
        <v/>
      </c>
      <c r="BY37">
        <f>IF(ISNA($BX$37),NA(),MAX($BW$4:$BW$123))</f>
        <v/>
      </c>
      <c r="CA37">
        <f>IF($BT$37="","",IFERROR(IF(ABS($BT$37)&gt;=1000000,ROUND($BT$37/1000000,MAX(0,1-INT(LOG10($BS$27/1000000))))&amp;"M",IF(ABS($BT$37)&gt;=1000,ROUND($BT$37/1000,MAX(0,1-INT(LOG10($BS$27/1000))))&amp;"k",TEXT($BT$37,"0.00"))),TEXT($BT$37,"0.00")))</f>
        <v/>
      </c>
      <c r="CB37" t="n">
        <v>4.95</v>
      </c>
      <c r="CC37" t="n">
        <v>5.024999999999999</v>
      </c>
      <c r="CD37" t="n">
        <v>97</v>
      </c>
      <c r="CG37">
        <f>IF(34&lt;=$CF$13,$CF$14+(34-1)*$CF$16,"")</f>
        <v/>
      </c>
      <c r="CH37">
        <f>IF(34&gt;$CF$13,"",SUMIFS($CD$4:$CD$203,$CC$4:$CC$203,"&gt;="&amp;$CG$37,$CC$4:$CC$203,IF(34=$CF$13,"&lt;=","&lt;")&amp;($CG$37+$CF$16)))</f>
        <v/>
      </c>
      <c r="CI37">
        <f>IF(AND(MOD(23,$CF$17)=0,MOD((INT(23/$CF$17)+1)-1,$CF$13/5)=0),INDEX($CN$4:$CN$53,(INT(23/$CF$17)+1)),"")</f>
        <v/>
      </c>
      <c r="CJ37">
        <f>IF(MOD(23,$CF$17)=$CF$17-1,0,INDEX($CH$4:$CH$53,(INT(23/$CF$17)+1)))</f>
        <v/>
      </c>
      <c r="CK37">
        <f>IFERROR(IF(AND($CM$20&gt;=$CF$14,$CM$20&lt;=$CF$15),10+0.5+100*($CM$20-$CF$14)/($CF$15-$CF$14),NA()),NA())</f>
        <v/>
      </c>
      <c r="CL37">
        <f>IF(ISNA($CK$37),NA(),MAX($CJ$4:$CJ$123))</f>
        <v/>
      </c>
      <c r="CN37">
        <f>IF($CG$37="","",IFERROR(IF(ABS($CG$37)&gt;=1000000,ROUND($CG$37/1000000,MAX(0,1-INT(LOG10($CF$27/1000000))))&amp;"M",IF(ABS($CG$37)&gt;=1000,ROUND($CG$37/1000,MAX(0,1-INT(LOG10($CF$27/1000))))&amp;"k",TEXT($CG$37,"#,##0.0"))),TEXT($CG$37,"#,##0.0")))</f>
        <v/>
      </c>
      <c r="CO37" t="n">
        <v>23.2</v>
      </c>
      <c r="CP37" t="n">
        <v>23.4</v>
      </c>
      <c r="CQ37" t="n">
        <v>26</v>
      </c>
      <c r="CT37">
        <f>IF(34&lt;=$CS$13,$CS$14+(34-1)*$CS$16,"")</f>
        <v/>
      </c>
      <c r="CU37">
        <f>IF(34&gt;$CS$13,"",SUMIFS($CQ$4:$CQ$203,$CP$4:$CP$203,"&gt;="&amp;$CT$37,$CP$4:$CP$203,IF(34=$CS$13,"&lt;=","&lt;")&amp;($CT$37+$CS$16)))</f>
        <v/>
      </c>
      <c r="CV37">
        <f>IF(AND(MOD(23,$CS$17)=0,MOD((INT(23/$CS$17)+1)-1,$CS$13/5)=0),INDEX($DA$4:$DA$53,(INT(23/$CS$17)+1)),"")</f>
        <v/>
      </c>
      <c r="CW37">
        <f>IF(MOD(23,$CS$17)=$CS$17-1,0,INDEX($CU$4:$CU$53,(INT(23/$CS$17)+1)))</f>
        <v/>
      </c>
      <c r="CX37">
        <f>IFERROR(IF(AND($CZ$20&gt;=$CS$14,$CZ$20&lt;=$CS$15),10+0.5+100*($CZ$20-$CS$14)/($CS$15-$CS$14),NA()),NA())</f>
        <v/>
      </c>
      <c r="CY37">
        <f>IF(ISNA($CX$37),NA(),MAX($CW$4:$CW$123))</f>
        <v/>
      </c>
      <c r="DA37">
        <f>IF($CT$37="","",IFERROR(IF(ABS($CT$37)&gt;=1000000,ROUND($CT$37/1000000,MAX(0,1-INT(LOG10($CS$27/1000000))))&amp;"M",IF(ABS($CT$37)&gt;=1000,ROUND($CT$37/1000,MAX(0,1-INT(LOG10($CS$27/1000))))&amp;"k",TEXT($CT$37,"#,##0"))),TEXT($CT$37,"#,##0")))</f>
        <v/>
      </c>
      <c r="DB37" t="n">
        <v>21.55</v>
      </c>
      <c r="DC37" t="n">
        <v>21.725</v>
      </c>
      <c r="DD37" t="n">
        <v>28</v>
      </c>
      <c r="DG37">
        <f>IF(34&lt;=$DF$13,$DF$14+(34-1)*$DF$16,"")</f>
        <v/>
      </c>
      <c r="DH37">
        <f>IF(34&gt;$DF$13,"",SUMIFS($DD$4:$DD$203,$DC$4:$DC$203,"&gt;="&amp;$DG$37,$DC$4:$DC$203,IF(34=$DF$13,"&lt;=","&lt;")&amp;($DG$37+$DF$16)))</f>
        <v/>
      </c>
      <c r="DI37">
        <f>IF(AND(MOD(23,$DF$17)=0,MOD((INT(23/$DF$17)+1)-1,$DF$13/5)=0),INDEX($DN$4:$DN$53,(INT(23/$DF$17)+1)),"")</f>
        <v/>
      </c>
      <c r="DJ37">
        <f>IF(MOD(23,$DF$17)=$DF$17-1,0,INDEX($DH$4:$DH$53,(INT(23/$DF$17)+1)))</f>
        <v/>
      </c>
      <c r="DK37">
        <f>IFERROR(IF(AND($DM$20&gt;=$DF$14,$DM$20&lt;=$DF$15),10+0.5+100*($DM$20-$DF$14)/($DF$15-$DF$14),NA()),NA())</f>
        <v/>
      </c>
      <c r="DL37">
        <f>IF(ISNA($DK$37),NA(),MAX($DJ$4:$DJ$123))</f>
        <v/>
      </c>
      <c r="DN37">
        <f>IF($DG$37="","",IFERROR(IF(ABS($DG$37)&gt;=1000000,ROUND($DG$37/1000000,MAX(0,1-INT(LOG10($DF$27/1000000))))&amp;"M",IF(ABS($DG$37)&gt;=1000,ROUND($DG$37/1000,MAX(0,1-INT(LOG10($DF$27/1000))))&amp;"k",TEXT($DG$37,"#,##0.0"))),TEXT($DG$37,"#,##0.0")))</f>
        <v/>
      </c>
      <c r="DO37" t="n">
        <v>8.324999999999999</v>
      </c>
      <c r="DP37" t="n">
        <v>8.3375</v>
      </c>
      <c r="DQ37" t="n">
        <v>29</v>
      </c>
      <c r="DT37">
        <f>IF(34&lt;=$DS$13,$DS$14+(34-1)*$DS$16,"")</f>
        <v/>
      </c>
      <c r="DU37">
        <f>IF(34&gt;$DS$13,"",SUMIFS($DQ$4:$DQ$203,$DP$4:$DP$203,"&gt;="&amp;$DT$37,$DP$4:$DP$203,IF(34=$DS$13,"&lt;=","&lt;")&amp;($DT$37+$DS$16)))</f>
        <v/>
      </c>
      <c r="DV37">
        <f>IF(AND(MOD(23,$DS$17)=0,MOD((INT(23/$DS$17)+1)-1,$DS$13/5)=0),INDEX($EA$4:$EA$53,(INT(23/$DS$17)+1)),"")</f>
        <v/>
      </c>
      <c r="DW37">
        <f>IF(MOD(23,$DS$17)=$DS$17-1,0,INDEX($DU$4:$DU$53,(INT(23/$DS$17)+1)))</f>
        <v/>
      </c>
      <c r="DX37">
        <f>IFERROR(IF(AND($DZ$20&gt;=$DS$14,$DZ$20&lt;=$DS$15),10+0.5+100*($DZ$20-$DS$14)/($DS$15-$DS$14),NA()),NA())</f>
        <v/>
      </c>
      <c r="DY37">
        <f>IF(ISNA($DX$37),NA(),MAX($DW$4:$DW$123))</f>
        <v/>
      </c>
      <c r="EA37">
        <f>IF($DT$37="","",IFERROR(IF(ABS($DT$37)&gt;=1000000,ROUND($DT$37/1000000,MAX(0,1-INT(LOG10($DS$27/1000000))))&amp;"M",IF(ABS($DT$37)&gt;=1000,ROUND($DT$37/1000,MAX(0,1-INT(LOG10($DS$27/1000))))&amp;"k",TEXT($DT$37,"#,##0.0"))),TEXT($DT$37,"#,##0.0")))</f>
        <v/>
      </c>
      <c r="EB37" t="n">
        <v>16.5</v>
      </c>
      <c r="EC37" t="n">
        <v>16.75</v>
      </c>
      <c r="ED37" t="n">
        <v>61</v>
      </c>
      <c r="EG37">
        <f>IF(34&lt;=$EF$13,$EF$14+(34-1)*$EF$16,"")</f>
        <v/>
      </c>
      <c r="EH37">
        <f>IF(34&gt;$EF$13,"",SUMIFS($ED$4:$ED$203,$EC$4:$EC$203,"&gt;="&amp;$EG$37,$EC$4:$EC$203,IF(34=$EF$13,"&lt;=","&lt;")&amp;($EG$37+$EF$16)))</f>
        <v/>
      </c>
      <c r="EI37">
        <f>IF(AND(MOD(23,$EF$17)=0,MOD((INT(23/$EF$17)+1)-1,$EF$13/5)=0),INDEX($EN$4:$EN$53,(INT(23/$EF$17)+1)),"")</f>
        <v/>
      </c>
      <c r="EJ37">
        <f>IF(MOD(23,$EF$17)=$EF$17-1,0,INDEX($EH$4:$EH$53,(INT(23/$EF$17)+1)))</f>
        <v/>
      </c>
      <c r="EK37">
        <f>IFERROR(IF(AND($EM$20&gt;=$EF$14,$EM$20&lt;=$EF$15),10+0.5+100*($EM$20-$EF$14)/($EF$15-$EF$14),NA()),NA())</f>
        <v/>
      </c>
      <c r="EL37">
        <f>IF(ISNA($EK$37),NA(),MAX($EJ$4:$EJ$123))</f>
        <v/>
      </c>
      <c r="EN37">
        <f>IF($EG$37="","",IFERROR(IF(ABS($EG$37)&gt;=1000000,ROUND($EG$37/1000000,MAX(0,1-INT(LOG10($EF$27/1000000))))&amp;"M",IF(ABS($EG$37)&gt;=1000,ROUND($EG$37/1000,MAX(0,1-INT(LOG10($EF$27/1000))))&amp;"k",TEXT($EG$37,"#,##0"))),TEXT($EG$37,"#,##0")))</f>
        <v/>
      </c>
      <c r="EO37" t="n">
        <v>0.5775</v>
      </c>
      <c r="EP37" t="n">
        <v>0.58625</v>
      </c>
      <c r="EQ37" t="n">
        <v>157</v>
      </c>
      <c r="ET37">
        <f>IF(34&lt;=$ES$13,$ES$14+(34-1)*$ES$16,"")</f>
        <v/>
      </c>
      <c r="EU37">
        <f>IF(34&gt;$ES$13,"",SUMIFS($EQ$4:$EQ$203,$EP$4:$EP$203,"&gt;="&amp;$ET$37,$EP$4:$EP$203,IF(34=$ES$13,"&lt;=","&lt;")&amp;($ET$37+$ES$16)))</f>
        <v/>
      </c>
      <c r="EV37">
        <f>IF(AND(MOD(23,$ES$17)=0,MOD((INT(23/$ES$17)+1)-1,$ES$13/5)=0),INDEX($FA$4:$FA$53,(INT(23/$ES$17)+1)),"")</f>
        <v/>
      </c>
      <c r="EW37">
        <f>IF(MOD(23,$ES$17)=$ES$17-1,0,INDEX($EU$4:$EU$53,(INT(23/$ES$17)+1)))</f>
        <v/>
      </c>
      <c r="EX37">
        <f>IFERROR(IF(AND($EZ$20&gt;=$ES$14,$EZ$20&lt;=$ES$15),10+0.5+100*($EZ$20-$ES$14)/($ES$15-$ES$14),NA()),NA())</f>
        <v/>
      </c>
      <c r="EY37">
        <f>IF(ISNA($EX$37),NA(),MAX($EW$4:$EW$123))</f>
        <v/>
      </c>
      <c r="FA37">
        <f>IF($ET$37="","",IFERROR(IF(ABS($ET$37)&gt;=1000000,ROUND($ET$37/1000000,MAX(0,1-INT(LOG10($ES$27/1000000))))&amp;"M",IF(ABS($ET$37)&gt;=1000,ROUND($ET$37/1000,MAX(0,1-INT(LOG10($ES$27/1000))))&amp;"k",TEXT($ET$37,"0.00"))),TEXT($ET$37,"0.00")))</f>
        <v/>
      </c>
    </row>
    <row r="38">
      <c r="B38" t="n">
        <v>601</v>
      </c>
      <c r="C38" t="n">
        <v>601.75</v>
      </c>
      <c r="D38" t="n">
        <v>39</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67</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68</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c r="AO38" t="n">
        <v>136000</v>
      </c>
      <c r="AP38" t="n">
        <v>138000</v>
      </c>
      <c r="AQ38" t="n">
        <v>117</v>
      </c>
      <c r="AT38">
        <f>IF(35&lt;=$AS$13,$AS$14+(35-1)*$AS$16,"")</f>
        <v/>
      </c>
      <c r="AU38">
        <f>IF(35&gt;$AS$13,"",SUMIFS($AQ$4:$AQ$203,$AP$4:$AP$203,"&gt;="&amp;$AT$38,$AP$4:$AP$203,IF(35=$AS$13,"&lt;=","&lt;")&amp;($AT$38+$AS$16)))</f>
        <v/>
      </c>
      <c r="AV38">
        <f>IF(AND(MOD(24,$AS$17)=0,MOD((INT(24/$AS$17)+1)-1,$AS$13/5)=0),INDEX($BA$4:$BA$53,(INT(24/$AS$17)+1)),"")</f>
        <v/>
      </c>
      <c r="AW38">
        <f>IF(MOD(24,$AS$17)=$AS$17-1,0,INDEX($AU$4:$AU$53,(INT(24/$AS$17)+1)))</f>
        <v/>
      </c>
      <c r="AX38">
        <f>IFERROR(IF(AND($AZ$21&gt;=$AS$14,$AZ$21&lt;=$AS$15),10+0.5+100*($AZ$21-$AS$14)/($AS$15-$AS$14),NA()),NA())</f>
        <v/>
      </c>
      <c r="AY38">
        <f>IF(ISNA($AX$38),NA(),0)</f>
        <v/>
      </c>
      <c r="BA38">
        <f>IF($AT$38="","",IFERROR(IF(ABS($AT$38)&gt;=1000000,ROUND($AT$38/1000000,MAX(0,1-INT(LOG10($AS$27/1000000))))&amp;"M",IF(ABS($AT$38)&gt;=1000,ROUND($AT$38/1000,MAX(0,1-INT(LOG10($AS$27/1000))))&amp;"k",TEXT($AT$38,"#,##0"))),TEXT($AT$38,"#,##0")))</f>
        <v/>
      </c>
      <c r="BB38" t="n">
        <v>238000</v>
      </c>
      <c r="BC38" t="n">
        <v>241500</v>
      </c>
      <c r="BD38" t="n">
        <v>127</v>
      </c>
      <c r="BG38">
        <f>IF(35&lt;=$BF$13,$BF$14+(35-1)*$BF$16,"")</f>
        <v/>
      </c>
      <c r="BH38">
        <f>IF(35&gt;$BF$13,"",SUMIFS($BD$4:$BD$203,$BC$4:$BC$203,"&gt;="&amp;$BG$38,$BC$4:$BC$203,IF(35=$BF$13,"&lt;=","&lt;")&amp;($BG$38+$BF$16)))</f>
        <v/>
      </c>
      <c r="BI38">
        <f>IF(AND(MOD(24,$BF$17)=0,MOD((INT(24/$BF$17)+1)-1,$BF$13/5)=0),INDEX($BN$4:$BN$53,(INT(24/$BF$17)+1)),"")</f>
        <v/>
      </c>
      <c r="BJ38">
        <f>IF(MOD(24,$BF$17)=$BF$17-1,0,INDEX($BH$4:$BH$53,(INT(24/$BF$17)+1)))</f>
        <v/>
      </c>
      <c r="BK38">
        <f>IFERROR(IF(AND($BM$21&gt;=$BF$14,$BM$21&lt;=$BF$15),10+0.5+100*($BM$21-$BF$14)/($BF$15-$BF$14),NA()),NA())</f>
        <v/>
      </c>
      <c r="BL38">
        <f>IF(ISNA($BK$38),NA(),0)</f>
        <v/>
      </c>
      <c r="BN38">
        <f>IF($BG$38="","",IFERROR(IF(ABS($BG$38)&gt;=1000000,ROUND($BG$38/1000000,MAX(0,1-INT(LOG10($BF$27/1000000))))&amp;"M",IF(ABS($BG$38)&gt;=1000,ROUND($BG$38/1000,MAX(0,1-INT(LOG10($BF$27/1000))))&amp;"k",TEXT($BG$38,"#,##0"))),TEXT($BG$38,"#,##0")))</f>
        <v/>
      </c>
      <c r="BO38" t="n">
        <v>0.204</v>
      </c>
      <c r="BP38" t="n">
        <v>0.207</v>
      </c>
      <c r="BQ38" t="n">
        <v>52</v>
      </c>
      <c r="BT38">
        <f>IF(35&lt;=$BS$13,$BS$14+(35-1)*$BS$16,"")</f>
        <v/>
      </c>
      <c r="BU38">
        <f>IF(35&gt;$BS$13,"",SUMIFS($BQ$4:$BQ$203,$BP$4:$BP$203,"&gt;="&amp;$BT$38,$BP$4:$BP$203,IF(35=$BS$13,"&lt;=","&lt;")&amp;($BT$38+$BS$16)))</f>
        <v/>
      </c>
      <c r="BV38">
        <f>IF(AND(MOD(24,$BS$17)=0,MOD((INT(24/$BS$17)+1)-1,$BS$13/5)=0),INDEX($CA$4:$CA$53,(INT(24/$BS$17)+1)),"")</f>
        <v/>
      </c>
      <c r="BW38">
        <f>IF(MOD(24,$BS$17)=$BS$17-1,0,INDEX($BU$4:$BU$53,(INT(24/$BS$17)+1)))</f>
        <v/>
      </c>
      <c r="BX38">
        <f>IFERROR(IF(AND($BZ$21&gt;=$BS$14,$BZ$21&lt;=$BS$15),10+0.5+100*($BZ$21-$BS$14)/($BS$15-$BS$14),NA()),NA())</f>
        <v/>
      </c>
      <c r="BY38">
        <f>IF(ISNA($BX$38),NA(),0)</f>
        <v/>
      </c>
      <c r="CA38">
        <f>IF($BT$38="","",IFERROR(IF(ABS($BT$38)&gt;=1000000,ROUND($BT$38/1000000,MAX(0,1-INT(LOG10($BS$27/1000000))))&amp;"M",IF(ABS($BT$38)&gt;=1000,ROUND($BT$38/1000,MAX(0,1-INT(LOG10($BS$27/1000))))&amp;"k",TEXT($BT$38,"0.00"))),TEXT($BT$38,"0.00")))</f>
        <v/>
      </c>
      <c r="CB38" t="n">
        <v>5.1</v>
      </c>
      <c r="CC38" t="n">
        <v>5.175</v>
      </c>
      <c r="CD38" t="n">
        <v>153</v>
      </c>
      <c r="CG38">
        <f>IF(35&lt;=$CF$13,$CF$14+(35-1)*$CF$16,"")</f>
        <v/>
      </c>
      <c r="CH38">
        <f>IF(35&gt;$CF$13,"",SUMIFS($CD$4:$CD$203,$CC$4:$CC$203,"&gt;="&amp;$CG$38,$CC$4:$CC$203,IF(35=$CF$13,"&lt;=","&lt;")&amp;($CG$38+$CF$16)))</f>
        <v/>
      </c>
      <c r="CI38">
        <f>IF(AND(MOD(24,$CF$17)=0,MOD((INT(24/$CF$17)+1)-1,$CF$13/5)=0),INDEX($CN$4:$CN$53,(INT(24/$CF$17)+1)),"")</f>
        <v/>
      </c>
      <c r="CJ38">
        <f>IF(MOD(24,$CF$17)=$CF$17-1,0,INDEX($CH$4:$CH$53,(INT(24/$CF$17)+1)))</f>
        <v/>
      </c>
      <c r="CK38">
        <f>IFERROR(IF(AND($CM$21&gt;=$CF$14,$CM$21&lt;=$CF$15),10+0.5+100*($CM$21-$CF$14)/($CF$15-$CF$14),NA()),NA())</f>
        <v/>
      </c>
      <c r="CL38">
        <f>IF(ISNA($CK$38),NA(),0)</f>
        <v/>
      </c>
      <c r="CN38">
        <f>IF($CG$38="","",IFERROR(IF(ABS($CG$38)&gt;=1000000,ROUND($CG$38/1000000,MAX(0,1-INT(LOG10($CF$27/1000000))))&amp;"M",IF(ABS($CG$38)&gt;=1000,ROUND($CG$38/1000,MAX(0,1-INT(LOG10($CF$27/1000))))&amp;"k",TEXT($CG$38,"#,##0.0"))),TEXT($CG$38,"#,##0.0")))</f>
        <v/>
      </c>
      <c r="CO38" t="n">
        <v>23.6</v>
      </c>
      <c r="CP38" t="n">
        <v>23.8</v>
      </c>
      <c r="CQ38" t="n">
        <v>22</v>
      </c>
      <c r="CT38">
        <f>IF(35&lt;=$CS$13,$CS$14+(35-1)*$CS$16,"")</f>
        <v/>
      </c>
      <c r="CU38">
        <f>IF(35&gt;$CS$13,"",SUMIFS($CQ$4:$CQ$203,$CP$4:$CP$203,"&gt;="&amp;$CT$38,$CP$4:$CP$203,IF(35=$CS$13,"&lt;=","&lt;")&amp;($CT$38+$CS$16)))</f>
        <v/>
      </c>
      <c r="CV38">
        <f>IF(AND(MOD(24,$CS$17)=0,MOD((INT(24/$CS$17)+1)-1,$CS$13/5)=0),INDEX($DA$4:$DA$53,(INT(24/$CS$17)+1)),"")</f>
        <v/>
      </c>
      <c r="CW38">
        <f>IF(MOD(24,$CS$17)=$CS$17-1,0,INDEX($CU$4:$CU$53,(INT(24/$CS$17)+1)))</f>
        <v/>
      </c>
      <c r="CX38">
        <f>IFERROR(IF(AND($CZ$21&gt;=$CS$14,$CZ$21&lt;=$CS$15),10+0.5+100*($CZ$21-$CS$14)/($CS$15-$CS$14),NA()),NA())</f>
        <v/>
      </c>
      <c r="CY38">
        <f>IF(ISNA($CX$38),NA(),0)</f>
        <v/>
      </c>
      <c r="DA38">
        <f>IF($CT$38="","",IFERROR(IF(ABS($CT$38)&gt;=1000000,ROUND($CT$38/1000000,MAX(0,1-INT(LOG10($CS$27/1000000))))&amp;"M",IF(ABS($CT$38)&gt;=1000,ROUND($CT$38/1000,MAX(0,1-INT(LOG10($CS$27/1000))))&amp;"k",TEXT($CT$38,"#,##0"))),TEXT($CT$38,"#,##0")))</f>
        <v/>
      </c>
      <c r="DB38" t="n">
        <v>21.9</v>
      </c>
      <c r="DC38" t="n">
        <v>22.075</v>
      </c>
      <c r="DD38" t="n">
        <v>26</v>
      </c>
      <c r="DG38">
        <f>IF(35&lt;=$DF$13,$DF$14+(35-1)*$DF$16,"")</f>
        <v/>
      </c>
      <c r="DH38">
        <f>IF(35&gt;$DF$13,"",SUMIFS($DD$4:$DD$203,$DC$4:$DC$203,"&gt;="&amp;$DG$38,$DC$4:$DC$203,IF(35=$DF$13,"&lt;=","&lt;")&amp;($DG$38+$DF$16)))</f>
        <v/>
      </c>
      <c r="DI38">
        <f>IF(AND(MOD(24,$DF$17)=0,MOD((INT(24/$DF$17)+1)-1,$DF$13/5)=0),INDEX($DN$4:$DN$53,(INT(24/$DF$17)+1)),"")</f>
        <v/>
      </c>
      <c r="DJ38">
        <f>IF(MOD(24,$DF$17)=$DF$17-1,0,INDEX($DH$4:$DH$53,(INT(24/$DF$17)+1)))</f>
        <v/>
      </c>
      <c r="DK38">
        <f>IFERROR(IF(AND($DM$21&gt;=$DF$14,$DM$21&lt;=$DF$15),10+0.5+100*($DM$21-$DF$14)/($DF$15-$DF$14),NA()),NA())</f>
        <v/>
      </c>
      <c r="DL38">
        <f>IF(ISNA($DK$38),NA(),0)</f>
        <v/>
      </c>
      <c r="DN38">
        <f>IF($DG$38="","",IFERROR(IF(ABS($DG$38)&gt;=1000000,ROUND($DG$38/1000000,MAX(0,1-INT(LOG10($DF$27/1000000))))&amp;"M",IF(ABS($DG$38)&gt;=1000,ROUND($DG$38/1000,MAX(0,1-INT(LOG10($DF$27/1000))))&amp;"k",TEXT($DG$38,"#,##0.0"))),TEXT($DG$38,"#,##0.0")))</f>
        <v/>
      </c>
      <c r="DO38" t="n">
        <v>8.35</v>
      </c>
      <c r="DP38" t="n">
        <v>8.362500000000001</v>
      </c>
      <c r="DQ38" t="n">
        <v>36</v>
      </c>
      <c r="DT38">
        <f>IF(35&lt;=$DS$13,$DS$14+(35-1)*$DS$16,"")</f>
        <v/>
      </c>
      <c r="DU38">
        <f>IF(35&gt;$DS$13,"",SUMIFS($DQ$4:$DQ$203,$DP$4:$DP$203,"&gt;="&amp;$DT$38,$DP$4:$DP$203,IF(35=$DS$13,"&lt;=","&lt;")&amp;($DT$38+$DS$16)))</f>
        <v/>
      </c>
      <c r="DV38">
        <f>IF(AND(MOD(24,$DS$17)=0,MOD((INT(24/$DS$17)+1)-1,$DS$13/5)=0),INDEX($EA$4:$EA$53,(INT(24/$DS$17)+1)),"")</f>
        <v/>
      </c>
      <c r="DW38">
        <f>IF(MOD(24,$DS$17)=$DS$17-1,0,INDEX($DU$4:$DU$53,(INT(24/$DS$17)+1)))</f>
        <v/>
      </c>
      <c r="DX38">
        <f>IFERROR(IF(AND($DZ$21&gt;=$DS$14,$DZ$21&lt;=$DS$15),10+0.5+100*($DZ$21-$DS$14)/($DS$15-$DS$14),NA()),NA())</f>
        <v/>
      </c>
      <c r="DY38">
        <f>IF(ISNA($DX$38),NA(),0)</f>
        <v/>
      </c>
      <c r="EA38">
        <f>IF($DT$38="","",IFERROR(IF(ABS($DT$38)&gt;=1000000,ROUND($DT$38/1000000,MAX(0,1-INT(LOG10($DS$27/1000000))))&amp;"M",IF(ABS($DT$38)&gt;=1000,ROUND($DT$38/1000,MAX(0,1-INT(LOG10($DS$27/1000))))&amp;"k",TEXT($DT$38,"#,##0.0"))),TEXT($DT$38,"#,##0.0")))</f>
        <v/>
      </c>
      <c r="EB38" t="n">
        <v>17</v>
      </c>
      <c r="EC38" t="n">
        <v>17.25</v>
      </c>
      <c r="ED38" t="n">
        <v>55</v>
      </c>
      <c r="EG38">
        <f>IF(35&lt;=$EF$13,$EF$14+(35-1)*$EF$16,"")</f>
        <v/>
      </c>
      <c r="EH38">
        <f>IF(35&gt;$EF$13,"",SUMIFS($ED$4:$ED$203,$EC$4:$EC$203,"&gt;="&amp;$EG$38,$EC$4:$EC$203,IF(35=$EF$13,"&lt;=","&lt;")&amp;($EG$38+$EF$16)))</f>
        <v/>
      </c>
      <c r="EI38">
        <f>IF(AND(MOD(24,$EF$17)=0,MOD((INT(24/$EF$17)+1)-1,$EF$13/5)=0),INDEX($EN$4:$EN$53,(INT(24/$EF$17)+1)),"")</f>
        <v/>
      </c>
      <c r="EJ38">
        <f>IF(MOD(24,$EF$17)=$EF$17-1,0,INDEX($EH$4:$EH$53,(INT(24/$EF$17)+1)))</f>
        <v/>
      </c>
      <c r="EK38">
        <f>IFERROR(IF(AND($EM$21&gt;=$EF$14,$EM$21&lt;=$EF$15),10+0.5+100*($EM$21-$EF$14)/($EF$15-$EF$14),NA()),NA())</f>
        <v/>
      </c>
      <c r="EL38">
        <f>IF(ISNA($EK$38),NA(),0)</f>
        <v/>
      </c>
      <c r="EN38">
        <f>IF($EG$38="","",IFERROR(IF(ABS($EG$38)&gt;=1000000,ROUND($EG$38/1000000,MAX(0,1-INT(LOG10($EF$27/1000000))))&amp;"M",IF(ABS($EG$38)&gt;=1000,ROUND($EG$38/1000,MAX(0,1-INT(LOG10($EF$27/1000))))&amp;"k",TEXT($EG$38,"#,##0"))),TEXT($EG$38,"#,##0")))</f>
        <v/>
      </c>
      <c r="EO38" t="n">
        <v>0.5950000000000001</v>
      </c>
      <c r="EP38" t="n">
        <v>0.60375</v>
      </c>
      <c r="EQ38" t="n">
        <v>162</v>
      </c>
      <c r="ET38">
        <f>IF(35&lt;=$ES$13,$ES$14+(35-1)*$ES$16,"")</f>
        <v/>
      </c>
      <c r="EU38">
        <f>IF(35&gt;$ES$13,"",SUMIFS($EQ$4:$EQ$203,$EP$4:$EP$203,"&gt;="&amp;$ET$38,$EP$4:$EP$203,IF(35=$ES$13,"&lt;=","&lt;")&amp;($ET$38+$ES$16)))</f>
        <v/>
      </c>
      <c r="EV38">
        <f>IF(AND(MOD(24,$ES$17)=0,MOD((INT(24/$ES$17)+1)-1,$ES$13/5)=0),INDEX($FA$4:$FA$53,(INT(24/$ES$17)+1)),"")</f>
        <v/>
      </c>
      <c r="EW38">
        <f>IF(MOD(24,$ES$17)=$ES$17-1,0,INDEX($EU$4:$EU$53,(INT(24/$ES$17)+1)))</f>
        <v/>
      </c>
      <c r="EX38">
        <f>IFERROR(IF(AND($EZ$21&gt;=$ES$14,$EZ$21&lt;=$ES$15),10+0.5+100*($EZ$21-$ES$14)/($ES$15-$ES$14),NA()),NA())</f>
        <v/>
      </c>
      <c r="EY38">
        <f>IF(ISNA($EX$38),NA(),0)</f>
        <v/>
      </c>
      <c r="FA38">
        <f>IF($ET$38="","",IFERROR(IF(ABS($ET$38)&gt;=1000000,ROUND($ET$38/1000000,MAX(0,1-INT(LOG10($ES$27/1000000))))&amp;"M",IF(ABS($ET$38)&gt;=1000,ROUND($ET$38/1000,MAX(0,1-INT(LOG10($ES$27/1000))))&amp;"k",TEXT($ET$38,"0.00"))),TEXT($ET$38,"0.00")))</f>
        <v/>
      </c>
    </row>
    <row r="39">
      <c r="B39" t="n">
        <v>602.5</v>
      </c>
      <c r="C39" t="n">
        <v>603.25</v>
      </c>
      <c r="D39" t="n">
        <v>19</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74</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76</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c r="AO39" t="n">
        <v>140000</v>
      </c>
      <c r="AP39" t="n">
        <v>142000</v>
      </c>
      <c r="AQ39" t="n">
        <v>152</v>
      </c>
      <c r="AT39">
        <f>IF(36&lt;=$AS$13,$AS$14+(36-1)*$AS$16,"")</f>
        <v/>
      </c>
      <c r="AU39">
        <f>IF(36&gt;$AS$13,"",SUMIFS($AQ$4:$AQ$203,$AP$4:$AP$203,"&gt;="&amp;$AT$39,$AP$4:$AP$203,IF(36=$AS$13,"&lt;=","&lt;")&amp;($AT$39+$AS$16)))</f>
        <v/>
      </c>
      <c r="AV39">
        <f>IF(AND(MOD(25,$AS$17)=0,MOD((INT(25/$AS$17)+1)-1,$AS$13/5)=0),INDEX($BA$4:$BA$53,(INT(25/$AS$17)+1)),"")</f>
        <v/>
      </c>
      <c r="AW39">
        <f>IF(MOD(25,$AS$17)=$AS$17-1,0,INDEX($AU$4:$AU$53,(INT(25/$AS$17)+1)))</f>
        <v/>
      </c>
      <c r="AX39">
        <f>IFERROR(IF(AND($AZ$21&gt;=$AS$14,$AZ$21&lt;=$AS$15),10+0.5+100*($AZ$21-$AS$14)/($AS$15-$AS$14),NA()),NA())</f>
        <v/>
      </c>
      <c r="AY39">
        <f>IF(ISNA($AX$39),NA(),MAX($AW$4:$AW$123))</f>
        <v/>
      </c>
      <c r="BA39">
        <f>IF($AT$39="","",IFERROR(IF(ABS($AT$39)&gt;=1000000,ROUND($AT$39/1000000,MAX(0,1-INT(LOG10($AS$27/1000000))))&amp;"M",IF(ABS($AT$39)&gt;=1000,ROUND($AT$39/1000,MAX(0,1-INT(LOG10($AS$27/1000))))&amp;"k",TEXT($AT$39,"#,##0"))),TEXT($AT$39,"#,##0")))</f>
        <v/>
      </c>
      <c r="BB39" t="n">
        <v>245000</v>
      </c>
      <c r="BC39" t="n">
        <v>248500</v>
      </c>
      <c r="BD39" t="n">
        <v>104</v>
      </c>
      <c r="BG39">
        <f>IF(36&lt;=$BF$13,$BF$14+(36-1)*$BF$16,"")</f>
        <v/>
      </c>
      <c r="BH39">
        <f>IF(36&gt;$BF$13,"",SUMIFS($BD$4:$BD$203,$BC$4:$BC$203,"&gt;="&amp;$BG$39,$BC$4:$BC$203,IF(36=$BF$13,"&lt;=","&lt;")&amp;($BG$39+$BF$16)))</f>
        <v/>
      </c>
      <c r="BI39">
        <f>IF(AND(MOD(25,$BF$17)=0,MOD((INT(25/$BF$17)+1)-1,$BF$13/5)=0),INDEX($BN$4:$BN$53,(INT(25/$BF$17)+1)),"")</f>
        <v/>
      </c>
      <c r="BJ39">
        <f>IF(MOD(25,$BF$17)=$BF$17-1,0,INDEX($BH$4:$BH$53,(INT(25/$BF$17)+1)))</f>
        <v/>
      </c>
      <c r="BK39">
        <f>IFERROR(IF(AND($BM$21&gt;=$BF$14,$BM$21&lt;=$BF$15),10+0.5+100*($BM$21-$BF$14)/($BF$15-$BF$14),NA()),NA())</f>
        <v/>
      </c>
      <c r="BL39">
        <f>IF(ISNA($BK$39),NA(),MAX($BJ$4:$BJ$123))</f>
        <v/>
      </c>
      <c r="BN39">
        <f>IF($BG$39="","",IFERROR(IF(ABS($BG$39)&gt;=1000000,ROUND($BG$39/1000000,MAX(0,1-INT(LOG10($BF$27/1000000))))&amp;"M",IF(ABS($BG$39)&gt;=1000,ROUND($BG$39/1000,MAX(0,1-INT(LOG10($BF$27/1000))))&amp;"k",TEXT($BG$39,"#,##0"))),TEXT($BG$39,"#,##0")))</f>
        <v/>
      </c>
      <c r="BO39" t="n">
        <v>0.21</v>
      </c>
      <c r="BP39" t="n">
        <v>0.213</v>
      </c>
      <c r="BQ39" t="n">
        <v>49</v>
      </c>
      <c r="BT39">
        <f>IF(36&lt;=$BS$13,$BS$14+(36-1)*$BS$16,"")</f>
        <v/>
      </c>
      <c r="BU39">
        <f>IF(36&gt;$BS$13,"",SUMIFS($BQ$4:$BQ$203,$BP$4:$BP$203,"&gt;="&amp;$BT$39,$BP$4:$BP$203,IF(36=$BS$13,"&lt;=","&lt;")&amp;($BT$39+$BS$16)))</f>
        <v/>
      </c>
      <c r="BV39">
        <f>IF(AND(MOD(25,$BS$17)=0,MOD((INT(25/$BS$17)+1)-1,$BS$13/5)=0),INDEX($CA$4:$CA$53,(INT(25/$BS$17)+1)),"")</f>
        <v/>
      </c>
      <c r="BW39">
        <f>IF(MOD(25,$BS$17)=$BS$17-1,0,INDEX($BU$4:$BU$53,(INT(25/$BS$17)+1)))</f>
        <v/>
      </c>
      <c r="BX39">
        <f>IFERROR(IF(AND($BZ$21&gt;=$BS$14,$BZ$21&lt;=$BS$15),10+0.5+100*($BZ$21-$BS$14)/($BS$15-$BS$14),NA()),NA())</f>
        <v/>
      </c>
      <c r="BY39">
        <f>IF(ISNA($BX$39),NA(),MAX($BW$4:$BW$123))</f>
        <v/>
      </c>
      <c r="CA39">
        <f>IF($BT$39="","",IFERROR(IF(ABS($BT$39)&gt;=1000000,ROUND($BT$39/1000000,MAX(0,1-INT(LOG10($BS$27/1000000))))&amp;"M",IF(ABS($BT$39)&gt;=1000,ROUND($BT$39/1000,MAX(0,1-INT(LOG10($BS$27/1000))))&amp;"k",TEXT($BT$39,"0.00"))),TEXT($BT$39,"0.00")))</f>
        <v/>
      </c>
      <c r="CB39" t="n">
        <v>5.25</v>
      </c>
      <c r="CC39" t="n">
        <v>5.325</v>
      </c>
      <c r="CD39" t="n">
        <v>80</v>
      </c>
      <c r="CG39">
        <f>IF(36&lt;=$CF$13,$CF$14+(36-1)*$CF$16,"")</f>
        <v/>
      </c>
      <c r="CH39">
        <f>IF(36&gt;$CF$13,"",SUMIFS($CD$4:$CD$203,$CC$4:$CC$203,"&gt;="&amp;$CG$39,$CC$4:$CC$203,IF(36=$CF$13,"&lt;=","&lt;")&amp;($CG$39+$CF$16)))</f>
        <v/>
      </c>
      <c r="CI39">
        <f>IF(AND(MOD(25,$CF$17)=0,MOD((INT(25/$CF$17)+1)-1,$CF$13/5)=0),INDEX($CN$4:$CN$53,(INT(25/$CF$17)+1)),"")</f>
        <v/>
      </c>
      <c r="CJ39">
        <f>IF(MOD(25,$CF$17)=$CF$17-1,0,INDEX($CH$4:$CH$53,(INT(25/$CF$17)+1)))</f>
        <v/>
      </c>
      <c r="CK39">
        <f>IFERROR(IF(AND($CM$21&gt;=$CF$14,$CM$21&lt;=$CF$15),10+0.5+100*($CM$21-$CF$14)/($CF$15-$CF$14),NA()),NA())</f>
        <v/>
      </c>
      <c r="CL39">
        <f>IF(ISNA($CK$39),NA(),MAX($CJ$4:$CJ$123))</f>
        <v/>
      </c>
      <c r="CN39">
        <f>IF($CG$39="","",IFERROR(IF(ABS($CG$39)&gt;=1000000,ROUND($CG$39/1000000,MAX(0,1-INT(LOG10($CF$27/1000000))))&amp;"M",IF(ABS($CG$39)&gt;=1000,ROUND($CG$39/1000,MAX(0,1-INT(LOG10($CF$27/1000))))&amp;"k",TEXT($CG$39,"#,##0.0"))),TEXT($CG$39,"#,##0.0")))</f>
        <v/>
      </c>
      <c r="CO39" t="n">
        <v>24</v>
      </c>
      <c r="CP39" t="n">
        <v>24.2</v>
      </c>
      <c r="CQ39" t="n">
        <v>25</v>
      </c>
      <c r="CT39">
        <f>IF(36&lt;=$CS$13,$CS$14+(36-1)*$CS$16,"")</f>
        <v/>
      </c>
      <c r="CU39">
        <f>IF(36&gt;$CS$13,"",SUMIFS($CQ$4:$CQ$203,$CP$4:$CP$203,"&gt;="&amp;$CT$39,$CP$4:$CP$203,IF(36=$CS$13,"&lt;=","&lt;")&amp;($CT$39+$CS$16)))</f>
        <v/>
      </c>
      <c r="CV39">
        <f>IF(AND(MOD(25,$CS$17)=0,MOD((INT(25/$CS$17)+1)-1,$CS$13/5)=0),INDEX($DA$4:$DA$53,(INT(25/$CS$17)+1)),"")</f>
        <v/>
      </c>
      <c r="CW39">
        <f>IF(MOD(25,$CS$17)=$CS$17-1,0,INDEX($CU$4:$CU$53,(INT(25/$CS$17)+1)))</f>
        <v/>
      </c>
      <c r="CX39">
        <f>IFERROR(IF(AND($CZ$21&gt;=$CS$14,$CZ$21&lt;=$CS$15),10+0.5+100*($CZ$21-$CS$14)/($CS$15-$CS$14),NA()),NA())</f>
        <v/>
      </c>
      <c r="CY39">
        <f>IF(ISNA($CX$39),NA(),MAX($CW$4:$CW$123))</f>
        <v/>
      </c>
      <c r="DA39">
        <f>IF($CT$39="","",IFERROR(IF(ABS($CT$39)&gt;=1000000,ROUND($CT$39/1000000,MAX(0,1-INT(LOG10($CS$27/1000000))))&amp;"M",IF(ABS($CT$39)&gt;=1000,ROUND($CT$39/1000,MAX(0,1-INT(LOG10($CS$27/1000))))&amp;"k",TEXT($CT$39,"#,##0"))),TEXT($CT$39,"#,##0")))</f>
        <v/>
      </c>
      <c r="DB39" t="n">
        <v>22.25</v>
      </c>
      <c r="DC39" t="n">
        <v>22.425</v>
      </c>
      <c r="DD39" t="n">
        <v>30</v>
      </c>
      <c r="DG39">
        <f>IF(36&lt;=$DF$13,$DF$14+(36-1)*$DF$16,"")</f>
        <v/>
      </c>
      <c r="DH39">
        <f>IF(36&gt;$DF$13,"",SUMIFS($DD$4:$DD$203,$DC$4:$DC$203,"&gt;="&amp;$DG$39,$DC$4:$DC$203,IF(36=$DF$13,"&lt;=","&lt;")&amp;($DG$39+$DF$16)))</f>
        <v/>
      </c>
      <c r="DI39">
        <f>IF(AND(MOD(25,$DF$17)=0,MOD((INT(25/$DF$17)+1)-1,$DF$13/5)=0),INDEX($DN$4:$DN$53,(INT(25/$DF$17)+1)),"")</f>
        <v/>
      </c>
      <c r="DJ39">
        <f>IF(MOD(25,$DF$17)=$DF$17-1,0,INDEX($DH$4:$DH$53,(INT(25/$DF$17)+1)))</f>
        <v/>
      </c>
      <c r="DK39">
        <f>IFERROR(IF(AND($DM$21&gt;=$DF$14,$DM$21&lt;=$DF$15),10+0.5+100*($DM$21-$DF$14)/($DF$15-$DF$14),NA()),NA())</f>
        <v/>
      </c>
      <c r="DL39">
        <f>IF(ISNA($DK$39),NA(),MAX($DJ$4:$DJ$123))</f>
        <v/>
      </c>
      <c r="DN39">
        <f>IF($DG$39="","",IFERROR(IF(ABS($DG$39)&gt;=1000000,ROUND($DG$39/1000000,MAX(0,1-INT(LOG10($DF$27/1000000))))&amp;"M",IF(ABS($DG$39)&gt;=1000,ROUND($DG$39/1000,MAX(0,1-INT(LOG10($DF$27/1000))))&amp;"k",TEXT($DG$39,"#,##0.0"))),TEXT($DG$39,"#,##0.0")))</f>
        <v/>
      </c>
      <c r="DO39" t="n">
        <v>8.375</v>
      </c>
      <c r="DP39" t="n">
        <v>8.387499999999999</v>
      </c>
      <c r="DQ39" t="n">
        <v>30</v>
      </c>
      <c r="DT39">
        <f>IF(36&lt;=$DS$13,$DS$14+(36-1)*$DS$16,"")</f>
        <v/>
      </c>
      <c r="DU39">
        <f>IF(36&gt;$DS$13,"",SUMIFS($DQ$4:$DQ$203,$DP$4:$DP$203,"&gt;="&amp;$DT$39,$DP$4:$DP$203,IF(36=$DS$13,"&lt;=","&lt;")&amp;($DT$39+$DS$16)))</f>
        <v/>
      </c>
      <c r="DV39">
        <f>IF(AND(MOD(25,$DS$17)=0,MOD((INT(25/$DS$17)+1)-1,$DS$13/5)=0),INDEX($EA$4:$EA$53,(INT(25/$DS$17)+1)),"")</f>
        <v/>
      </c>
      <c r="DW39">
        <f>IF(MOD(25,$DS$17)=$DS$17-1,0,INDEX($DU$4:$DU$53,(INT(25/$DS$17)+1)))</f>
        <v/>
      </c>
      <c r="DX39">
        <f>IFERROR(IF(AND($DZ$21&gt;=$DS$14,$DZ$21&lt;=$DS$15),10+0.5+100*($DZ$21-$DS$14)/($DS$15-$DS$14),NA()),NA())</f>
        <v/>
      </c>
      <c r="DY39">
        <f>IF(ISNA($DX$39),NA(),MAX($DW$4:$DW$123))</f>
        <v/>
      </c>
      <c r="EA39">
        <f>IF($DT$39="","",IFERROR(IF(ABS($DT$39)&gt;=1000000,ROUND($DT$39/1000000,MAX(0,1-INT(LOG10($DS$27/1000000))))&amp;"M",IF(ABS($DT$39)&gt;=1000,ROUND($DT$39/1000,MAX(0,1-INT(LOG10($DS$27/1000))))&amp;"k",TEXT($DT$39,"#,##0.0"))),TEXT($DT$39,"#,##0.0")))</f>
        <v/>
      </c>
      <c r="EB39" t="n">
        <v>17.5</v>
      </c>
      <c r="EC39" t="n">
        <v>17.75</v>
      </c>
      <c r="ED39" t="n">
        <v>56</v>
      </c>
      <c r="EG39">
        <f>IF(36&lt;=$EF$13,$EF$14+(36-1)*$EF$16,"")</f>
        <v/>
      </c>
      <c r="EH39">
        <f>IF(36&gt;$EF$13,"",SUMIFS($ED$4:$ED$203,$EC$4:$EC$203,"&gt;="&amp;$EG$39,$EC$4:$EC$203,IF(36=$EF$13,"&lt;=","&lt;")&amp;($EG$39+$EF$16)))</f>
        <v/>
      </c>
      <c r="EI39">
        <f>IF(AND(MOD(25,$EF$17)=0,MOD((INT(25/$EF$17)+1)-1,$EF$13/5)=0),INDEX($EN$4:$EN$53,(INT(25/$EF$17)+1)),"")</f>
        <v/>
      </c>
      <c r="EJ39">
        <f>IF(MOD(25,$EF$17)=$EF$17-1,0,INDEX($EH$4:$EH$53,(INT(25/$EF$17)+1)))</f>
        <v/>
      </c>
      <c r="EK39">
        <f>IFERROR(IF(AND($EM$21&gt;=$EF$14,$EM$21&lt;=$EF$15),10+0.5+100*($EM$21-$EF$14)/($EF$15-$EF$14),NA()),NA())</f>
        <v/>
      </c>
      <c r="EL39">
        <f>IF(ISNA($EK$39),NA(),MAX($EJ$4:$EJ$123))</f>
        <v/>
      </c>
      <c r="EN39">
        <f>IF($EG$39="","",IFERROR(IF(ABS($EG$39)&gt;=1000000,ROUND($EG$39/1000000,MAX(0,1-INT(LOG10($EF$27/1000000))))&amp;"M",IF(ABS($EG$39)&gt;=1000,ROUND($EG$39/1000,MAX(0,1-INT(LOG10($EF$27/1000))))&amp;"k",TEXT($EG$39,"#,##0"))),TEXT($EG$39,"#,##0")))</f>
        <v/>
      </c>
      <c r="EO39" t="n">
        <v>0.6125</v>
      </c>
      <c r="EP39" t="n">
        <v>0.6212500000000001</v>
      </c>
      <c r="EQ39" t="n">
        <v>166</v>
      </c>
      <c r="ET39">
        <f>IF(36&lt;=$ES$13,$ES$14+(36-1)*$ES$16,"")</f>
        <v/>
      </c>
      <c r="EU39">
        <f>IF(36&gt;$ES$13,"",SUMIFS($EQ$4:$EQ$203,$EP$4:$EP$203,"&gt;="&amp;$ET$39,$EP$4:$EP$203,IF(36=$ES$13,"&lt;=","&lt;")&amp;($ET$39+$ES$16)))</f>
        <v/>
      </c>
      <c r="EV39">
        <f>IF(AND(MOD(25,$ES$17)=0,MOD((INT(25/$ES$17)+1)-1,$ES$13/5)=0),INDEX($FA$4:$FA$53,(INT(25/$ES$17)+1)),"")</f>
        <v/>
      </c>
      <c r="EW39">
        <f>IF(MOD(25,$ES$17)=$ES$17-1,0,INDEX($EU$4:$EU$53,(INT(25/$ES$17)+1)))</f>
        <v/>
      </c>
      <c r="EX39">
        <f>IFERROR(IF(AND($EZ$21&gt;=$ES$14,$EZ$21&lt;=$ES$15),10+0.5+100*($EZ$21-$ES$14)/($ES$15-$ES$14),NA()),NA())</f>
        <v/>
      </c>
      <c r="EY39">
        <f>IF(ISNA($EX$39),NA(),MAX($EW$4:$EW$123))</f>
        <v/>
      </c>
      <c r="FA39">
        <f>IF($ET$39="","",IFERROR(IF(ABS($ET$39)&gt;=1000000,ROUND($ET$39/1000000,MAX(0,1-INT(LOG10($ES$27/1000000))))&amp;"M",IF(ABS($ET$39)&gt;=1000,ROUND($ET$39/1000,MAX(0,1-INT(LOG10($ES$27/1000))))&amp;"k",TEXT($ET$39,"0.00"))),TEXT($ET$39,"0.00")))</f>
        <v/>
      </c>
    </row>
    <row r="40">
      <c r="B40" t="n">
        <v>604</v>
      </c>
      <c r="C40" t="n">
        <v>604.75</v>
      </c>
      <c r="D40" t="n">
        <v>37</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72</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81</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c r="AO40" t="n">
        <v>144000</v>
      </c>
      <c r="AP40" t="n">
        <v>146000</v>
      </c>
      <c r="AQ40" t="n">
        <v>155</v>
      </c>
      <c r="AT40">
        <f>IF(37&lt;=$AS$13,$AS$14+(37-1)*$AS$16,"")</f>
        <v/>
      </c>
      <c r="AU40">
        <f>IF(37&gt;$AS$13,"",SUMIFS($AQ$4:$AQ$203,$AP$4:$AP$203,"&gt;="&amp;$AT$40,$AP$4:$AP$203,IF(37=$AS$13,"&lt;=","&lt;")&amp;($AT$40+$AS$16)))</f>
        <v/>
      </c>
      <c r="AV40">
        <f>IF(AND(MOD(26,$AS$17)=0,MOD((INT(26/$AS$17)+1)-1,$AS$13/5)=0),INDEX($BA$4:$BA$53,(INT(26/$AS$17)+1)),"")</f>
        <v/>
      </c>
      <c r="AW40">
        <f>IF(MOD(26,$AS$17)=$AS$17-1,0,INDEX($AU$4:$AU$53,(INT(26/$AS$17)+1)))</f>
        <v/>
      </c>
      <c r="AX40">
        <f>IFERROR(IF(AND($AZ$22&gt;=$AS$14,$AZ$22&lt;=$AS$15),10+0.5+100*($AZ$22-$AS$14)/($AS$15-$AS$14),NA()),NA())</f>
        <v/>
      </c>
      <c r="AY40">
        <f>IF(ISNA($AX$40),NA(),0)</f>
        <v/>
      </c>
      <c r="BA40">
        <f>IF($AT$40="","",IFERROR(IF(ABS($AT$40)&gt;=1000000,ROUND($AT$40/1000000,MAX(0,1-INT(LOG10($AS$27/1000000))))&amp;"M",IF(ABS($AT$40)&gt;=1000,ROUND($AT$40/1000,MAX(0,1-INT(LOG10($AS$27/1000))))&amp;"k",TEXT($AT$40,"#,##0"))),TEXT($AT$40,"#,##0")))</f>
        <v/>
      </c>
      <c r="BB40" t="n">
        <v>252000</v>
      </c>
      <c r="BC40" t="n">
        <v>255500</v>
      </c>
      <c r="BD40" t="n">
        <v>102</v>
      </c>
      <c r="BG40">
        <f>IF(37&lt;=$BF$13,$BF$14+(37-1)*$BF$16,"")</f>
        <v/>
      </c>
      <c r="BH40">
        <f>IF(37&gt;$BF$13,"",SUMIFS($BD$4:$BD$203,$BC$4:$BC$203,"&gt;="&amp;$BG$40,$BC$4:$BC$203,IF(37=$BF$13,"&lt;=","&lt;")&amp;($BG$40+$BF$16)))</f>
        <v/>
      </c>
      <c r="BI40">
        <f>IF(AND(MOD(26,$BF$17)=0,MOD((INT(26/$BF$17)+1)-1,$BF$13/5)=0),INDEX($BN$4:$BN$53,(INT(26/$BF$17)+1)),"")</f>
        <v/>
      </c>
      <c r="BJ40">
        <f>IF(MOD(26,$BF$17)=$BF$17-1,0,INDEX($BH$4:$BH$53,(INT(26/$BF$17)+1)))</f>
        <v/>
      </c>
      <c r="BK40">
        <f>IFERROR(IF(AND($BM$22&gt;=$BF$14,$BM$22&lt;=$BF$15),10+0.5+100*($BM$22-$BF$14)/($BF$15-$BF$14),NA()),NA())</f>
        <v/>
      </c>
      <c r="BL40">
        <f>IF(ISNA($BK$40),NA(),0)</f>
        <v/>
      </c>
      <c r="BN40">
        <f>IF($BG$40="","",IFERROR(IF(ABS($BG$40)&gt;=1000000,ROUND($BG$40/1000000,MAX(0,1-INT(LOG10($BF$27/1000000))))&amp;"M",IF(ABS($BG$40)&gt;=1000,ROUND($BG$40/1000,MAX(0,1-INT(LOG10($BF$27/1000))))&amp;"k",TEXT($BG$40,"#,##0"))),TEXT($BG$40,"#,##0")))</f>
        <v/>
      </c>
      <c r="BO40" t="n">
        <v>0.216</v>
      </c>
      <c r="BP40" t="n">
        <v>0.219</v>
      </c>
      <c r="BQ40" t="n">
        <v>55</v>
      </c>
      <c r="BT40">
        <f>IF(37&lt;=$BS$13,$BS$14+(37-1)*$BS$16,"")</f>
        <v/>
      </c>
      <c r="BU40">
        <f>IF(37&gt;$BS$13,"",SUMIFS($BQ$4:$BQ$203,$BP$4:$BP$203,"&gt;="&amp;$BT$40,$BP$4:$BP$203,IF(37=$BS$13,"&lt;=","&lt;")&amp;($BT$40+$BS$16)))</f>
        <v/>
      </c>
      <c r="BV40">
        <f>IF(AND(MOD(26,$BS$17)=0,MOD((INT(26/$BS$17)+1)-1,$BS$13/5)=0),INDEX($CA$4:$CA$53,(INT(26/$BS$17)+1)),"")</f>
        <v/>
      </c>
      <c r="BW40">
        <f>IF(MOD(26,$BS$17)=$BS$17-1,0,INDEX($BU$4:$BU$53,(INT(26/$BS$17)+1)))</f>
        <v/>
      </c>
      <c r="BX40">
        <f>IFERROR(IF(AND($BZ$22&gt;=$BS$14,$BZ$22&lt;=$BS$15),10+0.5+100*($BZ$22-$BS$14)/($BS$15-$BS$14),NA()),NA())</f>
        <v/>
      </c>
      <c r="BY40">
        <f>IF(ISNA($BX$40),NA(),0)</f>
        <v/>
      </c>
      <c r="CA40">
        <f>IF($BT$40="","",IFERROR(IF(ABS($BT$40)&gt;=1000000,ROUND($BT$40/1000000,MAX(0,1-INT(LOG10($BS$27/1000000))))&amp;"M",IF(ABS($BT$40)&gt;=1000,ROUND($BT$40/1000,MAX(0,1-INT(LOG10($BS$27/1000))))&amp;"k",TEXT($BT$40,"0.00"))),TEXT($BT$40,"0.00")))</f>
        <v/>
      </c>
      <c r="CB40" t="n">
        <v>5.399999999999999</v>
      </c>
      <c r="CC40" t="n">
        <v>5.475</v>
      </c>
      <c r="CD40" t="n">
        <v>139</v>
      </c>
      <c r="CG40">
        <f>IF(37&lt;=$CF$13,$CF$14+(37-1)*$CF$16,"")</f>
        <v/>
      </c>
      <c r="CH40">
        <f>IF(37&gt;$CF$13,"",SUMIFS($CD$4:$CD$203,$CC$4:$CC$203,"&gt;="&amp;$CG$40,$CC$4:$CC$203,IF(37=$CF$13,"&lt;=","&lt;")&amp;($CG$40+$CF$16)))</f>
        <v/>
      </c>
      <c r="CI40">
        <f>IF(AND(MOD(26,$CF$17)=0,MOD((INT(26/$CF$17)+1)-1,$CF$13/5)=0),INDEX($CN$4:$CN$53,(INT(26/$CF$17)+1)),"")</f>
        <v/>
      </c>
      <c r="CJ40">
        <f>IF(MOD(26,$CF$17)=$CF$17-1,0,INDEX($CH$4:$CH$53,(INT(26/$CF$17)+1)))</f>
        <v/>
      </c>
      <c r="CK40">
        <f>IFERROR(IF(AND($CM$22&gt;=$CF$14,$CM$22&lt;=$CF$15),10+0.5+100*($CM$22-$CF$14)/($CF$15-$CF$14),NA()),NA())</f>
        <v/>
      </c>
      <c r="CL40">
        <f>IF(ISNA($CK$40),NA(),0)</f>
        <v/>
      </c>
      <c r="CN40">
        <f>IF($CG$40="","",IFERROR(IF(ABS($CG$40)&gt;=1000000,ROUND($CG$40/1000000,MAX(0,1-INT(LOG10($CF$27/1000000))))&amp;"M",IF(ABS($CG$40)&gt;=1000,ROUND($CG$40/1000,MAX(0,1-INT(LOG10($CF$27/1000))))&amp;"k",TEXT($CG$40,"#,##0.0"))),TEXT($CG$40,"#,##0.0")))</f>
        <v/>
      </c>
      <c r="CO40" t="n">
        <v>24.4</v>
      </c>
      <c r="CP40" t="n">
        <v>24.6</v>
      </c>
      <c r="CQ40" t="n">
        <v>28</v>
      </c>
      <c r="CT40">
        <f>IF(37&lt;=$CS$13,$CS$14+(37-1)*$CS$16,"")</f>
        <v/>
      </c>
      <c r="CU40">
        <f>IF(37&gt;$CS$13,"",SUMIFS($CQ$4:$CQ$203,$CP$4:$CP$203,"&gt;="&amp;$CT$40,$CP$4:$CP$203,IF(37=$CS$13,"&lt;=","&lt;")&amp;($CT$40+$CS$16)))</f>
        <v/>
      </c>
      <c r="CV40">
        <f>IF(AND(MOD(26,$CS$17)=0,MOD((INT(26/$CS$17)+1)-1,$CS$13/5)=0),INDEX($DA$4:$DA$53,(INT(26/$CS$17)+1)),"")</f>
        <v/>
      </c>
      <c r="CW40">
        <f>IF(MOD(26,$CS$17)=$CS$17-1,0,INDEX($CU$4:$CU$53,(INT(26/$CS$17)+1)))</f>
        <v/>
      </c>
      <c r="CX40">
        <f>IFERROR(IF(AND($CZ$22&gt;=$CS$14,$CZ$22&lt;=$CS$15),10+0.5+100*($CZ$22-$CS$14)/($CS$15-$CS$14),NA()),NA())</f>
        <v/>
      </c>
      <c r="CY40">
        <f>IF(ISNA($CX$40),NA(),0)</f>
        <v/>
      </c>
      <c r="DA40">
        <f>IF($CT$40="","",IFERROR(IF(ABS($CT$40)&gt;=1000000,ROUND($CT$40/1000000,MAX(0,1-INT(LOG10($CS$27/1000000))))&amp;"M",IF(ABS($CT$40)&gt;=1000,ROUND($CT$40/1000,MAX(0,1-INT(LOG10($CS$27/1000))))&amp;"k",TEXT($CT$40,"#,##0"))),TEXT($CT$40,"#,##0")))</f>
        <v/>
      </c>
      <c r="DB40" t="n">
        <v>22.6</v>
      </c>
      <c r="DC40" t="n">
        <v>22.775</v>
      </c>
      <c r="DD40" t="n">
        <v>34</v>
      </c>
      <c r="DG40">
        <f>IF(37&lt;=$DF$13,$DF$14+(37-1)*$DF$16,"")</f>
        <v/>
      </c>
      <c r="DH40">
        <f>IF(37&gt;$DF$13,"",SUMIFS($DD$4:$DD$203,$DC$4:$DC$203,"&gt;="&amp;$DG$40,$DC$4:$DC$203,IF(37=$DF$13,"&lt;=","&lt;")&amp;($DG$40+$DF$16)))</f>
        <v/>
      </c>
      <c r="DI40">
        <f>IF(AND(MOD(26,$DF$17)=0,MOD((INT(26/$DF$17)+1)-1,$DF$13/5)=0),INDEX($DN$4:$DN$53,(INT(26/$DF$17)+1)),"")</f>
        <v/>
      </c>
      <c r="DJ40">
        <f>IF(MOD(26,$DF$17)=$DF$17-1,0,INDEX($DH$4:$DH$53,(INT(26/$DF$17)+1)))</f>
        <v/>
      </c>
      <c r="DK40">
        <f>IFERROR(IF(AND($DM$22&gt;=$DF$14,$DM$22&lt;=$DF$15),10+0.5+100*($DM$22-$DF$14)/($DF$15-$DF$14),NA()),NA())</f>
        <v/>
      </c>
      <c r="DL40">
        <f>IF(ISNA($DK$40),NA(),0)</f>
        <v/>
      </c>
      <c r="DN40">
        <f>IF($DG$40="","",IFERROR(IF(ABS($DG$40)&gt;=1000000,ROUND($DG$40/1000000,MAX(0,1-INT(LOG10($DF$27/1000000))))&amp;"M",IF(ABS($DG$40)&gt;=1000,ROUND($DG$40/1000,MAX(0,1-INT(LOG10($DF$27/1000))))&amp;"k",TEXT($DG$40,"#,##0.0"))),TEXT($DG$40,"#,##0.0")))</f>
        <v/>
      </c>
      <c r="DO40" t="n">
        <v>8.4</v>
      </c>
      <c r="DP40" t="n">
        <v>8.4125</v>
      </c>
      <c r="DQ40" t="n">
        <v>26</v>
      </c>
      <c r="DT40">
        <f>IF(37&lt;=$DS$13,$DS$14+(37-1)*$DS$16,"")</f>
        <v/>
      </c>
      <c r="DU40">
        <f>IF(37&gt;$DS$13,"",SUMIFS($DQ$4:$DQ$203,$DP$4:$DP$203,"&gt;="&amp;$DT$40,$DP$4:$DP$203,IF(37=$DS$13,"&lt;=","&lt;")&amp;($DT$40+$DS$16)))</f>
        <v/>
      </c>
      <c r="DV40">
        <f>IF(AND(MOD(26,$DS$17)=0,MOD((INT(26/$DS$17)+1)-1,$DS$13/5)=0),INDEX($EA$4:$EA$53,(INT(26/$DS$17)+1)),"")</f>
        <v/>
      </c>
      <c r="DW40">
        <f>IF(MOD(26,$DS$17)=$DS$17-1,0,INDEX($DU$4:$DU$53,(INT(26/$DS$17)+1)))</f>
        <v/>
      </c>
      <c r="DX40">
        <f>IFERROR(IF(AND($DZ$22&gt;=$DS$14,$DZ$22&lt;=$DS$15),10+0.5+100*($DZ$22-$DS$14)/($DS$15-$DS$14),NA()),NA())</f>
        <v/>
      </c>
      <c r="DY40">
        <f>IF(ISNA($DX$40),NA(),0)</f>
        <v/>
      </c>
      <c r="EA40">
        <f>IF($DT$40="","",IFERROR(IF(ABS($DT$40)&gt;=1000000,ROUND($DT$40/1000000,MAX(0,1-INT(LOG10($DS$27/1000000))))&amp;"M",IF(ABS($DT$40)&gt;=1000,ROUND($DT$40/1000,MAX(0,1-INT(LOG10($DS$27/1000))))&amp;"k",TEXT($DT$40,"#,##0.0"))),TEXT($DT$40,"#,##0.0")))</f>
        <v/>
      </c>
      <c r="EB40" t="n">
        <v>18</v>
      </c>
      <c r="EC40" t="n">
        <v>18.25</v>
      </c>
      <c r="ED40" t="n">
        <v>68</v>
      </c>
      <c r="EG40">
        <f>IF(37&lt;=$EF$13,$EF$14+(37-1)*$EF$16,"")</f>
        <v/>
      </c>
      <c r="EH40">
        <f>IF(37&gt;$EF$13,"",SUMIFS($ED$4:$ED$203,$EC$4:$EC$203,"&gt;="&amp;$EG$40,$EC$4:$EC$203,IF(37=$EF$13,"&lt;=","&lt;")&amp;($EG$40+$EF$16)))</f>
        <v/>
      </c>
      <c r="EI40">
        <f>IF(AND(MOD(26,$EF$17)=0,MOD((INT(26/$EF$17)+1)-1,$EF$13/5)=0),INDEX($EN$4:$EN$53,(INT(26/$EF$17)+1)),"")</f>
        <v/>
      </c>
      <c r="EJ40">
        <f>IF(MOD(26,$EF$17)=$EF$17-1,0,INDEX($EH$4:$EH$53,(INT(26/$EF$17)+1)))</f>
        <v/>
      </c>
      <c r="EK40">
        <f>IFERROR(IF(AND($EM$22&gt;=$EF$14,$EM$22&lt;=$EF$15),10+0.5+100*($EM$22-$EF$14)/($EF$15-$EF$14),NA()),NA())</f>
        <v/>
      </c>
      <c r="EL40">
        <f>IF(ISNA($EK$40),NA(),0)</f>
        <v/>
      </c>
      <c r="EN40">
        <f>IF($EG$40="","",IFERROR(IF(ABS($EG$40)&gt;=1000000,ROUND($EG$40/1000000,MAX(0,1-INT(LOG10($EF$27/1000000))))&amp;"M",IF(ABS($EG$40)&gt;=1000,ROUND($EG$40/1000,MAX(0,1-INT(LOG10($EF$27/1000))))&amp;"k",TEXT($EG$40,"#,##0"))),TEXT($EG$40,"#,##0")))</f>
        <v/>
      </c>
      <c r="EO40" t="n">
        <v>0.6300000000000001</v>
      </c>
      <c r="EP40" t="n">
        <v>0.63875</v>
      </c>
      <c r="EQ40" t="n">
        <v>176</v>
      </c>
      <c r="ET40">
        <f>IF(37&lt;=$ES$13,$ES$14+(37-1)*$ES$16,"")</f>
        <v/>
      </c>
      <c r="EU40">
        <f>IF(37&gt;$ES$13,"",SUMIFS($EQ$4:$EQ$203,$EP$4:$EP$203,"&gt;="&amp;$ET$40,$EP$4:$EP$203,IF(37=$ES$13,"&lt;=","&lt;")&amp;($ET$40+$ES$16)))</f>
        <v/>
      </c>
      <c r="EV40">
        <f>IF(AND(MOD(26,$ES$17)=0,MOD((INT(26/$ES$17)+1)-1,$ES$13/5)=0),INDEX($FA$4:$FA$53,(INT(26/$ES$17)+1)),"")</f>
        <v/>
      </c>
      <c r="EW40">
        <f>IF(MOD(26,$ES$17)=$ES$17-1,0,INDEX($EU$4:$EU$53,(INT(26/$ES$17)+1)))</f>
        <v/>
      </c>
      <c r="EX40">
        <f>IFERROR(IF(AND($EZ$22&gt;=$ES$14,$EZ$22&lt;=$ES$15),10+0.5+100*($EZ$22-$ES$14)/($ES$15-$ES$14),NA()),NA())</f>
        <v/>
      </c>
      <c r="EY40">
        <f>IF(ISNA($EX$40),NA(),0)</f>
        <v/>
      </c>
      <c r="FA40">
        <f>IF($ET$40="","",IFERROR(IF(ABS($ET$40)&gt;=1000000,ROUND($ET$40/1000000,MAX(0,1-INT(LOG10($ES$27/1000000))))&amp;"M",IF(ABS($ET$40)&gt;=1000,ROUND($ET$40/1000,MAX(0,1-INT(LOG10($ES$27/1000))))&amp;"k",TEXT($ET$40,"0.00"))),TEXT($ET$40,"0.00")))</f>
        <v/>
      </c>
    </row>
    <row r="41">
      <c r="B41" t="n">
        <v>605.5</v>
      </c>
      <c r="C41" t="n">
        <v>606.25</v>
      </c>
      <c r="D41" t="n">
        <v>20</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71</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90</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c r="AO41" t="n">
        <v>148000</v>
      </c>
      <c r="AP41" t="n">
        <v>150000</v>
      </c>
      <c r="AQ41" t="n">
        <v>149</v>
      </c>
      <c r="AT41">
        <f>IF(38&lt;=$AS$13,$AS$14+(38-1)*$AS$16,"")</f>
        <v/>
      </c>
      <c r="AU41">
        <f>IF(38&gt;$AS$13,"",SUMIFS($AQ$4:$AQ$203,$AP$4:$AP$203,"&gt;="&amp;$AT$41,$AP$4:$AP$203,IF(38=$AS$13,"&lt;=","&lt;")&amp;($AT$41+$AS$16)))</f>
        <v/>
      </c>
      <c r="AV41">
        <f>IF(AND(MOD(27,$AS$17)=0,MOD((INT(27/$AS$17)+1)-1,$AS$13/5)=0),INDEX($BA$4:$BA$53,(INT(27/$AS$17)+1)),"")</f>
        <v/>
      </c>
      <c r="AW41">
        <f>IF(MOD(27,$AS$17)=$AS$17-1,0,INDEX($AU$4:$AU$53,(INT(27/$AS$17)+1)))</f>
        <v/>
      </c>
      <c r="AX41">
        <f>IFERROR(IF(AND($AZ$22&gt;=$AS$14,$AZ$22&lt;=$AS$15),10+0.5+100*($AZ$22-$AS$14)/($AS$15-$AS$14),NA()),NA())</f>
        <v/>
      </c>
      <c r="AY41">
        <f>IF(ISNA($AX$41),NA(),MAX($AW$4:$AW$123))</f>
        <v/>
      </c>
      <c r="BA41">
        <f>IF($AT$41="","",IFERROR(IF(ABS($AT$41)&gt;=1000000,ROUND($AT$41/1000000,MAX(0,1-INT(LOG10($AS$27/1000000))))&amp;"M",IF(ABS($AT$41)&gt;=1000,ROUND($AT$41/1000,MAX(0,1-INT(LOG10($AS$27/1000))))&amp;"k",TEXT($AT$41,"#,##0"))),TEXT($AT$41,"#,##0")))</f>
        <v/>
      </c>
      <c r="BB41" t="n">
        <v>259000</v>
      </c>
      <c r="BC41" t="n">
        <v>262500</v>
      </c>
      <c r="BD41" t="n">
        <v>98</v>
      </c>
      <c r="BG41">
        <f>IF(38&lt;=$BF$13,$BF$14+(38-1)*$BF$16,"")</f>
        <v/>
      </c>
      <c r="BH41">
        <f>IF(38&gt;$BF$13,"",SUMIFS($BD$4:$BD$203,$BC$4:$BC$203,"&gt;="&amp;$BG$41,$BC$4:$BC$203,IF(38=$BF$13,"&lt;=","&lt;")&amp;($BG$41+$BF$16)))</f>
        <v/>
      </c>
      <c r="BI41">
        <f>IF(AND(MOD(27,$BF$17)=0,MOD((INT(27/$BF$17)+1)-1,$BF$13/5)=0),INDEX($BN$4:$BN$53,(INT(27/$BF$17)+1)),"")</f>
        <v/>
      </c>
      <c r="BJ41">
        <f>IF(MOD(27,$BF$17)=$BF$17-1,0,INDEX($BH$4:$BH$53,(INT(27/$BF$17)+1)))</f>
        <v/>
      </c>
      <c r="BK41">
        <f>IFERROR(IF(AND($BM$22&gt;=$BF$14,$BM$22&lt;=$BF$15),10+0.5+100*($BM$22-$BF$14)/($BF$15-$BF$14),NA()),NA())</f>
        <v/>
      </c>
      <c r="BL41">
        <f>IF(ISNA($BK$41),NA(),MAX($BJ$4:$BJ$123))</f>
        <v/>
      </c>
      <c r="BN41">
        <f>IF($BG$41="","",IFERROR(IF(ABS($BG$41)&gt;=1000000,ROUND($BG$41/1000000,MAX(0,1-INT(LOG10($BF$27/1000000))))&amp;"M",IF(ABS($BG$41)&gt;=1000,ROUND($BG$41/1000,MAX(0,1-INT(LOG10($BF$27/1000))))&amp;"k",TEXT($BG$41,"#,##0"))),TEXT($BG$41,"#,##0")))</f>
        <v/>
      </c>
      <c r="BO41" t="n">
        <v>0.222</v>
      </c>
      <c r="BP41" t="n">
        <v>0.225</v>
      </c>
      <c r="BQ41" t="n">
        <v>43</v>
      </c>
      <c r="BT41">
        <f>IF(38&lt;=$BS$13,$BS$14+(38-1)*$BS$16,"")</f>
        <v/>
      </c>
      <c r="BU41">
        <f>IF(38&gt;$BS$13,"",SUMIFS($BQ$4:$BQ$203,$BP$4:$BP$203,"&gt;="&amp;$BT$41,$BP$4:$BP$203,IF(38=$BS$13,"&lt;=","&lt;")&amp;($BT$41+$BS$16)))</f>
        <v/>
      </c>
      <c r="BV41">
        <f>IF(AND(MOD(27,$BS$17)=0,MOD((INT(27/$BS$17)+1)-1,$BS$13/5)=0),INDEX($CA$4:$CA$53,(INT(27/$BS$17)+1)),"")</f>
        <v/>
      </c>
      <c r="BW41">
        <f>IF(MOD(27,$BS$17)=$BS$17-1,0,INDEX($BU$4:$BU$53,(INT(27/$BS$17)+1)))</f>
        <v/>
      </c>
      <c r="BX41">
        <f>IFERROR(IF(AND($BZ$22&gt;=$BS$14,$BZ$22&lt;=$BS$15),10+0.5+100*($BZ$22-$BS$14)/($BS$15-$BS$14),NA()),NA())</f>
        <v/>
      </c>
      <c r="BY41">
        <f>IF(ISNA($BX$41),NA(),MAX($BW$4:$BW$123))</f>
        <v/>
      </c>
      <c r="CA41">
        <f>IF($BT$41="","",IFERROR(IF(ABS($BT$41)&gt;=1000000,ROUND($BT$41/1000000,MAX(0,1-INT(LOG10($BS$27/1000000))))&amp;"M",IF(ABS($BT$41)&gt;=1000,ROUND($BT$41/1000,MAX(0,1-INT(LOG10($BS$27/1000))))&amp;"k",TEXT($BT$41,"0.00"))),TEXT($BT$41,"0.00")))</f>
        <v/>
      </c>
      <c r="CB41" t="n">
        <v>5.55</v>
      </c>
      <c r="CC41" t="n">
        <v>5.625</v>
      </c>
      <c r="CD41" t="n">
        <v>79</v>
      </c>
      <c r="CG41">
        <f>IF(38&lt;=$CF$13,$CF$14+(38-1)*$CF$16,"")</f>
        <v/>
      </c>
      <c r="CH41">
        <f>IF(38&gt;$CF$13,"",SUMIFS($CD$4:$CD$203,$CC$4:$CC$203,"&gt;="&amp;$CG$41,$CC$4:$CC$203,IF(38=$CF$13,"&lt;=","&lt;")&amp;($CG$41+$CF$16)))</f>
        <v/>
      </c>
      <c r="CI41">
        <f>IF(AND(MOD(27,$CF$17)=0,MOD((INT(27/$CF$17)+1)-1,$CF$13/5)=0),INDEX($CN$4:$CN$53,(INT(27/$CF$17)+1)),"")</f>
        <v/>
      </c>
      <c r="CJ41">
        <f>IF(MOD(27,$CF$17)=$CF$17-1,0,INDEX($CH$4:$CH$53,(INT(27/$CF$17)+1)))</f>
        <v/>
      </c>
      <c r="CK41">
        <f>IFERROR(IF(AND($CM$22&gt;=$CF$14,$CM$22&lt;=$CF$15),10+0.5+100*($CM$22-$CF$14)/($CF$15-$CF$14),NA()),NA())</f>
        <v/>
      </c>
      <c r="CL41">
        <f>IF(ISNA($CK$41),NA(),MAX($CJ$4:$CJ$123))</f>
        <v/>
      </c>
      <c r="CN41">
        <f>IF($CG$41="","",IFERROR(IF(ABS($CG$41)&gt;=1000000,ROUND($CG$41/1000000,MAX(0,1-INT(LOG10($CF$27/1000000))))&amp;"M",IF(ABS($CG$41)&gt;=1000,ROUND($CG$41/1000,MAX(0,1-INT(LOG10($CF$27/1000))))&amp;"k",TEXT($CG$41,"#,##0.0"))),TEXT($CG$41,"#,##0.0")))</f>
        <v/>
      </c>
      <c r="CO41" t="n">
        <v>24.8</v>
      </c>
      <c r="CP41" t="n">
        <v>25</v>
      </c>
      <c r="CQ41" t="n">
        <v>41</v>
      </c>
      <c r="CT41">
        <f>IF(38&lt;=$CS$13,$CS$14+(38-1)*$CS$16,"")</f>
        <v/>
      </c>
      <c r="CU41">
        <f>IF(38&gt;$CS$13,"",SUMIFS($CQ$4:$CQ$203,$CP$4:$CP$203,"&gt;="&amp;$CT$41,$CP$4:$CP$203,IF(38=$CS$13,"&lt;=","&lt;")&amp;($CT$41+$CS$16)))</f>
        <v/>
      </c>
      <c r="CV41">
        <f>IF(AND(MOD(27,$CS$17)=0,MOD((INT(27/$CS$17)+1)-1,$CS$13/5)=0),INDEX($DA$4:$DA$53,(INT(27/$CS$17)+1)),"")</f>
        <v/>
      </c>
      <c r="CW41">
        <f>IF(MOD(27,$CS$17)=$CS$17-1,0,INDEX($CU$4:$CU$53,(INT(27/$CS$17)+1)))</f>
        <v/>
      </c>
      <c r="CX41">
        <f>IFERROR(IF(AND($CZ$22&gt;=$CS$14,$CZ$22&lt;=$CS$15),10+0.5+100*($CZ$22-$CS$14)/($CS$15-$CS$14),NA()),NA())</f>
        <v/>
      </c>
      <c r="CY41">
        <f>IF(ISNA($CX$41),NA(),MAX($CW$4:$CW$123))</f>
        <v/>
      </c>
      <c r="DA41">
        <f>IF($CT$41="","",IFERROR(IF(ABS($CT$41)&gt;=1000000,ROUND($CT$41/1000000,MAX(0,1-INT(LOG10($CS$27/1000000))))&amp;"M",IF(ABS($CT$41)&gt;=1000,ROUND($CT$41/1000,MAX(0,1-INT(LOG10($CS$27/1000))))&amp;"k",TEXT($CT$41,"#,##0"))),TEXT($CT$41,"#,##0")))</f>
        <v/>
      </c>
      <c r="DB41" t="n">
        <v>22.95</v>
      </c>
      <c r="DC41" t="n">
        <v>23.125</v>
      </c>
      <c r="DD41" t="n">
        <v>37</v>
      </c>
      <c r="DG41">
        <f>IF(38&lt;=$DF$13,$DF$14+(38-1)*$DF$16,"")</f>
        <v/>
      </c>
      <c r="DH41">
        <f>IF(38&gt;$DF$13,"",SUMIFS($DD$4:$DD$203,$DC$4:$DC$203,"&gt;="&amp;$DG$41,$DC$4:$DC$203,IF(38=$DF$13,"&lt;=","&lt;")&amp;($DG$41+$DF$16)))</f>
        <v/>
      </c>
      <c r="DI41">
        <f>IF(AND(MOD(27,$DF$17)=0,MOD((INT(27/$DF$17)+1)-1,$DF$13/5)=0),INDEX($DN$4:$DN$53,(INT(27/$DF$17)+1)),"")</f>
        <v/>
      </c>
      <c r="DJ41">
        <f>IF(MOD(27,$DF$17)=$DF$17-1,0,INDEX($DH$4:$DH$53,(INT(27/$DF$17)+1)))</f>
        <v/>
      </c>
      <c r="DK41">
        <f>IFERROR(IF(AND($DM$22&gt;=$DF$14,$DM$22&lt;=$DF$15),10+0.5+100*($DM$22-$DF$14)/($DF$15-$DF$14),NA()),NA())</f>
        <v/>
      </c>
      <c r="DL41">
        <f>IF(ISNA($DK$41),NA(),MAX($DJ$4:$DJ$123))</f>
        <v/>
      </c>
      <c r="DN41">
        <f>IF($DG$41="","",IFERROR(IF(ABS($DG$41)&gt;=1000000,ROUND($DG$41/1000000,MAX(0,1-INT(LOG10($DF$27/1000000))))&amp;"M",IF(ABS($DG$41)&gt;=1000,ROUND($DG$41/1000,MAX(0,1-INT(LOG10($DF$27/1000))))&amp;"k",TEXT($DG$41,"#,##0.0"))),TEXT($DG$41,"#,##0.0")))</f>
        <v/>
      </c>
      <c r="DO41" t="n">
        <v>8.425000000000001</v>
      </c>
      <c r="DP41" t="n">
        <v>8.4375</v>
      </c>
      <c r="DQ41" t="n">
        <v>44</v>
      </c>
      <c r="DT41">
        <f>IF(38&lt;=$DS$13,$DS$14+(38-1)*$DS$16,"")</f>
        <v/>
      </c>
      <c r="DU41">
        <f>IF(38&gt;$DS$13,"",SUMIFS($DQ$4:$DQ$203,$DP$4:$DP$203,"&gt;="&amp;$DT$41,$DP$4:$DP$203,IF(38=$DS$13,"&lt;=","&lt;")&amp;($DT$41+$DS$16)))</f>
        <v/>
      </c>
      <c r="DV41">
        <f>IF(AND(MOD(27,$DS$17)=0,MOD((INT(27/$DS$17)+1)-1,$DS$13/5)=0),INDEX($EA$4:$EA$53,(INT(27/$DS$17)+1)),"")</f>
        <v/>
      </c>
      <c r="DW41">
        <f>IF(MOD(27,$DS$17)=$DS$17-1,0,INDEX($DU$4:$DU$53,(INT(27/$DS$17)+1)))</f>
        <v/>
      </c>
      <c r="DX41">
        <f>IFERROR(IF(AND($DZ$22&gt;=$DS$14,$DZ$22&lt;=$DS$15),10+0.5+100*($DZ$22-$DS$14)/($DS$15-$DS$14),NA()),NA())</f>
        <v/>
      </c>
      <c r="DY41">
        <f>IF(ISNA($DX$41),NA(),MAX($DW$4:$DW$123))</f>
        <v/>
      </c>
      <c r="EA41">
        <f>IF($DT$41="","",IFERROR(IF(ABS($DT$41)&gt;=1000000,ROUND($DT$41/1000000,MAX(0,1-INT(LOG10($DS$27/1000000))))&amp;"M",IF(ABS($DT$41)&gt;=1000,ROUND($DT$41/1000,MAX(0,1-INT(LOG10($DS$27/1000))))&amp;"k",TEXT($DT$41,"#,##0.0"))),TEXT($DT$41,"#,##0.0")))</f>
        <v/>
      </c>
      <c r="EB41" t="n">
        <v>18.5</v>
      </c>
      <c r="EC41" t="n">
        <v>18.75</v>
      </c>
      <c r="ED41" t="n">
        <v>55</v>
      </c>
      <c r="EG41">
        <f>IF(38&lt;=$EF$13,$EF$14+(38-1)*$EF$16,"")</f>
        <v/>
      </c>
      <c r="EH41">
        <f>IF(38&gt;$EF$13,"",SUMIFS($ED$4:$ED$203,$EC$4:$EC$203,"&gt;="&amp;$EG$41,$EC$4:$EC$203,IF(38=$EF$13,"&lt;=","&lt;")&amp;($EG$41+$EF$16)))</f>
        <v/>
      </c>
      <c r="EI41">
        <f>IF(AND(MOD(27,$EF$17)=0,MOD((INT(27/$EF$17)+1)-1,$EF$13/5)=0),INDEX($EN$4:$EN$53,(INT(27/$EF$17)+1)),"")</f>
        <v/>
      </c>
      <c r="EJ41">
        <f>IF(MOD(27,$EF$17)=$EF$17-1,0,INDEX($EH$4:$EH$53,(INT(27/$EF$17)+1)))</f>
        <v/>
      </c>
      <c r="EK41">
        <f>IFERROR(IF(AND($EM$22&gt;=$EF$14,$EM$22&lt;=$EF$15),10+0.5+100*($EM$22-$EF$14)/($EF$15-$EF$14),NA()),NA())</f>
        <v/>
      </c>
      <c r="EL41">
        <f>IF(ISNA($EK$41),NA(),MAX($EJ$4:$EJ$123))</f>
        <v/>
      </c>
      <c r="EN41">
        <f>IF($EG$41="","",IFERROR(IF(ABS($EG$41)&gt;=1000000,ROUND($EG$41/1000000,MAX(0,1-INT(LOG10($EF$27/1000000))))&amp;"M",IF(ABS($EG$41)&gt;=1000,ROUND($EG$41/1000,MAX(0,1-INT(LOG10($EF$27/1000))))&amp;"k",TEXT($EG$41,"#,##0"))),TEXT($EG$41,"#,##0")))</f>
        <v/>
      </c>
      <c r="EO41" t="n">
        <v>0.6475000000000001</v>
      </c>
      <c r="EP41" t="n">
        <v>0.6562500000000001</v>
      </c>
      <c r="EQ41" t="n">
        <v>170</v>
      </c>
      <c r="ET41">
        <f>IF(38&lt;=$ES$13,$ES$14+(38-1)*$ES$16,"")</f>
        <v/>
      </c>
      <c r="EU41">
        <f>IF(38&gt;$ES$13,"",SUMIFS($EQ$4:$EQ$203,$EP$4:$EP$203,"&gt;="&amp;$ET$41,$EP$4:$EP$203,IF(38=$ES$13,"&lt;=","&lt;")&amp;($ET$41+$ES$16)))</f>
        <v/>
      </c>
      <c r="EV41">
        <f>IF(AND(MOD(27,$ES$17)=0,MOD((INT(27/$ES$17)+1)-1,$ES$13/5)=0),INDEX($FA$4:$FA$53,(INT(27/$ES$17)+1)),"")</f>
        <v/>
      </c>
      <c r="EW41">
        <f>IF(MOD(27,$ES$17)=$ES$17-1,0,INDEX($EU$4:$EU$53,(INT(27/$ES$17)+1)))</f>
        <v/>
      </c>
      <c r="EX41">
        <f>IFERROR(IF(AND($EZ$22&gt;=$ES$14,$EZ$22&lt;=$ES$15),10+0.5+100*($EZ$22-$ES$14)/($ES$15-$ES$14),NA()),NA())</f>
        <v/>
      </c>
      <c r="EY41">
        <f>IF(ISNA($EX$41),NA(),MAX($EW$4:$EW$123))</f>
        <v/>
      </c>
      <c r="FA41">
        <f>IF($ET$41="","",IFERROR(IF(ABS($ET$41)&gt;=1000000,ROUND($ET$41/1000000,MAX(0,1-INT(LOG10($ES$27/1000000))))&amp;"M",IF(ABS($ET$41)&gt;=1000,ROUND($ET$41/1000,MAX(0,1-INT(LOG10($ES$27/1000))))&amp;"k",TEXT($ET$41,"0.00"))),TEXT($ET$41,"0.00")))</f>
        <v/>
      </c>
    </row>
    <row r="42">
      <c r="B42" t="n">
        <v>607</v>
      </c>
      <c r="C42" t="n">
        <v>607.75</v>
      </c>
      <c r="D42" t="n">
        <v>46</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67</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93</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c r="AO42" t="n">
        <v>152000</v>
      </c>
      <c r="AP42" t="n">
        <v>154000</v>
      </c>
      <c r="AQ42" t="n">
        <v>167</v>
      </c>
      <c r="AT42">
        <f>IF(39&lt;=$AS$13,$AS$14+(39-1)*$AS$16,"")</f>
        <v/>
      </c>
      <c r="AU42">
        <f>IF(39&gt;$AS$13,"",SUMIFS($AQ$4:$AQ$203,$AP$4:$AP$203,"&gt;="&amp;$AT$42,$AP$4:$AP$203,IF(39=$AS$13,"&lt;=","&lt;")&amp;($AT$42+$AS$16)))</f>
        <v/>
      </c>
      <c r="AV42">
        <f>IF(AND(MOD(28,$AS$17)=0,MOD((INT(28/$AS$17)+1)-1,$AS$13/5)=0),INDEX($BA$4:$BA$53,(INT(28/$AS$17)+1)),"")</f>
        <v/>
      </c>
      <c r="AW42">
        <f>IF(MOD(28,$AS$17)=$AS$17-1,0,INDEX($AU$4:$AU$53,(INT(28/$AS$17)+1)))</f>
        <v/>
      </c>
      <c r="AX42">
        <f>IFERROR(IF(AND($AZ$23&gt;=$AS$14,$AZ$23&lt;=$AS$15),10+0.5+100*($AZ$23-$AS$14)/($AS$15-$AS$14),NA()),NA())</f>
        <v/>
      </c>
      <c r="AY42">
        <f>IF(ISNA($AX$42),NA(),0)</f>
        <v/>
      </c>
      <c r="BA42">
        <f>IF($AT$42="","",IFERROR(IF(ABS($AT$42)&gt;=1000000,ROUND($AT$42/1000000,MAX(0,1-INT(LOG10($AS$27/1000000))))&amp;"M",IF(ABS($AT$42)&gt;=1000,ROUND($AT$42/1000,MAX(0,1-INT(LOG10($AS$27/1000))))&amp;"k",TEXT($AT$42,"#,##0"))),TEXT($AT$42,"#,##0")))</f>
        <v/>
      </c>
      <c r="BB42" t="n">
        <v>266000</v>
      </c>
      <c r="BC42" t="n">
        <v>269500</v>
      </c>
      <c r="BD42" t="n">
        <v>103</v>
      </c>
      <c r="BG42">
        <f>IF(39&lt;=$BF$13,$BF$14+(39-1)*$BF$16,"")</f>
        <v/>
      </c>
      <c r="BH42">
        <f>IF(39&gt;$BF$13,"",SUMIFS($BD$4:$BD$203,$BC$4:$BC$203,"&gt;="&amp;$BG$42,$BC$4:$BC$203,IF(39=$BF$13,"&lt;=","&lt;")&amp;($BG$42+$BF$16)))</f>
        <v/>
      </c>
      <c r="BI42">
        <f>IF(AND(MOD(28,$BF$17)=0,MOD((INT(28/$BF$17)+1)-1,$BF$13/5)=0),INDEX($BN$4:$BN$53,(INT(28/$BF$17)+1)),"")</f>
        <v/>
      </c>
      <c r="BJ42">
        <f>IF(MOD(28,$BF$17)=$BF$17-1,0,INDEX($BH$4:$BH$53,(INT(28/$BF$17)+1)))</f>
        <v/>
      </c>
      <c r="BK42">
        <f>IFERROR(IF(AND($BM$23&gt;=$BF$14,$BM$23&lt;=$BF$15),10+0.5+100*($BM$23-$BF$14)/($BF$15-$BF$14),NA()),NA())</f>
        <v/>
      </c>
      <c r="BL42">
        <f>IF(ISNA($BK$42),NA(),0)</f>
        <v/>
      </c>
      <c r="BN42">
        <f>IF($BG$42="","",IFERROR(IF(ABS($BG$42)&gt;=1000000,ROUND($BG$42/1000000,MAX(0,1-INT(LOG10($BF$27/1000000))))&amp;"M",IF(ABS($BG$42)&gt;=1000,ROUND($BG$42/1000,MAX(0,1-INT(LOG10($BF$27/1000))))&amp;"k",TEXT($BG$42,"#,##0"))),TEXT($BG$42,"#,##0")))</f>
        <v/>
      </c>
      <c r="BO42" t="n">
        <v>0.228</v>
      </c>
      <c r="BP42" t="n">
        <v>0.231</v>
      </c>
      <c r="BQ42" t="n">
        <v>59</v>
      </c>
      <c r="BT42">
        <f>IF(39&lt;=$BS$13,$BS$14+(39-1)*$BS$16,"")</f>
        <v/>
      </c>
      <c r="BU42">
        <f>IF(39&gt;$BS$13,"",SUMIFS($BQ$4:$BQ$203,$BP$4:$BP$203,"&gt;="&amp;$BT$42,$BP$4:$BP$203,IF(39=$BS$13,"&lt;=","&lt;")&amp;($BT$42+$BS$16)))</f>
        <v/>
      </c>
      <c r="BV42">
        <f>IF(AND(MOD(28,$BS$17)=0,MOD((INT(28/$BS$17)+1)-1,$BS$13/5)=0),INDEX($CA$4:$CA$53,(INT(28/$BS$17)+1)),"")</f>
        <v/>
      </c>
      <c r="BW42">
        <f>IF(MOD(28,$BS$17)=$BS$17-1,0,INDEX($BU$4:$BU$53,(INT(28/$BS$17)+1)))</f>
        <v/>
      </c>
      <c r="BX42">
        <f>IFERROR(IF(AND($BZ$23&gt;=$BS$14,$BZ$23&lt;=$BS$15),10+0.5+100*($BZ$23-$BS$14)/($BS$15-$BS$14),NA()),NA())</f>
        <v/>
      </c>
      <c r="BY42">
        <f>IF(ISNA($BX$42),NA(),0)</f>
        <v/>
      </c>
      <c r="CA42">
        <f>IF($BT$42="","",IFERROR(IF(ABS($BT$42)&gt;=1000000,ROUND($BT$42/1000000,MAX(0,1-INT(LOG10($BS$27/1000000))))&amp;"M",IF(ABS($BT$42)&gt;=1000,ROUND($BT$42/1000,MAX(0,1-INT(LOG10($BS$27/1000))))&amp;"k",TEXT($BT$42,"0.00"))),TEXT($BT$42,"0.00")))</f>
        <v/>
      </c>
      <c r="CB42" t="n">
        <v>5.7</v>
      </c>
      <c r="CC42" t="n">
        <v>5.774999999999999</v>
      </c>
      <c r="CD42" t="n">
        <v>136</v>
      </c>
      <c r="CG42">
        <f>IF(39&lt;=$CF$13,$CF$14+(39-1)*$CF$16,"")</f>
        <v/>
      </c>
      <c r="CH42">
        <f>IF(39&gt;$CF$13,"",SUMIFS($CD$4:$CD$203,$CC$4:$CC$203,"&gt;="&amp;$CG$42,$CC$4:$CC$203,IF(39=$CF$13,"&lt;=","&lt;")&amp;($CG$42+$CF$16)))</f>
        <v/>
      </c>
      <c r="CI42">
        <f>IF(AND(MOD(28,$CF$17)=0,MOD((INT(28/$CF$17)+1)-1,$CF$13/5)=0),INDEX($CN$4:$CN$53,(INT(28/$CF$17)+1)),"")</f>
        <v/>
      </c>
      <c r="CJ42">
        <f>IF(MOD(28,$CF$17)=$CF$17-1,0,INDEX($CH$4:$CH$53,(INT(28/$CF$17)+1)))</f>
        <v/>
      </c>
      <c r="CK42">
        <f>IFERROR(IF(AND($CM$23&gt;=$CF$14,$CM$23&lt;=$CF$15),10+0.5+100*($CM$23-$CF$14)/($CF$15-$CF$14),NA()),NA())</f>
        <v/>
      </c>
      <c r="CL42">
        <f>IF(ISNA($CK$42),NA(),0)</f>
        <v/>
      </c>
      <c r="CN42">
        <f>IF($CG$42="","",IFERROR(IF(ABS($CG$42)&gt;=1000000,ROUND($CG$42/1000000,MAX(0,1-INT(LOG10($CF$27/1000000))))&amp;"M",IF(ABS($CG$42)&gt;=1000,ROUND($CG$42/1000,MAX(0,1-INT(LOG10($CF$27/1000))))&amp;"k",TEXT($CG$42,"#,##0.0"))),TEXT($CG$42,"#,##0.0")))</f>
        <v/>
      </c>
      <c r="CO42" t="n">
        <v>25.2</v>
      </c>
      <c r="CP42" t="n">
        <v>25.4</v>
      </c>
      <c r="CQ42" t="n">
        <v>41</v>
      </c>
      <c r="CT42">
        <f>IF(39&lt;=$CS$13,$CS$14+(39-1)*$CS$16,"")</f>
        <v/>
      </c>
      <c r="CU42">
        <f>IF(39&gt;$CS$13,"",SUMIFS($CQ$4:$CQ$203,$CP$4:$CP$203,"&gt;="&amp;$CT$42,$CP$4:$CP$203,IF(39=$CS$13,"&lt;=","&lt;")&amp;($CT$42+$CS$16)))</f>
        <v/>
      </c>
      <c r="CV42">
        <f>IF(AND(MOD(28,$CS$17)=0,MOD((INT(28/$CS$17)+1)-1,$CS$13/5)=0),INDEX($DA$4:$DA$53,(INT(28/$CS$17)+1)),"")</f>
        <v/>
      </c>
      <c r="CW42">
        <f>IF(MOD(28,$CS$17)=$CS$17-1,0,INDEX($CU$4:$CU$53,(INT(28/$CS$17)+1)))</f>
        <v/>
      </c>
      <c r="CX42">
        <f>IFERROR(IF(AND($CZ$23&gt;=$CS$14,$CZ$23&lt;=$CS$15),10+0.5+100*($CZ$23-$CS$14)/($CS$15-$CS$14),NA()),NA())</f>
        <v/>
      </c>
      <c r="CY42">
        <f>IF(ISNA($CX$42),NA(),0)</f>
        <v/>
      </c>
      <c r="DA42">
        <f>IF($CT$42="","",IFERROR(IF(ABS($CT$42)&gt;=1000000,ROUND($CT$42/1000000,MAX(0,1-INT(LOG10($CS$27/1000000))))&amp;"M",IF(ABS($CT$42)&gt;=1000,ROUND($CT$42/1000,MAX(0,1-INT(LOG10($CS$27/1000))))&amp;"k",TEXT($CT$42,"#,##0"))),TEXT($CT$42,"#,##0")))</f>
        <v/>
      </c>
      <c r="DB42" t="n">
        <v>23.3</v>
      </c>
      <c r="DC42" t="n">
        <v>23.475</v>
      </c>
      <c r="DD42" t="n">
        <v>33</v>
      </c>
      <c r="DG42">
        <f>IF(39&lt;=$DF$13,$DF$14+(39-1)*$DF$16,"")</f>
        <v/>
      </c>
      <c r="DH42">
        <f>IF(39&gt;$DF$13,"",SUMIFS($DD$4:$DD$203,$DC$4:$DC$203,"&gt;="&amp;$DG$42,$DC$4:$DC$203,IF(39=$DF$13,"&lt;=","&lt;")&amp;($DG$42+$DF$16)))</f>
        <v/>
      </c>
      <c r="DI42">
        <f>IF(AND(MOD(28,$DF$17)=0,MOD((INT(28/$DF$17)+1)-1,$DF$13/5)=0),INDEX($DN$4:$DN$53,(INT(28/$DF$17)+1)),"")</f>
        <v/>
      </c>
      <c r="DJ42">
        <f>IF(MOD(28,$DF$17)=$DF$17-1,0,INDEX($DH$4:$DH$53,(INT(28/$DF$17)+1)))</f>
        <v/>
      </c>
      <c r="DK42">
        <f>IFERROR(IF(AND($DM$23&gt;=$DF$14,$DM$23&lt;=$DF$15),10+0.5+100*($DM$23-$DF$14)/($DF$15-$DF$14),NA()),NA())</f>
        <v/>
      </c>
      <c r="DL42">
        <f>IF(ISNA($DK$42),NA(),0)</f>
        <v/>
      </c>
      <c r="DN42">
        <f>IF($DG$42="","",IFERROR(IF(ABS($DG$42)&gt;=1000000,ROUND($DG$42/1000000,MAX(0,1-INT(LOG10($DF$27/1000000))))&amp;"M",IF(ABS($DG$42)&gt;=1000,ROUND($DG$42/1000,MAX(0,1-INT(LOG10($DF$27/1000))))&amp;"k",TEXT($DG$42,"#,##0.0"))),TEXT($DG$42,"#,##0.0")))</f>
        <v/>
      </c>
      <c r="DO42" t="n">
        <v>8.449999999999999</v>
      </c>
      <c r="DP42" t="n">
        <v>8.4625</v>
      </c>
      <c r="DQ42" t="n">
        <v>42</v>
      </c>
      <c r="DT42">
        <f>IF(39&lt;=$DS$13,$DS$14+(39-1)*$DS$16,"")</f>
        <v/>
      </c>
      <c r="DU42">
        <f>IF(39&gt;$DS$13,"",SUMIFS($DQ$4:$DQ$203,$DP$4:$DP$203,"&gt;="&amp;$DT$42,$DP$4:$DP$203,IF(39=$DS$13,"&lt;=","&lt;")&amp;($DT$42+$DS$16)))</f>
        <v/>
      </c>
      <c r="DV42">
        <f>IF(AND(MOD(28,$DS$17)=0,MOD((INT(28/$DS$17)+1)-1,$DS$13/5)=0),INDEX($EA$4:$EA$53,(INT(28/$DS$17)+1)),"")</f>
        <v/>
      </c>
      <c r="DW42">
        <f>IF(MOD(28,$DS$17)=$DS$17-1,0,INDEX($DU$4:$DU$53,(INT(28/$DS$17)+1)))</f>
        <v/>
      </c>
      <c r="DX42">
        <f>IFERROR(IF(AND($DZ$23&gt;=$DS$14,$DZ$23&lt;=$DS$15),10+0.5+100*($DZ$23-$DS$14)/($DS$15-$DS$14),NA()),NA())</f>
        <v/>
      </c>
      <c r="DY42">
        <f>IF(ISNA($DX$42),NA(),0)</f>
        <v/>
      </c>
      <c r="EA42">
        <f>IF($DT$42="","",IFERROR(IF(ABS($DT$42)&gt;=1000000,ROUND($DT$42/1000000,MAX(0,1-INT(LOG10($DS$27/1000000))))&amp;"M",IF(ABS($DT$42)&gt;=1000,ROUND($DT$42/1000,MAX(0,1-INT(LOG10($DS$27/1000))))&amp;"k",TEXT($DT$42,"#,##0.0"))),TEXT($DT$42,"#,##0.0")))</f>
        <v/>
      </c>
      <c r="EB42" t="n">
        <v>19</v>
      </c>
      <c r="EC42" t="n">
        <v>19.25</v>
      </c>
      <c r="ED42" t="n">
        <v>71</v>
      </c>
      <c r="EG42">
        <f>IF(39&lt;=$EF$13,$EF$14+(39-1)*$EF$16,"")</f>
        <v/>
      </c>
      <c r="EH42">
        <f>IF(39&gt;$EF$13,"",SUMIFS($ED$4:$ED$203,$EC$4:$EC$203,"&gt;="&amp;$EG$42,$EC$4:$EC$203,IF(39=$EF$13,"&lt;=","&lt;")&amp;($EG$42+$EF$16)))</f>
        <v/>
      </c>
      <c r="EI42">
        <f>IF(AND(MOD(28,$EF$17)=0,MOD((INT(28/$EF$17)+1)-1,$EF$13/5)=0),INDEX($EN$4:$EN$53,(INT(28/$EF$17)+1)),"")</f>
        <v/>
      </c>
      <c r="EJ42">
        <f>IF(MOD(28,$EF$17)=$EF$17-1,0,INDEX($EH$4:$EH$53,(INT(28/$EF$17)+1)))</f>
        <v/>
      </c>
      <c r="EK42">
        <f>IFERROR(IF(AND($EM$23&gt;=$EF$14,$EM$23&lt;=$EF$15),10+0.5+100*($EM$23-$EF$14)/($EF$15-$EF$14),NA()),NA())</f>
        <v/>
      </c>
      <c r="EL42">
        <f>IF(ISNA($EK$42),NA(),0)</f>
        <v/>
      </c>
      <c r="EN42">
        <f>IF($EG$42="","",IFERROR(IF(ABS($EG$42)&gt;=1000000,ROUND($EG$42/1000000,MAX(0,1-INT(LOG10($EF$27/1000000))))&amp;"M",IF(ABS($EG$42)&gt;=1000,ROUND($EG$42/1000,MAX(0,1-INT(LOG10($EF$27/1000))))&amp;"k",TEXT($EG$42,"#,##0"))),TEXT($EG$42,"#,##0")))</f>
        <v/>
      </c>
      <c r="EO42" t="n">
        <v>0.665</v>
      </c>
      <c r="EP42" t="n">
        <v>0.6737500000000001</v>
      </c>
      <c r="EQ42" t="n">
        <v>137</v>
      </c>
      <c r="ET42">
        <f>IF(39&lt;=$ES$13,$ES$14+(39-1)*$ES$16,"")</f>
        <v/>
      </c>
      <c r="EU42">
        <f>IF(39&gt;$ES$13,"",SUMIFS($EQ$4:$EQ$203,$EP$4:$EP$203,"&gt;="&amp;$ET$42,$EP$4:$EP$203,IF(39=$ES$13,"&lt;=","&lt;")&amp;($ET$42+$ES$16)))</f>
        <v/>
      </c>
      <c r="EV42">
        <f>IF(AND(MOD(28,$ES$17)=0,MOD((INT(28/$ES$17)+1)-1,$ES$13/5)=0),INDEX($FA$4:$FA$53,(INT(28/$ES$17)+1)),"")</f>
        <v/>
      </c>
      <c r="EW42">
        <f>IF(MOD(28,$ES$17)=$ES$17-1,0,INDEX($EU$4:$EU$53,(INT(28/$ES$17)+1)))</f>
        <v/>
      </c>
      <c r="EX42">
        <f>IFERROR(IF(AND($EZ$23&gt;=$ES$14,$EZ$23&lt;=$ES$15),10+0.5+100*($EZ$23-$ES$14)/($ES$15-$ES$14),NA()),NA())</f>
        <v/>
      </c>
      <c r="EY42">
        <f>IF(ISNA($EX$42),NA(),0)</f>
        <v/>
      </c>
      <c r="FA42">
        <f>IF($ET$42="","",IFERROR(IF(ABS($ET$42)&gt;=1000000,ROUND($ET$42/1000000,MAX(0,1-INT(LOG10($ES$27/1000000))))&amp;"M",IF(ABS($ET$42)&gt;=1000,ROUND($ET$42/1000,MAX(0,1-INT(LOG10($ES$27/1000))))&amp;"k",TEXT($ET$42,"0.00"))),TEXT($ET$42,"0.00")))</f>
        <v/>
      </c>
    </row>
    <row r="43">
      <c r="B43" t="n">
        <v>608.5</v>
      </c>
      <c r="C43" t="n">
        <v>609.25</v>
      </c>
      <c r="D43" t="n">
        <v>25</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78</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85</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c r="AO43" t="n">
        <v>156000</v>
      </c>
      <c r="AP43" t="n">
        <v>158000</v>
      </c>
      <c r="AQ43" t="n">
        <v>158</v>
      </c>
      <c r="AT43">
        <f>IF(40&lt;=$AS$13,$AS$14+(40-1)*$AS$16,"")</f>
        <v/>
      </c>
      <c r="AU43">
        <f>IF(40&gt;$AS$13,"",SUMIFS($AQ$4:$AQ$203,$AP$4:$AP$203,"&gt;="&amp;$AT$43,$AP$4:$AP$203,IF(40=$AS$13,"&lt;=","&lt;")&amp;($AT$43+$AS$16)))</f>
        <v/>
      </c>
      <c r="AV43">
        <f>IF(AND(MOD(29,$AS$17)=0,MOD((INT(29/$AS$17)+1)-1,$AS$13/5)=0),INDEX($BA$4:$BA$53,(INT(29/$AS$17)+1)),"")</f>
        <v/>
      </c>
      <c r="AW43">
        <f>IF(MOD(29,$AS$17)=$AS$17-1,0,INDEX($AU$4:$AU$53,(INT(29/$AS$17)+1)))</f>
        <v/>
      </c>
      <c r="AX43">
        <f>IFERROR(IF(AND($AZ$23&gt;=$AS$14,$AZ$23&lt;=$AS$15),10+0.5+100*($AZ$23-$AS$14)/($AS$15-$AS$14),NA()),NA())</f>
        <v/>
      </c>
      <c r="AY43">
        <f>IF(ISNA($AX$43),NA(),MAX($AW$4:$AW$123))</f>
        <v/>
      </c>
      <c r="BA43">
        <f>IF($AT$43="","",IFERROR(IF(ABS($AT$43)&gt;=1000000,ROUND($AT$43/1000000,MAX(0,1-INT(LOG10($AS$27/1000000))))&amp;"M",IF(ABS($AT$43)&gt;=1000,ROUND($AT$43/1000,MAX(0,1-INT(LOG10($AS$27/1000))))&amp;"k",TEXT($AT$43,"#,##0"))),TEXT($AT$43,"#,##0")))</f>
        <v/>
      </c>
      <c r="BB43" t="n">
        <v>273000</v>
      </c>
      <c r="BC43" t="n">
        <v>276500</v>
      </c>
      <c r="BD43" t="n">
        <v>95</v>
      </c>
      <c r="BG43">
        <f>IF(40&lt;=$BF$13,$BF$14+(40-1)*$BF$16,"")</f>
        <v/>
      </c>
      <c r="BH43">
        <f>IF(40&gt;$BF$13,"",SUMIFS($BD$4:$BD$203,$BC$4:$BC$203,"&gt;="&amp;$BG$43,$BC$4:$BC$203,IF(40=$BF$13,"&lt;=","&lt;")&amp;($BG$43+$BF$16)))</f>
        <v/>
      </c>
      <c r="BI43">
        <f>IF(AND(MOD(29,$BF$17)=0,MOD((INT(29/$BF$17)+1)-1,$BF$13/5)=0),INDEX($BN$4:$BN$53,(INT(29/$BF$17)+1)),"")</f>
        <v/>
      </c>
      <c r="BJ43">
        <f>IF(MOD(29,$BF$17)=$BF$17-1,0,INDEX($BH$4:$BH$53,(INT(29/$BF$17)+1)))</f>
        <v/>
      </c>
      <c r="BK43">
        <f>IFERROR(IF(AND($BM$23&gt;=$BF$14,$BM$23&lt;=$BF$15),10+0.5+100*($BM$23-$BF$14)/($BF$15-$BF$14),NA()),NA())</f>
        <v/>
      </c>
      <c r="BL43">
        <f>IF(ISNA($BK$43),NA(),MAX($BJ$4:$BJ$123))</f>
        <v/>
      </c>
      <c r="BN43">
        <f>IF($BG$43="","",IFERROR(IF(ABS($BG$43)&gt;=1000000,ROUND($BG$43/1000000,MAX(0,1-INT(LOG10($BF$27/1000000))))&amp;"M",IF(ABS($BG$43)&gt;=1000,ROUND($BG$43/1000,MAX(0,1-INT(LOG10($BF$27/1000))))&amp;"k",TEXT($BG$43,"#,##0"))),TEXT($BG$43,"#,##0")))</f>
        <v/>
      </c>
      <c r="BO43" t="n">
        <v>0.234</v>
      </c>
      <c r="BP43" t="n">
        <v>0.237</v>
      </c>
      <c r="BQ43" t="n">
        <v>67</v>
      </c>
      <c r="BT43">
        <f>IF(40&lt;=$BS$13,$BS$14+(40-1)*$BS$16,"")</f>
        <v/>
      </c>
      <c r="BU43">
        <f>IF(40&gt;$BS$13,"",SUMIFS($BQ$4:$BQ$203,$BP$4:$BP$203,"&gt;="&amp;$BT$43,$BP$4:$BP$203,IF(40=$BS$13,"&lt;=","&lt;")&amp;($BT$43+$BS$16)))</f>
        <v/>
      </c>
      <c r="BV43">
        <f>IF(AND(MOD(29,$BS$17)=0,MOD((INT(29/$BS$17)+1)-1,$BS$13/5)=0),INDEX($CA$4:$CA$53,(INT(29/$BS$17)+1)),"")</f>
        <v/>
      </c>
      <c r="BW43">
        <f>IF(MOD(29,$BS$17)=$BS$17-1,0,INDEX($BU$4:$BU$53,(INT(29/$BS$17)+1)))</f>
        <v/>
      </c>
      <c r="BX43">
        <f>IFERROR(IF(AND($BZ$23&gt;=$BS$14,$BZ$23&lt;=$BS$15),10+0.5+100*($BZ$23-$BS$14)/($BS$15-$BS$14),NA()),NA())</f>
        <v/>
      </c>
      <c r="BY43">
        <f>IF(ISNA($BX$43),NA(),MAX($BW$4:$BW$123))</f>
        <v/>
      </c>
      <c r="CA43">
        <f>IF($BT$43="","",IFERROR(IF(ABS($BT$43)&gt;=1000000,ROUND($BT$43/1000000,MAX(0,1-INT(LOG10($BS$27/1000000))))&amp;"M",IF(ABS($BT$43)&gt;=1000,ROUND($BT$43/1000,MAX(0,1-INT(LOG10($BS$27/1000))))&amp;"k",TEXT($BT$43,"0.00"))),TEXT($BT$43,"0.00")))</f>
        <v/>
      </c>
      <c r="CB43" t="n">
        <v>5.85</v>
      </c>
      <c r="CC43" t="n">
        <v>5.925</v>
      </c>
      <c r="CD43" t="n">
        <v>81</v>
      </c>
      <c r="CG43">
        <f>IF(40&lt;=$CF$13,$CF$14+(40-1)*$CF$16,"")</f>
        <v/>
      </c>
      <c r="CH43">
        <f>IF(40&gt;$CF$13,"",SUMIFS($CD$4:$CD$203,$CC$4:$CC$203,"&gt;="&amp;$CG$43,$CC$4:$CC$203,IF(40=$CF$13,"&lt;=","&lt;")&amp;($CG$43+$CF$16)))</f>
        <v/>
      </c>
      <c r="CI43">
        <f>IF(AND(MOD(29,$CF$17)=0,MOD((INT(29/$CF$17)+1)-1,$CF$13/5)=0),INDEX($CN$4:$CN$53,(INT(29/$CF$17)+1)),"")</f>
        <v/>
      </c>
      <c r="CJ43">
        <f>IF(MOD(29,$CF$17)=$CF$17-1,0,INDEX($CH$4:$CH$53,(INT(29/$CF$17)+1)))</f>
        <v/>
      </c>
      <c r="CK43">
        <f>IFERROR(IF(AND($CM$23&gt;=$CF$14,$CM$23&lt;=$CF$15),10+0.5+100*($CM$23-$CF$14)/($CF$15-$CF$14),NA()),NA())</f>
        <v/>
      </c>
      <c r="CL43">
        <f>IF(ISNA($CK$43),NA(),MAX($CJ$4:$CJ$123))</f>
        <v/>
      </c>
      <c r="CN43">
        <f>IF($CG$43="","",IFERROR(IF(ABS($CG$43)&gt;=1000000,ROUND($CG$43/1000000,MAX(0,1-INT(LOG10($CF$27/1000000))))&amp;"M",IF(ABS($CG$43)&gt;=1000,ROUND($CG$43/1000,MAX(0,1-INT(LOG10($CF$27/1000))))&amp;"k",TEXT($CG$43,"#,##0.0"))),TEXT($CG$43,"#,##0.0")))</f>
        <v/>
      </c>
      <c r="CO43" t="n">
        <v>25.6</v>
      </c>
      <c r="CP43" t="n">
        <v>25.8</v>
      </c>
      <c r="CQ43" t="n">
        <v>35</v>
      </c>
      <c r="CT43">
        <f>IF(40&lt;=$CS$13,$CS$14+(40-1)*$CS$16,"")</f>
        <v/>
      </c>
      <c r="CU43">
        <f>IF(40&gt;$CS$13,"",SUMIFS($CQ$4:$CQ$203,$CP$4:$CP$203,"&gt;="&amp;$CT$43,$CP$4:$CP$203,IF(40=$CS$13,"&lt;=","&lt;")&amp;($CT$43+$CS$16)))</f>
        <v/>
      </c>
      <c r="CV43">
        <f>IF(AND(MOD(29,$CS$17)=0,MOD((INT(29/$CS$17)+1)-1,$CS$13/5)=0),INDEX($DA$4:$DA$53,(INT(29/$CS$17)+1)),"")</f>
        <v/>
      </c>
      <c r="CW43">
        <f>IF(MOD(29,$CS$17)=$CS$17-1,0,INDEX($CU$4:$CU$53,(INT(29/$CS$17)+1)))</f>
        <v/>
      </c>
      <c r="CX43">
        <f>IFERROR(IF(AND($CZ$23&gt;=$CS$14,$CZ$23&lt;=$CS$15),10+0.5+100*($CZ$23-$CS$14)/($CS$15-$CS$14),NA()),NA())</f>
        <v/>
      </c>
      <c r="CY43">
        <f>IF(ISNA($CX$43),NA(),MAX($CW$4:$CW$123))</f>
        <v/>
      </c>
      <c r="DA43">
        <f>IF($CT$43="","",IFERROR(IF(ABS($CT$43)&gt;=1000000,ROUND($CT$43/1000000,MAX(0,1-INT(LOG10($CS$27/1000000))))&amp;"M",IF(ABS($CT$43)&gt;=1000,ROUND($CT$43/1000,MAX(0,1-INT(LOG10($CS$27/1000))))&amp;"k",TEXT($CT$43,"#,##0"))),TEXT($CT$43,"#,##0")))</f>
        <v/>
      </c>
      <c r="DB43" t="n">
        <v>23.65</v>
      </c>
      <c r="DC43" t="n">
        <v>23.825</v>
      </c>
      <c r="DD43" t="n">
        <v>38</v>
      </c>
      <c r="DG43">
        <f>IF(40&lt;=$DF$13,$DF$14+(40-1)*$DF$16,"")</f>
        <v/>
      </c>
      <c r="DH43">
        <f>IF(40&gt;$DF$13,"",SUMIFS($DD$4:$DD$203,$DC$4:$DC$203,"&gt;="&amp;$DG$43,$DC$4:$DC$203,IF(40=$DF$13,"&lt;=","&lt;")&amp;($DG$43+$DF$16)))</f>
        <v/>
      </c>
      <c r="DI43">
        <f>IF(AND(MOD(29,$DF$17)=0,MOD((INT(29/$DF$17)+1)-1,$DF$13/5)=0),INDEX($DN$4:$DN$53,(INT(29/$DF$17)+1)),"")</f>
        <v/>
      </c>
      <c r="DJ43">
        <f>IF(MOD(29,$DF$17)=$DF$17-1,0,INDEX($DH$4:$DH$53,(INT(29/$DF$17)+1)))</f>
        <v/>
      </c>
      <c r="DK43">
        <f>IFERROR(IF(AND($DM$23&gt;=$DF$14,$DM$23&lt;=$DF$15),10+0.5+100*($DM$23-$DF$14)/($DF$15-$DF$14),NA()),NA())</f>
        <v/>
      </c>
      <c r="DL43">
        <f>IF(ISNA($DK$43),NA(),MAX($DJ$4:$DJ$123))</f>
        <v/>
      </c>
      <c r="DN43">
        <f>IF($DG$43="","",IFERROR(IF(ABS($DG$43)&gt;=1000000,ROUND($DG$43/1000000,MAX(0,1-INT(LOG10($DF$27/1000000))))&amp;"M",IF(ABS($DG$43)&gt;=1000,ROUND($DG$43/1000,MAX(0,1-INT(LOG10($DF$27/1000))))&amp;"k",TEXT($DG$43,"#,##0.0"))),TEXT($DG$43,"#,##0.0")))</f>
        <v/>
      </c>
      <c r="DO43" t="n">
        <v>8.475</v>
      </c>
      <c r="DP43" t="n">
        <v>8.487500000000001</v>
      </c>
      <c r="DQ43" t="n">
        <v>36</v>
      </c>
      <c r="DT43">
        <f>IF(40&lt;=$DS$13,$DS$14+(40-1)*$DS$16,"")</f>
        <v/>
      </c>
      <c r="DU43">
        <f>IF(40&gt;$DS$13,"",SUMIFS($DQ$4:$DQ$203,$DP$4:$DP$203,"&gt;="&amp;$DT$43,$DP$4:$DP$203,IF(40=$DS$13,"&lt;=","&lt;")&amp;($DT$43+$DS$16)))</f>
        <v/>
      </c>
      <c r="DV43">
        <f>IF(AND(MOD(29,$DS$17)=0,MOD((INT(29/$DS$17)+1)-1,$DS$13/5)=0),INDEX($EA$4:$EA$53,(INT(29/$DS$17)+1)),"")</f>
        <v/>
      </c>
      <c r="DW43">
        <f>IF(MOD(29,$DS$17)=$DS$17-1,0,INDEX($DU$4:$DU$53,(INT(29/$DS$17)+1)))</f>
        <v/>
      </c>
      <c r="DX43">
        <f>IFERROR(IF(AND($DZ$23&gt;=$DS$14,$DZ$23&lt;=$DS$15),10+0.5+100*($DZ$23-$DS$14)/($DS$15-$DS$14),NA()),NA())</f>
        <v/>
      </c>
      <c r="DY43">
        <f>IF(ISNA($DX$43),NA(),MAX($DW$4:$DW$123))</f>
        <v/>
      </c>
      <c r="EA43">
        <f>IF($DT$43="","",IFERROR(IF(ABS($DT$43)&gt;=1000000,ROUND($DT$43/1000000,MAX(0,1-INT(LOG10($DS$27/1000000))))&amp;"M",IF(ABS($DT$43)&gt;=1000,ROUND($DT$43/1000,MAX(0,1-INT(LOG10($DS$27/1000))))&amp;"k",TEXT($DT$43,"#,##0.0"))),TEXT($DT$43,"#,##0.0")))</f>
        <v/>
      </c>
      <c r="EB43" t="n">
        <v>19.5</v>
      </c>
      <c r="EC43" t="n">
        <v>19.75</v>
      </c>
      <c r="ED43" t="n">
        <v>64</v>
      </c>
      <c r="EG43">
        <f>IF(40&lt;=$EF$13,$EF$14+(40-1)*$EF$16,"")</f>
        <v/>
      </c>
      <c r="EH43">
        <f>IF(40&gt;$EF$13,"",SUMIFS($ED$4:$ED$203,$EC$4:$EC$203,"&gt;="&amp;$EG$43,$EC$4:$EC$203,IF(40=$EF$13,"&lt;=","&lt;")&amp;($EG$43+$EF$16)))</f>
        <v/>
      </c>
      <c r="EI43">
        <f>IF(AND(MOD(29,$EF$17)=0,MOD((INT(29/$EF$17)+1)-1,$EF$13/5)=0),INDEX($EN$4:$EN$53,(INT(29/$EF$17)+1)),"")</f>
        <v/>
      </c>
      <c r="EJ43">
        <f>IF(MOD(29,$EF$17)=$EF$17-1,0,INDEX($EH$4:$EH$53,(INT(29/$EF$17)+1)))</f>
        <v/>
      </c>
      <c r="EK43">
        <f>IFERROR(IF(AND($EM$23&gt;=$EF$14,$EM$23&lt;=$EF$15),10+0.5+100*($EM$23-$EF$14)/($EF$15-$EF$14),NA()),NA())</f>
        <v/>
      </c>
      <c r="EL43">
        <f>IF(ISNA($EK$43),NA(),MAX($EJ$4:$EJ$123))</f>
        <v/>
      </c>
      <c r="EN43">
        <f>IF($EG$43="","",IFERROR(IF(ABS($EG$43)&gt;=1000000,ROUND($EG$43/1000000,MAX(0,1-INT(LOG10($EF$27/1000000))))&amp;"M",IF(ABS($EG$43)&gt;=1000,ROUND($EG$43/1000,MAX(0,1-INT(LOG10($EF$27/1000))))&amp;"k",TEXT($EG$43,"#,##0"))),TEXT($EG$43,"#,##0")))</f>
        <v/>
      </c>
      <c r="EO43" t="n">
        <v>0.6825000000000001</v>
      </c>
      <c r="EP43" t="n">
        <v>0.69125</v>
      </c>
      <c r="EQ43" t="n">
        <v>111</v>
      </c>
      <c r="ET43">
        <f>IF(40&lt;=$ES$13,$ES$14+(40-1)*$ES$16,"")</f>
        <v/>
      </c>
      <c r="EU43">
        <f>IF(40&gt;$ES$13,"",SUMIFS($EQ$4:$EQ$203,$EP$4:$EP$203,"&gt;="&amp;$ET$43,$EP$4:$EP$203,IF(40=$ES$13,"&lt;=","&lt;")&amp;($ET$43+$ES$16)))</f>
        <v/>
      </c>
      <c r="EV43">
        <f>IF(AND(MOD(29,$ES$17)=0,MOD((INT(29/$ES$17)+1)-1,$ES$13/5)=0),INDEX($FA$4:$FA$53,(INT(29/$ES$17)+1)),"")</f>
        <v/>
      </c>
      <c r="EW43">
        <f>IF(MOD(29,$ES$17)=$ES$17-1,0,INDEX($EU$4:$EU$53,(INT(29/$ES$17)+1)))</f>
        <v/>
      </c>
      <c r="EX43">
        <f>IFERROR(IF(AND($EZ$23&gt;=$ES$14,$EZ$23&lt;=$ES$15),10+0.5+100*($EZ$23-$ES$14)/($ES$15-$ES$14),NA()),NA())</f>
        <v/>
      </c>
      <c r="EY43">
        <f>IF(ISNA($EX$43),NA(),MAX($EW$4:$EW$123))</f>
        <v/>
      </c>
      <c r="FA43">
        <f>IF($ET$43="","",IFERROR(IF(ABS($ET$43)&gt;=1000000,ROUND($ET$43/1000000,MAX(0,1-INT(LOG10($ES$27/1000000))))&amp;"M",IF(ABS($ET$43)&gt;=1000,ROUND($ET$43/1000,MAX(0,1-INT(LOG10($ES$27/1000))))&amp;"k",TEXT($ET$43,"0.00"))),TEXT($ET$43,"0.00")))</f>
        <v/>
      </c>
    </row>
    <row r="44">
      <c r="B44" t="n">
        <v>610</v>
      </c>
      <c r="C44" t="n">
        <v>610.75</v>
      </c>
      <c r="D44" t="n">
        <v>47</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58</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78</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c r="AO44" t="n">
        <v>160000</v>
      </c>
      <c r="AP44" t="n">
        <v>162000</v>
      </c>
      <c r="AQ44" t="n">
        <v>161</v>
      </c>
      <c r="AT44">
        <f>IF(41&lt;=$AS$13,$AS$14+(41-1)*$AS$16,"")</f>
        <v/>
      </c>
      <c r="AU44">
        <f>IF(41&gt;$AS$13,"",SUMIFS($AQ$4:$AQ$203,$AP$4:$AP$203,"&gt;="&amp;$AT$44,$AP$4:$AP$203,IF(41=$AS$13,"&lt;=","&lt;")&amp;($AT$44+$AS$16)))</f>
        <v/>
      </c>
      <c r="AV44">
        <f>IF(AND(MOD(30,$AS$17)=0,MOD((INT(30/$AS$17)+1)-1,$AS$13/5)=0),INDEX($BA$4:$BA$53,(INT(30/$AS$17)+1)),"")</f>
        <v/>
      </c>
      <c r="AW44">
        <f>IF(MOD(30,$AS$17)=$AS$17-1,0,INDEX($AU$4:$AU$53,(INT(30/$AS$17)+1)))</f>
        <v/>
      </c>
      <c r="AX44">
        <f>IFERROR(IF(AND($AZ$24&gt;=$AS$14,$AZ$24&lt;=$AS$15),10+0.5+100*($AZ$24-$AS$14)/($AS$15-$AS$14),NA()),NA())</f>
        <v/>
      </c>
      <c r="AY44">
        <f>IF(ISNA($AX$44),NA(),0)</f>
        <v/>
      </c>
      <c r="BA44">
        <f>IF($AT$44="","",IFERROR(IF(ABS($AT$44)&gt;=1000000,ROUND($AT$44/1000000,MAX(0,1-INT(LOG10($AS$27/1000000))))&amp;"M",IF(ABS($AT$44)&gt;=1000,ROUND($AT$44/1000,MAX(0,1-INT(LOG10($AS$27/1000))))&amp;"k",TEXT($AT$44,"#,##0"))),TEXT($AT$44,"#,##0")))</f>
        <v/>
      </c>
      <c r="BB44" t="n">
        <v>280000</v>
      </c>
      <c r="BC44" t="n">
        <v>283500</v>
      </c>
      <c r="BD44" t="n">
        <v>78</v>
      </c>
      <c r="BG44">
        <f>IF(41&lt;=$BF$13,$BF$14+(41-1)*$BF$16,"")</f>
        <v/>
      </c>
      <c r="BH44">
        <f>IF(41&gt;$BF$13,"",SUMIFS($BD$4:$BD$203,$BC$4:$BC$203,"&gt;="&amp;$BG$44,$BC$4:$BC$203,IF(41=$BF$13,"&lt;=","&lt;")&amp;($BG$44+$BF$16)))</f>
        <v/>
      </c>
      <c r="BI44">
        <f>IF(AND(MOD(30,$BF$17)=0,MOD((INT(30/$BF$17)+1)-1,$BF$13/5)=0),INDEX($BN$4:$BN$53,(INT(30/$BF$17)+1)),"")</f>
        <v/>
      </c>
      <c r="BJ44">
        <f>IF(MOD(30,$BF$17)=$BF$17-1,0,INDEX($BH$4:$BH$53,(INT(30/$BF$17)+1)))</f>
        <v/>
      </c>
      <c r="BK44">
        <f>IFERROR(IF(AND($BM$24&gt;=$BF$14,$BM$24&lt;=$BF$15),10+0.5+100*($BM$24-$BF$14)/($BF$15-$BF$14),NA()),NA())</f>
        <v/>
      </c>
      <c r="BL44">
        <f>IF(ISNA($BK$44),NA(),0)</f>
        <v/>
      </c>
      <c r="BN44">
        <f>IF($BG$44="","",IFERROR(IF(ABS($BG$44)&gt;=1000000,ROUND($BG$44/1000000,MAX(0,1-INT(LOG10($BF$27/1000000))))&amp;"M",IF(ABS($BG$44)&gt;=1000,ROUND($BG$44/1000,MAX(0,1-INT(LOG10($BF$27/1000))))&amp;"k",TEXT($BG$44,"#,##0"))),TEXT($BG$44,"#,##0")))</f>
        <v/>
      </c>
      <c r="BO44" t="n">
        <v>0.24</v>
      </c>
      <c r="BP44" t="n">
        <v>0.243</v>
      </c>
      <c r="BQ44" t="n">
        <v>60</v>
      </c>
      <c r="BT44">
        <f>IF(41&lt;=$BS$13,$BS$14+(41-1)*$BS$16,"")</f>
        <v/>
      </c>
      <c r="BU44">
        <f>IF(41&gt;$BS$13,"",SUMIFS($BQ$4:$BQ$203,$BP$4:$BP$203,"&gt;="&amp;$BT$44,$BP$4:$BP$203,IF(41=$BS$13,"&lt;=","&lt;")&amp;($BT$44+$BS$16)))</f>
        <v/>
      </c>
      <c r="BV44">
        <f>IF(AND(MOD(30,$BS$17)=0,MOD((INT(30/$BS$17)+1)-1,$BS$13/5)=0),INDEX($CA$4:$CA$53,(INT(30/$BS$17)+1)),"")</f>
        <v/>
      </c>
      <c r="BW44">
        <f>IF(MOD(30,$BS$17)=$BS$17-1,0,INDEX($BU$4:$BU$53,(INT(30/$BS$17)+1)))</f>
        <v/>
      </c>
      <c r="BX44">
        <f>IFERROR(IF(AND($BZ$24&gt;=$BS$14,$BZ$24&lt;=$BS$15),10+0.5+100*($BZ$24-$BS$14)/($BS$15-$BS$14),NA()),NA())</f>
        <v/>
      </c>
      <c r="BY44">
        <f>IF(ISNA($BX$44),NA(),0)</f>
        <v/>
      </c>
      <c r="CA44">
        <f>IF($BT$44="","",IFERROR(IF(ABS($BT$44)&gt;=1000000,ROUND($BT$44/1000000,MAX(0,1-INT(LOG10($BS$27/1000000))))&amp;"M",IF(ABS($BT$44)&gt;=1000,ROUND($BT$44/1000,MAX(0,1-INT(LOG10($BS$27/1000))))&amp;"k",TEXT($BT$44,"0.00"))),TEXT($BT$44,"0.00")))</f>
        <v/>
      </c>
      <c r="CB44" t="n">
        <v>6</v>
      </c>
      <c r="CC44" t="n">
        <v>6.075</v>
      </c>
      <c r="CD44" t="n">
        <v>149</v>
      </c>
      <c r="CG44">
        <f>IF(41&lt;=$CF$13,$CF$14+(41-1)*$CF$16,"")</f>
        <v/>
      </c>
      <c r="CH44">
        <f>IF(41&gt;$CF$13,"",SUMIFS($CD$4:$CD$203,$CC$4:$CC$203,"&gt;="&amp;$CG$44,$CC$4:$CC$203,IF(41=$CF$13,"&lt;=","&lt;")&amp;($CG$44+$CF$16)))</f>
        <v/>
      </c>
      <c r="CI44">
        <f>IF(AND(MOD(30,$CF$17)=0,MOD((INT(30/$CF$17)+1)-1,$CF$13/5)=0),INDEX($CN$4:$CN$53,(INT(30/$CF$17)+1)),"")</f>
        <v/>
      </c>
      <c r="CJ44">
        <f>IF(MOD(30,$CF$17)=$CF$17-1,0,INDEX($CH$4:$CH$53,(INT(30/$CF$17)+1)))</f>
        <v/>
      </c>
      <c r="CK44">
        <f>IFERROR(IF(AND($CM$24&gt;=$CF$14,$CM$24&lt;=$CF$15),10+0.5+100*($CM$24-$CF$14)/($CF$15-$CF$14),NA()),NA())</f>
        <v/>
      </c>
      <c r="CL44">
        <f>IF(ISNA($CK$44),NA(),0)</f>
        <v/>
      </c>
      <c r="CN44">
        <f>IF($CG$44="","",IFERROR(IF(ABS($CG$44)&gt;=1000000,ROUND($CG$44/1000000,MAX(0,1-INT(LOG10($CF$27/1000000))))&amp;"M",IF(ABS($CG$44)&gt;=1000,ROUND($CG$44/1000,MAX(0,1-INT(LOG10($CF$27/1000))))&amp;"k",TEXT($CG$44,"#,##0.0"))),TEXT($CG$44,"#,##0.0")))</f>
        <v/>
      </c>
      <c r="CO44" t="n">
        <v>26</v>
      </c>
      <c r="CP44" t="n">
        <v>26.2</v>
      </c>
      <c r="CQ44" t="n">
        <v>36</v>
      </c>
      <c r="CT44">
        <f>IF(41&lt;=$CS$13,$CS$14+(41-1)*$CS$16,"")</f>
        <v/>
      </c>
      <c r="CU44">
        <f>IF(41&gt;$CS$13,"",SUMIFS($CQ$4:$CQ$203,$CP$4:$CP$203,"&gt;="&amp;$CT$44,$CP$4:$CP$203,IF(41=$CS$13,"&lt;=","&lt;")&amp;($CT$44+$CS$16)))</f>
        <v/>
      </c>
      <c r="CV44">
        <f>IF(AND(MOD(30,$CS$17)=0,MOD((INT(30/$CS$17)+1)-1,$CS$13/5)=0),INDEX($DA$4:$DA$53,(INT(30/$CS$17)+1)),"")</f>
        <v/>
      </c>
      <c r="CW44">
        <f>IF(MOD(30,$CS$17)=$CS$17-1,0,INDEX($CU$4:$CU$53,(INT(30/$CS$17)+1)))</f>
        <v/>
      </c>
      <c r="CX44">
        <f>IFERROR(IF(AND($CZ$24&gt;=$CS$14,$CZ$24&lt;=$CS$15),10+0.5+100*($CZ$24-$CS$14)/($CS$15-$CS$14),NA()),NA())</f>
        <v/>
      </c>
      <c r="CY44">
        <f>IF(ISNA($CX$44),NA(),0)</f>
        <v/>
      </c>
      <c r="DA44">
        <f>IF($CT$44="","",IFERROR(IF(ABS($CT$44)&gt;=1000000,ROUND($CT$44/1000000,MAX(0,1-INT(LOG10($CS$27/1000000))))&amp;"M",IF(ABS($CT$44)&gt;=1000,ROUND($CT$44/1000,MAX(0,1-INT(LOG10($CS$27/1000))))&amp;"k",TEXT($CT$44,"#,##0"))),TEXT($CT$44,"#,##0")))</f>
        <v/>
      </c>
      <c r="DB44" t="n">
        <v>24</v>
      </c>
      <c r="DC44" t="n">
        <v>24.175</v>
      </c>
      <c r="DD44" t="n">
        <v>36</v>
      </c>
      <c r="DG44">
        <f>IF(41&lt;=$DF$13,$DF$14+(41-1)*$DF$16,"")</f>
        <v/>
      </c>
      <c r="DH44">
        <f>IF(41&gt;$DF$13,"",SUMIFS($DD$4:$DD$203,$DC$4:$DC$203,"&gt;="&amp;$DG$44,$DC$4:$DC$203,IF(41=$DF$13,"&lt;=","&lt;")&amp;($DG$44+$DF$16)))</f>
        <v/>
      </c>
      <c r="DI44">
        <f>IF(AND(MOD(30,$DF$17)=0,MOD((INT(30/$DF$17)+1)-1,$DF$13/5)=0),INDEX($DN$4:$DN$53,(INT(30/$DF$17)+1)),"")</f>
        <v/>
      </c>
      <c r="DJ44">
        <f>IF(MOD(30,$DF$17)=$DF$17-1,0,INDEX($DH$4:$DH$53,(INT(30/$DF$17)+1)))</f>
        <v/>
      </c>
      <c r="DK44">
        <f>IFERROR(IF(AND($DM$24&gt;=$DF$14,$DM$24&lt;=$DF$15),10+0.5+100*($DM$24-$DF$14)/($DF$15-$DF$14),NA()),NA())</f>
        <v/>
      </c>
      <c r="DL44">
        <f>IF(ISNA($DK$44),NA(),0)</f>
        <v/>
      </c>
      <c r="DN44">
        <f>IF($DG$44="","",IFERROR(IF(ABS($DG$44)&gt;=1000000,ROUND($DG$44/1000000,MAX(0,1-INT(LOG10($DF$27/1000000))))&amp;"M",IF(ABS($DG$44)&gt;=1000,ROUND($DG$44/1000,MAX(0,1-INT(LOG10($DF$27/1000))))&amp;"k",TEXT($DG$44,"#,##0.0"))),TEXT($DG$44,"#,##0.0")))</f>
        <v/>
      </c>
      <c r="DO44" t="n">
        <v>8.5</v>
      </c>
      <c r="DP44" t="n">
        <v>8.512499999999999</v>
      </c>
      <c r="DQ44" t="n">
        <v>37</v>
      </c>
      <c r="DT44">
        <f>IF(41&lt;=$DS$13,$DS$14+(41-1)*$DS$16,"")</f>
        <v/>
      </c>
      <c r="DU44">
        <f>IF(41&gt;$DS$13,"",SUMIFS($DQ$4:$DQ$203,$DP$4:$DP$203,"&gt;="&amp;$DT$44,$DP$4:$DP$203,IF(41=$DS$13,"&lt;=","&lt;")&amp;($DT$44+$DS$16)))</f>
        <v/>
      </c>
      <c r="DV44">
        <f>IF(AND(MOD(30,$DS$17)=0,MOD((INT(30/$DS$17)+1)-1,$DS$13/5)=0),INDEX($EA$4:$EA$53,(INT(30/$DS$17)+1)),"")</f>
        <v/>
      </c>
      <c r="DW44">
        <f>IF(MOD(30,$DS$17)=$DS$17-1,0,INDEX($DU$4:$DU$53,(INT(30/$DS$17)+1)))</f>
        <v/>
      </c>
      <c r="DX44">
        <f>IFERROR(IF(AND($DZ$24&gt;=$DS$14,$DZ$24&lt;=$DS$15),10+0.5+100*($DZ$24-$DS$14)/($DS$15-$DS$14),NA()),NA())</f>
        <v/>
      </c>
      <c r="DY44">
        <f>IF(ISNA($DX$44),NA(),0)</f>
        <v/>
      </c>
      <c r="EA44">
        <f>IF($DT$44="","",IFERROR(IF(ABS($DT$44)&gt;=1000000,ROUND($DT$44/1000000,MAX(0,1-INT(LOG10($DS$27/1000000))))&amp;"M",IF(ABS($DT$44)&gt;=1000,ROUND($DT$44/1000,MAX(0,1-INT(LOG10($DS$27/1000))))&amp;"k",TEXT($DT$44,"#,##0.0"))),TEXT($DT$44,"#,##0.0")))</f>
        <v/>
      </c>
      <c r="EB44" t="n">
        <v>20</v>
      </c>
      <c r="EC44" t="n">
        <v>20.25</v>
      </c>
      <c r="ED44" t="n">
        <v>52</v>
      </c>
      <c r="EG44">
        <f>IF(41&lt;=$EF$13,$EF$14+(41-1)*$EF$16,"")</f>
        <v/>
      </c>
      <c r="EH44">
        <f>IF(41&gt;$EF$13,"",SUMIFS($ED$4:$ED$203,$EC$4:$EC$203,"&gt;="&amp;$EG$44,$EC$4:$EC$203,IF(41=$EF$13,"&lt;=","&lt;")&amp;($EG$44+$EF$16)))</f>
        <v/>
      </c>
      <c r="EI44">
        <f>IF(AND(MOD(30,$EF$17)=0,MOD((INT(30/$EF$17)+1)-1,$EF$13/5)=0),INDEX($EN$4:$EN$53,(INT(30/$EF$17)+1)),"")</f>
        <v/>
      </c>
      <c r="EJ44">
        <f>IF(MOD(30,$EF$17)=$EF$17-1,0,INDEX($EH$4:$EH$53,(INT(30/$EF$17)+1)))</f>
        <v/>
      </c>
      <c r="EK44">
        <f>IFERROR(IF(AND($EM$24&gt;=$EF$14,$EM$24&lt;=$EF$15),10+0.5+100*($EM$24-$EF$14)/($EF$15-$EF$14),NA()),NA())</f>
        <v/>
      </c>
      <c r="EL44">
        <f>IF(ISNA($EK$44),NA(),0)</f>
        <v/>
      </c>
      <c r="EN44">
        <f>IF($EG$44="","",IFERROR(IF(ABS($EG$44)&gt;=1000000,ROUND($EG$44/1000000,MAX(0,1-INT(LOG10($EF$27/1000000))))&amp;"M",IF(ABS($EG$44)&gt;=1000,ROUND($EG$44/1000,MAX(0,1-INT(LOG10($EF$27/1000))))&amp;"k",TEXT($EG$44,"#,##0"))),TEXT($EG$44,"#,##0")))</f>
        <v/>
      </c>
      <c r="EO44" t="n">
        <v>0.7000000000000001</v>
      </c>
      <c r="EP44" t="n">
        <v>0.7087500000000001</v>
      </c>
      <c r="EQ44" t="n">
        <v>137</v>
      </c>
      <c r="ET44">
        <f>IF(41&lt;=$ES$13,$ES$14+(41-1)*$ES$16,"")</f>
        <v/>
      </c>
      <c r="EU44">
        <f>IF(41&gt;$ES$13,"",SUMIFS($EQ$4:$EQ$203,$EP$4:$EP$203,"&gt;="&amp;$ET$44,$EP$4:$EP$203,IF(41=$ES$13,"&lt;=","&lt;")&amp;($ET$44+$ES$16)))</f>
        <v/>
      </c>
      <c r="EV44">
        <f>IF(AND(MOD(30,$ES$17)=0,MOD((INT(30/$ES$17)+1)-1,$ES$13/5)=0),INDEX($FA$4:$FA$53,(INT(30/$ES$17)+1)),"")</f>
        <v/>
      </c>
      <c r="EW44">
        <f>IF(MOD(30,$ES$17)=$ES$17-1,0,INDEX($EU$4:$EU$53,(INT(30/$ES$17)+1)))</f>
        <v/>
      </c>
      <c r="EX44">
        <f>IFERROR(IF(AND($EZ$24&gt;=$ES$14,$EZ$24&lt;=$ES$15),10+0.5+100*($EZ$24-$ES$14)/($ES$15-$ES$14),NA()),NA())</f>
        <v/>
      </c>
      <c r="EY44">
        <f>IF(ISNA($EX$44),NA(),0)</f>
        <v/>
      </c>
      <c r="FA44">
        <f>IF($ET$44="","",IFERROR(IF(ABS($ET$44)&gt;=1000000,ROUND($ET$44/1000000,MAX(0,1-INT(LOG10($ES$27/1000000))))&amp;"M",IF(ABS($ET$44)&gt;=1000,ROUND($ET$44/1000,MAX(0,1-INT(LOG10($ES$27/1000))))&amp;"k",TEXT($ET$44,"0.00"))),TEXT($ET$44,"0.00")))</f>
        <v/>
      </c>
    </row>
    <row r="45">
      <c r="B45" t="n">
        <v>611.5</v>
      </c>
      <c r="C45" t="n">
        <v>612.25</v>
      </c>
      <c r="D45" t="n">
        <v>22</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63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91</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c r="AO45" t="n">
        <v>164000</v>
      </c>
      <c r="AP45" t="n">
        <v>166000</v>
      </c>
      <c r="AQ45" t="n">
        <v>171</v>
      </c>
      <c r="AT45">
        <f>IF(42&lt;=$AS$13,$AS$14+(42-1)*$AS$16,"")</f>
        <v/>
      </c>
      <c r="AU45">
        <f>IF(42&gt;$AS$13,"",SUMIFS($AQ$4:$AQ$203,$AP$4:$AP$203,"&gt;="&amp;$AT$45,$AP$4:$AP$203,IF(42=$AS$13,"&lt;=","&lt;")&amp;($AT$45+$AS$16)))</f>
        <v/>
      </c>
      <c r="AV45">
        <f>IF(AND(MOD(31,$AS$17)=0,MOD((INT(31/$AS$17)+1)-1,$AS$13/5)=0),INDEX($BA$4:$BA$53,(INT(31/$AS$17)+1)),"")</f>
        <v/>
      </c>
      <c r="AW45">
        <f>IF(MOD(31,$AS$17)=$AS$17-1,0,INDEX($AU$4:$AU$53,(INT(31/$AS$17)+1)))</f>
        <v/>
      </c>
      <c r="AX45">
        <f>IFERROR(IF(AND($AZ$24&gt;=$AS$14,$AZ$24&lt;=$AS$15),10+0.5+100*($AZ$24-$AS$14)/($AS$15-$AS$14),NA()),NA())</f>
        <v/>
      </c>
      <c r="AY45">
        <f>IF(ISNA($AX$45),NA(),MAX($AW$4:$AW$123))</f>
        <v/>
      </c>
      <c r="BA45">
        <f>IF($AT$45="","",IFERROR(IF(ABS($AT$45)&gt;=1000000,ROUND($AT$45/1000000,MAX(0,1-INT(LOG10($AS$27/1000000))))&amp;"M",IF(ABS($AT$45)&gt;=1000,ROUND($AT$45/1000,MAX(0,1-INT(LOG10($AS$27/1000))))&amp;"k",TEXT($AT$45,"#,##0"))),TEXT($AT$45,"#,##0")))</f>
        <v/>
      </c>
      <c r="BB45" t="n">
        <v>287000</v>
      </c>
      <c r="BC45" t="n">
        <v>290500</v>
      </c>
      <c r="BD45" t="n">
        <v>72</v>
      </c>
      <c r="BG45">
        <f>IF(42&lt;=$BF$13,$BF$14+(42-1)*$BF$16,"")</f>
        <v/>
      </c>
      <c r="BH45">
        <f>IF(42&gt;$BF$13,"",SUMIFS($BD$4:$BD$203,$BC$4:$BC$203,"&gt;="&amp;$BG$45,$BC$4:$BC$203,IF(42=$BF$13,"&lt;=","&lt;")&amp;($BG$45+$BF$16)))</f>
        <v/>
      </c>
      <c r="BI45">
        <f>IF(AND(MOD(31,$BF$17)=0,MOD((INT(31/$BF$17)+1)-1,$BF$13/5)=0),INDEX($BN$4:$BN$53,(INT(31/$BF$17)+1)),"")</f>
        <v/>
      </c>
      <c r="BJ45">
        <f>IF(MOD(31,$BF$17)=$BF$17-1,0,INDEX($BH$4:$BH$53,(INT(31/$BF$17)+1)))</f>
        <v/>
      </c>
      <c r="BK45">
        <f>IFERROR(IF(AND($BM$24&gt;=$BF$14,$BM$24&lt;=$BF$15),10+0.5+100*($BM$24-$BF$14)/($BF$15-$BF$14),NA()),NA())</f>
        <v/>
      </c>
      <c r="BL45">
        <f>IF(ISNA($BK$45),NA(),MAX($BJ$4:$BJ$123))</f>
        <v/>
      </c>
      <c r="BN45">
        <f>IF($BG$45="","",IFERROR(IF(ABS($BG$45)&gt;=1000000,ROUND($BG$45/1000000,MAX(0,1-INT(LOG10($BF$27/1000000))))&amp;"M",IF(ABS($BG$45)&gt;=1000,ROUND($BG$45/1000,MAX(0,1-INT(LOG10($BF$27/1000))))&amp;"k",TEXT($BG$45,"#,##0"))),TEXT($BG$45,"#,##0")))</f>
        <v/>
      </c>
      <c r="BO45" t="n">
        <v>0.246</v>
      </c>
      <c r="BP45" t="n">
        <v>0.249</v>
      </c>
      <c r="BQ45" t="n">
        <v>75</v>
      </c>
      <c r="BT45">
        <f>IF(42&lt;=$BS$13,$BS$14+(42-1)*$BS$16,"")</f>
        <v/>
      </c>
      <c r="BU45">
        <f>IF(42&gt;$BS$13,"",SUMIFS($BQ$4:$BQ$203,$BP$4:$BP$203,"&gt;="&amp;$BT$45,$BP$4:$BP$203,IF(42=$BS$13,"&lt;=","&lt;")&amp;($BT$45+$BS$16)))</f>
        <v/>
      </c>
      <c r="BV45">
        <f>IF(AND(MOD(31,$BS$17)=0,MOD((INT(31/$BS$17)+1)-1,$BS$13/5)=0),INDEX($CA$4:$CA$53,(INT(31/$BS$17)+1)),"")</f>
        <v/>
      </c>
      <c r="BW45">
        <f>IF(MOD(31,$BS$17)=$BS$17-1,0,INDEX($BU$4:$BU$53,(INT(31/$BS$17)+1)))</f>
        <v/>
      </c>
      <c r="BX45">
        <f>IFERROR(IF(AND($BZ$24&gt;=$BS$14,$BZ$24&lt;=$BS$15),10+0.5+100*($BZ$24-$BS$14)/($BS$15-$BS$14),NA()),NA())</f>
        <v/>
      </c>
      <c r="BY45">
        <f>IF(ISNA($BX$45),NA(),MAX($BW$4:$BW$123))</f>
        <v/>
      </c>
      <c r="CA45">
        <f>IF($BT$45="","",IFERROR(IF(ABS($BT$45)&gt;=1000000,ROUND($BT$45/1000000,MAX(0,1-INT(LOG10($BS$27/1000000))))&amp;"M",IF(ABS($BT$45)&gt;=1000,ROUND($BT$45/1000,MAX(0,1-INT(LOG10($BS$27/1000))))&amp;"k",TEXT($BT$45,"0.00"))),TEXT($BT$45,"0.00")))</f>
        <v/>
      </c>
      <c r="CB45" t="n">
        <v>6.149999999999999</v>
      </c>
      <c r="CC45" t="n">
        <v>6.225</v>
      </c>
      <c r="CD45" t="n">
        <v>65</v>
      </c>
      <c r="CG45">
        <f>IF(42&lt;=$CF$13,$CF$14+(42-1)*$CF$16,"")</f>
        <v/>
      </c>
      <c r="CH45">
        <f>IF(42&gt;$CF$13,"",SUMIFS($CD$4:$CD$203,$CC$4:$CC$203,"&gt;="&amp;$CG$45,$CC$4:$CC$203,IF(42=$CF$13,"&lt;=","&lt;")&amp;($CG$45+$CF$16)))</f>
        <v/>
      </c>
      <c r="CI45">
        <f>IF(AND(MOD(31,$CF$17)=0,MOD((INT(31/$CF$17)+1)-1,$CF$13/5)=0),INDEX($CN$4:$CN$53,(INT(31/$CF$17)+1)),"")</f>
        <v/>
      </c>
      <c r="CJ45">
        <f>IF(MOD(31,$CF$17)=$CF$17-1,0,INDEX($CH$4:$CH$53,(INT(31/$CF$17)+1)))</f>
        <v/>
      </c>
      <c r="CK45">
        <f>IFERROR(IF(AND($CM$24&gt;=$CF$14,$CM$24&lt;=$CF$15),10+0.5+100*($CM$24-$CF$14)/($CF$15-$CF$14),NA()),NA())</f>
        <v/>
      </c>
      <c r="CL45">
        <f>IF(ISNA($CK$45),NA(),MAX($CJ$4:$CJ$123))</f>
        <v/>
      </c>
      <c r="CN45">
        <f>IF($CG$45="","",IFERROR(IF(ABS($CG$45)&gt;=1000000,ROUND($CG$45/1000000,MAX(0,1-INT(LOG10($CF$27/1000000))))&amp;"M",IF(ABS($CG$45)&gt;=1000,ROUND($CG$45/1000,MAX(0,1-INT(LOG10($CF$27/1000))))&amp;"k",TEXT($CG$45,"#,##0.0"))),TEXT($CG$45,"#,##0.0")))</f>
        <v/>
      </c>
      <c r="CO45" t="n">
        <v>26.4</v>
      </c>
      <c r="CP45" t="n">
        <v>26.6</v>
      </c>
      <c r="CQ45" t="n">
        <v>38</v>
      </c>
      <c r="CT45">
        <f>IF(42&lt;=$CS$13,$CS$14+(42-1)*$CS$16,"")</f>
        <v/>
      </c>
      <c r="CU45">
        <f>IF(42&gt;$CS$13,"",SUMIFS($CQ$4:$CQ$203,$CP$4:$CP$203,"&gt;="&amp;$CT$45,$CP$4:$CP$203,IF(42=$CS$13,"&lt;=","&lt;")&amp;($CT$45+$CS$16)))</f>
        <v/>
      </c>
      <c r="CV45">
        <f>IF(AND(MOD(31,$CS$17)=0,MOD((INT(31/$CS$17)+1)-1,$CS$13/5)=0),INDEX($DA$4:$DA$53,(INT(31/$CS$17)+1)),"")</f>
        <v/>
      </c>
      <c r="CW45">
        <f>IF(MOD(31,$CS$17)=$CS$17-1,0,INDEX($CU$4:$CU$53,(INT(31/$CS$17)+1)))</f>
        <v/>
      </c>
      <c r="CX45">
        <f>IFERROR(IF(AND($CZ$24&gt;=$CS$14,$CZ$24&lt;=$CS$15),10+0.5+100*($CZ$24-$CS$14)/($CS$15-$CS$14),NA()),NA())</f>
        <v/>
      </c>
      <c r="CY45">
        <f>IF(ISNA($CX$45),NA(),MAX($CW$4:$CW$123))</f>
        <v/>
      </c>
      <c r="DA45">
        <f>IF($CT$45="","",IFERROR(IF(ABS($CT$45)&gt;=1000000,ROUND($CT$45/1000000,MAX(0,1-INT(LOG10($CS$27/1000000))))&amp;"M",IF(ABS($CT$45)&gt;=1000,ROUND($CT$45/1000,MAX(0,1-INT(LOG10($CS$27/1000))))&amp;"k",TEXT($CT$45,"#,##0"))),TEXT($CT$45,"#,##0")))</f>
        <v/>
      </c>
      <c r="DB45" t="n">
        <v>24.35</v>
      </c>
      <c r="DC45" t="n">
        <v>24.525</v>
      </c>
      <c r="DD45" t="n">
        <v>45</v>
      </c>
      <c r="DG45">
        <f>IF(42&lt;=$DF$13,$DF$14+(42-1)*$DF$16,"")</f>
        <v/>
      </c>
      <c r="DH45">
        <f>IF(42&gt;$DF$13,"",SUMIFS($DD$4:$DD$203,$DC$4:$DC$203,"&gt;="&amp;$DG$45,$DC$4:$DC$203,IF(42=$DF$13,"&lt;=","&lt;")&amp;($DG$45+$DF$16)))</f>
        <v/>
      </c>
      <c r="DI45">
        <f>IF(AND(MOD(31,$DF$17)=0,MOD((INT(31/$DF$17)+1)-1,$DF$13/5)=0),INDEX($DN$4:$DN$53,(INT(31/$DF$17)+1)),"")</f>
        <v/>
      </c>
      <c r="DJ45">
        <f>IF(MOD(31,$DF$17)=$DF$17-1,0,INDEX($DH$4:$DH$53,(INT(31/$DF$17)+1)))</f>
        <v/>
      </c>
      <c r="DK45">
        <f>IFERROR(IF(AND($DM$24&gt;=$DF$14,$DM$24&lt;=$DF$15),10+0.5+100*($DM$24-$DF$14)/($DF$15-$DF$14),NA()),NA())</f>
        <v/>
      </c>
      <c r="DL45">
        <f>IF(ISNA($DK$45),NA(),MAX($DJ$4:$DJ$123))</f>
        <v/>
      </c>
      <c r="DN45">
        <f>IF($DG$45="","",IFERROR(IF(ABS($DG$45)&gt;=1000000,ROUND($DG$45/1000000,MAX(0,1-INT(LOG10($DF$27/1000000))))&amp;"M",IF(ABS($DG$45)&gt;=1000,ROUND($DG$45/1000,MAX(0,1-INT(LOG10($DF$27/1000))))&amp;"k",TEXT($DG$45,"#,##0.0"))),TEXT($DG$45,"#,##0.0")))</f>
        <v/>
      </c>
      <c r="DO45" t="n">
        <v>8.525</v>
      </c>
      <c r="DP45" t="n">
        <v>8.5375</v>
      </c>
      <c r="DQ45" t="n">
        <v>23</v>
      </c>
      <c r="DT45">
        <f>IF(42&lt;=$DS$13,$DS$14+(42-1)*$DS$16,"")</f>
        <v/>
      </c>
      <c r="DU45">
        <f>IF(42&gt;$DS$13,"",SUMIFS($DQ$4:$DQ$203,$DP$4:$DP$203,"&gt;="&amp;$DT$45,$DP$4:$DP$203,IF(42=$DS$13,"&lt;=","&lt;")&amp;($DT$45+$DS$16)))</f>
        <v/>
      </c>
      <c r="DV45">
        <f>IF(AND(MOD(31,$DS$17)=0,MOD((INT(31/$DS$17)+1)-1,$DS$13/5)=0),INDEX($EA$4:$EA$53,(INT(31/$DS$17)+1)),"")</f>
        <v/>
      </c>
      <c r="DW45">
        <f>IF(MOD(31,$DS$17)=$DS$17-1,0,INDEX($DU$4:$DU$53,(INT(31/$DS$17)+1)))</f>
        <v/>
      </c>
      <c r="DX45">
        <f>IFERROR(IF(AND($DZ$24&gt;=$DS$14,$DZ$24&lt;=$DS$15),10+0.5+100*($DZ$24-$DS$14)/($DS$15-$DS$14),NA()),NA())</f>
        <v/>
      </c>
      <c r="DY45">
        <f>IF(ISNA($DX$45),NA(),MAX($DW$4:$DW$123))</f>
        <v/>
      </c>
      <c r="EA45">
        <f>IF($DT$45="","",IFERROR(IF(ABS($DT$45)&gt;=1000000,ROUND($DT$45/1000000,MAX(0,1-INT(LOG10($DS$27/1000000))))&amp;"M",IF(ABS($DT$45)&gt;=1000,ROUND($DT$45/1000,MAX(0,1-INT(LOG10($DS$27/1000))))&amp;"k",TEXT($DT$45,"#,##0.0"))),TEXT($DT$45,"#,##0.0")))</f>
        <v/>
      </c>
      <c r="EB45" t="n">
        <v>20.5</v>
      </c>
      <c r="EC45" t="n">
        <v>20.75</v>
      </c>
      <c r="ED45" t="n">
        <v>49</v>
      </c>
      <c r="EG45">
        <f>IF(42&lt;=$EF$13,$EF$14+(42-1)*$EF$16,"")</f>
        <v/>
      </c>
      <c r="EH45">
        <f>IF(42&gt;$EF$13,"",SUMIFS($ED$4:$ED$203,$EC$4:$EC$203,"&gt;="&amp;$EG$45,$EC$4:$EC$203,IF(42=$EF$13,"&lt;=","&lt;")&amp;($EG$45+$EF$16)))</f>
        <v/>
      </c>
      <c r="EI45">
        <f>IF(AND(MOD(31,$EF$17)=0,MOD((INT(31/$EF$17)+1)-1,$EF$13/5)=0),INDEX($EN$4:$EN$53,(INT(31/$EF$17)+1)),"")</f>
        <v/>
      </c>
      <c r="EJ45">
        <f>IF(MOD(31,$EF$17)=$EF$17-1,0,INDEX($EH$4:$EH$53,(INT(31/$EF$17)+1)))</f>
        <v/>
      </c>
      <c r="EK45">
        <f>IFERROR(IF(AND($EM$24&gt;=$EF$14,$EM$24&lt;=$EF$15),10+0.5+100*($EM$24-$EF$14)/($EF$15-$EF$14),NA()),NA())</f>
        <v/>
      </c>
      <c r="EL45">
        <f>IF(ISNA($EK$45),NA(),MAX($EJ$4:$EJ$123))</f>
        <v/>
      </c>
      <c r="EN45">
        <f>IF($EG$45="","",IFERROR(IF(ABS($EG$45)&gt;=1000000,ROUND($EG$45/1000000,MAX(0,1-INT(LOG10($EF$27/1000000))))&amp;"M",IF(ABS($EG$45)&gt;=1000,ROUND($EG$45/1000,MAX(0,1-INT(LOG10($EF$27/1000))))&amp;"k",TEXT($EG$45,"#,##0"))),TEXT($EG$45,"#,##0")))</f>
        <v/>
      </c>
      <c r="EO45" t="n">
        <v>0.7175</v>
      </c>
      <c r="EP45" t="n">
        <v>0.7262500000000001</v>
      </c>
      <c r="EQ45" t="n">
        <v>156</v>
      </c>
      <c r="ET45">
        <f>IF(42&lt;=$ES$13,$ES$14+(42-1)*$ES$16,"")</f>
        <v/>
      </c>
      <c r="EU45">
        <f>IF(42&gt;$ES$13,"",SUMIFS($EQ$4:$EQ$203,$EP$4:$EP$203,"&gt;="&amp;$ET$45,$EP$4:$EP$203,IF(42=$ES$13,"&lt;=","&lt;")&amp;($ET$45+$ES$16)))</f>
        <v/>
      </c>
      <c r="EV45">
        <f>IF(AND(MOD(31,$ES$17)=0,MOD((INT(31/$ES$17)+1)-1,$ES$13/5)=0),INDEX($FA$4:$FA$53,(INT(31/$ES$17)+1)),"")</f>
        <v/>
      </c>
      <c r="EW45">
        <f>IF(MOD(31,$ES$17)=$ES$17-1,0,INDEX($EU$4:$EU$53,(INT(31/$ES$17)+1)))</f>
        <v/>
      </c>
      <c r="EX45">
        <f>IFERROR(IF(AND($EZ$24&gt;=$ES$14,$EZ$24&lt;=$ES$15),10+0.5+100*($EZ$24-$ES$14)/($ES$15-$ES$14),NA()),NA())</f>
        <v/>
      </c>
      <c r="EY45">
        <f>IF(ISNA($EX$45),NA(),MAX($EW$4:$EW$123))</f>
        <v/>
      </c>
      <c r="FA45">
        <f>IF($ET$45="","",IFERROR(IF(ABS($ET$45)&gt;=1000000,ROUND($ET$45/1000000,MAX(0,1-INT(LOG10($ES$27/1000000))))&amp;"M",IF(ABS($ET$45)&gt;=1000,ROUND($ET$45/1000,MAX(0,1-INT(LOG10($ES$27/1000))))&amp;"k",TEXT($ET$45,"0.00"))),TEXT($ET$45,"0.00")))</f>
        <v/>
      </c>
    </row>
    <row r="46">
      <c r="B46" t="n">
        <v>613</v>
      </c>
      <c r="C46" t="n">
        <v>613.75</v>
      </c>
      <c r="D46" t="n">
        <v>48</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67</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102</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c r="AO46" t="n">
        <v>168000</v>
      </c>
      <c r="AP46" t="n">
        <v>170000</v>
      </c>
      <c r="AQ46" t="n">
        <v>143</v>
      </c>
      <c r="AT46">
        <f>IF(43&lt;=$AS$13,$AS$14+(43-1)*$AS$16,"")</f>
        <v/>
      </c>
      <c r="AU46">
        <f>IF(43&gt;$AS$13,"",SUMIFS($AQ$4:$AQ$203,$AP$4:$AP$203,"&gt;="&amp;$AT$46,$AP$4:$AP$203,IF(43=$AS$13,"&lt;=","&lt;")&amp;($AT$46+$AS$16)))</f>
        <v/>
      </c>
      <c r="AV46">
        <f>IF(AND(MOD(32,$AS$17)=0,MOD((INT(32/$AS$17)+1)-1,$AS$13/5)=0),INDEX($BA$4:$BA$53,(INT(32/$AS$17)+1)),"")</f>
        <v/>
      </c>
      <c r="AW46">
        <f>IF(MOD(32,$AS$17)=$AS$17-1,0,INDEX($AU$4:$AU$53,(INT(32/$AS$17)+1)))</f>
        <v/>
      </c>
      <c r="AX46">
        <f>IFERROR(IF(AND($AZ$25&gt;=$AS$14,$AZ$25&lt;=$AS$15),10+0.5+100*($AZ$25-$AS$14)/($AS$15-$AS$14),NA()),NA())</f>
        <v/>
      </c>
      <c r="AY46">
        <f>IF(ISNA($AX$46),NA(),0)</f>
        <v/>
      </c>
      <c r="BA46">
        <f>IF($AT$46="","",IFERROR(IF(ABS($AT$46)&gt;=1000000,ROUND($AT$46/1000000,MAX(0,1-INT(LOG10($AS$27/1000000))))&amp;"M",IF(ABS($AT$46)&gt;=1000,ROUND($AT$46/1000,MAX(0,1-INT(LOG10($AS$27/1000))))&amp;"k",TEXT($AT$46,"#,##0"))),TEXT($AT$46,"#,##0")))</f>
        <v/>
      </c>
      <c r="BB46" t="n">
        <v>294000</v>
      </c>
      <c r="BC46" t="n">
        <v>297500</v>
      </c>
      <c r="BD46" t="n">
        <v>70</v>
      </c>
      <c r="BG46">
        <f>IF(43&lt;=$BF$13,$BF$14+(43-1)*$BF$16,"")</f>
        <v/>
      </c>
      <c r="BH46">
        <f>IF(43&gt;$BF$13,"",SUMIFS($BD$4:$BD$203,$BC$4:$BC$203,"&gt;="&amp;$BG$46,$BC$4:$BC$203,IF(43=$BF$13,"&lt;=","&lt;")&amp;($BG$46+$BF$16)))</f>
        <v/>
      </c>
      <c r="BI46">
        <f>IF(AND(MOD(32,$BF$17)=0,MOD((INT(32/$BF$17)+1)-1,$BF$13/5)=0),INDEX($BN$4:$BN$53,(INT(32/$BF$17)+1)),"")</f>
        <v/>
      </c>
      <c r="BJ46">
        <f>IF(MOD(32,$BF$17)=$BF$17-1,0,INDEX($BH$4:$BH$53,(INT(32/$BF$17)+1)))</f>
        <v/>
      </c>
      <c r="BK46">
        <f>IFERROR(IF(AND($BM$25&gt;=$BF$14,$BM$25&lt;=$BF$15),10+0.5+100*($BM$25-$BF$14)/($BF$15-$BF$14),NA()),NA())</f>
        <v/>
      </c>
      <c r="BL46">
        <f>IF(ISNA($BK$46),NA(),0)</f>
        <v/>
      </c>
      <c r="BN46">
        <f>IF($BG$46="","",IFERROR(IF(ABS($BG$46)&gt;=1000000,ROUND($BG$46/1000000,MAX(0,1-INT(LOG10($BF$27/1000000))))&amp;"M",IF(ABS($BG$46)&gt;=1000,ROUND($BG$46/1000,MAX(0,1-INT(LOG10($BF$27/1000))))&amp;"k",TEXT($BG$46,"#,##0"))),TEXT($BG$46,"#,##0")))</f>
        <v/>
      </c>
      <c r="BO46" t="n">
        <v>0.252</v>
      </c>
      <c r="BP46" t="n">
        <v>0.255</v>
      </c>
      <c r="BQ46" t="n">
        <v>57</v>
      </c>
      <c r="BT46">
        <f>IF(43&lt;=$BS$13,$BS$14+(43-1)*$BS$16,"")</f>
        <v/>
      </c>
      <c r="BU46">
        <f>IF(43&gt;$BS$13,"",SUMIFS($BQ$4:$BQ$203,$BP$4:$BP$203,"&gt;="&amp;$BT$46,$BP$4:$BP$203,IF(43=$BS$13,"&lt;=","&lt;")&amp;($BT$46+$BS$16)))</f>
        <v/>
      </c>
      <c r="BV46">
        <f>IF(AND(MOD(32,$BS$17)=0,MOD((INT(32/$BS$17)+1)-1,$BS$13/5)=0),INDEX($CA$4:$CA$53,(INT(32/$BS$17)+1)),"")</f>
        <v/>
      </c>
      <c r="BW46">
        <f>IF(MOD(32,$BS$17)=$BS$17-1,0,INDEX($BU$4:$BU$53,(INT(32/$BS$17)+1)))</f>
        <v/>
      </c>
      <c r="BX46">
        <f>IFERROR(IF(AND($BZ$25&gt;=$BS$14,$BZ$25&lt;=$BS$15),10+0.5+100*($BZ$25-$BS$14)/($BS$15-$BS$14),NA()),NA())</f>
        <v/>
      </c>
      <c r="BY46">
        <f>IF(ISNA($BX$46),NA(),0)</f>
        <v/>
      </c>
      <c r="CA46">
        <f>IF($BT$46="","",IFERROR(IF(ABS($BT$46)&gt;=1000000,ROUND($BT$46/1000000,MAX(0,1-INT(LOG10($BS$27/1000000))))&amp;"M",IF(ABS($BT$46)&gt;=1000,ROUND($BT$46/1000,MAX(0,1-INT(LOG10($BS$27/1000))))&amp;"k",TEXT($BT$46,"0.00"))),TEXT($BT$46,"0.00")))</f>
        <v/>
      </c>
      <c r="CB46" t="n">
        <v>6.3</v>
      </c>
      <c r="CC46" t="n">
        <v>6.375</v>
      </c>
      <c r="CD46" t="n">
        <v>148</v>
      </c>
      <c r="CG46">
        <f>IF(43&lt;=$CF$13,$CF$14+(43-1)*$CF$16,"")</f>
        <v/>
      </c>
      <c r="CH46">
        <f>IF(43&gt;$CF$13,"",SUMIFS($CD$4:$CD$203,$CC$4:$CC$203,"&gt;="&amp;$CG$46,$CC$4:$CC$203,IF(43=$CF$13,"&lt;=","&lt;")&amp;($CG$46+$CF$16)))</f>
        <v/>
      </c>
      <c r="CI46">
        <f>IF(AND(MOD(32,$CF$17)=0,MOD((INT(32/$CF$17)+1)-1,$CF$13/5)=0),INDEX($CN$4:$CN$53,(INT(32/$CF$17)+1)),"")</f>
        <v/>
      </c>
      <c r="CJ46">
        <f>IF(MOD(32,$CF$17)=$CF$17-1,0,INDEX($CH$4:$CH$53,(INT(32/$CF$17)+1)))</f>
        <v/>
      </c>
      <c r="CK46">
        <f>IFERROR(IF(AND($CM$25&gt;=$CF$14,$CM$25&lt;=$CF$15),10+0.5+100*($CM$25-$CF$14)/($CF$15-$CF$14),NA()),NA())</f>
        <v/>
      </c>
      <c r="CL46">
        <f>IF(ISNA($CK$46),NA(),0)</f>
        <v/>
      </c>
      <c r="CN46">
        <f>IF($CG$46="","",IFERROR(IF(ABS($CG$46)&gt;=1000000,ROUND($CG$46/1000000,MAX(0,1-INT(LOG10($CF$27/1000000))))&amp;"M",IF(ABS($CG$46)&gt;=1000,ROUND($CG$46/1000,MAX(0,1-INT(LOG10($CF$27/1000))))&amp;"k",TEXT($CG$46,"#,##0.0"))),TEXT($CG$46,"#,##0.0")))</f>
        <v/>
      </c>
      <c r="CO46" t="n">
        <v>26.8</v>
      </c>
      <c r="CP46" t="n">
        <v>27</v>
      </c>
      <c r="CQ46" t="n">
        <v>38</v>
      </c>
      <c r="CT46">
        <f>IF(43&lt;=$CS$13,$CS$14+(43-1)*$CS$16,"")</f>
        <v/>
      </c>
      <c r="CU46">
        <f>IF(43&gt;$CS$13,"",SUMIFS($CQ$4:$CQ$203,$CP$4:$CP$203,"&gt;="&amp;$CT$46,$CP$4:$CP$203,IF(43=$CS$13,"&lt;=","&lt;")&amp;($CT$46+$CS$16)))</f>
        <v/>
      </c>
      <c r="CV46">
        <f>IF(AND(MOD(32,$CS$17)=0,MOD((INT(32/$CS$17)+1)-1,$CS$13/5)=0),INDEX($DA$4:$DA$53,(INT(32/$CS$17)+1)),"")</f>
        <v/>
      </c>
      <c r="CW46">
        <f>IF(MOD(32,$CS$17)=$CS$17-1,0,INDEX($CU$4:$CU$53,(INT(32/$CS$17)+1)))</f>
        <v/>
      </c>
      <c r="CX46">
        <f>IFERROR(IF(AND($CZ$25&gt;=$CS$14,$CZ$25&lt;=$CS$15),10+0.5+100*($CZ$25-$CS$14)/($CS$15-$CS$14),NA()),NA())</f>
        <v/>
      </c>
      <c r="CY46">
        <f>IF(ISNA($CX$46),NA(),0)</f>
        <v/>
      </c>
      <c r="DA46">
        <f>IF($CT$46="","",IFERROR(IF(ABS($CT$46)&gt;=1000000,ROUND($CT$46/1000000,MAX(0,1-INT(LOG10($CS$27/1000000))))&amp;"M",IF(ABS($CT$46)&gt;=1000,ROUND($CT$46/1000,MAX(0,1-INT(LOG10($CS$27/1000))))&amp;"k",TEXT($CT$46,"#,##0"))),TEXT($CT$46,"#,##0")))</f>
        <v/>
      </c>
      <c r="DB46" t="n">
        <v>24.7</v>
      </c>
      <c r="DC46" t="n">
        <v>24.875</v>
      </c>
      <c r="DD46" t="n">
        <v>35</v>
      </c>
      <c r="DG46">
        <f>IF(43&lt;=$DF$13,$DF$14+(43-1)*$DF$16,"")</f>
        <v/>
      </c>
      <c r="DH46">
        <f>IF(43&gt;$DF$13,"",SUMIFS($DD$4:$DD$203,$DC$4:$DC$203,"&gt;="&amp;$DG$46,$DC$4:$DC$203,IF(43=$DF$13,"&lt;=","&lt;")&amp;($DG$46+$DF$16)))</f>
        <v/>
      </c>
      <c r="DI46">
        <f>IF(AND(MOD(32,$DF$17)=0,MOD((INT(32/$DF$17)+1)-1,$DF$13/5)=0),INDEX($DN$4:$DN$53,(INT(32/$DF$17)+1)),"")</f>
        <v/>
      </c>
      <c r="DJ46">
        <f>IF(MOD(32,$DF$17)=$DF$17-1,0,INDEX($DH$4:$DH$53,(INT(32/$DF$17)+1)))</f>
        <v/>
      </c>
      <c r="DK46">
        <f>IFERROR(IF(AND($DM$25&gt;=$DF$14,$DM$25&lt;=$DF$15),10+0.5+100*($DM$25-$DF$14)/($DF$15-$DF$14),NA()),NA())</f>
        <v/>
      </c>
      <c r="DL46">
        <f>IF(ISNA($DK$46),NA(),0)</f>
        <v/>
      </c>
      <c r="DN46">
        <f>IF($DG$46="","",IFERROR(IF(ABS($DG$46)&gt;=1000000,ROUND($DG$46/1000000,MAX(0,1-INT(LOG10($DF$27/1000000))))&amp;"M",IF(ABS($DG$46)&gt;=1000,ROUND($DG$46/1000,MAX(0,1-INT(LOG10($DF$27/1000))))&amp;"k",TEXT($DG$46,"#,##0.0"))),TEXT($DG$46,"#,##0.0")))</f>
        <v/>
      </c>
      <c r="DO46" t="n">
        <v>8.550000000000001</v>
      </c>
      <c r="DP46" t="n">
        <v>8.5625</v>
      </c>
      <c r="DQ46" t="n">
        <v>55</v>
      </c>
      <c r="DT46">
        <f>IF(43&lt;=$DS$13,$DS$14+(43-1)*$DS$16,"")</f>
        <v/>
      </c>
      <c r="DU46">
        <f>IF(43&gt;$DS$13,"",SUMIFS($DQ$4:$DQ$203,$DP$4:$DP$203,"&gt;="&amp;$DT$46,$DP$4:$DP$203,IF(43=$DS$13,"&lt;=","&lt;")&amp;($DT$46+$DS$16)))</f>
        <v/>
      </c>
      <c r="DV46">
        <f>IF(AND(MOD(32,$DS$17)=0,MOD((INT(32/$DS$17)+1)-1,$DS$13/5)=0),INDEX($EA$4:$EA$53,(INT(32/$DS$17)+1)),"")</f>
        <v/>
      </c>
      <c r="DW46">
        <f>IF(MOD(32,$DS$17)=$DS$17-1,0,INDEX($DU$4:$DU$53,(INT(32/$DS$17)+1)))</f>
        <v/>
      </c>
      <c r="DX46">
        <f>IFERROR(IF(AND($DZ$25&gt;=$DS$14,$DZ$25&lt;=$DS$15),10+0.5+100*($DZ$25-$DS$14)/($DS$15-$DS$14),NA()),NA())</f>
        <v/>
      </c>
      <c r="DY46">
        <f>IF(ISNA($DX$46),NA(),0)</f>
        <v/>
      </c>
      <c r="EA46">
        <f>IF($DT$46="","",IFERROR(IF(ABS($DT$46)&gt;=1000000,ROUND($DT$46/1000000,MAX(0,1-INT(LOG10($DS$27/1000000))))&amp;"M",IF(ABS($DT$46)&gt;=1000,ROUND($DT$46/1000,MAX(0,1-INT(LOG10($DS$27/1000))))&amp;"k",TEXT($DT$46,"#,##0.0"))),TEXT($DT$46,"#,##0.0")))</f>
        <v/>
      </c>
      <c r="EB46" t="n">
        <v>21</v>
      </c>
      <c r="EC46" t="n">
        <v>21.25</v>
      </c>
      <c r="ED46" t="n">
        <v>68</v>
      </c>
      <c r="EG46">
        <f>IF(43&lt;=$EF$13,$EF$14+(43-1)*$EF$16,"")</f>
        <v/>
      </c>
      <c r="EH46">
        <f>IF(43&gt;$EF$13,"",SUMIFS($ED$4:$ED$203,$EC$4:$EC$203,"&gt;="&amp;$EG$46,$EC$4:$EC$203,IF(43=$EF$13,"&lt;=","&lt;")&amp;($EG$46+$EF$16)))</f>
        <v/>
      </c>
      <c r="EI46">
        <f>IF(AND(MOD(32,$EF$17)=0,MOD((INT(32/$EF$17)+1)-1,$EF$13/5)=0),INDEX($EN$4:$EN$53,(INT(32/$EF$17)+1)),"")</f>
        <v/>
      </c>
      <c r="EJ46">
        <f>IF(MOD(32,$EF$17)=$EF$17-1,0,INDEX($EH$4:$EH$53,(INT(32/$EF$17)+1)))</f>
        <v/>
      </c>
      <c r="EK46">
        <f>IFERROR(IF(AND($EM$25&gt;=$EF$14,$EM$25&lt;=$EF$15),10+0.5+100*($EM$25-$EF$14)/($EF$15-$EF$14),NA()),NA())</f>
        <v/>
      </c>
      <c r="EL46">
        <f>IF(ISNA($EK$46),NA(),0)</f>
        <v/>
      </c>
      <c r="EN46">
        <f>IF($EG$46="","",IFERROR(IF(ABS($EG$46)&gt;=1000000,ROUND($EG$46/1000000,MAX(0,1-INT(LOG10($EF$27/1000000))))&amp;"M",IF(ABS($EG$46)&gt;=1000,ROUND($EG$46/1000,MAX(0,1-INT(LOG10($EF$27/1000))))&amp;"k",TEXT($EG$46,"#,##0"))),TEXT($EG$46,"#,##0")))</f>
        <v/>
      </c>
      <c r="EO46" t="n">
        <v>0.7350000000000001</v>
      </c>
      <c r="EP46" t="n">
        <v>0.74375</v>
      </c>
      <c r="EQ46" t="n">
        <v>121</v>
      </c>
      <c r="ET46">
        <f>IF(43&lt;=$ES$13,$ES$14+(43-1)*$ES$16,"")</f>
        <v/>
      </c>
      <c r="EU46">
        <f>IF(43&gt;$ES$13,"",SUMIFS($EQ$4:$EQ$203,$EP$4:$EP$203,"&gt;="&amp;$ET$46,$EP$4:$EP$203,IF(43=$ES$13,"&lt;=","&lt;")&amp;($ET$46+$ES$16)))</f>
        <v/>
      </c>
      <c r="EV46">
        <f>IF(AND(MOD(32,$ES$17)=0,MOD((INT(32/$ES$17)+1)-1,$ES$13/5)=0),INDEX($FA$4:$FA$53,(INT(32/$ES$17)+1)),"")</f>
        <v/>
      </c>
      <c r="EW46">
        <f>IF(MOD(32,$ES$17)=$ES$17-1,0,INDEX($EU$4:$EU$53,(INT(32/$ES$17)+1)))</f>
        <v/>
      </c>
      <c r="EX46">
        <f>IFERROR(IF(AND($EZ$25&gt;=$ES$14,$EZ$25&lt;=$ES$15),10+0.5+100*($EZ$25-$ES$14)/($ES$15-$ES$14),NA()),NA())</f>
        <v/>
      </c>
      <c r="EY46">
        <f>IF(ISNA($EX$46),NA(),0)</f>
        <v/>
      </c>
      <c r="FA46">
        <f>IF($ET$46="","",IFERROR(IF(ABS($ET$46)&gt;=1000000,ROUND($ET$46/1000000,MAX(0,1-INT(LOG10($ES$27/1000000))))&amp;"M",IF(ABS($ET$46)&gt;=1000,ROUND($ET$46/1000,MAX(0,1-INT(LOG10($ES$27/1000))))&amp;"k",TEXT($ET$46,"0.00"))),TEXT($ET$46,"0.00")))</f>
        <v/>
      </c>
    </row>
    <row r="47">
      <c r="B47" t="n">
        <v>614.5</v>
      </c>
      <c r="C47" t="n">
        <v>615.25</v>
      </c>
      <c r="D47" t="n">
        <v>29</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60</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93</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c r="AO47" t="n">
        <v>172000</v>
      </c>
      <c r="AP47" t="n">
        <v>174000</v>
      </c>
      <c r="AQ47" t="n">
        <v>160</v>
      </c>
      <c r="AT47">
        <f>IF(44&lt;=$AS$13,$AS$14+(44-1)*$AS$16,"")</f>
        <v/>
      </c>
      <c r="AU47">
        <f>IF(44&gt;$AS$13,"",SUMIFS($AQ$4:$AQ$203,$AP$4:$AP$203,"&gt;="&amp;$AT$47,$AP$4:$AP$203,IF(44=$AS$13,"&lt;=","&lt;")&amp;($AT$47+$AS$16)))</f>
        <v/>
      </c>
      <c r="AV47">
        <f>IF(AND(MOD(33,$AS$17)=0,MOD((INT(33/$AS$17)+1)-1,$AS$13/5)=0),INDEX($BA$4:$BA$53,(INT(33/$AS$17)+1)),"")</f>
        <v/>
      </c>
      <c r="AW47">
        <f>IF(MOD(33,$AS$17)=$AS$17-1,0,INDEX($AU$4:$AU$53,(INT(33/$AS$17)+1)))</f>
        <v/>
      </c>
      <c r="AX47">
        <f>IFERROR(IF(AND($AZ$25&gt;=$AS$14,$AZ$25&lt;=$AS$15),10+0.5+100*($AZ$25-$AS$14)/($AS$15-$AS$14),NA()),NA())</f>
        <v/>
      </c>
      <c r="AY47">
        <f>IF(ISNA($AX$47),NA(),MAX($AW$4:$AW$123))</f>
        <v/>
      </c>
      <c r="BA47">
        <f>IF($AT$47="","",IFERROR(IF(ABS($AT$47)&gt;=1000000,ROUND($AT$47/1000000,MAX(0,1-INT(LOG10($AS$27/1000000))))&amp;"M",IF(ABS($AT$47)&gt;=1000,ROUND($AT$47/1000,MAX(0,1-INT(LOG10($AS$27/1000))))&amp;"k",TEXT($AT$47,"#,##0"))),TEXT($AT$47,"#,##0")))</f>
        <v/>
      </c>
      <c r="BB47" t="n">
        <v>301000</v>
      </c>
      <c r="BC47" t="n">
        <v>304500</v>
      </c>
      <c r="BD47" t="n">
        <v>70</v>
      </c>
      <c r="BG47">
        <f>IF(44&lt;=$BF$13,$BF$14+(44-1)*$BF$16,"")</f>
        <v/>
      </c>
      <c r="BH47">
        <f>IF(44&gt;$BF$13,"",SUMIFS($BD$4:$BD$203,$BC$4:$BC$203,"&gt;="&amp;$BG$47,$BC$4:$BC$203,IF(44=$BF$13,"&lt;=","&lt;")&amp;($BG$47+$BF$16)))</f>
        <v/>
      </c>
      <c r="BI47">
        <f>IF(AND(MOD(33,$BF$17)=0,MOD((INT(33/$BF$17)+1)-1,$BF$13/5)=0),INDEX($BN$4:$BN$53,(INT(33/$BF$17)+1)),"")</f>
        <v/>
      </c>
      <c r="BJ47">
        <f>IF(MOD(33,$BF$17)=$BF$17-1,0,INDEX($BH$4:$BH$53,(INT(33/$BF$17)+1)))</f>
        <v/>
      </c>
      <c r="BK47">
        <f>IFERROR(IF(AND($BM$25&gt;=$BF$14,$BM$25&lt;=$BF$15),10+0.5+100*($BM$25-$BF$14)/($BF$15-$BF$14),NA()),NA())</f>
        <v/>
      </c>
      <c r="BL47">
        <f>IF(ISNA($BK$47),NA(),MAX($BJ$4:$BJ$123))</f>
        <v/>
      </c>
      <c r="BN47">
        <f>IF($BG$47="","",IFERROR(IF(ABS($BG$47)&gt;=1000000,ROUND($BG$47/1000000,MAX(0,1-INT(LOG10($BF$27/1000000))))&amp;"M",IF(ABS($BG$47)&gt;=1000,ROUND($BG$47/1000,MAX(0,1-INT(LOG10($BF$27/1000))))&amp;"k",TEXT($BG$47,"#,##0"))),TEXT($BG$47,"#,##0")))</f>
        <v/>
      </c>
      <c r="BO47" t="n">
        <v>0.258</v>
      </c>
      <c r="BP47" t="n">
        <v>0.261</v>
      </c>
      <c r="BQ47" t="n">
        <v>53</v>
      </c>
      <c r="BT47">
        <f>IF(44&lt;=$BS$13,$BS$14+(44-1)*$BS$16,"")</f>
        <v/>
      </c>
      <c r="BU47">
        <f>IF(44&gt;$BS$13,"",SUMIFS($BQ$4:$BQ$203,$BP$4:$BP$203,"&gt;="&amp;$BT$47,$BP$4:$BP$203,IF(44=$BS$13,"&lt;=","&lt;")&amp;($BT$47+$BS$16)))</f>
        <v/>
      </c>
      <c r="BV47">
        <f>IF(AND(MOD(33,$BS$17)=0,MOD((INT(33/$BS$17)+1)-1,$BS$13/5)=0),INDEX($CA$4:$CA$53,(INT(33/$BS$17)+1)),"")</f>
        <v/>
      </c>
      <c r="BW47">
        <f>IF(MOD(33,$BS$17)=$BS$17-1,0,INDEX($BU$4:$BU$53,(INT(33/$BS$17)+1)))</f>
        <v/>
      </c>
      <c r="BX47">
        <f>IFERROR(IF(AND($BZ$25&gt;=$BS$14,$BZ$25&lt;=$BS$15),10+0.5+100*($BZ$25-$BS$14)/($BS$15-$BS$14),NA()),NA())</f>
        <v/>
      </c>
      <c r="BY47">
        <f>IF(ISNA($BX$47),NA(),MAX($BW$4:$BW$123))</f>
        <v/>
      </c>
      <c r="CA47">
        <f>IF($BT$47="","",IFERROR(IF(ABS($BT$47)&gt;=1000000,ROUND($BT$47/1000000,MAX(0,1-INT(LOG10($BS$27/1000000))))&amp;"M",IF(ABS($BT$47)&gt;=1000,ROUND($BT$47/1000,MAX(0,1-INT(LOG10($BS$27/1000))))&amp;"k",TEXT($BT$47,"0.00"))),TEXT($BT$47,"0.00")))</f>
        <v/>
      </c>
      <c r="CB47" t="n">
        <v>6.45</v>
      </c>
      <c r="CC47" t="n">
        <v>6.524999999999999</v>
      </c>
      <c r="CD47" t="n">
        <v>66</v>
      </c>
      <c r="CG47">
        <f>IF(44&lt;=$CF$13,$CF$14+(44-1)*$CF$16,"")</f>
        <v/>
      </c>
      <c r="CH47">
        <f>IF(44&gt;$CF$13,"",SUMIFS($CD$4:$CD$203,$CC$4:$CC$203,"&gt;="&amp;$CG$47,$CC$4:$CC$203,IF(44=$CF$13,"&lt;=","&lt;")&amp;($CG$47+$CF$16)))</f>
        <v/>
      </c>
      <c r="CI47">
        <f>IF(AND(MOD(33,$CF$17)=0,MOD((INT(33/$CF$17)+1)-1,$CF$13/5)=0),INDEX($CN$4:$CN$53,(INT(33/$CF$17)+1)),"")</f>
        <v/>
      </c>
      <c r="CJ47">
        <f>IF(MOD(33,$CF$17)=$CF$17-1,0,INDEX($CH$4:$CH$53,(INT(33/$CF$17)+1)))</f>
        <v/>
      </c>
      <c r="CK47">
        <f>IFERROR(IF(AND($CM$25&gt;=$CF$14,$CM$25&lt;=$CF$15),10+0.5+100*($CM$25-$CF$14)/($CF$15-$CF$14),NA()),NA())</f>
        <v/>
      </c>
      <c r="CL47">
        <f>IF(ISNA($CK$47),NA(),MAX($CJ$4:$CJ$123))</f>
        <v/>
      </c>
      <c r="CN47">
        <f>IF($CG$47="","",IFERROR(IF(ABS($CG$47)&gt;=1000000,ROUND($CG$47/1000000,MAX(0,1-INT(LOG10($CF$27/1000000))))&amp;"M",IF(ABS($CG$47)&gt;=1000,ROUND($CG$47/1000,MAX(0,1-INT(LOG10($CF$27/1000))))&amp;"k",TEXT($CG$47,"#,##0.0"))),TEXT($CG$47,"#,##0.0")))</f>
        <v/>
      </c>
      <c r="CO47" t="n">
        <v>27.2</v>
      </c>
      <c r="CP47" t="n">
        <v>27.4</v>
      </c>
      <c r="CQ47" t="n">
        <v>42</v>
      </c>
      <c r="CT47">
        <f>IF(44&lt;=$CS$13,$CS$14+(44-1)*$CS$16,"")</f>
        <v/>
      </c>
      <c r="CU47">
        <f>IF(44&gt;$CS$13,"",SUMIFS($CQ$4:$CQ$203,$CP$4:$CP$203,"&gt;="&amp;$CT$47,$CP$4:$CP$203,IF(44=$CS$13,"&lt;=","&lt;")&amp;($CT$47+$CS$16)))</f>
        <v/>
      </c>
      <c r="CV47">
        <f>IF(AND(MOD(33,$CS$17)=0,MOD((INT(33/$CS$17)+1)-1,$CS$13/5)=0),INDEX($DA$4:$DA$53,(INT(33/$CS$17)+1)),"")</f>
        <v/>
      </c>
      <c r="CW47">
        <f>IF(MOD(33,$CS$17)=$CS$17-1,0,INDEX($CU$4:$CU$53,(INT(33/$CS$17)+1)))</f>
        <v/>
      </c>
      <c r="CX47">
        <f>IFERROR(IF(AND($CZ$25&gt;=$CS$14,$CZ$25&lt;=$CS$15),10+0.5+100*($CZ$25-$CS$14)/($CS$15-$CS$14),NA()),NA())</f>
        <v/>
      </c>
      <c r="CY47">
        <f>IF(ISNA($CX$47),NA(),MAX($CW$4:$CW$123))</f>
        <v/>
      </c>
      <c r="DA47">
        <f>IF($CT$47="","",IFERROR(IF(ABS($CT$47)&gt;=1000000,ROUND($CT$47/1000000,MAX(0,1-INT(LOG10($CS$27/1000000))))&amp;"M",IF(ABS($CT$47)&gt;=1000,ROUND($CT$47/1000,MAX(0,1-INT(LOG10($CS$27/1000))))&amp;"k",TEXT($CT$47,"#,##0"))),TEXT($CT$47,"#,##0")))</f>
        <v/>
      </c>
      <c r="DB47" t="n">
        <v>25.05</v>
      </c>
      <c r="DC47" t="n">
        <v>25.225</v>
      </c>
      <c r="DD47" t="n">
        <v>55</v>
      </c>
      <c r="DG47">
        <f>IF(44&lt;=$DF$13,$DF$14+(44-1)*$DF$16,"")</f>
        <v/>
      </c>
      <c r="DH47">
        <f>IF(44&gt;$DF$13,"",SUMIFS($DD$4:$DD$203,$DC$4:$DC$203,"&gt;="&amp;$DG$47,$DC$4:$DC$203,IF(44=$DF$13,"&lt;=","&lt;")&amp;($DG$47+$DF$16)))</f>
        <v/>
      </c>
      <c r="DI47">
        <f>IF(AND(MOD(33,$DF$17)=0,MOD((INT(33/$DF$17)+1)-1,$DF$13/5)=0),INDEX($DN$4:$DN$53,(INT(33/$DF$17)+1)),"")</f>
        <v/>
      </c>
      <c r="DJ47">
        <f>IF(MOD(33,$DF$17)=$DF$17-1,0,INDEX($DH$4:$DH$53,(INT(33/$DF$17)+1)))</f>
        <v/>
      </c>
      <c r="DK47">
        <f>IFERROR(IF(AND($DM$25&gt;=$DF$14,$DM$25&lt;=$DF$15),10+0.5+100*($DM$25-$DF$14)/($DF$15-$DF$14),NA()),NA())</f>
        <v/>
      </c>
      <c r="DL47">
        <f>IF(ISNA($DK$47),NA(),MAX($DJ$4:$DJ$123))</f>
        <v/>
      </c>
      <c r="DN47">
        <f>IF($DG$47="","",IFERROR(IF(ABS($DG$47)&gt;=1000000,ROUND($DG$47/1000000,MAX(0,1-INT(LOG10($DF$27/1000000))))&amp;"M",IF(ABS($DG$47)&gt;=1000,ROUND($DG$47/1000,MAX(0,1-INT(LOG10($DF$27/1000))))&amp;"k",TEXT($DG$47,"#,##0.0"))),TEXT($DG$47,"#,##0.0")))</f>
        <v/>
      </c>
      <c r="DO47" t="n">
        <v>8.574999999999999</v>
      </c>
      <c r="DP47" t="n">
        <v>8.5875</v>
      </c>
      <c r="DQ47" t="n">
        <v>36</v>
      </c>
      <c r="DT47">
        <f>IF(44&lt;=$DS$13,$DS$14+(44-1)*$DS$16,"")</f>
        <v/>
      </c>
      <c r="DU47">
        <f>IF(44&gt;$DS$13,"",SUMIFS($DQ$4:$DQ$203,$DP$4:$DP$203,"&gt;="&amp;$DT$47,$DP$4:$DP$203,IF(44=$DS$13,"&lt;=","&lt;")&amp;($DT$47+$DS$16)))</f>
        <v/>
      </c>
      <c r="DV47">
        <f>IF(AND(MOD(33,$DS$17)=0,MOD((INT(33/$DS$17)+1)-1,$DS$13/5)=0),INDEX($EA$4:$EA$53,(INT(33/$DS$17)+1)),"")</f>
        <v/>
      </c>
      <c r="DW47">
        <f>IF(MOD(33,$DS$17)=$DS$17-1,0,INDEX($DU$4:$DU$53,(INT(33/$DS$17)+1)))</f>
        <v/>
      </c>
      <c r="DX47">
        <f>IFERROR(IF(AND($DZ$25&gt;=$DS$14,$DZ$25&lt;=$DS$15),10+0.5+100*($DZ$25-$DS$14)/($DS$15-$DS$14),NA()),NA())</f>
        <v/>
      </c>
      <c r="DY47">
        <f>IF(ISNA($DX$47),NA(),MAX($DW$4:$DW$123))</f>
        <v/>
      </c>
      <c r="EA47">
        <f>IF($DT$47="","",IFERROR(IF(ABS($DT$47)&gt;=1000000,ROUND($DT$47/1000000,MAX(0,1-INT(LOG10($DS$27/1000000))))&amp;"M",IF(ABS($DT$47)&gt;=1000,ROUND($DT$47/1000,MAX(0,1-INT(LOG10($DS$27/1000))))&amp;"k",TEXT($DT$47,"#,##0.0"))),TEXT($DT$47,"#,##0.0")))</f>
        <v/>
      </c>
      <c r="EB47" t="n">
        <v>21.5</v>
      </c>
      <c r="EC47" t="n">
        <v>21.75</v>
      </c>
      <c r="ED47" t="n">
        <v>55</v>
      </c>
      <c r="EG47">
        <f>IF(44&lt;=$EF$13,$EF$14+(44-1)*$EF$16,"")</f>
        <v/>
      </c>
      <c r="EH47">
        <f>IF(44&gt;$EF$13,"",SUMIFS($ED$4:$ED$203,$EC$4:$EC$203,"&gt;="&amp;$EG$47,$EC$4:$EC$203,IF(44=$EF$13,"&lt;=","&lt;")&amp;($EG$47+$EF$16)))</f>
        <v/>
      </c>
      <c r="EI47">
        <f>IF(AND(MOD(33,$EF$17)=0,MOD((INT(33/$EF$17)+1)-1,$EF$13/5)=0),INDEX($EN$4:$EN$53,(INT(33/$EF$17)+1)),"")</f>
        <v/>
      </c>
      <c r="EJ47">
        <f>IF(MOD(33,$EF$17)=$EF$17-1,0,INDEX($EH$4:$EH$53,(INT(33/$EF$17)+1)))</f>
        <v/>
      </c>
      <c r="EK47">
        <f>IFERROR(IF(AND($EM$25&gt;=$EF$14,$EM$25&lt;=$EF$15),10+0.5+100*($EM$25-$EF$14)/($EF$15-$EF$14),NA()),NA())</f>
        <v/>
      </c>
      <c r="EL47">
        <f>IF(ISNA($EK$47),NA(),MAX($EJ$4:$EJ$123))</f>
        <v/>
      </c>
      <c r="EN47">
        <f>IF($EG$47="","",IFERROR(IF(ABS($EG$47)&gt;=1000000,ROUND($EG$47/1000000,MAX(0,1-INT(LOG10($EF$27/1000000))))&amp;"M",IF(ABS($EG$47)&gt;=1000,ROUND($EG$47/1000,MAX(0,1-INT(LOG10($EF$27/1000))))&amp;"k",TEXT($EG$47,"#,##0"))),TEXT($EG$47,"#,##0")))</f>
        <v/>
      </c>
      <c r="EO47" t="n">
        <v>0.7525000000000001</v>
      </c>
      <c r="EP47" t="n">
        <v>0.7612500000000001</v>
      </c>
      <c r="EQ47" t="n">
        <v>124</v>
      </c>
      <c r="ET47">
        <f>IF(44&lt;=$ES$13,$ES$14+(44-1)*$ES$16,"")</f>
        <v/>
      </c>
      <c r="EU47">
        <f>IF(44&gt;$ES$13,"",SUMIFS($EQ$4:$EQ$203,$EP$4:$EP$203,"&gt;="&amp;$ET$47,$EP$4:$EP$203,IF(44=$ES$13,"&lt;=","&lt;")&amp;($ET$47+$ES$16)))</f>
        <v/>
      </c>
      <c r="EV47">
        <f>IF(AND(MOD(33,$ES$17)=0,MOD((INT(33/$ES$17)+1)-1,$ES$13/5)=0),INDEX($FA$4:$FA$53,(INT(33/$ES$17)+1)),"")</f>
        <v/>
      </c>
      <c r="EW47">
        <f>IF(MOD(33,$ES$17)=$ES$17-1,0,INDEX($EU$4:$EU$53,(INT(33/$ES$17)+1)))</f>
        <v/>
      </c>
      <c r="EX47">
        <f>IFERROR(IF(AND($EZ$25&gt;=$ES$14,$EZ$25&lt;=$ES$15),10+0.5+100*($EZ$25-$ES$14)/($ES$15-$ES$14),NA()),NA())</f>
        <v/>
      </c>
      <c r="EY47">
        <f>IF(ISNA($EX$47),NA(),MAX($EW$4:$EW$123))</f>
        <v/>
      </c>
      <c r="FA47">
        <f>IF($ET$47="","",IFERROR(IF(ABS($ET$47)&gt;=1000000,ROUND($ET$47/1000000,MAX(0,1-INT(LOG10($ES$27/1000000))))&amp;"M",IF(ABS($ET$47)&gt;=1000,ROUND($ET$47/1000,MAX(0,1-INT(LOG10($ES$27/1000))))&amp;"k",TEXT($ET$47,"0.00"))),TEXT($ET$47,"0.00")))</f>
        <v/>
      </c>
    </row>
    <row r="48">
      <c r="B48" t="n">
        <v>616</v>
      </c>
      <c r="C48" t="n">
        <v>616.75</v>
      </c>
      <c r="D48" t="n">
        <v>53</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76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98</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c r="AO48" t="n">
        <v>176000</v>
      </c>
      <c r="AP48" t="n">
        <v>178000</v>
      </c>
      <c r="AQ48" t="n">
        <v>175</v>
      </c>
      <c r="AT48">
        <f>IF(45&lt;=$AS$13,$AS$14+(45-1)*$AS$16,"")</f>
        <v/>
      </c>
      <c r="AU48">
        <f>IF(45&gt;$AS$13,"",SUMIFS($AQ$4:$AQ$203,$AP$4:$AP$203,"&gt;="&amp;$AT$48,$AP$4:$AP$203,IF(45=$AS$13,"&lt;=","&lt;")&amp;($AT$48+$AS$16)))</f>
        <v/>
      </c>
      <c r="AV48">
        <f>IF(AND(MOD(34,$AS$17)=0,MOD((INT(34/$AS$17)+1)-1,$AS$13/5)=0),INDEX($BA$4:$BA$53,(INT(34/$AS$17)+1)),"")</f>
        <v/>
      </c>
      <c r="AW48">
        <f>IF(MOD(34,$AS$17)=$AS$17-1,0,INDEX($AU$4:$AU$53,(INT(34/$AS$17)+1)))</f>
        <v/>
      </c>
      <c r="AX48">
        <f>IFERROR(IF(AND($AZ$26&gt;=$AS$14,$AZ$26&lt;=$AS$15),10+0.5+100*($AZ$26-$AS$14)/($AS$15-$AS$14),NA()),NA())</f>
        <v/>
      </c>
      <c r="AY48">
        <f>IF(ISNA($AX$48),NA(),0)</f>
        <v/>
      </c>
      <c r="BA48">
        <f>IF($AT$48="","",IFERROR(IF(ABS($AT$48)&gt;=1000000,ROUND($AT$48/1000000,MAX(0,1-INT(LOG10($AS$27/1000000))))&amp;"M",IF(ABS($AT$48)&gt;=1000,ROUND($AT$48/1000,MAX(0,1-INT(LOG10($AS$27/1000))))&amp;"k",TEXT($AT$48,"#,##0"))),TEXT($AT$48,"#,##0")))</f>
        <v/>
      </c>
      <c r="BB48" t="n">
        <v>308000</v>
      </c>
      <c r="BC48" t="n">
        <v>311500</v>
      </c>
      <c r="BD48" t="n">
        <v>81</v>
      </c>
      <c r="BG48">
        <f>IF(45&lt;=$BF$13,$BF$14+(45-1)*$BF$16,"")</f>
        <v/>
      </c>
      <c r="BH48">
        <f>IF(45&gt;$BF$13,"",SUMIFS($BD$4:$BD$203,$BC$4:$BC$203,"&gt;="&amp;$BG$48,$BC$4:$BC$203,IF(45=$BF$13,"&lt;=","&lt;")&amp;($BG$48+$BF$16)))</f>
        <v/>
      </c>
      <c r="BI48">
        <f>IF(AND(MOD(34,$BF$17)=0,MOD((INT(34/$BF$17)+1)-1,$BF$13/5)=0),INDEX($BN$4:$BN$53,(INT(34/$BF$17)+1)),"")</f>
        <v/>
      </c>
      <c r="BJ48">
        <f>IF(MOD(34,$BF$17)=$BF$17-1,0,INDEX($BH$4:$BH$53,(INT(34/$BF$17)+1)))</f>
        <v/>
      </c>
      <c r="BK48">
        <f>IFERROR(IF(AND($BM$26&gt;=$BF$14,$BM$26&lt;=$BF$15),10+0.5+100*($BM$26-$BF$14)/($BF$15-$BF$14),NA()),NA())</f>
        <v/>
      </c>
      <c r="BL48">
        <f>IF(ISNA($BK$48),NA(),0)</f>
        <v/>
      </c>
      <c r="BN48">
        <f>IF($BG$48="","",IFERROR(IF(ABS($BG$48)&gt;=1000000,ROUND($BG$48/1000000,MAX(0,1-INT(LOG10($BF$27/1000000))))&amp;"M",IF(ABS($BG$48)&gt;=1000,ROUND($BG$48/1000,MAX(0,1-INT(LOG10($BF$27/1000))))&amp;"k",TEXT($BG$48,"#,##0"))),TEXT($BG$48,"#,##0")))</f>
        <v/>
      </c>
      <c r="BO48" t="n">
        <v>0.264</v>
      </c>
      <c r="BP48" t="n">
        <v>0.267</v>
      </c>
      <c r="BQ48" t="n">
        <v>64</v>
      </c>
      <c r="BT48">
        <f>IF(45&lt;=$BS$13,$BS$14+(45-1)*$BS$16,"")</f>
        <v/>
      </c>
      <c r="BU48">
        <f>IF(45&gt;$BS$13,"",SUMIFS($BQ$4:$BQ$203,$BP$4:$BP$203,"&gt;="&amp;$BT$48,$BP$4:$BP$203,IF(45=$BS$13,"&lt;=","&lt;")&amp;($BT$48+$BS$16)))</f>
        <v/>
      </c>
      <c r="BV48">
        <f>IF(AND(MOD(34,$BS$17)=0,MOD((INT(34/$BS$17)+1)-1,$BS$13/5)=0),INDEX($CA$4:$CA$53,(INT(34/$BS$17)+1)),"")</f>
        <v/>
      </c>
      <c r="BW48">
        <f>IF(MOD(34,$BS$17)=$BS$17-1,0,INDEX($BU$4:$BU$53,(INT(34/$BS$17)+1)))</f>
        <v/>
      </c>
      <c r="BX48">
        <f>IFERROR(IF(AND($BZ$26&gt;=$BS$14,$BZ$26&lt;=$BS$15),10+0.5+100*($BZ$26-$BS$14)/($BS$15-$BS$14),NA()),NA())</f>
        <v/>
      </c>
      <c r="BY48">
        <f>IF(ISNA($BX$48),NA(),0)</f>
        <v/>
      </c>
      <c r="CA48">
        <f>IF($BT$48="","",IFERROR(IF(ABS($BT$48)&gt;=1000000,ROUND($BT$48/1000000,MAX(0,1-INT(LOG10($BS$27/1000000))))&amp;"M",IF(ABS($BT$48)&gt;=1000,ROUND($BT$48/1000,MAX(0,1-INT(LOG10($BS$27/1000))))&amp;"k",TEXT($BT$48,"0.00"))),TEXT($BT$48,"0.00")))</f>
        <v/>
      </c>
      <c r="CB48" t="n">
        <v>6.6</v>
      </c>
      <c r="CC48" t="n">
        <v>6.675</v>
      </c>
      <c r="CD48" t="n">
        <v>136</v>
      </c>
      <c r="CG48">
        <f>IF(45&lt;=$CF$13,$CF$14+(45-1)*$CF$16,"")</f>
        <v/>
      </c>
      <c r="CH48">
        <f>IF(45&gt;$CF$13,"",SUMIFS($CD$4:$CD$203,$CC$4:$CC$203,"&gt;="&amp;$CG$48,$CC$4:$CC$203,IF(45=$CF$13,"&lt;=","&lt;")&amp;($CG$48+$CF$16)))</f>
        <v/>
      </c>
      <c r="CI48">
        <f>IF(AND(MOD(34,$CF$17)=0,MOD((INT(34/$CF$17)+1)-1,$CF$13/5)=0),INDEX($CN$4:$CN$53,(INT(34/$CF$17)+1)),"")</f>
        <v/>
      </c>
      <c r="CJ48">
        <f>IF(MOD(34,$CF$17)=$CF$17-1,0,INDEX($CH$4:$CH$53,(INT(34/$CF$17)+1)))</f>
        <v/>
      </c>
      <c r="CK48">
        <f>IFERROR(IF(AND($CM$26&gt;=$CF$14,$CM$26&lt;=$CF$15),10+0.5+100*($CM$26-$CF$14)/($CF$15-$CF$14),NA()),NA())</f>
        <v/>
      </c>
      <c r="CL48">
        <f>IF(ISNA($CK$48),NA(),0)</f>
        <v/>
      </c>
      <c r="CN48">
        <f>IF($CG$48="","",IFERROR(IF(ABS($CG$48)&gt;=1000000,ROUND($CG$48/1000000,MAX(0,1-INT(LOG10($CF$27/1000000))))&amp;"M",IF(ABS($CG$48)&gt;=1000,ROUND($CG$48/1000,MAX(0,1-INT(LOG10($CF$27/1000))))&amp;"k",TEXT($CG$48,"#,##0.0"))),TEXT($CG$48,"#,##0.0")))</f>
        <v/>
      </c>
      <c r="CO48" t="n">
        <v>27.6</v>
      </c>
      <c r="CP48" t="n">
        <v>27.8</v>
      </c>
      <c r="CQ48" t="n">
        <v>38</v>
      </c>
      <c r="CT48">
        <f>IF(45&lt;=$CS$13,$CS$14+(45-1)*$CS$16,"")</f>
        <v/>
      </c>
      <c r="CU48">
        <f>IF(45&gt;$CS$13,"",SUMIFS($CQ$4:$CQ$203,$CP$4:$CP$203,"&gt;="&amp;$CT$48,$CP$4:$CP$203,IF(45=$CS$13,"&lt;=","&lt;")&amp;($CT$48+$CS$16)))</f>
        <v/>
      </c>
      <c r="CV48">
        <f>IF(AND(MOD(34,$CS$17)=0,MOD((INT(34/$CS$17)+1)-1,$CS$13/5)=0),INDEX($DA$4:$DA$53,(INT(34/$CS$17)+1)),"")</f>
        <v/>
      </c>
      <c r="CW48">
        <f>IF(MOD(34,$CS$17)=$CS$17-1,0,INDEX($CU$4:$CU$53,(INT(34/$CS$17)+1)))</f>
        <v/>
      </c>
      <c r="CX48">
        <f>IFERROR(IF(AND($CZ$26&gt;=$CS$14,$CZ$26&lt;=$CS$15),10+0.5+100*($CZ$26-$CS$14)/($CS$15-$CS$14),NA()),NA())</f>
        <v/>
      </c>
      <c r="CY48">
        <f>IF(ISNA($CX$48),NA(),0)</f>
        <v/>
      </c>
      <c r="DA48">
        <f>IF($CT$48="","",IFERROR(IF(ABS($CT$48)&gt;=1000000,ROUND($CT$48/1000000,MAX(0,1-INT(LOG10($CS$27/1000000))))&amp;"M",IF(ABS($CT$48)&gt;=1000,ROUND($CT$48/1000,MAX(0,1-INT(LOG10($CS$27/1000))))&amp;"k",TEXT($CT$48,"#,##0"))),TEXT($CT$48,"#,##0")))</f>
        <v/>
      </c>
      <c r="DB48" t="n">
        <v>25.4</v>
      </c>
      <c r="DC48" t="n">
        <v>25.575</v>
      </c>
      <c r="DD48" t="n">
        <v>42</v>
      </c>
      <c r="DG48">
        <f>IF(45&lt;=$DF$13,$DF$14+(45-1)*$DF$16,"")</f>
        <v/>
      </c>
      <c r="DH48">
        <f>IF(45&gt;$DF$13,"",SUMIFS($DD$4:$DD$203,$DC$4:$DC$203,"&gt;="&amp;$DG$48,$DC$4:$DC$203,IF(45=$DF$13,"&lt;=","&lt;")&amp;($DG$48+$DF$16)))</f>
        <v/>
      </c>
      <c r="DI48">
        <f>IF(AND(MOD(34,$DF$17)=0,MOD((INT(34/$DF$17)+1)-1,$DF$13/5)=0),INDEX($DN$4:$DN$53,(INT(34/$DF$17)+1)),"")</f>
        <v/>
      </c>
      <c r="DJ48">
        <f>IF(MOD(34,$DF$17)=$DF$17-1,0,INDEX($DH$4:$DH$53,(INT(34/$DF$17)+1)))</f>
        <v/>
      </c>
      <c r="DK48">
        <f>IFERROR(IF(AND($DM$26&gt;=$DF$14,$DM$26&lt;=$DF$15),10+0.5+100*($DM$26-$DF$14)/($DF$15-$DF$14),NA()),NA())</f>
        <v/>
      </c>
      <c r="DL48">
        <f>IF(ISNA($DK$48),NA(),0)</f>
        <v/>
      </c>
      <c r="DN48">
        <f>IF($DG$48="","",IFERROR(IF(ABS($DG$48)&gt;=1000000,ROUND($DG$48/1000000,MAX(0,1-INT(LOG10($DF$27/1000000))))&amp;"M",IF(ABS($DG$48)&gt;=1000,ROUND($DG$48/1000,MAX(0,1-INT(LOG10($DF$27/1000))))&amp;"k",TEXT($DG$48,"#,##0.0"))),TEXT($DG$48,"#,##0.0")))</f>
        <v/>
      </c>
      <c r="DO48" t="n">
        <v>8.6</v>
      </c>
      <c r="DP48" t="n">
        <v>8.612500000000001</v>
      </c>
      <c r="DQ48" t="n">
        <v>42</v>
      </c>
      <c r="DT48">
        <f>IF(45&lt;=$DS$13,$DS$14+(45-1)*$DS$16,"")</f>
        <v/>
      </c>
      <c r="DU48">
        <f>IF(45&gt;$DS$13,"",SUMIFS($DQ$4:$DQ$203,$DP$4:$DP$203,"&gt;="&amp;$DT$48,$DP$4:$DP$203,IF(45=$DS$13,"&lt;=","&lt;")&amp;($DT$48+$DS$16)))</f>
        <v/>
      </c>
      <c r="DV48">
        <f>IF(AND(MOD(34,$DS$17)=0,MOD((INT(34/$DS$17)+1)-1,$DS$13/5)=0),INDEX($EA$4:$EA$53,(INT(34/$DS$17)+1)),"")</f>
        <v/>
      </c>
      <c r="DW48">
        <f>IF(MOD(34,$DS$17)=$DS$17-1,0,INDEX($DU$4:$DU$53,(INT(34/$DS$17)+1)))</f>
        <v/>
      </c>
      <c r="DX48">
        <f>IFERROR(IF(AND($DZ$26&gt;=$DS$14,$DZ$26&lt;=$DS$15),10+0.5+100*($DZ$26-$DS$14)/($DS$15-$DS$14),NA()),NA())</f>
        <v/>
      </c>
      <c r="DY48">
        <f>IF(ISNA($DX$48),NA(),0)</f>
        <v/>
      </c>
      <c r="EA48">
        <f>IF($DT$48="","",IFERROR(IF(ABS($DT$48)&gt;=1000000,ROUND($DT$48/1000000,MAX(0,1-INT(LOG10($DS$27/1000000))))&amp;"M",IF(ABS($DT$48)&gt;=1000,ROUND($DT$48/1000,MAX(0,1-INT(LOG10($DS$27/1000))))&amp;"k",TEXT($DT$48,"#,##0.0"))),TEXT($DT$48,"#,##0.0")))</f>
        <v/>
      </c>
      <c r="EB48" t="n">
        <v>22</v>
      </c>
      <c r="EC48" t="n">
        <v>22.25</v>
      </c>
      <c r="ED48" t="n">
        <v>74</v>
      </c>
      <c r="EG48">
        <f>IF(45&lt;=$EF$13,$EF$14+(45-1)*$EF$16,"")</f>
        <v/>
      </c>
      <c r="EH48">
        <f>IF(45&gt;$EF$13,"",SUMIFS($ED$4:$ED$203,$EC$4:$EC$203,"&gt;="&amp;$EG$48,$EC$4:$EC$203,IF(45=$EF$13,"&lt;=","&lt;")&amp;($EG$48+$EF$16)))</f>
        <v/>
      </c>
      <c r="EI48">
        <f>IF(AND(MOD(34,$EF$17)=0,MOD((INT(34/$EF$17)+1)-1,$EF$13/5)=0),INDEX($EN$4:$EN$53,(INT(34/$EF$17)+1)),"")</f>
        <v/>
      </c>
      <c r="EJ48">
        <f>IF(MOD(34,$EF$17)=$EF$17-1,0,INDEX($EH$4:$EH$53,(INT(34/$EF$17)+1)))</f>
        <v/>
      </c>
      <c r="EK48">
        <f>IFERROR(IF(AND($EM$26&gt;=$EF$14,$EM$26&lt;=$EF$15),10+0.5+100*($EM$26-$EF$14)/($EF$15-$EF$14),NA()),NA())</f>
        <v/>
      </c>
      <c r="EL48">
        <f>IF(ISNA($EK$48),NA(),0)</f>
        <v/>
      </c>
      <c r="EN48">
        <f>IF($EG$48="","",IFERROR(IF(ABS($EG$48)&gt;=1000000,ROUND($EG$48/1000000,MAX(0,1-INT(LOG10($EF$27/1000000))))&amp;"M",IF(ABS($EG$48)&gt;=1000,ROUND($EG$48/1000,MAX(0,1-INT(LOG10($EF$27/1000))))&amp;"k",TEXT($EG$48,"#,##0"))),TEXT($EG$48,"#,##0")))</f>
        <v/>
      </c>
      <c r="EO48" t="n">
        <v>0.77</v>
      </c>
      <c r="EP48" t="n">
        <v>0.7787500000000001</v>
      </c>
      <c r="EQ48" t="n">
        <v>117</v>
      </c>
      <c r="ET48">
        <f>IF(45&lt;=$ES$13,$ES$14+(45-1)*$ES$16,"")</f>
        <v/>
      </c>
      <c r="EU48">
        <f>IF(45&gt;$ES$13,"",SUMIFS($EQ$4:$EQ$203,$EP$4:$EP$203,"&gt;="&amp;$ET$48,$EP$4:$EP$203,IF(45=$ES$13,"&lt;=","&lt;")&amp;($ET$48+$ES$16)))</f>
        <v/>
      </c>
      <c r="EV48">
        <f>IF(AND(MOD(34,$ES$17)=0,MOD((INT(34/$ES$17)+1)-1,$ES$13/5)=0),INDEX($FA$4:$FA$53,(INT(34/$ES$17)+1)),"")</f>
        <v/>
      </c>
      <c r="EW48">
        <f>IF(MOD(34,$ES$17)=$ES$17-1,0,INDEX($EU$4:$EU$53,(INT(34/$ES$17)+1)))</f>
        <v/>
      </c>
      <c r="EX48">
        <f>IFERROR(IF(AND($EZ$26&gt;=$ES$14,$EZ$26&lt;=$ES$15),10+0.5+100*($EZ$26-$ES$14)/($ES$15-$ES$14),NA()),NA())</f>
        <v/>
      </c>
      <c r="EY48">
        <f>IF(ISNA($EX$48),NA(),0)</f>
        <v/>
      </c>
      <c r="FA48">
        <f>IF($ET$48="","",IFERROR(IF(ABS($ET$48)&gt;=1000000,ROUND($ET$48/1000000,MAX(0,1-INT(LOG10($ES$27/1000000))))&amp;"M",IF(ABS($ET$48)&gt;=1000,ROUND($ET$48/1000,MAX(0,1-INT(LOG10($ES$27/1000))))&amp;"k",TEXT($ET$48,"0.00"))),TEXT($ET$48,"0.00")))</f>
        <v/>
      </c>
    </row>
    <row r="49">
      <c r="B49" t="n">
        <v>617.5</v>
      </c>
      <c r="C49" t="n">
        <v>618.25</v>
      </c>
      <c r="D49" t="n">
        <v>34</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65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89</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c r="AO49" t="n">
        <v>180000</v>
      </c>
      <c r="AP49" t="n">
        <v>182000</v>
      </c>
      <c r="AQ49" t="n">
        <v>152</v>
      </c>
      <c r="AT49">
        <f>IF(46&lt;=$AS$13,$AS$14+(46-1)*$AS$16,"")</f>
        <v/>
      </c>
      <c r="AU49">
        <f>IF(46&gt;$AS$13,"",SUMIFS($AQ$4:$AQ$203,$AP$4:$AP$203,"&gt;="&amp;$AT$49,$AP$4:$AP$203,IF(46=$AS$13,"&lt;=","&lt;")&amp;($AT$49+$AS$16)))</f>
        <v/>
      </c>
      <c r="AV49">
        <f>IF(AND(MOD(35,$AS$17)=0,MOD((INT(35/$AS$17)+1)-1,$AS$13/5)=0),INDEX($BA$4:$BA$53,(INT(35/$AS$17)+1)),"")</f>
        <v/>
      </c>
      <c r="AW49">
        <f>IF(MOD(35,$AS$17)=$AS$17-1,0,INDEX($AU$4:$AU$53,(INT(35/$AS$17)+1)))</f>
        <v/>
      </c>
      <c r="AX49">
        <f>IFERROR(IF(AND($AZ$26&gt;=$AS$14,$AZ$26&lt;=$AS$15),10+0.5+100*($AZ$26-$AS$14)/($AS$15-$AS$14),NA()),NA())</f>
        <v/>
      </c>
      <c r="AY49">
        <f>IF(ISNA($AX$49),NA(),MAX($AW$4:$AW$123))</f>
        <v/>
      </c>
      <c r="BA49">
        <f>IF($AT$49="","",IFERROR(IF(ABS($AT$49)&gt;=1000000,ROUND($AT$49/1000000,MAX(0,1-INT(LOG10($AS$27/1000000))))&amp;"M",IF(ABS($AT$49)&gt;=1000,ROUND($AT$49/1000,MAX(0,1-INT(LOG10($AS$27/1000))))&amp;"k",TEXT($AT$49,"#,##0"))),TEXT($AT$49,"#,##0")))</f>
        <v/>
      </c>
      <c r="BB49" t="n">
        <v>315000</v>
      </c>
      <c r="BC49" t="n">
        <v>318500</v>
      </c>
      <c r="BD49" t="n">
        <v>71</v>
      </c>
      <c r="BG49">
        <f>IF(46&lt;=$BF$13,$BF$14+(46-1)*$BF$16,"")</f>
        <v/>
      </c>
      <c r="BH49">
        <f>IF(46&gt;$BF$13,"",SUMIFS($BD$4:$BD$203,$BC$4:$BC$203,"&gt;="&amp;$BG$49,$BC$4:$BC$203,IF(46=$BF$13,"&lt;=","&lt;")&amp;($BG$49+$BF$16)))</f>
        <v/>
      </c>
      <c r="BI49">
        <f>IF(AND(MOD(35,$BF$17)=0,MOD((INT(35/$BF$17)+1)-1,$BF$13/5)=0),INDEX($BN$4:$BN$53,(INT(35/$BF$17)+1)),"")</f>
        <v/>
      </c>
      <c r="BJ49">
        <f>IF(MOD(35,$BF$17)=$BF$17-1,0,INDEX($BH$4:$BH$53,(INT(35/$BF$17)+1)))</f>
        <v/>
      </c>
      <c r="BK49">
        <f>IFERROR(IF(AND($BM$26&gt;=$BF$14,$BM$26&lt;=$BF$15),10+0.5+100*($BM$26-$BF$14)/($BF$15-$BF$14),NA()),NA())</f>
        <v/>
      </c>
      <c r="BL49">
        <f>IF(ISNA($BK$49),NA(),MAX($BJ$4:$BJ$123))</f>
        <v/>
      </c>
      <c r="BN49">
        <f>IF($BG$49="","",IFERROR(IF(ABS($BG$49)&gt;=1000000,ROUND($BG$49/1000000,MAX(0,1-INT(LOG10($BF$27/1000000))))&amp;"M",IF(ABS($BG$49)&gt;=1000,ROUND($BG$49/1000,MAX(0,1-INT(LOG10($BF$27/1000))))&amp;"k",TEXT($BG$49,"#,##0"))),TEXT($BG$49,"#,##0")))</f>
        <v/>
      </c>
      <c r="BO49" t="n">
        <v>0.27</v>
      </c>
      <c r="BP49" t="n">
        <v>0.273</v>
      </c>
      <c r="BQ49" t="n">
        <v>52</v>
      </c>
      <c r="BT49">
        <f>IF(46&lt;=$BS$13,$BS$14+(46-1)*$BS$16,"")</f>
        <v/>
      </c>
      <c r="BU49">
        <f>IF(46&gt;$BS$13,"",SUMIFS($BQ$4:$BQ$203,$BP$4:$BP$203,"&gt;="&amp;$BT$49,$BP$4:$BP$203,IF(46=$BS$13,"&lt;=","&lt;")&amp;($BT$49+$BS$16)))</f>
        <v/>
      </c>
      <c r="BV49">
        <f>IF(AND(MOD(35,$BS$17)=0,MOD((INT(35/$BS$17)+1)-1,$BS$13/5)=0),INDEX($CA$4:$CA$53,(INT(35/$BS$17)+1)),"")</f>
        <v/>
      </c>
      <c r="BW49">
        <f>IF(MOD(35,$BS$17)=$BS$17-1,0,INDEX($BU$4:$BU$53,(INT(35/$BS$17)+1)))</f>
        <v/>
      </c>
      <c r="BX49">
        <f>IFERROR(IF(AND($BZ$26&gt;=$BS$14,$BZ$26&lt;=$BS$15),10+0.5+100*($BZ$26-$BS$14)/($BS$15-$BS$14),NA()),NA())</f>
        <v/>
      </c>
      <c r="BY49">
        <f>IF(ISNA($BX$49),NA(),MAX($BW$4:$BW$123))</f>
        <v/>
      </c>
      <c r="CA49">
        <f>IF($BT$49="","",IFERROR(IF(ABS($BT$49)&gt;=1000000,ROUND($BT$49/1000000,MAX(0,1-INT(LOG10($BS$27/1000000))))&amp;"M",IF(ABS($BT$49)&gt;=1000,ROUND($BT$49/1000,MAX(0,1-INT(LOG10($BS$27/1000))))&amp;"k",TEXT($BT$49,"0.00"))),TEXT($BT$49,"0.00")))</f>
        <v/>
      </c>
      <c r="CB49" t="n">
        <v>6.75</v>
      </c>
      <c r="CC49" t="n">
        <v>6.825</v>
      </c>
      <c r="CD49" t="n">
        <v>69</v>
      </c>
      <c r="CG49">
        <f>IF(46&lt;=$CF$13,$CF$14+(46-1)*$CF$16,"")</f>
        <v/>
      </c>
      <c r="CH49">
        <f>IF(46&gt;$CF$13,"",SUMIFS($CD$4:$CD$203,$CC$4:$CC$203,"&gt;="&amp;$CG$49,$CC$4:$CC$203,IF(46=$CF$13,"&lt;=","&lt;")&amp;($CG$49+$CF$16)))</f>
        <v/>
      </c>
      <c r="CI49">
        <f>IF(AND(MOD(35,$CF$17)=0,MOD((INT(35/$CF$17)+1)-1,$CF$13/5)=0),INDEX($CN$4:$CN$53,(INT(35/$CF$17)+1)),"")</f>
        <v/>
      </c>
      <c r="CJ49">
        <f>IF(MOD(35,$CF$17)=$CF$17-1,0,INDEX($CH$4:$CH$53,(INT(35/$CF$17)+1)))</f>
        <v/>
      </c>
      <c r="CK49">
        <f>IFERROR(IF(AND($CM$26&gt;=$CF$14,$CM$26&lt;=$CF$15),10+0.5+100*($CM$26-$CF$14)/($CF$15-$CF$14),NA()),NA())</f>
        <v/>
      </c>
      <c r="CL49">
        <f>IF(ISNA($CK$49),NA(),MAX($CJ$4:$CJ$123))</f>
        <v/>
      </c>
      <c r="CN49">
        <f>IF($CG$49="","",IFERROR(IF(ABS($CG$49)&gt;=1000000,ROUND($CG$49/1000000,MAX(0,1-INT(LOG10($CF$27/1000000))))&amp;"M",IF(ABS($CG$49)&gt;=1000,ROUND($CG$49/1000,MAX(0,1-INT(LOG10($CF$27/1000))))&amp;"k",TEXT($CG$49,"#,##0.0"))),TEXT($CG$49,"#,##0.0")))</f>
        <v/>
      </c>
      <c r="CO49" t="n">
        <v>28</v>
      </c>
      <c r="CP49" t="n">
        <v>28.2</v>
      </c>
      <c r="CQ49" t="n">
        <v>37</v>
      </c>
      <c r="CT49">
        <f>IF(46&lt;=$CS$13,$CS$14+(46-1)*$CS$16,"")</f>
        <v/>
      </c>
      <c r="CU49">
        <f>IF(46&gt;$CS$13,"",SUMIFS($CQ$4:$CQ$203,$CP$4:$CP$203,"&gt;="&amp;$CT$49,$CP$4:$CP$203,IF(46=$CS$13,"&lt;=","&lt;")&amp;($CT$49+$CS$16)))</f>
        <v/>
      </c>
      <c r="CV49">
        <f>IF(AND(MOD(35,$CS$17)=0,MOD((INT(35/$CS$17)+1)-1,$CS$13/5)=0),INDEX($DA$4:$DA$53,(INT(35/$CS$17)+1)),"")</f>
        <v/>
      </c>
      <c r="CW49">
        <f>IF(MOD(35,$CS$17)=$CS$17-1,0,INDEX($CU$4:$CU$53,(INT(35/$CS$17)+1)))</f>
        <v/>
      </c>
      <c r="CX49">
        <f>IFERROR(IF(AND($CZ$26&gt;=$CS$14,$CZ$26&lt;=$CS$15),10+0.5+100*($CZ$26-$CS$14)/($CS$15-$CS$14),NA()),NA())</f>
        <v/>
      </c>
      <c r="CY49">
        <f>IF(ISNA($CX$49),NA(),MAX($CW$4:$CW$123))</f>
        <v/>
      </c>
      <c r="DA49">
        <f>IF($CT$49="","",IFERROR(IF(ABS($CT$49)&gt;=1000000,ROUND($CT$49/1000000,MAX(0,1-INT(LOG10($CS$27/1000000))))&amp;"M",IF(ABS($CT$49)&gt;=1000,ROUND($CT$49/1000,MAX(0,1-INT(LOG10($CS$27/1000))))&amp;"k",TEXT($CT$49,"#,##0"))),TEXT($CT$49,"#,##0")))</f>
        <v/>
      </c>
      <c r="DB49" t="n">
        <v>25.75</v>
      </c>
      <c r="DC49" t="n">
        <v>25.925</v>
      </c>
      <c r="DD49" t="n">
        <v>52</v>
      </c>
      <c r="DG49">
        <f>IF(46&lt;=$DF$13,$DF$14+(46-1)*$DF$16,"")</f>
        <v/>
      </c>
      <c r="DH49">
        <f>IF(46&gt;$DF$13,"",SUMIFS($DD$4:$DD$203,$DC$4:$DC$203,"&gt;="&amp;$DG$49,$DC$4:$DC$203,IF(46=$DF$13,"&lt;=","&lt;")&amp;($DG$49+$DF$16)))</f>
        <v/>
      </c>
      <c r="DI49">
        <f>IF(AND(MOD(35,$DF$17)=0,MOD((INT(35/$DF$17)+1)-1,$DF$13/5)=0),INDEX($DN$4:$DN$53,(INT(35/$DF$17)+1)),"")</f>
        <v/>
      </c>
      <c r="DJ49">
        <f>IF(MOD(35,$DF$17)=$DF$17-1,0,INDEX($DH$4:$DH$53,(INT(35/$DF$17)+1)))</f>
        <v/>
      </c>
      <c r="DK49">
        <f>IFERROR(IF(AND($DM$26&gt;=$DF$14,$DM$26&lt;=$DF$15),10+0.5+100*($DM$26-$DF$14)/($DF$15-$DF$14),NA()),NA())</f>
        <v/>
      </c>
      <c r="DL49">
        <f>IF(ISNA($DK$49),NA(),MAX($DJ$4:$DJ$123))</f>
        <v/>
      </c>
      <c r="DN49">
        <f>IF($DG$49="","",IFERROR(IF(ABS($DG$49)&gt;=1000000,ROUND($DG$49/1000000,MAX(0,1-INT(LOG10($DF$27/1000000))))&amp;"M",IF(ABS($DG$49)&gt;=1000,ROUND($DG$49/1000,MAX(0,1-INT(LOG10($DF$27/1000))))&amp;"k",TEXT($DG$49,"#,##0.0"))),TEXT($DG$49,"#,##0.0")))</f>
        <v/>
      </c>
      <c r="DO49" t="n">
        <v>8.625</v>
      </c>
      <c r="DP49" t="n">
        <v>8.637499999999999</v>
      </c>
      <c r="DQ49" t="n">
        <v>47</v>
      </c>
      <c r="DT49">
        <f>IF(46&lt;=$DS$13,$DS$14+(46-1)*$DS$16,"")</f>
        <v/>
      </c>
      <c r="DU49">
        <f>IF(46&gt;$DS$13,"",SUMIFS($DQ$4:$DQ$203,$DP$4:$DP$203,"&gt;="&amp;$DT$49,$DP$4:$DP$203,IF(46=$DS$13,"&lt;=","&lt;")&amp;($DT$49+$DS$16)))</f>
        <v/>
      </c>
      <c r="DV49">
        <f>IF(AND(MOD(35,$DS$17)=0,MOD((INT(35/$DS$17)+1)-1,$DS$13/5)=0),INDEX($EA$4:$EA$53,(INT(35/$DS$17)+1)),"")</f>
        <v/>
      </c>
      <c r="DW49">
        <f>IF(MOD(35,$DS$17)=$DS$17-1,0,INDEX($DU$4:$DU$53,(INT(35/$DS$17)+1)))</f>
        <v/>
      </c>
      <c r="DX49">
        <f>IFERROR(IF(AND($DZ$26&gt;=$DS$14,$DZ$26&lt;=$DS$15),10+0.5+100*($DZ$26-$DS$14)/($DS$15-$DS$14),NA()),NA())</f>
        <v/>
      </c>
      <c r="DY49">
        <f>IF(ISNA($DX$49),NA(),MAX($DW$4:$DW$123))</f>
        <v/>
      </c>
      <c r="EA49">
        <f>IF($DT$49="","",IFERROR(IF(ABS($DT$49)&gt;=1000000,ROUND($DT$49/1000000,MAX(0,1-INT(LOG10($DS$27/1000000))))&amp;"M",IF(ABS($DT$49)&gt;=1000,ROUND($DT$49/1000,MAX(0,1-INT(LOG10($DS$27/1000))))&amp;"k",TEXT($DT$49,"#,##0.0"))),TEXT($DT$49,"#,##0.0")))</f>
        <v/>
      </c>
      <c r="EB49" t="n">
        <v>22.5</v>
      </c>
      <c r="EC49" t="n">
        <v>22.75</v>
      </c>
      <c r="ED49" t="n">
        <v>52</v>
      </c>
      <c r="EG49">
        <f>IF(46&lt;=$EF$13,$EF$14+(46-1)*$EF$16,"")</f>
        <v/>
      </c>
      <c r="EH49">
        <f>IF(46&gt;$EF$13,"",SUMIFS($ED$4:$ED$203,$EC$4:$EC$203,"&gt;="&amp;$EG$49,$EC$4:$EC$203,IF(46=$EF$13,"&lt;=","&lt;")&amp;($EG$49+$EF$16)))</f>
        <v/>
      </c>
      <c r="EI49">
        <f>IF(AND(MOD(35,$EF$17)=0,MOD((INT(35/$EF$17)+1)-1,$EF$13/5)=0),INDEX($EN$4:$EN$53,(INT(35/$EF$17)+1)),"")</f>
        <v/>
      </c>
      <c r="EJ49">
        <f>IF(MOD(35,$EF$17)=$EF$17-1,0,INDEX($EH$4:$EH$53,(INT(35/$EF$17)+1)))</f>
        <v/>
      </c>
      <c r="EK49">
        <f>IFERROR(IF(AND($EM$26&gt;=$EF$14,$EM$26&lt;=$EF$15),10+0.5+100*($EM$26-$EF$14)/($EF$15-$EF$14),NA()),NA())</f>
        <v/>
      </c>
      <c r="EL49">
        <f>IF(ISNA($EK$49),NA(),MAX($EJ$4:$EJ$123))</f>
        <v/>
      </c>
      <c r="EN49">
        <f>IF($EG$49="","",IFERROR(IF(ABS($EG$49)&gt;=1000000,ROUND($EG$49/1000000,MAX(0,1-INT(LOG10($EF$27/1000000))))&amp;"M",IF(ABS($EG$49)&gt;=1000,ROUND($EG$49/1000,MAX(0,1-INT(LOG10($EF$27/1000))))&amp;"k",TEXT($EG$49,"#,##0"))),TEXT($EG$49,"#,##0")))</f>
        <v/>
      </c>
      <c r="EO49" t="n">
        <v>0.7875000000000001</v>
      </c>
      <c r="EP49" t="n">
        <v>0.7962500000000001</v>
      </c>
      <c r="EQ49" t="n">
        <v>109</v>
      </c>
      <c r="ET49">
        <f>IF(46&lt;=$ES$13,$ES$14+(46-1)*$ES$16,"")</f>
        <v/>
      </c>
      <c r="EU49">
        <f>IF(46&gt;$ES$13,"",SUMIFS($EQ$4:$EQ$203,$EP$4:$EP$203,"&gt;="&amp;$ET$49,$EP$4:$EP$203,IF(46=$ES$13,"&lt;=","&lt;")&amp;($ET$49+$ES$16)))</f>
        <v/>
      </c>
      <c r="EV49">
        <f>IF(AND(MOD(35,$ES$17)=0,MOD((INT(35/$ES$17)+1)-1,$ES$13/5)=0),INDEX($FA$4:$FA$53,(INT(35/$ES$17)+1)),"")</f>
        <v/>
      </c>
      <c r="EW49">
        <f>IF(MOD(35,$ES$17)=$ES$17-1,0,INDEX($EU$4:$EU$53,(INT(35/$ES$17)+1)))</f>
        <v/>
      </c>
      <c r="EX49">
        <f>IFERROR(IF(AND($EZ$26&gt;=$ES$14,$EZ$26&lt;=$ES$15),10+0.5+100*($EZ$26-$ES$14)/($ES$15-$ES$14),NA()),NA())</f>
        <v/>
      </c>
      <c r="EY49">
        <f>IF(ISNA($EX$49),NA(),MAX($EW$4:$EW$123))</f>
        <v/>
      </c>
      <c r="FA49">
        <f>IF($ET$49="","",IFERROR(IF(ABS($ET$49)&gt;=1000000,ROUND($ET$49/1000000,MAX(0,1-INT(LOG10($ES$27/1000000))))&amp;"M",IF(ABS($ET$49)&gt;=1000,ROUND($ET$49/1000,MAX(0,1-INT(LOG10($ES$27/1000))))&amp;"k",TEXT($ET$49,"0.00"))),TEXT($ET$49,"0.00")))</f>
        <v/>
      </c>
    </row>
    <row r="50">
      <c r="B50" t="n">
        <v>619</v>
      </c>
      <c r="C50" t="n">
        <v>619.75</v>
      </c>
      <c r="D50" t="n">
        <v>46</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67</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108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c r="AO50" t="n">
        <v>184000</v>
      </c>
      <c r="AP50" t="n">
        <v>186000</v>
      </c>
      <c r="AQ50" t="n">
        <v>185</v>
      </c>
      <c r="AT50">
        <f>IF(47&lt;=$AS$13,$AS$14+(47-1)*$AS$16,"")</f>
        <v/>
      </c>
      <c r="AU50">
        <f>IF(47&gt;$AS$13,"",SUMIFS($AQ$4:$AQ$203,$AP$4:$AP$203,"&gt;="&amp;$AT$50,$AP$4:$AP$203,IF(47=$AS$13,"&lt;=","&lt;")&amp;($AT$50+$AS$16)))</f>
        <v/>
      </c>
      <c r="AV50">
        <f>IF(AND(MOD(36,$AS$17)=0,MOD((INT(36/$AS$17)+1)-1,$AS$13/5)=0),INDEX($BA$4:$BA$53,(INT(36/$AS$17)+1)),"")</f>
        <v/>
      </c>
      <c r="AW50">
        <f>IF(MOD(36,$AS$17)=$AS$17-1,0,INDEX($AU$4:$AU$53,(INT(36/$AS$17)+1)))</f>
        <v/>
      </c>
      <c r="AX50">
        <f>IFERROR(IF(AND($AZ$27&gt;=$AS$14,$AZ$27&lt;=$AS$15),10+0.5+100*($AZ$27-$AS$14)/($AS$15-$AS$14),NA()),NA())</f>
        <v/>
      </c>
      <c r="AY50">
        <f>IF(ISNA($AX$50),NA(),0)</f>
        <v/>
      </c>
      <c r="BA50">
        <f>IF($AT$50="","",IFERROR(IF(ABS($AT$50)&gt;=1000000,ROUND($AT$50/1000000,MAX(0,1-INT(LOG10($AS$27/1000000))))&amp;"M",IF(ABS($AT$50)&gt;=1000,ROUND($AT$50/1000,MAX(0,1-INT(LOG10($AS$27/1000))))&amp;"k",TEXT($AT$50,"#,##0"))),TEXT($AT$50,"#,##0")))</f>
        <v/>
      </c>
      <c r="BB50" t="n">
        <v>322000</v>
      </c>
      <c r="BC50" t="n">
        <v>325500</v>
      </c>
      <c r="BD50" t="n">
        <v>45</v>
      </c>
      <c r="BG50">
        <f>IF(47&lt;=$BF$13,$BF$14+(47-1)*$BF$16,"")</f>
        <v/>
      </c>
      <c r="BH50">
        <f>IF(47&gt;$BF$13,"",SUMIFS($BD$4:$BD$203,$BC$4:$BC$203,"&gt;="&amp;$BG$50,$BC$4:$BC$203,IF(47=$BF$13,"&lt;=","&lt;")&amp;($BG$50+$BF$16)))</f>
        <v/>
      </c>
      <c r="BI50">
        <f>IF(AND(MOD(36,$BF$17)=0,MOD((INT(36/$BF$17)+1)-1,$BF$13/5)=0),INDEX($BN$4:$BN$53,(INT(36/$BF$17)+1)),"")</f>
        <v/>
      </c>
      <c r="BJ50">
        <f>IF(MOD(36,$BF$17)=$BF$17-1,0,INDEX($BH$4:$BH$53,(INT(36/$BF$17)+1)))</f>
        <v/>
      </c>
      <c r="BK50">
        <f>IFERROR(IF(AND($BM$27&gt;=$BF$14,$BM$27&lt;=$BF$15),10+0.5+100*($BM$27-$BF$14)/($BF$15-$BF$14),NA()),NA())</f>
        <v/>
      </c>
      <c r="BL50">
        <f>IF(ISNA($BK$50),NA(),0)</f>
        <v/>
      </c>
      <c r="BN50">
        <f>IF($BG$50="","",IFERROR(IF(ABS($BG$50)&gt;=1000000,ROUND($BG$50/1000000,MAX(0,1-INT(LOG10($BF$27/1000000))))&amp;"M",IF(ABS($BG$50)&gt;=1000,ROUND($BG$50/1000,MAX(0,1-INT(LOG10($BF$27/1000))))&amp;"k",TEXT($BG$50,"#,##0"))),TEXT($BG$50,"#,##0")))</f>
        <v/>
      </c>
      <c r="BO50" t="n">
        <v>0.276</v>
      </c>
      <c r="BP50" t="n">
        <v>0.279</v>
      </c>
      <c r="BQ50" t="n">
        <v>57</v>
      </c>
      <c r="BT50">
        <f>IF(47&lt;=$BS$13,$BS$14+(47-1)*$BS$16,"")</f>
        <v/>
      </c>
      <c r="BU50">
        <f>IF(47&gt;$BS$13,"",SUMIFS($BQ$4:$BQ$203,$BP$4:$BP$203,"&gt;="&amp;$BT$50,$BP$4:$BP$203,IF(47=$BS$13,"&lt;=","&lt;")&amp;($BT$50+$BS$16)))</f>
        <v/>
      </c>
      <c r="BV50">
        <f>IF(AND(MOD(36,$BS$17)=0,MOD((INT(36/$BS$17)+1)-1,$BS$13/5)=0),INDEX($CA$4:$CA$53,(INT(36/$BS$17)+1)),"")</f>
        <v/>
      </c>
      <c r="BW50">
        <f>IF(MOD(36,$BS$17)=$BS$17-1,0,INDEX($BU$4:$BU$53,(INT(36/$BS$17)+1)))</f>
        <v/>
      </c>
      <c r="BX50">
        <f>IFERROR(IF(AND($BZ$27&gt;=$BS$14,$BZ$27&lt;=$BS$15),10+0.5+100*($BZ$27-$BS$14)/($BS$15-$BS$14),NA()),NA())</f>
        <v/>
      </c>
      <c r="BY50">
        <f>IF(ISNA($BX$50),NA(),0)</f>
        <v/>
      </c>
      <c r="CA50">
        <f>IF($BT$50="","",IFERROR(IF(ABS($BT$50)&gt;=1000000,ROUND($BT$50/1000000,MAX(0,1-INT(LOG10($BS$27/1000000))))&amp;"M",IF(ABS($BT$50)&gt;=1000,ROUND($BT$50/1000,MAX(0,1-INT(LOG10($BS$27/1000))))&amp;"k",TEXT($BT$50,"0.00"))),TEXT($BT$50,"0.00")))</f>
        <v/>
      </c>
      <c r="CB50" t="n">
        <v>6.899999999999999</v>
      </c>
      <c r="CC50" t="n">
        <v>6.975</v>
      </c>
      <c r="CD50" t="n">
        <v>122</v>
      </c>
      <c r="CG50">
        <f>IF(47&lt;=$CF$13,$CF$14+(47-1)*$CF$16,"")</f>
        <v/>
      </c>
      <c r="CH50">
        <f>IF(47&gt;$CF$13,"",SUMIFS($CD$4:$CD$203,$CC$4:$CC$203,"&gt;="&amp;$CG$50,$CC$4:$CC$203,IF(47=$CF$13,"&lt;=","&lt;")&amp;($CG$50+$CF$16)))</f>
        <v/>
      </c>
      <c r="CI50">
        <f>IF(AND(MOD(36,$CF$17)=0,MOD((INT(36/$CF$17)+1)-1,$CF$13/5)=0),INDEX($CN$4:$CN$53,(INT(36/$CF$17)+1)),"")</f>
        <v/>
      </c>
      <c r="CJ50">
        <f>IF(MOD(36,$CF$17)=$CF$17-1,0,INDEX($CH$4:$CH$53,(INT(36/$CF$17)+1)))</f>
        <v/>
      </c>
      <c r="CK50">
        <f>IFERROR(IF(AND($CM$27&gt;=$CF$14,$CM$27&lt;=$CF$15),10+0.5+100*($CM$27-$CF$14)/($CF$15-$CF$14),NA()),NA())</f>
        <v/>
      </c>
      <c r="CL50">
        <f>IF(ISNA($CK$50),NA(),0)</f>
        <v/>
      </c>
      <c r="CN50">
        <f>IF($CG$50="","",IFERROR(IF(ABS($CG$50)&gt;=1000000,ROUND($CG$50/1000000,MAX(0,1-INT(LOG10($CF$27/1000000))))&amp;"M",IF(ABS($CG$50)&gt;=1000,ROUND($CG$50/1000,MAX(0,1-INT(LOG10($CF$27/1000))))&amp;"k",TEXT($CG$50,"#,##0.0"))),TEXT($CG$50,"#,##0.0")))</f>
        <v/>
      </c>
      <c r="CO50" t="n">
        <v>28.4</v>
      </c>
      <c r="CP50" t="n">
        <v>28.6</v>
      </c>
      <c r="CQ50" t="n">
        <v>55</v>
      </c>
      <c r="CT50">
        <f>IF(47&lt;=$CS$13,$CS$14+(47-1)*$CS$16,"")</f>
        <v/>
      </c>
      <c r="CU50">
        <f>IF(47&gt;$CS$13,"",SUMIFS($CQ$4:$CQ$203,$CP$4:$CP$203,"&gt;="&amp;$CT$50,$CP$4:$CP$203,IF(47=$CS$13,"&lt;=","&lt;")&amp;($CT$50+$CS$16)))</f>
        <v/>
      </c>
      <c r="CV50">
        <f>IF(AND(MOD(36,$CS$17)=0,MOD((INT(36/$CS$17)+1)-1,$CS$13/5)=0),INDEX($DA$4:$DA$53,(INT(36/$CS$17)+1)),"")</f>
        <v/>
      </c>
      <c r="CW50">
        <f>IF(MOD(36,$CS$17)=$CS$17-1,0,INDEX($CU$4:$CU$53,(INT(36/$CS$17)+1)))</f>
        <v/>
      </c>
      <c r="CX50">
        <f>IFERROR(IF(AND($CZ$27&gt;=$CS$14,$CZ$27&lt;=$CS$15),10+0.5+100*($CZ$27-$CS$14)/($CS$15-$CS$14),NA()),NA())</f>
        <v/>
      </c>
      <c r="CY50">
        <f>IF(ISNA($CX$50),NA(),0)</f>
        <v/>
      </c>
      <c r="DA50">
        <f>IF($CT$50="","",IFERROR(IF(ABS($CT$50)&gt;=1000000,ROUND($CT$50/1000000,MAX(0,1-INT(LOG10($CS$27/1000000))))&amp;"M",IF(ABS($CT$50)&gt;=1000,ROUND($CT$50/1000,MAX(0,1-INT(LOG10($CS$27/1000))))&amp;"k",TEXT($CT$50,"#,##0"))),TEXT($CT$50,"#,##0")))</f>
        <v/>
      </c>
      <c r="DB50" t="n">
        <v>26.1</v>
      </c>
      <c r="DC50" t="n">
        <v>26.275</v>
      </c>
      <c r="DD50" t="n">
        <v>52</v>
      </c>
      <c r="DG50">
        <f>IF(47&lt;=$DF$13,$DF$14+(47-1)*$DF$16,"")</f>
        <v/>
      </c>
      <c r="DH50">
        <f>IF(47&gt;$DF$13,"",SUMIFS($DD$4:$DD$203,$DC$4:$DC$203,"&gt;="&amp;$DG$50,$DC$4:$DC$203,IF(47=$DF$13,"&lt;=","&lt;")&amp;($DG$50+$DF$16)))</f>
        <v/>
      </c>
      <c r="DI50">
        <f>IF(AND(MOD(36,$DF$17)=0,MOD((INT(36/$DF$17)+1)-1,$DF$13/5)=0),INDEX($DN$4:$DN$53,(INT(36/$DF$17)+1)),"")</f>
        <v/>
      </c>
      <c r="DJ50">
        <f>IF(MOD(36,$DF$17)=$DF$17-1,0,INDEX($DH$4:$DH$53,(INT(36/$DF$17)+1)))</f>
        <v/>
      </c>
      <c r="DK50">
        <f>IFERROR(IF(AND($DM$27&gt;=$DF$14,$DM$27&lt;=$DF$15),10+0.5+100*($DM$27-$DF$14)/($DF$15-$DF$14),NA()),NA())</f>
        <v/>
      </c>
      <c r="DL50">
        <f>IF(ISNA($DK$50),NA(),0)</f>
        <v/>
      </c>
      <c r="DN50">
        <f>IF($DG$50="","",IFERROR(IF(ABS($DG$50)&gt;=1000000,ROUND($DG$50/1000000,MAX(0,1-INT(LOG10($DF$27/1000000))))&amp;"M",IF(ABS($DG$50)&gt;=1000,ROUND($DG$50/1000,MAX(0,1-INT(LOG10($DF$27/1000))))&amp;"k",TEXT($DG$50,"#,##0.0"))),TEXT($DG$50,"#,##0.0")))</f>
        <v/>
      </c>
      <c r="DO50" t="n">
        <v>8.65</v>
      </c>
      <c r="DP50" t="n">
        <v>8.6625</v>
      </c>
      <c r="DQ50" t="n">
        <v>41</v>
      </c>
      <c r="DT50">
        <f>IF(47&lt;=$DS$13,$DS$14+(47-1)*$DS$16,"")</f>
        <v/>
      </c>
      <c r="DU50">
        <f>IF(47&gt;$DS$13,"",SUMIFS($DQ$4:$DQ$203,$DP$4:$DP$203,"&gt;="&amp;$DT$50,$DP$4:$DP$203,IF(47=$DS$13,"&lt;=","&lt;")&amp;($DT$50+$DS$16)))</f>
        <v/>
      </c>
      <c r="DV50">
        <f>IF(AND(MOD(36,$DS$17)=0,MOD((INT(36/$DS$17)+1)-1,$DS$13/5)=0),INDEX($EA$4:$EA$53,(INT(36/$DS$17)+1)),"")</f>
        <v/>
      </c>
      <c r="DW50">
        <f>IF(MOD(36,$DS$17)=$DS$17-1,0,INDEX($DU$4:$DU$53,(INT(36/$DS$17)+1)))</f>
        <v/>
      </c>
      <c r="DX50">
        <f>IFERROR(IF(AND($DZ$27&gt;=$DS$14,$DZ$27&lt;=$DS$15),10+0.5+100*($DZ$27-$DS$14)/($DS$15-$DS$14),NA()),NA())</f>
        <v/>
      </c>
      <c r="DY50">
        <f>IF(ISNA($DX$50),NA(),0)</f>
        <v/>
      </c>
      <c r="EA50">
        <f>IF($DT$50="","",IFERROR(IF(ABS($DT$50)&gt;=1000000,ROUND($DT$50/1000000,MAX(0,1-INT(LOG10($DS$27/1000000))))&amp;"M",IF(ABS($DT$50)&gt;=1000,ROUND($DT$50/1000,MAX(0,1-INT(LOG10($DS$27/1000))))&amp;"k",TEXT($DT$50,"#,##0.0"))),TEXT($DT$50,"#,##0.0")))</f>
        <v/>
      </c>
      <c r="EB50" t="n">
        <v>23</v>
      </c>
      <c r="EC50" t="n">
        <v>23.25</v>
      </c>
      <c r="ED50" t="n">
        <v>63</v>
      </c>
      <c r="EG50">
        <f>IF(47&lt;=$EF$13,$EF$14+(47-1)*$EF$16,"")</f>
        <v/>
      </c>
      <c r="EH50">
        <f>IF(47&gt;$EF$13,"",SUMIFS($ED$4:$ED$203,$EC$4:$EC$203,"&gt;="&amp;$EG$50,$EC$4:$EC$203,IF(47=$EF$13,"&lt;=","&lt;")&amp;($EG$50+$EF$16)))</f>
        <v/>
      </c>
      <c r="EI50">
        <f>IF(AND(MOD(36,$EF$17)=0,MOD((INT(36/$EF$17)+1)-1,$EF$13/5)=0),INDEX($EN$4:$EN$53,(INT(36/$EF$17)+1)),"")</f>
        <v/>
      </c>
      <c r="EJ50">
        <f>IF(MOD(36,$EF$17)=$EF$17-1,0,INDEX($EH$4:$EH$53,(INT(36/$EF$17)+1)))</f>
        <v/>
      </c>
      <c r="EK50">
        <f>IFERROR(IF(AND($EM$27&gt;=$EF$14,$EM$27&lt;=$EF$15),10+0.5+100*($EM$27-$EF$14)/($EF$15-$EF$14),NA()),NA())</f>
        <v/>
      </c>
      <c r="EL50">
        <f>IF(ISNA($EK$50),NA(),0)</f>
        <v/>
      </c>
      <c r="EN50">
        <f>IF($EG$50="","",IFERROR(IF(ABS($EG$50)&gt;=1000000,ROUND($EG$50/1000000,MAX(0,1-INT(LOG10($EF$27/1000000))))&amp;"M",IF(ABS($EG$50)&gt;=1000,ROUND($EG$50/1000,MAX(0,1-INT(LOG10($EF$27/1000))))&amp;"k",TEXT($EG$50,"#,##0"))),TEXT($EG$50,"#,##0")))</f>
        <v/>
      </c>
      <c r="EO50" t="n">
        <v>0.805</v>
      </c>
      <c r="EP50" t="n">
        <v>0.8137500000000001</v>
      </c>
      <c r="EQ50" t="n">
        <v>90</v>
      </c>
      <c r="ET50">
        <f>IF(47&lt;=$ES$13,$ES$14+(47-1)*$ES$16,"")</f>
        <v/>
      </c>
      <c r="EU50">
        <f>IF(47&gt;$ES$13,"",SUMIFS($EQ$4:$EQ$203,$EP$4:$EP$203,"&gt;="&amp;$ET$50,$EP$4:$EP$203,IF(47=$ES$13,"&lt;=","&lt;")&amp;($ET$50+$ES$16)))</f>
        <v/>
      </c>
      <c r="EV50">
        <f>IF(AND(MOD(36,$ES$17)=0,MOD((INT(36/$ES$17)+1)-1,$ES$13/5)=0),INDEX($FA$4:$FA$53,(INT(36/$ES$17)+1)),"")</f>
        <v/>
      </c>
      <c r="EW50">
        <f>IF(MOD(36,$ES$17)=$ES$17-1,0,INDEX($EU$4:$EU$53,(INT(36/$ES$17)+1)))</f>
        <v/>
      </c>
      <c r="EX50">
        <f>IFERROR(IF(AND($EZ$27&gt;=$ES$14,$EZ$27&lt;=$ES$15),10+0.5+100*($EZ$27-$ES$14)/($ES$15-$ES$14),NA()),NA())</f>
        <v/>
      </c>
      <c r="EY50">
        <f>IF(ISNA($EX$50),NA(),0)</f>
        <v/>
      </c>
      <c r="FA50">
        <f>IF($ET$50="","",IFERROR(IF(ABS($ET$50)&gt;=1000000,ROUND($ET$50/1000000,MAX(0,1-INT(LOG10($ES$27/1000000))))&amp;"M",IF(ABS($ET$50)&gt;=1000,ROUND($ET$50/1000,MAX(0,1-INT(LOG10($ES$27/1000))))&amp;"k",TEXT($ET$50,"0.00"))),TEXT($ET$50,"0.00")))</f>
        <v/>
      </c>
    </row>
    <row r="51">
      <c r="B51" t="n">
        <v>620.5</v>
      </c>
      <c r="C51" t="n">
        <v>621.25</v>
      </c>
      <c r="D51" t="n">
        <v>40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58</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107</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c r="AO51" t="n">
        <v>188000</v>
      </c>
      <c r="AP51" t="n">
        <v>190000</v>
      </c>
      <c r="AQ51" t="n">
        <v>170</v>
      </c>
      <c r="AT51">
        <f>IF(48&lt;=$AS$13,$AS$14+(48-1)*$AS$16,"")</f>
        <v/>
      </c>
      <c r="AU51">
        <f>IF(48&gt;$AS$13,"",SUMIFS($AQ$4:$AQ$203,$AP$4:$AP$203,"&gt;="&amp;$AT$51,$AP$4:$AP$203,IF(48=$AS$13,"&lt;=","&lt;")&amp;($AT$51+$AS$16)))</f>
        <v/>
      </c>
      <c r="AV51">
        <f>IF(AND(MOD(37,$AS$17)=0,MOD((INT(37/$AS$17)+1)-1,$AS$13/5)=0),INDEX($BA$4:$BA$53,(INT(37/$AS$17)+1)),"")</f>
        <v/>
      </c>
      <c r="AW51">
        <f>IF(MOD(37,$AS$17)=$AS$17-1,0,INDEX($AU$4:$AU$53,(INT(37/$AS$17)+1)))</f>
        <v/>
      </c>
      <c r="AX51">
        <f>IFERROR(IF(AND($AZ$27&gt;=$AS$14,$AZ$27&lt;=$AS$15),10+0.5+100*($AZ$27-$AS$14)/($AS$15-$AS$14),NA()),NA())</f>
        <v/>
      </c>
      <c r="AY51">
        <f>IF(ISNA($AX$51),NA(),MAX($AW$4:$AW$123))</f>
        <v/>
      </c>
      <c r="BA51">
        <f>IF($AT$51="","",IFERROR(IF(ABS($AT$51)&gt;=1000000,ROUND($AT$51/1000000,MAX(0,1-INT(LOG10($AS$27/1000000))))&amp;"M",IF(ABS($AT$51)&gt;=1000,ROUND($AT$51/1000,MAX(0,1-INT(LOG10($AS$27/1000))))&amp;"k",TEXT($AT$51,"#,##0"))),TEXT($AT$51,"#,##0")))</f>
        <v/>
      </c>
      <c r="BB51" t="n">
        <v>329000</v>
      </c>
      <c r="BC51" t="n">
        <v>332500</v>
      </c>
      <c r="BD51" t="n">
        <v>43</v>
      </c>
      <c r="BG51">
        <f>IF(48&lt;=$BF$13,$BF$14+(48-1)*$BF$16,"")</f>
        <v/>
      </c>
      <c r="BH51">
        <f>IF(48&gt;$BF$13,"",SUMIFS($BD$4:$BD$203,$BC$4:$BC$203,"&gt;="&amp;$BG$51,$BC$4:$BC$203,IF(48=$BF$13,"&lt;=","&lt;")&amp;($BG$51+$BF$16)))</f>
        <v/>
      </c>
      <c r="BI51">
        <f>IF(AND(MOD(37,$BF$17)=0,MOD((INT(37/$BF$17)+1)-1,$BF$13/5)=0),INDEX($BN$4:$BN$53,(INT(37/$BF$17)+1)),"")</f>
        <v/>
      </c>
      <c r="BJ51">
        <f>IF(MOD(37,$BF$17)=$BF$17-1,0,INDEX($BH$4:$BH$53,(INT(37/$BF$17)+1)))</f>
        <v/>
      </c>
      <c r="BK51">
        <f>IFERROR(IF(AND($BM$27&gt;=$BF$14,$BM$27&lt;=$BF$15),10+0.5+100*($BM$27-$BF$14)/($BF$15-$BF$14),NA()),NA())</f>
        <v/>
      </c>
      <c r="BL51">
        <f>IF(ISNA($BK$51),NA(),MAX($BJ$4:$BJ$123))</f>
        <v/>
      </c>
      <c r="BN51">
        <f>IF($BG$51="","",IFERROR(IF(ABS($BG$51)&gt;=1000000,ROUND($BG$51/1000000,MAX(0,1-INT(LOG10($BF$27/1000000))))&amp;"M",IF(ABS($BG$51)&gt;=1000,ROUND($BG$51/1000,MAX(0,1-INT(LOG10($BF$27/1000))))&amp;"k",TEXT($BG$51,"#,##0"))),TEXT($BG$51,"#,##0")))</f>
        <v/>
      </c>
      <c r="BO51" t="n">
        <v>0.282</v>
      </c>
      <c r="BP51" t="n">
        <v>0.285</v>
      </c>
      <c r="BQ51" t="n">
        <v>70</v>
      </c>
      <c r="BT51">
        <f>IF(48&lt;=$BS$13,$BS$14+(48-1)*$BS$16,"")</f>
        <v/>
      </c>
      <c r="BU51">
        <f>IF(48&gt;$BS$13,"",SUMIFS($BQ$4:$BQ$203,$BP$4:$BP$203,"&gt;="&amp;$BT$51,$BP$4:$BP$203,IF(48=$BS$13,"&lt;=","&lt;")&amp;($BT$51+$BS$16)))</f>
        <v/>
      </c>
      <c r="BV51">
        <f>IF(AND(MOD(37,$BS$17)=0,MOD((INT(37/$BS$17)+1)-1,$BS$13/5)=0),INDEX($CA$4:$CA$53,(INT(37/$BS$17)+1)),"")</f>
        <v/>
      </c>
      <c r="BW51">
        <f>IF(MOD(37,$BS$17)=$BS$17-1,0,INDEX($BU$4:$BU$53,(INT(37/$BS$17)+1)))</f>
        <v/>
      </c>
      <c r="BX51">
        <f>IFERROR(IF(AND($BZ$27&gt;=$BS$14,$BZ$27&lt;=$BS$15),10+0.5+100*($BZ$27-$BS$14)/($BS$15-$BS$14),NA()),NA())</f>
        <v/>
      </c>
      <c r="BY51">
        <f>IF(ISNA($BX$51),NA(),MAX($BW$4:$BW$123))</f>
        <v/>
      </c>
      <c r="CA51">
        <f>IF($BT$51="","",IFERROR(IF(ABS($BT$51)&gt;=1000000,ROUND($BT$51/1000000,MAX(0,1-INT(LOG10($BS$27/1000000))))&amp;"M",IF(ABS($BT$51)&gt;=1000,ROUND($BT$51/1000,MAX(0,1-INT(LOG10($BS$27/1000))))&amp;"k",TEXT($BT$51,"0.00"))),TEXT($BT$51,"0.00")))</f>
        <v/>
      </c>
      <c r="CB51" t="n">
        <v>7.05</v>
      </c>
      <c r="CC51" t="n">
        <v>7.125</v>
      </c>
      <c r="CD51" t="n">
        <v>49</v>
      </c>
      <c r="CG51">
        <f>IF(48&lt;=$CF$13,$CF$14+(48-1)*$CF$16,"")</f>
        <v/>
      </c>
      <c r="CH51">
        <f>IF(48&gt;$CF$13,"",SUMIFS($CD$4:$CD$203,$CC$4:$CC$203,"&gt;="&amp;$CG$51,$CC$4:$CC$203,IF(48=$CF$13,"&lt;=","&lt;")&amp;($CG$51+$CF$16)))</f>
        <v/>
      </c>
      <c r="CI51">
        <f>IF(AND(MOD(37,$CF$17)=0,MOD((INT(37/$CF$17)+1)-1,$CF$13/5)=0),INDEX($CN$4:$CN$53,(INT(37/$CF$17)+1)),"")</f>
        <v/>
      </c>
      <c r="CJ51">
        <f>IF(MOD(37,$CF$17)=$CF$17-1,0,INDEX($CH$4:$CH$53,(INT(37/$CF$17)+1)))</f>
        <v/>
      </c>
      <c r="CK51">
        <f>IFERROR(IF(AND($CM$27&gt;=$CF$14,$CM$27&lt;=$CF$15),10+0.5+100*($CM$27-$CF$14)/($CF$15-$CF$14),NA()),NA())</f>
        <v/>
      </c>
      <c r="CL51">
        <f>IF(ISNA($CK$51),NA(),MAX($CJ$4:$CJ$123))</f>
        <v/>
      </c>
      <c r="CN51">
        <f>IF($CG$51="","",IFERROR(IF(ABS($CG$51)&gt;=1000000,ROUND($CG$51/1000000,MAX(0,1-INT(LOG10($CF$27/1000000))))&amp;"M",IF(ABS($CG$51)&gt;=1000,ROUND($CG$51/1000,MAX(0,1-INT(LOG10($CF$27/1000))))&amp;"k",TEXT($CG$51,"#,##0.0"))),TEXT($CG$51,"#,##0.0")))</f>
        <v/>
      </c>
      <c r="CO51" t="n">
        <v>28.8</v>
      </c>
      <c r="CP51" t="n">
        <v>29</v>
      </c>
      <c r="CQ51" t="n">
        <v>43</v>
      </c>
      <c r="CT51">
        <f>IF(48&lt;=$CS$13,$CS$14+(48-1)*$CS$16,"")</f>
        <v/>
      </c>
      <c r="CU51">
        <f>IF(48&gt;$CS$13,"",SUMIFS($CQ$4:$CQ$203,$CP$4:$CP$203,"&gt;="&amp;$CT$51,$CP$4:$CP$203,IF(48=$CS$13,"&lt;=","&lt;")&amp;($CT$51+$CS$16)))</f>
        <v/>
      </c>
      <c r="CV51">
        <f>IF(AND(MOD(37,$CS$17)=0,MOD((INT(37/$CS$17)+1)-1,$CS$13/5)=0),INDEX($DA$4:$DA$53,(INT(37/$CS$17)+1)),"")</f>
        <v/>
      </c>
      <c r="CW51">
        <f>IF(MOD(37,$CS$17)=$CS$17-1,0,INDEX($CU$4:$CU$53,(INT(37/$CS$17)+1)))</f>
        <v/>
      </c>
      <c r="CX51">
        <f>IFERROR(IF(AND($CZ$27&gt;=$CS$14,$CZ$27&lt;=$CS$15),10+0.5+100*($CZ$27-$CS$14)/($CS$15-$CS$14),NA()),NA())</f>
        <v/>
      </c>
      <c r="CY51">
        <f>IF(ISNA($CX$51),NA(),MAX($CW$4:$CW$123))</f>
        <v/>
      </c>
      <c r="DA51">
        <f>IF($CT$51="","",IFERROR(IF(ABS($CT$51)&gt;=1000000,ROUND($CT$51/1000000,MAX(0,1-INT(LOG10($CS$27/1000000))))&amp;"M",IF(ABS($CT$51)&gt;=1000,ROUND($CT$51/1000,MAX(0,1-INT(LOG10($CS$27/1000))))&amp;"k",TEXT($CT$51,"#,##0"))),TEXT($CT$51,"#,##0")))</f>
        <v/>
      </c>
      <c r="DB51" t="n">
        <v>26.45</v>
      </c>
      <c r="DC51" t="n">
        <v>26.625</v>
      </c>
      <c r="DD51" t="n">
        <v>36</v>
      </c>
      <c r="DG51">
        <f>IF(48&lt;=$DF$13,$DF$14+(48-1)*$DF$16,"")</f>
        <v/>
      </c>
      <c r="DH51">
        <f>IF(48&gt;$DF$13,"",SUMIFS($DD$4:$DD$203,$DC$4:$DC$203,"&gt;="&amp;$DG$51,$DC$4:$DC$203,IF(48=$DF$13,"&lt;=","&lt;")&amp;($DG$51+$DF$16)))</f>
        <v/>
      </c>
      <c r="DI51">
        <f>IF(AND(MOD(37,$DF$17)=0,MOD((INT(37/$DF$17)+1)-1,$DF$13/5)=0),INDEX($DN$4:$DN$53,(INT(37/$DF$17)+1)),"")</f>
        <v/>
      </c>
      <c r="DJ51">
        <f>IF(MOD(37,$DF$17)=$DF$17-1,0,INDEX($DH$4:$DH$53,(INT(37/$DF$17)+1)))</f>
        <v/>
      </c>
      <c r="DK51">
        <f>IFERROR(IF(AND($DM$27&gt;=$DF$14,$DM$27&lt;=$DF$15),10+0.5+100*($DM$27-$DF$14)/($DF$15-$DF$14),NA()),NA())</f>
        <v/>
      </c>
      <c r="DL51">
        <f>IF(ISNA($DK$51),NA(),MAX($DJ$4:$DJ$123))</f>
        <v/>
      </c>
      <c r="DN51">
        <f>IF($DG$51="","",IFERROR(IF(ABS($DG$51)&gt;=1000000,ROUND($DG$51/1000000,MAX(0,1-INT(LOG10($DF$27/1000000))))&amp;"M",IF(ABS($DG$51)&gt;=1000,ROUND($DG$51/1000,MAX(0,1-INT(LOG10($DF$27/1000))))&amp;"k",TEXT($DG$51,"#,##0.0"))),TEXT($DG$51,"#,##0.0")))</f>
        <v/>
      </c>
      <c r="DO51" t="n">
        <v>8.675000000000001</v>
      </c>
      <c r="DP51" t="n">
        <v>8.6875</v>
      </c>
      <c r="DQ51" t="n">
        <v>54</v>
      </c>
      <c r="DT51">
        <f>IF(48&lt;=$DS$13,$DS$14+(48-1)*$DS$16,"")</f>
        <v/>
      </c>
      <c r="DU51">
        <f>IF(48&gt;$DS$13,"",SUMIFS($DQ$4:$DQ$203,$DP$4:$DP$203,"&gt;="&amp;$DT$51,$DP$4:$DP$203,IF(48=$DS$13,"&lt;=","&lt;")&amp;($DT$51+$DS$16)))</f>
        <v/>
      </c>
      <c r="DV51">
        <f>IF(AND(MOD(37,$DS$17)=0,MOD((INT(37/$DS$17)+1)-1,$DS$13/5)=0),INDEX($EA$4:$EA$53,(INT(37/$DS$17)+1)),"")</f>
        <v/>
      </c>
      <c r="DW51">
        <f>IF(MOD(37,$DS$17)=$DS$17-1,0,INDEX($DU$4:$DU$53,(INT(37/$DS$17)+1)))</f>
        <v/>
      </c>
      <c r="DX51">
        <f>IFERROR(IF(AND($DZ$27&gt;=$DS$14,$DZ$27&lt;=$DS$15),10+0.5+100*($DZ$27-$DS$14)/($DS$15-$DS$14),NA()),NA())</f>
        <v/>
      </c>
      <c r="DY51">
        <f>IF(ISNA($DX$51),NA(),MAX($DW$4:$DW$123))</f>
        <v/>
      </c>
      <c r="EA51">
        <f>IF($DT$51="","",IFERROR(IF(ABS($DT$51)&gt;=1000000,ROUND($DT$51/1000000,MAX(0,1-INT(LOG10($DS$27/1000000))))&amp;"M",IF(ABS($DT$51)&gt;=1000,ROUND($DT$51/1000,MAX(0,1-INT(LOG10($DS$27/1000))))&amp;"k",TEXT($DT$51,"#,##0.0"))),TEXT($DT$51,"#,##0.0")))</f>
        <v/>
      </c>
      <c r="EB51" t="n">
        <v>23.5</v>
      </c>
      <c r="EC51" t="n">
        <v>23.75</v>
      </c>
      <c r="ED51" t="n">
        <v>59</v>
      </c>
      <c r="EG51">
        <f>IF(48&lt;=$EF$13,$EF$14+(48-1)*$EF$16,"")</f>
        <v/>
      </c>
      <c r="EH51">
        <f>IF(48&gt;$EF$13,"",SUMIFS($ED$4:$ED$203,$EC$4:$EC$203,"&gt;="&amp;$EG$51,$EC$4:$EC$203,IF(48=$EF$13,"&lt;=","&lt;")&amp;($EG$51+$EF$16)))</f>
        <v/>
      </c>
      <c r="EI51">
        <f>IF(AND(MOD(37,$EF$17)=0,MOD((INT(37/$EF$17)+1)-1,$EF$13/5)=0),INDEX($EN$4:$EN$53,(INT(37/$EF$17)+1)),"")</f>
        <v/>
      </c>
      <c r="EJ51">
        <f>IF(MOD(37,$EF$17)=$EF$17-1,0,INDEX($EH$4:$EH$53,(INT(37/$EF$17)+1)))</f>
        <v/>
      </c>
      <c r="EK51">
        <f>IFERROR(IF(AND($EM$27&gt;=$EF$14,$EM$27&lt;=$EF$15),10+0.5+100*($EM$27-$EF$14)/($EF$15-$EF$14),NA()),NA())</f>
        <v/>
      </c>
      <c r="EL51">
        <f>IF(ISNA($EK$51),NA(),MAX($EJ$4:$EJ$123))</f>
        <v/>
      </c>
      <c r="EN51">
        <f>IF($EG$51="","",IFERROR(IF(ABS($EG$51)&gt;=1000000,ROUND($EG$51/1000000,MAX(0,1-INT(LOG10($EF$27/1000000))))&amp;"M",IF(ABS($EG$51)&gt;=1000,ROUND($EG$51/1000,MAX(0,1-INT(LOG10($EF$27/1000))))&amp;"k",TEXT($EG$51,"#,##0"))),TEXT($EG$51,"#,##0")))</f>
        <v/>
      </c>
      <c r="EO51" t="n">
        <v>0.8225000000000001</v>
      </c>
      <c r="EP51" t="n">
        <v>0.83125</v>
      </c>
      <c r="EQ51" t="n">
        <v>100</v>
      </c>
      <c r="ET51">
        <f>IF(48&lt;=$ES$13,$ES$14+(48-1)*$ES$16,"")</f>
        <v/>
      </c>
      <c r="EU51">
        <f>IF(48&gt;$ES$13,"",SUMIFS($EQ$4:$EQ$203,$EP$4:$EP$203,"&gt;="&amp;$ET$51,$EP$4:$EP$203,IF(48=$ES$13,"&lt;=","&lt;")&amp;($ET$51+$ES$16)))</f>
        <v/>
      </c>
      <c r="EV51">
        <f>IF(AND(MOD(37,$ES$17)=0,MOD((INT(37/$ES$17)+1)-1,$ES$13/5)=0),INDEX($FA$4:$FA$53,(INT(37/$ES$17)+1)),"")</f>
        <v/>
      </c>
      <c r="EW51">
        <f>IF(MOD(37,$ES$17)=$ES$17-1,0,INDEX($EU$4:$EU$53,(INT(37/$ES$17)+1)))</f>
        <v/>
      </c>
      <c r="EX51">
        <f>IFERROR(IF(AND($EZ$27&gt;=$ES$14,$EZ$27&lt;=$ES$15),10+0.5+100*($EZ$27-$ES$14)/($ES$15-$ES$14),NA()),NA())</f>
        <v/>
      </c>
      <c r="EY51">
        <f>IF(ISNA($EX$51),NA(),MAX($EW$4:$EW$123))</f>
        <v/>
      </c>
      <c r="FA51">
        <f>IF($ET$51="","",IFERROR(IF(ABS($ET$51)&gt;=1000000,ROUND($ET$51/1000000,MAX(0,1-INT(LOG10($ES$27/1000000))))&amp;"M",IF(ABS($ET$51)&gt;=1000,ROUND($ET$51/1000,MAX(0,1-INT(LOG10($ES$27/1000))))&amp;"k",TEXT($ET$51,"0.00"))),TEXT($ET$51,"0.00")))</f>
        <v/>
      </c>
    </row>
    <row r="52">
      <c r="B52" t="n">
        <v>622</v>
      </c>
      <c r="C52" t="n">
        <v>622.75</v>
      </c>
      <c r="D52" t="n">
        <v>65</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63</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104</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c r="AO52" t="n">
        <v>192000</v>
      </c>
      <c r="AP52" t="n">
        <v>194000</v>
      </c>
      <c r="AQ52" t="n">
        <v>176</v>
      </c>
      <c r="AT52">
        <f>IF(49&lt;=$AS$13,$AS$14+(49-1)*$AS$16,"")</f>
        <v/>
      </c>
      <c r="AU52">
        <f>IF(49&gt;$AS$13,"",SUMIFS($AQ$4:$AQ$203,$AP$4:$AP$203,"&gt;="&amp;$AT$52,$AP$4:$AP$203,IF(49=$AS$13,"&lt;=","&lt;")&amp;($AT$52+$AS$16)))</f>
        <v/>
      </c>
      <c r="AV52">
        <f>IF(AND(MOD(38,$AS$17)=0,MOD((INT(38/$AS$17)+1)-1,$AS$13/5)=0),INDEX($BA$4:$BA$53,(INT(38/$AS$17)+1)),"")</f>
        <v/>
      </c>
      <c r="AW52">
        <f>IF(MOD(38,$AS$17)=$AS$17-1,0,INDEX($AU$4:$AU$53,(INT(38/$AS$17)+1)))</f>
        <v/>
      </c>
      <c r="AX52">
        <f>IFERROR(IF(AND($AS$22&gt;=$AS$14,$AS$22&lt;=$AS$15),10+0.5+100*($AS$22-$AS$14)/($AS$15-$AS$14),NA()),NA())</f>
        <v/>
      </c>
      <c r="AY52">
        <f>IF(ISNA($AX$52),NA(),0)</f>
        <v/>
      </c>
      <c r="BA52">
        <f>IF($AT$52="","",IFERROR(IF(ABS($AT$52)&gt;=1000000,ROUND($AT$52/1000000,MAX(0,1-INT(LOG10($AS$27/1000000))))&amp;"M",IF(ABS($AT$52)&gt;=1000,ROUND($AT$52/1000,MAX(0,1-INT(LOG10($AS$27/1000))))&amp;"k",TEXT($AT$52,"#,##0"))),TEXT($AT$52,"#,##0")))</f>
        <v/>
      </c>
      <c r="BB52" t="n">
        <v>336000</v>
      </c>
      <c r="BC52" t="n">
        <v>339500</v>
      </c>
      <c r="BD52" t="n">
        <v>53</v>
      </c>
      <c r="BG52">
        <f>IF(49&lt;=$BF$13,$BF$14+(49-1)*$BF$16,"")</f>
        <v/>
      </c>
      <c r="BH52">
        <f>IF(49&gt;$BF$13,"",SUMIFS($BD$4:$BD$203,$BC$4:$BC$203,"&gt;="&amp;$BG$52,$BC$4:$BC$203,IF(49=$BF$13,"&lt;=","&lt;")&amp;($BG$52+$BF$16)))</f>
        <v/>
      </c>
      <c r="BI52">
        <f>IF(AND(MOD(38,$BF$17)=0,MOD((INT(38/$BF$17)+1)-1,$BF$13/5)=0),INDEX($BN$4:$BN$53,(INT(38/$BF$17)+1)),"")</f>
        <v/>
      </c>
      <c r="BJ52">
        <f>IF(MOD(38,$BF$17)=$BF$17-1,0,INDEX($BH$4:$BH$53,(INT(38/$BF$17)+1)))</f>
        <v/>
      </c>
      <c r="BK52">
        <f>IFERROR(IF(AND($BF$22&gt;=$BF$14,$BF$22&lt;=$BF$15),10+0.5+100*($BF$22-$BF$14)/($BF$15-$BF$14),NA()),NA())</f>
        <v/>
      </c>
      <c r="BL52">
        <f>IF(ISNA($BK$52),NA(),0)</f>
        <v/>
      </c>
      <c r="BN52">
        <f>IF($BG$52="","",IFERROR(IF(ABS($BG$52)&gt;=1000000,ROUND($BG$52/1000000,MAX(0,1-INT(LOG10($BF$27/1000000))))&amp;"M",IF(ABS($BG$52)&gt;=1000,ROUND($BG$52/1000,MAX(0,1-INT(LOG10($BF$27/1000))))&amp;"k",TEXT($BG$52,"#,##0"))),TEXT($BG$52,"#,##0")))</f>
        <v/>
      </c>
      <c r="BO52" t="n">
        <v>0.288</v>
      </c>
      <c r="BP52" t="n">
        <v>0.291</v>
      </c>
      <c r="BQ52" t="n">
        <v>59</v>
      </c>
      <c r="BT52">
        <f>IF(49&lt;=$BS$13,$BS$14+(49-1)*$BS$16,"")</f>
        <v/>
      </c>
      <c r="BU52">
        <f>IF(49&gt;$BS$13,"",SUMIFS($BQ$4:$BQ$203,$BP$4:$BP$203,"&gt;="&amp;$BT$52,$BP$4:$BP$203,IF(49=$BS$13,"&lt;=","&lt;")&amp;($BT$52+$BS$16)))</f>
        <v/>
      </c>
      <c r="BV52">
        <f>IF(AND(MOD(38,$BS$17)=0,MOD((INT(38/$BS$17)+1)-1,$BS$13/5)=0),INDEX($CA$4:$CA$53,(INT(38/$BS$17)+1)),"")</f>
        <v/>
      </c>
      <c r="BW52">
        <f>IF(MOD(38,$BS$17)=$BS$17-1,0,INDEX($BU$4:$BU$53,(INT(38/$BS$17)+1)))</f>
        <v/>
      </c>
      <c r="BX52">
        <f>IFERROR(IF(AND($BS$22&gt;=$BS$14,$BS$22&lt;=$BS$15),10+0.5+100*($BS$22-$BS$14)/($BS$15-$BS$14),NA()),NA())</f>
        <v/>
      </c>
      <c r="BY52">
        <f>IF(ISNA($BX$52),NA(),0)</f>
        <v/>
      </c>
      <c r="CA52">
        <f>IF($BT$52="","",IFERROR(IF(ABS($BT$52)&gt;=1000000,ROUND($BT$52/1000000,MAX(0,1-INT(LOG10($BS$27/1000000))))&amp;"M",IF(ABS($BT$52)&gt;=1000,ROUND($BT$52/1000,MAX(0,1-INT(LOG10($BS$27/1000))))&amp;"k",TEXT($BT$52,"0.00"))),TEXT($BT$52,"0.00")))</f>
        <v/>
      </c>
      <c r="CB52" t="n">
        <v>7.199999999999999</v>
      </c>
      <c r="CC52" t="n">
        <v>7.274999999999999</v>
      </c>
      <c r="CD52" t="n">
        <v>131</v>
      </c>
      <c r="CG52">
        <f>IF(49&lt;=$CF$13,$CF$14+(49-1)*$CF$16,"")</f>
        <v/>
      </c>
      <c r="CH52">
        <f>IF(49&gt;$CF$13,"",SUMIFS($CD$4:$CD$203,$CC$4:$CC$203,"&gt;="&amp;$CG$52,$CC$4:$CC$203,IF(49=$CF$13,"&lt;=","&lt;")&amp;($CG$52+$CF$16)))</f>
        <v/>
      </c>
      <c r="CI52">
        <f>IF(AND(MOD(38,$CF$17)=0,MOD((INT(38/$CF$17)+1)-1,$CF$13/5)=0),INDEX($CN$4:$CN$53,(INT(38/$CF$17)+1)),"")</f>
        <v/>
      </c>
      <c r="CJ52">
        <f>IF(MOD(38,$CF$17)=$CF$17-1,0,INDEX($CH$4:$CH$53,(INT(38/$CF$17)+1)))</f>
        <v/>
      </c>
      <c r="CK52">
        <f>IFERROR(IF(AND($CF$22&gt;=$CF$14,$CF$22&lt;=$CF$15),10+0.5+100*($CF$22-$CF$14)/($CF$15-$CF$14),NA()),NA())</f>
        <v/>
      </c>
      <c r="CL52">
        <f>IF(ISNA($CK$52),NA(),0)</f>
        <v/>
      </c>
      <c r="CN52">
        <f>IF($CG$52="","",IFERROR(IF(ABS($CG$52)&gt;=1000000,ROUND($CG$52/1000000,MAX(0,1-INT(LOG10($CF$27/1000000))))&amp;"M",IF(ABS($CG$52)&gt;=1000,ROUND($CG$52/1000,MAX(0,1-INT(LOG10($CF$27/1000))))&amp;"k",TEXT($CG$52,"#,##0.0"))),TEXT($CG$52,"#,##0.0")))</f>
        <v/>
      </c>
      <c r="CO52" t="n">
        <v>29.2</v>
      </c>
      <c r="CP52" t="n">
        <v>29.4</v>
      </c>
      <c r="CQ52" t="n">
        <v>40</v>
      </c>
      <c r="CT52">
        <f>IF(49&lt;=$CS$13,$CS$14+(49-1)*$CS$16,"")</f>
        <v/>
      </c>
      <c r="CU52">
        <f>IF(49&gt;$CS$13,"",SUMIFS($CQ$4:$CQ$203,$CP$4:$CP$203,"&gt;="&amp;$CT$52,$CP$4:$CP$203,IF(49=$CS$13,"&lt;=","&lt;")&amp;($CT$52+$CS$16)))</f>
        <v/>
      </c>
      <c r="CV52">
        <f>IF(AND(MOD(38,$CS$17)=0,MOD((INT(38/$CS$17)+1)-1,$CS$13/5)=0),INDEX($DA$4:$DA$53,(INT(38/$CS$17)+1)),"")</f>
        <v/>
      </c>
      <c r="CW52">
        <f>IF(MOD(38,$CS$17)=$CS$17-1,0,INDEX($CU$4:$CU$53,(INT(38/$CS$17)+1)))</f>
        <v/>
      </c>
      <c r="CX52">
        <f>IFERROR(IF(AND($CS$22&gt;=$CS$14,$CS$22&lt;=$CS$15),10+0.5+100*($CS$22-$CS$14)/($CS$15-$CS$14),NA()),NA())</f>
        <v/>
      </c>
      <c r="CY52">
        <f>IF(ISNA($CX$52),NA(),0)</f>
        <v/>
      </c>
      <c r="DA52">
        <f>IF($CT$52="","",IFERROR(IF(ABS($CT$52)&gt;=1000000,ROUND($CT$52/1000000,MAX(0,1-INT(LOG10($CS$27/1000000))))&amp;"M",IF(ABS($CT$52)&gt;=1000,ROUND($CT$52/1000,MAX(0,1-INT(LOG10($CS$27/1000))))&amp;"k",TEXT($CT$52,"#,##0"))),TEXT($CT$52,"#,##0")))</f>
        <v/>
      </c>
      <c r="DB52" t="n">
        <v>26.8</v>
      </c>
      <c r="DC52" t="n">
        <v>26.975</v>
      </c>
      <c r="DD52" t="n">
        <v>54</v>
      </c>
      <c r="DG52">
        <f>IF(49&lt;=$DF$13,$DF$14+(49-1)*$DF$16,"")</f>
        <v/>
      </c>
      <c r="DH52">
        <f>IF(49&gt;$DF$13,"",SUMIFS($DD$4:$DD$203,$DC$4:$DC$203,"&gt;="&amp;$DG$52,$DC$4:$DC$203,IF(49=$DF$13,"&lt;=","&lt;")&amp;($DG$52+$DF$16)))</f>
        <v/>
      </c>
      <c r="DI52">
        <f>IF(AND(MOD(38,$DF$17)=0,MOD((INT(38/$DF$17)+1)-1,$DF$13/5)=0),INDEX($DN$4:$DN$53,(INT(38/$DF$17)+1)),"")</f>
        <v/>
      </c>
      <c r="DJ52">
        <f>IF(MOD(38,$DF$17)=$DF$17-1,0,INDEX($DH$4:$DH$53,(INT(38/$DF$17)+1)))</f>
        <v/>
      </c>
      <c r="DK52">
        <f>IFERROR(IF(AND($DF$22&gt;=$DF$14,$DF$22&lt;=$DF$15),10+0.5+100*($DF$22-$DF$14)/($DF$15-$DF$14),NA()),NA())</f>
        <v/>
      </c>
      <c r="DL52">
        <f>IF(ISNA($DK$52),NA(),0)</f>
        <v/>
      </c>
      <c r="DN52">
        <f>IF($DG$52="","",IFERROR(IF(ABS($DG$52)&gt;=1000000,ROUND($DG$52/1000000,MAX(0,1-INT(LOG10($DF$27/1000000))))&amp;"M",IF(ABS($DG$52)&gt;=1000,ROUND($DG$52/1000,MAX(0,1-INT(LOG10($DF$27/1000))))&amp;"k",TEXT($DG$52,"#,##0.0"))),TEXT($DG$52,"#,##0.0")))</f>
        <v/>
      </c>
      <c r="DO52" t="n">
        <v>8.699999999999999</v>
      </c>
      <c r="DP52" t="n">
        <v>8.7125</v>
      </c>
      <c r="DQ52" t="n">
        <v>50</v>
      </c>
      <c r="DT52">
        <f>IF(49&lt;=$DS$13,$DS$14+(49-1)*$DS$16,"")</f>
        <v/>
      </c>
      <c r="DU52">
        <f>IF(49&gt;$DS$13,"",SUMIFS($DQ$4:$DQ$203,$DP$4:$DP$203,"&gt;="&amp;$DT$52,$DP$4:$DP$203,IF(49=$DS$13,"&lt;=","&lt;")&amp;($DT$52+$DS$16)))</f>
        <v/>
      </c>
      <c r="DV52">
        <f>IF(AND(MOD(38,$DS$17)=0,MOD((INT(38/$DS$17)+1)-1,$DS$13/5)=0),INDEX($EA$4:$EA$53,(INT(38/$DS$17)+1)),"")</f>
        <v/>
      </c>
      <c r="DW52">
        <f>IF(MOD(38,$DS$17)=$DS$17-1,0,INDEX($DU$4:$DU$53,(INT(38/$DS$17)+1)))</f>
        <v/>
      </c>
      <c r="DX52">
        <f>IFERROR(IF(AND($DS$22&gt;=$DS$14,$DS$22&lt;=$DS$15),10+0.5+100*($DS$22-$DS$14)/($DS$15-$DS$14),NA()),NA())</f>
        <v/>
      </c>
      <c r="DY52">
        <f>IF(ISNA($DX$52),NA(),0)</f>
        <v/>
      </c>
      <c r="EA52">
        <f>IF($DT$52="","",IFERROR(IF(ABS($DT$52)&gt;=1000000,ROUND($DT$52/1000000,MAX(0,1-INT(LOG10($DS$27/1000000))))&amp;"M",IF(ABS($DT$52)&gt;=1000,ROUND($DT$52/1000,MAX(0,1-INT(LOG10($DS$27/1000))))&amp;"k",TEXT($DT$52,"#,##0.0"))),TEXT($DT$52,"#,##0.0")))</f>
        <v/>
      </c>
      <c r="EB52" t="n">
        <v>24</v>
      </c>
      <c r="EC52" t="n">
        <v>24.25</v>
      </c>
      <c r="ED52" t="n">
        <v>67</v>
      </c>
      <c r="EG52">
        <f>IF(49&lt;=$EF$13,$EF$14+(49-1)*$EF$16,"")</f>
        <v/>
      </c>
      <c r="EH52">
        <f>IF(49&gt;$EF$13,"",SUMIFS($ED$4:$ED$203,$EC$4:$EC$203,"&gt;="&amp;$EG$52,$EC$4:$EC$203,IF(49=$EF$13,"&lt;=","&lt;")&amp;($EG$52+$EF$16)))</f>
        <v/>
      </c>
      <c r="EI52">
        <f>IF(AND(MOD(38,$EF$17)=0,MOD((INT(38/$EF$17)+1)-1,$EF$13/5)=0),INDEX($EN$4:$EN$53,(INT(38/$EF$17)+1)),"")</f>
        <v/>
      </c>
      <c r="EJ52">
        <f>IF(MOD(38,$EF$17)=$EF$17-1,0,INDEX($EH$4:$EH$53,(INT(38/$EF$17)+1)))</f>
        <v/>
      </c>
      <c r="EK52">
        <f>IFERROR(IF(AND($EF$22&gt;=$EF$14,$EF$22&lt;=$EF$15),10+0.5+100*($EF$22-$EF$14)/($EF$15-$EF$14),NA()),NA())</f>
        <v/>
      </c>
      <c r="EL52">
        <f>IF(ISNA($EK$52),NA(),0)</f>
        <v/>
      </c>
      <c r="EN52">
        <f>IF($EG$52="","",IFERROR(IF(ABS($EG$52)&gt;=1000000,ROUND($EG$52/1000000,MAX(0,1-INT(LOG10($EF$27/1000000))))&amp;"M",IF(ABS($EG$52)&gt;=1000,ROUND($EG$52/1000,MAX(0,1-INT(LOG10($EF$27/1000))))&amp;"k",TEXT($EG$52,"#,##0"))),TEXT($EG$52,"#,##0")))</f>
        <v/>
      </c>
      <c r="EO52" t="n">
        <v>0.8400000000000001</v>
      </c>
      <c r="EP52" t="n">
        <v>0.8487500000000001</v>
      </c>
      <c r="EQ52" t="n">
        <v>105</v>
      </c>
      <c r="ET52">
        <f>IF(49&lt;=$ES$13,$ES$14+(49-1)*$ES$16,"")</f>
        <v/>
      </c>
      <c r="EU52">
        <f>IF(49&gt;$ES$13,"",SUMIFS($EQ$4:$EQ$203,$EP$4:$EP$203,"&gt;="&amp;$ET$52,$EP$4:$EP$203,IF(49=$ES$13,"&lt;=","&lt;")&amp;($ET$52+$ES$16)))</f>
        <v/>
      </c>
      <c r="EV52">
        <f>IF(AND(MOD(38,$ES$17)=0,MOD((INT(38/$ES$17)+1)-1,$ES$13/5)=0),INDEX($FA$4:$FA$53,(INT(38/$ES$17)+1)),"")</f>
        <v/>
      </c>
      <c r="EW52">
        <f>IF(MOD(38,$ES$17)=$ES$17-1,0,INDEX($EU$4:$EU$53,(INT(38/$ES$17)+1)))</f>
        <v/>
      </c>
      <c r="EX52">
        <f>IFERROR(IF(AND($ES$22&gt;=$ES$14,$ES$22&lt;=$ES$15),10+0.5+100*($ES$22-$ES$14)/($ES$15-$ES$14),NA()),NA())</f>
        <v/>
      </c>
      <c r="EY52">
        <f>IF(ISNA($EX$52),NA(),0)</f>
        <v/>
      </c>
      <c r="FA52">
        <f>IF($ET$52="","",IFERROR(IF(ABS($ET$52)&gt;=1000000,ROUND($ET$52/1000000,MAX(0,1-INT(LOG10($ES$27/1000000))))&amp;"M",IF(ABS($ET$52)&gt;=1000,ROUND($ET$52/1000,MAX(0,1-INT(LOG10($ES$27/1000))))&amp;"k",TEXT($ET$52,"0.00"))),TEXT($ET$52,"0.00")))</f>
        <v/>
      </c>
    </row>
    <row r="53">
      <c r="B53" t="n">
        <v>623.5</v>
      </c>
      <c r="C53" t="n">
        <v>624.25</v>
      </c>
      <c r="D53" t="n">
        <v>31</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59</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112</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c r="AO53" t="n">
        <v>196000</v>
      </c>
      <c r="AP53" t="n">
        <v>198000</v>
      </c>
      <c r="AQ53" t="n">
        <v>173</v>
      </c>
      <c r="AT53">
        <f>IF(50&lt;=$AS$13,$AS$14+(50-1)*$AS$16,"")</f>
        <v/>
      </c>
      <c r="AU53">
        <f>IF(50&gt;$AS$13,"",SUMIFS($AQ$4:$AQ$203,$AP$4:$AP$203,"&gt;="&amp;$AT$53,$AP$4:$AP$203,IF(50=$AS$13,"&lt;=","&lt;")&amp;($AT$53+$AS$16)))</f>
        <v/>
      </c>
      <c r="AV53">
        <f>IF(AND(MOD(39,$AS$17)=0,MOD((INT(39/$AS$17)+1)-1,$AS$13/5)=0),INDEX($BA$4:$BA$53,(INT(39/$AS$17)+1)),"")</f>
        <v/>
      </c>
      <c r="AW53">
        <f>IF(MOD(39,$AS$17)=$AS$17-1,0,INDEX($AU$4:$AU$53,(INT(39/$AS$17)+1)))</f>
        <v/>
      </c>
      <c r="AX53">
        <f>IFERROR(IF(AND($AS$22&gt;=$AS$14,$AS$22&lt;=$AS$15),10+0.5+100*($AS$22-$AS$14)/($AS$15-$AS$14),NA()),NA())</f>
        <v/>
      </c>
      <c r="AY53">
        <f>IF(ISNA($AX$53),NA(),MAX($AW$4:$AW$123))</f>
        <v/>
      </c>
      <c r="BA53">
        <f>IF($AT$53="","",IFERROR(IF(ABS($AT$53)&gt;=1000000,ROUND($AT$53/1000000,MAX(0,1-INT(LOG10($AS$27/1000000))))&amp;"M",IF(ABS($AT$53)&gt;=1000,ROUND($AT$53/1000,MAX(0,1-INT(LOG10($AS$27/1000))))&amp;"k",TEXT($AT$53,"#,##0"))),TEXT($AT$53,"#,##0")))</f>
        <v/>
      </c>
      <c r="BB53" t="n">
        <v>343000</v>
      </c>
      <c r="BC53" t="n">
        <v>346500</v>
      </c>
      <c r="BD53" t="n">
        <v>45</v>
      </c>
      <c r="BG53">
        <f>IF(50&lt;=$BF$13,$BF$14+(50-1)*$BF$16,"")</f>
        <v/>
      </c>
      <c r="BH53">
        <f>IF(50&gt;$BF$13,"",SUMIFS($BD$4:$BD$203,$BC$4:$BC$203,"&gt;="&amp;$BG$53,$BC$4:$BC$203,IF(50=$BF$13,"&lt;=","&lt;")&amp;($BG$53+$BF$16)))</f>
        <v/>
      </c>
      <c r="BI53">
        <f>IF(AND(MOD(39,$BF$17)=0,MOD((INT(39/$BF$17)+1)-1,$BF$13/5)=0),INDEX($BN$4:$BN$53,(INT(39/$BF$17)+1)),"")</f>
        <v/>
      </c>
      <c r="BJ53">
        <f>IF(MOD(39,$BF$17)=$BF$17-1,0,INDEX($BH$4:$BH$53,(INT(39/$BF$17)+1)))</f>
        <v/>
      </c>
      <c r="BK53">
        <f>IFERROR(IF(AND($BF$22&gt;=$BF$14,$BF$22&lt;=$BF$15),10+0.5+100*($BF$22-$BF$14)/($BF$15-$BF$14),NA()),NA())</f>
        <v/>
      </c>
      <c r="BL53">
        <f>IF(ISNA($BK$53),NA(),MAX($BJ$4:$BJ$123))</f>
        <v/>
      </c>
      <c r="BN53">
        <f>IF($BG$53="","",IFERROR(IF(ABS($BG$53)&gt;=1000000,ROUND($BG$53/1000000,MAX(0,1-INT(LOG10($BF$27/1000000))))&amp;"M",IF(ABS($BG$53)&gt;=1000,ROUND($BG$53/1000,MAX(0,1-INT(LOG10($BF$27/1000))))&amp;"k",TEXT($BG$53,"#,##0"))),TEXT($BG$53,"#,##0")))</f>
        <v/>
      </c>
      <c r="BO53" t="n">
        <v>0.294</v>
      </c>
      <c r="BP53" t="n">
        <v>0.297</v>
      </c>
      <c r="BQ53" t="n">
        <v>66</v>
      </c>
      <c r="BT53">
        <f>IF(50&lt;=$BS$13,$BS$14+(50-1)*$BS$16,"")</f>
        <v/>
      </c>
      <c r="BU53">
        <f>IF(50&gt;$BS$13,"",SUMIFS($BQ$4:$BQ$203,$BP$4:$BP$203,"&gt;="&amp;$BT$53,$BP$4:$BP$203,IF(50=$BS$13,"&lt;=","&lt;")&amp;($BT$53+$BS$16)))</f>
        <v/>
      </c>
      <c r="BV53">
        <f>IF(AND(MOD(39,$BS$17)=0,MOD((INT(39/$BS$17)+1)-1,$BS$13/5)=0),INDEX($CA$4:$CA$53,(INT(39/$BS$17)+1)),"")</f>
        <v/>
      </c>
      <c r="BW53">
        <f>IF(MOD(39,$BS$17)=$BS$17-1,0,INDEX($BU$4:$BU$53,(INT(39/$BS$17)+1)))</f>
        <v/>
      </c>
      <c r="BX53">
        <f>IFERROR(IF(AND($BS$22&gt;=$BS$14,$BS$22&lt;=$BS$15),10+0.5+100*($BS$22-$BS$14)/($BS$15-$BS$14),NA()),NA())</f>
        <v/>
      </c>
      <c r="BY53">
        <f>IF(ISNA($BX$53),NA(),MAX($BW$4:$BW$123))</f>
        <v/>
      </c>
      <c r="CA53">
        <f>IF($BT$53="","",IFERROR(IF(ABS($BT$53)&gt;=1000000,ROUND($BT$53/1000000,MAX(0,1-INT(LOG10($BS$27/1000000))))&amp;"M",IF(ABS($BT$53)&gt;=1000,ROUND($BT$53/1000,MAX(0,1-INT(LOG10($BS$27/1000))))&amp;"k",TEXT($BT$53,"0.00"))),TEXT($BT$53,"0.00")))</f>
        <v/>
      </c>
      <c r="CB53" t="n">
        <v>7.35</v>
      </c>
      <c r="CC53" t="n">
        <v>7.425</v>
      </c>
      <c r="CD53" t="n">
        <v>62</v>
      </c>
      <c r="CG53">
        <f>IF(50&lt;=$CF$13,$CF$14+(50-1)*$CF$16,"")</f>
        <v/>
      </c>
      <c r="CH53">
        <f>IF(50&gt;$CF$13,"",SUMIFS($CD$4:$CD$203,$CC$4:$CC$203,"&gt;="&amp;$CG$53,$CC$4:$CC$203,IF(50=$CF$13,"&lt;=","&lt;")&amp;($CG$53+$CF$16)))</f>
        <v/>
      </c>
      <c r="CI53">
        <f>IF(AND(MOD(39,$CF$17)=0,MOD((INT(39/$CF$17)+1)-1,$CF$13/5)=0),INDEX($CN$4:$CN$53,(INT(39/$CF$17)+1)),"")</f>
        <v/>
      </c>
      <c r="CJ53">
        <f>IF(MOD(39,$CF$17)=$CF$17-1,0,INDEX($CH$4:$CH$53,(INT(39/$CF$17)+1)))</f>
        <v/>
      </c>
      <c r="CK53">
        <f>IFERROR(IF(AND($CF$22&gt;=$CF$14,$CF$22&lt;=$CF$15),10+0.5+100*($CF$22-$CF$14)/($CF$15-$CF$14),NA()),NA())</f>
        <v/>
      </c>
      <c r="CL53">
        <f>IF(ISNA($CK$53),NA(),MAX($CJ$4:$CJ$123))</f>
        <v/>
      </c>
      <c r="CN53">
        <f>IF($CG$53="","",IFERROR(IF(ABS($CG$53)&gt;=1000000,ROUND($CG$53/1000000,MAX(0,1-INT(LOG10($CF$27/1000000))))&amp;"M",IF(ABS($CG$53)&gt;=1000,ROUND($CG$53/1000,MAX(0,1-INT(LOG10($CF$27/1000))))&amp;"k",TEXT($CG$53,"#,##0.0"))),TEXT($CG$53,"#,##0.0")))</f>
        <v/>
      </c>
      <c r="CO53" t="n">
        <v>29.6</v>
      </c>
      <c r="CP53" t="n">
        <v>29.8</v>
      </c>
      <c r="CQ53" t="n">
        <v>58</v>
      </c>
      <c r="CT53">
        <f>IF(50&lt;=$CS$13,$CS$14+(50-1)*$CS$16,"")</f>
        <v/>
      </c>
      <c r="CU53">
        <f>IF(50&gt;$CS$13,"",SUMIFS($CQ$4:$CQ$203,$CP$4:$CP$203,"&gt;="&amp;$CT$53,$CP$4:$CP$203,IF(50=$CS$13,"&lt;=","&lt;")&amp;($CT$53+$CS$16)))</f>
        <v/>
      </c>
      <c r="CV53">
        <f>IF(AND(MOD(39,$CS$17)=0,MOD((INT(39/$CS$17)+1)-1,$CS$13/5)=0),INDEX($DA$4:$DA$53,(INT(39/$CS$17)+1)),"")</f>
        <v/>
      </c>
      <c r="CW53">
        <f>IF(MOD(39,$CS$17)=$CS$17-1,0,INDEX($CU$4:$CU$53,(INT(39/$CS$17)+1)))</f>
        <v/>
      </c>
      <c r="CX53">
        <f>IFERROR(IF(AND($CS$22&gt;=$CS$14,$CS$22&lt;=$CS$15),10+0.5+100*($CS$22-$CS$14)/($CS$15-$CS$14),NA()),NA())</f>
        <v/>
      </c>
      <c r="CY53">
        <f>IF(ISNA($CX$53),NA(),MAX($CW$4:$CW$123))</f>
        <v/>
      </c>
      <c r="DA53">
        <f>IF($CT$53="","",IFERROR(IF(ABS($CT$53)&gt;=1000000,ROUND($CT$53/1000000,MAX(0,1-INT(LOG10($CS$27/1000000))))&amp;"M",IF(ABS($CT$53)&gt;=1000,ROUND($CT$53/1000,MAX(0,1-INT(LOG10($CS$27/1000))))&amp;"k",TEXT($CT$53,"#,##0"))),TEXT($CT$53,"#,##0")))</f>
        <v/>
      </c>
      <c r="DB53" t="n">
        <v>27.15</v>
      </c>
      <c r="DC53" t="n">
        <v>27.325</v>
      </c>
      <c r="DD53" t="n">
        <v>46</v>
      </c>
      <c r="DG53">
        <f>IF(50&lt;=$DF$13,$DF$14+(50-1)*$DF$16,"")</f>
        <v/>
      </c>
      <c r="DH53">
        <f>IF(50&gt;$DF$13,"",SUMIFS($DD$4:$DD$203,$DC$4:$DC$203,"&gt;="&amp;$DG$53,$DC$4:$DC$203,IF(50=$DF$13,"&lt;=","&lt;")&amp;($DG$53+$DF$16)))</f>
        <v/>
      </c>
      <c r="DI53">
        <f>IF(AND(MOD(39,$DF$17)=0,MOD((INT(39/$DF$17)+1)-1,$DF$13/5)=0),INDEX($DN$4:$DN$53,(INT(39/$DF$17)+1)),"")</f>
        <v/>
      </c>
      <c r="DJ53">
        <f>IF(MOD(39,$DF$17)=$DF$17-1,0,INDEX($DH$4:$DH$53,(INT(39/$DF$17)+1)))</f>
        <v/>
      </c>
      <c r="DK53">
        <f>IFERROR(IF(AND($DF$22&gt;=$DF$14,$DF$22&lt;=$DF$15),10+0.5+100*($DF$22-$DF$14)/($DF$15-$DF$14),NA()),NA())</f>
        <v/>
      </c>
      <c r="DL53">
        <f>IF(ISNA($DK$53),NA(),MAX($DJ$4:$DJ$123))</f>
        <v/>
      </c>
      <c r="DN53">
        <f>IF($DG$53="","",IFERROR(IF(ABS($DG$53)&gt;=1000000,ROUND($DG$53/1000000,MAX(0,1-INT(LOG10($DF$27/1000000))))&amp;"M",IF(ABS($DG$53)&gt;=1000,ROUND($DG$53/1000,MAX(0,1-INT(LOG10($DF$27/1000))))&amp;"k",TEXT($DG$53,"#,##0.0"))),TEXT($DG$53,"#,##0.0")))</f>
        <v/>
      </c>
      <c r="DO53" t="n">
        <v>8.725</v>
      </c>
      <c r="DP53" t="n">
        <v>8.737500000000001</v>
      </c>
      <c r="DQ53" t="n">
        <v>49</v>
      </c>
      <c r="DT53">
        <f>IF(50&lt;=$DS$13,$DS$14+(50-1)*$DS$16,"")</f>
        <v/>
      </c>
      <c r="DU53">
        <f>IF(50&gt;$DS$13,"",SUMIFS($DQ$4:$DQ$203,$DP$4:$DP$203,"&gt;="&amp;$DT$53,$DP$4:$DP$203,IF(50=$DS$13,"&lt;=","&lt;")&amp;($DT$53+$DS$16)))</f>
        <v/>
      </c>
      <c r="DV53">
        <f>IF(AND(MOD(39,$DS$17)=0,MOD((INT(39/$DS$17)+1)-1,$DS$13/5)=0),INDEX($EA$4:$EA$53,(INT(39/$DS$17)+1)),"")</f>
        <v/>
      </c>
      <c r="DW53">
        <f>IF(MOD(39,$DS$17)=$DS$17-1,0,INDEX($DU$4:$DU$53,(INT(39/$DS$17)+1)))</f>
        <v/>
      </c>
      <c r="DX53">
        <f>IFERROR(IF(AND($DS$22&gt;=$DS$14,$DS$22&lt;=$DS$15),10+0.5+100*($DS$22-$DS$14)/($DS$15-$DS$14),NA()),NA())</f>
        <v/>
      </c>
      <c r="DY53">
        <f>IF(ISNA($DX$53),NA(),MAX($DW$4:$DW$123))</f>
        <v/>
      </c>
      <c r="EA53">
        <f>IF($DT$53="","",IFERROR(IF(ABS($DT$53)&gt;=1000000,ROUND($DT$53/1000000,MAX(0,1-INT(LOG10($DS$27/1000000))))&amp;"M",IF(ABS($DT$53)&gt;=1000,ROUND($DT$53/1000,MAX(0,1-INT(LOG10($DS$27/1000))))&amp;"k",TEXT($DT$53,"#,##0.0"))),TEXT($DT$53,"#,##0.0")))</f>
        <v/>
      </c>
      <c r="EB53" t="n">
        <v>24.5</v>
      </c>
      <c r="EC53" t="n">
        <v>24.75</v>
      </c>
      <c r="ED53" t="n">
        <v>48</v>
      </c>
      <c r="EG53">
        <f>IF(50&lt;=$EF$13,$EF$14+(50-1)*$EF$16,"")</f>
        <v/>
      </c>
      <c r="EH53">
        <f>IF(50&gt;$EF$13,"",SUMIFS($ED$4:$ED$203,$EC$4:$EC$203,"&gt;="&amp;$EG$53,$EC$4:$EC$203,IF(50=$EF$13,"&lt;=","&lt;")&amp;($EG$53+$EF$16)))</f>
        <v/>
      </c>
      <c r="EI53">
        <f>IF(AND(MOD(39,$EF$17)=0,MOD((INT(39/$EF$17)+1)-1,$EF$13/5)=0),INDEX($EN$4:$EN$53,(INT(39/$EF$17)+1)),"")</f>
        <v/>
      </c>
      <c r="EJ53">
        <f>IF(MOD(39,$EF$17)=$EF$17-1,0,INDEX($EH$4:$EH$53,(INT(39/$EF$17)+1)))</f>
        <v/>
      </c>
      <c r="EK53">
        <f>IFERROR(IF(AND($EF$22&gt;=$EF$14,$EF$22&lt;=$EF$15),10+0.5+100*($EF$22-$EF$14)/($EF$15-$EF$14),NA()),NA())</f>
        <v/>
      </c>
      <c r="EL53">
        <f>IF(ISNA($EK$53),NA(),MAX($EJ$4:$EJ$123))</f>
        <v/>
      </c>
      <c r="EN53">
        <f>IF($EG$53="","",IFERROR(IF(ABS($EG$53)&gt;=1000000,ROUND($EG$53/1000000,MAX(0,1-INT(LOG10($EF$27/1000000))))&amp;"M",IF(ABS($EG$53)&gt;=1000,ROUND($EG$53/1000,MAX(0,1-INT(LOG10($EF$27/1000))))&amp;"k",TEXT($EG$53,"#,##0"))),TEXT($EG$53,"#,##0")))</f>
        <v/>
      </c>
      <c r="EO53" t="n">
        <v>0.8575</v>
      </c>
      <c r="EP53" t="n">
        <v>0.8662500000000001</v>
      </c>
      <c r="EQ53" t="n">
        <v>84</v>
      </c>
      <c r="ET53">
        <f>IF(50&lt;=$ES$13,$ES$14+(50-1)*$ES$16,"")</f>
        <v/>
      </c>
      <c r="EU53">
        <f>IF(50&gt;$ES$13,"",SUMIFS($EQ$4:$EQ$203,$EP$4:$EP$203,"&gt;="&amp;$ET$53,$EP$4:$EP$203,IF(50=$ES$13,"&lt;=","&lt;")&amp;($ET$53+$ES$16)))</f>
        <v/>
      </c>
      <c r="EV53">
        <f>IF(AND(MOD(39,$ES$17)=0,MOD((INT(39/$ES$17)+1)-1,$ES$13/5)=0),INDEX($FA$4:$FA$53,(INT(39/$ES$17)+1)),"")</f>
        <v/>
      </c>
      <c r="EW53">
        <f>IF(MOD(39,$ES$17)=$ES$17-1,0,INDEX($EU$4:$EU$53,(INT(39/$ES$17)+1)))</f>
        <v/>
      </c>
      <c r="EX53">
        <f>IFERROR(IF(AND($ES$22&gt;=$ES$14,$ES$22&lt;=$ES$15),10+0.5+100*($ES$22-$ES$14)/($ES$15-$ES$14),NA()),NA())</f>
        <v/>
      </c>
      <c r="EY53">
        <f>IF(ISNA($EX$53),NA(),MAX($EW$4:$EW$123))</f>
        <v/>
      </c>
      <c r="FA53">
        <f>IF($ET$53="","",IFERROR(IF(ABS($ET$53)&gt;=1000000,ROUND($ET$53/1000000,MAX(0,1-INT(LOG10($ES$27/1000000))))&amp;"M",IF(ABS($ET$53)&gt;=1000,ROUND($ET$53/1000,MAX(0,1-INT(LOG10($ES$27/1000))))&amp;"k",TEXT($ET$53,"0.00"))),TEXT($ET$53,"0.00")))</f>
        <v/>
      </c>
    </row>
    <row r="54">
      <c r="B54" t="n">
        <v>625</v>
      </c>
      <c r="C54" t="n">
        <v>625.75</v>
      </c>
      <c r="D54" t="n">
        <v>66</v>
      </c>
      <c r="I54">
        <f>IF(AND(MOD(40,$F$17)=0,MOD((INT(40/$F$17)+1)-1,$F$13/5)=0),INDEX($N$4:$N$53,(INT(40/$F$17)+1)),"")</f>
        <v/>
      </c>
      <c r="J54">
        <f>IF(MOD(40,$F$17)=$F$17-1,0,INDEX($H$4:$H$53,(INT(40/$F$17)+1)))</f>
        <v/>
      </c>
      <c r="K54">
        <f>IFERROR(IF(AND($F$23&gt;=$F$14,$F$23&lt;=$F$15),10+0.5+100*($F$23-$F$14)/($F$15-$F$14),NA()),NA())</f>
        <v/>
      </c>
      <c r="L54">
        <f>IF(ISNA($K$54),NA(),0)</f>
        <v/>
      </c>
      <c r="O54" t="n">
        <v>15000</v>
      </c>
      <c r="P54" t="n">
        <v>15150</v>
      </c>
      <c r="Q54" t="n">
        <v>65</v>
      </c>
      <c r="V54">
        <f>IF(AND(MOD(40,$S$17)=0,MOD((INT(40/$S$17)+1)-1,$S$13/5)=0),INDEX($AA$4:$AA$53,(INT(40/$S$17)+1)),"")</f>
        <v/>
      </c>
      <c r="W54">
        <f>IF(MOD(40,$S$17)=$S$17-1,0,INDEX($U$4:$U$53,(INT(40/$S$17)+1)))</f>
        <v/>
      </c>
      <c r="X54">
        <f>IFERROR(IF(AND($S$23&gt;=$S$14,$S$23&lt;=$S$15),10+0.5+100*($S$23-$S$14)/($S$15-$S$14),NA()),NA())</f>
        <v/>
      </c>
      <c r="Y54">
        <f>IF(ISNA($X$54),NA(),0)</f>
        <v/>
      </c>
      <c r="AB54" t="n">
        <v>7500</v>
      </c>
      <c r="AC54" t="n">
        <v>7575</v>
      </c>
      <c r="AD54" t="n">
        <v>103</v>
      </c>
      <c r="AI54">
        <f>IF(AND(MOD(40,$AF$17)=0,MOD((INT(40/$AF$17)+1)-1,$AF$13/5)=0),INDEX($AN$4:$AN$53,(INT(40/$AF$17)+1)),"")</f>
        <v/>
      </c>
      <c r="AJ54">
        <f>IF(MOD(40,$AF$17)=$AF$17-1,0,INDEX($AH$4:$AH$53,(INT(40/$AF$17)+1)))</f>
        <v/>
      </c>
      <c r="AK54">
        <f>IFERROR(IF(AND($AF$23&gt;=$AF$14,$AF$23&lt;=$AF$15),10+0.5+100*($AF$23-$AF$14)/($AF$15-$AF$14),NA()),NA())</f>
        <v/>
      </c>
      <c r="AL54">
        <f>IF(ISNA($AK$54),NA(),0)</f>
        <v/>
      </c>
      <c r="AO54" t="n">
        <v>200000</v>
      </c>
      <c r="AP54" t="n">
        <v>202000</v>
      </c>
      <c r="AQ54" t="n">
        <v>176</v>
      </c>
      <c r="AV54">
        <f>IF(AND(MOD(40,$AS$17)=0,MOD((INT(40/$AS$17)+1)-1,$AS$13/5)=0),INDEX($BA$4:$BA$53,(INT(40/$AS$17)+1)),"")</f>
        <v/>
      </c>
      <c r="AW54">
        <f>IF(MOD(40,$AS$17)=$AS$17-1,0,INDEX($AU$4:$AU$53,(INT(40/$AS$17)+1)))</f>
        <v/>
      </c>
      <c r="AX54">
        <f>IFERROR(IF(AND($AS$23&gt;=$AS$14,$AS$23&lt;=$AS$15),10+0.5+100*($AS$23-$AS$14)/($AS$15-$AS$14),NA()),NA())</f>
        <v/>
      </c>
      <c r="AY54">
        <f>IF(ISNA($AX$54),NA(),0)</f>
        <v/>
      </c>
      <c r="BB54" t="n">
        <v>350000</v>
      </c>
      <c r="BC54" t="n">
        <v>353500</v>
      </c>
      <c r="BD54" t="n">
        <v>58</v>
      </c>
      <c r="BI54">
        <f>IF(AND(MOD(40,$BF$17)=0,MOD((INT(40/$BF$17)+1)-1,$BF$13/5)=0),INDEX($BN$4:$BN$53,(INT(40/$BF$17)+1)),"")</f>
        <v/>
      </c>
      <c r="BJ54">
        <f>IF(MOD(40,$BF$17)=$BF$17-1,0,INDEX($BH$4:$BH$53,(INT(40/$BF$17)+1)))</f>
        <v/>
      </c>
      <c r="BK54">
        <f>IFERROR(IF(AND($BF$23&gt;=$BF$14,$BF$23&lt;=$BF$15),10+0.5+100*($BF$23-$BF$14)/($BF$15-$BF$14),NA()),NA())</f>
        <v/>
      </c>
      <c r="BL54">
        <f>IF(ISNA($BK$54),NA(),0)</f>
        <v/>
      </c>
      <c r="BO54" t="n">
        <v>0.3</v>
      </c>
      <c r="BP54" t="n">
        <v>0.303</v>
      </c>
      <c r="BQ54" t="n">
        <v>67</v>
      </c>
      <c r="BV54">
        <f>IF(AND(MOD(40,$BS$17)=0,MOD((INT(40/$BS$17)+1)-1,$BS$13/5)=0),INDEX($CA$4:$CA$53,(INT(40/$BS$17)+1)),"")</f>
        <v/>
      </c>
      <c r="BW54">
        <f>IF(MOD(40,$BS$17)=$BS$17-1,0,INDEX($BU$4:$BU$53,(INT(40/$BS$17)+1)))</f>
        <v/>
      </c>
      <c r="BX54">
        <f>IFERROR(IF(AND($BS$23&gt;=$BS$14,$BS$23&lt;=$BS$15),10+0.5+100*($BS$23-$BS$14)/($BS$15-$BS$14),NA()),NA())</f>
        <v/>
      </c>
      <c r="BY54">
        <f>IF(ISNA($BX$54),NA(),0)</f>
        <v/>
      </c>
      <c r="CB54" t="n">
        <v>7.5</v>
      </c>
      <c r="CC54" t="n">
        <v>7.574999999999999</v>
      </c>
      <c r="CD54" t="n">
        <v>129</v>
      </c>
      <c r="CI54">
        <f>IF(AND(MOD(40,$CF$17)=0,MOD((INT(40/$CF$17)+1)-1,$CF$13/5)=0),INDEX($CN$4:$CN$53,(INT(40/$CF$17)+1)),"")</f>
        <v/>
      </c>
      <c r="CJ54">
        <f>IF(MOD(40,$CF$17)=$CF$17-1,0,INDEX($CH$4:$CH$53,(INT(40/$CF$17)+1)))</f>
        <v/>
      </c>
      <c r="CK54">
        <f>IFERROR(IF(AND($CF$23&gt;=$CF$14,$CF$23&lt;=$CF$15),10+0.5+100*($CF$23-$CF$14)/($CF$15-$CF$14),NA()),NA())</f>
        <v/>
      </c>
      <c r="CL54">
        <f>IF(ISNA($CK$54),NA(),0)</f>
        <v/>
      </c>
      <c r="CO54" t="n">
        <v>30</v>
      </c>
      <c r="CP54" t="n">
        <v>30.2</v>
      </c>
      <c r="CQ54" t="n">
        <v>57</v>
      </c>
      <c r="CV54">
        <f>IF(AND(MOD(40,$CS$17)=0,MOD((INT(40/$CS$17)+1)-1,$CS$13/5)=0),INDEX($DA$4:$DA$53,(INT(40/$CS$17)+1)),"")</f>
        <v/>
      </c>
      <c r="CW54">
        <f>IF(MOD(40,$CS$17)=$CS$17-1,0,INDEX($CU$4:$CU$53,(INT(40/$CS$17)+1)))</f>
        <v/>
      </c>
      <c r="CX54">
        <f>IFERROR(IF(AND($CS$23&gt;=$CS$14,$CS$23&lt;=$CS$15),10+0.5+100*($CS$23-$CS$14)/($CS$15-$CS$14),NA()),NA())</f>
        <v/>
      </c>
      <c r="CY54">
        <f>IF(ISNA($CX$54),NA(),0)</f>
        <v/>
      </c>
      <c r="DB54" t="n">
        <v>27.5</v>
      </c>
      <c r="DC54" t="n">
        <v>27.675</v>
      </c>
      <c r="DD54" t="n">
        <v>51</v>
      </c>
      <c r="DI54">
        <f>IF(AND(MOD(40,$DF$17)=0,MOD((INT(40/$DF$17)+1)-1,$DF$13/5)=0),INDEX($DN$4:$DN$53,(INT(40/$DF$17)+1)),"")</f>
        <v/>
      </c>
      <c r="DJ54">
        <f>IF(MOD(40,$DF$17)=$DF$17-1,0,INDEX($DH$4:$DH$53,(INT(40/$DF$17)+1)))</f>
        <v/>
      </c>
      <c r="DK54">
        <f>IFERROR(IF(AND($DF$23&gt;=$DF$14,$DF$23&lt;=$DF$15),10+0.5+100*($DF$23-$DF$14)/($DF$15-$DF$14),NA()),NA())</f>
        <v/>
      </c>
      <c r="DL54">
        <f>IF(ISNA($DK$54),NA(),0)</f>
        <v/>
      </c>
      <c r="DO54" t="n">
        <v>8.75</v>
      </c>
      <c r="DP54" t="n">
        <v>8.762499999999999</v>
      </c>
      <c r="DQ54" t="n">
        <v>65</v>
      </c>
      <c r="DV54">
        <f>IF(AND(MOD(40,$DS$17)=0,MOD((INT(40/$DS$17)+1)-1,$DS$13/5)=0),INDEX($EA$4:$EA$53,(INT(40/$DS$17)+1)),"")</f>
        <v/>
      </c>
      <c r="DW54">
        <f>IF(MOD(40,$DS$17)=$DS$17-1,0,INDEX($DU$4:$DU$53,(INT(40/$DS$17)+1)))</f>
        <v/>
      </c>
      <c r="DX54">
        <f>IFERROR(IF(AND($DS$23&gt;=$DS$14,$DS$23&lt;=$DS$15),10+0.5+100*($DS$23-$DS$14)/($DS$15-$DS$14),NA()),NA())</f>
        <v/>
      </c>
      <c r="DY54">
        <f>IF(ISNA($DX$54),NA(),0)</f>
        <v/>
      </c>
      <c r="EB54" t="n">
        <v>25</v>
      </c>
      <c r="EC54" t="n">
        <v>25.25</v>
      </c>
      <c r="ED54" t="n">
        <v>55</v>
      </c>
      <c r="EI54">
        <f>IF(AND(MOD(40,$EF$17)=0,MOD((INT(40/$EF$17)+1)-1,$EF$13/5)=0),INDEX($EN$4:$EN$53,(INT(40/$EF$17)+1)),"")</f>
        <v/>
      </c>
      <c r="EJ54">
        <f>IF(MOD(40,$EF$17)=$EF$17-1,0,INDEX($EH$4:$EH$53,(INT(40/$EF$17)+1)))</f>
        <v/>
      </c>
      <c r="EK54">
        <f>IFERROR(IF(AND($EF$23&gt;=$EF$14,$EF$23&lt;=$EF$15),10+0.5+100*($EF$23-$EF$14)/($EF$15-$EF$14),NA()),NA())</f>
        <v/>
      </c>
      <c r="EL54">
        <f>IF(ISNA($EK$54),NA(),0)</f>
        <v/>
      </c>
      <c r="EO54" t="n">
        <v>0.8750000000000001</v>
      </c>
      <c r="EP54" t="n">
        <v>0.88375</v>
      </c>
      <c r="EQ54" t="n">
        <v>97</v>
      </c>
      <c r="EV54">
        <f>IF(AND(MOD(40,$ES$17)=0,MOD((INT(40/$ES$17)+1)-1,$ES$13/5)=0),INDEX($FA$4:$FA$53,(INT(40/$ES$17)+1)),"")</f>
        <v/>
      </c>
      <c r="EW54">
        <f>IF(MOD(40,$ES$17)=$ES$17-1,0,INDEX($EU$4:$EU$53,(INT(40/$ES$17)+1)))</f>
        <v/>
      </c>
      <c r="EX54">
        <f>IFERROR(IF(AND($ES$23&gt;=$ES$14,$ES$23&lt;=$ES$15),10+0.5+100*($ES$23-$ES$14)/($ES$15-$ES$14),NA()),NA())</f>
        <v/>
      </c>
      <c r="EY54">
        <f>IF(ISNA($EX$54),NA(),0)</f>
        <v/>
      </c>
    </row>
    <row r="55">
      <c r="B55" t="n">
        <v>626.5</v>
      </c>
      <c r="C55" t="n">
        <v>627.25</v>
      </c>
      <c r="D55" t="n">
        <v>33</v>
      </c>
      <c r="I55">
        <f>IF(AND(MOD(41,$F$17)=0,MOD((INT(41/$F$17)+1)-1,$F$13/5)=0),INDEX($N$4:$N$53,(INT(41/$F$17)+1)),"")</f>
        <v/>
      </c>
      <c r="J55">
        <f>IF(MOD(41,$F$17)=$F$17-1,0,INDEX($H$4:$H$53,(INT(41/$F$17)+1)))</f>
        <v/>
      </c>
      <c r="K55">
        <f>IFERROR(IF(AND($F$23&gt;=$F$14,$F$23&lt;=$F$15),10+0.5+100*($F$23-$F$14)/($F$15-$F$14),NA()),NA())</f>
        <v/>
      </c>
      <c r="L55">
        <f>IF(ISNA($K$55),NA(),MAX($J$4:$J$123))</f>
        <v/>
      </c>
      <c r="O55" t="n">
        <v>15300</v>
      </c>
      <c r="P55" t="n">
        <v>15450</v>
      </c>
      <c r="Q55" t="n">
        <v>56</v>
      </c>
      <c r="V55">
        <f>IF(AND(MOD(41,$S$17)=0,MOD((INT(41/$S$17)+1)-1,$S$13/5)=0),INDEX($AA$4:$AA$53,(INT(41/$S$17)+1)),"")</f>
        <v/>
      </c>
      <c r="W55">
        <f>IF(MOD(41,$S$17)=$S$17-1,0,INDEX($U$4:$U$53,(INT(41/$S$17)+1)))</f>
        <v/>
      </c>
      <c r="X55">
        <f>IFERROR(IF(AND($S$23&gt;=$S$14,$S$23&lt;=$S$15),10+0.5+100*($S$23-$S$14)/($S$15-$S$14),NA()),NA())</f>
        <v/>
      </c>
      <c r="Y55">
        <f>IF(ISNA($X$55),NA(),MAX($W$4:$W$123))</f>
        <v/>
      </c>
      <c r="AB55" t="n">
        <v>7650</v>
      </c>
      <c r="AC55" t="n">
        <v>7725</v>
      </c>
      <c r="AD55" t="n">
        <v>90</v>
      </c>
      <c r="AI55">
        <f>IF(AND(MOD(41,$AF$17)=0,MOD((INT(41/$AF$17)+1)-1,$AF$13/5)=0),INDEX($AN$4:$AN$53,(INT(41/$AF$17)+1)),"")</f>
        <v/>
      </c>
      <c r="AJ55">
        <f>IF(MOD(41,$AF$17)=$AF$17-1,0,INDEX($AH$4:$AH$53,(INT(41/$AF$17)+1)))</f>
        <v/>
      </c>
      <c r="AK55">
        <f>IFERROR(IF(AND($AF$23&gt;=$AF$14,$AF$23&lt;=$AF$15),10+0.5+100*($AF$23-$AF$14)/($AF$15-$AF$14),NA()),NA())</f>
        <v/>
      </c>
      <c r="AL55">
        <f>IF(ISNA($AK$55),NA(),MAX($AJ$4:$AJ$123))</f>
        <v/>
      </c>
      <c r="AO55" t="n">
        <v>204000</v>
      </c>
      <c r="AP55" t="n">
        <v>206000</v>
      </c>
      <c r="AQ55" t="n">
        <v>177</v>
      </c>
      <c r="AV55">
        <f>IF(AND(MOD(41,$AS$17)=0,MOD((INT(41/$AS$17)+1)-1,$AS$13/5)=0),INDEX($BA$4:$BA$53,(INT(41/$AS$17)+1)),"")</f>
        <v/>
      </c>
      <c r="AW55">
        <f>IF(MOD(41,$AS$17)=$AS$17-1,0,INDEX($AU$4:$AU$53,(INT(41/$AS$17)+1)))</f>
        <v/>
      </c>
      <c r="AX55">
        <f>IFERROR(IF(AND($AS$23&gt;=$AS$14,$AS$23&lt;=$AS$15),10+0.5+100*($AS$23-$AS$14)/($AS$15-$AS$14),NA()),NA())</f>
        <v/>
      </c>
      <c r="AY55">
        <f>IF(ISNA($AX$55),NA(),MAX($AW$4:$AW$123))</f>
        <v/>
      </c>
      <c r="BB55" t="n">
        <v>357000</v>
      </c>
      <c r="BC55" t="n">
        <v>360500</v>
      </c>
      <c r="BD55" t="n">
        <v>49</v>
      </c>
      <c r="BI55">
        <f>IF(AND(MOD(41,$BF$17)=0,MOD((INT(41/$BF$17)+1)-1,$BF$13/5)=0),INDEX($BN$4:$BN$53,(INT(41/$BF$17)+1)),"")</f>
        <v/>
      </c>
      <c r="BJ55">
        <f>IF(MOD(41,$BF$17)=$BF$17-1,0,INDEX($BH$4:$BH$53,(INT(41/$BF$17)+1)))</f>
        <v/>
      </c>
      <c r="BK55">
        <f>IFERROR(IF(AND($BF$23&gt;=$BF$14,$BF$23&lt;=$BF$15),10+0.5+100*($BF$23-$BF$14)/($BF$15-$BF$14),NA()),NA())</f>
        <v/>
      </c>
      <c r="BL55">
        <f>IF(ISNA($BK$55),NA(),MAX($BJ$4:$BJ$123))</f>
        <v/>
      </c>
      <c r="BO55" t="n">
        <v>0.306</v>
      </c>
      <c r="BP55" t="n">
        <v>0.309</v>
      </c>
      <c r="BQ55" t="n">
        <v>51</v>
      </c>
      <c r="BV55">
        <f>IF(AND(MOD(41,$BS$17)=0,MOD((INT(41/$BS$17)+1)-1,$BS$13/5)=0),INDEX($CA$4:$CA$53,(INT(41/$BS$17)+1)),"")</f>
        <v/>
      </c>
      <c r="BW55">
        <f>IF(MOD(41,$BS$17)=$BS$17-1,0,INDEX($BU$4:$BU$53,(INT(41/$BS$17)+1)))</f>
        <v/>
      </c>
      <c r="BX55">
        <f>IFERROR(IF(AND($BS$23&gt;=$BS$14,$BS$23&lt;=$BS$15),10+0.5+100*($BS$23-$BS$14)/($BS$15-$BS$14),NA()),NA())</f>
        <v/>
      </c>
      <c r="BY55">
        <f>IF(ISNA($BX$55),NA(),MAX($BW$4:$BW$123))</f>
        <v/>
      </c>
      <c r="CB55" t="n">
        <v>7.649999999999999</v>
      </c>
      <c r="CC55" t="n">
        <v>7.725</v>
      </c>
      <c r="CD55" t="n">
        <v>62</v>
      </c>
      <c r="CI55">
        <f>IF(AND(MOD(41,$CF$17)=0,MOD((INT(41/$CF$17)+1)-1,$CF$13/5)=0),INDEX($CN$4:$CN$53,(INT(41/$CF$17)+1)),"")</f>
        <v/>
      </c>
      <c r="CJ55">
        <f>IF(MOD(41,$CF$17)=$CF$17-1,0,INDEX($CH$4:$CH$53,(INT(41/$CF$17)+1)))</f>
        <v/>
      </c>
      <c r="CK55">
        <f>IFERROR(IF(AND($CF$23&gt;=$CF$14,$CF$23&lt;=$CF$15),10+0.5+100*($CF$23-$CF$14)/($CF$15-$CF$14),NA()),NA())</f>
        <v/>
      </c>
      <c r="CL55">
        <f>IF(ISNA($CK$55),NA(),MAX($CJ$4:$CJ$123))</f>
        <v/>
      </c>
      <c r="CO55" t="n">
        <v>30.4</v>
      </c>
      <c r="CP55" t="n">
        <v>30.6</v>
      </c>
      <c r="CQ55" t="n">
        <v>47</v>
      </c>
      <c r="CV55">
        <f>IF(AND(MOD(41,$CS$17)=0,MOD((INT(41/$CS$17)+1)-1,$CS$13/5)=0),INDEX($DA$4:$DA$53,(INT(41/$CS$17)+1)),"")</f>
        <v/>
      </c>
      <c r="CW55">
        <f>IF(MOD(41,$CS$17)=$CS$17-1,0,INDEX($CU$4:$CU$53,(INT(41/$CS$17)+1)))</f>
        <v/>
      </c>
      <c r="CX55">
        <f>IFERROR(IF(AND($CS$23&gt;=$CS$14,$CS$23&lt;=$CS$15),10+0.5+100*($CS$23-$CS$14)/($CS$15-$CS$14),NA()),NA())</f>
        <v/>
      </c>
      <c r="CY55">
        <f>IF(ISNA($CX$55),NA(),MAX($CW$4:$CW$123))</f>
        <v/>
      </c>
      <c r="DB55" t="n">
        <v>27.85</v>
      </c>
      <c r="DC55" t="n">
        <v>28.025</v>
      </c>
      <c r="DD55" t="n">
        <v>63</v>
      </c>
      <c r="DI55">
        <f>IF(AND(MOD(41,$DF$17)=0,MOD((INT(41/$DF$17)+1)-1,$DF$13/5)=0),INDEX($DN$4:$DN$53,(INT(41/$DF$17)+1)),"")</f>
        <v/>
      </c>
      <c r="DJ55">
        <f>IF(MOD(41,$DF$17)=$DF$17-1,0,INDEX($DH$4:$DH$53,(INT(41/$DF$17)+1)))</f>
        <v/>
      </c>
      <c r="DK55">
        <f>IFERROR(IF(AND($DF$23&gt;=$DF$14,$DF$23&lt;=$DF$15),10+0.5+100*($DF$23-$DF$14)/($DF$15-$DF$14),NA()),NA())</f>
        <v/>
      </c>
      <c r="DL55">
        <f>IF(ISNA($DK$55),NA(),MAX($DJ$4:$DJ$123))</f>
        <v/>
      </c>
      <c r="DO55" t="n">
        <v>8.775</v>
      </c>
      <c r="DP55" t="n">
        <v>8.7875</v>
      </c>
      <c r="DQ55" t="n">
        <v>62</v>
      </c>
      <c r="DV55">
        <f>IF(AND(MOD(41,$DS$17)=0,MOD((INT(41/$DS$17)+1)-1,$DS$13/5)=0),INDEX($EA$4:$EA$53,(INT(41/$DS$17)+1)),"")</f>
        <v/>
      </c>
      <c r="DW55">
        <f>IF(MOD(41,$DS$17)=$DS$17-1,0,INDEX($DU$4:$DU$53,(INT(41/$DS$17)+1)))</f>
        <v/>
      </c>
      <c r="DX55">
        <f>IFERROR(IF(AND($DS$23&gt;=$DS$14,$DS$23&lt;=$DS$15),10+0.5+100*($DS$23-$DS$14)/($DS$15-$DS$14),NA()),NA())</f>
        <v/>
      </c>
      <c r="DY55">
        <f>IF(ISNA($DX$55),NA(),MAX($DW$4:$DW$123))</f>
        <v/>
      </c>
      <c r="EB55" t="n">
        <v>25.5</v>
      </c>
      <c r="EC55" t="n">
        <v>25.75</v>
      </c>
      <c r="ED55" t="n">
        <v>51</v>
      </c>
      <c r="EI55">
        <f>IF(AND(MOD(41,$EF$17)=0,MOD((INT(41/$EF$17)+1)-1,$EF$13/5)=0),INDEX($EN$4:$EN$53,(INT(41/$EF$17)+1)),"")</f>
        <v/>
      </c>
      <c r="EJ55">
        <f>IF(MOD(41,$EF$17)=$EF$17-1,0,INDEX($EH$4:$EH$53,(INT(41/$EF$17)+1)))</f>
        <v/>
      </c>
      <c r="EK55">
        <f>IFERROR(IF(AND($EF$23&gt;=$EF$14,$EF$23&lt;=$EF$15),10+0.5+100*($EF$23-$EF$14)/($EF$15-$EF$14),NA()),NA())</f>
        <v/>
      </c>
      <c r="EL55">
        <f>IF(ISNA($EK$55),NA(),MAX($EJ$4:$EJ$123))</f>
        <v/>
      </c>
      <c r="EO55" t="n">
        <v>0.8925000000000001</v>
      </c>
      <c r="EP55" t="n">
        <v>0.9012500000000001</v>
      </c>
      <c r="EQ55" t="n">
        <v>83</v>
      </c>
      <c r="EV55">
        <f>IF(AND(MOD(41,$ES$17)=0,MOD((INT(41/$ES$17)+1)-1,$ES$13/5)=0),INDEX($FA$4:$FA$53,(INT(41/$ES$17)+1)),"")</f>
        <v/>
      </c>
      <c r="EW55">
        <f>IF(MOD(41,$ES$17)=$ES$17-1,0,INDEX($EU$4:$EU$53,(INT(41/$ES$17)+1)))</f>
        <v/>
      </c>
      <c r="EX55">
        <f>IFERROR(IF(AND($ES$23&gt;=$ES$14,$ES$23&lt;=$ES$15),10+0.5+100*($ES$23-$ES$14)/($ES$15-$ES$14),NA()),NA())</f>
        <v/>
      </c>
      <c r="EY55">
        <f>IF(ISNA($EX$55),NA(),MAX($EW$4:$EW$123))</f>
        <v/>
      </c>
    </row>
    <row r="56">
      <c r="B56" t="n">
        <v>628</v>
      </c>
      <c r="C56" t="n">
        <v>628.75</v>
      </c>
      <c r="D56" t="n">
        <v>78</v>
      </c>
      <c r="I56">
        <f>IF(AND(MOD(42,$F$17)=0,MOD((INT(42/$F$17)+1)-1,$F$13/5)=0),INDEX($N$4:$N$53,(INT(42/$F$17)+1)),"")</f>
        <v/>
      </c>
      <c r="J56">
        <f>IF(MOD(42,$F$17)=$F$17-1,0,INDEX($H$4:$H$53,(INT(42/$F$17)+1)))</f>
        <v/>
      </c>
      <c r="K56">
        <f>IFERROR(IF(AND($F$24&gt;=$F$14,$F$24&lt;=$F$15),10+0.5+100*($F$24-$F$14)/($F$15-$F$14),NA()),NA())</f>
        <v/>
      </c>
      <c r="L56">
        <f>IF(ISNA($K$56),NA(),0)</f>
        <v/>
      </c>
      <c r="O56" t="n">
        <v>15600</v>
      </c>
      <c r="P56" t="n">
        <v>15750</v>
      </c>
      <c r="Q56" t="n">
        <v>58</v>
      </c>
      <c r="V56">
        <f>IF(AND(MOD(42,$S$17)=0,MOD((INT(42/$S$17)+1)-1,$S$13/5)=0),INDEX($AA$4:$AA$53,(INT(42/$S$17)+1)),"")</f>
        <v/>
      </c>
      <c r="W56">
        <f>IF(MOD(42,$S$17)=$S$17-1,0,INDEX($U$4:$U$53,(INT(42/$S$17)+1)))</f>
        <v/>
      </c>
      <c r="X56">
        <f>IFERROR(IF(AND($S$24&gt;=$S$14,$S$24&lt;=$S$15),10+0.5+100*($S$24-$S$14)/($S$15-$S$14),NA()),NA())</f>
        <v/>
      </c>
      <c r="Y56">
        <f>IF(ISNA($X$56),NA(),0)</f>
        <v/>
      </c>
      <c r="AB56" t="n">
        <v>7800</v>
      </c>
      <c r="AC56" t="n">
        <v>7875</v>
      </c>
      <c r="AD56" t="n">
        <v>108</v>
      </c>
      <c r="AI56">
        <f>IF(AND(MOD(42,$AF$17)=0,MOD((INT(42/$AF$17)+1)-1,$AF$13/5)=0),INDEX($AN$4:$AN$53,(INT(42/$AF$17)+1)),"")</f>
        <v/>
      </c>
      <c r="AJ56">
        <f>IF(MOD(42,$AF$17)=$AF$17-1,0,INDEX($AH$4:$AH$53,(INT(42/$AF$17)+1)))</f>
        <v/>
      </c>
      <c r="AK56">
        <f>IFERROR(IF(AND($AF$24&gt;=$AF$14,$AF$24&lt;=$AF$15),10+0.5+100*($AF$24-$AF$14)/($AF$15-$AF$14),NA()),NA())</f>
        <v/>
      </c>
      <c r="AL56">
        <f>IF(ISNA($AK$56),NA(),0)</f>
        <v/>
      </c>
      <c r="AO56" t="n">
        <v>208000</v>
      </c>
      <c r="AP56" t="n">
        <v>210000</v>
      </c>
      <c r="AQ56" t="n">
        <v>193</v>
      </c>
      <c r="AV56">
        <f>IF(AND(MOD(42,$AS$17)=0,MOD((INT(42/$AS$17)+1)-1,$AS$13/5)=0),INDEX($BA$4:$BA$53,(INT(42/$AS$17)+1)),"")</f>
        <v/>
      </c>
      <c r="AW56">
        <f>IF(MOD(42,$AS$17)=$AS$17-1,0,INDEX($AU$4:$AU$53,(INT(42/$AS$17)+1)))</f>
        <v/>
      </c>
      <c r="AX56">
        <f>IFERROR(IF(AND($AS$24&gt;=$AS$14,$AS$24&lt;=$AS$15),10+0.5+100*($AS$24-$AS$14)/($AS$15-$AS$14),NA()),NA())</f>
        <v/>
      </c>
      <c r="AY56">
        <f>IF(ISNA($AX$56),NA(),0)</f>
        <v/>
      </c>
      <c r="BB56" t="n">
        <v>364000</v>
      </c>
      <c r="BC56" t="n">
        <v>367500</v>
      </c>
      <c r="BD56" t="n">
        <v>42</v>
      </c>
      <c r="BI56">
        <f>IF(AND(MOD(42,$BF$17)=0,MOD((INT(42/$BF$17)+1)-1,$BF$13/5)=0),INDEX($BN$4:$BN$53,(INT(42/$BF$17)+1)),"")</f>
        <v/>
      </c>
      <c r="BJ56">
        <f>IF(MOD(42,$BF$17)=$BF$17-1,0,INDEX($BH$4:$BH$53,(INT(42/$BF$17)+1)))</f>
        <v/>
      </c>
      <c r="BK56">
        <f>IFERROR(IF(AND($BF$24&gt;=$BF$14,$BF$24&lt;=$BF$15),10+0.5+100*($BF$24-$BF$14)/($BF$15-$BF$14),NA()),NA())</f>
        <v/>
      </c>
      <c r="BL56">
        <f>IF(ISNA($BK$56),NA(),0)</f>
        <v/>
      </c>
      <c r="BO56" t="n">
        <v>0.312</v>
      </c>
      <c r="BP56" t="n">
        <v>0.315</v>
      </c>
      <c r="BQ56" t="n">
        <v>65</v>
      </c>
      <c r="BV56">
        <f>IF(AND(MOD(42,$BS$17)=0,MOD((INT(42/$BS$17)+1)-1,$BS$13/5)=0),INDEX($CA$4:$CA$53,(INT(42/$BS$17)+1)),"")</f>
        <v/>
      </c>
      <c r="BW56">
        <f>IF(MOD(42,$BS$17)=$BS$17-1,0,INDEX($BU$4:$BU$53,(INT(42/$BS$17)+1)))</f>
        <v/>
      </c>
      <c r="BX56">
        <f>IFERROR(IF(AND($BS$24&gt;=$BS$14,$BS$24&lt;=$BS$15),10+0.5+100*($BS$24-$BS$14)/($BS$15-$BS$14),NA()),NA())</f>
        <v/>
      </c>
      <c r="BY56">
        <f>IF(ISNA($BX$56),NA(),0)</f>
        <v/>
      </c>
      <c r="CB56" t="n">
        <v>7.8</v>
      </c>
      <c r="CC56" t="n">
        <v>7.875</v>
      </c>
      <c r="CD56" t="n">
        <v>127</v>
      </c>
      <c r="CI56">
        <f>IF(AND(MOD(42,$CF$17)=0,MOD((INT(42/$CF$17)+1)-1,$CF$13/5)=0),INDEX($CN$4:$CN$53,(INT(42/$CF$17)+1)),"")</f>
        <v/>
      </c>
      <c r="CJ56">
        <f>IF(MOD(42,$CF$17)=$CF$17-1,0,INDEX($CH$4:$CH$53,(INT(42/$CF$17)+1)))</f>
        <v/>
      </c>
      <c r="CK56">
        <f>IFERROR(IF(AND($CF$24&gt;=$CF$14,$CF$24&lt;=$CF$15),10+0.5+100*($CF$24-$CF$14)/($CF$15-$CF$14),NA()),NA())</f>
        <v/>
      </c>
      <c r="CL56">
        <f>IF(ISNA($CK$56),NA(),0)</f>
        <v/>
      </c>
      <c r="CO56" t="n">
        <v>30.8</v>
      </c>
      <c r="CP56" t="n">
        <v>31</v>
      </c>
      <c r="CQ56" t="n">
        <v>59</v>
      </c>
      <c r="CV56">
        <f>IF(AND(MOD(42,$CS$17)=0,MOD((INT(42/$CS$17)+1)-1,$CS$13/5)=0),INDEX($DA$4:$DA$53,(INT(42/$CS$17)+1)),"")</f>
        <v/>
      </c>
      <c r="CW56">
        <f>IF(MOD(42,$CS$17)=$CS$17-1,0,INDEX($CU$4:$CU$53,(INT(42/$CS$17)+1)))</f>
        <v/>
      </c>
      <c r="CX56">
        <f>IFERROR(IF(AND($CS$24&gt;=$CS$14,$CS$24&lt;=$CS$15),10+0.5+100*($CS$24-$CS$14)/($CS$15-$CS$14),NA()),NA())</f>
        <v/>
      </c>
      <c r="CY56">
        <f>IF(ISNA($CX$56),NA(),0)</f>
        <v/>
      </c>
      <c r="DB56" t="n">
        <v>28.2</v>
      </c>
      <c r="DC56" t="n">
        <v>28.375</v>
      </c>
      <c r="DD56" t="n">
        <v>55</v>
      </c>
      <c r="DI56">
        <f>IF(AND(MOD(42,$DF$17)=0,MOD((INT(42/$DF$17)+1)-1,$DF$13/5)=0),INDEX($DN$4:$DN$53,(INT(42/$DF$17)+1)),"")</f>
        <v/>
      </c>
      <c r="DJ56">
        <f>IF(MOD(42,$DF$17)=$DF$17-1,0,INDEX($DH$4:$DH$53,(INT(42/$DF$17)+1)))</f>
        <v/>
      </c>
      <c r="DK56">
        <f>IFERROR(IF(AND($DF$24&gt;=$DF$14,$DF$24&lt;=$DF$15),10+0.5+100*($DF$24-$DF$14)/($DF$15-$DF$14),NA()),NA())</f>
        <v/>
      </c>
      <c r="DL56">
        <f>IF(ISNA($DK$56),NA(),0)</f>
        <v/>
      </c>
      <c r="DO56" t="n">
        <v>8.800000000000001</v>
      </c>
      <c r="DP56" t="n">
        <v>8.8125</v>
      </c>
      <c r="DQ56" t="n">
        <v>62</v>
      </c>
      <c r="DV56">
        <f>IF(AND(MOD(42,$DS$17)=0,MOD((INT(42/$DS$17)+1)-1,$DS$13/5)=0),INDEX($EA$4:$EA$53,(INT(42/$DS$17)+1)),"")</f>
        <v/>
      </c>
      <c r="DW56">
        <f>IF(MOD(42,$DS$17)=$DS$17-1,0,INDEX($DU$4:$DU$53,(INT(42/$DS$17)+1)))</f>
        <v/>
      </c>
      <c r="DX56">
        <f>IFERROR(IF(AND($DS$24&gt;=$DS$14,$DS$24&lt;=$DS$15),10+0.5+100*($DS$24-$DS$14)/($DS$15-$DS$14),NA()),NA())</f>
        <v/>
      </c>
      <c r="DY56">
        <f>IF(ISNA($DX$56),NA(),0)</f>
        <v/>
      </c>
      <c r="EB56" t="n">
        <v>26</v>
      </c>
      <c r="EC56" t="n">
        <v>26.25</v>
      </c>
      <c r="ED56" t="n">
        <v>75</v>
      </c>
      <c r="EI56">
        <f>IF(AND(MOD(42,$EF$17)=0,MOD((INT(42/$EF$17)+1)-1,$EF$13/5)=0),INDEX($EN$4:$EN$53,(INT(42/$EF$17)+1)),"")</f>
        <v/>
      </c>
      <c r="EJ56">
        <f>IF(MOD(42,$EF$17)=$EF$17-1,0,INDEX($EH$4:$EH$53,(INT(42/$EF$17)+1)))</f>
        <v/>
      </c>
      <c r="EK56">
        <f>IFERROR(IF(AND($EF$24&gt;=$EF$14,$EF$24&lt;=$EF$15),10+0.5+100*($EF$24-$EF$14)/($EF$15-$EF$14),NA()),NA())</f>
        <v/>
      </c>
      <c r="EL56">
        <f>IF(ISNA($EK$56),NA(),0)</f>
        <v/>
      </c>
      <c r="EO56" t="n">
        <v>0.9100000000000001</v>
      </c>
      <c r="EP56" t="n">
        <v>0.9187500000000001</v>
      </c>
      <c r="EQ56" t="n">
        <v>81</v>
      </c>
      <c r="EV56">
        <f>IF(AND(MOD(42,$ES$17)=0,MOD((INT(42/$ES$17)+1)-1,$ES$13/5)=0),INDEX($FA$4:$FA$53,(INT(42/$ES$17)+1)),"")</f>
        <v/>
      </c>
      <c r="EW56">
        <f>IF(MOD(42,$ES$17)=$ES$17-1,0,INDEX($EU$4:$EU$53,(INT(42/$ES$17)+1)))</f>
        <v/>
      </c>
      <c r="EX56">
        <f>IFERROR(IF(AND($ES$24&gt;=$ES$14,$ES$24&lt;=$ES$15),10+0.5+100*($ES$24-$ES$14)/($ES$15-$ES$14),NA()),NA())</f>
        <v/>
      </c>
      <c r="EY56">
        <f>IF(ISNA($EX$56),NA(),0)</f>
        <v/>
      </c>
    </row>
    <row r="57">
      <c r="B57" t="n">
        <v>629.5</v>
      </c>
      <c r="C57" t="n">
        <v>630.25</v>
      </c>
      <c r="D57" t="n">
        <v>43</v>
      </c>
      <c r="I57">
        <f>IF(AND(MOD(43,$F$17)=0,MOD((INT(43/$F$17)+1)-1,$F$13/5)=0),INDEX($N$4:$N$53,(INT(43/$F$17)+1)),"")</f>
        <v/>
      </c>
      <c r="J57">
        <f>IF(MOD(43,$F$17)=$F$17-1,0,INDEX($H$4:$H$53,(INT(43/$F$17)+1)))</f>
        <v/>
      </c>
      <c r="K57">
        <f>IFERROR(IF(AND($F$24&gt;=$F$14,$F$24&lt;=$F$15),10+0.5+100*($F$24-$F$14)/($F$15-$F$14),NA()),NA())</f>
        <v/>
      </c>
      <c r="L57">
        <f>IF(ISNA($K$57),NA(),MAX($J$4:$J$123))</f>
        <v/>
      </c>
      <c r="O57" t="n">
        <v>15900</v>
      </c>
      <c r="P57" t="n">
        <v>16050</v>
      </c>
      <c r="Q57" t="n">
        <v>60</v>
      </c>
      <c r="V57">
        <f>IF(AND(MOD(43,$S$17)=0,MOD((INT(43/$S$17)+1)-1,$S$13/5)=0),INDEX($AA$4:$AA$53,(INT(43/$S$17)+1)),"")</f>
        <v/>
      </c>
      <c r="W57">
        <f>IF(MOD(43,$S$17)=$S$17-1,0,INDEX($U$4:$U$53,(INT(43/$S$17)+1)))</f>
        <v/>
      </c>
      <c r="X57">
        <f>IFERROR(IF(AND($S$24&gt;=$S$14,$S$24&lt;=$S$15),10+0.5+100*($S$24-$S$14)/($S$15-$S$14),NA()),NA())</f>
        <v/>
      </c>
      <c r="Y57">
        <f>IF(ISNA($X$57),NA(),MAX($W$4:$W$123))</f>
        <v/>
      </c>
      <c r="AB57" t="n">
        <v>7950</v>
      </c>
      <c r="AC57" t="n">
        <v>8025</v>
      </c>
      <c r="AD57" t="n">
        <v>100</v>
      </c>
      <c r="AI57">
        <f>IF(AND(MOD(43,$AF$17)=0,MOD((INT(43/$AF$17)+1)-1,$AF$13/5)=0),INDEX($AN$4:$AN$53,(INT(43/$AF$17)+1)),"")</f>
        <v/>
      </c>
      <c r="AJ57">
        <f>IF(MOD(43,$AF$17)=$AF$17-1,0,INDEX($AH$4:$AH$53,(INT(43/$AF$17)+1)))</f>
        <v/>
      </c>
      <c r="AK57">
        <f>IFERROR(IF(AND($AF$24&gt;=$AF$14,$AF$24&lt;=$AF$15),10+0.5+100*($AF$24-$AF$14)/($AF$15-$AF$14),NA()),NA())</f>
        <v/>
      </c>
      <c r="AL57">
        <f>IF(ISNA($AK$57),NA(),MAX($AJ$4:$AJ$123))</f>
        <v/>
      </c>
      <c r="AO57" t="n">
        <v>212000</v>
      </c>
      <c r="AP57" t="n">
        <v>214000</v>
      </c>
      <c r="AQ57" t="n">
        <v>171</v>
      </c>
      <c r="AV57">
        <f>IF(AND(MOD(43,$AS$17)=0,MOD((INT(43/$AS$17)+1)-1,$AS$13/5)=0),INDEX($BA$4:$BA$53,(INT(43/$AS$17)+1)),"")</f>
        <v/>
      </c>
      <c r="AW57">
        <f>IF(MOD(43,$AS$17)=$AS$17-1,0,INDEX($AU$4:$AU$53,(INT(43/$AS$17)+1)))</f>
        <v/>
      </c>
      <c r="AX57">
        <f>IFERROR(IF(AND($AS$24&gt;=$AS$14,$AS$24&lt;=$AS$15),10+0.5+100*($AS$24-$AS$14)/($AS$15-$AS$14),NA()),NA())</f>
        <v/>
      </c>
      <c r="AY57">
        <f>IF(ISNA($AX$57),NA(),MAX($AW$4:$AW$123))</f>
        <v/>
      </c>
      <c r="BB57" t="n">
        <v>371000</v>
      </c>
      <c r="BC57" t="n">
        <v>374500</v>
      </c>
      <c r="BD57" t="n">
        <v>36</v>
      </c>
      <c r="BI57">
        <f>IF(AND(MOD(43,$BF$17)=0,MOD((INT(43/$BF$17)+1)-1,$BF$13/5)=0),INDEX($BN$4:$BN$53,(INT(43/$BF$17)+1)),"")</f>
        <v/>
      </c>
      <c r="BJ57">
        <f>IF(MOD(43,$BF$17)=$BF$17-1,0,INDEX($BH$4:$BH$53,(INT(43/$BF$17)+1)))</f>
        <v/>
      </c>
      <c r="BK57">
        <f>IFERROR(IF(AND($BF$24&gt;=$BF$14,$BF$24&lt;=$BF$15),10+0.5+100*($BF$24-$BF$14)/($BF$15-$BF$14),NA()),NA())</f>
        <v/>
      </c>
      <c r="BL57">
        <f>IF(ISNA($BK$57),NA(),MAX($BJ$4:$BJ$123))</f>
        <v/>
      </c>
      <c r="BO57" t="n">
        <v>0.318</v>
      </c>
      <c r="BP57" t="n">
        <v>0.321</v>
      </c>
      <c r="BQ57" t="n">
        <v>66</v>
      </c>
      <c r="BV57">
        <f>IF(AND(MOD(43,$BS$17)=0,MOD((INT(43/$BS$17)+1)-1,$BS$13/5)=0),INDEX($CA$4:$CA$53,(INT(43/$BS$17)+1)),"")</f>
        <v/>
      </c>
      <c r="BW57">
        <f>IF(MOD(43,$BS$17)=$BS$17-1,0,INDEX($BU$4:$BU$53,(INT(43/$BS$17)+1)))</f>
        <v/>
      </c>
      <c r="BX57">
        <f>IFERROR(IF(AND($BS$24&gt;=$BS$14,$BS$24&lt;=$BS$15),10+0.5+100*($BS$24-$BS$14)/($BS$15-$BS$14),NA()),NA())</f>
        <v/>
      </c>
      <c r="BY57">
        <f>IF(ISNA($BX$57),NA(),MAX($BW$4:$BW$123))</f>
        <v/>
      </c>
      <c r="CB57" t="n">
        <v>7.949999999999999</v>
      </c>
      <c r="CC57" t="n">
        <v>8.025</v>
      </c>
      <c r="CD57" t="n">
        <v>47</v>
      </c>
      <c r="CI57">
        <f>IF(AND(MOD(43,$CF$17)=0,MOD((INT(43/$CF$17)+1)-1,$CF$13/5)=0),INDEX($CN$4:$CN$53,(INT(43/$CF$17)+1)),"")</f>
        <v/>
      </c>
      <c r="CJ57">
        <f>IF(MOD(43,$CF$17)=$CF$17-1,0,INDEX($CH$4:$CH$53,(INT(43/$CF$17)+1)))</f>
        <v/>
      </c>
      <c r="CK57">
        <f>IFERROR(IF(AND($CF$24&gt;=$CF$14,$CF$24&lt;=$CF$15),10+0.5+100*($CF$24-$CF$14)/($CF$15-$CF$14),NA()),NA())</f>
        <v/>
      </c>
      <c r="CL57">
        <f>IF(ISNA($CK$57),NA(),MAX($CJ$4:$CJ$123))</f>
        <v/>
      </c>
      <c r="CO57" t="n">
        <v>31.2</v>
      </c>
      <c r="CP57" t="n">
        <v>31.4</v>
      </c>
      <c r="CQ57" t="n">
        <v>61</v>
      </c>
      <c r="CV57">
        <f>IF(AND(MOD(43,$CS$17)=0,MOD((INT(43/$CS$17)+1)-1,$CS$13/5)=0),INDEX($DA$4:$DA$53,(INT(43/$CS$17)+1)),"")</f>
        <v/>
      </c>
      <c r="CW57">
        <f>IF(MOD(43,$CS$17)=$CS$17-1,0,INDEX($CU$4:$CU$53,(INT(43/$CS$17)+1)))</f>
        <v/>
      </c>
      <c r="CX57">
        <f>IFERROR(IF(AND($CS$24&gt;=$CS$14,$CS$24&lt;=$CS$15),10+0.5+100*($CS$24-$CS$14)/($CS$15-$CS$14),NA()),NA())</f>
        <v/>
      </c>
      <c r="CY57">
        <f>IF(ISNA($CX$57),NA(),MAX($CW$4:$CW$123))</f>
        <v/>
      </c>
      <c r="DB57" t="n">
        <v>28.55</v>
      </c>
      <c r="DC57" t="n">
        <v>28.725</v>
      </c>
      <c r="DD57" t="n">
        <v>73</v>
      </c>
      <c r="DI57">
        <f>IF(AND(MOD(43,$DF$17)=0,MOD((INT(43/$DF$17)+1)-1,$DF$13/5)=0),INDEX($DN$4:$DN$53,(INT(43/$DF$17)+1)),"")</f>
        <v/>
      </c>
      <c r="DJ57">
        <f>IF(MOD(43,$DF$17)=$DF$17-1,0,INDEX($DH$4:$DH$53,(INT(43/$DF$17)+1)))</f>
        <v/>
      </c>
      <c r="DK57">
        <f>IFERROR(IF(AND($DF$24&gt;=$DF$14,$DF$24&lt;=$DF$15),10+0.5+100*($DF$24-$DF$14)/($DF$15-$DF$14),NA()),NA())</f>
        <v/>
      </c>
      <c r="DL57">
        <f>IF(ISNA($DK$57),NA(),MAX($DJ$4:$DJ$123))</f>
        <v/>
      </c>
      <c r="DO57" t="n">
        <v>8.824999999999999</v>
      </c>
      <c r="DP57" t="n">
        <v>8.8375</v>
      </c>
      <c r="DQ57" t="n">
        <v>64</v>
      </c>
      <c r="DV57">
        <f>IF(AND(MOD(43,$DS$17)=0,MOD((INT(43/$DS$17)+1)-1,$DS$13/5)=0),INDEX($EA$4:$EA$53,(INT(43/$DS$17)+1)),"")</f>
        <v/>
      </c>
      <c r="DW57">
        <f>IF(MOD(43,$DS$17)=$DS$17-1,0,INDEX($DU$4:$DU$53,(INT(43/$DS$17)+1)))</f>
        <v/>
      </c>
      <c r="DX57">
        <f>IFERROR(IF(AND($DS$24&gt;=$DS$14,$DS$24&lt;=$DS$15),10+0.5+100*($DS$24-$DS$14)/($DS$15-$DS$14),NA()),NA())</f>
        <v/>
      </c>
      <c r="DY57">
        <f>IF(ISNA($DX$57),NA(),MAX($DW$4:$DW$123))</f>
        <v/>
      </c>
      <c r="EB57" t="n">
        <v>26.5</v>
      </c>
      <c r="EC57" t="n">
        <v>26.75</v>
      </c>
      <c r="ED57" t="n">
        <v>52</v>
      </c>
      <c r="EI57">
        <f>IF(AND(MOD(43,$EF$17)=0,MOD((INT(43/$EF$17)+1)-1,$EF$13/5)=0),INDEX($EN$4:$EN$53,(INT(43/$EF$17)+1)),"")</f>
        <v/>
      </c>
      <c r="EJ57">
        <f>IF(MOD(43,$EF$17)=$EF$17-1,0,INDEX($EH$4:$EH$53,(INT(43/$EF$17)+1)))</f>
        <v/>
      </c>
      <c r="EK57">
        <f>IFERROR(IF(AND($EF$24&gt;=$EF$14,$EF$24&lt;=$EF$15),10+0.5+100*($EF$24-$EF$14)/($EF$15-$EF$14),NA()),NA())</f>
        <v/>
      </c>
      <c r="EL57">
        <f>IF(ISNA($EK$57),NA(),MAX($EJ$4:$EJ$123))</f>
        <v/>
      </c>
      <c r="EO57" t="n">
        <v>0.9275000000000001</v>
      </c>
      <c r="EP57" t="n">
        <v>0.9362500000000001</v>
      </c>
      <c r="EQ57" t="n">
        <v>78</v>
      </c>
      <c r="EV57">
        <f>IF(AND(MOD(43,$ES$17)=0,MOD((INT(43/$ES$17)+1)-1,$ES$13/5)=0),INDEX($FA$4:$FA$53,(INT(43/$ES$17)+1)),"")</f>
        <v/>
      </c>
      <c r="EW57">
        <f>IF(MOD(43,$ES$17)=$ES$17-1,0,INDEX($EU$4:$EU$53,(INT(43/$ES$17)+1)))</f>
        <v/>
      </c>
      <c r="EX57">
        <f>IFERROR(IF(AND($ES$24&gt;=$ES$14,$ES$24&lt;=$ES$15),10+0.5+100*($ES$24-$ES$14)/($ES$15-$ES$14),NA()),NA())</f>
        <v/>
      </c>
      <c r="EY57">
        <f>IF(ISNA($EX$57),NA(),MAX($EW$4:$EW$123))</f>
        <v/>
      </c>
    </row>
    <row r="58">
      <c r="B58" t="n">
        <v>631</v>
      </c>
      <c r="C58" t="n">
        <v>631.75</v>
      </c>
      <c r="D58" t="n">
        <v>89</v>
      </c>
      <c r="I58">
        <f>IF(AND(MOD(44,$F$17)=0,MOD((INT(44/$F$17)+1)-1,$F$13/5)=0),INDEX($N$4:$N$53,(INT(44/$F$17)+1)),"")</f>
        <v/>
      </c>
      <c r="J58">
        <f>IF(MOD(44,$F$17)=$F$17-1,0,INDEX($H$4:$H$53,(INT(44/$F$17)+1)))</f>
        <v/>
      </c>
      <c r="K58">
        <f>IFERROR(IF(AND($F$25&gt;=$F$14,$F$25&lt;=$F$15),10+0.5+100*($F$25-$F$14)/($F$15-$F$14),NA()),NA())</f>
        <v/>
      </c>
      <c r="L58">
        <f>IF(ISNA($K$58),NA(),0)</f>
        <v/>
      </c>
      <c r="O58" t="n">
        <v>16200</v>
      </c>
      <c r="P58" t="n">
        <v>16350</v>
      </c>
      <c r="Q58" t="n">
        <v>61</v>
      </c>
      <c r="V58">
        <f>IF(AND(MOD(44,$S$17)=0,MOD((INT(44/$S$17)+1)-1,$S$13/5)=0),INDEX($AA$4:$AA$53,(INT(44/$S$17)+1)),"")</f>
        <v/>
      </c>
      <c r="W58">
        <f>IF(MOD(44,$S$17)=$S$17-1,0,INDEX($U$4:$U$53,(INT(44/$S$17)+1)))</f>
        <v/>
      </c>
      <c r="X58">
        <f>IFERROR(IF(AND($S$25&gt;=$S$14,$S$25&lt;=$S$15),10+0.5+100*($S$25-$S$14)/($S$15-$S$14),NA()),NA())</f>
        <v/>
      </c>
      <c r="Y58">
        <f>IF(ISNA($X$58),NA(),0)</f>
        <v/>
      </c>
      <c r="AB58" t="n">
        <v>8100</v>
      </c>
      <c r="AC58" t="n">
        <v>8175</v>
      </c>
      <c r="AD58" t="n">
        <v>104</v>
      </c>
      <c r="AI58">
        <f>IF(AND(MOD(44,$AF$17)=0,MOD((INT(44/$AF$17)+1)-1,$AF$13/5)=0),INDEX($AN$4:$AN$53,(INT(44/$AF$17)+1)),"")</f>
        <v/>
      </c>
      <c r="AJ58">
        <f>IF(MOD(44,$AF$17)=$AF$17-1,0,INDEX($AH$4:$AH$53,(INT(44/$AF$17)+1)))</f>
        <v/>
      </c>
      <c r="AK58">
        <f>IFERROR(IF(AND($AF$25&gt;=$AF$14,$AF$25&lt;=$AF$15),10+0.5+100*($AF$25-$AF$14)/($AF$15-$AF$14),NA()),NA())</f>
        <v/>
      </c>
      <c r="AL58">
        <f>IF(ISNA($AK$58),NA(),0)</f>
        <v/>
      </c>
      <c r="AO58" t="n">
        <v>216000</v>
      </c>
      <c r="AP58" t="n">
        <v>218000</v>
      </c>
      <c r="AQ58" t="n">
        <v>160</v>
      </c>
      <c r="AV58">
        <f>IF(AND(MOD(44,$AS$17)=0,MOD((INT(44/$AS$17)+1)-1,$AS$13/5)=0),INDEX($BA$4:$BA$53,(INT(44/$AS$17)+1)),"")</f>
        <v/>
      </c>
      <c r="AW58">
        <f>IF(MOD(44,$AS$17)=$AS$17-1,0,INDEX($AU$4:$AU$53,(INT(44/$AS$17)+1)))</f>
        <v/>
      </c>
      <c r="AX58">
        <f>IFERROR(IF(AND($AS$25&gt;=$AS$14,$AS$25&lt;=$AS$15),10+0.5+100*($AS$25-$AS$14)/($AS$15-$AS$14),NA()),NA())</f>
        <v/>
      </c>
      <c r="AY58">
        <f>IF(ISNA($AX$58),NA(),0)</f>
        <v/>
      </c>
      <c r="BB58" t="n">
        <v>378000</v>
      </c>
      <c r="BC58" t="n">
        <v>381500</v>
      </c>
      <c r="BD58" t="n">
        <v>55</v>
      </c>
      <c r="BI58">
        <f>IF(AND(MOD(44,$BF$17)=0,MOD((INT(44/$BF$17)+1)-1,$BF$13/5)=0),INDEX($BN$4:$BN$53,(INT(44/$BF$17)+1)),"")</f>
        <v/>
      </c>
      <c r="BJ58">
        <f>IF(MOD(44,$BF$17)=$BF$17-1,0,INDEX($BH$4:$BH$53,(INT(44/$BF$17)+1)))</f>
        <v/>
      </c>
      <c r="BK58">
        <f>IFERROR(IF(AND($BF$25&gt;=$BF$14,$BF$25&lt;=$BF$15),10+0.5+100*($BF$25-$BF$14)/($BF$15-$BF$14),NA()),NA())</f>
        <v/>
      </c>
      <c r="BL58">
        <f>IF(ISNA($BK$58),NA(),0)</f>
        <v/>
      </c>
      <c r="BO58" t="n">
        <v>0.324</v>
      </c>
      <c r="BP58" t="n">
        <v>0.327</v>
      </c>
      <c r="BQ58" t="n">
        <v>49</v>
      </c>
      <c r="BV58">
        <f>IF(AND(MOD(44,$BS$17)=0,MOD((INT(44/$BS$17)+1)-1,$BS$13/5)=0),INDEX($CA$4:$CA$53,(INT(44/$BS$17)+1)),"")</f>
        <v/>
      </c>
      <c r="BW58">
        <f>IF(MOD(44,$BS$17)=$BS$17-1,0,INDEX($BU$4:$BU$53,(INT(44/$BS$17)+1)))</f>
        <v/>
      </c>
      <c r="BX58">
        <f>IFERROR(IF(AND($BS$25&gt;=$BS$14,$BS$25&lt;=$BS$15),10+0.5+100*($BS$25-$BS$14)/($BS$15-$BS$14),NA()),NA())</f>
        <v/>
      </c>
      <c r="BY58">
        <f>IF(ISNA($BX$58),NA(),0)</f>
        <v/>
      </c>
      <c r="CB58" t="n">
        <v>8.1</v>
      </c>
      <c r="CC58" t="n">
        <v>8.174999999999999</v>
      </c>
      <c r="CD58" t="n">
        <v>101</v>
      </c>
      <c r="CI58">
        <f>IF(AND(MOD(44,$CF$17)=0,MOD((INT(44/$CF$17)+1)-1,$CF$13/5)=0),INDEX($CN$4:$CN$53,(INT(44/$CF$17)+1)),"")</f>
        <v/>
      </c>
      <c r="CJ58">
        <f>IF(MOD(44,$CF$17)=$CF$17-1,0,INDEX($CH$4:$CH$53,(INT(44/$CF$17)+1)))</f>
        <v/>
      </c>
      <c r="CK58">
        <f>IFERROR(IF(AND($CF$25&gt;=$CF$14,$CF$25&lt;=$CF$15),10+0.5+100*($CF$25-$CF$14)/($CF$15-$CF$14),NA()),NA())</f>
        <v/>
      </c>
      <c r="CL58">
        <f>IF(ISNA($CK$58),NA(),0)</f>
        <v/>
      </c>
      <c r="CO58" t="n">
        <v>31.6</v>
      </c>
      <c r="CP58" t="n">
        <v>31.8</v>
      </c>
      <c r="CQ58" t="n">
        <v>54</v>
      </c>
      <c r="CV58">
        <f>IF(AND(MOD(44,$CS$17)=0,MOD((INT(44/$CS$17)+1)-1,$CS$13/5)=0),INDEX($DA$4:$DA$53,(INT(44/$CS$17)+1)),"")</f>
        <v/>
      </c>
      <c r="CW58">
        <f>IF(MOD(44,$CS$17)=$CS$17-1,0,INDEX($CU$4:$CU$53,(INT(44/$CS$17)+1)))</f>
        <v/>
      </c>
      <c r="CX58">
        <f>IFERROR(IF(AND($CS$25&gt;=$CS$14,$CS$25&lt;=$CS$15),10+0.5+100*($CS$25-$CS$14)/($CS$15-$CS$14),NA()),NA())</f>
        <v/>
      </c>
      <c r="CY58">
        <f>IF(ISNA($CX$58),NA(),0)</f>
        <v/>
      </c>
      <c r="DB58" t="n">
        <v>28.9</v>
      </c>
      <c r="DC58" t="n">
        <v>29.075</v>
      </c>
      <c r="DD58" t="n">
        <v>63</v>
      </c>
      <c r="DI58">
        <f>IF(AND(MOD(44,$DF$17)=0,MOD((INT(44/$DF$17)+1)-1,$DF$13/5)=0),INDEX($DN$4:$DN$53,(INT(44/$DF$17)+1)),"")</f>
        <v/>
      </c>
      <c r="DJ58">
        <f>IF(MOD(44,$DF$17)=$DF$17-1,0,INDEX($DH$4:$DH$53,(INT(44/$DF$17)+1)))</f>
        <v/>
      </c>
      <c r="DK58">
        <f>IFERROR(IF(AND($DF$25&gt;=$DF$14,$DF$25&lt;=$DF$15),10+0.5+100*($DF$25-$DF$14)/($DF$15-$DF$14),NA()),NA())</f>
        <v/>
      </c>
      <c r="DL58">
        <f>IF(ISNA($DK$58),NA(),0)</f>
        <v/>
      </c>
      <c r="DO58" t="n">
        <v>8.85</v>
      </c>
      <c r="DP58" t="n">
        <v>8.862500000000001</v>
      </c>
      <c r="DQ58" t="n">
        <v>59</v>
      </c>
      <c r="DV58">
        <f>IF(AND(MOD(44,$DS$17)=0,MOD((INT(44/$DS$17)+1)-1,$DS$13/5)=0),INDEX($EA$4:$EA$53,(INT(44/$DS$17)+1)),"")</f>
        <v/>
      </c>
      <c r="DW58">
        <f>IF(MOD(44,$DS$17)=$DS$17-1,0,INDEX($DU$4:$DU$53,(INT(44/$DS$17)+1)))</f>
        <v/>
      </c>
      <c r="DX58">
        <f>IFERROR(IF(AND($DS$25&gt;=$DS$14,$DS$25&lt;=$DS$15),10+0.5+100*($DS$25-$DS$14)/($DS$15-$DS$14),NA()),NA())</f>
        <v/>
      </c>
      <c r="DY58">
        <f>IF(ISNA($DX$58),NA(),0)</f>
        <v/>
      </c>
      <c r="EB58" t="n">
        <v>27</v>
      </c>
      <c r="EC58" t="n">
        <v>27.25</v>
      </c>
      <c r="ED58" t="n">
        <v>58</v>
      </c>
      <c r="EI58">
        <f>IF(AND(MOD(44,$EF$17)=0,MOD((INT(44/$EF$17)+1)-1,$EF$13/5)=0),INDEX($EN$4:$EN$53,(INT(44/$EF$17)+1)),"")</f>
        <v/>
      </c>
      <c r="EJ58">
        <f>IF(MOD(44,$EF$17)=$EF$17-1,0,INDEX($EH$4:$EH$53,(INT(44/$EF$17)+1)))</f>
        <v/>
      </c>
      <c r="EK58">
        <f>IFERROR(IF(AND($EF$25&gt;=$EF$14,$EF$25&lt;=$EF$15),10+0.5+100*($EF$25-$EF$14)/($EF$15-$EF$14),NA()),NA())</f>
        <v/>
      </c>
      <c r="EL58">
        <f>IF(ISNA($EK$58),NA(),0)</f>
        <v/>
      </c>
      <c r="EO58" t="n">
        <v>0.9450000000000001</v>
      </c>
      <c r="EP58" t="n">
        <v>0.9537500000000001</v>
      </c>
      <c r="EQ58" t="n">
        <v>89</v>
      </c>
      <c r="EV58">
        <f>IF(AND(MOD(44,$ES$17)=0,MOD((INT(44/$ES$17)+1)-1,$ES$13/5)=0),INDEX($FA$4:$FA$53,(INT(44/$ES$17)+1)),"")</f>
        <v/>
      </c>
      <c r="EW58">
        <f>IF(MOD(44,$ES$17)=$ES$17-1,0,INDEX($EU$4:$EU$53,(INT(44/$ES$17)+1)))</f>
        <v/>
      </c>
      <c r="EX58">
        <f>IFERROR(IF(AND($ES$25&gt;=$ES$14,$ES$25&lt;=$ES$15),10+0.5+100*($ES$25-$ES$14)/($ES$15-$ES$14),NA()),NA())</f>
        <v/>
      </c>
      <c r="EY58">
        <f>IF(ISNA($EX$58),NA(),0)</f>
        <v/>
      </c>
    </row>
    <row r="59">
      <c r="B59" t="n">
        <v>632.5</v>
      </c>
      <c r="C59" t="n">
        <v>633.25</v>
      </c>
      <c r="D59" t="n">
        <v>46</v>
      </c>
      <c r="I59">
        <f>IF(AND(MOD(45,$F$17)=0,MOD((INT(45/$F$17)+1)-1,$F$13/5)=0),INDEX($N$4:$N$53,(INT(45/$F$17)+1)),"")</f>
        <v/>
      </c>
      <c r="J59">
        <f>IF(MOD(45,$F$17)=$F$17-1,0,INDEX($H$4:$H$53,(INT(45/$F$17)+1)))</f>
        <v/>
      </c>
      <c r="K59">
        <f>IFERROR(IF(AND($F$25&gt;=$F$14,$F$25&lt;=$F$15),10+0.5+100*($F$25-$F$14)/($F$15-$F$14),NA()),NA())</f>
        <v/>
      </c>
      <c r="L59">
        <f>IF(ISNA($K$59),NA(),MAX($J$4:$J$123))</f>
        <v/>
      </c>
      <c r="O59" t="n">
        <v>16500</v>
      </c>
      <c r="P59" t="n">
        <v>16650</v>
      </c>
      <c r="Q59" t="n">
        <v>72</v>
      </c>
      <c r="V59">
        <f>IF(AND(MOD(45,$S$17)=0,MOD((INT(45/$S$17)+1)-1,$S$13/5)=0),INDEX($AA$4:$AA$53,(INT(45/$S$17)+1)),"")</f>
        <v/>
      </c>
      <c r="W59">
        <f>IF(MOD(45,$S$17)=$S$17-1,0,INDEX($U$4:$U$53,(INT(45/$S$17)+1)))</f>
        <v/>
      </c>
      <c r="X59">
        <f>IFERROR(IF(AND($S$25&gt;=$S$14,$S$25&lt;=$S$15),10+0.5+100*($S$25-$S$14)/($S$15-$S$14),NA()),NA())</f>
        <v/>
      </c>
      <c r="Y59">
        <f>IF(ISNA($X$59),NA(),MAX($W$4:$W$123))</f>
        <v/>
      </c>
      <c r="AB59" t="n">
        <v>8250</v>
      </c>
      <c r="AC59" t="n">
        <v>8325</v>
      </c>
      <c r="AD59" t="n">
        <v>117</v>
      </c>
      <c r="AI59">
        <f>IF(AND(MOD(45,$AF$17)=0,MOD((INT(45/$AF$17)+1)-1,$AF$13/5)=0),INDEX($AN$4:$AN$53,(INT(45/$AF$17)+1)),"")</f>
        <v/>
      </c>
      <c r="AJ59">
        <f>IF(MOD(45,$AF$17)=$AF$17-1,0,INDEX($AH$4:$AH$53,(INT(45/$AF$17)+1)))</f>
        <v/>
      </c>
      <c r="AK59">
        <f>IFERROR(IF(AND($AF$25&gt;=$AF$14,$AF$25&lt;=$AF$15),10+0.5+100*($AF$25-$AF$14)/($AF$15-$AF$14),NA()),NA())</f>
        <v/>
      </c>
      <c r="AL59">
        <f>IF(ISNA($AK$59),NA(),MAX($AJ$4:$AJ$123))</f>
        <v/>
      </c>
      <c r="AO59" t="n">
        <v>220000</v>
      </c>
      <c r="AP59" t="n">
        <v>222000</v>
      </c>
      <c r="AQ59" t="n">
        <v>155</v>
      </c>
      <c r="AV59">
        <f>IF(AND(MOD(45,$AS$17)=0,MOD((INT(45/$AS$17)+1)-1,$AS$13/5)=0),INDEX($BA$4:$BA$53,(INT(45/$AS$17)+1)),"")</f>
        <v/>
      </c>
      <c r="AW59">
        <f>IF(MOD(45,$AS$17)=$AS$17-1,0,INDEX($AU$4:$AU$53,(INT(45/$AS$17)+1)))</f>
        <v/>
      </c>
      <c r="AX59">
        <f>IFERROR(IF(AND($AS$25&gt;=$AS$14,$AS$25&lt;=$AS$15),10+0.5+100*($AS$25-$AS$14)/($AS$15-$AS$14),NA()),NA())</f>
        <v/>
      </c>
      <c r="AY59">
        <f>IF(ISNA($AX$59),NA(),MAX($AW$4:$AW$123))</f>
        <v/>
      </c>
      <c r="BB59" t="n">
        <v>385000</v>
      </c>
      <c r="BC59" t="n">
        <v>388500</v>
      </c>
      <c r="BD59" t="n">
        <v>54</v>
      </c>
      <c r="BI59">
        <f>IF(AND(MOD(45,$BF$17)=0,MOD((INT(45/$BF$17)+1)-1,$BF$13/5)=0),INDEX($BN$4:$BN$53,(INT(45/$BF$17)+1)),"")</f>
        <v/>
      </c>
      <c r="BJ59">
        <f>IF(MOD(45,$BF$17)=$BF$17-1,0,INDEX($BH$4:$BH$53,(INT(45/$BF$17)+1)))</f>
        <v/>
      </c>
      <c r="BK59">
        <f>IFERROR(IF(AND($BF$25&gt;=$BF$14,$BF$25&lt;=$BF$15),10+0.5+100*($BF$25-$BF$14)/($BF$15-$BF$14),NA()),NA())</f>
        <v/>
      </c>
      <c r="BL59">
        <f>IF(ISNA($BK$59),NA(),MAX($BJ$4:$BJ$123))</f>
        <v/>
      </c>
      <c r="BO59" t="n">
        <v>0.33</v>
      </c>
      <c r="BP59" t="n">
        <v>0.333</v>
      </c>
      <c r="BQ59" t="n">
        <v>61</v>
      </c>
      <c r="BV59">
        <f>IF(AND(MOD(45,$BS$17)=0,MOD((INT(45/$BS$17)+1)-1,$BS$13/5)=0),INDEX($CA$4:$CA$53,(INT(45/$BS$17)+1)),"")</f>
        <v/>
      </c>
      <c r="BW59">
        <f>IF(MOD(45,$BS$17)=$BS$17-1,0,INDEX($BU$4:$BU$53,(INT(45/$BS$17)+1)))</f>
        <v/>
      </c>
      <c r="BX59">
        <f>IFERROR(IF(AND($BS$25&gt;=$BS$14,$BS$25&lt;=$BS$15),10+0.5+100*($BS$25-$BS$14)/($BS$15-$BS$14),NA()),NA())</f>
        <v/>
      </c>
      <c r="BY59">
        <f>IF(ISNA($BX$59),NA(),MAX($BW$4:$BW$123))</f>
        <v/>
      </c>
      <c r="CB59" t="n">
        <v>8.25</v>
      </c>
      <c r="CC59" t="n">
        <v>8.324999999999999</v>
      </c>
      <c r="CD59" t="n">
        <v>51</v>
      </c>
      <c r="CI59">
        <f>IF(AND(MOD(45,$CF$17)=0,MOD((INT(45/$CF$17)+1)-1,$CF$13/5)=0),INDEX($CN$4:$CN$53,(INT(45/$CF$17)+1)),"")</f>
        <v/>
      </c>
      <c r="CJ59">
        <f>IF(MOD(45,$CF$17)=$CF$17-1,0,INDEX($CH$4:$CH$53,(INT(45/$CF$17)+1)))</f>
        <v/>
      </c>
      <c r="CK59">
        <f>IFERROR(IF(AND($CF$25&gt;=$CF$14,$CF$25&lt;=$CF$15),10+0.5+100*($CF$25-$CF$14)/($CF$15-$CF$14),NA()),NA())</f>
        <v/>
      </c>
      <c r="CL59">
        <f>IF(ISNA($CK$59),NA(),MAX($CJ$4:$CJ$123))</f>
        <v/>
      </c>
      <c r="CO59" t="n">
        <v>32</v>
      </c>
      <c r="CP59" t="n">
        <v>32.2</v>
      </c>
      <c r="CQ59" t="n">
        <v>63</v>
      </c>
      <c r="CV59">
        <f>IF(AND(MOD(45,$CS$17)=0,MOD((INT(45/$CS$17)+1)-1,$CS$13/5)=0),INDEX($DA$4:$DA$53,(INT(45/$CS$17)+1)),"")</f>
        <v/>
      </c>
      <c r="CW59">
        <f>IF(MOD(45,$CS$17)=$CS$17-1,0,INDEX($CU$4:$CU$53,(INT(45/$CS$17)+1)))</f>
        <v/>
      </c>
      <c r="CX59">
        <f>IFERROR(IF(AND($CS$25&gt;=$CS$14,$CS$25&lt;=$CS$15),10+0.5+100*($CS$25-$CS$14)/($CS$15-$CS$14),NA()),NA())</f>
        <v/>
      </c>
      <c r="CY59">
        <f>IF(ISNA($CX$59),NA(),MAX($CW$4:$CW$123))</f>
        <v/>
      </c>
      <c r="DB59" t="n">
        <v>29.25</v>
      </c>
      <c r="DC59" t="n">
        <v>29.425</v>
      </c>
      <c r="DD59" t="n">
        <v>57</v>
      </c>
      <c r="DI59">
        <f>IF(AND(MOD(45,$DF$17)=0,MOD((INT(45/$DF$17)+1)-1,$DF$13/5)=0),INDEX($DN$4:$DN$53,(INT(45/$DF$17)+1)),"")</f>
        <v/>
      </c>
      <c r="DJ59">
        <f>IF(MOD(45,$DF$17)=$DF$17-1,0,INDEX($DH$4:$DH$53,(INT(45/$DF$17)+1)))</f>
        <v/>
      </c>
      <c r="DK59">
        <f>IFERROR(IF(AND($DF$25&gt;=$DF$14,$DF$25&lt;=$DF$15),10+0.5+100*($DF$25-$DF$14)/($DF$15-$DF$14),NA()),NA())</f>
        <v/>
      </c>
      <c r="DL59">
        <f>IF(ISNA($DK$59),NA(),MAX($DJ$4:$DJ$123))</f>
        <v/>
      </c>
      <c r="DO59" t="n">
        <v>8.875</v>
      </c>
      <c r="DP59" t="n">
        <v>8.887499999999999</v>
      </c>
      <c r="DQ59" t="n">
        <v>54</v>
      </c>
      <c r="DV59">
        <f>IF(AND(MOD(45,$DS$17)=0,MOD((INT(45/$DS$17)+1)-1,$DS$13/5)=0),INDEX($EA$4:$EA$53,(INT(45/$DS$17)+1)),"")</f>
        <v/>
      </c>
      <c r="DW59">
        <f>IF(MOD(45,$DS$17)=$DS$17-1,0,INDEX($DU$4:$DU$53,(INT(45/$DS$17)+1)))</f>
        <v/>
      </c>
      <c r="DX59">
        <f>IFERROR(IF(AND($DS$25&gt;=$DS$14,$DS$25&lt;=$DS$15),10+0.5+100*($DS$25-$DS$14)/($DS$15-$DS$14),NA()),NA())</f>
        <v/>
      </c>
      <c r="DY59">
        <f>IF(ISNA($DX$59),NA(),MAX($DW$4:$DW$123))</f>
        <v/>
      </c>
      <c r="EB59" t="n">
        <v>27.5</v>
      </c>
      <c r="EC59" t="n">
        <v>27.75</v>
      </c>
      <c r="ED59" t="n">
        <v>60</v>
      </c>
      <c r="EI59">
        <f>IF(AND(MOD(45,$EF$17)=0,MOD((INT(45/$EF$17)+1)-1,$EF$13/5)=0),INDEX($EN$4:$EN$53,(INT(45/$EF$17)+1)),"")</f>
        <v/>
      </c>
      <c r="EJ59">
        <f>IF(MOD(45,$EF$17)=$EF$17-1,0,INDEX($EH$4:$EH$53,(INT(45/$EF$17)+1)))</f>
        <v/>
      </c>
      <c r="EK59">
        <f>IFERROR(IF(AND($EF$25&gt;=$EF$14,$EF$25&lt;=$EF$15),10+0.5+100*($EF$25-$EF$14)/($EF$15-$EF$14),NA()),NA())</f>
        <v/>
      </c>
      <c r="EL59">
        <f>IF(ISNA($EK$59),NA(),MAX($EJ$4:$EJ$123))</f>
        <v/>
      </c>
      <c r="EO59" t="n">
        <v>0.9625000000000001</v>
      </c>
      <c r="EP59" t="n">
        <v>0.9712500000000001</v>
      </c>
      <c r="EQ59" t="n">
        <v>77</v>
      </c>
      <c r="EV59">
        <f>IF(AND(MOD(45,$ES$17)=0,MOD((INT(45/$ES$17)+1)-1,$ES$13/5)=0),INDEX($FA$4:$FA$53,(INT(45/$ES$17)+1)),"")</f>
        <v/>
      </c>
      <c r="EW59">
        <f>IF(MOD(45,$ES$17)=$ES$17-1,0,INDEX($EU$4:$EU$53,(INT(45/$ES$17)+1)))</f>
        <v/>
      </c>
      <c r="EX59">
        <f>IFERROR(IF(AND($ES$25&gt;=$ES$14,$ES$25&lt;=$ES$15),10+0.5+100*($ES$25-$ES$14)/($ES$15-$ES$14),NA()),NA())</f>
        <v/>
      </c>
      <c r="EY59">
        <f>IF(ISNA($EX$59),NA(),MAX($EW$4:$EW$123))</f>
        <v/>
      </c>
    </row>
    <row r="60">
      <c r="B60" t="n">
        <v>634</v>
      </c>
      <c r="C60" t="n">
        <v>634.75</v>
      </c>
      <c r="D60" t="n">
        <v>74</v>
      </c>
      <c r="I60">
        <f>IF(AND(MOD(46,$F$17)=0,MOD((INT(46/$F$17)+1)-1,$F$13/5)=0),INDEX($N$4:$N$53,(INT(46/$F$17)+1)),"")</f>
        <v/>
      </c>
      <c r="J60">
        <f>IF(MOD(46,$F$17)=$F$17-1,0,INDEX($H$4:$H$53,(INT(46/$F$17)+1)))</f>
        <v/>
      </c>
      <c r="K60">
        <f>IFERROR(IF(AND($F$26&gt;=$F$14,$F$26&lt;=$F$15),10+0.5+100*($F$26-$F$14)/($F$15-$F$14),NA()),NA())</f>
        <v/>
      </c>
      <c r="L60">
        <f>IF(ISNA($K$60),NA(),0)</f>
        <v/>
      </c>
      <c r="O60" t="n">
        <v>16800</v>
      </c>
      <c r="P60" t="n">
        <v>16950</v>
      </c>
      <c r="Q60" t="n">
        <v>69</v>
      </c>
      <c r="V60">
        <f>IF(AND(MOD(46,$S$17)=0,MOD((INT(46/$S$17)+1)-1,$S$13/5)=0),INDEX($AA$4:$AA$53,(INT(46/$S$17)+1)),"")</f>
        <v/>
      </c>
      <c r="W60">
        <f>IF(MOD(46,$S$17)=$S$17-1,0,INDEX($U$4:$U$53,(INT(46/$S$17)+1)))</f>
        <v/>
      </c>
      <c r="X60">
        <f>IFERROR(IF(AND($S$26&gt;=$S$14,$S$26&lt;=$S$15),10+0.5+100*($S$26-$S$14)/($S$15-$S$14),NA()),NA())</f>
        <v/>
      </c>
      <c r="Y60">
        <f>IF(ISNA($X$60),NA(),0)</f>
        <v/>
      </c>
      <c r="AB60" t="n">
        <v>8400</v>
      </c>
      <c r="AC60" t="n">
        <v>8475</v>
      </c>
      <c r="AD60" t="n">
        <v>111</v>
      </c>
      <c r="AI60">
        <f>IF(AND(MOD(46,$AF$17)=0,MOD((INT(46/$AF$17)+1)-1,$AF$13/5)=0),INDEX($AN$4:$AN$53,(INT(46/$AF$17)+1)),"")</f>
        <v/>
      </c>
      <c r="AJ60">
        <f>IF(MOD(46,$AF$17)=$AF$17-1,0,INDEX($AH$4:$AH$53,(INT(46/$AF$17)+1)))</f>
        <v/>
      </c>
      <c r="AK60">
        <f>IFERROR(IF(AND($AF$26&gt;=$AF$14,$AF$26&lt;=$AF$15),10+0.5+100*($AF$26-$AF$14)/($AF$15-$AF$14),NA()),NA())</f>
        <v/>
      </c>
      <c r="AL60">
        <f>IF(ISNA($AK$60),NA(),0)</f>
        <v/>
      </c>
      <c r="AO60" t="n">
        <v>224000</v>
      </c>
      <c r="AP60" t="n">
        <v>226000</v>
      </c>
      <c r="AQ60" t="n">
        <v>162</v>
      </c>
      <c r="AV60">
        <f>IF(AND(MOD(46,$AS$17)=0,MOD((INT(46/$AS$17)+1)-1,$AS$13/5)=0),INDEX($BA$4:$BA$53,(INT(46/$AS$17)+1)),"")</f>
        <v/>
      </c>
      <c r="AW60">
        <f>IF(MOD(46,$AS$17)=$AS$17-1,0,INDEX($AU$4:$AU$53,(INT(46/$AS$17)+1)))</f>
        <v/>
      </c>
      <c r="AX60">
        <f>IFERROR(IF(AND($AS$26&gt;=$AS$14,$AS$26&lt;=$AS$15),10+0.5+100*($AS$26-$AS$14)/($AS$15-$AS$14),NA()),NA())</f>
        <v/>
      </c>
      <c r="AY60">
        <f>IF(ISNA($AX$60),NA(),0)</f>
        <v/>
      </c>
      <c r="BB60" t="n">
        <v>392000</v>
      </c>
      <c r="BC60" t="n">
        <v>395500</v>
      </c>
      <c r="BD60" t="n">
        <v>43</v>
      </c>
      <c r="BI60">
        <f>IF(AND(MOD(46,$BF$17)=0,MOD((INT(46/$BF$17)+1)-1,$BF$13/5)=0),INDEX($BN$4:$BN$53,(INT(46/$BF$17)+1)),"")</f>
        <v/>
      </c>
      <c r="BJ60">
        <f>IF(MOD(46,$BF$17)=$BF$17-1,0,INDEX($BH$4:$BH$53,(INT(46/$BF$17)+1)))</f>
        <v/>
      </c>
      <c r="BK60">
        <f>IFERROR(IF(AND($BF$26&gt;=$BF$14,$BF$26&lt;=$BF$15),10+0.5+100*($BF$26-$BF$14)/($BF$15-$BF$14),NA()),NA())</f>
        <v/>
      </c>
      <c r="BL60">
        <f>IF(ISNA($BK$60),NA(),0)</f>
        <v/>
      </c>
      <c r="BO60" t="n">
        <v>0.336</v>
      </c>
      <c r="BP60" t="n">
        <v>0.339</v>
      </c>
      <c r="BQ60" t="n">
        <v>65</v>
      </c>
      <c r="BV60">
        <f>IF(AND(MOD(46,$BS$17)=0,MOD((INT(46/$BS$17)+1)-1,$BS$13/5)=0),INDEX($CA$4:$CA$53,(INT(46/$BS$17)+1)),"")</f>
        <v/>
      </c>
      <c r="BW60">
        <f>IF(MOD(46,$BS$17)=$BS$17-1,0,INDEX($BU$4:$BU$53,(INT(46/$BS$17)+1)))</f>
        <v/>
      </c>
      <c r="BX60">
        <f>IFERROR(IF(AND($BS$26&gt;=$BS$14,$BS$26&lt;=$BS$15),10+0.5+100*($BS$26-$BS$14)/($BS$15-$BS$14),NA()),NA())</f>
        <v/>
      </c>
      <c r="BY60">
        <f>IF(ISNA($BX$60),NA(),0)</f>
        <v/>
      </c>
      <c r="CB60" t="n">
        <v>8.4</v>
      </c>
      <c r="CC60" t="n">
        <v>8.475</v>
      </c>
      <c r="CD60" t="n">
        <v>104</v>
      </c>
      <c r="CI60">
        <f>IF(AND(MOD(46,$CF$17)=0,MOD((INT(46/$CF$17)+1)-1,$CF$13/5)=0),INDEX($CN$4:$CN$53,(INT(46/$CF$17)+1)),"")</f>
        <v/>
      </c>
      <c r="CJ60">
        <f>IF(MOD(46,$CF$17)=$CF$17-1,0,INDEX($CH$4:$CH$53,(INT(46/$CF$17)+1)))</f>
        <v/>
      </c>
      <c r="CK60">
        <f>IFERROR(IF(AND($CF$26&gt;=$CF$14,$CF$26&lt;=$CF$15),10+0.5+100*($CF$26-$CF$14)/($CF$15-$CF$14),NA()),NA())</f>
        <v/>
      </c>
      <c r="CL60">
        <f>IF(ISNA($CK$60),NA(),0)</f>
        <v/>
      </c>
      <c r="CO60" t="n">
        <v>32.40000000000001</v>
      </c>
      <c r="CP60" t="n">
        <v>32.6</v>
      </c>
      <c r="CQ60" t="n">
        <v>65</v>
      </c>
      <c r="CV60">
        <f>IF(AND(MOD(46,$CS$17)=0,MOD((INT(46/$CS$17)+1)-1,$CS$13/5)=0),INDEX($DA$4:$DA$53,(INT(46/$CS$17)+1)),"")</f>
        <v/>
      </c>
      <c r="CW60">
        <f>IF(MOD(46,$CS$17)=$CS$17-1,0,INDEX($CU$4:$CU$53,(INT(46/$CS$17)+1)))</f>
        <v/>
      </c>
      <c r="CX60">
        <f>IFERROR(IF(AND($CS$26&gt;=$CS$14,$CS$26&lt;=$CS$15),10+0.5+100*($CS$26-$CS$14)/($CS$15-$CS$14),NA()),NA())</f>
        <v/>
      </c>
      <c r="CY60">
        <f>IF(ISNA($CX$60),NA(),0)</f>
        <v/>
      </c>
      <c r="DB60" t="n">
        <v>29.6</v>
      </c>
      <c r="DC60" t="n">
        <v>29.775</v>
      </c>
      <c r="DD60" t="n">
        <v>73</v>
      </c>
      <c r="DI60">
        <f>IF(AND(MOD(46,$DF$17)=0,MOD((INT(46/$DF$17)+1)-1,$DF$13/5)=0),INDEX($DN$4:$DN$53,(INT(46/$DF$17)+1)),"")</f>
        <v/>
      </c>
      <c r="DJ60">
        <f>IF(MOD(46,$DF$17)=$DF$17-1,0,INDEX($DH$4:$DH$53,(INT(46/$DF$17)+1)))</f>
        <v/>
      </c>
      <c r="DK60">
        <f>IFERROR(IF(AND($DF$26&gt;=$DF$14,$DF$26&lt;=$DF$15),10+0.5+100*($DF$26-$DF$14)/($DF$15-$DF$14),NA()),NA())</f>
        <v/>
      </c>
      <c r="DL60">
        <f>IF(ISNA($DK$60),NA(),0)</f>
        <v/>
      </c>
      <c r="DO60" t="n">
        <v>8.9</v>
      </c>
      <c r="DP60" t="n">
        <v>8.9125</v>
      </c>
      <c r="DQ60" t="n">
        <v>54</v>
      </c>
      <c r="DV60">
        <f>IF(AND(MOD(46,$DS$17)=0,MOD((INT(46/$DS$17)+1)-1,$DS$13/5)=0),INDEX($EA$4:$EA$53,(INT(46/$DS$17)+1)),"")</f>
        <v/>
      </c>
      <c r="DW60">
        <f>IF(MOD(46,$DS$17)=$DS$17-1,0,INDEX($DU$4:$DU$53,(INT(46/$DS$17)+1)))</f>
        <v/>
      </c>
      <c r="DX60">
        <f>IFERROR(IF(AND($DS$26&gt;=$DS$14,$DS$26&lt;=$DS$15),10+0.5+100*($DS$26-$DS$14)/($DS$15-$DS$14),NA()),NA())</f>
        <v/>
      </c>
      <c r="DY60">
        <f>IF(ISNA($DX$60),NA(),0)</f>
        <v/>
      </c>
      <c r="EB60" t="n">
        <v>28</v>
      </c>
      <c r="EC60" t="n">
        <v>28.25</v>
      </c>
      <c r="ED60" t="n">
        <v>57</v>
      </c>
      <c r="EI60">
        <f>IF(AND(MOD(46,$EF$17)=0,MOD((INT(46/$EF$17)+1)-1,$EF$13/5)=0),INDEX($EN$4:$EN$53,(INT(46/$EF$17)+1)),"")</f>
        <v/>
      </c>
      <c r="EJ60">
        <f>IF(MOD(46,$EF$17)=$EF$17-1,0,INDEX($EH$4:$EH$53,(INT(46/$EF$17)+1)))</f>
        <v/>
      </c>
      <c r="EK60">
        <f>IFERROR(IF(AND($EF$26&gt;=$EF$14,$EF$26&lt;=$EF$15),10+0.5+100*($EF$26-$EF$14)/($EF$15-$EF$14),NA()),NA())</f>
        <v/>
      </c>
      <c r="EL60">
        <f>IF(ISNA($EK$60),NA(),0)</f>
        <v/>
      </c>
      <c r="EO60" t="n">
        <v>0.9800000000000001</v>
      </c>
      <c r="EP60" t="n">
        <v>0.9887500000000001</v>
      </c>
      <c r="EQ60" t="n">
        <v>64</v>
      </c>
      <c r="EV60">
        <f>IF(AND(MOD(46,$ES$17)=0,MOD((INT(46/$ES$17)+1)-1,$ES$13/5)=0),INDEX($FA$4:$FA$53,(INT(46/$ES$17)+1)),"")</f>
        <v/>
      </c>
      <c r="EW60">
        <f>IF(MOD(46,$ES$17)=$ES$17-1,0,INDEX($EU$4:$EU$53,(INT(46/$ES$17)+1)))</f>
        <v/>
      </c>
      <c r="EX60">
        <f>IFERROR(IF(AND($ES$26&gt;=$ES$14,$ES$26&lt;=$ES$15),10+0.5+100*($ES$26-$ES$14)/($ES$15-$ES$14),NA()),NA())</f>
        <v/>
      </c>
      <c r="EY60">
        <f>IF(ISNA($EX$60),NA(),0)</f>
        <v/>
      </c>
    </row>
    <row r="61">
      <c r="B61" t="n">
        <v>635.5</v>
      </c>
      <c r="C61" t="n">
        <v>636.25</v>
      </c>
      <c r="D61" t="n">
        <v>45</v>
      </c>
      <c r="I61">
        <f>IF(AND(MOD(47,$F$17)=0,MOD((INT(47/$F$17)+1)-1,$F$13/5)=0),INDEX($N$4:$N$53,(INT(47/$F$17)+1)),"")</f>
        <v/>
      </c>
      <c r="J61">
        <f>IF(MOD(47,$F$17)=$F$17-1,0,INDEX($H$4:$H$53,(INT(47/$F$17)+1)))</f>
        <v/>
      </c>
      <c r="K61">
        <f>IFERROR(IF(AND($F$26&gt;=$F$14,$F$26&lt;=$F$15),10+0.5+100*($F$26-$F$14)/($F$15-$F$14),NA()),NA())</f>
        <v/>
      </c>
      <c r="L61">
        <f>IF(ISNA($K$61),NA(),MAX($J$4:$J$123))</f>
        <v/>
      </c>
      <c r="O61" t="n">
        <v>17100</v>
      </c>
      <c r="P61" t="n">
        <v>17250</v>
      </c>
      <c r="Q61" t="n">
        <v>67</v>
      </c>
      <c r="V61">
        <f>IF(AND(MOD(47,$S$17)=0,MOD((INT(47/$S$17)+1)-1,$S$13/5)=0),INDEX($AA$4:$AA$53,(INT(47/$S$17)+1)),"")</f>
        <v/>
      </c>
      <c r="W61">
        <f>IF(MOD(47,$S$17)=$S$17-1,0,INDEX($U$4:$U$53,(INT(47/$S$17)+1)))</f>
        <v/>
      </c>
      <c r="X61">
        <f>IFERROR(IF(AND($S$26&gt;=$S$14,$S$26&lt;=$S$15),10+0.5+100*($S$26-$S$14)/($S$15-$S$14),NA()),NA())</f>
        <v/>
      </c>
      <c r="Y61">
        <f>IF(ISNA($X$61),NA(),MAX($W$4:$W$123))</f>
        <v/>
      </c>
      <c r="AB61" t="n">
        <v>8550</v>
      </c>
      <c r="AC61" t="n">
        <v>8625</v>
      </c>
      <c r="AD61" t="n">
        <v>112</v>
      </c>
      <c r="AI61">
        <f>IF(AND(MOD(47,$AF$17)=0,MOD((INT(47/$AF$17)+1)-1,$AF$13/5)=0),INDEX($AN$4:$AN$53,(INT(47/$AF$17)+1)),"")</f>
        <v/>
      </c>
      <c r="AJ61">
        <f>IF(MOD(47,$AF$17)=$AF$17-1,0,INDEX($AH$4:$AH$53,(INT(47/$AF$17)+1)))</f>
        <v/>
      </c>
      <c r="AK61">
        <f>IFERROR(IF(AND($AF$26&gt;=$AF$14,$AF$26&lt;=$AF$15),10+0.5+100*($AF$26-$AF$14)/($AF$15-$AF$14),NA()),NA())</f>
        <v/>
      </c>
      <c r="AL61">
        <f>IF(ISNA($AK$61),NA(),MAX($AJ$4:$AJ$123))</f>
        <v/>
      </c>
      <c r="AO61" t="n">
        <v>228000</v>
      </c>
      <c r="AP61" t="n">
        <v>230000</v>
      </c>
      <c r="AQ61" t="n">
        <v>172</v>
      </c>
      <c r="AV61">
        <f>IF(AND(MOD(47,$AS$17)=0,MOD((INT(47/$AS$17)+1)-1,$AS$13/5)=0),INDEX($BA$4:$BA$53,(INT(47/$AS$17)+1)),"")</f>
        <v/>
      </c>
      <c r="AW61">
        <f>IF(MOD(47,$AS$17)=$AS$17-1,0,INDEX($AU$4:$AU$53,(INT(47/$AS$17)+1)))</f>
        <v/>
      </c>
      <c r="AX61">
        <f>IFERROR(IF(AND($AS$26&gt;=$AS$14,$AS$26&lt;=$AS$15),10+0.5+100*($AS$26-$AS$14)/($AS$15-$AS$14),NA()),NA())</f>
        <v/>
      </c>
      <c r="AY61">
        <f>IF(ISNA($AX$61),NA(),MAX($AW$4:$AW$123))</f>
        <v/>
      </c>
      <c r="BB61" t="n">
        <v>399000</v>
      </c>
      <c r="BC61" t="n">
        <v>402500</v>
      </c>
      <c r="BD61" t="n">
        <v>32</v>
      </c>
      <c r="BI61">
        <f>IF(AND(MOD(47,$BF$17)=0,MOD((INT(47/$BF$17)+1)-1,$BF$13/5)=0),INDEX($BN$4:$BN$53,(INT(47/$BF$17)+1)),"")</f>
        <v/>
      </c>
      <c r="BJ61">
        <f>IF(MOD(47,$BF$17)=$BF$17-1,0,INDEX($BH$4:$BH$53,(INT(47/$BF$17)+1)))</f>
        <v/>
      </c>
      <c r="BK61">
        <f>IFERROR(IF(AND($BF$26&gt;=$BF$14,$BF$26&lt;=$BF$15),10+0.5+100*($BF$26-$BF$14)/($BF$15-$BF$14),NA()),NA())</f>
        <v/>
      </c>
      <c r="BL61">
        <f>IF(ISNA($BK$61),NA(),MAX($BJ$4:$BJ$123))</f>
        <v/>
      </c>
      <c r="BO61" t="n">
        <v>0.342</v>
      </c>
      <c r="BP61" t="n">
        <v>0.345</v>
      </c>
      <c r="BQ61" t="n">
        <v>61</v>
      </c>
      <c r="BV61">
        <f>IF(AND(MOD(47,$BS$17)=0,MOD((INT(47/$BS$17)+1)-1,$BS$13/5)=0),INDEX($CA$4:$CA$53,(INT(47/$BS$17)+1)),"")</f>
        <v/>
      </c>
      <c r="BW61">
        <f>IF(MOD(47,$BS$17)=$BS$17-1,0,INDEX($BU$4:$BU$53,(INT(47/$BS$17)+1)))</f>
        <v/>
      </c>
      <c r="BX61">
        <f>IFERROR(IF(AND($BS$26&gt;=$BS$14,$BS$26&lt;=$BS$15),10+0.5+100*($BS$26-$BS$14)/($BS$15-$BS$14),NA()),NA())</f>
        <v/>
      </c>
      <c r="BY61">
        <f>IF(ISNA($BX$61),NA(),MAX($BW$4:$BW$123))</f>
        <v/>
      </c>
      <c r="CB61" t="n">
        <v>8.549999999999999</v>
      </c>
      <c r="CC61" t="n">
        <v>8.625</v>
      </c>
      <c r="CD61" t="n">
        <v>56</v>
      </c>
      <c r="CI61">
        <f>IF(AND(MOD(47,$CF$17)=0,MOD((INT(47/$CF$17)+1)-1,$CF$13/5)=0),INDEX($CN$4:$CN$53,(INT(47/$CF$17)+1)),"")</f>
        <v/>
      </c>
      <c r="CJ61">
        <f>IF(MOD(47,$CF$17)=$CF$17-1,0,INDEX($CH$4:$CH$53,(INT(47/$CF$17)+1)))</f>
        <v/>
      </c>
      <c r="CK61">
        <f>IFERROR(IF(AND($CF$26&gt;=$CF$14,$CF$26&lt;=$CF$15),10+0.5+100*($CF$26-$CF$14)/($CF$15-$CF$14),NA()),NA())</f>
        <v/>
      </c>
      <c r="CL61">
        <f>IF(ISNA($CK$61),NA(),MAX($CJ$4:$CJ$123))</f>
        <v/>
      </c>
      <c r="CO61" t="n">
        <v>32.8</v>
      </c>
      <c r="CP61" t="n">
        <v>33</v>
      </c>
      <c r="CQ61" t="n">
        <v>54</v>
      </c>
      <c r="CV61">
        <f>IF(AND(MOD(47,$CS$17)=0,MOD((INT(47/$CS$17)+1)-1,$CS$13/5)=0),INDEX($DA$4:$DA$53,(INT(47/$CS$17)+1)),"")</f>
        <v/>
      </c>
      <c r="CW61">
        <f>IF(MOD(47,$CS$17)=$CS$17-1,0,INDEX($CU$4:$CU$53,(INT(47/$CS$17)+1)))</f>
        <v/>
      </c>
      <c r="CX61">
        <f>IFERROR(IF(AND($CS$26&gt;=$CS$14,$CS$26&lt;=$CS$15),10+0.5+100*($CS$26-$CS$14)/($CS$15-$CS$14),NA()),NA())</f>
        <v/>
      </c>
      <c r="CY61">
        <f>IF(ISNA($CX$61),NA(),MAX($CW$4:$CW$123))</f>
        <v/>
      </c>
      <c r="DB61" t="n">
        <v>29.95</v>
      </c>
      <c r="DC61" t="n">
        <v>30.125</v>
      </c>
      <c r="DD61" t="n">
        <v>59</v>
      </c>
      <c r="DI61">
        <f>IF(AND(MOD(47,$DF$17)=0,MOD((INT(47/$DF$17)+1)-1,$DF$13/5)=0),INDEX($DN$4:$DN$53,(INT(47/$DF$17)+1)),"")</f>
        <v/>
      </c>
      <c r="DJ61">
        <f>IF(MOD(47,$DF$17)=$DF$17-1,0,INDEX($DH$4:$DH$53,(INT(47/$DF$17)+1)))</f>
        <v/>
      </c>
      <c r="DK61">
        <f>IFERROR(IF(AND($DF$26&gt;=$DF$14,$DF$26&lt;=$DF$15),10+0.5+100*($DF$26-$DF$14)/($DF$15-$DF$14),NA()),NA())</f>
        <v/>
      </c>
      <c r="DL61">
        <f>IF(ISNA($DK$61),NA(),MAX($DJ$4:$DJ$123))</f>
        <v/>
      </c>
      <c r="DO61" t="n">
        <v>8.925000000000001</v>
      </c>
      <c r="DP61" t="n">
        <v>8.9375</v>
      </c>
      <c r="DQ61" t="n">
        <v>61</v>
      </c>
      <c r="DV61">
        <f>IF(AND(MOD(47,$DS$17)=0,MOD((INT(47/$DS$17)+1)-1,$DS$13/5)=0),INDEX($EA$4:$EA$53,(INT(47/$DS$17)+1)),"")</f>
        <v/>
      </c>
      <c r="DW61">
        <f>IF(MOD(47,$DS$17)=$DS$17-1,0,INDEX($DU$4:$DU$53,(INT(47/$DS$17)+1)))</f>
        <v/>
      </c>
      <c r="DX61">
        <f>IFERROR(IF(AND($DS$26&gt;=$DS$14,$DS$26&lt;=$DS$15),10+0.5+100*($DS$26-$DS$14)/($DS$15-$DS$14),NA()),NA())</f>
        <v/>
      </c>
      <c r="DY61">
        <f>IF(ISNA($DX$61),NA(),MAX($DW$4:$DW$123))</f>
        <v/>
      </c>
      <c r="EB61" t="n">
        <v>28.5</v>
      </c>
      <c r="EC61" t="n">
        <v>28.75</v>
      </c>
      <c r="ED61" t="n">
        <v>40</v>
      </c>
      <c r="EI61">
        <f>IF(AND(MOD(47,$EF$17)=0,MOD((INT(47/$EF$17)+1)-1,$EF$13/5)=0),INDEX($EN$4:$EN$53,(INT(47/$EF$17)+1)),"")</f>
        <v/>
      </c>
      <c r="EJ61">
        <f>IF(MOD(47,$EF$17)=$EF$17-1,0,INDEX($EH$4:$EH$53,(INT(47/$EF$17)+1)))</f>
        <v/>
      </c>
      <c r="EK61">
        <f>IFERROR(IF(AND($EF$26&gt;=$EF$14,$EF$26&lt;=$EF$15),10+0.5+100*($EF$26-$EF$14)/($EF$15-$EF$14),NA()),NA())</f>
        <v/>
      </c>
      <c r="EL61">
        <f>IF(ISNA($EK$61),NA(),MAX($EJ$4:$EJ$123))</f>
        <v/>
      </c>
      <c r="EO61" t="n">
        <v>0.9975000000000001</v>
      </c>
      <c r="EP61" t="n">
        <v>1.00625</v>
      </c>
      <c r="EQ61" t="n">
        <v>77</v>
      </c>
      <c r="EV61">
        <f>IF(AND(MOD(47,$ES$17)=0,MOD((INT(47/$ES$17)+1)-1,$ES$13/5)=0),INDEX($FA$4:$FA$53,(INT(47/$ES$17)+1)),"")</f>
        <v/>
      </c>
      <c r="EW61">
        <f>IF(MOD(47,$ES$17)=$ES$17-1,0,INDEX($EU$4:$EU$53,(INT(47/$ES$17)+1)))</f>
        <v/>
      </c>
      <c r="EX61">
        <f>IFERROR(IF(AND($ES$26&gt;=$ES$14,$ES$26&lt;=$ES$15),10+0.5+100*($ES$26-$ES$14)/($ES$15-$ES$14),NA()),NA())</f>
        <v/>
      </c>
      <c r="EY61">
        <f>IF(ISNA($EX$61),NA(),MAX($EW$4:$EW$123))</f>
        <v/>
      </c>
    </row>
    <row r="62">
      <c r="B62" t="n">
        <v>637</v>
      </c>
      <c r="C62" t="n">
        <v>637.75</v>
      </c>
      <c r="D62" t="n">
        <v>97</v>
      </c>
      <c r="I62">
        <f>IF(AND(MOD(48,$F$17)=0,MOD((INT(48/$F$17)+1)-1,$F$13/5)=0),INDEX($N$4:$N$53,(INT(48/$F$17)+1)),"")</f>
        <v/>
      </c>
      <c r="J62">
        <f>IF(MOD(48,$F$17)=$F$17-1,0,INDEX($H$4:$H$53,(INT(48/$F$17)+1)))</f>
        <v/>
      </c>
      <c r="O62" t="n">
        <v>17400</v>
      </c>
      <c r="P62" t="n">
        <v>17550</v>
      </c>
      <c r="Q62" t="n">
        <v>66</v>
      </c>
      <c r="V62">
        <f>IF(AND(MOD(48,$S$17)=0,MOD((INT(48/$S$17)+1)-1,$S$13/5)=0),INDEX($AA$4:$AA$53,(INT(48/$S$17)+1)),"")</f>
        <v/>
      </c>
      <c r="W62">
        <f>IF(MOD(48,$S$17)=$S$17-1,0,INDEX($U$4:$U$53,(INT(48/$S$17)+1)))</f>
        <v/>
      </c>
      <c r="AB62" t="n">
        <v>8700</v>
      </c>
      <c r="AC62" t="n">
        <v>8775</v>
      </c>
      <c r="AD62" t="n">
        <v>112</v>
      </c>
      <c r="AI62">
        <f>IF(AND(MOD(48,$AF$17)=0,MOD((INT(48/$AF$17)+1)-1,$AF$13/5)=0),INDEX($AN$4:$AN$53,(INT(48/$AF$17)+1)),"")</f>
        <v/>
      </c>
      <c r="AJ62">
        <f>IF(MOD(48,$AF$17)=$AF$17-1,0,INDEX($AH$4:$AH$53,(INT(48/$AF$17)+1)))</f>
        <v/>
      </c>
      <c r="AO62" t="n">
        <v>232000</v>
      </c>
      <c r="AP62" t="n">
        <v>234000</v>
      </c>
      <c r="AQ62" t="n">
        <v>151</v>
      </c>
      <c r="AV62">
        <f>IF(AND(MOD(48,$AS$17)=0,MOD((INT(48/$AS$17)+1)-1,$AS$13/5)=0),INDEX($BA$4:$BA$53,(INT(48/$AS$17)+1)),"")</f>
        <v/>
      </c>
      <c r="AW62">
        <f>IF(MOD(48,$AS$17)=$AS$17-1,0,INDEX($AU$4:$AU$53,(INT(48/$AS$17)+1)))</f>
        <v/>
      </c>
      <c r="BB62" t="n">
        <v>406000</v>
      </c>
      <c r="BC62" t="n">
        <v>409500</v>
      </c>
      <c r="BD62" t="n">
        <v>50</v>
      </c>
      <c r="BI62">
        <f>IF(AND(MOD(48,$BF$17)=0,MOD((INT(48/$BF$17)+1)-1,$BF$13/5)=0),INDEX($BN$4:$BN$53,(INT(48/$BF$17)+1)),"")</f>
        <v/>
      </c>
      <c r="BJ62">
        <f>IF(MOD(48,$BF$17)=$BF$17-1,0,INDEX($BH$4:$BH$53,(INT(48/$BF$17)+1)))</f>
        <v/>
      </c>
      <c r="BO62" t="n">
        <v>0.348</v>
      </c>
      <c r="BP62" t="n">
        <v>0.351</v>
      </c>
      <c r="BQ62" t="n">
        <v>51</v>
      </c>
      <c r="BV62">
        <f>IF(AND(MOD(48,$BS$17)=0,MOD((INT(48/$BS$17)+1)-1,$BS$13/5)=0),INDEX($CA$4:$CA$53,(INT(48/$BS$17)+1)),"")</f>
        <v/>
      </c>
      <c r="BW62">
        <f>IF(MOD(48,$BS$17)=$BS$17-1,0,INDEX($BU$4:$BU$53,(INT(48/$BS$17)+1)))</f>
        <v/>
      </c>
      <c r="CB62" t="n">
        <v>8.699999999999999</v>
      </c>
      <c r="CC62" t="n">
        <v>8.775</v>
      </c>
      <c r="CD62" t="n">
        <v>97</v>
      </c>
      <c r="CI62">
        <f>IF(AND(MOD(48,$CF$17)=0,MOD((INT(48/$CF$17)+1)-1,$CF$13/5)=0),INDEX($CN$4:$CN$53,(INT(48/$CF$17)+1)),"")</f>
        <v/>
      </c>
      <c r="CJ62">
        <f>IF(MOD(48,$CF$17)=$CF$17-1,0,INDEX($CH$4:$CH$53,(INT(48/$CF$17)+1)))</f>
        <v/>
      </c>
      <c r="CO62" t="n">
        <v>33.2</v>
      </c>
      <c r="CP62" t="n">
        <v>33.40000000000001</v>
      </c>
      <c r="CQ62" t="n">
        <v>66</v>
      </c>
      <c r="CV62">
        <f>IF(AND(MOD(48,$CS$17)=0,MOD((INT(48/$CS$17)+1)-1,$CS$13/5)=0),INDEX($DA$4:$DA$53,(INT(48/$CS$17)+1)),"")</f>
        <v/>
      </c>
      <c r="CW62">
        <f>IF(MOD(48,$CS$17)=$CS$17-1,0,INDEX($CU$4:$CU$53,(INT(48/$CS$17)+1)))</f>
        <v/>
      </c>
      <c r="DB62" t="n">
        <v>30.3</v>
      </c>
      <c r="DC62" t="n">
        <v>30.475</v>
      </c>
      <c r="DD62" t="n">
        <v>70</v>
      </c>
      <c r="DI62">
        <f>IF(AND(MOD(48,$DF$17)=0,MOD((INT(48/$DF$17)+1)-1,$DF$13/5)=0),INDEX($DN$4:$DN$53,(INT(48/$DF$17)+1)),"")</f>
        <v/>
      </c>
      <c r="DJ62">
        <f>IF(MOD(48,$DF$17)=$DF$17-1,0,INDEX($DH$4:$DH$53,(INT(48/$DF$17)+1)))</f>
        <v/>
      </c>
      <c r="DO62" t="n">
        <v>8.949999999999999</v>
      </c>
      <c r="DP62" t="n">
        <v>8.9625</v>
      </c>
      <c r="DQ62" t="n">
        <v>69</v>
      </c>
      <c r="DV62">
        <f>IF(AND(MOD(48,$DS$17)=0,MOD((INT(48/$DS$17)+1)-1,$DS$13/5)=0),INDEX($EA$4:$EA$53,(INT(48/$DS$17)+1)),"")</f>
        <v/>
      </c>
      <c r="DW62">
        <f>IF(MOD(48,$DS$17)=$DS$17-1,0,INDEX($DU$4:$DU$53,(INT(48/$DS$17)+1)))</f>
        <v/>
      </c>
      <c r="EB62" t="n">
        <v>29</v>
      </c>
      <c r="EC62" t="n">
        <v>29.25</v>
      </c>
      <c r="ED62" t="n">
        <v>53</v>
      </c>
      <c r="EI62">
        <f>IF(AND(MOD(48,$EF$17)=0,MOD((INT(48/$EF$17)+1)-1,$EF$13/5)=0),INDEX($EN$4:$EN$53,(INT(48/$EF$17)+1)),"")</f>
        <v/>
      </c>
      <c r="EJ62">
        <f>IF(MOD(48,$EF$17)=$EF$17-1,0,INDEX($EH$4:$EH$53,(INT(48/$EF$17)+1)))</f>
        <v/>
      </c>
      <c r="EO62" t="n">
        <v>1.015</v>
      </c>
      <c r="EP62" t="n">
        <v>1.02375</v>
      </c>
      <c r="EQ62" t="n">
        <v>59</v>
      </c>
      <c r="EV62">
        <f>IF(AND(MOD(48,$ES$17)=0,MOD((INT(48/$ES$17)+1)-1,$ES$13/5)=0),INDEX($FA$4:$FA$53,(INT(48/$ES$17)+1)),"")</f>
        <v/>
      </c>
      <c r="EW62">
        <f>IF(MOD(48,$ES$17)=$ES$17-1,0,INDEX($EU$4:$EU$53,(INT(48/$ES$17)+1)))</f>
        <v/>
      </c>
    </row>
    <row r="63">
      <c r="B63" t="n">
        <v>638.5</v>
      </c>
      <c r="C63" t="n">
        <v>639.25</v>
      </c>
      <c r="D63" t="n">
        <v>33</v>
      </c>
      <c r="I63">
        <f>IF(AND(MOD(49,$F$17)=0,MOD((INT(49/$F$17)+1)-1,$F$13/5)=0),INDEX($N$4:$N$53,(INT(49/$F$17)+1)),"")</f>
        <v/>
      </c>
      <c r="J63">
        <f>IF(MOD(49,$F$17)=$F$17-1,0,INDEX($H$4:$H$53,(INT(49/$F$17)+1)))</f>
        <v/>
      </c>
      <c r="O63" t="n">
        <v>17700</v>
      </c>
      <c r="P63" t="n">
        <v>17850</v>
      </c>
      <c r="Q63" t="n">
        <v>66</v>
      </c>
      <c r="V63">
        <f>IF(AND(MOD(49,$S$17)=0,MOD((INT(49/$S$17)+1)-1,$S$13/5)=0),INDEX($AA$4:$AA$53,(INT(49/$S$17)+1)),"")</f>
        <v/>
      </c>
      <c r="W63">
        <f>IF(MOD(49,$S$17)=$S$17-1,0,INDEX($U$4:$U$53,(INT(49/$S$17)+1)))</f>
        <v/>
      </c>
      <c r="AB63" t="n">
        <v>8850</v>
      </c>
      <c r="AC63" t="n">
        <v>8925</v>
      </c>
      <c r="AD63" t="n">
        <v>128</v>
      </c>
      <c r="AI63">
        <f>IF(AND(MOD(49,$AF$17)=0,MOD((INT(49/$AF$17)+1)-1,$AF$13/5)=0),INDEX($AN$4:$AN$53,(INT(49/$AF$17)+1)),"")</f>
        <v/>
      </c>
      <c r="AJ63">
        <f>IF(MOD(49,$AF$17)=$AF$17-1,0,INDEX($AH$4:$AH$53,(INT(49/$AF$17)+1)))</f>
        <v/>
      </c>
      <c r="AO63" t="n">
        <v>236000</v>
      </c>
      <c r="AP63" t="n">
        <v>238000</v>
      </c>
      <c r="AQ63" t="n">
        <v>163</v>
      </c>
      <c r="AV63">
        <f>IF(AND(MOD(49,$AS$17)=0,MOD((INT(49/$AS$17)+1)-1,$AS$13/5)=0),INDEX($BA$4:$BA$53,(INT(49/$AS$17)+1)),"")</f>
        <v/>
      </c>
      <c r="AW63">
        <f>IF(MOD(49,$AS$17)=$AS$17-1,0,INDEX($AU$4:$AU$53,(INT(49/$AS$17)+1)))</f>
        <v/>
      </c>
      <c r="BB63" t="n">
        <v>413000</v>
      </c>
      <c r="BC63" t="n">
        <v>416500</v>
      </c>
      <c r="BD63" t="n">
        <v>36</v>
      </c>
      <c r="BI63">
        <f>IF(AND(MOD(49,$BF$17)=0,MOD((INT(49/$BF$17)+1)-1,$BF$13/5)=0),INDEX($BN$4:$BN$53,(INT(49/$BF$17)+1)),"")</f>
        <v/>
      </c>
      <c r="BJ63">
        <f>IF(MOD(49,$BF$17)=$BF$17-1,0,INDEX($BH$4:$BH$53,(INT(49/$BF$17)+1)))</f>
        <v/>
      </c>
      <c r="BO63" t="n">
        <v>0.354</v>
      </c>
      <c r="BP63" t="n">
        <v>0.357</v>
      </c>
      <c r="BQ63" t="n">
        <v>51</v>
      </c>
      <c r="BV63">
        <f>IF(AND(MOD(49,$BS$17)=0,MOD((INT(49/$BS$17)+1)-1,$BS$13/5)=0),INDEX($CA$4:$CA$53,(INT(49/$BS$17)+1)),"")</f>
        <v/>
      </c>
      <c r="BW63">
        <f>IF(MOD(49,$BS$17)=$BS$17-1,0,INDEX($BU$4:$BU$53,(INT(49/$BS$17)+1)))</f>
        <v/>
      </c>
      <c r="CB63" t="n">
        <v>8.85</v>
      </c>
      <c r="CC63" t="n">
        <v>8.924999999999999</v>
      </c>
      <c r="CD63" t="n">
        <v>44</v>
      </c>
      <c r="CI63">
        <f>IF(AND(MOD(49,$CF$17)=0,MOD((INT(49/$CF$17)+1)-1,$CF$13/5)=0),INDEX($CN$4:$CN$53,(INT(49/$CF$17)+1)),"")</f>
        <v/>
      </c>
      <c r="CJ63">
        <f>IF(MOD(49,$CF$17)=$CF$17-1,0,INDEX($CH$4:$CH$53,(INT(49/$CF$17)+1)))</f>
        <v/>
      </c>
      <c r="CO63" t="n">
        <v>33.6</v>
      </c>
      <c r="CP63" t="n">
        <v>33.8</v>
      </c>
      <c r="CQ63" t="n">
        <v>67</v>
      </c>
      <c r="CV63">
        <f>IF(AND(MOD(49,$CS$17)=0,MOD((INT(49/$CS$17)+1)-1,$CS$13/5)=0),INDEX($DA$4:$DA$53,(INT(49/$CS$17)+1)),"")</f>
        <v/>
      </c>
      <c r="CW63">
        <f>IF(MOD(49,$CS$17)=$CS$17-1,0,INDEX($CU$4:$CU$53,(INT(49/$CS$17)+1)))</f>
        <v/>
      </c>
      <c r="DB63" t="n">
        <v>30.65</v>
      </c>
      <c r="DC63" t="n">
        <v>30.825</v>
      </c>
      <c r="DD63" t="n">
        <v>76</v>
      </c>
      <c r="DI63">
        <f>IF(AND(MOD(49,$DF$17)=0,MOD((INT(49/$DF$17)+1)-1,$DF$13/5)=0),INDEX($DN$4:$DN$53,(INT(49/$DF$17)+1)),"")</f>
        <v/>
      </c>
      <c r="DJ63">
        <f>IF(MOD(49,$DF$17)=$DF$17-1,0,INDEX($DH$4:$DH$53,(INT(49/$DF$17)+1)))</f>
        <v/>
      </c>
      <c r="DO63" t="n">
        <v>8.975</v>
      </c>
      <c r="DP63" t="n">
        <v>8.987500000000001</v>
      </c>
      <c r="DQ63" t="n">
        <v>72</v>
      </c>
      <c r="DV63">
        <f>IF(AND(MOD(49,$DS$17)=0,MOD((INT(49/$DS$17)+1)-1,$DS$13/5)=0),INDEX($EA$4:$EA$53,(INT(49/$DS$17)+1)),"")</f>
        <v/>
      </c>
      <c r="DW63">
        <f>IF(MOD(49,$DS$17)=$DS$17-1,0,INDEX($DU$4:$DU$53,(INT(49/$DS$17)+1)))</f>
        <v/>
      </c>
      <c r="EB63" t="n">
        <v>29.5</v>
      </c>
      <c r="EC63" t="n">
        <v>29.75</v>
      </c>
      <c r="ED63" t="n">
        <v>63</v>
      </c>
      <c r="EI63">
        <f>IF(AND(MOD(49,$EF$17)=0,MOD((INT(49/$EF$17)+1)-1,$EF$13/5)=0),INDEX($EN$4:$EN$53,(INT(49/$EF$17)+1)),"")</f>
        <v/>
      </c>
      <c r="EJ63">
        <f>IF(MOD(49,$EF$17)=$EF$17-1,0,INDEX($EH$4:$EH$53,(INT(49/$EF$17)+1)))</f>
        <v/>
      </c>
      <c r="EO63" t="n">
        <v>1.0325</v>
      </c>
      <c r="EP63" t="n">
        <v>1.04125</v>
      </c>
      <c r="EQ63" t="n">
        <v>62</v>
      </c>
      <c r="EV63">
        <f>IF(AND(MOD(49,$ES$17)=0,MOD((INT(49/$ES$17)+1)-1,$ES$13/5)=0),INDEX($FA$4:$FA$53,(INT(49/$ES$17)+1)),"")</f>
        <v/>
      </c>
      <c r="EW63">
        <f>IF(MOD(49,$ES$17)=$ES$17-1,0,INDEX($EU$4:$EU$53,(INT(49/$ES$17)+1)))</f>
        <v/>
      </c>
    </row>
    <row r="64">
      <c r="B64" t="n">
        <v>640</v>
      </c>
      <c r="C64" t="n">
        <v>640.75</v>
      </c>
      <c r="D64" t="n">
        <v>89</v>
      </c>
      <c r="I64">
        <f>IF(AND(MOD(50,$F$17)=0,MOD((INT(50/$F$17)+1)-1,$F$13/5)=0),INDEX($N$4:$N$53,(INT(50/$F$17)+1)),"")</f>
        <v/>
      </c>
      <c r="J64">
        <f>IF(MOD(50,$F$17)=$F$17-1,0,INDEX($H$4:$H$53,(INT(50/$F$17)+1)))</f>
        <v/>
      </c>
      <c r="O64" t="n">
        <v>18000</v>
      </c>
      <c r="P64" t="n">
        <v>18150</v>
      </c>
      <c r="Q64" t="n">
        <v>66</v>
      </c>
      <c r="V64">
        <f>IF(AND(MOD(50,$S$17)=0,MOD((INT(50/$S$17)+1)-1,$S$13/5)=0),INDEX($AA$4:$AA$53,(INT(50/$S$17)+1)),"")</f>
        <v/>
      </c>
      <c r="W64">
        <f>IF(MOD(50,$S$17)=$S$17-1,0,INDEX($U$4:$U$53,(INT(50/$S$17)+1)))</f>
        <v/>
      </c>
      <c r="AB64" t="n">
        <v>9000</v>
      </c>
      <c r="AC64" t="n">
        <v>9075</v>
      </c>
      <c r="AD64" t="n">
        <v>107</v>
      </c>
      <c r="AI64">
        <f>IF(AND(MOD(50,$AF$17)=0,MOD((INT(50/$AF$17)+1)-1,$AF$13/5)=0),INDEX($AN$4:$AN$53,(INT(50/$AF$17)+1)),"")</f>
        <v/>
      </c>
      <c r="AJ64">
        <f>IF(MOD(50,$AF$17)=$AF$17-1,0,INDEX($AH$4:$AH$53,(INT(50/$AF$17)+1)))</f>
        <v/>
      </c>
      <c r="AO64" t="n">
        <v>240000</v>
      </c>
      <c r="AP64" t="n">
        <v>242000</v>
      </c>
      <c r="AQ64" t="n">
        <v>165</v>
      </c>
      <c r="AV64">
        <f>IF(AND(MOD(50,$AS$17)=0,MOD((INT(50/$AS$17)+1)-1,$AS$13/5)=0),INDEX($BA$4:$BA$53,(INT(50/$AS$17)+1)),"")</f>
        <v/>
      </c>
      <c r="AW64">
        <f>IF(MOD(50,$AS$17)=$AS$17-1,0,INDEX($AU$4:$AU$53,(INT(50/$AS$17)+1)))</f>
        <v/>
      </c>
      <c r="BB64" t="n">
        <v>420000</v>
      </c>
      <c r="BC64" t="n">
        <v>423500</v>
      </c>
      <c r="BD64" t="n">
        <v>32</v>
      </c>
      <c r="BI64">
        <f>IF(AND(MOD(50,$BF$17)=0,MOD((INT(50/$BF$17)+1)-1,$BF$13/5)=0),INDEX($BN$4:$BN$53,(INT(50/$BF$17)+1)),"")</f>
        <v/>
      </c>
      <c r="BJ64">
        <f>IF(MOD(50,$BF$17)=$BF$17-1,0,INDEX($BH$4:$BH$53,(INT(50/$BF$17)+1)))</f>
        <v/>
      </c>
      <c r="BO64" t="n">
        <v>0.36</v>
      </c>
      <c r="BP64" t="n">
        <v>0.363</v>
      </c>
      <c r="BQ64" t="n">
        <v>53</v>
      </c>
      <c r="BV64">
        <f>IF(AND(MOD(50,$BS$17)=0,MOD((INT(50/$BS$17)+1)-1,$BS$13/5)=0),INDEX($CA$4:$CA$53,(INT(50/$BS$17)+1)),"")</f>
        <v/>
      </c>
      <c r="BW64">
        <f>IF(MOD(50,$BS$17)=$BS$17-1,0,INDEX($BU$4:$BU$53,(INT(50/$BS$17)+1)))</f>
        <v/>
      </c>
      <c r="CB64" t="n">
        <v>9</v>
      </c>
      <c r="CC64" t="n">
        <v>9.074999999999999</v>
      </c>
      <c r="CD64" t="n">
        <v>72</v>
      </c>
      <c r="CI64">
        <f>IF(AND(MOD(50,$CF$17)=0,MOD((INT(50/$CF$17)+1)-1,$CF$13/5)=0),INDEX($CN$4:$CN$53,(INT(50/$CF$17)+1)),"")</f>
        <v/>
      </c>
      <c r="CJ64">
        <f>IF(MOD(50,$CF$17)=$CF$17-1,0,INDEX($CH$4:$CH$53,(INT(50/$CF$17)+1)))</f>
        <v/>
      </c>
      <c r="CO64" t="n">
        <v>34</v>
      </c>
      <c r="CP64" t="n">
        <v>34.2</v>
      </c>
      <c r="CQ64" t="n">
        <v>64</v>
      </c>
      <c r="CV64">
        <f>IF(AND(MOD(50,$CS$17)=0,MOD((INT(50/$CS$17)+1)-1,$CS$13/5)=0),INDEX($DA$4:$DA$53,(INT(50/$CS$17)+1)),"")</f>
        <v/>
      </c>
      <c r="CW64">
        <f>IF(MOD(50,$CS$17)=$CS$17-1,0,INDEX($CU$4:$CU$53,(INT(50/$CS$17)+1)))</f>
        <v/>
      </c>
      <c r="DB64" t="n">
        <v>31</v>
      </c>
      <c r="DC64" t="n">
        <v>31.175</v>
      </c>
      <c r="DD64" t="n">
        <v>55</v>
      </c>
      <c r="DI64">
        <f>IF(AND(MOD(50,$DF$17)=0,MOD((INT(50/$DF$17)+1)-1,$DF$13/5)=0),INDEX($DN$4:$DN$53,(INT(50/$DF$17)+1)),"")</f>
        <v/>
      </c>
      <c r="DJ64">
        <f>IF(MOD(50,$DF$17)=$DF$17-1,0,INDEX($DH$4:$DH$53,(INT(50/$DF$17)+1)))</f>
        <v/>
      </c>
      <c r="DO64" t="n">
        <v>9</v>
      </c>
      <c r="DP64" t="n">
        <v>9.012499999999999</v>
      </c>
      <c r="DQ64" t="n">
        <v>63</v>
      </c>
      <c r="DV64">
        <f>IF(AND(MOD(50,$DS$17)=0,MOD((INT(50/$DS$17)+1)-1,$DS$13/5)=0),INDEX($EA$4:$EA$53,(INT(50/$DS$17)+1)),"")</f>
        <v/>
      </c>
      <c r="DW64">
        <f>IF(MOD(50,$DS$17)=$DS$17-1,0,INDEX($DU$4:$DU$53,(INT(50/$DS$17)+1)))</f>
        <v/>
      </c>
      <c r="EB64" t="n">
        <v>30</v>
      </c>
      <c r="EC64" t="n">
        <v>30.25</v>
      </c>
      <c r="ED64" t="n">
        <v>69</v>
      </c>
      <c r="EI64">
        <f>IF(AND(MOD(50,$EF$17)=0,MOD((INT(50/$EF$17)+1)-1,$EF$13/5)=0),INDEX($EN$4:$EN$53,(INT(50/$EF$17)+1)),"")</f>
        <v/>
      </c>
      <c r="EJ64">
        <f>IF(MOD(50,$EF$17)=$EF$17-1,0,INDEX($EH$4:$EH$53,(INT(50/$EF$17)+1)))</f>
        <v/>
      </c>
      <c r="EO64" t="n">
        <v>1.05</v>
      </c>
      <c r="EP64" t="n">
        <v>1.05875</v>
      </c>
      <c r="EQ64" t="n">
        <v>63</v>
      </c>
      <c r="EV64">
        <f>IF(AND(MOD(50,$ES$17)=0,MOD((INT(50/$ES$17)+1)-1,$ES$13/5)=0),INDEX($FA$4:$FA$53,(INT(50/$ES$17)+1)),"")</f>
        <v/>
      </c>
      <c r="EW64">
        <f>IF(MOD(50,$ES$17)=$ES$17-1,0,INDEX($EU$4:$EU$53,(INT(50/$ES$17)+1)))</f>
        <v/>
      </c>
    </row>
    <row r="65">
      <c r="B65" t="n">
        <v>641.5</v>
      </c>
      <c r="C65" t="n">
        <v>642.25</v>
      </c>
      <c r="D65" t="n">
        <v>43</v>
      </c>
      <c r="I65">
        <f>IF(AND(MOD(51,$F$17)=0,MOD((INT(51/$F$17)+1)-1,$F$13/5)=0),INDEX($N$4:$N$53,(INT(51/$F$17)+1)),"")</f>
        <v/>
      </c>
      <c r="J65">
        <f>IF(MOD(51,$F$17)=$F$17-1,0,INDEX($H$4:$H$53,(INT(51/$F$17)+1)))</f>
        <v/>
      </c>
      <c r="O65" t="n">
        <v>18300</v>
      </c>
      <c r="P65" t="n">
        <v>18450</v>
      </c>
      <c r="Q65" t="n">
        <v>69</v>
      </c>
      <c r="V65">
        <f>IF(AND(MOD(51,$S$17)=0,MOD((INT(51/$S$17)+1)-1,$S$13/5)=0),INDEX($AA$4:$AA$53,(INT(51/$S$17)+1)),"")</f>
        <v/>
      </c>
      <c r="W65">
        <f>IF(MOD(51,$S$17)=$S$17-1,0,INDEX($U$4:$U$53,(INT(51/$S$17)+1)))</f>
        <v/>
      </c>
      <c r="AB65" t="n">
        <v>9150</v>
      </c>
      <c r="AC65" t="n">
        <v>9225</v>
      </c>
      <c r="AD65" t="n">
        <v>121</v>
      </c>
      <c r="AI65">
        <f>IF(AND(MOD(51,$AF$17)=0,MOD((INT(51/$AF$17)+1)-1,$AF$13/5)=0),INDEX($AN$4:$AN$53,(INT(51/$AF$17)+1)),"")</f>
        <v/>
      </c>
      <c r="AJ65">
        <f>IF(MOD(51,$AF$17)=$AF$17-1,0,INDEX($AH$4:$AH$53,(INT(51/$AF$17)+1)))</f>
        <v/>
      </c>
      <c r="AO65" t="n">
        <v>244000</v>
      </c>
      <c r="AP65" t="n">
        <v>246000</v>
      </c>
      <c r="AQ65" t="n">
        <v>168</v>
      </c>
      <c r="AV65">
        <f>IF(AND(MOD(51,$AS$17)=0,MOD((INT(51/$AS$17)+1)-1,$AS$13/5)=0),INDEX($BA$4:$BA$53,(INT(51/$AS$17)+1)),"")</f>
        <v/>
      </c>
      <c r="AW65">
        <f>IF(MOD(51,$AS$17)=$AS$17-1,0,INDEX($AU$4:$AU$53,(INT(51/$AS$17)+1)))</f>
        <v/>
      </c>
      <c r="BB65" t="n">
        <v>427000</v>
      </c>
      <c r="BC65" t="n">
        <v>430500</v>
      </c>
      <c r="BD65" t="n">
        <v>35</v>
      </c>
      <c r="BI65">
        <f>IF(AND(MOD(51,$BF$17)=0,MOD((INT(51/$BF$17)+1)-1,$BF$13/5)=0),INDEX($BN$4:$BN$53,(INT(51/$BF$17)+1)),"")</f>
        <v/>
      </c>
      <c r="BJ65">
        <f>IF(MOD(51,$BF$17)=$BF$17-1,0,INDEX($BH$4:$BH$53,(INT(51/$BF$17)+1)))</f>
        <v/>
      </c>
      <c r="BO65" t="n">
        <v>0.366</v>
      </c>
      <c r="BP65" t="n">
        <v>0.369</v>
      </c>
      <c r="BQ65" t="n">
        <v>66</v>
      </c>
      <c r="BV65">
        <f>IF(AND(MOD(51,$BS$17)=0,MOD((INT(51/$BS$17)+1)-1,$BS$13/5)=0),INDEX($CA$4:$CA$53,(INT(51/$BS$17)+1)),"")</f>
        <v/>
      </c>
      <c r="BW65">
        <f>IF(MOD(51,$BS$17)=$BS$17-1,0,INDEX($BU$4:$BU$53,(INT(51/$BS$17)+1)))</f>
        <v/>
      </c>
      <c r="CB65" t="n">
        <v>9.15</v>
      </c>
      <c r="CC65" t="n">
        <v>9.225</v>
      </c>
      <c r="CD65" t="n">
        <v>41</v>
      </c>
      <c r="CI65">
        <f>IF(AND(MOD(51,$CF$17)=0,MOD((INT(51/$CF$17)+1)-1,$CF$13/5)=0),INDEX($CN$4:$CN$53,(INT(51/$CF$17)+1)),"")</f>
        <v/>
      </c>
      <c r="CJ65">
        <f>IF(MOD(51,$CF$17)=$CF$17-1,0,INDEX($CH$4:$CH$53,(INT(51/$CF$17)+1)))</f>
        <v/>
      </c>
      <c r="CO65" t="n">
        <v>34.40000000000001</v>
      </c>
      <c r="CP65" t="n">
        <v>34.6</v>
      </c>
      <c r="CQ65" t="n">
        <v>94</v>
      </c>
      <c r="CV65">
        <f>IF(AND(MOD(51,$CS$17)=0,MOD((INT(51/$CS$17)+1)-1,$CS$13/5)=0),INDEX($DA$4:$DA$53,(INT(51/$CS$17)+1)),"")</f>
        <v/>
      </c>
      <c r="CW65">
        <f>IF(MOD(51,$CS$17)=$CS$17-1,0,INDEX($CU$4:$CU$53,(INT(51/$CS$17)+1)))</f>
        <v/>
      </c>
      <c r="DB65" t="n">
        <v>31.35</v>
      </c>
      <c r="DC65" t="n">
        <v>31.525</v>
      </c>
      <c r="DD65" t="n">
        <v>65</v>
      </c>
      <c r="DI65">
        <f>IF(AND(MOD(51,$DF$17)=0,MOD((INT(51/$DF$17)+1)-1,$DF$13/5)=0),INDEX($DN$4:$DN$53,(INT(51/$DF$17)+1)),"")</f>
        <v/>
      </c>
      <c r="DJ65">
        <f>IF(MOD(51,$DF$17)=$DF$17-1,0,INDEX($DH$4:$DH$53,(INT(51/$DF$17)+1)))</f>
        <v/>
      </c>
      <c r="DO65" t="n">
        <v>9.025</v>
      </c>
      <c r="DP65" t="n">
        <v>9.0375</v>
      </c>
      <c r="DQ65" t="n">
        <v>79</v>
      </c>
      <c r="DV65">
        <f>IF(AND(MOD(51,$DS$17)=0,MOD((INT(51/$DS$17)+1)-1,$DS$13/5)=0),INDEX($EA$4:$EA$53,(INT(51/$DS$17)+1)),"")</f>
        <v/>
      </c>
      <c r="DW65">
        <f>IF(MOD(51,$DS$17)=$DS$17-1,0,INDEX($DU$4:$DU$53,(INT(51/$DS$17)+1)))</f>
        <v/>
      </c>
      <c r="EB65" t="n">
        <v>30.5</v>
      </c>
      <c r="EC65" t="n">
        <v>30.75</v>
      </c>
      <c r="ED65" t="n">
        <v>58</v>
      </c>
      <c r="EI65">
        <f>IF(AND(MOD(51,$EF$17)=0,MOD((INT(51/$EF$17)+1)-1,$EF$13/5)=0),INDEX($EN$4:$EN$53,(INT(51/$EF$17)+1)),"")</f>
        <v/>
      </c>
      <c r="EJ65">
        <f>IF(MOD(51,$EF$17)=$EF$17-1,0,INDEX($EH$4:$EH$53,(INT(51/$EF$17)+1)))</f>
        <v/>
      </c>
      <c r="EO65" t="n">
        <v>1.0675</v>
      </c>
      <c r="EP65" t="n">
        <v>1.07625</v>
      </c>
      <c r="EQ65" t="n">
        <v>68</v>
      </c>
      <c r="EV65">
        <f>IF(AND(MOD(51,$ES$17)=0,MOD((INT(51/$ES$17)+1)-1,$ES$13/5)=0),INDEX($FA$4:$FA$53,(INT(51/$ES$17)+1)),"")</f>
        <v/>
      </c>
      <c r="EW65">
        <f>IF(MOD(51,$ES$17)=$ES$17-1,0,INDEX($EU$4:$EU$53,(INT(51/$ES$17)+1)))</f>
        <v/>
      </c>
    </row>
    <row r="66">
      <c r="B66" t="n">
        <v>643</v>
      </c>
      <c r="C66" t="n">
        <v>643.75</v>
      </c>
      <c r="D66" t="n">
        <v>114</v>
      </c>
      <c r="I66">
        <f>IF(AND(MOD(52,$F$17)=0,MOD((INT(52/$F$17)+1)-1,$F$13/5)=0),INDEX($N$4:$N$53,(INT(52/$F$17)+1)),"")</f>
        <v/>
      </c>
      <c r="J66">
        <f>IF(MOD(52,$F$17)=$F$17-1,0,INDEX($H$4:$H$53,(INT(52/$F$17)+1)))</f>
        <v/>
      </c>
      <c r="O66" t="n">
        <v>18600</v>
      </c>
      <c r="P66" t="n">
        <v>18750</v>
      </c>
      <c r="Q66" t="n">
        <v>77</v>
      </c>
      <c r="V66">
        <f>IF(AND(MOD(52,$S$17)=0,MOD((INT(52/$S$17)+1)-1,$S$13/5)=0),INDEX($AA$4:$AA$53,(INT(52/$S$17)+1)),"")</f>
        <v/>
      </c>
      <c r="W66">
        <f>IF(MOD(52,$S$17)=$S$17-1,0,INDEX($U$4:$U$53,(INT(52/$S$17)+1)))</f>
        <v/>
      </c>
      <c r="AB66" t="n">
        <v>9300</v>
      </c>
      <c r="AC66" t="n">
        <v>9375</v>
      </c>
      <c r="AD66" t="n">
        <v>119</v>
      </c>
      <c r="AI66">
        <f>IF(AND(MOD(52,$AF$17)=0,MOD((INT(52/$AF$17)+1)-1,$AF$13/5)=0),INDEX($AN$4:$AN$53,(INT(52/$AF$17)+1)),"")</f>
        <v/>
      </c>
      <c r="AJ66">
        <f>IF(MOD(52,$AF$17)=$AF$17-1,0,INDEX($AH$4:$AH$53,(INT(52/$AF$17)+1)))</f>
        <v/>
      </c>
      <c r="AO66" t="n">
        <v>248000</v>
      </c>
      <c r="AP66" t="n">
        <v>250000</v>
      </c>
      <c r="AQ66" t="n">
        <v>147</v>
      </c>
      <c r="AV66">
        <f>IF(AND(MOD(52,$AS$17)=0,MOD((INT(52/$AS$17)+1)-1,$AS$13/5)=0),INDEX($BA$4:$BA$53,(INT(52/$AS$17)+1)),"")</f>
        <v/>
      </c>
      <c r="AW66">
        <f>IF(MOD(52,$AS$17)=$AS$17-1,0,INDEX($AU$4:$AU$53,(INT(52/$AS$17)+1)))</f>
        <v/>
      </c>
      <c r="BB66" t="n">
        <v>434000</v>
      </c>
      <c r="BC66" t="n">
        <v>437500</v>
      </c>
      <c r="BD66" t="n">
        <v>32</v>
      </c>
      <c r="BI66">
        <f>IF(AND(MOD(52,$BF$17)=0,MOD((INT(52/$BF$17)+1)-1,$BF$13/5)=0),INDEX($BN$4:$BN$53,(INT(52/$BF$17)+1)),"")</f>
        <v/>
      </c>
      <c r="BJ66">
        <f>IF(MOD(52,$BF$17)=$BF$17-1,0,INDEX($BH$4:$BH$53,(INT(52/$BF$17)+1)))</f>
        <v/>
      </c>
      <c r="BO66" t="n">
        <v>0.372</v>
      </c>
      <c r="BP66" t="n">
        <v>0.375</v>
      </c>
      <c r="BQ66" t="n">
        <v>59</v>
      </c>
      <c r="BV66">
        <f>IF(AND(MOD(52,$BS$17)=0,MOD((INT(52/$BS$17)+1)-1,$BS$13/5)=0),INDEX($CA$4:$CA$53,(INT(52/$BS$17)+1)),"")</f>
        <v/>
      </c>
      <c r="BW66">
        <f>IF(MOD(52,$BS$17)=$BS$17-1,0,INDEX($BU$4:$BU$53,(INT(52/$BS$17)+1)))</f>
        <v/>
      </c>
      <c r="CB66" t="n">
        <v>9.299999999999999</v>
      </c>
      <c r="CC66" t="n">
        <v>9.375</v>
      </c>
      <c r="CD66" t="n">
        <v>78</v>
      </c>
      <c r="CI66">
        <f>IF(AND(MOD(52,$CF$17)=0,MOD((INT(52/$CF$17)+1)-1,$CF$13/5)=0),INDEX($CN$4:$CN$53,(INT(52/$CF$17)+1)),"")</f>
        <v/>
      </c>
      <c r="CJ66">
        <f>IF(MOD(52,$CF$17)=$CF$17-1,0,INDEX($CH$4:$CH$53,(INT(52/$CF$17)+1)))</f>
        <v/>
      </c>
      <c r="CO66" t="n">
        <v>34.8</v>
      </c>
      <c r="CP66" t="n">
        <v>35</v>
      </c>
      <c r="CQ66" t="n">
        <v>64</v>
      </c>
      <c r="CV66">
        <f>IF(AND(MOD(52,$CS$17)=0,MOD((INT(52/$CS$17)+1)-1,$CS$13/5)=0),INDEX($DA$4:$DA$53,(INT(52/$CS$17)+1)),"")</f>
        <v/>
      </c>
      <c r="CW66">
        <f>IF(MOD(52,$CS$17)=$CS$17-1,0,INDEX($CU$4:$CU$53,(INT(52/$CS$17)+1)))</f>
        <v/>
      </c>
      <c r="DB66" t="n">
        <v>31.7</v>
      </c>
      <c r="DC66" t="n">
        <v>31.875</v>
      </c>
      <c r="DD66" t="n">
        <v>73</v>
      </c>
      <c r="DI66">
        <f>IF(AND(MOD(52,$DF$17)=0,MOD((INT(52/$DF$17)+1)-1,$DF$13/5)=0),INDEX($DN$4:$DN$53,(INT(52/$DF$17)+1)),"")</f>
        <v/>
      </c>
      <c r="DJ66">
        <f>IF(MOD(52,$DF$17)=$DF$17-1,0,INDEX($DH$4:$DH$53,(INT(52/$DF$17)+1)))</f>
        <v/>
      </c>
      <c r="DO66" t="n">
        <v>9.050000000000001</v>
      </c>
      <c r="DP66" t="n">
        <v>9.0625</v>
      </c>
      <c r="DQ66" t="n">
        <v>76</v>
      </c>
      <c r="DV66">
        <f>IF(AND(MOD(52,$DS$17)=0,MOD((INT(52/$DS$17)+1)-1,$DS$13/5)=0),INDEX($EA$4:$EA$53,(INT(52/$DS$17)+1)),"")</f>
        <v/>
      </c>
      <c r="DW66">
        <f>IF(MOD(52,$DS$17)=$DS$17-1,0,INDEX($DU$4:$DU$53,(INT(52/$DS$17)+1)))</f>
        <v/>
      </c>
      <c r="EB66" t="n">
        <v>31</v>
      </c>
      <c r="EC66" t="n">
        <v>31.25</v>
      </c>
      <c r="ED66" t="n">
        <v>62</v>
      </c>
      <c r="EI66">
        <f>IF(AND(MOD(52,$EF$17)=0,MOD((INT(52/$EF$17)+1)-1,$EF$13/5)=0),INDEX($EN$4:$EN$53,(INT(52/$EF$17)+1)),"")</f>
        <v/>
      </c>
      <c r="EJ66">
        <f>IF(MOD(52,$EF$17)=$EF$17-1,0,INDEX($EH$4:$EH$53,(INT(52/$EF$17)+1)))</f>
        <v/>
      </c>
      <c r="EO66" t="n">
        <v>1.085</v>
      </c>
      <c r="EP66" t="n">
        <v>1.09375</v>
      </c>
      <c r="EQ66" t="n">
        <v>71</v>
      </c>
      <c r="EV66">
        <f>IF(AND(MOD(52,$ES$17)=0,MOD((INT(52/$ES$17)+1)-1,$ES$13/5)=0),INDEX($FA$4:$FA$53,(INT(52/$ES$17)+1)),"")</f>
        <v/>
      </c>
      <c r="EW66">
        <f>IF(MOD(52,$ES$17)=$ES$17-1,0,INDEX($EU$4:$EU$53,(INT(52/$ES$17)+1)))</f>
        <v/>
      </c>
    </row>
    <row r="67">
      <c r="B67" t="n">
        <v>644.5</v>
      </c>
      <c r="C67" t="n">
        <v>645.25</v>
      </c>
      <c r="D67" t="n">
        <v>44</v>
      </c>
      <c r="I67">
        <f>IF(AND(MOD(53,$F$17)=0,MOD((INT(53/$F$17)+1)-1,$F$13/5)=0),INDEX($N$4:$N$53,(INT(53/$F$17)+1)),"")</f>
        <v/>
      </c>
      <c r="J67">
        <f>IF(MOD(53,$F$17)=$F$17-1,0,INDEX($H$4:$H$53,(INT(53/$F$17)+1)))</f>
        <v/>
      </c>
      <c r="O67" t="n">
        <v>18900</v>
      </c>
      <c r="P67" t="n">
        <v>19050</v>
      </c>
      <c r="Q67" t="n">
        <v>66</v>
      </c>
      <c r="V67">
        <f>IF(AND(MOD(53,$S$17)=0,MOD((INT(53/$S$17)+1)-1,$S$13/5)=0),INDEX($AA$4:$AA$53,(INT(53/$S$17)+1)),"")</f>
        <v/>
      </c>
      <c r="W67">
        <f>IF(MOD(53,$S$17)=$S$17-1,0,INDEX($U$4:$U$53,(INT(53/$S$17)+1)))</f>
        <v/>
      </c>
      <c r="AB67" t="n">
        <v>9450</v>
      </c>
      <c r="AC67" t="n">
        <v>9525</v>
      </c>
      <c r="AD67" t="n">
        <v>107</v>
      </c>
      <c r="AI67">
        <f>IF(AND(MOD(53,$AF$17)=0,MOD((INT(53/$AF$17)+1)-1,$AF$13/5)=0),INDEX($AN$4:$AN$53,(INT(53/$AF$17)+1)),"")</f>
        <v/>
      </c>
      <c r="AJ67">
        <f>IF(MOD(53,$AF$17)=$AF$17-1,0,INDEX($AH$4:$AH$53,(INT(53/$AF$17)+1)))</f>
        <v/>
      </c>
      <c r="AO67" t="n">
        <v>252000</v>
      </c>
      <c r="AP67" t="n">
        <v>254000</v>
      </c>
      <c r="AQ67" t="n">
        <v>171</v>
      </c>
      <c r="AV67">
        <f>IF(AND(MOD(53,$AS$17)=0,MOD((INT(53/$AS$17)+1)-1,$AS$13/5)=0),INDEX($BA$4:$BA$53,(INT(53/$AS$17)+1)),"")</f>
        <v/>
      </c>
      <c r="AW67">
        <f>IF(MOD(53,$AS$17)=$AS$17-1,0,INDEX($AU$4:$AU$53,(INT(53/$AS$17)+1)))</f>
        <v/>
      </c>
      <c r="BB67" t="n">
        <v>441000</v>
      </c>
      <c r="BC67" t="n">
        <v>444500</v>
      </c>
      <c r="BD67" t="n">
        <v>34</v>
      </c>
      <c r="BI67">
        <f>IF(AND(MOD(53,$BF$17)=0,MOD((INT(53/$BF$17)+1)-1,$BF$13/5)=0),INDEX($BN$4:$BN$53,(INT(53/$BF$17)+1)),"")</f>
        <v/>
      </c>
      <c r="BJ67">
        <f>IF(MOD(53,$BF$17)=$BF$17-1,0,INDEX($BH$4:$BH$53,(INT(53/$BF$17)+1)))</f>
        <v/>
      </c>
      <c r="BO67" t="n">
        <v>0.378</v>
      </c>
      <c r="BP67" t="n">
        <v>0.381</v>
      </c>
      <c r="BQ67" t="n">
        <v>61</v>
      </c>
      <c r="BV67">
        <f>IF(AND(MOD(53,$BS$17)=0,MOD((INT(53/$BS$17)+1)-1,$BS$13/5)=0),INDEX($CA$4:$CA$53,(INT(53/$BS$17)+1)),"")</f>
        <v/>
      </c>
      <c r="BW67">
        <f>IF(MOD(53,$BS$17)=$BS$17-1,0,INDEX($BU$4:$BU$53,(INT(53/$BS$17)+1)))</f>
        <v/>
      </c>
      <c r="CB67" t="n">
        <v>9.449999999999999</v>
      </c>
      <c r="CC67" t="n">
        <v>9.525</v>
      </c>
      <c r="CD67" t="n">
        <v>39</v>
      </c>
      <c r="CI67">
        <f>IF(AND(MOD(53,$CF$17)=0,MOD((INT(53/$CF$17)+1)-1,$CF$13/5)=0),INDEX($CN$4:$CN$53,(INT(53/$CF$17)+1)),"")</f>
        <v/>
      </c>
      <c r="CJ67">
        <f>IF(MOD(53,$CF$17)=$CF$17-1,0,INDEX($CH$4:$CH$53,(INT(53/$CF$17)+1)))</f>
        <v/>
      </c>
      <c r="CO67" t="n">
        <v>35.2</v>
      </c>
      <c r="CP67" t="n">
        <v>35.40000000000001</v>
      </c>
      <c r="CQ67" t="n">
        <v>88</v>
      </c>
      <c r="CV67">
        <f>IF(AND(MOD(53,$CS$17)=0,MOD((INT(53/$CS$17)+1)-1,$CS$13/5)=0),INDEX($DA$4:$DA$53,(INT(53/$CS$17)+1)),"")</f>
        <v/>
      </c>
      <c r="CW67">
        <f>IF(MOD(53,$CS$17)=$CS$17-1,0,INDEX($CU$4:$CU$53,(INT(53/$CS$17)+1)))</f>
        <v/>
      </c>
      <c r="DB67" t="n">
        <v>32.05</v>
      </c>
      <c r="DC67" t="n">
        <v>32.22499999999999</v>
      </c>
      <c r="DD67" t="n">
        <v>71</v>
      </c>
      <c r="DI67">
        <f>IF(AND(MOD(53,$DF$17)=0,MOD((INT(53/$DF$17)+1)-1,$DF$13/5)=0),INDEX($DN$4:$DN$53,(INT(53/$DF$17)+1)),"")</f>
        <v/>
      </c>
      <c r="DJ67">
        <f>IF(MOD(53,$DF$17)=$DF$17-1,0,INDEX($DH$4:$DH$53,(INT(53/$DF$17)+1)))</f>
        <v/>
      </c>
      <c r="DO67" t="n">
        <v>9.074999999999999</v>
      </c>
      <c r="DP67" t="n">
        <v>9.0875</v>
      </c>
      <c r="DQ67" t="n">
        <v>79</v>
      </c>
      <c r="DV67">
        <f>IF(AND(MOD(53,$DS$17)=0,MOD((INT(53/$DS$17)+1)-1,$DS$13/5)=0),INDEX($EA$4:$EA$53,(INT(53/$DS$17)+1)),"")</f>
        <v/>
      </c>
      <c r="DW67">
        <f>IF(MOD(53,$DS$17)=$DS$17-1,0,INDEX($DU$4:$DU$53,(INT(53/$DS$17)+1)))</f>
        <v/>
      </c>
      <c r="EB67" t="n">
        <v>31.5</v>
      </c>
      <c r="EC67" t="n">
        <v>31.75</v>
      </c>
      <c r="ED67" t="n">
        <v>59</v>
      </c>
      <c r="EI67">
        <f>IF(AND(MOD(53,$EF$17)=0,MOD((INT(53/$EF$17)+1)-1,$EF$13/5)=0),INDEX($EN$4:$EN$53,(INT(53/$EF$17)+1)),"")</f>
        <v/>
      </c>
      <c r="EJ67">
        <f>IF(MOD(53,$EF$17)=$EF$17-1,0,INDEX($EH$4:$EH$53,(INT(53/$EF$17)+1)))</f>
        <v/>
      </c>
      <c r="EO67" t="n">
        <v>1.1025</v>
      </c>
      <c r="EP67" t="n">
        <v>1.11125</v>
      </c>
      <c r="EQ67" t="n">
        <v>58</v>
      </c>
      <c r="EV67">
        <f>IF(AND(MOD(53,$ES$17)=0,MOD((INT(53/$ES$17)+1)-1,$ES$13/5)=0),INDEX($FA$4:$FA$53,(INT(53/$ES$17)+1)),"")</f>
        <v/>
      </c>
      <c r="EW67">
        <f>IF(MOD(53,$ES$17)=$ES$17-1,0,INDEX($EU$4:$EU$53,(INT(53/$ES$17)+1)))</f>
        <v/>
      </c>
    </row>
    <row r="68">
      <c r="B68" t="n">
        <v>646</v>
      </c>
      <c r="C68" t="n">
        <v>646.75</v>
      </c>
      <c r="D68" t="n">
        <v>102</v>
      </c>
      <c r="I68">
        <f>IF(AND(MOD(54,$F$17)=0,MOD((INT(54/$F$17)+1)-1,$F$13/5)=0),INDEX($N$4:$N$53,(INT(54/$F$17)+1)),"")</f>
        <v/>
      </c>
      <c r="J68">
        <f>IF(MOD(54,$F$17)=$F$17-1,0,INDEX($H$4:$H$53,(INT(54/$F$17)+1)))</f>
        <v/>
      </c>
      <c r="O68" t="n">
        <v>19200</v>
      </c>
      <c r="P68" t="n">
        <v>19350</v>
      </c>
      <c r="Q68" t="n">
        <v>73</v>
      </c>
      <c r="V68">
        <f>IF(AND(MOD(54,$S$17)=0,MOD((INT(54/$S$17)+1)-1,$S$13/5)=0),INDEX($AA$4:$AA$53,(INT(54/$S$17)+1)),"")</f>
        <v/>
      </c>
      <c r="W68">
        <f>IF(MOD(54,$S$17)=$S$17-1,0,INDEX($U$4:$U$53,(INT(54/$S$17)+1)))</f>
        <v/>
      </c>
      <c r="AB68" t="n">
        <v>9600</v>
      </c>
      <c r="AC68" t="n">
        <v>9675</v>
      </c>
      <c r="AD68" t="n">
        <v>112</v>
      </c>
      <c r="AI68">
        <f>IF(AND(MOD(54,$AF$17)=0,MOD((INT(54/$AF$17)+1)-1,$AF$13/5)=0),INDEX($AN$4:$AN$53,(INT(54/$AF$17)+1)),"")</f>
        <v/>
      </c>
      <c r="AJ68">
        <f>IF(MOD(54,$AF$17)=$AF$17-1,0,INDEX($AH$4:$AH$53,(INT(54/$AF$17)+1)))</f>
        <v/>
      </c>
      <c r="AO68" t="n">
        <v>256000</v>
      </c>
      <c r="AP68" t="n">
        <v>258000</v>
      </c>
      <c r="AQ68" t="n">
        <v>151</v>
      </c>
      <c r="AV68">
        <f>IF(AND(MOD(54,$AS$17)=0,MOD((INT(54/$AS$17)+1)-1,$AS$13/5)=0),INDEX($BA$4:$BA$53,(INT(54/$AS$17)+1)),"")</f>
        <v/>
      </c>
      <c r="AW68">
        <f>IF(MOD(54,$AS$17)=$AS$17-1,0,INDEX($AU$4:$AU$53,(INT(54/$AS$17)+1)))</f>
        <v/>
      </c>
      <c r="BB68" t="n">
        <v>448000</v>
      </c>
      <c r="BC68" t="n">
        <v>451500</v>
      </c>
      <c r="BD68" t="n">
        <v>38</v>
      </c>
      <c r="BI68">
        <f>IF(AND(MOD(54,$BF$17)=0,MOD((INT(54/$BF$17)+1)-1,$BF$13/5)=0),INDEX($BN$4:$BN$53,(INT(54/$BF$17)+1)),"")</f>
        <v/>
      </c>
      <c r="BJ68">
        <f>IF(MOD(54,$BF$17)=$BF$17-1,0,INDEX($BH$4:$BH$53,(INT(54/$BF$17)+1)))</f>
        <v/>
      </c>
      <c r="BO68" t="n">
        <v>0.384</v>
      </c>
      <c r="BP68" t="n">
        <v>0.387</v>
      </c>
      <c r="BQ68" t="n">
        <v>59</v>
      </c>
      <c r="BV68">
        <f>IF(AND(MOD(54,$BS$17)=0,MOD((INT(54/$BS$17)+1)-1,$BS$13/5)=0),INDEX($CA$4:$CA$53,(INT(54/$BS$17)+1)),"")</f>
        <v/>
      </c>
      <c r="BW68">
        <f>IF(MOD(54,$BS$17)=$BS$17-1,0,INDEX($BU$4:$BU$53,(INT(54/$BS$17)+1)))</f>
        <v/>
      </c>
      <c r="CB68" t="n">
        <v>9.6</v>
      </c>
      <c r="CC68" t="n">
        <v>9.674999999999999</v>
      </c>
      <c r="CD68" t="n">
        <v>87</v>
      </c>
      <c r="CI68">
        <f>IF(AND(MOD(54,$CF$17)=0,MOD((INT(54/$CF$17)+1)-1,$CF$13/5)=0),INDEX($CN$4:$CN$53,(INT(54/$CF$17)+1)),"")</f>
        <v/>
      </c>
      <c r="CJ68">
        <f>IF(MOD(54,$CF$17)=$CF$17-1,0,INDEX($CH$4:$CH$53,(INT(54/$CF$17)+1)))</f>
        <v/>
      </c>
      <c r="CO68" t="n">
        <v>35.6</v>
      </c>
      <c r="CP68" t="n">
        <v>35.8</v>
      </c>
      <c r="CQ68" t="n">
        <v>73</v>
      </c>
      <c r="CV68">
        <f>IF(AND(MOD(54,$CS$17)=0,MOD((INT(54/$CS$17)+1)-1,$CS$13/5)=0),INDEX($DA$4:$DA$53,(INT(54/$CS$17)+1)),"")</f>
        <v/>
      </c>
      <c r="CW68">
        <f>IF(MOD(54,$CS$17)=$CS$17-1,0,INDEX($CU$4:$CU$53,(INT(54/$CS$17)+1)))</f>
        <v/>
      </c>
      <c r="DB68" t="n">
        <v>32.4</v>
      </c>
      <c r="DC68" t="n">
        <v>32.575</v>
      </c>
      <c r="DD68" t="n">
        <v>98</v>
      </c>
      <c r="DI68">
        <f>IF(AND(MOD(54,$DF$17)=0,MOD((INT(54/$DF$17)+1)-1,$DF$13/5)=0),INDEX($DN$4:$DN$53,(INT(54/$DF$17)+1)),"")</f>
        <v/>
      </c>
      <c r="DJ68">
        <f>IF(MOD(54,$DF$17)=$DF$17-1,0,INDEX($DH$4:$DH$53,(INT(54/$DF$17)+1)))</f>
        <v/>
      </c>
      <c r="DO68" t="n">
        <v>9.1</v>
      </c>
      <c r="DP68" t="n">
        <v>9.112500000000001</v>
      </c>
      <c r="DQ68" t="n">
        <v>91</v>
      </c>
      <c r="DV68">
        <f>IF(AND(MOD(54,$DS$17)=0,MOD((INT(54/$DS$17)+1)-1,$DS$13/5)=0),INDEX($EA$4:$EA$53,(INT(54/$DS$17)+1)),"")</f>
        <v/>
      </c>
      <c r="DW68">
        <f>IF(MOD(54,$DS$17)=$DS$17-1,0,INDEX($DU$4:$DU$53,(INT(54/$DS$17)+1)))</f>
        <v/>
      </c>
      <c r="EB68" t="n">
        <v>32</v>
      </c>
      <c r="EC68" t="n">
        <v>32.25</v>
      </c>
      <c r="ED68" t="n">
        <v>48</v>
      </c>
      <c r="EI68">
        <f>IF(AND(MOD(54,$EF$17)=0,MOD((INT(54/$EF$17)+1)-1,$EF$13/5)=0),INDEX($EN$4:$EN$53,(INT(54/$EF$17)+1)),"")</f>
        <v/>
      </c>
      <c r="EJ68">
        <f>IF(MOD(54,$EF$17)=$EF$17-1,0,INDEX($EH$4:$EH$53,(INT(54/$EF$17)+1)))</f>
        <v/>
      </c>
      <c r="EO68" t="n">
        <v>1.12</v>
      </c>
      <c r="EP68" t="n">
        <v>1.12875</v>
      </c>
      <c r="EQ68" t="n">
        <v>52</v>
      </c>
      <c r="EV68">
        <f>IF(AND(MOD(54,$ES$17)=0,MOD((INT(54/$ES$17)+1)-1,$ES$13/5)=0),INDEX($FA$4:$FA$53,(INT(54/$ES$17)+1)),"")</f>
        <v/>
      </c>
      <c r="EW68">
        <f>IF(MOD(54,$ES$17)=$ES$17-1,0,INDEX($EU$4:$EU$53,(INT(54/$ES$17)+1)))</f>
        <v/>
      </c>
    </row>
    <row r="69">
      <c r="B69" t="n">
        <v>647.5</v>
      </c>
      <c r="C69" t="n">
        <v>648.25</v>
      </c>
      <c r="D69" t="n">
        <v>37</v>
      </c>
      <c r="I69">
        <f>IF(AND(MOD(55,$F$17)=0,MOD((INT(55/$F$17)+1)-1,$F$13/5)=0),INDEX($N$4:$N$53,(INT(55/$F$17)+1)),"")</f>
        <v/>
      </c>
      <c r="J69">
        <f>IF(MOD(55,$F$17)=$F$17-1,0,INDEX($H$4:$H$53,(INT(55/$F$17)+1)))</f>
        <v/>
      </c>
      <c r="O69" t="n">
        <v>19500</v>
      </c>
      <c r="P69" t="n">
        <v>19650</v>
      </c>
      <c r="Q69" t="n">
        <v>82</v>
      </c>
      <c r="V69">
        <f>IF(AND(MOD(55,$S$17)=0,MOD((INT(55/$S$17)+1)-1,$S$13/5)=0),INDEX($AA$4:$AA$53,(INT(55/$S$17)+1)),"")</f>
        <v/>
      </c>
      <c r="W69">
        <f>IF(MOD(55,$S$17)=$S$17-1,0,INDEX($U$4:$U$53,(INT(55/$S$17)+1)))</f>
        <v/>
      </c>
      <c r="AB69" t="n">
        <v>9750</v>
      </c>
      <c r="AC69" t="n">
        <v>9825</v>
      </c>
      <c r="AD69" t="n">
        <v>118</v>
      </c>
      <c r="AI69">
        <f>IF(AND(MOD(55,$AF$17)=0,MOD((INT(55/$AF$17)+1)-1,$AF$13/5)=0),INDEX($AN$4:$AN$53,(INT(55/$AF$17)+1)),"")</f>
        <v/>
      </c>
      <c r="AJ69">
        <f>IF(MOD(55,$AF$17)=$AF$17-1,0,INDEX($AH$4:$AH$53,(INT(55/$AF$17)+1)))</f>
        <v/>
      </c>
      <c r="AO69" t="n">
        <v>260000</v>
      </c>
      <c r="AP69" t="n">
        <v>262000</v>
      </c>
      <c r="AQ69" t="n">
        <v>151</v>
      </c>
      <c r="AV69">
        <f>IF(AND(MOD(55,$AS$17)=0,MOD((INT(55/$AS$17)+1)-1,$AS$13/5)=0),INDEX($BA$4:$BA$53,(INT(55/$AS$17)+1)),"")</f>
        <v/>
      </c>
      <c r="AW69">
        <f>IF(MOD(55,$AS$17)=$AS$17-1,0,INDEX($AU$4:$AU$53,(INT(55/$AS$17)+1)))</f>
        <v/>
      </c>
      <c r="BB69" t="n">
        <v>455000</v>
      </c>
      <c r="BC69" t="n">
        <v>458500</v>
      </c>
      <c r="BD69" t="n">
        <v>28</v>
      </c>
      <c r="BI69">
        <f>IF(AND(MOD(55,$BF$17)=0,MOD((INT(55/$BF$17)+1)-1,$BF$13/5)=0),INDEX($BN$4:$BN$53,(INT(55/$BF$17)+1)),"")</f>
        <v/>
      </c>
      <c r="BJ69">
        <f>IF(MOD(55,$BF$17)=$BF$17-1,0,INDEX($BH$4:$BH$53,(INT(55/$BF$17)+1)))</f>
        <v/>
      </c>
      <c r="BO69" t="n">
        <v>0.39</v>
      </c>
      <c r="BP69" t="n">
        <v>0.393</v>
      </c>
      <c r="BQ69" t="n">
        <v>65</v>
      </c>
      <c r="BV69">
        <f>IF(AND(MOD(55,$BS$17)=0,MOD((INT(55/$BS$17)+1)-1,$BS$13/5)=0),INDEX($CA$4:$CA$53,(INT(55/$BS$17)+1)),"")</f>
        <v/>
      </c>
      <c r="BW69">
        <f>IF(MOD(55,$BS$17)=$BS$17-1,0,INDEX($BU$4:$BU$53,(INT(55/$BS$17)+1)))</f>
        <v/>
      </c>
      <c r="CB69" t="n">
        <v>9.75</v>
      </c>
      <c r="CC69" t="n">
        <v>9.824999999999999</v>
      </c>
      <c r="CD69" t="n">
        <v>45</v>
      </c>
      <c r="CI69">
        <f>IF(AND(MOD(55,$CF$17)=0,MOD((INT(55/$CF$17)+1)-1,$CF$13/5)=0),INDEX($CN$4:$CN$53,(INT(55/$CF$17)+1)),"")</f>
        <v/>
      </c>
      <c r="CJ69">
        <f>IF(MOD(55,$CF$17)=$CF$17-1,0,INDEX($CH$4:$CH$53,(INT(55/$CF$17)+1)))</f>
        <v/>
      </c>
      <c r="CO69" t="n">
        <v>36</v>
      </c>
      <c r="CP69" t="n">
        <v>36.2</v>
      </c>
      <c r="CQ69" t="n">
        <v>85</v>
      </c>
      <c r="CV69">
        <f>IF(AND(MOD(55,$CS$17)=0,MOD((INT(55/$CS$17)+1)-1,$CS$13/5)=0),INDEX($DA$4:$DA$53,(INT(55/$CS$17)+1)),"")</f>
        <v/>
      </c>
      <c r="CW69">
        <f>IF(MOD(55,$CS$17)=$CS$17-1,0,INDEX($CU$4:$CU$53,(INT(55/$CS$17)+1)))</f>
        <v/>
      </c>
      <c r="DB69" t="n">
        <v>32.75</v>
      </c>
      <c r="DC69" t="n">
        <v>32.925</v>
      </c>
      <c r="DD69" t="n">
        <v>79</v>
      </c>
      <c r="DI69">
        <f>IF(AND(MOD(55,$DF$17)=0,MOD((INT(55/$DF$17)+1)-1,$DF$13/5)=0),INDEX($DN$4:$DN$53,(INT(55/$DF$17)+1)),"")</f>
        <v/>
      </c>
      <c r="DJ69">
        <f>IF(MOD(55,$DF$17)=$DF$17-1,0,INDEX($DH$4:$DH$53,(INT(55/$DF$17)+1)))</f>
        <v/>
      </c>
      <c r="DO69" t="n">
        <v>9.125</v>
      </c>
      <c r="DP69" t="n">
        <v>9.137499999999999</v>
      </c>
      <c r="DQ69" t="n">
        <v>91</v>
      </c>
      <c r="DV69">
        <f>IF(AND(MOD(55,$DS$17)=0,MOD((INT(55/$DS$17)+1)-1,$DS$13/5)=0),INDEX($EA$4:$EA$53,(INT(55/$DS$17)+1)),"")</f>
        <v/>
      </c>
      <c r="DW69">
        <f>IF(MOD(55,$DS$17)=$DS$17-1,0,INDEX($DU$4:$DU$53,(INT(55/$DS$17)+1)))</f>
        <v/>
      </c>
      <c r="EB69" t="n">
        <v>32.5</v>
      </c>
      <c r="EC69" t="n">
        <v>32.75</v>
      </c>
      <c r="ED69" t="n">
        <v>45</v>
      </c>
      <c r="EI69">
        <f>IF(AND(MOD(55,$EF$17)=0,MOD((INT(55/$EF$17)+1)-1,$EF$13/5)=0),INDEX($EN$4:$EN$53,(INT(55/$EF$17)+1)),"")</f>
        <v/>
      </c>
      <c r="EJ69">
        <f>IF(MOD(55,$EF$17)=$EF$17-1,0,INDEX($EH$4:$EH$53,(INT(55/$EF$17)+1)))</f>
        <v/>
      </c>
      <c r="EO69" t="n">
        <v>1.1375</v>
      </c>
      <c r="EP69" t="n">
        <v>1.14625</v>
      </c>
      <c r="EQ69" t="n">
        <v>44</v>
      </c>
      <c r="EV69">
        <f>IF(AND(MOD(55,$ES$17)=0,MOD((INT(55/$ES$17)+1)-1,$ES$13/5)=0),INDEX($FA$4:$FA$53,(INT(55/$ES$17)+1)),"")</f>
        <v/>
      </c>
      <c r="EW69">
        <f>IF(MOD(55,$ES$17)=$ES$17-1,0,INDEX($EU$4:$EU$53,(INT(55/$ES$17)+1)))</f>
        <v/>
      </c>
    </row>
    <row r="70">
      <c r="B70" t="n">
        <v>649</v>
      </c>
      <c r="C70" t="n">
        <v>649.75</v>
      </c>
      <c r="D70" t="n">
        <v>120</v>
      </c>
      <c r="I70">
        <f>IF(AND(MOD(56,$F$17)=0,MOD((INT(56/$F$17)+1)-1,$F$13/5)=0),INDEX($N$4:$N$53,(INT(56/$F$17)+1)),"")</f>
        <v/>
      </c>
      <c r="J70">
        <f>IF(MOD(56,$F$17)=$F$17-1,0,INDEX($H$4:$H$53,(INT(56/$F$17)+1)))</f>
        <v/>
      </c>
      <c r="O70" t="n">
        <v>19800</v>
      </c>
      <c r="P70" t="n">
        <v>19950</v>
      </c>
      <c r="Q70" t="n">
        <v>55</v>
      </c>
      <c r="V70">
        <f>IF(AND(MOD(56,$S$17)=0,MOD((INT(56/$S$17)+1)-1,$S$13/5)=0),INDEX($AA$4:$AA$53,(INT(56/$S$17)+1)),"")</f>
        <v/>
      </c>
      <c r="W70">
        <f>IF(MOD(56,$S$17)=$S$17-1,0,INDEX($U$4:$U$53,(INT(56/$S$17)+1)))</f>
        <v/>
      </c>
      <c r="AB70" t="n">
        <v>9900</v>
      </c>
      <c r="AC70" t="n">
        <v>9975</v>
      </c>
      <c r="AD70" t="n">
        <v>107</v>
      </c>
      <c r="AI70">
        <f>IF(AND(MOD(56,$AF$17)=0,MOD((INT(56/$AF$17)+1)-1,$AF$13/5)=0),INDEX($AN$4:$AN$53,(INT(56/$AF$17)+1)),"")</f>
        <v/>
      </c>
      <c r="AJ70">
        <f>IF(MOD(56,$AF$17)=$AF$17-1,0,INDEX($AH$4:$AH$53,(INT(56/$AF$17)+1)))</f>
        <v/>
      </c>
      <c r="AO70" t="n">
        <v>264000</v>
      </c>
      <c r="AP70" t="n">
        <v>266000</v>
      </c>
      <c r="AQ70" t="n">
        <v>147</v>
      </c>
      <c r="AV70">
        <f>IF(AND(MOD(56,$AS$17)=0,MOD((INT(56/$AS$17)+1)-1,$AS$13/5)=0),INDEX($BA$4:$BA$53,(INT(56/$AS$17)+1)),"")</f>
        <v/>
      </c>
      <c r="AW70">
        <f>IF(MOD(56,$AS$17)=$AS$17-1,0,INDEX($AU$4:$AU$53,(INT(56/$AS$17)+1)))</f>
        <v/>
      </c>
      <c r="BB70" t="n">
        <v>462000</v>
      </c>
      <c r="BC70" t="n">
        <v>465500</v>
      </c>
      <c r="BD70" t="n">
        <v>23</v>
      </c>
      <c r="BI70">
        <f>IF(AND(MOD(56,$BF$17)=0,MOD((INT(56/$BF$17)+1)-1,$BF$13/5)=0),INDEX($BN$4:$BN$53,(INT(56/$BF$17)+1)),"")</f>
        <v/>
      </c>
      <c r="BJ70">
        <f>IF(MOD(56,$BF$17)=$BF$17-1,0,INDEX($BH$4:$BH$53,(INT(56/$BF$17)+1)))</f>
        <v/>
      </c>
      <c r="BO70" t="n">
        <v>0.396</v>
      </c>
      <c r="BP70" t="n">
        <v>0.399</v>
      </c>
      <c r="BQ70" t="n">
        <v>56</v>
      </c>
      <c r="BV70">
        <f>IF(AND(MOD(56,$BS$17)=0,MOD((INT(56/$BS$17)+1)-1,$BS$13/5)=0),INDEX($CA$4:$CA$53,(INT(56/$BS$17)+1)),"")</f>
        <v/>
      </c>
      <c r="BW70">
        <f>IF(MOD(56,$BS$17)=$BS$17-1,0,INDEX($BU$4:$BU$53,(INT(56/$BS$17)+1)))</f>
        <v/>
      </c>
      <c r="CB70" t="n">
        <v>9.9</v>
      </c>
      <c r="CC70" t="n">
        <v>9.975</v>
      </c>
      <c r="CD70" t="n">
        <v>77</v>
      </c>
      <c r="CI70">
        <f>IF(AND(MOD(56,$CF$17)=0,MOD((INT(56/$CF$17)+1)-1,$CF$13/5)=0),INDEX($CN$4:$CN$53,(INT(56/$CF$17)+1)),"")</f>
        <v/>
      </c>
      <c r="CJ70">
        <f>IF(MOD(56,$CF$17)=$CF$17-1,0,INDEX($CH$4:$CH$53,(INT(56/$CF$17)+1)))</f>
        <v/>
      </c>
      <c r="CO70" t="n">
        <v>36.40000000000001</v>
      </c>
      <c r="CP70" t="n">
        <v>36.6</v>
      </c>
      <c r="CQ70" t="n">
        <v>93</v>
      </c>
      <c r="CV70">
        <f>IF(AND(MOD(56,$CS$17)=0,MOD((INT(56/$CS$17)+1)-1,$CS$13/5)=0),INDEX($DA$4:$DA$53,(INT(56/$CS$17)+1)),"")</f>
        <v/>
      </c>
      <c r="CW70">
        <f>IF(MOD(56,$CS$17)=$CS$17-1,0,INDEX($CU$4:$CU$53,(INT(56/$CS$17)+1)))</f>
        <v/>
      </c>
      <c r="DB70" t="n">
        <v>33.09999999999999</v>
      </c>
      <c r="DC70" t="n">
        <v>33.275</v>
      </c>
      <c r="DD70" t="n">
        <v>90</v>
      </c>
      <c r="DI70">
        <f>IF(AND(MOD(56,$DF$17)=0,MOD((INT(56/$DF$17)+1)-1,$DF$13/5)=0),INDEX($DN$4:$DN$53,(INT(56/$DF$17)+1)),"")</f>
        <v/>
      </c>
      <c r="DJ70">
        <f>IF(MOD(56,$DF$17)=$DF$17-1,0,INDEX($DH$4:$DH$53,(INT(56/$DF$17)+1)))</f>
        <v/>
      </c>
      <c r="DO70" t="n">
        <v>9.15</v>
      </c>
      <c r="DP70" t="n">
        <v>9.1625</v>
      </c>
      <c r="DQ70" t="n">
        <v>90</v>
      </c>
      <c r="DV70">
        <f>IF(AND(MOD(56,$DS$17)=0,MOD((INT(56/$DS$17)+1)-1,$DS$13/5)=0),INDEX($EA$4:$EA$53,(INT(56/$DS$17)+1)),"")</f>
        <v/>
      </c>
      <c r="DW70">
        <f>IF(MOD(56,$DS$17)=$DS$17-1,0,INDEX($DU$4:$DU$53,(INT(56/$DS$17)+1)))</f>
        <v/>
      </c>
      <c r="EB70" t="n">
        <v>33</v>
      </c>
      <c r="EC70" t="n">
        <v>33.25</v>
      </c>
      <c r="ED70" t="n">
        <v>54</v>
      </c>
      <c r="EI70">
        <f>IF(AND(MOD(56,$EF$17)=0,MOD((INT(56/$EF$17)+1)-1,$EF$13/5)=0),INDEX($EN$4:$EN$53,(INT(56/$EF$17)+1)),"")</f>
        <v/>
      </c>
      <c r="EJ70">
        <f>IF(MOD(56,$EF$17)=$EF$17-1,0,INDEX($EH$4:$EH$53,(INT(56/$EF$17)+1)))</f>
        <v/>
      </c>
      <c r="EO70" t="n">
        <v>1.155</v>
      </c>
      <c r="EP70" t="n">
        <v>1.16375</v>
      </c>
      <c r="EQ70" t="n">
        <v>45</v>
      </c>
      <c r="EV70">
        <f>IF(AND(MOD(56,$ES$17)=0,MOD((INT(56/$ES$17)+1)-1,$ES$13/5)=0),INDEX($FA$4:$FA$53,(INT(56/$ES$17)+1)),"")</f>
        <v/>
      </c>
      <c r="EW70">
        <f>IF(MOD(56,$ES$17)=$ES$17-1,0,INDEX($EU$4:$EU$53,(INT(56/$ES$17)+1)))</f>
        <v/>
      </c>
    </row>
    <row r="71">
      <c r="B71" t="n">
        <v>650.5</v>
      </c>
      <c r="C71" t="n">
        <v>651.25</v>
      </c>
      <c r="D71" t="n">
        <v>45</v>
      </c>
      <c r="I71">
        <f>IF(AND(MOD(57,$F$17)=0,MOD((INT(57/$F$17)+1)-1,$F$13/5)=0),INDEX($N$4:$N$53,(INT(57/$F$17)+1)),"")</f>
        <v/>
      </c>
      <c r="J71">
        <f>IF(MOD(57,$F$17)=$F$17-1,0,INDEX($H$4:$H$53,(INT(57/$F$17)+1)))</f>
        <v/>
      </c>
      <c r="O71" t="n">
        <v>20100</v>
      </c>
      <c r="P71" t="n">
        <v>20250</v>
      </c>
      <c r="Q71" t="n">
        <v>57</v>
      </c>
      <c r="V71">
        <f>IF(AND(MOD(57,$S$17)=0,MOD((INT(57/$S$17)+1)-1,$S$13/5)=0),INDEX($AA$4:$AA$53,(INT(57/$S$17)+1)),"")</f>
        <v/>
      </c>
      <c r="W71">
        <f>IF(MOD(57,$S$17)=$S$17-1,0,INDEX($U$4:$U$53,(INT(57/$S$17)+1)))</f>
        <v/>
      </c>
      <c r="AB71" t="n">
        <v>10050</v>
      </c>
      <c r="AC71" t="n">
        <v>10125</v>
      </c>
      <c r="AD71" t="n">
        <v>111</v>
      </c>
      <c r="AI71">
        <f>IF(AND(MOD(57,$AF$17)=0,MOD((INT(57/$AF$17)+1)-1,$AF$13/5)=0),INDEX($AN$4:$AN$53,(INT(57/$AF$17)+1)),"")</f>
        <v/>
      </c>
      <c r="AJ71">
        <f>IF(MOD(57,$AF$17)=$AF$17-1,0,INDEX($AH$4:$AH$53,(INT(57/$AF$17)+1)))</f>
        <v/>
      </c>
      <c r="AO71" t="n">
        <v>268000</v>
      </c>
      <c r="AP71" t="n">
        <v>270000</v>
      </c>
      <c r="AQ71" t="n">
        <v>137</v>
      </c>
      <c r="AV71">
        <f>IF(AND(MOD(57,$AS$17)=0,MOD((INT(57/$AS$17)+1)-1,$AS$13/5)=0),INDEX($BA$4:$BA$53,(INT(57/$AS$17)+1)),"")</f>
        <v/>
      </c>
      <c r="AW71">
        <f>IF(MOD(57,$AS$17)=$AS$17-1,0,INDEX($AU$4:$AU$53,(INT(57/$AS$17)+1)))</f>
        <v/>
      </c>
      <c r="BB71" t="n">
        <v>469000</v>
      </c>
      <c r="BC71" t="n">
        <v>472500</v>
      </c>
      <c r="BD71" t="n">
        <v>32</v>
      </c>
      <c r="BI71">
        <f>IF(AND(MOD(57,$BF$17)=0,MOD((INT(57/$BF$17)+1)-1,$BF$13/5)=0),INDEX($BN$4:$BN$53,(INT(57/$BF$17)+1)),"")</f>
        <v/>
      </c>
      <c r="BJ71">
        <f>IF(MOD(57,$BF$17)=$BF$17-1,0,INDEX($BH$4:$BH$53,(INT(57/$BF$17)+1)))</f>
        <v/>
      </c>
      <c r="BO71" t="n">
        <v>0.402</v>
      </c>
      <c r="BP71" t="n">
        <v>0.405</v>
      </c>
      <c r="BQ71" t="n">
        <v>63</v>
      </c>
      <c r="BV71">
        <f>IF(AND(MOD(57,$BS$17)=0,MOD((INT(57/$BS$17)+1)-1,$BS$13/5)=0),INDEX($CA$4:$CA$53,(INT(57/$BS$17)+1)),"")</f>
        <v/>
      </c>
      <c r="BW71">
        <f>IF(MOD(57,$BS$17)=$BS$17-1,0,INDEX($BU$4:$BU$53,(INT(57/$BS$17)+1)))</f>
        <v/>
      </c>
      <c r="CB71" t="n">
        <v>10.05</v>
      </c>
      <c r="CC71" t="n">
        <v>10.125</v>
      </c>
      <c r="CD71" t="n">
        <v>41</v>
      </c>
      <c r="CI71">
        <f>IF(AND(MOD(57,$CF$17)=0,MOD((INT(57/$CF$17)+1)-1,$CF$13/5)=0),INDEX($CN$4:$CN$53,(INT(57/$CF$17)+1)),"")</f>
        <v/>
      </c>
      <c r="CJ71">
        <f>IF(MOD(57,$CF$17)=$CF$17-1,0,INDEX($CH$4:$CH$53,(INT(57/$CF$17)+1)))</f>
        <v/>
      </c>
      <c r="CO71" t="n">
        <v>36.8</v>
      </c>
      <c r="CP71" t="n">
        <v>37</v>
      </c>
      <c r="CQ71" t="n">
        <v>86</v>
      </c>
      <c r="CV71">
        <f>IF(AND(MOD(57,$CS$17)=0,MOD((INT(57/$CS$17)+1)-1,$CS$13/5)=0),INDEX($DA$4:$DA$53,(INT(57/$CS$17)+1)),"")</f>
        <v/>
      </c>
      <c r="CW71">
        <f>IF(MOD(57,$CS$17)=$CS$17-1,0,INDEX($CU$4:$CU$53,(INT(57/$CS$17)+1)))</f>
        <v/>
      </c>
      <c r="DB71" t="n">
        <v>33.45</v>
      </c>
      <c r="DC71" t="n">
        <v>33.625</v>
      </c>
      <c r="DD71" t="n">
        <v>82</v>
      </c>
      <c r="DI71">
        <f>IF(AND(MOD(57,$DF$17)=0,MOD((INT(57/$DF$17)+1)-1,$DF$13/5)=0),INDEX($DN$4:$DN$53,(INT(57/$DF$17)+1)),"")</f>
        <v/>
      </c>
      <c r="DJ71">
        <f>IF(MOD(57,$DF$17)=$DF$17-1,0,INDEX($DH$4:$DH$53,(INT(57/$DF$17)+1)))</f>
        <v/>
      </c>
      <c r="DO71" t="n">
        <v>9.175000000000001</v>
      </c>
      <c r="DP71" t="n">
        <v>9.1875</v>
      </c>
      <c r="DQ71" t="n">
        <v>76</v>
      </c>
      <c r="DV71">
        <f>IF(AND(MOD(57,$DS$17)=0,MOD((INT(57/$DS$17)+1)-1,$DS$13/5)=0),INDEX($EA$4:$EA$53,(INT(57/$DS$17)+1)),"")</f>
        <v/>
      </c>
      <c r="DW71">
        <f>IF(MOD(57,$DS$17)=$DS$17-1,0,INDEX($DU$4:$DU$53,(INT(57/$DS$17)+1)))</f>
        <v/>
      </c>
      <c r="EB71" t="n">
        <v>33.5</v>
      </c>
      <c r="EC71" t="n">
        <v>33.75</v>
      </c>
      <c r="ED71" t="n">
        <v>57</v>
      </c>
      <c r="EI71">
        <f>IF(AND(MOD(57,$EF$17)=0,MOD((INT(57/$EF$17)+1)-1,$EF$13/5)=0),INDEX($EN$4:$EN$53,(INT(57/$EF$17)+1)),"")</f>
        <v/>
      </c>
      <c r="EJ71">
        <f>IF(MOD(57,$EF$17)=$EF$17-1,0,INDEX($EH$4:$EH$53,(INT(57/$EF$17)+1)))</f>
        <v/>
      </c>
      <c r="EO71" t="n">
        <v>1.1725</v>
      </c>
      <c r="EP71" t="n">
        <v>1.18125</v>
      </c>
      <c r="EQ71" t="n">
        <v>45</v>
      </c>
      <c r="EV71">
        <f>IF(AND(MOD(57,$ES$17)=0,MOD((INT(57/$ES$17)+1)-1,$ES$13/5)=0),INDEX($FA$4:$FA$53,(INT(57/$ES$17)+1)),"")</f>
        <v/>
      </c>
      <c r="EW71">
        <f>IF(MOD(57,$ES$17)=$ES$17-1,0,INDEX($EU$4:$EU$53,(INT(57/$ES$17)+1)))</f>
        <v/>
      </c>
    </row>
    <row r="72">
      <c r="B72" t="n">
        <v>652</v>
      </c>
      <c r="C72" t="n">
        <v>652.75</v>
      </c>
      <c r="D72" t="n">
        <v>116</v>
      </c>
      <c r="I72">
        <f>IF(AND(MOD(58,$F$17)=0,MOD((INT(58/$F$17)+1)-1,$F$13/5)=0),INDEX($N$4:$N$53,(INT(58/$F$17)+1)),"")</f>
        <v/>
      </c>
      <c r="J72">
        <f>IF(MOD(58,$F$17)=$F$17-1,0,INDEX($H$4:$H$53,(INT(58/$F$17)+1)))</f>
        <v/>
      </c>
      <c r="O72" t="n">
        <v>20400</v>
      </c>
      <c r="P72" t="n">
        <v>20550</v>
      </c>
      <c r="Q72" t="n">
        <v>67</v>
      </c>
      <c r="V72">
        <f>IF(AND(MOD(58,$S$17)=0,MOD((INT(58/$S$17)+1)-1,$S$13/5)=0),INDEX($AA$4:$AA$53,(INT(58/$S$17)+1)),"")</f>
        <v/>
      </c>
      <c r="W72">
        <f>IF(MOD(58,$S$17)=$S$17-1,0,INDEX($U$4:$U$53,(INT(58/$S$17)+1)))</f>
        <v/>
      </c>
      <c r="AB72" t="n">
        <v>10200</v>
      </c>
      <c r="AC72" t="n">
        <v>10275</v>
      </c>
      <c r="AD72" t="n">
        <v>118</v>
      </c>
      <c r="AI72">
        <f>IF(AND(MOD(58,$AF$17)=0,MOD((INT(58/$AF$17)+1)-1,$AF$13/5)=0),INDEX($AN$4:$AN$53,(INT(58/$AF$17)+1)),"")</f>
        <v/>
      </c>
      <c r="AJ72">
        <f>IF(MOD(58,$AF$17)=$AF$17-1,0,INDEX($AH$4:$AH$53,(INT(58/$AF$17)+1)))</f>
        <v/>
      </c>
      <c r="AO72" t="n">
        <v>272000</v>
      </c>
      <c r="AP72" t="n">
        <v>274000</v>
      </c>
      <c r="AQ72" t="n">
        <v>141</v>
      </c>
      <c r="AV72">
        <f>IF(AND(MOD(58,$AS$17)=0,MOD((INT(58/$AS$17)+1)-1,$AS$13/5)=0),INDEX($BA$4:$BA$53,(INT(58/$AS$17)+1)),"")</f>
        <v/>
      </c>
      <c r="AW72">
        <f>IF(MOD(58,$AS$17)=$AS$17-1,0,INDEX($AU$4:$AU$53,(INT(58/$AS$17)+1)))</f>
        <v/>
      </c>
      <c r="BB72" t="n">
        <v>476000</v>
      </c>
      <c r="BC72" t="n">
        <v>479500</v>
      </c>
      <c r="BD72" t="n">
        <v>29</v>
      </c>
      <c r="BI72">
        <f>IF(AND(MOD(58,$BF$17)=0,MOD((INT(58/$BF$17)+1)-1,$BF$13/5)=0),INDEX($BN$4:$BN$53,(INT(58/$BF$17)+1)),"")</f>
        <v/>
      </c>
      <c r="BJ72">
        <f>IF(MOD(58,$BF$17)=$BF$17-1,0,INDEX($BH$4:$BH$53,(INT(58/$BF$17)+1)))</f>
        <v/>
      </c>
      <c r="BO72" t="n">
        <v>0.408</v>
      </c>
      <c r="BP72" t="n">
        <v>0.411</v>
      </c>
      <c r="BQ72" t="n">
        <v>54</v>
      </c>
      <c r="BV72">
        <f>IF(AND(MOD(58,$BS$17)=0,MOD((INT(58/$BS$17)+1)-1,$BS$13/5)=0),INDEX($CA$4:$CA$53,(INT(58/$BS$17)+1)),"")</f>
        <v/>
      </c>
      <c r="BW72">
        <f>IF(MOD(58,$BS$17)=$BS$17-1,0,INDEX($BU$4:$BU$53,(INT(58/$BS$17)+1)))</f>
        <v/>
      </c>
      <c r="CB72" t="n">
        <v>10.2</v>
      </c>
      <c r="CC72" t="n">
        <v>10.275</v>
      </c>
      <c r="CD72" t="n">
        <v>63</v>
      </c>
      <c r="CI72">
        <f>IF(AND(MOD(58,$CF$17)=0,MOD((INT(58/$CF$17)+1)-1,$CF$13/5)=0),INDEX($CN$4:$CN$53,(INT(58/$CF$17)+1)),"")</f>
        <v/>
      </c>
      <c r="CJ72">
        <f>IF(MOD(58,$CF$17)=$CF$17-1,0,INDEX($CH$4:$CH$53,(INT(58/$CF$17)+1)))</f>
        <v/>
      </c>
      <c r="CO72" t="n">
        <v>37.2</v>
      </c>
      <c r="CP72" t="n">
        <v>37.40000000000001</v>
      </c>
      <c r="CQ72" t="n">
        <v>92</v>
      </c>
      <c r="CV72">
        <f>IF(AND(MOD(58,$CS$17)=0,MOD((INT(58/$CS$17)+1)-1,$CS$13/5)=0),INDEX($DA$4:$DA$53,(INT(58/$CS$17)+1)),"")</f>
        <v/>
      </c>
      <c r="CW72">
        <f>IF(MOD(58,$CS$17)=$CS$17-1,0,INDEX($CU$4:$CU$53,(INT(58/$CS$17)+1)))</f>
        <v/>
      </c>
      <c r="DB72" t="n">
        <v>33.8</v>
      </c>
      <c r="DC72" t="n">
        <v>33.97499999999999</v>
      </c>
      <c r="DD72" t="n">
        <v>93</v>
      </c>
      <c r="DI72">
        <f>IF(AND(MOD(58,$DF$17)=0,MOD((INT(58/$DF$17)+1)-1,$DF$13/5)=0),INDEX($DN$4:$DN$53,(INT(58/$DF$17)+1)),"")</f>
        <v/>
      </c>
      <c r="DJ72">
        <f>IF(MOD(58,$DF$17)=$DF$17-1,0,INDEX($DH$4:$DH$53,(INT(58/$DF$17)+1)))</f>
        <v/>
      </c>
      <c r="DO72" t="n">
        <v>9.199999999999999</v>
      </c>
      <c r="DP72" t="n">
        <v>9.2125</v>
      </c>
      <c r="DQ72" t="n">
        <v>71</v>
      </c>
      <c r="DV72">
        <f>IF(AND(MOD(58,$DS$17)=0,MOD((INT(58/$DS$17)+1)-1,$DS$13/5)=0),INDEX($EA$4:$EA$53,(INT(58/$DS$17)+1)),"")</f>
        <v/>
      </c>
      <c r="DW72">
        <f>IF(MOD(58,$DS$17)=$DS$17-1,0,INDEX($DU$4:$DU$53,(INT(58/$DS$17)+1)))</f>
        <v/>
      </c>
      <c r="EB72" t="n">
        <v>34</v>
      </c>
      <c r="EC72" t="n">
        <v>34.25</v>
      </c>
      <c r="ED72" t="n">
        <v>80</v>
      </c>
      <c r="EI72">
        <f>IF(AND(MOD(58,$EF$17)=0,MOD((INT(58/$EF$17)+1)-1,$EF$13/5)=0),INDEX($EN$4:$EN$53,(INT(58/$EF$17)+1)),"")</f>
        <v/>
      </c>
      <c r="EJ72">
        <f>IF(MOD(58,$EF$17)=$EF$17-1,0,INDEX($EH$4:$EH$53,(INT(58/$EF$17)+1)))</f>
        <v/>
      </c>
      <c r="EO72" t="n">
        <v>1.19</v>
      </c>
      <c r="EP72" t="n">
        <v>1.19875</v>
      </c>
      <c r="EQ72" t="n">
        <v>47</v>
      </c>
      <c r="EV72">
        <f>IF(AND(MOD(58,$ES$17)=0,MOD((INT(58/$ES$17)+1)-1,$ES$13/5)=0),INDEX($FA$4:$FA$53,(INT(58/$ES$17)+1)),"")</f>
        <v/>
      </c>
      <c r="EW72">
        <f>IF(MOD(58,$ES$17)=$ES$17-1,0,INDEX($EU$4:$EU$53,(INT(58/$ES$17)+1)))</f>
        <v/>
      </c>
    </row>
    <row r="73">
      <c r="B73" t="n">
        <v>653.5</v>
      </c>
      <c r="C73" t="n">
        <v>654.25</v>
      </c>
      <c r="D73" t="n">
        <v>70</v>
      </c>
      <c r="I73">
        <f>IF(AND(MOD(59,$F$17)=0,MOD((INT(59/$F$17)+1)-1,$F$13/5)=0),INDEX($N$4:$N$53,(INT(59/$F$17)+1)),"")</f>
        <v/>
      </c>
      <c r="J73">
        <f>IF(MOD(59,$F$17)=$F$17-1,0,INDEX($H$4:$H$53,(INT(59/$F$17)+1)))</f>
        <v/>
      </c>
      <c r="O73" t="n">
        <v>20700</v>
      </c>
      <c r="P73" t="n">
        <v>20850</v>
      </c>
      <c r="Q73" t="n">
        <v>62</v>
      </c>
      <c r="V73">
        <f>IF(AND(MOD(59,$S$17)=0,MOD((INT(59/$S$17)+1)-1,$S$13/5)=0),INDEX($AA$4:$AA$53,(INT(59/$S$17)+1)),"")</f>
        <v/>
      </c>
      <c r="W73">
        <f>IF(MOD(59,$S$17)=$S$17-1,0,INDEX($U$4:$U$53,(INT(59/$S$17)+1)))</f>
        <v/>
      </c>
      <c r="AB73" t="n">
        <v>10350</v>
      </c>
      <c r="AC73" t="n">
        <v>10425</v>
      </c>
      <c r="AD73" t="n">
        <v>117</v>
      </c>
      <c r="AI73">
        <f>IF(AND(MOD(59,$AF$17)=0,MOD((INT(59/$AF$17)+1)-1,$AF$13/5)=0),INDEX($AN$4:$AN$53,(INT(59/$AF$17)+1)),"")</f>
        <v/>
      </c>
      <c r="AJ73">
        <f>IF(MOD(59,$AF$17)=$AF$17-1,0,INDEX($AH$4:$AH$53,(INT(59/$AF$17)+1)))</f>
        <v/>
      </c>
      <c r="AO73" t="n">
        <v>276000</v>
      </c>
      <c r="AP73" t="n">
        <v>278000</v>
      </c>
      <c r="AQ73" t="n">
        <v>130</v>
      </c>
      <c r="AV73">
        <f>IF(AND(MOD(59,$AS$17)=0,MOD((INT(59/$AS$17)+1)-1,$AS$13/5)=0),INDEX($BA$4:$BA$53,(INT(59/$AS$17)+1)),"")</f>
        <v/>
      </c>
      <c r="AW73">
        <f>IF(MOD(59,$AS$17)=$AS$17-1,0,INDEX($AU$4:$AU$53,(INT(59/$AS$17)+1)))</f>
        <v/>
      </c>
      <c r="BB73" t="n">
        <v>483000</v>
      </c>
      <c r="BC73" t="n">
        <v>486500</v>
      </c>
      <c r="BD73" t="n">
        <v>33</v>
      </c>
      <c r="BI73">
        <f>IF(AND(MOD(59,$BF$17)=0,MOD((INT(59/$BF$17)+1)-1,$BF$13/5)=0),INDEX($BN$4:$BN$53,(INT(59/$BF$17)+1)),"")</f>
        <v/>
      </c>
      <c r="BJ73">
        <f>IF(MOD(59,$BF$17)=$BF$17-1,0,INDEX($BH$4:$BH$53,(INT(59/$BF$17)+1)))</f>
        <v/>
      </c>
      <c r="BO73" t="n">
        <v>0.414</v>
      </c>
      <c r="BP73" t="n">
        <v>0.417</v>
      </c>
      <c r="BQ73" t="n">
        <v>57</v>
      </c>
      <c r="BV73">
        <f>IF(AND(MOD(59,$BS$17)=0,MOD((INT(59/$BS$17)+1)-1,$BS$13/5)=0),INDEX($CA$4:$CA$53,(INT(59/$BS$17)+1)),"")</f>
        <v/>
      </c>
      <c r="BW73">
        <f>IF(MOD(59,$BS$17)=$BS$17-1,0,INDEX($BU$4:$BU$53,(INT(59/$BS$17)+1)))</f>
        <v/>
      </c>
      <c r="CB73" t="n">
        <v>10.35</v>
      </c>
      <c r="CC73" t="n">
        <v>10.425</v>
      </c>
      <c r="CD73" t="n">
        <v>38</v>
      </c>
      <c r="CI73">
        <f>IF(AND(MOD(59,$CF$17)=0,MOD((INT(59/$CF$17)+1)-1,$CF$13/5)=0),INDEX($CN$4:$CN$53,(INT(59/$CF$17)+1)),"")</f>
        <v/>
      </c>
      <c r="CJ73">
        <f>IF(MOD(59,$CF$17)=$CF$17-1,0,INDEX($CH$4:$CH$53,(INT(59/$CF$17)+1)))</f>
        <v/>
      </c>
      <c r="CO73" t="n">
        <v>37.6</v>
      </c>
      <c r="CP73" t="n">
        <v>37.8</v>
      </c>
      <c r="CQ73" t="n">
        <v>91</v>
      </c>
      <c r="CV73">
        <f>IF(AND(MOD(59,$CS$17)=0,MOD((INT(59/$CS$17)+1)-1,$CS$13/5)=0),INDEX($DA$4:$DA$53,(INT(59/$CS$17)+1)),"")</f>
        <v/>
      </c>
      <c r="CW73">
        <f>IF(MOD(59,$CS$17)=$CS$17-1,0,INDEX($CU$4:$CU$53,(INT(59/$CS$17)+1)))</f>
        <v/>
      </c>
      <c r="DB73" t="n">
        <v>34.15</v>
      </c>
      <c r="DC73" t="n">
        <v>34.325</v>
      </c>
      <c r="DD73" t="n">
        <v>86</v>
      </c>
      <c r="DI73">
        <f>IF(AND(MOD(59,$DF$17)=0,MOD((INT(59/$DF$17)+1)-1,$DF$13/5)=0),INDEX($DN$4:$DN$53,(INT(59/$DF$17)+1)),"")</f>
        <v/>
      </c>
      <c r="DJ73">
        <f>IF(MOD(59,$DF$17)=$DF$17-1,0,INDEX($DH$4:$DH$53,(INT(59/$DF$17)+1)))</f>
        <v/>
      </c>
      <c r="DO73" t="n">
        <v>9.225</v>
      </c>
      <c r="DP73" t="n">
        <v>9.237500000000001</v>
      </c>
      <c r="DQ73" t="n">
        <v>88</v>
      </c>
      <c r="DV73">
        <f>IF(AND(MOD(59,$DS$17)=0,MOD((INT(59/$DS$17)+1)-1,$DS$13/5)=0),INDEX($EA$4:$EA$53,(INT(59/$DS$17)+1)),"")</f>
        <v/>
      </c>
      <c r="DW73">
        <f>IF(MOD(59,$DS$17)=$DS$17-1,0,INDEX($DU$4:$DU$53,(INT(59/$DS$17)+1)))</f>
        <v/>
      </c>
      <c r="EB73" t="n">
        <v>34.5</v>
      </c>
      <c r="EC73" t="n">
        <v>34.75</v>
      </c>
      <c r="ED73" t="n">
        <v>61</v>
      </c>
      <c r="EI73">
        <f>IF(AND(MOD(59,$EF$17)=0,MOD((INT(59/$EF$17)+1)-1,$EF$13/5)=0),INDEX($EN$4:$EN$53,(INT(59/$EF$17)+1)),"")</f>
        <v/>
      </c>
      <c r="EJ73">
        <f>IF(MOD(59,$EF$17)=$EF$17-1,0,INDEX($EH$4:$EH$53,(INT(59/$EF$17)+1)))</f>
        <v/>
      </c>
      <c r="EO73" t="n">
        <v>1.2075</v>
      </c>
      <c r="EP73" t="n">
        <v>1.21625</v>
      </c>
      <c r="EQ73" t="n">
        <v>47</v>
      </c>
      <c r="EV73">
        <f>IF(AND(MOD(59,$ES$17)=0,MOD((INT(59/$ES$17)+1)-1,$ES$13/5)=0),INDEX($FA$4:$FA$53,(INT(59/$ES$17)+1)),"")</f>
        <v/>
      </c>
      <c r="EW73">
        <f>IF(MOD(59,$ES$17)=$ES$17-1,0,INDEX($EU$4:$EU$53,(INT(59/$ES$17)+1)))</f>
        <v/>
      </c>
    </row>
    <row r="74">
      <c r="B74" t="n">
        <v>655</v>
      </c>
      <c r="C74" t="n">
        <v>655.75</v>
      </c>
      <c r="D74" t="n">
        <v>130</v>
      </c>
      <c r="I74">
        <f>IF(AND(MOD(60,$F$17)=0,MOD((INT(60/$F$17)+1)-1,$F$13/5)=0),INDEX($N$4:$N$53,(INT(60/$F$17)+1)),"")</f>
        <v/>
      </c>
      <c r="J74">
        <f>IF(MOD(60,$F$17)=$F$17-1,0,INDEX($H$4:$H$53,(INT(60/$F$17)+1)))</f>
        <v/>
      </c>
      <c r="O74" t="n">
        <v>21000</v>
      </c>
      <c r="P74" t="n">
        <v>21150</v>
      </c>
      <c r="Q74" t="n">
        <v>60</v>
      </c>
      <c r="V74">
        <f>IF(AND(MOD(60,$S$17)=0,MOD((INT(60/$S$17)+1)-1,$S$13/5)=0),INDEX($AA$4:$AA$53,(INT(60/$S$17)+1)),"")</f>
        <v/>
      </c>
      <c r="W74">
        <f>IF(MOD(60,$S$17)=$S$17-1,0,INDEX($U$4:$U$53,(INT(60/$S$17)+1)))</f>
        <v/>
      </c>
      <c r="AB74" t="n">
        <v>10500</v>
      </c>
      <c r="AC74" t="n">
        <v>10575</v>
      </c>
      <c r="AD74" t="n">
        <v>117</v>
      </c>
      <c r="AI74">
        <f>IF(AND(MOD(60,$AF$17)=0,MOD((INT(60/$AF$17)+1)-1,$AF$13/5)=0),INDEX($AN$4:$AN$53,(INT(60/$AF$17)+1)),"")</f>
        <v/>
      </c>
      <c r="AJ74">
        <f>IF(MOD(60,$AF$17)=$AF$17-1,0,INDEX($AH$4:$AH$53,(INT(60/$AF$17)+1)))</f>
        <v/>
      </c>
      <c r="AO74" t="n">
        <v>280000</v>
      </c>
      <c r="AP74" t="n">
        <v>282000</v>
      </c>
      <c r="AQ74" t="n">
        <v>143</v>
      </c>
      <c r="AV74">
        <f>IF(AND(MOD(60,$AS$17)=0,MOD((INT(60/$AS$17)+1)-1,$AS$13/5)=0),INDEX($BA$4:$BA$53,(INT(60/$AS$17)+1)),"")</f>
        <v/>
      </c>
      <c r="AW74">
        <f>IF(MOD(60,$AS$17)=$AS$17-1,0,INDEX($AU$4:$AU$53,(INT(60/$AS$17)+1)))</f>
        <v/>
      </c>
      <c r="BB74" t="n">
        <v>490000</v>
      </c>
      <c r="BC74" t="n">
        <v>493500</v>
      </c>
      <c r="BD74" t="n">
        <v>26</v>
      </c>
      <c r="BI74">
        <f>IF(AND(MOD(60,$BF$17)=0,MOD((INT(60/$BF$17)+1)-1,$BF$13/5)=0),INDEX($BN$4:$BN$53,(INT(60/$BF$17)+1)),"")</f>
        <v/>
      </c>
      <c r="BJ74">
        <f>IF(MOD(60,$BF$17)=$BF$17-1,0,INDEX($BH$4:$BH$53,(INT(60/$BF$17)+1)))</f>
        <v/>
      </c>
      <c r="BO74" t="n">
        <v>0.42</v>
      </c>
      <c r="BP74" t="n">
        <v>0.423</v>
      </c>
      <c r="BQ74" t="n">
        <v>66</v>
      </c>
      <c r="BV74">
        <f>IF(AND(MOD(60,$BS$17)=0,MOD((INT(60/$BS$17)+1)-1,$BS$13/5)=0),INDEX($CA$4:$CA$53,(INT(60/$BS$17)+1)),"")</f>
        <v/>
      </c>
      <c r="BW74">
        <f>IF(MOD(60,$BS$17)=$BS$17-1,0,INDEX($BU$4:$BU$53,(INT(60/$BS$17)+1)))</f>
        <v/>
      </c>
      <c r="CB74" t="n">
        <v>10.5</v>
      </c>
      <c r="CC74" t="n">
        <v>10.575</v>
      </c>
      <c r="CD74" t="n">
        <v>81</v>
      </c>
      <c r="CI74">
        <f>IF(AND(MOD(60,$CF$17)=0,MOD((INT(60/$CF$17)+1)-1,$CF$13/5)=0),INDEX($CN$4:$CN$53,(INT(60/$CF$17)+1)),"")</f>
        <v/>
      </c>
      <c r="CJ74">
        <f>IF(MOD(60,$CF$17)=$CF$17-1,0,INDEX($CH$4:$CH$53,(INT(60/$CF$17)+1)))</f>
        <v/>
      </c>
      <c r="CO74" t="n">
        <v>38</v>
      </c>
      <c r="CP74" t="n">
        <v>38.2</v>
      </c>
      <c r="CQ74" t="n">
        <v>105</v>
      </c>
      <c r="CV74">
        <f>IF(AND(MOD(60,$CS$17)=0,MOD((INT(60/$CS$17)+1)-1,$CS$13/5)=0),INDEX($DA$4:$DA$53,(INT(60/$CS$17)+1)),"")</f>
        <v/>
      </c>
      <c r="CW74">
        <f>IF(MOD(60,$CS$17)=$CS$17-1,0,INDEX($CU$4:$CU$53,(INT(60/$CS$17)+1)))</f>
        <v/>
      </c>
      <c r="DB74" t="n">
        <v>34.5</v>
      </c>
      <c r="DC74" t="n">
        <v>34.675</v>
      </c>
      <c r="DD74" t="n">
        <v>94</v>
      </c>
      <c r="DI74">
        <f>IF(AND(MOD(60,$DF$17)=0,MOD((INT(60/$DF$17)+1)-1,$DF$13/5)=0),INDEX($DN$4:$DN$53,(INT(60/$DF$17)+1)),"")</f>
        <v/>
      </c>
      <c r="DJ74">
        <f>IF(MOD(60,$DF$17)=$DF$17-1,0,INDEX($DH$4:$DH$53,(INT(60/$DF$17)+1)))</f>
        <v/>
      </c>
      <c r="DO74" t="n">
        <v>9.25</v>
      </c>
      <c r="DP74" t="n">
        <v>9.262499999999999</v>
      </c>
      <c r="DQ74" t="n">
        <v>92</v>
      </c>
      <c r="DV74">
        <f>IF(AND(MOD(60,$DS$17)=0,MOD((INT(60/$DS$17)+1)-1,$DS$13/5)=0),INDEX($EA$4:$EA$53,(INT(60/$DS$17)+1)),"")</f>
        <v/>
      </c>
      <c r="DW74">
        <f>IF(MOD(60,$DS$17)=$DS$17-1,0,INDEX($DU$4:$DU$53,(INT(60/$DS$17)+1)))</f>
        <v/>
      </c>
      <c r="EB74" t="n">
        <v>35</v>
      </c>
      <c r="EC74" t="n">
        <v>35.25</v>
      </c>
      <c r="ED74" t="n">
        <v>62</v>
      </c>
      <c r="EI74">
        <f>IF(AND(MOD(60,$EF$17)=0,MOD((INT(60/$EF$17)+1)-1,$EF$13/5)=0),INDEX($EN$4:$EN$53,(INT(60/$EF$17)+1)),"")</f>
        <v/>
      </c>
      <c r="EJ74">
        <f>IF(MOD(60,$EF$17)=$EF$17-1,0,INDEX($EH$4:$EH$53,(INT(60/$EF$17)+1)))</f>
        <v/>
      </c>
      <c r="EO74" t="n">
        <v>1.225</v>
      </c>
      <c r="EP74" t="n">
        <v>1.23375</v>
      </c>
      <c r="EQ74" t="n">
        <v>40</v>
      </c>
      <c r="EV74">
        <f>IF(AND(MOD(60,$ES$17)=0,MOD((INT(60/$ES$17)+1)-1,$ES$13/5)=0),INDEX($FA$4:$FA$53,(INT(60/$ES$17)+1)),"")</f>
        <v/>
      </c>
      <c r="EW74">
        <f>IF(MOD(60,$ES$17)=$ES$17-1,0,INDEX($EU$4:$EU$53,(INT(60/$ES$17)+1)))</f>
        <v/>
      </c>
    </row>
    <row r="75">
      <c r="B75" t="n">
        <v>656.5</v>
      </c>
      <c r="C75" t="n">
        <v>657.25</v>
      </c>
      <c r="D75" t="n">
        <v>69</v>
      </c>
      <c r="I75">
        <f>IF(AND(MOD(61,$F$17)=0,MOD((INT(61/$F$17)+1)-1,$F$13/5)=0),INDEX($N$4:$N$53,(INT(61/$F$17)+1)),"")</f>
        <v/>
      </c>
      <c r="J75">
        <f>IF(MOD(61,$F$17)=$F$17-1,0,INDEX($H$4:$H$53,(INT(61/$F$17)+1)))</f>
        <v/>
      </c>
      <c r="O75" t="n">
        <v>21300</v>
      </c>
      <c r="P75" t="n">
        <v>21450</v>
      </c>
      <c r="Q75" t="n">
        <v>73</v>
      </c>
      <c r="V75">
        <f>IF(AND(MOD(61,$S$17)=0,MOD((INT(61/$S$17)+1)-1,$S$13/5)=0),INDEX($AA$4:$AA$53,(INT(61/$S$17)+1)),"")</f>
        <v/>
      </c>
      <c r="W75">
        <f>IF(MOD(61,$S$17)=$S$17-1,0,INDEX($U$4:$U$53,(INT(61/$S$17)+1)))</f>
        <v/>
      </c>
      <c r="AB75" t="n">
        <v>10650</v>
      </c>
      <c r="AC75" t="n">
        <v>10725</v>
      </c>
      <c r="AD75" t="n">
        <v>138</v>
      </c>
      <c r="AI75">
        <f>IF(AND(MOD(61,$AF$17)=0,MOD((INT(61/$AF$17)+1)-1,$AF$13/5)=0),INDEX($AN$4:$AN$53,(INT(61/$AF$17)+1)),"")</f>
        <v/>
      </c>
      <c r="AJ75">
        <f>IF(MOD(61,$AF$17)=$AF$17-1,0,INDEX($AH$4:$AH$53,(INT(61/$AF$17)+1)))</f>
        <v/>
      </c>
      <c r="AO75" t="n">
        <v>284000</v>
      </c>
      <c r="AP75" t="n">
        <v>286000</v>
      </c>
      <c r="AQ75" t="n">
        <v>139</v>
      </c>
      <c r="AV75">
        <f>IF(AND(MOD(61,$AS$17)=0,MOD((INT(61/$AS$17)+1)-1,$AS$13/5)=0),INDEX($BA$4:$BA$53,(INT(61/$AS$17)+1)),"")</f>
        <v/>
      </c>
      <c r="AW75">
        <f>IF(MOD(61,$AS$17)=$AS$17-1,0,INDEX($AU$4:$AU$53,(INT(61/$AS$17)+1)))</f>
        <v/>
      </c>
      <c r="BB75" t="n">
        <v>497000</v>
      </c>
      <c r="BC75" t="n">
        <v>500500</v>
      </c>
      <c r="BD75" t="n">
        <v>23</v>
      </c>
      <c r="BI75">
        <f>IF(AND(MOD(61,$BF$17)=0,MOD((INT(61/$BF$17)+1)-1,$BF$13/5)=0),INDEX($BN$4:$BN$53,(INT(61/$BF$17)+1)),"")</f>
        <v/>
      </c>
      <c r="BJ75">
        <f>IF(MOD(61,$BF$17)=$BF$17-1,0,INDEX($BH$4:$BH$53,(INT(61/$BF$17)+1)))</f>
        <v/>
      </c>
      <c r="BO75" t="n">
        <v>0.426</v>
      </c>
      <c r="BP75" t="n">
        <v>0.429</v>
      </c>
      <c r="BQ75" t="n">
        <v>55</v>
      </c>
      <c r="BV75">
        <f>IF(AND(MOD(61,$BS$17)=0,MOD((INT(61/$BS$17)+1)-1,$BS$13/5)=0),INDEX($CA$4:$CA$53,(INT(61/$BS$17)+1)),"")</f>
        <v/>
      </c>
      <c r="BW75">
        <f>IF(MOD(61,$BS$17)=$BS$17-1,0,INDEX($BU$4:$BU$53,(INT(61/$BS$17)+1)))</f>
        <v/>
      </c>
      <c r="CB75" t="n">
        <v>10.65</v>
      </c>
      <c r="CC75" t="n">
        <v>10.725</v>
      </c>
      <c r="CD75" t="n">
        <v>36</v>
      </c>
      <c r="CI75">
        <f>IF(AND(MOD(61,$CF$17)=0,MOD((INT(61/$CF$17)+1)-1,$CF$13/5)=0),INDEX($CN$4:$CN$53,(INT(61/$CF$17)+1)),"")</f>
        <v/>
      </c>
      <c r="CJ75">
        <f>IF(MOD(61,$CF$17)=$CF$17-1,0,INDEX($CH$4:$CH$53,(INT(61/$CF$17)+1)))</f>
        <v/>
      </c>
      <c r="CO75" t="n">
        <v>38.40000000000001</v>
      </c>
      <c r="CP75" t="n">
        <v>38.6</v>
      </c>
      <c r="CQ75" t="n">
        <v>96</v>
      </c>
      <c r="CV75">
        <f>IF(AND(MOD(61,$CS$17)=0,MOD((INT(61/$CS$17)+1)-1,$CS$13/5)=0),INDEX($DA$4:$DA$53,(INT(61/$CS$17)+1)),"")</f>
        <v/>
      </c>
      <c r="CW75">
        <f>IF(MOD(61,$CS$17)=$CS$17-1,0,INDEX($CU$4:$CU$53,(INT(61/$CS$17)+1)))</f>
        <v/>
      </c>
      <c r="DB75" t="n">
        <v>34.84999999999999</v>
      </c>
      <c r="DC75" t="n">
        <v>35.025</v>
      </c>
      <c r="DD75" t="n">
        <v>94</v>
      </c>
      <c r="DI75">
        <f>IF(AND(MOD(61,$DF$17)=0,MOD((INT(61/$DF$17)+1)-1,$DF$13/5)=0),INDEX($DN$4:$DN$53,(INT(61/$DF$17)+1)),"")</f>
        <v/>
      </c>
      <c r="DJ75">
        <f>IF(MOD(61,$DF$17)=$DF$17-1,0,INDEX($DH$4:$DH$53,(INT(61/$DF$17)+1)))</f>
        <v/>
      </c>
      <c r="DO75" t="n">
        <v>9.275</v>
      </c>
      <c r="DP75" t="n">
        <v>9.2875</v>
      </c>
      <c r="DQ75" t="n">
        <v>81</v>
      </c>
      <c r="DV75">
        <f>IF(AND(MOD(61,$DS$17)=0,MOD((INT(61/$DS$17)+1)-1,$DS$13/5)=0),INDEX($EA$4:$EA$53,(INT(61/$DS$17)+1)),"")</f>
        <v/>
      </c>
      <c r="DW75">
        <f>IF(MOD(61,$DS$17)=$DS$17-1,0,INDEX($DU$4:$DU$53,(INT(61/$DS$17)+1)))</f>
        <v/>
      </c>
      <c r="EB75" t="n">
        <v>35.5</v>
      </c>
      <c r="EC75" t="n">
        <v>35.75</v>
      </c>
      <c r="ED75" t="n">
        <v>63</v>
      </c>
      <c r="EI75">
        <f>IF(AND(MOD(61,$EF$17)=0,MOD((INT(61/$EF$17)+1)-1,$EF$13/5)=0),INDEX($EN$4:$EN$53,(INT(61/$EF$17)+1)),"")</f>
        <v/>
      </c>
      <c r="EJ75">
        <f>IF(MOD(61,$EF$17)=$EF$17-1,0,INDEX($EH$4:$EH$53,(INT(61/$EF$17)+1)))</f>
        <v/>
      </c>
      <c r="EO75" t="n">
        <v>1.2425</v>
      </c>
      <c r="EP75" t="n">
        <v>1.25125</v>
      </c>
      <c r="EQ75" t="n">
        <v>36</v>
      </c>
      <c r="EV75">
        <f>IF(AND(MOD(61,$ES$17)=0,MOD((INT(61/$ES$17)+1)-1,$ES$13/5)=0),INDEX($FA$4:$FA$53,(INT(61/$ES$17)+1)),"")</f>
        <v/>
      </c>
      <c r="EW75">
        <f>IF(MOD(61,$ES$17)=$ES$17-1,0,INDEX($EU$4:$EU$53,(INT(61/$ES$17)+1)))</f>
        <v/>
      </c>
    </row>
    <row r="76">
      <c r="B76" t="n">
        <v>658</v>
      </c>
      <c r="C76" t="n">
        <v>658.75</v>
      </c>
      <c r="D76" t="n">
        <v>125</v>
      </c>
      <c r="I76">
        <f>IF(AND(MOD(62,$F$17)=0,MOD((INT(62/$F$17)+1)-1,$F$13/5)=0),INDEX($N$4:$N$53,(INT(62/$F$17)+1)),"")</f>
        <v/>
      </c>
      <c r="J76">
        <f>IF(MOD(62,$F$17)=$F$17-1,0,INDEX($H$4:$H$53,(INT(62/$F$17)+1)))</f>
        <v/>
      </c>
      <c r="O76" t="n">
        <v>21600</v>
      </c>
      <c r="P76" t="n">
        <v>21750</v>
      </c>
      <c r="Q76" t="n">
        <v>73</v>
      </c>
      <c r="V76">
        <f>IF(AND(MOD(62,$S$17)=0,MOD((INT(62/$S$17)+1)-1,$S$13/5)=0),INDEX($AA$4:$AA$53,(INT(62/$S$17)+1)),"")</f>
        <v/>
      </c>
      <c r="W76">
        <f>IF(MOD(62,$S$17)=$S$17-1,0,INDEX($U$4:$U$53,(INT(62/$S$17)+1)))</f>
        <v/>
      </c>
      <c r="AB76" t="n">
        <v>10800</v>
      </c>
      <c r="AC76" t="n">
        <v>10875</v>
      </c>
      <c r="AD76" t="n">
        <v>128</v>
      </c>
      <c r="AI76">
        <f>IF(AND(MOD(62,$AF$17)=0,MOD((INT(62/$AF$17)+1)-1,$AF$13/5)=0),INDEX($AN$4:$AN$53,(INT(62/$AF$17)+1)),"")</f>
        <v/>
      </c>
      <c r="AJ76">
        <f>IF(MOD(62,$AF$17)=$AF$17-1,0,INDEX($AH$4:$AH$53,(INT(62/$AF$17)+1)))</f>
        <v/>
      </c>
      <c r="AO76" t="n">
        <v>288000</v>
      </c>
      <c r="AP76" t="n">
        <v>290000</v>
      </c>
      <c r="AQ76" t="n">
        <v>110</v>
      </c>
      <c r="AV76">
        <f>IF(AND(MOD(62,$AS$17)=0,MOD((INT(62/$AS$17)+1)-1,$AS$13/5)=0),INDEX($BA$4:$BA$53,(INT(62/$AS$17)+1)),"")</f>
        <v/>
      </c>
      <c r="AW76">
        <f>IF(MOD(62,$AS$17)=$AS$17-1,0,INDEX($AU$4:$AU$53,(INT(62/$AS$17)+1)))</f>
        <v/>
      </c>
      <c r="BB76" t="n">
        <v>504000</v>
      </c>
      <c r="BC76" t="n">
        <v>507500</v>
      </c>
      <c r="BD76" t="n">
        <v>21</v>
      </c>
      <c r="BI76">
        <f>IF(AND(MOD(62,$BF$17)=0,MOD((INT(62/$BF$17)+1)-1,$BF$13/5)=0),INDEX($BN$4:$BN$53,(INT(62/$BF$17)+1)),"")</f>
        <v/>
      </c>
      <c r="BJ76">
        <f>IF(MOD(62,$BF$17)=$BF$17-1,0,INDEX($BH$4:$BH$53,(INT(62/$BF$17)+1)))</f>
        <v/>
      </c>
      <c r="BO76" t="n">
        <v>0.432</v>
      </c>
      <c r="BP76" t="n">
        <v>0.435</v>
      </c>
      <c r="BQ76" t="n">
        <v>69</v>
      </c>
      <c r="BV76">
        <f>IF(AND(MOD(62,$BS$17)=0,MOD((INT(62/$BS$17)+1)-1,$BS$13/5)=0),INDEX($CA$4:$CA$53,(INT(62/$BS$17)+1)),"")</f>
        <v/>
      </c>
      <c r="BW76">
        <f>IF(MOD(62,$BS$17)=$BS$17-1,0,INDEX($BU$4:$BU$53,(INT(62/$BS$17)+1)))</f>
        <v/>
      </c>
      <c r="CB76" t="n">
        <v>10.8</v>
      </c>
      <c r="CC76" t="n">
        <v>10.875</v>
      </c>
      <c r="CD76" t="n">
        <v>60</v>
      </c>
      <c r="CI76">
        <f>IF(AND(MOD(62,$CF$17)=0,MOD((INT(62/$CF$17)+1)-1,$CF$13/5)=0),INDEX($CN$4:$CN$53,(INT(62/$CF$17)+1)),"")</f>
        <v/>
      </c>
      <c r="CJ76">
        <f>IF(MOD(62,$CF$17)=$CF$17-1,0,INDEX($CH$4:$CH$53,(INT(62/$CF$17)+1)))</f>
        <v/>
      </c>
      <c r="CO76" t="n">
        <v>38.8</v>
      </c>
      <c r="CP76" t="n">
        <v>39</v>
      </c>
      <c r="CQ76" t="n">
        <v>88</v>
      </c>
      <c r="CV76">
        <f>IF(AND(MOD(62,$CS$17)=0,MOD((INT(62/$CS$17)+1)-1,$CS$13/5)=0),INDEX($DA$4:$DA$53,(INT(62/$CS$17)+1)),"")</f>
        <v/>
      </c>
      <c r="CW76">
        <f>IF(MOD(62,$CS$17)=$CS$17-1,0,INDEX($CU$4:$CU$53,(INT(62/$CS$17)+1)))</f>
        <v/>
      </c>
      <c r="DB76" t="n">
        <v>35.2</v>
      </c>
      <c r="DC76" t="n">
        <v>35.375</v>
      </c>
      <c r="DD76" t="n">
        <v>91</v>
      </c>
      <c r="DI76">
        <f>IF(AND(MOD(62,$DF$17)=0,MOD((INT(62/$DF$17)+1)-1,$DF$13/5)=0),INDEX($DN$4:$DN$53,(INT(62/$DF$17)+1)),"")</f>
        <v/>
      </c>
      <c r="DJ76">
        <f>IF(MOD(62,$DF$17)=$DF$17-1,0,INDEX($DH$4:$DH$53,(INT(62/$DF$17)+1)))</f>
        <v/>
      </c>
      <c r="DO76" t="n">
        <v>9.300000000000001</v>
      </c>
      <c r="DP76" t="n">
        <v>9.3125</v>
      </c>
      <c r="DQ76" t="n">
        <v>109</v>
      </c>
      <c r="DV76">
        <f>IF(AND(MOD(62,$DS$17)=0,MOD((INT(62/$DS$17)+1)-1,$DS$13/5)=0),INDEX($EA$4:$EA$53,(INT(62/$DS$17)+1)),"")</f>
        <v/>
      </c>
      <c r="DW76">
        <f>IF(MOD(62,$DS$17)=$DS$17-1,0,INDEX($DU$4:$DU$53,(INT(62/$DS$17)+1)))</f>
        <v/>
      </c>
      <c r="EB76" t="n">
        <v>36</v>
      </c>
      <c r="EC76" t="n">
        <v>36.25</v>
      </c>
      <c r="ED76" t="n">
        <v>78</v>
      </c>
      <c r="EI76">
        <f>IF(AND(MOD(62,$EF$17)=0,MOD((INT(62/$EF$17)+1)-1,$EF$13/5)=0),INDEX($EN$4:$EN$53,(INT(62/$EF$17)+1)),"")</f>
        <v/>
      </c>
      <c r="EJ76">
        <f>IF(MOD(62,$EF$17)=$EF$17-1,0,INDEX($EH$4:$EH$53,(INT(62/$EF$17)+1)))</f>
        <v/>
      </c>
      <c r="EO76" t="n">
        <v>1.26</v>
      </c>
      <c r="EP76" t="n">
        <v>1.26875</v>
      </c>
      <c r="EQ76" t="n">
        <v>48</v>
      </c>
      <c r="EV76">
        <f>IF(AND(MOD(62,$ES$17)=0,MOD((INT(62/$ES$17)+1)-1,$ES$13/5)=0),INDEX($FA$4:$FA$53,(INT(62/$ES$17)+1)),"")</f>
        <v/>
      </c>
      <c r="EW76">
        <f>IF(MOD(62,$ES$17)=$ES$17-1,0,INDEX($EU$4:$EU$53,(INT(62/$ES$17)+1)))</f>
        <v/>
      </c>
    </row>
    <row r="77">
      <c r="B77" t="n">
        <v>659.5</v>
      </c>
      <c r="C77" t="n">
        <v>660.25</v>
      </c>
      <c r="D77" t="n">
        <v>70</v>
      </c>
      <c r="I77">
        <f>IF(AND(MOD(63,$F$17)=0,MOD((INT(63/$F$17)+1)-1,$F$13/5)=0),INDEX($N$4:$N$53,(INT(63/$F$17)+1)),"")</f>
        <v/>
      </c>
      <c r="J77">
        <f>IF(MOD(63,$F$17)=$F$17-1,0,INDEX($H$4:$H$53,(INT(63/$F$17)+1)))</f>
        <v/>
      </c>
      <c r="O77" t="n">
        <v>21900</v>
      </c>
      <c r="P77" t="n">
        <v>22050</v>
      </c>
      <c r="Q77" t="n">
        <v>59</v>
      </c>
      <c r="V77">
        <f>IF(AND(MOD(63,$S$17)=0,MOD((INT(63/$S$17)+1)-1,$S$13/5)=0),INDEX($AA$4:$AA$53,(INT(63/$S$17)+1)),"")</f>
        <v/>
      </c>
      <c r="W77">
        <f>IF(MOD(63,$S$17)=$S$17-1,0,INDEX($U$4:$U$53,(INT(63/$S$17)+1)))</f>
        <v/>
      </c>
      <c r="AB77" t="n">
        <v>10950</v>
      </c>
      <c r="AC77" t="n">
        <v>11025</v>
      </c>
      <c r="AD77" t="n">
        <v>106</v>
      </c>
      <c r="AI77">
        <f>IF(AND(MOD(63,$AF$17)=0,MOD((INT(63/$AF$17)+1)-1,$AF$13/5)=0),INDEX($AN$4:$AN$53,(INT(63/$AF$17)+1)),"")</f>
        <v/>
      </c>
      <c r="AJ77">
        <f>IF(MOD(63,$AF$17)=$AF$17-1,0,INDEX($AH$4:$AH$53,(INT(63/$AF$17)+1)))</f>
        <v/>
      </c>
      <c r="AO77" t="n">
        <v>292000</v>
      </c>
      <c r="AP77" t="n">
        <v>294000</v>
      </c>
      <c r="AQ77" t="n">
        <v>120</v>
      </c>
      <c r="AV77">
        <f>IF(AND(MOD(63,$AS$17)=0,MOD((INT(63/$AS$17)+1)-1,$AS$13/5)=0),INDEX($BA$4:$BA$53,(INT(63/$AS$17)+1)),"")</f>
        <v/>
      </c>
      <c r="AW77">
        <f>IF(MOD(63,$AS$17)=$AS$17-1,0,INDEX($AU$4:$AU$53,(INT(63/$AS$17)+1)))</f>
        <v/>
      </c>
      <c r="BB77" t="n">
        <v>511000</v>
      </c>
      <c r="BC77" t="n">
        <v>514500</v>
      </c>
      <c r="BD77" t="n">
        <v>30</v>
      </c>
      <c r="BI77">
        <f>IF(AND(MOD(63,$BF$17)=0,MOD((INT(63/$BF$17)+1)-1,$BF$13/5)=0),INDEX($BN$4:$BN$53,(INT(63/$BF$17)+1)),"")</f>
        <v/>
      </c>
      <c r="BJ77">
        <f>IF(MOD(63,$BF$17)=$BF$17-1,0,INDEX($BH$4:$BH$53,(INT(63/$BF$17)+1)))</f>
        <v/>
      </c>
      <c r="BO77" t="n">
        <v>0.438</v>
      </c>
      <c r="BP77" t="n">
        <v>0.441</v>
      </c>
      <c r="BQ77" t="n">
        <v>69</v>
      </c>
      <c r="BV77">
        <f>IF(AND(MOD(63,$BS$17)=0,MOD((INT(63/$BS$17)+1)-1,$BS$13/5)=0),INDEX($CA$4:$CA$53,(INT(63/$BS$17)+1)),"")</f>
        <v/>
      </c>
      <c r="BW77">
        <f>IF(MOD(63,$BS$17)=$BS$17-1,0,INDEX($BU$4:$BU$53,(INT(63/$BS$17)+1)))</f>
        <v/>
      </c>
      <c r="CB77" t="n">
        <v>10.95</v>
      </c>
      <c r="CC77" t="n">
        <v>11.025</v>
      </c>
      <c r="CD77" t="n">
        <v>32</v>
      </c>
      <c r="CI77">
        <f>IF(AND(MOD(63,$CF$17)=0,MOD((INT(63/$CF$17)+1)-1,$CF$13/5)=0),INDEX($CN$4:$CN$53,(INT(63/$CF$17)+1)),"")</f>
        <v/>
      </c>
      <c r="CJ77">
        <f>IF(MOD(63,$CF$17)=$CF$17-1,0,INDEX($CH$4:$CH$53,(INT(63/$CF$17)+1)))</f>
        <v/>
      </c>
      <c r="CO77" t="n">
        <v>39.2</v>
      </c>
      <c r="CP77" t="n">
        <v>39.40000000000001</v>
      </c>
      <c r="CQ77" t="n">
        <v>98</v>
      </c>
      <c r="CV77">
        <f>IF(AND(MOD(63,$CS$17)=0,MOD((INT(63/$CS$17)+1)-1,$CS$13/5)=0),INDEX($DA$4:$DA$53,(INT(63/$CS$17)+1)),"")</f>
        <v/>
      </c>
      <c r="CW77">
        <f>IF(MOD(63,$CS$17)=$CS$17-1,0,INDEX($CU$4:$CU$53,(INT(63/$CS$17)+1)))</f>
        <v/>
      </c>
      <c r="DB77" t="n">
        <v>35.55</v>
      </c>
      <c r="DC77" t="n">
        <v>35.72499999999999</v>
      </c>
      <c r="DD77" t="n">
        <v>99</v>
      </c>
      <c r="DI77">
        <f>IF(AND(MOD(63,$DF$17)=0,MOD((INT(63/$DF$17)+1)-1,$DF$13/5)=0),INDEX($DN$4:$DN$53,(INT(63/$DF$17)+1)),"")</f>
        <v/>
      </c>
      <c r="DJ77">
        <f>IF(MOD(63,$DF$17)=$DF$17-1,0,INDEX($DH$4:$DH$53,(INT(63/$DF$17)+1)))</f>
        <v/>
      </c>
      <c r="DO77" t="n">
        <v>9.324999999999999</v>
      </c>
      <c r="DP77" t="n">
        <v>9.3375</v>
      </c>
      <c r="DQ77" t="n">
        <v>106</v>
      </c>
      <c r="DV77">
        <f>IF(AND(MOD(63,$DS$17)=0,MOD((INT(63/$DS$17)+1)-1,$DS$13/5)=0),INDEX($EA$4:$EA$53,(INT(63/$DS$17)+1)),"")</f>
        <v/>
      </c>
      <c r="DW77">
        <f>IF(MOD(63,$DS$17)=$DS$17-1,0,INDEX($DU$4:$DU$53,(INT(63/$DS$17)+1)))</f>
        <v/>
      </c>
      <c r="EB77" t="n">
        <v>36.5</v>
      </c>
      <c r="EC77" t="n">
        <v>36.75</v>
      </c>
      <c r="ED77" t="n">
        <v>57</v>
      </c>
      <c r="EI77">
        <f>IF(AND(MOD(63,$EF$17)=0,MOD((INT(63/$EF$17)+1)-1,$EF$13/5)=0),INDEX($EN$4:$EN$53,(INT(63/$EF$17)+1)),"")</f>
        <v/>
      </c>
      <c r="EJ77">
        <f>IF(MOD(63,$EF$17)=$EF$17-1,0,INDEX($EH$4:$EH$53,(INT(63/$EF$17)+1)))</f>
        <v/>
      </c>
      <c r="EO77" t="n">
        <v>1.2775</v>
      </c>
      <c r="EP77" t="n">
        <v>1.28625</v>
      </c>
      <c r="EQ77" t="n">
        <v>43</v>
      </c>
      <c r="EV77">
        <f>IF(AND(MOD(63,$ES$17)=0,MOD((INT(63/$ES$17)+1)-1,$ES$13/5)=0),INDEX($FA$4:$FA$53,(INT(63/$ES$17)+1)),"")</f>
        <v/>
      </c>
      <c r="EW77">
        <f>IF(MOD(63,$ES$17)=$ES$17-1,0,INDEX($EU$4:$EU$53,(INT(63/$ES$17)+1)))</f>
        <v/>
      </c>
    </row>
    <row r="78">
      <c r="B78" t="n">
        <v>661</v>
      </c>
      <c r="C78" t="n">
        <v>661.75</v>
      </c>
      <c r="D78" t="n">
        <v>119</v>
      </c>
      <c r="I78">
        <f>IF(AND(MOD(64,$F$17)=0,MOD((INT(64/$F$17)+1)-1,$F$13/5)=0),INDEX($N$4:$N$53,(INT(64/$F$17)+1)),"")</f>
        <v/>
      </c>
      <c r="J78">
        <f>IF(MOD(64,$F$17)=$F$17-1,0,INDEX($H$4:$H$53,(INT(64/$F$17)+1)))</f>
        <v/>
      </c>
      <c r="O78" t="n">
        <v>22200</v>
      </c>
      <c r="P78" t="n">
        <v>22350</v>
      </c>
      <c r="Q78" t="n">
        <v>58</v>
      </c>
      <c r="V78">
        <f>IF(AND(MOD(64,$S$17)=0,MOD((INT(64/$S$17)+1)-1,$S$13/5)=0),INDEX($AA$4:$AA$53,(INT(64/$S$17)+1)),"")</f>
        <v/>
      </c>
      <c r="W78">
        <f>IF(MOD(64,$S$17)=$S$17-1,0,INDEX($U$4:$U$53,(INT(64/$S$17)+1)))</f>
        <v/>
      </c>
      <c r="AB78" t="n">
        <v>11100</v>
      </c>
      <c r="AC78" t="n">
        <v>11175</v>
      </c>
      <c r="AD78" t="n">
        <v>115</v>
      </c>
      <c r="AI78">
        <f>IF(AND(MOD(64,$AF$17)=0,MOD((INT(64/$AF$17)+1)-1,$AF$13/5)=0),INDEX($AN$4:$AN$53,(INT(64/$AF$17)+1)),"")</f>
        <v/>
      </c>
      <c r="AJ78">
        <f>IF(MOD(64,$AF$17)=$AF$17-1,0,INDEX($AH$4:$AH$53,(INT(64/$AF$17)+1)))</f>
        <v/>
      </c>
      <c r="AO78" t="n">
        <v>296000</v>
      </c>
      <c r="AP78" t="n">
        <v>298000</v>
      </c>
      <c r="AQ78" t="n">
        <v>125</v>
      </c>
      <c r="AV78">
        <f>IF(AND(MOD(64,$AS$17)=0,MOD((INT(64/$AS$17)+1)-1,$AS$13/5)=0),INDEX($BA$4:$BA$53,(INT(64/$AS$17)+1)),"")</f>
        <v/>
      </c>
      <c r="AW78">
        <f>IF(MOD(64,$AS$17)=$AS$17-1,0,INDEX($AU$4:$AU$53,(INT(64/$AS$17)+1)))</f>
        <v/>
      </c>
      <c r="BB78" t="n">
        <v>518000</v>
      </c>
      <c r="BC78" t="n">
        <v>521500</v>
      </c>
      <c r="BD78" t="n">
        <v>21</v>
      </c>
      <c r="BI78">
        <f>IF(AND(MOD(64,$BF$17)=0,MOD((INT(64/$BF$17)+1)-1,$BF$13/5)=0),INDEX($BN$4:$BN$53,(INT(64/$BF$17)+1)),"")</f>
        <v/>
      </c>
      <c r="BJ78">
        <f>IF(MOD(64,$BF$17)=$BF$17-1,0,INDEX($BH$4:$BH$53,(INT(64/$BF$17)+1)))</f>
        <v/>
      </c>
      <c r="BO78" t="n">
        <v>0.444</v>
      </c>
      <c r="BP78" t="n">
        <v>0.447</v>
      </c>
      <c r="BQ78" t="n">
        <v>67</v>
      </c>
      <c r="BV78">
        <f>IF(AND(MOD(64,$BS$17)=0,MOD((INT(64/$BS$17)+1)-1,$BS$13/5)=0),INDEX($CA$4:$CA$53,(INT(64/$BS$17)+1)),"")</f>
        <v/>
      </c>
      <c r="BW78">
        <f>IF(MOD(64,$BS$17)=$BS$17-1,0,INDEX($BU$4:$BU$53,(INT(64/$BS$17)+1)))</f>
        <v/>
      </c>
      <c r="CB78" t="n">
        <v>11.1</v>
      </c>
      <c r="CC78" t="n">
        <v>11.175</v>
      </c>
      <c r="CD78" t="n">
        <v>72</v>
      </c>
      <c r="CI78">
        <f>IF(AND(MOD(64,$CF$17)=0,MOD((INT(64/$CF$17)+1)-1,$CF$13/5)=0),INDEX($CN$4:$CN$53,(INT(64/$CF$17)+1)),"")</f>
        <v/>
      </c>
      <c r="CJ78">
        <f>IF(MOD(64,$CF$17)=$CF$17-1,0,INDEX($CH$4:$CH$53,(INT(64/$CF$17)+1)))</f>
        <v/>
      </c>
      <c r="CO78" t="n">
        <v>39.6</v>
      </c>
      <c r="CP78" t="n">
        <v>39.8</v>
      </c>
      <c r="CQ78" t="n">
        <v>94</v>
      </c>
      <c r="CV78">
        <f>IF(AND(MOD(64,$CS$17)=0,MOD((INT(64/$CS$17)+1)-1,$CS$13/5)=0),INDEX($DA$4:$DA$53,(INT(64/$CS$17)+1)),"")</f>
        <v/>
      </c>
      <c r="CW78">
        <f>IF(MOD(64,$CS$17)=$CS$17-1,0,INDEX($CU$4:$CU$53,(INT(64/$CS$17)+1)))</f>
        <v/>
      </c>
      <c r="DB78" t="n">
        <v>35.9</v>
      </c>
      <c r="DC78" t="n">
        <v>36.075</v>
      </c>
      <c r="DD78" t="n">
        <v>109</v>
      </c>
      <c r="DI78">
        <f>IF(AND(MOD(64,$DF$17)=0,MOD((INT(64/$DF$17)+1)-1,$DF$13/5)=0),INDEX($DN$4:$DN$53,(INT(64/$DF$17)+1)),"")</f>
        <v/>
      </c>
      <c r="DJ78">
        <f>IF(MOD(64,$DF$17)=$DF$17-1,0,INDEX($DH$4:$DH$53,(INT(64/$DF$17)+1)))</f>
        <v/>
      </c>
      <c r="DO78" t="n">
        <v>9.35</v>
      </c>
      <c r="DP78" t="n">
        <v>9.362500000000001</v>
      </c>
      <c r="DQ78" t="n">
        <v>98</v>
      </c>
      <c r="DV78">
        <f>IF(AND(MOD(64,$DS$17)=0,MOD((INT(64/$DS$17)+1)-1,$DS$13/5)=0),INDEX($EA$4:$EA$53,(INT(64/$DS$17)+1)),"")</f>
        <v/>
      </c>
      <c r="DW78">
        <f>IF(MOD(64,$DS$17)=$DS$17-1,0,INDEX($DU$4:$DU$53,(INT(64/$DS$17)+1)))</f>
        <v/>
      </c>
      <c r="EB78" t="n">
        <v>37</v>
      </c>
      <c r="EC78" t="n">
        <v>37.25</v>
      </c>
      <c r="ED78" t="n">
        <v>69</v>
      </c>
      <c r="EI78">
        <f>IF(AND(MOD(64,$EF$17)=0,MOD((INT(64/$EF$17)+1)-1,$EF$13/5)=0),INDEX($EN$4:$EN$53,(INT(64/$EF$17)+1)),"")</f>
        <v/>
      </c>
      <c r="EJ78">
        <f>IF(MOD(64,$EF$17)=$EF$17-1,0,INDEX($EH$4:$EH$53,(INT(64/$EF$17)+1)))</f>
        <v/>
      </c>
      <c r="EO78" t="n">
        <v>1.295</v>
      </c>
      <c r="EP78" t="n">
        <v>1.30375</v>
      </c>
      <c r="EQ78" t="n">
        <v>31</v>
      </c>
      <c r="EV78">
        <f>IF(AND(MOD(64,$ES$17)=0,MOD((INT(64/$ES$17)+1)-1,$ES$13/5)=0),INDEX($FA$4:$FA$53,(INT(64/$ES$17)+1)),"")</f>
        <v/>
      </c>
      <c r="EW78">
        <f>IF(MOD(64,$ES$17)=$ES$17-1,0,INDEX($EU$4:$EU$53,(INT(64/$ES$17)+1)))</f>
        <v/>
      </c>
    </row>
    <row r="79">
      <c r="B79" t="n">
        <v>662.5</v>
      </c>
      <c r="C79" t="n">
        <v>663.25</v>
      </c>
      <c r="D79" t="n">
        <v>61</v>
      </c>
      <c r="I79">
        <f>IF(AND(MOD(65,$F$17)=0,MOD((INT(65/$F$17)+1)-1,$F$13/5)=0),INDEX($N$4:$N$53,(INT(65/$F$17)+1)),"")</f>
        <v/>
      </c>
      <c r="J79">
        <f>IF(MOD(65,$F$17)=$F$17-1,0,INDEX($H$4:$H$53,(INT(65/$F$17)+1)))</f>
        <v/>
      </c>
      <c r="O79" t="n">
        <v>22500</v>
      </c>
      <c r="P79" t="n">
        <v>22650</v>
      </c>
      <c r="Q79" t="n">
        <v>74</v>
      </c>
      <c r="V79">
        <f>IF(AND(MOD(65,$S$17)=0,MOD((INT(65/$S$17)+1)-1,$S$13/5)=0),INDEX($AA$4:$AA$53,(INT(65/$S$17)+1)),"")</f>
        <v/>
      </c>
      <c r="W79">
        <f>IF(MOD(65,$S$17)=$S$17-1,0,INDEX($U$4:$U$53,(INT(65/$S$17)+1)))</f>
        <v/>
      </c>
      <c r="AB79" t="n">
        <v>11250</v>
      </c>
      <c r="AC79" t="n">
        <v>11325</v>
      </c>
      <c r="AD79" t="n">
        <v>119</v>
      </c>
      <c r="AI79">
        <f>IF(AND(MOD(65,$AF$17)=0,MOD((INT(65/$AF$17)+1)-1,$AF$13/5)=0),INDEX($AN$4:$AN$53,(INT(65/$AF$17)+1)),"")</f>
        <v/>
      </c>
      <c r="AJ79">
        <f>IF(MOD(65,$AF$17)=$AF$17-1,0,INDEX($AH$4:$AH$53,(INT(65/$AF$17)+1)))</f>
        <v/>
      </c>
      <c r="AO79" t="n">
        <v>300000</v>
      </c>
      <c r="AP79" t="n">
        <v>302000</v>
      </c>
      <c r="AQ79" t="n">
        <v>120</v>
      </c>
      <c r="AV79">
        <f>IF(AND(MOD(65,$AS$17)=0,MOD((INT(65/$AS$17)+1)-1,$AS$13/5)=0),INDEX($BA$4:$BA$53,(INT(65/$AS$17)+1)),"")</f>
        <v/>
      </c>
      <c r="AW79">
        <f>IF(MOD(65,$AS$17)=$AS$17-1,0,INDEX($AU$4:$AU$53,(INT(65/$AS$17)+1)))</f>
        <v/>
      </c>
      <c r="BB79" t="n">
        <v>525000</v>
      </c>
      <c r="BC79" t="n">
        <v>528500</v>
      </c>
      <c r="BD79" t="n">
        <v>18</v>
      </c>
      <c r="BI79">
        <f>IF(AND(MOD(65,$BF$17)=0,MOD((INT(65/$BF$17)+1)-1,$BF$13/5)=0),INDEX($BN$4:$BN$53,(INT(65/$BF$17)+1)),"")</f>
        <v/>
      </c>
      <c r="BJ79">
        <f>IF(MOD(65,$BF$17)=$BF$17-1,0,INDEX($BH$4:$BH$53,(INT(65/$BF$17)+1)))</f>
        <v/>
      </c>
      <c r="BO79" t="n">
        <v>0.45</v>
      </c>
      <c r="BP79" t="n">
        <v>0.453</v>
      </c>
      <c r="BQ79" t="n">
        <v>62</v>
      </c>
      <c r="BV79">
        <f>IF(AND(MOD(65,$BS$17)=0,MOD((INT(65/$BS$17)+1)-1,$BS$13/5)=0),INDEX($CA$4:$CA$53,(INT(65/$BS$17)+1)),"")</f>
        <v/>
      </c>
      <c r="BW79">
        <f>IF(MOD(65,$BS$17)=$BS$17-1,0,INDEX($BU$4:$BU$53,(INT(65/$BS$17)+1)))</f>
        <v/>
      </c>
      <c r="CB79" t="n">
        <v>11.25</v>
      </c>
      <c r="CC79" t="n">
        <v>11.325</v>
      </c>
      <c r="CD79" t="n">
        <v>33</v>
      </c>
      <c r="CI79">
        <f>IF(AND(MOD(65,$CF$17)=0,MOD((INT(65/$CF$17)+1)-1,$CF$13/5)=0),INDEX($CN$4:$CN$53,(INT(65/$CF$17)+1)),"")</f>
        <v/>
      </c>
      <c r="CJ79">
        <f>IF(MOD(65,$CF$17)=$CF$17-1,0,INDEX($CH$4:$CH$53,(INT(65/$CF$17)+1)))</f>
        <v/>
      </c>
      <c r="CO79" t="n">
        <v>40</v>
      </c>
      <c r="CP79" t="n">
        <v>40.2</v>
      </c>
      <c r="CQ79" t="n">
        <v>131</v>
      </c>
      <c r="CV79">
        <f>IF(AND(MOD(65,$CS$17)=0,MOD((INT(65/$CS$17)+1)-1,$CS$13/5)=0),INDEX($DA$4:$DA$53,(INT(65/$CS$17)+1)),"")</f>
        <v/>
      </c>
      <c r="CW79">
        <f>IF(MOD(65,$CS$17)=$CS$17-1,0,INDEX($CU$4:$CU$53,(INT(65/$CS$17)+1)))</f>
        <v/>
      </c>
      <c r="DB79" t="n">
        <v>36.25</v>
      </c>
      <c r="DC79" t="n">
        <v>36.425</v>
      </c>
      <c r="DD79" t="n">
        <v>108</v>
      </c>
      <c r="DI79">
        <f>IF(AND(MOD(65,$DF$17)=0,MOD((INT(65/$DF$17)+1)-1,$DF$13/5)=0),INDEX($DN$4:$DN$53,(INT(65/$DF$17)+1)),"")</f>
        <v/>
      </c>
      <c r="DJ79">
        <f>IF(MOD(65,$DF$17)=$DF$17-1,0,INDEX($DH$4:$DH$53,(INT(65/$DF$17)+1)))</f>
        <v/>
      </c>
      <c r="DO79" t="n">
        <v>9.375</v>
      </c>
      <c r="DP79" t="n">
        <v>9.387499999999999</v>
      </c>
      <c r="DQ79" t="n">
        <v>106</v>
      </c>
      <c r="DV79">
        <f>IF(AND(MOD(65,$DS$17)=0,MOD((INT(65/$DS$17)+1)-1,$DS$13/5)=0),INDEX($EA$4:$EA$53,(INT(65/$DS$17)+1)),"")</f>
        <v/>
      </c>
      <c r="DW79">
        <f>IF(MOD(65,$DS$17)=$DS$17-1,0,INDEX($DU$4:$DU$53,(INT(65/$DS$17)+1)))</f>
        <v/>
      </c>
      <c r="EB79" t="n">
        <v>37.5</v>
      </c>
      <c r="EC79" t="n">
        <v>37.75</v>
      </c>
      <c r="ED79" t="n">
        <v>66</v>
      </c>
      <c r="EI79">
        <f>IF(AND(MOD(65,$EF$17)=0,MOD((INT(65/$EF$17)+1)-1,$EF$13/5)=0),INDEX($EN$4:$EN$53,(INT(65/$EF$17)+1)),"")</f>
        <v/>
      </c>
      <c r="EJ79">
        <f>IF(MOD(65,$EF$17)=$EF$17-1,0,INDEX($EH$4:$EH$53,(INT(65/$EF$17)+1)))</f>
        <v/>
      </c>
      <c r="EO79" t="n">
        <v>1.3125</v>
      </c>
      <c r="EP79" t="n">
        <v>1.32125</v>
      </c>
      <c r="EQ79" t="n">
        <v>32</v>
      </c>
      <c r="EV79">
        <f>IF(AND(MOD(65,$ES$17)=0,MOD((INT(65/$ES$17)+1)-1,$ES$13/5)=0),INDEX($FA$4:$FA$53,(INT(65/$ES$17)+1)),"")</f>
        <v/>
      </c>
      <c r="EW79">
        <f>IF(MOD(65,$ES$17)=$ES$17-1,0,INDEX($EU$4:$EU$53,(INT(65/$ES$17)+1)))</f>
        <v/>
      </c>
    </row>
    <row r="80">
      <c r="B80" t="n">
        <v>664</v>
      </c>
      <c r="C80" t="n">
        <v>664.75</v>
      </c>
      <c r="D80" t="n">
        <v>131</v>
      </c>
      <c r="I80">
        <f>IF(AND(MOD(66,$F$17)=0,MOD((INT(66/$F$17)+1)-1,$F$13/5)=0),INDEX($N$4:$N$53,(INT(66/$F$17)+1)),"")</f>
        <v/>
      </c>
      <c r="J80">
        <f>IF(MOD(66,$F$17)=$F$17-1,0,INDEX($H$4:$H$53,(INT(66/$F$17)+1)))</f>
        <v/>
      </c>
      <c r="O80" t="n">
        <v>22800</v>
      </c>
      <c r="P80" t="n">
        <v>22950</v>
      </c>
      <c r="Q80" t="n">
        <v>60</v>
      </c>
      <c r="V80">
        <f>IF(AND(MOD(66,$S$17)=0,MOD((INT(66/$S$17)+1)-1,$S$13/5)=0),INDEX($AA$4:$AA$53,(INT(66/$S$17)+1)),"")</f>
        <v/>
      </c>
      <c r="W80">
        <f>IF(MOD(66,$S$17)=$S$17-1,0,INDEX($U$4:$U$53,(INT(66/$S$17)+1)))</f>
        <v/>
      </c>
      <c r="AB80" t="n">
        <v>11400</v>
      </c>
      <c r="AC80" t="n">
        <v>11475</v>
      </c>
      <c r="AD80" t="n">
        <v>108</v>
      </c>
      <c r="AI80">
        <f>IF(AND(MOD(66,$AF$17)=0,MOD((INT(66/$AF$17)+1)-1,$AF$13/5)=0),INDEX($AN$4:$AN$53,(INT(66/$AF$17)+1)),"")</f>
        <v/>
      </c>
      <c r="AJ80">
        <f>IF(MOD(66,$AF$17)=$AF$17-1,0,INDEX($AH$4:$AH$53,(INT(66/$AF$17)+1)))</f>
        <v/>
      </c>
      <c r="AO80" t="n">
        <v>304000</v>
      </c>
      <c r="AP80" t="n">
        <v>306000</v>
      </c>
      <c r="AQ80" t="n">
        <v>111</v>
      </c>
      <c r="AV80">
        <f>IF(AND(MOD(66,$AS$17)=0,MOD((INT(66/$AS$17)+1)-1,$AS$13/5)=0),INDEX($BA$4:$BA$53,(INT(66/$AS$17)+1)),"")</f>
        <v/>
      </c>
      <c r="AW80">
        <f>IF(MOD(66,$AS$17)=$AS$17-1,0,INDEX($AU$4:$AU$53,(INT(66/$AS$17)+1)))</f>
        <v/>
      </c>
      <c r="BB80" t="n">
        <v>532000</v>
      </c>
      <c r="BC80" t="n">
        <v>535500</v>
      </c>
      <c r="BD80" t="n">
        <v>18</v>
      </c>
      <c r="BI80">
        <f>IF(AND(MOD(66,$BF$17)=0,MOD((INT(66/$BF$17)+1)-1,$BF$13/5)=0),INDEX($BN$4:$BN$53,(INT(66/$BF$17)+1)),"")</f>
        <v/>
      </c>
      <c r="BJ80">
        <f>IF(MOD(66,$BF$17)=$BF$17-1,0,INDEX($BH$4:$BH$53,(INT(66/$BF$17)+1)))</f>
        <v/>
      </c>
      <c r="BO80" t="n">
        <v>0.456</v>
      </c>
      <c r="BP80" t="n">
        <v>0.459</v>
      </c>
      <c r="BQ80" t="n">
        <v>62</v>
      </c>
      <c r="BV80">
        <f>IF(AND(MOD(66,$BS$17)=0,MOD((INT(66/$BS$17)+1)-1,$BS$13/5)=0),INDEX($CA$4:$CA$53,(INT(66/$BS$17)+1)),"")</f>
        <v/>
      </c>
      <c r="BW80">
        <f>IF(MOD(66,$BS$17)=$BS$17-1,0,INDEX($BU$4:$BU$53,(INT(66/$BS$17)+1)))</f>
        <v/>
      </c>
      <c r="CB80" t="n">
        <v>11.4</v>
      </c>
      <c r="CC80" t="n">
        <v>11.475</v>
      </c>
      <c r="CD80" t="n">
        <v>67</v>
      </c>
      <c r="CI80">
        <f>IF(AND(MOD(66,$CF$17)=0,MOD((INT(66/$CF$17)+1)-1,$CF$13/5)=0),INDEX($CN$4:$CN$53,(INT(66/$CF$17)+1)),"")</f>
        <v/>
      </c>
      <c r="CJ80">
        <f>IF(MOD(66,$CF$17)=$CF$17-1,0,INDEX($CH$4:$CH$53,(INT(66/$CF$17)+1)))</f>
        <v/>
      </c>
      <c r="CO80" t="n">
        <v>40.40000000000001</v>
      </c>
      <c r="CP80" t="n">
        <v>40.6</v>
      </c>
      <c r="CQ80" t="n">
        <v>103</v>
      </c>
      <c r="CV80">
        <f>IF(AND(MOD(66,$CS$17)=0,MOD((INT(66/$CS$17)+1)-1,$CS$13/5)=0),INDEX($DA$4:$DA$53,(INT(66/$CS$17)+1)),"")</f>
        <v/>
      </c>
      <c r="CW80">
        <f>IF(MOD(66,$CS$17)=$CS$17-1,0,INDEX($CU$4:$CU$53,(INT(66/$CS$17)+1)))</f>
        <v/>
      </c>
      <c r="DB80" t="n">
        <v>36.59999999999999</v>
      </c>
      <c r="DC80" t="n">
        <v>36.775</v>
      </c>
      <c r="DD80" t="n">
        <v>93</v>
      </c>
      <c r="DI80">
        <f>IF(AND(MOD(66,$DF$17)=0,MOD((INT(66/$DF$17)+1)-1,$DF$13/5)=0),INDEX($DN$4:$DN$53,(INT(66/$DF$17)+1)),"")</f>
        <v/>
      </c>
      <c r="DJ80">
        <f>IF(MOD(66,$DF$17)=$DF$17-1,0,INDEX($DH$4:$DH$53,(INT(66/$DF$17)+1)))</f>
        <v/>
      </c>
      <c r="DO80" t="n">
        <v>9.4</v>
      </c>
      <c r="DP80" t="n">
        <v>9.4125</v>
      </c>
      <c r="DQ80" t="n">
        <v>117</v>
      </c>
      <c r="DV80">
        <f>IF(AND(MOD(66,$DS$17)=0,MOD((INT(66/$DS$17)+1)-1,$DS$13/5)=0),INDEX($EA$4:$EA$53,(INT(66/$DS$17)+1)),"")</f>
        <v/>
      </c>
      <c r="DW80">
        <f>IF(MOD(66,$DS$17)=$DS$17-1,0,INDEX($DU$4:$DU$53,(INT(66/$DS$17)+1)))</f>
        <v/>
      </c>
      <c r="EB80" t="n">
        <v>38</v>
      </c>
      <c r="EC80" t="n">
        <v>38.25</v>
      </c>
      <c r="ED80" t="n">
        <v>56</v>
      </c>
      <c r="EI80">
        <f>IF(AND(MOD(66,$EF$17)=0,MOD((INT(66/$EF$17)+1)-1,$EF$13/5)=0),INDEX($EN$4:$EN$53,(INT(66/$EF$17)+1)),"")</f>
        <v/>
      </c>
      <c r="EJ80">
        <f>IF(MOD(66,$EF$17)=$EF$17-1,0,INDEX($EH$4:$EH$53,(INT(66/$EF$17)+1)))</f>
        <v/>
      </c>
      <c r="EO80" t="n">
        <v>1.33</v>
      </c>
      <c r="EP80" t="n">
        <v>1.33875</v>
      </c>
      <c r="EQ80" t="n">
        <v>49</v>
      </c>
      <c r="EV80">
        <f>IF(AND(MOD(66,$ES$17)=0,MOD((INT(66/$ES$17)+1)-1,$ES$13/5)=0),INDEX($FA$4:$FA$53,(INT(66/$ES$17)+1)),"")</f>
        <v/>
      </c>
      <c r="EW80">
        <f>IF(MOD(66,$ES$17)=$ES$17-1,0,INDEX($EU$4:$EU$53,(INT(66/$ES$17)+1)))</f>
        <v/>
      </c>
    </row>
    <row r="81">
      <c r="B81" t="n">
        <v>665.5</v>
      </c>
      <c r="C81" t="n">
        <v>666.25</v>
      </c>
      <c r="D81" t="n">
        <v>81</v>
      </c>
      <c r="I81">
        <f>IF(AND(MOD(67,$F$17)=0,MOD((INT(67/$F$17)+1)-1,$F$13/5)=0),INDEX($N$4:$N$53,(INT(67/$F$17)+1)),"")</f>
        <v/>
      </c>
      <c r="J81">
        <f>IF(MOD(67,$F$17)=$F$17-1,0,INDEX($H$4:$H$53,(INT(67/$F$17)+1)))</f>
        <v/>
      </c>
      <c r="O81" t="n">
        <v>23100</v>
      </c>
      <c r="P81" t="n">
        <v>23250</v>
      </c>
      <c r="Q81" t="n">
        <v>62</v>
      </c>
      <c r="V81">
        <f>IF(AND(MOD(67,$S$17)=0,MOD((INT(67/$S$17)+1)-1,$S$13/5)=0),INDEX($AA$4:$AA$53,(INT(67/$S$17)+1)),"")</f>
        <v/>
      </c>
      <c r="W81">
        <f>IF(MOD(67,$S$17)=$S$17-1,0,INDEX($U$4:$U$53,(INT(67/$S$17)+1)))</f>
        <v/>
      </c>
      <c r="AB81" t="n">
        <v>11550</v>
      </c>
      <c r="AC81" t="n">
        <v>11625</v>
      </c>
      <c r="AD81" t="n">
        <v>108</v>
      </c>
      <c r="AI81">
        <f>IF(AND(MOD(67,$AF$17)=0,MOD((INT(67/$AF$17)+1)-1,$AF$13/5)=0),INDEX($AN$4:$AN$53,(INT(67/$AF$17)+1)),"")</f>
        <v/>
      </c>
      <c r="AJ81">
        <f>IF(MOD(67,$AF$17)=$AF$17-1,0,INDEX($AH$4:$AH$53,(INT(67/$AF$17)+1)))</f>
        <v/>
      </c>
      <c r="AO81" t="n">
        <v>308000</v>
      </c>
      <c r="AP81" t="n">
        <v>310000</v>
      </c>
      <c r="AQ81" t="n">
        <v>120</v>
      </c>
      <c r="AV81">
        <f>IF(AND(MOD(67,$AS$17)=0,MOD((INT(67/$AS$17)+1)-1,$AS$13/5)=0),INDEX($BA$4:$BA$53,(INT(67/$AS$17)+1)),"")</f>
        <v/>
      </c>
      <c r="AW81">
        <f>IF(MOD(67,$AS$17)=$AS$17-1,0,INDEX($AU$4:$AU$53,(INT(67/$AS$17)+1)))</f>
        <v/>
      </c>
      <c r="BB81" t="n">
        <v>539000</v>
      </c>
      <c r="BC81" t="n">
        <v>542500</v>
      </c>
      <c r="BD81" t="n">
        <v>13</v>
      </c>
      <c r="BI81">
        <f>IF(AND(MOD(67,$BF$17)=0,MOD((INT(67/$BF$17)+1)-1,$BF$13/5)=0),INDEX($BN$4:$BN$53,(INT(67/$BF$17)+1)),"")</f>
        <v/>
      </c>
      <c r="BJ81">
        <f>IF(MOD(67,$BF$17)=$BF$17-1,0,INDEX($BH$4:$BH$53,(INT(67/$BF$17)+1)))</f>
        <v/>
      </c>
      <c r="BO81" t="n">
        <v>0.462</v>
      </c>
      <c r="BP81" t="n">
        <v>0.465</v>
      </c>
      <c r="BQ81" t="n">
        <v>79</v>
      </c>
      <c r="BV81">
        <f>IF(AND(MOD(67,$BS$17)=0,MOD((INT(67/$BS$17)+1)-1,$BS$13/5)=0),INDEX($CA$4:$CA$53,(INT(67/$BS$17)+1)),"")</f>
        <v/>
      </c>
      <c r="BW81">
        <f>IF(MOD(67,$BS$17)=$BS$17-1,0,INDEX($BU$4:$BU$53,(INT(67/$BS$17)+1)))</f>
        <v/>
      </c>
      <c r="CB81" t="n">
        <v>11.55</v>
      </c>
      <c r="CC81" t="n">
        <v>11.625</v>
      </c>
      <c r="CD81" t="n">
        <v>30</v>
      </c>
      <c r="CI81">
        <f>IF(AND(MOD(67,$CF$17)=0,MOD((INT(67/$CF$17)+1)-1,$CF$13/5)=0),INDEX($CN$4:$CN$53,(INT(67/$CF$17)+1)),"")</f>
        <v/>
      </c>
      <c r="CJ81">
        <f>IF(MOD(67,$CF$17)=$CF$17-1,0,INDEX($CH$4:$CH$53,(INT(67/$CF$17)+1)))</f>
        <v/>
      </c>
      <c r="CO81" t="n">
        <v>40.8</v>
      </c>
      <c r="CP81" t="n">
        <v>41</v>
      </c>
      <c r="CQ81" t="n">
        <v>111</v>
      </c>
      <c r="CV81">
        <f>IF(AND(MOD(67,$CS$17)=0,MOD((INT(67/$CS$17)+1)-1,$CS$13/5)=0),INDEX($DA$4:$DA$53,(INT(67/$CS$17)+1)),"")</f>
        <v/>
      </c>
      <c r="CW81">
        <f>IF(MOD(67,$CS$17)=$CS$17-1,0,INDEX($CU$4:$CU$53,(INT(67/$CS$17)+1)))</f>
        <v/>
      </c>
      <c r="DB81" t="n">
        <v>36.95</v>
      </c>
      <c r="DC81" t="n">
        <v>37.125</v>
      </c>
      <c r="DD81" t="n">
        <v>105</v>
      </c>
      <c r="DI81">
        <f>IF(AND(MOD(67,$DF$17)=0,MOD((INT(67/$DF$17)+1)-1,$DF$13/5)=0),INDEX($DN$4:$DN$53,(INT(67/$DF$17)+1)),"")</f>
        <v/>
      </c>
      <c r="DJ81">
        <f>IF(MOD(67,$DF$17)=$DF$17-1,0,INDEX($DH$4:$DH$53,(INT(67/$DF$17)+1)))</f>
        <v/>
      </c>
      <c r="DO81" t="n">
        <v>9.425000000000001</v>
      </c>
      <c r="DP81" t="n">
        <v>9.4375</v>
      </c>
      <c r="DQ81" t="n">
        <v>101</v>
      </c>
      <c r="DV81">
        <f>IF(AND(MOD(67,$DS$17)=0,MOD((INT(67/$DS$17)+1)-1,$DS$13/5)=0),INDEX($EA$4:$EA$53,(INT(67/$DS$17)+1)),"")</f>
        <v/>
      </c>
      <c r="DW81">
        <f>IF(MOD(67,$DS$17)=$DS$17-1,0,INDEX($DU$4:$DU$53,(INT(67/$DS$17)+1)))</f>
        <v/>
      </c>
      <c r="EB81" t="n">
        <v>38.5</v>
      </c>
      <c r="EC81" t="n">
        <v>38.75</v>
      </c>
      <c r="ED81" t="n">
        <v>49</v>
      </c>
      <c r="EI81">
        <f>IF(AND(MOD(67,$EF$17)=0,MOD((INT(67/$EF$17)+1)-1,$EF$13/5)=0),INDEX($EN$4:$EN$53,(INT(67/$EF$17)+1)),"")</f>
        <v/>
      </c>
      <c r="EJ81">
        <f>IF(MOD(67,$EF$17)=$EF$17-1,0,INDEX($EH$4:$EH$53,(INT(67/$EF$17)+1)))</f>
        <v/>
      </c>
      <c r="EO81" t="n">
        <v>1.3475</v>
      </c>
      <c r="EP81" t="n">
        <v>1.35625</v>
      </c>
      <c r="EQ81" t="n">
        <v>28</v>
      </c>
      <c r="EV81">
        <f>IF(AND(MOD(67,$ES$17)=0,MOD((INT(67/$ES$17)+1)-1,$ES$13/5)=0),INDEX($FA$4:$FA$53,(INT(67/$ES$17)+1)),"")</f>
        <v/>
      </c>
      <c r="EW81">
        <f>IF(MOD(67,$ES$17)=$ES$17-1,0,INDEX($EU$4:$EU$53,(INT(67/$ES$17)+1)))</f>
        <v/>
      </c>
    </row>
    <row r="82">
      <c r="B82" t="n">
        <v>667</v>
      </c>
      <c r="C82" t="n">
        <v>667.75</v>
      </c>
      <c r="D82" t="n">
        <v>156</v>
      </c>
      <c r="I82">
        <f>IF(AND(MOD(68,$F$17)=0,MOD((INT(68/$F$17)+1)-1,$F$13/5)=0),INDEX($N$4:$N$53,(INT(68/$F$17)+1)),"")</f>
        <v/>
      </c>
      <c r="J82">
        <f>IF(MOD(68,$F$17)=$F$17-1,0,INDEX($H$4:$H$53,(INT(68/$F$17)+1)))</f>
        <v/>
      </c>
      <c r="O82" t="n">
        <v>23400</v>
      </c>
      <c r="P82" t="n">
        <v>23550</v>
      </c>
      <c r="Q82" t="n">
        <v>63</v>
      </c>
      <c r="V82">
        <f>IF(AND(MOD(68,$S$17)=0,MOD((INT(68/$S$17)+1)-1,$S$13/5)=0),INDEX($AA$4:$AA$53,(INT(68/$S$17)+1)),"")</f>
        <v/>
      </c>
      <c r="W82">
        <f>IF(MOD(68,$S$17)=$S$17-1,0,INDEX($U$4:$U$53,(INT(68/$S$17)+1)))</f>
        <v/>
      </c>
      <c r="AB82" t="n">
        <v>11700</v>
      </c>
      <c r="AC82" t="n">
        <v>11775</v>
      </c>
      <c r="AD82" t="n">
        <v>100</v>
      </c>
      <c r="AI82">
        <f>IF(AND(MOD(68,$AF$17)=0,MOD((INT(68/$AF$17)+1)-1,$AF$13/5)=0),INDEX($AN$4:$AN$53,(INT(68/$AF$17)+1)),"")</f>
        <v/>
      </c>
      <c r="AJ82">
        <f>IF(MOD(68,$AF$17)=$AF$17-1,0,INDEX($AH$4:$AH$53,(INT(68/$AF$17)+1)))</f>
        <v/>
      </c>
      <c r="AO82" t="n">
        <v>312000</v>
      </c>
      <c r="AP82" t="n">
        <v>314000</v>
      </c>
      <c r="AQ82" t="n">
        <v>115</v>
      </c>
      <c r="AV82">
        <f>IF(AND(MOD(68,$AS$17)=0,MOD((INT(68/$AS$17)+1)-1,$AS$13/5)=0),INDEX($BA$4:$BA$53,(INT(68/$AS$17)+1)),"")</f>
        <v/>
      </c>
      <c r="AW82">
        <f>IF(MOD(68,$AS$17)=$AS$17-1,0,INDEX($AU$4:$AU$53,(INT(68/$AS$17)+1)))</f>
        <v/>
      </c>
      <c r="BB82" t="n">
        <v>546000</v>
      </c>
      <c r="BC82" t="n">
        <v>549500</v>
      </c>
      <c r="BD82" t="n">
        <v>22</v>
      </c>
      <c r="BI82">
        <f>IF(AND(MOD(68,$BF$17)=0,MOD((INT(68/$BF$17)+1)-1,$BF$13/5)=0),INDEX($BN$4:$BN$53,(INT(68/$BF$17)+1)),"")</f>
        <v/>
      </c>
      <c r="BJ82">
        <f>IF(MOD(68,$BF$17)=$BF$17-1,0,INDEX($BH$4:$BH$53,(INT(68/$BF$17)+1)))</f>
        <v/>
      </c>
      <c r="BO82" t="n">
        <v>0.468</v>
      </c>
      <c r="BP82" t="n">
        <v>0.471</v>
      </c>
      <c r="BQ82" t="n">
        <v>51</v>
      </c>
      <c r="BV82">
        <f>IF(AND(MOD(68,$BS$17)=0,MOD((INT(68/$BS$17)+1)-1,$BS$13/5)=0),INDEX($CA$4:$CA$53,(INT(68/$BS$17)+1)),"")</f>
        <v/>
      </c>
      <c r="BW82">
        <f>IF(MOD(68,$BS$17)=$BS$17-1,0,INDEX($BU$4:$BU$53,(INT(68/$BS$17)+1)))</f>
        <v/>
      </c>
      <c r="CB82" t="n">
        <v>11.7</v>
      </c>
      <c r="CC82" t="n">
        <v>11.775</v>
      </c>
      <c r="CD82" t="n">
        <v>55</v>
      </c>
      <c r="CI82">
        <f>IF(AND(MOD(68,$CF$17)=0,MOD((INT(68/$CF$17)+1)-1,$CF$13/5)=0),INDEX($CN$4:$CN$53,(INT(68/$CF$17)+1)),"")</f>
        <v/>
      </c>
      <c r="CJ82">
        <f>IF(MOD(68,$CF$17)=$CF$17-1,0,INDEX($CH$4:$CH$53,(INT(68/$CF$17)+1)))</f>
        <v/>
      </c>
      <c r="CO82" t="n">
        <v>41.2</v>
      </c>
      <c r="CP82" t="n">
        <v>41.40000000000001</v>
      </c>
      <c r="CQ82" t="n">
        <v>109</v>
      </c>
      <c r="CV82">
        <f>IF(AND(MOD(68,$CS$17)=0,MOD((INT(68/$CS$17)+1)-1,$CS$13/5)=0),INDEX($DA$4:$DA$53,(INT(68/$CS$17)+1)),"")</f>
        <v/>
      </c>
      <c r="CW82">
        <f>IF(MOD(68,$CS$17)=$CS$17-1,0,INDEX($CU$4:$CU$53,(INT(68/$CS$17)+1)))</f>
        <v/>
      </c>
      <c r="DB82" t="n">
        <v>37.3</v>
      </c>
      <c r="DC82" t="n">
        <v>37.47499999999999</v>
      </c>
      <c r="DD82" t="n">
        <v>101</v>
      </c>
      <c r="DI82">
        <f>IF(AND(MOD(68,$DF$17)=0,MOD((INT(68/$DF$17)+1)-1,$DF$13/5)=0),INDEX($DN$4:$DN$53,(INT(68/$DF$17)+1)),"")</f>
        <v/>
      </c>
      <c r="DJ82">
        <f>IF(MOD(68,$DF$17)=$DF$17-1,0,INDEX($DH$4:$DH$53,(INT(68/$DF$17)+1)))</f>
        <v/>
      </c>
      <c r="DO82" t="n">
        <v>9.449999999999999</v>
      </c>
      <c r="DP82" t="n">
        <v>9.4625</v>
      </c>
      <c r="DQ82" t="n">
        <v>96</v>
      </c>
      <c r="DV82">
        <f>IF(AND(MOD(68,$DS$17)=0,MOD((INT(68/$DS$17)+1)-1,$DS$13/5)=0),INDEX($EA$4:$EA$53,(INT(68/$DS$17)+1)),"")</f>
        <v/>
      </c>
      <c r="DW82">
        <f>IF(MOD(68,$DS$17)=$DS$17-1,0,INDEX($DU$4:$DU$53,(INT(68/$DS$17)+1)))</f>
        <v/>
      </c>
      <c r="EB82" t="n">
        <v>39</v>
      </c>
      <c r="EC82" t="n">
        <v>39.25</v>
      </c>
      <c r="ED82" t="n">
        <v>59</v>
      </c>
      <c r="EI82">
        <f>IF(AND(MOD(68,$EF$17)=0,MOD((INT(68/$EF$17)+1)-1,$EF$13/5)=0),INDEX($EN$4:$EN$53,(INT(68/$EF$17)+1)),"")</f>
        <v/>
      </c>
      <c r="EJ82">
        <f>IF(MOD(68,$EF$17)=$EF$17-1,0,INDEX($EH$4:$EH$53,(INT(68/$EF$17)+1)))</f>
        <v/>
      </c>
      <c r="EO82" t="n">
        <v>1.365</v>
      </c>
      <c r="EP82" t="n">
        <v>1.37375</v>
      </c>
      <c r="EQ82" t="n">
        <v>41</v>
      </c>
      <c r="EV82">
        <f>IF(AND(MOD(68,$ES$17)=0,MOD((INT(68/$ES$17)+1)-1,$ES$13/5)=0),INDEX($FA$4:$FA$53,(INT(68/$ES$17)+1)),"")</f>
        <v/>
      </c>
      <c r="EW82">
        <f>IF(MOD(68,$ES$17)=$ES$17-1,0,INDEX($EU$4:$EU$53,(INT(68/$ES$17)+1)))</f>
        <v/>
      </c>
    </row>
    <row r="83">
      <c r="B83" t="n">
        <v>668.5</v>
      </c>
      <c r="C83" t="n">
        <v>669.25</v>
      </c>
      <c r="D83" t="n">
        <v>83</v>
      </c>
      <c r="I83">
        <f>IF(AND(MOD(69,$F$17)=0,MOD((INT(69/$F$17)+1)-1,$F$13/5)=0),INDEX($N$4:$N$53,(INT(69/$F$17)+1)),"")</f>
        <v/>
      </c>
      <c r="J83">
        <f>IF(MOD(69,$F$17)=$F$17-1,0,INDEX($H$4:$H$53,(INT(69/$F$17)+1)))</f>
        <v/>
      </c>
      <c r="O83" t="n">
        <v>23700</v>
      </c>
      <c r="P83" t="n">
        <v>23850</v>
      </c>
      <c r="Q83" t="n">
        <v>68</v>
      </c>
      <c r="V83">
        <f>IF(AND(MOD(69,$S$17)=0,MOD((INT(69/$S$17)+1)-1,$S$13/5)=0),INDEX($AA$4:$AA$53,(INT(69/$S$17)+1)),"")</f>
        <v/>
      </c>
      <c r="W83">
        <f>IF(MOD(69,$S$17)=$S$17-1,0,INDEX($U$4:$U$53,(INT(69/$S$17)+1)))</f>
        <v/>
      </c>
      <c r="AB83" t="n">
        <v>11850</v>
      </c>
      <c r="AC83" t="n">
        <v>11925</v>
      </c>
      <c r="AD83" t="n">
        <v>106</v>
      </c>
      <c r="AI83">
        <f>IF(AND(MOD(69,$AF$17)=0,MOD((INT(69/$AF$17)+1)-1,$AF$13/5)=0),INDEX($AN$4:$AN$53,(INT(69/$AF$17)+1)),"")</f>
        <v/>
      </c>
      <c r="AJ83">
        <f>IF(MOD(69,$AF$17)=$AF$17-1,0,INDEX($AH$4:$AH$53,(INT(69/$AF$17)+1)))</f>
        <v/>
      </c>
      <c r="AO83" t="n">
        <v>316000</v>
      </c>
      <c r="AP83" t="n">
        <v>318000</v>
      </c>
      <c r="AQ83" t="n">
        <v>113</v>
      </c>
      <c r="AV83">
        <f>IF(AND(MOD(69,$AS$17)=0,MOD((INT(69/$AS$17)+1)-1,$AS$13/5)=0),INDEX($BA$4:$BA$53,(INT(69/$AS$17)+1)),"")</f>
        <v/>
      </c>
      <c r="AW83">
        <f>IF(MOD(69,$AS$17)=$AS$17-1,0,INDEX($AU$4:$AU$53,(INT(69/$AS$17)+1)))</f>
        <v/>
      </c>
      <c r="BB83" t="n">
        <v>553000</v>
      </c>
      <c r="BC83" t="n">
        <v>556500</v>
      </c>
      <c r="BD83" t="n">
        <v>18</v>
      </c>
      <c r="BI83">
        <f>IF(AND(MOD(69,$BF$17)=0,MOD((INT(69/$BF$17)+1)-1,$BF$13/5)=0),INDEX($BN$4:$BN$53,(INT(69/$BF$17)+1)),"")</f>
        <v/>
      </c>
      <c r="BJ83">
        <f>IF(MOD(69,$BF$17)=$BF$17-1,0,INDEX($BH$4:$BH$53,(INT(69/$BF$17)+1)))</f>
        <v/>
      </c>
      <c r="BO83" t="n">
        <v>0.474</v>
      </c>
      <c r="BP83" t="n">
        <v>0.477</v>
      </c>
      <c r="BQ83" t="n">
        <v>76</v>
      </c>
      <c r="BV83">
        <f>IF(AND(MOD(69,$BS$17)=0,MOD((INT(69/$BS$17)+1)-1,$BS$13/5)=0),INDEX($CA$4:$CA$53,(INT(69/$BS$17)+1)),"")</f>
        <v/>
      </c>
      <c r="BW83">
        <f>IF(MOD(69,$BS$17)=$BS$17-1,0,INDEX($BU$4:$BU$53,(INT(69/$BS$17)+1)))</f>
        <v/>
      </c>
      <c r="CB83" t="n">
        <v>11.85</v>
      </c>
      <c r="CC83" t="n">
        <v>11.925</v>
      </c>
      <c r="CD83" t="n">
        <v>27</v>
      </c>
      <c r="CI83">
        <f>IF(AND(MOD(69,$CF$17)=0,MOD((INT(69/$CF$17)+1)-1,$CF$13/5)=0),INDEX($CN$4:$CN$53,(INT(69/$CF$17)+1)),"")</f>
        <v/>
      </c>
      <c r="CJ83">
        <f>IF(MOD(69,$CF$17)=$CF$17-1,0,INDEX($CH$4:$CH$53,(INT(69/$CF$17)+1)))</f>
        <v/>
      </c>
      <c r="CO83" t="n">
        <v>41.6</v>
      </c>
      <c r="CP83" t="n">
        <v>41.8</v>
      </c>
      <c r="CQ83" t="n">
        <v>116</v>
      </c>
      <c r="CV83">
        <f>IF(AND(MOD(69,$CS$17)=0,MOD((INT(69/$CS$17)+1)-1,$CS$13/5)=0),INDEX($DA$4:$DA$53,(INT(69/$CS$17)+1)),"")</f>
        <v/>
      </c>
      <c r="CW83">
        <f>IF(MOD(69,$CS$17)=$CS$17-1,0,INDEX($CU$4:$CU$53,(INT(69/$CS$17)+1)))</f>
        <v/>
      </c>
      <c r="DB83" t="n">
        <v>37.65</v>
      </c>
      <c r="DC83" t="n">
        <v>37.825</v>
      </c>
      <c r="DD83" t="n">
        <v>113</v>
      </c>
      <c r="DI83">
        <f>IF(AND(MOD(69,$DF$17)=0,MOD((INT(69/$DF$17)+1)-1,$DF$13/5)=0),INDEX($DN$4:$DN$53,(INT(69/$DF$17)+1)),"")</f>
        <v/>
      </c>
      <c r="DJ83">
        <f>IF(MOD(69,$DF$17)=$DF$17-1,0,INDEX($DH$4:$DH$53,(INT(69/$DF$17)+1)))</f>
        <v/>
      </c>
      <c r="DO83" t="n">
        <v>9.475</v>
      </c>
      <c r="DP83" t="n">
        <v>9.487500000000001</v>
      </c>
      <c r="DQ83" t="n">
        <v>103</v>
      </c>
      <c r="DV83">
        <f>IF(AND(MOD(69,$DS$17)=0,MOD((INT(69/$DS$17)+1)-1,$DS$13/5)=0),INDEX($EA$4:$EA$53,(INT(69/$DS$17)+1)),"")</f>
        <v/>
      </c>
      <c r="DW83">
        <f>IF(MOD(69,$DS$17)=$DS$17-1,0,INDEX($DU$4:$DU$53,(INT(69/$DS$17)+1)))</f>
        <v/>
      </c>
      <c r="EB83" t="n">
        <v>39.5</v>
      </c>
      <c r="EC83" t="n">
        <v>39.75</v>
      </c>
      <c r="ED83" t="n">
        <v>65</v>
      </c>
      <c r="EI83">
        <f>IF(AND(MOD(69,$EF$17)=0,MOD((INT(69/$EF$17)+1)-1,$EF$13/5)=0),INDEX($EN$4:$EN$53,(INT(69/$EF$17)+1)),"")</f>
        <v/>
      </c>
      <c r="EJ83">
        <f>IF(MOD(69,$EF$17)=$EF$17-1,0,INDEX($EH$4:$EH$53,(INT(69/$EF$17)+1)))</f>
        <v/>
      </c>
      <c r="EO83" t="n">
        <v>1.3825</v>
      </c>
      <c r="EP83" t="n">
        <v>1.39125</v>
      </c>
      <c r="EQ83" t="n">
        <v>30</v>
      </c>
      <c r="EV83">
        <f>IF(AND(MOD(69,$ES$17)=0,MOD((INT(69/$ES$17)+1)-1,$ES$13/5)=0),INDEX($FA$4:$FA$53,(INT(69/$ES$17)+1)),"")</f>
        <v/>
      </c>
      <c r="EW83">
        <f>IF(MOD(69,$ES$17)=$ES$17-1,0,INDEX($EU$4:$EU$53,(INT(69/$ES$17)+1)))</f>
        <v/>
      </c>
    </row>
    <row r="84">
      <c r="B84" t="n">
        <v>670</v>
      </c>
      <c r="C84" t="n">
        <v>670.75</v>
      </c>
      <c r="D84" t="n">
        <v>170</v>
      </c>
      <c r="I84">
        <f>IF(AND(MOD(70,$F$17)=0,MOD((INT(70/$F$17)+1)-1,$F$13/5)=0),INDEX($N$4:$N$53,(INT(70/$F$17)+1)),"")</f>
        <v/>
      </c>
      <c r="J84">
        <f>IF(MOD(70,$F$17)=$F$17-1,0,INDEX($H$4:$H$53,(INT(70/$F$17)+1)))</f>
        <v/>
      </c>
      <c r="O84" t="n">
        <v>24000</v>
      </c>
      <c r="P84" t="n">
        <v>24150</v>
      </c>
      <c r="Q84" t="n">
        <v>65</v>
      </c>
      <c r="V84">
        <f>IF(AND(MOD(70,$S$17)=0,MOD((INT(70/$S$17)+1)-1,$S$13/5)=0),INDEX($AA$4:$AA$53,(INT(70/$S$17)+1)),"")</f>
        <v/>
      </c>
      <c r="W84">
        <f>IF(MOD(70,$S$17)=$S$17-1,0,INDEX($U$4:$U$53,(INT(70/$S$17)+1)))</f>
        <v/>
      </c>
      <c r="AB84" t="n">
        <v>12000</v>
      </c>
      <c r="AC84" t="n">
        <v>12075</v>
      </c>
      <c r="AD84" t="n">
        <v>117</v>
      </c>
      <c r="AI84">
        <f>IF(AND(MOD(70,$AF$17)=0,MOD((INT(70/$AF$17)+1)-1,$AF$13/5)=0),INDEX($AN$4:$AN$53,(INT(70/$AF$17)+1)),"")</f>
        <v/>
      </c>
      <c r="AJ84">
        <f>IF(MOD(70,$AF$17)=$AF$17-1,0,INDEX($AH$4:$AH$53,(INT(70/$AF$17)+1)))</f>
        <v/>
      </c>
      <c r="AO84" t="n">
        <v>320000</v>
      </c>
      <c r="AP84" t="n">
        <v>322000</v>
      </c>
      <c r="AQ84" t="n">
        <v>97</v>
      </c>
      <c r="AV84">
        <f>IF(AND(MOD(70,$AS$17)=0,MOD((INT(70/$AS$17)+1)-1,$AS$13/5)=0),INDEX($BA$4:$BA$53,(INT(70/$AS$17)+1)),"")</f>
        <v/>
      </c>
      <c r="AW84">
        <f>IF(MOD(70,$AS$17)=$AS$17-1,0,INDEX($AU$4:$AU$53,(INT(70/$AS$17)+1)))</f>
        <v/>
      </c>
      <c r="BB84" t="n">
        <v>560000</v>
      </c>
      <c r="BC84" t="n">
        <v>563500</v>
      </c>
      <c r="BD84" t="n">
        <v>22</v>
      </c>
      <c r="BI84">
        <f>IF(AND(MOD(70,$BF$17)=0,MOD((INT(70/$BF$17)+1)-1,$BF$13/5)=0),INDEX($BN$4:$BN$53,(INT(70/$BF$17)+1)),"")</f>
        <v/>
      </c>
      <c r="BJ84">
        <f>IF(MOD(70,$BF$17)=$BF$17-1,0,INDEX($BH$4:$BH$53,(INT(70/$BF$17)+1)))</f>
        <v/>
      </c>
      <c r="BO84" t="n">
        <v>0.48</v>
      </c>
      <c r="BP84" t="n">
        <v>0.483</v>
      </c>
      <c r="BQ84" t="n">
        <v>58</v>
      </c>
      <c r="BV84">
        <f>IF(AND(MOD(70,$BS$17)=0,MOD((INT(70/$BS$17)+1)-1,$BS$13/5)=0),INDEX($CA$4:$CA$53,(INT(70/$BS$17)+1)),"")</f>
        <v/>
      </c>
      <c r="BW84">
        <f>IF(MOD(70,$BS$17)=$BS$17-1,0,INDEX($BU$4:$BU$53,(INT(70/$BS$17)+1)))</f>
        <v/>
      </c>
      <c r="CB84" t="n">
        <v>12</v>
      </c>
      <c r="CC84" t="n">
        <v>12.075</v>
      </c>
      <c r="CD84" t="n">
        <v>49</v>
      </c>
      <c r="CI84">
        <f>IF(AND(MOD(70,$CF$17)=0,MOD((INT(70/$CF$17)+1)-1,$CF$13/5)=0),INDEX($CN$4:$CN$53,(INT(70/$CF$17)+1)),"")</f>
        <v/>
      </c>
      <c r="CJ84">
        <f>IF(MOD(70,$CF$17)=$CF$17-1,0,INDEX($CH$4:$CH$53,(INT(70/$CF$17)+1)))</f>
        <v/>
      </c>
      <c r="CO84" t="n">
        <v>42</v>
      </c>
      <c r="CP84" t="n">
        <v>42.2</v>
      </c>
      <c r="CQ84" t="n">
        <v>87</v>
      </c>
      <c r="CV84">
        <f>IF(AND(MOD(70,$CS$17)=0,MOD((INT(70/$CS$17)+1)-1,$CS$13/5)=0),INDEX($DA$4:$DA$53,(INT(70/$CS$17)+1)),"")</f>
        <v/>
      </c>
      <c r="CW84">
        <f>IF(MOD(70,$CS$17)=$CS$17-1,0,INDEX($CU$4:$CU$53,(INT(70/$CS$17)+1)))</f>
        <v/>
      </c>
      <c r="DB84" t="n">
        <v>38</v>
      </c>
      <c r="DC84" t="n">
        <v>38.175</v>
      </c>
      <c r="DD84" t="n">
        <v>92</v>
      </c>
      <c r="DI84">
        <f>IF(AND(MOD(70,$DF$17)=0,MOD((INT(70/$DF$17)+1)-1,$DF$13/5)=0),INDEX($DN$4:$DN$53,(INT(70/$DF$17)+1)),"")</f>
        <v/>
      </c>
      <c r="DJ84">
        <f>IF(MOD(70,$DF$17)=$DF$17-1,0,INDEX($DH$4:$DH$53,(INT(70/$DF$17)+1)))</f>
        <v/>
      </c>
      <c r="DO84" t="n">
        <v>9.5</v>
      </c>
      <c r="DP84" t="n">
        <v>9.512499999999999</v>
      </c>
      <c r="DQ84" t="n">
        <v>111</v>
      </c>
      <c r="DV84">
        <f>IF(AND(MOD(70,$DS$17)=0,MOD((INT(70/$DS$17)+1)-1,$DS$13/5)=0),INDEX($EA$4:$EA$53,(INT(70/$DS$17)+1)),"")</f>
        <v/>
      </c>
      <c r="DW84">
        <f>IF(MOD(70,$DS$17)=$DS$17-1,0,INDEX($DU$4:$DU$53,(INT(70/$DS$17)+1)))</f>
        <v/>
      </c>
      <c r="EB84" t="n">
        <v>40</v>
      </c>
      <c r="EC84" t="n">
        <v>40.25</v>
      </c>
      <c r="ED84" t="n">
        <v>53</v>
      </c>
      <c r="EI84">
        <f>IF(AND(MOD(70,$EF$17)=0,MOD((INT(70/$EF$17)+1)-1,$EF$13/5)=0),INDEX($EN$4:$EN$53,(INT(70/$EF$17)+1)),"")</f>
        <v/>
      </c>
      <c r="EJ84">
        <f>IF(MOD(70,$EF$17)=$EF$17-1,0,INDEX($EH$4:$EH$53,(INT(70/$EF$17)+1)))</f>
        <v/>
      </c>
      <c r="EO84" t="n">
        <v>1.4</v>
      </c>
      <c r="EP84" t="n">
        <v>1.40875</v>
      </c>
      <c r="EQ84" t="n">
        <v>28</v>
      </c>
      <c r="EV84">
        <f>IF(AND(MOD(70,$ES$17)=0,MOD((INT(70/$ES$17)+1)-1,$ES$13/5)=0),INDEX($FA$4:$FA$53,(INT(70/$ES$17)+1)),"")</f>
        <v/>
      </c>
      <c r="EW84">
        <f>IF(MOD(70,$ES$17)=$ES$17-1,0,INDEX($EU$4:$EU$53,(INT(70/$ES$17)+1)))</f>
        <v/>
      </c>
    </row>
    <row r="85">
      <c r="B85" t="n">
        <v>671.5</v>
      </c>
      <c r="C85" t="n">
        <v>672.25</v>
      </c>
      <c r="D85" t="n">
        <v>77</v>
      </c>
      <c r="I85">
        <f>IF(AND(MOD(71,$F$17)=0,MOD((INT(71/$F$17)+1)-1,$F$13/5)=0),INDEX($N$4:$N$53,(INT(71/$F$17)+1)),"")</f>
        <v/>
      </c>
      <c r="J85">
        <f>IF(MOD(71,$F$17)=$F$17-1,0,INDEX($H$4:$H$53,(INT(71/$F$17)+1)))</f>
        <v/>
      </c>
      <c r="O85" t="n">
        <v>24300</v>
      </c>
      <c r="P85" t="n">
        <v>24450</v>
      </c>
      <c r="Q85" t="n">
        <v>70</v>
      </c>
      <c r="V85">
        <f>IF(AND(MOD(71,$S$17)=0,MOD((INT(71/$S$17)+1)-1,$S$13/5)=0),INDEX($AA$4:$AA$53,(INT(71/$S$17)+1)),"")</f>
        <v/>
      </c>
      <c r="W85">
        <f>IF(MOD(71,$S$17)=$S$17-1,0,INDEX($U$4:$U$53,(INT(71/$S$17)+1)))</f>
        <v/>
      </c>
      <c r="AB85" t="n">
        <v>12150</v>
      </c>
      <c r="AC85" t="n">
        <v>12225</v>
      </c>
      <c r="AD85" t="n">
        <v>112</v>
      </c>
      <c r="AI85">
        <f>IF(AND(MOD(71,$AF$17)=0,MOD((INT(71/$AF$17)+1)-1,$AF$13/5)=0),INDEX($AN$4:$AN$53,(INT(71/$AF$17)+1)),"")</f>
        <v/>
      </c>
      <c r="AJ85">
        <f>IF(MOD(71,$AF$17)=$AF$17-1,0,INDEX($AH$4:$AH$53,(INT(71/$AF$17)+1)))</f>
        <v/>
      </c>
      <c r="AO85" t="n">
        <v>324000</v>
      </c>
      <c r="AP85" t="n">
        <v>326000</v>
      </c>
      <c r="AQ85" t="n">
        <v>98</v>
      </c>
      <c r="AV85">
        <f>IF(AND(MOD(71,$AS$17)=0,MOD((INT(71/$AS$17)+1)-1,$AS$13/5)=0),INDEX($BA$4:$BA$53,(INT(71/$AS$17)+1)),"")</f>
        <v/>
      </c>
      <c r="AW85">
        <f>IF(MOD(71,$AS$17)=$AS$17-1,0,INDEX($AU$4:$AU$53,(INT(71/$AS$17)+1)))</f>
        <v/>
      </c>
      <c r="BB85" t="n">
        <v>567000</v>
      </c>
      <c r="BC85" t="n">
        <v>570500</v>
      </c>
      <c r="BD85" t="n">
        <v>20</v>
      </c>
      <c r="BI85">
        <f>IF(AND(MOD(71,$BF$17)=0,MOD((INT(71/$BF$17)+1)-1,$BF$13/5)=0),INDEX($BN$4:$BN$53,(INT(71/$BF$17)+1)),"")</f>
        <v/>
      </c>
      <c r="BJ85">
        <f>IF(MOD(71,$BF$17)=$BF$17-1,0,INDEX($BH$4:$BH$53,(INT(71/$BF$17)+1)))</f>
        <v/>
      </c>
      <c r="BO85" t="n">
        <v>0.486</v>
      </c>
      <c r="BP85" t="n">
        <v>0.489</v>
      </c>
      <c r="BQ85" t="n">
        <v>58</v>
      </c>
      <c r="BV85">
        <f>IF(AND(MOD(71,$BS$17)=0,MOD((INT(71/$BS$17)+1)-1,$BS$13/5)=0),INDEX($CA$4:$CA$53,(INT(71/$BS$17)+1)),"")</f>
        <v/>
      </c>
      <c r="BW85">
        <f>IF(MOD(71,$BS$17)=$BS$17-1,0,INDEX($BU$4:$BU$53,(INT(71/$BS$17)+1)))</f>
        <v/>
      </c>
      <c r="CB85" t="n">
        <v>12.15</v>
      </c>
      <c r="CC85" t="n">
        <v>12.225</v>
      </c>
      <c r="CD85" t="n">
        <v>37</v>
      </c>
      <c r="CI85">
        <f>IF(AND(MOD(71,$CF$17)=0,MOD((INT(71/$CF$17)+1)-1,$CF$13/5)=0),INDEX($CN$4:$CN$53,(INT(71/$CF$17)+1)),"")</f>
        <v/>
      </c>
      <c r="CJ85">
        <f>IF(MOD(71,$CF$17)=$CF$17-1,0,INDEX($CH$4:$CH$53,(INT(71/$CF$17)+1)))</f>
        <v/>
      </c>
      <c r="CO85" t="n">
        <v>42.4</v>
      </c>
      <c r="CP85" t="n">
        <v>42.6</v>
      </c>
      <c r="CQ85" t="n">
        <v>124</v>
      </c>
      <c r="CV85">
        <f>IF(AND(MOD(71,$CS$17)=0,MOD((INT(71/$CS$17)+1)-1,$CS$13/5)=0),INDEX($DA$4:$DA$53,(INT(71/$CS$17)+1)),"")</f>
        <v/>
      </c>
      <c r="CW85">
        <f>IF(MOD(71,$CS$17)=$CS$17-1,0,INDEX($CU$4:$CU$53,(INT(71/$CS$17)+1)))</f>
        <v/>
      </c>
      <c r="DB85" t="n">
        <v>38.34999999999999</v>
      </c>
      <c r="DC85" t="n">
        <v>38.525</v>
      </c>
      <c r="DD85" t="n">
        <v>101</v>
      </c>
      <c r="DI85">
        <f>IF(AND(MOD(71,$DF$17)=0,MOD((INT(71/$DF$17)+1)-1,$DF$13/5)=0),INDEX($DN$4:$DN$53,(INT(71/$DF$17)+1)),"")</f>
        <v/>
      </c>
      <c r="DJ85">
        <f>IF(MOD(71,$DF$17)=$DF$17-1,0,INDEX($DH$4:$DH$53,(INT(71/$DF$17)+1)))</f>
        <v/>
      </c>
      <c r="DO85" t="n">
        <v>9.525</v>
      </c>
      <c r="DP85" t="n">
        <v>9.5375</v>
      </c>
      <c r="DQ85" t="n">
        <v>93</v>
      </c>
      <c r="DV85">
        <f>IF(AND(MOD(71,$DS$17)=0,MOD((INT(71/$DS$17)+1)-1,$DS$13/5)=0),INDEX($EA$4:$EA$53,(INT(71/$DS$17)+1)),"")</f>
        <v/>
      </c>
      <c r="DW85">
        <f>IF(MOD(71,$DS$17)=$DS$17-1,0,INDEX($DU$4:$DU$53,(INT(71/$DS$17)+1)))</f>
        <v/>
      </c>
      <c r="EB85" t="n">
        <v>40.5</v>
      </c>
      <c r="EC85" t="n">
        <v>40.75</v>
      </c>
      <c r="ED85" t="n">
        <v>72</v>
      </c>
      <c r="EI85">
        <f>IF(AND(MOD(71,$EF$17)=0,MOD((INT(71/$EF$17)+1)-1,$EF$13/5)=0),INDEX($EN$4:$EN$53,(INT(71/$EF$17)+1)),"")</f>
        <v/>
      </c>
      <c r="EJ85">
        <f>IF(MOD(71,$EF$17)=$EF$17-1,0,INDEX($EH$4:$EH$53,(INT(71/$EF$17)+1)))</f>
        <v/>
      </c>
      <c r="EO85" t="n">
        <v>1.4175</v>
      </c>
      <c r="EP85" t="n">
        <v>1.42625</v>
      </c>
      <c r="EQ85" t="n">
        <v>27</v>
      </c>
      <c r="EV85">
        <f>IF(AND(MOD(71,$ES$17)=0,MOD((INT(71/$ES$17)+1)-1,$ES$13/5)=0),INDEX($FA$4:$FA$53,(INT(71/$ES$17)+1)),"")</f>
        <v/>
      </c>
      <c r="EW85">
        <f>IF(MOD(71,$ES$17)=$ES$17-1,0,INDEX($EU$4:$EU$53,(INT(71/$ES$17)+1)))</f>
        <v/>
      </c>
    </row>
    <row r="86">
      <c r="B86" t="n">
        <v>673</v>
      </c>
      <c r="C86" t="n">
        <v>673.75</v>
      </c>
      <c r="D86" t="n">
        <v>154</v>
      </c>
      <c r="I86">
        <f>IF(AND(MOD(72,$F$17)=0,MOD((INT(72/$F$17)+1)-1,$F$13/5)=0),INDEX($N$4:$N$53,(INT(72/$F$17)+1)),"")</f>
        <v/>
      </c>
      <c r="J86">
        <f>IF(MOD(72,$F$17)=$F$17-1,0,INDEX($H$4:$H$53,(INT(72/$F$17)+1)))</f>
        <v/>
      </c>
      <c r="O86" t="n">
        <v>24600</v>
      </c>
      <c r="P86" t="n">
        <v>24750</v>
      </c>
      <c r="Q86" t="n">
        <v>63</v>
      </c>
      <c r="V86">
        <f>IF(AND(MOD(72,$S$17)=0,MOD((INT(72/$S$17)+1)-1,$S$13/5)=0),INDEX($AA$4:$AA$53,(INT(72/$S$17)+1)),"")</f>
        <v/>
      </c>
      <c r="W86">
        <f>IF(MOD(72,$S$17)=$S$17-1,0,INDEX($U$4:$U$53,(INT(72/$S$17)+1)))</f>
        <v/>
      </c>
      <c r="AB86" t="n">
        <v>12300</v>
      </c>
      <c r="AC86" t="n">
        <v>12375</v>
      </c>
      <c r="AD86" t="n">
        <v>111</v>
      </c>
      <c r="AI86">
        <f>IF(AND(MOD(72,$AF$17)=0,MOD((INT(72/$AF$17)+1)-1,$AF$13/5)=0),INDEX($AN$4:$AN$53,(INT(72/$AF$17)+1)),"")</f>
        <v/>
      </c>
      <c r="AJ86">
        <f>IF(MOD(72,$AF$17)=$AF$17-1,0,INDEX($AH$4:$AH$53,(INT(72/$AF$17)+1)))</f>
        <v/>
      </c>
      <c r="AO86" t="n">
        <v>328000</v>
      </c>
      <c r="AP86" t="n">
        <v>330000</v>
      </c>
      <c r="AQ86" t="n">
        <v>111</v>
      </c>
      <c r="AV86">
        <f>IF(AND(MOD(72,$AS$17)=0,MOD((INT(72/$AS$17)+1)-1,$AS$13/5)=0),INDEX($BA$4:$BA$53,(INT(72/$AS$17)+1)),"")</f>
        <v/>
      </c>
      <c r="AW86">
        <f>IF(MOD(72,$AS$17)=$AS$17-1,0,INDEX($AU$4:$AU$53,(INT(72/$AS$17)+1)))</f>
        <v/>
      </c>
      <c r="BB86" t="n">
        <v>574000</v>
      </c>
      <c r="BC86" t="n">
        <v>577500</v>
      </c>
      <c r="BD86" t="n">
        <v>17</v>
      </c>
      <c r="BI86">
        <f>IF(AND(MOD(72,$BF$17)=0,MOD((INT(72/$BF$17)+1)-1,$BF$13/5)=0),INDEX($BN$4:$BN$53,(INT(72/$BF$17)+1)),"")</f>
        <v/>
      </c>
      <c r="BJ86">
        <f>IF(MOD(72,$BF$17)=$BF$17-1,0,INDEX($BH$4:$BH$53,(INT(72/$BF$17)+1)))</f>
        <v/>
      </c>
      <c r="BO86" t="n">
        <v>0.492</v>
      </c>
      <c r="BP86" t="n">
        <v>0.495</v>
      </c>
      <c r="BQ86" t="n">
        <v>66</v>
      </c>
      <c r="BV86">
        <f>IF(AND(MOD(72,$BS$17)=0,MOD((INT(72/$BS$17)+1)-1,$BS$13/5)=0),INDEX($CA$4:$CA$53,(INT(72/$BS$17)+1)),"")</f>
        <v/>
      </c>
      <c r="BW86">
        <f>IF(MOD(72,$BS$17)=$BS$17-1,0,INDEX($BU$4:$BU$53,(INT(72/$BS$17)+1)))</f>
        <v/>
      </c>
      <c r="CB86" t="n">
        <v>12.3</v>
      </c>
      <c r="CC86" t="n">
        <v>12.375</v>
      </c>
      <c r="CD86" t="n">
        <v>62</v>
      </c>
      <c r="CI86">
        <f>IF(AND(MOD(72,$CF$17)=0,MOD((INT(72/$CF$17)+1)-1,$CF$13/5)=0),INDEX($CN$4:$CN$53,(INT(72/$CF$17)+1)),"")</f>
        <v/>
      </c>
      <c r="CJ86">
        <f>IF(MOD(72,$CF$17)=$CF$17-1,0,INDEX($CH$4:$CH$53,(INT(72/$CF$17)+1)))</f>
        <v/>
      </c>
      <c r="CO86" t="n">
        <v>42.8</v>
      </c>
      <c r="CP86" t="n">
        <v>43</v>
      </c>
      <c r="CQ86" t="n">
        <v>120</v>
      </c>
      <c r="CV86">
        <f>IF(AND(MOD(72,$CS$17)=0,MOD((INT(72/$CS$17)+1)-1,$CS$13/5)=0),INDEX($DA$4:$DA$53,(INT(72/$CS$17)+1)),"")</f>
        <v/>
      </c>
      <c r="CW86">
        <f>IF(MOD(72,$CS$17)=$CS$17-1,0,INDEX($CU$4:$CU$53,(INT(72/$CS$17)+1)))</f>
        <v/>
      </c>
      <c r="DB86" t="n">
        <v>38.7</v>
      </c>
      <c r="DC86" t="n">
        <v>38.875</v>
      </c>
      <c r="DD86" t="n">
        <v>106</v>
      </c>
      <c r="DI86">
        <f>IF(AND(MOD(72,$DF$17)=0,MOD((INT(72/$DF$17)+1)-1,$DF$13/5)=0),INDEX($DN$4:$DN$53,(INT(72/$DF$17)+1)),"")</f>
        <v/>
      </c>
      <c r="DJ86">
        <f>IF(MOD(72,$DF$17)=$DF$17-1,0,INDEX($DH$4:$DH$53,(INT(72/$DF$17)+1)))</f>
        <v/>
      </c>
      <c r="DO86" t="n">
        <v>9.550000000000001</v>
      </c>
      <c r="DP86" t="n">
        <v>9.5625</v>
      </c>
      <c r="DQ86" t="n">
        <v>111</v>
      </c>
      <c r="DV86">
        <f>IF(AND(MOD(72,$DS$17)=0,MOD((INT(72/$DS$17)+1)-1,$DS$13/5)=0),INDEX($EA$4:$EA$53,(INT(72/$DS$17)+1)),"")</f>
        <v/>
      </c>
      <c r="DW86">
        <f>IF(MOD(72,$DS$17)=$DS$17-1,0,INDEX($DU$4:$DU$53,(INT(72/$DS$17)+1)))</f>
        <v/>
      </c>
      <c r="EB86" t="n">
        <v>41</v>
      </c>
      <c r="EC86" t="n">
        <v>41.25</v>
      </c>
      <c r="ED86" t="n">
        <v>51</v>
      </c>
      <c r="EI86">
        <f>IF(AND(MOD(72,$EF$17)=0,MOD((INT(72/$EF$17)+1)-1,$EF$13/5)=0),INDEX($EN$4:$EN$53,(INT(72/$EF$17)+1)),"")</f>
        <v/>
      </c>
      <c r="EJ86">
        <f>IF(MOD(72,$EF$17)=$EF$17-1,0,INDEX($EH$4:$EH$53,(INT(72/$EF$17)+1)))</f>
        <v/>
      </c>
      <c r="EO86" t="n">
        <v>1.435</v>
      </c>
      <c r="EP86" t="n">
        <v>1.44375</v>
      </c>
      <c r="EQ86" t="n">
        <v>23</v>
      </c>
      <c r="EV86">
        <f>IF(AND(MOD(72,$ES$17)=0,MOD((INT(72/$ES$17)+1)-1,$ES$13/5)=0),INDEX($FA$4:$FA$53,(INT(72/$ES$17)+1)),"")</f>
        <v/>
      </c>
      <c r="EW86">
        <f>IF(MOD(72,$ES$17)=$ES$17-1,0,INDEX($EU$4:$EU$53,(INT(72/$ES$17)+1)))</f>
        <v/>
      </c>
    </row>
    <row r="87">
      <c r="B87" t="n">
        <v>674.5</v>
      </c>
      <c r="C87" t="n">
        <v>675.25</v>
      </c>
      <c r="D87" t="n">
        <v>74</v>
      </c>
      <c r="I87">
        <f>IF(AND(MOD(73,$F$17)=0,MOD((INT(73/$F$17)+1)-1,$F$13/5)=0),INDEX($N$4:$N$53,(INT(73/$F$17)+1)),"")</f>
        <v/>
      </c>
      <c r="J87">
        <f>IF(MOD(73,$F$17)=$F$17-1,0,INDEX($H$4:$H$53,(INT(73/$F$17)+1)))</f>
        <v/>
      </c>
      <c r="O87" t="n">
        <v>24900</v>
      </c>
      <c r="P87" t="n">
        <v>25050</v>
      </c>
      <c r="Q87" t="n">
        <v>64</v>
      </c>
      <c r="V87">
        <f>IF(AND(MOD(73,$S$17)=0,MOD((INT(73/$S$17)+1)-1,$S$13/5)=0),INDEX($AA$4:$AA$53,(INT(73/$S$17)+1)),"")</f>
        <v/>
      </c>
      <c r="W87">
        <f>IF(MOD(73,$S$17)=$S$17-1,0,INDEX($U$4:$U$53,(INT(73/$S$17)+1)))</f>
        <v/>
      </c>
      <c r="AB87" t="n">
        <v>12450</v>
      </c>
      <c r="AC87" t="n">
        <v>12525</v>
      </c>
      <c r="AD87" t="n">
        <v>113</v>
      </c>
      <c r="AI87">
        <f>IF(AND(MOD(73,$AF$17)=0,MOD((INT(73/$AF$17)+1)-1,$AF$13/5)=0),INDEX($AN$4:$AN$53,(INT(73/$AF$17)+1)),"")</f>
        <v/>
      </c>
      <c r="AJ87">
        <f>IF(MOD(73,$AF$17)=$AF$17-1,0,INDEX($AH$4:$AH$53,(INT(73/$AF$17)+1)))</f>
        <v/>
      </c>
      <c r="AO87" t="n">
        <v>332000</v>
      </c>
      <c r="AP87" t="n">
        <v>334000</v>
      </c>
      <c r="AQ87" t="n">
        <v>96</v>
      </c>
      <c r="AV87">
        <f>IF(AND(MOD(73,$AS$17)=0,MOD((INT(73/$AS$17)+1)-1,$AS$13/5)=0),INDEX($BA$4:$BA$53,(INT(73/$AS$17)+1)),"")</f>
        <v/>
      </c>
      <c r="AW87">
        <f>IF(MOD(73,$AS$17)=$AS$17-1,0,INDEX($AU$4:$AU$53,(INT(73/$AS$17)+1)))</f>
        <v/>
      </c>
      <c r="BB87" t="n">
        <v>581000</v>
      </c>
      <c r="BC87" t="n">
        <v>584500</v>
      </c>
      <c r="BD87" t="n">
        <v>13</v>
      </c>
      <c r="BI87">
        <f>IF(AND(MOD(73,$BF$17)=0,MOD((INT(73/$BF$17)+1)-1,$BF$13/5)=0),INDEX($BN$4:$BN$53,(INT(73/$BF$17)+1)),"")</f>
        <v/>
      </c>
      <c r="BJ87">
        <f>IF(MOD(73,$BF$17)=$BF$17-1,0,INDEX($BH$4:$BH$53,(INT(73/$BF$17)+1)))</f>
        <v/>
      </c>
      <c r="BO87" t="n">
        <v>0.498</v>
      </c>
      <c r="BP87" t="n">
        <v>0.501</v>
      </c>
      <c r="BQ87" t="n">
        <v>46</v>
      </c>
      <c r="BV87">
        <f>IF(AND(MOD(73,$BS$17)=0,MOD((INT(73/$BS$17)+1)-1,$BS$13/5)=0),INDEX($CA$4:$CA$53,(INT(73/$BS$17)+1)),"")</f>
        <v/>
      </c>
      <c r="BW87">
        <f>IF(MOD(73,$BS$17)=$BS$17-1,0,INDEX($BU$4:$BU$53,(INT(73/$BS$17)+1)))</f>
        <v/>
      </c>
      <c r="CB87" t="n">
        <v>12.45</v>
      </c>
      <c r="CC87" t="n">
        <v>12.525</v>
      </c>
      <c r="CD87" t="n">
        <v>17</v>
      </c>
      <c r="CI87">
        <f>IF(AND(MOD(73,$CF$17)=0,MOD((INT(73/$CF$17)+1)-1,$CF$13/5)=0),INDEX($CN$4:$CN$53,(INT(73/$CF$17)+1)),"")</f>
        <v/>
      </c>
      <c r="CJ87">
        <f>IF(MOD(73,$CF$17)=$CF$17-1,0,INDEX($CH$4:$CH$53,(INT(73/$CF$17)+1)))</f>
        <v/>
      </c>
      <c r="CO87" t="n">
        <v>43.2</v>
      </c>
      <c r="CP87" t="n">
        <v>43.4</v>
      </c>
      <c r="CQ87" t="n">
        <v>96</v>
      </c>
      <c r="CV87">
        <f>IF(AND(MOD(73,$CS$17)=0,MOD((INT(73/$CS$17)+1)-1,$CS$13/5)=0),INDEX($DA$4:$DA$53,(INT(73/$CS$17)+1)),"")</f>
        <v/>
      </c>
      <c r="CW87">
        <f>IF(MOD(73,$CS$17)=$CS$17-1,0,INDEX($CU$4:$CU$53,(INT(73/$CS$17)+1)))</f>
        <v/>
      </c>
      <c r="DB87" t="n">
        <v>39.05</v>
      </c>
      <c r="DC87" t="n">
        <v>39.22499999999999</v>
      </c>
      <c r="DD87" t="n">
        <v>97</v>
      </c>
      <c r="DI87">
        <f>IF(AND(MOD(73,$DF$17)=0,MOD((INT(73/$DF$17)+1)-1,$DF$13/5)=0),INDEX($DN$4:$DN$53,(INT(73/$DF$17)+1)),"")</f>
        <v/>
      </c>
      <c r="DJ87">
        <f>IF(MOD(73,$DF$17)=$DF$17-1,0,INDEX($DH$4:$DH$53,(INT(73/$DF$17)+1)))</f>
        <v/>
      </c>
      <c r="DO87" t="n">
        <v>9.574999999999999</v>
      </c>
      <c r="DP87" t="n">
        <v>9.5875</v>
      </c>
      <c r="DQ87" t="n">
        <v>104</v>
      </c>
      <c r="DV87">
        <f>IF(AND(MOD(73,$DS$17)=0,MOD((INT(73/$DS$17)+1)-1,$DS$13/5)=0),INDEX($EA$4:$EA$53,(INT(73/$DS$17)+1)),"")</f>
        <v/>
      </c>
      <c r="DW87">
        <f>IF(MOD(73,$DS$17)=$DS$17-1,0,INDEX($DU$4:$DU$53,(INT(73/$DS$17)+1)))</f>
        <v/>
      </c>
      <c r="EB87" t="n">
        <v>41.5</v>
      </c>
      <c r="EC87" t="n">
        <v>41.75</v>
      </c>
      <c r="ED87" t="n">
        <v>54</v>
      </c>
      <c r="EI87">
        <f>IF(AND(MOD(73,$EF$17)=0,MOD((INT(73/$EF$17)+1)-1,$EF$13/5)=0),INDEX($EN$4:$EN$53,(INT(73/$EF$17)+1)),"")</f>
        <v/>
      </c>
      <c r="EJ87">
        <f>IF(MOD(73,$EF$17)=$EF$17-1,0,INDEX($EH$4:$EH$53,(INT(73/$EF$17)+1)))</f>
        <v/>
      </c>
      <c r="EO87" t="n">
        <v>1.4525</v>
      </c>
      <c r="EP87" t="n">
        <v>1.46125</v>
      </c>
      <c r="EQ87" t="n">
        <v>28</v>
      </c>
      <c r="EV87">
        <f>IF(AND(MOD(73,$ES$17)=0,MOD((INT(73/$ES$17)+1)-1,$ES$13/5)=0),INDEX($FA$4:$FA$53,(INT(73/$ES$17)+1)),"")</f>
        <v/>
      </c>
      <c r="EW87">
        <f>IF(MOD(73,$ES$17)=$ES$17-1,0,INDEX($EU$4:$EU$53,(INT(73/$ES$17)+1)))</f>
        <v/>
      </c>
    </row>
    <row r="88">
      <c r="B88" t="n">
        <v>676</v>
      </c>
      <c r="C88" t="n">
        <v>676.75</v>
      </c>
      <c r="D88" t="n">
        <v>139</v>
      </c>
      <c r="I88">
        <f>IF(AND(MOD(74,$F$17)=0,MOD((INT(74/$F$17)+1)-1,$F$13/5)=0),INDEX($N$4:$N$53,(INT(74/$F$17)+1)),"")</f>
        <v/>
      </c>
      <c r="J88">
        <f>IF(MOD(74,$F$17)=$F$17-1,0,INDEX($H$4:$H$53,(INT(74/$F$17)+1)))</f>
        <v/>
      </c>
      <c r="O88" t="n">
        <v>25200</v>
      </c>
      <c r="P88" t="n">
        <v>25350</v>
      </c>
      <c r="Q88" t="n">
        <v>70</v>
      </c>
      <c r="V88">
        <f>IF(AND(MOD(74,$S$17)=0,MOD((INT(74/$S$17)+1)-1,$S$13/5)=0),INDEX($AA$4:$AA$53,(INT(74/$S$17)+1)),"")</f>
        <v/>
      </c>
      <c r="W88">
        <f>IF(MOD(74,$S$17)=$S$17-1,0,INDEX($U$4:$U$53,(INT(74/$S$17)+1)))</f>
        <v/>
      </c>
      <c r="AB88" t="n">
        <v>12600</v>
      </c>
      <c r="AC88" t="n">
        <v>12675</v>
      </c>
      <c r="AD88" t="n">
        <v>125</v>
      </c>
      <c r="AI88">
        <f>IF(AND(MOD(74,$AF$17)=0,MOD((INT(74/$AF$17)+1)-1,$AF$13/5)=0),INDEX($AN$4:$AN$53,(INT(74/$AF$17)+1)),"")</f>
        <v/>
      </c>
      <c r="AJ88">
        <f>IF(MOD(74,$AF$17)=$AF$17-1,0,INDEX($AH$4:$AH$53,(INT(74/$AF$17)+1)))</f>
        <v/>
      </c>
      <c r="AO88" t="n">
        <v>336000</v>
      </c>
      <c r="AP88" t="n">
        <v>338000</v>
      </c>
      <c r="AQ88" t="n">
        <v>89</v>
      </c>
      <c r="AV88">
        <f>IF(AND(MOD(74,$AS$17)=0,MOD((INT(74/$AS$17)+1)-1,$AS$13/5)=0),INDEX($BA$4:$BA$53,(INT(74/$AS$17)+1)),"")</f>
        <v/>
      </c>
      <c r="AW88">
        <f>IF(MOD(74,$AS$17)=$AS$17-1,0,INDEX($AU$4:$AU$53,(INT(74/$AS$17)+1)))</f>
        <v/>
      </c>
      <c r="BB88" t="n">
        <v>588000</v>
      </c>
      <c r="BC88" t="n">
        <v>591500</v>
      </c>
      <c r="BD88" t="n">
        <v>14</v>
      </c>
      <c r="BI88">
        <f>IF(AND(MOD(74,$BF$17)=0,MOD((INT(74/$BF$17)+1)-1,$BF$13/5)=0),INDEX($BN$4:$BN$53,(INT(74/$BF$17)+1)),"")</f>
        <v/>
      </c>
      <c r="BJ88">
        <f>IF(MOD(74,$BF$17)=$BF$17-1,0,INDEX($BH$4:$BH$53,(INT(74/$BF$17)+1)))</f>
        <v/>
      </c>
      <c r="BO88" t="n">
        <v>0.504</v>
      </c>
      <c r="BP88" t="n">
        <v>0.507</v>
      </c>
      <c r="BQ88" t="n">
        <v>59</v>
      </c>
      <c r="BV88">
        <f>IF(AND(MOD(74,$BS$17)=0,MOD((INT(74/$BS$17)+1)-1,$BS$13/5)=0),INDEX($CA$4:$CA$53,(INT(74/$BS$17)+1)),"")</f>
        <v/>
      </c>
      <c r="BW88">
        <f>IF(MOD(74,$BS$17)=$BS$17-1,0,INDEX($BU$4:$BU$53,(INT(74/$BS$17)+1)))</f>
        <v/>
      </c>
      <c r="CB88" t="n">
        <v>12.6</v>
      </c>
      <c r="CC88" t="n">
        <v>12.675</v>
      </c>
      <c r="CD88" t="n">
        <v>50</v>
      </c>
      <c r="CI88">
        <f>IF(AND(MOD(74,$CF$17)=0,MOD((INT(74/$CF$17)+1)-1,$CF$13/5)=0),INDEX($CN$4:$CN$53,(INT(74/$CF$17)+1)),"")</f>
        <v/>
      </c>
      <c r="CJ88">
        <f>IF(MOD(74,$CF$17)=$CF$17-1,0,INDEX($CH$4:$CH$53,(INT(74/$CF$17)+1)))</f>
        <v/>
      </c>
      <c r="CO88" t="n">
        <v>43.6</v>
      </c>
      <c r="CP88" t="n">
        <v>43.8</v>
      </c>
      <c r="CQ88" t="n">
        <v>116</v>
      </c>
      <c r="CV88">
        <f>IF(AND(MOD(74,$CS$17)=0,MOD((INT(74/$CS$17)+1)-1,$CS$13/5)=0),INDEX($DA$4:$DA$53,(INT(74/$CS$17)+1)),"")</f>
        <v/>
      </c>
      <c r="CW88">
        <f>IF(MOD(74,$CS$17)=$CS$17-1,0,INDEX($CU$4:$CU$53,(INT(74/$CS$17)+1)))</f>
        <v/>
      </c>
      <c r="DB88" t="n">
        <v>39.4</v>
      </c>
      <c r="DC88" t="n">
        <v>39.575</v>
      </c>
      <c r="DD88" t="n">
        <v>107</v>
      </c>
      <c r="DI88">
        <f>IF(AND(MOD(74,$DF$17)=0,MOD((INT(74/$DF$17)+1)-1,$DF$13/5)=0),INDEX($DN$4:$DN$53,(INT(74/$DF$17)+1)),"")</f>
        <v/>
      </c>
      <c r="DJ88">
        <f>IF(MOD(74,$DF$17)=$DF$17-1,0,INDEX($DH$4:$DH$53,(INT(74/$DF$17)+1)))</f>
        <v/>
      </c>
      <c r="DO88" t="n">
        <v>9.6</v>
      </c>
      <c r="DP88" t="n">
        <v>9.612500000000001</v>
      </c>
      <c r="DQ88" t="n">
        <v>129</v>
      </c>
      <c r="DV88">
        <f>IF(AND(MOD(74,$DS$17)=0,MOD((INT(74/$DS$17)+1)-1,$DS$13/5)=0),INDEX($EA$4:$EA$53,(INT(74/$DS$17)+1)),"")</f>
        <v/>
      </c>
      <c r="DW88">
        <f>IF(MOD(74,$DS$17)=$DS$17-1,0,INDEX($DU$4:$DU$53,(INT(74/$DS$17)+1)))</f>
        <v/>
      </c>
      <c r="EB88" t="n">
        <v>42</v>
      </c>
      <c r="EC88" t="n">
        <v>42.25</v>
      </c>
      <c r="ED88" t="n">
        <v>85</v>
      </c>
      <c r="EI88">
        <f>IF(AND(MOD(74,$EF$17)=0,MOD((INT(74/$EF$17)+1)-1,$EF$13/5)=0),INDEX($EN$4:$EN$53,(INT(74/$EF$17)+1)),"")</f>
        <v/>
      </c>
      <c r="EJ88">
        <f>IF(MOD(74,$EF$17)=$EF$17-1,0,INDEX($EH$4:$EH$53,(INT(74/$EF$17)+1)))</f>
        <v/>
      </c>
      <c r="EO88" t="n">
        <v>1.47</v>
      </c>
      <c r="EP88" t="n">
        <v>1.47875</v>
      </c>
      <c r="EQ88" t="n">
        <v>29</v>
      </c>
      <c r="EV88">
        <f>IF(AND(MOD(74,$ES$17)=0,MOD((INT(74/$ES$17)+1)-1,$ES$13/5)=0),INDEX($FA$4:$FA$53,(INT(74/$ES$17)+1)),"")</f>
        <v/>
      </c>
      <c r="EW88">
        <f>IF(MOD(74,$ES$17)=$ES$17-1,0,INDEX($EU$4:$EU$53,(INT(74/$ES$17)+1)))</f>
        <v/>
      </c>
    </row>
    <row r="89">
      <c r="B89" t="n">
        <v>677.5</v>
      </c>
      <c r="C89" t="n">
        <v>678.25</v>
      </c>
      <c r="D89" t="n">
        <v>81</v>
      </c>
      <c r="I89">
        <f>IF(AND(MOD(75,$F$17)=0,MOD((INT(75/$F$17)+1)-1,$F$13/5)=0),INDEX($N$4:$N$53,(INT(75/$F$17)+1)),"")</f>
        <v/>
      </c>
      <c r="J89">
        <f>IF(MOD(75,$F$17)=$F$17-1,0,INDEX($H$4:$H$53,(INT(75/$F$17)+1)))</f>
        <v/>
      </c>
      <c r="O89" t="n">
        <v>25500</v>
      </c>
      <c r="P89" t="n">
        <v>25650</v>
      </c>
      <c r="Q89" t="n">
        <v>71</v>
      </c>
      <c r="V89">
        <f>IF(AND(MOD(75,$S$17)=0,MOD((INT(75/$S$17)+1)-1,$S$13/5)=0),INDEX($AA$4:$AA$53,(INT(75/$S$17)+1)),"")</f>
        <v/>
      </c>
      <c r="W89">
        <f>IF(MOD(75,$S$17)=$S$17-1,0,INDEX($U$4:$U$53,(INT(75/$S$17)+1)))</f>
        <v/>
      </c>
      <c r="AB89" t="n">
        <v>12750</v>
      </c>
      <c r="AC89" t="n">
        <v>12825</v>
      </c>
      <c r="AD89" t="n">
        <v>108</v>
      </c>
      <c r="AI89">
        <f>IF(AND(MOD(75,$AF$17)=0,MOD((INT(75/$AF$17)+1)-1,$AF$13/5)=0),INDEX($AN$4:$AN$53,(INT(75/$AF$17)+1)),"")</f>
        <v/>
      </c>
      <c r="AJ89">
        <f>IF(MOD(75,$AF$17)=$AF$17-1,0,INDEX($AH$4:$AH$53,(INT(75/$AF$17)+1)))</f>
        <v/>
      </c>
      <c r="AO89" t="n">
        <v>340000</v>
      </c>
      <c r="AP89" t="n">
        <v>342000</v>
      </c>
      <c r="AQ89" t="n">
        <v>90</v>
      </c>
      <c r="AV89">
        <f>IF(AND(MOD(75,$AS$17)=0,MOD((INT(75/$AS$17)+1)-1,$AS$13/5)=0),INDEX($BA$4:$BA$53,(INT(75/$AS$17)+1)),"")</f>
        <v/>
      </c>
      <c r="AW89">
        <f>IF(MOD(75,$AS$17)=$AS$17-1,0,INDEX($AU$4:$AU$53,(INT(75/$AS$17)+1)))</f>
        <v/>
      </c>
      <c r="BB89" t="n">
        <v>595000</v>
      </c>
      <c r="BC89" t="n">
        <v>598500</v>
      </c>
      <c r="BD89" t="n">
        <v>13</v>
      </c>
      <c r="BI89">
        <f>IF(AND(MOD(75,$BF$17)=0,MOD((INT(75/$BF$17)+1)-1,$BF$13/5)=0),INDEX($BN$4:$BN$53,(INT(75/$BF$17)+1)),"")</f>
        <v/>
      </c>
      <c r="BJ89">
        <f>IF(MOD(75,$BF$17)=$BF$17-1,0,INDEX($BH$4:$BH$53,(INT(75/$BF$17)+1)))</f>
        <v/>
      </c>
      <c r="BO89" t="n">
        <v>0.51</v>
      </c>
      <c r="BP89" t="n">
        <v>0.513</v>
      </c>
      <c r="BQ89" t="n">
        <v>75</v>
      </c>
      <c r="BV89">
        <f>IF(AND(MOD(75,$BS$17)=0,MOD((INT(75/$BS$17)+1)-1,$BS$13/5)=0),INDEX($CA$4:$CA$53,(INT(75/$BS$17)+1)),"")</f>
        <v/>
      </c>
      <c r="BW89">
        <f>IF(MOD(75,$BS$17)=$BS$17-1,0,INDEX($BU$4:$BU$53,(INT(75/$BS$17)+1)))</f>
        <v/>
      </c>
      <c r="CB89" t="n">
        <v>12.75</v>
      </c>
      <c r="CC89" t="n">
        <v>12.825</v>
      </c>
      <c r="CD89" t="n">
        <v>24</v>
      </c>
      <c r="CI89">
        <f>IF(AND(MOD(75,$CF$17)=0,MOD((INT(75/$CF$17)+1)-1,$CF$13/5)=0),INDEX($CN$4:$CN$53,(INT(75/$CF$17)+1)),"")</f>
        <v/>
      </c>
      <c r="CJ89">
        <f>IF(MOD(75,$CF$17)=$CF$17-1,0,INDEX($CH$4:$CH$53,(INT(75/$CF$17)+1)))</f>
        <v/>
      </c>
      <c r="CO89" t="n">
        <v>44</v>
      </c>
      <c r="CP89" t="n">
        <v>44.2</v>
      </c>
      <c r="CQ89" t="n">
        <v>126</v>
      </c>
      <c r="CV89">
        <f>IF(AND(MOD(75,$CS$17)=0,MOD((INT(75/$CS$17)+1)-1,$CS$13/5)=0),INDEX($DA$4:$DA$53,(INT(75/$CS$17)+1)),"")</f>
        <v/>
      </c>
      <c r="CW89">
        <f>IF(MOD(75,$CS$17)=$CS$17-1,0,INDEX($CU$4:$CU$53,(INT(75/$CS$17)+1)))</f>
        <v/>
      </c>
      <c r="DB89" t="n">
        <v>39.75</v>
      </c>
      <c r="DC89" t="n">
        <v>39.925</v>
      </c>
      <c r="DD89" t="n">
        <v>112</v>
      </c>
      <c r="DI89">
        <f>IF(AND(MOD(75,$DF$17)=0,MOD((INT(75/$DF$17)+1)-1,$DF$13/5)=0),INDEX($DN$4:$DN$53,(INT(75/$DF$17)+1)),"")</f>
        <v/>
      </c>
      <c r="DJ89">
        <f>IF(MOD(75,$DF$17)=$DF$17-1,0,INDEX($DH$4:$DH$53,(INT(75/$DF$17)+1)))</f>
        <v/>
      </c>
      <c r="DO89" t="n">
        <v>9.625</v>
      </c>
      <c r="DP89" t="n">
        <v>9.637499999999999</v>
      </c>
      <c r="DQ89" t="n">
        <v>116</v>
      </c>
      <c r="DV89">
        <f>IF(AND(MOD(75,$DS$17)=0,MOD((INT(75/$DS$17)+1)-1,$DS$13/5)=0),INDEX($EA$4:$EA$53,(INT(75/$DS$17)+1)),"")</f>
        <v/>
      </c>
      <c r="DW89">
        <f>IF(MOD(75,$DS$17)=$DS$17-1,0,INDEX($DU$4:$DU$53,(INT(75/$DS$17)+1)))</f>
        <v/>
      </c>
      <c r="EB89" t="n">
        <v>42.5</v>
      </c>
      <c r="EC89" t="n">
        <v>42.75</v>
      </c>
      <c r="ED89" t="n">
        <v>55</v>
      </c>
      <c r="EI89">
        <f>IF(AND(MOD(75,$EF$17)=0,MOD((INT(75/$EF$17)+1)-1,$EF$13/5)=0),INDEX($EN$4:$EN$53,(INT(75/$EF$17)+1)),"")</f>
        <v/>
      </c>
      <c r="EJ89">
        <f>IF(MOD(75,$EF$17)=$EF$17-1,0,INDEX($EH$4:$EH$53,(INT(75/$EF$17)+1)))</f>
        <v/>
      </c>
      <c r="EO89" t="n">
        <v>1.4875</v>
      </c>
      <c r="EP89" t="n">
        <v>1.49625</v>
      </c>
      <c r="EQ89" t="n">
        <v>31</v>
      </c>
      <c r="EV89">
        <f>IF(AND(MOD(75,$ES$17)=0,MOD((INT(75/$ES$17)+1)-1,$ES$13/5)=0),INDEX($FA$4:$FA$53,(INT(75/$ES$17)+1)),"")</f>
        <v/>
      </c>
      <c r="EW89">
        <f>IF(MOD(75,$ES$17)=$ES$17-1,0,INDEX($EU$4:$EU$53,(INT(75/$ES$17)+1)))</f>
        <v/>
      </c>
    </row>
    <row r="90">
      <c r="B90" t="n">
        <v>679</v>
      </c>
      <c r="C90" t="n">
        <v>679.75</v>
      </c>
      <c r="D90" t="n">
        <v>158</v>
      </c>
      <c r="I90">
        <f>IF(AND(MOD(76,$F$17)=0,MOD((INT(76/$F$17)+1)-1,$F$13/5)=0),INDEX($N$4:$N$53,(INT(76/$F$17)+1)),"")</f>
        <v/>
      </c>
      <c r="J90">
        <f>IF(MOD(76,$F$17)=$F$17-1,0,INDEX($H$4:$H$53,(INT(76/$F$17)+1)))</f>
        <v/>
      </c>
      <c r="O90" t="n">
        <v>25800</v>
      </c>
      <c r="P90" t="n">
        <v>25950</v>
      </c>
      <c r="Q90" t="n">
        <v>65</v>
      </c>
      <c r="V90">
        <f>IF(AND(MOD(76,$S$17)=0,MOD((INT(76/$S$17)+1)-1,$S$13/5)=0),INDEX($AA$4:$AA$53,(INT(76/$S$17)+1)),"")</f>
        <v/>
      </c>
      <c r="W90">
        <f>IF(MOD(76,$S$17)=$S$17-1,0,INDEX($U$4:$U$53,(INT(76/$S$17)+1)))</f>
        <v/>
      </c>
      <c r="AB90" t="n">
        <v>12900</v>
      </c>
      <c r="AC90" t="n">
        <v>12975</v>
      </c>
      <c r="AD90" t="n">
        <v>106</v>
      </c>
      <c r="AI90">
        <f>IF(AND(MOD(76,$AF$17)=0,MOD((INT(76/$AF$17)+1)-1,$AF$13/5)=0),INDEX($AN$4:$AN$53,(INT(76/$AF$17)+1)),"")</f>
        <v/>
      </c>
      <c r="AJ90">
        <f>IF(MOD(76,$AF$17)=$AF$17-1,0,INDEX($AH$4:$AH$53,(INT(76/$AF$17)+1)))</f>
        <v/>
      </c>
      <c r="AO90" t="n">
        <v>344000</v>
      </c>
      <c r="AP90" t="n">
        <v>346000</v>
      </c>
      <c r="AQ90" t="n">
        <v>106</v>
      </c>
      <c r="AV90">
        <f>IF(AND(MOD(76,$AS$17)=0,MOD((INT(76/$AS$17)+1)-1,$AS$13/5)=0),INDEX($BA$4:$BA$53,(INT(76/$AS$17)+1)),"")</f>
        <v/>
      </c>
      <c r="AW90">
        <f>IF(MOD(76,$AS$17)=$AS$17-1,0,INDEX($AU$4:$AU$53,(INT(76/$AS$17)+1)))</f>
        <v/>
      </c>
      <c r="BB90" t="n">
        <v>602000</v>
      </c>
      <c r="BC90" t="n">
        <v>605500</v>
      </c>
      <c r="BD90" t="n">
        <v>9</v>
      </c>
      <c r="BI90">
        <f>IF(AND(MOD(76,$BF$17)=0,MOD((INT(76/$BF$17)+1)-1,$BF$13/5)=0),INDEX($BN$4:$BN$53,(INT(76/$BF$17)+1)),"")</f>
        <v/>
      </c>
      <c r="BJ90">
        <f>IF(MOD(76,$BF$17)=$BF$17-1,0,INDEX($BH$4:$BH$53,(INT(76/$BF$17)+1)))</f>
        <v/>
      </c>
      <c r="BO90" t="n">
        <v>0.516</v>
      </c>
      <c r="BP90" t="n">
        <v>0.519</v>
      </c>
      <c r="BQ90" t="n">
        <v>50</v>
      </c>
      <c r="BV90">
        <f>IF(AND(MOD(76,$BS$17)=0,MOD((INT(76/$BS$17)+1)-1,$BS$13/5)=0),INDEX($CA$4:$CA$53,(INT(76/$BS$17)+1)),"")</f>
        <v/>
      </c>
      <c r="BW90">
        <f>IF(MOD(76,$BS$17)=$BS$17-1,0,INDEX($BU$4:$BU$53,(INT(76/$BS$17)+1)))</f>
        <v/>
      </c>
      <c r="CB90" t="n">
        <v>12.9</v>
      </c>
      <c r="CC90" t="n">
        <v>12.975</v>
      </c>
      <c r="CD90" t="n">
        <v>52</v>
      </c>
      <c r="CI90">
        <f>IF(AND(MOD(76,$CF$17)=0,MOD((INT(76/$CF$17)+1)-1,$CF$13/5)=0),INDEX($CN$4:$CN$53,(INT(76/$CF$17)+1)),"")</f>
        <v/>
      </c>
      <c r="CJ90">
        <f>IF(MOD(76,$CF$17)=$CF$17-1,0,INDEX($CH$4:$CH$53,(INT(76/$CF$17)+1)))</f>
        <v/>
      </c>
      <c r="CO90" t="n">
        <v>44.4</v>
      </c>
      <c r="CP90" t="n">
        <v>44.6</v>
      </c>
      <c r="CQ90" t="n">
        <v>104</v>
      </c>
      <c r="CV90">
        <f>IF(AND(MOD(76,$CS$17)=0,MOD((INT(76/$CS$17)+1)-1,$CS$13/5)=0),INDEX($DA$4:$DA$53,(INT(76/$CS$17)+1)),"")</f>
        <v/>
      </c>
      <c r="CW90">
        <f>IF(MOD(76,$CS$17)=$CS$17-1,0,INDEX($CU$4:$CU$53,(INT(76/$CS$17)+1)))</f>
        <v/>
      </c>
      <c r="DB90" t="n">
        <v>40.09999999999999</v>
      </c>
      <c r="DC90" t="n">
        <v>40.275</v>
      </c>
      <c r="DD90" t="n">
        <v>117</v>
      </c>
      <c r="DI90">
        <f>IF(AND(MOD(76,$DF$17)=0,MOD((INT(76/$DF$17)+1)-1,$DF$13/5)=0),INDEX($DN$4:$DN$53,(INT(76/$DF$17)+1)),"")</f>
        <v/>
      </c>
      <c r="DJ90">
        <f>IF(MOD(76,$DF$17)=$DF$17-1,0,INDEX($DH$4:$DH$53,(INT(76/$DF$17)+1)))</f>
        <v/>
      </c>
      <c r="DO90" t="n">
        <v>9.65</v>
      </c>
      <c r="DP90" t="n">
        <v>9.6625</v>
      </c>
      <c r="DQ90" t="n">
        <v>102</v>
      </c>
      <c r="DV90">
        <f>IF(AND(MOD(76,$DS$17)=0,MOD((INT(76/$DS$17)+1)-1,$DS$13/5)=0),INDEX($EA$4:$EA$53,(INT(76/$DS$17)+1)),"")</f>
        <v/>
      </c>
      <c r="DW90">
        <f>IF(MOD(76,$DS$17)=$DS$17-1,0,INDEX($DU$4:$DU$53,(INT(76/$DS$17)+1)))</f>
        <v/>
      </c>
      <c r="EB90" t="n">
        <v>43</v>
      </c>
      <c r="EC90" t="n">
        <v>43.25</v>
      </c>
      <c r="ED90" t="n">
        <v>66</v>
      </c>
      <c r="EI90">
        <f>IF(AND(MOD(76,$EF$17)=0,MOD((INT(76/$EF$17)+1)-1,$EF$13/5)=0),INDEX($EN$4:$EN$53,(INT(76/$EF$17)+1)),"")</f>
        <v/>
      </c>
      <c r="EJ90">
        <f>IF(MOD(76,$EF$17)=$EF$17-1,0,INDEX($EH$4:$EH$53,(INT(76/$EF$17)+1)))</f>
        <v/>
      </c>
      <c r="EO90" t="n">
        <v>1.505</v>
      </c>
      <c r="EP90" t="n">
        <v>1.51375</v>
      </c>
      <c r="EQ90" t="n">
        <v>23</v>
      </c>
      <c r="EV90">
        <f>IF(AND(MOD(76,$ES$17)=0,MOD((INT(76/$ES$17)+1)-1,$ES$13/5)=0),INDEX($FA$4:$FA$53,(INT(76/$ES$17)+1)),"")</f>
        <v/>
      </c>
      <c r="EW90">
        <f>IF(MOD(76,$ES$17)=$ES$17-1,0,INDEX($EU$4:$EU$53,(INT(76/$ES$17)+1)))</f>
        <v/>
      </c>
    </row>
    <row r="91">
      <c r="B91" t="n">
        <v>680.5</v>
      </c>
      <c r="C91" t="n">
        <v>681.25</v>
      </c>
      <c r="D91" t="n">
        <v>55</v>
      </c>
      <c r="I91">
        <f>IF(AND(MOD(77,$F$17)=0,MOD((INT(77/$F$17)+1)-1,$F$13/5)=0),INDEX($N$4:$N$53,(INT(77/$F$17)+1)),"")</f>
        <v/>
      </c>
      <c r="J91">
        <f>IF(MOD(77,$F$17)=$F$17-1,0,INDEX($H$4:$H$53,(INT(77/$F$17)+1)))</f>
        <v/>
      </c>
      <c r="O91" t="n">
        <v>26100</v>
      </c>
      <c r="P91" t="n">
        <v>26250</v>
      </c>
      <c r="Q91" t="n">
        <v>65</v>
      </c>
      <c r="V91">
        <f>IF(AND(MOD(77,$S$17)=0,MOD((INT(77/$S$17)+1)-1,$S$13/5)=0),INDEX($AA$4:$AA$53,(INT(77/$S$17)+1)),"")</f>
        <v/>
      </c>
      <c r="W91">
        <f>IF(MOD(77,$S$17)=$S$17-1,0,INDEX($U$4:$U$53,(INT(77/$S$17)+1)))</f>
        <v/>
      </c>
      <c r="AB91" t="n">
        <v>13050</v>
      </c>
      <c r="AC91" t="n">
        <v>13125</v>
      </c>
      <c r="AD91" t="n">
        <v>102</v>
      </c>
      <c r="AI91">
        <f>IF(AND(MOD(77,$AF$17)=0,MOD((INT(77/$AF$17)+1)-1,$AF$13/5)=0),INDEX($AN$4:$AN$53,(INT(77/$AF$17)+1)),"")</f>
        <v/>
      </c>
      <c r="AJ91">
        <f>IF(MOD(77,$AF$17)=$AF$17-1,0,INDEX($AH$4:$AH$53,(INT(77/$AF$17)+1)))</f>
        <v/>
      </c>
      <c r="AO91" t="n">
        <v>348000</v>
      </c>
      <c r="AP91" t="n">
        <v>350000</v>
      </c>
      <c r="AQ91" t="n">
        <v>89</v>
      </c>
      <c r="AV91">
        <f>IF(AND(MOD(77,$AS$17)=0,MOD((INT(77/$AS$17)+1)-1,$AS$13/5)=0),INDEX($BA$4:$BA$53,(INT(77/$AS$17)+1)),"")</f>
        <v/>
      </c>
      <c r="AW91">
        <f>IF(MOD(77,$AS$17)=$AS$17-1,0,INDEX($AU$4:$AU$53,(INT(77/$AS$17)+1)))</f>
        <v/>
      </c>
      <c r="BB91" t="n">
        <v>609000</v>
      </c>
      <c r="BC91" t="n">
        <v>612500</v>
      </c>
      <c r="BD91" t="n">
        <v>14</v>
      </c>
      <c r="BI91">
        <f>IF(AND(MOD(77,$BF$17)=0,MOD((INT(77/$BF$17)+1)-1,$BF$13/5)=0),INDEX($BN$4:$BN$53,(INT(77/$BF$17)+1)),"")</f>
        <v/>
      </c>
      <c r="BJ91">
        <f>IF(MOD(77,$BF$17)=$BF$17-1,0,INDEX($BH$4:$BH$53,(INT(77/$BF$17)+1)))</f>
        <v/>
      </c>
      <c r="BO91" t="n">
        <v>0.522</v>
      </c>
      <c r="BP91" t="n">
        <v>0.525</v>
      </c>
      <c r="BQ91" t="n">
        <v>46</v>
      </c>
      <c r="BV91">
        <f>IF(AND(MOD(77,$BS$17)=0,MOD((INT(77/$BS$17)+1)-1,$BS$13/5)=0),INDEX($CA$4:$CA$53,(INT(77/$BS$17)+1)),"")</f>
        <v/>
      </c>
      <c r="BW91">
        <f>IF(MOD(77,$BS$17)=$BS$17-1,0,INDEX($BU$4:$BU$53,(INT(77/$BS$17)+1)))</f>
        <v/>
      </c>
      <c r="CB91" t="n">
        <v>13.05</v>
      </c>
      <c r="CC91" t="n">
        <v>13.125</v>
      </c>
      <c r="CD91" t="n">
        <v>26</v>
      </c>
      <c r="CI91">
        <f>IF(AND(MOD(77,$CF$17)=0,MOD((INT(77/$CF$17)+1)-1,$CF$13/5)=0),INDEX($CN$4:$CN$53,(INT(77/$CF$17)+1)),"")</f>
        <v/>
      </c>
      <c r="CJ91">
        <f>IF(MOD(77,$CF$17)=$CF$17-1,0,INDEX($CH$4:$CH$53,(INT(77/$CF$17)+1)))</f>
        <v/>
      </c>
      <c r="CO91" t="n">
        <v>44.8</v>
      </c>
      <c r="CP91" t="n">
        <v>45</v>
      </c>
      <c r="CQ91" t="n">
        <v>125</v>
      </c>
      <c r="CV91">
        <f>IF(AND(MOD(77,$CS$17)=0,MOD((INT(77/$CS$17)+1)-1,$CS$13/5)=0),INDEX($DA$4:$DA$53,(INT(77/$CS$17)+1)),"")</f>
        <v/>
      </c>
      <c r="CW91">
        <f>IF(MOD(77,$CS$17)=$CS$17-1,0,INDEX($CU$4:$CU$53,(INT(77/$CS$17)+1)))</f>
        <v/>
      </c>
      <c r="DB91" t="n">
        <v>40.45</v>
      </c>
      <c r="DC91" t="n">
        <v>40.625</v>
      </c>
      <c r="DD91" t="n">
        <v>118</v>
      </c>
      <c r="DI91">
        <f>IF(AND(MOD(77,$DF$17)=0,MOD((INT(77/$DF$17)+1)-1,$DF$13/5)=0),INDEX($DN$4:$DN$53,(INT(77/$DF$17)+1)),"")</f>
        <v/>
      </c>
      <c r="DJ91">
        <f>IF(MOD(77,$DF$17)=$DF$17-1,0,INDEX($DH$4:$DH$53,(INT(77/$DF$17)+1)))</f>
        <v/>
      </c>
      <c r="DO91" t="n">
        <v>9.675000000000001</v>
      </c>
      <c r="DP91" t="n">
        <v>9.6875</v>
      </c>
      <c r="DQ91" t="n">
        <v>127</v>
      </c>
      <c r="DV91">
        <f>IF(AND(MOD(77,$DS$17)=0,MOD((INT(77/$DS$17)+1)-1,$DS$13/5)=0),INDEX($EA$4:$EA$53,(INT(77/$DS$17)+1)),"")</f>
        <v/>
      </c>
      <c r="DW91">
        <f>IF(MOD(77,$DS$17)=$DS$17-1,0,INDEX($DU$4:$DU$53,(INT(77/$DS$17)+1)))</f>
        <v/>
      </c>
      <c r="EB91" t="n">
        <v>43.5</v>
      </c>
      <c r="EC91" t="n">
        <v>43.75</v>
      </c>
      <c r="ED91" t="n">
        <v>49</v>
      </c>
      <c r="EI91">
        <f>IF(AND(MOD(77,$EF$17)=0,MOD((INT(77/$EF$17)+1)-1,$EF$13/5)=0),INDEX($EN$4:$EN$53,(INT(77/$EF$17)+1)),"")</f>
        <v/>
      </c>
      <c r="EJ91">
        <f>IF(MOD(77,$EF$17)=$EF$17-1,0,INDEX($EH$4:$EH$53,(INT(77/$EF$17)+1)))</f>
        <v/>
      </c>
      <c r="EO91" t="n">
        <v>1.5225</v>
      </c>
      <c r="EP91" t="n">
        <v>1.53125</v>
      </c>
      <c r="EQ91" t="n">
        <v>23</v>
      </c>
      <c r="EV91">
        <f>IF(AND(MOD(77,$ES$17)=0,MOD((INT(77/$ES$17)+1)-1,$ES$13/5)=0),INDEX($FA$4:$FA$53,(INT(77/$ES$17)+1)),"")</f>
        <v/>
      </c>
      <c r="EW91">
        <f>IF(MOD(77,$ES$17)=$ES$17-1,0,INDEX($EU$4:$EU$53,(INT(77/$ES$17)+1)))</f>
        <v/>
      </c>
    </row>
    <row r="92">
      <c r="B92" t="n">
        <v>682</v>
      </c>
      <c r="C92" t="n">
        <v>682.75</v>
      </c>
      <c r="D92" t="n">
        <v>163</v>
      </c>
      <c r="I92">
        <f>IF(AND(MOD(78,$F$17)=0,MOD((INT(78/$F$17)+1)-1,$F$13/5)=0),INDEX($N$4:$N$53,(INT(78/$F$17)+1)),"")</f>
        <v/>
      </c>
      <c r="J92">
        <f>IF(MOD(78,$F$17)=$F$17-1,0,INDEX($H$4:$H$53,(INT(78/$F$17)+1)))</f>
        <v/>
      </c>
      <c r="O92" t="n">
        <v>26400</v>
      </c>
      <c r="P92" t="n">
        <v>26550</v>
      </c>
      <c r="Q92" t="n">
        <v>60</v>
      </c>
      <c r="V92">
        <f>IF(AND(MOD(78,$S$17)=0,MOD((INT(78/$S$17)+1)-1,$S$13/5)=0),INDEX($AA$4:$AA$53,(INT(78/$S$17)+1)),"")</f>
        <v/>
      </c>
      <c r="W92">
        <f>IF(MOD(78,$S$17)=$S$17-1,0,INDEX($U$4:$U$53,(INT(78/$S$17)+1)))</f>
        <v/>
      </c>
      <c r="AB92" t="n">
        <v>13200</v>
      </c>
      <c r="AC92" t="n">
        <v>13275</v>
      </c>
      <c r="AD92" t="n">
        <v>89</v>
      </c>
      <c r="AI92">
        <f>IF(AND(MOD(78,$AF$17)=0,MOD((INT(78/$AF$17)+1)-1,$AF$13/5)=0),INDEX($AN$4:$AN$53,(INT(78/$AF$17)+1)),"")</f>
        <v/>
      </c>
      <c r="AJ92">
        <f>IF(MOD(78,$AF$17)=$AF$17-1,0,INDEX($AH$4:$AH$53,(INT(78/$AF$17)+1)))</f>
        <v/>
      </c>
      <c r="AO92" t="n">
        <v>352000</v>
      </c>
      <c r="AP92" t="n">
        <v>354000</v>
      </c>
      <c r="AQ92" t="n">
        <v>71</v>
      </c>
      <c r="AV92">
        <f>IF(AND(MOD(78,$AS$17)=0,MOD((INT(78/$AS$17)+1)-1,$AS$13/5)=0),INDEX($BA$4:$BA$53,(INT(78/$AS$17)+1)),"")</f>
        <v/>
      </c>
      <c r="AW92">
        <f>IF(MOD(78,$AS$17)=$AS$17-1,0,INDEX($AU$4:$AU$53,(INT(78/$AS$17)+1)))</f>
        <v/>
      </c>
      <c r="BB92" t="n">
        <v>616000</v>
      </c>
      <c r="BC92" t="n">
        <v>619500</v>
      </c>
      <c r="BD92" t="n">
        <v>9</v>
      </c>
      <c r="BI92">
        <f>IF(AND(MOD(78,$BF$17)=0,MOD((INT(78/$BF$17)+1)-1,$BF$13/5)=0),INDEX($BN$4:$BN$53,(INT(78/$BF$17)+1)),"")</f>
        <v/>
      </c>
      <c r="BJ92">
        <f>IF(MOD(78,$BF$17)=$BF$17-1,0,INDEX($BH$4:$BH$53,(INT(78/$BF$17)+1)))</f>
        <v/>
      </c>
      <c r="BO92" t="n">
        <v>0.528</v>
      </c>
      <c r="BP92" t="n">
        <v>0.531</v>
      </c>
      <c r="BQ92" t="n">
        <v>55</v>
      </c>
      <c r="BV92">
        <f>IF(AND(MOD(78,$BS$17)=0,MOD((INT(78/$BS$17)+1)-1,$BS$13/5)=0),INDEX($CA$4:$CA$53,(INT(78/$BS$17)+1)),"")</f>
        <v/>
      </c>
      <c r="BW92">
        <f>IF(MOD(78,$BS$17)=$BS$17-1,0,INDEX($BU$4:$BU$53,(INT(78/$BS$17)+1)))</f>
        <v/>
      </c>
      <c r="CB92" t="n">
        <v>13.2</v>
      </c>
      <c r="CC92" t="n">
        <v>13.275</v>
      </c>
      <c r="CD92" t="n">
        <v>33</v>
      </c>
      <c r="CI92">
        <f>IF(AND(MOD(78,$CF$17)=0,MOD((INT(78/$CF$17)+1)-1,$CF$13/5)=0),INDEX($CN$4:$CN$53,(INT(78/$CF$17)+1)),"")</f>
        <v/>
      </c>
      <c r="CJ92">
        <f>IF(MOD(78,$CF$17)=$CF$17-1,0,INDEX($CH$4:$CH$53,(INT(78/$CF$17)+1)))</f>
        <v/>
      </c>
      <c r="CO92" t="n">
        <v>45.2</v>
      </c>
      <c r="CP92" t="n">
        <v>45.4</v>
      </c>
      <c r="CQ92" t="n">
        <v>101</v>
      </c>
      <c r="CV92">
        <f>IF(AND(MOD(78,$CS$17)=0,MOD((INT(78/$CS$17)+1)-1,$CS$13/5)=0),INDEX($DA$4:$DA$53,(INT(78/$CS$17)+1)),"")</f>
        <v/>
      </c>
      <c r="CW92">
        <f>IF(MOD(78,$CS$17)=$CS$17-1,0,INDEX($CU$4:$CU$53,(INT(78/$CS$17)+1)))</f>
        <v/>
      </c>
      <c r="DB92" t="n">
        <v>40.8</v>
      </c>
      <c r="DC92" t="n">
        <v>40.97499999999999</v>
      </c>
      <c r="DD92" t="n">
        <v>117</v>
      </c>
      <c r="DI92">
        <f>IF(AND(MOD(78,$DF$17)=0,MOD((INT(78/$DF$17)+1)-1,$DF$13/5)=0),INDEX($DN$4:$DN$53,(INT(78/$DF$17)+1)),"")</f>
        <v/>
      </c>
      <c r="DJ92">
        <f>IF(MOD(78,$DF$17)=$DF$17-1,0,INDEX($DH$4:$DH$53,(INT(78/$DF$17)+1)))</f>
        <v/>
      </c>
      <c r="DO92" t="n">
        <v>9.699999999999999</v>
      </c>
      <c r="DP92" t="n">
        <v>9.7125</v>
      </c>
      <c r="DQ92" t="n">
        <v>103</v>
      </c>
      <c r="DV92">
        <f>IF(AND(MOD(78,$DS$17)=0,MOD((INT(78/$DS$17)+1)-1,$DS$13/5)=0),INDEX($EA$4:$EA$53,(INT(78/$DS$17)+1)),"")</f>
        <v/>
      </c>
      <c r="DW92">
        <f>IF(MOD(78,$DS$17)=$DS$17-1,0,INDEX($DU$4:$DU$53,(INT(78/$DS$17)+1)))</f>
        <v/>
      </c>
      <c r="EB92" t="n">
        <v>44</v>
      </c>
      <c r="EC92" t="n">
        <v>44.25</v>
      </c>
      <c r="ED92" t="n">
        <v>67</v>
      </c>
      <c r="EI92">
        <f>IF(AND(MOD(78,$EF$17)=0,MOD((INT(78/$EF$17)+1)-1,$EF$13/5)=0),INDEX($EN$4:$EN$53,(INT(78/$EF$17)+1)),"")</f>
        <v/>
      </c>
      <c r="EJ92">
        <f>IF(MOD(78,$EF$17)=$EF$17-1,0,INDEX($EH$4:$EH$53,(INT(78/$EF$17)+1)))</f>
        <v/>
      </c>
      <c r="EO92" t="n">
        <v>1.54</v>
      </c>
      <c r="EP92" t="n">
        <v>1.54875</v>
      </c>
      <c r="EQ92" t="n">
        <v>22</v>
      </c>
      <c r="EV92">
        <f>IF(AND(MOD(78,$ES$17)=0,MOD((INT(78/$ES$17)+1)-1,$ES$13/5)=0),INDEX($FA$4:$FA$53,(INT(78/$ES$17)+1)),"")</f>
        <v/>
      </c>
      <c r="EW92">
        <f>IF(MOD(78,$ES$17)=$ES$17-1,0,INDEX($EU$4:$EU$53,(INT(78/$ES$17)+1)))</f>
        <v/>
      </c>
    </row>
    <row r="93">
      <c r="B93" t="n">
        <v>683.5</v>
      </c>
      <c r="C93" t="n">
        <v>684.25</v>
      </c>
      <c r="D93" t="n">
        <v>82</v>
      </c>
      <c r="I93">
        <f>IF(AND(MOD(79,$F$17)=0,MOD((INT(79/$F$17)+1)-1,$F$13/5)=0),INDEX($N$4:$N$53,(INT(79/$F$17)+1)),"")</f>
        <v/>
      </c>
      <c r="J93">
        <f>IF(MOD(79,$F$17)=$F$17-1,0,INDEX($H$4:$H$53,(INT(79/$F$17)+1)))</f>
        <v/>
      </c>
      <c r="O93" t="n">
        <v>26700</v>
      </c>
      <c r="P93" t="n">
        <v>26850</v>
      </c>
      <c r="Q93" t="n">
        <v>68</v>
      </c>
      <c r="V93">
        <f>IF(AND(MOD(79,$S$17)=0,MOD((INT(79/$S$17)+1)-1,$S$13/5)=0),INDEX($AA$4:$AA$53,(INT(79/$S$17)+1)),"")</f>
        <v/>
      </c>
      <c r="W93">
        <f>IF(MOD(79,$S$17)=$S$17-1,0,INDEX($U$4:$U$53,(INT(79/$S$17)+1)))</f>
        <v/>
      </c>
      <c r="AB93" t="n">
        <v>13350</v>
      </c>
      <c r="AC93" t="n">
        <v>13425</v>
      </c>
      <c r="AD93" t="n">
        <v>111</v>
      </c>
      <c r="AI93">
        <f>IF(AND(MOD(79,$AF$17)=0,MOD((INT(79/$AF$17)+1)-1,$AF$13/5)=0),INDEX($AN$4:$AN$53,(INT(79/$AF$17)+1)),"")</f>
        <v/>
      </c>
      <c r="AJ93">
        <f>IF(MOD(79,$AF$17)=$AF$17-1,0,INDEX($AH$4:$AH$53,(INT(79/$AF$17)+1)))</f>
        <v/>
      </c>
      <c r="AO93" t="n">
        <v>356000</v>
      </c>
      <c r="AP93" t="n">
        <v>358000</v>
      </c>
      <c r="AQ93" t="n">
        <v>91</v>
      </c>
      <c r="AV93">
        <f>IF(AND(MOD(79,$AS$17)=0,MOD((INT(79/$AS$17)+1)-1,$AS$13/5)=0),INDEX($BA$4:$BA$53,(INT(79/$AS$17)+1)),"")</f>
        <v/>
      </c>
      <c r="AW93">
        <f>IF(MOD(79,$AS$17)=$AS$17-1,0,INDEX($AU$4:$AU$53,(INT(79/$AS$17)+1)))</f>
        <v/>
      </c>
      <c r="BB93" t="n">
        <v>623000</v>
      </c>
      <c r="BC93" t="n">
        <v>626500</v>
      </c>
      <c r="BD93" t="n">
        <v>12</v>
      </c>
      <c r="BI93">
        <f>IF(AND(MOD(79,$BF$17)=0,MOD((INT(79/$BF$17)+1)-1,$BF$13/5)=0),INDEX($BN$4:$BN$53,(INT(79/$BF$17)+1)),"")</f>
        <v/>
      </c>
      <c r="BJ93">
        <f>IF(MOD(79,$BF$17)=$BF$17-1,0,INDEX($BH$4:$BH$53,(INT(79/$BF$17)+1)))</f>
        <v/>
      </c>
      <c r="BO93" t="n">
        <v>0.534</v>
      </c>
      <c r="BP93" t="n">
        <v>0.537</v>
      </c>
      <c r="BQ93" t="n">
        <v>57</v>
      </c>
      <c r="BV93">
        <f>IF(AND(MOD(79,$BS$17)=0,MOD((INT(79/$BS$17)+1)-1,$BS$13/5)=0),INDEX($CA$4:$CA$53,(INT(79/$BS$17)+1)),"")</f>
        <v/>
      </c>
      <c r="BW93">
        <f>IF(MOD(79,$BS$17)=$BS$17-1,0,INDEX($BU$4:$BU$53,(INT(79/$BS$17)+1)))</f>
        <v/>
      </c>
      <c r="CB93" t="n">
        <v>13.35</v>
      </c>
      <c r="CC93" t="n">
        <v>13.425</v>
      </c>
      <c r="CD93" t="n">
        <v>19</v>
      </c>
      <c r="CI93">
        <f>IF(AND(MOD(79,$CF$17)=0,MOD((INT(79/$CF$17)+1)-1,$CF$13/5)=0),INDEX($CN$4:$CN$53,(INT(79/$CF$17)+1)),"")</f>
        <v/>
      </c>
      <c r="CJ93">
        <f>IF(MOD(79,$CF$17)=$CF$17-1,0,INDEX($CH$4:$CH$53,(INT(79/$CF$17)+1)))</f>
        <v/>
      </c>
      <c r="CO93" t="n">
        <v>45.6</v>
      </c>
      <c r="CP93" t="n">
        <v>45.8</v>
      </c>
      <c r="CQ93" t="n">
        <v>121</v>
      </c>
      <c r="CV93">
        <f>IF(AND(MOD(79,$CS$17)=0,MOD((INT(79/$CS$17)+1)-1,$CS$13/5)=0),INDEX($DA$4:$DA$53,(INT(79/$CS$17)+1)),"")</f>
        <v/>
      </c>
      <c r="CW93">
        <f>IF(MOD(79,$CS$17)=$CS$17-1,0,INDEX($CU$4:$CU$53,(INT(79/$CS$17)+1)))</f>
        <v/>
      </c>
      <c r="DB93" t="n">
        <v>41.15</v>
      </c>
      <c r="DC93" t="n">
        <v>41.325</v>
      </c>
      <c r="DD93" t="n">
        <v>115</v>
      </c>
      <c r="DI93">
        <f>IF(AND(MOD(79,$DF$17)=0,MOD((INT(79/$DF$17)+1)-1,$DF$13/5)=0),INDEX($DN$4:$DN$53,(INT(79/$DF$17)+1)),"")</f>
        <v/>
      </c>
      <c r="DJ93">
        <f>IF(MOD(79,$DF$17)=$DF$17-1,0,INDEX($DH$4:$DH$53,(INT(79/$DF$17)+1)))</f>
        <v/>
      </c>
      <c r="DO93" t="n">
        <v>9.725</v>
      </c>
      <c r="DP93" t="n">
        <v>9.737500000000001</v>
      </c>
      <c r="DQ93" t="n">
        <v>114</v>
      </c>
      <c r="DV93">
        <f>IF(AND(MOD(79,$DS$17)=0,MOD((INT(79/$DS$17)+1)-1,$DS$13/5)=0),INDEX($EA$4:$EA$53,(INT(79/$DS$17)+1)),"")</f>
        <v/>
      </c>
      <c r="DW93">
        <f>IF(MOD(79,$DS$17)=$DS$17-1,0,INDEX($DU$4:$DU$53,(INT(79/$DS$17)+1)))</f>
        <v/>
      </c>
      <c r="EB93" t="n">
        <v>44.5</v>
      </c>
      <c r="EC93" t="n">
        <v>44.75</v>
      </c>
      <c r="ED93" t="n">
        <v>59</v>
      </c>
      <c r="EI93">
        <f>IF(AND(MOD(79,$EF$17)=0,MOD((INT(79/$EF$17)+1)-1,$EF$13/5)=0),INDEX($EN$4:$EN$53,(INT(79/$EF$17)+1)),"")</f>
        <v/>
      </c>
      <c r="EJ93">
        <f>IF(MOD(79,$EF$17)=$EF$17-1,0,INDEX($EH$4:$EH$53,(INT(79/$EF$17)+1)))</f>
        <v/>
      </c>
      <c r="EO93" t="n">
        <v>1.5575</v>
      </c>
      <c r="EP93" t="n">
        <v>1.56625</v>
      </c>
      <c r="EQ93" t="n">
        <v>24</v>
      </c>
      <c r="EV93">
        <f>IF(AND(MOD(79,$ES$17)=0,MOD((INT(79/$ES$17)+1)-1,$ES$13/5)=0),INDEX($FA$4:$FA$53,(INT(79/$ES$17)+1)),"")</f>
        <v/>
      </c>
      <c r="EW93">
        <f>IF(MOD(79,$ES$17)=$ES$17-1,0,INDEX($EU$4:$EU$53,(INT(79/$ES$17)+1)))</f>
        <v/>
      </c>
    </row>
    <row r="94">
      <c r="B94" t="n">
        <v>685</v>
      </c>
      <c r="C94" t="n">
        <v>685.75</v>
      </c>
      <c r="D94" t="n">
        <v>181</v>
      </c>
      <c r="I94">
        <f>IF(AND(MOD(80,$F$17)=0,MOD((INT(80/$F$17)+1)-1,$F$13/5)=0),INDEX($N$4:$N$53,(INT(80/$F$17)+1)),"")</f>
        <v/>
      </c>
      <c r="J94">
        <f>IF(MOD(80,$F$17)=$F$17-1,0,INDEX($H$4:$H$53,(INT(80/$F$17)+1)))</f>
        <v/>
      </c>
      <c r="O94" t="n">
        <v>27000</v>
      </c>
      <c r="P94" t="n">
        <v>27150</v>
      </c>
      <c r="Q94" t="n">
        <v>62</v>
      </c>
      <c r="V94">
        <f>IF(AND(MOD(80,$S$17)=0,MOD((INT(80/$S$17)+1)-1,$S$13/5)=0),INDEX($AA$4:$AA$53,(INT(80/$S$17)+1)),"")</f>
        <v/>
      </c>
      <c r="W94">
        <f>IF(MOD(80,$S$17)=$S$17-1,0,INDEX($U$4:$U$53,(INT(80/$S$17)+1)))</f>
        <v/>
      </c>
      <c r="AB94" t="n">
        <v>13500</v>
      </c>
      <c r="AC94" t="n">
        <v>13575</v>
      </c>
      <c r="AD94" t="n">
        <v>106</v>
      </c>
      <c r="AI94">
        <f>IF(AND(MOD(80,$AF$17)=0,MOD((INT(80/$AF$17)+1)-1,$AF$13/5)=0),INDEX($AN$4:$AN$53,(INT(80/$AF$17)+1)),"")</f>
        <v/>
      </c>
      <c r="AJ94">
        <f>IF(MOD(80,$AF$17)=$AF$17-1,0,INDEX($AH$4:$AH$53,(INT(80/$AF$17)+1)))</f>
        <v/>
      </c>
      <c r="AO94" t="n">
        <v>360000</v>
      </c>
      <c r="AP94" t="n">
        <v>362000</v>
      </c>
      <c r="AQ94" t="n">
        <v>72</v>
      </c>
      <c r="AV94">
        <f>IF(AND(MOD(80,$AS$17)=0,MOD((INT(80/$AS$17)+1)-1,$AS$13/5)=0),INDEX($BA$4:$BA$53,(INT(80/$AS$17)+1)),"")</f>
        <v/>
      </c>
      <c r="AW94">
        <f>IF(MOD(80,$AS$17)=$AS$17-1,0,INDEX($AU$4:$AU$53,(INT(80/$AS$17)+1)))</f>
        <v/>
      </c>
      <c r="BB94" t="n">
        <v>630000</v>
      </c>
      <c r="BC94" t="n">
        <v>633500</v>
      </c>
      <c r="BD94" t="n">
        <v>13</v>
      </c>
      <c r="BI94">
        <f>IF(AND(MOD(80,$BF$17)=0,MOD((INT(80/$BF$17)+1)-1,$BF$13/5)=0),INDEX($BN$4:$BN$53,(INT(80/$BF$17)+1)),"")</f>
        <v/>
      </c>
      <c r="BJ94">
        <f>IF(MOD(80,$BF$17)=$BF$17-1,0,INDEX($BH$4:$BH$53,(INT(80/$BF$17)+1)))</f>
        <v/>
      </c>
      <c r="BO94" t="n">
        <v>0.54</v>
      </c>
      <c r="BP94" t="n">
        <v>0.543</v>
      </c>
      <c r="BQ94" t="n">
        <v>55</v>
      </c>
      <c r="BV94">
        <f>IF(AND(MOD(80,$BS$17)=0,MOD((INT(80/$BS$17)+1)-1,$BS$13/5)=0),INDEX($CA$4:$CA$53,(INT(80/$BS$17)+1)),"")</f>
        <v/>
      </c>
      <c r="BW94">
        <f>IF(MOD(80,$BS$17)=$BS$17-1,0,INDEX($BU$4:$BU$53,(INT(80/$BS$17)+1)))</f>
        <v/>
      </c>
      <c r="CB94" t="n">
        <v>13.5</v>
      </c>
      <c r="CC94" t="n">
        <v>13.575</v>
      </c>
      <c r="CD94" t="n">
        <v>38</v>
      </c>
      <c r="CI94">
        <f>IF(AND(MOD(80,$CF$17)=0,MOD((INT(80/$CF$17)+1)-1,$CF$13/5)=0),INDEX($CN$4:$CN$53,(INT(80/$CF$17)+1)),"")</f>
        <v/>
      </c>
      <c r="CJ94">
        <f>IF(MOD(80,$CF$17)=$CF$17-1,0,INDEX($CH$4:$CH$53,(INT(80/$CF$17)+1)))</f>
        <v/>
      </c>
      <c r="CO94" t="n">
        <v>46</v>
      </c>
      <c r="CP94" t="n">
        <v>46.2</v>
      </c>
      <c r="CQ94" t="n">
        <v>111</v>
      </c>
      <c r="CV94">
        <f>IF(AND(MOD(80,$CS$17)=0,MOD((INT(80/$CS$17)+1)-1,$CS$13/5)=0),INDEX($DA$4:$DA$53,(INT(80/$CS$17)+1)),"")</f>
        <v/>
      </c>
      <c r="CW94">
        <f>IF(MOD(80,$CS$17)=$CS$17-1,0,INDEX($CU$4:$CU$53,(INT(80/$CS$17)+1)))</f>
        <v/>
      </c>
      <c r="DB94" t="n">
        <v>41.5</v>
      </c>
      <c r="DC94" t="n">
        <v>41.675</v>
      </c>
      <c r="DD94" t="n">
        <v>121</v>
      </c>
      <c r="DI94">
        <f>IF(AND(MOD(80,$DF$17)=0,MOD((INT(80/$DF$17)+1)-1,$DF$13/5)=0),INDEX($DN$4:$DN$53,(INT(80/$DF$17)+1)),"")</f>
        <v/>
      </c>
      <c r="DJ94">
        <f>IF(MOD(80,$DF$17)=$DF$17-1,0,INDEX($DH$4:$DH$53,(INT(80/$DF$17)+1)))</f>
        <v/>
      </c>
      <c r="DO94" t="n">
        <v>9.75</v>
      </c>
      <c r="DP94" t="n">
        <v>9.762499999999999</v>
      </c>
      <c r="DQ94" t="n">
        <v>102</v>
      </c>
      <c r="DV94">
        <f>IF(AND(MOD(80,$DS$17)=0,MOD((INT(80/$DS$17)+1)-1,$DS$13/5)=0),INDEX($EA$4:$EA$53,(INT(80/$DS$17)+1)),"")</f>
        <v/>
      </c>
      <c r="DW94">
        <f>IF(MOD(80,$DS$17)=$DS$17-1,0,INDEX($DU$4:$DU$53,(INT(80/$DS$17)+1)))</f>
        <v/>
      </c>
      <c r="EB94" t="n">
        <v>45</v>
      </c>
      <c r="EC94" t="n">
        <v>45.25</v>
      </c>
      <c r="ED94" t="n">
        <v>57</v>
      </c>
      <c r="EI94">
        <f>IF(AND(MOD(80,$EF$17)=0,MOD((INT(80/$EF$17)+1)-1,$EF$13/5)=0),INDEX($EN$4:$EN$53,(INT(80/$EF$17)+1)),"")</f>
        <v/>
      </c>
      <c r="EJ94">
        <f>IF(MOD(80,$EF$17)=$EF$17-1,0,INDEX($EH$4:$EH$53,(INT(80/$EF$17)+1)))</f>
        <v/>
      </c>
      <c r="EO94" t="n">
        <v>1.575</v>
      </c>
      <c r="EP94" t="n">
        <v>1.58375</v>
      </c>
      <c r="EQ94" t="n">
        <v>32</v>
      </c>
      <c r="EV94">
        <f>IF(AND(MOD(80,$ES$17)=0,MOD((INT(80/$ES$17)+1)-1,$ES$13/5)=0),INDEX($FA$4:$FA$53,(INT(80/$ES$17)+1)),"")</f>
        <v/>
      </c>
      <c r="EW94">
        <f>IF(MOD(80,$ES$17)=$ES$17-1,0,INDEX($EU$4:$EU$53,(INT(80/$ES$17)+1)))</f>
        <v/>
      </c>
    </row>
    <row r="95">
      <c r="B95" t="n">
        <v>686.5</v>
      </c>
      <c r="C95" t="n">
        <v>687.25</v>
      </c>
      <c r="D95" t="n">
        <v>90</v>
      </c>
      <c r="I95">
        <f>IF(AND(MOD(81,$F$17)=0,MOD((INT(81/$F$17)+1)-1,$F$13/5)=0),INDEX($N$4:$N$53,(INT(81/$F$17)+1)),"")</f>
        <v/>
      </c>
      <c r="J95">
        <f>IF(MOD(81,$F$17)=$F$17-1,0,INDEX($H$4:$H$53,(INT(81/$F$17)+1)))</f>
        <v/>
      </c>
      <c r="O95" t="n">
        <v>27300</v>
      </c>
      <c r="P95" t="n">
        <v>27450</v>
      </c>
      <c r="Q95" t="n">
        <v>76</v>
      </c>
      <c r="V95">
        <f>IF(AND(MOD(81,$S$17)=0,MOD((INT(81/$S$17)+1)-1,$S$13/5)=0),INDEX($AA$4:$AA$53,(INT(81/$S$17)+1)),"")</f>
        <v/>
      </c>
      <c r="W95">
        <f>IF(MOD(81,$S$17)=$S$17-1,0,INDEX($U$4:$U$53,(INT(81/$S$17)+1)))</f>
        <v/>
      </c>
      <c r="AB95" t="n">
        <v>13650</v>
      </c>
      <c r="AC95" t="n">
        <v>13725</v>
      </c>
      <c r="AD95" t="n">
        <v>97</v>
      </c>
      <c r="AI95">
        <f>IF(AND(MOD(81,$AF$17)=0,MOD((INT(81/$AF$17)+1)-1,$AF$13/5)=0),INDEX($AN$4:$AN$53,(INT(81/$AF$17)+1)),"")</f>
        <v/>
      </c>
      <c r="AJ95">
        <f>IF(MOD(81,$AF$17)=$AF$17-1,0,INDEX($AH$4:$AH$53,(INT(81/$AF$17)+1)))</f>
        <v/>
      </c>
      <c r="AO95" t="n">
        <v>364000</v>
      </c>
      <c r="AP95" t="n">
        <v>366000</v>
      </c>
      <c r="AQ95" t="n">
        <v>68</v>
      </c>
      <c r="AV95">
        <f>IF(AND(MOD(81,$AS$17)=0,MOD((INT(81/$AS$17)+1)-1,$AS$13/5)=0),INDEX($BA$4:$BA$53,(INT(81/$AS$17)+1)),"")</f>
        <v/>
      </c>
      <c r="AW95">
        <f>IF(MOD(81,$AS$17)=$AS$17-1,0,INDEX($AU$4:$AU$53,(INT(81/$AS$17)+1)))</f>
        <v/>
      </c>
      <c r="BB95" t="n">
        <v>637000</v>
      </c>
      <c r="BC95" t="n">
        <v>640500</v>
      </c>
      <c r="BD95" t="n">
        <v>16</v>
      </c>
      <c r="BI95">
        <f>IF(AND(MOD(81,$BF$17)=0,MOD((INT(81/$BF$17)+1)-1,$BF$13/5)=0),INDEX($BN$4:$BN$53,(INT(81/$BF$17)+1)),"")</f>
        <v/>
      </c>
      <c r="BJ95">
        <f>IF(MOD(81,$BF$17)=$BF$17-1,0,INDEX($BH$4:$BH$53,(INT(81/$BF$17)+1)))</f>
        <v/>
      </c>
      <c r="BO95" t="n">
        <v>0.546</v>
      </c>
      <c r="BP95" t="n">
        <v>0.549</v>
      </c>
      <c r="BQ95" t="n">
        <v>57</v>
      </c>
      <c r="BV95">
        <f>IF(AND(MOD(81,$BS$17)=0,MOD((INT(81/$BS$17)+1)-1,$BS$13/5)=0),INDEX($CA$4:$CA$53,(INT(81/$BS$17)+1)),"")</f>
        <v/>
      </c>
      <c r="BW95">
        <f>IF(MOD(81,$BS$17)=$BS$17-1,0,INDEX($BU$4:$BU$53,(INT(81/$BS$17)+1)))</f>
        <v/>
      </c>
      <c r="CB95" t="n">
        <v>13.65</v>
      </c>
      <c r="CC95" t="n">
        <v>13.725</v>
      </c>
      <c r="CD95" t="n">
        <v>18</v>
      </c>
      <c r="CI95">
        <f>IF(AND(MOD(81,$CF$17)=0,MOD((INT(81/$CF$17)+1)-1,$CF$13/5)=0),INDEX($CN$4:$CN$53,(INT(81/$CF$17)+1)),"")</f>
        <v/>
      </c>
      <c r="CJ95">
        <f>IF(MOD(81,$CF$17)=$CF$17-1,0,INDEX($CH$4:$CH$53,(INT(81/$CF$17)+1)))</f>
        <v/>
      </c>
      <c r="CO95" t="n">
        <v>46.4</v>
      </c>
      <c r="CP95" t="n">
        <v>46.6</v>
      </c>
      <c r="CQ95" t="n">
        <v>125</v>
      </c>
      <c r="CV95">
        <f>IF(AND(MOD(81,$CS$17)=0,MOD((INT(81/$CS$17)+1)-1,$CS$13/5)=0),INDEX($DA$4:$DA$53,(INT(81/$CS$17)+1)),"")</f>
        <v/>
      </c>
      <c r="CW95">
        <f>IF(MOD(81,$CS$17)=$CS$17-1,0,INDEX($CU$4:$CU$53,(INT(81/$CS$17)+1)))</f>
        <v/>
      </c>
      <c r="DB95" t="n">
        <v>41.84999999999999</v>
      </c>
      <c r="DC95" t="n">
        <v>42.025</v>
      </c>
      <c r="DD95" t="n">
        <v>109</v>
      </c>
      <c r="DI95">
        <f>IF(AND(MOD(81,$DF$17)=0,MOD((INT(81/$DF$17)+1)-1,$DF$13/5)=0),INDEX($DN$4:$DN$53,(INT(81/$DF$17)+1)),"")</f>
        <v/>
      </c>
      <c r="DJ95">
        <f>IF(MOD(81,$DF$17)=$DF$17-1,0,INDEX($DH$4:$DH$53,(INT(81/$DF$17)+1)))</f>
        <v/>
      </c>
      <c r="DO95" t="n">
        <v>9.775</v>
      </c>
      <c r="DP95" t="n">
        <v>9.7875</v>
      </c>
      <c r="DQ95" t="n">
        <v>112</v>
      </c>
      <c r="DV95">
        <f>IF(AND(MOD(81,$DS$17)=0,MOD((INT(81/$DS$17)+1)-1,$DS$13/5)=0),INDEX($EA$4:$EA$53,(INT(81/$DS$17)+1)),"")</f>
        <v/>
      </c>
      <c r="DW95">
        <f>IF(MOD(81,$DS$17)=$DS$17-1,0,INDEX($DU$4:$DU$53,(INT(81/$DS$17)+1)))</f>
        <v/>
      </c>
      <c r="EB95" t="n">
        <v>45.5</v>
      </c>
      <c r="EC95" t="n">
        <v>45.75</v>
      </c>
      <c r="ED95" t="n">
        <v>60</v>
      </c>
      <c r="EI95">
        <f>IF(AND(MOD(81,$EF$17)=0,MOD((INT(81/$EF$17)+1)-1,$EF$13/5)=0),INDEX($EN$4:$EN$53,(INT(81/$EF$17)+1)),"")</f>
        <v/>
      </c>
      <c r="EJ95">
        <f>IF(MOD(81,$EF$17)=$EF$17-1,0,INDEX($EH$4:$EH$53,(INT(81/$EF$17)+1)))</f>
        <v/>
      </c>
      <c r="EO95" t="n">
        <v>1.5925</v>
      </c>
      <c r="EP95" t="n">
        <v>1.60125</v>
      </c>
      <c r="EQ95" t="n">
        <v>13</v>
      </c>
      <c r="EV95">
        <f>IF(AND(MOD(81,$ES$17)=0,MOD((INT(81/$ES$17)+1)-1,$ES$13/5)=0),INDEX($FA$4:$FA$53,(INT(81/$ES$17)+1)),"")</f>
        <v/>
      </c>
      <c r="EW95">
        <f>IF(MOD(81,$ES$17)=$ES$17-1,0,INDEX($EU$4:$EU$53,(INT(81/$ES$17)+1)))</f>
        <v/>
      </c>
    </row>
    <row r="96">
      <c r="B96" t="n">
        <v>688</v>
      </c>
      <c r="C96" t="n">
        <v>688.75</v>
      </c>
      <c r="D96" t="n">
        <v>188</v>
      </c>
      <c r="I96">
        <f>IF(AND(MOD(82,$F$17)=0,MOD((INT(82/$F$17)+1)-1,$F$13/5)=0),INDEX($N$4:$N$53,(INT(82/$F$17)+1)),"")</f>
        <v/>
      </c>
      <c r="J96">
        <f>IF(MOD(82,$F$17)=$F$17-1,0,INDEX($H$4:$H$53,(INT(82/$F$17)+1)))</f>
        <v/>
      </c>
      <c r="O96" t="n">
        <v>27600</v>
      </c>
      <c r="P96" t="n">
        <v>27750</v>
      </c>
      <c r="Q96" t="n">
        <v>70</v>
      </c>
      <c r="V96">
        <f>IF(AND(MOD(82,$S$17)=0,MOD((INT(82/$S$17)+1)-1,$S$13/5)=0),INDEX($AA$4:$AA$53,(INT(82/$S$17)+1)),"")</f>
        <v/>
      </c>
      <c r="W96">
        <f>IF(MOD(82,$S$17)=$S$17-1,0,INDEX($U$4:$U$53,(INT(82/$S$17)+1)))</f>
        <v/>
      </c>
      <c r="AB96" t="n">
        <v>13800</v>
      </c>
      <c r="AC96" t="n">
        <v>13875</v>
      </c>
      <c r="AD96" t="n">
        <v>114</v>
      </c>
      <c r="AI96">
        <f>IF(AND(MOD(82,$AF$17)=0,MOD((INT(82/$AF$17)+1)-1,$AF$13/5)=0),INDEX($AN$4:$AN$53,(INT(82/$AF$17)+1)),"")</f>
        <v/>
      </c>
      <c r="AJ96">
        <f>IF(MOD(82,$AF$17)=$AF$17-1,0,INDEX($AH$4:$AH$53,(INT(82/$AF$17)+1)))</f>
        <v/>
      </c>
      <c r="AO96" t="n">
        <v>368000</v>
      </c>
      <c r="AP96" t="n">
        <v>370000</v>
      </c>
      <c r="AQ96" t="n">
        <v>80</v>
      </c>
      <c r="AV96">
        <f>IF(AND(MOD(82,$AS$17)=0,MOD((INT(82/$AS$17)+1)-1,$AS$13/5)=0),INDEX($BA$4:$BA$53,(INT(82/$AS$17)+1)),"")</f>
        <v/>
      </c>
      <c r="AW96">
        <f>IF(MOD(82,$AS$17)=$AS$17-1,0,INDEX($AU$4:$AU$53,(INT(82/$AS$17)+1)))</f>
        <v/>
      </c>
      <c r="BB96" t="n">
        <v>644000</v>
      </c>
      <c r="BC96" t="n">
        <v>647500</v>
      </c>
      <c r="BD96" t="n">
        <v>11</v>
      </c>
      <c r="BI96">
        <f>IF(AND(MOD(82,$BF$17)=0,MOD((INT(82/$BF$17)+1)-1,$BF$13/5)=0),INDEX($BN$4:$BN$53,(INT(82/$BF$17)+1)),"")</f>
        <v/>
      </c>
      <c r="BJ96">
        <f>IF(MOD(82,$BF$17)=$BF$17-1,0,INDEX($BH$4:$BH$53,(INT(82/$BF$17)+1)))</f>
        <v/>
      </c>
      <c r="BO96" t="n">
        <v>0.552</v>
      </c>
      <c r="BP96" t="n">
        <v>0.555</v>
      </c>
      <c r="BQ96" t="n">
        <v>63</v>
      </c>
      <c r="BV96">
        <f>IF(AND(MOD(82,$BS$17)=0,MOD((INT(82/$BS$17)+1)-1,$BS$13/5)=0),INDEX($CA$4:$CA$53,(INT(82/$BS$17)+1)),"")</f>
        <v/>
      </c>
      <c r="BW96">
        <f>IF(MOD(82,$BS$17)=$BS$17-1,0,INDEX($BU$4:$BU$53,(INT(82/$BS$17)+1)))</f>
        <v/>
      </c>
      <c r="CB96" t="n">
        <v>13.8</v>
      </c>
      <c r="CC96" t="n">
        <v>13.875</v>
      </c>
      <c r="CD96" t="n">
        <v>39</v>
      </c>
      <c r="CI96">
        <f>IF(AND(MOD(82,$CF$17)=0,MOD((INT(82/$CF$17)+1)-1,$CF$13/5)=0),INDEX($CN$4:$CN$53,(INT(82/$CF$17)+1)),"")</f>
        <v/>
      </c>
      <c r="CJ96">
        <f>IF(MOD(82,$CF$17)=$CF$17-1,0,INDEX($CH$4:$CH$53,(INT(82/$CF$17)+1)))</f>
        <v/>
      </c>
      <c r="CO96" t="n">
        <v>46.8</v>
      </c>
      <c r="CP96" t="n">
        <v>47</v>
      </c>
      <c r="CQ96" t="n">
        <v>117</v>
      </c>
      <c r="CV96">
        <f>IF(AND(MOD(82,$CS$17)=0,MOD((INT(82/$CS$17)+1)-1,$CS$13/5)=0),INDEX($DA$4:$DA$53,(INT(82/$CS$17)+1)),"")</f>
        <v/>
      </c>
      <c r="CW96">
        <f>IF(MOD(82,$CS$17)=$CS$17-1,0,INDEX($CU$4:$CU$53,(INT(82/$CS$17)+1)))</f>
        <v/>
      </c>
      <c r="DB96" t="n">
        <v>42.2</v>
      </c>
      <c r="DC96" t="n">
        <v>42.375</v>
      </c>
      <c r="DD96" t="n">
        <v>108</v>
      </c>
      <c r="DI96">
        <f>IF(AND(MOD(82,$DF$17)=0,MOD((INT(82/$DF$17)+1)-1,$DF$13/5)=0),INDEX($DN$4:$DN$53,(INT(82/$DF$17)+1)),"")</f>
        <v/>
      </c>
      <c r="DJ96">
        <f>IF(MOD(82,$DF$17)=$DF$17-1,0,INDEX($DH$4:$DH$53,(INT(82/$DF$17)+1)))</f>
        <v/>
      </c>
      <c r="DO96" t="n">
        <v>9.800000000000001</v>
      </c>
      <c r="DP96" t="n">
        <v>9.8125</v>
      </c>
      <c r="DQ96" t="n">
        <v>115</v>
      </c>
      <c r="DV96">
        <f>IF(AND(MOD(82,$DS$17)=0,MOD((INT(82/$DS$17)+1)-1,$DS$13/5)=0),INDEX($EA$4:$EA$53,(INT(82/$DS$17)+1)),"")</f>
        <v/>
      </c>
      <c r="DW96">
        <f>IF(MOD(82,$DS$17)=$DS$17-1,0,INDEX($DU$4:$DU$53,(INT(82/$DS$17)+1)))</f>
        <v/>
      </c>
      <c r="EB96" t="n">
        <v>46</v>
      </c>
      <c r="EC96" t="n">
        <v>46.25</v>
      </c>
      <c r="ED96" t="n">
        <v>68</v>
      </c>
      <c r="EI96">
        <f>IF(AND(MOD(82,$EF$17)=0,MOD((INT(82/$EF$17)+1)-1,$EF$13/5)=0),INDEX($EN$4:$EN$53,(INT(82/$EF$17)+1)),"")</f>
        <v/>
      </c>
      <c r="EJ96">
        <f>IF(MOD(82,$EF$17)=$EF$17-1,0,INDEX($EH$4:$EH$53,(INT(82/$EF$17)+1)))</f>
        <v/>
      </c>
      <c r="EO96" t="n">
        <v>1.61</v>
      </c>
      <c r="EP96" t="n">
        <v>1.61875</v>
      </c>
      <c r="EQ96" t="n">
        <v>25</v>
      </c>
      <c r="EV96">
        <f>IF(AND(MOD(82,$ES$17)=0,MOD((INT(82/$ES$17)+1)-1,$ES$13/5)=0),INDEX($FA$4:$FA$53,(INT(82/$ES$17)+1)),"")</f>
        <v/>
      </c>
      <c r="EW96">
        <f>IF(MOD(82,$ES$17)=$ES$17-1,0,INDEX($EU$4:$EU$53,(INT(82/$ES$17)+1)))</f>
        <v/>
      </c>
    </row>
    <row r="97">
      <c r="B97" t="n">
        <v>689.5</v>
      </c>
      <c r="C97" t="n">
        <v>690.25</v>
      </c>
      <c r="D97" t="n">
        <v>84</v>
      </c>
      <c r="I97">
        <f>IF(AND(MOD(83,$F$17)=0,MOD((INT(83/$F$17)+1)-1,$F$13/5)=0),INDEX($N$4:$N$53,(INT(83/$F$17)+1)),"")</f>
        <v/>
      </c>
      <c r="J97">
        <f>IF(MOD(83,$F$17)=$F$17-1,0,INDEX($H$4:$H$53,(INT(83/$F$17)+1)))</f>
        <v/>
      </c>
      <c r="O97" t="n">
        <v>27900</v>
      </c>
      <c r="P97" t="n">
        <v>28050</v>
      </c>
      <c r="Q97" t="n">
        <v>63</v>
      </c>
      <c r="V97">
        <f>IF(AND(MOD(83,$S$17)=0,MOD((INT(83/$S$17)+1)-1,$S$13/5)=0),INDEX($AA$4:$AA$53,(INT(83/$S$17)+1)),"")</f>
        <v/>
      </c>
      <c r="W97">
        <f>IF(MOD(83,$S$17)=$S$17-1,0,INDEX($U$4:$U$53,(INT(83/$S$17)+1)))</f>
        <v/>
      </c>
      <c r="AB97" t="n">
        <v>13950</v>
      </c>
      <c r="AC97" t="n">
        <v>14025</v>
      </c>
      <c r="AD97" t="n">
        <v>88</v>
      </c>
      <c r="AI97">
        <f>IF(AND(MOD(83,$AF$17)=0,MOD((INT(83/$AF$17)+1)-1,$AF$13/5)=0),INDEX($AN$4:$AN$53,(INT(83/$AF$17)+1)),"")</f>
        <v/>
      </c>
      <c r="AJ97">
        <f>IF(MOD(83,$AF$17)=$AF$17-1,0,INDEX($AH$4:$AH$53,(INT(83/$AF$17)+1)))</f>
        <v/>
      </c>
      <c r="AO97" t="n">
        <v>372000</v>
      </c>
      <c r="AP97" t="n">
        <v>374000</v>
      </c>
      <c r="AQ97" t="n">
        <v>67</v>
      </c>
      <c r="AV97">
        <f>IF(AND(MOD(83,$AS$17)=0,MOD((INT(83/$AS$17)+1)-1,$AS$13/5)=0),INDEX($BA$4:$BA$53,(INT(83/$AS$17)+1)),"")</f>
        <v/>
      </c>
      <c r="AW97">
        <f>IF(MOD(83,$AS$17)=$AS$17-1,0,INDEX($AU$4:$AU$53,(INT(83/$AS$17)+1)))</f>
        <v/>
      </c>
      <c r="BB97" t="n">
        <v>651000</v>
      </c>
      <c r="BC97" t="n">
        <v>654500</v>
      </c>
      <c r="BD97" t="n">
        <v>11</v>
      </c>
      <c r="BI97">
        <f>IF(AND(MOD(83,$BF$17)=0,MOD((INT(83/$BF$17)+1)-1,$BF$13/5)=0),INDEX($BN$4:$BN$53,(INT(83/$BF$17)+1)),"")</f>
        <v/>
      </c>
      <c r="BJ97">
        <f>IF(MOD(83,$BF$17)=$BF$17-1,0,INDEX($BH$4:$BH$53,(INT(83/$BF$17)+1)))</f>
        <v/>
      </c>
      <c r="BO97" t="n">
        <v>0.5580000000000001</v>
      </c>
      <c r="BP97" t="n">
        <v>0.5610000000000001</v>
      </c>
      <c r="BQ97" t="n">
        <v>56</v>
      </c>
      <c r="BV97">
        <f>IF(AND(MOD(83,$BS$17)=0,MOD((INT(83/$BS$17)+1)-1,$BS$13/5)=0),INDEX($CA$4:$CA$53,(INT(83/$BS$17)+1)),"")</f>
        <v/>
      </c>
      <c r="BW97">
        <f>IF(MOD(83,$BS$17)=$BS$17-1,0,INDEX($BU$4:$BU$53,(INT(83/$BS$17)+1)))</f>
        <v/>
      </c>
      <c r="CB97" t="n">
        <v>13.95</v>
      </c>
      <c r="CC97" t="n">
        <v>14.025</v>
      </c>
      <c r="CD97" t="n">
        <v>12</v>
      </c>
      <c r="CI97">
        <f>IF(AND(MOD(83,$CF$17)=0,MOD((INT(83/$CF$17)+1)-1,$CF$13/5)=0),INDEX($CN$4:$CN$53,(INT(83/$CF$17)+1)),"")</f>
        <v/>
      </c>
      <c r="CJ97">
        <f>IF(MOD(83,$CF$17)=$CF$17-1,0,INDEX($CH$4:$CH$53,(INT(83/$CF$17)+1)))</f>
        <v/>
      </c>
      <c r="CO97" t="n">
        <v>47.2</v>
      </c>
      <c r="CP97" t="n">
        <v>47.4</v>
      </c>
      <c r="CQ97" t="n">
        <v>136</v>
      </c>
      <c r="CV97">
        <f>IF(AND(MOD(83,$CS$17)=0,MOD((INT(83/$CS$17)+1)-1,$CS$13/5)=0),INDEX($DA$4:$DA$53,(INT(83/$CS$17)+1)),"")</f>
        <v/>
      </c>
      <c r="CW97">
        <f>IF(MOD(83,$CS$17)=$CS$17-1,0,INDEX($CU$4:$CU$53,(INT(83/$CS$17)+1)))</f>
        <v/>
      </c>
      <c r="DB97" t="n">
        <v>42.55</v>
      </c>
      <c r="DC97" t="n">
        <v>42.725</v>
      </c>
      <c r="DD97" t="n">
        <v>133</v>
      </c>
      <c r="DI97">
        <f>IF(AND(MOD(83,$DF$17)=0,MOD((INT(83/$DF$17)+1)-1,$DF$13/5)=0),INDEX($DN$4:$DN$53,(INT(83/$DF$17)+1)),"")</f>
        <v/>
      </c>
      <c r="DJ97">
        <f>IF(MOD(83,$DF$17)=$DF$17-1,0,INDEX($DH$4:$DH$53,(INT(83/$DF$17)+1)))</f>
        <v/>
      </c>
      <c r="DO97" t="n">
        <v>9.824999999999999</v>
      </c>
      <c r="DP97" t="n">
        <v>9.8375</v>
      </c>
      <c r="DQ97" t="n">
        <v>125</v>
      </c>
      <c r="DV97">
        <f>IF(AND(MOD(83,$DS$17)=0,MOD((INT(83/$DS$17)+1)-1,$DS$13/5)=0),INDEX($EA$4:$EA$53,(INT(83/$DS$17)+1)),"")</f>
        <v/>
      </c>
      <c r="DW97">
        <f>IF(MOD(83,$DS$17)=$DS$17-1,0,INDEX($DU$4:$DU$53,(INT(83/$DS$17)+1)))</f>
        <v/>
      </c>
      <c r="EB97" t="n">
        <v>46.5</v>
      </c>
      <c r="EC97" t="n">
        <v>46.75</v>
      </c>
      <c r="ED97" t="n">
        <v>50</v>
      </c>
      <c r="EI97">
        <f>IF(AND(MOD(83,$EF$17)=0,MOD((INT(83/$EF$17)+1)-1,$EF$13/5)=0),INDEX($EN$4:$EN$53,(INT(83/$EF$17)+1)),"")</f>
        <v/>
      </c>
      <c r="EJ97">
        <f>IF(MOD(83,$EF$17)=$EF$17-1,0,INDEX($EH$4:$EH$53,(INT(83/$EF$17)+1)))</f>
        <v/>
      </c>
      <c r="EO97" t="n">
        <v>1.6275</v>
      </c>
      <c r="EP97" t="n">
        <v>1.63625</v>
      </c>
      <c r="EQ97" t="n">
        <v>24</v>
      </c>
      <c r="EV97">
        <f>IF(AND(MOD(83,$ES$17)=0,MOD((INT(83/$ES$17)+1)-1,$ES$13/5)=0),INDEX($FA$4:$FA$53,(INT(83/$ES$17)+1)),"")</f>
        <v/>
      </c>
      <c r="EW97">
        <f>IF(MOD(83,$ES$17)=$ES$17-1,0,INDEX($EU$4:$EU$53,(INT(83/$ES$17)+1)))</f>
        <v/>
      </c>
    </row>
    <row r="98">
      <c r="B98" t="n">
        <v>691</v>
      </c>
      <c r="C98" t="n">
        <v>691.75</v>
      </c>
      <c r="D98" t="n">
        <v>177</v>
      </c>
      <c r="I98">
        <f>IF(AND(MOD(84,$F$17)=0,MOD((INT(84/$F$17)+1)-1,$F$13/5)=0),INDEX($N$4:$N$53,(INT(84/$F$17)+1)),"")</f>
        <v/>
      </c>
      <c r="J98">
        <f>IF(MOD(84,$F$17)=$F$17-1,0,INDEX($H$4:$H$53,(INT(84/$F$17)+1)))</f>
        <v/>
      </c>
      <c r="O98" t="n">
        <v>28200</v>
      </c>
      <c r="P98" t="n">
        <v>28350</v>
      </c>
      <c r="Q98" t="n">
        <v>63</v>
      </c>
      <c r="V98">
        <f>IF(AND(MOD(84,$S$17)=0,MOD((INT(84/$S$17)+1)-1,$S$13/5)=0),INDEX($AA$4:$AA$53,(INT(84/$S$17)+1)),"")</f>
        <v/>
      </c>
      <c r="W98">
        <f>IF(MOD(84,$S$17)=$S$17-1,0,INDEX($U$4:$U$53,(INT(84/$S$17)+1)))</f>
        <v/>
      </c>
      <c r="AB98" t="n">
        <v>14100</v>
      </c>
      <c r="AC98" t="n">
        <v>14175</v>
      </c>
      <c r="AD98" t="n">
        <v>86</v>
      </c>
      <c r="AI98">
        <f>IF(AND(MOD(84,$AF$17)=0,MOD((INT(84/$AF$17)+1)-1,$AF$13/5)=0),INDEX($AN$4:$AN$53,(INT(84/$AF$17)+1)),"")</f>
        <v/>
      </c>
      <c r="AJ98">
        <f>IF(MOD(84,$AF$17)=$AF$17-1,0,INDEX($AH$4:$AH$53,(INT(84/$AF$17)+1)))</f>
        <v/>
      </c>
      <c r="AO98" t="n">
        <v>376000</v>
      </c>
      <c r="AP98" t="n">
        <v>378000</v>
      </c>
      <c r="AQ98" t="n">
        <v>73</v>
      </c>
      <c r="AV98">
        <f>IF(AND(MOD(84,$AS$17)=0,MOD((INT(84/$AS$17)+1)-1,$AS$13/5)=0),INDEX($BA$4:$BA$53,(INT(84/$AS$17)+1)),"")</f>
        <v/>
      </c>
      <c r="AW98">
        <f>IF(MOD(84,$AS$17)=$AS$17-1,0,INDEX($AU$4:$AU$53,(INT(84/$AS$17)+1)))</f>
        <v/>
      </c>
      <c r="BB98" t="n">
        <v>658000</v>
      </c>
      <c r="BC98" t="n">
        <v>661500</v>
      </c>
      <c r="BD98" t="n">
        <v>12</v>
      </c>
      <c r="BI98">
        <f>IF(AND(MOD(84,$BF$17)=0,MOD((INT(84/$BF$17)+1)-1,$BF$13/5)=0),INDEX($BN$4:$BN$53,(INT(84/$BF$17)+1)),"")</f>
        <v/>
      </c>
      <c r="BJ98">
        <f>IF(MOD(84,$BF$17)=$BF$17-1,0,INDEX($BH$4:$BH$53,(INT(84/$BF$17)+1)))</f>
        <v/>
      </c>
      <c r="BO98" t="n">
        <v>0.5640000000000001</v>
      </c>
      <c r="BP98" t="n">
        <v>0.5670000000000001</v>
      </c>
      <c r="BQ98" t="n">
        <v>55</v>
      </c>
      <c r="BV98">
        <f>IF(AND(MOD(84,$BS$17)=0,MOD((INT(84/$BS$17)+1)-1,$BS$13/5)=0),INDEX($CA$4:$CA$53,(INT(84/$BS$17)+1)),"")</f>
        <v/>
      </c>
      <c r="BW98">
        <f>IF(MOD(84,$BS$17)=$BS$17-1,0,INDEX($BU$4:$BU$53,(INT(84/$BS$17)+1)))</f>
        <v/>
      </c>
      <c r="CB98" t="n">
        <v>14.1</v>
      </c>
      <c r="CC98" t="n">
        <v>14.175</v>
      </c>
      <c r="CD98" t="n">
        <v>38</v>
      </c>
      <c r="CI98">
        <f>IF(AND(MOD(84,$CF$17)=0,MOD((INT(84/$CF$17)+1)-1,$CF$13/5)=0),INDEX($CN$4:$CN$53,(INT(84/$CF$17)+1)),"")</f>
        <v/>
      </c>
      <c r="CJ98">
        <f>IF(MOD(84,$CF$17)=$CF$17-1,0,INDEX($CH$4:$CH$53,(INT(84/$CF$17)+1)))</f>
        <v/>
      </c>
      <c r="CO98" t="n">
        <v>47.6</v>
      </c>
      <c r="CP98" t="n">
        <v>47.8</v>
      </c>
      <c r="CQ98" t="n">
        <v>131</v>
      </c>
      <c r="CV98">
        <f>IF(AND(MOD(84,$CS$17)=0,MOD((INT(84/$CS$17)+1)-1,$CS$13/5)=0),INDEX($DA$4:$DA$53,(INT(84/$CS$17)+1)),"")</f>
        <v/>
      </c>
      <c r="CW98">
        <f>IF(MOD(84,$CS$17)=$CS$17-1,0,INDEX($CU$4:$CU$53,(INT(84/$CS$17)+1)))</f>
        <v/>
      </c>
      <c r="DB98" t="n">
        <v>42.9</v>
      </c>
      <c r="DC98" t="n">
        <v>43.075</v>
      </c>
      <c r="DD98" t="n">
        <v>127</v>
      </c>
      <c r="DI98">
        <f>IF(AND(MOD(84,$DF$17)=0,MOD((INT(84/$DF$17)+1)-1,$DF$13/5)=0),INDEX($DN$4:$DN$53,(INT(84/$DF$17)+1)),"")</f>
        <v/>
      </c>
      <c r="DJ98">
        <f>IF(MOD(84,$DF$17)=$DF$17-1,0,INDEX($DH$4:$DH$53,(INT(84/$DF$17)+1)))</f>
        <v/>
      </c>
      <c r="DO98" t="n">
        <v>9.85</v>
      </c>
      <c r="DP98" t="n">
        <v>9.862500000000001</v>
      </c>
      <c r="DQ98" t="n">
        <v>127</v>
      </c>
      <c r="DV98">
        <f>IF(AND(MOD(84,$DS$17)=0,MOD((INT(84/$DS$17)+1)-1,$DS$13/5)=0),INDEX($EA$4:$EA$53,(INT(84/$DS$17)+1)),"")</f>
        <v/>
      </c>
      <c r="DW98">
        <f>IF(MOD(84,$DS$17)=$DS$17-1,0,INDEX($DU$4:$DU$53,(INT(84/$DS$17)+1)))</f>
        <v/>
      </c>
      <c r="EB98" t="n">
        <v>47</v>
      </c>
      <c r="EC98" t="n">
        <v>47.25</v>
      </c>
      <c r="ED98" t="n">
        <v>60</v>
      </c>
      <c r="EI98">
        <f>IF(AND(MOD(84,$EF$17)=0,MOD((INT(84/$EF$17)+1)-1,$EF$13/5)=0),INDEX($EN$4:$EN$53,(INT(84/$EF$17)+1)),"")</f>
        <v/>
      </c>
      <c r="EJ98">
        <f>IF(MOD(84,$EF$17)=$EF$17-1,0,INDEX($EH$4:$EH$53,(INT(84/$EF$17)+1)))</f>
        <v/>
      </c>
      <c r="EO98" t="n">
        <v>1.645</v>
      </c>
      <c r="EP98" t="n">
        <v>1.65375</v>
      </c>
      <c r="EQ98" t="n">
        <v>30</v>
      </c>
      <c r="EV98">
        <f>IF(AND(MOD(84,$ES$17)=0,MOD((INT(84/$ES$17)+1)-1,$ES$13/5)=0),INDEX($FA$4:$FA$53,(INT(84/$ES$17)+1)),"")</f>
        <v/>
      </c>
      <c r="EW98">
        <f>IF(MOD(84,$ES$17)=$ES$17-1,0,INDEX($EU$4:$EU$53,(INT(84/$ES$17)+1)))</f>
        <v/>
      </c>
    </row>
    <row r="99">
      <c r="B99" t="n">
        <v>692.5</v>
      </c>
      <c r="C99" t="n">
        <v>693.25</v>
      </c>
      <c r="D99" t="n">
        <v>90</v>
      </c>
      <c r="I99">
        <f>IF(AND(MOD(85,$F$17)=0,MOD((INT(85/$F$17)+1)-1,$F$13/5)=0),INDEX($N$4:$N$53,(INT(85/$F$17)+1)),"")</f>
        <v/>
      </c>
      <c r="J99">
        <f>IF(MOD(85,$F$17)=$F$17-1,0,INDEX($H$4:$H$53,(INT(85/$F$17)+1)))</f>
        <v/>
      </c>
      <c r="O99" t="n">
        <v>28500</v>
      </c>
      <c r="P99" t="n">
        <v>28650</v>
      </c>
      <c r="Q99" t="n">
        <v>69</v>
      </c>
      <c r="V99">
        <f>IF(AND(MOD(85,$S$17)=0,MOD((INT(85/$S$17)+1)-1,$S$13/5)=0),INDEX($AA$4:$AA$53,(INT(85/$S$17)+1)),"")</f>
        <v/>
      </c>
      <c r="W99">
        <f>IF(MOD(85,$S$17)=$S$17-1,0,INDEX($U$4:$U$53,(INT(85/$S$17)+1)))</f>
        <v/>
      </c>
      <c r="AB99" t="n">
        <v>14250</v>
      </c>
      <c r="AC99" t="n">
        <v>14325</v>
      </c>
      <c r="AD99" t="n">
        <v>85</v>
      </c>
      <c r="AI99">
        <f>IF(AND(MOD(85,$AF$17)=0,MOD((INT(85/$AF$17)+1)-1,$AF$13/5)=0),INDEX($AN$4:$AN$53,(INT(85/$AF$17)+1)),"")</f>
        <v/>
      </c>
      <c r="AJ99">
        <f>IF(MOD(85,$AF$17)=$AF$17-1,0,INDEX($AH$4:$AH$53,(INT(85/$AF$17)+1)))</f>
        <v/>
      </c>
      <c r="AO99" t="n">
        <v>380000</v>
      </c>
      <c r="AP99" t="n">
        <v>382000</v>
      </c>
      <c r="AQ99" t="n">
        <v>85</v>
      </c>
      <c r="AV99">
        <f>IF(AND(MOD(85,$AS$17)=0,MOD((INT(85/$AS$17)+1)-1,$AS$13/5)=0),INDEX($BA$4:$BA$53,(INT(85/$AS$17)+1)),"")</f>
        <v/>
      </c>
      <c r="AW99">
        <f>IF(MOD(85,$AS$17)=$AS$17-1,0,INDEX($AU$4:$AU$53,(INT(85/$AS$17)+1)))</f>
        <v/>
      </c>
      <c r="BB99" t="n">
        <v>665000</v>
      </c>
      <c r="BC99" t="n">
        <v>668500</v>
      </c>
      <c r="BD99" t="n">
        <v>11</v>
      </c>
      <c r="BI99">
        <f>IF(AND(MOD(85,$BF$17)=0,MOD((INT(85/$BF$17)+1)-1,$BF$13/5)=0),INDEX($BN$4:$BN$53,(INT(85/$BF$17)+1)),"")</f>
        <v/>
      </c>
      <c r="BJ99">
        <f>IF(MOD(85,$BF$17)=$BF$17-1,0,INDEX($BH$4:$BH$53,(INT(85/$BF$17)+1)))</f>
        <v/>
      </c>
      <c r="BO99" t="n">
        <v>0.5700000000000001</v>
      </c>
      <c r="BP99" t="n">
        <v>0.5730000000000001</v>
      </c>
      <c r="BQ99" t="n">
        <v>58</v>
      </c>
      <c r="BV99">
        <f>IF(AND(MOD(85,$BS$17)=0,MOD((INT(85/$BS$17)+1)-1,$BS$13/5)=0),INDEX($CA$4:$CA$53,(INT(85/$BS$17)+1)),"")</f>
        <v/>
      </c>
      <c r="BW99">
        <f>IF(MOD(85,$BS$17)=$BS$17-1,0,INDEX($BU$4:$BU$53,(INT(85/$BS$17)+1)))</f>
        <v/>
      </c>
      <c r="CB99" t="n">
        <v>14.25</v>
      </c>
      <c r="CC99" t="n">
        <v>14.325</v>
      </c>
      <c r="CD99" t="n">
        <v>19</v>
      </c>
      <c r="CI99">
        <f>IF(AND(MOD(85,$CF$17)=0,MOD((INT(85/$CF$17)+1)-1,$CF$13/5)=0),INDEX($CN$4:$CN$53,(INT(85/$CF$17)+1)),"")</f>
        <v/>
      </c>
      <c r="CJ99">
        <f>IF(MOD(85,$CF$17)=$CF$17-1,0,INDEX($CH$4:$CH$53,(INT(85/$CF$17)+1)))</f>
        <v/>
      </c>
      <c r="CO99" t="n">
        <v>48</v>
      </c>
      <c r="CP99" t="n">
        <v>48.2</v>
      </c>
      <c r="CQ99" t="n">
        <v>117</v>
      </c>
      <c r="CV99">
        <f>IF(AND(MOD(85,$CS$17)=0,MOD((INT(85/$CS$17)+1)-1,$CS$13/5)=0),INDEX($DA$4:$DA$53,(INT(85/$CS$17)+1)),"")</f>
        <v/>
      </c>
      <c r="CW99">
        <f>IF(MOD(85,$CS$17)=$CS$17-1,0,INDEX($CU$4:$CU$53,(INT(85/$CS$17)+1)))</f>
        <v/>
      </c>
      <c r="DB99" t="n">
        <v>43.25</v>
      </c>
      <c r="DC99" t="n">
        <v>43.425</v>
      </c>
      <c r="DD99" t="n">
        <v>123</v>
      </c>
      <c r="DI99">
        <f>IF(AND(MOD(85,$DF$17)=0,MOD((INT(85/$DF$17)+1)-1,$DF$13/5)=0),INDEX($DN$4:$DN$53,(INT(85/$DF$17)+1)),"")</f>
        <v/>
      </c>
      <c r="DJ99">
        <f>IF(MOD(85,$DF$17)=$DF$17-1,0,INDEX($DH$4:$DH$53,(INT(85/$DF$17)+1)))</f>
        <v/>
      </c>
      <c r="DO99" t="n">
        <v>9.875</v>
      </c>
      <c r="DP99" t="n">
        <v>9.887499999999999</v>
      </c>
      <c r="DQ99" t="n">
        <v>124</v>
      </c>
      <c r="DV99">
        <f>IF(AND(MOD(85,$DS$17)=0,MOD((INT(85/$DS$17)+1)-1,$DS$13/5)=0),INDEX($EA$4:$EA$53,(INT(85/$DS$17)+1)),"")</f>
        <v/>
      </c>
      <c r="DW99">
        <f>IF(MOD(85,$DS$17)=$DS$17-1,0,INDEX($DU$4:$DU$53,(INT(85/$DS$17)+1)))</f>
        <v/>
      </c>
      <c r="EB99" t="n">
        <v>47.5</v>
      </c>
      <c r="EC99" t="n">
        <v>47.75</v>
      </c>
      <c r="ED99" t="n">
        <v>64</v>
      </c>
      <c r="EI99">
        <f>IF(AND(MOD(85,$EF$17)=0,MOD((INT(85/$EF$17)+1)-1,$EF$13/5)=0),INDEX($EN$4:$EN$53,(INT(85/$EF$17)+1)),"")</f>
        <v/>
      </c>
      <c r="EJ99">
        <f>IF(MOD(85,$EF$17)=$EF$17-1,0,INDEX($EH$4:$EH$53,(INT(85/$EF$17)+1)))</f>
        <v/>
      </c>
      <c r="EO99" t="n">
        <v>1.6625</v>
      </c>
      <c r="EP99" t="n">
        <v>1.67125</v>
      </c>
      <c r="EQ99" t="n">
        <v>28</v>
      </c>
      <c r="EV99">
        <f>IF(AND(MOD(85,$ES$17)=0,MOD((INT(85/$ES$17)+1)-1,$ES$13/5)=0),INDEX($FA$4:$FA$53,(INT(85/$ES$17)+1)),"")</f>
        <v/>
      </c>
      <c r="EW99">
        <f>IF(MOD(85,$ES$17)=$ES$17-1,0,INDEX($EU$4:$EU$53,(INT(85/$ES$17)+1)))</f>
        <v/>
      </c>
    </row>
    <row r="100">
      <c r="B100" t="n">
        <v>694</v>
      </c>
      <c r="C100" t="n">
        <v>694.75</v>
      </c>
      <c r="D100" t="n">
        <v>172</v>
      </c>
      <c r="I100">
        <f>IF(AND(MOD(86,$F$17)=0,MOD((INT(86/$F$17)+1)-1,$F$13/5)=0),INDEX($N$4:$N$53,(INT(86/$F$17)+1)),"")</f>
        <v/>
      </c>
      <c r="J100">
        <f>IF(MOD(86,$F$17)=$F$17-1,0,INDEX($H$4:$H$53,(INT(86/$F$17)+1)))</f>
        <v/>
      </c>
      <c r="O100" t="n">
        <v>28800</v>
      </c>
      <c r="P100" t="n">
        <v>28950</v>
      </c>
      <c r="Q100" t="n">
        <v>68</v>
      </c>
      <c r="V100">
        <f>IF(AND(MOD(86,$S$17)=0,MOD((INT(86/$S$17)+1)-1,$S$13/5)=0),INDEX($AA$4:$AA$53,(INT(86/$S$17)+1)),"")</f>
        <v/>
      </c>
      <c r="W100">
        <f>IF(MOD(86,$S$17)=$S$17-1,0,INDEX($U$4:$U$53,(INT(86/$S$17)+1)))</f>
        <v/>
      </c>
      <c r="AB100" t="n">
        <v>14400</v>
      </c>
      <c r="AC100" t="n">
        <v>14475</v>
      </c>
      <c r="AD100" t="n">
        <v>104</v>
      </c>
      <c r="AI100">
        <f>IF(AND(MOD(86,$AF$17)=0,MOD((INT(86/$AF$17)+1)-1,$AF$13/5)=0),INDEX($AN$4:$AN$53,(INT(86/$AF$17)+1)),"")</f>
        <v/>
      </c>
      <c r="AJ100">
        <f>IF(MOD(86,$AF$17)=$AF$17-1,0,INDEX($AH$4:$AH$53,(INT(86/$AF$17)+1)))</f>
        <v/>
      </c>
      <c r="AO100" t="n">
        <v>384000</v>
      </c>
      <c r="AP100" t="n">
        <v>386000</v>
      </c>
      <c r="AQ100" t="n">
        <v>71</v>
      </c>
      <c r="AV100">
        <f>IF(AND(MOD(86,$AS$17)=0,MOD((INT(86/$AS$17)+1)-1,$AS$13/5)=0),INDEX($BA$4:$BA$53,(INT(86/$AS$17)+1)),"")</f>
        <v/>
      </c>
      <c r="AW100">
        <f>IF(MOD(86,$AS$17)=$AS$17-1,0,INDEX($AU$4:$AU$53,(INT(86/$AS$17)+1)))</f>
        <v/>
      </c>
      <c r="BB100" t="n">
        <v>672000</v>
      </c>
      <c r="BC100" t="n">
        <v>675500</v>
      </c>
      <c r="BD100" t="n">
        <v>12</v>
      </c>
      <c r="BI100">
        <f>IF(AND(MOD(86,$BF$17)=0,MOD((INT(86/$BF$17)+1)-1,$BF$13/5)=0),INDEX($BN$4:$BN$53,(INT(86/$BF$17)+1)),"")</f>
        <v/>
      </c>
      <c r="BJ100">
        <f>IF(MOD(86,$BF$17)=$BF$17-1,0,INDEX($BH$4:$BH$53,(INT(86/$BF$17)+1)))</f>
        <v/>
      </c>
      <c r="BO100" t="n">
        <v>0.5760000000000001</v>
      </c>
      <c r="BP100" t="n">
        <v>0.579</v>
      </c>
      <c r="BQ100" t="n">
        <v>66</v>
      </c>
      <c r="BV100">
        <f>IF(AND(MOD(86,$BS$17)=0,MOD((INT(86/$BS$17)+1)-1,$BS$13/5)=0),INDEX($CA$4:$CA$53,(INT(86/$BS$17)+1)),"")</f>
        <v/>
      </c>
      <c r="BW100">
        <f>IF(MOD(86,$BS$17)=$BS$17-1,0,INDEX($BU$4:$BU$53,(INT(86/$BS$17)+1)))</f>
        <v/>
      </c>
      <c r="CB100" t="n">
        <v>14.4</v>
      </c>
      <c r="CC100" t="n">
        <v>14.475</v>
      </c>
      <c r="CD100" t="n">
        <v>29</v>
      </c>
      <c r="CI100">
        <f>IF(AND(MOD(86,$CF$17)=0,MOD((INT(86/$CF$17)+1)-1,$CF$13/5)=0),INDEX($CN$4:$CN$53,(INT(86/$CF$17)+1)),"")</f>
        <v/>
      </c>
      <c r="CJ100">
        <f>IF(MOD(86,$CF$17)=$CF$17-1,0,INDEX($CH$4:$CH$53,(INT(86/$CF$17)+1)))</f>
        <v/>
      </c>
      <c r="CO100" t="n">
        <v>48.40000000000001</v>
      </c>
      <c r="CP100" t="n">
        <v>48.6</v>
      </c>
      <c r="CQ100" t="n">
        <v>133</v>
      </c>
      <c r="CV100">
        <f>IF(AND(MOD(86,$CS$17)=0,MOD((INT(86/$CS$17)+1)-1,$CS$13/5)=0),INDEX($DA$4:$DA$53,(INT(86/$CS$17)+1)),"")</f>
        <v/>
      </c>
      <c r="CW100">
        <f>IF(MOD(86,$CS$17)=$CS$17-1,0,INDEX($CU$4:$CU$53,(INT(86/$CS$17)+1)))</f>
        <v/>
      </c>
      <c r="DB100" t="n">
        <v>43.59999999999999</v>
      </c>
      <c r="DC100" t="n">
        <v>43.775</v>
      </c>
      <c r="DD100" t="n">
        <v>126</v>
      </c>
      <c r="DI100">
        <f>IF(AND(MOD(86,$DF$17)=0,MOD((INT(86/$DF$17)+1)-1,$DF$13/5)=0),INDEX($DN$4:$DN$53,(INT(86/$DF$17)+1)),"")</f>
        <v/>
      </c>
      <c r="DJ100">
        <f>IF(MOD(86,$DF$17)=$DF$17-1,0,INDEX($DH$4:$DH$53,(INT(86/$DF$17)+1)))</f>
        <v/>
      </c>
      <c r="DO100" t="n">
        <v>9.9</v>
      </c>
      <c r="DP100" t="n">
        <v>9.9125</v>
      </c>
      <c r="DQ100" t="n">
        <v>108</v>
      </c>
      <c r="DV100">
        <f>IF(AND(MOD(86,$DS$17)=0,MOD((INT(86/$DS$17)+1)-1,$DS$13/5)=0),INDEX($EA$4:$EA$53,(INT(86/$DS$17)+1)),"")</f>
        <v/>
      </c>
      <c r="DW100">
        <f>IF(MOD(86,$DS$17)=$DS$17-1,0,INDEX($DU$4:$DU$53,(INT(86/$DS$17)+1)))</f>
        <v/>
      </c>
      <c r="EB100" t="n">
        <v>48</v>
      </c>
      <c r="EC100" t="n">
        <v>48.25</v>
      </c>
      <c r="ED100" t="n">
        <v>58</v>
      </c>
      <c r="EI100">
        <f>IF(AND(MOD(86,$EF$17)=0,MOD((INT(86/$EF$17)+1)-1,$EF$13/5)=0),INDEX($EN$4:$EN$53,(INT(86/$EF$17)+1)),"")</f>
        <v/>
      </c>
      <c r="EJ100">
        <f>IF(MOD(86,$EF$17)=$EF$17-1,0,INDEX($EH$4:$EH$53,(INT(86/$EF$17)+1)))</f>
        <v/>
      </c>
      <c r="EO100" t="n">
        <v>1.68</v>
      </c>
      <c r="EP100" t="n">
        <v>1.68875</v>
      </c>
      <c r="EQ100" t="n">
        <v>12</v>
      </c>
      <c r="EV100">
        <f>IF(AND(MOD(86,$ES$17)=0,MOD((INT(86/$ES$17)+1)-1,$ES$13/5)=0),INDEX($FA$4:$FA$53,(INT(86/$ES$17)+1)),"")</f>
        <v/>
      </c>
      <c r="EW100">
        <f>IF(MOD(86,$ES$17)=$ES$17-1,0,INDEX($EU$4:$EU$53,(INT(86/$ES$17)+1)))</f>
        <v/>
      </c>
    </row>
    <row r="101">
      <c r="B101" t="n">
        <v>695.5</v>
      </c>
      <c r="C101" t="n">
        <v>696.25</v>
      </c>
      <c r="D101" t="n">
        <v>77</v>
      </c>
      <c r="I101">
        <f>IF(AND(MOD(87,$F$17)=0,MOD((INT(87/$F$17)+1)-1,$F$13/5)=0),INDEX($N$4:$N$53,(INT(87/$F$17)+1)),"")</f>
        <v/>
      </c>
      <c r="J101">
        <f>IF(MOD(87,$F$17)=$F$17-1,0,INDEX($H$4:$H$53,(INT(87/$F$17)+1)))</f>
        <v/>
      </c>
      <c r="O101" t="n">
        <v>29100</v>
      </c>
      <c r="P101" t="n">
        <v>29250</v>
      </c>
      <c r="Q101" t="n">
        <v>67</v>
      </c>
      <c r="V101">
        <f>IF(AND(MOD(87,$S$17)=0,MOD((INT(87/$S$17)+1)-1,$S$13/5)=0),INDEX($AA$4:$AA$53,(INT(87/$S$17)+1)),"")</f>
        <v/>
      </c>
      <c r="W101">
        <f>IF(MOD(87,$S$17)=$S$17-1,0,INDEX($U$4:$U$53,(INT(87/$S$17)+1)))</f>
        <v/>
      </c>
      <c r="AB101" t="n">
        <v>14550</v>
      </c>
      <c r="AC101" t="n">
        <v>14625</v>
      </c>
      <c r="AD101" t="n">
        <v>101</v>
      </c>
      <c r="AI101">
        <f>IF(AND(MOD(87,$AF$17)=0,MOD((INT(87/$AF$17)+1)-1,$AF$13/5)=0),INDEX($AN$4:$AN$53,(INT(87/$AF$17)+1)),"")</f>
        <v/>
      </c>
      <c r="AJ101">
        <f>IF(MOD(87,$AF$17)=$AF$17-1,0,INDEX($AH$4:$AH$53,(INT(87/$AF$17)+1)))</f>
        <v/>
      </c>
      <c r="AO101" t="n">
        <v>388000</v>
      </c>
      <c r="AP101" t="n">
        <v>390000</v>
      </c>
      <c r="AQ101" t="n">
        <v>63</v>
      </c>
      <c r="AV101">
        <f>IF(AND(MOD(87,$AS$17)=0,MOD((INT(87/$AS$17)+1)-1,$AS$13/5)=0),INDEX($BA$4:$BA$53,(INT(87/$AS$17)+1)),"")</f>
        <v/>
      </c>
      <c r="AW101">
        <f>IF(MOD(87,$AS$17)=$AS$17-1,0,INDEX($AU$4:$AU$53,(INT(87/$AS$17)+1)))</f>
        <v/>
      </c>
      <c r="BB101" t="n">
        <v>679000</v>
      </c>
      <c r="BC101" t="n">
        <v>682500</v>
      </c>
      <c r="BD101" t="n">
        <v>13</v>
      </c>
      <c r="BI101">
        <f>IF(AND(MOD(87,$BF$17)=0,MOD((INT(87/$BF$17)+1)-1,$BF$13/5)=0),INDEX($BN$4:$BN$53,(INT(87/$BF$17)+1)),"")</f>
        <v/>
      </c>
      <c r="BJ101">
        <f>IF(MOD(87,$BF$17)=$BF$17-1,0,INDEX($BH$4:$BH$53,(INT(87/$BF$17)+1)))</f>
        <v/>
      </c>
      <c r="BO101" t="n">
        <v>0.582</v>
      </c>
      <c r="BP101" t="n">
        <v>0.585</v>
      </c>
      <c r="BQ101" t="n">
        <v>49</v>
      </c>
      <c r="BV101">
        <f>IF(AND(MOD(87,$BS$17)=0,MOD((INT(87/$BS$17)+1)-1,$BS$13/5)=0),INDEX($CA$4:$CA$53,(INT(87/$BS$17)+1)),"")</f>
        <v/>
      </c>
      <c r="BW101">
        <f>IF(MOD(87,$BS$17)=$BS$17-1,0,INDEX($BU$4:$BU$53,(INT(87/$BS$17)+1)))</f>
        <v/>
      </c>
      <c r="CB101" t="n">
        <v>14.55</v>
      </c>
      <c r="CC101" t="n">
        <v>14.625</v>
      </c>
      <c r="CD101" t="n">
        <v>17</v>
      </c>
      <c r="CI101">
        <f>IF(AND(MOD(87,$CF$17)=0,MOD((INT(87/$CF$17)+1)-1,$CF$13/5)=0),INDEX($CN$4:$CN$53,(INT(87/$CF$17)+1)),"")</f>
        <v/>
      </c>
      <c r="CJ101">
        <f>IF(MOD(87,$CF$17)=$CF$17-1,0,INDEX($CH$4:$CH$53,(INT(87/$CF$17)+1)))</f>
        <v/>
      </c>
      <c r="CO101" t="n">
        <v>48.8</v>
      </c>
      <c r="CP101" t="n">
        <v>49</v>
      </c>
      <c r="CQ101" t="n">
        <v>131</v>
      </c>
      <c r="CV101">
        <f>IF(AND(MOD(87,$CS$17)=0,MOD((INT(87/$CS$17)+1)-1,$CS$13/5)=0),INDEX($DA$4:$DA$53,(INT(87/$CS$17)+1)),"")</f>
        <v/>
      </c>
      <c r="CW101">
        <f>IF(MOD(87,$CS$17)=$CS$17-1,0,INDEX($CU$4:$CU$53,(INT(87/$CS$17)+1)))</f>
        <v/>
      </c>
      <c r="DB101" t="n">
        <v>43.95</v>
      </c>
      <c r="DC101" t="n">
        <v>44.125</v>
      </c>
      <c r="DD101" t="n">
        <v>138</v>
      </c>
      <c r="DI101">
        <f>IF(AND(MOD(87,$DF$17)=0,MOD((INT(87/$DF$17)+1)-1,$DF$13/5)=0),INDEX($DN$4:$DN$53,(INT(87/$DF$17)+1)),"")</f>
        <v/>
      </c>
      <c r="DJ101">
        <f>IF(MOD(87,$DF$17)=$DF$17-1,0,INDEX($DH$4:$DH$53,(INT(87/$DF$17)+1)))</f>
        <v/>
      </c>
      <c r="DO101" t="n">
        <v>9.925000000000001</v>
      </c>
      <c r="DP101" t="n">
        <v>9.9375</v>
      </c>
      <c r="DQ101" t="n">
        <v>114</v>
      </c>
      <c r="DV101">
        <f>IF(AND(MOD(87,$DS$17)=0,MOD((INT(87/$DS$17)+1)-1,$DS$13/5)=0),INDEX($EA$4:$EA$53,(INT(87/$DS$17)+1)),"")</f>
        <v/>
      </c>
      <c r="DW101">
        <f>IF(MOD(87,$DS$17)=$DS$17-1,0,INDEX($DU$4:$DU$53,(INT(87/$DS$17)+1)))</f>
        <v/>
      </c>
      <c r="EB101" t="n">
        <v>48.5</v>
      </c>
      <c r="EC101" t="n">
        <v>48.75</v>
      </c>
      <c r="ED101" t="n">
        <v>63</v>
      </c>
      <c r="EI101">
        <f>IF(AND(MOD(87,$EF$17)=0,MOD((INT(87/$EF$17)+1)-1,$EF$13/5)=0),INDEX($EN$4:$EN$53,(INT(87/$EF$17)+1)),"")</f>
        <v/>
      </c>
      <c r="EJ101">
        <f>IF(MOD(87,$EF$17)=$EF$17-1,0,INDEX($EH$4:$EH$53,(INT(87/$EF$17)+1)))</f>
        <v/>
      </c>
      <c r="EO101" t="n">
        <v>1.6975</v>
      </c>
      <c r="EP101" t="n">
        <v>1.70625</v>
      </c>
      <c r="EQ101" t="n">
        <v>20</v>
      </c>
      <c r="EV101">
        <f>IF(AND(MOD(87,$ES$17)=0,MOD((INT(87/$ES$17)+1)-1,$ES$13/5)=0),INDEX($FA$4:$FA$53,(INT(87/$ES$17)+1)),"")</f>
        <v/>
      </c>
      <c r="EW101">
        <f>IF(MOD(87,$ES$17)=$ES$17-1,0,INDEX($EU$4:$EU$53,(INT(87/$ES$17)+1)))</f>
        <v/>
      </c>
    </row>
    <row r="102">
      <c r="B102" t="n">
        <v>697</v>
      </c>
      <c r="C102" t="n">
        <v>697.75</v>
      </c>
      <c r="D102" t="n">
        <v>171</v>
      </c>
      <c r="I102">
        <f>IF(AND(MOD(88,$F$17)=0,MOD((INT(88/$F$17)+1)-1,$F$13/5)=0),INDEX($N$4:$N$53,(INT(88/$F$17)+1)),"")</f>
        <v/>
      </c>
      <c r="J102">
        <f>IF(MOD(88,$F$17)=$F$17-1,0,INDEX($H$4:$H$53,(INT(88/$F$17)+1)))</f>
        <v/>
      </c>
      <c r="O102" t="n">
        <v>29400</v>
      </c>
      <c r="P102" t="n">
        <v>29550</v>
      </c>
      <c r="Q102" t="n">
        <v>55</v>
      </c>
      <c r="V102">
        <f>IF(AND(MOD(88,$S$17)=0,MOD((INT(88/$S$17)+1)-1,$S$13/5)=0),INDEX($AA$4:$AA$53,(INT(88/$S$17)+1)),"")</f>
        <v/>
      </c>
      <c r="W102">
        <f>IF(MOD(88,$S$17)=$S$17-1,0,INDEX($U$4:$U$53,(INT(88/$S$17)+1)))</f>
        <v/>
      </c>
      <c r="AB102" t="n">
        <v>14700</v>
      </c>
      <c r="AC102" t="n">
        <v>14775</v>
      </c>
      <c r="AD102" t="n">
        <v>91</v>
      </c>
      <c r="AI102">
        <f>IF(AND(MOD(88,$AF$17)=0,MOD((INT(88/$AF$17)+1)-1,$AF$13/5)=0),INDEX($AN$4:$AN$53,(INT(88/$AF$17)+1)),"")</f>
        <v/>
      </c>
      <c r="AJ102">
        <f>IF(MOD(88,$AF$17)=$AF$17-1,0,INDEX($AH$4:$AH$53,(INT(88/$AF$17)+1)))</f>
        <v/>
      </c>
      <c r="AO102" t="n">
        <v>392000</v>
      </c>
      <c r="AP102" t="n">
        <v>394000</v>
      </c>
      <c r="AQ102" t="n">
        <v>54</v>
      </c>
      <c r="AV102">
        <f>IF(AND(MOD(88,$AS$17)=0,MOD((INT(88/$AS$17)+1)-1,$AS$13/5)=0),INDEX($BA$4:$BA$53,(INT(88/$AS$17)+1)),"")</f>
        <v/>
      </c>
      <c r="AW102">
        <f>IF(MOD(88,$AS$17)=$AS$17-1,0,INDEX($AU$4:$AU$53,(INT(88/$AS$17)+1)))</f>
        <v/>
      </c>
      <c r="BB102" t="n">
        <v>686000</v>
      </c>
      <c r="BC102" t="n">
        <v>689500</v>
      </c>
      <c r="BD102" t="n">
        <v>17</v>
      </c>
      <c r="BI102">
        <f>IF(AND(MOD(88,$BF$17)=0,MOD((INT(88/$BF$17)+1)-1,$BF$13/5)=0),INDEX($BN$4:$BN$53,(INT(88/$BF$17)+1)),"")</f>
        <v/>
      </c>
      <c r="BJ102">
        <f>IF(MOD(88,$BF$17)=$BF$17-1,0,INDEX($BH$4:$BH$53,(INT(88/$BF$17)+1)))</f>
        <v/>
      </c>
      <c r="BO102" t="n">
        <v>0.588</v>
      </c>
      <c r="BP102" t="n">
        <v>0.591</v>
      </c>
      <c r="BQ102" t="n">
        <v>53</v>
      </c>
      <c r="BV102">
        <f>IF(AND(MOD(88,$BS$17)=0,MOD((INT(88/$BS$17)+1)-1,$BS$13/5)=0),INDEX($CA$4:$CA$53,(INT(88/$BS$17)+1)),"")</f>
        <v/>
      </c>
      <c r="BW102">
        <f>IF(MOD(88,$BS$17)=$BS$17-1,0,INDEX($BU$4:$BU$53,(INT(88/$BS$17)+1)))</f>
        <v/>
      </c>
      <c r="CB102" t="n">
        <v>14.7</v>
      </c>
      <c r="CC102" t="n">
        <v>14.775</v>
      </c>
      <c r="CD102" t="n">
        <v>35</v>
      </c>
      <c r="CI102">
        <f>IF(AND(MOD(88,$CF$17)=0,MOD((INT(88/$CF$17)+1)-1,$CF$13/5)=0),INDEX($CN$4:$CN$53,(INT(88/$CF$17)+1)),"")</f>
        <v/>
      </c>
      <c r="CJ102">
        <f>IF(MOD(88,$CF$17)=$CF$17-1,0,INDEX($CH$4:$CH$53,(INT(88/$CF$17)+1)))</f>
        <v/>
      </c>
      <c r="CO102" t="n">
        <v>49.2</v>
      </c>
      <c r="CP102" t="n">
        <v>49.40000000000001</v>
      </c>
      <c r="CQ102" t="n">
        <v>124</v>
      </c>
      <c r="CV102">
        <f>IF(AND(MOD(88,$CS$17)=0,MOD((INT(88/$CS$17)+1)-1,$CS$13/5)=0),INDEX($DA$4:$DA$53,(INT(88/$CS$17)+1)),"")</f>
        <v/>
      </c>
      <c r="CW102">
        <f>IF(MOD(88,$CS$17)=$CS$17-1,0,INDEX($CU$4:$CU$53,(INT(88/$CS$17)+1)))</f>
        <v/>
      </c>
      <c r="DB102" t="n">
        <v>44.3</v>
      </c>
      <c r="DC102" t="n">
        <v>44.47499999999999</v>
      </c>
      <c r="DD102" t="n">
        <v>118</v>
      </c>
      <c r="DI102">
        <f>IF(AND(MOD(88,$DF$17)=0,MOD((INT(88/$DF$17)+1)-1,$DF$13/5)=0),INDEX($DN$4:$DN$53,(INT(88/$DF$17)+1)),"")</f>
        <v/>
      </c>
      <c r="DJ102">
        <f>IF(MOD(88,$DF$17)=$DF$17-1,0,INDEX($DH$4:$DH$53,(INT(88/$DF$17)+1)))</f>
        <v/>
      </c>
      <c r="DO102" t="n">
        <v>9.949999999999999</v>
      </c>
      <c r="DP102" t="n">
        <v>9.9625</v>
      </c>
      <c r="DQ102" t="n">
        <v>128</v>
      </c>
      <c r="DV102">
        <f>IF(AND(MOD(88,$DS$17)=0,MOD((INT(88/$DS$17)+1)-1,$DS$13/5)=0),INDEX($EA$4:$EA$53,(INT(88/$DS$17)+1)),"")</f>
        <v/>
      </c>
      <c r="DW102">
        <f>IF(MOD(88,$DS$17)=$DS$17-1,0,INDEX($DU$4:$DU$53,(INT(88/$DS$17)+1)))</f>
        <v/>
      </c>
      <c r="EB102" t="n">
        <v>49</v>
      </c>
      <c r="EC102" t="n">
        <v>49.25</v>
      </c>
      <c r="ED102" t="n">
        <v>73</v>
      </c>
      <c r="EI102">
        <f>IF(AND(MOD(88,$EF$17)=0,MOD((INT(88/$EF$17)+1)-1,$EF$13/5)=0),INDEX($EN$4:$EN$53,(INT(88/$EF$17)+1)),"")</f>
        <v/>
      </c>
      <c r="EJ102">
        <f>IF(MOD(88,$EF$17)=$EF$17-1,0,INDEX($EH$4:$EH$53,(INT(88/$EF$17)+1)))</f>
        <v/>
      </c>
      <c r="EO102" t="n">
        <v>1.715</v>
      </c>
      <c r="EP102" t="n">
        <v>1.72375</v>
      </c>
      <c r="EQ102" t="n">
        <v>12</v>
      </c>
      <c r="EV102">
        <f>IF(AND(MOD(88,$ES$17)=0,MOD((INT(88/$ES$17)+1)-1,$ES$13/5)=0),INDEX($FA$4:$FA$53,(INT(88/$ES$17)+1)),"")</f>
        <v/>
      </c>
      <c r="EW102">
        <f>IF(MOD(88,$ES$17)=$ES$17-1,0,INDEX($EU$4:$EU$53,(INT(88/$ES$17)+1)))</f>
        <v/>
      </c>
    </row>
    <row r="103">
      <c r="B103" t="n">
        <v>698.5</v>
      </c>
      <c r="C103" t="n">
        <v>699.25</v>
      </c>
      <c r="D103" t="n">
        <v>91</v>
      </c>
      <c r="I103">
        <f>IF(AND(MOD(89,$F$17)=0,MOD((INT(89/$F$17)+1)-1,$F$13/5)=0),INDEX($N$4:$N$53,(INT(89/$F$17)+1)),"")</f>
        <v/>
      </c>
      <c r="J103">
        <f>IF(MOD(89,$F$17)=$F$17-1,0,INDEX($H$4:$H$53,(INT(89/$F$17)+1)))</f>
        <v/>
      </c>
      <c r="O103" t="n">
        <v>29700</v>
      </c>
      <c r="P103" t="n">
        <v>29850</v>
      </c>
      <c r="Q103" t="n">
        <v>72</v>
      </c>
      <c r="V103">
        <f>IF(AND(MOD(89,$S$17)=0,MOD((INT(89/$S$17)+1)-1,$S$13/5)=0),INDEX($AA$4:$AA$53,(INT(89/$S$17)+1)),"")</f>
        <v/>
      </c>
      <c r="W103">
        <f>IF(MOD(89,$S$17)=$S$17-1,0,INDEX($U$4:$U$53,(INT(89/$S$17)+1)))</f>
        <v/>
      </c>
      <c r="AB103" t="n">
        <v>14850</v>
      </c>
      <c r="AC103" t="n">
        <v>14925</v>
      </c>
      <c r="AD103" t="n">
        <v>90</v>
      </c>
      <c r="AI103">
        <f>IF(AND(MOD(89,$AF$17)=0,MOD((INT(89/$AF$17)+1)-1,$AF$13/5)=0),INDEX($AN$4:$AN$53,(INT(89/$AF$17)+1)),"")</f>
        <v/>
      </c>
      <c r="AJ103">
        <f>IF(MOD(89,$AF$17)=$AF$17-1,0,INDEX($AH$4:$AH$53,(INT(89/$AF$17)+1)))</f>
        <v/>
      </c>
      <c r="AO103" t="n">
        <v>396000</v>
      </c>
      <c r="AP103" t="n">
        <v>398000</v>
      </c>
      <c r="AQ103" t="n">
        <v>62</v>
      </c>
      <c r="AV103">
        <f>IF(AND(MOD(89,$AS$17)=0,MOD((INT(89/$AS$17)+1)-1,$AS$13/5)=0),INDEX($BA$4:$BA$53,(INT(89/$AS$17)+1)),"")</f>
        <v/>
      </c>
      <c r="AW103">
        <f>IF(MOD(89,$AS$17)=$AS$17-1,0,INDEX($AU$4:$AU$53,(INT(89/$AS$17)+1)))</f>
        <v/>
      </c>
      <c r="BB103" t="n">
        <v>693000</v>
      </c>
      <c r="BC103" t="n">
        <v>696500</v>
      </c>
      <c r="BD103" t="n">
        <v>12</v>
      </c>
      <c r="BI103">
        <f>IF(AND(MOD(89,$BF$17)=0,MOD((INT(89/$BF$17)+1)-1,$BF$13/5)=0),INDEX($BN$4:$BN$53,(INT(89/$BF$17)+1)),"")</f>
        <v/>
      </c>
      <c r="BJ103">
        <f>IF(MOD(89,$BF$17)=$BF$17-1,0,INDEX($BH$4:$BH$53,(INT(89/$BF$17)+1)))</f>
        <v/>
      </c>
      <c r="BO103" t="n">
        <v>0.594</v>
      </c>
      <c r="BP103" t="n">
        <v>0.597</v>
      </c>
      <c r="BQ103" t="n">
        <v>66</v>
      </c>
      <c r="BV103">
        <f>IF(AND(MOD(89,$BS$17)=0,MOD((INT(89/$BS$17)+1)-1,$BS$13/5)=0),INDEX($CA$4:$CA$53,(INT(89/$BS$17)+1)),"")</f>
        <v/>
      </c>
      <c r="BW103">
        <f>IF(MOD(89,$BS$17)=$BS$17-1,0,INDEX($BU$4:$BU$53,(INT(89/$BS$17)+1)))</f>
        <v/>
      </c>
      <c r="CB103" t="n">
        <v>14.85</v>
      </c>
      <c r="CC103" t="n">
        <v>14.925</v>
      </c>
      <c r="CD103" t="n">
        <v>22</v>
      </c>
      <c r="CI103">
        <f>IF(AND(MOD(89,$CF$17)=0,MOD((INT(89/$CF$17)+1)-1,$CF$13/5)=0),INDEX($CN$4:$CN$53,(INT(89/$CF$17)+1)),"")</f>
        <v/>
      </c>
      <c r="CJ103">
        <f>IF(MOD(89,$CF$17)=$CF$17-1,0,INDEX($CH$4:$CH$53,(INT(89/$CF$17)+1)))</f>
        <v/>
      </c>
      <c r="CO103" t="n">
        <v>49.6</v>
      </c>
      <c r="CP103" t="n">
        <v>49.8</v>
      </c>
      <c r="CQ103" t="n">
        <v>117</v>
      </c>
      <c r="CV103">
        <f>IF(AND(MOD(89,$CS$17)=0,MOD((INT(89/$CS$17)+1)-1,$CS$13/5)=0),INDEX($DA$4:$DA$53,(INT(89/$CS$17)+1)),"")</f>
        <v/>
      </c>
      <c r="CW103">
        <f>IF(MOD(89,$CS$17)=$CS$17-1,0,INDEX($CU$4:$CU$53,(INT(89/$CS$17)+1)))</f>
        <v/>
      </c>
      <c r="DB103" t="n">
        <v>44.65</v>
      </c>
      <c r="DC103" t="n">
        <v>44.825</v>
      </c>
      <c r="DD103" t="n">
        <v>126</v>
      </c>
      <c r="DI103">
        <f>IF(AND(MOD(89,$DF$17)=0,MOD((INT(89/$DF$17)+1)-1,$DF$13/5)=0),INDEX($DN$4:$DN$53,(INT(89/$DF$17)+1)),"")</f>
        <v/>
      </c>
      <c r="DJ103">
        <f>IF(MOD(89,$DF$17)=$DF$17-1,0,INDEX($DH$4:$DH$53,(INT(89/$DF$17)+1)))</f>
        <v/>
      </c>
      <c r="DO103" t="n">
        <v>9.975</v>
      </c>
      <c r="DP103" t="n">
        <v>9.987500000000001</v>
      </c>
      <c r="DQ103" t="n">
        <v>125</v>
      </c>
      <c r="DV103">
        <f>IF(AND(MOD(89,$DS$17)=0,MOD((INT(89/$DS$17)+1)-1,$DS$13/5)=0),INDEX($EA$4:$EA$53,(INT(89/$DS$17)+1)),"")</f>
        <v/>
      </c>
      <c r="DW103">
        <f>IF(MOD(89,$DS$17)=$DS$17-1,0,INDEX($DU$4:$DU$53,(INT(89/$DS$17)+1)))</f>
        <v/>
      </c>
      <c r="EB103" t="n">
        <v>49.5</v>
      </c>
      <c r="EC103" t="n">
        <v>49.75</v>
      </c>
      <c r="ED103" t="n">
        <v>52</v>
      </c>
      <c r="EI103">
        <f>IF(AND(MOD(89,$EF$17)=0,MOD((INT(89/$EF$17)+1)-1,$EF$13/5)=0),INDEX($EN$4:$EN$53,(INT(89/$EF$17)+1)),"")</f>
        <v/>
      </c>
      <c r="EJ103">
        <f>IF(MOD(89,$EF$17)=$EF$17-1,0,INDEX($EH$4:$EH$53,(INT(89/$EF$17)+1)))</f>
        <v/>
      </c>
      <c r="EO103" t="n">
        <v>1.7325</v>
      </c>
      <c r="EP103" t="n">
        <v>1.74125</v>
      </c>
      <c r="EQ103" t="n">
        <v>16</v>
      </c>
      <c r="EV103">
        <f>IF(AND(MOD(89,$ES$17)=0,MOD((INT(89/$ES$17)+1)-1,$ES$13/5)=0),INDEX($FA$4:$FA$53,(INT(89/$ES$17)+1)),"")</f>
        <v/>
      </c>
      <c r="EW103">
        <f>IF(MOD(89,$ES$17)=$ES$17-1,0,INDEX($EU$4:$EU$53,(INT(89/$ES$17)+1)))</f>
        <v/>
      </c>
    </row>
    <row r="104">
      <c r="B104" t="n">
        <v>700</v>
      </c>
      <c r="C104" t="n">
        <v>700.75</v>
      </c>
      <c r="D104" t="n">
        <v>175</v>
      </c>
      <c r="I104">
        <f>IF(AND(MOD(90,$F$17)=0,MOD((INT(90/$F$17)+1)-1,$F$13/5)=0),INDEX($N$4:$N$53,(INT(90/$F$17)+1)),"")</f>
        <v/>
      </c>
      <c r="J104">
        <f>IF(MOD(90,$F$17)=$F$17-1,0,INDEX($H$4:$H$53,(INT(90/$F$17)+1)))</f>
        <v/>
      </c>
      <c r="O104" t="n">
        <v>30000</v>
      </c>
      <c r="P104" t="n">
        <v>30150</v>
      </c>
      <c r="Q104" t="n">
        <v>62</v>
      </c>
      <c r="V104">
        <f>IF(AND(MOD(90,$S$17)=0,MOD((INT(90/$S$17)+1)-1,$S$13/5)=0),INDEX($AA$4:$AA$53,(INT(90/$S$17)+1)),"")</f>
        <v/>
      </c>
      <c r="W104">
        <f>IF(MOD(90,$S$17)=$S$17-1,0,INDEX($U$4:$U$53,(INT(90/$S$17)+1)))</f>
        <v/>
      </c>
      <c r="AB104" t="n">
        <v>15000</v>
      </c>
      <c r="AC104" t="n">
        <v>15075</v>
      </c>
      <c r="AD104" t="n">
        <v>105</v>
      </c>
      <c r="AI104">
        <f>IF(AND(MOD(90,$AF$17)=0,MOD((INT(90/$AF$17)+1)-1,$AF$13/5)=0),INDEX($AN$4:$AN$53,(INT(90/$AF$17)+1)),"")</f>
        <v/>
      </c>
      <c r="AJ104">
        <f>IF(MOD(90,$AF$17)=$AF$17-1,0,INDEX($AH$4:$AH$53,(INT(90/$AF$17)+1)))</f>
        <v/>
      </c>
      <c r="AO104" t="n">
        <v>400000</v>
      </c>
      <c r="AP104" t="n">
        <v>402000</v>
      </c>
      <c r="AQ104" t="n">
        <v>56</v>
      </c>
      <c r="AV104">
        <f>IF(AND(MOD(90,$AS$17)=0,MOD((INT(90/$AS$17)+1)-1,$AS$13/5)=0),INDEX($BA$4:$BA$53,(INT(90/$AS$17)+1)),"")</f>
        <v/>
      </c>
      <c r="AW104">
        <f>IF(MOD(90,$AS$17)=$AS$17-1,0,INDEX($AU$4:$AU$53,(INT(90/$AS$17)+1)))</f>
        <v/>
      </c>
      <c r="BB104" t="n">
        <v>700000</v>
      </c>
      <c r="BC104" t="n">
        <v>703500</v>
      </c>
      <c r="BD104" t="n">
        <v>13</v>
      </c>
      <c r="BI104">
        <f>IF(AND(MOD(90,$BF$17)=0,MOD((INT(90/$BF$17)+1)-1,$BF$13/5)=0),INDEX($BN$4:$BN$53,(INT(90/$BF$17)+1)),"")</f>
        <v/>
      </c>
      <c r="BJ104">
        <f>IF(MOD(90,$BF$17)=$BF$17-1,0,INDEX($BH$4:$BH$53,(INT(90/$BF$17)+1)))</f>
        <v/>
      </c>
      <c r="BO104" t="n">
        <v>0.6</v>
      </c>
      <c r="BP104" t="n">
        <v>0.603</v>
      </c>
      <c r="BQ104" t="n">
        <v>60</v>
      </c>
      <c r="BV104">
        <f>IF(AND(MOD(90,$BS$17)=0,MOD((INT(90/$BS$17)+1)-1,$BS$13/5)=0),INDEX($CA$4:$CA$53,(INT(90/$BS$17)+1)),"")</f>
        <v/>
      </c>
      <c r="BW104">
        <f>IF(MOD(90,$BS$17)=$BS$17-1,0,INDEX($BU$4:$BU$53,(INT(90/$BS$17)+1)))</f>
        <v/>
      </c>
      <c r="CB104" t="n">
        <v>15</v>
      </c>
      <c r="CC104" t="n">
        <v>15.075</v>
      </c>
      <c r="CD104" t="n">
        <v>28</v>
      </c>
      <c r="CI104">
        <f>IF(AND(MOD(90,$CF$17)=0,MOD((INT(90/$CF$17)+1)-1,$CF$13/5)=0),INDEX($CN$4:$CN$53,(INT(90/$CF$17)+1)),"")</f>
        <v/>
      </c>
      <c r="CJ104">
        <f>IF(MOD(90,$CF$17)=$CF$17-1,0,INDEX($CH$4:$CH$53,(INT(90/$CF$17)+1)))</f>
        <v/>
      </c>
      <c r="CO104" t="n">
        <v>50</v>
      </c>
      <c r="CP104" t="n">
        <v>50.2</v>
      </c>
      <c r="CQ104" t="n">
        <v>119</v>
      </c>
      <c r="CV104">
        <f>IF(AND(MOD(90,$CS$17)=0,MOD((INT(90/$CS$17)+1)-1,$CS$13/5)=0),INDEX($DA$4:$DA$53,(INT(90/$CS$17)+1)),"")</f>
        <v/>
      </c>
      <c r="CW104">
        <f>IF(MOD(90,$CS$17)=$CS$17-1,0,INDEX($CU$4:$CU$53,(INT(90/$CS$17)+1)))</f>
        <v/>
      </c>
      <c r="DB104" t="n">
        <v>45</v>
      </c>
      <c r="DC104" t="n">
        <v>45.175</v>
      </c>
      <c r="DD104" t="n">
        <v>120</v>
      </c>
      <c r="DI104">
        <f>IF(AND(MOD(90,$DF$17)=0,MOD((INT(90/$DF$17)+1)-1,$DF$13/5)=0),INDEX($DN$4:$DN$53,(INT(90/$DF$17)+1)),"")</f>
        <v/>
      </c>
      <c r="DJ104">
        <f>IF(MOD(90,$DF$17)=$DF$17-1,0,INDEX($DH$4:$DH$53,(INT(90/$DF$17)+1)))</f>
        <v/>
      </c>
      <c r="DO104" t="n">
        <v>10</v>
      </c>
      <c r="DP104" t="n">
        <v>10.0125</v>
      </c>
      <c r="DQ104" t="n">
        <v>135</v>
      </c>
      <c r="DV104">
        <f>IF(AND(MOD(90,$DS$17)=0,MOD((INT(90/$DS$17)+1)-1,$DS$13/5)=0),INDEX($EA$4:$EA$53,(INT(90/$DS$17)+1)),"")</f>
        <v/>
      </c>
      <c r="DW104">
        <f>IF(MOD(90,$DS$17)=$DS$17-1,0,INDEX($DU$4:$DU$53,(INT(90/$DS$17)+1)))</f>
        <v/>
      </c>
      <c r="EB104" t="n">
        <v>50</v>
      </c>
      <c r="EC104" t="n">
        <v>50.25</v>
      </c>
      <c r="ED104" t="n">
        <v>50</v>
      </c>
      <c r="EI104">
        <f>IF(AND(MOD(90,$EF$17)=0,MOD((INT(90/$EF$17)+1)-1,$EF$13/5)=0),INDEX($EN$4:$EN$53,(INT(90/$EF$17)+1)),"")</f>
        <v/>
      </c>
      <c r="EJ104">
        <f>IF(MOD(90,$EF$17)=$EF$17-1,0,INDEX($EH$4:$EH$53,(INT(90/$EF$17)+1)))</f>
        <v/>
      </c>
      <c r="EO104" t="n">
        <v>1.75</v>
      </c>
      <c r="EP104" t="n">
        <v>1.75875</v>
      </c>
      <c r="EQ104" t="n">
        <v>26</v>
      </c>
      <c r="EV104">
        <f>IF(AND(MOD(90,$ES$17)=0,MOD((INT(90/$ES$17)+1)-1,$ES$13/5)=0),INDEX($FA$4:$FA$53,(INT(90/$ES$17)+1)),"")</f>
        <v/>
      </c>
      <c r="EW104">
        <f>IF(MOD(90,$ES$17)=$ES$17-1,0,INDEX($EU$4:$EU$53,(INT(90/$ES$17)+1)))</f>
        <v/>
      </c>
    </row>
    <row r="105">
      <c r="B105" t="n">
        <v>701.5</v>
      </c>
      <c r="C105" t="n">
        <v>702.25</v>
      </c>
      <c r="D105" t="n">
        <v>83</v>
      </c>
      <c r="I105">
        <f>IF(AND(MOD(91,$F$17)=0,MOD((INT(91/$F$17)+1)-1,$F$13/5)=0),INDEX($N$4:$N$53,(INT(91/$F$17)+1)),"")</f>
        <v/>
      </c>
      <c r="J105">
        <f>IF(MOD(91,$F$17)=$F$17-1,0,INDEX($H$4:$H$53,(INT(91/$F$17)+1)))</f>
        <v/>
      </c>
      <c r="O105" t="n">
        <v>30300</v>
      </c>
      <c r="P105" t="n">
        <v>30450</v>
      </c>
      <c r="Q105" t="n">
        <v>66</v>
      </c>
      <c r="V105">
        <f>IF(AND(MOD(91,$S$17)=0,MOD((INT(91/$S$17)+1)-1,$S$13/5)=0),INDEX($AA$4:$AA$53,(INT(91/$S$17)+1)),"")</f>
        <v/>
      </c>
      <c r="W105">
        <f>IF(MOD(91,$S$17)=$S$17-1,0,INDEX($U$4:$U$53,(INT(91/$S$17)+1)))</f>
        <v/>
      </c>
      <c r="AB105" t="n">
        <v>15150</v>
      </c>
      <c r="AC105" t="n">
        <v>15225</v>
      </c>
      <c r="AD105" t="n">
        <v>91</v>
      </c>
      <c r="AI105">
        <f>IF(AND(MOD(91,$AF$17)=0,MOD((INT(91/$AF$17)+1)-1,$AF$13/5)=0),INDEX($AN$4:$AN$53,(INT(91/$AF$17)+1)),"")</f>
        <v/>
      </c>
      <c r="AJ105">
        <f>IF(MOD(91,$AF$17)=$AF$17-1,0,INDEX($AH$4:$AH$53,(INT(91/$AF$17)+1)))</f>
        <v/>
      </c>
      <c r="AO105" t="n">
        <v>404000</v>
      </c>
      <c r="AP105" t="n">
        <v>406000</v>
      </c>
      <c r="AQ105" t="n">
        <v>54</v>
      </c>
      <c r="AV105">
        <f>IF(AND(MOD(91,$AS$17)=0,MOD((INT(91/$AS$17)+1)-1,$AS$13/5)=0),INDEX($BA$4:$BA$53,(INT(91/$AS$17)+1)),"")</f>
        <v/>
      </c>
      <c r="AW105">
        <f>IF(MOD(91,$AS$17)=$AS$17-1,0,INDEX($AU$4:$AU$53,(INT(91/$AS$17)+1)))</f>
        <v/>
      </c>
      <c r="BB105" t="n">
        <v>707000</v>
      </c>
      <c r="BC105" t="n">
        <v>710500</v>
      </c>
      <c r="BD105" t="n">
        <v>7</v>
      </c>
      <c r="BI105">
        <f>IF(AND(MOD(91,$BF$17)=0,MOD((INT(91/$BF$17)+1)-1,$BF$13/5)=0),INDEX($BN$4:$BN$53,(INT(91/$BF$17)+1)),"")</f>
        <v/>
      </c>
      <c r="BJ105">
        <f>IF(MOD(91,$BF$17)=$BF$17-1,0,INDEX($BH$4:$BH$53,(INT(91/$BF$17)+1)))</f>
        <v/>
      </c>
      <c r="BO105" t="n">
        <v>0.606</v>
      </c>
      <c r="BP105" t="n">
        <v>0.609</v>
      </c>
      <c r="BQ105" t="n">
        <v>61</v>
      </c>
      <c r="BV105">
        <f>IF(AND(MOD(91,$BS$17)=0,MOD((INT(91/$BS$17)+1)-1,$BS$13/5)=0),INDEX($CA$4:$CA$53,(INT(91/$BS$17)+1)),"")</f>
        <v/>
      </c>
      <c r="BW105">
        <f>IF(MOD(91,$BS$17)=$BS$17-1,0,INDEX($BU$4:$BU$53,(INT(91/$BS$17)+1)))</f>
        <v/>
      </c>
      <c r="CB105" t="n">
        <v>15.15</v>
      </c>
      <c r="CC105" t="n">
        <v>15.225</v>
      </c>
      <c r="CD105" t="n">
        <v>25</v>
      </c>
      <c r="CI105">
        <f>IF(AND(MOD(91,$CF$17)=0,MOD((INT(91/$CF$17)+1)-1,$CF$13/5)=0),INDEX($CN$4:$CN$53,(INT(91/$CF$17)+1)),"")</f>
        <v/>
      </c>
      <c r="CJ105">
        <f>IF(MOD(91,$CF$17)=$CF$17-1,0,INDEX($CH$4:$CH$53,(INT(91/$CF$17)+1)))</f>
        <v/>
      </c>
      <c r="CO105" t="n">
        <v>50.40000000000001</v>
      </c>
      <c r="CP105" t="n">
        <v>50.6</v>
      </c>
      <c r="CQ105" t="n">
        <v>129</v>
      </c>
      <c r="CV105">
        <f>IF(AND(MOD(91,$CS$17)=0,MOD((INT(91/$CS$17)+1)-1,$CS$13/5)=0),INDEX($DA$4:$DA$53,(INT(91/$CS$17)+1)),"")</f>
        <v/>
      </c>
      <c r="CW105">
        <f>IF(MOD(91,$CS$17)=$CS$17-1,0,INDEX($CU$4:$CU$53,(INT(91/$CS$17)+1)))</f>
        <v/>
      </c>
      <c r="DB105" t="n">
        <v>45.34999999999999</v>
      </c>
      <c r="DC105" t="n">
        <v>45.525</v>
      </c>
      <c r="DD105" t="n">
        <v>110</v>
      </c>
      <c r="DI105">
        <f>IF(AND(MOD(91,$DF$17)=0,MOD((INT(91/$DF$17)+1)-1,$DF$13/5)=0),INDEX($DN$4:$DN$53,(INT(91/$DF$17)+1)),"")</f>
        <v/>
      </c>
      <c r="DJ105">
        <f>IF(MOD(91,$DF$17)=$DF$17-1,0,INDEX($DH$4:$DH$53,(INT(91/$DF$17)+1)))</f>
        <v/>
      </c>
      <c r="DO105" t="n">
        <v>10.025</v>
      </c>
      <c r="DP105" t="n">
        <v>10.0375</v>
      </c>
      <c r="DQ105" t="n">
        <v>123</v>
      </c>
      <c r="DV105">
        <f>IF(AND(MOD(91,$DS$17)=0,MOD((INT(91/$DS$17)+1)-1,$DS$13/5)=0),INDEX($EA$4:$EA$53,(INT(91/$DS$17)+1)),"")</f>
        <v/>
      </c>
      <c r="DW105">
        <f>IF(MOD(91,$DS$17)=$DS$17-1,0,INDEX($DU$4:$DU$53,(INT(91/$DS$17)+1)))</f>
        <v/>
      </c>
      <c r="EB105" t="n">
        <v>50.5</v>
      </c>
      <c r="EC105" t="n">
        <v>50.75</v>
      </c>
      <c r="ED105" t="n">
        <v>48</v>
      </c>
      <c r="EI105">
        <f>IF(AND(MOD(91,$EF$17)=0,MOD((INT(91/$EF$17)+1)-1,$EF$13/5)=0),INDEX($EN$4:$EN$53,(INT(91/$EF$17)+1)),"")</f>
        <v/>
      </c>
      <c r="EJ105">
        <f>IF(MOD(91,$EF$17)=$EF$17-1,0,INDEX($EH$4:$EH$53,(INT(91/$EF$17)+1)))</f>
        <v/>
      </c>
      <c r="EO105" t="n">
        <v>1.7675</v>
      </c>
      <c r="EP105" t="n">
        <v>1.77625</v>
      </c>
      <c r="EQ105" t="n">
        <v>16</v>
      </c>
      <c r="EV105">
        <f>IF(AND(MOD(91,$ES$17)=0,MOD((INT(91/$ES$17)+1)-1,$ES$13/5)=0),INDEX($FA$4:$FA$53,(INT(91/$ES$17)+1)),"")</f>
        <v/>
      </c>
      <c r="EW105">
        <f>IF(MOD(91,$ES$17)=$ES$17-1,0,INDEX($EU$4:$EU$53,(INT(91/$ES$17)+1)))</f>
        <v/>
      </c>
    </row>
    <row r="106">
      <c r="B106" t="n">
        <v>703</v>
      </c>
      <c r="C106" t="n">
        <v>703.75</v>
      </c>
      <c r="D106" t="n">
        <v>188</v>
      </c>
      <c r="I106">
        <f>IF(AND(MOD(92,$F$17)=0,MOD((INT(92/$F$17)+1)-1,$F$13/5)=0),INDEX($N$4:$N$53,(INT(92/$F$17)+1)),"")</f>
        <v/>
      </c>
      <c r="J106">
        <f>IF(MOD(92,$F$17)=$F$17-1,0,INDEX($H$4:$H$53,(INT(92/$F$17)+1)))</f>
        <v/>
      </c>
      <c r="O106" t="n">
        <v>30600</v>
      </c>
      <c r="P106" t="n">
        <v>30750</v>
      </c>
      <c r="Q106" t="n">
        <v>68</v>
      </c>
      <c r="V106">
        <f>IF(AND(MOD(92,$S$17)=0,MOD((INT(92/$S$17)+1)-1,$S$13/5)=0),INDEX($AA$4:$AA$53,(INT(92/$S$17)+1)),"")</f>
        <v/>
      </c>
      <c r="W106">
        <f>IF(MOD(92,$S$17)=$S$17-1,0,INDEX($U$4:$U$53,(INT(92/$S$17)+1)))</f>
        <v/>
      </c>
      <c r="AB106" t="n">
        <v>15300</v>
      </c>
      <c r="AC106" t="n">
        <v>15375</v>
      </c>
      <c r="AD106" t="n">
        <v>81</v>
      </c>
      <c r="AI106">
        <f>IF(AND(MOD(92,$AF$17)=0,MOD((INT(92/$AF$17)+1)-1,$AF$13/5)=0),INDEX($AN$4:$AN$53,(INT(92/$AF$17)+1)),"")</f>
        <v/>
      </c>
      <c r="AJ106">
        <f>IF(MOD(92,$AF$17)=$AF$17-1,0,INDEX($AH$4:$AH$53,(INT(92/$AF$17)+1)))</f>
        <v/>
      </c>
      <c r="AO106" t="n">
        <v>408000</v>
      </c>
      <c r="AP106" t="n">
        <v>410000</v>
      </c>
      <c r="AQ106" t="n">
        <v>61</v>
      </c>
      <c r="AV106">
        <f>IF(AND(MOD(92,$AS$17)=0,MOD((INT(92/$AS$17)+1)-1,$AS$13/5)=0),INDEX($BA$4:$BA$53,(INT(92/$AS$17)+1)),"")</f>
        <v/>
      </c>
      <c r="AW106">
        <f>IF(MOD(92,$AS$17)=$AS$17-1,0,INDEX($AU$4:$AU$53,(INT(92/$AS$17)+1)))</f>
        <v/>
      </c>
      <c r="BB106" t="n">
        <v>714000</v>
      </c>
      <c r="BC106" t="n">
        <v>717500</v>
      </c>
      <c r="BD106" t="n">
        <v>7</v>
      </c>
      <c r="BI106">
        <f>IF(AND(MOD(92,$BF$17)=0,MOD((INT(92/$BF$17)+1)-1,$BF$13/5)=0),INDEX($BN$4:$BN$53,(INT(92/$BF$17)+1)),"")</f>
        <v/>
      </c>
      <c r="BJ106">
        <f>IF(MOD(92,$BF$17)=$BF$17-1,0,INDEX($BH$4:$BH$53,(INT(92/$BF$17)+1)))</f>
        <v/>
      </c>
      <c r="BO106" t="n">
        <v>0.612</v>
      </c>
      <c r="BP106" t="n">
        <v>0.615</v>
      </c>
      <c r="BQ106" t="n">
        <v>61</v>
      </c>
      <c r="BV106">
        <f>IF(AND(MOD(92,$BS$17)=0,MOD((INT(92/$BS$17)+1)-1,$BS$13/5)=0),INDEX($CA$4:$CA$53,(INT(92/$BS$17)+1)),"")</f>
        <v/>
      </c>
      <c r="BW106">
        <f>IF(MOD(92,$BS$17)=$BS$17-1,0,INDEX($BU$4:$BU$53,(INT(92/$BS$17)+1)))</f>
        <v/>
      </c>
      <c r="CB106" t="n">
        <v>15.3</v>
      </c>
      <c r="CC106" t="n">
        <v>15.375</v>
      </c>
      <c r="CD106" t="n">
        <v>33</v>
      </c>
      <c r="CI106">
        <f>IF(AND(MOD(92,$CF$17)=0,MOD((INT(92/$CF$17)+1)-1,$CF$13/5)=0),INDEX($CN$4:$CN$53,(INT(92/$CF$17)+1)),"")</f>
        <v/>
      </c>
      <c r="CJ106">
        <f>IF(MOD(92,$CF$17)=$CF$17-1,0,INDEX($CH$4:$CH$53,(INT(92/$CF$17)+1)))</f>
        <v/>
      </c>
      <c r="CO106" t="n">
        <v>50.8</v>
      </c>
      <c r="CP106" t="n">
        <v>51</v>
      </c>
      <c r="CQ106" t="n">
        <v>123</v>
      </c>
      <c r="CV106">
        <f>IF(AND(MOD(92,$CS$17)=0,MOD((INT(92/$CS$17)+1)-1,$CS$13/5)=0),INDEX($DA$4:$DA$53,(INT(92/$CS$17)+1)),"")</f>
        <v/>
      </c>
      <c r="CW106">
        <f>IF(MOD(92,$CS$17)=$CS$17-1,0,INDEX($CU$4:$CU$53,(INT(92/$CS$17)+1)))</f>
        <v/>
      </c>
      <c r="DB106" t="n">
        <v>45.7</v>
      </c>
      <c r="DC106" t="n">
        <v>45.875</v>
      </c>
      <c r="DD106" t="n">
        <v>132</v>
      </c>
      <c r="DI106">
        <f>IF(AND(MOD(92,$DF$17)=0,MOD((INT(92/$DF$17)+1)-1,$DF$13/5)=0),INDEX($DN$4:$DN$53,(INT(92/$DF$17)+1)),"")</f>
        <v/>
      </c>
      <c r="DJ106">
        <f>IF(MOD(92,$DF$17)=$DF$17-1,0,INDEX($DH$4:$DH$53,(INT(92/$DF$17)+1)))</f>
        <v/>
      </c>
      <c r="DO106" t="n">
        <v>10.05</v>
      </c>
      <c r="DP106" t="n">
        <v>10.0625</v>
      </c>
      <c r="DQ106" t="n">
        <v>106</v>
      </c>
      <c r="DV106">
        <f>IF(AND(MOD(92,$DS$17)=0,MOD((INT(92/$DS$17)+1)-1,$DS$13/5)=0),INDEX($EA$4:$EA$53,(INT(92/$DS$17)+1)),"")</f>
        <v/>
      </c>
      <c r="DW106">
        <f>IF(MOD(92,$DS$17)=$DS$17-1,0,INDEX($DU$4:$DU$53,(INT(92/$DS$17)+1)))</f>
        <v/>
      </c>
      <c r="EB106" t="n">
        <v>51</v>
      </c>
      <c r="EC106" t="n">
        <v>51.25</v>
      </c>
      <c r="ED106" t="n">
        <v>60</v>
      </c>
      <c r="EI106">
        <f>IF(AND(MOD(92,$EF$17)=0,MOD((INT(92/$EF$17)+1)-1,$EF$13/5)=0),INDEX($EN$4:$EN$53,(INT(92/$EF$17)+1)),"")</f>
        <v/>
      </c>
      <c r="EJ106">
        <f>IF(MOD(92,$EF$17)=$EF$17-1,0,INDEX($EH$4:$EH$53,(INT(92/$EF$17)+1)))</f>
        <v/>
      </c>
      <c r="EO106" t="n">
        <v>1.785</v>
      </c>
      <c r="EP106" t="n">
        <v>1.79375</v>
      </c>
      <c r="EQ106" t="n">
        <v>9</v>
      </c>
      <c r="EV106">
        <f>IF(AND(MOD(92,$ES$17)=0,MOD((INT(92/$ES$17)+1)-1,$ES$13/5)=0),INDEX($FA$4:$FA$53,(INT(92/$ES$17)+1)),"")</f>
        <v/>
      </c>
      <c r="EW106">
        <f>IF(MOD(92,$ES$17)=$ES$17-1,0,INDEX($EU$4:$EU$53,(INT(92/$ES$17)+1)))</f>
        <v/>
      </c>
    </row>
    <row r="107">
      <c r="B107" t="n">
        <v>704.5</v>
      </c>
      <c r="C107" t="n">
        <v>705.25</v>
      </c>
      <c r="D107" t="n">
        <v>76</v>
      </c>
      <c r="I107">
        <f>IF(AND(MOD(93,$F$17)=0,MOD((INT(93/$F$17)+1)-1,$F$13/5)=0),INDEX($N$4:$N$53,(INT(93/$F$17)+1)),"")</f>
        <v/>
      </c>
      <c r="J107">
        <f>IF(MOD(93,$F$17)=$F$17-1,0,INDEX($H$4:$H$53,(INT(93/$F$17)+1)))</f>
        <v/>
      </c>
      <c r="O107" t="n">
        <v>30900</v>
      </c>
      <c r="P107" t="n">
        <v>31050</v>
      </c>
      <c r="Q107" t="n">
        <v>62</v>
      </c>
      <c r="V107">
        <f>IF(AND(MOD(93,$S$17)=0,MOD((INT(93/$S$17)+1)-1,$S$13/5)=0),INDEX($AA$4:$AA$53,(INT(93/$S$17)+1)),"")</f>
        <v/>
      </c>
      <c r="W107">
        <f>IF(MOD(93,$S$17)=$S$17-1,0,INDEX($U$4:$U$53,(INT(93/$S$17)+1)))</f>
        <v/>
      </c>
      <c r="AB107" t="n">
        <v>15450</v>
      </c>
      <c r="AC107" t="n">
        <v>15525</v>
      </c>
      <c r="AD107" t="n">
        <v>90</v>
      </c>
      <c r="AI107">
        <f>IF(AND(MOD(93,$AF$17)=0,MOD((INT(93/$AF$17)+1)-1,$AF$13/5)=0),INDEX($AN$4:$AN$53,(INT(93/$AF$17)+1)),"")</f>
        <v/>
      </c>
      <c r="AJ107">
        <f>IF(MOD(93,$AF$17)=$AF$17-1,0,INDEX($AH$4:$AH$53,(INT(93/$AF$17)+1)))</f>
        <v/>
      </c>
      <c r="AO107" t="n">
        <v>412000</v>
      </c>
      <c r="AP107" t="n">
        <v>414000</v>
      </c>
      <c r="AQ107" t="n">
        <v>50</v>
      </c>
      <c r="AV107">
        <f>IF(AND(MOD(93,$AS$17)=0,MOD((INT(93/$AS$17)+1)-1,$AS$13/5)=0),INDEX($BA$4:$BA$53,(INT(93/$AS$17)+1)),"")</f>
        <v/>
      </c>
      <c r="AW107">
        <f>IF(MOD(93,$AS$17)=$AS$17-1,0,INDEX($AU$4:$AU$53,(INT(93/$AS$17)+1)))</f>
        <v/>
      </c>
      <c r="BB107" t="n">
        <v>721000</v>
      </c>
      <c r="BC107" t="n">
        <v>724500</v>
      </c>
      <c r="BD107" t="n">
        <v>7</v>
      </c>
      <c r="BI107">
        <f>IF(AND(MOD(93,$BF$17)=0,MOD((INT(93/$BF$17)+1)-1,$BF$13/5)=0),INDEX($BN$4:$BN$53,(INT(93/$BF$17)+1)),"")</f>
        <v/>
      </c>
      <c r="BJ107">
        <f>IF(MOD(93,$BF$17)=$BF$17-1,0,INDEX($BH$4:$BH$53,(INT(93/$BF$17)+1)))</f>
        <v/>
      </c>
      <c r="BO107" t="n">
        <v>0.618</v>
      </c>
      <c r="BP107" t="n">
        <v>0.621</v>
      </c>
      <c r="BQ107" t="n">
        <v>58</v>
      </c>
      <c r="BV107">
        <f>IF(AND(MOD(93,$BS$17)=0,MOD((INT(93/$BS$17)+1)-1,$BS$13/5)=0),INDEX($CA$4:$CA$53,(INT(93/$BS$17)+1)),"")</f>
        <v/>
      </c>
      <c r="BW107">
        <f>IF(MOD(93,$BS$17)=$BS$17-1,0,INDEX($BU$4:$BU$53,(INT(93/$BS$17)+1)))</f>
        <v/>
      </c>
      <c r="CB107" t="n">
        <v>15.45</v>
      </c>
      <c r="CC107" t="n">
        <v>15.525</v>
      </c>
      <c r="CD107" t="n">
        <v>11</v>
      </c>
      <c r="CI107">
        <f>IF(AND(MOD(93,$CF$17)=0,MOD((INT(93/$CF$17)+1)-1,$CF$13/5)=0),INDEX($CN$4:$CN$53,(INT(93/$CF$17)+1)),"")</f>
        <v/>
      </c>
      <c r="CJ107">
        <f>IF(MOD(93,$CF$17)=$CF$17-1,0,INDEX($CH$4:$CH$53,(INT(93/$CF$17)+1)))</f>
        <v/>
      </c>
      <c r="CO107" t="n">
        <v>51.2</v>
      </c>
      <c r="CP107" t="n">
        <v>51.40000000000001</v>
      </c>
      <c r="CQ107" t="n">
        <v>133</v>
      </c>
      <c r="CV107">
        <f>IF(AND(MOD(93,$CS$17)=0,MOD((INT(93/$CS$17)+1)-1,$CS$13/5)=0),INDEX($DA$4:$DA$53,(INT(93/$CS$17)+1)),"")</f>
        <v/>
      </c>
      <c r="CW107">
        <f>IF(MOD(93,$CS$17)=$CS$17-1,0,INDEX($CU$4:$CU$53,(INT(93/$CS$17)+1)))</f>
        <v/>
      </c>
      <c r="DB107" t="n">
        <v>46.05</v>
      </c>
      <c r="DC107" t="n">
        <v>46.22499999999999</v>
      </c>
      <c r="DD107" t="n">
        <v>116</v>
      </c>
      <c r="DI107">
        <f>IF(AND(MOD(93,$DF$17)=0,MOD((INT(93/$DF$17)+1)-1,$DF$13/5)=0),INDEX($DN$4:$DN$53,(INT(93/$DF$17)+1)),"")</f>
        <v/>
      </c>
      <c r="DJ107">
        <f>IF(MOD(93,$DF$17)=$DF$17-1,0,INDEX($DH$4:$DH$53,(INT(93/$DF$17)+1)))</f>
        <v/>
      </c>
      <c r="DO107" t="n">
        <v>10.075</v>
      </c>
      <c r="DP107" t="n">
        <v>10.0875</v>
      </c>
      <c r="DQ107" t="n">
        <v>107</v>
      </c>
      <c r="DV107">
        <f>IF(AND(MOD(93,$DS$17)=0,MOD((INT(93/$DS$17)+1)-1,$DS$13/5)=0),INDEX($EA$4:$EA$53,(INT(93/$DS$17)+1)),"")</f>
        <v/>
      </c>
      <c r="DW107">
        <f>IF(MOD(93,$DS$17)=$DS$17-1,0,INDEX($DU$4:$DU$53,(INT(93/$DS$17)+1)))</f>
        <v/>
      </c>
      <c r="EB107" t="n">
        <v>51.5</v>
      </c>
      <c r="EC107" t="n">
        <v>51.75</v>
      </c>
      <c r="ED107" t="n">
        <v>62</v>
      </c>
      <c r="EI107">
        <f>IF(AND(MOD(93,$EF$17)=0,MOD((INT(93/$EF$17)+1)-1,$EF$13/5)=0),INDEX($EN$4:$EN$53,(INT(93/$EF$17)+1)),"")</f>
        <v/>
      </c>
      <c r="EJ107">
        <f>IF(MOD(93,$EF$17)=$EF$17-1,0,INDEX($EH$4:$EH$53,(INT(93/$EF$17)+1)))</f>
        <v/>
      </c>
      <c r="EO107" t="n">
        <v>1.8025</v>
      </c>
      <c r="EP107" t="n">
        <v>1.81125</v>
      </c>
      <c r="EQ107" t="n">
        <v>15</v>
      </c>
      <c r="EV107">
        <f>IF(AND(MOD(93,$ES$17)=0,MOD((INT(93/$ES$17)+1)-1,$ES$13/5)=0),INDEX($FA$4:$FA$53,(INT(93/$ES$17)+1)),"")</f>
        <v/>
      </c>
      <c r="EW107">
        <f>IF(MOD(93,$ES$17)=$ES$17-1,0,INDEX($EU$4:$EU$53,(INT(93/$ES$17)+1)))</f>
        <v/>
      </c>
    </row>
    <row r="108">
      <c r="B108" t="n">
        <v>706</v>
      </c>
      <c r="C108" t="n">
        <v>706.75</v>
      </c>
      <c r="D108" t="n">
        <v>184</v>
      </c>
      <c r="I108">
        <f>IF(AND(MOD(94,$F$17)=0,MOD((INT(94/$F$17)+1)-1,$F$13/5)=0),INDEX($N$4:$N$53,(INT(94/$F$17)+1)),"")</f>
        <v/>
      </c>
      <c r="J108">
        <f>IF(MOD(94,$F$17)=$F$17-1,0,INDEX($H$4:$H$53,(INT(94/$F$17)+1)))</f>
        <v/>
      </c>
      <c r="O108" t="n">
        <v>31200</v>
      </c>
      <c r="P108" t="n">
        <v>31350</v>
      </c>
      <c r="Q108" t="n">
        <v>62</v>
      </c>
      <c r="V108">
        <f>IF(AND(MOD(94,$S$17)=0,MOD((INT(94/$S$17)+1)-1,$S$13/5)=0),INDEX($AA$4:$AA$53,(INT(94/$S$17)+1)),"")</f>
        <v/>
      </c>
      <c r="W108">
        <f>IF(MOD(94,$S$17)=$S$17-1,0,INDEX($U$4:$U$53,(INT(94/$S$17)+1)))</f>
        <v/>
      </c>
      <c r="AB108" t="n">
        <v>15600</v>
      </c>
      <c r="AC108" t="n">
        <v>15675</v>
      </c>
      <c r="AD108" t="n">
        <v>88</v>
      </c>
      <c r="AI108">
        <f>IF(AND(MOD(94,$AF$17)=0,MOD((INT(94/$AF$17)+1)-1,$AF$13/5)=0),INDEX($AN$4:$AN$53,(INT(94/$AF$17)+1)),"")</f>
        <v/>
      </c>
      <c r="AJ108">
        <f>IF(MOD(94,$AF$17)=$AF$17-1,0,INDEX($AH$4:$AH$53,(INT(94/$AF$17)+1)))</f>
        <v/>
      </c>
      <c r="AO108" t="n">
        <v>416000</v>
      </c>
      <c r="AP108" t="n">
        <v>418000</v>
      </c>
      <c r="AQ108" t="n">
        <v>61</v>
      </c>
      <c r="AV108">
        <f>IF(AND(MOD(94,$AS$17)=0,MOD((INT(94/$AS$17)+1)-1,$AS$13/5)=0),INDEX($BA$4:$BA$53,(INT(94/$AS$17)+1)),"")</f>
        <v/>
      </c>
      <c r="AW108">
        <f>IF(MOD(94,$AS$17)=$AS$17-1,0,INDEX($AU$4:$AU$53,(INT(94/$AS$17)+1)))</f>
        <v/>
      </c>
      <c r="BB108" t="n">
        <v>728000</v>
      </c>
      <c r="BC108" t="n">
        <v>731500</v>
      </c>
      <c r="BD108" t="n">
        <v>9</v>
      </c>
      <c r="BI108">
        <f>IF(AND(MOD(94,$BF$17)=0,MOD((INT(94/$BF$17)+1)-1,$BF$13/5)=0),INDEX($BN$4:$BN$53,(INT(94/$BF$17)+1)),"")</f>
        <v/>
      </c>
      <c r="BJ108">
        <f>IF(MOD(94,$BF$17)=$BF$17-1,0,INDEX($BH$4:$BH$53,(INT(94/$BF$17)+1)))</f>
        <v/>
      </c>
      <c r="BO108" t="n">
        <v>0.624</v>
      </c>
      <c r="BP108" t="n">
        <v>0.627</v>
      </c>
      <c r="BQ108" t="n">
        <v>71</v>
      </c>
      <c r="BV108">
        <f>IF(AND(MOD(94,$BS$17)=0,MOD((INT(94/$BS$17)+1)-1,$BS$13/5)=0),INDEX($CA$4:$CA$53,(INT(94/$BS$17)+1)),"")</f>
        <v/>
      </c>
      <c r="BW108">
        <f>IF(MOD(94,$BS$17)=$BS$17-1,0,INDEX($BU$4:$BU$53,(INT(94/$BS$17)+1)))</f>
        <v/>
      </c>
      <c r="CB108" t="n">
        <v>15.6</v>
      </c>
      <c r="CC108" t="n">
        <v>15.675</v>
      </c>
      <c r="CD108" t="n">
        <v>33</v>
      </c>
      <c r="CI108">
        <f>IF(AND(MOD(94,$CF$17)=0,MOD((INT(94/$CF$17)+1)-1,$CF$13/5)=0),INDEX($CN$4:$CN$53,(INT(94/$CF$17)+1)),"")</f>
        <v/>
      </c>
      <c r="CJ108">
        <f>IF(MOD(94,$CF$17)=$CF$17-1,0,INDEX($CH$4:$CH$53,(INT(94/$CF$17)+1)))</f>
        <v/>
      </c>
      <c r="CO108" t="n">
        <v>51.6</v>
      </c>
      <c r="CP108" t="n">
        <v>51.8</v>
      </c>
      <c r="CQ108" t="n">
        <v>142</v>
      </c>
      <c r="CV108">
        <f>IF(AND(MOD(94,$CS$17)=0,MOD((INT(94/$CS$17)+1)-1,$CS$13/5)=0),INDEX($DA$4:$DA$53,(INT(94/$CS$17)+1)),"")</f>
        <v/>
      </c>
      <c r="CW108">
        <f>IF(MOD(94,$CS$17)=$CS$17-1,0,INDEX($CU$4:$CU$53,(INT(94/$CS$17)+1)))</f>
        <v/>
      </c>
      <c r="DB108" t="n">
        <v>46.4</v>
      </c>
      <c r="DC108" t="n">
        <v>46.575</v>
      </c>
      <c r="DD108" t="n">
        <v>133</v>
      </c>
      <c r="DI108">
        <f>IF(AND(MOD(94,$DF$17)=0,MOD((INT(94/$DF$17)+1)-1,$DF$13/5)=0),INDEX($DN$4:$DN$53,(INT(94/$DF$17)+1)),"")</f>
        <v/>
      </c>
      <c r="DJ108">
        <f>IF(MOD(94,$DF$17)=$DF$17-1,0,INDEX($DH$4:$DH$53,(INT(94/$DF$17)+1)))</f>
        <v/>
      </c>
      <c r="DO108" t="n">
        <v>10.1</v>
      </c>
      <c r="DP108" t="n">
        <v>10.1125</v>
      </c>
      <c r="DQ108" t="n">
        <v>137</v>
      </c>
      <c r="DV108">
        <f>IF(AND(MOD(94,$DS$17)=0,MOD((INT(94/$DS$17)+1)-1,$DS$13/5)=0),INDEX($EA$4:$EA$53,(INT(94/$DS$17)+1)),"")</f>
        <v/>
      </c>
      <c r="DW108">
        <f>IF(MOD(94,$DS$17)=$DS$17-1,0,INDEX($DU$4:$DU$53,(INT(94/$DS$17)+1)))</f>
        <v/>
      </c>
      <c r="EB108" t="n">
        <v>52</v>
      </c>
      <c r="EC108" t="n">
        <v>52.25</v>
      </c>
      <c r="ED108" t="n">
        <v>57</v>
      </c>
      <c r="EI108">
        <f>IF(AND(MOD(94,$EF$17)=0,MOD((INT(94/$EF$17)+1)-1,$EF$13/5)=0),INDEX($EN$4:$EN$53,(INT(94/$EF$17)+1)),"")</f>
        <v/>
      </c>
      <c r="EJ108">
        <f>IF(MOD(94,$EF$17)=$EF$17-1,0,INDEX($EH$4:$EH$53,(INT(94/$EF$17)+1)))</f>
        <v/>
      </c>
      <c r="EO108" t="n">
        <v>1.82</v>
      </c>
      <c r="EP108" t="n">
        <v>1.82875</v>
      </c>
      <c r="EQ108" t="n">
        <v>17</v>
      </c>
      <c r="EV108">
        <f>IF(AND(MOD(94,$ES$17)=0,MOD((INT(94/$ES$17)+1)-1,$ES$13/5)=0),INDEX($FA$4:$FA$53,(INT(94/$ES$17)+1)),"")</f>
        <v/>
      </c>
      <c r="EW108">
        <f>IF(MOD(94,$ES$17)=$ES$17-1,0,INDEX($EU$4:$EU$53,(INT(94/$ES$17)+1)))</f>
        <v/>
      </c>
    </row>
    <row r="109">
      <c r="B109" t="n">
        <v>707.5</v>
      </c>
      <c r="C109" t="n">
        <v>708.25</v>
      </c>
      <c r="D109" t="n">
        <v>106</v>
      </c>
      <c r="I109">
        <f>IF(AND(MOD(95,$F$17)=0,MOD((INT(95/$F$17)+1)-1,$F$13/5)=0),INDEX($N$4:$N$53,(INT(95/$F$17)+1)),"")</f>
        <v/>
      </c>
      <c r="J109">
        <f>IF(MOD(95,$F$17)=$F$17-1,0,INDEX($H$4:$H$53,(INT(95/$F$17)+1)))</f>
        <v/>
      </c>
      <c r="O109" t="n">
        <v>31500</v>
      </c>
      <c r="P109" t="n">
        <v>31650</v>
      </c>
      <c r="Q109" t="n">
        <v>72</v>
      </c>
      <c r="V109">
        <f>IF(AND(MOD(95,$S$17)=0,MOD((INT(95/$S$17)+1)-1,$S$13/5)=0),INDEX($AA$4:$AA$53,(INT(95/$S$17)+1)),"")</f>
        <v/>
      </c>
      <c r="W109">
        <f>IF(MOD(95,$S$17)=$S$17-1,0,INDEX($U$4:$U$53,(INT(95/$S$17)+1)))</f>
        <v/>
      </c>
      <c r="AB109" t="n">
        <v>15750</v>
      </c>
      <c r="AC109" t="n">
        <v>15825</v>
      </c>
      <c r="AD109" t="n">
        <v>87</v>
      </c>
      <c r="AI109">
        <f>IF(AND(MOD(95,$AF$17)=0,MOD((INT(95/$AF$17)+1)-1,$AF$13/5)=0),INDEX($AN$4:$AN$53,(INT(95/$AF$17)+1)),"")</f>
        <v/>
      </c>
      <c r="AJ109">
        <f>IF(MOD(95,$AF$17)=$AF$17-1,0,INDEX($AH$4:$AH$53,(INT(95/$AF$17)+1)))</f>
        <v/>
      </c>
      <c r="AO109" t="n">
        <v>420000</v>
      </c>
      <c r="AP109" t="n">
        <v>422000</v>
      </c>
      <c r="AQ109" t="n">
        <v>52</v>
      </c>
      <c r="AV109">
        <f>IF(AND(MOD(95,$AS$17)=0,MOD((INT(95/$AS$17)+1)-1,$AS$13/5)=0),INDEX($BA$4:$BA$53,(INT(95/$AS$17)+1)),"")</f>
        <v/>
      </c>
      <c r="AW109">
        <f>IF(MOD(95,$AS$17)=$AS$17-1,0,INDEX($AU$4:$AU$53,(INT(95/$AS$17)+1)))</f>
        <v/>
      </c>
      <c r="BB109" t="n">
        <v>735000</v>
      </c>
      <c r="BC109" t="n">
        <v>738500</v>
      </c>
      <c r="BD109" t="n">
        <v>10</v>
      </c>
      <c r="BI109">
        <f>IF(AND(MOD(95,$BF$17)=0,MOD((INT(95/$BF$17)+1)-1,$BF$13/5)=0),INDEX($BN$4:$BN$53,(INT(95/$BF$17)+1)),"")</f>
        <v/>
      </c>
      <c r="BJ109">
        <f>IF(MOD(95,$BF$17)=$BF$17-1,0,INDEX($BH$4:$BH$53,(INT(95/$BF$17)+1)))</f>
        <v/>
      </c>
      <c r="BO109" t="n">
        <v>0.63</v>
      </c>
      <c r="BP109" t="n">
        <v>0.633</v>
      </c>
      <c r="BQ109" t="n">
        <v>67</v>
      </c>
      <c r="BV109">
        <f>IF(AND(MOD(95,$BS$17)=0,MOD((INT(95/$BS$17)+1)-1,$BS$13/5)=0),INDEX($CA$4:$CA$53,(INT(95/$BS$17)+1)),"")</f>
        <v/>
      </c>
      <c r="BW109">
        <f>IF(MOD(95,$BS$17)=$BS$17-1,0,INDEX($BU$4:$BU$53,(INT(95/$BS$17)+1)))</f>
        <v/>
      </c>
      <c r="CB109" t="n">
        <v>15.75</v>
      </c>
      <c r="CC109" t="n">
        <v>15.825</v>
      </c>
      <c r="CD109" t="n">
        <v>14</v>
      </c>
      <c r="CI109">
        <f>IF(AND(MOD(95,$CF$17)=0,MOD((INT(95/$CF$17)+1)-1,$CF$13/5)=0),INDEX($CN$4:$CN$53,(INT(95/$CF$17)+1)),"")</f>
        <v/>
      </c>
      <c r="CJ109">
        <f>IF(MOD(95,$CF$17)=$CF$17-1,0,INDEX($CH$4:$CH$53,(INT(95/$CF$17)+1)))</f>
        <v/>
      </c>
      <c r="CO109" t="n">
        <v>52</v>
      </c>
      <c r="CP109" t="n">
        <v>52.2</v>
      </c>
      <c r="CQ109" t="n">
        <v>129</v>
      </c>
      <c r="CV109">
        <f>IF(AND(MOD(95,$CS$17)=0,MOD((INT(95/$CS$17)+1)-1,$CS$13/5)=0),INDEX($DA$4:$DA$53,(INT(95/$CS$17)+1)),"")</f>
        <v/>
      </c>
      <c r="CW109">
        <f>IF(MOD(95,$CS$17)=$CS$17-1,0,INDEX($CU$4:$CU$53,(INT(95/$CS$17)+1)))</f>
        <v/>
      </c>
      <c r="DB109" t="n">
        <v>46.75</v>
      </c>
      <c r="DC109" t="n">
        <v>46.925</v>
      </c>
      <c r="DD109" t="n">
        <v>126</v>
      </c>
      <c r="DI109">
        <f>IF(AND(MOD(95,$DF$17)=0,MOD((INT(95/$DF$17)+1)-1,$DF$13/5)=0),INDEX($DN$4:$DN$53,(INT(95/$DF$17)+1)),"")</f>
        <v/>
      </c>
      <c r="DJ109">
        <f>IF(MOD(95,$DF$17)=$DF$17-1,0,INDEX($DH$4:$DH$53,(INT(95/$DF$17)+1)))</f>
        <v/>
      </c>
      <c r="DO109" t="n">
        <v>10.125</v>
      </c>
      <c r="DP109" t="n">
        <v>10.1375</v>
      </c>
      <c r="DQ109" t="n">
        <v>109</v>
      </c>
      <c r="DV109">
        <f>IF(AND(MOD(95,$DS$17)=0,MOD((INT(95/$DS$17)+1)-1,$DS$13/5)=0),INDEX($EA$4:$EA$53,(INT(95/$DS$17)+1)),"")</f>
        <v/>
      </c>
      <c r="DW109">
        <f>IF(MOD(95,$DS$17)=$DS$17-1,0,INDEX($DU$4:$DU$53,(INT(95/$DS$17)+1)))</f>
        <v/>
      </c>
      <c r="EB109" t="n">
        <v>52.5</v>
      </c>
      <c r="EC109" t="n">
        <v>52.75</v>
      </c>
      <c r="ED109" t="n">
        <v>65</v>
      </c>
      <c r="EI109">
        <f>IF(AND(MOD(95,$EF$17)=0,MOD((INT(95/$EF$17)+1)-1,$EF$13/5)=0),INDEX($EN$4:$EN$53,(INT(95/$EF$17)+1)),"")</f>
        <v/>
      </c>
      <c r="EJ109">
        <f>IF(MOD(95,$EF$17)=$EF$17-1,0,INDEX($EH$4:$EH$53,(INT(95/$EF$17)+1)))</f>
        <v/>
      </c>
      <c r="EO109" t="n">
        <v>1.8375</v>
      </c>
      <c r="EP109" t="n">
        <v>1.84625</v>
      </c>
      <c r="EQ109" t="n">
        <v>14</v>
      </c>
      <c r="EV109">
        <f>IF(AND(MOD(95,$ES$17)=0,MOD((INT(95/$ES$17)+1)-1,$ES$13/5)=0),INDEX($FA$4:$FA$53,(INT(95/$ES$17)+1)),"")</f>
        <v/>
      </c>
      <c r="EW109">
        <f>IF(MOD(95,$ES$17)=$ES$17-1,0,INDEX($EU$4:$EU$53,(INT(95/$ES$17)+1)))</f>
        <v/>
      </c>
    </row>
    <row r="110">
      <c r="B110" t="n">
        <v>709</v>
      </c>
      <c r="C110" t="n">
        <v>709.75</v>
      </c>
      <c r="D110" t="n">
        <v>176</v>
      </c>
      <c r="I110">
        <f>IF(AND(MOD(96,$F$17)=0,MOD((INT(96/$F$17)+1)-1,$F$13/5)=0),INDEX($N$4:$N$53,(INT(96/$F$17)+1)),"")</f>
        <v/>
      </c>
      <c r="J110">
        <f>IF(MOD(96,$F$17)=$F$17-1,0,INDEX($H$4:$H$53,(INT(96/$F$17)+1)))</f>
        <v/>
      </c>
      <c r="O110" t="n">
        <v>31800</v>
      </c>
      <c r="P110" t="n">
        <v>31950</v>
      </c>
      <c r="Q110" t="n">
        <v>61</v>
      </c>
      <c r="V110">
        <f>IF(AND(MOD(96,$S$17)=0,MOD((INT(96/$S$17)+1)-1,$S$13/5)=0),INDEX($AA$4:$AA$53,(INT(96/$S$17)+1)),"")</f>
        <v/>
      </c>
      <c r="W110">
        <f>IF(MOD(96,$S$17)=$S$17-1,0,INDEX($U$4:$U$53,(INT(96/$S$17)+1)))</f>
        <v/>
      </c>
      <c r="AB110" t="n">
        <v>15900</v>
      </c>
      <c r="AC110" t="n">
        <v>15975</v>
      </c>
      <c r="AD110" t="n">
        <v>72</v>
      </c>
      <c r="AI110">
        <f>IF(AND(MOD(96,$AF$17)=0,MOD((INT(96/$AF$17)+1)-1,$AF$13/5)=0),INDEX($AN$4:$AN$53,(INT(96/$AF$17)+1)),"")</f>
        <v/>
      </c>
      <c r="AJ110">
        <f>IF(MOD(96,$AF$17)=$AF$17-1,0,INDEX($AH$4:$AH$53,(INT(96/$AF$17)+1)))</f>
        <v/>
      </c>
      <c r="AO110" t="n">
        <v>424000</v>
      </c>
      <c r="AP110" t="n">
        <v>426000</v>
      </c>
      <c r="AQ110" t="n">
        <v>50</v>
      </c>
      <c r="AV110">
        <f>IF(AND(MOD(96,$AS$17)=0,MOD((INT(96/$AS$17)+1)-1,$AS$13/5)=0),INDEX($BA$4:$BA$53,(INT(96/$AS$17)+1)),"")</f>
        <v/>
      </c>
      <c r="AW110">
        <f>IF(MOD(96,$AS$17)=$AS$17-1,0,INDEX($AU$4:$AU$53,(INT(96/$AS$17)+1)))</f>
        <v/>
      </c>
      <c r="BB110" t="n">
        <v>742000</v>
      </c>
      <c r="BC110" t="n">
        <v>745500</v>
      </c>
      <c r="BD110" t="n">
        <v>9</v>
      </c>
      <c r="BI110">
        <f>IF(AND(MOD(96,$BF$17)=0,MOD((INT(96/$BF$17)+1)-1,$BF$13/5)=0),INDEX($BN$4:$BN$53,(INT(96/$BF$17)+1)),"")</f>
        <v/>
      </c>
      <c r="BJ110">
        <f>IF(MOD(96,$BF$17)=$BF$17-1,0,INDEX($BH$4:$BH$53,(INT(96/$BF$17)+1)))</f>
        <v/>
      </c>
      <c r="BO110" t="n">
        <v>0.636</v>
      </c>
      <c r="BP110" t="n">
        <v>0.639</v>
      </c>
      <c r="BQ110" t="n">
        <v>56</v>
      </c>
      <c r="BV110">
        <f>IF(AND(MOD(96,$BS$17)=0,MOD((INT(96/$BS$17)+1)-1,$BS$13/5)=0),INDEX($CA$4:$CA$53,(INT(96/$BS$17)+1)),"")</f>
        <v/>
      </c>
      <c r="BW110">
        <f>IF(MOD(96,$BS$17)=$BS$17-1,0,INDEX($BU$4:$BU$53,(INT(96/$BS$17)+1)))</f>
        <v/>
      </c>
      <c r="CB110" t="n">
        <v>15.9</v>
      </c>
      <c r="CC110" t="n">
        <v>15.975</v>
      </c>
      <c r="CD110" t="n">
        <v>36</v>
      </c>
      <c r="CI110">
        <f>IF(AND(MOD(96,$CF$17)=0,MOD((INT(96/$CF$17)+1)-1,$CF$13/5)=0),INDEX($CN$4:$CN$53,(INT(96/$CF$17)+1)),"")</f>
        <v/>
      </c>
      <c r="CJ110">
        <f>IF(MOD(96,$CF$17)=$CF$17-1,0,INDEX($CH$4:$CH$53,(INT(96/$CF$17)+1)))</f>
        <v/>
      </c>
      <c r="CO110" t="n">
        <v>52.40000000000001</v>
      </c>
      <c r="CP110" t="n">
        <v>52.6</v>
      </c>
      <c r="CQ110" t="n">
        <v>139</v>
      </c>
      <c r="CV110">
        <f>IF(AND(MOD(96,$CS$17)=0,MOD((INT(96/$CS$17)+1)-1,$CS$13/5)=0),INDEX($DA$4:$DA$53,(INT(96/$CS$17)+1)),"")</f>
        <v/>
      </c>
      <c r="CW110">
        <f>IF(MOD(96,$CS$17)=$CS$17-1,0,INDEX($CU$4:$CU$53,(INT(96/$CS$17)+1)))</f>
        <v/>
      </c>
      <c r="DB110" t="n">
        <v>47.09999999999999</v>
      </c>
      <c r="DC110" t="n">
        <v>47.275</v>
      </c>
      <c r="DD110" t="n">
        <v>134</v>
      </c>
      <c r="DI110">
        <f>IF(AND(MOD(96,$DF$17)=0,MOD((INT(96/$DF$17)+1)-1,$DF$13/5)=0),INDEX($DN$4:$DN$53,(INT(96/$DF$17)+1)),"")</f>
        <v/>
      </c>
      <c r="DJ110">
        <f>IF(MOD(96,$DF$17)=$DF$17-1,0,INDEX($DH$4:$DH$53,(INT(96/$DF$17)+1)))</f>
        <v/>
      </c>
      <c r="DO110" t="n">
        <v>10.15</v>
      </c>
      <c r="DP110" t="n">
        <v>10.1625</v>
      </c>
      <c r="DQ110" t="n">
        <v>120</v>
      </c>
      <c r="DV110">
        <f>IF(AND(MOD(96,$DS$17)=0,MOD((INT(96/$DS$17)+1)-1,$DS$13/5)=0),INDEX($EA$4:$EA$53,(INT(96/$DS$17)+1)),"")</f>
        <v/>
      </c>
      <c r="DW110">
        <f>IF(MOD(96,$DS$17)=$DS$17-1,0,INDEX($DU$4:$DU$53,(INT(96/$DS$17)+1)))</f>
        <v/>
      </c>
      <c r="EB110" t="n">
        <v>53</v>
      </c>
      <c r="EC110" t="n">
        <v>53.25</v>
      </c>
      <c r="ED110" t="n">
        <v>52</v>
      </c>
      <c r="EI110">
        <f>IF(AND(MOD(96,$EF$17)=0,MOD((INT(96/$EF$17)+1)-1,$EF$13/5)=0),INDEX($EN$4:$EN$53,(INT(96/$EF$17)+1)),"")</f>
        <v/>
      </c>
      <c r="EJ110">
        <f>IF(MOD(96,$EF$17)=$EF$17-1,0,INDEX($EH$4:$EH$53,(INT(96/$EF$17)+1)))</f>
        <v/>
      </c>
      <c r="EO110" t="n">
        <v>1.855</v>
      </c>
      <c r="EP110" t="n">
        <v>1.86375</v>
      </c>
      <c r="EQ110" t="n">
        <v>26</v>
      </c>
      <c r="EV110">
        <f>IF(AND(MOD(96,$ES$17)=0,MOD((INT(96/$ES$17)+1)-1,$ES$13/5)=0),INDEX($FA$4:$FA$53,(INT(96/$ES$17)+1)),"")</f>
        <v/>
      </c>
      <c r="EW110">
        <f>IF(MOD(96,$ES$17)=$ES$17-1,0,INDEX($EU$4:$EU$53,(INT(96/$ES$17)+1)))</f>
        <v/>
      </c>
    </row>
    <row r="111">
      <c r="B111" t="n">
        <v>710.5</v>
      </c>
      <c r="C111" t="n">
        <v>711.25</v>
      </c>
      <c r="D111" t="n">
        <v>99</v>
      </c>
      <c r="I111">
        <f>IF(AND(MOD(97,$F$17)=0,MOD((INT(97/$F$17)+1)-1,$F$13/5)=0),INDEX($N$4:$N$53,(INT(97/$F$17)+1)),"")</f>
        <v/>
      </c>
      <c r="J111">
        <f>IF(MOD(97,$F$17)=$F$17-1,0,INDEX($H$4:$H$53,(INT(97/$F$17)+1)))</f>
        <v/>
      </c>
      <c r="O111" t="n">
        <v>32100</v>
      </c>
      <c r="P111" t="n">
        <v>32250</v>
      </c>
      <c r="Q111" t="n">
        <v>66</v>
      </c>
      <c r="V111">
        <f>IF(AND(MOD(97,$S$17)=0,MOD((INT(97/$S$17)+1)-1,$S$13/5)=0),INDEX($AA$4:$AA$53,(INT(97/$S$17)+1)),"")</f>
        <v/>
      </c>
      <c r="W111">
        <f>IF(MOD(97,$S$17)=$S$17-1,0,INDEX($U$4:$U$53,(INT(97/$S$17)+1)))</f>
        <v/>
      </c>
      <c r="AB111" t="n">
        <v>16050</v>
      </c>
      <c r="AC111" t="n">
        <v>16125</v>
      </c>
      <c r="AD111" t="n">
        <v>82</v>
      </c>
      <c r="AI111">
        <f>IF(AND(MOD(97,$AF$17)=0,MOD((INT(97/$AF$17)+1)-1,$AF$13/5)=0),INDEX($AN$4:$AN$53,(INT(97/$AF$17)+1)),"")</f>
        <v/>
      </c>
      <c r="AJ111">
        <f>IF(MOD(97,$AF$17)=$AF$17-1,0,INDEX($AH$4:$AH$53,(INT(97/$AF$17)+1)))</f>
        <v/>
      </c>
      <c r="AO111" t="n">
        <v>428000</v>
      </c>
      <c r="AP111" t="n">
        <v>430000</v>
      </c>
      <c r="AQ111" t="n">
        <v>42</v>
      </c>
      <c r="AV111">
        <f>IF(AND(MOD(97,$AS$17)=0,MOD((INT(97/$AS$17)+1)-1,$AS$13/5)=0),INDEX($BA$4:$BA$53,(INT(97/$AS$17)+1)),"")</f>
        <v/>
      </c>
      <c r="AW111">
        <f>IF(MOD(97,$AS$17)=$AS$17-1,0,INDEX($AU$4:$AU$53,(INT(97/$AS$17)+1)))</f>
        <v/>
      </c>
      <c r="BB111" t="n">
        <v>749000</v>
      </c>
      <c r="BC111" t="n">
        <v>752500</v>
      </c>
      <c r="BD111" t="n">
        <v>6</v>
      </c>
      <c r="BI111">
        <f>IF(AND(MOD(97,$BF$17)=0,MOD((INT(97/$BF$17)+1)-1,$BF$13/5)=0),INDEX($BN$4:$BN$53,(INT(97/$BF$17)+1)),"")</f>
        <v/>
      </c>
      <c r="BJ111">
        <f>IF(MOD(97,$BF$17)=$BF$17-1,0,INDEX($BH$4:$BH$53,(INT(97/$BF$17)+1)))</f>
        <v/>
      </c>
      <c r="BO111" t="n">
        <v>0.642</v>
      </c>
      <c r="BP111" t="n">
        <v>0.645</v>
      </c>
      <c r="BQ111" t="n">
        <v>55</v>
      </c>
      <c r="BV111">
        <f>IF(AND(MOD(97,$BS$17)=0,MOD((INT(97/$BS$17)+1)-1,$BS$13/5)=0),INDEX($CA$4:$CA$53,(INT(97/$BS$17)+1)),"")</f>
        <v/>
      </c>
      <c r="BW111">
        <f>IF(MOD(97,$BS$17)=$BS$17-1,0,INDEX($BU$4:$BU$53,(INT(97/$BS$17)+1)))</f>
        <v/>
      </c>
      <c r="CB111" t="n">
        <v>16.05</v>
      </c>
      <c r="CC111" t="n">
        <v>16.125</v>
      </c>
      <c r="CD111" t="n">
        <v>21</v>
      </c>
      <c r="CI111">
        <f>IF(AND(MOD(97,$CF$17)=0,MOD((INT(97/$CF$17)+1)-1,$CF$13/5)=0),INDEX($CN$4:$CN$53,(INT(97/$CF$17)+1)),"")</f>
        <v/>
      </c>
      <c r="CJ111">
        <f>IF(MOD(97,$CF$17)=$CF$17-1,0,INDEX($CH$4:$CH$53,(INT(97/$CF$17)+1)))</f>
        <v/>
      </c>
      <c r="CO111" t="n">
        <v>52.8</v>
      </c>
      <c r="CP111" t="n">
        <v>53</v>
      </c>
      <c r="CQ111" t="n">
        <v>134</v>
      </c>
      <c r="CV111">
        <f>IF(AND(MOD(97,$CS$17)=0,MOD((INT(97/$CS$17)+1)-1,$CS$13/5)=0),INDEX($DA$4:$DA$53,(INT(97/$CS$17)+1)),"")</f>
        <v/>
      </c>
      <c r="CW111">
        <f>IF(MOD(97,$CS$17)=$CS$17-1,0,INDEX($CU$4:$CU$53,(INT(97/$CS$17)+1)))</f>
        <v/>
      </c>
      <c r="DB111" t="n">
        <v>47.45</v>
      </c>
      <c r="DC111" t="n">
        <v>47.625</v>
      </c>
      <c r="DD111" t="n">
        <v>121</v>
      </c>
      <c r="DI111">
        <f>IF(AND(MOD(97,$DF$17)=0,MOD((INT(97/$DF$17)+1)-1,$DF$13/5)=0),INDEX($DN$4:$DN$53,(INT(97/$DF$17)+1)),"")</f>
        <v/>
      </c>
      <c r="DJ111">
        <f>IF(MOD(97,$DF$17)=$DF$17-1,0,INDEX($DH$4:$DH$53,(INT(97/$DF$17)+1)))</f>
        <v/>
      </c>
      <c r="DO111" t="n">
        <v>10.175</v>
      </c>
      <c r="DP111" t="n">
        <v>10.1875</v>
      </c>
      <c r="DQ111" t="n">
        <v>116</v>
      </c>
      <c r="DV111">
        <f>IF(AND(MOD(97,$DS$17)=0,MOD((INT(97/$DS$17)+1)-1,$DS$13/5)=0),INDEX($EA$4:$EA$53,(INT(97/$DS$17)+1)),"")</f>
        <v/>
      </c>
      <c r="DW111">
        <f>IF(MOD(97,$DS$17)=$DS$17-1,0,INDEX($DU$4:$DU$53,(INT(97/$DS$17)+1)))</f>
        <v/>
      </c>
      <c r="EB111" t="n">
        <v>53.5</v>
      </c>
      <c r="EC111" t="n">
        <v>53.75</v>
      </c>
      <c r="ED111" t="n">
        <v>57</v>
      </c>
      <c r="EI111">
        <f>IF(AND(MOD(97,$EF$17)=0,MOD((INT(97/$EF$17)+1)-1,$EF$13/5)=0),INDEX($EN$4:$EN$53,(INT(97/$EF$17)+1)),"")</f>
        <v/>
      </c>
      <c r="EJ111">
        <f>IF(MOD(97,$EF$17)=$EF$17-1,0,INDEX($EH$4:$EH$53,(INT(97/$EF$17)+1)))</f>
        <v/>
      </c>
      <c r="EO111" t="n">
        <v>1.8725</v>
      </c>
      <c r="EP111" t="n">
        <v>1.88125</v>
      </c>
      <c r="EQ111" t="n">
        <v>13</v>
      </c>
      <c r="EV111">
        <f>IF(AND(MOD(97,$ES$17)=0,MOD((INT(97/$ES$17)+1)-1,$ES$13/5)=0),INDEX($FA$4:$FA$53,(INT(97/$ES$17)+1)),"")</f>
        <v/>
      </c>
      <c r="EW111">
        <f>IF(MOD(97,$ES$17)=$ES$17-1,0,INDEX($EU$4:$EU$53,(INT(97/$ES$17)+1)))</f>
        <v/>
      </c>
    </row>
    <row r="112">
      <c r="B112" t="n">
        <v>712</v>
      </c>
      <c r="C112" t="n">
        <v>712.75</v>
      </c>
      <c r="D112" t="n">
        <v>160</v>
      </c>
      <c r="I112">
        <f>IF(AND(MOD(98,$F$17)=0,MOD((INT(98/$F$17)+1)-1,$F$13/5)=0),INDEX($N$4:$N$53,(INT(98/$F$17)+1)),"")</f>
        <v/>
      </c>
      <c r="J112">
        <f>IF(MOD(98,$F$17)=$F$17-1,0,INDEX($H$4:$H$53,(INT(98/$F$17)+1)))</f>
        <v/>
      </c>
      <c r="O112" t="n">
        <v>32400</v>
      </c>
      <c r="P112" t="n">
        <v>32550</v>
      </c>
      <c r="Q112" t="n">
        <v>59</v>
      </c>
      <c r="V112">
        <f>IF(AND(MOD(98,$S$17)=0,MOD((INT(98/$S$17)+1)-1,$S$13/5)=0),INDEX($AA$4:$AA$53,(INT(98/$S$17)+1)),"")</f>
        <v/>
      </c>
      <c r="W112">
        <f>IF(MOD(98,$S$17)=$S$17-1,0,INDEX($U$4:$U$53,(INT(98/$S$17)+1)))</f>
        <v/>
      </c>
      <c r="AB112" t="n">
        <v>16200</v>
      </c>
      <c r="AC112" t="n">
        <v>16275</v>
      </c>
      <c r="AD112" t="n">
        <v>72</v>
      </c>
      <c r="AI112">
        <f>IF(AND(MOD(98,$AF$17)=0,MOD((INT(98/$AF$17)+1)-1,$AF$13/5)=0),INDEX($AN$4:$AN$53,(INT(98/$AF$17)+1)),"")</f>
        <v/>
      </c>
      <c r="AJ112">
        <f>IF(MOD(98,$AF$17)=$AF$17-1,0,INDEX($AH$4:$AH$53,(INT(98/$AF$17)+1)))</f>
        <v/>
      </c>
      <c r="AO112" t="n">
        <v>432000</v>
      </c>
      <c r="AP112" t="n">
        <v>434000</v>
      </c>
      <c r="AQ112" t="n">
        <v>53</v>
      </c>
      <c r="AV112">
        <f>IF(AND(MOD(98,$AS$17)=0,MOD((INT(98/$AS$17)+1)-1,$AS$13/5)=0),INDEX($BA$4:$BA$53,(INT(98/$AS$17)+1)),"")</f>
        <v/>
      </c>
      <c r="AW112">
        <f>IF(MOD(98,$AS$17)=$AS$17-1,0,INDEX($AU$4:$AU$53,(INT(98/$AS$17)+1)))</f>
        <v/>
      </c>
      <c r="BB112" t="n">
        <v>756000</v>
      </c>
      <c r="BC112" t="n">
        <v>759500</v>
      </c>
      <c r="BD112" t="n">
        <v>7</v>
      </c>
      <c r="BI112">
        <f>IF(AND(MOD(98,$BF$17)=0,MOD((INT(98/$BF$17)+1)-1,$BF$13/5)=0),INDEX($BN$4:$BN$53,(INT(98/$BF$17)+1)),"")</f>
        <v/>
      </c>
      <c r="BJ112">
        <f>IF(MOD(98,$BF$17)=$BF$17-1,0,INDEX($BH$4:$BH$53,(INT(98/$BF$17)+1)))</f>
        <v/>
      </c>
      <c r="BO112" t="n">
        <v>0.648</v>
      </c>
      <c r="BP112" t="n">
        <v>0.651</v>
      </c>
      <c r="BQ112" t="n">
        <v>56</v>
      </c>
      <c r="BV112">
        <f>IF(AND(MOD(98,$BS$17)=0,MOD((INT(98/$BS$17)+1)-1,$BS$13/5)=0),INDEX($CA$4:$CA$53,(INT(98/$BS$17)+1)),"")</f>
        <v/>
      </c>
      <c r="BW112">
        <f>IF(MOD(98,$BS$17)=$BS$17-1,0,INDEX($BU$4:$BU$53,(INT(98/$BS$17)+1)))</f>
        <v/>
      </c>
      <c r="CB112" t="n">
        <v>16.2</v>
      </c>
      <c r="CC112" t="n">
        <v>16.275</v>
      </c>
      <c r="CD112" t="n">
        <v>19</v>
      </c>
      <c r="CI112">
        <f>IF(AND(MOD(98,$CF$17)=0,MOD((INT(98/$CF$17)+1)-1,$CF$13/5)=0),INDEX($CN$4:$CN$53,(INT(98/$CF$17)+1)),"")</f>
        <v/>
      </c>
      <c r="CJ112">
        <f>IF(MOD(98,$CF$17)=$CF$17-1,0,INDEX($CH$4:$CH$53,(INT(98/$CF$17)+1)))</f>
        <v/>
      </c>
      <c r="CO112" t="n">
        <v>53.2</v>
      </c>
      <c r="CP112" t="n">
        <v>53.40000000000001</v>
      </c>
      <c r="CQ112" t="n">
        <v>113</v>
      </c>
      <c r="CV112">
        <f>IF(AND(MOD(98,$CS$17)=0,MOD((INT(98/$CS$17)+1)-1,$CS$13/5)=0),INDEX($DA$4:$DA$53,(INT(98/$CS$17)+1)),"")</f>
        <v/>
      </c>
      <c r="CW112">
        <f>IF(MOD(98,$CS$17)=$CS$17-1,0,INDEX($CU$4:$CU$53,(INT(98/$CS$17)+1)))</f>
        <v/>
      </c>
      <c r="DB112" t="n">
        <v>47.8</v>
      </c>
      <c r="DC112" t="n">
        <v>47.97499999999999</v>
      </c>
      <c r="DD112" t="n">
        <v>130</v>
      </c>
      <c r="DI112">
        <f>IF(AND(MOD(98,$DF$17)=0,MOD((INT(98/$DF$17)+1)-1,$DF$13/5)=0),INDEX($DN$4:$DN$53,(INT(98/$DF$17)+1)),"")</f>
        <v/>
      </c>
      <c r="DJ112">
        <f>IF(MOD(98,$DF$17)=$DF$17-1,0,INDEX($DH$4:$DH$53,(INT(98/$DF$17)+1)))</f>
        <v/>
      </c>
      <c r="DO112" t="n">
        <v>10.2</v>
      </c>
      <c r="DP112" t="n">
        <v>10.2125</v>
      </c>
      <c r="DQ112" t="n">
        <v>113</v>
      </c>
      <c r="DV112">
        <f>IF(AND(MOD(98,$DS$17)=0,MOD((INT(98/$DS$17)+1)-1,$DS$13/5)=0),INDEX($EA$4:$EA$53,(INT(98/$DS$17)+1)),"")</f>
        <v/>
      </c>
      <c r="DW112">
        <f>IF(MOD(98,$DS$17)=$DS$17-1,0,INDEX($DU$4:$DU$53,(INT(98/$DS$17)+1)))</f>
        <v/>
      </c>
      <c r="EB112" t="n">
        <v>54</v>
      </c>
      <c r="EC112" t="n">
        <v>54.25</v>
      </c>
      <c r="ED112" t="n">
        <v>66</v>
      </c>
      <c r="EI112">
        <f>IF(AND(MOD(98,$EF$17)=0,MOD((INT(98/$EF$17)+1)-1,$EF$13/5)=0),INDEX($EN$4:$EN$53,(INT(98/$EF$17)+1)),"")</f>
        <v/>
      </c>
      <c r="EJ112">
        <f>IF(MOD(98,$EF$17)=$EF$17-1,0,INDEX($EH$4:$EH$53,(INT(98/$EF$17)+1)))</f>
        <v/>
      </c>
      <c r="EO112" t="n">
        <v>1.89</v>
      </c>
      <c r="EP112" t="n">
        <v>1.89875</v>
      </c>
      <c r="EQ112" t="n">
        <v>16</v>
      </c>
      <c r="EV112">
        <f>IF(AND(MOD(98,$ES$17)=0,MOD((INT(98/$ES$17)+1)-1,$ES$13/5)=0),INDEX($FA$4:$FA$53,(INT(98/$ES$17)+1)),"")</f>
        <v/>
      </c>
      <c r="EW112">
        <f>IF(MOD(98,$ES$17)=$ES$17-1,0,INDEX($EU$4:$EU$53,(INT(98/$ES$17)+1)))</f>
        <v/>
      </c>
    </row>
    <row r="113">
      <c r="B113" t="n">
        <v>713.5</v>
      </c>
      <c r="C113" t="n">
        <v>714.25</v>
      </c>
      <c r="D113" t="n">
        <v>80</v>
      </c>
      <c r="I113">
        <f>IF(AND(MOD(99,$F$17)=0,MOD((INT(99/$F$17)+1)-1,$F$13/5)=0),INDEX($N$4:$N$53,(INT(99/$F$17)+1)),"")</f>
        <v/>
      </c>
      <c r="J113">
        <f>IF(MOD(99,$F$17)=$F$17-1,0,INDEX($H$4:$H$53,(INT(99/$F$17)+1)))</f>
        <v/>
      </c>
      <c r="O113" t="n">
        <v>32700</v>
      </c>
      <c r="P113" t="n">
        <v>32850</v>
      </c>
      <c r="Q113" t="n">
        <v>67</v>
      </c>
      <c r="V113">
        <f>IF(AND(MOD(99,$S$17)=0,MOD((INT(99/$S$17)+1)-1,$S$13/5)=0),INDEX($AA$4:$AA$53,(INT(99/$S$17)+1)),"")</f>
        <v/>
      </c>
      <c r="W113">
        <f>IF(MOD(99,$S$17)=$S$17-1,0,INDEX($U$4:$U$53,(INT(99/$S$17)+1)))</f>
        <v/>
      </c>
      <c r="AB113" t="n">
        <v>16350</v>
      </c>
      <c r="AC113" t="n">
        <v>16425</v>
      </c>
      <c r="AD113" t="n">
        <v>71</v>
      </c>
      <c r="AI113">
        <f>IF(AND(MOD(99,$AF$17)=0,MOD((INT(99/$AF$17)+1)-1,$AF$13/5)=0),INDEX($AN$4:$AN$53,(INT(99/$AF$17)+1)),"")</f>
        <v/>
      </c>
      <c r="AJ113">
        <f>IF(MOD(99,$AF$17)=$AF$17-1,0,INDEX($AH$4:$AH$53,(INT(99/$AF$17)+1)))</f>
        <v/>
      </c>
      <c r="AO113" t="n">
        <v>436000</v>
      </c>
      <c r="AP113" t="n">
        <v>438000</v>
      </c>
      <c r="AQ113" t="n">
        <v>48</v>
      </c>
      <c r="AV113">
        <f>IF(AND(MOD(99,$AS$17)=0,MOD((INT(99/$AS$17)+1)-1,$AS$13/5)=0),INDEX($BA$4:$BA$53,(INT(99/$AS$17)+1)),"")</f>
        <v/>
      </c>
      <c r="AW113">
        <f>IF(MOD(99,$AS$17)=$AS$17-1,0,INDEX($AU$4:$AU$53,(INT(99/$AS$17)+1)))</f>
        <v/>
      </c>
      <c r="BB113" t="n">
        <v>763000</v>
      </c>
      <c r="BC113" t="n">
        <v>766500</v>
      </c>
      <c r="BD113" t="n">
        <v>6</v>
      </c>
      <c r="BI113">
        <f>IF(AND(MOD(99,$BF$17)=0,MOD((INT(99/$BF$17)+1)-1,$BF$13/5)=0),INDEX($BN$4:$BN$53,(INT(99/$BF$17)+1)),"")</f>
        <v/>
      </c>
      <c r="BJ113">
        <f>IF(MOD(99,$BF$17)=$BF$17-1,0,INDEX($BH$4:$BH$53,(INT(99/$BF$17)+1)))</f>
        <v/>
      </c>
      <c r="BO113" t="n">
        <v>0.654</v>
      </c>
      <c r="BP113" t="n">
        <v>0.657</v>
      </c>
      <c r="BQ113" t="n">
        <v>67</v>
      </c>
      <c r="BV113">
        <f>IF(AND(MOD(99,$BS$17)=0,MOD((INT(99/$BS$17)+1)-1,$BS$13/5)=0),INDEX($CA$4:$CA$53,(INT(99/$BS$17)+1)),"")</f>
        <v/>
      </c>
      <c r="BW113">
        <f>IF(MOD(99,$BS$17)=$BS$17-1,0,INDEX($BU$4:$BU$53,(INT(99/$BS$17)+1)))</f>
        <v/>
      </c>
      <c r="CB113" t="n">
        <v>16.35</v>
      </c>
      <c r="CC113" t="n">
        <v>16.425</v>
      </c>
      <c r="CD113" t="n">
        <v>14</v>
      </c>
      <c r="CI113">
        <f>IF(AND(MOD(99,$CF$17)=0,MOD((INT(99/$CF$17)+1)-1,$CF$13/5)=0),INDEX($CN$4:$CN$53,(INT(99/$CF$17)+1)),"")</f>
        <v/>
      </c>
      <c r="CJ113">
        <f>IF(MOD(99,$CF$17)=$CF$17-1,0,INDEX($CH$4:$CH$53,(INT(99/$CF$17)+1)))</f>
        <v/>
      </c>
      <c r="CO113" t="n">
        <v>53.6</v>
      </c>
      <c r="CP113" t="n">
        <v>53.8</v>
      </c>
      <c r="CQ113" t="n">
        <v>122</v>
      </c>
      <c r="CV113">
        <f>IF(AND(MOD(99,$CS$17)=0,MOD((INT(99/$CS$17)+1)-1,$CS$13/5)=0),INDEX($DA$4:$DA$53,(INT(99/$CS$17)+1)),"")</f>
        <v/>
      </c>
      <c r="CW113">
        <f>IF(MOD(99,$CS$17)=$CS$17-1,0,INDEX($CU$4:$CU$53,(INT(99/$CS$17)+1)))</f>
        <v/>
      </c>
      <c r="DB113" t="n">
        <v>48.15</v>
      </c>
      <c r="DC113" t="n">
        <v>48.325</v>
      </c>
      <c r="DD113" t="n">
        <v>118</v>
      </c>
      <c r="DI113">
        <f>IF(AND(MOD(99,$DF$17)=0,MOD((INT(99/$DF$17)+1)-1,$DF$13/5)=0),INDEX($DN$4:$DN$53,(INT(99/$DF$17)+1)),"")</f>
        <v/>
      </c>
      <c r="DJ113">
        <f>IF(MOD(99,$DF$17)=$DF$17-1,0,INDEX($DH$4:$DH$53,(INT(99/$DF$17)+1)))</f>
        <v/>
      </c>
      <c r="DO113" t="n">
        <v>10.225</v>
      </c>
      <c r="DP113" t="n">
        <v>10.2375</v>
      </c>
      <c r="DQ113" t="n">
        <v>109</v>
      </c>
      <c r="DV113">
        <f>IF(AND(MOD(99,$DS$17)=0,MOD((INT(99/$DS$17)+1)-1,$DS$13/5)=0),INDEX($EA$4:$EA$53,(INT(99/$DS$17)+1)),"")</f>
        <v/>
      </c>
      <c r="DW113">
        <f>IF(MOD(99,$DS$17)=$DS$17-1,0,INDEX($DU$4:$DU$53,(INT(99/$DS$17)+1)))</f>
        <v/>
      </c>
      <c r="EB113" t="n">
        <v>54.5</v>
      </c>
      <c r="EC113" t="n">
        <v>54.75</v>
      </c>
      <c r="ED113" t="n">
        <v>63</v>
      </c>
      <c r="EI113">
        <f>IF(AND(MOD(99,$EF$17)=0,MOD((INT(99/$EF$17)+1)-1,$EF$13/5)=0),INDEX($EN$4:$EN$53,(INT(99/$EF$17)+1)),"")</f>
        <v/>
      </c>
      <c r="EJ113">
        <f>IF(MOD(99,$EF$17)=$EF$17-1,0,INDEX($EH$4:$EH$53,(INT(99/$EF$17)+1)))</f>
        <v/>
      </c>
      <c r="EO113" t="n">
        <v>1.9075</v>
      </c>
      <c r="EP113" t="n">
        <v>1.91625</v>
      </c>
      <c r="EQ113" t="n">
        <v>19</v>
      </c>
      <c r="EV113">
        <f>IF(AND(MOD(99,$ES$17)=0,MOD((INT(99/$ES$17)+1)-1,$ES$13/5)=0),INDEX($FA$4:$FA$53,(INT(99/$ES$17)+1)),"")</f>
        <v/>
      </c>
      <c r="EW113">
        <f>IF(MOD(99,$ES$17)=$ES$17-1,0,INDEX($EU$4:$EU$53,(INT(99/$ES$17)+1)))</f>
        <v/>
      </c>
    </row>
    <row r="114">
      <c r="B114" t="n">
        <v>715</v>
      </c>
      <c r="C114" t="n">
        <v>715.75</v>
      </c>
      <c r="D114" t="n">
        <v>166</v>
      </c>
      <c r="I114">
        <f>""</f>
        <v/>
      </c>
      <c r="J114">
        <f>IF(0&lt;=$F$17-2,$F$19,0)</f>
        <v/>
      </c>
      <c r="O114" t="n">
        <v>33000</v>
      </c>
      <c r="P114" t="n">
        <v>33150</v>
      </c>
      <c r="Q114" t="n">
        <v>63</v>
      </c>
      <c r="V114">
        <f>""</f>
        <v/>
      </c>
      <c r="W114">
        <f>IF(0&lt;=$S$17-2,$S$19,0)</f>
        <v/>
      </c>
      <c r="AB114" t="n">
        <v>16500</v>
      </c>
      <c r="AC114" t="n">
        <v>16575</v>
      </c>
      <c r="AD114" t="n">
        <v>64</v>
      </c>
      <c r="AI114">
        <f>""</f>
        <v/>
      </c>
      <c r="AJ114">
        <f>IF(0&lt;=$AF$17-2,$AF$19,0)</f>
        <v/>
      </c>
      <c r="AO114" t="n">
        <v>440000</v>
      </c>
      <c r="AP114" t="n">
        <v>442000</v>
      </c>
      <c r="AQ114" t="n">
        <v>50</v>
      </c>
      <c r="AV114">
        <f>""</f>
        <v/>
      </c>
      <c r="AW114">
        <f>IF(0&lt;=$AS$17-2,$AS$19,0)</f>
        <v/>
      </c>
      <c r="BB114" t="n">
        <v>770000</v>
      </c>
      <c r="BC114" t="n">
        <v>773500</v>
      </c>
      <c r="BD114" t="n">
        <v>7</v>
      </c>
      <c r="BI114">
        <f>""</f>
        <v/>
      </c>
      <c r="BJ114">
        <f>IF(0&lt;=$BF$17-2,$BF$19,0)</f>
        <v/>
      </c>
      <c r="BO114" t="n">
        <v>0.66</v>
      </c>
      <c r="BP114" t="n">
        <v>0.663</v>
      </c>
      <c r="BQ114" t="n">
        <v>48</v>
      </c>
      <c r="BV114">
        <f>""</f>
        <v/>
      </c>
      <c r="BW114">
        <f>IF(0&lt;=$BS$17-2,$BS$19,0)</f>
        <v/>
      </c>
      <c r="CB114" t="n">
        <v>16.5</v>
      </c>
      <c r="CC114" t="n">
        <v>16.575</v>
      </c>
      <c r="CD114" t="n">
        <v>28</v>
      </c>
      <c r="CI114">
        <f>""</f>
        <v/>
      </c>
      <c r="CJ114">
        <f>IF(0&lt;=$CF$17-2,$CF$19,0)</f>
        <v/>
      </c>
      <c r="CO114" t="n">
        <v>54</v>
      </c>
      <c r="CP114" t="n">
        <v>54.2</v>
      </c>
      <c r="CQ114" t="n">
        <v>154</v>
      </c>
      <c r="CV114">
        <f>""</f>
        <v/>
      </c>
      <c r="CW114">
        <f>IF(0&lt;=$CS$17-2,$CS$19,0)</f>
        <v/>
      </c>
      <c r="DB114" t="n">
        <v>48.5</v>
      </c>
      <c r="DC114" t="n">
        <v>48.675</v>
      </c>
      <c r="DD114" t="n">
        <v>108</v>
      </c>
      <c r="DI114">
        <f>""</f>
        <v/>
      </c>
      <c r="DJ114">
        <f>IF(0&lt;=$DF$17-2,$DF$19,0)</f>
        <v/>
      </c>
      <c r="DO114" t="n">
        <v>10.25</v>
      </c>
      <c r="DP114" t="n">
        <v>10.2625</v>
      </c>
      <c r="DQ114" t="n">
        <v>106</v>
      </c>
      <c r="DV114">
        <f>""</f>
        <v/>
      </c>
      <c r="DW114">
        <f>IF(0&lt;=$DS$17-2,$DS$19,0)</f>
        <v/>
      </c>
      <c r="EB114" t="n">
        <v>55</v>
      </c>
      <c r="EC114" t="n">
        <v>55.25</v>
      </c>
      <c r="ED114" t="n">
        <v>61</v>
      </c>
      <c r="EI114">
        <f>""</f>
        <v/>
      </c>
      <c r="EJ114">
        <f>IF(0&lt;=$EF$17-2,$EF$19,0)</f>
        <v/>
      </c>
      <c r="EO114" t="n">
        <v>1.925</v>
      </c>
      <c r="EP114" t="n">
        <v>1.93375</v>
      </c>
      <c r="EQ114" t="n">
        <v>13</v>
      </c>
      <c r="EV114">
        <f>""</f>
        <v/>
      </c>
      <c r="EW114">
        <f>IF(0&lt;=$ES$17-2,$ES$19,0)</f>
        <v/>
      </c>
    </row>
    <row r="115">
      <c r="B115" t="n">
        <v>716.5</v>
      </c>
      <c r="C115" t="n">
        <v>717.25</v>
      </c>
      <c r="D115" t="n">
        <v>81</v>
      </c>
      <c r="I115">
        <f>""</f>
        <v/>
      </c>
      <c r="J115">
        <f>IF(1&lt;=$F$17-2,$F$19,0)</f>
        <v/>
      </c>
      <c r="O115" t="n">
        <v>33300</v>
      </c>
      <c r="P115" t="n">
        <v>33450</v>
      </c>
      <c r="Q115" t="n">
        <v>62</v>
      </c>
      <c r="V115">
        <f>""</f>
        <v/>
      </c>
      <c r="W115">
        <f>IF(1&lt;=$S$17-2,$S$19,0)</f>
        <v/>
      </c>
      <c r="AB115" t="n">
        <v>16650</v>
      </c>
      <c r="AC115" t="n">
        <v>16725</v>
      </c>
      <c r="AD115" t="n">
        <v>80</v>
      </c>
      <c r="AI115">
        <f>""</f>
        <v/>
      </c>
      <c r="AJ115">
        <f>IF(1&lt;=$AF$17-2,$AF$19,0)</f>
        <v/>
      </c>
      <c r="AO115" t="n">
        <v>444000</v>
      </c>
      <c r="AP115" t="n">
        <v>446000</v>
      </c>
      <c r="AQ115" t="n">
        <v>34</v>
      </c>
      <c r="AV115">
        <f>""</f>
        <v/>
      </c>
      <c r="AW115">
        <f>IF(1&lt;=$AS$17-2,$AS$19,0)</f>
        <v/>
      </c>
      <c r="BB115" t="n">
        <v>777000</v>
      </c>
      <c r="BC115" t="n">
        <v>780500</v>
      </c>
      <c r="BD115" t="n">
        <v>4</v>
      </c>
      <c r="BI115">
        <f>""</f>
        <v/>
      </c>
      <c r="BJ115">
        <f>IF(1&lt;=$BF$17-2,$BF$19,0)</f>
        <v/>
      </c>
      <c r="BO115" t="n">
        <v>0.666</v>
      </c>
      <c r="BP115" t="n">
        <v>0.669</v>
      </c>
      <c r="BQ115" t="n">
        <v>58</v>
      </c>
      <c r="BV115">
        <f>""</f>
        <v/>
      </c>
      <c r="BW115">
        <f>IF(1&lt;=$BS$17-2,$BS$19,0)</f>
        <v/>
      </c>
      <c r="CB115" t="n">
        <v>16.65</v>
      </c>
      <c r="CC115" t="n">
        <v>16.725</v>
      </c>
      <c r="CD115" t="n">
        <v>13</v>
      </c>
      <c r="CI115">
        <f>""</f>
        <v/>
      </c>
      <c r="CJ115">
        <f>IF(1&lt;=$CF$17-2,$CF$19,0)</f>
        <v/>
      </c>
      <c r="CO115" t="n">
        <v>54.40000000000001</v>
      </c>
      <c r="CP115" t="n">
        <v>54.6</v>
      </c>
      <c r="CQ115" t="n">
        <v>135</v>
      </c>
      <c r="CV115">
        <f>""</f>
        <v/>
      </c>
      <c r="CW115">
        <f>IF(1&lt;=$CS$17-2,$CS$19,0)</f>
        <v/>
      </c>
      <c r="DB115" t="n">
        <v>48.84999999999999</v>
      </c>
      <c r="DC115" t="n">
        <v>49.025</v>
      </c>
      <c r="DD115" t="n">
        <v>125</v>
      </c>
      <c r="DI115">
        <f>""</f>
        <v/>
      </c>
      <c r="DJ115">
        <f>IF(1&lt;=$DF$17-2,$DF$19,0)</f>
        <v/>
      </c>
      <c r="DO115" t="n">
        <v>10.275</v>
      </c>
      <c r="DP115" t="n">
        <v>10.2875</v>
      </c>
      <c r="DQ115" t="n">
        <v>102</v>
      </c>
      <c r="DV115">
        <f>""</f>
        <v/>
      </c>
      <c r="DW115">
        <f>IF(1&lt;=$DS$17-2,$DS$19,0)</f>
        <v/>
      </c>
      <c r="EB115" t="n">
        <v>55.5</v>
      </c>
      <c r="EC115" t="n">
        <v>55.75</v>
      </c>
      <c r="ED115" t="n">
        <v>65</v>
      </c>
      <c r="EI115">
        <f>""</f>
        <v/>
      </c>
      <c r="EJ115">
        <f>IF(1&lt;=$EF$17-2,$EF$19,0)</f>
        <v/>
      </c>
      <c r="EO115" t="n">
        <v>1.9425</v>
      </c>
      <c r="EP115" t="n">
        <v>1.95125</v>
      </c>
      <c r="EQ115" t="n">
        <v>10</v>
      </c>
      <c r="EV115">
        <f>""</f>
        <v/>
      </c>
      <c r="EW115">
        <f>IF(1&lt;=$ES$17-2,$ES$19,0)</f>
        <v/>
      </c>
    </row>
    <row r="116">
      <c r="B116" t="n">
        <v>718</v>
      </c>
      <c r="C116" t="n">
        <v>718.75</v>
      </c>
      <c r="D116" t="n">
        <v>151</v>
      </c>
      <c r="I116">
        <f>""</f>
        <v/>
      </c>
      <c r="J116">
        <f>IF(2&lt;=$F$17-2,$F$19,0)</f>
        <v/>
      </c>
      <c r="O116" t="n">
        <v>33600</v>
      </c>
      <c r="P116" t="n">
        <v>33750</v>
      </c>
      <c r="Q116" t="n">
        <v>52</v>
      </c>
      <c r="V116">
        <f>""</f>
        <v/>
      </c>
      <c r="W116">
        <f>IF(2&lt;=$S$17-2,$S$19,0)</f>
        <v/>
      </c>
      <c r="AB116" t="n">
        <v>16800</v>
      </c>
      <c r="AC116" t="n">
        <v>16875</v>
      </c>
      <c r="AD116" t="n">
        <v>70</v>
      </c>
      <c r="AI116">
        <f>""</f>
        <v/>
      </c>
      <c r="AJ116">
        <f>IF(2&lt;=$AF$17-2,$AF$19,0)</f>
        <v/>
      </c>
      <c r="AO116" t="n">
        <v>448000</v>
      </c>
      <c r="AP116" t="n">
        <v>450000</v>
      </c>
      <c r="AQ116" t="n">
        <v>44</v>
      </c>
      <c r="AV116">
        <f>""</f>
        <v/>
      </c>
      <c r="AW116">
        <f>IF(2&lt;=$AS$17-2,$AS$19,0)</f>
        <v/>
      </c>
      <c r="BB116" t="n">
        <v>784000</v>
      </c>
      <c r="BC116" t="n">
        <v>787500</v>
      </c>
      <c r="BD116" t="n">
        <v>7</v>
      </c>
      <c r="BI116">
        <f>""</f>
        <v/>
      </c>
      <c r="BJ116">
        <f>IF(2&lt;=$BF$17-2,$BF$19,0)</f>
        <v/>
      </c>
      <c r="BO116" t="n">
        <v>0.672</v>
      </c>
      <c r="BP116" t="n">
        <v>0.675</v>
      </c>
      <c r="BQ116" t="n">
        <v>44</v>
      </c>
      <c r="BV116">
        <f>""</f>
        <v/>
      </c>
      <c r="BW116">
        <f>IF(2&lt;=$BS$17-2,$BS$19,0)</f>
        <v/>
      </c>
      <c r="CB116" t="n">
        <v>16.8</v>
      </c>
      <c r="CC116" t="n">
        <v>16.875</v>
      </c>
      <c r="CD116" t="n">
        <v>23</v>
      </c>
      <c r="CI116">
        <f>""</f>
        <v/>
      </c>
      <c r="CJ116">
        <f>IF(2&lt;=$CF$17-2,$CF$19,0)</f>
        <v/>
      </c>
      <c r="CO116" t="n">
        <v>54.8</v>
      </c>
      <c r="CP116" t="n">
        <v>55</v>
      </c>
      <c r="CQ116" t="n">
        <v>118</v>
      </c>
      <c r="CV116">
        <f>""</f>
        <v/>
      </c>
      <c r="CW116">
        <f>IF(2&lt;=$CS$17-2,$CS$19,0)</f>
        <v/>
      </c>
      <c r="DB116" t="n">
        <v>49.2</v>
      </c>
      <c r="DC116" t="n">
        <v>49.375</v>
      </c>
      <c r="DD116" t="n">
        <v>109</v>
      </c>
      <c r="DI116">
        <f>""</f>
        <v/>
      </c>
      <c r="DJ116">
        <f>IF(2&lt;=$DF$17-2,$DF$19,0)</f>
        <v/>
      </c>
      <c r="DO116" t="n">
        <v>10.3</v>
      </c>
      <c r="DP116" t="n">
        <v>10.3125</v>
      </c>
      <c r="DQ116" t="n">
        <v>88</v>
      </c>
      <c r="DV116">
        <f>""</f>
        <v/>
      </c>
      <c r="DW116">
        <f>IF(2&lt;=$DS$17-2,$DS$19,0)</f>
        <v/>
      </c>
      <c r="EB116" t="n">
        <v>56</v>
      </c>
      <c r="EC116" t="n">
        <v>56.25</v>
      </c>
      <c r="ED116" t="n">
        <v>59</v>
      </c>
      <c r="EI116">
        <f>""</f>
        <v/>
      </c>
      <c r="EJ116">
        <f>IF(2&lt;=$EF$17-2,$EF$19,0)</f>
        <v/>
      </c>
      <c r="EO116" t="n">
        <v>1.96</v>
      </c>
      <c r="EP116" t="n">
        <v>1.96875</v>
      </c>
      <c r="EQ116" t="n">
        <v>8</v>
      </c>
      <c r="EV116">
        <f>""</f>
        <v/>
      </c>
      <c r="EW116">
        <f>IF(2&lt;=$ES$17-2,$ES$19,0)</f>
        <v/>
      </c>
    </row>
    <row r="117">
      <c r="B117" t="n">
        <v>719.5</v>
      </c>
      <c r="C117" t="n">
        <v>720.25</v>
      </c>
      <c r="D117" t="n">
        <v>71</v>
      </c>
      <c r="I117">
        <f>""</f>
        <v/>
      </c>
      <c r="J117">
        <f>IF(3&lt;=$F$17-2,$F$19,0)</f>
        <v/>
      </c>
      <c r="O117" t="n">
        <v>33900</v>
      </c>
      <c r="P117" t="n">
        <v>34050</v>
      </c>
      <c r="Q117" t="n">
        <v>58</v>
      </c>
      <c r="V117">
        <f>""</f>
        <v/>
      </c>
      <c r="W117">
        <f>IF(3&lt;=$S$17-2,$S$19,0)</f>
        <v/>
      </c>
      <c r="AB117" t="n">
        <v>16950</v>
      </c>
      <c r="AC117" t="n">
        <v>17025</v>
      </c>
      <c r="AD117" t="n">
        <v>69</v>
      </c>
      <c r="AI117">
        <f>""</f>
        <v/>
      </c>
      <c r="AJ117">
        <f>IF(3&lt;=$AF$17-2,$AF$19,0)</f>
        <v/>
      </c>
      <c r="AO117" t="n">
        <v>452000</v>
      </c>
      <c r="AP117" t="n">
        <v>454000</v>
      </c>
      <c r="AQ117" t="n">
        <v>50</v>
      </c>
      <c r="AV117">
        <f>""</f>
        <v/>
      </c>
      <c r="AW117">
        <f>IF(3&lt;=$AS$17-2,$AS$19,0)</f>
        <v/>
      </c>
      <c r="BB117" t="n">
        <v>791000</v>
      </c>
      <c r="BC117" t="n">
        <v>794500</v>
      </c>
      <c r="BD117" t="n">
        <v>8</v>
      </c>
      <c r="BI117">
        <f>""</f>
        <v/>
      </c>
      <c r="BJ117">
        <f>IF(3&lt;=$BF$17-2,$BF$19,0)</f>
        <v/>
      </c>
      <c r="BO117" t="n">
        <v>0.678</v>
      </c>
      <c r="BP117" t="n">
        <v>0.681</v>
      </c>
      <c r="BQ117" t="n">
        <v>63</v>
      </c>
      <c r="BV117">
        <f>""</f>
        <v/>
      </c>
      <c r="BW117">
        <f>IF(3&lt;=$BS$17-2,$BS$19,0)</f>
        <v/>
      </c>
      <c r="CB117" t="n">
        <v>16.95</v>
      </c>
      <c r="CC117" t="n">
        <v>17.025</v>
      </c>
      <c r="CD117" t="n">
        <v>14</v>
      </c>
      <c r="CI117">
        <f>""</f>
        <v/>
      </c>
      <c r="CJ117">
        <f>IF(3&lt;=$CF$17-2,$CF$19,0)</f>
        <v/>
      </c>
      <c r="CO117" t="n">
        <v>55.2</v>
      </c>
      <c r="CP117" t="n">
        <v>55.40000000000001</v>
      </c>
      <c r="CQ117" t="n">
        <v>123</v>
      </c>
      <c r="CV117">
        <f>""</f>
        <v/>
      </c>
      <c r="CW117">
        <f>IF(3&lt;=$CS$17-2,$CS$19,0)</f>
        <v/>
      </c>
      <c r="DB117" t="n">
        <v>49.55</v>
      </c>
      <c r="DC117" t="n">
        <v>49.72499999999999</v>
      </c>
      <c r="DD117" t="n">
        <v>124</v>
      </c>
      <c r="DI117">
        <f>""</f>
        <v/>
      </c>
      <c r="DJ117">
        <f>IF(3&lt;=$DF$17-2,$DF$19,0)</f>
        <v/>
      </c>
      <c r="DO117" t="n">
        <v>10.325</v>
      </c>
      <c r="DP117" t="n">
        <v>10.3375</v>
      </c>
      <c r="DQ117" t="n">
        <v>117</v>
      </c>
      <c r="DV117">
        <f>""</f>
        <v/>
      </c>
      <c r="DW117">
        <f>IF(3&lt;=$DS$17-2,$DS$19,0)</f>
        <v/>
      </c>
      <c r="EB117" t="n">
        <v>56.5</v>
      </c>
      <c r="EC117" t="n">
        <v>56.75</v>
      </c>
      <c r="ED117" t="n">
        <v>57</v>
      </c>
      <c r="EI117">
        <f>""</f>
        <v/>
      </c>
      <c r="EJ117">
        <f>IF(3&lt;=$EF$17-2,$EF$19,0)</f>
        <v/>
      </c>
      <c r="EO117" t="n">
        <v>1.9775</v>
      </c>
      <c r="EP117" t="n">
        <v>1.98625</v>
      </c>
      <c r="EQ117" t="n">
        <v>12</v>
      </c>
      <c r="EV117">
        <f>""</f>
        <v/>
      </c>
      <c r="EW117">
        <f>IF(3&lt;=$ES$17-2,$ES$19,0)</f>
        <v/>
      </c>
    </row>
    <row r="118">
      <c r="B118" t="n">
        <v>721</v>
      </c>
      <c r="C118" t="n">
        <v>721.75</v>
      </c>
      <c r="D118" t="n">
        <v>160</v>
      </c>
      <c r="I118">
        <f>""</f>
        <v/>
      </c>
      <c r="J118">
        <f>IF(4&lt;=$F$17-2,$F$19,0)</f>
        <v/>
      </c>
      <c r="O118" t="n">
        <v>34200</v>
      </c>
      <c r="P118" t="n">
        <v>34350</v>
      </c>
      <c r="Q118" t="n">
        <v>83</v>
      </c>
      <c r="V118">
        <f>""</f>
        <v/>
      </c>
      <c r="W118">
        <f>IF(4&lt;=$S$17-2,$S$19,0)</f>
        <v/>
      </c>
      <c r="AB118" t="n">
        <v>17100</v>
      </c>
      <c r="AC118" t="n">
        <v>17175</v>
      </c>
      <c r="AD118" t="n">
        <v>60</v>
      </c>
      <c r="AI118">
        <f>""</f>
        <v/>
      </c>
      <c r="AJ118">
        <f>IF(4&lt;=$AF$17-2,$AF$19,0)</f>
        <v/>
      </c>
      <c r="AO118" t="n">
        <v>456000</v>
      </c>
      <c r="AP118" t="n">
        <v>458000</v>
      </c>
      <c r="AQ118" t="n">
        <v>46</v>
      </c>
      <c r="AV118">
        <f>""</f>
        <v/>
      </c>
      <c r="AW118">
        <f>IF(4&lt;=$AS$17-2,$AS$19,0)</f>
        <v/>
      </c>
      <c r="BB118" t="n">
        <v>798000</v>
      </c>
      <c r="BC118" t="n">
        <v>801500</v>
      </c>
      <c r="BD118" t="n">
        <v>10</v>
      </c>
      <c r="BI118">
        <f>""</f>
        <v/>
      </c>
      <c r="BJ118">
        <f>IF(4&lt;=$BF$17-2,$BF$19,0)</f>
        <v/>
      </c>
      <c r="BO118" t="n">
        <v>0.6840000000000001</v>
      </c>
      <c r="BP118" t="n">
        <v>0.6870000000000001</v>
      </c>
      <c r="BQ118" t="n">
        <v>56</v>
      </c>
      <c r="BV118">
        <f>""</f>
        <v/>
      </c>
      <c r="BW118">
        <f>IF(4&lt;=$BS$17-2,$BS$19,0)</f>
        <v/>
      </c>
      <c r="CB118" t="n">
        <v>17.1</v>
      </c>
      <c r="CC118" t="n">
        <v>17.175</v>
      </c>
      <c r="CD118" t="n">
        <v>18</v>
      </c>
      <c r="CI118">
        <f>""</f>
        <v/>
      </c>
      <c r="CJ118">
        <f>IF(4&lt;=$CF$17-2,$CF$19,0)</f>
        <v/>
      </c>
      <c r="CO118" t="n">
        <v>55.6</v>
      </c>
      <c r="CP118" t="n">
        <v>55.8</v>
      </c>
      <c r="CQ118" t="n">
        <v>104</v>
      </c>
      <c r="CV118">
        <f>""</f>
        <v/>
      </c>
      <c r="CW118">
        <f>IF(4&lt;=$CS$17-2,$CS$19,0)</f>
        <v/>
      </c>
      <c r="DB118" t="n">
        <v>49.9</v>
      </c>
      <c r="DC118" t="n">
        <v>50.075</v>
      </c>
      <c r="DD118" t="n">
        <v>126</v>
      </c>
      <c r="DI118">
        <f>""</f>
        <v/>
      </c>
      <c r="DJ118">
        <f>IF(4&lt;=$DF$17-2,$DF$19,0)</f>
        <v/>
      </c>
      <c r="DO118" t="n">
        <v>10.35</v>
      </c>
      <c r="DP118" t="n">
        <v>10.3625</v>
      </c>
      <c r="DQ118" t="n">
        <v>119</v>
      </c>
      <c r="DV118">
        <f>""</f>
        <v/>
      </c>
      <c r="DW118">
        <f>IF(4&lt;=$DS$17-2,$DS$19,0)</f>
        <v/>
      </c>
      <c r="EB118" t="n">
        <v>57</v>
      </c>
      <c r="EC118" t="n">
        <v>57.25</v>
      </c>
      <c r="ED118" t="n">
        <v>61</v>
      </c>
      <c r="EI118">
        <f>""</f>
        <v/>
      </c>
      <c r="EJ118">
        <f>IF(4&lt;=$EF$17-2,$EF$19,0)</f>
        <v/>
      </c>
      <c r="EO118" t="n">
        <v>1.995</v>
      </c>
      <c r="EP118" t="n">
        <v>2.00375</v>
      </c>
      <c r="EQ118" t="n">
        <v>10</v>
      </c>
      <c r="EV118">
        <f>""</f>
        <v/>
      </c>
      <c r="EW118">
        <f>IF(4&lt;=$ES$17-2,$ES$19,0)</f>
        <v/>
      </c>
    </row>
    <row r="119">
      <c r="B119" t="n">
        <v>722.5</v>
      </c>
      <c r="C119" t="n">
        <v>723.25</v>
      </c>
      <c r="D119" t="n">
        <v>88</v>
      </c>
      <c r="I119">
        <f>""</f>
        <v/>
      </c>
      <c r="J119">
        <f>IF(5&lt;=$F$17-2,$F$19,0)</f>
        <v/>
      </c>
      <c r="O119" t="n">
        <v>34500</v>
      </c>
      <c r="P119" t="n">
        <v>34650</v>
      </c>
      <c r="Q119" t="n">
        <v>61</v>
      </c>
      <c r="V119">
        <f>""</f>
        <v/>
      </c>
      <c r="W119">
        <f>IF(5&lt;=$S$17-2,$S$19,0)</f>
        <v/>
      </c>
      <c r="AB119" t="n">
        <v>17250</v>
      </c>
      <c r="AC119" t="n">
        <v>17325</v>
      </c>
      <c r="AD119" t="n">
        <v>61</v>
      </c>
      <c r="AI119">
        <f>""</f>
        <v/>
      </c>
      <c r="AJ119">
        <f>IF(5&lt;=$AF$17-2,$AF$19,0)</f>
        <v/>
      </c>
      <c r="AO119" t="n">
        <v>460000</v>
      </c>
      <c r="AP119" t="n">
        <v>462000</v>
      </c>
      <c r="AQ119" t="n">
        <v>44</v>
      </c>
      <c r="AV119">
        <f>""</f>
        <v/>
      </c>
      <c r="AW119">
        <f>IF(5&lt;=$AS$17-2,$AS$19,0)</f>
        <v/>
      </c>
      <c r="BB119" t="n">
        <v>805000</v>
      </c>
      <c r="BC119" t="n">
        <v>808500</v>
      </c>
      <c r="BD119" t="n">
        <v>14</v>
      </c>
      <c r="BI119">
        <f>""</f>
        <v/>
      </c>
      <c r="BJ119">
        <f>IF(5&lt;=$BF$17-2,$BF$19,0)</f>
        <v/>
      </c>
      <c r="BO119" t="n">
        <v>0.6900000000000001</v>
      </c>
      <c r="BP119" t="n">
        <v>0.6930000000000001</v>
      </c>
      <c r="BQ119" t="n">
        <v>62</v>
      </c>
      <c r="BV119">
        <f>""</f>
        <v/>
      </c>
      <c r="BW119">
        <f>IF(5&lt;=$BS$17-2,$BS$19,0)</f>
        <v/>
      </c>
      <c r="CB119" t="n">
        <v>17.25</v>
      </c>
      <c r="CC119" t="n">
        <v>17.325</v>
      </c>
      <c r="CD119" t="n">
        <v>11</v>
      </c>
      <c r="CI119">
        <f>""</f>
        <v/>
      </c>
      <c r="CJ119">
        <f>IF(5&lt;=$CF$17-2,$CF$19,0)</f>
        <v/>
      </c>
      <c r="CO119" t="n">
        <v>56</v>
      </c>
      <c r="CP119" t="n">
        <v>56.2</v>
      </c>
      <c r="CQ119" t="n">
        <v>117</v>
      </c>
      <c r="CV119">
        <f>""</f>
        <v/>
      </c>
      <c r="CW119">
        <f>IF(5&lt;=$CS$17-2,$CS$19,0)</f>
        <v/>
      </c>
      <c r="DB119" t="n">
        <v>50.25</v>
      </c>
      <c r="DC119" t="n">
        <v>50.425</v>
      </c>
      <c r="DD119" t="n">
        <v>112</v>
      </c>
      <c r="DI119">
        <f>""</f>
        <v/>
      </c>
      <c r="DJ119">
        <f>IF(5&lt;=$DF$17-2,$DF$19,0)</f>
        <v/>
      </c>
      <c r="DO119" t="n">
        <v>10.375</v>
      </c>
      <c r="DP119" t="n">
        <v>10.3875</v>
      </c>
      <c r="DQ119" t="n">
        <v>98</v>
      </c>
      <c r="DV119">
        <f>""</f>
        <v/>
      </c>
      <c r="DW119">
        <f>IF(5&lt;=$DS$17-2,$DS$19,0)</f>
        <v/>
      </c>
      <c r="EB119" t="n">
        <v>57.5</v>
      </c>
      <c r="EC119" t="n">
        <v>57.75</v>
      </c>
      <c r="ED119" t="n">
        <v>66</v>
      </c>
      <c r="EI119">
        <f>""</f>
        <v/>
      </c>
      <c r="EJ119">
        <f>IF(5&lt;=$EF$17-2,$EF$19,0)</f>
        <v/>
      </c>
      <c r="EO119" t="n">
        <v>2.0125</v>
      </c>
      <c r="EP119" t="n">
        <v>2.02125</v>
      </c>
      <c r="EQ119" t="n">
        <v>19</v>
      </c>
      <c r="EV119">
        <f>""</f>
        <v/>
      </c>
      <c r="EW119">
        <f>IF(5&lt;=$ES$17-2,$ES$19,0)</f>
        <v/>
      </c>
    </row>
    <row r="120">
      <c r="B120" t="n">
        <v>724</v>
      </c>
      <c r="C120" t="n">
        <v>724.75</v>
      </c>
      <c r="D120" t="n">
        <v>150</v>
      </c>
      <c r="I120">
        <f>""</f>
        <v/>
      </c>
      <c r="J120">
        <f>IF(6&lt;=$F$17-2,$F$19,0)</f>
        <v/>
      </c>
      <c r="O120" t="n">
        <v>34800</v>
      </c>
      <c r="P120" t="n">
        <v>34950</v>
      </c>
      <c r="Q120" t="n">
        <v>66</v>
      </c>
      <c r="V120">
        <f>""</f>
        <v/>
      </c>
      <c r="W120">
        <f>IF(6&lt;=$S$17-2,$S$19,0)</f>
        <v/>
      </c>
      <c r="AB120" t="n">
        <v>17400</v>
      </c>
      <c r="AC120" t="n">
        <v>17475</v>
      </c>
      <c r="AD120" t="n">
        <v>69</v>
      </c>
      <c r="AI120">
        <f>""</f>
        <v/>
      </c>
      <c r="AJ120">
        <f>IF(6&lt;=$AF$17-2,$AF$19,0)</f>
        <v/>
      </c>
      <c r="AO120" t="n">
        <v>464000</v>
      </c>
      <c r="AP120" t="n">
        <v>466000</v>
      </c>
      <c r="AQ120" t="n">
        <v>36</v>
      </c>
      <c r="AV120">
        <f>""</f>
        <v/>
      </c>
      <c r="AW120">
        <f>IF(6&lt;=$AS$17-2,$AS$19,0)</f>
        <v/>
      </c>
      <c r="BB120" t="n">
        <v>812000</v>
      </c>
      <c r="BC120" t="n">
        <v>815500</v>
      </c>
      <c r="BD120" t="n">
        <v>5</v>
      </c>
      <c r="BI120">
        <f>""</f>
        <v/>
      </c>
      <c r="BJ120">
        <f>IF(6&lt;=$BF$17-2,$BF$19,0)</f>
        <v/>
      </c>
      <c r="BO120" t="n">
        <v>0.6960000000000001</v>
      </c>
      <c r="BP120" t="n">
        <v>0.6990000000000001</v>
      </c>
      <c r="BQ120" t="n">
        <v>61</v>
      </c>
      <c r="BV120">
        <f>""</f>
        <v/>
      </c>
      <c r="BW120">
        <f>IF(6&lt;=$BS$17-2,$BS$19,0)</f>
        <v/>
      </c>
      <c r="CB120" t="n">
        <v>17.4</v>
      </c>
      <c r="CC120" t="n">
        <v>17.475</v>
      </c>
      <c r="CD120" t="n">
        <v>17</v>
      </c>
      <c r="CI120">
        <f>""</f>
        <v/>
      </c>
      <c r="CJ120">
        <f>IF(6&lt;=$CF$17-2,$CF$19,0)</f>
        <v/>
      </c>
      <c r="CO120" t="n">
        <v>56.40000000000001</v>
      </c>
      <c r="CP120" t="n">
        <v>56.6</v>
      </c>
      <c r="CQ120" t="n">
        <v>113</v>
      </c>
      <c r="CV120">
        <f>""</f>
        <v/>
      </c>
      <c r="CW120">
        <f>IF(6&lt;=$CS$17-2,$CS$19,0)</f>
        <v/>
      </c>
      <c r="DB120" t="n">
        <v>50.59999999999999</v>
      </c>
      <c r="DC120" t="n">
        <v>50.775</v>
      </c>
      <c r="DD120" t="n">
        <v>121</v>
      </c>
      <c r="DI120">
        <f>""</f>
        <v/>
      </c>
      <c r="DJ120">
        <f>IF(6&lt;=$DF$17-2,$DF$19,0)</f>
        <v/>
      </c>
      <c r="DO120" t="n">
        <v>10.4</v>
      </c>
      <c r="DP120" t="n">
        <v>10.4125</v>
      </c>
      <c r="DQ120" t="n">
        <v>110</v>
      </c>
      <c r="DV120">
        <f>""</f>
        <v/>
      </c>
      <c r="DW120">
        <f>IF(6&lt;=$DS$17-2,$DS$19,0)</f>
        <v/>
      </c>
      <c r="EB120" t="n">
        <v>58</v>
      </c>
      <c r="EC120" t="n">
        <v>58.25</v>
      </c>
      <c r="ED120" t="n">
        <v>72</v>
      </c>
      <c r="EI120">
        <f>""</f>
        <v/>
      </c>
      <c r="EJ120">
        <f>IF(6&lt;=$EF$17-2,$EF$19,0)</f>
        <v/>
      </c>
      <c r="EO120" t="n">
        <v>2.03</v>
      </c>
      <c r="EP120" t="n">
        <v>2.03875</v>
      </c>
      <c r="EQ120" t="n">
        <v>4</v>
      </c>
      <c r="EV120">
        <f>""</f>
        <v/>
      </c>
      <c r="EW120">
        <f>IF(6&lt;=$ES$17-2,$ES$19,0)</f>
        <v/>
      </c>
    </row>
    <row r="121">
      <c r="B121" t="n">
        <v>725.5</v>
      </c>
      <c r="C121" t="n">
        <v>726.25</v>
      </c>
      <c r="D121" t="n">
        <v>74</v>
      </c>
      <c r="I121">
        <f>""</f>
        <v/>
      </c>
      <c r="J121">
        <f>IF(7&lt;=$F$17-2,$F$19,0)</f>
        <v/>
      </c>
      <c r="O121" t="n">
        <v>35100</v>
      </c>
      <c r="P121" t="n">
        <v>35250</v>
      </c>
      <c r="Q121" t="n">
        <v>54</v>
      </c>
      <c r="V121">
        <f>""</f>
        <v/>
      </c>
      <c r="W121">
        <f>IF(7&lt;=$S$17-2,$S$19,0)</f>
        <v/>
      </c>
      <c r="AB121" t="n">
        <v>17550</v>
      </c>
      <c r="AC121" t="n">
        <v>17625</v>
      </c>
      <c r="AD121" t="n">
        <v>58</v>
      </c>
      <c r="AI121">
        <f>""</f>
        <v/>
      </c>
      <c r="AJ121">
        <f>IF(7&lt;=$AF$17-2,$AF$19,0)</f>
        <v/>
      </c>
      <c r="AO121" t="n">
        <v>468000</v>
      </c>
      <c r="AP121" t="n">
        <v>470000</v>
      </c>
      <c r="AQ121" t="n">
        <v>27</v>
      </c>
      <c r="AV121">
        <f>""</f>
        <v/>
      </c>
      <c r="AW121">
        <f>IF(7&lt;=$AS$17-2,$AS$19,0)</f>
        <v/>
      </c>
      <c r="BB121" t="n">
        <v>819000</v>
      </c>
      <c r="BC121" t="n">
        <v>822500</v>
      </c>
      <c r="BD121" t="n">
        <v>6</v>
      </c>
      <c r="BI121">
        <f>""</f>
        <v/>
      </c>
      <c r="BJ121">
        <f>IF(7&lt;=$BF$17-2,$BF$19,0)</f>
        <v/>
      </c>
      <c r="BO121" t="n">
        <v>0.7020000000000001</v>
      </c>
      <c r="BP121" t="n">
        <v>0.705</v>
      </c>
      <c r="BQ121" t="n">
        <v>58</v>
      </c>
      <c r="BV121">
        <f>""</f>
        <v/>
      </c>
      <c r="BW121">
        <f>IF(7&lt;=$BS$17-2,$BS$19,0)</f>
        <v/>
      </c>
      <c r="CB121" t="n">
        <v>17.55</v>
      </c>
      <c r="CC121" t="n">
        <v>17.625</v>
      </c>
      <c r="CD121" t="n">
        <v>6</v>
      </c>
      <c r="CI121">
        <f>""</f>
        <v/>
      </c>
      <c r="CJ121">
        <f>IF(7&lt;=$CF$17-2,$CF$19,0)</f>
        <v/>
      </c>
      <c r="CO121" t="n">
        <v>56.8</v>
      </c>
      <c r="CP121" t="n">
        <v>57</v>
      </c>
      <c r="CQ121" t="n">
        <v>111</v>
      </c>
      <c r="CV121">
        <f>""</f>
        <v/>
      </c>
      <c r="CW121">
        <f>IF(7&lt;=$CS$17-2,$CS$19,0)</f>
        <v/>
      </c>
      <c r="DB121" t="n">
        <v>50.95</v>
      </c>
      <c r="DC121" t="n">
        <v>51.125</v>
      </c>
      <c r="DD121" t="n">
        <v>116</v>
      </c>
      <c r="DI121">
        <f>""</f>
        <v/>
      </c>
      <c r="DJ121">
        <f>IF(7&lt;=$DF$17-2,$DF$19,0)</f>
        <v/>
      </c>
      <c r="DO121" t="n">
        <v>10.425</v>
      </c>
      <c r="DP121" t="n">
        <v>10.4375</v>
      </c>
      <c r="DQ121" t="n">
        <v>109</v>
      </c>
      <c r="DV121">
        <f>""</f>
        <v/>
      </c>
      <c r="DW121">
        <f>IF(7&lt;=$DS$17-2,$DS$19,0)</f>
        <v/>
      </c>
      <c r="EB121" t="n">
        <v>58.5</v>
      </c>
      <c r="EC121" t="n">
        <v>58.75</v>
      </c>
      <c r="ED121" t="n">
        <v>67</v>
      </c>
      <c r="EI121">
        <f>""</f>
        <v/>
      </c>
      <c r="EJ121">
        <f>IF(7&lt;=$EF$17-2,$EF$19,0)</f>
        <v/>
      </c>
      <c r="EO121" t="n">
        <v>2.0475</v>
      </c>
      <c r="EP121" t="n">
        <v>2.05625</v>
      </c>
      <c r="EQ121" t="n">
        <v>15</v>
      </c>
      <c r="EV121">
        <f>""</f>
        <v/>
      </c>
      <c r="EW121">
        <f>IF(7&lt;=$ES$17-2,$ES$19,0)</f>
        <v/>
      </c>
    </row>
    <row r="122">
      <c r="B122" t="n">
        <v>727</v>
      </c>
      <c r="C122" t="n">
        <v>727.75</v>
      </c>
      <c r="D122" t="n">
        <v>147</v>
      </c>
      <c r="I122">
        <f>""</f>
        <v/>
      </c>
      <c r="J122">
        <f>IF(8&lt;=$F$17-2,$F$19,0)</f>
        <v/>
      </c>
      <c r="O122" t="n">
        <v>35400</v>
      </c>
      <c r="P122" t="n">
        <v>35550</v>
      </c>
      <c r="Q122" t="n">
        <v>49</v>
      </c>
      <c r="V122">
        <f>""</f>
        <v/>
      </c>
      <c r="W122">
        <f>IF(8&lt;=$S$17-2,$S$19,0)</f>
        <v/>
      </c>
      <c r="AB122" t="n">
        <v>17700</v>
      </c>
      <c r="AC122" t="n">
        <v>17775</v>
      </c>
      <c r="AD122" t="n">
        <v>52</v>
      </c>
      <c r="AI122">
        <f>""</f>
        <v/>
      </c>
      <c r="AJ122">
        <f>IF(8&lt;=$AF$17-2,$AF$19,0)</f>
        <v/>
      </c>
      <c r="AO122" t="n">
        <v>472000</v>
      </c>
      <c r="AP122" t="n">
        <v>474000</v>
      </c>
      <c r="AQ122" t="n">
        <v>28</v>
      </c>
      <c r="AV122">
        <f>""</f>
        <v/>
      </c>
      <c r="AW122">
        <f>IF(8&lt;=$AS$17-2,$AS$19,0)</f>
        <v/>
      </c>
      <c r="BB122" t="n">
        <v>826000</v>
      </c>
      <c r="BC122" t="n">
        <v>829500</v>
      </c>
      <c r="BD122" t="n">
        <v>5</v>
      </c>
      <c r="BI122">
        <f>""</f>
        <v/>
      </c>
      <c r="BJ122">
        <f>IF(8&lt;=$BF$17-2,$BF$19,0)</f>
        <v/>
      </c>
      <c r="BO122" t="n">
        <v>0.708</v>
      </c>
      <c r="BP122" t="n">
        <v>0.711</v>
      </c>
      <c r="BQ122" t="n">
        <v>33</v>
      </c>
      <c r="BV122">
        <f>""</f>
        <v/>
      </c>
      <c r="BW122">
        <f>IF(8&lt;=$BS$17-2,$BS$19,0)</f>
        <v/>
      </c>
      <c r="CB122" t="n">
        <v>17.7</v>
      </c>
      <c r="CC122" t="n">
        <v>17.775</v>
      </c>
      <c r="CD122" t="n">
        <v>18</v>
      </c>
      <c r="CI122">
        <f>""</f>
        <v/>
      </c>
      <c r="CJ122">
        <f>IF(8&lt;=$CF$17-2,$CF$19,0)</f>
        <v/>
      </c>
      <c r="CO122" t="n">
        <v>57.2</v>
      </c>
      <c r="CP122" t="n">
        <v>57.40000000000001</v>
      </c>
      <c r="CQ122" t="n">
        <v>123</v>
      </c>
      <c r="CV122">
        <f>""</f>
        <v/>
      </c>
      <c r="CW122">
        <f>IF(8&lt;=$CS$17-2,$CS$19,0)</f>
        <v/>
      </c>
      <c r="DB122" t="n">
        <v>51.3</v>
      </c>
      <c r="DC122" t="n">
        <v>51.47499999999999</v>
      </c>
      <c r="DD122" t="n">
        <v>97</v>
      </c>
      <c r="DI122">
        <f>""</f>
        <v/>
      </c>
      <c r="DJ122">
        <f>IF(8&lt;=$DF$17-2,$DF$19,0)</f>
        <v/>
      </c>
      <c r="DO122" t="n">
        <v>10.45</v>
      </c>
      <c r="DP122" t="n">
        <v>10.4625</v>
      </c>
      <c r="DQ122" t="n">
        <v>110</v>
      </c>
      <c r="DV122">
        <f>""</f>
        <v/>
      </c>
      <c r="DW122">
        <f>IF(8&lt;=$DS$17-2,$DS$19,0)</f>
        <v/>
      </c>
      <c r="EB122" t="n">
        <v>59</v>
      </c>
      <c r="EC122" t="n">
        <v>59.25</v>
      </c>
      <c r="ED122" t="n">
        <v>57</v>
      </c>
      <c r="EI122">
        <f>""</f>
        <v/>
      </c>
      <c r="EJ122">
        <f>IF(8&lt;=$EF$17-2,$EF$19,0)</f>
        <v/>
      </c>
      <c r="EO122" t="n">
        <v>2.065</v>
      </c>
      <c r="EP122" t="n">
        <v>2.07375</v>
      </c>
      <c r="EQ122" t="n">
        <v>9</v>
      </c>
      <c r="EV122">
        <f>""</f>
        <v/>
      </c>
      <c r="EW122">
        <f>IF(8&lt;=$ES$17-2,$ES$19,0)</f>
        <v/>
      </c>
    </row>
    <row r="123">
      <c r="B123" t="n">
        <v>728.5</v>
      </c>
      <c r="C123" t="n">
        <v>729.25</v>
      </c>
      <c r="D123" t="n">
        <v>64</v>
      </c>
      <c r="I123">
        <f>""</f>
        <v/>
      </c>
      <c r="J123">
        <f>IF(9&lt;=$F$17-2,$F$19,0)</f>
        <v/>
      </c>
      <c r="O123" t="n">
        <v>35700</v>
      </c>
      <c r="P123" t="n">
        <v>35850</v>
      </c>
      <c r="Q123" t="n">
        <v>69</v>
      </c>
      <c r="V123">
        <f>""</f>
        <v/>
      </c>
      <c r="W123">
        <f>IF(9&lt;=$S$17-2,$S$19,0)</f>
        <v/>
      </c>
      <c r="AB123" t="n">
        <v>17850</v>
      </c>
      <c r="AC123" t="n">
        <v>17925</v>
      </c>
      <c r="AD123" t="n">
        <v>63</v>
      </c>
      <c r="AI123">
        <f>""</f>
        <v/>
      </c>
      <c r="AJ123">
        <f>IF(9&lt;=$AF$17-2,$AF$19,0)</f>
        <v/>
      </c>
      <c r="AO123" t="n">
        <v>476000</v>
      </c>
      <c r="AP123" t="n">
        <v>478000</v>
      </c>
      <c r="AQ123" t="n">
        <v>22</v>
      </c>
      <c r="AV123">
        <f>""</f>
        <v/>
      </c>
      <c r="AW123">
        <f>IF(9&lt;=$AS$17-2,$AS$19,0)</f>
        <v/>
      </c>
      <c r="BB123" t="n">
        <v>833000</v>
      </c>
      <c r="BC123" t="n">
        <v>836500</v>
      </c>
      <c r="BD123" t="n">
        <v>2</v>
      </c>
      <c r="BI123">
        <f>""</f>
        <v/>
      </c>
      <c r="BJ123">
        <f>IF(9&lt;=$BF$17-2,$BF$19,0)</f>
        <v/>
      </c>
      <c r="BO123" t="n">
        <v>0.714</v>
      </c>
      <c r="BP123" t="n">
        <v>0.717</v>
      </c>
      <c r="BQ123" t="n">
        <v>64</v>
      </c>
      <c r="BV123">
        <f>""</f>
        <v/>
      </c>
      <c r="BW123">
        <f>IF(9&lt;=$BS$17-2,$BS$19,0)</f>
        <v/>
      </c>
      <c r="CB123" t="n">
        <v>17.85</v>
      </c>
      <c r="CC123" t="n">
        <v>17.925</v>
      </c>
      <c r="CD123" t="n">
        <v>9</v>
      </c>
      <c r="CI123">
        <f>""</f>
        <v/>
      </c>
      <c r="CJ123">
        <f>IF(9&lt;=$CF$17-2,$CF$19,0)</f>
        <v/>
      </c>
      <c r="CO123" t="n">
        <v>57.6</v>
      </c>
      <c r="CP123" t="n">
        <v>57.8</v>
      </c>
      <c r="CQ123" t="n">
        <v>116</v>
      </c>
      <c r="CV123">
        <f>""</f>
        <v/>
      </c>
      <c r="CW123">
        <f>IF(9&lt;=$CS$17-2,$CS$19,0)</f>
        <v/>
      </c>
      <c r="DB123" t="n">
        <v>51.65</v>
      </c>
      <c r="DC123" t="n">
        <v>51.825</v>
      </c>
      <c r="DD123" t="n">
        <v>102</v>
      </c>
      <c r="DI123">
        <f>""</f>
        <v/>
      </c>
      <c r="DJ123">
        <f>IF(9&lt;=$DF$17-2,$DF$19,0)</f>
        <v/>
      </c>
      <c r="DO123" t="n">
        <v>10.475</v>
      </c>
      <c r="DP123" t="n">
        <v>10.4875</v>
      </c>
      <c r="DQ123" t="n">
        <v>116</v>
      </c>
      <c r="DV123">
        <f>""</f>
        <v/>
      </c>
      <c r="DW123">
        <f>IF(9&lt;=$DS$17-2,$DS$19,0)</f>
        <v/>
      </c>
      <c r="EB123" t="n">
        <v>59.5</v>
      </c>
      <c r="EC123" t="n">
        <v>59.75</v>
      </c>
      <c r="ED123" t="n">
        <v>70</v>
      </c>
      <c r="EI123">
        <f>""</f>
        <v/>
      </c>
      <c r="EJ123">
        <f>IF(9&lt;=$EF$17-2,$EF$19,0)</f>
        <v/>
      </c>
      <c r="EO123" t="n">
        <v>2.0825</v>
      </c>
      <c r="EP123" t="n">
        <v>2.09125</v>
      </c>
      <c r="EQ123" t="n">
        <v>14</v>
      </c>
      <c r="EV123">
        <f>""</f>
        <v/>
      </c>
      <c r="EW123">
        <f>IF(9&lt;=$ES$17-2,$ES$19,0)</f>
        <v/>
      </c>
    </row>
    <row r="124">
      <c r="B124" t="n">
        <v>730</v>
      </c>
      <c r="C124" t="n">
        <v>730.75</v>
      </c>
      <c r="D124" t="n">
        <v>129</v>
      </c>
      <c r="O124" t="n">
        <v>36000</v>
      </c>
      <c r="P124" t="n">
        <v>36150</v>
      </c>
      <c r="Q124" t="n">
        <v>56</v>
      </c>
      <c r="AB124" t="n">
        <v>18000</v>
      </c>
      <c r="AC124" t="n">
        <v>18075</v>
      </c>
      <c r="AD124" t="n">
        <v>58</v>
      </c>
      <c r="AO124" t="n">
        <v>480000</v>
      </c>
      <c r="AP124" t="n">
        <v>482000</v>
      </c>
      <c r="AQ124" t="n">
        <v>46</v>
      </c>
      <c r="BB124" t="n">
        <v>840000</v>
      </c>
      <c r="BC124" t="n">
        <v>843500</v>
      </c>
      <c r="BD124" t="n">
        <v>3</v>
      </c>
      <c r="BO124" t="n">
        <v>0.72</v>
      </c>
      <c r="BP124" t="n">
        <v>0.723</v>
      </c>
      <c r="BQ124" t="n">
        <v>52</v>
      </c>
      <c r="CB124" t="n">
        <v>18</v>
      </c>
      <c r="CC124" t="n">
        <v>18.075</v>
      </c>
      <c r="CD124" t="n">
        <v>20</v>
      </c>
      <c r="CO124" t="n">
        <v>58</v>
      </c>
      <c r="CP124" t="n">
        <v>58.2</v>
      </c>
      <c r="CQ124" t="n">
        <v>114</v>
      </c>
      <c r="DB124" t="n">
        <v>52</v>
      </c>
      <c r="DC124" t="n">
        <v>52.175</v>
      </c>
      <c r="DD124" t="n">
        <v>92</v>
      </c>
      <c r="DO124" t="n">
        <v>10.5</v>
      </c>
      <c r="DP124" t="n">
        <v>10.5125</v>
      </c>
      <c r="DQ124" t="n">
        <v>113</v>
      </c>
      <c r="EB124" t="n">
        <v>60</v>
      </c>
      <c r="EC124" t="n">
        <v>60.25</v>
      </c>
      <c r="ED124" t="n">
        <v>57</v>
      </c>
      <c r="EO124" t="n">
        <v>2.1</v>
      </c>
      <c r="EP124" t="n">
        <v>2.10875</v>
      </c>
      <c r="EQ124" t="n">
        <v>11</v>
      </c>
    </row>
    <row r="125">
      <c r="B125" t="n">
        <v>731.5</v>
      </c>
      <c r="C125" t="n">
        <v>732.25</v>
      </c>
      <c r="D125" t="n">
        <v>62</v>
      </c>
      <c r="O125" t="n">
        <v>36300</v>
      </c>
      <c r="P125" t="n">
        <v>36450</v>
      </c>
      <c r="Q125" t="n">
        <v>71</v>
      </c>
      <c r="AB125" t="n">
        <v>18150</v>
      </c>
      <c r="AC125" t="n">
        <v>18225</v>
      </c>
      <c r="AD125" t="n">
        <v>55</v>
      </c>
      <c r="AO125" t="n">
        <v>484000</v>
      </c>
      <c r="AP125" t="n">
        <v>486000</v>
      </c>
      <c r="AQ125" t="n">
        <v>36</v>
      </c>
      <c r="BB125" t="n">
        <v>847000</v>
      </c>
      <c r="BC125" t="n">
        <v>850500</v>
      </c>
      <c r="BD125" t="n">
        <v>5</v>
      </c>
      <c r="BO125" t="n">
        <v>0.726</v>
      </c>
      <c r="BP125" t="n">
        <v>0.729</v>
      </c>
      <c r="BQ125" t="n">
        <v>53</v>
      </c>
      <c r="CB125" t="n">
        <v>18.15</v>
      </c>
      <c r="CC125" t="n">
        <v>18.225</v>
      </c>
      <c r="CD125" t="n">
        <v>16</v>
      </c>
      <c r="CO125" t="n">
        <v>58.40000000000001</v>
      </c>
      <c r="CP125" t="n">
        <v>58.6</v>
      </c>
      <c r="CQ125" t="n">
        <v>110</v>
      </c>
      <c r="DB125" t="n">
        <v>52.34999999999999</v>
      </c>
      <c r="DC125" t="n">
        <v>52.525</v>
      </c>
      <c r="DD125" t="n">
        <v>104</v>
      </c>
      <c r="DO125" t="n">
        <v>10.525</v>
      </c>
      <c r="DP125" t="n">
        <v>10.5375</v>
      </c>
      <c r="DQ125" t="n">
        <v>94</v>
      </c>
      <c r="EB125" t="n">
        <v>60.5</v>
      </c>
      <c r="EC125" t="n">
        <v>60.75</v>
      </c>
      <c r="ED125" t="n">
        <v>49</v>
      </c>
      <c r="EO125" t="n">
        <v>2.1175</v>
      </c>
      <c r="EP125" t="n">
        <v>2.12625</v>
      </c>
      <c r="EQ125" t="n">
        <v>6</v>
      </c>
    </row>
    <row r="126">
      <c r="B126" t="n">
        <v>733</v>
      </c>
      <c r="C126" t="n">
        <v>733.75</v>
      </c>
      <c r="D126" t="n">
        <v>129</v>
      </c>
      <c r="O126" t="n">
        <v>36600</v>
      </c>
      <c r="P126" t="n">
        <v>36750</v>
      </c>
      <c r="Q126" t="n">
        <v>66</v>
      </c>
      <c r="AB126" t="n">
        <v>18300</v>
      </c>
      <c r="AC126" t="n">
        <v>18375</v>
      </c>
      <c r="AD126" t="n">
        <v>54</v>
      </c>
      <c r="AO126" t="n">
        <v>488000</v>
      </c>
      <c r="AP126" t="n">
        <v>490000</v>
      </c>
      <c r="AQ126" t="n">
        <v>32</v>
      </c>
      <c r="BB126" t="n">
        <v>854000</v>
      </c>
      <c r="BC126" t="n">
        <v>857500</v>
      </c>
      <c r="BD126" t="n">
        <v>10</v>
      </c>
      <c r="BO126" t="n">
        <v>0.732</v>
      </c>
      <c r="BP126" t="n">
        <v>0.735</v>
      </c>
      <c r="BQ126" t="n">
        <v>67</v>
      </c>
      <c r="CB126" t="n">
        <v>18.3</v>
      </c>
      <c r="CC126" t="n">
        <v>18.375</v>
      </c>
      <c r="CD126" t="n">
        <v>16</v>
      </c>
      <c r="CO126" t="n">
        <v>58.8</v>
      </c>
      <c r="CP126" t="n">
        <v>59</v>
      </c>
      <c r="CQ126" t="n">
        <v>91</v>
      </c>
      <c r="DB126" t="n">
        <v>52.7</v>
      </c>
      <c r="DC126" t="n">
        <v>52.875</v>
      </c>
      <c r="DD126" t="n">
        <v>94</v>
      </c>
      <c r="DO126" t="n">
        <v>10.55</v>
      </c>
      <c r="DP126" t="n">
        <v>10.5625</v>
      </c>
      <c r="DQ126" t="n">
        <v>85</v>
      </c>
      <c r="EB126" t="n">
        <v>61</v>
      </c>
      <c r="EC126" t="n">
        <v>61.25</v>
      </c>
      <c r="ED126" t="n">
        <v>74</v>
      </c>
      <c r="EO126" t="n">
        <v>2.135</v>
      </c>
      <c r="EP126" t="n">
        <v>2.14375</v>
      </c>
      <c r="EQ126" t="n">
        <v>9</v>
      </c>
    </row>
    <row r="127">
      <c r="B127" t="n">
        <v>734.5</v>
      </c>
      <c r="C127" t="n">
        <v>735.25</v>
      </c>
      <c r="D127" t="n">
        <v>76</v>
      </c>
      <c r="O127" t="n">
        <v>36900</v>
      </c>
      <c r="P127" t="n">
        <v>37050</v>
      </c>
      <c r="Q127" t="n">
        <v>51</v>
      </c>
      <c r="AB127" t="n">
        <v>18450</v>
      </c>
      <c r="AC127" t="n">
        <v>18525</v>
      </c>
      <c r="AD127" t="n">
        <v>55</v>
      </c>
      <c r="AO127" t="n">
        <v>492000</v>
      </c>
      <c r="AP127" t="n">
        <v>494000</v>
      </c>
      <c r="AQ127" t="n">
        <v>31</v>
      </c>
      <c r="BB127" t="n">
        <v>861000</v>
      </c>
      <c r="BC127" t="n">
        <v>864500</v>
      </c>
      <c r="BD127" t="n">
        <v>8</v>
      </c>
      <c r="BO127" t="n">
        <v>0.738</v>
      </c>
      <c r="BP127" t="n">
        <v>0.741</v>
      </c>
      <c r="BQ127" t="n">
        <v>55</v>
      </c>
      <c r="CB127" t="n">
        <v>18.45</v>
      </c>
      <c r="CC127" t="n">
        <v>18.525</v>
      </c>
      <c r="CD127" t="n">
        <v>12</v>
      </c>
      <c r="CO127" t="n">
        <v>59.2</v>
      </c>
      <c r="CP127" t="n">
        <v>59.40000000000001</v>
      </c>
      <c r="CQ127" t="n">
        <v>111</v>
      </c>
      <c r="DB127" t="n">
        <v>53.05</v>
      </c>
      <c r="DC127" t="n">
        <v>53.22499999999999</v>
      </c>
      <c r="DD127" t="n">
        <v>99</v>
      </c>
      <c r="DO127" t="n">
        <v>10.575</v>
      </c>
      <c r="DP127" t="n">
        <v>10.5875</v>
      </c>
      <c r="DQ127" t="n">
        <v>90</v>
      </c>
      <c r="EB127" t="n">
        <v>61.5</v>
      </c>
      <c r="EC127" t="n">
        <v>61.75</v>
      </c>
      <c r="ED127" t="n">
        <v>61</v>
      </c>
      <c r="EO127" t="n">
        <v>2.1525</v>
      </c>
      <c r="EP127" t="n">
        <v>2.16125</v>
      </c>
      <c r="EQ127" t="n">
        <v>12</v>
      </c>
    </row>
    <row r="128">
      <c r="B128" t="n">
        <v>736</v>
      </c>
      <c r="C128" t="n">
        <v>736.75</v>
      </c>
      <c r="D128" t="n">
        <v>135</v>
      </c>
      <c r="O128" t="n">
        <v>37200</v>
      </c>
      <c r="P128" t="n">
        <v>37350</v>
      </c>
      <c r="Q128" t="n">
        <v>68</v>
      </c>
      <c r="AB128" t="n">
        <v>18600</v>
      </c>
      <c r="AC128" t="n">
        <v>18675</v>
      </c>
      <c r="AD128" t="n">
        <v>55</v>
      </c>
      <c r="AO128" t="n">
        <v>496000</v>
      </c>
      <c r="AP128" t="n">
        <v>498000</v>
      </c>
      <c r="AQ128" t="n">
        <v>30</v>
      </c>
      <c r="BB128" t="n">
        <v>868000</v>
      </c>
      <c r="BC128" t="n">
        <v>871500</v>
      </c>
      <c r="BD128" t="n">
        <v>6</v>
      </c>
      <c r="BO128" t="n">
        <v>0.744</v>
      </c>
      <c r="BP128" t="n">
        <v>0.747</v>
      </c>
      <c r="BQ128" t="n">
        <v>64</v>
      </c>
      <c r="CB128" t="n">
        <v>18.6</v>
      </c>
      <c r="CC128" t="n">
        <v>18.675</v>
      </c>
      <c r="CD128" t="n">
        <v>18</v>
      </c>
      <c r="CO128" t="n">
        <v>59.6</v>
      </c>
      <c r="CP128" t="n">
        <v>59.8</v>
      </c>
      <c r="CQ128" t="n">
        <v>111</v>
      </c>
      <c r="DB128" t="n">
        <v>53.4</v>
      </c>
      <c r="DC128" t="n">
        <v>53.575</v>
      </c>
      <c r="DD128" t="n">
        <v>99</v>
      </c>
      <c r="DO128" t="n">
        <v>10.6</v>
      </c>
      <c r="DP128" t="n">
        <v>10.6125</v>
      </c>
      <c r="DQ128" t="n">
        <v>105</v>
      </c>
      <c r="EB128" t="n">
        <v>62</v>
      </c>
      <c r="EC128" t="n">
        <v>62.25</v>
      </c>
      <c r="ED128" t="n">
        <v>58</v>
      </c>
      <c r="EO128" t="n">
        <v>2.17</v>
      </c>
      <c r="EP128" t="n">
        <v>2.17875</v>
      </c>
      <c r="EQ128" t="n">
        <v>18</v>
      </c>
    </row>
    <row r="129">
      <c r="B129" t="n">
        <v>737.5</v>
      </c>
      <c r="C129" t="n">
        <v>738.25</v>
      </c>
      <c r="D129" t="n">
        <v>57</v>
      </c>
      <c r="O129" t="n">
        <v>37500</v>
      </c>
      <c r="P129" t="n">
        <v>37650</v>
      </c>
      <c r="Q129" t="n">
        <v>46</v>
      </c>
      <c r="AB129" t="n">
        <v>18750</v>
      </c>
      <c r="AC129" t="n">
        <v>18825</v>
      </c>
      <c r="AD129" t="n">
        <v>56</v>
      </c>
      <c r="AO129" t="n">
        <v>500000</v>
      </c>
      <c r="AP129" t="n">
        <v>502000</v>
      </c>
      <c r="AQ129" t="n">
        <v>22</v>
      </c>
      <c r="BB129" t="n">
        <v>875000</v>
      </c>
      <c r="BC129" t="n">
        <v>878500</v>
      </c>
      <c r="BD129" t="n">
        <v>4</v>
      </c>
      <c r="BO129" t="n">
        <v>0.75</v>
      </c>
      <c r="BP129" t="n">
        <v>0.753</v>
      </c>
      <c r="BQ129" t="n">
        <v>67</v>
      </c>
      <c r="CB129" t="n">
        <v>18.75</v>
      </c>
      <c r="CC129" t="n">
        <v>18.825</v>
      </c>
      <c r="CD129" t="n">
        <v>4</v>
      </c>
      <c r="CO129" t="n">
        <v>60</v>
      </c>
      <c r="CP129" t="n">
        <v>60.2</v>
      </c>
      <c r="CQ129" t="n">
        <v>115</v>
      </c>
      <c r="DB129" t="n">
        <v>53.75</v>
      </c>
      <c r="DC129" t="n">
        <v>53.925</v>
      </c>
      <c r="DD129" t="n">
        <v>88</v>
      </c>
      <c r="DO129" t="n">
        <v>10.625</v>
      </c>
      <c r="DP129" t="n">
        <v>10.6375</v>
      </c>
      <c r="DQ129" t="n">
        <v>123</v>
      </c>
      <c r="EB129" t="n">
        <v>62.5</v>
      </c>
      <c r="EC129" t="n">
        <v>62.75</v>
      </c>
      <c r="ED129" t="n">
        <v>66</v>
      </c>
      <c r="EO129" t="n">
        <v>2.1875</v>
      </c>
      <c r="EP129" t="n">
        <v>2.19625</v>
      </c>
      <c r="EQ129" t="n">
        <v>6</v>
      </c>
    </row>
    <row r="130">
      <c r="B130" t="n">
        <v>739</v>
      </c>
      <c r="C130" t="n">
        <v>739.75</v>
      </c>
      <c r="D130" t="n">
        <v>146</v>
      </c>
      <c r="O130" t="n">
        <v>37800</v>
      </c>
      <c r="P130" t="n">
        <v>37950</v>
      </c>
      <c r="Q130" t="n">
        <v>60</v>
      </c>
      <c r="AB130" t="n">
        <v>18900</v>
      </c>
      <c r="AC130" t="n">
        <v>18975</v>
      </c>
      <c r="AD130" t="n">
        <v>49</v>
      </c>
      <c r="AO130" t="n">
        <v>504000</v>
      </c>
      <c r="AP130" t="n">
        <v>506000</v>
      </c>
      <c r="AQ130" t="n">
        <v>35</v>
      </c>
      <c r="BB130" t="n">
        <v>882000</v>
      </c>
      <c r="BC130" t="n">
        <v>885500</v>
      </c>
      <c r="BD130" t="n">
        <v>5</v>
      </c>
      <c r="BO130" t="n">
        <v>0.756</v>
      </c>
      <c r="BP130" t="n">
        <v>0.759</v>
      </c>
      <c r="BQ130" t="n">
        <v>50</v>
      </c>
      <c r="CB130" t="n">
        <v>18.9</v>
      </c>
      <c r="CC130" t="n">
        <v>18.975</v>
      </c>
      <c r="CD130" t="n">
        <v>11</v>
      </c>
      <c r="CO130" t="n">
        <v>60.40000000000001</v>
      </c>
      <c r="CP130" t="n">
        <v>60.6</v>
      </c>
      <c r="CQ130" t="n">
        <v>92</v>
      </c>
      <c r="DB130" t="n">
        <v>54.09999999999999</v>
      </c>
      <c r="DC130" t="n">
        <v>54.275</v>
      </c>
      <c r="DD130" t="n">
        <v>103</v>
      </c>
      <c r="DO130" t="n">
        <v>10.65</v>
      </c>
      <c r="DP130" t="n">
        <v>10.6625</v>
      </c>
      <c r="DQ130" t="n">
        <v>81</v>
      </c>
      <c r="EB130" t="n">
        <v>63</v>
      </c>
      <c r="EC130" t="n">
        <v>63.25</v>
      </c>
      <c r="ED130" t="n">
        <v>59</v>
      </c>
      <c r="EO130" t="n">
        <v>2.205</v>
      </c>
      <c r="EP130" t="n">
        <v>2.21375</v>
      </c>
      <c r="EQ130" t="n">
        <v>9</v>
      </c>
    </row>
    <row r="131">
      <c r="B131" t="n">
        <v>740.5</v>
      </c>
      <c r="C131" t="n">
        <v>741.25</v>
      </c>
      <c r="D131" t="n">
        <v>54</v>
      </c>
      <c r="O131" t="n">
        <v>38100</v>
      </c>
      <c r="P131" t="n">
        <v>38250</v>
      </c>
      <c r="Q131" t="n">
        <v>55</v>
      </c>
      <c r="AB131" t="n">
        <v>19050</v>
      </c>
      <c r="AC131" t="n">
        <v>19125</v>
      </c>
      <c r="AD131" t="n">
        <v>44</v>
      </c>
      <c r="AO131" t="n">
        <v>508000</v>
      </c>
      <c r="AP131" t="n">
        <v>510000</v>
      </c>
      <c r="AQ131" t="n">
        <v>17</v>
      </c>
      <c r="BB131" t="n">
        <v>889000</v>
      </c>
      <c r="BC131" t="n">
        <v>892500</v>
      </c>
      <c r="BD131" t="n">
        <v>6</v>
      </c>
      <c r="BO131" t="n">
        <v>0.762</v>
      </c>
      <c r="BP131" t="n">
        <v>0.765</v>
      </c>
      <c r="BQ131" t="n">
        <v>73</v>
      </c>
      <c r="CB131" t="n">
        <v>19.05</v>
      </c>
      <c r="CC131" t="n">
        <v>19.125</v>
      </c>
      <c r="CD131" t="n">
        <v>3</v>
      </c>
      <c r="CO131" t="n">
        <v>60.8</v>
      </c>
      <c r="CP131" t="n">
        <v>61</v>
      </c>
      <c r="CQ131" t="n">
        <v>96</v>
      </c>
      <c r="DB131" t="n">
        <v>54.45</v>
      </c>
      <c r="DC131" t="n">
        <v>54.625</v>
      </c>
      <c r="DD131" t="n">
        <v>98</v>
      </c>
      <c r="DO131" t="n">
        <v>10.675</v>
      </c>
      <c r="DP131" t="n">
        <v>10.6875</v>
      </c>
      <c r="DQ131" t="n">
        <v>87</v>
      </c>
      <c r="EB131" t="n">
        <v>63.5</v>
      </c>
      <c r="EC131" t="n">
        <v>63.75</v>
      </c>
      <c r="ED131" t="n">
        <v>58</v>
      </c>
      <c r="EO131" t="n">
        <v>2.2225</v>
      </c>
      <c r="EP131" t="n">
        <v>2.23125</v>
      </c>
      <c r="EQ131" t="n">
        <v>6</v>
      </c>
    </row>
    <row r="132">
      <c r="B132" t="n">
        <v>742</v>
      </c>
      <c r="C132" t="n">
        <v>742.75</v>
      </c>
      <c r="D132" t="n">
        <v>121</v>
      </c>
      <c r="O132" t="n">
        <v>38400</v>
      </c>
      <c r="P132" t="n">
        <v>38550</v>
      </c>
      <c r="Q132" t="n">
        <v>57</v>
      </c>
      <c r="AB132" t="n">
        <v>19200</v>
      </c>
      <c r="AC132" t="n">
        <v>19275</v>
      </c>
      <c r="AD132" t="n">
        <v>51</v>
      </c>
      <c r="AO132" t="n">
        <v>512000</v>
      </c>
      <c r="AP132" t="n">
        <v>514000</v>
      </c>
      <c r="AQ132" t="n">
        <v>28</v>
      </c>
      <c r="BB132" t="n">
        <v>896000</v>
      </c>
      <c r="BC132" t="n">
        <v>899500</v>
      </c>
      <c r="BD132" t="n">
        <v>3</v>
      </c>
      <c r="BO132" t="n">
        <v>0.768</v>
      </c>
      <c r="BP132" t="n">
        <v>0.771</v>
      </c>
      <c r="BQ132" t="n">
        <v>58</v>
      </c>
      <c r="CB132" t="n">
        <v>19.2</v>
      </c>
      <c r="CC132" t="n">
        <v>19.275</v>
      </c>
      <c r="CD132" t="n">
        <v>17</v>
      </c>
      <c r="CO132" t="n">
        <v>61.2</v>
      </c>
      <c r="CP132" t="n">
        <v>61.40000000000001</v>
      </c>
      <c r="CQ132" t="n">
        <v>79</v>
      </c>
      <c r="DB132" t="n">
        <v>54.8</v>
      </c>
      <c r="DC132" t="n">
        <v>54.97499999999999</v>
      </c>
      <c r="DD132" t="n">
        <v>90</v>
      </c>
      <c r="DO132" t="n">
        <v>10.7</v>
      </c>
      <c r="DP132" t="n">
        <v>10.7125</v>
      </c>
      <c r="DQ132" t="n">
        <v>101</v>
      </c>
      <c r="EB132" t="n">
        <v>64</v>
      </c>
      <c r="EC132" t="n">
        <v>64.25</v>
      </c>
      <c r="ED132" t="n">
        <v>64</v>
      </c>
      <c r="EO132" t="n">
        <v>2.24</v>
      </c>
      <c r="EP132" t="n">
        <v>2.24875</v>
      </c>
      <c r="EQ132" t="n">
        <v>6</v>
      </c>
    </row>
    <row r="133">
      <c r="B133" t="n">
        <v>743.5</v>
      </c>
      <c r="C133" t="n">
        <v>744.25</v>
      </c>
      <c r="D133" t="n">
        <v>54</v>
      </c>
      <c r="O133" t="n">
        <v>38700</v>
      </c>
      <c r="P133" t="n">
        <v>38850</v>
      </c>
      <c r="Q133" t="n">
        <v>71</v>
      </c>
      <c r="AB133" t="n">
        <v>19350</v>
      </c>
      <c r="AC133" t="n">
        <v>19425</v>
      </c>
      <c r="AD133" t="n">
        <v>42</v>
      </c>
      <c r="AO133" t="n">
        <v>516000</v>
      </c>
      <c r="AP133" t="n">
        <v>518000</v>
      </c>
      <c r="AQ133" t="n">
        <v>14</v>
      </c>
      <c r="BB133" t="n">
        <v>903000</v>
      </c>
      <c r="BC133" t="n">
        <v>906500</v>
      </c>
      <c r="BD133" t="n">
        <v>6</v>
      </c>
      <c r="BO133" t="n">
        <v>0.774</v>
      </c>
      <c r="BP133" t="n">
        <v>0.777</v>
      </c>
      <c r="BQ133" t="n">
        <v>63</v>
      </c>
      <c r="CB133" t="n">
        <v>19.35</v>
      </c>
      <c r="CC133" t="n">
        <v>19.425</v>
      </c>
      <c r="CD133" t="n">
        <v>11</v>
      </c>
      <c r="CO133" t="n">
        <v>61.6</v>
      </c>
      <c r="CP133" t="n">
        <v>61.8</v>
      </c>
      <c r="CQ133" t="n">
        <v>92</v>
      </c>
      <c r="DB133" t="n">
        <v>55.15</v>
      </c>
      <c r="DC133" t="n">
        <v>55.325</v>
      </c>
      <c r="DD133" t="n">
        <v>94</v>
      </c>
      <c r="DO133" t="n">
        <v>10.725</v>
      </c>
      <c r="DP133" t="n">
        <v>10.7375</v>
      </c>
      <c r="DQ133" t="n">
        <v>96</v>
      </c>
      <c r="EB133" t="n">
        <v>64.5</v>
      </c>
      <c r="EC133" t="n">
        <v>64.75</v>
      </c>
      <c r="ED133" t="n">
        <v>65</v>
      </c>
      <c r="EO133" t="n">
        <v>2.2575</v>
      </c>
      <c r="EP133" t="n">
        <v>2.26625</v>
      </c>
      <c r="EQ133" t="n">
        <v>7</v>
      </c>
    </row>
    <row r="134">
      <c r="B134" t="n">
        <v>745</v>
      </c>
      <c r="C134" t="n">
        <v>745.75</v>
      </c>
      <c r="D134" t="n">
        <v>105</v>
      </c>
      <c r="O134" t="n">
        <v>39000</v>
      </c>
      <c r="P134" t="n">
        <v>39150</v>
      </c>
      <c r="Q134" t="n">
        <v>60</v>
      </c>
      <c r="AB134" t="n">
        <v>19500</v>
      </c>
      <c r="AC134" t="n">
        <v>19575</v>
      </c>
      <c r="AD134" t="n">
        <v>49</v>
      </c>
      <c r="AO134" t="n">
        <v>520000</v>
      </c>
      <c r="AP134" t="n">
        <v>522000</v>
      </c>
      <c r="AQ134" t="n">
        <v>19</v>
      </c>
      <c r="BB134" t="n">
        <v>910000</v>
      </c>
      <c r="BC134" t="n">
        <v>913500</v>
      </c>
      <c r="BD134" t="n">
        <v>2</v>
      </c>
      <c r="BO134" t="n">
        <v>0.78</v>
      </c>
      <c r="BP134" t="n">
        <v>0.783</v>
      </c>
      <c r="BQ134" t="n">
        <v>53</v>
      </c>
      <c r="CB134" t="n">
        <v>19.5</v>
      </c>
      <c r="CC134" t="n">
        <v>19.575</v>
      </c>
      <c r="CD134" t="n">
        <v>13</v>
      </c>
      <c r="CO134" t="n">
        <v>62</v>
      </c>
      <c r="CP134" t="n">
        <v>62.2</v>
      </c>
      <c r="CQ134" t="n">
        <v>84</v>
      </c>
      <c r="DB134" t="n">
        <v>55.5</v>
      </c>
      <c r="DC134" t="n">
        <v>55.675</v>
      </c>
      <c r="DD134" t="n">
        <v>93</v>
      </c>
      <c r="DO134" t="n">
        <v>10.75</v>
      </c>
      <c r="DP134" t="n">
        <v>10.7625</v>
      </c>
      <c r="DQ134" t="n">
        <v>92</v>
      </c>
      <c r="EB134" t="n">
        <v>65</v>
      </c>
      <c r="EC134" t="n">
        <v>65.25</v>
      </c>
      <c r="ED134" t="n">
        <v>55</v>
      </c>
      <c r="EO134" t="n">
        <v>2.275</v>
      </c>
      <c r="EP134" t="n">
        <v>2.28375</v>
      </c>
      <c r="EQ134" t="n">
        <v>5</v>
      </c>
    </row>
    <row r="135">
      <c r="B135" t="n">
        <v>746.5</v>
      </c>
      <c r="C135" t="n">
        <v>747.25</v>
      </c>
      <c r="D135" t="n">
        <v>56</v>
      </c>
      <c r="O135" t="n">
        <v>39300</v>
      </c>
      <c r="P135" t="n">
        <v>39450</v>
      </c>
      <c r="Q135" t="n">
        <v>71</v>
      </c>
      <c r="AB135" t="n">
        <v>19650</v>
      </c>
      <c r="AC135" t="n">
        <v>19725</v>
      </c>
      <c r="AD135" t="n">
        <v>45</v>
      </c>
      <c r="AO135" t="n">
        <v>524000</v>
      </c>
      <c r="AP135" t="n">
        <v>526000</v>
      </c>
      <c r="AQ135" t="n">
        <v>26</v>
      </c>
      <c r="BB135" t="n">
        <v>917000</v>
      </c>
      <c r="BC135" t="n">
        <v>920500</v>
      </c>
      <c r="BD135" t="n">
        <v>1</v>
      </c>
      <c r="BO135" t="n">
        <v>0.786</v>
      </c>
      <c r="BP135" t="n">
        <v>0.789</v>
      </c>
      <c r="BQ135" t="n">
        <v>50</v>
      </c>
      <c r="CB135" t="n">
        <v>19.65</v>
      </c>
      <c r="CC135" t="n">
        <v>19.725</v>
      </c>
      <c r="CD135" t="n">
        <v>6</v>
      </c>
      <c r="CO135" t="n">
        <v>62.40000000000001</v>
      </c>
      <c r="CP135" t="n">
        <v>62.6</v>
      </c>
      <c r="CQ135" t="n">
        <v>86</v>
      </c>
      <c r="DB135" t="n">
        <v>55.84999999999999</v>
      </c>
      <c r="DC135" t="n">
        <v>56.025</v>
      </c>
      <c r="DD135" t="n">
        <v>83</v>
      </c>
      <c r="DO135" t="n">
        <v>10.775</v>
      </c>
      <c r="DP135" t="n">
        <v>10.7875</v>
      </c>
      <c r="DQ135" t="n">
        <v>102</v>
      </c>
      <c r="EB135" t="n">
        <v>65.5</v>
      </c>
      <c r="EC135" t="n">
        <v>65.75</v>
      </c>
      <c r="ED135" t="n">
        <v>65</v>
      </c>
      <c r="EO135" t="n">
        <v>2.2925</v>
      </c>
      <c r="EP135" t="n">
        <v>2.30125</v>
      </c>
      <c r="EQ135" t="n">
        <v>9</v>
      </c>
    </row>
    <row r="136">
      <c r="B136" t="n">
        <v>748</v>
      </c>
      <c r="C136" t="n">
        <v>748.75</v>
      </c>
      <c r="D136" t="n">
        <v>100</v>
      </c>
      <c r="O136" t="n">
        <v>39600</v>
      </c>
      <c r="P136" t="n">
        <v>39750</v>
      </c>
      <c r="Q136" t="n">
        <v>58</v>
      </c>
      <c r="AB136" t="n">
        <v>19800</v>
      </c>
      <c r="AC136" t="n">
        <v>19875</v>
      </c>
      <c r="AD136" t="n">
        <v>31</v>
      </c>
      <c r="AO136" t="n">
        <v>528000</v>
      </c>
      <c r="AP136" t="n">
        <v>530000</v>
      </c>
      <c r="AQ136" t="n">
        <v>28</v>
      </c>
      <c r="BB136" t="n">
        <v>924000</v>
      </c>
      <c r="BC136" t="n">
        <v>927500</v>
      </c>
      <c r="BD136" t="n">
        <v>2</v>
      </c>
      <c r="BO136" t="n">
        <v>0.792</v>
      </c>
      <c r="BP136" t="n">
        <v>0.795</v>
      </c>
      <c r="BQ136" t="n">
        <v>61</v>
      </c>
      <c r="CB136" t="n">
        <v>19.8</v>
      </c>
      <c r="CC136" t="n">
        <v>19.875</v>
      </c>
      <c r="CD136" t="n">
        <v>14</v>
      </c>
      <c r="CO136" t="n">
        <v>62.8</v>
      </c>
      <c r="CP136" t="n">
        <v>63</v>
      </c>
      <c r="CQ136" t="n">
        <v>95</v>
      </c>
      <c r="DB136" t="n">
        <v>56.2</v>
      </c>
      <c r="DC136" t="n">
        <v>56.375</v>
      </c>
      <c r="DD136" t="n">
        <v>80</v>
      </c>
      <c r="DO136" t="n">
        <v>10.8</v>
      </c>
      <c r="DP136" t="n">
        <v>10.8125</v>
      </c>
      <c r="DQ136" t="n">
        <v>77</v>
      </c>
      <c r="EB136" t="n">
        <v>66</v>
      </c>
      <c r="EC136" t="n">
        <v>66.25</v>
      </c>
      <c r="ED136" t="n">
        <v>60</v>
      </c>
      <c r="EO136" t="n">
        <v>2.31</v>
      </c>
      <c r="EP136" t="n">
        <v>2.31875</v>
      </c>
      <c r="EQ136" t="n">
        <v>7</v>
      </c>
    </row>
    <row r="137">
      <c r="B137" t="n">
        <v>749.5</v>
      </c>
      <c r="C137" t="n">
        <v>750.25</v>
      </c>
      <c r="D137" t="n">
        <v>58</v>
      </c>
      <c r="O137" t="n">
        <v>39900</v>
      </c>
      <c r="P137" t="n">
        <v>40050</v>
      </c>
      <c r="Q137" t="n">
        <v>53</v>
      </c>
      <c r="AB137" t="n">
        <v>19950</v>
      </c>
      <c r="AC137" t="n">
        <v>20025</v>
      </c>
      <c r="AD137" t="n">
        <v>51</v>
      </c>
      <c r="AO137" t="n">
        <v>532000</v>
      </c>
      <c r="AP137" t="n">
        <v>534000</v>
      </c>
      <c r="AQ137" t="n">
        <v>24</v>
      </c>
      <c r="BB137" t="n">
        <v>931000</v>
      </c>
      <c r="BC137" t="n">
        <v>934500</v>
      </c>
      <c r="BD137" t="n">
        <v>6</v>
      </c>
      <c r="BO137" t="n">
        <v>0.798</v>
      </c>
      <c r="BP137" t="n">
        <v>0.801</v>
      </c>
      <c r="BQ137" t="n">
        <v>72</v>
      </c>
      <c r="CB137" t="n">
        <v>19.95</v>
      </c>
      <c r="CC137" t="n">
        <v>20.025</v>
      </c>
      <c r="CD137" t="n">
        <v>8</v>
      </c>
      <c r="CO137" t="n">
        <v>63.2</v>
      </c>
      <c r="CP137" t="n">
        <v>63.40000000000001</v>
      </c>
      <c r="CQ137" t="n">
        <v>109</v>
      </c>
      <c r="DB137" t="n">
        <v>56.55</v>
      </c>
      <c r="DC137" t="n">
        <v>56.72499999999999</v>
      </c>
      <c r="DD137" t="n">
        <v>85</v>
      </c>
      <c r="DO137" t="n">
        <v>10.825</v>
      </c>
      <c r="DP137" t="n">
        <v>10.8375</v>
      </c>
      <c r="DQ137" t="n">
        <v>81</v>
      </c>
      <c r="EB137" t="n">
        <v>66.5</v>
      </c>
      <c r="EC137" t="n">
        <v>66.75</v>
      </c>
      <c r="ED137" t="n">
        <v>60</v>
      </c>
      <c r="EO137" t="n">
        <v>2.3275</v>
      </c>
      <c r="EP137" t="n">
        <v>2.33625</v>
      </c>
      <c r="EQ137" t="n">
        <v>10</v>
      </c>
    </row>
    <row r="138">
      <c r="B138" t="n">
        <v>751</v>
      </c>
      <c r="C138" t="n">
        <v>751.75</v>
      </c>
      <c r="D138" t="n">
        <v>113</v>
      </c>
      <c r="O138" t="n">
        <v>40200</v>
      </c>
      <c r="P138" t="n">
        <v>40350</v>
      </c>
      <c r="Q138" t="n">
        <v>78</v>
      </c>
      <c r="AB138" t="n">
        <v>20100</v>
      </c>
      <c r="AC138" t="n">
        <v>20175</v>
      </c>
      <c r="AD138" t="n">
        <v>47</v>
      </c>
      <c r="AO138" t="n">
        <v>536000</v>
      </c>
      <c r="AP138" t="n">
        <v>538000</v>
      </c>
      <c r="AQ138" t="n">
        <v>20</v>
      </c>
      <c r="BB138" t="n">
        <v>938000</v>
      </c>
      <c r="BC138" t="n">
        <v>941500</v>
      </c>
      <c r="BD138" t="n">
        <v>3</v>
      </c>
      <c r="BO138" t="n">
        <v>0.804</v>
      </c>
      <c r="BP138" t="n">
        <v>0.8070000000000001</v>
      </c>
      <c r="BQ138" t="n">
        <v>48</v>
      </c>
      <c r="CB138" t="n">
        <v>20.1</v>
      </c>
      <c r="CC138" t="n">
        <v>20.175</v>
      </c>
      <c r="CD138" t="n">
        <v>15</v>
      </c>
      <c r="CO138" t="n">
        <v>63.6</v>
      </c>
      <c r="CP138" t="n">
        <v>63.8</v>
      </c>
      <c r="CQ138" t="n">
        <v>88</v>
      </c>
      <c r="DB138" t="n">
        <v>56.9</v>
      </c>
      <c r="DC138" t="n">
        <v>57.075</v>
      </c>
      <c r="DD138" t="n">
        <v>81</v>
      </c>
      <c r="DO138" t="n">
        <v>10.85</v>
      </c>
      <c r="DP138" t="n">
        <v>10.8625</v>
      </c>
      <c r="DQ138" t="n">
        <v>92</v>
      </c>
      <c r="EB138" t="n">
        <v>67</v>
      </c>
      <c r="EC138" t="n">
        <v>67.25</v>
      </c>
      <c r="ED138" t="n">
        <v>62</v>
      </c>
      <c r="EO138" t="n">
        <v>2.345</v>
      </c>
      <c r="EP138" t="n">
        <v>2.35375</v>
      </c>
      <c r="EQ138" t="n">
        <v>9</v>
      </c>
    </row>
    <row r="139">
      <c r="B139" t="n">
        <v>752.5</v>
      </c>
      <c r="C139" t="n">
        <v>753.25</v>
      </c>
      <c r="D139" t="n">
        <v>58</v>
      </c>
      <c r="O139" t="n">
        <v>40500</v>
      </c>
      <c r="P139" t="n">
        <v>40650</v>
      </c>
      <c r="Q139" t="n">
        <v>51</v>
      </c>
      <c r="AB139" t="n">
        <v>20250</v>
      </c>
      <c r="AC139" t="n">
        <v>20325</v>
      </c>
      <c r="AD139" t="n">
        <v>40</v>
      </c>
      <c r="AO139" t="n">
        <v>540000</v>
      </c>
      <c r="AP139" t="n">
        <v>542000</v>
      </c>
      <c r="AQ139" t="n">
        <v>12</v>
      </c>
      <c r="BB139" t="n">
        <v>945000</v>
      </c>
      <c r="BC139" t="n">
        <v>948500</v>
      </c>
      <c r="BD139" t="n">
        <v>1</v>
      </c>
      <c r="BO139" t="n">
        <v>0.8100000000000001</v>
      </c>
      <c r="BP139" t="n">
        <v>0.8130000000000001</v>
      </c>
      <c r="BQ139" t="n">
        <v>61</v>
      </c>
      <c r="CB139" t="n">
        <v>20.25</v>
      </c>
      <c r="CC139" t="n">
        <v>20.325</v>
      </c>
      <c r="CD139" t="n">
        <v>7</v>
      </c>
      <c r="CO139" t="n">
        <v>64</v>
      </c>
      <c r="CP139" t="n">
        <v>64.2</v>
      </c>
      <c r="CQ139" t="n">
        <v>82</v>
      </c>
      <c r="DB139" t="n">
        <v>57.25</v>
      </c>
      <c r="DC139" t="n">
        <v>57.425</v>
      </c>
      <c r="DD139" t="n">
        <v>86</v>
      </c>
      <c r="DO139" t="n">
        <v>10.875</v>
      </c>
      <c r="DP139" t="n">
        <v>10.8875</v>
      </c>
      <c r="DQ139" t="n">
        <v>80</v>
      </c>
      <c r="EB139" t="n">
        <v>67.5</v>
      </c>
      <c r="EC139" t="n">
        <v>67.75</v>
      </c>
      <c r="ED139" t="n">
        <v>67</v>
      </c>
      <c r="EO139" t="n">
        <v>2.3625</v>
      </c>
      <c r="EP139" t="n">
        <v>2.37125</v>
      </c>
      <c r="EQ139" t="n">
        <v>7</v>
      </c>
    </row>
    <row r="140">
      <c r="B140" t="n">
        <v>754</v>
      </c>
      <c r="C140" t="n">
        <v>754.75</v>
      </c>
      <c r="D140" t="n">
        <v>105</v>
      </c>
      <c r="O140" t="n">
        <v>40800</v>
      </c>
      <c r="P140" t="n">
        <v>40950</v>
      </c>
      <c r="Q140" t="n">
        <v>63</v>
      </c>
      <c r="AB140" t="n">
        <v>20400</v>
      </c>
      <c r="AC140" t="n">
        <v>20475</v>
      </c>
      <c r="AD140" t="n">
        <v>44</v>
      </c>
      <c r="AO140" t="n">
        <v>544000</v>
      </c>
      <c r="AP140" t="n">
        <v>546000</v>
      </c>
      <c r="AQ140" t="n">
        <v>21</v>
      </c>
      <c r="BB140" t="n">
        <v>952000</v>
      </c>
      <c r="BC140" t="n">
        <v>955500</v>
      </c>
      <c r="BD140" t="n">
        <v>1</v>
      </c>
      <c r="BO140" t="n">
        <v>0.8160000000000001</v>
      </c>
      <c r="BP140" t="n">
        <v>0.8190000000000001</v>
      </c>
      <c r="BQ140" t="n">
        <v>60</v>
      </c>
      <c r="CB140" t="n">
        <v>20.4</v>
      </c>
      <c r="CC140" t="n">
        <v>20.475</v>
      </c>
      <c r="CD140" t="n">
        <v>12</v>
      </c>
      <c r="CO140" t="n">
        <v>64.40000000000001</v>
      </c>
      <c r="CP140" t="n">
        <v>64.59999999999999</v>
      </c>
      <c r="CQ140" t="n">
        <v>80</v>
      </c>
      <c r="DB140" t="n">
        <v>57.59999999999999</v>
      </c>
      <c r="DC140" t="n">
        <v>57.775</v>
      </c>
      <c r="DD140" t="n">
        <v>90</v>
      </c>
      <c r="DO140" t="n">
        <v>10.9</v>
      </c>
      <c r="DP140" t="n">
        <v>10.9125</v>
      </c>
      <c r="DQ140" t="n">
        <v>79</v>
      </c>
      <c r="EB140" t="n">
        <v>68</v>
      </c>
      <c r="EC140" t="n">
        <v>68.25</v>
      </c>
      <c r="ED140" t="n">
        <v>49</v>
      </c>
      <c r="EO140" t="n">
        <v>2.38</v>
      </c>
      <c r="EP140" t="n">
        <v>2.38875</v>
      </c>
      <c r="EQ140" t="n">
        <v>12</v>
      </c>
    </row>
    <row r="141">
      <c r="B141" t="n">
        <v>755.5</v>
      </c>
      <c r="C141" t="n">
        <v>756.25</v>
      </c>
      <c r="D141" t="n">
        <v>59</v>
      </c>
      <c r="O141" t="n">
        <v>41100</v>
      </c>
      <c r="P141" t="n">
        <v>41250</v>
      </c>
      <c r="Q141" t="n">
        <v>63</v>
      </c>
      <c r="AB141" t="n">
        <v>20550</v>
      </c>
      <c r="AC141" t="n">
        <v>20625</v>
      </c>
      <c r="AD141" t="n">
        <v>38</v>
      </c>
      <c r="AO141" t="n">
        <v>548000</v>
      </c>
      <c r="AP141" t="n">
        <v>550000</v>
      </c>
      <c r="AQ141" t="n">
        <v>29</v>
      </c>
      <c r="BB141" t="n">
        <v>959000</v>
      </c>
      <c r="BC141" t="n">
        <v>962500</v>
      </c>
      <c r="BD141" t="n">
        <v>4</v>
      </c>
      <c r="BO141" t="n">
        <v>0.8220000000000001</v>
      </c>
      <c r="BP141" t="n">
        <v>0.8250000000000001</v>
      </c>
      <c r="BQ141" t="n">
        <v>51</v>
      </c>
      <c r="CB141" t="n">
        <v>20.55</v>
      </c>
      <c r="CC141" t="n">
        <v>20.625</v>
      </c>
      <c r="CD141" t="n">
        <v>5</v>
      </c>
      <c r="CO141" t="n">
        <v>64.80000000000001</v>
      </c>
      <c r="CP141" t="n">
        <v>65</v>
      </c>
      <c r="CQ141" t="n">
        <v>74</v>
      </c>
      <c r="DB141" t="n">
        <v>57.95</v>
      </c>
      <c r="DC141" t="n">
        <v>58.125</v>
      </c>
      <c r="DD141" t="n">
        <v>68</v>
      </c>
      <c r="DO141" t="n">
        <v>10.925</v>
      </c>
      <c r="DP141" t="n">
        <v>10.9375</v>
      </c>
      <c r="DQ141" t="n">
        <v>86</v>
      </c>
      <c r="EB141" t="n">
        <v>68.5</v>
      </c>
      <c r="EC141" t="n">
        <v>68.75</v>
      </c>
      <c r="ED141" t="n">
        <v>59</v>
      </c>
      <c r="EO141" t="n">
        <v>2.3975</v>
      </c>
      <c r="EP141" t="n">
        <v>2.40625</v>
      </c>
      <c r="EQ141" t="n">
        <v>8</v>
      </c>
    </row>
    <row r="142">
      <c r="B142" t="n">
        <v>757</v>
      </c>
      <c r="C142" t="n">
        <v>757.75</v>
      </c>
      <c r="D142" t="n">
        <v>97</v>
      </c>
      <c r="O142" t="n">
        <v>41400</v>
      </c>
      <c r="P142" t="n">
        <v>41550</v>
      </c>
      <c r="Q142" t="n">
        <v>78</v>
      </c>
      <c r="AB142" t="n">
        <v>20700</v>
      </c>
      <c r="AC142" t="n">
        <v>20775</v>
      </c>
      <c r="AD142" t="n">
        <v>41</v>
      </c>
      <c r="AO142" t="n">
        <v>552000</v>
      </c>
      <c r="AP142" t="n">
        <v>554000</v>
      </c>
      <c r="AQ142" t="n">
        <v>23</v>
      </c>
      <c r="BB142" t="n">
        <v>966000</v>
      </c>
      <c r="BC142" t="n">
        <v>969500</v>
      </c>
      <c r="BD142" t="n">
        <v>5</v>
      </c>
      <c r="BO142" t="n">
        <v>0.8280000000000001</v>
      </c>
      <c r="BP142" t="n">
        <v>0.8310000000000001</v>
      </c>
      <c r="BQ142" t="n">
        <v>73</v>
      </c>
      <c r="CB142" t="n">
        <v>20.7</v>
      </c>
      <c r="CC142" t="n">
        <v>20.775</v>
      </c>
      <c r="CD142" t="n">
        <v>6</v>
      </c>
      <c r="CO142" t="n">
        <v>65.2</v>
      </c>
      <c r="CP142" t="n">
        <v>65.40000000000001</v>
      </c>
      <c r="CQ142" t="n">
        <v>75</v>
      </c>
      <c r="DB142" t="n">
        <v>58.3</v>
      </c>
      <c r="DC142" t="n">
        <v>58.47499999999999</v>
      </c>
      <c r="DD142" t="n">
        <v>79</v>
      </c>
      <c r="DO142" t="n">
        <v>10.95</v>
      </c>
      <c r="DP142" t="n">
        <v>10.9625</v>
      </c>
      <c r="DQ142" t="n">
        <v>81</v>
      </c>
      <c r="EB142" t="n">
        <v>69</v>
      </c>
      <c r="EC142" t="n">
        <v>69.25</v>
      </c>
      <c r="ED142" t="n">
        <v>54</v>
      </c>
      <c r="EO142" t="n">
        <v>2.415</v>
      </c>
      <c r="EP142" t="n">
        <v>2.42375</v>
      </c>
      <c r="EQ142" t="n">
        <v>5</v>
      </c>
    </row>
    <row r="143">
      <c r="B143" t="n">
        <v>758.5</v>
      </c>
      <c r="C143" t="n">
        <v>759.25</v>
      </c>
      <c r="D143" t="n">
        <v>38</v>
      </c>
      <c r="O143" t="n">
        <v>41700</v>
      </c>
      <c r="P143" t="n">
        <v>41850</v>
      </c>
      <c r="Q143" t="n">
        <v>55</v>
      </c>
      <c r="AB143" t="n">
        <v>20850</v>
      </c>
      <c r="AC143" t="n">
        <v>20925</v>
      </c>
      <c r="AD143" t="n">
        <v>31</v>
      </c>
      <c r="AO143" t="n">
        <v>556000</v>
      </c>
      <c r="AP143" t="n">
        <v>558000</v>
      </c>
      <c r="AQ143" t="n">
        <v>18</v>
      </c>
      <c r="BB143" t="n">
        <v>973000</v>
      </c>
      <c r="BC143" t="n">
        <v>976500</v>
      </c>
      <c r="BD143" t="n">
        <v>3</v>
      </c>
      <c r="BO143" t="n">
        <v>0.834</v>
      </c>
      <c r="BP143" t="n">
        <v>0.837</v>
      </c>
      <c r="BQ143" t="n">
        <v>39</v>
      </c>
      <c r="CB143" t="n">
        <v>20.85</v>
      </c>
      <c r="CC143" t="n">
        <v>20.925</v>
      </c>
      <c r="CD143" t="n">
        <v>10</v>
      </c>
      <c r="CO143" t="n">
        <v>65.59999999999999</v>
      </c>
      <c r="CP143" t="n">
        <v>65.80000000000001</v>
      </c>
      <c r="CQ143" t="n">
        <v>62</v>
      </c>
      <c r="DB143" t="n">
        <v>58.65</v>
      </c>
      <c r="DC143" t="n">
        <v>58.825</v>
      </c>
      <c r="DD143" t="n">
        <v>74</v>
      </c>
      <c r="DO143" t="n">
        <v>10.975</v>
      </c>
      <c r="DP143" t="n">
        <v>10.9875</v>
      </c>
      <c r="DQ143" t="n">
        <v>80</v>
      </c>
      <c r="EB143" t="n">
        <v>69.5</v>
      </c>
      <c r="EC143" t="n">
        <v>69.75</v>
      </c>
      <c r="ED143" t="n">
        <v>65</v>
      </c>
      <c r="EO143" t="n">
        <v>2.4325</v>
      </c>
      <c r="EP143" t="n">
        <v>2.44125</v>
      </c>
      <c r="EQ143" t="n">
        <v>8</v>
      </c>
    </row>
    <row r="144">
      <c r="B144" t="n">
        <v>760</v>
      </c>
      <c r="C144" t="n">
        <v>760.75</v>
      </c>
      <c r="D144" t="n">
        <v>86</v>
      </c>
      <c r="O144" t="n">
        <v>42000</v>
      </c>
      <c r="P144" t="n">
        <v>42150</v>
      </c>
      <c r="Q144" t="n">
        <v>77</v>
      </c>
      <c r="AB144" t="n">
        <v>21000</v>
      </c>
      <c r="AC144" t="n">
        <v>21075</v>
      </c>
      <c r="AD144" t="n">
        <v>38</v>
      </c>
      <c r="AO144" t="n">
        <v>560000</v>
      </c>
      <c r="AP144" t="n">
        <v>562000</v>
      </c>
      <c r="AQ144" t="n">
        <v>18</v>
      </c>
      <c r="BB144" t="n">
        <v>980000</v>
      </c>
      <c r="BC144" t="n">
        <v>983500</v>
      </c>
      <c r="BD144" t="n">
        <v>5</v>
      </c>
      <c r="BO144" t="n">
        <v>0.84</v>
      </c>
      <c r="BP144" t="n">
        <v>0.843</v>
      </c>
      <c r="BQ144" t="n">
        <v>57</v>
      </c>
      <c r="CB144" t="n">
        <v>21</v>
      </c>
      <c r="CC144" t="n">
        <v>21.075</v>
      </c>
      <c r="CD144" t="n">
        <v>10</v>
      </c>
      <c r="CO144" t="n">
        <v>66</v>
      </c>
      <c r="CP144" t="n">
        <v>66.2</v>
      </c>
      <c r="CQ144" t="n">
        <v>67</v>
      </c>
      <c r="DB144" t="n">
        <v>59</v>
      </c>
      <c r="DC144" t="n">
        <v>59.175</v>
      </c>
      <c r="DD144" t="n">
        <v>73</v>
      </c>
      <c r="DO144" t="n">
        <v>11</v>
      </c>
      <c r="DP144" t="n">
        <v>11.0125</v>
      </c>
      <c r="DQ144" t="n">
        <v>83</v>
      </c>
      <c r="EB144" t="n">
        <v>70</v>
      </c>
      <c r="EC144" t="n">
        <v>70.25</v>
      </c>
      <c r="ED144" t="n">
        <v>52</v>
      </c>
      <c r="EO144" t="n">
        <v>2.45</v>
      </c>
      <c r="EP144" t="n">
        <v>2.45875</v>
      </c>
      <c r="EQ144" t="n">
        <v>6</v>
      </c>
    </row>
    <row r="145">
      <c r="B145" t="n">
        <v>761.5</v>
      </c>
      <c r="C145" t="n">
        <v>762.25</v>
      </c>
      <c r="D145" t="n">
        <v>45</v>
      </c>
      <c r="O145" t="n">
        <v>42300</v>
      </c>
      <c r="P145" t="n">
        <v>42450</v>
      </c>
      <c r="Q145" t="n">
        <v>67</v>
      </c>
      <c r="AB145" t="n">
        <v>21150</v>
      </c>
      <c r="AC145" t="n">
        <v>21225</v>
      </c>
      <c r="AD145" t="n">
        <v>32</v>
      </c>
      <c r="AO145" t="n">
        <v>564000</v>
      </c>
      <c r="AP145" t="n">
        <v>566000</v>
      </c>
      <c r="AQ145" t="n">
        <v>17</v>
      </c>
      <c r="BB145" t="n">
        <v>987000</v>
      </c>
      <c r="BC145" t="n">
        <v>990500</v>
      </c>
      <c r="BD145" t="n">
        <v>4</v>
      </c>
      <c r="BO145" t="n">
        <v>0.846</v>
      </c>
      <c r="BP145" t="n">
        <v>0.849</v>
      </c>
      <c r="BQ145" t="n">
        <v>53</v>
      </c>
      <c r="CB145" t="n">
        <v>21.15</v>
      </c>
      <c r="CC145" t="n">
        <v>21.225</v>
      </c>
      <c r="CD145" t="n">
        <v>4</v>
      </c>
      <c r="CO145" t="n">
        <v>66.40000000000001</v>
      </c>
      <c r="CP145" t="n">
        <v>66.59999999999999</v>
      </c>
      <c r="CQ145" t="n">
        <v>78</v>
      </c>
      <c r="DB145" t="n">
        <v>59.34999999999999</v>
      </c>
      <c r="DC145" t="n">
        <v>59.525</v>
      </c>
      <c r="DD145" t="n">
        <v>76</v>
      </c>
      <c r="DO145" t="n">
        <v>11.025</v>
      </c>
      <c r="DP145" t="n">
        <v>11.0375</v>
      </c>
      <c r="DQ145" t="n">
        <v>77</v>
      </c>
      <c r="EB145" t="n">
        <v>70.5</v>
      </c>
      <c r="EC145" t="n">
        <v>70.75</v>
      </c>
      <c r="ED145" t="n">
        <v>51</v>
      </c>
      <c r="EO145" t="n">
        <v>2.4675</v>
      </c>
      <c r="EP145" t="n">
        <v>2.47625</v>
      </c>
      <c r="EQ145" t="n">
        <v>6</v>
      </c>
    </row>
    <row r="146">
      <c r="B146" t="n">
        <v>763</v>
      </c>
      <c r="C146" t="n">
        <v>763.75</v>
      </c>
      <c r="D146" t="n">
        <v>85</v>
      </c>
      <c r="O146" t="n">
        <v>42600</v>
      </c>
      <c r="P146" t="n">
        <v>42750</v>
      </c>
      <c r="Q146" t="n">
        <v>55</v>
      </c>
      <c r="AB146" t="n">
        <v>21300</v>
      </c>
      <c r="AC146" t="n">
        <v>21375</v>
      </c>
      <c r="AD146" t="n">
        <v>39</v>
      </c>
      <c r="AO146" t="n">
        <v>568000</v>
      </c>
      <c r="AP146" t="n">
        <v>570000</v>
      </c>
      <c r="AQ146" t="n">
        <v>23</v>
      </c>
      <c r="BB146" t="n">
        <v>994000</v>
      </c>
      <c r="BC146" t="n">
        <v>997500</v>
      </c>
      <c r="BD146" t="n">
        <v>9</v>
      </c>
      <c r="BO146" t="n">
        <v>0.852</v>
      </c>
      <c r="BP146" t="n">
        <v>0.855</v>
      </c>
      <c r="BQ146" t="n">
        <v>70</v>
      </c>
      <c r="CB146" t="n">
        <v>21.3</v>
      </c>
      <c r="CC146" t="n">
        <v>21.375</v>
      </c>
      <c r="CD146" t="n">
        <v>15</v>
      </c>
      <c r="CO146" t="n">
        <v>66.80000000000001</v>
      </c>
      <c r="CP146" t="n">
        <v>67</v>
      </c>
      <c r="CQ146" t="n">
        <v>61</v>
      </c>
      <c r="DB146" t="n">
        <v>59.7</v>
      </c>
      <c r="DC146" t="n">
        <v>59.875</v>
      </c>
      <c r="DD146" t="n">
        <v>80</v>
      </c>
      <c r="DO146" t="n">
        <v>11.05</v>
      </c>
      <c r="DP146" t="n">
        <v>11.0625</v>
      </c>
      <c r="DQ146" t="n">
        <v>71</v>
      </c>
      <c r="EB146" t="n">
        <v>71</v>
      </c>
      <c r="EC146" t="n">
        <v>71.25</v>
      </c>
      <c r="ED146" t="n">
        <v>54</v>
      </c>
      <c r="EO146" t="n">
        <v>2.485</v>
      </c>
      <c r="EP146" t="n">
        <v>2.49375</v>
      </c>
      <c r="EQ146" t="n">
        <v>8</v>
      </c>
    </row>
    <row r="147">
      <c r="B147" t="n">
        <v>764.5</v>
      </c>
      <c r="C147" t="n">
        <v>765.25</v>
      </c>
      <c r="D147" t="n">
        <v>31</v>
      </c>
      <c r="O147" t="n">
        <v>42900</v>
      </c>
      <c r="P147" t="n">
        <v>43050</v>
      </c>
      <c r="Q147" t="n">
        <v>71</v>
      </c>
      <c r="AB147" t="n">
        <v>21450</v>
      </c>
      <c r="AC147" t="n">
        <v>21525</v>
      </c>
      <c r="AD147" t="n">
        <v>29</v>
      </c>
      <c r="AO147" t="n">
        <v>572000</v>
      </c>
      <c r="AP147" t="n">
        <v>574000</v>
      </c>
      <c r="AQ147" t="n">
        <v>18</v>
      </c>
      <c r="BB147" t="n">
        <v>1001000</v>
      </c>
      <c r="BC147" t="n">
        <v>1004500</v>
      </c>
      <c r="BD147" t="n">
        <v>6</v>
      </c>
      <c r="BO147" t="n">
        <v>0.858</v>
      </c>
      <c r="BP147" t="n">
        <v>0.861</v>
      </c>
      <c r="BQ147" t="n">
        <v>44</v>
      </c>
      <c r="CB147" t="n">
        <v>21.45</v>
      </c>
      <c r="CC147" t="n">
        <v>21.525</v>
      </c>
      <c r="CD147" t="n">
        <v>8</v>
      </c>
      <c r="CO147" t="n">
        <v>67.2</v>
      </c>
      <c r="CP147" t="n">
        <v>67.40000000000001</v>
      </c>
      <c r="CQ147" t="n">
        <v>66</v>
      </c>
      <c r="DB147" t="n">
        <v>60.05</v>
      </c>
      <c r="DC147" t="n">
        <v>60.22499999999999</v>
      </c>
      <c r="DD147" t="n">
        <v>81</v>
      </c>
      <c r="DO147" t="n">
        <v>11.075</v>
      </c>
      <c r="DP147" t="n">
        <v>11.0875</v>
      </c>
      <c r="DQ147" t="n">
        <v>72</v>
      </c>
      <c r="EB147" t="n">
        <v>71.5</v>
      </c>
      <c r="EC147" t="n">
        <v>71.75</v>
      </c>
      <c r="ED147" t="n">
        <v>62</v>
      </c>
      <c r="EO147" t="n">
        <v>2.5025</v>
      </c>
      <c r="EP147" t="n">
        <v>2.51125</v>
      </c>
      <c r="EQ147" t="n">
        <v>10</v>
      </c>
    </row>
    <row r="148">
      <c r="B148" t="n">
        <v>766</v>
      </c>
      <c r="C148" t="n">
        <v>766.75</v>
      </c>
      <c r="D148" t="n">
        <v>75</v>
      </c>
      <c r="O148" t="n">
        <v>43200</v>
      </c>
      <c r="P148" t="n">
        <v>43350</v>
      </c>
      <c r="Q148" t="n">
        <v>61</v>
      </c>
      <c r="AB148" t="n">
        <v>21600</v>
      </c>
      <c r="AC148" t="n">
        <v>21675</v>
      </c>
      <c r="AD148" t="n">
        <v>34</v>
      </c>
      <c r="AO148" t="n">
        <v>576000</v>
      </c>
      <c r="AP148" t="n">
        <v>578000</v>
      </c>
      <c r="AQ148" t="n">
        <v>8</v>
      </c>
      <c r="BB148" t="n">
        <v>1008000</v>
      </c>
      <c r="BC148" t="n">
        <v>1011500</v>
      </c>
      <c r="BD148" t="n">
        <v>7</v>
      </c>
      <c r="BO148" t="n">
        <v>0.864</v>
      </c>
      <c r="BP148" t="n">
        <v>0.867</v>
      </c>
      <c r="BQ148" t="n">
        <v>66</v>
      </c>
      <c r="CB148" t="n">
        <v>21.6</v>
      </c>
      <c r="CC148" t="n">
        <v>21.675</v>
      </c>
      <c r="CD148" t="n">
        <v>13</v>
      </c>
      <c r="CO148" t="n">
        <v>67.59999999999999</v>
      </c>
      <c r="CP148" t="n">
        <v>67.80000000000001</v>
      </c>
      <c r="CQ148" t="n">
        <v>55</v>
      </c>
      <c r="DB148" t="n">
        <v>60.4</v>
      </c>
      <c r="DC148" t="n">
        <v>60.575</v>
      </c>
      <c r="DD148" t="n">
        <v>66</v>
      </c>
      <c r="DO148" t="n">
        <v>11.1</v>
      </c>
      <c r="DP148" t="n">
        <v>11.1125</v>
      </c>
      <c r="DQ148" t="n">
        <v>66</v>
      </c>
      <c r="EB148" t="n">
        <v>72</v>
      </c>
      <c r="EC148" t="n">
        <v>72.25</v>
      </c>
      <c r="ED148" t="n">
        <v>53</v>
      </c>
      <c r="EO148" t="n">
        <v>2.52</v>
      </c>
      <c r="EP148" t="n">
        <v>2.52875</v>
      </c>
      <c r="EQ148" t="n">
        <v>4</v>
      </c>
    </row>
    <row r="149">
      <c r="B149" t="n">
        <v>767.5</v>
      </c>
      <c r="C149" t="n">
        <v>768.25</v>
      </c>
      <c r="D149" t="n">
        <v>38</v>
      </c>
      <c r="O149" t="n">
        <v>43500</v>
      </c>
      <c r="P149" t="n">
        <v>43650</v>
      </c>
      <c r="Q149" t="n">
        <v>77</v>
      </c>
      <c r="AB149" t="n">
        <v>21750</v>
      </c>
      <c r="AC149" t="n">
        <v>21825</v>
      </c>
      <c r="AD149" t="n">
        <v>30</v>
      </c>
      <c r="AO149" t="n">
        <v>580000</v>
      </c>
      <c r="AP149" t="n">
        <v>582000</v>
      </c>
      <c r="AQ149" t="n">
        <v>16</v>
      </c>
      <c r="BB149" t="n">
        <v>1015000</v>
      </c>
      <c r="BC149" t="n">
        <v>1018500</v>
      </c>
      <c r="BD149" t="n">
        <v>1</v>
      </c>
      <c r="BO149" t="n">
        <v>0.87</v>
      </c>
      <c r="BP149" t="n">
        <v>0.873</v>
      </c>
      <c r="BQ149" t="n">
        <v>58</v>
      </c>
      <c r="CB149" t="n">
        <v>21.75</v>
      </c>
      <c r="CC149" t="n">
        <v>21.825</v>
      </c>
      <c r="CD149" t="n">
        <v>5</v>
      </c>
      <c r="CO149" t="n">
        <v>68</v>
      </c>
      <c r="CP149" t="n">
        <v>68.2</v>
      </c>
      <c r="CQ149" t="n">
        <v>60</v>
      </c>
      <c r="DB149" t="n">
        <v>60.75</v>
      </c>
      <c r="DC149" t="n">
        <v>60.925</v>
      </c>
      <c r="DD149" t="n">
        <v>50</v>
      </c>
      <c r="DO149" t="n">
        <v>11.125</v>
      </c>
      <c r="DP149" t="n">
        <v>11.1375</v>
      </c>
      <c r="DQ149" t="n">
        <v>57</v>
      </c>
      <c r="EB149" t="n">
        <v>72.5</v>
      </c>
      <c r="EC149" t="n">
        <v>72.75</v>
      </c>
      <c r="ED149" t="n">
        <v>50</v>
      </c>
      <c r="EO149" t="n">
        <v>2.5375</v>
      </c>
      <c r="EP149" t="n">
        <v>2.54625</v>
      </c>
      <c r="EQ149" t="n">
        <v>7</v>
      </c>
    </row>
    <row r="150">
      <c r="B150" t="n">
        <v>769</v>
      </c>
      <c r="C150" t="n">
        <v>769.75</v>
      </c>
      <c r="D150" t="n">
        <v>68</v>
      </c>
      <c r="O150" t="n">
        <v>43800</v>
      </c>
      <c r="P150" t="n">
        <v>43950</v>
      </c>
      <c r="Q150" t="n">
        <v>62</v>
      </c>
      <c r="AB150" t="n">
        <v>21900</v>
      </c>
      <c r="AC150" t="n">
        <v>21975</v>
      </c>
      <c r="AD150" t="n">
        <v>30</v>
      </c>
      <c r="AO150" t="n">
        <v>584000</v>
      </c>
      <c r="AP150" t="n">
        <v>586000</v>
      </c>
      <c r="AQ150" t="n">
        <v>17</v>
      </c>
      <c r="BB150" t="n">
        <v>1022000</v>
      </c>
      <c r="BC150" t="n">
        <v>1025500</v>
      </c>
      <c r="BD150" t="n">
        <v>2</v>
      </c>
      <c r="BO150" t="n">
        <v>0.876</v>
      </c>
      <c r="BP150" t="n">
        <v>0.879</v>
      </c>
      <c r="BQ150" t="n">
        <v>52</v>
      </c>
      <c r="CB150" t="n">
        <v>21.9</v>
      </c>
      <c r="CC150" t="n">
        <v>21.975</v>
      </c>
      <c r="CD150" t="n">
        <v>8</v>
      </c>
      <c r="CO150" t="n">
        <v>68.40000000000001</v>
      </c>
      <c r="CP150" t="n">
        <v>68.59999999999999</v>
      </c>
      <c r="CQ150" t="n">
        <v>55</v>
      </c>
      <c r="DB150" t="n">
        <v>61.09999999999999</v>
      </c>
      <c r="DC150" t="n">
        <v>61.275</v>
      </c>
      <c r="DD150" t="n">
        <v>63</v>
      </c>
      <c r="DO150" t="n">
        <v>11.15</v>
      </c>
      <c r="DP150" t="n">
        <v>11.1625</v>
      </c>
      <c r="DQ150" t="n">
        <v>79</v>
      </c>
      <c r="EB150" t="n">
        <v>73</v>
      </c>
      <c r="EC150" t="n">
        <v>73.25</v>
      </c>
      <c r="ED150" t="n">
        <v>72</v>
      </c>
      <c r="EO150" t="n">
        <v>2.555</v>
      </c>
      <c r="EP150" t="n">
        <v>2.56375</v>
      </c>
      <c r="EQ150" t="n">
        <v>8</v>
      </c>
    </row>
    <row r="151">
      <c r="B151" t="n">
        <v>770.5</v>
      </c>
      <c r="C151" t="n">
        <v>771.25</v>
      </c>
      <c r="D151" t="n">
        <v>38</v>
      </c>
      <c r="O151" t="n">
        <v>44100</v>
      </c>
      <c r="P151" t="n">
        <v>44250</v>
      </c>
      <c r="Q151" t="n">
        <v>69</v>
      </c>
      <c r="AB151" t="n">
        <v>22050</v>
      </c>
      <c r="AC151" t="n">
        <v>22125</v>
      </c>
      <c r="AD151" t="n">
        <v>22</v>
      </c>
      <c r="AO151" t="n">
        <v>588000</v>
      </c>
      <c r="AP151" t="n">
        <v>590000</v>
      </c>
      <c r="AQ151" t="n">
        <v>15</v>
      </c>
      <c r="BB151" t="n">
        <v>1029000</v>
      </c>
      <c r="BC151" t="n">
        <v>1032500</v>
      </c>
      <c r="BD151" t="n">
        <v>3</v>
      </c>
      <c r="BO151" t="n">
        <v>0.882</v>
      </c>
      <c r="BP151" t="n">
        <v>0.885</v>
      </c>
      <c r="BQ151" t="n">
        <v>61</v>
      </c>
      <c r="CB151" t="n">
        <v>22.05</v>
      </c>
      <c r="CC151" t="n">
        <v>22.125</v>
      </c>
      <c r="CD151" t="n">
        <v>7</v>
      </c>
      <c r="CO151" t="n">
        <v>68.80000000000001</v>
      </c>
      <c r="CP151" t="n">
        <v>69</v>
      </c>
      <c r="CQ151" t="n">
        <v>72</v>
      </c>
      <c r="DB151" t="n">
        <v>61.45</v>
      </c>
      <c r="DC151" t="n">
        <v>61.625</v>
      </c>
      <c r="DD151" t="n">
        <v>60</v>
      </c>
      <c r="DO151" t="n">
        <v>11.175</v>
      </c>
      <c r="DP151" t="n">
        <v>11.1875</v>
      </c>
      <c r="DQ151" t="n">
        <v>54</v>
      </c>
      <c r="EB151" t="n">
        <v>73.5</v>
      </c>
      <c r="EC151" t="n">
        <v>73.75</v>
      </c>
      <c r="ED151" t="n">
        <v>56</v>
      </c>
      <c r="EO151" t="n">
        <v>2.5725</v>
      </c>
      <c r="EP151" t="n">
        <v>2.58125</v>
      </c>
      <c r="EQ151" t="n">
        <v>10</v>
      </c>
    </row>
    <row r="152">
      <c r="B152" t="n">
        <v>772</v>
      </c>
      <c r="C152" t="n">
        <v>772.75</v>
      </c>
      <c r="D152" t="n">
        <v>74</v>
      </c>
      <c r="O152" t="n">
        <v>44400</v>
      </c>
      <c r="P152" t="n">
        <v>44550</v>
      </c>
      <c r="Q152" t="n">
        <v>69</v>
      </c>
      <c r="AB152" t="n">
        <v>22200</v>
      </c>
      <c r="AC152" t="n">
        <v>22275</v>
      </c>
      <c r="AD152" t="n">
        <v>31</v>
      </c>
      <c r="AO152" t="n">
        <v>592000</v>
      </c>
      <c r="AP152" t="n">
        <v>594000</v>
      </c>
      <c r="AQ152" t="n">
        <v>16</v>
      </c>
      <c r="BB152" t="n">
        <v>1036000</v>
      </c>
      <c r="BC152" t="n">
        <v>1039500</v>
      </c>
      <c r="BD152" t="n">
        <v>3</v>
      </c>
      <c r="BO152" t="n">
        <v>0.888</v>
      </c>
      <c r="BP152" t="n">
        <v>0.891</v>
      </c>
      <c r="BQ152" t="n">
        <v>56</v>
      </c>
      <c r="CB152" t="n">
        <v>22.2</v>
      </c>
      <c r="CC152" t="n">
        <v>22.275</v>
      </c>
      <c r="CD152" t="n">
        <v>10</v>
      </c>
      <c r="CO152" t="n">
        <v>69.2</v>
      </c>
      <c r="CP152" t="n">
        <v>69.40000000000001</v>
      </c>
      <c r="CQ152" t="n">
        <v>68</v>
      </c>
      <c r="DB152" t="n">
        <v>61.8</v>
      </c>
      <c r="DC152" t="n">
        <v>61.97499999999999</v>
      </c>
      <c r="DD152" t="n">
        <v>67</v>
      </c>
      <c r="DO152" t="n">
        <v>11.2</v>
      </c>
      <c r="DP152" t="n">
        <v>11.2125</v>
      </c>
      <c r="DQ152" t="n">
        <v>54</v>
      </c>
      <c r="EB152" t="n">
        <v>74</v>
      </c>
      <c r="EC152" t="n">
        <v>74.25</v>
      </c>
      <c r="ED152" t="n">
        <v>57</v>
      </c>
      <c r="EO152" t="n">
        <v>2.59</v>
      </c>
      <c r="EP152" t="n">
        <v>2.59875</v>
      </c>
      <c r="EQ152" t="n">
        <v>3</v>
      </c>
    </row>
    <row r="153">
      <c r="B153" t="n">
        <v>773.5</v>
      </c>
      <c r="C153" t="n">
        <v>774.25</v>
      </c>
      <c r="D153" t="n">
        <v>32</v>
      </c>
      <c r="O153" t="n">
        <v>44700</v>
      </c>
      <c r="P153" t="n">
        <v>44850</v>
      </c>
      <c r="Q153" t="n">
        <v>62</v>
      </c>
      <c r="AB153" t="n">
        <v>22350</v>
      </c>
      <c r="AC153" t="n">
        <v>22425</v>
      </c>
      <c r="AD153" t="n">
        <v>27</v>
      </c>
      <c r="AO153" t="n">
        <v>596000</v>
      </c>
      <c r="AP153" t="n">
        <v>598000</v>
      </c>
      <c r="AQ153" t="n">
        <v>15</v>
      </c>
      <c r="BB153" t="n">
        <v>1043000</v>
      </c>
      <c r="BC153" t="n">
        <v>1046500</v>
      </c>
      <c r="BD153" t="n">
        <v>3</v>
      </c>
      <c r="BO153" t="n">
        <v>0.894</v>
      </c>
      <c r="BP153" t="n">
        <v>0.897</v>
      </c>
      <c r="BQ153" t="n">
        <v>58</v>
      </c>
      <c r="CB153" t="n">
        <v>22.35</v>
      </c>
      <c r="CC153" t="n">
        <v>22.425</v>
      </c>
      <c r="CD153" t="n">
        <v>6</v>
      </c>
      <c r="CO153" t="n">
        <v>69.59999999999999</v>
      </c>
      <c r="CP153" t="n">
        <v>69.80000000000001</v>
      </c>
      <c r="CQ153" t="n">
        <v>57</v>
      </c>
      <c r="DB153" t="n">
        <v>62.15</v>
      </c>
      <c r="DC153" t="n">
        <v>62.325</v>
      </c>
      <c r="DD153" t="n">
        <v>48</v>
      </c>
      <c r="DO153" t="n">
        <v>11.225</v>
      </c>
      <c r="DP153" t="n">
        <v>11.2375</v>
      </c>
      <c r="DQ153" t="n">
        <v>70</v>
      </c>
      <c r="EB153" t="n">
        <v>74.5</v>
      </c>
      <c r="EC153" t="n">
        <v>74.75</v>
      </c>
      <c r="ED153" t="n">
        <v>55</v>
      </c>
      <c r="EO153" t="n">
        <v>2.6075</v>
      </c>
      <c r="EP153" t="n">
        <v>2.61625</v>
      </c>
      <c r="EQ153" t="n">
        <v>2</v>
      </c>
    </row>
    <row r="154">
      <c r="B154" t="n">
        <v>775</v>
      </c>
      <c r="C154" t="n">
        <v>775.75</v>
      </c>
      <c r="D154" t="n">
        <v>61</v>
      </c>
      <c r="O154" t="n">
        <v>45000</v>
      </c>
      <c r="P154" t="n">
        <v>45150</v>
      </c>
      <c r="Q154" t="n">
        <v>59</v>
      </c>
      <c r="AB154" t="n">
        <v>22500</v>
      </c>
      <c r="AC154" t="n">
        <v>22575</v>
      </c>
      <c r="AD154" t="n">
        <v>35</v>
      </c>
      <c r="AO154" t="n">
        <v>600000</v>
      </c>
      <c r="AP154" t="n">
        <v>602000</v>
      </c>
      <c r="AQ154" t="n">
        <v>15</v>
      </c>
      <c r="BB154" t="n">
        <v>1050000</v>
      </c>
      <c r="BC154" t="n">
        <v>1053500</v>
      </c>
      <c r="BD154" t="n">
        <v>2</v>
      </c>
      <c r="BO154" t="n">
        <v>0.9</v>
      </c>
      <c r="BP154" t="n">
        <v>0.903</v>
      </c>
      <c r="BQ154" t="n">
        <v>70</v>
      </c>
      <c r="CB154" t="n">
        <v>22.5</v>
      </c>
      <c r="CC154" t="n">
        <v>22.575</v>
      </c>
      <c r="CD154" t="n">
        <v>10</v>
      </c>
      <c r="CO154" t="n">
        <v>70</v>
      </c>
      <c r="CP154" t="n">
        <v>70.2</v>
      </c>
      <c r="CQ154" t="n">
        <v>58</v>
      </c>
      <c r="DB154" t="n">
        <v>62.5</v>
      </c>
      <c r="DC154" t="n">
        <v>62.675</v>
      </c>
      <c r="DD154" t="n">
        <v>53</v>
      </c>
      <c r="DO154" t="n">
        <v>11.25</v>
      </c>
      <c r="DP154" t="n">
        <v>11.2625</v>
      </c>
      <c r="DQ154" t="n">
        <v>52</v>
      </c>
      <c r="EB154" t="n">
        <v>75</v>
      </c>
      <c r="EC154" t="n">
        <v>75.25</v>
      </c>
      <c r="ED154" t="n">
        <v>66</v>
      </c>
      <c r="EO154" t="n">
        <v>2.625</v>
      </c>
      <c r="EP154" t="n">
        <v>2.63375</v>
      </c>
      <c r="EQ154" t="n">
        <v>5</v>
      </c>
    </row>
    <row r="155">
      <c r="B155" t="n">
        <v>776.5</v>
      </c>
      <c r="C155" t="n">
        <v>777.25</v>
      </c>
      <c r="D155" t="n">
        <v>39</v>
      </c>
      <c r="O155" t="n">
        <v>45300</v>
      </c>
      <c r="P155" t="n">
        <v>45450</v>
      </c>
      <c r="Q155" t="n">
        <v>72</v>
      </c>
      <c r="AB155" t="n">
        <v>22650</v>
      </c>
      <c r="AC155" t="n">
        <v>22725</v>
      </c>
      <c r="AD155" t="n">
        <v>24</v>
      </c>
      <c r="AO155" t="n">
        <v>604000</v>
      </c>
      <c r="AP155" t="n">
        <v>606000</v>
      </c>
      <c r="AQ155" t="n">
        <v>15</v>
      </c>
      <c r="BB155" t="n">
        <v>1057000</v>
      </c>
      <c r="BC155" t="n">
        <v>1060500</v>
      </c>
      <c r="BD155" t="n">
        <v>4</v>
      </c>
      <c r="BO155" t="n">
        <v>0.906</v>
      </c>
      <c r="BP155" t="n">
        <v>0.909</v>
      </c>
      <c r="BQ155" t="n">
        <v>65</v>
      </c>
      <c r="CB155" t="n">
        <v>22.65</v>
      </c>
      <c r="CC155" t="n">
        <v>22.725</v>
      </c>
      <c r="CD155" t="n">
        <v>8</v>
      </c>
      <c r="CO155" t="n">
        <v>70.40000000000001</v>
      </c>
      <c r="CP155" t="n">
        <v>70.59999999999999</v>
      </c>
      <c r="CQ155" t="n">
        <v>47</v>
      </c>
      <c r="DB155" t="n">
        <v>62.84999999999999</v>
      </c>
      <c r="DC155" t="n">
        <v>63.025</v>
      </c>
      <c r="DD155" t="n">
        <v>41</v>
      </c>
      <c r="DO155" t="n">
        <v>11.275</v>
      </c>
      <c r="DP155" t="n">
        <v>11.2875</v>
      </c>
      <c r="DQ155" t="n">
        <v>56</v>
      </c>
      <c r="EB155" t="n">
        <v>75.5</v>
      </c>
      <c r="EC155" t="n">
        <v>75.75</v>
      </c>
      <c r="ED155" t="n">
        <v>74</v>
      </c>
      <c r="EO155" t="n">
        <v>2.6425</v>
      </c>
      <c r="EP155" t="n">
        <v>2.65125</v>
      </c>
      <c r="EQ155" t="n">
        <v>9</v>
      </c>
    </row>
    <row r="156">
      <c r="B156" t="n">
        <v>778</v>
      </c>
      <c r="C156" t="n">
        <v>778.75</v>
      </c>
      <c r="D156" t="n">
        <v>71</v>
      </c>
      <c r="O156" t="n">
        <v>45600</v>
      </c>
      <c r="P156" t="n">
        <v>45750</v>
      </c>
      <c r="Q156" t="n">
        <v>60</v>
      </c>
      <c r="AB156" t="n">
        <v>22800</v>
      </c>
      <c r="AC156" t="n">
        <v>22875</v>
      </c>
      <c r="AD156" t="n">
        <v>20</v>
      </c>
      <c r="AO156" t="n">
        <v>608000</v>
      </c>
      <c r="AP156" t="n">
        <v>610000</v>
      </c>
      <c r="AQ156" t="n">
        <v>12</v>
      </c>
      <c r="BB156" t="n">
        <v>1064000</v>
      </c>
      <c r="BC156" t="n">
        <v>1067500</v>
      </c>
      <c r="BD156" t="n">
        <v>1</v>
      </c>
      <c r="BO156" t="n">
        <v>0.912</v>
      </c>
      <c r="BP156" t="n">
        <v>0.915</v>
      </c>
      <c r="BQ156" t="n">
        <v>68</v>
      </c>
      <c r="CB156" t="n">
        <v>22.8</v>
      </c>
      <c r="CC156" t="n">
        <v>22.875</v>
      </c>
      <c r="CD156" t="n">
        <v>8</v>
      </c>
      <c r="CO156" t="n">
        <v>70.80000000000001</v>
      </c>
      <c r="CP156" t="n">
        <v>71</v>
      </c>
      <c r="CQ156" t="n">
        <v>46</v>
      </c>
      <c r="DB156" t="n">
        <v>63.2</v>
      </c>
      <c r="DC156" t="n">
        <v>63.375</v>
      </c>
      <c r="DD156" t="n">
        <v>42</v>
      </c>
      <c r="DO156" t="n">
        <v>11.3</v>
      </c>
      <c r="DP156" t="n">
        <v>11.3125</v>
      </c>
      <c r="DQ156" t="n">
        <v>58</v>
      </c>
      <c r="EB156" t="n">
        <v>76</v>
      </c>
      <c r="EC156" t="n">
        <v>76.25</v>
      </c>
      <c r="ED156" t="n">
        <v>56</v>
      </c>
      <c r="EO156" t="n">
        <v>2.66</v>
      </c>
      <c r="EP156" t="n">
        <v>2.66875</v>
      </c>
      <c r="EQ156" t="n">
        <v>5</v>
      </c>
    </row>
    <row r="157">
      <c r="B157" t="n">
        <v>779.5</v>
      </c>
      <c r="C157" t="n">
        <v>780.25</v>
      </c>
      <c r="D157" t="n">
        <v>31</v>
      </c>
      <c r="O157" t="n">
        <v>45900</v>
      </c>
      <c r="P157" t="n">
        <v>46050</v>
      </c>
      <c r="Q157" t="n">
        <v>73</v>
      </c>
      <c r="AB157" t="n">
        <v>22950</v>
      </c>
      <c r="AC157" t="n">
        <v>23025</v>
      </c>
      <c r="AD157" t="n">
        <v>26</v>
      </c>
      <c r="AO157" t="n">
        <v>612000</v>
      </c>
      <c r="AP157" t="n">
        <v>614000</v>
      </c>
      <c r="AQ157" t="n">
        <v>14</v>
      </c>
      <c r="BB157" t="n">
        <v>1071000</v>
      </c>
      <c r="BC157" t="n">
        <v>1074500</v>
      </c>
      <c r="BD157" t="n">
        <v>4</v>
      </c>
      <c r="BO157" t="n">
        <v>0.918</v>
      </c>
      <c r="BP157" t="n">
        <v>0.921</v>
      </c>
      <c r="BQ157" t="n">
        <v>61</v>
      </c>
      <c r="CB157" t="n">
        <v>22.95</v>
      </c>
      <c r="CC157" t="n">
        <v>23.025</v>
      </c>
      <c r="CD157" t="n">
        <v>5</v>
      </c>
      <c r="CO157" t="n">
        <v>71.2</v>
      </c>
      <c r="CP157" t="n">
        <v>71.40000000000001</v>
      </c>
      <c r="CQ157" t="n">
        <v>38</v>
      </c>
      <c r="DB157" t="n">
        <v>63.55</v>
      </c>
      <c r="DC157" t="n">
        <v>63.72499999999999</v>
      </c>
      <c r="DD157" t="n">
        <v>42</v>
      </c>
      <c r="DO157" t="n">
        <v>11.325</v>
      </c>
      <c r="DP157" t="n">
        <v>11.3375</v>
      </c>
      <c r="DQ157" t="n">
        <v>45</v>
      </c>
      <c r="EB157" t="n">
        <v>76.5</v>
      </c>
      <c r="EC157" t="n">
        <v>76.75</v>
      </c>
      <c r="ED157" t="n">
        <v>60</v>
      </c>
      <c r="EO157" t="n">
        <v>2.6775</v>
      </c>
      <c r="EP157" t="n">
        <v>2.68625</v>
      </c>
      <c r="EQ157" t="n">
        <v>1</v>
      </c>
    </row>
    <row r="158">
      <c r="B158" t="n">
        <v>781</v>
      </c>
      <c r="C158" t="n">
        <v>781.75</v>
      </c>
      <c r="D158" t="n">
        <v>60</v>
      </c>
      <c r="O158" t="n">
        <v>46200</v>
      </c>
      <c r="P158" t="n">
        <v>46350</v>
      </c>
      <c r="Q158" t="n">
        <v>60</v>
      </c>
      <c r="AB158" t="n">
        <v>23100</v>
      </c>
      <c r="AC158" t="n">
        <v>23175</v>
      </c>
      <c r="AD158" t="n">
        <v>22</v>
      </c>
      <c r="AO158" t="n">
        <v>616000</v>
      </c>
      <c r="AP158" t="n">
        <v>618000</v>
      </c>
      <c r="AQ158" t="n">
        <v>10</v>
      </c>
      <c r="BB158" t="n">
        <v>1078000</v>
      </c>
      <c r="BC158" t="n">
        <v>1081500</v>
      </c>
      <c r="BD158" t="n">
        <v>3</v>
      </c>
      <c r="BO158" t="n">
        <v>0.924</v>
      </c>
      <c r="BP158" t="n">
        <v>0.927</v>
      </c>
      <c r="BQ158" t="n">
        <v>62</v>
      </c>
      <c r="CB158" t="n">
        <v>23.1</v>
      </c>
      <c r="CC158" t="n">
        <v>23.175</v>
      </c>
      <c r="CD158" t="n">
        <v>5</v>
      </c>
      <c r="CO158" t="n">
        <v>71.59999999999999</v>
      </c>
      <c r="CP158" t="n">
        <v>71.80000000000001</v>
      </c>
      <c r="CQ158" t="n">
        <v>42</v>
      </c>
      <c r="DB158" t="n">
        <v>63.9</v>
      </c>
      <c r="DC158" t="n">
        <v>64.07499999999999</v>
      </c>
      <c r="DD158" t="n">
        <v>41</v>
      </c>
      <c r="DO158" t="n">
        <v>11.35</v>
      </c>
      <c r="DP158" t="n">
        <v>11.3625</v>
      </c>
      <c r="DQ158" t="n">
        <v>42</v>
      </c>
      <c r="EB158" t="n">
        <v>77</v>
      </c>
      <c r="EC158" t="n">
        <v>77.25</v>
      </c>
      <c r="ED158" t="n">
        <v>54</v>
      </c>
      <c r="EO158" t="n">
        <v>2.695</v>
      </c>
      <c r="EP158" t="n">
        <v>2.70375</v>
      </c>
      <c r="EQ158" t="n">
        <v>3</v>
      </c>
    </row>
    <row r="159">
      <c r="B159" t="n">
        <v>782.5</v>
      </c>
      <c r="C159" t="n">
        <v>783.25</v>
      </c>
      <c r="D159" t="n">
        <v>30</v>
      </c>
      <c r="O159" t="n">
        <v>46500</v>
      </c>
      <c r="P159" t="n">
        <v>46650</v>
      </c>
      <c r="Q159" t="n">
        <v>60</v>
      </c>
      <c r="AB159" t="n">
        <v>23250</v>
      </c>
      <c r="AC159" t="n">
        <v>23325</v>
      </c>
      <c r="AD159" t="n">
        <v>20</v>
      </c>
      <c r="AO159" t="n">
        <v>620000</v>
      </c>
      <c r="AP159" t="n">
        <v>622000</v>
      </c>
      <c r="AQ159" t="n">
        <v>13</v>
      </c>
      <c r="BB159" t="n">
        <v>1085000</v>
      </c>
      <c r="BC159" t="n">
        <v>1088500</v>
      </c>
      <c r="BD159" t="n">
        <v>4</v>
      </c>
      <c r="BO159" t="n">
        <v>0.93</v>
      </c>
      <c r="BP159" t="n">
        <v>0.9330000000000001</v>
      </c>
      <c r="BQ159" t="n">
        <v>62</v>
      </c>
      <c r="CB159" t="n">
        <v>23.25</v>
      </c>
      <c r="CC159" t="n">
        <v>23.325</v>
      </c>
      <c r="CD159" t="n">
        <v>5</v>
      </c>
      <c r="CO159" t="n">
        <v>72</v>
      </c>
      <c r="CP159" t="n">
        <v>72.2</v>
      </c>
      <c r="CQ159" t="n">
        <v>41</v>
      </c>
      <c r="DB159" t="n">
        <v>64.25</v>
      </c>
      <c r="DC159" t="n">
        <v>64.425</v>
      </c>
      <c r="DD159" t="n">
        <v>44</v>
      </c>
      <c r="DO159" t="n">
        <v>11.375</v>
      </c>
      <c r="DP159" t="n">
        <v>11.3875</v>
      </c>
      <c r="DQ159" t="n">
        <v>45</v>
      </c>
      <c r="EB159" t="n">
        <v>77.5</v>
      </c>
      <c r="EC159" t="n">
        <v>77.75</v>
      </c>
      <c r="ED159" t="n">
        <v>62</v>
      </c>
      <c r="EO159" t="n">
        <v>2.7125</v>
      </c>
      <c r="EP159" t="n">
        <v>2.72125</v>
      </c>
      <c r="EQ159" t="n">
        <v>3</v>
      </c>
    </row>
    <row r="160">
      <c r="B160" t="n">
        <v>784</v>
      </c>
      <c r="C160" t="n">
        <v>784.75</v>
      </c>
      <c r="D160" t="n">
        <v>51</v>
      </c>
      <c r="O160" t="n">
        <v>46800</v>
      </c>
      <c r="P160" t="n">
        <v>46950</v>
      </c>
      <c r="Q160" t="n">
        <v>72</v>
      </c>
      <c r="AB160" t="n">
        <v>23400</v>
      </c>
      <c r="AC160" t="n">
        <v>23475</v>
      </c>
      <c r="AD160" t="n">
        <v>31</v>
      </c>
      <c r="AO160" t="n">
        <v>624000</v>
      </c>
      <c r="AP160" t="n">
        <v>626000</v>
      </c>
      <c r="AQ160" t="n">
        <v>11</v>
      </c>
      <c r="BB160" t="n">
        <v>1092000</v>
      </c>
      <c r="BC160" t="n">
        <v>1095500</v>
      </c>
      <c r="BD160" t="n">
        <v>2</v>
      </c>
      <c r="BO160" t="n">
        <v>0.9360000000000001</v>
      </c>
      <c r="BP160" t="n">
        <v>0.9390000000000001</v>
      </c>
      <c r="BQ160" t="n">
        <v>67</v>
      </c>
      <c r="CB160" t="n">
        <v>23.4</v>
      </c>
      <c r="CC160" t="n">
        <v>23.475</v>
      </c>
      <c r="CD160" t="n">
        <v>16</v>
      </c>
      <c r="CO160" t="n">
        <v>72.40000000000001</v>
      </c>
      <c r="CP160" t="n">
        <v>72.59999999999999</v>
      </c>
      <c r="CQ160" t="n">
        <v>41</v>
      </c>
      <c r="DB160" t="n">
        <v>64.59999999999999</v>
      </c>
      <c r="DC160" t="n">
        <v>64.77500000000001</v>
      </c>
      <c r="DD160" t="n">
        <v>57</v>
      </c>
      <c r="DO160" t="n">
        <v>11.4</v>
      </c>
      <c r="DP160" t="n">
        <v>11.4125</v>
      </c>
      <c r="DQ160" t="n">
        <v>51</v>
      </c>
      <c r="EB160" t="n">
        <v>78</v>
      </c>
      <c r="EC160" t="n">
        <v>78.25</v>
      </c>
      <c r="ED160" t="n">
        <v>53</v>
      </c>
      <c r="EO160" t="n">
        <v>2.73</v>
      </c>
      <c r="EP160" t="n">
        <v>2.73875</v>
      </c>
      <c r="EQ160" t="n">
        <v>2</v>
      </c>
    </row>
    <row r="161">
      <c r="B161" t="n">
        <v>785.5</v>
      </c>
      <c r="C161" t="n">
        <v>786.25</v>
      </c>
      <c r="D161" t="n">
        <v>25</v>
      </c>
      <c r="O161" t="n">
        <v>47100</v>
      </c>
      <c r="P161" t="n">
        <v>47250</v>
      </c>
      <c r="Q161" t="n">
        <v>79</v>
      </c>
      <c r="AB161" t="n">
        <v>23550</v>
      </c>
      <c r="AC161" t="n">
        <v>23625</v>
      </c>
      <c r="AD161" t="n">
        <v>19</v>
      </c>
      <c r="AO161" t="n">
        <v>628000</v>
      </c>
      <c r="AP161" t="n">
        <v>630000</v>
      </c>
      <c r="AQ161" t="n">
        <v>6</v>
      </c>
      <c r="BB161" t="n">
        <v>1099000</v>
      </c>
      <c r="BC161" t="n">
        <v>1102500</v>
      </c>
      <c r="BD161" t="n">
        <v>2</v>
      </c>
      <c r="BO161" t="n">
        <v>0.9420000000000001</v>
      </c>
      <c r="BP161" t="n">
        <v>0.9450000000000001</v>
      </c>
      <c r="BQ161" t="n">
        <v>61</v>
      </c>
      <c r="CB161" t="n">
        <v>23.55</v>
      </c>
      <c r="CC161" t="n">
        <v>23.625</v>
      </c>
      <c r="CD161" t="n">
        <v>4</v>
      </c>
      <c r="CO161" t="n">
        <v>72.80000000000001</v>
      </c>
      <c r="CP161" t="n">
        <v>73</v>
      </c>
      <c r="CQ161" t="n">
        <v>47</v>
      </c>
      <c r="DB161" t="n">
        <v>64.94999999999999</v>
      </c>
      <c r="DC161" t="n">
        <v>65.125</v>
      </c>
      <c r="DD161" t="n">
        <v>35</v>
      </c>
      <c r="DO161" t="n">
        <v>11.425</v>
      </c>
      <c r="DP161" t="n">
        <v>11.4375</v>
      </c>
      <c r="DQ161" t="n">
        <v>57</v>
      </c>
      <c r="EB161" t="n">
        <v>78.5</v>
      </c>
      <c r="EC161" t="n">
        <v>78.75</v>
      </c>
      <c r="ED161" t="n">
        <v>65</v>
      </c>
      <c r="EO161" t="n">
        <v>2.7475</v>
      </c>
      <c r="EP161" t="n">
        <v>2.75625</v>
      </c>
      <c r="EQ161" t="n">
        <v>6</v>
      </c>
    </row>
    <row r="162">
      <c r="B162" t="n">
        <v>787</v>
      </c>
      <c r="C162" t="n">
        <v>787.75</v>
      </c>
      <c r="D162" t="n">
        <v>46</v>
      </c>
      <c r="O162" t="n">
        <v>47400</v>
      </c>
      <c r="P162" t="n">
        <v>47550</v>
      </c>
      <c r="Q162" t="n">
        <v>61</v>
      </c>
      <c r="AB162" t="n">
        <v>23700</v>
      </c>
      <c r="AC162" t="n">
        <v>23775</v>
      </c>
      <c r="AD162" t="n">
        <v>26</v>
      </c>
      <c r="AO162" t="n">
        <v>632000</v>
      </c>
      <c r="AP162" t="n">
        <v>634000</v>
      </c>
      <c r="AQ162" t="n">
        <v>9</v>
      </c>
      <c r="BB162" t="n">
        <v>1106000</v>
      </c>
      <c r="BC162" t="n">
        <v>1109500</v>
      </c>
      <c r="BD162" t="n">
        <v>1</v>
      </c>
      <c r="BO162" t="n">
        <v>0.9480000000000001</v>
      </c>
      <c r="BP162" t="n">
        <v>0.9510000000000001</v>
      </c>
      <c r="BQ162" t="n">
        <v>52</v>
      </c>
      <c r="CB162" t="n">
        <v>23.7</v>
      </c>
      <c r="CC162" t="n">
        <v>23.775</v>
      </c>
      <c r="CD162" t="n">
        <v>4</v>
      </c>
      <c r="CO162" t="n">
        <v>73.2</v>
      </c>
      <c r="CP162" t="n">
        <v>73.40000000000001</v>
      </c>
      <c r="CQ162" t="n">
        <v>26</v>
      </c>
      <c r="DB162" t="n">
        <v>65.3</v>
      </c>
      <c r="DC162" t="n">
        <v>65.47499999999999</v>
      </c>
      <c r="DD162" t="n">
        <v>34</v>
      </c>
      <c r="DO162" t="n">
        <v>11.45</v>
      </c>
      <c r="DP162" t="n">
        <v>11.4625</v>
      </c>
      <c r="DQ162" t="n">
        <v>36</v>
      </c>
      <c r="EB162" t="n">
        <v>79</v>
      </c>
      <c r="EC162" t="n">
        <v>79.25</v>
      </c>
      <c r="ED162" t="n">
        <v>60</v>
      </c>
      <c r="EO162" t="n">
        <v>2.765</v>
      </c>
      <c r="EP162" t="n">
        <v>2.77375</v>
      </c>
      <c r="EQ162" t="n">
        <v>5</v>
      </c>
    </row>
    <row r="163">
      <c r="B163" t="n">
        <v>788.5</v>
      </c>
      <c r="C163" t="n">
        <v>789.25</v>
      </c>
      <c r="D163" t="n">
        <v>23</v>
      </c>
      <c r="O163" t="n">
        <v>47700</v>
      </c>
      <c r="P163" t="n">
        <v>47850</v>
      </c>
      <c r="Q163" t="n">
        <v>69</v>
      </c>
      <c r="AB163" t="n">
        <v>23850</v>
      </c>
      <c r="AC163" t="n">
        <v>23925</v>
      </c>
      <c r="AD163" t="n">
        <v>16</v>
      </c>
      <c r="AO163" t="n">
        <v>636000</v>
      </c>
      <c r="AP163" t="n">
        <v>638000</v>
      </c>
      <c r="AQ163" t="n">
        <v>10</v>
      </c>
      <c r="BB163" t="n">
        <v>1113000</v>
      </c>
      <c r="BC163" t="n">
        <v>1116500</v>
      </c>
      <c r="BD163" t="n">
        <v>2</v>
      </c>
      <c r="BO163" t="n">
        <v>0.9540000000000001</v>
      </c>
      <c r="BP163" t="n">
        <v>0.9570000000000001</v>
      </c>
      <c r="BQ163" t="n">
        <v>59</v>
      </c>
      <c r="CB163" t="n">
        <v>23.85</v>
      </c>
      <c r="CC163" t="n">
        <v>23.925</v>
      </c>
      <c r="CD163" t="n">
        <v>2</v>
      </c>
      <c r="CO163" t="n">
        <v>73.59999999999999</v>
      </c>
      <c r="CP163" t="n">
        <v>73.80000000000001</v>
      </c>
      <c r="CQ163" t="n">
        <v>45</v>
      </c>
      <c r="DB163" t="n">
        <v>65.65000000000001</v>
      </c>
      <c r="DC163" t="n">
        <v>65.82499999999999</v>
      </c>
      <c r="DD163" t="n">
        <v>38</v>
      </c>
      <c r="DO163" t="n">
        <v>11.475</v>
      </c>
      <c r="DP163" t="n">
        <v>11.4875</v>
      </c>
      <c r="DQ163" t="n">
        <v>37</v>
      </c>
      <c r="EB163" t="n">
        <v>79.5</v>
      </c>
      <c r="EC163" t="n">
        <v>79.75</v>
      </c>
      <c r="ED163" t="n">
        <v>56</v>
      </c>
      <c r="EO163" t="n">
        <v>2.7825</v>
      </c>
      <c r="EP163" t="n">
        <v>2.79125</v>
      </c>
      <c r="EQ163" t="n">
        <v>8</v>
      </c>
    </row>
    <row r="164">
      <c r="B164" t="n">
        <v>790</v>
      </c>
      <c r="C164" t="n">
        <v>790.75</v>
      </c>
      <c r="D164" t="n">
        <v>44</v>
      </c>
      <c r="O164" t="n">
        <v>48000</v>
      </c>
      <c r="P164" t="n">
        <v>48150</v>
      </c>
      <c r="Q164" t="n">
        <v>55</v>
      </c>
      <c r="AB164" t="n">
        <v>24000</v>
      </c>
      <c r="AC164" t="n">
        <v>24075</v>
      </c>
      <c r="AD164" t="n">
        <v>17</v>
      </c>
      <c r="AO164" t="n">
        <v>640000</v>
      </c>
      <c r="AP164" t="n">
        <v>642000</v>
      </c>
      <c r="AQ164" t="n">
        <v>9</v>
      </c>
      <c r="BB164" t="n">
        <v>1120000</v>
      </c>
      <c r="BC164" t="n">
        <v>1123500</v>
      </c>
      <c r="BD164" t="n">
        <v>4</v>
      </c>
      <c r="BO164" t="n">
        <v>0.96</v>
      </c>
      <c r="BP164" t="n">
        <v>0.963</v>
      </c>
      <c r="BQ164" t="n">
        <v>65</v>
      </c>
      <c r="CB164" t="n">
        <v>24</v>
      </c>
      <c r="CC164" t="n">
        <v>24.075</v>
      </c>
      <c r="CD164" t="n">
        <v>10</v>
      </c>
      <c r="CO164" t="n">
        <v>74</v>
      </c>
      <c r="CP164" t="n">
        <v>74.2</v>
      </c>
      <c r="CQ164" t="n">
        <v>38</v>
      </c>
      <c r="DB164" t="n">
        <v>66</v>
      </c>
      <c r="DC164" t="n">
        <v>66.175</v>
      </c>
      <c r="DD164" t="n">
        <v>38</v>
      </c>
      <c r="DO164" t="n">
        <v>11.5</v>
      </c>
      <c r="DP164" t="n">
        <v>11.5125</v>
      </c>
      <c r="DQ164" t="n">
        <v>40</v>
      </c>
      <c r="EB164" t="n">
        <v>80</v>
      </c>
      <c r="EC164" t="n">
        <v>80.25</v>
      </c>
      <c r="ED164" t="n">
        <v>58</v>
      </c>
      <c r="EO164" t="n">
        <v>2.8</v>
      </c>
      <c r="EP164" t="n">
        <v>2.80875</v>
      </c>
      <c r="EQ164" t="n">
        <v>8</v>
      </c>
    </row>
    <row r="165">
      <c r="B165" t="n">
        <v>791.5</v>
      </c>
      <c r="C165" t="n">
        <v>792.25</v>
      </c>
      <c r="D165" t="n">
        <v>21</v>
      </c>
      <c r="O165" t="n">
        <v>48300</v>
      </c>
      <c r="P165" t="n">
        <v>48450</v>
      </c>
      <c r="Q165" t="n">
        <v>68</v>
      </c>
      <c r="AB165" t="n">
        <v>24150</v>
      </c>
      <c r="AC165" t="n">
        <v>24225</v>
      </c>
      <c r="AD165" t="n">
        <v>21</v>
      </c>
      <c r="AO165" t="n">
        <v>644000</v>
      </c>
      <c r="AP165" t="n">
        <v>646000</v>
      </c>
      <c r="AQ165" t="n">
        <v>15</v>
      </c>
      <c r="BB165" t="n">
        <v>1127000</v>
      </c>
      <c r="BC165" t="n">
        <v>1130500</v>
      </c>
      <c r="BD165" t="n">
        <v>4</v>
      </c>
      <c r="BO165" t="n">
        <v>0.966</v>
      </c>
      <c r="BP165" t="n">
        <v>0.969</v>
      </c>
      <c r="BQ165" t="n">
        <v>63</v>
      </c>
      <c r="CB165" t="n">
        <v>24.15</v>
      </c>
      <c r="CC165" t="n">
        <v>24.225</v>
      </c>
      <c r="CD165" t="n">
        <v>3</v>
      </c>
      <c r="CO165" t="n">
        <v>74.40000000000001</v>
      </c>
      <c r="CP165" t="n">
        <v>74.60000000000001</v>
      </c>
      <c r="CQ165" t="n">
        <v>37</v>
      </c>
      <c r="DB165" t="n">
        <v>66.34999999999999</v>
      </c>
      <c r="DC165" t="n">
        <v>66.52500000000001</v>
      </c>
      <c r="DD165" t="n">
        <v>35</v>
      </c>
      <c r="DO165" t="n">
        <v>11.525</v>
      </c>
      <c r="DP165" t="n">
        <v>11.5375</v>
      </c>
      <c r="DQ165" t="n">
        <v>26</v>
      </c>
      <c r="EB165" t="n">
        <v>80.5</v>
      </c>
      <c r="EC165" t="n">
        <v>80.75</v>
      </c>
      <c r="ED165" t="n">
        <v>65</v>
      </c>
      <c r="EO165" t="n">
        <v>2.8175</v>
      </c>
      <c r="EP165" t="n">
        <v>2.82625</v>
      </c>
      <c r="EQ165" t="n">
        <v>6</v>
      </c>
    </row>
    <row r="166">
      <c r="B166" t="n">
        <v>793</v>
      </c>
      <c r="C166" t="n">
        <v>793.75</v>
      </c>
      <c r="D166" t="n">
        <v>48</v>
      </c>
      <c r="O166" t="n">
        <v>48600</v>
      </c>
      <c r="P166" t="n">
        <v>48750</v>
      </c>
      <c r="Q166" t="n">
        <v>61</v>
      </c>
      <c r="AB166" t="n">
        <v>24300</v>
      </c>
      <c r="AC166" t="n">
        <v>24375</v>
      </c>
      <c r="AD166" t="n">
        <v>22</v>
      </c>
      <c r="AO166" t="n">
        <v>648000</v>
      </c>
      <c r="AP166" t="n">
        <v>650000</v>
      </c>
      <c r="AQ166" t="n">
        <v>13</v>
      </c>
      <c r="BB166" t="n">
        <v>1134000</v>
      </c>
      <c r="BC166" t="n">
        <v>1137500</v>
      </c>
      <c r="BD166" t="n">
        <v>1</v>
      </c>
      <c r="BO166" t="n">
        <v>0.972</v>
      </c>
      <c r="BP166" t="n">
        <v>0.975</v>
      </c>
      <c r="BQ166" t="n">
        <v>62</v>
      </c>
      <c r="CB166" t="n">
        <v>24.3</v>
      </c>
      <c r="CC166" t="n">
        <v>24.375</v>
      </c>
      <c r="CD166" t="n">
        <v>7</v>
      </c>
      <c r="CO166" t="n">
        <v>74.8</v>
      </c>
      <c r="CP166" t="n">
        <v>75</v>
      </c>
      <c r="CQ166" t="n">
        <v>33</v>
      </c>
      <c r="DB166" t="n">
        <v>66.69999999999999</v>
      </c>
      <c r="DC166" t="n">
        <v>66.875</v>
      </c>
      <c r="DD166" t="n">
        <v>37</v>
      </c>
      <c r="DO166" t="n">
        <v>11.55</v>
      </c>
      <c r="DP166" t="n">
        <v>11.5625</v>
      </c>
      <c r="DQ166" t="n">
        <v>27</v>
      </c>
      <c r="EB166" t="n">
        <v>81</v>
      </c>
      <c r="EC166" t="n">
        <v>81.25</v>
      </c>
      <c r="ED166" t="n">
        <v>70</v>
      </c>
      <c r="EO166" t="n">
        <v>2.835</v>
      </c>
      <c r="EP166" t="n">
        <v>2.84375</v>
      </c>
      <c r="EQ166" t="n">
        <v>3</v>
      </c>
    </row>
    <row r="167">
      <c r="B167" t="n">
        <v>794.5</v>
      </c>
      <c r="C167" t="n">
        <v>795.25</v>
      </c>
      <c r="D167" t="n">
        <v>20</v>
      </c>
      <c r="O167" t="n">
        <v>48900</v>
      </c>
      <c r="P167" t="n">
        <v>49050</v>
      </c>
      <c r="Q167" t="n">
        <v>72</v>
      </c>
      <c r="AB167" t="n">
        <v>24450</v>
      </c>
      <c r="AC167" t="n">
        <v>24525</v>
      </c>
      <c r="AD167" t="n">
        <v>18</v>
      </c>
      <c r="AO167" t="n">
        <v>652000</v>
      </c>
      <c r="AP167" t="n">
        <v>654000</v>
      </c>
      <c r="AQ167" t="n">
        <v>7</v>
      </c>
      <c r="BB167" t="n">
        <v>1141000</v>
      </c>
      <c r="BC167" t="n">
        <v>1144500</v>
      </c>
      <c r="BD167" t="n">
        <v>2</v>
      </c>
      <c r="BO167" t="n">
        <v>0.978</v>
      </c>
      <c r="BP167" t="n">
        <v>0.981</v>
      </c>
      <c r="BQ167" t="n">
        <v>56</v>
      </c>
      <c r="CB167" t="n">
        <v>24.45</v>
      </c>
      <c r="CC167" t="n">
        <v>24.525</v>
      </c>
      <c r="CD167" t="n">
        <v>7</v>
      </c>
      <c r="CO167" t="n">
        <v>75.2</v>
      </c>
      <c r="CP167" t="n">
        <v>75.40000000000001</v>
      </c>
      <c r="CQ167" t="n">
        <v>38</v>
      </c>
      <c r="DB167" t="n">
        <v>67.05</v>
      </c>
      <c r="DC167" t="n">
        <v>67.22499999999999</v>
      </c>
      <c r="DD167" t="n">
        <v>28</v>
      </c>
      <c r="DO167" t="n">
        <v>11.575</v>
      </c>
      <c r="DP167" t="n">
        <v>11.5875</v>
      </c>
      <c r="DQ167" t="n">
        <v>43</v>
      </c>
      <c r="EB167" t="n">
        <v>81.5</v>
      </c>
      <c r="EC167" t="n">
        <v>81.75</v>
      </c>
      <c r="ED167" t="n">
        <v>63</v>
      </c>
      <c r="EO167" t="n">
        <v>2.8525</v>
      </c>
      <c r="EP167" t="n">
        <v>2.86125</v>
      </c>
      <c r="EQ167" t="n">
        <v>3</v>
      </c>
    </row>
    <row r="168">
      <c r="B168" t="n">
        <v>796</v>
      </c>
      <c r="C168" t="n">
        <v>796.75</v>
      </c>
      <c r="D168" t="n">
        <v>34</v>
      </c>
      <c r="O168" t="n">
        <v>49200</v>
      </c>
      <c r="P168" t="n">
        <v>49350</v>
      </c>
      <c r="Q168" t="n">
        <v>72</v>
      </c>
      <c r="AB168" t="n">
        <v>24600</v>
      </c>
      <c r="AC168" t="n">
        <v>24675</v>
      </c>
      <c r="AD168" t="n">
        <v>19</v>
      </c>
      <c r="AO168" t="n">
        <v>656000</v>
      </c>
      <c r="AP168" t="n">
        <v>658000</v>
      </c>
      <c r="AQ168" t="n">
        <v>6</v>
      </c>
      <c r="BB168" t="n">
        <v>1148000</v>
      </c>
      <c r="BC168" t="n">
        <v>1151500</v>
      </c>
      <c r="BD168" t="n">
        <v>3</v>
      </c>
      <c r="BO168" t="n">
        <v>0.984</v>
      </c>
      <c r="BP168" t="n">
        <v>0.987</v>
      </c>
      <c r="BQ168" t="n">
        <v>71</v>
      </c>
      <c r="CB168" t="n">
        <v>24.6</v>
      </c>
      <c r="CC168" t="n">
        <v>24.675</v>
      </c>
      <c r="CD168" t="n">
        <v>8</v>
      </c>
      <c r="CO168" t="n">
        <v>75.60000000000001</v>
      </c>
      <c r="CP168" t="n">
        <v>75.8</v>
      </c>
      <c r="CQ168" t="n">
        <v>24</v>
      </c>
      <c r="DB168" t="n">
        <v>67.40000000000001</v>
      </c>
      <c r="DC168" t="n">
        <v>67.57499999999999</v>
      </c>
      <c r="DD168" t="n">
        <v>41</v>
      </c>
      <c r="DO168" t="n">
        <v>11.6</v>
      </c>
      <c r="DP168" t="n">
        <v>11.6125</v>
      </c>
      <c r="DQ168" t="n">
        <v>40</v>
      </c>
      <c r="EB168" t="n">
        <v>82</v>
      </c>
      <c r="EC168" t="n">
        <v>82.25</v>
      </c>
      <c r="ED168" t="n">
        <v>66</v>
      </c>
      <c r="EO168" t="n">
        <v>2.87</v>
      </c>
      <c r="EP168" t="n">
        <v>2.87875</v>
      </c>
      <c r="EQ168" t="n">
        <v>2</v>
      </c>
    </row>
    <row r="169">
      <c r="B169" t="n">
        <v>797.5</v>
      </c>
      <c r="C169" t="n">
        <v>798.25</v>
      </c>
      <c r="D169" t="n">
        <v>18</v>
      </c>
      <c r="O169" t="n">
        <v>49500</v>
      </c>
      <c r="P169" t="n">
        <v>49650</v>
      </c>
      <c r="Q169" t="n">
        <v>65</v>
      </c>
      <c r="AB169" t="n">
        <v>24750</v>
      </c>
      <c r="AC169" t="n">
        <v>24825</v>
      </c>
      <c r="AD169" t="n">
        <v>21</v>
      </c>
      <c r="AO169" t="n">
        <v>660000</v>
      </c>
      <c r="AP169" t="n">
        <v>662000</v>
      </c>
      <c r="AQ169" t="n">
        <v>10</v>
      </c>
      <c r="BB169" t="n">
        <v>1155000</v>
      </c>
      <c r="BC169" t="n">
        <v>1158500</v>
      </c>
      <c r="BD169" t="n">
        <v>1</v>
      </c>
      <c r="BO169" t="n">
        <v>0.99</v>
      </c>
      <c r="BP169" t="n">
        <v>0.993</v>
      </c>
      <c r="BQ169" t="n">
        <v>60</v>
      </c>
      <c r="CB169" t="n">
        <v>24.75</v>
      </c>
      <c r="CC169" t="n">
        <v>24.825</v>
      </c>
      <c r="CD169" t="n">
        <v>2</v>
      </c>
      <c r="CO169" t="n">
        <v>76</v>
      </c>
      <c r="CP169" t="n">
        <v>76.2</v>
      </c>
      <c r="CQ169" t="n">
        <v>27</v>
      </c>
      <c r="DB169" t="n">
        <v>67.75</v>
      </c>
      <c r="DC169" t="n">
        <v>67.925</v>
      </c>
      <c r="DD169" t="n">
        <v>27</v>
      </c>
      <c r="DO169" t="n">
        <v>11.625</v>
      </c>
      <c r="DP169" t="n">
        <v>11.6375</v>
      </c>
      <c r="DQ169" t="n">
        <v>27</v>
      </c>
      <c r="EB169" t="n">
        <v>82.5</v>
      </c>
      <c r="EC169" t="n">
        <v>82.75</v>
      </c>
      <c r="ED169" t="n">
        <v>53</v>
      </c>
      <c r="EO169" t="n">
        <v>2.8875</v>
      </c>
      <c r="EP169" t="n">
        <v>2.89625</v>
      </c>
      <c r="EQ169" t="n">
        <v>4</v>
      </c>
    </row>
    <row r="170">
      <c r="B170" t="n">
        <v>799</v>
      </c>
      <c r="C170" t="n">
        <v>799.75</v>
      </c>
      <c r="D170" t="n">
        <v>31</v>
      </c>
      <c r="O170" t="n">
        <v>49800</v>
      </c>
      <c r="P170" t="n">
        <v>49950</v>
      </c>
      <c r="Q170" t="n">
        <v>65</v>
      </c>
      <c r="AB170" t="n">
        <v>24900</v>
      </c>
      <c r="AC170" t="n">
        <v>24975</v>
      </c>
      <c r="AD170" t="n">
        <v>23</v>
      </c>
      <c r="AO170" t="n">
        <v>664000</v>
      </c>
      <c r="AP170" t="n">
        <v>666000</v>
      </c>
      <c r="AQ170" t="n">
        <v>11</v>
      </c>
      <c r="BB170" t="n">
        <v>1162000</v>
      </c>
      <c r="BC170" t="n">
        <v>1165500</v>
      </c>
      <c r="BD170" t="n">
        <v>2</v>
      </c>
      <c r="BO170" t="n">
        <v>0.996</v>
      </c>
      <c r="BP170" t="n">
        <v>0.999</v>
      </c>
      <c r="BQ170" t="n">
        <v>65</v>
      </c>
      <c r="CB170" t="n">
        <v>24.9</v>
      </c>
      <c r="CC170" t="n">
        <v>24.975</v>
      </c>
      <c r="CD170" t="n">
        <v>6</v>
      </c>
      <c r="CO170" t="n">
        <v>76.40000000000001</v>
      </c>
      <c r="CP170" t="n">
        <v>76.60000000000001</v>
      </c>
      <c r="CQ170" t="n">
        <v>28</v>
      </c>
      <c r="DB170" t="n">
        <v>68.09999999999999</v>
      </c>
      <c r="DC170" t="n">
        <v>68.27500000000001</v>
      </c>
      <c r="DD170" t="n">
        <v>31</v>
      </c>
      <c r="DO170" t="n">
        <v>11.65</v>
      </c>
      <c r="DP170" t="n">
        <v>11.6625</v>
      </c>
      <c r="DQ170" t="n">
        <v>32</v>
      </c>
      <c r="EB170" t="n">
        <v>83</v>
      </c>
      <c r="EC170" t="n">
        <v>83.25</v>
      </c>
      <c r="ED170" t="n">
        <v>51</v>
      </c>
      <c r="EO170" t="n">
        <v>2.905</v>
      </c>
      <c r="EP170" t="n">
        <v>2.91375</v>
      </c>
      <c r="EQ170" t="n">
        <v>2</v>
      </c>
    </row>
    <row r="171">
      <c r="B171" t="n">
        <v>800.5</v>
      </c>
      <c r="C171" t="n">
        <v>801.25</v>
      </c>
      <c r="D171" t="n">
        <v>21</v>
      </c>
      <c r="O171" t="n">
        <v>50100</v>
      </c>
      <c r="P171" t="n">
        <v>50250</v>
      </c>
      <c r="Q171" t="n">
        <v>60</v>
      </c>
      <c r="AB171" t="n">
        <v>25050</v>
      </c>
      <c r="AC171" t="n">
        <v>25125</v>
      </c>
      <c r="AD171" t="n">
        <v>11</v>
      </c>
      <c r="AO171" t="n">
        <v>668000</v>
      </c>
      <c r="AP171" t="n">
        <v>670000</v>
      </c>
      <c r="AQ171" t="n">
        <v>12</v>
      </c>
      <c r="BB171" t="n">
        <v>1169000</v>
      </c>
      <c r="BC171" t="n">
        <v>1172500</v>
      </c>
      <c r="BD171" t="n">
        <v>0</v>
      </c>
      <c r="BO171" t="n">
        <v>1.002</v>
      </c>
      <c r="BP171" t="n">
        <v>1.005</v>
      </c>
      <c r="BQ171" t="n">
        <v>65</v>
      </c>
      <c r="CB171" t="n">
        <v>25.05</v>
      </c>
      <c r="CC171" t="n">
        <v>25.125</v>
      </c>
      <c r="CD171" t="n">
        <v>2</v>
      </c>
      <c r="CO171" t="n">
        <v>76.8</v>
      </c>
      <c r="CP171" t="n">
        <v>77</v>
      </c>
      <c r="CQ171" t="n">
        <v>26</v>
      </c>
      <c r="DB171" t="n">
        <v>68.44999999999999</v>
      </c>
      <c r="DC171" t="n">
        <v>68.625</v>
      </c>
      <c r="DD171" t="n">
        <v>30</v>
      </c>
      <c r="DO171" t="n">
        <v>11.675</v>
      </c>
      <c r="DP171" t="n">
        <v>11.6875</v>
      </c>
      <c r="DQ171" t="n">
        <v>36</v>
      </c>
      <c r="EB171" t="n">
        <v>83.5</v>
      </c>
      <c r="EC171" t="n">
        <v>83.75</v>
      </c>
      <c r="ED171" t="n">
        <v>60</v>
      </c>
      <c r="EO171" t="n">
        <v>2.9225</v>
      </c>
      <c r="EP171" t="n">
        <v>2.93125</v>
      </c>
      <c r="EQ171" t="n">
        <v>6</v>
      </c>
    </row>
    <row r="172">
      <c r="B172" t="n">
        <v>802</v>
      </c>
      <c r="C172" t="n">
        <v>802.75</v>
      </c>
      <c r="D172" t="n">
        <v>30</v>
      </c>
      <c r="O172" t="n">
        <v>50400</v>
      </c>
      <c r="P172" t="n">
        <v>50550</v>
      </c>
      <c r="Q172" t="n">
        <v>68</v>
      </c>
      <c r="AB172" t="n">
        <v>25200</v>
      </c>
      <c r="AC172" t="n">
        <v>25275</v>
      </c>
      <c r="AD172" t="n">
        <v>16</v>
      </c>
      <c r="AO172" t="n">
        <v>672000</v>
      </c>
      <c r="AP172" t="n">
        <v>674000</v>
      </c>
      <c r="AQ172" t="n">
        <v>12</v>
      </c>
      <c r="BB172" t="n">
        <v>1176000</v>
      </c>
      <c r="BC172" t="n">
        <v>1179500</v>
      </c>
      <c r="BD172" t="n">
        <v>1</v>
      </c>
      <c r="BO172" t="n">
        <v>1.008</v>
      </c>
      <c r="BP172" t="n">
        <v>1.011</v>
      </c>
      <c r="BQ172" t="n">
        <v>72</v>
      </c>
      <c r="CB172" t="n">
        <v>25.2</v>
      </c>
      <c r="CC172" t="n">
        <v>25.275</v>
      </c>
      <c r="CD172" t="n">
        <v>5</v>
      </c>
      <c r="CO172" t="n">
        <v>77.2</v>
      </c>
      <c r="CP172" t="n">
        <v>77.40000000000001</v>
      </c>
      <c r="CQ172" t="n">
        <v>19</v>
      </c>
      <c r="DB172" t="n">
        <v>68.8</v>
      </c>
      <c r="DC172" t="n">
        <v>68.97499999999999</v>
      </c>
      <c r="DD172" t="n">
        <v>24</v>
      </c>
      <c r="DO172" t="n">
        <v>11.7</v>
      </c>
      <c r="DP172" t="n">
        <v>11.7125</v>
      </c>
      <c r="DQ172" t="n">
        <v>29</v>
      </c>
      <c r="EB172" t="n">
        <v>84</v>
      </c>
      <c r="EC172" t="n">
        <v>84.25</v>
      </c>
      <c r="ED172" t="n">
        <v>65</v>
      </c>
      <c r="EO172" t="n">
        <v>2.94</v>
      </c>
      <c r="EP172" t="n">
        <v>2.94875</v>
      </c>
      <c r="EQ172" t="n">
        <v>3</v>
      </c>
    </row>
    <row r="173">
      <c r="B173" t="n">
        <v>803.5</v>
      </c>
      <c r="C173" t="n">
        <v>804.25</v>
      </c>
      <c r="D173" t="n">
        <v>17</v>
      </c>
      <c r="O173" t="n">
        <v>50700</v>
      </c>
      <c r="P173" t="n">
        <v>50850</v>
      </c>
      <c r="Q173" t="n">
        <v>67</v>
      </c>
      <c r="AB173" t="n">
        <v>25350</v>
      </c>
      <c r="AC173" t="n">
        <v>25425</v>
      </c>
      <c r="AD173" t="n">
        <v>13</v>
      </c>
      <c r="AO173" t="n">
        <v>676000</v>
      </c>
      <c r="AP173" t="n">
        <v>678000</v>
      </c>
      <c r="AQ173" t="n">
        <v>6</v>
      </c>
      <c r="BB173" t="n">
        <v>1183000</v>
      </c>
      <c r="BC173" t="n">
        <v>1186500</v>
      </c>
      <c r="BD173" t="n">
        <v>2</v>
      </c>
      <c r="BO173" t="n">
        <v>1.014</v>
      </c>
      <c r="BP173" t="n">
        <v>1.017</v>
      </c>
      <c r="BQ173" t="n">
        <v>61</v>
      </c>
      <c r="CB173" t="n">
        <v>25.35</v>
      </c>
      <c r="CC173" t="n">
        <v>25.425</v>
      </c>
      <c r="CD173" t="n">
        <v>7</v>
      </c>
      <c r="CO173" t="n">
        <v>77.60000000000001</v>
      </c>
      <c r="CP173" t="n">
        <v>77.8</v>
      </c>
      <c r="CQ173" t="n">
        <v>18</v>
      </c>
      <c r="DB173" t="n">
        <v>69.15000000000001</v>
      </c>
      <c r="DC173" t="n">
        <v>69.32499999999999</v>
      </c>
      <c r="DD173" t="n">
        <v>28</v>
      </c>
      <c r="DO173" t="n">
        <v>11.725</v>
      </c>
      <c r="DP173" t="n">
        <v>11.7375</v>
      </c>
      <c r="DQ173" t="n">
        <v>27</v>
      </c>
      <c r="EB173" t="n">
        <v>84.5</v>
      </c>
      <c r="EC173" t="n">
        <v>84.75</v>
      </c>
      <c r="ED173" t="n">
        <v>60</v>
      </c>
      <c r="EO173" t="n">
        <v>2.9575</v>
      </c>
      <c r="EP173" t="n">
        <v>2.96625</v>
      </c>
      <c r="EQ173" t="n">
        <v>2</v>
      </c>
    </row>
    <row r="174">
      <c r="B174" t="n">
        <v>805</v>
      </c>
      <c r="C174" t="n">
        <v>805.75</v>
      </c>
      <c r="D174" t="n">
        <v>24</v>
      </c>
      <c r="O174" t="n">
        <v>51000</v>
      </c>
      <c r="P174" t="n">
        <v>51150</v>
      </c>
      <c r="Q174" t="n">
        <v>59</v>
      </c>
      <c r="AB174" t="n">
        <v>25500</v>
      </c>
      <c r="AC174" t="n">
        <v>25575</v>
      </c>
      <c r="AD174" t="n">
        <v>17</v>
      </c>
      <c r="AO174" t="n">
        <v>680000</v>
      </c>
      <c r="AP174" t="n">
        <v>682000</v>
      </c>
      <c r="AQ174" t="n">
        <v>7</v>
      </c>
      <c r="BB174" t="n">
        <v>1190000</v>
      </c>
      <c r="BC174" t="n">
        <v>1193500</v>
      </c>
      <c r="BD174" t="n">
        <v>2</v>
      </c>
      <c r="BO174" t="n">
        <v>1.02</v>
      </c>
      <c r="BP174" t="n">
        <v>1.023</v>
      </c>
      <c r="BQ174" t="n">
        <v>55</v>
      </c>
      <c r="CB174" t="n">
        <v>25.5</v>
      </c>
      <c r="CC174" t="n">
        <v>25.575</v>
      </c>
      <c r="CD174" t="n">
        <v>2</v>
      </c>
      <c r="CO174" t="n">
        <v>78</v>
      </c>
      <c r="CP174" t="n">
        <v>78.2</v>
      </c>
      <c r="CQ174" t="n">
        <v>24</v>
      </c>
      <c r="DB174" t="n">
        <v>69.5</v>
      </c>
      <c r="DC174" t="n">
        <v>69.675</v>
      </c>
      <c r="DD174" t="n">
        <v>21</v>
      </c>
      <c r="DO174" t="n">
        <v>11.75</v>
      </c>
      <c r="DP174" t="n">
        <v>11.7625</v>
      </c>
      <c r="DQ174" t="n">
        <v>22</v>
      </c>
      <c r="EB174" t="n">
        <v>85</v>
      </c>
      <c r="EC174" t="n">
        <v>85.25</v>
      </c>
      <c r="ED174" t="n">
        <v>53</v>
      </c>
      <c r="EO174" t="n">
        <v>2.975</v>
      </c>
      <c r="EP174" t="n">
        <v>2.98375</v>
      </c>
      <c r="EQ174" t="n">
        <v>0</v>
      </c>
    </row>
    <row r="175">
      <c r="B175" t="n">
        <v>806.5</v>
      </c>
      <c r="C175" t="n">
        <v>807.25</v>
      </c>
      <c r="D175" t="n">
        <v>9</v>
      </c>
      <c r="O175" t="n">
        <v>51300</v>
      </c>
      <c r="P175" t="n">
        <v>51450</v>
      </c>
      <c r="Q175" t="n">
        <v>71</v>
      </c>
      <c r="AB175" t="n">
        <v>25650</v>
      </c>
      <c r="AC175" t="n">
        <v>25725</v>
      </c>
      <c r="AD175" t="n">
        <v>16</v>
      </c>
      <c r="AO175" t="n">
        <v>684000</v>
      </c>
      <c r="AP175" t="n">
        <v>686000</v>
      </c>
      <c r="AQ175" t="n">
        <v>7</v>
      </c>
      <c r="BB175" t="n">
        <v>1197000</v>
      </c>
      <c r="BC175" t="n">
        <v>1200500</v>
      </c>
      <c r="BD175" t="n">
        <v>1</v>
      </c>
      <c r="BO175" t="n">
        <v>1.026</v>
      </c>
      <c r="BP175" t="n">
        <v>1.029</v>
      </c>
      <c r="BQ175" t="n">
        <v>69</v>
      </c>
      <c r="CB175" t="n">
        <v>25.65</v>
      </c>
      <c r="CC175" t="n">
        <v>25.725</v>
      </c>
      <c r="CD175" t="n">
        <v>4</v>
      </c>
      <c r="CO175" t="n">
        <v>78.40000000000001</v>
      </c>
      <c r="CP175" t="n">
        <v>78.60000000000001</v>
      </c>
      <c r="CQ175" t="n">
        <v>19</v>
      </c>
      <c r="DB175" t="n">
        <v>69.84999999999999</v>
      </c>
      <c r="DC175" t="n">
        <v>70.02500000000001</v>
      </c>
      <c r="DD175" t="n">
        <v>23</v>
      </c>
      <c r="DO175" t="n">
        <v>11.775</v>
      </c>
      <c r="DP175" t="n">
        <v>11.7875</v>
      </c>
      <c r="DQ175" t="n">
        <v>23</v>
      </c>
      <c r="EB175" t="n">
        <v>85.5</v>
      </c>
      <c r="EC175" t="n">
        <v>85.75</v>
      </c>
      <c r="ED175" t="n">
        <v>45</v>
      </c>
      <c r="EO175" t="n">
        <v>2.9925</v>
      </c>
      <c r="EP175" t="n">
        <v>3.00125</v>
      </c>
      <c r="EQ175" t="n">
        <v>2</v>
      </c>
    </row>
    <row r="176">
      <c r="B176" t="n">
        <v>808</v>
      </c>
      <c r="C176" t="n">
        <v>808.75</v>
      </c>
      <c r="D176" t="n">
        <v>24</v>
      </c>
      <c r="O176" t="n">
        <v>51600</v>
      </c>
      <c r="P176" t="n">
        <v>51750</v>
      </c>
      <c r="Q176" t="n">
        <v>55</v>
      </c>
      <c r="AB176" t="n">
        <v>25800</v>
      </c>
      <c r="AC176" t="n">
        <v>25875</v>
      </c>
      <c r="AD176" t="n">
        <v>13</v>
      </c>
      <c r="AO176" t="n">
        <v>688000</v>
      </c>
      <c r="AP176" t="n">
        <v>690000</v>
      </c>
      <c r="AQ176" t="n">
        <v>5</v>
      </c>
      <c r="BB176" t="n">
        <v>1204000</v>
      </c>
      <c r="BC176" t="n">
        <v>1207500</v>
      </c>
      <c r="BD176" t="n">
        <v>3</v>
      </c>
      <c r="BO176" t="n">
        <v>1.032</v>
      </c>
      <c r="BP176" t="n">
        <v>1.035</v>
      </c>
      <c r="BQ176" t="n">
        <v>56</v>
      </c>
      <c r="CB176" t="n">
        <v>25.8</v>
      </c>
      <c r="CC176" t="n">
        <v>25.875</v>
      </c>
      <c r="CD176" t="n">
        <v>10</v>
      </c>
      <c r="CO176" t="n">
        <v>78.8</v>
      </c>
      <c r="CP176" t="n">
        <v>79</v>
      </c>
      <c r="CQ176" t="n">
        <v>18</v>
      </c>
      <c r="DB176" t="n">
        <v>70.19999999999999</v>
      </c>
      <c r="DC176" t="n">
        <v>70.375</v>
      </c>
      <c r="DD176" t="n">
        <v>21</v>
      </c>
      <c r="DO176" t="n">
        <v>11.8</v>
      </c>
      <c r="DP176" t="n">
        <v>11.8125</v>
      </c>
      <c r="DQ176" t="n">
        <v>29</v>
      </c>
      <c r="EB176" t="n">
        <v>86</v>
      </c>
      <c r="EC176" t="n">
        <v>86.25</v>
      </c>
      <c r="ED176" t="n">
        <v>71</v>
      </c>
      <c r="EO176" t="n">
        <v>3.01</v>
      </c>
      <c r="EP176" t="n">
        <v>3.01875</v>
      </c>
      <c r="EQ176" t="n">
        <v>5</v>
      </c>
    </row>
    <row r="177">
      <c r="B177" t="n">
        <v>809.5</v>
      </c>
      <c r="C177" t="n">
        <v>810.25</v>
      </c>
      <c r="D177" t="n">
        <v>21</v>
      </c>
      <c r="O177" t="n">
        <v>51900</v>
      </c>
      <c r="P177" t="n">
        <v>52050</v>
      </c>
      <c r="Q177" t="n">
        <v>53</v>
      </c>
      <c r="AB177" t="n">
        <v>25950</v>
      </c>
      <c r="AC177" t="n">
        <v>26025</v>
      </c>
      <c r="AD177" t="n">
        <v>18</v>
      </c>
      <c r="AO177" t="n">
        <v>692000</v>
      </c>
      <c r="AP177" t="n">
        <v>694000</v>
      </c>
      <c r="AQ177" t="n">
        <v>6</v>
      </c>
      <c r="BB177" t="n">
        <v>1211000</v>
      </c>
      <c r="BC177" t="n">
        <v>1214500</v>
      </c>
      <c r="BD177" t="n">
        <v>2</v>
      </c>
      <c r="BO177" t="n">
        <v>1.038</v>
      </c>
      <c r="BP177" t="n">
        <v>1.041</v>
      </c>
      <c r="BQ177" t="n">
        <v>61</v>
      </c>
      <c r="CB177" t="n">
        <v>25.95</v>
      </c>
      <c r="CC177" t="n">
        <v>26.025</v>
      </c>
      <c r="CD177" t="n">
        <v>3</v>
      </c>
      <c r="CO177" t="n">
        <v>79.2</v>
      </c>
      <c r="CP177" t="n">
        <v>79.40000000000001</v>
      </c>
      <c r="CQ177" t="n">
        <v>16</v>
      </c>
      <c r="DB177" t="n">
        <v>70.55</v>
      </c>
      <c r="DC177" t="n">
        <v>70.72499999999999</v>
      </c>
      <c r="DD177" t="n">
        <v>30</v>
      </c>
      <c r="DO177" t="n">
        <v>11.825</v>
      </c>
      <c r="DP177" t="n">
        <v>11.8375</v>
      </c>
      <c r="DQ177" t="n">
        <v>22</v>
      </c>
      <c r="EB177" t="n">
        <v>86.5</v>
      </c>
      <c r="EC177" t="n">
        <v>86.75</v>
      </c>
      <c r="ED177" t="n">
        <v>60</v>
      </c>
      <c r="EO177" t="n">
        <v>3.0275</v>
      </c>
      <c r="EP177" t="n">
        <v>3.03625</v>
      </c>
      <c r="EQ177" t="n">
        <v>4</v>
      </c>
    </row>
    <row r="178">
      <c r="B178" t="n">
        <v>811</v>
      </c>
      <c r="C178" t="n">
        <v>811.75</v>
      </c>
      <c r="D178" t="n">
        <v>21</v>
      </c>
      <c r="O178" t="n">
        <v>52200</v>
      </c>
      <c r="P178" t="n">
        <v>52350</v>
      </c>
      <c r="Q178" t="n">
        <v>70</v>
      </c>
      <c r="AB178" t="n">
        <v>26100</v>
      </c>
      <c r="AC178" t="n">
        <v>26175</v>
      </c>
      <c r="AD178" t="n">
        <v>10</v>
      </c>
      <c r="AO178" t="n">
        <v>696000</v>
      </c>
      <c r="AP178" t="n">
        <v>698000</v>
      </c>
      <c r="AQ178" t="n">
        <v>4</v>
      </c>
      <c r="BB178" t="n">
        <v>1218000</v>
      </c>
      <c r="BC178" t="n">
        <v>1221500</v>
      </c>
      <c r="BD178" t="n">
        <v>6</v>
      </c>
      <c r="BO178" t="n">
        <v>1.044</v>
      </c>
      <c r="BP178" t="n">
        <v>1.047</v>
      </c>
      <c r="BQ178" t="n">
        <v>59</v>
      </c>
      <c r="CB178" t="n">
        <v>26.1</v>
      </c>
      <c r="CC178" t="n">
        <v>26.175</v>
      </c>
      <c r="CD178" t="n">
        <v>6</v>
      </c>
      <c r="CO178" t="n">
        <v>79.60000000000001</v>
      </c>
      <c r="CP178" t="n">
        <v>79.8</v>
      </c>
      <c r="CQ178" t="n">
        <v>12</v>
      </c>
      <c r="DB178" t="n">
        <v>70.90000000000001</v>
      </c>
      <c r="DC178" t="n">
        <v>71.07499999999999</v>
      </c>
      <c r="DD178" t="n">
        <v>20</v>
      </c>
      <c r="DO178" t="n">
        <v>11.85</v>
      </c>
      <c r="DP178" t="n">
        <v>11.8625</v>
      </c>
      <c r="DQ178" t="n">
        <v>23</v>
      </c>
      <c r="EB178" t="n">
        <v>87</v>
      </c>
      <c r="EC178" t="n">
        <v>87.25</v>
      </c>
      <c r="ED178" t="n">
        <v>59</v>
      </c>
      <c r="EO178" t="n">
        <v>3.045</v>
      </c>
      <c r="EP178" t="n">
        <v>3.05375</v>
      </c>
      <c r="EQ178" t="n">
        <v>2</v>
      </c>
    </row>
    <row r="179">
      <c r="B179" t="n">
        <v>812.5</v>
      </c>
      <c r="C179" t="n">
        <v>813.25</v>
      </c>
      <c r="D179" t="n">
        <v>8</v>
      </c>
      <c r="O179" t="n">
        <v>52500</v>
      </c>
      <c r="P179" t="n">
        <v>52650</v>
      </c>
      <c r="Q179" t="n">
        <v>76</v>
      </c>
      <c r="AB179" t="n">
        <v>26250</v>
      </c>
      <c r="AC179" t="n">
        <v>26325</v>
      </c>
      <c r="AD179" t="n">
        <v>10</v>
      </c>
      <c r="AO179" t="n">
        <v>700000</v>
      </c>
      <c r="AP179" t="n">
        <v>702000</v>
      </c>
      <c r="AQ179" t="n">
        <v>4</v>
      </c>
      <c r="BB179" t="n">
        <v>1225000</v>
      </c>
      <c r="BC179" t="n">
        <v>1228500</v>
      </c>
      <c r="BD179" t="n">
        <v>3</v>
      </c>
      <c r="BO179" t="n">
        <v>1.05</v>
      </c>
      <c r="BP179" t="n">
        <v>1.053</v>
      </c>
      <c r="BQ179" t="n">
        <v>75</v>
      </c>
      <c r="CB179" t="n">
        <v>26.25</v>
      </c>
      <c r="CC179" t="n">
        <v>26.325</v>
      </c>
      <c r="CD179" t="n">
        <v>0</v>
      </c>
      <c r="CO179" t="n">
        <v>80</v>
      </c>
      <c r="CP179" t="n">
        <v>80.2</v>
      </c>
      <c r="CQ179" t="n">
        <v>13</v>
      </c>
      <c r="DB179" t="n">
        <v>71.25</v>
      </c>
      <c r="DC179" t="n">
        <v>71.425</v>
      </c>
      <c r="DD179" t="n">
        <v>24</v>
      </c>
      <c r="DO179" t="n">
        <v>11.875</v>
      </c>
      <c r="DP179" t="n">
        <v>11.8875</v>
      </c>
      <c r="DQ179" t="n">
        <v>15</v>
      </c>
      <c r="EB179" t="n">
        <v>87.5</v>
      </c>
      <c r="EC179" t="n">
        <v>87.75</v>
      </c>
      <c r="ED179" t="n">
        <v>59</v>
      </c>
      <c r="EO179" t="n">
        <v>3.0625</v>
      </c>
      <c r="EP179" t="n">
        <v>3.07125</v>
      </c>
      <c r="EQ179" t="n">
        <v>3</v>
      </c>
    </row>
    <row r="180">
      <c r="B180" t="n">
        <v>814</v>
      </c>
      <c r="C180" t="n">
        <v>814.75</v>
      </c>
      <c r="D180" t="n">
        <v>22</v>
      </c>
      <c r="O180" t="n">
        <v>52800</v>
      </c>
      <c r="P180" t="n">
        <v>52950</v>
      </c>
      <c r="Q180" t="n">
        <v>79</v>
      </c>
      <c r="AB180" t="n">
        <v>26400</v>
      </c>
      <c r="AC180" t="n">
        <v>26475</v>
      </c>
      <c r="AD180" t="n">
        <v>12</v>
      </c>
      <c r="AO180" t="n">
        <v>704000</v>
      </c>
      <c r="AP180" t="n">
        <v>706000</v>
      </c>
      <c r="AQ180" t="n">
        <v>4</v>
      </c>
      <c r="BB180" t="n">
        <v>1232000</v>
      </c>
      <c r="BC180" t="n">
        <v>1235500</v>
      </c>
      <c r="BD180" t="n">
        <v>3</v>
      </c>
      <c r="BO180" t="n">
        <v>1.056</v>
      </c>
      <c r="BP180" t="n">
        <v>1.059</v>
      </c>
      <c r="BQ180" t="n">
        <v>63</v>
      </c>
      <c r="CB180" t="n">
        <v>26.4</v>
      </c>
      <c r="CC180" t="n">
        <v>26.475</v>
      </c>
      <c r="CD180" t="n">
        <v>0</v>
      </c>
      <c r="CO180" t="n">
        <v>80.40000000000001</v>
      </c>
      <c r="CP180" t="n">
        <v>80.60000000000001</v>
      </c>
      <c r="CQ180" t="n">
        <v>15</v>
      </c>
      <c r="DB180" t="n">
        <v>71.59999999999999</v>
      </c>
      <c r="DC180" t="n">
        <v>71.77500000000001</v>
      </c>
      <c r="DD180" t="n">
        <v>24</v>
      </c>
      <c r="DO180" t="n">
        <v>11.9</v>
      </c>
      <c r="DP180" t="n">
        <v>11.9125</v>
      </c>
      <c r="DQ180" t="n">
        <v>16</v>
      </c>
      <c r="EB180" t="n">
        <v>88</v>
      </c>
      <c r="EC180" t="n">
        <v>88.25</v>
      </c>
      <c r="ED180" t="n">
        <v>59</v>
      </c>
      <c r="EO180" t="n">
        <v>3.08</v>
      </c>
      <c r="EP180" t="n">
        <v>3.08875</v>
      </c>
      <c r="EQ180" t="n">
        <v>2</v>
      </c>
    </row>
    <row r="181">
      <c r="B181" t="n">
        <v>815.5</v>
      </c>
      <c r="C181" t="n">
        <v>816.25</v>
      </c>
      <c r="D181" t="n">
        <v>7</v>
      </c>
      <c r="O181" t="n">
        <v>53100</v>
      </c>
      <c r="P181" t="n">
        <v>53250</v>
      </c>
      <c r="Q181" t="n">
        <v>76</v>
      </c>
      <c r="AB181" t="n">
        <v>26550</v>
      </c>
      <c r="AC181" t="n">
        <v>26625</v>
      </c>
      <c r="AD181" t="n">
        <v>15</v>
      </c>
      <c r="AO181" t="n">
        <v>708000</v>
      </c>
      <c r="AP181" t="n">
        <v>710000</v>
      </c>
      <c r="AQ181" t="n">
        <v>8</v>
      </c>
      <c r="BB181" t="n">
        <v>1239000</v>
      </c>
      <c r="BC181" t="n">
        <v>1242500</v>
      </c>
      <c r="BD181" t="n">
        <v>2</v>
      </c>
      <c r="BO181" t="n">
        <v>1.062</v>
      </c>
      <c r="BP181" t="n">
        <v>1.065</v>
      </c>
      <c r="BQ181" t="n">
        <v>58</v>
      </c>
      <c r="CB181" t="n">
        <v>26.55</v>
      </c>
      <c r="CC181" t="n">
        <v>26.625</v>
      </c>
      <c r="CD181" t="n">
        <v>3</v>
      </c>
      <c r="CO181" t="n">
        <v>80.8</v>
      </c>
      <c r="CP181" t="n">
        <v>81</v>
      </c>
      <c r="CQ181" t="n">
        <v>21</v>
      </c>
      <c r="DB181" t="n">
        <v>71.94999999999999</v>
      </c>
      <c r="DC181" t="n">
        <v>72.125</v>
      </c>
      <c r="DD181" t="n">
        <v>15</v>
      </c>
      <c r="DO181" t="n">
        <v>11.925</v>
      </c>
      <c r="DP181" t="n">
        <v>11.9375</v>
      </c>
      <c r="DQ181" t="n">
        <v>19</v>
      </c>
      <c r="EB181" t="n">
        <v>88.5</v>
      </c>
      <c r="EC181" t="n">
        <v>88.75</v>
      </c>
      <c r="ED181" t="n">
        <v>55</v>
      </c>
      <c r="EO181" t="n">
        <v>3.0975</v>
      </c>
      <c r="EP181" t="n">
        <v>3.10625</v>
      </c>
      <c r="EQ181" t="n">
        <v>3</v>
      </c>
    </row>
    <row r="182">
      <c r="B182" t="n">
        <v>817</v>
      </c>
      <c r="C182" t="n">
        <v>817.75</v>
      </c>
      <c r="D182" t="n">
        <v>16</v>
      </c>
      <c r="O182" t="n">
        <v>53400</v>
      </c>
      <c r="P182" t="n">
        <v>53550</v>
      </c>
      <c r="Q182" t="n">
        <v>67</v>
      </c>
      <c r="AB182" t="n">
        <v>26700</v>
      </c>
      <c r="AC182" t="n">
        <v>26775</v>
      </c>
      <c r="AD182" t="n">
        <v>21</v>
      </c>
      <c r="AO182" t="n">
        <v>712000</v>
      </c>
      <c r="AP182" t="n">
        <v>714000</v>
      </c>
      <c r="AQ182" t="n">
        <v>12</v>
      </c>
      <c r="BB182" t="n">
        <v>1246000</v>
      </c>
      <c r="BC182" t="n">
        <v>1249500</v>
      </c>
      <c r="BD182" t="n">
        <v>1</v>
      </c>
      <c r="BO182" t="n">
        <v>1.068</v>
      </c>
      <c r="BP182" t="n">
        <v>1.071</v>
      </c>
      <c r="BQ182" t="n">
        <v>61</v>
      </c>
      <c r="CB182" t="n">
        <v>26.7</v>
      </c>
      <c r="CC182" t="n">
        <v>26.775</v>
      </c>
      <c r="CD182" t="n">
        <v>6</v>
      </c>
      <c r="CO182" t="n">
        <v>81.2</v>
      </c>
      <c r="CP182" t="n">
        <v>81.40000000000001</v>
      </c>
      <c r="CQ182" t="n">
        <v>21</v>
      </c>
      <c r="DB182" t="n">
        <v>72.3</v>
      </c>
      <c r="DC182" t="n">
        <v>72.47499999999999</v>
      </c>
      <c r="DD182" t="n">
        <v>16</v>
      </c>
      <c r="DO182" t="n">
        <v>11.95</v>
      </c>
      <c r="DP182" t="n">
        <v>11.9625</v>
      </c>
      <c r="DQ182" t="n">
        <v>17</v>
      </c>
      <c r="EB182" t="n">
        <v>89</v>
      </c>
      <c r="EC182" t="n">
        <v>89.25</v>
      </c>
      <c r="ED182" t="n">
        <v>54</v>
      </c>
      <c r="EO182" t="n">
        <v>3.115</v>
      </c>
      <c r="EP182" t="n">
        <v>3.12375</v>
      </c>
      <c r="EQ182" t="n">
        <v>4</v>
      </c>
    </row>
    <row r="183">
      <c r="B183" t="n">
        <v>818.5</v>
      </c>
      <c r="C183" t="n">
        <v>819.25</v>
      </c>
      <c r="D183" t="n">
        <v>9</v>
      </c>
      <c r="O183" t="n">
        <v>53700</v>
      </c>
      <c r="P183" t="n">
        <v>53850</v>
      </c>
      <c r="Q183" t="n">
        <v>71</v>
      </c>
      <c r="AB183" t="n">
        <v>26850</v>
      </c>
      <c r="AC183" t="n">
        <v>26925</v>
      </c>
      <c r="AD183" t="n">
        <v>7</v>
      </c>
      <c r="AO183" t="n">
        <v>716000</v>
      </c>
      <c r="AP183" t="n">
        <v>718000</v>
      </c>
      <c r="AQ183" t="n">
        <v>4</v>
      </c>
      <c r="BB183" t="n">
        <v>1253000</v>
      </c>
      <c r="BC183" t="n">
        <v>1256500</v>
      </c>
      <c r="BD183" t="n">
        <v>3</v>
      </c>
      <c r="BO183" t="n">
        <v>1.074</v>
      </c>
      <c r="BP183" t="n">
        <v>1.077</v>
      </c>
      <c r="BQ183" t="n">
        <v>75</v>
      </c>
      <c r="CB183" t="n">
        <v>26.85</v>
      </c>
      <c r="CC183" t="n">
        <v>26.925</v>
      </c>
      <c r="CD183" t="n">
        <v>2</v>
      </c>
      <c r="CO183" t="n">
        <v>81.60000000000001</v>
      </c>
      <c r="CP183" t="n">
        <v>81.8</v>
      </c>
      <c r="CQ183" t="n">
        <v>11</v>
      </c>
      <c r="DB183" t="n">
        <v>72.65000000000001</v>
      </c>
      <c r="DC183" t="n">
        <v>72.82499999999999</v>
      </c>
      <c r="DD183" t="n">
        <v>13</v>
      </c>
      <c r="DO183" t="n">
        <v>11.975</v>
      </c>
      <c r="DP183" t="n">
        <v>11.9875</v>
      </c>
      <c r="DQ183" t="n">
        <v>19</v>
      </c>
      <c r="EB183" t="n">
        <v>89.5</v>
      </c>
      <c r="EC183" t="n">
        <v>89.75</v>
      </c>
      <c r="ED183" t="n">
        <v>65</v>
      </c>
      <c r="EO183" t="n">
        <v>3.1325</v>
      </c>
      <c r="EP183" t="n">
        <v>3.14125</v>
      </c>
      <c r="EQ183" t="n">
        <v>6</v>
      </c>
    </row>
    <row r="184">
      <c r="B184" t="n">
        <v>820</v>
      </c>
      <c r="C184" t="n">
        <v>820.75</v>
      </c>
      <c r="D184" t="n">
        <v>13</v>
      </c>
      <c r="O184" t="n">
        <v>54000</v>
      </c>
      <c r="P184" t="n">
        <v>54150</v>
      </c>
      <c r="Q184" t="n">
        <v>64</v>
      </c>
      <c r="AB184" t="n">
        <v>27000</v>
      </c>
      <c r="AC184" t="n">
        <v>27075</v>
      </c>
      <c r="AD184" t="n">
        <v>12</v>
      </c>
      <c r="AO184" t="n">
        <v>720000</v>
      </c>
      <c r="AP184" t="n">
        <v>722000</v>
      </c>
      <c r="AQ184" t="n">
        <v>3</v>
      </c>
      <c r="BB184" t="n">
        <v>1260000</v>
      </c>
      <c r="BC184" t="n">
        <v>1263500</v>
      </c>
      <c r="BD184" t="n">
        <v>3</v>
      </c>
      <c r="BO184" t="n">
        <v>1.08</v>
      </c>
      <c r="BP184" t="n">
        <v>1.083</v>
      </c>
      <c r="BQ184" t="n">
        <v>60</v>
      </c>
      <c r="CB184" t="n">
        <v>27</v>
      </c>
      <c r="CC184" t="n">
        <v>27.075</v>
      </c>
      <c r="CD184" t="n">
        <v>3</v>
      </c>
      <c r="CO184" t="n">
        <v>82</v>
      </c>
      <c r="CP184" t="n">
        <v>82.2</v>
      </c>
      <c r="CQ184" t="n">
        <v>11</v>
      </c>
      <c r="DB184" t="n">
        <v>73</v>
      </c>
      <c r="DC184" t="n">
        <v>73.175</v>
      </c>
      <c r="DD184" t="n">
        <v>14</v>
      </c>
      <c r="DO184" t="n">
        <v>12</v>
      </c>
      <c r="DP184" t="n">
        <v>12.0125</v>
      </c>
      <c r="DQ184" t="n">
        <v>18</v>
      </c>
      <c r="EB184" t="n">
        <v>90</v>
      </c>
      <c r="EC184" t="n">
        <v>90.25</v>
      </c>
      <c r="ED184" t="n">
        <v>80</v>
      </c>
      <c r="EO184" t="n">
        <v>3.15</v>
      </c>
      <c r="EP184" t="n">
        <v>3.15875</v>
      </c>
      <c r="EQ184" t="n">
        <v>3</v>
      </c>
    </row>
    <row r="185">
      <c r="B185" t="n">
        <v>821.5</v>
      </c>
      <c r="C185" t="n">
        <v>822.25</v>
      </c>
      <c r="D185" t="n">
        <v>6</v>
      </c>
      <c r="O185" t="n">
        <v>54300</v>
      </c>
      <c r="P185" t="n">
        <v>54450</v>
      </c>
      <c r="Q185" t="n">
        <v>67</v>
      </c>
      <c r="AB185" t="n">
        <v>27150</v>
      </c>
      <c r="AC185" t="n">
        <v>27225</v>
      </c>
      <c r="AD185" t="n">
        <v>11</v>
      </c>
      <c r="AO185" t="n">
        <v>724000</v>
      </c>
      <c r="AP185" t="n">
        <v>726000</v>
      </c>
      <c r="AQ185" t="n">
        <v>8</v>
      </c>
      <c r="BB185" t="n">
        <v>1267000</v>
      </c>
      <c r="BC185" t="n">
        <v>1270500</v>
      </c>
      <c r="BD185" t="n">
        <v>3</v>
      </c>
      <c r="BO185" t="n">
        <v>1.086</v>
      </c>
      <c r="BP185" t="n">
        <v>1.089</v>
      </c>
      <c r="BQ185" t="n">
        <v>58</v>
      </c>
      <c r="CB185" t="n">
        <v>27.15</v>
      </c>
      <c r="CC185" t="n">
        <v>27.225</v>
      </c>
      <c r="CD185" t="n">
        <v>2</v>
      </c>
      <c r="CO185" t="n">
        <v>82.40000000000001</v>
      </c>
      <c r="CP185" t="n">
        <v>82.60000000000001</v>
      </c>
      <c r="CQ185" t="n">
        <v>17</v>
      </c>
      <c r="DB185" t="n">
        <v>73.34999999999999</v>
      </c>
      <c r="DC185" t="n">
        <v>73.52500000000001</v>
      </c>
      <c r="DD185" t="n">
        <v>12</v>
      </c>
      <c r="DO185" t="n">
        <v>12.025</v>
      </c>
      <c r="DP185" t="n">
        <v>12.0375</v>
      </c>
      <c r="DQ185" t="n">
        <v>16</v>
      </c>
      <c r="EB185" t="n">
        <v>90.5</v>
      </c>
      <c r="EC185" t="n">
        <v>90.75</v>
      </c>
      <c r="ED185" t="n">
        <v>64</v>
      </c>
      <c r="EO185" t="n">
        <v>3.1675</v>
      </c>
      <c r="EP185" t="n">
        <v>3.17625</v>
      </c>
      <c r="EQ185" t="n">
        <v>6</v>
      </c>
    </row>
    <row r="186">
      <c r="B186" t="n">
        <v>823</v>
      </c>
      <c r="C186" t="n">
        <v>823.75</v>
      </c>
      <c r="D186" t="n">
        <v>8</v>
      </c>
      <c r="O186" t="n">
        <v>54600</v>
      </c>
      <c r="P186" t="n">
        <v>54750</v>
      </c>
      <c r="Q186" t="n">
        <v>72</v>
      </c>
      <c r="AB186" t="n">
        <v>27300</v>
      </c>
      <c r="AC186" t="n">
        <v>27375</v>
      </c>
      <c r="AD186" t="n">
        <v>8</v>
      </c>
      <c r="AO186" t="n">
        <v>728000</v>
      </c>
      <c r="AP186" t="n">
        <v>730000</v>
      </c>
      <c r="AQ186" t="n">
        <v>5</v>
      </c>
      <c r="BB186" t="n">
        <v>1274000</v>
      </c>
      <c r="BC186" t="n">
        <v>1277500</v>
      </c>
      <c r="BD186" t="n">
        <v>0</v>
      </c>
      <c r="BO186" t="n">
        <v>1.092</v>
      </c>
      <c r="BP186" t="n">
        <v>1.095</v>
      </c>
      <c r="BQ186" t="n">
        <v>60</v>
      </c>
      <c r="CB186" t="n">
        <v>27.3</v>
      </c>
      <c r="CC186" t="n">
        <v>27.375</v>
      </c>
      <c r="CD186" t="n">
        <v>4</v>
      </c>
      <c r="CO186" t="n">
        <v>82.8</v>
      </c>
      <c r="CP186" t="n">
        <v>83</v>
      </c>
      <c r="CQ186" t="n">
        <v>14</v>
      </c>
      <c r="DB186" t="n">
        <v>73.69999999999999</v>
      </c>
      <c r="DC186" t="n">
        <v>73.875</v>
      </c>
      <c r="DD186" t="n">
        <v>15</v>
      </c>
      <c r="DO186" t="n">
        <v>12.05</v>
      </c>
      <c r="DP186" t="n">
        <v>12.0625</v>
      </c>
      <c r="DQ186" t="n">
        <v>15</v>
      </c>
      <c r="EB186" t="n">
        <v>91</v>
      </c>
      <c r="EC186" t="n">
        <v>91.25</v>
      </c>
      <c r="ED186" t="n">
        <v>52</v>
      </c>
      <c r="EO186" t="n">
        <v>3.185</v>
      </c>
      <c r="EP186" t="n">
        <v>3.19375</v>
      </c>
      <c r="EQ186" t="n">
        <v>4</v>
      </c>
    </row>
    <row r="187">
      <c r="B187" t="n">
        <v>824.5</v>
      </c>
      <c r="C187" t="n">
        <v>825.25</v>
      </c>
      <c r="D187" t="n">
        <v>5</v>
      </c>
      <c r="O187" t="n">
        <v>54900</v>
      </c>
      <c r="P187" t="n">
        <v>55050</v>
      </c>
      <c r="Q187" t="n">
        <v>68</v>
      </c>
      <c r="AB187" t="n">
        <v>27450</v>
      </c>
      <c r="AC187" t="n">
        <v>27525</v>
      </c>
      <c r="AD187" t="n">
        <v>4</v>
      </c>
      <c r="AO187" t="n">
        <v>732000</v>
      </c>
      <c r="AP187" t="n">
        <v>734000</v>
      </c>
      <c r="AQ187" t="n">
        <v>3</v>
      </c>
      <c r="BB187" t="n">
        <v>1281000</v>
      </c>
      <c r="BC187" t="n">
        <v>1284500</v>
      </c>
      <c r="BD187" t="n">
        <v>2</v>
      </c>
      <c r="BO187" t="n">
        <v>1.098</v>
      </c>
      <c r="BP187" t="n">
        <v>1.101</v>
      </c>
      <c r="BQ187" t="n">
        <v>68</v>
      </c>
      <c r="CB187" t="n">
        <v>27.45</v>
      </c>
      <c r="CC187" t="n">
        <v>27.525</v>
      </c>
      <c r="CD187" t="n">
        <v>3</v>
      </c>
      <c r="CO187" t="n">
        <v>83.2</v>
      </c>
      <c r="CP187" t="n">
        <v>83.40000000000001</v>
      </c>
      <c r="CQ187" t="n">
        <v>13</v>
      </c>
      <c r="DB187" t="n">
        <v>74.05</v>
      </c>
      <c r="DC187" t="n">
        <v>74.22499999999999</v>
      </c>
      <c r="DD187" t="n">
        <v>18</v>
      </c>
      <c r="DO187" t="n">
        <v>12.075</v>
      </c>
      <c r="DP187" t="n">
        <v>12.0875</v>
      </c>
      <c r="DQ187" t="n">
        <v>13</v>
      </c>
      <c r="EB187" t="n">
        <v>91.5</v>
      </c>
      <c r="EC187" t="n">
        <v>91.75</v>
      </c>
      <c r="ED187" t="n">
        <v>56</v>
      </c>
      <c r="EO187" t="n">
        <v>3.2025</v>
      </c>
      <c r="EP187" t="n">
        <v>3.21125</v>
      </c>
      <c r="EQ187" t="n">
        <v>1</v>
      </c>
    </row>
    <row r="188">
      <c r="B188" t="n">
        <v>826</v>
      </c>
      <c r="C188" t="n">
        <v>826.75</v>
      </c>
      <c r="D188" t="n">
        <v>17</v>
      </c>
      <c r="O188" t="n">
        <v>55200</v>
      </c>
      <c r="P188" t="n">
        <v>55350</v>
      </c>
      <c r="Q188" t="n">
        <v>67</v>
      </c>
      <c r="AB188" t="n">
        <v>27600</v>
      </c>
      <c r="AC188" t="n">
        <v>27675</v>
      </c>
      <c r="AD188" t="n">
        <v>11</v>
      </c>
      <c r="AO188" t="n">
        <v>736000</v>
      </c>
      <c r="AP188" t="n">
        <v>738000</v>
      </c>
      <c r="AQ188" t="n">
        <v>2</v>
      </c>
      <c r="BB188" t="n">
        <v>1288000</v>
      </c>
      <c r="BC188" t="n">
        <v>1291500</v>
      </c>
      <c r="BD188" t="n">
        <v>2</v>
      </c>
      <c r="BO188" t="n">
        <v>1.104</v>
      </c>
      <c r="BP188" t="n">
        <v>1.107</v>
      </c>
      <c r="BQ188" t="n">
        <v>79</v>
      </c>
      <c r="CB188" t="n">
        <v>27.6</v>
      </c>
      <c r="CC188" t="n">
        <v>27.675</v>
      </c>
      <c r="CD188" t="n">
        <v>6</v>
      </c>
      <c r="CO188" t="n">
        <v>83.60000000000001</v>
      </c>
      <c r="CP188" t="n">
        <v>83.8</v>
      </c>
      <c r="CQ188" t="n">
        <v>4</v>
      </c>
      <c r="DB188" t="n">
        <v>74.39999999999999</v>
      </c>
      <c r="DC188" t="n">
        <v>74.575</v>
      </c>
      <c r="DD188" t="n">
        <v>10</v>
      </c>
      <c r="DO188" t="n">
        <v>12.1</v>
      </c>
      <c r="DP188" t="n">
        <v>12.1125</v>
      </c>
      <c r="DQ188" t="n">
        <v>19</v>
      </c>
      <c r="EB188" t="n">
        <v>92</v>
      </c>
      <c r="EC188" t="n">
        <v>92.25</v>
      </c>
      <c r="ED188" t="n">
        <v>62</v>
      </c>
      <c r="EO188" t="n">
        <v>3.22</v>
      </c>
      <c r="EP188" t="n">
        <v>3.22875</v>
      </c>
      <c r="EQ188" t="n">
        <v>2</v>
      </c>
    </row>
    <row r="189">
      <c r="B189" t="n">
        <v>827.5</v>
      </c>
      <c r="C189" t="n">
        <v>828.25</v>
      </c>
      <c r="D189" t="n">
        <v>2</v>
      </c>
      <c r="O189" t="n">
        <v>55500</v>
      </c>
      <c r="P189" t="n">
        <v>55650</v>
      </c>
      <c r="Q189" t="n">
        <v>52</v>
      </c>
      <c r="AB189" t="n">
        <v>27750</v>
      </c>
      <c r="AC189" t="n">
        <v>27825</v>
      </c>
      <c r="AD189" t="n">
        <v>5</v>
      </c>
      <c r="AO189" t="n">
        <v>740000</v>
      </c>
      <c r="AP189" t="n">
        <v>742000</v>
      </c>
      <c r="AQ189" t="n">
        <v>3</v>
      </c>
      <c r="BB189" t="n">
        <v>1295000</v>
      </c>
      <c r="BC189" t="n">
        <v>1298500</v>
      </c>
      <c r="BD189" t="n">
        <v>1</v>
      </c>
      <c r="BO189" t="n">
        <v>1.11</v>
      </c>
      <c r="BP189" t="n">
        <v>1.113</v>
      </c>
      <c r="BQ189" t="n">
        <v>63</v>
      </c>
      <c r="CB189" t="n">
        <v>27.75</v>
      </c>
      <c r="CC189" t="n">
        <v>27.825</v>
      </c>
      <c r="CD189" t="n">
        <v>1</v>
      </c>
      <c r="CO189" t="n">
        <v>84</v>
      </c>
      <c r="CP189" t="n">
        <v>84.2</v>
      </c>
      <c r="CQ189" t="n">
        <v>14</v>
      </c>
      <c r="DB189" t="n">
        <v>74.75</v>
      </c>
      <c r="DC189" t="n">
        <v>74.925</v>
      </c>
      <c r="DD189" t="n">
        <v>9</v>
      </c>
      <c r="DO189" t="n">
        <v>12.125</v>
      </c>
      <c r="DP189" t="n">
        <v>12.1375</v>
      </c>
      <c r="DQ189" t="n">
        <v>14</v>
      </c>
      <c r="EB189" t="n">
        <v>92.5</v>
      </c>
      <c r="EC189" t="n">
        <v>92.75</v>
      </c>
      <c r="ED189" t="n">
        <v>68</v>
      </c>
      <c r="EO189" t="n">
        <v>3.2375</v>
      </c>
      <c r="EP189" t="n">
        <v>3.24625</v>
      </c>
      <c r="EQ189" t="n">
        <v>6</v>
      </c>
    </row>
    <row r="190">
      <c r="B190" t="n">
        <v>829</v>
      </c>
      <c r="C190" t="n">
        <v>829.75</v>
      </c>
      <c r="D190" t="n">
        <v>8</v>
      </c>
      <c r="O190" t="n">
        <v>55800</v>
      </c>
      <c r="P190" t="n">
        <v>55950</v>
      </c>
      <c r="Q190" t="n">
        <v>58</v>
      </c>
      <c r="AB190" t="n">
        <v>27900</v>
      </c>
      <c r="AC190" t="n">
        <v>27975</v>
      </c>
      <c r="AD190" t="n">
        <v>7</v>
      </c>
      <c r="AO190" t="n">
        <v>744000</v>
      </c>
      <c r="AP190" t="n">
        <v>746000</v>
      </c>
      <c r="AQ190" t="n">
        <v>5</v>
      </c>
      <c r="BB190" t="n">
        <v>1302000</v>
      </c>
      <c r="BC190" t="n">
        <v>1305500</v>
      </c>
      <c r="BD190" t="n">
        <v>1</v>
      </c>
      <c r="BO190" t="n">
        <v>1.116</v>
      </c>
      <c r="BP190" t="n">
        <v>1.119</v>
      </c>
      <c r="BQ190" t="n">
        <v>66</v>
      </c>
      <c r="CB190" t="n">
        <v>27.9</v>
      </c>
      <c r="CC190" t="n">
        <v>27.975</v>
      </c>
      <c r="CD190" t="n">
        <v>1</v>
      </c>
      <c r="CO190" t="n">
        <v>84.40000000000001</v>
      </c>
      <c r="CP190" t="n">
        <v>84.60000000000001</v>
      </c>
      <c r="CQ190" t="n">
        <v>9</v>
      </c>
      <c r="DB190" t="n">
        <v>75.09999999999999</v>
      </c>
      <c r="DC190" t="n">
        <v>75.27499999999999</v>
      </c>
      <c r="DD190" t="n">
        <v>13</v>
      </c>
      <c r="DO190" t="n">
        <v>12.15</v>
      </c>
      <c r="DP190" t="n">
        <v>12.1625</v>
      </c>
      <c r="DQ190" t="n">
        <v>12</v>
      </c>
      <c r="EB190" t="n">
        <v>93</v>
      </c>
      <c r="EC190" t="n">
        <v>93.25</v>
      </c>
      <c r="ED190" t="n">
        <v>68</v>
      </c>
      <c r="EO190" t="n">
        <v>3.255</v>
      </c>
      <c r="EP190" t="n">
        <v>3.26375</v>
      </c>
      <c r="EQ190" t="n">
        <v>3</v>
      </c>
    </row>
    <row r="191">
      <c r="B191" t="n">
        <v>830.5</v>
      </c>
      <c r="C191" t="n">
        <v>831.25</v>
      </c>
      <c r="D191" t="n">
        <v>5</v>
      </c>
      <c r="O191" t="n">
        <v>56100</v>
      </c>
      <c r="P191" t="n">
        <v>56250</v>
      </c>
      <c r="Q191" t="n">
        <v>64</v>
      </c>
      <c r="AB191" t="n">
        <v>28050</v>
      </c>
      <c r="AC191" t="n">
        <v>28125</v>
      </c>
      <c r="AD191" t="n">
        <v>8</v>
      </c>
      <c r="AO191" t="n">
        <v>748000</v>
      </c>
      <c r="AP191" t="n">
        <v>750000</v>
      </c>
      <c r="AQ191" t="n">
        <v>3</v>
      </c>
      <c r="BB191" t="n">
        <v>1309000</v>
      </c>
      <c r="BC191" t="n">
        <v>1312500</v>
      </c>
      <c r="BD191" t="n">
        <v>1</v>
      </c>
      <c r="BO191" t="n">
        <v>1.122</v>
      </c>
      <c r="BP191" t="n">
        <v>1.125</v>
      </c>
      <c r="BQ191" t="n">
        <v>62</v>
      </c>
      <c r="CB191" t="n">
        <v>28.05</v>
      </c>
      <c r="CC191" t="n">
        <v>28.125</v>
      </c>
      <c r="CD191" t="n">
        <v>4</v>
      </c>
      <c r="CO191" t="n">
        <v>84.8</v>
      </c>
      <c r="CP191" t="n">
        <v>85</v>
      </c>
      <c r="CQ191" t="n">
        <v>10</v>
      </c>
      <c r="DB191" t="n">
        <v>75.45</v>
      </c>
      <c r="DC191" t="n">
        <v>75.625</v>
      </c>
      <c r="DD191" t="n">
        <v>10</v>
      </c>
      <c r="DO191" t="n">
        <v>12.175</v>
      </c>
      <c r="DP191" t="n">
        <v>12.1875</v>
      </c>
      <c r="DQ191" t="n">
        <v>10</v>
      </c>
      <c r="EB191" t="n">
        <v>93.5</v>
      </c>
      <c r="EC191" t="n">
        <v>93.75</v>
      </c>
      <c r="ED191" t="n">
        <v>65</v>
      </c>
      <c r="EO191" t="n">
        <v>3.2725</v>
      </c>
      <c r="EP191" t="n">
        <v>3.28125</v>
      </c>
      <c r="EQ191" t="n">
        <v>3</v>
      </c>
    </row>
    <row r="192">
      <c r="B192" t="n">
        <v>832</v>
      </c>
      <c r="C192" t="n">
        <v>832.75</v>
      </c>
      <c r="D192" t="n">
        <v>9</v>
      </c>
      <c r="O192" t="n">
        <v>56400</v>
      </c>
      <c r="P192" t="n">
        <v>56550</v>
      </c>
      <c r="Q192" t="n">
        <v>61</v>
      </c>
      <c r="AB192" t="n">
        <v>28200</v>
      </c>
      <c r="AC192" t="n">
        <v>28275</v>
      </c>
      <c r="AD192" t="n">
        <v>8</v>
      </c>
      <c r="AO192" t="n">
        <v>752000</v>
      </c>
      <c r="AP192" t="n">
        <v>754000</v>
      </c>
      <c r="AQ192" t="n">
        <v>7</v>
      </c>
      <c r="BB192" t="n">
        <v>1316000</v>
      </c>
      <c r="BC192" t="n">
        <v>1319500</v>
      </c>
      <c r="BD192" t="n">
        <v>0</v>
      </c>
      <c r="BO192" t="n">
        <v>1.128</v>
      </c>
      <c r="BP192" t="n">
        <v>1.131</v>
      </c>
      <c r="BQ192" t="n">
        <v>74</v>
      </c>
      <c r="CB192" t="n">
        <v>28.2</v>
      </c>
      <c r="CC192" t="n">
        <v>28.275</v>
      </c>
      <c r="CD192" t="n">
        <v>6</v>
      </c>
      <c r="CO192" t="n">
        <v>85.2</v>
      </c>
      <c r="CP192" t="n">
        <v>85.40000000000001</v>
      </c>
      <c r="CQ192" t="n">
        <v>3</v>
      </c>
      <c r="DB192" t="n">
        <v>75.8</v>
      </c>
      <c r="DC192" t="n">
        <v>75.97499999999999</v>
      </c>
      <c r="DD192" t="n">
        <v>7</v>
      </c>
      <c r="DO192" t="n">
        <v>12.2</v>
      </c>
      <c r="DP192" t="n">
        <v>12.2125</v>
      </c>
      <c r="DQ192" t="n">
        <v>12</v>
      </c>
      <c r="EB192" t="n">
        <v>94</v>
      </c>
      <c r="EC192" t="n">
        <v>94.25</v>
      </c>
      <c r="ED192" t="n">
        <v>57</v>
      </c>
      <c r="EO192" t="n">
        <v>3.29</v>
      </c>
      <c r="EP192" t="n">
        <v>3.298750000000001</v>
      </c>
      <c r="EQ192" t="n">
        <v>3</v>
      </c>
    </row>
    <row r="193">
      <c r="B193" t="n">
        <v>833.5</v>
      </c>
      <c r="C193" t="n">
        <v>834.25</v>
      </c>
      <c r="D193" t="n">
        <v>3</v>
      </c>
      <c r="O193" t="n">
        <v>56700</v>
      </c>
      <c r="P193" t="n">
        <v>56850</v>
      </c>
      <c r="Q193" t="n">
        <v>60</v>
      </c>
      <c r="AB193" t="n">
        <v>28350</v>
      </c>
      <c r="AC193" t="n">
        <v>28425</v>
      </c>
      <c r="AD193" t="n">
        <v>6</v>
      </c>
      <c r="AO193" t="n">
        <v>756000</v>
      </c>
      <c r="AP193" t="n">
        <v>758000</v>
      </c>
      <c r="AQ193" t="n">
        <v>5</v>
      </c>
      <c r="BB193" t="n">
        <v>1323000</v>
      </c>
      <c r="BC193" t="n">
        <v>1326500</v>
      </c>
      <c r="BD193" t="n">
        <v>2</v>
      </c>
      <c r="BO193" t="n">
        <v>1.134</v>
      </c>
      <c r="BP193" t="n">
        <v>1.137</v>
      </c>
      <c r="BQ193" t="n">
        <v>59</v>
      </c>
      <c r="CB193" t="n">
        <v>28.35</v>
      </c>
      <c r="CC193" t="n">
        <v>28.425</v>
      </c>
      <c r="CD193" t="n">
        <v>3</v>
      </c>
      <c r="CO193" t="n">
        <v>85.60000000000001</v>
      </c>
      <c r="CP193" t="n">
        <v>85.8</v>
      </c>
      <c r="CQ193" t="n">
        <v>9</v>
      </c>
      <c r="DB193" t="n">
        <v>76.14999999999999</v>
      </c>
      <c r="DC193" t="n">
        <v>76.325</v>
      </c>
      <c r="DD193" t="n">
        <v>14</v>
      </c>
      <c r="DO193" t="n">
        <v>12.225</v>
      </c>
      <c r="DP193" t="n">
        <v>12.2375</v>
      </c>
      <c r="DQ193" t="n">
        <v>11</v>
      </c>
      <c r="EB193" t="n">
        <v>94.5</v>
      </c>
      <c r="EC193" t="n">
        <v>94.75</v>
      </c>
      <c r="ED193" t="n">
        <v>51</v>
      </c>
      <c r="EO193" t="n">
        <v>3.3075</v>
      </c>
      <c r="EP193" t="n">
        <v>3.31625</v>
      </c>
      <c r="EQ193" t="n">
        <v>0</v>
      </c>
    </row>
    <row r="194">
      <c r="B194" t="n">
        <v>835</v>
      </c>
      <c r="C194" t="n">
        <v>835.75</v>
      </c>
      <c r="D194" t="n">
        <v>7</v>
      </c>
      <c r="O194" t="n">
        <v>57000</v>
      </c>
      <c r="P194" t="n">
        <v>57150</v>
      </c>
      <c r="Q194" t="n">
        <v>72</v>
      </c>
      <c r="AB194" t="n">
        <v>28500</v>
      </c>
      <c r="AC194" t="n">
        <v>28575</v>
      </c>
      <c r="AD194" t="n">
        <v>8</v>
      </c>
      <c r="AO194" t="n">
        <v>760000</v>
      </c>
      <c r="AP194" t="n">
        <v>762000</v>
      </c>
      <c r="AQ194" t="n">
        <v>9</v>
      </c>
      <c r="BB194" t="n">
        <v>1330000</v>
      </c>
      <c r="BC194" t="n">
        <v>1333500</v>
      </c>
      <c r="BD194" t="n">
        <v>3</v>
      </c>
      <c r="BO194" t="n">
        <v>1.14</v>
      </c>
      <c r="BP194" t="n">
        <v>1.143</v>
      </c>
      <c r="BQ194" t="n">
        <v>56</v>
      </c>
      <c r="CB194" t="n">
        <v>28.5</v>
      </c>
      <c r="CC194" t="n">
        <v>28.575</v>
      </c>
      <c r="CD194" t="n">
        <v>4</v>
      </c>
      <c r="CO194" t="n">
        <v>86</v>
      </c>
      <c r="CP194" t="n">
        <v>86.2</v>
      </c>
      <c r="CQ194" t="n">
        <v>5</v>
      </c>
      <c r="DB194" t="n">
        <v>76.5</v>
      </c>
      <c r="DC194" t="n">
        <v>76.675</v>
      </c>
      <c r="DD194" t="n">
        <v>12</v>
      </c>
      <c r="DO194" t="n">
        <v>12.25</v>
      </c>
      <c r="DP194" t="n">
        <v>12.2625</v>
      </c>
      <c r="DQ194" t="n">
        <v>6</v>
      </c>
      <c r="EB194" t="n">
        <v>95</v>
      </c>
      <c r="EC194" t="n">
        <v>95.25</v>
      </c>
      <c r="ED194" t="n">
        <v>53</v>
      </c>
      <c r="EO194" t="n">
        <v>3.325</v>
      </c>
      <c r="EP194" t="n">
        <v>3.33375</v>
      </c>
      <c r="EQ194" t="n">
        <v>1</v>
      </c>
    </row>
    <row r="195">
      <c r="B195" t="n">
        <v>836.5</v>
      </c>
      <c r="C195" t="n">
        <v>837.25</v>
      </c>
      <c r="D195" t="n">
        <v>6</v>
      </c>
      <c r="O195" t="n">
        <v>57300</v>
      </c>
      <c r="P195" t="n">
        <v>57450</v>
      </c>
      <c r="Q195" t="n">
        <v>65</v>
      </c>
      <c r="AB195" t="n">
        <v>28650</v>
      </c>
      <c r="AC195" t="n">
        <v>28725</v>
      </c>
      <c r="AD195" t="n">
        <v>10</v>
      </c>
      <c r="AO195" t="n">
        <v>764000</v>
      </c>
      <c r="AP195" t="n">
        <v>766000</v>
      </c>
      <c r="AQ195" t="n">
        <v>3</v>
      </c>
      <c r="BB195" t="n">
        <v>1337000</v>
      </c>
      <c r="BC195" t="n">
        <v>1340500</v>
      </c>
      <c r="BD195" t="n">
        <v>0</v>
      </c>
      <c r="BO195" t="n">
        <v>1.146</v>
      </c>
      <c r="BP195" t="n">
        <v>1.149</v>
      </c>
      <c r="BQ195" t="n">
        <v>65</v>
      </c>
      <c r="CB195" t="n">
        <v>28.65</v>
      </c>
      <c r="CC195" t="n">
        <v>28.725</v>
      </c>
      <c r="CD195" t="n">
        <v>0</v>
      </c>
      <c r="CO195" t="n">
        <v>86.40000000000001</v>
      </c>
      <c r="CP195" t="n">
        <v>86.60000000000001</v>
      </c>
      <c r="CQ195" t="n">
        <v>6</v>
      </c>
      <c r="DB195" t="n">
        <v>76.84999999999999</v>
      </c>
      <c r="DC195" t="n">
        <v>77.02499999999999</v>
      </c>
      <c r="DD195" t="n">
        <v>4</v>
      </c>
      <c r="DO195" t="n">
        <v>12.275</v>
      </c>
      <c r="DP195" t="n">
        <v>12.2875</v>
      </c>
      <c r="DQ195" t="n">
        <v>9</v>
      </c>
      <c r="EB195" t="n">
        <v>95.5</v>
      </c>
      <c r="EC195" t="n">
        <v>95.75</v>
      </c>
      <c r="ED195" t="n">
        <v>55</v>
      </c>
      <c r="EO195" t="n">
        <v>3.3425</v>
      </c>
      <c r="EP195" t="n">
        <v>3.35125</v>
      </c>
      <c r="EQ195" t="n">
        <v>1</v>
      </c>
    </row>
    <row r="196">
      <c r="B196" t="n">
        <v>838</v>
      </c>
      <c r="C196" t="n">
        <v>838.75</v>
      </c>
      <c r="D196" t="n">
        <v>9</v>
      </c>
      <c r="O196" t="n">
        <v>57600</v>
      </c>
      <c r="P196" t="n">
        <v>57750</v>
      </c>
      <c r="Q196" t="n">
        <v>57</v>
      </c>
      <c r="AB196" t="n">
        <v>28800</v>
      </c>
      <c r="AC196" t="n">
        <v>28875</v>
      </c>
      <c r="AD196" t="n">
        <v>6</v>
      </c>
      <c r="AO196" t="n">
        <v>768000</v>
      </c>
      <c r="AP196" t="n">
        <v>770000</v>
      </c>
      <c r="AQ196" t="n">
        <v>4</v>
      </c>
      <c r="BB196" t="n">
        <v>1344000</v>
      </c>
      <c r="BC196" t="n">
        <v>1347500</v>
      </c>
      <c r="BD196" t="n">
        <v>2</v>
      </c>
      <c r="BO196" t="n">
        <v>1.152</v>
      </c>
      <c r="BP196" t="n">
        <v>1.155</v>
      </c>
      <c r="BQ196" t="n">
        <v>75</v>
      </c>
      <c r="CB196" t="n">
        <v>28.8</v>
      </c>
      <c r="CC196" t="n">
        <v>28.875</v>
      </c>
      <c r="CD196" t="n">
        <v>2</v>
      </c>
      <c r="CO196" t="n">
        <v>86.80000000000001</v>
      </c>
      <c r="CP196" t="n">
        <v>87</v>
      </c>
      <c r="CQ196" t="n">
        <v>5</v>
      </c>
      <c r="DB196" t="n">
        <v>77.19999999999999</v>
      </c>
      <c r="DC196" t="n">
        <v>77.375</v>
      </c>
      <c r="DD196" t="n">
        <v>4</v>
      </c>
      <c r="DO196" t="n">
        <v>12.3</v>
      </c>
      <c r="DP196" t="n">
        <v>12.3125</v>
      </c>
      <c r="DQ196" t="n">
        <v>8</v>
      </c>
      <c r="EB196" t="n">
        <v>96</v>
      </c>
      <c r="EC196" t="n">
        <v>96.25</v>
      </c>
      <c r="ED196" t="n">
        <v>49</v>
      </c>
      <c r="EO196" t="n">
        <v>3.36</v>
      </c>
      <c r="EP196" t="n">
        <v>3.36875</v>
      </c>
      <c r="EQ196" t="n">
        <v>3</v>
      </c>
    </row>
    <row r="197">
      <c r="B197" t="n">
        <v>839.5</v>
      </c>
      <c r="C197" t="n">
        <v>840.25</v>
      </c>
      <c r="D197" t="n">
        <v>7</v>
      </c>
      <c r="O197" t="n">
        <v>57900</v>
      </c>
      <c r="P197" t="n">
        <v>58050</v>
      </c>
      <c r="Q197" t="n">
        <v>65</v>
      </c>
      <c r="AB197" t="n">
        <v>28950</v>
      </c>
      <c r="AC197" t="n">
        <v>29025</v>
      </c>
      <c r="AD197" t="n">
        <v>2</v>
      </c>
      <c r="AO197" t="n">
        <v>772000</v>
      </c>
      <c r="AP197" t="n">
        <v>774000</v>
      </c>
      <c r="AQ197" t="n">
        <v>2</v>
      </c>
      <c r="BB197" t="n">
        <v>1351000</v>
      </c>
      <c r="BC197" t="n">
        <v>1354500</v>
      </c>
      <c r="BD197" t="n">
        <v>1</v>
      </c>
      <c r="BO197" t="n">
        <v>1.158</v>
      </c>
      <c r="BP197" t="n">
        <v>1.161</v>
      </c>
      <c r="BQ197" t="n">
        <v>56</v>
      </c>
      <c r="CB197" t="n">
        <v>28.95</v>
      </c>
      <c r="CC197" t="n">
        <v>29.025</v>
      </c>
      <c r="CD197" t="n">
        <v>2</v>
      </c>
      <c r="CO197" t="n">
        <v>87.2</v>
      </c>
      <c r="CP197" t="n">
        <v>87.40000000000001</v>
      </c>
      <c r="CQ197" t="n">
        <v>9</v>
      </c>
      <c r="DB197" t="n">
        <v>77.55</v>
      </c>
      <c r="DC197" t="n">
        <v>77.72499999999999</v>
      </c>
      <c r="DD197" t="n">
        <v>11</v>
      </c>
      <c r="DO197" t="n">
        <v>12.325</v>
      </c>
      <c r="DP197" t="n">
        <v>12.3375</v>
      </c>
      <c r="DQ197" t="n">
        <v>10</v>
      </c>
      <c r="EB197" t="n">
        <v>96.5</v>
      </c>
      <c r="EC197" t="n">
        <v>96.75</v>
      </c>
      <c r="ED197" t="n">
        <v>90</v>
      </c>
      <c r="EO197" t="n">
        <v>3.3775</v>
      </c>
      <c r="EP197" t="n">
        <v>3.38625</v>
      </c>
      <c r="EQ197" t="n">
        <v>1</v>
      </c>
    </row>
    <row r="198">
      <c r="B198" t="n">
        <v>841</v>
      </c>
      <c r="C198" t="n">
        <v>841.75</v>
      </c>
      <c r="D198" t="n">
        <v>8</v>
      </c>
      <c r="O198" t="n">
        <v>58200</v>
      </c>
      <c r="P198" t="n">
        <v>58350</v>
      </c>
      <c r="Q198" t="n">
        <v>83</v>
      </c>
      <c r="AB198" t="n">
        <v>29100</v>
      </c>
      <c r="AC198" t="n">
        <v>29175</v>
      </c>
      <c r="AD198" t="n">
        <v>4</v>
      </c>
      <c r="AO198" t="n">
        <v>776000</v>
      </c>
      <c r="AP198" t="n">
        <v>778000</v>
      </c>
      <c r="AQ198" t="n">
        <v>2</v>
      </c>
      <c r="BB198" t="n">
        <v>1358000</v>
      </c>
      <c r="BC198" t="n">
        <v>1361500</v>
      </c>
      <c r="BD198" t="n">
        <v>3</v>
      </c>
      <c r="BO198" t="n">
        <v>1.164</v>
      </c>
      <c r="BP198" t="n">
        <v>1.167</v>
      </c>
      <c r="BQ198" t="n">
        <v>61</v>
      </c>
      <c r="CB198" t="n">
        <v>29.1</v>
      </c>
      <c r="CC198" t="n">
        <v>29.175</v>
      </c>
      <c r="CD198" t="n">
        <v>2</v>
      </c>
      <c r="CO198" t="n">
        <v>87.60000000000001</v>
      </c>
      <c r="CP198" t="n">
        <v>87.80000000000001</v>
      </c>
      <c r="CQ198" t="n">
        <v>7</v>
      </c>
      <c r="DB198" t="n">
        <v>77.89999999999999</v>
      </c>
      <c r="DC198" t="n">
        <v>78.07499999999999</v>
      </c>
      <c r="DD198" t="n">
        <v>13</v>
      </c>
      <c r="DO198" t="n">
        <v>12.35</v>
      </c>
      <c r="DP198" t="n">
        <v>12.3625</v>
      </c>
      <c r="DQ198" t="n">
        <v>9</v>
      </c>
      <c r="EB198" t="n">
        <v>97</v>
      </c>
      <c r="EC198" t="n">
        <v>97.25</v>
      </c>
      <c r="ED198" t="n">
        <v>58</v>
      </c>
      <c r="EO198" t="n">
        <v>3.395</v>
      </c>
      <c r="EP198" t="n">
        <v>3.40375</v>
      </c>
      <c r="EQ198" t="n">
        <v>2</v>
      </c>
    </row>
    <row r="199">
      <c r="B199" t="n">
        <v>842.5</v>
      </c>
      <c r="C199" t="n">
        <v>843.25</v>
      </c>
      <c r="D199" t="n">
        <v>4</v>
      </c>
      <c r="O199" t="n">
        <v>58500</v>
      </c>
      <c r="P199" t="n">
        <v>58650</v>
      </c>
      <c r="Q199" t="n">
        <v>59</v>
      </c>
      <c r="AB199" t="n">
        <v>29250</v>
      </c>
      <c r="AC199" t="n">
        <v>29325</v>
      </c>
      <c r="AD199" t="n">
        <v>5</v>
      </c>
      <c r="AO199" t="n">
        <v>780000</v>
      </c>
      <c r="AP199" t="n">
        <v>782000</v>
      </c>
      <c r="AQ199" t="n">
        <v>0</v>
      </c>
      <c r="BB199" t="n">
        <v>1365000</v>
      </c>
      <c r="BC199" t="n">
        <v>1368500</v>
      </c>
      <c r="BD199" t="n">
        <v>1</v>
      </c>
      <c r="BO199" t="n">
        <v>1.17</v>
      </c>
      <c r="BP199" t="n">
        <v>1.173</v>
      </c>
      <c r="BQ199" t="n">
        <v>76</v>
      </c>
      <c r="CB199" t="n">
        <v>29.25</v>
      </c>
      <c r="CC199" t="n">
        <v>29.325</v>
      </c>
      <c r="CD199" t="n">
        <v>1</v>
      </c>
      <c r="CO199" t="n">
        <v>88</v>
      </c>
      <c r="CP199" t="n">
        <v>88.2</v>
      </c>
      <c r="CQ199" t="n">
        <v>4</v>
      </c>
      <c r="DB199" t="n">
        <v>78.25</v>
      </c>
      <c r="DC199" t="n">
        <v>78.425</v>
      </c>
      <c r="DD199" t="n">
        <v>8</v>
      </c>
      <c r="DO199" t="n">
        <v>12.375</v>
      </c>
      <c r="DP199" t="n">
        <v>12.3875</v>
      </c>
      <c r="DQ199" t="n">
        <v>14</v>
      </c>
      <c r="EB199" t="n">
        <v>97.5</v>
      </c>
      <c r="EC199" t="n">
        <v>97.75</v>
      </c>
      <c r="ED199" t="n">
        <v>52</v>
      </c>
      <c r="EO199" t="n">
        <v>3.412500000000001</v>
      </c>
      <c r="EP199" t="n">
        <v>3.42125</v>
      </c>
      <c r="EQ199" t="n">
        <v>2</v>
      </c>
    </row>
    <row r="200">
      <c r="B200" t="n">
        <v>844</v>
      </c>
      <c r="C200" t="n">
        <v>844.75</v>
      </c>
      <c r="D200" t="n">
        <v>8</v>
      </c>
      <c r="O200" t="n">
        <v>58800</v>
      </c>
      <c r="P200" t="n">
        <v>58950</v>
      </c>
      <c r="Q200" t="n">
        <v>71</v>
      </c>
      <c r="AB200" t="n">
        <v>29400</v>
      </c>
      <c r="AC200" t="n">
        <v>29475</v>
      </c>
      <c r="AD200" t="n">
        <v>2</v>
      </c>
      <c r="AO200" t="n">
        <v>784000</v>
      </c>
      <c r="AP200" t="n">
        <v>786000</v>
      </c>
      <c r="AQ200" t="n">
        <v>4</v>
      </c>
      <c r="BB200" t="n">
        <v>1372000</v>
      </c>
      <c r="BC200" t="n">
        <v>1375500</v>
      </c>
      <c r="BD200" t="n">
        <v>2</v>
      </c>
      <c r="BO200" t="n">
        <v>1.176</v>
      </c>
      <c r="BP200" t="n">
        <v>1.179</v>
      </c>
      <c r="BQ200" t="n">
        <v>64</v>
      </c>
      <c r="CB200" t="n">
        <v>29.4</v>
      </c>
      <c r="CC200" t="n">
        <v>29.475</v>
      </c>
      <c r="CD200" t="n">
        <v>3</v>
      </c>
      <c r="CO200" t="n">
        <v>88.40000000000001</v>
      </c>
      <c r="CP200" t="n">
        <v>88.60000000000001</v>
      </c>
      <c r="CQ200" t="n">
        <v>4</v>
      </c>
      <c r="DB200" t="n">
        <v>78.59999999999999</v>
      </c>
      <c r="DC200" t="n">
        <v>78.77499999999999</v>
      </c>
      <c r="DD200" t="n">
        <v>7</v>
      </c>
      <c r="DO200" t="n">
        <v>12.4</v>
      </c>
      <c r="DP200" t="n">
        <v>12.4125</v>
      </c>
      <c r="DQ200" t="n">
        <v>8</v>
      </c>
      <c r="EB200" t="n">
        <v>98</v>
      </c>
      <c r="EC200" t="n">
        <v>98.25</v>
      </c>
      <c r="ED200" t="n">
        <v>70</v>
      </c>
      <c r="EO200" t="n">
        <v>3.43</v>
      </c>
      <c r="EP200" t="n">
        <v>3.43875</v>
      </c>
      <c r="EQ200" t="n">
        <v>3</v>
      </c>
    </row>
    <row r="201">
      <c r="B201" t="n">
        <v>845.5</v>
      </c>
      <c r="C201" t="n">
        <v>846.25</v>
      </c>
      <c r="D201" t="n">
        <v>3</v>
      </c>
      <c r="O201" t="n">
        <v>59100</v>
      </c>
      <c r="P201" t="n">
        <v>59250</v>
      </c>
      <c r="Q201" t="n">
        <v>81</v>
      </c>
      <c r="AB201" t="n">
        <v>29550</v>
      </c>
      <c r="AC201" t="n">
        <v>29625</v>
      </c>
      <c r="AD201" t="n">
        <v>7</v>
      </c>
      <c r="AO201" t="n">
        <v>788000</v>
      </c>
      <c r="AP201" t="n">
        <v>790000</v>
      </c>
      <c r="AQ201" t="n">
        <v>3</v>
      </c>
      <c r="BB201" t="n">
        <v>1379000</v>
      </c>
      <c r="BC201" t="n">
        <v>1382500</v>
      </c>
      <c r="BD201" t="n">
        <v>1</v>
      </c>
      <c r="BO201" t="n">
        <v>1.182</v>
      </c>
      <c r="BP201" t="n">
        <v>1.185</v>
      </c>
      <c r="BQ201" t="n">
        <v>54</v>
      </c>
      <c r="CB201" t="n">
        <v>29.55</v>
      </c>
      <c r="CC201" t="n">
        <v>29.625</v>
      </c>
      <c r="CD201" t="n">
        <v>1</v>
      </c>
      <c r="CO201" t="n">
        <v>88.80000000000001</v>
      </c>
      <c r="CP201" t="n">
        <v>89</v>
      </c>
      <c r="CQ201" t="n">
        <v>5</v>
      </c>
      <c r="DB201" t="n">
        <v>78.94999999999999</v>
      </c>
      <c r="DC201" t="n">
        <v>79.125</v>
      </c>
      <c r="DD201" t="n">
        <v>1</v>
      </c>
      <c r="DO201" t="n">
        <v>12.425</v>
      </c>
      <c r="DP201" t="n">
        <v>12.4375</v>
      </c>
      <c r="DQ201" t="n">
        <v>6</v>
      </c>
      <c r="EB201" t="n">
        <v>98.5</v>
      </c>
      <c r="EC201" t="n">
        <v>98.75</v>
      </c>
      <c r="ED201" t="n">
        <v>64</v>
      </c>
      <c r="EO201" t="n">
        <v>3.4475</v>
      </c>
      <c r="EP201" t="n">
        <v>3.45625</v>
      </c>
      <c r="EQ201" t="n">
        <v>2</v>
      </c>
    </row>
    <row r="202">
      <c r="B202" t="n">
        <v>847</v>
      </c>
      <c r="C202" t="n">
        <v>847.75</v>
      </c>
      <c r="D202" t="n">
        <v>4</v>
      </c>
      <c r="O202" t="n">
        <v>59400</v>
      </c>
      <c r="P202" t="n">
        <v>59550</v>
      </c>
      <c r="Q202" t="n">
        <v>61</v>
      </c>
      <c r="AB202" t="n">
        <v>29700</v>
      </c>
      <c r="AC202" t="n">
        <v>29775</v>
      </c>
      <c r="AD202" t="n">
        <v>10</v>
      </c>
      <c r="AO202" t="n">
        <v>792000</v>
      </c>
      <c r="AP202" t="n">
        <v>794000</v>
      </c>
      <c r="AQ202" t="n">
        <v>5</v>
      </c>
      <c r="BB202" t="n">
        <v>1386000</v>
      </c>
      <c r="BC202" t="n">
        <v>1389500</v>
      </c>
      <c r="BD202" t="n">
        <v>1</v>
      </c>
      <c r="BO202" t="n">
        <v>1.188</v>
      </c>
      <c r="BP202" t="n">
        <v>1.191</v>
      </c>
      <c r="BQ202" t="n">
        <v>59</v>
      </c>
      <c r="CB202" t="n">
        <v>29.7</v>
      </c>
      <c r="CC202" t="n">
        <v>29.775</v>
      </c>
      <c r="CD202" t="n">
        <v>5</v>
      </c>
      <c r="CO202" t="n">
        <v>89.2</v>
      </c>
      <c r="CP202" t="n">
        <v>89.40000000000001</v>
      </c>
      <c r="CQ202" t="n">
        <v>3</v>
      </c>
      <c r="DB202" t="n">
        <v>79.3</v>
      </c>
      <c r="DC202" t="n">
        <v>79.47499999999999</v>
      </c>
      <c r="DD202" t="n">
        <v>8</v>
      </c>
      <c r="DO202" t="n">
        <v>12.45</v>
      </c>
      <c r="DP202" t="n">
        <v>12.4625</v>
      </c>
      <c r="DQ202" t="n">
        <v>3</v>
      </c>
      <c r="EB202" t="n">
        <v>99</v>
      </c>
      <c r="EC202" t="n">
        <v>99.25</v>
      </c>
      <c r="ED202" t="n">
        <v>55</v>
      </c>
      <c r="EO202" t="n">
        <v>3.465</v>
      </c>
      <c r="EP202" t="n">
        <v>3.47375</v>
      </c>
      <c r="EQ202" t="n">
        <v>2</v>
      </c>
    </row>
    <row r="203">
      <c r="B203" t="n">
        <v>848.5</v>
      </c>
      <c r="C203" t="n">
        <v>849.25</v>
      </c>
      <c r="D203" t="n">
        <v>6</v>
      </c>
      <c r="O203" t="n">
        <v>59700</v>
      </c>
      <c r="P203" t="n">
        <v>59850</v>
      </c>
      <c r="Q203" t="n">
        <v>57</v>
      </c>
      <c r="AB203" t="n">
        <v>29850</v>
      </c>
      <c r="AC203" t="n">
        <v>29925</v>
      </c>
      <c r="AD203" t="n">
        <v>4</v>
      </c>
      <c r="AO203" t="n">
        <v>796000</v>
      </c>
      <c r="AP203" t="n">
        <v>798000</v>
      </c>
      <c r="AQ203" t="n">
        <v>3</v>
      </c>
      <c r="BB203" t="n">
        <v>1393000</v>
      </c>
      <c r="BC203" t="n">
        <v>1396500</v>
      </c>
      <c r="BD203" t="n">
        <v>2</v>
      </c>
      <c r="BO203" t="n">
        <v>1.194</v>
      </c>
      <c r="BP203" t="n">
        <v>1.197</v>
      </c>
      <c r="BQ203" t="n">
        <v>59</v>
      </c>
      <c r="CB203" t="n">
        <v>29.85</v>
      </c>
      <c r="CC203" t="n">
        <v>29.925</v>
      </c>
      <c r="CD203" t="n">
        <v>3</v>
      </c>
      <c r="CO203" t="n">
        <v>89.60000000000001</v>
      </c>
      <c r="CP203" t="n">
        <v>89.80000000000001</v>
      </c>
      <c r="CQ203" t="n">
        <v>5</v>
      </c>
      <c r="DB203" t="n">
        <v>79.64999999999999</v>
      </c>
      <c r="DC203" t="n">
        <v>79.82499999999999</v>
      </c>
      <c r="DD203" t="n">
        <v>4</v>
      </c>
      <c r="DO203" t="n">
        <v>12.475</v>
      </c>
      <c r="DP203" t="n">
        <v>12.4875</v>
      </c>
      <c r="DQ203" t="n">
        <v>5</v>
      </c>
      <c r="EB203" t="n">
        <v>99.5</v>
      </c>
      <c r="EC203" t="n">
        <v>99.75</v>
      </c>
      <c r="ED203" t="n">
        <v>63</v>
      </c>
      <c r="EO203" t="n">
        <v>3.4825</v>
      </c>
      <c r="EP203" t="n">
        <v>3.49125</v>
      </c>
      <c r="EQ20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/tmp/credit3/Scout files/Scouting book.csv</t>
        </is>
      </c>
    </row>
    <row r="2">
      <c r="A2" t="inlineStr">
        <is>
          <t>sha256</t>
        </is>
      </c>
      <c r="B2" t="inlineStr">
        <is>
          <t>6ff6f7498ba80250219eeba4bb2e1c07f8e8c4d4ca4189604f9506b3cfb641f8</t>
        </is>
      </c>
    </row>
    <row r="3">
      <c r="A3" t="inlineStr">
        <is>
          <t>set up</t>
        </is>
      </c>
      <c r="B3" t="inlineStr">
        <is>
          <t>2026-09-30</t>
        </is>
      </c>
    </row>
    <row r="4">
      <c r="A4" t="inlineStr">
        <is>
          <t>extract name</t>
        </is>
      </c>
      <c r="B4" t="inlineStr">
        <is>
          <t>Scouting book.csv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74" t="inlineStr">
        <is>
          <t>The lines in use: what the formulas on the result tabs read</t>
        </is>
      </c>
    </row>
    <row r="2">
      <c r="B2" s="175"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76" t="inlineStr">
        <is>
          <t>Setting</t>
        </is>
      </c>
      <c r="C4" s="176" t="inlineStr">
        <is>
          <t>In use now</t>
        </is>
      </c>
      <c r="D4" s="176" t="inlineStr">
        <is>
          <t>The last Run used</t>
        </is>
      </c>
      <c r="E4" s="176" t="inlineStr">
        <is>
          <t>In words now</t>
        </is>
      </c>
      <c r="F4" s="176" t="inlineStr">
        <is>
          <t>In words at the last Run</t>
        </is>
      </c>
      <c r="K4" s="176" t="inlineStr">
        <is>
          <t>Option (setting|label)</t>
        </is>
      </c>
      <c r="L4" s="176" t="inlineStr">
        <is>
          <t>Kind</t>
        </is>
      </c>
      <c r="M4" s="176" t="inlineStr">
        <is>
          <t>Value</t>
        </is>
      </c>
    </row>
    <row r="5">
      <c r="B5" t="inlineStr">
        <is>
          <t>Worse at (a multiple)</t>
        </is>
      </c>
      <c r="C5">
        <f>IF(AND(Control!$D$15&lt;&gt;"",Control!$D$15&lt;&gt;"n/a"),Control!$D$15,IFERROR(INDEX($M$5:$M$400,MATCH("worse_at|"&amp;Control!$C$15,$K$5:$K$400,0)),IF(ISNUMBER(Control!$C$15),Control!$C$15,VALUE(Control!$C$15))))</f>
        <v/>
      </c>
      <c r="D5" t="n">
        <v>1.25</v>
      </c>
      <c r="E5">
        <f>IFERROR("worse at "&amp;TEXT(C5,"0.00")&amp;"x","no usable answer on Control")</f>
        <v/>
      </c>
      <c r="F5" t="inlineStr">
        <is>
          <t>worse at 1.25x</t>
        </is>
      </c>
      <c r="K5" t="inlineStr">
        <is>
          <t>materiality|0.5% of the book's total losses</t>
        </is>
      </c>
      <c r="L5" t="inlineStr">
        <is>
          <t>share</t>
        </is>
      </c>
      <c r="M5" t="n">
        <v>0.005</v>
      </c>
    </row>
    <row r="6">
      <c r="B6" t="inlineStr">
        <is>
          <t>Better at (a multiple)</t>
        </is>
      </c>
      <c r="C6" t="n">
        <v>0.8</v>
      </c>
      <c r="D6" t="n">
        <v>0.8</v>
      </c>
      <c r="E6">
        <f>IFERROR("better at "&amp;TEXT(C6,"0.00")&amp;"x","no usable answer on Control")</f>
        <v/>
      </c>
      <c r="F6" t="inlineStr">
        <is>
          <t>better at 0.80x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t="b">
        <v>1</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$168,066</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168066.1506</v>
      </c>
      <c r="K12" t="inlineStr">
        <is>
          <t>compare_to|The rest of the book</t>
        </is>
      </c>
      <c r="M12" t="inlineStr">
        <is>
          <t>topline</t>
        </is>
      </c>
    </row>
    <row r="13">
      <c r="B13" t="inlineStr">
        <is>
          <t>Profit line: each pocket's own test, points or dollars</t>
        </is>
      </c>
      <c r="C13" t="inlineStr">
        <is>
          <t>test</t>
        </is>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f>NA()</f>
        <v/>
      </c>
    </row>
    <row r="14">
      <c r="B14" t="inlineStr">
        <is>
          <t>Profit line (0.0025 = 0.25 points; dollars for the materiality line)</t>
        </is>
      </c>
      <c r="C14">
        <f>IF(C13="points",0.0,IF(C13="dollars",C12,0))</f>
        <v/>
      </c>
      <c r="D14" t="n">
        <v>0</v>
      </c>
      <c r="K14" t="inlineStr">
        <is>
          <t>worse_at|1.25 times</t>
        </is>
      </c>
      <c r="M14" t="n">
        <v>1.25</v>
      </c>
    </row>
    <row r="15">
      <c r="B15" t="inlineStr">
        <is>
          <t>The book's GCO (from the Run)</t>
        </is>
      </c>
      <c r="C15" t="n">
        <v>16806615.05999999</v>
      </c>
      <c r="D15" t="n">
        <v>16806615.05999999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1.25x and better at 0.80x (the loss line); profit line each pocket's own test; 95% sure; materiality 1.0% of the book's GCO, $168,066; judged against the rest of its band.</t>
        </is>
      </c>
      <c r="K17" t="inlineStr">
        <is>
          <t>better_at|The smallest significant gap in a typical pocket (suggested)</t>
        </is>
      </c>
      <c r="M17">
        <f>NA()</f>
        <v/>
      </c>
    </row>
    <row r="18">
      <c r="K18" t="inlineStr">
        <is>
          <t>better_at|0.8 times</t>
        </is>
      </c>
      <c r="M18" t="n">
        <v>0.8</v>
      </c>
    </row>
    <row r="19">
      <c r="B19" s="176" t="inlineStr">
        <is>
          <t>Each rate's materiality line</t>
        </is>
      </c>
      <c r="C19" s="176" t="inlineStr">
        <is>
          <t>In use now</t>
        </is>
      </c>
      <c r="D19" s="176" t="inlineStr">
        <is>
          <t>The last Run used</t>
        </is>
      </c>
      <c r="E19" s="176" t="inlineStr">
        <is>
          <t>The rate's book total, for a share</t>
        </is>
      </c>
      <c r="G19" s="176" t="inlineStr">
        <is>
          <t>Rate (key)</t>
        </is>
      </c>
      <c r="K19" t="inlineStr">
        <is>
          <t>better_at|0.67 times</t>
        </is>
      </c>
      <c r="M19" t="n">
        <v>0.67</v>
      </c>
    </row>
    <row r="20">
      <c r="B20" t="inlineStr">
        <is>
          <t>Outcome, share of loans</t>
        </is>
      </c>
      <c r="C20">
        <f>IF(C10="share",C11*E20,IF(C10="none",0,""))</f>
        <v/>
      </c>
      <c r="D20" t="n">
        <v>9.529999999999999</v>
      </c>
      <c r="E20" t="n">
        <v>953</v>
      </c>
      <c r="G20" t="inlineStr">
        <is>
          <t>outcome_loans</t>
        </is>
      </c>
      <c r="K20" t="inlineStr">
        <is>
          <t>better_at|0.5 times</t>
        </is>
      </c>
      <c r="M20" t="n">
        <v>0.5</v>
      </c>
    </row>
    <row r="21">
      <c r="B21" t="inlineStr">
        <is>
          <t>Outcome, share of booked dollars</t>
        </is>
      </c>
      <c r="C21">
        <f>IF(C10="share",C11*E21,IF(C10="none",0,""))</f>
        <v/>
      </c>
      <c r="D21" t="n">
        <v>301490.3242</v>
      </c>
      <c r="E21" t="n">
        <v>30149032.42</v>
      </c>
      <c r="G21" t="inlineStr">
        <is>
          <t>outcome_booked</t>
        </is>
      </c>
      <c r="K21" t="inlineStr">
        <is>
          <t>revenue_line|Each pocket's own test (suggested)</t>
        </is>
      </c>
      <c r="L21" t="inlineStr">
        <is>
          <t>test</t>
        </is>
      </c>
      <c r="M21" t="n">
        <v>0</v>
      </c>
    </row>
    <row r="22">
      <c r="B22" t="inlineStr">
        <is>
          <t>GCO per booked dollar</t>
        </is>
      </c>
      <c r="C22">
        <f>C12</f>
        <v/>
      </c>
      <c r="D22" t="n">
        <v>168066.1506</v>
      </c>
      <c r="E22" t="n">
        <v>16806615.05999999</v>
      </c>
      <c r="G22" t="inlineStr">
        <is>
          <t>gco_rate</t>
        </is>
      </c>
      <c r="K22" t="inlineStr">
        <is>
          <t>revenue_line|0.25 points either way</t>
        </is>
      </c>
      <c r="L22" t="inlineStr">
        <is>
          <t>points</t>
        </is>
      </c>
      <c r="M22" t="n">
        <v>0.25</v>
      </c>
    </row>
    <row r="23">
      <c r="B23" t="inlineStr">
        <is>
          <t>Profit after losses: RANR per booked dollar</t>
        </is>
      </c>
      <c r="C23">
        <f>C12</f>
        <v/>
      </c>
      <c r="D23" t="n">
        <v>168066.1506</v>
      </c>
      <c r="E23" t="n">
        <v>48588235.25999997</v>
      </c>
      <c r="G23" t="inlineStr">
        <is>
          <t>ranr_rate</t>
        </is>
      </c>
      <c r="K23" t="inlineStr">
        <is>
          <t>revenue_line|0.5 points either way</t>
        </is>
      </c>
      <c r="L23" t="inlineStr">
        <is>
          <t>points</t>
        </is>
      </c>
      <c r="M23" t="n">
        <v>0.5</v>
      </c>
    </row>
    <row r="24">
      <c r="B24" t="inlineStr">
        <is>
          <t>Contribution before losses per booked dollar</t>
        </is>
      </c>
      <c r="C24">
        <f>C12</f>
        <v/>
      </c>
      <c r="D24" t="n">
        <v>168066.1506</v>
      </c>
      <c r="E24" t="n">
        <v>65389033.33999994</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O3"/>
  <sheetViews>
    <sheetView tabSelected="0" workbookViewId="0">
      <pane ySplit="3" topLeftCell="A4" activePane="bottomLeft" state="frozen"/>
      <selection pane="bottomLeft" activeCell="A1" sqref="A1"/>
    </sheetView>
  </sheetViews>
  <sheetFormatPr baseColWidth="8" defaultRowHeight="15"/>
  <sheetData>
    <row r="1">
      <c r="A1" s="176"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77" t="inlineStr">
        <is>
          <t>Grids or three-way</t>
        </is>
      </c>
      <c r="B3" s="177" t="inlineStr">
        <is>
          <t>Grid</t>
        </is>
      </c>
      <c r="C3" s="177" t="inlineStr">
        <is>
          <t>Band</t>
        </is>
      </c>
      <c r="D3" s="177" t="inlineStr">
        <is>
          <t>Segment</t>
        </is>
      </c>
      <c r="E3" s="177" t="inlineStr">
        <is>
          <t>Rate (key)</t>
        </is>
      </c>
      <c r="F3" s="177" t="inlineStr">
        <is>
          <t>Rate</t>
        </is>
      </c>
      <c r="G3" s="177" t="inlineStr">
        <is>
          <t>Loans</t>
        </is>
      </c>
      <c r="H3" s="177" t="inlineStr">
        <is>
          <t>Booked dollars (the rate's bottom)</t>
        </is>
      </c>
      <c r="I3" s="177" t="inlineStr">
        <is>
          <t>Too few losses to test (fewest losses is a Run setting)</t>
        </is>
      </c>
      <c r="J3" s="177" t="inlineStr">
        <is>
          <t>Alone in its band</t>
        </is>
      </c>
      <c r="K3" s="177" t="inlineStr">
        <is>
          <t>Vs rest of book (a multiple; profit: the gap, 0.01 = 1 point)</t>
        </is>
      </c>
      <c r="L3" s="177" t="inlineStr">
        <is>
          <t>p-value vs book, after the allowance</t>
        </is>
      </c>
      <c r="M3" s="177" t="inlineStr">
        <is>
          <t>Vs rest of band</t>
        </is>
      </c>
      <c r="N3" s="177" t="inlineStr">
        <is>
          <t>p-value vs band, after the allowance</t>
        </is>
      </c>
      <c r="O3" s="177" t="inlineStr">
        <is>
          <t>Excess over the rest of the book ($)</t>
        </is>
      </c>
      <c r="P3" s="177" t="inlineStr">
        <is>
          <t>Excess over its band ($)</t>
        </is>
      </c>
      <c r="Q3" s="177" t="inlineStr">
        <is>
          <t>Materiality line in use (from _live)</t>
        </is>
      </c>
      <c r="R3" s="177" t="inlineStr">
        <is>
          <t>Test vs book</t>
        </is>
      </c>
      <c r="S3" s="177" t="inlineStr">
        <is>
          <t>Test vs band</t>
        </is>
      </c>
      <c r="T3" s="177" t="inlineStr">
        <is>
          <t>Rest of book's rate</t>
        </is>
      </c>
      <c r="U3" s="177" t="inlineStr">
        <is>
          <t>Rest of band's rate</t>
        </is>
      </c>
      <c r="V3" s="178" t="inlineStr">
        <is>
          <t>Judged against its band?</t>
        </is>
      </c>
      <c r="W3" s="178" t="inlineStr">
        <is>
          <t>Reading vs book</t>
        </is>
      </c>
      <c r="X3" s="178" t="inlineStr">
        <is>
          <t>Reading vs band</t>
        </is>
      </c>
      <c r="Y3" s="178" t="inlineStr">
        <is>
          <t>Flag</t>
        </is>
      </c>
      <c r="Z3" s="178" t="inlineStr">
        <is>
          <t>Dollars that decide</t>
        </is>
      </c>
      <c r="AA3" s="178" t="inlineStr">
        <is>
          <t>Material</t>
        </is>
      </c>
      <c r="AB3" s="178" t="inlineStr">
        <is>
          <t>Gap that decides</t>
        </is>
      </c>
      <c r="AC3" s="178" t="inlineStr">
        <is>
          <t>p-value that decides</t>
        </is>
      </c>
      <c r="AD3" s="178" t="inlineStr">
        <is>
          <t>Flag as the tabs print it</t>
        </is>
      </c>
      <c r="AE3" s="178" t="inlineStr">
        <is>
          <t>Test, as printed</t>
        </is>
      </c>
      <c r="AF3" s="178" t="inlineStr">
        <is>
          <t>Rest's rate that decides</t>
        </is>
      </c>
      <c r="AG3" s="178" t="inlineStr">
        <is>
          <t>The other dollars, for reference</t>
        </is>
      </c>
      <c r="AH3" s="178" t="inlineStr">
        <is>
          <t>This pocket's rate</t>
        </is>
      </c>
      <c r="AI3" s="178" t="inlineStr">
        <is>
          <t>Worse?</t>
        </is>
      </c>
      <c r="AJ3" s="178" t="inlineStr">
        <is>
          <t>Material?</t>
        </is>
      </c>
      <c r="AK3" s="178" t="inlineStr">
        <is>
          <t>Shuffle's standard error of the p-value vs book, after the allowance</t>
        </is>
      </c>
      <c r="AL3" s="178" t="inlineStr">
        <is>
          <t>Shuffle's standard error of the p-value vs band, after the allowance</t>
        </is>
      </c>
      <c r="AM3" s="178" t="inlineStr">
        <is>
          <t>Borderline: the p-value that decides, when the flag turns on it and it is within 2 standard errors of the bar</t>
        </is>
      </c>
      <c r="AN3" s="178" t="inlineStr">
        <is>
          <t>Borderline, for Worse?</t>
        </is>
      </c>
      <c r="AO3" s="178" t="inlineStr">
        <is>
          <t>Worse? as the tabs print it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1.25 times</t>
        </is>
      </c>
      <c r="C2" t="inlineStr">
        <is>
          <t>1.25 times</t>
        </is>
      </c>
    </row>
    <row r="3">
      <c r="A3" t="inlineStr">
        <is>
          <t>better_at</t>
        </is>
      </c>
      <c r="B3" t="inlineStr">
        <is>
          <t>0.8 times</t>
        </is>
      </c>
      <c r="C3" t="inlineStr">
        <is>
          <t>0.8 times</t>
        </is>
      </c>
    </row>
    <row r="4">
      <c r="A4" t="inlineStr">
        <is>
          <t>revenue_line</t>
        </is>
      </c>
      <c r="B4" t="inlineStr">
        <is>
          <t>Each pocket's own test (suggested)</t>
        </is>
      </c>
      <c r="C4" t="inlineStr">
        <is>
          <t>Each pocket's own test (suggested)</t>
        </is>
      </c>
    </row>
    <row r="5">
      <c r="A5" t="inlineStr">
        <is>
          <t>confidence</t>
        </is>
      </c>
      <c r="B5" t="inlineStr">
        <is>
          <t>95%</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30</t>
        </is>
      </c>
      <c r="C8" t="inlineStr">
        <is>
          <t>30 loans</t>
        </is>
      </c>
    </row>
    <row r="9">
      <c r="A9" t="inlineStr">
        <is>
          <t>min_events</t>
        </is>
      </c>
      <c r="B9" t="inlineStr">
        <is>
          <t>10</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c r="B14" t="inlineStr">
        <is>
          <t>The month start nearest 70% of the loans (suggested)</t>
        </is>
      </c>
      <c r="C14" t="inlineStr">
        <is>
          <t>The month start nearest 70% of the loans (suggested)</t>
        </is>
      </c>
    </row>
    <row r="15">
      <c r="A15" t="inlineStr">
        <is>
          <t>run_kind</t>
        </is>
      </c>
      <c r="B15" t="inlineStr">
        <is>
          <t>Finding and testing a new variable</t>
        </is>
      </c>
      <c r="C15" t="inlineStr">
        <is>
          <t>Finding and testing a new variable</t>
        </is>
      </c>
    </row>
    <row r="16">
      <c r="A16" t="inlineStr">
        <is>
          <t>new_variable_step</t>
        </is>
      </c>
      <c r="B16" t="inlineStr">
        <is>
          <t>Scout first</t>
        </is>
      </c>
      <c r="C16" t="inlineStr">
        <is>
          <t>Scout first</t>
        </is>
      </c>
    </row>
    <row r="17">
      <c r="A17" t="inlineStr">
        <is>
          <t>launcher|bands</t>
        </is>
      </c>
      <c r="B17" t="inlineStr">
        <is>
          <t>FICO</t>
        </is>
      </c>
      <c r="C17" t="inlineStr">
        <is>
          <t>FICO</t>
        </is>
      </c>
    </row>
    <row r="18">
      <c r="A18" t="inlineStr">
        <is>
          <t>launcher|segments</t>
        </is>
      </c>
      <c r="B18" t="inlineStr">
        <is>
          <t>CHANNEL</t>
        </is>
      </c>
      <c r="C18" t="inlineStr">
        <is>
          <t>CHANNEL</t>
        </is>
      </c>
    </row>
    <row r="19">
      <c r="A19" t="inlineStr">
        <is>
          <t>launcher|split</t>
        </is>
      </c>
    </row>
    <row r="20">
      <c r="A20" t="inlineStr">
        <is>
          <t>launcher|filter</t>
        </is>
      </c>
    </row>
    <row r="21">
      <c r="A21" t="inlineStr">
        <is>
          <t>launcher|outcome</t>
        </is>
      </c>
      <c r="B21" t="inlineStr">
        <is>
          <t>BAD_FLAG</t>
        </is>
      </c>
      <c r="C21" t="inlineStr">
        <is>
          <t>BAD_FLAG</t>
        </is>
      </c>
    </row>
    <row r="22">
      <c r="A22" t="inlineStr">
        <is>
          <t>launcher|test</t>
        </is>
      </c>
      <c r="B22" t="inlineStr">
        <is>
          <t>UTIL, TENURE, F1, F2, F3, F4, REGION</t>
        </is>
      </c>
      <c r="C22" t="inlineStr">
        <is>
          <t>UTIL, TENURE, F1, F2, F3, F4, REGION</t>
        </is>
      </c>
    </row>
    <row r="23">
      <c r="A23" t="inlineStr">
        <is>
          <t>launcher|hold</t>
        </is>
      </c>
      <c r="B23" t="inlineStr">
        <is>
          <t>FICO, CHANNEL</t>
        </is>
      </c>
      <c r="C23" t="inlineStr">
        <is>
          <t>FICO, CHANNEL</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
  <sheetViews>
    <sheetView tabSelected="0" workbookViewId="0">
      <selection activeCell="A1" sqref="A1"/>
    </sheetView>
  </sheetViews>
  <sheetFormatPr baseColWidth="8" defaultRowHeight="15"/>
  <sheetData>
    <row r="1">
      <c r="A1" t="inlineStr">
        <is>
          <t>stamp</t>
        </is>
      </c>
      <c r="B1" t="inlineStr">
        <is>
          <t>2026-09-30 04:36</t>
        </is>
      </c>
    </row>
    <row r="2">
      <c r="A2" t="inlineStr">
        <is>
          <t>kind</t>
        </is>
      </c>
      <c r="B2" t="inlineStr">
        <is>
          <t>confirm</t>
        </is>
      </c>
    </row>
    <row r="3">
      <c r="A3" t="inlineStr">
        <is>
          <t>column</t>
        </is>
      </c>
      <c r="B3" t="inlineStr">
        <is>
          <t>UTIL</t>
        </is>
      </c>
    </row>
    <row r="4">
      <c r="A4" t="inlineStr">
        <is>
          <t>candidates</t>
        </is>
      </c>
      <c r="B4" t="inlineStr">
        <is>
          <t>UTIL, income_to_sales</t>
        </is>
      </c>
    </row>
    <row r="5">
      <c r="A5" t="inlineStr">
        <is>
          <t>reference</t>
        </is>
      </c>
      <c r="B5" t="inlineStr">
        <is>
          <t>0.0 - 0.8</t>
        </is>
      </c>
    </row>
    <row r="6">
      <c r="A6" t="inlineStr">
        <is>
          <t>loans</t>
        </is>
      </c>
      <c r="B6" t="inlineStr">
        <is>
          <t>8,394 found · 3,605 held back</t>
        </is>
      </c>
    </row>
    <row r="7">
      <c r="A7" t="inlineStr">
        <is>
          <t>follows</t>
        </is>
      </c>
      <c r="B7" t="inlineStr">
        <is>
          <t>Written now: by this Run's scouting</t>
        </is>
      </c>
    </row>
    <row r="8">
      <c r="A8" t="inlineStr">
        <is>
          <t>held</t>
        </is>
      </c>
      <c r="B8" t="inlineStr">
        <is>
          <t>FICO and CHANNEL</t>
        </is>
      </c>
    </row>
    <row r="9">
      <c r="A9" t="inlineStr">
        <is>
          <t>group</t>
        </is>
      </c>
      <c r="B9" t="inlineStr">
        <is>
          <t>0.0 - 0.8</t>
        </is>
      </c>
      <c r="C9" t="n">
        <v>2655</v>
      </c>
      <c r="D9" t="n">
        <v>157</v>
      </c>
      <c r="E9" t="n">
        <v>0.05913370998116761</v>
      </c>
      <c r="F9" t="n">
        <v>1</v>
      </c>
      <c r="H9" t="n">
        <v>0.5607142857142857</v>
      </c>
      <c r="I9" t="inlineStr">
        <is>
          <t>yes</t>
        </is>
      </c>
      <c r="J9" t="inlineStr">
        <is>
          <t>UTIL</t>
        </is>
      </c>
    </row>
    <row r="10">
      <c r="A10" t="inlineStr">
        <is>
          <t>group</t>
        </is>
      </c>
      <c r="B10" t="inlineStr">
        <is>
          <t>0.9 - 1.2</t>
        </is>
      </c>
      <c r="C10" t="n">
        <v>950</v>
      </c>
      <c r="D10" t="n">
        <v>123</v>
      </c>
      <c r="E10" t="n">
        <v>0.1294736842105263</v>
      </c>
      <c r="F10" t="n">
        <v>2.321672478130649</v>
      </c>
      <c r="G10" t="n">
        <v>2.036852618139177e-10</v>
      </c>
      <c r="H10" t="n">
        <v>0.4392857142857143</v>
      </c>
      <c r="J10" t="inlineStr">
        <is>
          <t>UTIL</t>
        </is>
      </c>
    </row>
    <row r="11">
      <c r="A11" t="inlineStr">
        <is>
          <t>group</t>
        </is>
      </c>
      <c r="B11" t="inlineStr">
        <is>
          <t>0.02 - 0.09</t>
        </is>
      </c>
      <c r="C11" t="n">
        <v>79</v>
      </c>
      <c r="D11" t="n">
        <v>10</v>
      </c>
      <c r="E11" t="n">
        <v>0.1265822784810127</v>
      </c>
      <c r="F11" t="n">
        <v>1.961432144638131</v>
      </c>
      <c r="G11" t="n">
        <v>0.0572805054849119</v>
      </c>
      <c r="H11" t="n">
        <v>0.03597122302158273</v>
      </c>
      <c r="J11" t="inlineStr">
        <is>
          <t>income_to_sales</t>
        </is>
      </c>
    </row>
    <row r="12">
      <c r="A12" t="inlineStr">
        <is>
          <t>group</t>
        </is>
      </c>
      <c r="B12" t="inlineStr">
        <is>
          <t>0.10 - 1.99</t>
        </is>
      </c>
      <c r="C12" t="n">
        <v>3361</v>
      </c>
      <c r="D12" t="n">
        <v>241</v>
      </c>
      <c r="E12" t="n">
        <v>0.07170484974709908</v>
      </c>
      <c r="F12" t="n">
        <v>1</v>
      </c>
      <c r="H12" t="n">
        <v>0.8669064748201439</v>
      </c>
      <c r="I12" t="inlineStr">
        <is>
          <t>yes</t>
        </is>
      </c>
      <c r="J12" t="inlineStr">
        <is>
          <t>income_to_sales</t>
        </is>
      </c>
    </row>
    <row r="13">
      <c r="A13" t="inlineStr">
        <is>
          <t>group</t>
        </is>
      </c>
      <c r="B13" t="inlineStr">
        <is>
          <t>2.00 - 8.30</t>
        </is>
      </c>
      <c r="C13" t="n">
        <v>156</v>
      </c>
      <c r="D13" t="n">
        <v>27</v>
      </c>
      <c r="E13" t="n">
        <v>0.1730769230769231</v>
      </c>
      <c r="F13" t="n">
        <v>2.638629342681331</v>
      </c>
      <c r="G13" t="n">
        <v>3.049541358746315e-05</v>
      </c>
      <c r="H13" t="n">
        <v>0.09712230215827339</v>
      </c>
      <c r="J13" t="inlineStr">
        <is>
          <t>income_to_sales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04:36</t>
        </is>
      </c>
      <c r="B4" t="inlineStr">
        <is>
          <t>Ran on 12,000 loans from Scouting book.csv. What was run: Finding and testing a new variable: scout first.</t>
        </is>
      </c>
    </row>
    <row r="5">
      <c r="B5" t="inlineStr">
        <is>
          <t>Scouting on 8,394 development loans made 2021-06-30 to 2024-10-31 (the 3,605 held back not read): 2 of 8 candidates proposed (UTIL, income_to_sales). Wrote the pre-spec Scouting book - pre-spec.yaml on 2026-09-30: fingerprint 374284797598.</t>
        </is>
      </c>
    </row>
    <row r="6">
      <c r="B6" t="inlineStr">
        <is>
          <t>Follows pre-spec Scouting book - pre-spec.yaml (not committed).</t>
        </is>
      </c>
    </row>
    <row r="7">
      <c r="B7" t="inlineStr">
        <is>
          <t>Touched the holdout: 3,605 loans made 2024-11-01 to 2026-03-30.</t>
        </is>
      </c>
    </row>
    <row r="8">
      <c r="B8" t="inlineStr">
        <is>
          <t>Pre-spec Scouting book - pre-spec.yaml written: fingerprint 374284797598, dated 2026-09-30 in the file; first read by this run.</t>
        </is>
      </c>
    </row>
    <row r="9">
      <c r="B9" t="inlineStr">
        <is>
          <t>Touched the holdout: the tree's out-of-time check scored 3,605 loans made 2024-11-01 to 2026-03-30, after the pre-spec was written. Built on loans made 2021-06-30 to 2024-10-31: AUC 0.63. On loans made 2024-11-01 to 2026-03-30, unseen: 0.60. With FICO and CHANNEL in the forest too: 0.69 built, 0.68 unseen.</t>
        </is>
      </c>
    </row>
    <row r="10">
      <c r="B10" t="inlineStr">
        <is>
          <t>Warning: open data question: "RANR_AMT": negative values in a column that is mostly positive (919 rows). Used as recorded until answered Real or Missing under Treat as on Columns</t>
        </is>
      </c>
    </row>
    <row r="11">
      <c r="B11" t="inlineStr">
        <is>
          <t>Warning: open data question: "F1": negative values in a column that is mostly positive (8 rows). Used as recorded until answered Real or Missing under Treat as on Columns</t>
        </is>
      </c>
    </row>
    <row r="12">
      <c r="B12" t="inlineStr">
        <is>
          <t>Warning: open data question: "F2": negative values in a column that is mostly positive (10 rows). Used as recorded until answered Real or Missing under Treat as 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2026-09-30T04:35:32Z</dcterms:created>
  <dcterms:modified xsi:type="dcterms:W3CDTF">2026-09-30T04:36:35Z</dcterms:modified>
</cp:coreProperties>
</file>